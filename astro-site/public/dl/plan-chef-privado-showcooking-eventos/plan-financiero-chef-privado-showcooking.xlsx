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&amp;L Año 1" sheetId="2" state="visible" r:id="rId2"/>
    <sheet xmlns:r="http://schemas.openxmlformats.org/officeDocument/2006/relationships" name="Proyección 3 años" sheetId="3" state="visible" r:id="rId3"/>
    <sheet xmlns:r="http://schemas.openxmlformats.org/officeDocument/2006/relationships" name="Break-even" sheetId="4" state="visible" r:id="rId4"/>
    <sheet xmlns:r="http://schemas.openxmlformats.org/officeDocument/2006/relationships" name="Mix B2C-B2B" sheetId="5" state="visible" r:id="rId5"/>
    <sheet xmlns:r="http://schemas.openxmlformats.org/officeDocument/2006/relationships" name="KPIs" sheetId="6" state="visible" r:id="rId6"/>
  </sheets>
  <definedNames>
    <definedName name="_xlnm.Print_Titles" localSheetId="0">'Resumen'!$5:$5</definedName>
    <definedName name="_xlnm.Print_Titles" localSheetId="1">'P&amp;L Año 1'!$4:$4</definedName>
    <definedName name="_xlnm.Print_Titles" localSheetId="2">'Proyección 3 años'!$4:$4</definedName>
    <definedName name="_xlnm.Print_Titles" localSheetId="4">'Mix B2C-B2B'!$4:$4</definedName>
    <definedName name="_xlnm.Print_Titles" localSheetId="5">'KPIs'!$4:$4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0A0908"/>
      <sz val="11"/>
    </font>
    <font>
      <name val="Calibri"/>
      <b val="1"/>
      <color rgb="00FFFFFF"/>
      <sz val="12"/>
    </font>
    <font>
      <name val="Calibri"/>
      <color rgb="000A0908"/>
      <sz val="11"/>
    </font>
  </fonts>
  <fills count="5">
    <fill>
      <patternFill/>
    </fill>
    <fill>
      <patternFill patternType="gray125"/>
    </fill>
    <fill>
      <patternFill patternType="solid">
        <fgColor rgb="00C4974A"/>
      </patternFill>
    </fill>
    <fill>
      <patternFill patternType="solid">
        <fgColor rgb="000A0908"/>
      </patternFill>
    </fill>
    <fill>
      <patternFill patternType="solid">
        <fgColor rgb="00E8E0D2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4" fontId="3" fillId="2" borderId="0" pivotButton="0" quotePrefix="0" xfId="0"/>
    <xf numFmtId="0" fontId="3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6" customWidth="1" min="4" max="4"/>
    <col width="12" customWidth="1" min="5" max="5"/>
    <col width="32" customWidth="1" min="6" max="6"/>
  </cols>
  <sheetData>
    <row r="1" ht="28" customHeight="1">
      <c r="A1" s="1" t="inlineStr">
        <is>
          <t>Plan Financiero — Chef Privado / Showcooking a domicilio</t>
        </is>
      </c>
    </row>
    <row r="2">
      <c r="A2" s="2" t="inlineStr">
        <is>
          <t>Modelo dual B2C cenas íntimas + B2B corporate showcooking · Operativo todo el año · 3 escenarios de inversión</t>
        </is>
      </c>
    </row>
    <row r="3"/>
    <row r="4">
      <c r="A4" s="3" t="inlineStr">
        <is>
          <t>ESCENARIOS DE INVERSIÓN INICIAL</t>
        </is>
      </c>
    </row>
    <row r="5" ht="26" customHeight="1">
      <c r="A5" s="4" t="inlineStr">
        <is>
          <t>Concepto</t>
        </is>
      </c>
      <c r="B5" s="4" t="inlineStr">
        <is>
          <t>Mín. Viable (€)</t>
        </is>
      </c>
      <c r="C5" s="4" t="inlineStr">
        <is>
          <t>Recomendado (€)</t>
        </is>
      </c>
      <c r="D5" s="4" t="inlineStr">
        <is>
          <t>Premium (€)</t>
        </is>
      </c>
      <c r="E5" s="4" t="inlineStr">
        <is>
          <t>% Premium</t>
        </is>
      </c>
      <c r="F5" s="4" t="inlineStr">
        <is>
          <t>Notas</t>
        </is>
      </c>
    </row>
    <row r="6">
      <c r="A6" s="5" t="inlineStr">
        <is>
          <t>Constitución autónomo + IAE 677.9 + APPCC móvil</t>
        </is>
      </c>
      <c r="B6" s="6" t="n">
        <v>350</v>
      </c>
      <c r="C6" s="6" t="n">
        <v>600</v>
      </c>
      <c r="D6" s="6" t="n">
        <v>850</v>
      </c>
      <c r="E6" s="7">
        <f>D6/$D$17</f>
        <v>0.028638814016172506</v>
      </c>
      <c r="F6" s="5" t="inlineStr">
        <is>
          <t>Tarifa plana 80€/mes 12m</t>
        </is>
      </c>
    </row>
    <row r="7">
      <c r="A7" s="5" t="inlineStr">
        <is>
          <t>Cuchillería japonesa profesional (gyuto + petty + sujihiki)</t>
        </is>
      </c>
      <c r="B7" s="6" t="n">
        <v>450</v>
      </c>
      <c r="C7" s="6" t="n">
        <v>950</v>
      </c>
      <c r="D7" s="6" t="n">
        <v>2200</v>
      </c>
      <c r="E7" s="7">
        <f>D7/$D$17</f>
        <v>0.07412398921832884</v>
      </c>
      <c r="F7" s="5" t="inlineStr">
        <is>
          <t>Tojiro/Misono base, Yoshihiro/Suncraft premium</t>
        </is>
      </c>
    </row>
    <row r="8">
      <c r="A8" s="5" t="inlineStr">
        <is>
          <t>Inducción portátil profesional + cables industriales</t>
        </is>
      </c>
      <c r="B8" s="6" t="n">
        <v>220</v>
      </c>
      <c r="C8" s="6" t="n">
        <v>480</v>
      </c>
      <c r="D8" s="6" t="n">
        <v>1150</v>
      </c>
      <c r="E8" s="7">
        <f>D8/$D$17</f>
        <v>0.038746630727762806</v>
      </c>
      <c r="F8" s="5" t="inlineStr">
        <is>
          <t>Iwatani/Vollrath 3.5kW + 2 unidades</t>
        </is>
      </c>
    </row>
    <row r="9">
      <c r="A9" s="5" t="inlineStr">
        <is>
          <t>Sous-vide circulator + cubas + bolsas vacío</t>
        </is>
      </c>
      <c r="B9" s="6" t="n">
        <v>280</v>
      </c>
      <c r="C9" s="6" t="n">
        <v>560</v>
      </c>
      <c r="D9" s="6" t="n">
        <v>1350</v>
      </c>
      <c r="E9" s="7">
        <f>D9/$D$17</f>
        <v>0.045485175202156336</v>
      </c>
      <c r="F9" s="5" t="inlineStr">
        <is>
          <t>Anova/Polyscience + máquina vacío</t>
        </is>
      </c>
    </row>
    <row r="10">
      <c r="A10" s="5" t="inlineStr">
        <is>
          <t>Vajilla blanca premium 50 plates + tableware</t>
        </is>
      </c>
      <c r="B10" s="6" t="n">
        <v>380</v>
      </c>
      <c r="C10" s="6" t="n">
        <v>950</v>
      </c>
      <c r="D10" s="6" t="n">
        <v>2400</v>
      </c>
      <c r="E10" s="7">
        <f>D10/$D$17</f>
        <v>0.08086253369272237</v>
      </c>
      <c r="F10" s="5" t="inlineStr">
        <is>
          <t>Pordamsa/Steelite/Schönwald + cubertería</t>
        </is>
      </c>
    </row>
    <row r="11">
      <c r="A11" s="5" t="inlineStr">
        <is>
          <t>Cristalería evento + decanters + hieleras</t>
        </is>
      </c>
      <c r="B11" s="6" t="n">
        <v>220</v>
      </c>
      <c r="C11" s="6" t="n">
        <v>480</v>
      </c>
      <c r="D11" s="6" t="n">
        <v>1100</v>
      </c>
      <c r="E11" s="7">
        <f>D11/$D$17</f>
        <v>0.03706199460916442</v>
      </c>
      <c r="F11" s="5" t="inlineStr">
        <is>
          <t>Schott Zwiesel/Pasabache + glassware</t>
        </is>
      </c>
    </row>
    <row r="12">
      <c r="A12" s="5" t="inlineStr">
        <is>
          <t>Mise en place portátil + neveras + cajas modulares</t>
        </is>
      </c>
      <c r="B12" s="6" t="n">
        <v>280</v>
      </c>
      <c r="C12" s="6" t="n">
        <v>580</v>
      </c>
      <c r="D12" s="6" t="n">
        <v>1180</v>
      </c>
      <c r="E12" s="7">
        <f>D12/$D$17</f>
        <v>0.03975741239892183</v>
      </c>
      <c r="F12" s="5" t="inlineStr">
        <is>
          <t>Sistema reutilizable transporte</t>
        </is>
      </c>
    </row>
    <row r="13">
      <c r="A13" s="5" t="inlineStr">
        <is>
          <t>Uniformidad chef + delantal piel + chaqueta marca</t>
        </is>
      </c>
      <c r="B13" s="6" t="n">
        <v>180</v>
      </c>
      <c r="C13" s="6" t="n">
        <v>380</v>
      </c>
      <c r="D13" s="6" t="n">
        <v>850</v>
      </c>
      <c r="E13" s="7">
        <f>D13/$D$17</f>
        <v>0.028638814016172506</v>
      </c>
      <c r="F13" s="5" t="inlineStr">
        <is>
          <t>Chaud Devant/Lafont + bordado logo</t>
        </is>
      </c>
    </row>
    <row r="14">
      <c r="A14" s="5" t="inlineStr">
        <is>
          <t>Marca + web portfolio + identidad + Stripe</t>
        </is>
      </c>
      <c r="B14" s="6" t="n">
        <v>450</v>
      </c>
      <c r="C14" s="6" t="n">
        <v>1450</v>
      </c>
      <c r="D14" s="6" t="n">
        <v>4200</v>
      </c>
      <c r="E14" s="7">
        <f>D14/$D$17</f>
        <v>0.14150943396226415</v>
      </c>
      <c r="F14" s="5" t="inlineStr">
        <is>
          <t>Logo + identidad + landing + booking + foto pro</t>
        </is>
      </c>
    </row>
    <row r="15">
      <c r="A15" s="5" t="inlineStr">
        <is>
          <t>Sesión foto profesional plating + branding personal</t>
        </is>
      </c>
      <c r="B15" s="6" t="n">
        <v>380</v>
      </c>
      <c r="C15" s="6" t="n">
        <v>950</v>
      </c>
      <c r="D15" s="6" t="n">
        <v>2400</v>
      </c>
      <c r="E15" s="7">
        <f>D15/$D$17</f>
        <v>0.08086253369272237</v>
      </c>
      <c r="F15" s="5" t="inlineStr">
        <is>
          <t>Fotógrafo gastronómico + 30 imágenes</t>
        </is>
      </c>
    </row>
    <row r="16">
      <c r="A16" s="5" t="inlineStr">
        <is>
          <t>Furgoneta usada/leasing + branded wrap</t>
        </is>
      </c>
      <c r="B16" s="6" t="n">
        <v>1500</v>
      </c>
      <c r="C16" s="6" t="n">
        <v>4200</v>
      </c>
      <c r="D16" s="6" t="n">
        <v>12000</v>
      </c>
      <c r="E16" s="7">
        <f>D16/$D$17</f>
        <v>0.40431266846361186</v>
      </c>
      <c r="F16" s="5" t="inlineStr">
        <is>
          <t>Renault Kangoo/Peugeot Partner + lonas</t>
        </is>
      </c>
    </row>
    <row r="17">
      <c r="A17" s="8" t="inlineStr">
        <is>
          <t>TOTAL INVERSIÓN</t>
        </is>
      </c>
      <c r="B17" s="9">
        <f>SUM(B6:B16)</f>
        <v>4690.0</v>
      </c>
      <c r="C17" s="9">
        <f>SUM(C6:C16)</f>
        <v>11580.0</v>
      </c>
      <c r="D17" s="9">
        <f>SUM(D6:D16)</f>
        <v>29680.0</v>
      </c>
      <c r="E17" s="10" t="inlineStr">
        <is>
          <t>100%</t>
        </is>
      </c>
      <c r="F17" s="8" t="inlineStr"/>
    </row>
  </sheetData>
  <mergeCells count="3">
    <mergeCell ref="A4:F4"/>
    <mergeCell ref="A2:J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1" t="inlineStr">
        <is>
          <t>P&amp;L mensual Año 1</t>
        </is>
      </c>
    </row>
    <row r="2">
      <c r="A2" s="2" t="inlineStr">
        <is>
          <t>Mix B2C 40% + B2B 60% · picos diciembre/junio + verano · sin estacionalidad fuerte</t>
        </is>
      </c>
    </row>
    <row r="3"/>
    <row r="4" ht="26" customHeight="1">
      <c r="A4" s="4" t="inlineStr">
        <is>
          <t>Concepto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  <c r="N4" s="4" t="inlineStr">
        <is>
          <t>Total</t>
        </is>
      </c>
    </row>
    <row r="5">
      <c r="A5" s="11" t="inlineStr">
        <is>
          <t>Ingresos B2C (cenas íntimas particulares)</t>
        </is>
      </c>
      <c r="B5" s="12" t="n">
        <v>2320</v>
      </c>
      <c r="C5" s="12" t="n">
        <v>2320</v>
      </c>
      <c r="D5" s="12" t="n">
        <v>2900</v>
      </c>
      <c r="E5" s="12" t="n">
        <v>2900</v>
      </c>
      <c r="F5" s="12" t="n">
        <v>3480</v>
      </c>
      <c r="G5" s="12" t="n">
        <v>4640</v>
      </c>
      <c r="H5" s="12" t="n">
        <v>4060</v>
      </c>
      <c r="I5" s="12" t="n">
        <v>2900</v>
      </c>
      <c r="J5" s="12" t="n">
        <v>3480</v>
      </c>
      <c r="K5" s="12" t="n">
        <v>3480</v>
      </c>
      <c r="L5" s="12" t="n">
        <v>4060</v>
      </c>
      <c r="M5" s="12" t="n">
        <v>6380</v>
      </c>
      <c r="N5" s="12">
        <f>SUM(B5:M5)</f>
        <v>42920.0</v>
      </c>
    </row>
    <row r="6">
      <c r="A6" s="11" t="inlineStr">
        <is>
          <t>Ingresos B2B (corporate / hoteles / weddings)</t>
        </is>
      </c>
      <c r="B6" s="12" t="n">
        <v>4350</v>
      </c>
      <c r="C6" s="12" t="n">
        <v>5800</v>
      </c>
      <c r="D6" s="12" t="n">
        <v>7250</v>
      </c>
      <c r="E6" s="12" t="n">
        <v>8700</v>
      </c>
      <c r="F6" s="12" t="n">
        <v>10150</v>
      </c>
      <c r="G6" s="12" t="n">
        <v>13050</v>
      </c>
      <c r="H6" s="12" t="n">
        <v>8700</v>
      </c>
      <c r="I6" s="12" t="n">
        <v>5800</v>
      </c>
      <c r="J6" s="12" t="n">
        <v>10150</v>
      </c>
      <c r="K6" s="12" t="n">
        <v>11600</v>
      </c>
      <c r="L6" s="12" t="n">
        <v>11600</v>
      </c>
      <c r="M6" s="12" t="n">
        <v>17400</v>
      </c>
      <c r="N6" s="12">
        <f>SUM(B6:M6)</f>
        <v>114550.0</v>
      </c>
    </row>
    <row r="7">
      <c r="A7" s="13" t="inlineStr">
        <is>
          <t>TOTAL INGRESOS</t>
        </is>
      </c>
      <c r="B7" s="14">
        <f>SUM(B5:B6)</f>
        <v>6670.0</v>
      </c>
      <c r="C7" s="14">
        <f>SUM(C5:C6)</f>
        <v>8120.0</v>
      </c>
      <c r="D7" s="14">
        <f>SUM(D5:D6)</f>
        <v>10150.0</v>
      </c>
      <c r="E7" s="14">
        <f>SUM(E5:E6)</f>
        <v>11600.0</v>
      </c>
      <c r="F7" s="14">
        <f>SUM(F5:F6)</f>
        <v>13630.0</v>
      </c>
      <c r="G7" s="14">
        <f>SUM(G5:G6)</f>
        <v>17690.0</v>
      </c>
      <c r="H7" s="14">
        <f>SUM(H5:H6)</f>
        <v>12760.0</v>
      </c>
      <c r="I7" s="14">
        <f>SUM(I5:I6)</f>
        <v>8700.0</v>
      </c>
      <c r="J7" s="14">
        <f>SUM(J5:J6)</f>
        <v>13630.0</v>
      </c>
      <c r="K7" s="14">
        <f>SUM(K5:K6)</f>
        <v>15080.0</v>
      </c>
      <c r="L7" s="14">
        <f>SUM(L5:L6)</f>
        <v>15660.0</v>
      </c>
      <c r="M7" s="14">
        <f>SUM(M5:M6)</f>
        <v>23780.0</v>
      </c>
      <c r="N7" s="14">
        <f>SUM(N5:N6)</f>
        <v>157470.0</v>
      </c>
    </row>
    <row r="8"/>
    <row r="9">
      <c r="A9" s="11" t="inlineStr">
        <is>
          <t>Food cost (ingredientes premium 26%)</t>
        </is>
      </c>
      <c r="B9" s="12">
        <f>B7*0.26</f>
        <v>1734.2</v>
      </c>
      <c r="C9" s="12">
        <f>C7*0.26</f>
        <v>2111.2000000000003</v>
      </c>
      <c r="D9" s="12">
        <f>D7*0.26</f>
        <v>2639.0</v>
      </c>
      <c r="E9" s="12">
        <f>E7*0.26</f>
        <v>3016.0</v>
      </c>
      <c r="F9" s="12">
        <f>F7*0.26</f>
        <v>3543.8</v>
      </c>
      <c r="G9" s="12">
        <f>G7*0.26</f>
        <v>4599.400000000001</v>
      </c>
      <c r="H9" s="12">
        <f>H7*0.26</f>
        <v>3317.6</v>
      </c>
      <c r="I9" s="12">
        <f>I7*0.26</f>
        <v>2262.0</v>
      </c>
      <c r="J9" s="12">
        <f>J7*0.26</f>
        <v>3543.8</v>
      </c>
      <c r="K9" s="12">
        <f>K7*0.26</f>
        <v>3920.8</v>
      </c>
      <c r="L9" s="12">
        <f>L7*0.26</f>
        <v>4071.6000000000004</v>
      </c>
      <c r="M9" s="12">
        <f>M7*0.26</f>
        <v>6182.8</v>
      </c>
      <c r="N9" s="12">
        <f>N7*0.26</f>
        <v>40942.200000000004</v>
      </c>
    </row>
    <row r="10">
      <c r="A10" s="11" t="inlineStr">
        <is>
          <t>Logística + transporte + neveras (4%)</t>
        </is>
      </c>
      <c r="B10" s="12">
        <f>B7*0.04</f>
        <v>266.8</v>
      </c>
      <c r="C10" s="12">
        <f>C7*0.04</f>
        <v>324.8</v>
      </c>
      <c r="D10" s="12">
        <f>D7*0.04</f>
        <v>406.0</v>
      </c>
      <c r="E10" s="12">
        <f>E7*0.04</f>
        <v>464.0</v>
      </c>
      <c r="F10" s="12">
        <f>F7*0.04</f>
        <v>545.2</v>
      </c>
      <c r="G10" s="12">
        <f>G7*0.04</f>
        <v>707.6</v>
      </c>
      <c r="H10" s="12">
        <f>H7*0.04</f>
        <v>510.40000000000003</v>
      </c>
      <c r="I10" s="12">
        <f>I7*0.04</f>
        <v>348.0</v>
      </c>
      <c r="J10" s="12">
        <f>J7*0.04</f>
        <v>545.2</v>
      </c>
      <c r="K10" s="12">
        <f>K7*0.04</f>
        <v>603.2</v>
      </c>
      <c r="L10" s="12">
        <f>L7*0.04</f>
        <v>626.4</v>
      </c>
      <c r="M10" s="12">
        <f>M7*0.04</f>
        <v>951.2</v>
      </c>
      <c r="N10" s="12">
        <f>N7*0.04</f>
        <v>6298.8</v>
      </c>
    </row>
    <row r="11">
      <c r="A11" s="11" t="inlineStr">
        <is>
          <t>Ayudante freelance B2B grandes (8%)</t>
        </is>
      </c>
      <c r="B11" s="12">
        <f>B7*0.08</f>
        <v>533.6</v>
      </c>
      <c r="C11" s="12">
        <f>C7*0.08</f>
        <v>649.6</v>
      </c>
      <c r="D11" s="12">
        <f>D7*0.08</f>
        <v>812.0</v>
      </c>
      <c r="E11" s="12">
        <f>E7*0.08</f>
        <v>928.0</v>
      </c>
      <c r="F11" s="12">
        <f>F7*0.08</f>
        <v>1090.4</v>
      </c>
      <c r="G11" s="12">
        <f>G7*0.08</f>
        <v>1415.2</v>
      </c>
      <c r="H11" s="12">
        <f>H7*0.08</f>
        <v>1020.8000000000001</v>
      </c>
      <c r="I11" s="12">
        <f>I7*0.08</f>
        <v>696.0</v>
      </c>
      <c r="J11" s="12">
        <f>J7*0.08</f>
        <v>1090.4</v>
      </c>
      <c r="K11" s="12">
        <f>K7*0.08</f>
        <v>1206.4</v>
      </c>
      <c r="L11" s="12">
        <f>L7*0.08</f>
        <v>1252.8</v>
      </c>
      <c r="M11" s="12">
        <f>M7*0.08</f>
        <v>1902.4</v>
      </c>
      <c r="N11" s="12">
        <f>N7*0.08</f>
        <v>12597.6</v>
      </c>
    </row>
    <row r="12"/>
    <row r="13">
      <c r="A13" s="11" t="inlineStr">
        <is>
          <t>Cuota autónomo (TGSS)</t>
        </is>
      </c>
      <c r="B13" s="12" t="n">
        <v>80</v>
      </c>
      <c r="C13" s="12" t="n">
        <v>80</v>
      </c>
      <c r="D13" s="12" t="n">
        <v>80</v>
      </c>
      <c r="E13" s="12" t="n">
        <v>80</v>
      </c>
      <c r="F13" s="12" t="n">
        <v>80</v>
      </c>
      <c r="G13" s="12" t="n">
        <v>80</v>
      </c>
      <c r="H13" s="12" t="n">
        <v>80</v>
      </c>
      <c r="I13" s="12" t="n">
        <v>80</v>
      </c>
      <c r="J13" s="12" t="n">
        <v>80</v>
      </c>
      <c r="K13" s="12" t="n">
        <v>80</v>
      </c>
      <c r="L13" s="12" t="n">
        <v>80</v>
      </c>
      <c r="M13" s="12" t="n">
        <v>80</v>
      </c>
      <c r="N13" s="12">
        <f>SUM(B13:M13)</f>
        <v>960.0</v>
      </c>
    </row>
    <row r="14">
      <c r="A14" s="11" t="inlineStr">
        <is>
          <t>Seguro RC eventos + furgo + intoxicación</t>
        </is>
      </c>
      <c r="B14" s="12" t="n">
        <v>110</v>
      </c>
      <c r="C14" s="12" t="n">
        <v>110</v>
      </c>
      <c r="D14" s="12" t="n">
        <v>110</v>
      </c>
      <c r="E14" s="12" t="n">
        <v>110</v>
      </c>
      <c r="F14" s="12" t="n">
        <v>110</v>
      </c>
      <c r="G14" s="12" t="n">
        <v>110</v>
      </c>
      <c r="H14" s="12" t="n">
        <v>110</v>
      </c>
      <c r="I14" s="12" t="n">
        <v>110</v>
      </c>
      <c r="J14" s="12" t="n">
        <v>110</v>
      </c>
      <c r="K14" s="12" t="n">
        <v>110</v>
      </c>
      <c r="L14" s="12" t="n">
        <v>110</v>
      </c>
      <c r="M14" s="12" t="n">
        <v>110</v>
      </c>
      <c r="N14" s="12">
        <f>SUM(B14:M14)</f>
        <v>1320.0</v>
      </c>
    </row>
    <row r="15">
      <c r="A15" s="11" t="inlineStr">
        <is>
          <t>Marketing + ads + Hosply.pro + Bodas.net</t>
        </is>
      </c>
      <c r="B15" s="12" t="n">
        <v>180</v>
      </c>
      <c r="C15" s="12" t="n">
        <v>180</v>
      </c>
      <c r="D15" s="12" t="n">
        <v>180</v>
      </c>
      <c r="E15" s="12" t="n">
        <v>180</v>
      </c>
      <c r="F15" s="12" t="n">
        <v>180</v>
      </c>
      <c r="G15" s="12" t="n">
        <v>180</v>
      </c>
      <c r="H15" s="12" t="n">
        <v>180</v>
      </c>
      <c r="I15" s="12" t="n">
        <v>180</v>
      </c>
      <c r="J15" s="12" t="n">
        <v>180</v>
      </c>
      <c r="K15" s="12" t="n">
        <v>180</v>
      </c>
      <c r="L15" s="12" t="n">
        <v>180</v>
      </c>
      <c r="M15" s="12" t="n">
        <v>180</v>
      </c>
      <c r="N15" s="12">
        <f>SUM(B15:M15)</f>
        <v>2160.0</v>
      </c>
    </row>
    <row r="16">
      <c r="A16" s="11" t="inlineStr">
        <is>
          <t>Furgoneta (mantenimiento + combustible)</t>
        </is>
      </c>
      <c r="B16" s="12" t="n">
        <v>280</v>
      </c>
      <c r="C16" s="12" t="n">
        <v>280</v>
      </c>
      <c r="D16" s="12" t="n">
        <v>280</v>
      </c>
      <c r="E16" s="12" t="n">
        <v>280</v>
      </c>
      <c r="F16" s="12" t="n">
        <v>280</v>
      </c>
      <c r="G16" s="12" t="n">
        <v>280</v>
      </c>
      <c r="H16" s="12" t="n">
        <v>280</v>
      </c>
      <c r="I16" s="12" t="n">
        <v>280</v>
      </c>
      <c r="J16" s="12" t="n">
        <v>280</v>
      </c>
      <c r="K16" s="12" t="n">
        <v>280</v>
      </c>
      <c r="L16" s="12" t="n">
        <v>280</v>
      </c>
      <c r="M16" s="12" t="n">
        <v>280</v>
      </c>
      <c r="N16" s="12">
        <f>SUM(B16:M16)</f>
        <v>3360.0</v>
      </c>
    </row>
    <row r="17"/>
    <row r="18">
      <c r="A18" s="13" t="inlineStr">
        <is>
          <t>TOTAL COSTES</t>
        </is>
      </c>
      <c r="B18" s="14">
        <f>SUM(B9:B11)+SUM(B13:B16)</f>
        <v>3184.6</v>
      </c>
      <c r="C18" s="14">
        <f>SUM(C9:C11)+SUM(C13:C16)</f>
        <v>3735.6000000000004</v>
      </c>
      <c r="D18" s="14">
        <f>SUM(D9:D11)+SUM(D13:D16)</f>
        <v>4507.0</v>
      </c>
      <c r="E18" s="14">
        <f>SUM(E9:E11)+SUM(E13:E16)</f>
        <v>5058.0</v>
      </c>
      <c r="F18" s="14">
        <f>SUM(F9:F11)+SUM(F13:F16)</f>
        <v>5829.4</v>
      </c>
      <c r="G18" s="14">
        <f>SUM(G9:G11)+SUM(G13:G16)</f>
        <v>7372.200000000001</v>
      </c>
      <c r="H18" s="14">
        <f>SUM(H9:H11)+SUM(H13:H16)</f>
        <v>5498.8</v>
      </c>
      <c r="I18" s="14">
        <f>SUM(I9:I11)+SUM(I13:I16)</f>
        <v>3956.0</v>
      </c>
      <c r="J18" s="14">
        <f>SUM(J9:J11)+SUM(J13:J16)</f>
        <v>5829.4</v>
      </c>
      <c r="K18" s="14">
        <f>SUM(K9:K11)+SUM(K13:K16)</f>
        <v>6380.4</v>
      </c>
      <c r="L18" s="14">
        <f>SUM(L9:L11)+SUM(L13:L16)</f>
        <v>6600.8</v>
      </c>
      <c r="M18" s="14">
        <f>SUM(M9:M11)+SUM(M13:M16)</f>
        <v>9686.4</v>
      </c>
      <c r="N18" s="14">
        <f>SUM(N9:N11)+SUM(N13:N16)</f>
        <v>67638.6</v>
      </c>
    </row>
    <row r="19">
      <c r="A19" s="3" t="inlineStr">
        <is>
          <t>BENEFICIO NETO</t>
        </is>
      </c>
      <c r="B19" s="15">
        <f>B7-B18</f>
        <v>3485.4</v>
      </c>
      <c r="C19" s="15">
        <f>C7-C18</f>
        <v>4384.4</v>
      </c>
      <c r="D19" s="15">
        <f>D7-D18</f>
        <v>5643.0</v>
      </c>
      <c r="E19" s="15">
        <f>E7-E18</f>
        <v>6542.0</v>
      </c>
      <c r="F19" s="15">
        <f>F7-F18</f>
        <v>7800.6</v>
      </c>
      <c r="G19" s="15">
        <f>G7-G18</f>
        <v>10317.8</v>
      </c>
      <c r="H19" s="15">
        <f>H7-H18</f>
        <v>7261.2</v>
      </c>
      <c r="I19" s="15">
        <f>I7-I18</f>
        <v>4744.0</v>
      </c>
      <c r="J19" s="15">
        <f>J7-J18</f>
        <v>7800.6</v>
      </c>
      <c r="K19" s="15">
        <f>K7-K18</f>
        <v>8699.6</v>
      </c>
      <c r="L19" s="15">
        <f>L7-L18</f>
        <v>9059.2</v>
      </c>
      <c r="M19" s="15">
        <f>M7-M18</f>
        <v>14093.6</v>
      </c>
      <c r="N19" s="15">
        <f>N7-N18</f>
        <v>89831.4</v>
      </c>
    </row>
  </sheetData>
  <mergeCells count="2">
    <mergeCell ref="A2:J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Proyección financiera 3 años</t>
        </is>
      </c>
    </row>
    <row r="2">
      <c r="A2" s="2" t="inlineStr">
        <is>
          <t>Crecimiento conservador · Año 2 +28% · Año 3 +20%</t>
        </is>
      </c>
    </row>
    <row r="3"/>
    <row r="4" ht="26" customHeight="1">
      <c r="A4" s="4" t="inlineStr">
        <is>
          <t>Concepto</t>
        </is>
      </c>
      <c r="B4" s="4" t="inlineStr">
        <is>
          <t>Año 1</t>
        </is>
      </c>
      <c r="C4" s="4" t="inlineStr">
        <is>
          <t>Año 2</t>
        </is>
      </c>
      <c r="D4" s="4" t="inlineStr">
        <is>
          <t>Año 3</t>
        </is>
      </c>
    </row>
    <row r="5">
      <c r="A5" s="5" t="inlineStr">
        <is>
          <t>Eventos B2C totales</t>
        </is>
      </c>
      <c r="B5" s="6" t="n">
        <v>74</v>
      </c>
      <c r="C5" s="6" t="n">
        <v>95</v>
      </c>
      <c r="D5" s="6" t="n">
        <v>115</v>
      </c>
    </row>
    <row r="6">
      <c r="A6" s="5" t="inlineStr">
        <is>
          <t>Eventos B2B totales</t>
        </is>
      </c>
      <c r="B6" s="6" t="n">
        <v>79</v>
      </c>
      <c r="C6" s="6" t="n">
        <v>100</v>
      </c>
      <c r="D6" s="6" t="n">
        <v>122</v>
      </c>
    </row>
    <row r="7">
      <c r="A7" s="5" t="inlineStr">
        <is>
          <t>Ticket medio B2C</t>
        </is>
      </c>
      <c r="B7" s="6" t="n">
        <v>580</v>
      </c>
      <c r="C7" s="6" t="n">
        <v>640</v>
      </c>
      <c r="D7" s="6" t="n">
        <v>700</v>
      </c>
    </row>
    <row r="8">
      <c r="A8" s="5" t="inlineStr">
        <is>
          <t>Ticket medio B2B</t>
        </is>
      </c>
      <c r="B8" s="6" t="n">
        <v>1450</v>
      </c>
      <c r="C8" s="6" t="n">
        <v>1580</v>
      </c>
      <c r="D8" s="6" t="n">
        <v>1750</v>
      </c>
    </row>
    <row r="9">
      <c r="A9" s="5" t="inlineStr">
        <is>
          <t>Ingresos B2C</t>
        </is>
      </c>
      <c r="B9" s="6">
        <f>B5*B7</f>
        <v>42920.0</v>
      </c>
      <c r="C9" s="6">
        <f>C5*C7</f>
        <v>60800.0</v>
      </c>
      <c r="D9" s="6">
        <f>D5*D7</f>
        <v>80500.0</v>
      </c>
    </row>
    <row r="10">
      <c r="A10" s="5" t="inlineStr">
        <is>
          <t>Ingresos B2B</t>
        </is>
      </c>
      <c r="B10" s="6">
        <f>B6*B8</f>
        <v>114550.0</v>
      </c>
      <c r="C10" s="6">
        <f>C6*C8</f>
        <v>158000.0</v>
      </c>
      <c r="D10" s="6">
        <f>D6*D8</f>
        <v>213500.0</v>
      </c>
    </row>
    <row r="11">
      <c r="A11" s="8" t="inlineStr">
        <is>
          <t>TOTAL INGRESOS</t>
        </is>
      </c>
      <c r="B11" s="9">
        <f>B9+B10</f>
        <v>157470.0</v>
      </c>
      <c r="C11" s="9">
        <f>C9+C10</f>
        <v>218800.0</v>
      </c>
      <c r="D11" s="9">
        <f>D9+D10</f>
        <v>294000.0</v>
      </c>
    </row>
    <row r="12">
      <c r="A12" s="5" t="inlineStr">
        <is>
          <t>Food cost (26% / 25% / 24%)</t>
        </is>
      </c>
      <c r="B12" s="6">
        <f>B11*0.26</f>
        <v>40942.200000000004</v>
      </c>
      <c r="C12" s="6">
        <f>C11*0.25</f>
        <v>54700.0</v>
      </c>
      <c r="D12" s="6">
        <f>D11*0.24</f>
        <v>70560.0</v>
      </c>
    </row>
    <row r="13">
      <c r="A13" s="5" t="inlineStr">
        <is>
          <t>Logística (4%)</t>
        </is>
      </c>
      <c r="B13" s="6">
        <f>B11*0.04</f>
        <v>6298.8</v>
      </c>
      <c r="C13" s="6">
        <f>C11*0.04</f>
        <v>8752.0</v>
      </c>
      <c r="D13" s="6">
        <f>D11*0.04</f>
        <v>11760.0</v>
      </c>
    </row>
    <row r="14">
      <c r="A14" s="5" t="inlineStr">
        <is>
          <t>Ayudantes freelance (8% / 9% / 10%)</t>
        </is>
      </c>
      <c r="B14" s="6">
        <f>B11*0.08</f>
        <v>12597.6</v>
      </c>
      <c r="C14" s="6">
        <f>C11*0.09</f>
        <v>19692.0</v>
      </c>
      <c r="D14" s="6">
        <f>D11*0.10</f>
        <v>29400.0</v>
      </c>
    </row>
    <row r="15">
      <c r="A15" s="5" t="inlineStr">
        <is>
          <t>Costes fijos anuales</t>
        </is>
      </c>
      <c r="B15" s="6" t="n">
        <v>7800</v>
      </c>
      <c r="C15" s="6" t="n">
        <v>8800</v>
      </c>
      <c r="D15" s="6" t="n">
        <v>10500</v>
      </c>
    </row>
    <row r="16">
      <c r="A16" s="8" t="inlineStr">
        <is>
          <t>TOTAL COSTES</t>
        </is>
      </c>
      <c r="B16" s="9">
        <f>SUM(B12:B15)</f>
        <v>67638.6</v>
      </c>
      <c r="C16" s="9">
        <f>SUM(C12:C15)</f>
        <v>91944.0</v>
      </c>
      <c r="D16" s="9">
        <f>SUM(D12:D15)</f>
        <v>122220.0</v>
      </c>
    </row>
    <row r="17">
      <c r="A17" s="16" t="inlineStr">
        <is>
          <t>BENEFICIO NETO</t>
        </is>
      </c>
      <c r="B17" s="17">
        <f>B11-B16</f>
        <v>89831.4</v>
      </c>
      <c r="C17" s="17">
        <f>C11-C16</f>
        <v>126856.0</v>
      </c>
      <c r="D17" s="17">
        <f>D11-D16</f>
        <v>171780.0</v>
      </c>
    </row>
    <row r="18">
      <c r="A18" s="18" t="inlineStr">
        <is>
          <t>Margen neto</t>
        </is>
      </c>
      <c r="B18" s="19">
        <f>B17/B11</f>
        <v>0.5704667555724899</v>
      </c>
      <c r="C18" s="19">
        <f>C17/C11</f>
        <v>0.5797806215722121</v>
      </c>
      <c r="D18" s="19">
        <f>D17/D11</f>
        <v>0.5842857142857143</v>
      </c>
    </row>
  </sheetData>
  <mergeCells count="2">
    <mergeCell ref="A2:J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28" customHeight="1">
      <c r="A1" s="1" t="inlineStr">
        <is>
          <t>Punto de equilibrio</t>
        </is>
      </c>
    </row>
    <row r="2">
      <c r="A2" s="2" t="inlineStr">
        <is>
          <t>Eventos mínimos para cubrir costes fijos anuales</t>
        </is>
      </c>
    </row>
    <row r="3"/>
    <row r="4" ht="26" customHeight="1">
      <c r="A4" s="4" t="inlineStr">
        <is>
          <t>Variable</t>
        </is>
      </c>
      <c r="B4" s="4" t="inlineStr">
        <is>
          <t>Valor</t>
        </is>
      </c>
    </row>
    <row r="5">
      <c r="A5" s="5" t="inlineStr">
        <is>
          <t>Costes fijos anuales (cuota + seguros + marketing + furgo)</t>
        </is>
      </c>
      <c r="B5" s="6" t="n">
        <v>7800</v>
      </c>
    </row>
    <row r="6">
      <c r="A6" s="5" t="inlineStr">
        <is>
          <t>Ticket medio mixto (40% B2C 580€ + 60% B2B 1.450€)</t>
        </is>
      </c>
      <c r="B6" s="6">
        <f>580*0.4+1450*0.6</f>
        <v>1102.0</v>
      </c>
    </row>
    <row r="7">
      <c r="A7" s="5" t="inlineStr">
        <is>
          <t>Margen contribución (1 - food cost 26% - logística 4% - ayudantes 8%)</t>
        </is>
      </c>
      <c r="B7" s="7">
        <f>1-0.26-0.04-0.08</f>
        <v>0.62</v>
      </c>
    </row>
    <row r="8">
      <c r="A8" s="5" t="inlineStr">
        <is>
          <t>Margen contribución por evento (€)</t>
        </is>
      </c>
      <c r="B8" s="6">
        <f>B6*B7</f>
        <v>683.24</v>
      </c>
    </row>
    <row r="9">
      <c r="A9" s="16" t="inlineStr">
        <is>
          <t>Eventos break-even AÑO 1</t>
        </is>
      </c>
      <c r="B9" s="20">
        <f>B5/B8</f>
        <v>11.416193431297934</v>
      </c>
    </row>
    <row r="10">
      <c r="A10" s="5" t="inlineStr">
        <is>
          <t>Eventos break-even MES (12 meses activos)</t>
        </is>
      </c>
      <c r="B10" s="21">
        <f>B9/12</f>
        <v>0.9513494526081612</v>
      </c>
    </row>
  </sheetData>
  <mergeCells count="2">
    <mergeCell ref="A2:J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24" customWidth="1" min="5" max="5"/>
    <col width="12" customWidth="1" min="6" max="6"/>
  </cols>
  <sheetData>
    <row r="1" ht="28" customHeight="1">
      <c r="A1" s="1" t="inlineStr">
        <is>
          <t>Mix B2C / B2B detallado</t>
        </is>
      </c>
    </row>
    <row r="2">
      <c r="A2" s="2" t="inlineStr">
        <is>
          <t>Tipologías de cliente, ticket medio y volumen anual</t>
        </is>
      </c>
    </row>
    <row r="3"/>
    <row r="4" ht="26" customHeight="1">
      <c r="A4" s="4" t="inlineStr">
        <is>
          <t>Segmento</t>
        </is>
      </c>
      <c r="B4" s="4" t="inlineStr">
        <is>
          <t>Tipo cliente</t>
        </is>
      </c>
      <c r="C4" s="4" t="inlineStr">
        <is>
          <t>Ticket medio</t>
        </is>
      </c>
      <c r="D4" s="4" t="inlineStr">
        <is>
          <t>Eventos/año</t>
        </is>
      </c>
      <c r="E4" s="4" t="inlineStr">
        <is>
          <t>Estacionalidad</t>
        </is>
      </c>
      <c r="F4" s="4" t="inlineStr">
        <is>
          <t>Margen</t>
        </is>
      </c>
    </row>
    <row r="5">
      <c r="A5" s="5" t="inlineStr">
        <is>
          <t>B2C</t>
        </is>
      </c>
      <c r="B5" s="5" t="inlineStr">
        <is>
          <t>Cena íntima en pareja (2-4 pax)</t>
        </is>
      </c>
      <c r="C5" s="22" t="n">
        <v>320</v>
      </c>
      <c r="D5" s="23" t="n">
        <v>16</v>
      </c>
      <c r="E5" s="5" t="inlineStr">
        <is>
          <t>Todo el año + San Valentín</t>
        </is>
      </c>
      <c r="F5" s="23" t="inlineStr">
        <is>
          <t>62%</t>
        </is>
      </c>
    </row>
    <row r="6">
      <c r="A6" s="5" t="inlineStr">
        <is>
          <t>B2C</t>
        </is>
      </c>
      <c r="B6" s="5" t="inlineStr">
        <is>
          <t>Cumpleaños familiar (6-10 pax)</t>
        </is>
      </c>
      <c r="C6" s="22" t="n">
        <v>580</v>
      </c>
      <c r="D6" s="23" t="n">
        <v>22</v>
      </c>
      <c r="E6" s="5" t="inlineStr">
        <is>
          <t>Todo el año</t>
        </is>
      </c>
      <c r="F6" s="23" t="inlineStr">
        <is>
          <t>60%</t>
        </is>
      </c>
    </row>
    <row r="7">
      <c r="A7" s="5" t="inlineStr">
        <is>
          <t>B2C</t>
        </is>
      </c>
      <c r="B7" s="5" t="inlineStr">
        <is>
          <t>Aniversario / cena especial (4-8 pax)</t>
        </is>
      </c>
      <c r="C7" s="22" t="n">
        <v>480</v>
      </c>
      <c r="D7" s="23" t="n">
        <v>14</v>
      </c>
      <c r="E7" s="5" t="inlineStr">
        <is>
          <t>Todo el año + Navidad</t>
        </is>
      </c>
      <c r="F7" s="23" t="inlineStr">
        <is>
          <t>60%</t>
        </is>
      </c>
    </row>
    <row r="8">
      <c r="A8" s="5" t="inlineStr">
        <is>
          <t>B2C</t>
        </is>
      </c>
      <c r="B8" s="5" t="inlineStr">
        <is>
          <t>Cena ejecutiva en domicilio (8-14 pax)</t>
        </is>
      </c>
      <c r="C8" s="22" t="n">
        <v>850</v>
      </c>
      <c r="D8" s="23" t="n">
        <v>12</v>
      </c>
      <c r="E8" s="5" t="inlineStr">
        <is>
          <t>Sept-junio</t>
        </is>
      </c>
      <c r="F8" s="23" t="inlineStr">
        <is>
          <t>58%</t>
        </is>
      </c>
    </row>
    <row r="9">
      <c r="A9" s="5" t="inlineStr">
        <is>
          <t>B2C</t>
        </is>
      </c>
      <c r="B9" s="5" t="inlineStr">
        <is>
          <t>Brunch privado en casa (8-12 pax)</t>
        </is>
      </c>
      <c r="C9" s="22" t="n">
        <v>380</v>
      </c>
      <c r="D9" s="23" t="n">
        <v>10</v>
      </c>
      <c r="E9" s="5" t="inlineStr">
        <is>
          <t>Fin semana todo el año</t>
        </is>
      </c>
      <c r="F9" s="23" t="inlineStr">
        <is>
          <t>60%</t>
        </is>
      </c>
    </row>
    <row r="10">
      <c r="A10" s="5" t="inlineStr">
        <is>
          <t>B2B</t>
        </is>
      </c>
      <c r="B10" s="5" t="inlineStr">
        <is>
          <t>Showcooking corporate evento empresa</t>
        </is>
      </c>
      <c r="C10" s="22" t="n">
        <v>1850</v>
      </c>
      <c r="D10" s="23" t="n">
        <v>22</v>
      </c>
      <c r="E10" s="5" t="inlineStr">
        <is>
          <t>Mar-jun + sept-dic</t>
        </is>
      </c>
      <c r="F10" s="23" t="inlineStr">
        <is>
          <t>55%</t>
        </is>
      </c>
    </row>
    <row r="11">
      <c r="A11" s="5" t="inlineStr">
        <is>
          <t>B2B</t>
        </is>
      </c>
      <c r="B11" s="5" t="inlineStr">
        <is>
          <t>Hotel boutique room-service privado</t>
        </is>
      </c>
      <c r="C11" s="22" t="n">
        <v>1200</v>
      </c>
      <c r="D11" s="23" t="n">
        <v>16</v>
      </c>
      <c r="E11" s="5" t="inlineStr">
        <is>
          <t>Todo el año + verano</t>
        </is>
      </c>
      <c r="F11" s="23" t="inlineStr">
        <is>
          <t>55%</t>
        </is>
      </c>
    </row>
    <row r="12">
      <c r="A12" s="5" t="inlineStr">
        <is>
          <t>B2B</t>
        </is>
      </c>
      <c r="B12" s="5" t="inlineStr">
        <is>
          <t>Wedding planner cena ensayo / pre-boda</t>
        </is>
      </c>
      <c r="C12" s="22" t="n">
        <v>1450</v>
      </c>
      <c r="D12" s="23" t="n">
        <v>18</v>
      </c>
      <c r="E12" s="5" t="inlineStr">
        <is>
          <t>Mayo-octubre</t>
        </is>
      </c>
      <c r="F12" s="23" t="inlineStr">
        <is>
          <t>53%</t>
        </is>
      </c>
    </row>
    <row r="13">
      <c r="A13" s="5" t="inlineStr">
        <is>
          <t>B2B</t>
        </is>
      </c>
      <c r="B13" s="5" t="inlineStr">
        <is>
          <t>Agencia eventos team-building cooking class</t>
        </is>
      </c>
      <c r="C13" s="22" t="n">
        <v>1650</v>
      </c>
      <c r="D13" s="23" t="n">
        <v>14</v>
      </c>
      <c r="E13" s="5" t="inlineStr">
        <is>
          <t>Marzo-junio + sept-nov</t>
        </is>
      </c>
      <c r="F13" s="23" t="inlineStr">
        <is>
          <t>52%</t>
        </is>
      </c>
    </row>
    <row r="14">
      <c r="A14" s="5" t="inlineStr">
        <is>
          <t>B2B</t>
        </is>
      </c>
      <c r="B14" s="5" t="inlineStr">
        <is>
          <t>Empresa cena directiva fin año</t>
        </is>
      </c>
      <c r="C14" s="22" t="n">
        <v>2200</v>
      </c>
      <c r="D14" s="23" t="n">
        <v>9</v>
      </c>
      <c r="E14" s="5" t="inlineStr">
        <is>
          <t>Noviembre-diciembre</t>
        </is>
      </c>
      <c r="F14" s="23" t="inlineStr">
        <is>
          <t>50%</t>
        </is>
      </c>
    </row>
  </sheetData>
  <mergeCells count="2">
    <mergeCell ref="A2:J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8" customWidth="1" min="4" max="4"/>
  </cols>
  <sheetData>
    <row r="1" ht="28" customHeight="1">
      <c r="A1" s="1" t="inlineStr">
        <is>
          <t>KPIs y ratios sector</t>
        </is>
      </c>
    </row>
    <row r="2">
      <c r="A2" s="2" t="inlineStr">
        <is>
          <t>Benchmarks chef privado / showcooking España 2026</t>
        </is>
      </c>
    </row>
    <row r="3"/>
    <row r="4" ht="26" customHeight="1">
      <c r="A4" s="4" t="inlineStr">
        <is>
          <t>KPI</t>
        </is>
      </c>
      <c r="B4" s="4" t="inlineStr">
        <is>
          <t>Tu objetivo</t>
        </is>
      </c>
      <c r="C4" s="4" t="inlineStr">
        <is>
          <t>Sector top 25%</t>
        </is>
      </c>
      <c r="D4" s="4" t="inlineStr">
        <is>
          <t>Notas</t>
        </is>
      </c>
    </row>
    <row r="5">
      <c r="A5" s="5" t="inlineStr">
        <is>
          <t>Eventos / mes (operación estable)</t>
        </is>
      </c>
      <c r="B5" s="23" t="n">
        <v>12</v>
      </c>
      <c r="C5" s="23" t="n">
        <v>16</v>
      </c>
      <c r="D5" s="5" t="inlineStr">
        <is>
          <t>Suma B2C + B2B; pico 18-22 en diciembre</t>
        </is>
      </c>
    </row>
    <row r="6">
      <c r="A6" s="5" t="inlineStr">
        <is>
          <t>Ticket medio mixto</t>
        </is>
      </c>
      <c r="B6" s="23" t="inlineStr">
        <is>
          <t>990 €</t>
        </is>
      </c>
      <c r="C6" s="23" t="inlineStr">
        <is>
          <t>1.250 €</t>
        </is>
      </c>
      <c r="D6" s="5" t="inlineStr">
        <is>
          <t>Subir gama vía B2B corporate + cenas exclusivas premium</t>
        </is>
      </c>
    </row>
    <row r="7">
      <c r="A7" s="5" t="inlineStr">
        <is>
          <t>Food cost %</t>
        </is>
      </c>
      <c r="B7" s="23" t="inlineStr">
        <is>
          <t>26 %</t>
        </is>
      </c>
      <c r="C7" s="23" t="inlineStr">
        <is>
          <t>22 %</t>
        </is>
      </c>
      <c r="D7" s="5" t="inlineStr">
        <is>
          <t>Acuerdos directos pescaderos + cárnicos premium + microbrotes</t>
        </is>
      </c>
    </row>
    <row r="8">
      <c r="A8" s="5" t="inlineStr">
        <is>
          <t>Margen neto %</t>
        </is>
      </c>
      <c r="B8" s="23" t="inlineStr">
        <is>
          <t>30 %</t>
        </is>
      </c>
      <c r="C8" s="23" t="inlineStr">
        <is>
          <t>36 %</t>
        </is>
      </c>
      <c r="D8" s="5" t="inlineStr">
        <is>
          <t>Ahorro logística con neveras propias + cocina cliente</t>
        </is>
      </c>
    </row>
    <row r="9">
      <c r="A9" s="5" t="inlineStr">
        <is>
          <t>Tasa cancelación</t>
        </is>
      </c>
      <c r="B9" s="23" t="inlineStr">
        <is>
          <t>&lt; 6 %</t>
        </is>
      </c>
      <c r="C9" s="23" t="inlineStr">
        <is>
          <t>&lt; 4 %</t>
        </is>
      </c>
      <c r="D9" s="5" t="inlineStr">
        <is>
          <t>Anticipo 40 % + cláusula 14 días</t>
        </is>
      </c>
    </row>
    <row r="10">
      <c r="A10" s="5" t="inlineStr">
        <is>
          <t>NPS clientes B2C</t>
        </is>
      </c>
      <c r="B10" s="23" t="inlineStr">
        <is>
          <t>&gt; 75</t>
        </is>
      </c>
      <c r="C10" s="23" t="inlineStr">
        <is>
          <t>&gt; 85</t>
        </is>
      </c>
      <c r="D10" s="5" t="inlineStr">
        <is>
          <t>Mensaje WhatsApp 24h post-evento + foto recuerdo</t>
        </is>
      </c>
    </row>
    <row r="11">
      <c r="A11" s="5" t="inlineStr">
        <is>
          <t>Tasa repetición B2C</t>
        </is>
      </c>
      <c r="B11" s="23" t="inlineStr">
        <is>
          <t>&gt; 30 %</t>
        </is>
      </c>
      <c r="C11" s="23" t="inlineStr">
        <is>
          <t>&gt; 45 %</t>
        </is>
      </c>
      <c r="D11" s="5" t="inlineStr">
        <is>
          <t>Cumpleaños/aniversarios anuales + referidos</t>
        </is>
      </c>
    </row>
    <row r="12">
      <c r="A12" s="5" t="inlineStr">
        <is>
          <t>Tasa repetición B2B</t>
        </is>
      </c>
      <c r="B12" s="23" t="inlineStr">
        <is>
          <t>&gt; 40 %</t>
        </is>
      </c>
      <c r="C12" s="23" t="inlineStr">
        <is>
          <t>&gt; 60 %</t>
        </is>
      </c>
      <c r="D12" s="5" t="inlineStr">
        <is>
          <t>Corporate contrata 4-8 eventos/año</t>
        </is>
      </c>
    </row>
    <row r="13">
      <c r="A13" s="5" t="inlineStr">
        <is>
          <t>Coste captación cliente B2C (CAC)</t>
        </is>
      </c>
      <c r="B13" s="23" t="inlineStr">
        <is>
          <t>65 €</t>
        </is>
      </c>
      <c r="C13" s="23" t="inlineStr">
        <is>
          <t>40 €</t>
        </is>
      </c>
      <c r="D13" s="5" t="inlineStr">
        <is>
          <t>SEO local + Pinterest + Google Ads + IG</t>
        </is>
      </c>
    </row>
    <row r="14">
      <c r="A14" s="5" t="inlineStr">
        <is>
          <t>Lifetime Value B2B (LTV)</t>
        </is>
      </c>
      <c r="B14" s="23" t="inlineStr">
        <is>
          <t>9.500 €</t>
        </is>
      </c>
      <c r="C14" s="23" t="inlineStr">
        <is>
          <t>16.000 €</t>
        </is>
      </c>
      <c r="D14" s="5" t="inlineStr">
        <is>
          <t>Corporate fideliza × 4-6 eventos × 1.600 €</t>
        </is>
      </c>
    </row>
  </sheetData>
  <mergeCells count="2">
    <mergeCell ref="A2:J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 Financiero — Chef Privado / Showcooking a domicilio · Plan de Negocio &amp; Kit de Chef Privado / Showcooking a Domicilio</dc:title>
  <dc:description xmlns:dc="http://purl.org/dc/elements/1.1/">aichef.pro/plan-chef-privado-showcooking-eventos</dc:description>
  <dc:subject xmlns:dc="http://purl.org/dc/elements/1.1/">Plan de Negocio &amp; Kit de Chef Privado / Showcooking a Domicilio · v1.1</dc:subject>
  <dcterms:created xmlns:dcterms="http://purl.org/dc/terms/" xmlns:xsi="http://www.w3.org/2001/XMLSchema-instance" xsi:type="dcterms:W3CDTF">2026-04-28T10:48:41Z</dcterms:created>
  <dcterms:modified xmlns:dcterms="http://purl.org/dc/terms/" xmlns:xsi="http://www.w3.org/2001/XMLSchema-instance" xsi:type="dcterms:W3CDTF">2026-08-22T09:13:04Z</dcterms:modified>
  <cp:lastModifiedBy>AI Chef Pro</cp:lastModifiedBy>
  <cp:category>AI Chef Pro · Productos digitales</cp:category>
  <cp:keywords>plan chef privado showcooking eventos, AI Chef Pro</cp:keywords>
</cp:coreProperties>
</file>