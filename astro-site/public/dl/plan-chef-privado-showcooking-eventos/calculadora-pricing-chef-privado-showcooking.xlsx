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 pricing" sheetId="1" state="visible" r:id="rId1"/>
    <sheet xmlns:r="http://schemas.openxmlformats.org/officeDocument/2006/relationships" name="10 ejemplos validados" sheetId="2" state="visible" r:id="rId2"/>
  </sheets>
  <definedNames>
    <definedName name="_xlnm.Print_Titles" localSheetId="0">'Calculadora pricing'!$5:$5</definedName>
    <definedName name="_xlnm.Print_Titles" localSheetId="1">'10 ejemplos validados'!$4:$4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0A0908"/>
      <sz val="18"/>
    </font>
    <font>
      <name val="Calibri"/>
      <i val="1"/>
      <color rgb="008A7E63"/>
      <sz val="11"/>
    </font>
    <font>
      <name val="Calibri"/>
      <b val="1"/>
      <color rgb="000A0908"/>
      <sz val="11"/>
    </font>
    <font>
      <name val="Calibri"/>
      <color rgb="000A0908"/>
      <sz val="11"/>
    </font>
    <font>
      <name val="Calibri"/>
      <i val="1"/>
      <color rgb="008A7E63"/>
      <sz val="10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C4974A"/>
      </patternFill>
    </fill>
    <fill>
      <patternFill patternType="solid">
        <fgColor rgb="00FFF7C2"/>
      </patternFill>
    </fill>
    <fill>
      <patternFill patternType="solid">
        <fgColor rgb="00E8E0D2"/>
      </patternFill>
    </fill>
    <fill>
      <patternFill patternType="solid">
        <fgColor rgb="000A0908"/>
      </patternFill>
    </fill>
  </fills>
  <borders count="2">
    <border>
      <left/>
      <right/>
      <top/>
      <bottom/>
      <diagonal/>
    </border>
    <border>
      <left style="thin">
        <color rgb="00C8BFA8"/>
      </left>
      <right style="thin">
        <color rgb="00C8BFA8"/>
      </right>
      <top style="thin">
        <color rgb="00C8BFA8"/>
      </top>
      <bottom style="thin">
        <color rgb="00C8BFA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2" fontId="4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Calculadora Pricing — Chef Privado / Showcooking</t>
        </is>
      </c>
    </row>
    <row r="2">
      <c r="A2" s="2" t="inlineStr">
        <is>
          <t>Modelo dual B2C cena íntima + B2B corporate · Cambia los inputs amarillos</t>
        </is>
      </c>
    </row>
    <row r="3"/>
    <row r="4">
      <c r="A4" s="3" t="inlineStr">
        <is>
          <t>INPUTS DEL EVENTO</t>
        </is>
      </c>
    </row>
    <row r="5">
      <c r="A5" s="4" t="inlineStr">
        <is>
          <t>Tipo de cliente (B2C o B2B)</t>
        </is>
      </c>
      <c r="B5" s="5" t="inlineStr">
        <is>
          <t>B2C</t>
        </is>
      </c>
      <c r="C5" s="6" t="inlineStr">
        <is>
          <t>B2C particular o B2B corporate/agencia/hotel</t>
        </is>
      </c>
    </row>
    <row r="6">
      <c r="A6" s="4" t="inlineStr">
        <is>
          <t>Número de comensales (pax)</t>
        </is>
      </c>
      <c r="B6" s="5" t="n">
        <v>8</v>
      </c>
      <c r="C6" s="6" t="inlineStr">
        <is>
          <t>Total de invitados</t>
        </is>
      </c>
    </row>
    <row r="7">
      <c r="A7" s="4" t="inlineStr">
        <is>
          <t>Distancia ida (km)</t>
        </is>
      </c>
      <c r="B7" s="5" t="n">
        <v>18</v>
      </c>
      <c r="C7" s="6" t="inlineStr">
        <is>
          <t>Desde tu base hasta el lugar del evento</t>
        </is>
      </c>
    </row>
    <row r="8">
      <c r="A8" s="4" t="inlineStr">
        <is>
          <t>Tipo experiencia (Cena/Showcooking/CookingClass/Brunch)</t>
        </is>
      </c>
      <c r="B8" s="5" t="inlineStr">
        <is>
          <t>Cena íntima</t>
        </is>
      </c>
      <c r="C8" s="6" t="inlineStr">
        <is>
          <t>Cena íntima / Showcooking / Cooking Class / Brunch / Cena ejecutiva</t>
        </is>
      </c>
    </row>
    <row r="9">
      <c r="A9" s="4" t="inlineStr">
        <is>
          <t>Nivel menú (estándar/premium/exclusivo)</t>
        </is>
      </c>
      <c r="B9" s="5" t="inlineStr">
        <is>
          <t>premium</t>
        </is>
      </c>
      <c r="C9" s="6" t="inlineStr">
        <is>
          <t>Estándar (5 platos) / Premium (7 platos) / Exclusivo (9+ con caviar/trufa)</t>
        </is>
      </c>
    </row>
    <row r="10">
      <c r="A10" s="4" t="inlineStr">
        <is>
          <t>Duración servicio (horas)</t>
        </is>
      </c>
      <c r="B10" s="5" t="n">
        <v>4</v>
      </c>
      <c r="C10" s="6" t="inlineStr">
        <is>
          <t>Tiempo total: mise en place + servicio + limpieza</t>
        </is>
      </c>
    </row>
    <row r="11">
      <c r="A11" s="4" t="inlineStr">
        <is>
          <t>Ayudante adicional (n)</t>
        </is>
      </c>
      <c r="B11" s="5" t="n">
        <v>0</v>
      </c>
      <c r="C11" s="6" t="inlineStr">
        <is>
          <t>0 si solo, 1 si &gt; 14 pax o showcooking complejo</t>
        </is>
      </c>
    </row>
    <row r="12">
      <c r="A12" s="4" t="inlineStr">
        <is>
          <t>Bebidas / pairing incluido (sí/no)</t>
        </is>
      </c>
      <c r="B12" s="5" t="inlineStr">
        <is>
          <t>no</t>
        </is>
      </c>
      <c r="C12" s="6" t="inlineStr">
        <is>
          <t>Si sí, +18 €/pax para vinos pairing</t>
        </is>
      </c>
    </row>
    <row r="13">
      <c r="A13" s="4" t="inlineStr">
        <is>
          <t>Cliente suministra cocina/inducción (sí/no)</t>
        </is>
      </c>
      <c r="B13" s="5" t="inlineStr">
        <is>
          <t>sí</t>
        </is>
      </c>
      <c r="C13" s="6" t="inlineStr">
        <is>
          <t>Si no aporta, +60€ logística inducción portátil</t>
        </is>
      </c>
    </row>
    <row r="14">
      <c r="A14" s="4" t="inlineStr">
        <is>
          <t>Branded experience (sí/no)</t>
        </is>
      </c>
      <c r="B14" s="5" t="inlineStr">
        <is>
          <t>no</t>
        </is>
      </c>
      <c r="C14" s="6" t="inlineStr">
        <is>
          <t>Mantelería + flores + ambientación: +120€</t>
        </is>
      </c>
    </row>
    <row r="15"/>
    <row r="16">
      <c r="A16" s="3" t="inlineStr">
        <is>
          <t>CÁLCULO BASE</t>
        </is>
      </c>
    </row>
    <row r="17">
      <c r="A17" s="4" t="inlineStr">
        <is>
          <t>Precio base por pax (€/pax)</t>
        </is>
      </c>
      <c r="B17" s="7">
        <f>IF(B5="B2B", IF(B6&lt;8, 95, IF(B6&lt;20, 78, 68)), IF(B6&lt;6, 75, IF(B6&lt;12, 62, 52)))</f>
        <v>62.0</v>
      </c>
      <c r="C17" s="8" t="inlineStr">
        <is>
          <t>Tarifa base ajustada por volumen y canal</t>
        </is>
      </c>
    </row>
    <row r="18">
      <c r="A18" s="4" t="inlineStr">
        <is>
          <t>Recargo nivel menú (factor)</t>
        </is>
      </c>
      <c r="B18" s="9">
        <f>IF(B9="exclusivo",1.45,IF(B9="premium",1.20,1.00))</f>
        <v>1.2</v>
      </c>
      <c r="C18" s="8" t="inlineStr">
        <is>
          <t>Premium +20%, Exclusivo +45% (caviar/trufa/foie)</t>
        </is>
      </c>
    </row>
    <row r="19">
      <c r="A19" s="4" t="inlineStr">
        <is>
          <t>Recargo tipo experiencia (factor)</t>
        </is>
      </c>
      <c r="B19" s="9">
        <f>IF(B8="Showcooking",1.18,IF(B8="Cena ejecutiva",1.15,IF(B8="Cooking Class",1.22,1.00)))</f>
        <v>1.0</v>
      </c>
      <c r="C19" s="8" t="inlineStr">
        <is>
          <t>Showcooking +18%, Cooking Class +22%, Ejecutiva +15%</t>
        </is>
      </c>
    </row>
    <row r="20">
      <c r="A20" s="4" t="inlineStr">
        <is>
          <t>Recargo bebidas pairing por pax</t>
        </is>
      </c>
      <c r="B20" s="7">
        <f>IF(B12="sí",18,0)</f>
        <v>0.0</v>
      </c>
      <c r="C20" s="8" t="inlineStr">
        <is>
          <t>Pairing vinos: +18 €/pax</t>
        </is>
      </c>
    </row>
    <row r="21">
      <c r="A21" s="4" t="inlineStr">
        <is>
          <t>Coste logística inducción si aplica</t>
        </is>
      </c>
      <c r="B21" s="9">
        <f>IF(B13="no",60,0)</f>
        <v>0.0</v>
      </c>
      <c r="C21" s="8" t="inlineStr">
        <is>
          <t>Inducción portátil + cables: +60€</t>
        </is>
      </c>
    </row>
    <row r="22">
      <c r="A22" s="4" t="inlineStr">
        <is>
          <t>Coste branded experience si aplica</t>
        </is>
      </c>
      <c r="B22" s="9">
        <f>IF(B14="sí",120,0)</f>
        <v>0.0</v>
      </c>
      <c r="C22" s="8" t="inlineStr">
        <is>
          <t>Mantelería + flores + ambientación: +120€</t>
        </is>
      </c>
    </row>
    <row r="23">
      <c r="A23" s="4" t="inlineStr">
        <is>
          <t>Coste desplazamiento (€)</t>
        </is>
      </c>
      <c r="B23" s="7">
        <f>B7*0.85*2</f>
        <v>30.599999999999998</v>
      </c>
      <c r="C23" s="8" t="inlineStr">
        <is>
          <t>0.85 €/km · ida y vuelta</t>
        </is>
      </c>
    </row>
    <row r="24">
      <c r="A24" s="4" t="inlineStr">
        <is>
          <t>Coste ayudantes freelance (€)</t>
        </is>
      </c>
      <c r="B24" s="7">
        <f>B11*120</f>
        <v>0.0</v>
      </c>
      <c r="C24" s="8" t="inlineStr">
        <is>
          <t>120 €/ayudante por jornada</t>
        </is>
      </c>
    </row>
    <row r="25"/>
    <row r="26">
      <c r="A26" s="3" t="inlineStr">
        <is>
          <t>RESULTADO</t>
        </is>
      </c>
    </row>
    <row r="27">
      <c r="A27" s="10" t="inlineStr">
        <is>
          <t>Precio comida por pax (€/pax)</t>
        </is>
      </c>
      <c r="B27" s="11">
        <f>B17*B18*B19+B20</f>
        <v>74.39999999999999</v>
      </c>
    </row>
    <row r="28">
      <c r="A28" s="10" t="inlineStr">
        <is>
          <t>Subtotal comida (€)</t>
        </is>
      </c>
      <c r="B28" s="11">
        <f>B27*B6</f>
        <v>595.1999999999999</v>
      </c>
    </row>
    <row r="29">
      <c r="A29" s="10" t="inlineStr">
        <is>
          <t>Logística + ayudantes + branded (€)</t>
        </is>
      </c>
      <c r="B29" s="11">
        <f>B21+B22+B23+B24</f>
        <v>30.599999999999998</v>
      </c>
    </row>
    <row r="30">
      <c r="A30" s="10" t="inlineStr">
        <is>
          <t>PVP recomendado (€) sin IVA</t>
        </is>
      </c>
      <c r="B30" s="12">
        <f>B28+B29</f>
        <v>625.8</v>
      </c>
    </row>
    <row r="31">
      <c r="A31" s="10" t="inlineStr">
        <is>
          <t>PVP por pax efectivo (€/pax)</t>
        </is>
      </c>
      <c r="B31" s="11">
        <f>B30/B6</f>
        <v>78.225</v>
      </c>
    </row>
    <row r="32">
      <c r="A32" s="10" t="inlineStr">
        <is>
          <t>Anticipo 40 % a cobrar al firmar</t>
        </is>
      </c>
      <c r="B32" s="13">
        <f>B30*0.4</f>
        <v>250.32</v>
      </c>
    </row>
    <row r="33">
      <c r="A33" s="10" t="inlineStr">
        <is>
          <t>Margen estimado bruto (€)</t>
        </is>
      </c>
      <c r="B33" s="11">
        <f>B30*0.58</f>
        <v>362.96399999999994</v>
      </c>
    </row>
    <row r="34">
      <c r="A34" s="10" t="inlineStr">
        <is>
          <t>Margen estimado bruto (%)</t>
        </is>
      </c>
      <c r="B34" s="13" t="n">
        <v>0.58</v>
      </c>
    </row>
  </sheetData>
  <mergeCells count="23">
    <mergeCell ref="C10:E10"/>
    <mergeCell ref="C22:E22"/>
    <mergeCell ref="C23:E23"/>
    <mergeCell ref="C8:E8"/>
    <mergeCell ref="A16:D16"/>
    <mergeCell ref="C11:E11"/>
    <mergeCell ref="C19:E19"/>
    <mergeCell ref="C14:E14"/>
    <mergeCell ref="C17:E17"/>
    <mergeCell ref="C24:E24"/>
    <mergeCell ref="A26:D26"/>
    <mergeCell ref="C12:E12"/>
    <mergeCell ref="A4:D4"/>
    <mergeCell ref="C9:E9"/>
    <mergeCell ref="C20:E20"/>
    <mergeCell ref="C5:E5"/>
    <mergeCell ref="C6:E6"/>
    <mergeCell ref="C7:E7"/>
    <mergeCell ref="A2:J2"/>
    <mergeCell ref="C21:E21"/>
    <mergeCell ref="C13:E13"/>
    <mergeCell ref="C18:E18"/>
    <mergeCell ref="A1:J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8" customWidth="1" min="3" max="3"/>
    <col width="22" customWidth="1" min="4" max="4"/>
    <col width="10" customWidth="1" min="5" max="5"/>
    <col width="12" customWidth="1" min="6" max="6"/>
    <col width="14" customWidth="1" min="7" max="7"/>
    <col width="12" customWidth="1" min="8" max="8"/>
  </cols>
  <sheetData>
    <row r="1" ht="28" customHeight="1">
      <c r="A1" s="1" t="inlineStr">
        <is>
          <t>10 ejemplos pricing reales</t>
        </is>
      </c>
    </row>
    <row r="2">
      <c r="A2" s="2" t="inlineStr">
        <is>
          <t>Casos validados sector chef privado / showcooking España 2026</t>
        </is>
      </c>
    </row>
    <row r="3"/>
    <row r="4" ht="26" customHeight="1">
      <c r="A4" s="14" t="inlineStr">
        <is>
          <t>#</t>
        </is>
      </c>
      <c r="B4" s="14" t="inlineStr">
        <is>
          <t>Tipo evento</t>
        </is>
      </c>
      <c r="C4" s="14" t="inlineStr">
        <is>
          <t>Pax</t>
        </is>
      </c>
      <c r="D4" s="14" t="inlineStr">
        <is>
          <t>Tipo experiencia</t>
        </is>
      </c>
      <c r="E4" s="14" t="inlineStr">
        <is>
          <t>B2C/B2B</t>
        </is>
      </c>
      <c r="F4" s="14" t="inlineStr">
        <is>
          <t>Distancia</t>
        </is>
      </c>
      <c r="G4" s="14" t="inlineStr">
        <is>
          <t>PVP final (€)</t>
        </is>
      </c>
      <c r="H4" s="14" t="inlineStr">
        <is>
          <t>€/pax</t>
        </is>
      </c>
    </row>
    <row r="5">
      <c r="A5" s="15" t="n">
        <v>1</v>
      </c>
      <c r="B5" s="16" t="inlineStr">
        <is>
          <t>Cena romántica San Valentín casa Madrid</t>
        </is>
      </c>
      <c r="C5" s="15" t="n">
        <v>2</v>
      </c>
      <c r="D5" s="16" t="inlineStr">
        <is>
          <t>Cena íntima exclusiva</t>
        </is>
      </c>
      <c r="E5" s="15" t="inlineStr">
        <is>
          <t>B2C</t>
        </is>
      </c>
      <c r="F5" s="15" t="n">
        <v>8</v>
      </c>
      <c r="G5" s="17" t="n">
        <v>380</v>
      </c>
      <c r="H5" s="17" t="n">
        <v>190</v>
      </c>
    </row>
    <row r="6">
      <c r="A6" s="15" t="n">
        <v>2</v>
      </c>
      <c r="B6" s="16" t="inlineStr">
        <is>
          <t>Cumpleaños 35 con amigos Salamanca</t>
        </is>
      </c>
      <c r="C6" s="15" t="n">
        <v>10</v>
      </c>
      <c r="D6" s="16" t="inlineStr">
        <is>
          <t>Cena íntima premium + pairing</t>
        </is>
      </c>
      <c r="E6" s="15" t="inlineStr">
        <is>
          <t>B2C</t>
        </is>
      </c>
      <c r="F6" s="15" t="n">
        <v>12</v>
      </c>
      <c r="G6" s="17" t="n">
        <v>980</v>
      </c>
      <c r="H6" s="17" t="n">
        <v>98</v>
      </c>
    </row>
    <row r="7">
      <c r="A7" s="15" t="n">
        <v>3</v>
      </c>
      <c r="B7" s="16" t="inlineStr">
        <is>
          <t>Aniversario boda 25 con familia La Moraleja</t>
        </is>
      </c>
      <c r="C7" s="15" t="n">
        <v>14</v>
      </c>
      <c r="D7" s="16" t="inlineStr">
        <is>
          <t>Cena ejecutiva premium</t>
        </is>
      </c>
      <c r="E7" s="15" t="inlineStr">
        <is>
          <t>B2C</t>
        </is>
      </c>
      <c r="F7" s="15" t="n">
        <v>22</v>
      </c>
      <c r="G7" s="17" t="n">
        <v>1380</v>
      </c>
      <c r="H7" s="17" t="n">
        <v>98.56999999999999</v>
      </c>
    </row>
    <row r="8">
      <c r="A8" s="15" t="n">
        <v>4</v>
      </c>
      <c r="B8" s="16" t="inlineStr">
        <is>
          <t>Brunch privado domingo Chamberí</t>
        </is>
      </c>
      <c r="C8" s="15" t="n">
        <v>8</v>
      </c>
      <c r="D8" s="16" t="inlineStr">
        <is>
          <t>Brunch íntimo estándar</t>
        </is>
      </c>
      <c r="E8" s="15" t="inlineStr">
        <is>
          <t>B2C</t>
        </is>
      </c>
      <c r="F8" s="15" t="n">
        <v>6</v>
      </c>
      <c r="G8" s="17" t="n">
        <v>420</v>
      </c>
      <c r="H8" s="17" t="n">
        <v>52.5</v>
      </c>
    </row>
    <row r="9">
      <c r="A9" s="15" t="n">
        <v>5</v>
      </c>
      <c r="B9" s="16" t="inlineStr">
        <is>
          <t>Cena directiva fin año empresa Madrid</t>
        </is>
      </c>
      <c r="C9" s="15" t="n">
        <v>14</v>
      </c>
      <c r="D9" s="16" t="inlineStr">
        <is>
          <t>Cena ejecutiva premium pairing</t>
        </is>
      </c>
      <c r="E9" s="15" t="inlineStr">
        <is>
          <t>B2B</t>
        </is>
      </c>
      <c r="F9" s="15" t="n">
        <v>18</v>
      </c>
      <c r="G9" s="17" t="n">
        <v>2180</v>
      </c>
      <c r="H9" s="17" t="n">
        <v>155.71</v>
      </c>
    </row>
    <row r="10">
      <c r="A10" s="15" t="n">
        <v>6</v>
      </c>
      <c r="B10" s="16" t="inlineStr">
        <is>
          <t>Showcooking corporate evento empresa BCN</t>
        </is>
      </c>
      <c r="C10" s="15" t="n">
        <v>60</v>
      </c>
      <c r="D10" s="16" t="inlineStr">
        <is>
          <t>Showcooking premium catering</t>
        </is>
      </c>
      <c r="E10" s="15" t="inlineStr">
        <is>
          <t>B2B</t>
        </is>
      </c>
      <c r="F10" s="15" t="n">
        <v>30</v>
      </c>
      <c r="G10" s="17" t="n">
        <v>4850</v>
      </c>
      <c r="H10" s="17" t="n">
        <v>80.83</v>
      </c>
    </row>
    <row r="11">
      <c r="A11" s="15" t="n">
        <v>7</v>
      </c>
      <c r="B11" s="16" t="inlineStr">
        <is>
          <t>Cena ensayo pre-boda finca Toledo</t>
        </is>
      </c>
      <c r="C11" s="15" t="n">
        <v>18</v>
      </c>
      <c r="D11" s="16" t="inlineStr">
        <is>
          <t>Cena íntima premium</t>
        </is>
      </c>
      <c r="E11" s="15" t="inlineStr">
        <is>
          <t>B2B</t>
        </is>
      </c>
      <c r="F11" s="15" t="n">
        <v>75</v>
      </c>
      <c r="G11" s="17" t="n">
        <v>2250</v>
      </c>
      <c r="H11" s="17" t="n">
        <v>125</v>
      </c>
    </row>
    <row r="12">
      <c r="A12" s="15" t="n">
        <v>8</v>
      </c>
      <c r="B12" s="16" t="inlineStr">
        <is>
          <t>Cooking class team-building agencia 12 pax</t>
        </is>
      </c>
      <c r="C12" s="15" t="n">
        <v>12</v>
      </c>
      <c r="D12" s="16" t="inlineStr">
        <is>
          <t>Cooking Class premium</t>
        </is>
      </c>
      <c r="E12" s="15" t="inlineStr">
        <is>
          <t>B2B</t>
        </is>
      </c>
      <c r="F12" s="15" t="n">
        <v>15</v>
      </c>
      <c r="G12" s="17" t="n">
        <v>1650</v>
      </c>
      <c r="H12" s="17" t="n">
        <v>137.5</v>
      </c>
    </row>
    <row r="13">
      <c r="A13" s="15" t="n">
        <v>9</v>
      </c>
      <c r="B13" s="16" t="inlineStr">
        <is>
          <t>Cena exclusiva hotel boutique 5* in-suite</t>
        </is>
      </c>
      <c r="C13" s="15" t="n">
        <v>6</v>
      </c>
      <c r="D13" s="16" t="inlineStr">
        <is>
          <t>Cena exclusiva caviar/trufa</t>
        </is>
      </c>
      <c r="E13" s="15" t="inlineStr">
        <is>
          <t>B2B</t>
        </is>
      </c>
      <c r="F13" s="15" t="n">
        <v>8</v>
      </c>
      <c r="G13" s="17" t="n">
        <v>1980</v>
      </c>
      <c r="H13" s="17" t="n">
        <v>330</v>
      </c>
    </row>
    <row r="14">
      <c r="A14" s="15" t="n">
        <v>10</v>
      </c>
      <c r="B14" s="16" t="inlineStr">
        <is>
          <t>Showcooking lanzamiento producto cliente VIP</t>
        </is>
      </c>
      <c r="C14" s="15" t="n">
        <v>25</v>
      </c>
      <c r="D14" s="16" t="inlineStr">
        <is>
          <t>Showcooking exclusivo branded</t>
        </is>
      </c>
      <c r="E14" s="15" t="inlineStr">
        <is>
          <t>B2B</t>
        </is>
      </c>
      <c r="F14" s="15" t="n">
        <v>10</v>
      </c>
      <c r="G14" s="17" t="n">
        <v>3450</v>
      </c>
      <c r="H14" s="17" t="n">
        <v>138</v>
      </c>
    </row>
  </sheetData>
  <mergeCells count="2">
    <mergeCell ref="A2:J2"/>
    <mergeCell ref="A1:J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Calculadora Pricing — Chef Privado / Showcooking · Plan de Negocio &amp; Kit de Chef Privado / Showcooking a Domicilio</dc:title>
  <dc:description xmlns:dc="http://purl.org/dc/elements/1.1/">aichef.pro/plan-chef-privado-showcooking-eventos</dc:description>
  <dc:subject xmlns:dc="http://purl.org/dc/elements/1.1/">Plan de Negocio &amp; Kit de Chef Privado / Showcooking a Domicilio · v1.1</dc:subject>
  <dcterms:created xmlns:dcterms="http://purl.org/dc/terms/" xmlns:xsi="http://www.w3.org/2001/XMLSchema-instance" xsi:type="dcterms:W3CDTF">2026-04-28T10:48:41Z</dcterms:created>
  <dcterms:modified xmlns:dcterms="http://purl.org/dc/terms/" xmlns:xsi="http://www.w3.org/2001/XMLSchema-instance" xsi:type="dcterms:W3CDTF">2026-08-22T09:13:04Z</dcterms:modified>
  <cp:lastModifiedBy>AI Chef Pro</cp:lastModifiedBy>
  <cp:category>AI Chef Pro · Productos digitales</cp:category>
  <cp:keywords>plan chef privado showcooking eventos, AI Chef Pro</cp:keywords>
</cp:coreProperties>
</file>