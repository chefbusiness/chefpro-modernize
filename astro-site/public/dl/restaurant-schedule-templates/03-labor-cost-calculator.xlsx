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yroll" sheetId="2" state="visible" r:id="rId2"/>
    <sheet xmlns:r="http://schemas.openxmlformats.org/officeDocument/2006/relationships" name="Labor Cost Ratio" sheetId="3" state="visible" r:id="rId3"/>
    <sheet xmlns:r="http://schemas.openxmlformats.org/officeDocument/2006/relationships" name="Staffing Forecast" sheetId="4" state="visible" r:id="rId4"/>
  </sheets>
  <definedNames>
    <definedName name="_xlnm.Print_Area" localSheetId="0">'Instructions'!$A$1:$B$36</definedName>
    <definedName name="_xlnm.Print_Titles" localSheetId="1">'Payroll'!$4:$4</definedName>
    <definedName name="_xlnm.Print_Area" localSheetId="1">'Payroll'!$A$1:$I$37</definedName>
    <definedName name="_xlnm.Print_Titles" localSheetId="2">'Labor Cost Ratio'!$17:$17</definedName>
    <definedName name="_xlnm.Print_Area" localSheetId="2">'Labor Cost Ratio'!$A$1:$E$32</definedName>
    <definedName name="_xlnm.Print_Area" localSheetId="3">'Staffing Forecast'!$A$1:$E$26</definedName>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
    <numFmt numFmtId="167" formatCode="#,##0.00;@"/>
  </numFmts>
  <fonts count="20">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b val="1"/>
      <color rgb="001565C0"/>
      <sz val="11"/>
    </font>
    <font>
      <name val="Calibri"/>
      <b val="1"/>
      <sz val="11"/>
    </font>
    <font>
      <name val="Calibri"/>
      <color rgb="00999999"/>
      <sz val="9"/>
    </font>
    <font>
      <name val="Calibri"/>
      <b val="1"/>
      <color rgb="00FFD700"/>
      <sz val="12"/>
    </font>
    <font>
      <b val="1"/>
    </font>
    <font>
      <b val="1"/>
      <color rgb="00FFFFFF"/>
      <sz val="10"/>
    </font>
    <font>
      <color rgb="00888888"/>
      <sz val="8"/>
    </font>
    <font>
      <i val="1"/>
      <sz val="9"/>
    </font>
    <font>
      <b val="1"/>
      <sz val="14"/>
    </font>
    <font>
      <b val="1"/>
      <sz val="11"/>
    </font>
    <font>
      <b val="1"/>
      <sz val="10"/>
    </font>
    <font>
      <b val="1"/>
      <sz val="13"/>
    </font>
  </fonts>
  <fills count="7">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
      <patternFill patternType="solid">
        <fgColor rgb="002D2D2D"/>
      </patternFill>
    </fill>
    <fill>
      <patternFill patternType="solid">
        <fgColor rgb="00ECEFF1"/>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pivotButton="0" quotePrefix="0" xfId="0"/>
    <xf numFmtId="164" fontId="7" fillId="3" borderId="1" pivotButton="0" quotePrefix="0" xfId="0"/>
    <xf numFmtId="164" fontId="8" fillId="0" borderId="1" pivotButton="0" quotePrefix="0" xfId="0"/>
    <xf numFmtId="0" fontId="9" fillId="0" borderId="1" pivotButton="0" quotePrefix="0" xfId="0"/>
    <xf numFmtId="0" fontId="10" fillId="0" borderId="0" pivotButton="0" quotePrefix="0" xfId="0"/>
    <xf numFmtId="4" fontId="0" fillId="3" borderId="1" pivotButton="0" quotePrefix="0" xfId="0"/>
    <xf numFmtId="4" fontId="8" fillId="0" borderId="1" pivotButton="0" quotePrefix="0" xfId="0"/>
    <xf numFmtId="0" fontId="11" fillId="0" borderId="0" pivotButton="0" quotePrefix="0" xfId="0"/>
    <xf numFmtId="0" fontId="7" fillId="0" borderId="1" pivotButton="0" quotePrefix="0" xfId="0"/>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pivotButton="0" quotePrefix="0" xfId="0"/>
    <xf numFmtId="0" fontId="19"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165" fontId="0" fillId="4" borderId="0" applyProtection="1" pivotButton="0" quotePrefix="0" xfId="0">
      <protection locked="0" hidden="0"/>
    </xf>
    <xf numFmtId="0" fontId="12" fillId="0" borderId="0" pivotButton="0" quotePrefix="0" xfId="0"/>
    <xf numFmtId="166" fontId="0" fillId="4" borderId="0" applyProtection="1" pivotButton="0" quotePrefix="0" xfId="0">
      <protection locked="0" hidden="0"/>
    </xf>
    <xf numFmtId="0" fontId="13" fillId="5" borderId="1" applyAlignment="1" pivotButton="0" quotePrefix="0" xfId="0">
      <alignment horizontal="center" vertical="center" wrapText="1"/>
    </xf>
    <xf numFmtId="0" fontId="13" fillId="5" borderId="0" applyAlignment="1" pivotButton="0" quotePrefix="0" xfId="0">
      <alignment horizontal="center" vertical="center" wrapText="1"/>
    </xf>
    <xf numFmtId="0" fontId="7" fillId="4" borderId="1" applyProtection="1" pivotButton="0" quotePrefix="0" xfId="0">
      <protection locked="0" hidden="0"/>
    </xf>
    <xf numFmtId="167" fontId="7" fillId="4" borderId="1" applyProtection="1" pivotButton="0" quotePrefix="0" xfId="0">
      <protection locked="0" hidden="0"/>
    </xf>
    <xf numFmtId="1" fontId="8" fillId="4" borderId="1" applyProtection="1" pivotButton="0" quotePrefix="0" xfId="0">
      <protection locked="0" hidden="0"/>
    </xf>
    <xf numFmtId="167" fontId="8" fillId="0" borderId="1" pivotButton="0" quotePrefix="0" xfId="0"/>
    <xf numFmtId="167" fontId="7" fillId="0" borderId="1" pivotButton="0" quotePrefix="0" xfId="0"/>
    <xf numFmtId="167" fontId="0" fillId="0" borderId="0" pivotButton="0" quotePrefix="0" xfId="0"/>
    <xf numFmtId="2" fontId="0" fillId="4" borderId="0" applyProtection="1" pivotButton="0" quotePrefix="0" xfId="0">
      <protection locked="0" hidden="0"/>
    </xf>
    <xf numFmtId="0" fontId="12" fillId="6" borderId="1" pivotButton="0" quotePrefix="0" xfId="0"/>
    <xf numFmtId="167" fontId="8" fillId="6" borderId="1" pivotButton="0" quotePrefix="0" xfId="0"/>
    <xf numFmtId="164" fontId="8" fillId="6" borderId="1" pivotButton="0" quotePrefix="0" xfId="0"/>
    <xf numFmtId="167" fontId="0" fillId="6" borderId="0" pivotButton="0" quotePrefix="0" xfId="0"/>
    <xf numFmtId="2" fontId="0" fillId="6" borderId="0" pivotButton="0" quotePrefix="0" xfId="0"/>
    <xf numFmtId="0" fontId="14" fillId="0" borderId="0" applyAlignment="1" pivotButton="0" quotePrefix="0" xfId="0">
      <alignment horizontal="center"/>
    </xf>
    <xf numFmtId="0" fontId="0" fillId="4" borderId="0" applyProtection="1" pivotButton="0" quotePrefix="0" xfId="0">
      <protection locked="0" hidden="0"/>
    </xf>
    <xf numFmtId="167" fontId="0" fillId="4" borderId="1" applyProtection="1" pivotButton="0" quotePrefix="0" xfId="0">
      <protection locked="0" hidden="0"/>
    </xf>
    <xf numFmtId="167" fontId="8" fillId="4" borderId="1" applyProtection="1" pivotButton="0" quotePrefix="0" xfId="0">
      <protection locked="0" hidden="0"/>
    </xf>
    <xf numFmtId="0" fontId="12" fillId="0" borderId="1" pivotButton="0" quotePrefix="0" xfId="0"/>
    <xf numFmtId="167" fontId="12" fillId="0" borderId="1" pivotButton="0" quotePrefix="0" xfId="0"/>
    <xf numFmtId="165" fontId="0" fillId="0" borderId="0" pivotButton="0" quotePrefix="0" xfId="0"/>
    <xf numFmtId="0" fontId="12" fillId="0" borderId="1" applyAlignment="1" pivotButton="0" quotePrefix="0" xfId="0">
      <alignment horizontal="center" vertical="center" wrapText="1"/>
    </xf>
    <xf numFmtId="0" fontId="6" fillId="0" borderId="1" applyAlignment="1" pivotButton="0" quotePrefix="0" xfId="0">
      <alignment vertical="center"/>
    </xf>
    <xf numFmtId="0" fontId="0" fillId="0" borderId="4" pivotButton="0" quotePrefix="0" xfId="0"/>
    <xf numFmtId="0" fontId="0" fillId="0" borderId="5" pivotButton="0" quotePrefix="0" xfId="0"/>
    <xf numFmtId="0" fontId="15" fillId="0" borderId="1" applyAlignment="1" pivotButton="0" quotePrefix="0" xfId="0">
      <alignment vertical="top" wrapText="1"/>
    </xf>
    <xf numFmtId="0" fontId="15" fillId="0" borderId="0" applyAlignment="1" pivotButton="0" quotePrefix="0" xfId="0">
      <alignment vertical="top" wrapText="1"/>
    </xf>
    <xf numFmtId="0" fontId="16" fillId="0" borderId="0" pivotButton="0" quotePrefix="0" xfId="0"/>
    <xf numFmtId="0" fontId="17" fillId="6" borderId="0" pivotButton="0" quotePrefix="0" xfId="0"/>
    <xf numFmtId="0" fontId="0" fillId="6" borderId="0" pivotButton="0" quotePrefix="0" xfId="0"/>
    <xf numFmtId="1" fontId="7" fillId="4" borderId="1" applyProtection="1" pivotButton="0" quotePrefix="0" xfId="0">
      <protection locked="0" hidden="0"/>
    </xf>
    <xf numFmtId="1" fontId="7" fillId="0" borderId="1" pivotButton="0" quotePrefix="0" xfId="0"/>
    <xf numFmtId="0" fontId="15" fillId="0" borderId="0" pivotButton="0" quotePrefix="0" xfId="0"/>
    <xf numFmtId="1" fontId="0" fillId="4" borderId="0" applyProtection="1" pivotButton="0" quotePrefix="0" xfId="0">
      <protection locked="0" hidden="0"/>
    </xf>
    <xf numFmtId="1" fontId="8" fillId="4" borderId="1" applyAlignment="1" applyProtection="1" pivotButton="0" quotePrefix="0" xfId="0">
      <alignment horizontal="center" vertical="center" wrapText="1"/>
      <protection locked="0" hidden="0"/>
    </xf>
    <xf numFmtId="2" fontId="8" fillId="4" borderId="1" applyAlignment="1" applyProtection="1" pivotButton="0" quotePrefix="0" xfId="0">
      <alignment horizontal="center" vertical="center" wrapText="1"/>
      <protection locked="0" hidden="0"/>
    </xf>
    <xf numFmtId="167" fontId="0" fillId="4" borderId="0" applyProtection="1" pivotButton="0" quotePrefix="0" xfId="0">
      <protection locked="0" hidden="0"/>
    </xf>
    <xf numFmtId="165" fontId="8" fillId="4" borderId="1" applyProtection="1" pivotButton="0" quotePrefix="0" xfId="0">
      <protection locked="0" hidden="0"/>
    </xf>
    <xf numFmtId="0" fontId="18" fillId="6" borderId="0" applyAlignment="1" pivotButton="0" quotePrefix="0" xfId="0">
      <alignment horizontal="center"/>
    </xf>
    <xf numFmtId="1" fontId="0" fillId="0" borderId="0" pivotButton="0" quotePrefix="0" xfId="0"/>
    <xf numFmtId="4" fontId="7" fillId="4" borderId="1" applyProtection="1" pivotButton="0" quotePrefix="0" xfId="0">
      <protection locked="0" hidden="0"/>
    </xf>
    <xf numFmtId="4" fontId="7" fillId="0" borderId="1" pivotButton="0" quotePrefix="0" xfId="0"/>
    <xf numFmtId="4" fontId="0" fillId="0" borderId="0" pivotButton="0" quotePrefix="0" xfId="0"/>
    <xf numFmtId="4" fontId="8" fillId="6" borderId="1" pivotButton="0" quotePrefix="0" xfId="0"/>
    <xf numFmtId="4" fontId="0" fillId="6" borderId="0" pivotButton="0" quotePrefix="0" xfId="0"/>
    <xf numFmtId="4" fontId="0" fillId="4" borderId="1" applyProtection="1" pivotButton="0" quotePrefix="0" xfId="0">
      <protection locked="0" hidden="0"/>
    </xf>
    <xf numFmtId="4" fontId="8" fillId="4" borderId="1" applyProtection="1" pivotButton="0" quotePrefix="0" xfId="0">
      <protection locked="0" hidden="0"/>
    </xf>
    <xf numFmtId="4" fontId="12" fillId="0" borderId="1" pivotButton="0" quotePrefix="0" xfId="0"/>
    <xf numFmtId="4" fontId="0" fillId="4"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6"/>
  <sheetViews>
    <sheetView workbookViewId="0">
      <selection activeCell="A1" sqref="A1"/>
    </sheetView>
  </sheetViews>
  <sheetFormatPr baseColWidth="8" defaultRowHeight="15"/>
  <cols>
    <col width="3" customWidth="1" min="1" max="1"/>
    <col width="80" customWidth="1" min="2" max="2"/>
  </cols>
  <sheetData>
    <row r="2">
      <c r="B2" s="19" t="inlineStr">
        <is>
          <t>03 · Restaurant Labor Cost Calculator (Payroll &amp; Labor %)</t>
        </is>
      </c>
    </row>
    <row r="4">
      <c r="B4" s="20" t="inlineStr">
        <is>
          <t>How to use this template:</t>
        </is>
      </c>
    </row>
    <row r="5">
      <c r="B5" s="21" t="inlineStr">
        <is>
          <t>▸ Enter your team in the "Payroll" tab: gross pay per pay period, number of pay periods per year and scheduled hours per week. The rest is calculated.</t>
        </is>
      </c>
    </row>
    <row r="6">
      <c r="B6" s="21" t="inlineStr">
        <is>
          <t>▸ Employer payroll taxes &amp; insurance live in ONE green cell (C2 of "Payroll"), not inside the formulas. It ships at 10% as an ESTIMATE: Social Security and Medicare (FICA, 7.65%) plus federal and state unemployment (FUTA, SUTA) and workers' comp. Adjust it to your state and insurer. UK: employer National Insurance 15% above 5,000 a year, plus about 3% pension.</t>
        </is>
      </c>
    </row>
    <row r="7">
      <c r="B7" s="21" t="inlineStr">
        <is>
          <t>▸ Pay periods change the math: 1,400 gross every two weeks is 26 payments a year, about 3,033 a month, not 2,800. The "Gross pay per month" column is the one to look at when you budget.</t>
        </is>
      </c>
    </row>
    <row r="8">
      <c r="B8" s="21" t="inlineStr">
        <is>
          <t>▸ The "Cost per hour worked" column is the number to carry to the hourly rate of file 02 (Overtime Tracker &amp; Time Log (FLSA 40-Hour Week)): it is the real employer cost, not the plain hourly wage. It divides by the WEEKS ACTUALLY WORKED (green cell F2, 50 by default; UK about 46.4), not by the 52 of the calendar: paid time off and holidays are paid but not worked, so with 52 the cost per hour comes out about 4% short.</t>
        </is>
      </c>
    </row>
    <row r="9">
      <c r="B9" s="22" t="inlineStr">
        <is>
          <t>▸ In "Labor Cost Ratio", the month's cost is NOT just payroll: there are three green cells for the month's overtime (the total of the cost column in file 02 (Overtime Tracker &amp; Time Log (FLSA 40-Hour Week))), agency / temp staff and other staff costs. Without them the ratio comes out below the real one and the traffic light approves too easily.</t>
        </is>
      </c>
    </row>
    <row r="10">
      <c r="B10" s="20" t="inlineStr">
        <is>
          <t>▸ The "Labor Cost Ratio" tab compares that cost with your net sales for the month and judges it against the thresholds of YOUR concept, chosen in green cell B3.</t>
        </is>
      </c>
    </row>
    <row r="11">
      <c r="B11" s="21" t="inlineStr">
        <is>
          <t>▸ The "Staffing Forecast" tab sizes the team the other way round: from covers per service to the full-time staff needed.</t>
        </is>
      </c>
    </row>
    <row r="12">
      <c r="B12" s="3" t="n"/>
    </row>
    <row r="13">
      <c r="B13" s="21" t="inlineStr">
        <is>
          <t>Why the labor cost traffic light works the way it does:</t>
        </is>
      </c>
    </row>
    <row r="14">
      <c r="B14" s="21" t="inlineStr">
        <is>
          <t>▸ The traffic light does not say "EXCELLENT" on a blank sheet: with no sales AND no cost there is no verdict, and it tells you which of the two is missing. It does not congratulate an absurdly LOW ratio either: below 60% of your target it warns that payroll is probably still to be entered.</t>
        </is>
      </c>
    </row>
    <row r="15">
      <c r="B15" s="22" t="inlineStr">
        <is>
          <t>▸ It does not fail fine dining: a fine dining restaurant at 38% is where it should be, and a fast casual at 38% is losing money. Both thresholds come from the reference table on that same sheet, which has all TEN concepts of BONUS-02 — hotel, pizzeria, ghost kitchen and ice cream shop included — with the same thresholds: the two files cannot give different verdicts on the same ratio.</t>
        </is>
      </c>
    </row>
    <row r="16">
      <c r="B16" s="20" t="inlineStr">
        <is>
          <t>▸ The staffing forecast reasons per SERVICE. Eighty covers a day in two services are forty per service: sizing the shift with the eighty would double the team.</t>
        </is>
      </c>
    </row>
    <row r="17">
      <c r="B17" s="3" t="n"/>
    </row>
    <row r="18">
      <c r="B18" s="21" t="inlineStr">
        <is>
          <t>Note: this is a management tool, not payroll processing. Your actual employer taxes depend on your state, your insurer and your unemployment rate. Check with your payroll provider or accountant before you commit to anything.</t>
        </is>
      </c>
    </row>
    <row r="19">
      <c r="B19" s="3" t="n"/>
    </row>
    <row r="21">
      <c r="B21" s="3" t="n"/>
    </row>
    <row r="34">
      <c r="B34" s="22" t="inlineStr">
        <is>
          <t>To edit a locked cell: Review → Unprotect Sheet (no password). Green cells are already editable without unprotecting anything.</t>
        </is>
      </c>
    </row>
    <row r="35">
      <c r="B35" s="22" t="inlineStr">
        <is>
          <t>Designed by John Guerrero — chef and restaurant consultant since 2010, in professional kitchens since age 17 · johnguerrero.es</t>
        </is>
      </c>
    </row>
    <row r="36">
      <c r="B36" s="22" t="inlineStr">
        <is>
          <t>Version 2.0 · October 2026 · aichef.pro/en/digital-products/restaurant-schedule-templates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2E7D32"/>
    <outlinePr summaryBelow="1" summaryRight="1"/>
    <pageSetUpPr fitToPage="1"/>
  </sheetPr>
  <dimension ref="A1:I3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8" customWidth="1" min="3" max="3"/>
    <col width="14" customWidth="1" min="4" max="4"/>
    <col width="20" customWidth="1" min="5" max="5"/>
    <col width="20" customWidth="1" min="6" max="6"/>
    <col width="18" customWidth="1" min="7" max="7"/>
    <col width="20" customWidth="1" min="8" max="8"/>
    <col width="14" customWidth="1" min="9" max="9"/>
  </cols>
  <sheetData>
    <row r="1">
      <c r="A1" s="4" t="inlineStr">
        <is>
          <t>Payroll — Month: _______________</t>
        </is>
      </c>
    </row>
    <row r="2">
      <c r="A2" s="5" t="inlineStr">
        <is>
          <t>Employer payroll taxes &amp; insurance (%):</t>
        </is>
      </c>
      <c r="C2" s="23" t="n">
        <v>0.1</v>
      </c>
      <c r="D2" t="str">
        <f>"Each employee's total cost includes "&amp;TEXT($C$2,"0%")&amp;" employer payroll taxes &amp; insurance on top of gross pay (estimate: check yours)"</f>
        <v>Each employee's total cost includes 10% employer payroll taxes &amp; insurance on top of gross pay (estimate: check yours)</v>
      </c>
      <c r="E2" s="24" t="inlineStr">
        <is>
          <t>Weeks actually worked per year:</t>
        </is>
      </c>
      <c r="F2" s="25" t="n">
        <v>50</v>
      </c>
    </row>
    <row r="3">
      <c r="A3" t="inlineStr">
        <is>
          <t>AI Chef Pro · aichef.pro — Restaurant Staff Scheduling Kit Pro</t>
        </is>
      </c>
    </row>
    <row r="4">
      <c r="A4" s="26" t="inlineStr">
        <is>
          <t>Employee</t>
        </is>
      </c>
      <c r="B4" s="26" t="inlineStr">
        <is>
          <t>Position</t>
        </is>
      </c>
      <c r="C4" s="26" t="inlineStr">
        <is>
          <t>Gross pay per pay period</t>
        </is>
      </c>
      <c r="D4" s="26" t="inlineStr">
        <is>
          <t>Pay periods per year</t>
        </is>
      </c>
      <c r="E4" s="26" t="inlineStr">
        <is>
          <t>Gross pay per month</t>
        </is>
      </c>
      <c r="F4" s="26" t="inlineStr">
        <is>
          <t>Employer taxes &amp; insurance</t>
        </is>
      </c>
      <c r="G4" s="27" t="inlineStr">
        <is>
          <t>Total cost per month</t>
        </is>
      </c>
      <c r="H4" s="27" t="inlineStr">
        <is>
          <t>Scheduled hours per week</t>
        </is>
      </c>
      <c r="I4" s="27" t="inlineStr">
        <is>
          <t>Cost per hour worked</t>
        </is>
      </c>
    </row>
    <row r="5">
      <c r="A5" s="28" t="n"/>
      <c r="B5" s="28" t="n"/>
      <c r="C5" s="66" t="n"/>
      <c r="D5" s="30" t="n">
        <v>26</v>
      </c>
      <c r="E5" s="13">
        <f>IF(OR($C5="",$D5=""),"",ROUND($C5*$D5/12,2))</f>
        <v/>
      </c>
      <c r="F5" s="67">
        <f>IF($E5="","",ROUND($E5*$C$2,2))</f>
        <v/>
      </c>
      <c r="G5" s="68">
        <f>IF($E5="","",ROUND($E5+$F5,2))</f>
        <v/>
      </c>
      <c r="H5" s="34" t="n"/>
      <c r="I5" s="68">
        <f>IFERROR(IF(OR($G5="",$H5="",$H5=0,$F$2="",$F$2=0),"",ROUND($G5/($H5*$F$2/12),2)),"")</f>
        <v/>
      </c>
    </row>
    <row r="6">
      <c r="A6" s="28" t="n"/>
      <c r="B6" s="28" t="n"/>
      <c r="C6" s="66" t="n"/>
      <c r="D6" s="30" t="n">
        <v>26</v>
      </c>
      <c r="E6" s="13">
        <f>IF(OR($C6="",$D6=""),"",ROUND($C6*$D6/12,2))</f>
        <v/>
      </c>
      <c r="F6" s="67">
        <f>IF($E6="","",ROUND($E6*$C$2,2))</f>
        <v/>
      </c>
      <c r="G6" s="68">
        <f>IF($E6="","",ROUND($E6+$F6,2))</f>
        <v/>
      </c>
      <c r="H6" s="34" t="n"/>
      <c r="I6" s="68">
        <f>IFERROR(IF(OR($G6="",$H6="",$H6=0,$F$2="",$F$2=0),"",ROUND($G6/($H6*$F$2/12),2)),"")</f>
        <v/>
      </c>
    </row>
    <row r="7">
      <c r="A7" s="28" t="n"/>
      <c r="B7" s="28" t="n"/>
      <c r="C7" s="66" t="n"/>
      <c r="D7" s="30" t="n">
        <v>26</v>
      </c>
      <c r="E7" s="13">
        <f>IF(OR($C7="",$D7=""),"",ROUND($C7*$D7/12,2))</f>
        <v/>
      </c>
      <c r="F7" s="67">
        <f>IF($E7="","",ROUND($E7*$C$2,2))</f>
        <v/>
      </c>
      <c r="G7" s="68">
        <f>IF($E7="","",ROUND($E7+$F7,2))</f>
        <v/>
      </c>
      <c r="H7" s="34" t="n"/>
      <c r="I7" s="68">
        <f>IFERROR(IF(OR($G7="",$H7="",$H7=0,$F$2="",$F$2=0),"",ROUND($G7/($H7*$F$2/12),2)),"")</f>
        <v/>
      </c>
    </row>
    <row r="8">
      <c r="A8" s="28" t="n"/>
      <c r="B8" s="28" t="n"/>
      <c r="C8" s="66" t="n"/>
      <c r="D8" s="30" t="n">
        <v>26</v>
      </c>
      <c r="E8" s="13">
        <f>IF(OR($C8="",$D8=""),"",ROUND($C8*$D8/12,2))</f>
        <v/>
      </c>
      <c r="F8" s="67">
        <f>IF($E8="","",ROUND($E8*$C$2,2))</f>
        <v/>
      </c>
      <c r="G8" s="68">
        <f>IF($E8="","",ROUND($E8+$F8,2))</f>
        <v/>
      </c>
      <c r="H8" s="34" t="n"/>
      <c r="I8" s="68">
        <f>IFERROR(IF(OR($G8="",$H8="",$H8=0,$F$2="",$F$2=0),"",ROUND($G8/($H8*$F$2/12),2)),"")</f>
        <v/>
      </c>
    </row>
    <row r="9">
      <c r="A9" s="28" t="n"/>
      <c r="B9" s="28" t="n"/>
      <c r="C9" s="66" t="n"/>
      <c r="D9" s="30" t="n">
        <v>26</v>
      </c>
      <c r="E9" s="13">
        <f>IF(OR($C9="",$D9=""),"",ROUND($C9*$D9/12,2))</f>
        <v/>
      </c>
      <c r="F9" s="67">
        <f>IF($E9="","",ROUND($E9*$C$2,2))</f>
        <v/>
      </c>
      <c r="G9" s="68">
        <f>IF($E9="","",ROUND($E9+$F9,2))</f>
        <v/>
      </c>
      <c r="H9" s="34" t="n"/>
      <c r="I9" s="68">
        <f>IFERROR(IF(OR($G9="",$H9="",$H9=0,$F$2="",$F$2=0),"",ROUND($G9/($H9*$F$2/12),2)),"")</f>
        <v/>
      </c>
    </row>
    <row r="10">
      <c r="A10" s="28" t="n"/>
      <c r="B10" s="28" t="n"/>
      <c r="C10" s="66" t="n"/>
      <c r="D10" s="30" t="n">
        <v>26</v>
      </c>
      <c r="E10" s="13">
        <f>IF(OR($C10="",$D10=""),"",ROUND($C10*$D10/12,2))</f>
        <v/>
      </c>
      <c r="F10" s="67">
        <f>IF($E10="","",ROUND($E10*$C$2,2))</f>
        <v/>
      </c>
      <c r="G10" s="68">
        <f>IF($E10="","",ROUND($E10+$F10,2))</f>
        <v/>
      </c>
      <c r="H10" s="34" t="n"/>
      <c r="I10" s="68">
        <f>IFERROR(IF(OR($G10="",$H10="",$H10=0,$F$2="",$F$2=0),"",ROUND($G10/($H10*$F$2/12),2)),"")</f>
        <v/>
      </c>
    </row>
    <row r="11">
      <c r="A11" s="28" t="n"/>
      <c r="B11" s="28" t="n"/>
      <c r="C11" s="66" t="n"/>
      <c r="D11" s="30" t="n">
        <v>26</v>
      </c>
      <c r="E11" s="13">
        <f>IF(OR($C11="",$D11=""),"",ROUND($C11*$D11/12,2))</f>
        <v/>
      </c>
      <c r="F11" s="67">
        <f>IF($E11="","",ROUND($E11*$C$2,2))</f>
        <v/>
      </c>
      <c r="G11" s="68">
        <f>IF($E11="","",ROUND($E11+$F11,2))</f>
        <v/>
      </c>
      <c r="H11" s="34" t="n"/>
      <c r="I11" s="68">
        <f>IFERROR(IF(OR($G11="",$H11="",$H11=0,$F$2="",$F$2=0),"",ROUND($G11/($H11*$F$2/12),2)),"")</f>
        <v/>
      </c>
    </row>
    <row r="12">
      <c r="A12" s="28" t="n"/>
      <c r="B12" s="28" t="n"/>
      <c r="C12" s="66" t="n"/>
      <c r="D12" s="30" t="n">
        <v>26</v>
      </c>
      <c r="E12" s="13">
        <f>IF(OR($C12="",$D12=""),"",ROUND($C12*$D12/12,2))</f>
        <v/>
      </c>
      <c r="F12" s="67">
        <f>IF($E12="","",ROUND($E12*$C$2,2))</f>
        <v/>
      </c>
      <c r="G12" s="68">
        <f>IF($E12="","",ROUND($E12+$F12,2))</f>
        <v/>
      </c>
      <c r="H12" s="34" t="n"/>
      <c r="I12" s="68">
        <f>IFERROR(IF(OR($G12="",$H12="",$H12=0,$F$2="",$F$2=0),"",ROUND($G12/($H12*$F$2/12),2)),"")</f>
        <v/>
      </c>
    </row>
    <row r="13">
      <c r="A13" s="28" t="n"/>
      <c r="B13" s="28" t="n"/>
      <c r="C13" s="66" t="n"/>
      <c r="D13" s="30" t="n">
        <v>26</v>
      </c>
      <c r="E13" s="13">
        <f>IF(OR($C13="",$D13=""),"",ROUND($C13*$D13/12,2))</f>
        <v/>
      </c>
      <c r="F13" s="67">
        <f>IF($E13="","",ROUND($E13*$C$2,2))</f>
        <v/>
      </c>
      <c r="G13" s="68">
        <f>IF($E13="","",ROUND($E13+$F13,2))</f>
        <v/>
      </c>
      <c r="H13" s="34" t="n"/>
      <c r="I13" s="68">
        <f>IFERROR(IF(OR($G13="",$H13="",$H13=0,$F$2="",$F$2=0),"",ROUND($G13/($H13*$F$2/12),2)),"")</f>
        <v/>
      </c>
    </row>
    <row r="14">
      <c r="A14" s="28" t="n"/>
      <c r="B14" s="28" t="n"/>
      <c r="C14" s="66" t="n"/>
      <c r="D14" s="30" t="n">
        <v>26</v>
      </c>
      <c r="E14" s="13">
        <f>IF(OR($C14="",$D14=""),"",ROUND($C14*$D14/12,2))</f>
        <v/>
      </c>
      <c r="F14" s="67">
        <f>IF($E14="","",ROUND($E14*$C$2,2))</f>
        <v/>
      </c>
      <c r="G14" s="68">
        <f>IF($E14="","",ROUND($E14+$F14,2))</f>
        <v/>
      </c>
      <c r="H14" s="34" t="n"/>
      <c r="I14" s="68">
        <f>IFERROR(IF(OR($G14="",$H14="",$H14=0,$F$2="",$F$2=0),"",ROUND($G14/($H14*$F$2/12),2)),"")</f>
        <v/>
      </c>
    </row>
    <row r="15">
      <c r="A15" s="28" t="n"/>
      <c r="B15" s="28" t="n"/>
      <c r="C15" s="66" t="n"/>
      <c r="D15" s="30" t="n">
        <v>26</v>
      </c>
      <c r="E15" s="13">
        <f>IF(OR($C15="",$D15=""),"",ROUND($C15*$D15/12,2))</f>
        <v/>
      </c>
      <c r="F15" s="67">
        <f>IF($E15="","",ROUND($E15*$C$2,2))</f>
        <v/>
      </c>
      <c r="G15" s="68">
        <f>IF($E15="","",ROUND($E15+$F15,2))</f>
        <v/>
      </c>
      <c r="H15" s="34" t="n"/>
      <c r="I15" s="68">
        <f>IFERROR(IF(OR($G15="",$H15="",$H15=0,$F$2="",$F$2=0),"",ROUND($G15/($H15*$F$2/12),2)),"")</f>
        <v/>
      </c>
    </row>
    <row r="16">
      <c r="A16" s="28" t="n"/>
      <c r="B16" s="28" t="n"/>
      <c r="C16" s="66" t="n"/>
      <c r="D16" s="30" t="n">
        <v>26</v>
      </c>
      <c r="E16" s="13">
        <f>IF(OR($C16="",$D16=""),"",ROUND($C16*$D16/12,2))</f>
        <v/>
      </c>
      <c r="F16" s="67">
        <f>IF($E16="","",ROUND($E16*$C$2,2))</f>
        <v/>
      </c>
      <c r="G16" s="68">
        <f>IF($E16="","",ROUND($E16+$F16,2))</f>
        <v/>
      </c>
      <c r="H16" s="34" t="n"/>
      <c r="I16" s="68">
        <f>IFERROR(IF(OR($G16="",$H16="",$H16=0,$F$2="",$F$2=0),"",ROUND($G16/($H16*$F$2/12),2)),"")</f>
        <v/>
      </c>
    </row>
    <row r="17">
      <c r="A17" s="28" t="n"/>
      <c r="B17" s="28" t="n"/>
      <c r="C17" s="66" t="n"/>
      <c r="D17" s="30" t="n">
        <v>26</v>
      </c>
      <c r="E17" s="13">
        <f>IF(OR($C17="",$D17=""),"",ROUND($C17*$D17/12,2))</f>
        <v/>
      </c>
      <c r="F17" s="67">
        <f>IF($E17="","",ROUND($E17*$C$2,2))</f>
        <v/>
      </c>
      <c r="G17" s="68">
        <f>IF($E17="","",ROUND($E17+$F17,2))</f>
        <v/>
      </c>
      <c r="H17" s="34" t="n"/>
      <c r="I17" s="68">
        <f>IFERROR(IF(OR($G17="",$H17="",$H17=0,$F$2="",$F$2=0),"",ROUND($G17/($H17*$F$2/12),2)),"")</f>
        <v/>
      </c>
    </row>
    <row r="18">
      <c r="A18" s="28" t="n"/>
      <c r="B18" s="28" t="n"/>
      <c r="C18" s="66" t="n"/>
      <c r="D18" s="30" t="n">
        <v>26</v>
      </c>
      <c r="E18" s="13">
        <f>IF(OR($C18="",$D18=""),"",ROUND($C18*$D18/12,2))</f>
        <v/>
      </c>
      <c r="F18" s="67">
        <f>IF($E18="","",ROUND($E18*$C$2,2))</f>
        <v/>
      </c>
      <c r="G18" s="68">
        <f>IF($E18="","",ROUND($E18+$F18,2))</f>
        <v/>
      </c>
      <c r="H18" s="34" t="n"/>
      <c r="I18" s="68">
        <f>IFERROR(IF(OR($G18="",$H18="",$H18=0,$F$2="",$F$2=0),"",ROUND($G18/($H18*$F$2/12),2)),"")</f>
        <v/>
      </c>
    </row>
    <row r="19">
      <c r="A19" s="28" t="n"/>
      <c r="B19" s="28" t="n"/>
      <c r="C19" s="66" t="n"/>
      <c r="D19" s="30" t="n">
        <v>26</v>
      </c>
      <c r="E19" s="13">
        <f>IF(OR($C19="",$D19=""),"",ROUND($C19*$D19/12,2))</f>
        <v/>
      </c>
      <c r="F19" s="67">
        <f>IF($E19="","",ROUND($E19*$C$2,2))</f>
        <v/>
      </c>
      <c r="G19" s="68">
        <f>IF($E19="","",ROUND($E19+$F19,2))</f>
        <v/>
      </c>
      <c r="H19" s="34" t="n"/>
      <c r="I19" s="68">
        <f>IFERROR(IF(OR($G19="",$H19="",$H19=0,$F$2="",$F$2=0),"",ROUND($G19/($H19*$F$2/12),2)),"")</f>
        <v/>
      </c>
    </row>
    <row r="20">
      <c r="A20" s="28" t="n"/>
      <c r="B20" s="28" t="n"/>
      <c r="C20" s="66" t="n"/>
      <c r="D20" s="30" t="n">
        <v>26</v>
      </c>
      <c r="E20" s="13">
        <f>IF(OR($C20="",$D20=""),"",ROUND($C20*$D20/12,2))</f>
        <v/>
      </c>
      <c r="F20" s="67">
        <f>IF($E20="","",ROUND($E20*$C$2,2))</f>
        <v/>
      </c>
      <c r="G20" s="68">
        <f>IF($E20="","",ROUND($E20+$F20,2))</f>
        <v/>
      </c>
      <c r="H20" s="34" t="n"/>
      <c r="I20" s="68">
        <f>IFERROR(IF(OR($G20="",$H20="",$H20=0,$F$2="",$F$2=0),"",ROUND($G20/($H20*$F$2/12),2)),"")</f>
        <v/>
      </c>
    </row>
    <row r="21">
      <c r="A21" s="28" t="n"/>
      <c r="B21" s="28" t="n"/>
      <c r="C21" s="66" t="n"/>
      <c r="D21" s="30" t="n">
        <v>26</v>
      </c>
      <c r="E21" s="13">
        <f>IF(OR($C21="",$D21=""),"",ROUND($C21*$D21/12,2))</f>
        <v/>
      </c>
      <c r="F21" s="67">
        <f>IF($E21="","",ROUND($E21*$C$2,2))</f>
        <v/>
      </c>
      <c r="G21" s="68">
        <f>IF($E21="","",ROUND($E21+$F21,2))</f>
        <v/>
      </c>
      <c r="H21" s="34" t="n"/>
      <c r="I21" s="68">
        <f>IFERROR(IF(OR($G21="",$H21="",$H21=0,$F$2="",$F$2=0),"",ROUND($G21/($H21*$F$2/12),2)),"")</f>
        <v/>
      </c>
    </row>
    <row r="22">
      <c r="A22" s="28" t="n"/>
      <c r="B22" s="28" t="n"/>
      <c r="C22" s="66" t="n"/>
      <c r="D22" s="30" t="n">
        <v>26</v>
      </c>
      <c r="E22" s="13">
        <f>IF(OR($C22="",$D22=""),"",ROUND($C22*$D22/12,2))</f>
        <v/>
      </c>
      <c r="F22" s="67">
        <f>IF($E22="","",ROUND($E22*$C$2,2))</f>
        <v/>
      </c>
      <c r="G22" s="68">
        <f>IF($E22="","",ROUND($E22+$F22,2))</f>
        <v/>
      </c>
      <c r="H22" s="34" t="n"/>
      <c r="I22" s="68">
        <f>IFERROR(IF(OR($G22="",$H22="",$H22=0,$F$2="",$F$2=0),"",ROUND($G22/($H22*$F$2/12),2)),"")</f>
        <v/>
      </c>
    </row>
    <row r="23">
      <c r="A23" s="28" t="n"/>
      <c r="B23" s="28" t="n"/>
      <c r="C23" s="66" t="n"/>
      <c r="D23" s="30" t="n">
        <v>26</v>
      </c>
      <c r="E23" s="13">
        <f>IF(OR($C23="",$D23=""),"",ROUND($C23*$D23/12,2))</f>
        <v/>
      </c>
      <c r="F23" s="67">
        <f>IF($E23="","",ROUND($E23*$C$2,2))</f>
        <v/>
      </c>
      <c r="G23" s="68">
        <f>IF($E23="","",ROUND($E23+$F23,2))</f>
        <v/>
      </c>
      <c r="H23" s="34" t="n"/>
      <c r="I23" s="68">
        <f>IFERROR(IF(OR($G23="",$H23="",$H23=0,$F$2="",$F$2=0),"",ROUND($G23/($H23*$F$2/12),2)),"")</f>
        <v/>
      </c>
    </row>
    <row r="24">
      <c r="A24" s="28" t="n"/>
      <c r="B24" s="28" t="n"/>
      <c r="C24" s="66" t="n"/>
      <c r="D24" s="30" t="n">
        <v>26</v>
      </c>
      <c r="E24" s="13">
        <f>IF(OR($C24="",$D24=""),"",ROUND($C24*$D24/12,2))</f>
        <v/>
      </c>
      <c r="F24" s="67">
        <f>IF($E24="","",ROUND($E24*$C$2,2))</f>
        <v/>
      </c>
      <c r="G24" s="68">
        <f>IF($E24="","",ROUND($E24+$F24,2))</f>
        <v/>
      </c>
      <c r="H24" s="34" t="n"/>
      <c r="I24" s="68">
        <f>IFERROR(IF(OR($G24="",$H24="",$H24=0,$F$2="",$F$2=0),"",ROUND($G24/($H24*$F$2/12),2)),"")</f>
        <v/>
      </c>
    </row>
    <row r="25">
      <c r="A25" s="28" t="n"/>
      <c r="B25" s="28" t="n"/>
      <c r="C25" s="66" t="n"/>
      <c r="D25" s="30" t="n">
        <v>26</v>
      </c>
      <c r="E25" s="13">
        <f>IF(OR($C25="",$D25=""),"",ROUND($C25*$D25/12,2))</f>
        <v/>
      </c>
      <c r="F25" s="67">
        <f>IF($E25="","",ROUND($E25*$C$2,2))</f>
        <v/>
      </c>
      <c r="G25" s="68">
        <f>IF($E25="","",ROUND($E25+$F25,2))</f>
        <v/>
      </c>
      <c r="H25" s="34" t="n"/>
      <c r="I25" s="68">
        <f>IFERROR(IF(OR($G25="",$H25="",$H25=0,$F$2="",$F$2=0),"",ROUND($G25/($H25*$F$2/12),2)),"")</f>
        <v/>
      </c>
    </row>
    <row r="26">
      <c r="A26" s="28" t="n"/>
      <c r="B26" s="28" t="n"/>
      <c r="C26" s="66" t="n"/>
      <c r="D26" s="30" t="n">
        <v>26</v>
      </c>
      <c r="E26" s="13">
        <f>IF(OR($C26="",$D26=""),"",ROUND($C26*$D26/12,2))</f>
        <v/>
      </c>
      <c r="F26" s="67">
        <f>IF($E26="","",ROUND($E26*$C$2,2))</f>
        <v/>
      </c>
      <c r="G26" s="68">
        <f>IF($E26="","",ROUND($E26+$F26,2))</f>
        <v/>
      </c>
      <c r="H26" s="34" t="n"/>
      <c r="I26" s="68">
        <f>IFERROR(IF(OR($G26="",$H26="",$H26=0,$F$2="",$F$2=0),"",ROUND($G26/($H26*$F$2/12),2)),"")</f>
        <v/>
      </c>
    </row>
    <row r="27">
      <c r="A27" s="28" t="n"/>
      <c r="B27" s="28" t="n"/>
      <c r="C27" s="66" t="n"/>
      <c r="D27" s="30" t="n">
        <v>26</v>
      </c>
      <c r="E27" s="13">
        <f>IF(OR($C27="",$D27=""),"",ROUND($C27*$D27/12,2))</f>
        <v/>
      </c>
      <c r="F27" s="67">
        <f>IF($E27="","",ROUND($E27*$C$2,2))</f>
        <v/>
      </c>
      <c r="G27" s="68">
        <f>IF($E27="","",ROUND($E27+$F27,2))</f>
        <v/>
      </c>
      <c r="H27" s="34" t="n"/>
      <c r="I27" s="68">
        <f>IFERROR(IF(OR($G27="",$H27="",$H27=0,$F$2="",$F$2=0),"",ROUND($G27/($H27*$F$2/12),2)),"")</f>
        <v/>
      </c>
    </row>
    <row r="28">
      <c r="A28" s="28" t="n"/>
      <c r="B28" s="28" t="n"/>
      <c r="C28" s="66" t="n"/>
      <c r="D28" s="30" t="n">
        <v>26</v>
      </c>
      <c r="E28" s="13">
        <f>IF(OR($C28="",$D28=""),"",ROUND($C28*$D28/12,2))</f>
        <v/>
      </c>
      <c r="F28" s="67">
        <f>IF($E28="","",ROUND($E28*$C$2,2))</f>
        <v/>
      </c>
      <c r="G28" s="68">
        <f>IF($E28="","",ROUND($E28+$F28,2))</f>
        <v/>
      </c>
      <c r="H28" s="34" t="n"/>
      <c r="I28" s="68">
        <f>IFERROR(IF(OR($G28="",$H28="",$H28=0,$F$2="",$F$2=0),"",ROUND($G28/($H28*$F$2/12),2)),"")</f>
        <v/>
      </c>
    </row>
    <row r="29">
      <c r="A29" s="28" t="n"/>
      <c r="B29" s="28" t="n"/>
      <c r="C29" s="66" t="n"/>
      <c r="D29" s="30" t="n">
        <v>26</v>
      </c>
      <c r="E29" s="13">
        <f>IF(OR($C29="",$D29=""),"",ROUND($C29*$D29/12,2))</f>
        <v/>
      </c>
      <c r="F29" s="67">
        <f>IF($E29="","",ROUND($E29*$C$2,2))</f>
        <v/>
      </c>
      <c r="G29" s="68">
        <f>IF($E29="","",ROUND($E29+$F29,2))</f>
        <v/>
      </c>
      <c r="H29" s="34" t="n"/>
      <c r="I29" s="68">
        <f>IFERROR(IF(OR($G29="",$H29="",$H29=0,$F$2="",$F$2=0),"",ROUND($G29/($H29*$F$2/12),2)),"")</f>
        <v/>
      </c>
    </row>
    <row r="30">
      <c r="A30" s="28" t="n"/>
      <c r="B30" s="28" t="n"/>
      <c r="C30" s="66" t="n"/>
      <c r="D30" s="30" t="n">
        <v>26</v>
      </c>
      <c r="E30" s="13">
        <f>IF(OR($C30="",$D30=""),"",ROUND($C30*$D30/12,2))</f>
        <v/>
      </c>
      <c r="F30" s="67">
        <f>IF($E30="","",ROUND($E30*$C$2,2))</f>
        <v/>
      </c>
      <c r="G30" s="68">
        <f>IF($E30="","",ROUND($E30+$F30,2))</f>
        <v/>
      </c>
      <c r="H30" s="34" t="n"/>
      <c r="I30" s="68">
        <f>IFERROR(IF(OR($G30="",$H30="",$H30=0,$F$2="",$F$2=0),"",ROUND($G30/($H30*$F$2/12),2)),"")</f>
        <v/>
      </c>
    </row>
    <row r="31">
      <c r="A31" s="28" t="n"/>
      <c r="B31" s="28" t="n"/>
      <c r="C31" s="66" t="n"/>
      <c r="D31" s="30" t="n">
        <v>26</v>
      </c>
      <c r="E31" s="13">
        <f>IF(OR($C31="",$D31=""),"",ROUND($C31*$D31/12,2))</f>
        <v/>
      </c>
      <c r="F31" s="67">
        <f>IF($E31="","",ROUND($E31*$C$2,2))</f>
        <v/>
      </c>
      <c r="G31" s="68">
        <f>IF($E31="","",ROUND($E31+$F31,2))</f>
        <v/>
      </c>
      <c r="H31" s="34" t="n"/>
      <c r="I31" s="68">
        <f>IFERROR(IF(OR($G31="",$H31="",$H31=0,$F$2="",$F$2=0),"",ROUND($G31/($H31*$F$2/12),2)),"")</f>
        <v/>
      </c>
    </row>
    <row r="32">
      <c r="A32" s="28" t="n"/>
      <c r="B32" s="28" t="n"/>
      <c r="C32" s="66" t="n"/>
      <c r="D32" s="30" t="n">
        <v>26</v>
      </c>
      <c r="E32" s="13">
        <f>IF(OR($C32="",$D32=""),"",ROUND($C32*$D32/12,2))</f>
        <v/>
      </c>
      <c r="F32" s="67">
        <f>IF($E32="","",ROUND($E32*$C$2,2))</f>
        <v/>
      </c>
      <c r="G32" s="68">
        <f>IF($E32="","",ROUND($E32+$F32,2))</f>
        <v/>
      </c>
      <c r="H32" s="34" t="n"/>
      <c r="I32" s="68">
        <f>IFERROR(IF(OR($G32="",$H32="",$H32=0,$F$2="",$F$2=0),"",ROUND($G32/($H32*$F$2/12),2)),"")</f>
        <v/>
      </c>
    </row>
    <row r="33">
      <c r="A33" s="28" t="n"/>
      <c r="B33" s="28" t="n"/>
      <c r="C33" s="66" t="n"/>
      <c r="D33" s="30" t="n">
        <v>26</v>
      </c>
      <c r="E33" s="13">
        <f>IF(OR($C33="",$D33=""),"",ROUND($C33*$D33/12,2))</f>
        <v/>
      </c>
      <c r="F33" s="67">
        <f>IF($E33="","",ROUND($E33*$C$2,2))</f>
        <v/>
      </c>
      <c r="G33" s="68">
        <f>IF($E33="","",ROUND($E33+$F33,2))</f>
        <v/>
      </c>
      <c r="H33" s="34" t="n"/>
      <c r="I33" s="68">
        <f>IFERROR(IF(OR($G33="",$H33="",$H33=0,$F$2="",$F$2=0),"",ROUND($G33/($H33*$F$2/12),2)),"")</f>
        <v/>
      </c>
    </row>
    <row r="34">
      <c r="A34" s="28" t="n"/>
      <c r="B34" s="28" t="n"/>
      <c r="C34" s="66" t="n"/>
      <c r="D34" s="30" t="n">
        <v>26</v>
      </c>
      <c r="E34" s="13">
        <f>IF(OR($C34="",$D34=""),"",ROUND($C34*$D34/12,2))</f>
        <v/>
      </c>
      <c r="F34" s="67">
        <f>IF($E34="","",ROUND($E34*$C$2,2))</f>
        <v/>
      </c>
      <c r="G34" s="68">
        <f>IF($E34="","",ROUND($E34+$F34,2))</f>
        <v/>
      </c>
      <c r="H34" s="34" t="n"/>
      <c r="I34" s="68">
        <f>IFERROR(IF(OR($G34="",$H34="",$H34=0,$F$2="",$F$2=0),"",ROUND($G34/($H34*$F$2/12),2)),"")</f>
        <v/>
      </c>
    </row>
    <row r="35">
      <c r="A35" s="35" t="inlineStr">
        <is>
          <t>TOTALS</t>
        </is>
      </c>
      <c r="C35" s="69">
        <f>SUM($C$5:$C$34)</f>
        <v>0.0</v>
      </c>
      <c r="D35" s="69" t="n"/>
      <c r="E35" s="69">
        <f>SUM($E$5:$E$34)</f>
        <v>0.0</v>
      </c>
      <c r="F35" s="70">
        <f>SUM($F$5:$F$34)</f>
        <v>0.0</v>
      </c>
      <c r="G35" s="70">
        <f>SUM($G$5:$G$34)</f>
        <v>0.0</v>
      </c>
      <c r="H35" s="39">
        <f>SUM($H$5:$H$34)</f>
        <v>0.0</v>
      </c>
      <c r="I35" s="70">
        <f>IFERROR(IF(OR($G$35="",$H$35=0,$F$2="",$F$2=0),"",ROUND($G$35/($H$35*$F$2/12),2)),"")</f>
        <v/>
      </c>
    </row>
    <row r="37">
      <c r="A37" s="4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I1"/>
    <mergeCell ref="A37:I37"/>
    <mergeCell ref="A3:I3"/>
  </mergeCells>
  <dataValidations count="3">
    <dataValidation sqref="C2" showDropDown="0" showInputMessage="1" showErrorMessage="0" allowBlank="0" promptTitle="kitgp-v2 · employer_tax_rate" prompt="Adjust to your state, insurer and unemployment rate. Estimate: about 10% = FICA 7.65% + FUTA/SUTA + workers' comp. UK: employer NI 15% above 5,000 a year + about 3% pension."/>
    <dataValidation sqref="F2" showDropDown="0" showInputMessage="1" showErrorMessage="1" allowBlank="1" errorTitle="Weeks worked per year" error="Type a number greater than zero." promptTitle="kitgp-v2b · Weeks per year" prompt="52 weeks MINUS paid time off and holidays (paid, not worked): about 50 with two weeks of PTO (UK: 46.4). It divides &quot;Cost per hour worked&quot;: with 52 that cost comes out about 4% short, and you carry it to the rate in file 02." type="decimal" errorStyle="stop" operator="greaterThan">
      <formula1>0</formula1>
    </dataValidation>
    <dataValidation sqref="D5:D34" showDropDown="0" showInputMessage="1" showErrorMessage="1" allowBlank="1" errorTitle="Invalid pay periods" error="52, 26, 24 or 12. Column E converts the gross pay per period to a monthly figure." promptTitle="kitgp-v2b · Invalid pay periods" prompt="26 = every two weeks (biweekly, the US norm) · 52 = weekly · 24 = twice a month · 12 = monthly. Column E converts to the REAL monthly cost: gross per period × periods per year ÷ 12." type="list" errorStyle="stop">
      <formula1>"52,26,24,12"</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1B5E20"/>
    <outlinePr summaryBelow="1" summaryRight="1"/>
    <pageSetUpPr fitToPage="1"/>
  </sheetPr>
  <dimension ref="A1:E30"/>
  <sheetViews>
    <sheetView workbookViewId="0">
      <pane ySplit="14" topLeftCell="A15" activePane="bottomLeft" state="frozen"/>
      <selection pane="bottomLeft" activeCell="A1" sqref="A1"/>
    </sheetView>
  </sheetViews>
  <sheetFormatPr baseColWidth="8" defaultRowHeight="15"/>
  <cols>
    <col width="40" customWidth="1" min="1" max="1"/>
    <col width="20" customWidth="1" min="2" max="2"/>
    <col width="26" customWidth="1" min="3" max="3"/>
    <col width="16" customWidth="1" min="4" max="4"/>
    <col width="16" customWidth="1" min="5" max="5"/>
  </cols>
  <sheetData>
    <row r="1">
      <c r="A1" s="4" t="inlineStr">
        <is>
          <t>Labor Cost Ratio vs Sales</t>
        </is>
      </c>
    </row>
    <row r="2">
      <c r="A2" s="5" t="inlineStr">
        <is>
          <t>AI Chef Pro · aichef.pro — Restaurant Staff Scheduling Kit Pro</t>
        </is>
      </c>
    </row>
    <row r="3">
      <c r="A3" t="inlineStr">
        <is>
          <t>Concept:</t>
        </is>
      </c>
      <c r="B3" s="41" t="n"/>
    </row>
    <row r="4">
      <c r="A4" s="10" t="inlineStr">
        <is>
          <t>Net sales for the month:</t>
        </is>
      </c>
      <c r="B4" s="71" t="n"/>
    </row>
    <row r="5">
      <c r="A5" s="10" t="inlineStr">
        <is>
          <t>Payroll for the month — comes from the "Payroll" tab:</t>
        </is>
      </c>
      <c r="B5" s="13">
        <f>Payroll!$G$35</f>
        <v>0.0</v>
      </c>
    </row>
    <row r="6">
      <c r="A6" s="10" t="inlineStr">
        <is>
          <t>Overtime for the month:</t>
        </is>
      </c>
      <c r="B6" s="72" t="inlineStr"/>
    </row>
    <row r="7">
      <c r="A7" s="10" t="inlineStr">
        <is>
          <t>Agency / temp staff:</t>
        </is>
      </c>
      <c r="B7" s="72" t="n"/>
    </row>
    <row r="8">
      <c r="A8" s="10" t="inlineStr">
        <is>
          <t>Other staff costs:</t>
        </is>
      </c>
      <c r="B8" s="72" t="inlineStr"/>
    </row>
    <row r="9">
      <c r="A9" s="44" t="inlineStr">
        <is>
          <t>TOTAL LABOR COST FOR THE MONTH:</t>
        </is>
      </c>
      <c r="B9" s="73">
        <f>IF(COUNT($B$5:$B$8)=0,"",ROUND(SUM($B$5:$B$8),2))</f>
        <v>0.0</v>
      </c>
    </row>
    <row r="11">
      <c r="A11" s="24" t="inlineStr">
        <is>
          <t>LABOR COST RATIO (%):</t>
        </is>
      </c>
      <c r="B11" s="46">
        <f>IFERROR(IF(OR($B$4="",$B$4&lt;=0,$B$9="",$B$9&lt;=0),"",ROUND($B$9/$B$4,4)),"")</f>
        <v/>
      </c>
      <c r="C11" t="inlineStr">
        <is>
          <t>Target ratio for your concept:</t>
        </is>
      </c>
      <c r="D11" s="46">
        <f>IFERROR(VLOOKUP($B$3,$A$18:$E$27,4,FALSE),0.3)</f>
        <v>0.3</v>
      </c>
    </row>
    <row r="12">
      <c r="A12" s="14" t="n"/>
      <c r="C12" t="inlineStr">
        <is>
          <t>Maximum acceptable for your concept:</t>
        </is>
      </c>
      <c r="D12" s="46">
        <f>IFERROR(VLOOKUP($B$3,$A$18:$E$27,5,FALSE),0.35)</f>
        <v>0.35</v>
      </c>
    </row>
    <row r="13">
      <c r="A13" s="47" t="inlineStr">
        <is>
          <t>Traffic light:</t>
        </is>
      </c>
      <c r="B13" s="48" t="str">
        <f>IF(OR($B$4="",$B$4&lt;=0),"— enter this month's net SALES (B4)",IF(OR($B$9="",$B$9&lt;=0),"— no cost yet: enter your team in the Payroll tab",IF($B$11&lt;$D$11*0.6,"⚠ implausible ratio: check that ALL payroll is entered",IF($B$11&lt;$D$11,"🟢 EXCELLENT (below your target)",IF($B$11&lt;=$D$12,"🟡 WATCH (at the limit)","🔴 CORRECTIVE ACTION")))))</f>
        <v>— enter this month's net SALES (B4)</v>
      </c>
      <c r="C13" s="49" t="n"/>
      <c r="D13" s="49" t="n"/>
      <c r="E13" s="50" t="n"/>
    </row>
    <row r="14" ht="28" customHeight="1">
      <c r="A14" s="51" t="inlineStr">
        <is>
          <t>▸ With no concept selected, the traffic light falls back to a generic 30% / 35%. And below 60% of your target it does not congratulate you: a labor cost that low almost always means payroll is missing, not that you are doing great.</t>
        </is>
      </c>
      <c r="B14" s="49" t="n"/>
      <c r="C14" s="49" t="n"/>
      <c r="D14" s="49" t="n"/>
      <c r="E14" s="50" t="n"/>
    </row>
    <row r="15">
      <c r="A15" s="15" t="n"/>
      <c r="B15" s="16" t="n"/>
      <c r="C15" s="16" t="n"/>
    </row>
    <row r="16">
      <c r="A16" s="44" t="inlineStr">
        <is>
          <t>Reference Ratios by Concept</t>
        </is>
      </c>
      <c r="B16" s="16" t="n"/>
      <c r="C16" s="16" t="n"/>
    </row>
    <row r="17">
      <c r="A17" s="26" t="inlineStr">
        <is>
          <t>Concept</t>
        </is>
      </c>
      <c r="B17" s="26" t="inlineStr">
        <is>
          <t>Target Ratio</t>
        </is>
      </c>
      <c r="C17" s="26" t="inlineStr">
        <is>
          <t>Acceptable Range</t>
        </is>
      </c>
      <c r="D17" s="27" t="inlineStr">
        <is>
          <t>Target % (number)</t>
        </is>
      </c>
      <c r="E17" s="27" t="inlineStr">
        <is>
          <t>Acceptable % (number)</t>
        </is>
      </c>
    </row>
    <row r="18">
      <c r="A18" s="15" t="inlineStr">
        <is>
          <t>Fast casual / QSR</t>
        </is>
      </c>
      <c r="B18" s="16" t="inlineStr">
        <is>
          <t>25-28%</t>
        </is>
      </c>
      <c r="C18" s="16" t="inlineStr">
        <is>
          <t>22-30%</t>
        </is>
      </c>
      <c r="D18" s="46" t="n">
        <v>0.28</v>
      </c>
      <c r="E18" s="46" t="n">
        <v>0.3</v>
      </c>
    </row>
    <row r="19">
      <c r="A19" s="15" t="inlineStr">
        <is>
          <t>Casual dining</t>
        </is>
      </c>
      <c r="B19" s="16" t="inlineStr">
        <is>
          <t>28-33%</t>
        </is>
      </c>
      <c r="C19" s="16" t="inlineStr">
        <is>
          <t>25-35%</t>
        </is>
      </c>
      <c r="D19" s="46" t="n">
        <v>0.33</v>
      </c>
      <c r="E19" s="46" t="n">
        <v>0.35</v>
      </c>
    </row>
    <row r="20">
      <c r="A20" t="inlineStr">
        <is>
          <t>Fine dining</t>
        </is>
      </c>
      <c r="B20" t="inlineStr">
        <is>
          <t>35-40%</t>
        </is>
      </c>
      <c r="C20" t="inlineStr">
        <is>
          <t>33-42%</t>
        </is>
      </c>
      <c r="D20" s="46" t="n">
        <v>0.4</v>
      </c>
      <c r="E20" s="46" t="n">
        <v>0.42</v>
      </c>
    </row>
    <row r="21">
      <c r="A21" t="inlineStr">
        <is>
          <t>Catering &amp; events</t>
        </is>
      </c>
      <c r="B21" t="inlineStr">
        <is>
          <t>30-35%</t>
        </is>
      </c>
      <c r="C21" t="inlineStr">
        <is>
          <t>28-38%</t>
        </is>
      </c>
      <c r="D21" s="46" t="n">
        <v>0.35</v>
      </c>
      <c r="E21" s="46" t="n">
        <v>0.38</v>
      </c>
    </row>
    <row r="22">
      <c r="A22" s="11" t="inlineStr">
        <is>
          <t>Café / brunch</t>
        </is>
      </c>
      <c r="B22" t="inlineStr">
        <is>
          <t>28-32%</t>
        </is>
      </c>
      <c r="C22" t="inlineStr">
        <is>
          <t>25-35%</t>
        </is>
      </c>
      <c r="D22" s="46" t="n">
        <v>0.32</v>
      </c>
      <c r="E22" s="46" t="n">
        <v>0.35</v>
      </c>
    </row>
    <row r="23">
      <c r="A23" t="inlineStr">
        <is>
          <t>Bar / cocktail bar</t>
        </is>
      </c>
      <c r="B23" t="inlineStr">
        <is>
          <t>25-30%</t>
        </is>
      </c>
      <c r="C23" t="inlineStr">
        <is>
          <t>22-33%</t>
        </is>
      </c>
      <c r="D23" s="46" t="n">
        <v>0.3</v>
      </c>
      <c r="E23" s="46" t="n">
        <v>0.33</v>
      </c>
    </row>
    <row r="24">
      <c r="A24" t="inlineStr">
        <is>
          <t>Pizzeria</t>
        </is>
      </c>
      <c r="B24" t="inlineStr">
        <is>
          <t>26-30%</t>
        </is>
      </c>
      <c r="C24" t="inlineStr">
        <is>
          <t>24-32%</t>
        </is>
      </c>
      <c r="D24" s="46" t="n">
        <v>0.3</v>
      </c>
      <c r="E24" s="46" t="n">
        <v>0.32</v>
      </c>
    </row>
    <row r="25">
      <c r="A25" t="inlineStr">
        <is>
          <t>Ghost kitchen / delivery</t>
        </is>
      </c>
      <c r="B25" t="inlineStr">
        <is>
          <t>22-28%</t>
        </is>
      </c>
      <c r="C25" t="inlineStr">
        <is>
          <t>20-30%</t>
        </is>
      </c>
      <c r="D25" s="46" t="n">
        <v>0.28</v>
      </c>
      <c r="E25" s="46" t="n">
        <v>0.3</v>
      </c>
    </row>
    <row r="26">
      <c r="A26" t="inlineStr">
        <is>
          <t>Hotel restaurant</t>
        </is>
      </c>
      <c r="B26" t="inlineStr">
        <is>
          <t>35-42%</t>
        </is>
      </c>
      <c r="C26" t="inlineStr">
        <is>
          <t>33-44%</t>
        </is>
      </c>
      <c r="D26" s="46" t="n">
        <v>0.42</v>
      </c>
      <c r="E26" s="46" t="n">
        <v>0.44</v>
      </c>
    </row>
    <row r="27">
      <c r="A27" t="inlineStr">
        <is>
          <t>Ice cream shop / bakery</t>
        </is>
      </c>
      <c r="B27" t="inlineStr">
        <is>
          <t>25-30%</t>
        </is>
      </c>
      <c r="C27" t="inlineStr">
        <is>
          <t>22-32%</t>
        </is>
      </c>
      <c r="D27" s="46" t="n">
        <v>0.3</v>
      </c>
      <c r="E27" s="46" t="n">
        <v>0.32</v>
      </c>
    </row>
    <row r="28" ht="28" customHeight="1">
      <c r="A28" s="52" t="inlineStr">
        <is>
          <t>▸ The two numeric columns are the upper end of the text ranges: they are what the traffic-light VLOOKUP reads, so the table and the verdict cannot contradict each other. They are the same ten concepts and thresholds as the "Ratios by Concept" tab of BONUS-02.</t>
        </is>
      </c>
    </row>
    <row r="30">
      <c r="A30" s="4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6">
    <mergeCell ref="A30:E30"/>
    <mergeCell ref="A2:E2"/>
    <mergeCell ref="B13:E13"/>
    <mergeCell ref="A28:E28"/>
    <mergeCell ref="A1:E1"/>
    <mergeCell ref="A14:E14"/>
  </mergeCells>
  <dataValidations count="4">
    <dataValidation sqref="B3" showDropDown="0" showInputMessage="1" showErrorMessage="1" allowBlank="1" errorTitle="Invalid concept" error="Pick one of the ten concepts in the reference table below." promptTitle="kitgp-v2b · Invalid concept" prompt="The two traffic-light thresholds come from here by VLOOKUP on the table of this sheet. Same ten concepts and thresholds as the BONUS-02 calculator: the two files cannot give different verdicts on the same ratio. If blank, the generic 30% / 35% applies." type="list" errorStyle="stop">
      <formula1>"Fast casual / QSR,Casual dining,Fine dining,Catering &amp; events,Café / brunch,Bar / cocktail bar,Pizzeria,Ghost kitchen / delivery,Hotel restaurant,Ice cream shop / bakery"</formula1>
    </dataValidation>
    <dataValidation sqref="B6" showDropDown="0" showInputMessage="1" showErrorMessage="1" allowBlank="1" errorTitle="Overtime for the month" error="Type a number greater than zero." promptTitle="kitgp-v2b · Monthly overtime" prompt="Copy it from &quot;Monthly OT Summary&quot;!G37 in file 02 (Overtime Tracker &amp; Time Log (FLSA 40-Hour Week)) (the total of the &quot;Overtime cost&quot; column). The kit calculates it, and leaving it out makes the ratio come out short." type="decimal" errorStyle="stop" operator="greaterThan">
      <formula1>0</formula1>
    </dataValidation>
    <dataValidation sqref="B7" showDropDown="0" showInputMessage="1" showErrorMessage="1" allowBlank="1" errorTitle="Agency / temp staff" error="Type a number greater than zero." promptTitle="kitgp-v2b · Agency / temp staff" prompt="Weekend extras, temp agency, peak-day backup staff (the kind BONUS-02 recommends hiring). It is labor cost even if it is not on your payroll." type="decimal" errorStyle="stop" operator="greaterThan">
      <formula1>0</formula1>
    </dataValidation>
    <dataValidation sqref="B8" showDropDown="0" showInputMessage="1" showErrorMessage="1" allowBlank="1" errorTitle="Other staff costs" error="Type a number greater than zero." promptTitle="kitgp-v2b · Other staff costs" prompt="Per diems, required training, uniforms, transport, staff meals… anything your accounting charges to labor that does not come from payroll." type="decimal" errorStyle="stop" operator="greaterThan">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4CAF50"/>
    <outlinePr summaryBelow="1" summaryRight="1"/>
    <pageSetUpPr fitToPage="1"/>
  </sheetPr>
  <dimension ref="A1:E26"/>
  <sheetViews>
    <sheetView workbookViewId="0">
      <pane ySplit="3" topLeftCell="A4" activePane="bottomLeft" state="frozen"/>
      <selection pane="bottomLeft" activeCell="A1" sqref="A1"/>
    </sheetView>
  </sheetViews>
  <sheetFormatPr baseColWidth="8" defaultRowHeight="15"/>
  <cols>
    <col width="44" customWidth="1" min="1" max="1"/>
    <col width="16" customWidth="1" min="2" max="2"/>
    <col width="14" customWidth="1" min="3" max="3"/>
    <col width="14" customWidth="1" min="4" max="4"/>
    <col width="18" customWidth="1" min="5" max="5"/>
    <col width="4" customWidth="1" min="6" max="6"/>
  </cols>
  <sheetData>
    <row r="1">
      <c r="A1" s="53" t="inlineStr">
        <is>
          <t>Staffing Forecast by Service</t>
        </is>
      </c>
    </row>
    <row r="2">
      <c r="A2" s="5" t="inlineStr">
        <is>
          <t>AI Chef Pro · aichef.pro — Restaurant Staff Scheduling Kit Pro</t>
        </is>
      </c>
    </row>
    <row r="3">
      <c r="A3" s="54" t="inlineStr">
        <is>
          <t>INPUTS — edit only the green cells</t>
        </is>
      </c>
      <c r="B3" s="55" t="n"/>
      <c r="C3" s="55" t="n"/>
      <c r="D3" s="55" t="n"/>
      <c r="E3" s="55" t="n"/>
    </row>
    <row r="4">
      <c r="A4" s="10" t="inlineStr">
        <is>
          <t>Expected covers / day:</t>
        </is>
      </c>
      <c r="B4" s="56" t="n">
        <v>80</v>
      </c>
    </row>
    <row r="5">
      <c r="A5" s="10" t="inlineStr">
        <is>
          <t>Services per day (lunch + dinner):</t>
        </is>
      </c>
      <c r="B5" s="56" t="n">
        <v>2</v>
      </c>
    </row>
    <row r="6">
      <c r="A6" s="10" t="inlineStr">
        <is>
          <t>Covers per SERVICE:</t>
        </is>
      </c>
      <c r="B6" s="57">
        <f>IFERROR(IF(OR($B$4="",$B$5="",$B$5=0),"",ROUND($B$4/$B$5,0)),"")</f>
        <v>40.0</v>
      </c>
      <c r="C6" s="58" t="inlineStr">
        <is>
          <t>← this is the number that sizes the shift, not the day's covers</t>
        </is>
      </c>
    </row>
    <row r="7">
      <c r="A7" s="10" t="inlineStr">
        <is>
          <t>Covers per line cook per service:</t>
        </is>
      </c>
      <c r="B7" s="56" t="n">
        <v>25</v>
      </c>
    </row>
    <row r="8">
      <c r="A8" t="inlineStr">
        <is>
          <t>Covers per server per service:</t>
        </is>
      </c>
      <c r="B8" s="59" t="n">
        <v>22</v>
      </c>
    </row>
    <row r="9">
      <c r="A9" s="14" t="inlineStr">
        <is>
          <t>Covers per bartender per service:</t>
        </is>
      </c>
      <c r="B9" s="59" t="n">
        <v>80</v>
      </c>
    </row>
    <row r="10">
      <c r="A10" s="10" t="inlineStr">
        <is>
          <t>Effective hours per service:</t>
        </is>
      </c>
      <c r="B10" s="60" t="n">
        <v>4</v>
      </c>
    </row>
    <row r="11">
      <c r="A11" s="10" t="inlineStr">
        <is>
          <t>Days open / week:</t>
        </is>
      </c>
      <c r="B11" s="60" t="n">
        <v>6</v>
      </c>
    </row>
    <row r="12">
      <c r="A12" s="10" t="inlineStr">
        <is>
          <t>Full-time hours (h/week):</t>
        </is>
      </c>
      <c r="B12" s="60" t="n">
        <v>40</v>
      </c>
    </row>
    <row r="13">
      <c r="A13" s="10" t="inlineStr">
        <is>
          <t>Coverage factor (PTO, sick leave and days off):</t>
        </is>
      </c>
      <c r="B13" s="61" t="n">
        <v>1.15</v>
      </c>
    </row>
    <row r="14">
      <c r="A14" t="inlineStr">
        <is>
          <t>Average gross pay per pay period:</t>
        </is>
      </c>
      <c r="B14" s="74" t="n">
        <v>1400</v>
      </c>
    </row>
    <row r="15">
      <c r="A15" s="18" t="inlineStr">
        <is>
          <t>Pay periods per year:</t>
        </is>
      </c>
      <c r="B15" s="56" t="n">
        <v>26</v>
      </c>
    </row>
    <row r="16">
      <c r="A16" s="18" t="inlineStr">
        <is>
          <t>Employer payroll taxes &amp; insurance (%):</t>
        </is>
      </c>
      <c r="B16" s="63" t="n">
        <v>0.1</v>
      </c>
    </row>
    <row r="17">
      <c r="A17" s="54" t="inlineStr">
        <is>
          <t>RESULT — from covers to staff</t>
        </is>
      </c>
      <c r="B17" s="64" t="inlineStr">
        <is>
          <t>Kitchen</t>
        </is>
      </c>
      <c r="C17" s="64" t="inlineStr">
        <is>
          <t>FOH</t>
        </is>
      </c>
      <c r="D17" s="64" t="inlineStr">
        <is>
          <t>Bar</t>
        </is>
      </c>
      <c r="E17" s="64" t="inlineStr">
        <is>
          <t>Total / service</t>
        </is>
      </c>
    </row>
    <row r="18">
      <c r="A18" t="inlineStr">
        <is>
          <t>Staff per SERVICE:</t>
        </is>
      </c>
      <c r="B18" s="65">
        <f>IFERROR(IF(OR($B$6="",$B$7="",$B$7=0),0,CEILING($B$6/$B$7,1)),0)</f>
        <v>2.0</v>
      </c>
      <c r="C18" s="65">
        <f>IFERROR(IF(OR($B$6="",$B$8="",$B$8=0),0,CEILING($B$6/$B$8,1)),0)</f>
        <v>2.0</v>
      </c>
      <c r="D18" s="65">
        <f>IFERROR(IF(OR($B$6="",$B$9="",$B$9=0),0,CEILING($B$6/$B$9,1)),0)</f>
        <v>1.0</v>
      </c>
      <c r="E18" s="65">
        <f>IF($B$6="","",$B$18+$C$18+$D$18)</f>
        <v>5.0</v>
      </c>
    </row>
    <row r="19">
      <c r="A19" s="11" t="inlineStr">
        <is>
          <t>Staff shifts per day (people × services):</t>
        </is>
      </c>
      <c r="B19" s="65">
        <f>IF(OR($E$18="",$B$5=""),"",$E$18*$B$5)</f>
        <v>10.0</v>
      </c>
    </row>
    <row r="20">
      <c r="A20" t="inlineStr">
        <is>
          <t>Staff hours needed / week:</t>
        </is>
      </c>
      <c r="B20" s="65">
        <f>IF(OR($B$19="",$B$10="",$B$11=""),"",$B$19*$B$10*$B$11)</f>
        <v>240.0</v>
      </c>
    </row>
    <row r="21">
      <c r="A21" s="24" t="inlineStr">
        <is>
          <t>Staff needed (FTE):</t>
        </is>
      </c>
      <c r="B21" s="65">
        <f>IFERROR(IF(OR($B$20="",$B$12="",$B$12=0),"",CEILING($B$20/$B$12*$B$13,1)),"")</f>
        <v>7.0</v>
      </c>
    </row>
    <row r="22">
      <c r="A22" s="24" t="inlineStr">
        <is>
          <t>Estimated team labor cost (per month):</t>
        </is>
      </c>
      <c r="B22" s="68">
        <f>IFERROR(IF(OR($B$21="",$B$14="",$B$15=""),"",ROUND($B$21*$B$14*$B$15/12*(1+$B$16),2)),"")</f>
        <v>23356.67</v>
      </c>
    </row>
    <row r="24" ht="28" customHeight="1">
      <c r="A24" s="52" t="inlineStr">
        <is>
          <t>▸ FTE = full-time equivalents, not people per shift: the 240 h/week that come out by default are seven 40-hour positions, with the 15% coverage for days off, PTO and sick leave already inside.</t>
        </is>
      </c>
    </row>
    <row r="25" ht="28" customHeight="1">
      <c r="A25" s="52" t="inlineStr">
        <is>
          <t>▸ The cost is the gross pay per pay period × the periods you choose, spread over twelve months, with employer payroll taxes on top. For the REAL cost of your team use the "Payroll" tab, which starts from your actual pay.</t>
        </is>
      </c>
    </row>
    <row r="26">
      <c r="A26" s="4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5">
    <mergeCell ref="A26:E26"/>
    <mergeCell ref="A24:E24"/>
    <mergeCell ref="A2:E2"/>
    <mergeCell ref="A25:E25"/>
    <mergeCell ref="A1:E1"/>
  </mergeCells>
  <dataValidations count="1">
    <dataValidation sqref="B5" showDropDown="0" showInputMessage="1" showErrorMessage="1" allowBlank="1" errorTitle="Invalid services per day" error="Pick 1, 2 or 3." promptTitle="kitgp-v2b · Invalid services/day" prompt="One (lunch only or dinner only), two (lunch and dinner) or three (breakfast, lunch and dinner). It splits the day's covers across services: eighty covers in two services are forty per service, and the team is sized for those forty." type="list" errorStyle="stop">
      <formula1>"1,2,3"</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Restaurant Labor Cost Calculator (Payroll &amp; Labor %)</dc:title>
  <dc:description xmlns:dc="http://purl.org/dc/elements/1.1/">aichef.pro/en/digital-products/restaurant-schedule-templates</dc:description>
  <dc:subject xmlns:dc="http://purl.org/dc/elements/1.1/">Restaurant Staff Scheduling Kit Pro · v2.0</dc:subject>
  <dcterms:created xmlns:dcterms="http://purl.org/dc/terms/" xmlns:xsi="http://www.w3.org/2001/XMLSchema-instance" xsi:type="dcterms:W3CDTF">2026-03-23T19:17:39Z</dcterms:created>
  <dcterms:modified xmlns:dcterms="http://purl.org/dc/terms/" xmlns:xsi="http://www.w3.org/2001/XMLSchema-instance" xsi:type="dcterms:W3CDTF">2026-10-03T15:13:42Z</dcterms:modified>
  <cp:lastModifiedBy>AI Chef Pro</cp:lastModifiedBy>
  <cp:category>AI Chef Pro · Digital products</cp:category>
  <cp:keywords>restaurant schedule template, staff rota, AI Chef Pro</cp:keywords>
</cp:coreProperties>
</file>