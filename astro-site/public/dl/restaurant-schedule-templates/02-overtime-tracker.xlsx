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ime Log" sheetId="2" state="visible" r:id="rId2"/>
    <sheet xmlns:r="http://schemas.openxmlformats.org/officeDocument/2006/relationships" name="Monthly OT Summary" sheetId="3" state="visible" r:id="rId3"/>
  </sheets>
  <definedNames>
    <definedName name="_xlnm.Print_Area" localSheetId="0">'Instructions'!$A$1:$B$29</definedName>
    <definedName name="_xlnm.Print_Titles" localSheetId="1">'Time Log'!$4:$4</definedName>
    <definedName name="_xlnm.Print_Area" localSheetId="1">'Time Log'!$A$1:$J$306</definedName>
    <definedName name="_xlnm.Print_Titles" localSheetId="2">'Monthly OT Summary'!$5:$5</definedName>
    <definedName name="_xlnm.Print_Area" localSheetId="2">'Monthly OT Summary'!$A$1:$H$39</definedName>
  </definedNames>
  <calcPr calcId="124519" fullCalcOnLoad="1"/>
</workbook>
</file>

<file path=xl/styles.xml><?xml version="1.0" encoding="utf-8"?>
<styleSheet xmlns="http://schemas.openxmlformats.org/spreadsheetml/2006/main">
  <numFmts count="4">
    <numFmt numFmtId="164" formatCode="#,##0.00"/>
    <numFmt numFmtId="165" formatCode="m/d/yyyy"/>
    <numFmt numFmtId="166" formatCode="h:mm AM/PM"/>
    <numFmt numFmtId="167" formatCode="#,##0.00;@"/>
  </numFmts>
  <fonts count="13">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sz val="11"/>
    </font>
    <font>
      <name val="Calibri"/>
      <b val="1"/>
      <color rgb="001565C0"/>
      <sz val="11"/>
    </font>
    <font>
      <name val="Calibri"/>
      <color rgb="00999999"/>
      <sz val="9"/>
    </font>
    <font>
      <name val="Calibri"/>
      <b val="1"/>
      <sz val="11"/>
    </font>
    <font>
      <b val="1"/>
      <color rgb="00FFFFFF"/>
      <sz val="10"/>
    </font>
    <font>
      <b val="1"/>
    </font>
  </fonts>
  <fills count="6">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2D2D2D"/>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2" fontId="8"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9" fillId="0" borderId="0" pivotButton="0" quotePrefix="0" xfId="0"/>
    <xf numFmtId="0" fontId="10" fillId="0" borderId="0" pivotButton="0" quotePrefix="0" xfId="0"/>
    <xf numFmtId="0" fontId="7" fillId="3" borderId="1" pivotButton="0" quotePrefix="0" xfId="0"/>
    <xf numFmtId="0" fontId="7" fillId="0" borderId="1" applyAlignment="1" pivotButton="0" quotePrefix="0" xfId="0">
      <alignment horizontal="center" vertical="center" wrapText="1"/>
    </xf>
    <xf numFmtId="164" fontId="8" fillId="0" borderId="1" pivotButton="0" quotePrefix="0" xfId="0"/>
    <xf numFmtId="0" fontId="10" fillId="0" borderId="1" pivotButton="0" quotePrefix="0" xfId="0"/>
    <xf numFmtId="0" fontId="8" fillId="0" borderId="1"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11" fillId="4" borderId="1" applyAlignment="1" pivotButton="0" quotePrefix="0" xfId="0">
      <alignment horizontal="center" vertical="center" wrapText="1"/>
    </xf>
    <xf numFmtId="0" fontId="11" fillId="4" borderId="0" applyAlignment="1" pivotButton="0" quotePrefix="0" xfId="0">
      <alignment horizontal="center" vertical="center" wrapText="1"/>
    </xf>
    <xf numFmtId="0" fontId="7" fillId="3" borderId="1" applyAlignment="1" applyProtection="1" pivotButton="0" quotePrefix="0" xfId="0">
      <alignment horizontal="center" vertical="center" wrapText="1"/>
      <protection locked="0" hidden="0"/>
    </xf>
    <xf numFmtId="165" fontId="7" fillId="3" borderId="1" applyAlignment="1" applyProtection="1" pivotButton="0" quotePrefix="0" xfId="0">
      <alignment horizontal="center" vertical="center" wrapText="1"/>
      <protection locked="0" hidden="0"/>
    </xf>
    <xf numFmtId="166" fontId="7" fillId="3" borderId="1" applyAlignment="1" applyProtection="1" pivotButton="0" quotePrefix="0" xfId="0">
      <alignment horizontal="center" vertical="center" wrapText="1"/>
      <protection locked="0" hidden="0"/>
    </xf>
    <xf numFmtId="2" fontId="8" fillId="5" borderId="1" applyAlignment="1" applyProtection="1" pivotButton="0" quotePrefix="0" xfId="0">
      <alignment horizontal="center" vertical="center" wrapText="1"/>
      <protection locked="0" hidden="0"/>
    </xf>
    <xf numFmtId="2" fontId="7" fillId="3" borderId="1" applyAlignment="1" applyProtection="1" pivotButton="0" quotePrefix="0" xfId="0">
      <alignment horizontal="center" vertical="center" wrapText="1"/>
      <protection locked="0" hidden="0"/>
    </xf>
    <xf numFmtId="0" fontId="0" fillId="3" borderId="1" applyAlignment="1" applyProtection="1" pivotButton="0" quotePrefix="0" xfId="0">
      <alignment horizontal="center" vertical="center" wrapText="1"/>
      <protection locked="0" hidden="0"/>
    </xf>
    <xf numFmtId="0" fontId="0" fillId="0" borderId="0" applyAlignment="1" pivotButton="0" quotePrefix="0" xfId="0">
      <alignment vertical="center" wrapText="1"/>
    </xf>
    <xf numFmtId="0" fontId="12" fillId="0" borderId="0" applyAlignment="1" pivotButton="0" quotePrefix="0" xfId="0">
      <alignment vertical="center" wrapText="1"/>
    </xf>
    <xf numFmtId="167" fontId="7" fillId="5" borderId="1" applyProtection="1" pivotButton="0" quotePrefix="0" xfId="0">
      <protection locked="0" hidden="0"/>
    </xf>
    <xf numFmtId="2" fontId="0" fillId="5" borderId="0" applyProtection="1" pivotButton="0" quotePrefix="0" xfId="0">
      <protection locked="0" hidden="0"/>
    </xf>
    <xf numFmtId="1" fontId="0" fillId="5" borderId="0" applyProtection="1" pivotButton="0" quotePrefix="0" xfId="0">
      <protection locked="0" hidden="0"/>
    </xf>
    <xf numFmtId="0" fontId="7" fillId="3" borderId="1" applyProtection="1" pivotButton="0" quotePrefix="0" xfId="0">
      <protection locked="0" hidden="0"/>
    </xf>
    <xf numFmtId="2" fontId="7" fillId="0" borderId="1" pivotButton="0" quotePrefix="0" xfId="0"/>
    <xf numFmtId="2" fontId="7" fillId="0" borderId="1" applyAlignment="1" pivotButton="0" quotePrefix="0" xfId="0">
      <alignment horizontal="center" vertical="center" wrapText="1"/>
    </xf>
    <xf numFmtId="2" fontId="8" fillId="5" borderId="1" applyProtection="1" pivotButton="0" quotePrefix="0" xfId="0">
      <protection locked="0" hidden="0"/>
    </xf>
    <xf numFmtId="167" fontId="8" fillId="0" borderId="1" pivotButton="0" quotePrefix="0" xfId="0"/>
    <xf numFmtId="2" fontId="8" fillId="0" borderId="1" pivotButton="0" quotePrefix="0" xfId="0"/>
    <xf numFmtId="2" fontId="0" fillId="0" borderId="0" pivotButton="0" quotePrefix="0" xfId="0"/>
    <xf numFmtId="0" fontId="0" fillId="5" borderId="0" applyProtection="1" pivotButton="0" quotePrefix="0" xfId="0">
      <protection locked="0" hidden="0"/>
    </xf>
    <xf numFmtId="14" fontId="7" fillId="3" borderId="1" applyAlignment="1" applyProtection="1" pivotButton="0" quotePrefix="0" xfId="0">
      <alignment horizontal="center" vertical="center" wrapText="1"/>
      <protection locked="0" hidden="0"/>
    </xf>
    <xf numFmtId="18" fontId="7" fillId="3" borderId="1" applyAlignment="1" applyProtection="1" pivotButton="0" quotePrefix="0" xfId="0">
      <alignment horizontal="center" vertical="center" wrapText="1"/>
      <protection locked="0" hidden="0"/>
    </xf>
    <xf numFmtId="4" fontId="7" fillId="5" borderId="1" applyProtection="1" pivotButton="0" quotePrefix="0" xfId="0">
      <protection locked="0" hidden="0"/>
    </xf>
    <xf numFmtId="4" fontId="8" fillId="0" borderId="1" pivotButton="0" quotePrefix="0" xfId="0"/>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9"/>
  <sheetViews>
    <sheetView workbookViewId="0">
      <selection activeCell="A1" sqref="A1"/>
    </sheetView>
  </sheetViews>
  <sheetFormatPr baseColWidth="8" defaultRowHeight="15"/>
  <cols>
    <col width="3" customWidth="1" min="1" max="1"/>
    <col width="80" customWidth="1" min="2" max="2"/>
  </cols>
  <sheetData>
    <row r="2">
      <c r="B2" s="1" t="inlineStr">
        <is>
          <t>02 · Overtime Tracker &amp; Time Log (FLSA 40-Hour Week)</t>
        </is>
      </c>
    </row>
    <row r="4">
      <c r="B4" s="17" t="inlineStr">
        <is>
          <t>How to use this template:</t>
        </is>
      </c>
    </row>
    <row r="5">
      <c r="B5" s="18" t="inlineStr">
        <is>
          <t>▸ Log clock-in, clock-out and BREAK. The break is what makes a split shift loggable: 10:00 AM → 11:00 PM with a 4 h break is 9 h worked, not 13. Use one row per person per day (two rows on the same date double-count weekly overtime).</t>
        </is>
      </c>
    </row>
    <row r="6">
      <c r="B6" s="18" t="inlineStr">
        <is>
          <t>▸ A NIGHT shift is logged the same way: 11:00 PM → 7:00 AM is 8 h. The formula handles the midnight crossing.</t>
        </is>
      </c>
    </row>
    <row r="7">
      <c r="B7" s="18" t="inlineStr">
        <is>
          <t>▸ The "Monthly OT Summary" adds up each employee's hours with SUMIF: nothing to copy by hand.</t>
        </is>
      </c>
    </row>
    <row r="8">
      <c r="B8" s="18" t="inlineStr">
        <is>
          <t>▸ This sheet has 300 rows: 30 people clocking in 6 days a week fill 180 per workweek; a team of 10 fits a whole month. Use one copy of the file per period (weekly or biweekly payroll: one per pay period). Each copy must hold WHOLE workweeks starting on the day in B3 of the "Time Log" (2 = Monday by default, the same week as the schedule in file 01). Keep a week that crosses months in one copy, or its overtime will be lost. Need more rows? Unprotect the sheet, insert them above row 304 and fill the formulas down: rows added below 304 are not counted.</t>
        </is>
      </c>
    </row>
    <row r="9">
      <c r="B9" s="2" t="n"/>
    </row>
    <row r="10">
      <c r="B10" s="17" t="inlineStr">
        <is>
          <t>What federal law says (FLSA):</t>
        </is>
      </c>
    </row>
    <row r="11">
      <c r="B11" s="18" t="inlineStr">
        <is>
          <t>▸ FLSA, 29 U.S.C. 207(a)(1): overtime is every hour over 40 in the workweek, paid at 1.5× the regular rate. Federal law sets no yearly cap on overtime: the 80 h budget ("Monthly OT Summary", F3) is a kit rule you can change.</t>
        </is>
      </c>
    </row>
    <row r="12">
      <c r="B12" s="18" t="inlineStr">
        <is>
          <t>▸ Some states add a daily rule (California: over 8 h in a day at 1.5×, over 12 h at 2×; Labor Code §510(a)). Type your state's daily threshold in F3 above the log; leave it blank for the federal rule only. UK: no legal overtime premium (gov.uk/overtime-your-rights).</t>
        </is>
      </c>
    </row>
    <row r="13">
      <c r="B13" s="18" t="inlineStr">
        <is>
          <t>▸ That is why the multiplier is a green cell (D3 of the "Monthly OT Summary") and not a number inside a formula. Keep it at 1.5, the FLSA rate for non-exempt staff: California double time applies only over 12 h in a day and over 8 h on the 7th consecutive day of the workweek (Labor Code §510(a)), so do not set 2× for every hour; price those hours apart. Raise it only if your contract pays more than 1.5× on all overtime. Tipped staff: overtime is owed on the full minimum wage, not on the cash wage (29 CFR 531.60).</t>
        </is>
      </c>
    </row>
    <row r="14">
      <c r="B14" s="18" t="inlineStr">
        <is>
          <t>▸ You may require overtime from non-exempt staff, but every hour worked must be paid, including overtime nobody approved (29 CFR 785.11-785.13).</t>
        </is>
      </c>
    </row>
    <row r="15">
      <c r="B15" s="2" t="n"/>
    </row>
    <row r="16">
      <c r="B16" s="17" t="inlineStr">
        <is>
          <t>Log columns:</t>
        </is>
      </c>
    </row>
    <row r="17">
      <c r="B17" s="18" t="inlineStr">
        <is>
          <t>▸ Hours worked = clock-out − clock-in − break. Type times with a colon and AM/PM (9:00 AM, not 9): the drop-down rejects a bare 9, which Excel reads as nine DAYS and would leave the shift at 0.00 without warning.</t>
        </is>
      </c>
    </row>
    <row r="18">
      <c r="B18" s="18" t="inlineStr">
        <is>
          <t>▸ Scheduled hours = the hours that person was SCHEDULED that day, preloaded at 8 for reference. Overtime does not depend on this column: it is calculated by the FLSA rule (hours over 40 in the workweek, plus the optional daily rule in F3).</t>
        </is>
      </c>
    </row>
    <row r="19">
      <c r="B19" s="18" t="inlineStr">
        <is>
          <t>▸ OT type: Pre-approved · Manager request · Emergency / call-in · Not approved · Shift cover. The "Not approved" hours are counted in their own column of the summary because they are still payable.</t>
        </is>
      </c>
    </row>
    <row r="20">
      <c r="B20" s="18" t="inlineStr">
        <is>
          <t>▸ Comp time does not exist for private employers: you cannot give time off instead of overtime pay (29 U.S.C. 207(o) covers only public agencies). So every overtime hour in this log is paid, including those marked "Not approved": if someone worked it, you owe it (29 CFR 785.11).</t>
        </is>
      </c>
    </row>
    <row r="21">
      <c r="B21" s="18" t="inlineStr">
        <is>
          <t>▸ For a PART-TIME employee, extra hours are overtime only once the workweek passes 40 h; below that they are paid at the regular rate. Tag the hours a part-timer picks up for a colleague as "Shift cover" so you can find them later.</t>
        </is>
      </c>
    </row>
    <row r="22">
      <c r="B22" s="18" t="inlineStr">
        <is>
          <t>▸ "Worked − scheduled hours (this copy)" carries a SIGN: it can be negative. The "OT hours (FLSA)" column of the log counts only the excess over 40 h in the workweek (and the daily rule if you set F3), so it does not see days below schedule. Use the balance to compare what you scheduled with what was worked; what you PAY as overtime is the log's OT column.</t>
        </is>
      </c>
    </row>
    <row r="23">
      <c r="B23" s="18" t="inlineStr">
        <is>
          <t>▸ The "Alert" column of the log warns about the four ways to lose a shift silently: a time typed without the colon (9 instead of 9:00 AM), clock-in equal to clock-out, a break longer than the shift, and a name that is not in the "Monthly OT Summary" (SUMIF looks for the EXACT text: one extra space and that person shows zero).</t>
        </is>
      </c>
    </row>
    <row r="24">
      <c r="B24" s="18" t="inlineStr">
        <is>
          <t>▸ In the "Monthly OT Summary", "OT hours year to date" is green and you carry it from one copy to the next: add the previous copy's total and this copy's hours. It is the one that watches the annual budget.</t>
        </is>
      </c>
    </row>
    <row r="25">
      <c r="B25" s="18" t="inlineStr">
        <is>
          <t>▸ B3 of the "Monthly OT Summary" is the hourly rate for the OT cost ESTIMATE: replace the sample with your own loaded cost per hour, from the "Cost per hour worked" column of file 03 "Restaurant Labor Cost Calculator" (pay plus employer taxes). What you legally owe for each OT hour is 1.5× the employee's regular rate of pay.</t>
        </is>
      </c>
    </row>
    <row r="27">
      <c r="B27" s="17" t="inlineStr">
        <is>
          <t>To edit a locked cell: Review → Unprotect Sheet (no password). Green cells are already editable without unprotecting anything.</t>
        </is>
      </c>
    </row>
    <row r="28">
      <c r="B28" s="17" t="inlineStr">
        <is>
          <t>Designed by John Guerrero — chef and restaurant consultant since 2010, in professional kitchens since age 17 · johnguerrero.es</t>
        </is>
      </c>
    </row>
    <row r="29">
      <c r="B29" s="17" t="inlineStr">
        <is>
          <t>Version 2.0 · October 2026 · aichef.pro/en/digital-products/restaurant-schedule-templates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E65100"/>
    <outlinePr summaryBelow="1" summaryRight="1"/>
    <pageSetUpPr fitToPage="1"/>
  </sheetPr>
  <dimension ref="A1:J306"/>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12" customWidth="1" min="5" max="5"/>
    <col width="16" customWidth="1" min="6" max="6"/>
    <col width="14" customWidth="1" min="7" max="7"/>
    <col width="16" customWidth="1" min="8" max="8"/>
    <col width="26" customWidth="1" min="9" max="9"/>
    <col width="40" customWidth="1" min="10" max="10"/>
  </cols>
  <sheetData>
    <row r="1">
      <c r="A1" s="4" t="inlineStr">
        <is>
          <t>Time Log — Workweeks from ___/___/___ to ___/___/___</t>
        </is>
      </c>
    </row>
    <row r="2">
      <c r="A2" s="5" t="inlineStr">
        <is>
          <t>AI Chef Pro · aichef.pro — Restaurant Staff Scheduling Kit Pro</t>
        </is>
      </c>
    </row>
    <row r="3" ht="30" customHeight="1">
      <c r="A3" s="28" t="inlineStr">
        <is>
          <t>Workweek starts (1=Sun, 2=Mon):</t>
        </is>
      </c>
      <c r="B3" s="31" t="n">
        <v>2</v>
      </c>
      <c r="C3" s="28" t="inlineStr">
        <is>
          <t>Weekly OT after (h):</t>
        </is>
      </c>
      <c r="D3" s="39" t="n">
        <v>40</v>
      </c>
      <c r="E3" s="28" t="inlineStr">
        <is>
          <t>Daily OT after (h):</t>
        </is>
      </c>
      <c r="F3" s="39" t="n"/>
    </row>
    <row r="4" ht="30" customHeight="1">
      <c r="A4" s="19" t="inlineStr">
        <is>
          <t>Employee</t>
        </is>
      </c>
      <c r="B4" s="19" t="inlineStr">
        <is>
          <t>Date</t>
        </is>
      </c>
      <c r="C4" s="19" t="inlineStr">
        <is>
          <t>Clock-in</t>
        </is>
      </c>
      <c r="D4" s="19" t="inlineStr">
        <is>
          <t>Clock-out</t>
        </is>
      </c>
      <c r="E4" s="19" t="inlineStr">
        <is>
          <t>Break (h)</t>
        </is>
      </c>
      <c r="F4" s="19" t="inlineStr">
        <is>
          <t>Hours worked</t>
        </is>
      </c>
      <c r="G4" s="19" t="inlineStr">
        <is>
          <t>Scheduled hours</t>
        </is>
      </c>
      <c r="H4" s="19" t="inlineStr">
        <is>
          <t>OT hours (FLSA)</t>
        </is>
      </c>
      <c r="I4" s="19" t="inlineStr">
        <is>
          <t>OT type</t>
        </is>
      </c>
      <c r="J4" s="20" t="inlineStr">
        <is>
          <t>Alert</t>
        </is>
      </c>
    </row>
    <row r="5">
      <c r="A5" s="21" t="n"/>
      <c r="B5" s="40" t="n"/>
      <c r="C5" s="41" t="n"/>
      <c r="D5" s="41" t="n"/>
      <c r="E5" s="24" t="n"/>
      <c r="F5" s="8">
        <f>IF(OR($C5="",$D5=""),"",IF(OR($C5&gt;=1,$D5&gt;=1,$C5=$D5,IF($E5="",0,$E5)&gt;MOD($D5-$C5,1)*24),"",ROUND(MOD($D5-$C5,1)*24-IF($E5="",0,$E5),2)))</f>
        <v/>
      </c>
      <c r="G5" s="25" t="n">
        <v>8</v>
      </c>
      <c r="H5" s="8">
        <f>IF(OR($A5="",$B5="",$F5=""),"",ROUND(IF($F$3="",0,MAX(0,$F5-$F$3))+IF($D$3="",0,MIN($F5-IF($F$3="",0,MAX(0,$F5-$F$3)),MAX(0,SUMIFS($F$5:$F$304,$A$5:$A$304,$A5&amp;"",$B$5:$B$304,"&gt;="&amp;($B5-MOD(WEEKDAY($B5)-$B$3,7)),$B$5:$B$304,"&lt;="&amp;$B5)-IF($F$3="",0,SUMIFS($F$5:$F$304,$A$5:$A$304,$A5&amp;"",$B$5:$B$304,"&gt;="&amp;($B5-MOD(WEEKDAY($B5)-$B$3,7)),$B$5:$B$304,"&lt;="&amp;$B5,$F$5:$F$304,"&gt;"&amp;$F$3)-$F$3*COUNTIFS($A$5:$A$304,$A5&amp;"",$B$5:$B$304,"&gt;="&amp;($B5-MOD(WEEKDAY($B5)-$B$3,7)),$B$5:$B$304,"&lt;="&amp;$B5,$F$5:$F$304,"&gt;"&amp;$F$3))-$D$3))),2))</f>
        <v/>
      </c>
      <c r="I5" s="26" t="n"/>
      <c r="J5" s="27">
        <f>IF(AND($A5="",$C5="",$D5=""),"",IF(OR($C5&gt;=1,$D5&gt;=1),"⚠ type the time with a colon: 9:00 AM, not 9",IF(AND($C5&lt;&gt;"",$C5=$D5),"⚠ clock-in equals clock-out: the shift adds 0 h",IF(AND($C5&lt;&gt;"",$D5&lt;&gt;"",IF($E5="",0,$E5)&gt;MOD($D5-$C5,1)*24),"⚠ the break is longer than the shift",IF(AND($A5&lt;&gt;"",COUNTIF('Monthly OT Summary'!$A$6:$A$35,$A5&amp;"")=0),"⚠ name not in Monthly OT Summary: its hours are not added","")))))</f>
        <v/>
      </c>
    </row>
    <row r="6">
      <c r="A6" s="21" t="n"/>
      <c r="B6" s="40" t="n"/>
      <c r="C6" s="41" t="n"/>
      <c r="D6" s="41" t="n"/>
      <c r="E6" s="24" t="n"/>
      <c r="F6" s="8">
        <f>IF(OR($C6="",$D6=""),"",IF(OR($C6&gt;=1,$D6&gt;=1,$C6=$D6,IF($E6="",0,$E6)&gt;MOD($D6-$C6,1)*24),"",ROUND(MOD($D6-$C6,1)*24-IF($E6="",0,$E6),2)))</f>
        <v/>
      </c>
      <c r="G6" s="25" t="n">
        <v>8</v>
      </c>
      <c r="H6" s="8">
        <f>IF(OR($A6="",$B6="",$F6=""),"",ROUND(IF($F$3="",0,MAX(0,$F6-$F$3))+IF($D$3="",0,MIN($F6-IF($F$3="",0,MAX(0,$F6-$F$3)),MAX(0,SUMIFS($F$5:$F$304,$A$5:$A$304,$A6&amp;"",$B$5:$B$304,"&gt;="&amp;($B6-MOD(WEEKDAY($B6)-$B$3,7)),$B$5:$B$304,"&lt;="&amp;$B6)-IF($F$3="",0,SUMIFS($F$5:$F$304,$A$5:$A$304,$A6&amp;"",$B$5:$B$304,"&gt;="&amp;($B6-MOD(WEEKDAY($B6)-$B$3,7)),$B$5:$B$304,"&lt;="&amp;$B6,$F$5:$F$304,"&gt;"&amp;$F$3)-$F$3*COUNTIFS($A$5:$A$304,$A6&amp;"",$B$5:$B$304,"&gt;="&amp;($B6-MOD(WEEKDAY($B6)-$B$3,7)),$B$5:$B$304,"&lt;="&amp;$B6,$F$5:$F$304,"&gt;"&amp;$F$3))-$D$3))),2))</f>
        <v/>
      </c>
      <c r="I6" s="26" t="n"/>
      <c r="J6" s="27">
        <f>IF(AND($A6="",$C6="",$D6=""),"",IF(OR($C6&gt;=1,$D6&gt;=1),"⚠ type the time with a colon: 9:00 AM, not 9",IF(AND($C6&lt;&gt;"",$C6=$D6),"⚠ clock-in equals clock-out: the shift adds 0 h",IF(AND($C6&lt;&gt;"",$D6&lt;&gt;"",IF($E6="",0,$E6)&gt;MOD($D6-$C6,1)*24),"⚠ the break is longer than the shift",IF(AND($A6&lt;&gt;"",COUNTIF('Monthly OT Summary'!$A$6:$A$35,$A6&amp;"")=0),"⚠ name not in Monthly OT Summary: its hours are not added","")))))</f>
        <v/>
      </c>
    </row>
    <row r="7">
      <c r="A7" s="21" t="n"/>
      <c r="B7" s="40" t="n"/>
      <c r="C7" s="41" t="n"/>
      <c r="D7" s="41" t="n"/>
      <c r="E7" s="24" t="n"/>
      <c r="F7" s="8">
        <f>IF(OR($C7="",$D7=""),"",IF(OR($C7&gt;=1,$D7&gt;=1,$C7=$D7,IF($E7="",0,$E7)&gt;MOD($D7-$C7,1)*24),"",ROUND(MOD($D7-$C7,1)*24-IF($E7="",0,$E7),2)))</f>
        <v/>
      </c>
      <c r="G7" s="25" t="n">
        <v>8</v>
      </c>
      <c r="H7" s="8">
        <f>IF(OR($A7="",$B7="",$F7=""),"",ROUND(IF($F$3="",0,MAX(0,$F7-$F$3))+IF($D$3="",0,MIN($F7-IF($F$3="",0,MAX(0,$F7-$F$3)),MAX(0,SUMIFS($F$5:$F$304,$A$5:$A$304,$A7&amp;"",$B$5:$B$304,"&gt;="&amp;($B7-MOD(WEEKDAY($B7)-$B$3,7)),$B$5:$B$304,"&lt;="&amp;$B7)-IF($F$3="",0,SUMIFS($F$5:$F$304,$A$5:$A$304,$A7&amp;"",$B$5:$B$304,"&gt;="&amp;($B7-MOD(WEEKDAY($B7)-$B$3,7)),$B$5:$B$304,"&lt;="&amp;$B7,$F$5:$F$304,"&gt;"&amp;$F$3)-$F$3*COUNTIFS($A$5:$A$304,$A7&amp;"",$B$5:$B$304,"&gt;="&amp;($B7-MOD(WEEKDAY($B7)-$B$3,7)),$B$5:$B$304,"&lt;="&amp;$B7,$F$5:$F$304,"&gt;"&amp;$F$3))-$D$3))),2))</f>
        <v/>
      </c>
      <c r="I7" s="26" t="n"/>
      <c r="J7" s="27">
        <f>IF(AND($A7="",$C7="",$D7=""),"",IF(OR($C7&gt;=1,$D7&gt;=1),"⚠ type the time with a colon: 9:00 AM, not 9",IF(AND($C7&lt;&gt;"",$C7=$D7),"⚠ clock-in equals clock-out: the shift adds 0 h",IF(AND($C7&lt;&gt;"",$D7&lt;&gt;"",IF($E7="",0,$E7)&gt;MOD($D7-$C7,1)*24),"⚠ the break is longer than the shift",IF(AND($A7&lt;&gt;"",COUNTIF('Monthly OT Summary'!$A$6:$A$35,$A7&amp;"")=0),"⚠ name not in Monthly OT Summary: its hours are not added","")))))</f>
        <v/>
      </c>
    </row>
    <row r="8">
      <c r="A8" s="21" t="n"/>
      <c r="B8" s="40" t="n"/>
      <c r="C8" s="41" t="n"/>
      <c r="D8" s="41" t="n"/>
      <c r="E8" s="24" t="n"/>
      <c r="F8" s="8">
        <f>IF(OR($C8="",$D8=""),"",IF(OR($C8&gt;=1,$D8&gt;=1,$C8=$D8,IF($E8="",0,$E8)&gt;MOD($D8-$C8,1)*24),"",ROUND(MOD($D8-$C8,1)*24-IF($E8="",0,$E8),2)))</f>
        <v/>
      </c>
      <c r="G8" s="25" t="n">
        <v>8</v>
      </c>
      <c r="H8" s="8">
        <f>IF(OR($A8="",$B8="",$F8=""),"",ROUND(IF($F$3="",0,MAX(0,$F8-$F$3))+IF($D$3="",0,MIN($F8-IF($F$3="",0,MAX(0,$F8-$F$3)),MAX(0,SUMIFS($F$5:$F$304,$A$5:$A$304,$A8&amp;"",$B$5:$B$304,"&gt;="&amp;($B8-MOD(WEEKDAY($B8)-$B$3,7)),$B$5:$B$304,"&lt;="&amp;$B8)-IF($F$3="",0,SUMIFS($F$5:$F$304,$A$5:$A$304,$A8&amp;"",$B$5:$B$304,"&gt;="&amp;($B8-MOD(WEEKDAY($B8)-$B$3,7)),$B$5:$B$304,"&lt;="&amp;$B8,$F$5:$F$304,"&gt;"&amp;$F$3)-$F$3*COUNTIFS($A$5:$A$304,$A8&amp;"",$B$5:$B$304,"&gt;="&amp;($B8-MOD(WEEKDAY($B8)-$B$3,7)),$B$5:$B$304,"&lt;="&amp;$B8,$F$5:$F$304,"&gt;"&amp;$F$3))-$D$3))),2))</f>
        <v/>
      </c>
      <c r="I8" s="26" t="n"/>
      <c r="J8" s="27">
        <f>IF(AND($A8="",$C8="",$D8=""),"",IF(OR($C8&gt;=1,$D8&gt;=1),"⚠ type the time with a colon: 9:00 AM, not 9",IF(AND($C8&lt;&gt;"",$C8=$D8),"⚠ clock-in equals clock-out: the shift adds 0 h",IF(AND($C8&lt;&gt;"",$D8&lt;&gt;"",IF($E8="",0,$E8)&gt;MOD($D8-$C8,1)*24),"⚠ the break is longer than the shift",IF(AND($A8&lt;&gt;"",COUNTIF('Monthly OT Summary'!$A$6:$A$35,$A8&amp;"")=0),"⚠ name not in Monthly OT Summary: its hours are not added","")))))</f>
        <v/>
      </c>
    </row>
    <row r="9">
      <c r="A9" s="21" t="n"/>
      <c r="B9" s="40" t="n"/>
      <c r="C9" s="41" t="n"/>
      <c r="D9" s="41" t="n"/>
      <c r="E9" s="24" t="n"/>
      <c r="F9" s="8">
        <f>IF(OR($C9="",$D9=""),"",IF(OR($C9&gt;=1,$D9&gt;=1,$C9=$D9,IF($E9="",0,$E9)&gt;MOD($D9-$C9,1)*24),"",ROUND(MOD($D9-$C9,1)*24-IF($E9="",0,$E9),2)))</f>
        <v/>
      </c>
      <c r="G9" s="25" t="n">
        <v>8</v>
      </c>
      <c r="H9" s="8">
        <f>IF(OR($A9="",$B9="",$F9=""),"",ROUND(IF($F$3="",0,MAX(0,$F9-$F$3))+IF($D$3="",0,MIN($F9-IF($F$3="",0,MAX(0,$F9-$F$3)),MAX(0,SUMIFS($F$5:$F$304,$A$5:$A$304,$A9&amp;"",$B$5:$B$304,"&gt;="&amp;($B9-MOD(WEEKDAY($B9)-$B$3,7)),$B$5:$B$304,"&lt;="&amp;$B9)-IF($F$3="",0,SUMIFS($F$5:$F$304,$A$5:$A$304,$A9&amp;"",$B$5:$B$304,"&gt;="&amp;($B9-MOD(WEEKDAY($B9)-$B$3,7)),$B$5:$B$304,"&lt;="&amp;$B9,$F$5:$F$304,"&gt;"&amp;$F$3)-$F$3*COUNTIFS($A$5:$A$304,$A9&amp;"",$B$5:$B$304,"&gt;="&amp;($B9-MOD(WEEKDAY($B9)-$B$3,7)),$B$5:$B$304,"&lt;="&amp;$B9,$F$5:$F$304,"&gt;"&amp;$F$3))-$D$3))),2))</f>
        <v/>
      </c>
      <c r="I9" s="26" t="n"/>
      <c r="J9" s="27">
        <f>IF(AND($A9="",$C9="",$D9=""),"",IF(OR($C9&gt;=1,$D9&gt;=1),"⚠ type the time with a colon: 9:00 AM, not 9",IF(AND($C9&lt;&gt;"",$C9=$D9),"⚠ clock-in equals clock-out: the shift adds 0 h",IF(AND($C9&lt;&gt;"",$D9&lt;&gt;"",IF($E9="",0,$E9)&gt;MOD($D9-$C9,1)*24),"⚠ the break is longer than the shift",IF(AND($A9&lt;&gt;"",COUNTIF('Monthly OT Summary'!$A$6:$A$35,$A9&amp;"")=0),"⚠ name not in Monthly OT Summary: its hours are not added","")))))</f>
        <v/>
      </c>
    </row>
    <row r="10">
      <c r="A10" s="21" t="n"/>
      <c r="B10" s="40" t="n"/>
      <c r="C10" s="41" t="n"/>
      <c r="D10" s="41" t="n"/>
      <c r="E10" s="24" t="n"/>
      <c r="F10" s="8">
        <f>IF(OR($C10="",$D10=""),"",IF(OR($C10&gt;=1,$D10&gt;=1,$C10=$D10,IF($E10="",0,$E10)&gt;MOD($D10-$C10,1)*24),"",ROUND(MOD($D10-$C10,1)*24-IF($E10="",0,$E10),2)))</f>
        <v/>
      </c>
      <c r="G10" s="25" t="n">
        <v>8</v>
      </c>
      <c r="H10" s="8">
        <f>IF(OR($A10="",$B10="",$F10=""),"",ROUND(IF($F$3="",0,MAX(0,$F10-$F$3))+IF($D$3="",0,MIN($F10-IF($F$3="",0,MAX(0,$F10-$F$3)),MAX(0,SUMIFS($F$5:$F$304,$A$5:$A$304,$A10&amp;"",$B$5:$B$304,"&gt;="&amp;($B10-MOD(WEEKDAY($B10)-$B$3,7)),$B$5:$B$304,"&lt;="&amp;$B10)-IF($F$3="",0,SUMIFS($F$5:$F$304,$A$5:$A$304,$A10&amp;"",$B$5:$B$304,"&gt;="&amp;($B10-MOD(WEEKDAY($B10)-$B$3,7)),$B$5:$B$304,"&lt;="&amp;$B10,$F$5:$F$304,"&gt;"&amp;$F$3)-$F$3*COUNTIFS($A$5:$A$304,$A10&amp;"",$B$5:$B$304,"&gt;="&amp;($B10-MOD(WEEKDAY($B10)-$B$3,7)),$B$5:$B$304,"&lt;="&amp;$B10,$F$5:$F$304,"&gt;"&amp;$F$3))-$D$3))),2))</f>
        <v/>
      </c>
      <c r="I10" s="26" t="n"/>
      <c r="J10" s="27">
        <f>IF(AND($A10="",$C10="",$D10=""),"",IF(OR($C10&gt;=1,$D10&gt;=1),"⚠ type the time with a colon: 9:00 AM, not 9",IF(AND($C10&lt;&gt;"",$C10=$D10),"⚠ clock-in equals clock-out: the shift adds 0 h",IF(AND($C10&lt;&gt;"",$D10&lt;&gt;"",IF($E10="",0,$E10)&gt;MOD($D10-$C10,1)*24),"⚠ the break is longer than the shift",IF(AND($A10&lt;&gt;"",COUNTIF('Monthly OT Summary'!$A$6:$A$35,$A10&amp;"")=0),"⚠ name not in Monthly OT Summary: its hours are not added","")))))</f>
        <v/>
      </c>
    </row>
    <row r="11">
      <c r="A11" s="21" t="n"/>
      <c r="B11" s="40" t="n"/>
      <c r="C11" s="41" t="n"/>
      <c r="D11" s="41" t="n"/>
      <c r="E11" s="24" t="n"/>
      <c r="F11" s="8">
        <f>IF(OR($C11="",$D11=""),"",IF(OR($C11&gt;=1,$D11&gt;=1,$C11=$D11,IF($E11="",0,$E11)&gt;MOD($D11-$C11,1)*24),"",ROUND(MOD($D11-$C11,1)*24-IF($E11="",0,$E11),2)))</f>
        <v/>
      </c>
      <c r="G11" s="25" t="n">
        <v>8</v>
      </c>
      <c r="H11" s="8">
        <f>IF(OR($A11="",$B11="",$F11=""),"",ROUND(IF($F$3="",0,MAX(0,$F11-$F$3))+IF($D$3="",0,MIN($F11-IF($F$3="",0,MAX(0,$F11-$F$3)),MAX(0,SUMIFS($F$5:$F$304,$A$5:$A$304,$A11&amp;"",$B$5:$B$304,"&gt;="&amp;($B11-MOD(WEEKDAY($B11)-$B$3,7)),$B$5:$B$304,"&lt;="&amp;$B11)-IF($F$3="",0,SUMIFS($F$5:$F$304,$A$5:$A$304,$A11&amp;"",$B$5:$B$304,"&gt;="&amp;($B11-MOD(WEEKDAY($B11)-$B$3,7)),$B$5:$B$304,"&lt;="&amp;$B11,$F$5:$F$304,"&gt;"&amp;$F$3)-$F$3*COUNTIFS($A$5:$A$304,$A11&amp;"",$B$5:$B$304,"&gt;="&amp;($B11-MOD(WEEKDAY($B11)-$B$3,7)),$B$5:$B$304,"&lt;="&amp;$B11,$F$5:$F$304,"&gt;"&amp;$F$3))-$D$3))),2))</f>
        <v/>
      </c>
      <c r="I11" s="26" t="n"/>
      <c r="J11" s="27">
        <f>IF(AND($A11="",$C11="",$D11=""),"",IF(OR($C11&gt;=1,$D11&gt;=1),"⚠ type the time with a colon: 9:00 AM, not 9",IF(AND($C11&lt;&gt;"",$C11=$D11),"⚠ clock-in equals clock-out: the shift adds 0 h",IF(AND($C11&lt;&gt;"",$D11&lt;&gt;"",IF($E11="",0,$E11)&gt;MOD($D11-$C11,1)*24),"⚠ the break is longer than the shift",IF(AND($A11&lt;&gt;"",COUNTIF('Monthly OT Summary'!$A$6:$A$35,$A11&amp;"")=0),"⚠ name not in Monthly OT Summary: its hours are not added","")))))</f>
        <v/>
      </c>
    </row>
    <row r="12">
      <c r="A12" s="21" t="n"/>
      <c r="B12" s="40" t="n"/>
      <c r="C12" s="41" t="n"/>
      <c r="D12" s="41" t="n"/>
      <c r="E12" s="24" t="n"/>
      <c r="F12" s="8">
        <f>IF(OR($C12="",$D12=""),"",IF(OR($C12&gt;=1,$D12&gt;=1,$C12=$D12,IF($E12="",0,$E12)&gt;MOD($D12-$C12,1)*24),"",ROUND(MOD($D12-$C12,1)*24-IF($E12="",0,$E12),2)))</f>
        <v/>
      </c>
      <c r="G12" s="25" t="n">
        <v>8</v>
      </c>
      <c r="H12" s="8">
        <f>IF(OR($A12="",$B12="",$F12=""),"",ROUND(IF($F$3="",0,MAX(0,$F12-$F$3))+IF($D$3="",0,MIN($F12-IF($F$3="",0,MAX(0,$F12-$F$3)),MAX(0,SUMIFS($F$5:$F$304,$A$5:$A$304,$A12&amp;"",$B$5:$B$304,"&gt;="&amp;($B12-MOD(WEEKDAY($B12)-$B$3,7)),$B$5:$B$304,"&lt;="&amp;$B12)-IF($F$3="",0,SUMIFS($F$5:$F$304,$A$5:$A$304,$A12&amp;"",$B$5:$B$304,"&gt;="&amp;($B12-MOD(WEEKDAY($B12)-$B$3,7)),$B$5:$B$304,"&lt;="&amp;$B12,$F$5:$F$304,"&gt;"&amp;$F$3)-$F$3*COUNTIFS($A$5:$A$304,$A12&amp;"",$B$5:$B$304,"&gt;="&amp;($B12-MOD(WEEKDAY($B12)-$B$3,7)),$B$5:$B$304,"&lt;="&amp;$B12,$F$5:$F$304,"&gt;"&amp;$F$3))-$D$3))),2))</f>
        <v/>
      </c>
      <c r="I12" s="26" t="n"/>
      <c r="J12" s="27">
        <f>IF(AND($A12="",$C12="",$D12=""),"",IF(OR($C12&gt;=1,$D12&gt;=1),"⚠ type the time with a colon: 9:00 AM, not 9",IF(AND($C12&lt;&gt;"",$C12=$D12),"⚠ clock-in equals clock-out: the shift adds 0 h",IF(AND($C12&lt;&gt;"",$D12&lt;&gt;"",IF($E12="",0,$E12)&gt;MOD($D12-$C12,1)*24),"⚠ the break is longer than the shift",IF(AND($A12&lt;&gt;"",COUNTIF('Monthly OT Summary'!$A$6:$A$35,$A12&amp;"")=0),"⚠ name not in Monthly OT Summary: its hours are not added","")))))</f>
        <v/>
      </c>
    </row>
    <row r="13">
      <c r="A13" s="21" t="n"/>
      <c r="B13" s="40" t="n"/>
      <c r="C13" s="41" t="n"/>
      <c r="D13" s="41" t="n"/>
      <c r="E13" s="24" t="n"/>
      <c r="F13" s="8">
        <f>IF(OR($C13="",$D13=""),"",IF(OR($C13&gt;=1,$D13&gt;=1,$C13=$D13,IF($E13="",0,$E13)&gt;MOD($D13-$C13,1)*24),"",ROUND(MOD($D13-$C13,1)*24-IF($E13="",0,$E13),2)))</f>
        <v/>
      </c>
      <c r="G13" s="25" t="n">
        <v>8</v>
      </c>
      <c r="H13" s="8">
        <f>IF(OR($A13="",$B13="",$F13=""),"",ROUND(IF($F$3="",0,MAX(0,$F13-$F$3))+IF($D$3="",0,MIN($F13-IF($F$3="",0,MAX(0,$F13-$F$3)),MAX(0,SUMIFS($F$5:$F$304,$A$5:$A$304,$A13&amp;"",$B$5:$B$304,"&gt;="&amp;($B13-MOD(WEEKDAY($B13)-$B$3,7)),$B$5:$B$304,"&lt;="&amp;$B13)-IF($F$3="",0,SUMIFS($F$5:$F$304,$A$5:$A$304,$A13&amp;"",$B$5:$B$304,"&gt;="&amp;($B13-MOD(WEEKDAY($B13)-$B$3,7)),$B$5:$B$304,"&lt;="&amp;$B13,$F$5:$F$304,"&gt;"&amp;$F$3)-$F$3*COUNTIFS($A$5:$A$304,$A13&amp;"",$B$5:$B$304,"&gt;="&amp;($B13-MOD(WEEKDAY($B13)-$B$3,7)),$B$5:$B$304,"&lt;="&amp;$B13,$F$5:$F$304,"&gt;"&amp;$F$3))-$D$3))),2))</f>
        <v/>
      </c>
      <c r="I13" s="26" t="n"/>
      <c r="J13" s="27">
        <f>IF(AND($A13="",$C13="",$D13=""),"",IF(OR($C13&gt;=1,$D13&gt;=1),"⚠ type the time with a colon: 9:00 AM, not 9",IF(AND($C13&lt;&gt;"",$C13=$D13),"⚠ clock-in equals clock-out: the shift adds 0 h",IF(AND($C13&lt;&gt;"",$D13&lt;&gt;"",IF($E13="",0,$E13)&gt;MOD($D13-$C13,1)*24),"⚠ the break is longer than the shift",IF(AND($A13&lt;&gt;"",COUNTIF('Monthly OT Summary'!$A$6:$A$35,$A13&amp;"")=0),"⚠ name not in Monthly OT Summary: its hours are not added","")))))</f>
        <v/>
      </c>
    </row>
    <row r="14">
      <c r="A14" s="21" t="n"/>
      <c r="B14" s="40" t="n"/>
      <c r="C14" s="41" t="n"/>
      <c r="D14" s="41" t="n"/>
      <c r="E14" s="24" t="n"/>
      <c r="F14" s="8">
        <f>IF(OR($C14="",$D14=""),"",IF(OR($C14&gt;=1,$D14&gt;=1,$C14=$D14,IF($E14="",0,$E14)&gt;MOD($D14-$C14,1)*24),"",ROUND(MOD($D14-$C14,1)*24-IF($E14="",0,$E14),2)))</f>
        <v/>
      </c>
      <c r="G14" s="25" t="n">
        <v>8</v>
      </c>
      <c r="H14" s="8">
        <f>IF(OR($A14="",$B14="",$F14=""),"",ROUND(IF($F$3="",0,MAX(0,$F14-$F$3))+IF($D$3="",0,MIN($F14-IF($F$3="",0,MAX(0,$F14-$F$3)),MAX(0,SUMIFS($F$5:$F$304,$A$5:$A$304,$A14&amp;"",$B$5:$B$304,"&gt;="&amp;($B14-MOD(WEEKDAY($B14)-$B$3,7)),$B$5:$B$304,"&lt;="&amp;$B14)-IF($F$3="",0,SUMIFS($F$5:$F$304,$A$5:$A$304,$A14&amp;"",$B$5:$B$304,"&gt;="&amp;($B14-MOD(WEEKDAY($B14)-$B$3,7)),$B$5:$B$304,"&lt;="&amp;$B14,$F$5:$F$304,"&gt;"&amp;$F$3)-$F$3*COUNTIFS($A$5:$A$304,$A14&amp;"",$B$5:$B$304,"&gt;="&amp;($B14-MOD(WEEKDAY($B14)-$B$3,7)),$B$5:$B$304,"&lt;="&amp;$B14,$F$5:$F$304,"&gt;"&amp;$F$3))-$D$3))),2))</f>
        <v/>
      </c>
      <c r="I14" s="26" t="n"/>
      <c r="J14" s="27">
        <f>IF(AND($A14="",$C14="",$D14=""),"",IF(OR($C14&gt;=1,$D14&gt;=1),"⚠ type the time with a colon: 9:00 AM, not 9",IF(AND($C14&lt;&gt;"",$C14=$D14),"⚠ clock-in equals clock-out: the shift adds 0 h",IF(AND($C14&lt;&gt;"",$D14&lt;&gt;"",IF($E14="",0,$E14)&gt;MOD($D14-$C14,1)*24),"⚠ the break is longer than the shift",IF(AND($A14&lt;&gt;"",COUNTIF('Monthly OT Summary'!$A$6:$A$35,$A14&amp;"")=0),"⚠ name not in Monthly OT Summary: its hours are not added","")))))</f>
        <v/>
      </c>
    </row>
    <row r="15">
      <c r="A15" s="21" t="n"/>
      <c r="B15" s="40" t="n"/>
      <c r="C15" s="41" t="n"/>
      <c r="D15" s="41" t="n"/>
      <c r="E15" s="24" t="n"/>
      <c r="F15" s="8">
        <f>IF(OR($C15="",$D15=""),"",IF(OR($C15&gt;=1,$D15&gt;=1,$C15=$D15,IF($E15="",0,$E15)&gt;MOD($D15-$C15,1)*24),"",ROUND(MOD($D15-$C15,1)*24-IF($E15="",0,$E15),2)))</f>
        <v/>
      </c>
      <c r="G15" s="25" t="n">
        <v>8</v>
      </c>
      <c r="H15" s="8">
        <f>IF(OR($A15="",$B15="",$F15=""),"",ROUND(IF($F$3="",0,MAX(0,$F15-$F$3))+IF($D$3="",0,MIN($F15-IF($F$3="",0,MAX(0,$F15-$F$3)),MAX(0,SUMIFS($F$5:$F$304,$A$5:$A$304,$A15&amp;"",$B$5:$B$304,"&gt;="&amp;($B15-MOD(WEEKDAY($B15)-$B$3,7)),$B$5:$B$304,"&lt;="&amp;$B15)-IF($F$3="",0,SUMIFS($F$5:$F$304,$A$5:$A$304,$A15&amp;"",$B$5:$B$304,"&gt;="&amp;($B15-MOD(WEEKDAY($B15)-$B$3,7)),$B$5:$B$304,"&lt;="&amp;$B15,$F$5:$F$304,"&gt;"&amp;$F$3)-$F$3*COUNTIFS($A$5:$A$304,$A15&amp;"",$B$5:$B$304,"&gt;="&amp;($B15-MOD(WEEKDAY($B15)-$B$3,7)),$B$5:$B$304,"&lt;="&amp;$B15,$F$5:$F$304,"&gt;"&amp;$F$3))-$D$3))),2))</f>
        <v/>
      </c>
      <c r="I15" s="26" t="n"/>
      <c r="J15" s="27">
        <f>IF(AND($A15="",$C15="",$D15=""),"",IF(OR($C15&gt;=1,$D15&gt;=1),"⚠ type the time with a colon: 9:00 AM, not 9",IF(AND($C15&lt;&gt;"",$C15=$D15),"⚠ clock-in equals clock-out: the shift adds 0 h",IF(AND($C15&lt;&gt;"",$D15&lt;&gt;"",IF($E15="",0,$E15)&gt;MOD($D15-$C15,1)*24),"⚠ the break is longer than the shift",IF(AND($A15&lt;&gt;"",COUNTIF('Monthly OT Summary'!$A$6:$A$35,$A15&amp;"")=0),"⚠ name not in Monthly OT Summary: its hours are not added","")))))</f>
        <v/>
      </c>
    </row>
    <row r="16">
      <c r="A16" s="21" t="n"/>
      <c r="B16" s="40" t="n"/>
      <c r="C16" s="41" t="n"/>
      <c r="D16" s="41" t="n"/>
      <c r="E16" s="24" t="n"/>
      <c r="F16" s="8">
        <f>IF(OR($C16="",$D16=""),"",IF(OR($C16&gt;=1,$D16&gt;=1,$C16=$D16,IF($E16="",0,$E16)&gt;MOD($D16-$C16,1)*24),"",ROUND(MOD($D16-$C16,1)*24-IF($E16="",0,$E16),2)))</f>
        <v/>
      </c>
      <c r="G16" s="25" t="n">
        <v>8</v>
      </c>
      <c r="H16" s="8">
        <f>IF(OR($A16="",$B16="",$F16=""),"",ROUND(IF($F$3="",0,MAX(0,$F16-$F$3))+IF($D$3="",0,MIN($F16-IF($F$3="",0,MAX(0,$F16-$F$3)),MAX(0,SUMIFS($F$5:$F$304,$A$5:$A$304,$A16&amp;"",$B$5:$B$304,"&gt;="&amp;($B16-MOD(WEEKDAY($B16)-$B$3,7)),$B$5:$B$304,"&lt;="&amp;$B16)-IF($F$3="",0,SUMIFS($F$5:$F$304,$A$5:$A$304,$A16&amp;"",$B$5:$B$304,"&gt;="&amp;($B16-MOD(WEEKDAY($B16)-$B$3,7)),$B$5:$B$304,"&lt;="&amp;$B16,$F$5:$F$304,"&gt;"&amp;$F$3)-$F$3*COUNTIFS($A$5:$A$304,$A16&amp;"",$B$5:$B$304,"&gt;="&amp;($B16-MOD(WEEKDAY($B16)-$B$3,7)),$B$5:$B$304,"&lt;="&amp;$B16,$F$5:$F$304,"&gt;"&amp;$F$3))-$D$3))),2))</f>
        <v/>
      </c>
      <c r="I16" s="26" t="n"/>
      <c r="J16" s="27">
        <f>IF(AND($A16="",$C16="",$D16=""),"",IF(OR($C16&gt;=1,$D16&gt;=1),"⚠ type the time with a colon: 9:00 AM, not 9",IF(AND($C16&lt;&gt;"",$C16=$D16),"⚠ clock-in equals clock-out: the shift adds 0 h",IF(AND($C16&lt;&gt;"",$D16&lt;&gt;"",IF($E16="",0,$E16)&gt;MOD($D16-$C16,1)*24),"⚠ the break is longer than the shift",IF(AND($A16&lt;&gt;"",COUNTIF('Monthly OT Summary'!$A$6:$A$35,$A16&amp;"")=0),"⚠ name not in Monthly OT Summary: its hours are not added","")))))</f>
        <v/>
      </c>
    </row>
    <row r="17">
      <c r="A17" s="21" t="n"/>
      <c r="B17" s="40" t="n"/>
      <c r="C17" s="41" t="n"/>
      <c r="D17" s="41" t="n"/>
      <c r="E17" s="24" t="n"/>
      <c r="F17" s="8">
        <f>IF(OR($C17="",$D17=""),"",IF(OR($C17&gt;=1,$D17&gt;=1,$C17=$D17,IF($E17="",0,$E17)&gt;MOD($D17-$C17,1)*24),"",ROUND(MOD($D17-$C17,1)*24-IF($E17="",0,$E17),2)))</f>
        <v/>
      </c>
      <c r="G17" s="25" t="n">
        <v>8</v>
      </c>
      <c r="H17" s="8">
        <f>IF(OR($A17="",$B17="",$F17=""),"",ROUND(IF($F$3="",0,MAX(0,$F17-$F$3))+IF($D$3="",0,MIN($F17-IF($F$3="",0,MAX(0,$F17-$F$3)),MAX(0,SUMIFS($F$5:$F$304,$A$5:$A$304,$A17&amp;"",$B$5:$B$304,"&gt;="&amp;($B17-MOD(WEEKDAY($B17)-$B$3,7)),$B$5:$B$304,"&lt;="&amp;$B17)-IF($F$3="",0,SUMIFS($F$5:$F$304,$A$5:$A$304,$A17&amp;"",$B$5:$B$304,"&gt;="&amp;($B17-MOD(WEEKDAY($B17)-$B$3,7)),$B$5:$B$304,"&lt;="&amp;$B17,$F$5:$F$304,"&gt;"&amp;$F$3)-$F$3*COUNTIFS($A$5:$A$304,$A17&amp;"",$B$5:$B$304,"&gt;="&amp;($B17-MOD(WEEKDAY($B17)-$B$3,7)),$B$5:$B$304,"&lt;="&amp;$B17,$F$5:$F$304,"&gt;"&amp;$F$3))-$D$3))),2))</f>
        <v/>
      </c>
      <c r="I17" s="26" t="n"/>
      <c r="J17" s="27">
        <f>IF(AND($A17="",$C17="",$D17=""),"",IF(OR($C17&gt;=1,$D17&gt;=1),"⚠ type the time with a colon: 9:00 AM, not 9",IF(AND($C17&lt;&gt;"",$C17=$D17),"⚠ clock-in equals clock-out: the shift adds 0 h",IF(AND($C17&lt;&gt;"",$D17&lt;&gt;"",IF($E17="",0,$E17)&gt;MOD($D17-$C17,1)*24),"⚠ the break is longer than the shift",IF(AND($A17&lt;&gt;"",COUNTIF('Monthly OT Summary'!$A$6:$A$35,$A17&amp;"")=0),"⚠ name not in Monthly OT Summary: its hours are not added","")))))</f>
        <v/>
      </c>
    </row>
    <row r="18">
      <c r="A18" s="21" t="n"/>
      <c r="B18" s="40" t="n"/>
      <c r="C18" s="41" t="n"/>
      <c r="D18" s="41" t="n"/>
      <c r="E18" s="24" t="n"/>
      <c r="F18" s="8">
        <f>IF(OR($C18="",$D18=""),"",IF(OR($C18&gt;=1,$D18&gt;=1,$C18=$D18,IF($E18="",0,$E18)&gt;MOD($D18-$C18,1)*24),"",ROUND(MOD($D18-$C18,1)*24-IF($E18="",0,$E18),2)))</f>
        <v/>
      </c>
      <c r="G18" s="25" t="n">
        <v>8</v>
      </c>
      <c r="H18" s="8">
        <f>IF(OR($A18="",$B18="",$F18=""),"",ROUND(IF($F$3="",0,MAX(0,$F18-$F$3))+IF($D$3="",0,MIN($F18-IF($F$3="",0,MAX(0,$F18-$F$3)),MAX(0,SUMIFS($F$5:$F$304,$A$5:$A$304,$A18&amp;"",$B$5:$B$304,"&gt;="&amp;($B18-MOD(WEEKDAY($B18)-$B$3,7)),$B$5:$B$304,"&lt;="&amp;$B18)-IF($F$3="",0,SUMIFS($F$5:$F$304,$A$5:$A$304,$A18&amp;"",$B$5:$B$304,"&gt;="&amp;($B18-MOD(WEEKDAY($B18)-$B$3,7)),$B$5:$B$304,"&lt;="&amp;$B18,$F$5:$F$304,"&gt;"&amp;$F$3)-$F$3*COUNTIFS($A$5:$A$304,$A18&amp;"",$B$5:$B$304,"&gt;="&amp;($B18-MOD(WEEKDAY($B18)-$B$3,7)),$B$5:$B$304,"&lt;="&amp;$B18,$F$5:$F$304,"&gt;"&amp;$F$3))-$D$3))),2))</f>
        <v/>
      </c>
      <c r="I18" s="26" t="n"/>
      <c r="J18" s="27">
        <f>IF(AND($A18="",$C18="",$D18=""),"",IF(OR($C18&gt;=1,$D18&gt;=1),"⚠ type the time with a colon: 9:00 AM, not 9",IF(AND($C18&lt;&gt;"",$C18=$D18),"⚠ clock-in equals clock-out: the shift adds 0 h",IF(AND($C18&lt;&gt;"",$D18&lt;&gt;"",IF($E18="",0,$E18)&gt;MOD($D18-$C18,1)*24),"⚠ the break is longer than the shift",IF(AND($A18&lt;&gt;"",COUNTIF('Monthly OT Summary'!$A$6:$A$35,$A18&amp;"")=0),"⚠ name not in Monthly OT Summary: its hours are not added","")))))</f>
        <v/>
      </c>
    </row>
    <row r="19">
      <c r="A19" s="21" t="n"/>
      <c r="B19" s="40" t="n"/>
      <c r="C19" s="41" t="n"/>
      <c r="D19" s="41" t="n"/>
      <c r="E19" s="24" t="n"/>
      <c r="F19" s="8">
        <f>IF(OR($C19="",$D19=""),"",IF(OR($C19&gt;=1,$D19&gt;=1,$C19=$D19,IF($E19="",0,$E19)&gt;MOD($D19-$C19,1)*24),"",ROUND(MOD($D19-$C19,1)*24-IF($E19="",0,$E19),2)))</f>
        <v/>
      </c>
      <c r="G19" s="25" t="n">
        <v>8</v>
      </c>
      <c r="H19" s="8">
        <f>IF(OR($A19="",$B19="",$F19=""),"",ROUND(IF($F$3="",0,MAX(0,$F19-$F$3))+IF($D$3="",0,MIN($F19-IF($F$3="",0,MAX(0,$F19-$F$3)),MAX(0,SUMIFS($F$5:$F$304,$A$5:$A$304,$A19&amp;"",$B$5:$B$304,"&gt;="&amp;($B19-MOD(WEEKDAY($B19)-$B$3,7)),$B$5:$B$304,"&lt;="&amp;$B19)-IF($F$3="",0,SUMIFS($F$5:$F$304,$A$5:$A$304,$A19&amp;"",$B$5:$B$304,"&gt;="&amp;($B19-MOD(WEEKDAY($B19)-$B$3,7)),$B$5:$B$304,"&lt;="&amp;$B19,$F$5:$F$304,"&gt;"&amp;$F$3)-$F$3*COUNTIFS($A$5:$A$304,$A19&amp;"",$B$5:$B$304,"&gt;="&amp;($B19-MOD(WEEKDAY($B19)-$B$3,7)),$B$5:$B$304,"&lt;="&amp;$B19,$F$5:$F$304,"&gt;"&amp;$F$3))-$D$3))),2))</f>
        <v/>
      </c>
      <c r="I19" s="26" t="n"/>
      <c r="J19" s="27">
        <f>IF(AND($A19="",$C19="",$D19=""),"",IF(OR($C19&gt;=1,$D19&gt;=1),"⚠ type the time with a colon: 9:00 AM, not 9",IF(AND($C19&lt;&gt;"",$C19=$D19),"⚠ clock-in equals clock-out: the shift adds 0 h",IF(AND($C19&lt;&gt;"",$D19&lt;&gt;"",IF($E19="",0,$E19)&gt;MOD($D19-$C19,1)*24),"⚠ the break is longer than the shift",IF(AND($A19&lt;&gt;"",COUNTIF('Monthly OT Summary'!$A$6:$A$35,$A19&amp;"")=0),"⚠ name not in Monthly OT Summary: its hours are not added","")))))</f>
        <v/>
      </c>
    </row>
    <row r="20">
      <c r="A20" s="21" t="n"/>
      <c r="B20" s="40" t="n"/>
      <c r="C20" s="41" t="n"/>
      <c r="D20" s="41" t="n"/>
      <c r="E20" s="24" t="n"/>
      <c r="F20" s="8">
        <f>IF(OR($C20="",$D20=""),"",IF(OR($C20&gt;=1,$D20&gt;=1,$C20=$D20,IF($E20="",0,$E20)&gt;MOD($D20-$C20,1)*24),"",ROUND(MOD($D20-$C20,1)*24-IF($E20="",0,$E20),2)))</f>
        <v/>
      </c>
      <c r="G20" s="25" t="n">
        <v>8</v>
      </c>
      <c r="H20" s="8">
        <f>IF(OR($A20="",$B20="",$F20=""),"",ROUND(IF($F$3="",0,MAX(0,$F20-$F$3))+IF($D$3="",0,MIN($F20-IF($F$3="",0,MAX(0,$F20-$F$3)),MAX(0,SUMIFS($F$5:$F$304,$A$5:$A$304,$A20&amp;"",$B$5:$B$304,"&gt;="&amp;($B20-MOD(WEEKDAY($B20)-$B$3,7)),$B$5:$B$304,"&lt;="&amp;$B20)-IF($F$3="",0,SUMIFS($F$5:$F$304,$A$5:$A$304,$A20&amp;"",$B$5:$B$304,"&gt;="&amp;($B20-MOD(WEEKDAY($B20)-$B$3,7)),$B$5:$B$304,"&lt;="&amp;$B20,$F$5:$F$304,"&gt;"&amp;$F$3)-$F$3*COUNTIFS($A$5:$A$304,$A20&amp;"",$B$5:$B$304,"&gt;="&amp;($B20-MOD(WEEKDAY($B20)-$B$3,7)),$B$5:$B$304,"&lt;="&amp;$B20,$F$5:$F$304,"&gt;"&amp;$F$3))-$D$3))),2))</f>
        <v/>
      </c>
      <c r="I20" s="26" t="n"/>
      <c r="J20" s="27">
        <f>IF(AND($A20="",$C20="",$D20=""),"",IF(OR($C20&gt;=1,$D20&gt;=1),"⚠ type the time with a colon: 9:00 AM, not 9",IF(AND($C20&lt;&gt;"",$C20=$D20),"⚠ clock-in equals clock-out: the shift adds 0 h",IF(AND($C20&lt;&gt;"",$D20&lt;&gt;"",IF($E20="",0,$E20)&gt;MOD($D20-$C20,1)*24),"⚠ the break is longer than the shift",IF(AND($A20&lt;&gt;"",COUNTIF('Monthly OT Summary'!$A$6:$A$35,$A20&amp;"")=0),"⚠ name not in Monthly OT Summary: its hours are not added","")))))</f>
        <v/>
      </c>
    </row>
    <row r="21">
      <c r="A21" s="21" t="n"/>
      <c r="B21" s="40" t="n"/>
      <c r="C21" s="41" t="n"/>
      <c r="D21" s="41" t="n"/>
      <c r="E21" s="24" t="n"/>
      <c r="F21" s="8">
        <f>IF(OR($C21="",$D21=""),"",IF(OR($C21&gt;=1,$D21&gt;=1,$C21=$D21,IF($E21="",0,$E21)&gt;MOD($D21-$C21,1)*24),"",ROUND(MOD($D21-$C21,1)*24-IF($E21="",0,$E21),2)))</f>
        <v/>
      </c>
      <c r="G21" s="25" t="n">
        <v>8</v>
      </c>
      <c r="H21" s="8">
        <f>IF(OR($A21="",$B21="",$F21=""),"",ROUND(IF($F$3="",0,MAX(0,$F21-$F$3))+IF($D$3="",0,MIN($F21-IF($F$3="",0,MAX(0,$F21-$F$3)),MAX(0,SUMIFS($F$5:$F$304,$A$5:$A$304,$A21&amp;"",$B$5:$B$304,"&gt;="&amp;($B21-MOD(WEEKDAY($B21)-$B$3,7)),$B$5:$B$304,"&lt;="&amp;$B21)-IF($F$3="",0,SUMIFS($F$5:$F$304,$A$5:$A$304,$A21&amp;"",$B$5:$B$304,"&gt;="&amp;($B21-MOD(WEEKDAY($B21)-$B$3,7)),$B$5:$B$304,"&lt;="&amp;$B21,$F$5:$F$304,"&gt;"&amp;$F$3)-$F$3*COUNTIFS($A$5:$A$304,$A21&amp;"",$B$5:$B$304,"&gt;="&amp;($B21-MOD(WEEKDAY($B21)-$B$3,7)),$B$5:$B$304,"&lt;="&amp;$B21,$F$5:$F$304,"&gt;"&amp;$F$3))-$D$3))),2))</f>
        <v/>
      </c>
      <c r="I21" s="26" t="n"/>
      <c r="J21" s="27">
        <f>IF(AND($A21="",$C21="",$D21=""),"",IF(OR($C21&gt;=1,$D21&gt;=1),"⚠ type the time with a colon: 9:00 AM, not 9",IF(AND($C21&lt;&gt;"",$C21=$D21),"⚠ clock-in equals clock-out: the shift adds 0 h",IF(AND($C21&lt;&gt;"",$D21&lt;&gt;"",IF($E21="",0,$E21)&gt;MOD($D21-$C21,1)*24),"⚠ the break is longer than the shift",IF(AND($A21&lt;&gt;"",COUNTIF('Monthly OT Summary'!$A$6:$A$35,$A21&amp;"")=0),"⚠ name not in Monthly OT Summary: its hours are not added","")))))</f>
        <v/>
      </c>
    </row>
    <row r="22">
      <c r="A22" s="21" t="n"/>
      <c r="B22" s="40" t="n"/>
      <c r="C22" s="41" t="n"/>
      <c r="D22" s="41" t="n"/>
      <c r="E22" s="24" t="n"/>
      <c r="F22" s="8">
        <f>IF(OR($C22="",$D22=""),"",IF(OR($C22&gt;=1,$D22&gt;=1,$C22=$D22,IF($E22="",0,$E22)&gt;MOD($D22-$C22,1)*24),"",ROUND(MOD($D22-$C22,1)*24-IF($E22="",0,$E22),2)))</f>
        <v/>
      </c>
      <c r="G22" s="25" t="n">
        <v>8</v>
      </c>
      <c r="H22" s="8">
        <f>IF(OR($A22="",$B22="",$F22=""),"",ROUND(IF($F$3="",0,MAX(0,$F22-$F$3))+IF($D$3="",0,MIN($F22-IF($F$3="",0,MAX(0,$F22-$F$3)),MAX(0,SUMIFS($F$5:$F$304,$A$5:$A$304,$A22&amp;"",$B$5:$B$304,"&gt;="&amp;($B22-MOD(WEEKDAY($B22)-$B$3,7)),$B$5:$B$304,"&lt;="&amp;$B22)-IF($F$3="",0,SUMIFS($F$5:$F$304,$A$5:$A$304,$A22&amp;"",$B$5:$B$304,"&gt;="&amp;($B22-MOD(WEEKDAY($B22)-$B$3,7)),$B$5:$B$304,"&lt;="&amp;$B22,$F$5:$F$304,"&gt;"&amp;$F$3)-$F$3*COUNTIFS($A$5:$A$304,$A22&amp;"",$B$5:$B$304,"&gt;="&amp;($B22-MOD(WEEKDAY($B22)-$B$3,7)),$B$5:$B$304,"&lt;="&amp;$B22,$F$5:$F$304,"&gt;"&amp;$F$3))-$D$3))),2))</f>
        <v/>
      </c>
      <c r="I22" s="26" t="n"/>
      <c r="J22" s="27">
        <f>IF(AND($A22="",$C22="",$D22=""),"",IF(OR($C22&gt;=1,$D22&gt;=1),"⚠ type the time with a colon: 9:00 AM, not 9",IF(AND($C22&lt;&gt;"",$C22=$D22),"⚠ clock-in equals clock-out: the shift adds 0 h",IF(AND($C22&lt;&gt;"",$D22&lt;&gt;"",IF($E22="",0,$E22)&gt;MOD($D22-$C22,1)*24),"⚠ the break is longer than the shift",IF(AND($A22&lt;&gt;"",COUNTIF('Monthly OT Summary'!$A$6:$A$35,$A22&amp;"")=0),"⚠ name not in Monthly OT Summary: its hours are not added","")))))</f>
        <v/>
      </c>
    </row>
    <row r="23">
      <c r="A23" s="21" t="n"/>
      <c r="B23" s="40" t="n"/>
      <c r="C23" s="41" t="n"/>
      <c r="D23" s="41" t="n"/>
      <c r="E23" s="24" t="n"/>
      <c r="F23" s="8">
        <f>IF(OR($C23="",$D23=""),"",IF(OR($C23&gt;=1,$D23&gt;=1,$C23=$D23,IF($E23="",0,$E23)&gt;MOD($D23-$C23,1)*24),"",ROUND(MOD($D23-$C23,1)*24-IF($E23="",0,$E23),2)))</f>
        <v/>
      </c>
      <c r="G23" s="25" t="n">
        <v>8</v>
      </c>
      <c r="H23" s="8">
        <f>IF(OR($A23="",$B23="",$F23=""),"",ROUND(IF($F$3="",0,MAX(0,$F23-$F$3))+IF($D$3="",0,MIN($F23-IF($F$3="",0,MAX(0,$F23-$F$3)),MAX(0,SUMIFS($F$5:$F$304,$A$5:$A$304,$A23&amp;"",$B$5:$B$304,"&gt;="&amp;($B23-MOD(WEEKDAY($B23)-$B$3,7)),$B$5:$B$304,"&lt;="&amp;$B23)-IF($F$3="",0,SUMIFS($F$5:$F$304,$A$5:$A$304,$A23&amp;"",$B$5:$B$304,"&gt;="&amp;($B23-MOD(WEEKDAY($B23)-$B$3,7)),$B$5:$B$304,"&lt;="&amp;$B23,$F$5:$F$304,"&gt;"&amp;$F$3)-$F$3*COUNTIFS($A$5:$A$304,$A23&amp;"",$B$5:$B$304,"&gt;="&amp;($B23-MOD(WEEKDAY($B23)-$B$3,7)),$B$5:$B$304,"&lt;="&amp;$B23,$F$5:$F$304,"&gt;"&amp;$F$3))-$D$3))),2))</f>
        <v/>
      </c>
      <c r="I23" s="26" t="n"/>
      <c r="J23" s="27">
        <f>IF(AND($A23="",$C23="",$D23=""),"",IF(OR($C23&gt;=1,$D23&gt;=1),"⚠ type the time with a colon: 9:00 AM, not 9",IF(AND($C23&lt;&gt;"",$C23=$D23),"⚠ clock-in equals clock-out: the shift adds 0 h",IF(AND($C23&lt;&gt;"",$D23&lt;&gt;"",IF($E23="",0,$E23)&gt;MOD($D23-$C23,1)*24),"⚠ the break is longer than the shift",IF(AND($A23&lt;&gt;"",COUNTIF('Monthly OT Summary'!$A$6:$A$35,$A23&amp;"")=0),"⚠ name not in Monthly OT Summary: its hours are not added","")))))</f>
        <v/>
      </c>
    </row>
    <row r="24">
      <c r="A24" s="21" t="n"/>
      <c r="B24" s="40" t="n"/>
      <c r="C24" s="41" t="n"/>
      <c r="D24" s="41" t="n"/>
      <c r="E24" s="24" t="n"/>
      <c r="F24" s="8">
        <f>IF(OR($C24="",$D24=""),"",IF(OR($C24&gt;=1,$D24&gt;=1,$C24=$D24,IF($E24="",0,$E24)&gt;MOD($D24-$C24,1)*24),"",ROUND(MOD($D24-$C24,1)*24-IF($E24="",0,$E24),2)))</f>
        <v/>
      </c>
      <c r="G24" s="25" t="n">
        <v>8</v>
      </c>
      <c r="H24" s="8">
        <f>IF(OR($A24="",$B24="",$F24=""),"",ROUND(IF($F$3="",0,MAX(0,$F24-$F$3))+IF($D$3="",0,MIN($F24-IF($F$3="",0,MAX(0,$F24-$F$3)),MAX(0,SUMIFS($F$5:$F$304,$A$5:$A$304,$A24&amp;"",$B$5:$B$304,"&gt;="&amp;($B24-MOD(WEEKDAY($B24)-$B$3,7)),$B$5:$B$304,"&lt;="&amp;$B24)-IF($F$3="",0,SUMIFS($F$5:$F$304,$A$5:$A$304,$A24&amp;"",$B$5:$B$304,"&gt;="&amp;($B24-MOD(WEEKDAY($B24)-$B$3,7)),$B$5:$B$304,"&lt;="&amp;$B24,$F$5:$F$304,"&gt;"&amp;$F$3)-$F$3*COUNTIFS($A$5:$A$304,$A24&amp;"",$B$5:$B$304,"&gt;="&amp;($B24-MOD(WEEKDAY($B24)-$B$3,7)),$B$5:$B$304,"&lt;="&amp;$B24,$F$5:$F$304,"&gt;"&amp;$F$3))-$D$3))),2))</f>
        <v/>
      </c>
      <c r="I24" s="26" t="n"/>
      <c r="J24" s="27">
        <f>IF(AND($A24="",$C24="",$D24=""),"",IF(OR($C24&gt;=1,$D24&gt;=1),"⚠ type the time with a colon: 9:00 AM, not 9",IF(AND($C24&lt;&gt;"",$C24=$D24),"⚠ clock-in equals clock-out: the shift adds 0 h",IF(AND($C24&lt;&gt;"",$D24&lt;&gt;"",IF($E24="",0,$E24)&gt;MOD($D24-$C24,1)*24),"⚠ the break is longer than the shift",IF(AND($A24&lt;&gt;"",COUNTIF('Monthly OT Summary'!$A$6:$A$35,$A24&amp;"")=0),"⚠ name not in Monthly OT Summary: its hours are not added","")))))</f>
        <v/>
      </c>
    </row>
    <row r="25">
      <c r="A25" s="21" t="n"/>
      <c r="B25" s="40" t="n"/>
      <c r="C25" s="41" t="n"/>
      <c r="D25" s="41" t="n"/>
      <c r="E25" s="24" t="n"/>
      <c r="F25" s="8">
        <f>IF(OR($C25="",$D25=""),"",IF(OR($C25&gt;=1,$D25&gt;=1,$C25=$D25,IF($E25="",0,$E25)&gt;MOD($D25-$C25,1)*24),"",ROUND(MOD($D25-$C25,1)*24-IF($E25="",0,$E25),2)))</f>
        <v/>
      </c>
      <c r="G25" s="25" t="n">
        <v>8</v>
      </c>
      <c r="H25" s="8">
        <f>IF(OR($A25="",$B25="",$F25=""),"",ROUND(IF($F$3="",0,MAX(0,$F25-$F$3))+IF($D$3="",0,MIN($F25-IF($F$3="",0,MAX(0,$F25-$F$3)),MAX(0,SUMIFS($F$5:$F$304,$A$5:$A$304,$A25&amp;"",$B$5:$B$304,"&gt;="&amp;($B25-MOD(WEEKDAY($B25)-$B$3,7)),$B$5:$B$304,"&lt;="&amp;$B25)-IF($F$3="",0,SUMIFS($F$5:$F$304,$A$5:$A$304,$A25&amp;"",$B$5:$B$304,"&gt;="&amp;($B25-MOD(WEEKDAY($B25)-$B$3,7)),$B$5:$B$304,"&lt;="&amp;$B25,$F$5:$F$304,"&gt;"&amp;$F$3)-$F$3*COUNTIFS($A$5:$A$304,$A25&amp;"",$B$5:$B$304,"&gt;="&amp;($B25-MOD(WEEKDAY($B25)-$B$3,7)),$B$5:$B$304,"&lt;="&amp;$B25,$F$5:$F$304,"&gt;"&amp;$F$3))-$D$3))),2))</f>
        <v/>
      </c>
      <c r="I25" s="26" t="n"/>
      <c r="J25" s="27">
        <f>IF(AND($A25="",$C25="",$D25=""),"",IF(OR($C25&gt;=1,$D25&gt;=1),"⚠ type the time with a colon: 9:00 AM, not 9",IF(AND($C25&lt;&gt;"",$C25=$D25),"⚠ clock-in equals clock-out: the shift adds 0 h",IF(AND($C25&lt;&gt;"",$D25&lt;&gt;"",IF($E25="",0,$E25)&gt;MOD($D25-$C25,1)*24),"⚠ the break is longer than the shift",IF(AND($A25&lt;&gt;"",COUNTIF('Monthly OT Summary'!$A$6:$A$35,$A25&amp;"")=0),"⚠ name not in Monthly OT Summary: its hours are not added","")))))</f>
        <v/>
      </c>
    </row>
    <row r="26">
      <c r="A26" s="21" t="n"/>
      <c r="B26" s="40" t="n"/>
      <c r="C26" s="41" t="n"/>
      <c r="D26" s="41" t="n"/>
      <c r="E26" s="24" t="n"/>
      <c r="F26" s="8">
        <f>IF(OR($C26="",$D26=""),"",IF(OR($C26&gt;=1,$D26&gt;=1,$C26=$D26,IF($E26="",0,$E26)&gt;MOD($D26-$C26,1)*24),"",ROUND(MOD($D26-$C26,1)*24-IF($E26="",0,$E26),2)))</f>
        <v/>
      </c>
      <c r="G26" s="25" t="n">
        <v>8</v>
      </c>
      <c r="H26" s="8">
        <f>IF(OR($A26="",$B26="",$F26=""),"",ROUND(IF($F$3="",0,MAX(0,$F26-$F$3))+IF($D$3="",0,MIN($F26-IF($F$3="",0,MAX(0,$F26-$F$3)),MAX(0,SUMIFS($F$5:$F$304,$A$5:$A$304,$A26&amp;"",$B$5:$B$304,"&gt;="&amp;($B26-MOD(WEEKDAY($B26)-$B$3,7)),$B$5:$B$304,"&lt;="&amp;$B26)-IF($F$3="",0,SUMIFS($F$5:$F$304,$A$5:$A$304,$A26&amp;"",$B$5:$B$304,"&gt;="&amp;($B26-MOD(WEEKDAY($B26)-$B$3,7)),$B$5:$B$304,"&lt;="&amp;$B26,$F$5:$F$304,"&gt;"&amp;$F$3)-$F$3*COUNTIFS($A$5:$A$304,$A26&amp;"",$B$5:$B$304,"&gt;="&amp;($B26-MOD(WEEKDAY($B26)-$B$3,7)),$B$5:$B$304,"&lt;="&amp;$B26,$F$5:$F$304,"&gt;"&amp;$F$3))-$D$3))),2))</f>
        <v/>
      </c>
      <c r="I26" s="26" t="n"/>
      <c r="J26" s="27">
        <f>IF(AND($A26="",$C26="",$D26=""),"",IF(OR($C26&gt;=1,$D26&gt;=1),"⚠ type the time with a colon: 9:00 AM, not 9",IF(AND($C26&lt;&gt;"",$C26=$D26),"⚠ clock-in equals clock-out: the shift adds 0 h",IF(AND($C26&lt;&gt;"",$D26&lt;&gt;"",IF($E26="",0,$E26)&gt;MOD($D26-$C26,1)*24),"⚠ the break is longer than the shift",IF(AND($A26&lt;&gt;"",COUNTIF('Monthly OT Summary'!$A$6:$A$35,$A26&amp;"")=0),"⚠ name not in Monthly OT Summary: its hours are not added","")))))</f>
        <v/>
      </c>
    </row>
    <row r="27">
      <c r="A27" s="21" t="n"/>
      <c r="B27" s="40" t="n"/>
      <c r="C27" s="41" t="n"/>
      <c r="D27" s="41" t="n"/>
      <c r="E27" s="24" t="n"/>
      <c r="F27" s="8">
        <f>IF(OR($C27="",$D27=""),"",IF(OR($C27&gt;=1,$D27&gt;=1,$C27=$D27,IF($E27="",0,$E27)&gt;MOD($D27-$C27,1)*24),"",ROUND(MOD($D27-$C27,1)*24-IF($E27="",0,$E27),2)))</f>
        <v/>
      </c>
      <c r="G27" s="25" t="n">
        <v>8</v>
      </c>
      <c r="H27" s="8">
        <f>IF(OR($A27="",$B27="",$F27=""),"",ROUND(IF($F$3="",0,MAX(0,$F27-$F$3))+IF($D$3="",0,MIN($F27-IF($F$3="",0,MAX(0,$F27-$F$3)),MAX(0,SUMIFS($F$5:$F$304,$A$5:$A$304,$A27&amp;"",$B$5:$B$304,"&gt;="&amp;($B27-MOD(WEEKDAY($B27)-$B$3,7)),$B$5:$B$304,"&lt;="&amp;$B27)-IF($F$3="",0,SUMIFS($F$5:$F$304,$A$5:$A$304,$A27&amp;"",$B$5:$B$304,"&gt;="&amp;($B27-MOD(WEEKDAY($B27)-$B$3,7)),$B$5:$B$304,"&lt;="&amp;$B27,$F$5:$F$304,"&gt;"&amp;$F$3)-$F$3*COUNTIFS($A$5:$A$304,$A27&amp;"",$B$5:$B$304,"&gt;="&amp;($B27-MOD(WEEKDAY($B27)-$B$3,7)),$B$5:$B$304,"&lt;="&amp;$B27,$F$5:$F$304,"&gt;"&amp;$F$3))-$D$3))),2))</f>
        <v/>
      </c>
      <c r="I27" s="26" t="n"/>
      <c r="J27" s="27">
        <f>IF(AND($A27="",$C27="",$D27=""),"",IF(OR($C27&gt;=1,$D27&gt;=1),"⚠ type the time with a colon: 9:00 AM, not 9",IF(AND($C27&lt;&gt;"",$C27=$D27),"⚠ clock-in equals clock-out: the shift adds 0 h",IF(AND($C27&lt;&gt;"",$D27&lt;&gt;"",IF($E27="",0,$E27)&gt;MOD($D27-$C27,1)*24),"⚠ the break is longer than the shift",IF(AND($A27&lt;&gt;"",COUNTIF('Monthly OT Summary'!$A$6:$A$35,$A27&amp;"")=0),"⚠ name not in Monthly OT Summary: its hours are not added","")))))</f>
        <v/>
      </c>
    </row>
    <row r="28">
      <c r="A28" s="21" t="n"/>
      <c r="B28" s="40" t="n"/>
      <c r="C28" s="41" t="n"/>
      <c r="D28" s="41" t="n"/>
      <c r="E28" s="24" t="n"/>
      <c r="F28" s="8">
        <f>IF(OR($C28="",$D28=""),"",IF(OR($C28&gt;=1,$D28&gt;=1,$C28=$D28,IF($E28="",0,$E28)&gt;MOD($D28-$C28,1)*24),"",ROUND(MOD($D28-$C28,1)*24-IF($E28="",0,$E28),2)))</f>
        <v/>
      </c>
      <c r="G28" s="25" t="n">
        <v>8</v>
      </c>
      <c r="H28" s="8">
        <f>IF(OR($A28="",$B28="",$F28=""),"",ROUND(IF($F$3="",0,MAX(0,$F28-$F$3))+IF($D$3="",0,MIN($F28-IF($F$3="",0,MAX(0,$F28-$F$3)),MAX(0,SUMIFS($F$5:$F$304,$A$5:$A$304,$A28&amp;"",$B$5:$B$304,"&gt;="&amp;($B28-MOD(WEEKDAY($B28)-$B$3,7)),$B$5:$B$304,"&lt;="&amp;$B28)-IF($F$3="",0,SUMIFS($F$5:$F$304,$A$5:$A$304,$A28&amp;"",$B$5:$B$304,"&gt;="&amp;($B28-MOD(WEEKDAY($B28)-$B$3,7)),$B$5:$B$304,"&lt;="&amp;$B28,$F$5:$F$304,"&gt;"&amp;$F$3)-$F$3*COUNTIFS($A$5:$A$304,$A28&amp;"",$B$5:$B$304,"&gt;="&amp;($B28-MOD(WEEKDAY($B28)-$B$3,7)),$B$5:$B$304,"&lt;="&amp;$B28,$F$5:$F$304,"&gt;"&amp;$F$3))-$D$3))),2))</f>
        <v/>
      </c>
      <c r="I28" s="26" t="n"/>
      <c r="J28" s="27">
        <f>IF(AND($A28="",$C28="",$D28=""),"",IF(OR($C28&gt;=1,$D28&gt;=1),"⚠ type the time with a colon: 9:00 AM, not 9",IF(AND($C28&lt;&gt;"",$C28=$D28),"⚠ clock-in equals clock-out: the shift adds 0 h",IF(AND($C28&lt;&gt;"",$D28&lt;&gt;"",IF($E28="",0,$E28)&gt;MOD($D28-$C28,1)*24),"⚠ the break is longer than the shift",IF(AND($A28&lt;&gt;"",COUNTIF('Monthly OT Summary'!$A$6:$A$35,$A28&amp;"")=0),"⚠ name not in Monthly OT Summary: its hours are not added","")))))</f>
        <v/>
      </c>
    </row>
    <row r="29">
      <c r="A29" s="21" t="n"/>
      <c r="B29" s="40" t="n"/>
      <c r="C29" s="41" t="n"/>
      <c r="D29" s="41" t="n"/>
      <c r="E29" s="24" t="n"/>
      <c r="F29" s="8">
        <f>IF(OR($C29="",$D29=""),"",IF(OR($C29&gt;=1,$D29&gt;=1,$C29=$D29,IF($E29="",0,$E29)&gt;MOD($D29-$C29,1)*24),"",ROUND(MOD($D29-$C29,1)*24-IF($E29="",0,$E29),2)))</f>
        <v/>
      </c>
      <c r="G29" s="25" t="n">
        <v>8</v>
      </c>
      <c r="H29" s="8">
        <f>IF(OR($A29="",$B29="",$F29=""),"",ROUND(IF($F$3="",0,MAX(0,$F29-$F$3))+IF($D$3="",0,MIN($F29-IF($F$3="",0,MAX(0,$F29-$F$3)),MAX(0,SUMIFS($F$5:$F$304,$A$5:$A$304,$A29&amp;"",$B$5:$B$304,"&gt;="&amp;($B29-MOD(WEEKDAY($B29)-$B$3,7)),$B$5:$B$304,"&lt;="&amp;$B29)-IF($F$3="",0,SUMIFS($F$5:$F$304,$A$5:$A$304,$A29&amp;"",$B$5:$B$304,"&gt;="&amp;($B29-MOD(WEEKDAY($B29)-$B$3,7)),$B$5:$B$304,"&lt;="&amp;$B29,$F$5:$F$304,"&gt;"&amp;$F$3)-$F$3*COUNTIFS($A$5:$A$304,$A29&amp;"",$B$5:$B$304,"&gt;="&amp;($B29-MOD(WEEKDAY($B29)-$B$3,7)),$B$5:$B$304,"&lt;="&amp;$B29,$F$5:$F$304,"&gt;"&amp;$F$3))-$D$3))),2))</f>
        <v/>
      </c>
      <c r="I29" s="26" t="n"/>
      <c r="J29" s="27">
        <f>IF(AND($A29="",$C29="",$D29=""),"",IF(OR($C29&gt;=1,$D29&gt;=1),"⚠ type the time with a colon: 9:00 AM, not 9",IF(AND($C29&lt;&gt;"",$C29=$D29),"⚠ clock-in equals clock-out: the shift adds 0 h",IF(AND($C29&lt;&gt;"",$D29&lt;&gt;"",IF($E29="",0,$E29)&gt;MOD($D29-$C29,1)*24),"⚠ the break is longer than the shift",IF(AND($A29&lt;&gt;"",COUNTIF('Monthly OT Summary'!$A$6:$A$35,$A29&amp;"")=0),"⚠ name not in Monthly OT Summary: its hours are not added","")))))</f>
        <v/>
      </c>
    </row>
    <row r="30">
      <c r="A30" s="21" t="n"/>
      <c r="B30" s="40" t="n"/>
      <c r="C30" s="41" t="n"/>
      <c r="D30" s="41" t="n"/>
      <c r="E30" s="24" t="n"/>
      <c r="F30" s="8">
        <f>IF(OR($C30="",$D30=""),"",IF(OR($C30&gt;=1,$D30&gt;=1,$C30=$D30,IF($E30="",0,$E30)&gt;MOD($D30-$C30,1)*24),"",ROUND(MOD($D30-$C30,1)*24-IF($E30="",0,$E30),2)))</f>
        <v/>
      </c>
      <c r="G30" s="25" t="n">
        <v>8</v>
      </c>
      <c r="H30" s="8">
        <f>IF(OR($A30="",$B30="",$F30=""),"",ROUND(IF($F$3="",0,MAX(0,$F30-$F$3))+IF($D$3="",0,MIN($F30-IF($F$3="",0,MAX(0,$F30-$F$3)),MAX(0,SUMIFS($F$5:$F$304,$A$5:$A$304,$A30&amp;"",$B$5:$B$304,"&gt;="&amp;($B30-MOD(WEEKDAY($B30)-$B$3,7)),$B$5:$B$304,"&lt;="&amp;$B30)-IF($F$3="",0,SUMIFS($F$5:$F$304,$A$5:$A$304,$A30&amp;"",$B$5:$B$304,"&gt;="&amp;($B30-MOD(WEEKDAY($B30)-$B$3,7)),$B$5:$B$304,"&lt;="&amp;$B30,$F$5:$F$304,"&gt;"&amp;$F$3)-$F$3*COUNTIFS($A$5:$A$304,$A30&amp;"",$B$5:$B$304,"&gt;="&amp;($B30-MOD(WEEKDAY($B30)-$B$3,7)),$B$5:$B$304,"&lt;="&amp;$B30,$F$5:$F$304,"&gt;"&amp;$F$3))-$D$3))),2))</f>
        <v/>
      </c>
      <c r="I30" s="26" t="n"/>
      <c r="J30" s="27">
        <f>IF(AND($A30="",$C30="",$D30=""),"",IF(OR($C30&gt;=1,$D30&gt;=1),"⚠ type the time with a colon: 9:00 AM, not 9",IF(AND($C30&lt;&gt;"",$C30=$D30),"⚠ clock-in equals clock-out: the shift adds 0 h",IF(AND($C30&lt;&gt;"",$D30&lt;&gt;"",IF($E30="",0,$E30)&gt;MOD($D30-$C30,1)*24),"⚠ the break is longer than the shift",IF(AND($A30&lt;&gt;"",COUNTIF('Monthly OT Summary'!$A$6:$A$35,$A30&amp;"")=0),"⚠ name not in Monthly OT Summary: its hours are not added","")))))</f>
        <v/>
      </c>
    </row>
    <row r="31">
      <c r="A31" s="21" t="n"/>
      <c r="B31" s="40" t="n"/>
      <c r="C31" s="41" t="n"/>
      <c r="D31" s="41" t="n"/>
      <c r="E31" s="24" t="n"/>
      <c r="F31" s="8">
        <f>IF(OR($C31="",$D31=""),"",IF(OR($C31&gt;=1,$D31&gt;=1,$C31=$D31,IF($E31="",0,$E31)&gt;MOD($D31-$C31,1)*24),"",ROUND(MOD($D31-$C31,1)*24-IF($E31="",0,$E31),2)))</f>
        <v/>
      </c>
      <c r="G31" s="25" t="n">
        <v>8</v>
      </c>
      <c r="H31" s="8">
        <f>IF(OR($A31="",$B31="",$F31=""),"",ROUND(IF($F$3="",0,MAX(0,$F31-$F$3))+IF($D$3="",0,MIN($F31-IF($F$3="",0,MAX(0,$F31-$F$3)),MAX(0,SUMIFS($F$5:$F$304,$A$5:$A$304,$A31&amp;"",$B$5:$B$304,"&gt;="&amp;($B31-MOD(WEEKDAY($B31)-$B$3,7)),$B$5:$B$304,"&lt;="&amp;$B31)-IF($F$3="",0,SUMIFS($F$5:$F$304,$A$5:$A$304,$A31&amp;"",$B$5:$B$304,"&gt;="&amp;($B31-MOD(WEEKDAY($B31)-$B$3,7)),$B$5:$B$304,"&lt;="&amp;$B31,$F$5:$F$304,"&gt;"&amp;$F$3)-$F$3*COUNTIFS($A$5:$A$304,$A31&amp;"",$B$5:$B$304,"&gt;="&amp;($B31-MOD(WEEKDAY($B31)-$B$3,7)),$B$5:$B$304,"&lt;="&amp;$B31,$F$5:$F$304,"&gt;"&amp;$F$3))-$D$3))),2))</f>
        <v/>
      </c>
      <c r="I31" s="26" t="n"/>
      <c r="J31" s="27">
        <f>IF(AND($A31="",$C31="",$D31=""),"",IF(OR($C31&gt;=1,$D31&gt;=1),"⚠ type the time with a colon: 9:00 AM, not 9",IF(AND($C31&lt;&gt;"",$C31=$D31),"⚠ clock-in equals clock-out: the shift adds 0 h",IF(AND($C31&lt;&gt;"",$D31&lt;&gt;"",IF($E31="",0,$E31)&gt;MOD($D31-$C31,1)*24),"⚠ the break is longer than the shift",IF(AND($A31&lt;&gt;"",COUNTIF('Monthly OT Summary'!$A$6:$A$35,$A31&amp;"")=0),"⚠ name not in Monthly OT Summary: its hours are not added","")))))</f>
        <v/>
      </c>
    </row>
    <row r="32">
      <c r="A32" s="21" t="n"/>
      <c r="B32" s="40" t="n"/>
      <c r="C32" s="41" t="n"/>
      <c r="D32" s="41" t="n"/>
      <c r="E32" s="24" t="n"/>
      <c r="F32" s="8">
        <f>IF(OR($C32="",$D32=""),"",IF(OR($C32&gt;=1,$D32&gt;=1,$C32=$D32,IF($E32="",0,$E32)&gt;MOD($D32-$C32,1)*24),"",ROUND(MOD($D32-$C32,1)*24-IF($E32="",0,$E32),2)))</f>
        <v/>
      </c>
      <c r="G32" s="25" t="n">
        <v>8</v>
      </c>
      <c r="H32" s="8">
        <f>IF(OR($A32="",$B32="",$F32=""),"",ROUND(IF($F$3="",0,MAX(0,$F32-$F$3))+IF($D$3="",0,MIN($F32-IF($F$3="",0,MAX(0,$F32-$F$3)),MAX(0,SUMIFS($F$5:$F$304,$A$5:$A$304,$A32&amp;"",$B$5:$B$304,"&gt;="&amp;($B32-MOD(WEEKDAY($B32)-$B$3,7)),$B$5:$B$304,"&lt;="&amp;$B32)-IF($F$3="",0,SUMIFS($F$5:$F$304,$A$5:$A$304,$A32&amp;"",$B$5:$B$304,"&gt;="&amp;($B32-MOD(WEEKDAY($B32)-$B$3,7)),$B$5:$B$304,"&lt;="&amp;$B32,$F$5:$F$304,"&gt;"&amp;$F$3)-$F$3*COUNTIFS($A$5:$A$304,$A32&amp;"",$B$5:$B$304,"&gt;="&amp;($B32-MOD(WEEKDAY($B32)-$B$3,7)),$B$5:$B$304,"&lt;="&amp;$B32,$F$5:$F$304,"&gt;"&amp;$F$3))-$D$3))),2))</f>
        <v/>
      </c>
      <c r="I32" s="26" t="n"/>
      <c r="J32" s="27">
        <f>IF(AND($A32="",$C32="",$D32=""),"",IF(OR($C32&gt;=1,$D32&gt;=1),"⚠ type the time with a colon: 9:00 AM, not 9",IF(AND($C32&lt;&gt;"",$C32=$D32),"⚠ clock-in equals clock-out: the shift adds 0 h",IF(AND($C32&lt;&gt;"",$D32&lt;&gt;"",IF($E32="",0,$E32)&gt;MOD($D32-$C32,1)*24),"⚠ the break is longer than the shift",IF(AND($A32&lt;&gt;"",COUNTIF('Monthly OT Summary'!$A$6:$A$35,$A32&amp;"")=0),"⚠ name not in Monthly OT Summary: its hours are not added","")))))</f>
        <v/>
      </c>
    </row>
    <row r="33">
      <c r="A33" s="21" t="n"/>
      <c r="B33" s="40" t="n"/>
      <c r="C33" s="41" t="n"/>
      <c r="D33" s="41" t="n"/>
      <c r="E33" s="24" t="n"/>
      <c r="F33" s="8">
        <f>IF(OR($C33="",$D33=""),"",IF(OR($C33&gt;=1,$D33&gt;=1,$C33=$D33,IF($E33="",0,$E33)&gt;MOD($D33-$C33,1)*24),"",ROUND(MOD($D33-$C33,1)*24-IF($E33="",0,$E33),2)))</f>
        <v/>
      </c>
      <c r="G33" s="25" t="n">
        <v>8</v>
      </c>
      <c r="H33" s="8">
        <f>IF(OR($A33="",$B33="",$F33=""),"",ROUND(IF($F$3="",0,MAX(0,$F33-$F$3))+IF($D$3="",0,MIN($F33-IF($F$3="",0,MAX(0,$F33-$F$3)),MAX(0,SUMIFS($F$5:$F$304,$A$5:$A$304,$A33&amp;"",$B$5:$B$304,"&gt;="&amp;($B33-MOD(WEEKDAY($B33)-$B$3,7)),$B$5:$B$304,"&lt;="&amp;$B33)-IF($F$3="",0,SUMIFS($F$5:$F$304,$A$5:$A$304,$A33&amp;"",$B$5:$B$304,"&gt;="&amp;($B33-MOD(WEEKDAY($B33)-$B$3,7)),$B$5:$B$304,"&lt;="&amp;$B33,$F$5:$F$304,"&gt;"&amp;$F$3)-$F$3*COUNTIFS($A$5:$A$304,$A33&amp;"",$B$5:$B$304,"&gt;="&amp;($B33-MOD(WEEKDAY($B33)-$B$3,7)),$B$5:$B$304,"&lt;="&amp;$B33,$F$5:$F$304,"&gt;"&amp;$F$3))-$D$3))),2))</f>
        <v/>
      </c>
      <c r="I33" s="26" t="n"/>
      <c r="J33" s="27">
        <f>IF(AND($A33="",$C33="",$D33=""),"",IF(OR($C33&gt;=1,$D33&gt;=1),"⚠ type the time with a colon: 9:00 AM, not 9",IF(AND($C33&lt;&gt;"",$C33=$D33),"⚠ clock-in equals clock-out: the shift adds 0 h",IF(AND($C33&lt;&gt;"",$D33&lt;&gt;"",IF($E33="",0,$E33)&gt;MOD($D33-$C33,1)*24),"⚠ the break is longer than the shift",IF(AND($A33&lt;&gt;"",COUNTIF('Monthly OT Summary'!$A$6:$A$35,$A33&amp;"")=0),"⚠ name not in Monthly OT Summary: its hours are not added","")))))</f>
        <v/>
      </c>
    </row>
    <row r="34">
      <c r="A34" s="21" t="n"/>
      <c r="B34" s="40" t="n"/>
      <c r="C34" s="41" t="n"/>
      <c r="D34" s="41" t="n"/>
      <c r="E34" s="24" t="n"/>
      <c r="F34" s="8">
        <f>IF(OR($C34="",$D34=""),"",IF(OR($C34&gt;=1,$D34&gt;=1,$C34=$D34,IF($E34="",0,$E34)&gt;MOD($D34-$C34,1)*24),"",ROUND(MOD($D34-$C34,1)*24-IF($E34="",0,$E34),2)))</f>
        <v/>
      </c>
      <c r="G34" s="25" t="n">
        <v>8</v>
      </c>
      <c r="H34" s="8">
        <f>IF(OR($A34="",$B34="",$F34=""),"",ROUND(IF($F$3="",0,MAX(0,$F34-$F$3))+IF($D$3="",0,MIN($F34-IF($F$3="",0,MAX(0,$F34-$F$3)),MAX(0,SUMIFS($F$5:$F$304,$A$5:$A$304,$A34&amp;"",$B$5:$B$304,"&gt;="&amp;($B34-MOD(WEEKDAY($B34)-$B$3,7)),$B$5:$B$304,"&lt;="&amp;$B34)-IF($F$3="",0,SUMIFS($F$5:$F$304,$A$5:$A$304,$A34&amp;"",$B$5:$B$304,"&gt;="&amp;($B34-MOD(WEEKDAY($B34)-$B$3,7)),$B$5:$B$304,"&lt;="&amp;$B34,$F$5:$F$304,"&gt;"&amp;$F$3)-$F$3*COUNTIFS($A$5:$A$304,$A34&amp;"",$B$5:$B$304,"&gt;="&amp;($B34-MOD(WEEKDAY($B34)-$B$3,7)),$B$5:$B$304,"&lt;="&amp;$B34,$F$5:$F$304,"&gt;"&amp;$F$3))-$D$3))),2))</f>
        <v/>
      </c>
      <c r="I34" s="26" t="n"/>
      <c r="J34" s="27">
        <f>IF(AND($A34="",$C34="",$D34=""),"",IF(OR($C34&gt;=1,$D34&gt;=1),"⚠ type the time with a colon: 9:00 AM, not 9",IF(AND($C34&lt;&gt;"",$C34=$D34),"⚠ clock-in equals clock-out: the shift adds 0 h",IF(AND($C34&lt;&gt;"",$D34&lt;&gt;"",IF($E34="",0,$E34)&gt;MOD($D34-$C34,1)*24),"⚠ the break is longer than the shift",IF(AND($A34&lt;&gt;"",COUNTIF('Monthly OT Summary'!$A$6:$A$35,$A34&amp;"")=0),"⚠ name not in Monthly OT Summary: its hours are not added","")))))</f>
        <v/>
      </c>
    </row>
    <row r="35">
      <c r="A35" s="21" t="n"/>
      <c r="B35" s="40" t="n"/>
      <c r="C35" s="41" t="n"/>
      <c r="D35" s="41" t="n"/>
      <c r="E35" s="24" t="n"/>
      <c r="F35" s="8">
        <f>IF(OR($C35="",$D35=""),"",IF(OR($C35&gt;=1,$D35&gt;=1,$C35=$D35,IF($E35="",0,$E35)&gt;MOD($D35-$C35,1)*24),"",ROUND(MOD($D35-$C35,1)*24-IF($E35="",0,$E35),2)))</f>
        <v/>
      </c>
      <c r="G35" s="25" t="n">
        <v>8</v>
      </c>
      <c r="H35" s="8">
        <f>IF(OR($A35="",$B35="",$F35=""),"",ROUND(IF($F$3="",0,MAX(0,$F35-$F$3))+IF($D$3="",0,MIN($F35-IF($F$3="",0,MAX(0,$F35-$F$3)),MAX(0,SUMIFS($F$5:$F$304,$A$5:$A$304,$A35&amp;"",$B$5:$B$304,"&gt;="&amp;($B35-MOD(WEEKDAY($B35)-$B$3,7)),$B$5:$B$304,"&lt;="&amp;$B35)-IF($F$3="",0,SUMIFS($F$5:$F$304,$A$5:$A$304,$A35&amp;"",$B$5:$B$304,"&gt;="&amp;($B35-MOD(WEEKDAY($B35)-$B$3,7)),$B$5:$B$304,"&lt;="&amp;$B35,$F$5:$F$304,"&gt;"&amp;$F$3)-$F$3*COUNTIFS($A$5:$A$304,$A35&amp;"",$B$5:$B$304,"&gt;="&amp;($B35-MOD(WEEKDAY($B35)-$B$3,7)),$B$5:$B$304,"&lt;="&amp;$B35,$F$5:$F$304,"&gt;"&amp;$F$3))-$D$3))),2))</f>
        <v/>
      </c>
      <c r="I35" s="26" t="n"/>
      <c r="J35" s="27">
        <f>IF(AND($A35="",$C35="",$D35=""),"",IF(OR($C35&gt;=1,$D35&gt;=1),"⚠ type the time with a colon: 9:00 AM, not 9",IF(AND($C35&lt;&gt;"",$C35=$D35),"⚠ clock-in equals clock-out: the shift adds 0 h",IF(AND($C35&lt;&gt;"",$D35&lt;&gt;"",IF($E35="",0,$E35)&gt;MOD($D35-$C35,1)*24),"⚠ the break is longer than the shift",IF(AND($A35&lt;&gt;"",COUNTIF('Monthly OT Summary'!$A$6:$A$35,$A35&amp;"")=0),"⚠ name not in Monthly OT Summary: its hours are not added","")))))</f>
        <v/>
      </c>
    </row>
    <row r="36">
      <c r="A36" s="21" t="n"/>
      <c r="B36" s="40" t="n"/>
      <c r="C36" s="41" t="n"/>
      <c r="D36" s="41" t="n"/>
      <c r="E36" s="24" t="n"/>
      <c r="F36" s="8">
        <f>IF(OR($C36="",$D36=""),"",IF(OR($C36&gt;=1,$D36&gt;=1,$C36=$D36,IF($E36="",0,$E36)&gt;MOD($D36-$C36,1)*24),"",ROUND(MOD($D36-$C36,1)*24-IF($E36="",0,$E36),2)))</f>
        <v/>
      </c>
      <c r="G36" s="25" t="n">
        <v>8</v>
      </c>
      <c r="H36" s="8">
        <f>IF(OR($A36="",$B36="",$F36=""),"",ROUND(IF($F$3="",0,MAX(0,$F36-$F$3))+IF($D$3="",0,MIN($F36-IF($F$3="",0,MAX(0,$F36-$F$3)),MAX(0,SUMIFS($F$5:$F$304,$A$5:$A$304,$A36&amp;"",$B$5:$B$304,"&gt;="&amp;($B36-MOD(WEEKDAY($B36)-$B$3,7)),$B$5:$B$304,"&lt;="&amp;$B36)-IF($F$3="",0,SUMIFS($F$5:$F$304,$A$5:$A$304,$A36&amp;"",$B$5:$B$304,"&gt;="&amp;($B36-MOD(WEEKDAY($B36)-$B$3,7)),$B$5:$B$304,"&lt;="&amp;$B36,$F$5:$F$304,"&gt;"&amp;$F$3)-$F$3*COUNTIFS($A$5:$A$304,$A36&amp;"",$B$5:$B$304,"&gt;="&amp;($B36-MOD(WEEKDAY($B36)-$B$3,7)),$B$5:$B$304,"&lt;="&amp;$B36,$F$5:$F$304,"&gt;"&amp;$F$3))-$D$3))),2))</f>
        <v/>
      </c>
      <c r="I36" s="26" t="n"/>
      <c r="J36" s="27">
        <f>IF(AND($A36="",$C36="",$D36=""),"",IF(OR($C36&gt;=1,$D36&gt;=1),"⚠ type the time with a colon: 9:00 AM, not 9",IF(AND($C36&lt;&gt;"",$C36=$D36),"⚠ clock-in equals clock-out: the shift adds 0 h",IF(AND($C36&lt;&gt;"",$D36&lt;&gt;"",IF($E36="",0,$E36)&gt;MOD($D36-$C36,1)*24),"⚠ the break is longer than the shift",IF(AND($A36&lt;&gt;"",COUNTIF('Monthly OT Summary'!$A$6:$A$35,$A36&amp;"")=0),"⚠ name not in Monthly OT Summary: its hours are not added","")))))</f>
        <v/>
      </c>
    </row>
    <row r="37">
      <c r="A37" s="21" t="n"/>
      <c r="B37" s="40" t="n"/>
      <c r="C37" s="41" t="n"/>
      <c r="D37" s="41" t="n"/>
      <c r="E37" s="24" t="n"/>
      <c r="F37" s="8">
        <f>IF(OR($C37="",$D37=""),"",IF(OR($C37&gt;=1,$D37&gt;=1,$C37=$D37,IF($E37="",0,$E37)&gt;MOD($D37-$C37,1)*24),"",ROUND(MOD($D37-$C37,1)*24-IF($E37="",0,$E37),2)))</f>
        <v/>
      </c>
      <c r="G37" s="25" t="n">
        <v>8</v>
      </c>
      <c r="H37" s="8">
        <f>IF(OR($A37="",$B37="",$F37=""),"",ROUND(IF($F$3="",0,MAX(0,$F37-$F$3))+IF($D$3="",0,MIN($F37-IF($F$3="",0,MAX(0,$F37-$F$3)),MAX(0,SUMIFS($F$5:$F$304,$A$5:$A$304,$A37&amp;"",$B$5:$B$304,"&gt;="&amp;($B37-MOD(WEEKDAY($B37)-$B$3,7)),$B$5:$B$304,"&lt;="&amp;$B37)-IF($F$3="",0,SUMIFS($F$5:$F$304,$A$5:$A$304,$A37&amp;"",$B$5:$B$304,"&gt;="&amp;($B37-MOD(WEEKDAY($B37)-$B$3,7)),$B$5:$B$304,"&lt;="&amp;$B37,$F$5:$F$304,"&gt;"&amp;$F$3)-$F$3*COUNTIFS($A$5:$A$304,$A37&amp;"",$B$5:$B$304,"&gt;="&amp;($B37-MOD(WEEKDAY($B37)-$B$3,7)),$B$5:$B$304,"&lt;="&amp;$B37,$F$5:$F$304,"&gt;"&amp;$F$3))-$D$3))),2))</f>
        <v/>
      </c>
      <c r="I37" s="26" t="n"/>
      <c r="J37" s="27">
        <f>IF(AND($A37="",$C37="",$D37=""),"",IF(OR($C37&gt;=1,$D37&gt;=1),"⚠ type the time with a colon: 9:00 AM, not 9",IF(AND($C37&lt;&gt;"",$C37=$D37),"⚠ clock-in equals clock-out: the shift adds 0 h",IF(AND($C37&lt;&gt;"",$D37&lt;&gt;"",IF($E37="",0,$E37)&gt;MOD($D37-$C37,1)*24),"⚠ the break is longer than the shift",IF(AND($A37&lt;&gt;"",COUNTIF('Monthly OT Summary'!$A$6:$A$35,$A37&amp;"")=0),"⚠ name not in Monthly OT Summary: its hours are not added","")))))</f>
        <v/>
      </c>
    </row>
    <row r="38">
      <c r="A38" s="21" t="n"/>
      <c r="B38" s="40" t="n"/>
      <c r="C38" s="41" t="n"/>
      <c r="D38" s="41" t="n"/>
      <c r="E38" s="24" t="n"/>
      <c r="F38" s="8">
        <f>IF(OR($C38="",$D38=""),"",IF(OR($C38&gt;=1,$D38&gt;=1,$C38=$D38,IF($E38="",0,$E38)&gt;MOD($D38-$C38,1)*24),"",ROUND(MOD($D38-$C38,1)*24-IF($E38="",0,$E38),2)))</f>
        <v/>
      </c>
      <c r="G38" s="25" t="n">
        <v>8</v>
      </c>
      <c r="H38" s="8">
        <f>IF(OR($A38="",$B38="",$F38=""),"",ROUND(IF($F$3="",0,MAX(0,$F38-$F$3))+IF($D$3="",0,MIN($F38-IF($F$3="",0,MAX(0,$F38-$F$3)),MAX(0,SUMIFS($F$5:$F$304,$A$5:$A$304,$A38&amp;"",$B$5:$B$304,"&gt;="&amp;($B38-MOD(WEEKDAY($B38)-$B$3,7)),$B$5:$B$304,"&lt;="&amp;$B38)-IF($F$3="",0,SUMIFS($F$5:$F$304,$A$5:$A$304,$A38&amp;"",$B$5:$B$304,"&gt;="&amp;($B38-MOD(WEEKDAY($B38)-$B$3,7)),$B$5:$B$304,"&lt;="&amp;$B38,$F$5:$F$304,"&gt;"&amp;$F$3)-$F$3*COUNTIFS($A$5:$A$304,$A38&amp;"",$B$5:$B$304,"&gt;="&amp;($B38-MOD(WEEKDAY($B38)-$B$3,7)),$B$5:$B$304,"&lt;="&amp;$B38,$F$5:$F$304,"&gt;"&amp;$F$3))-$D$3))),2))</f>
        <v/>
      </c>
      <c r="I38" s="26" t="n"/>
      <c r="J38" s="27">
        <f>IF(AND($A38="",$C38="",$D38=""),"",IF(OR($C38&gt;=1,$D38&gt;=1),"⚠ type the time with a colon: 9:00 AM, not 9",IF(AND($C38&lt;&gt;"",$C38=$D38),"⚠ clock-in equals clock-out: the shift adds 0 h",IF(AND($C38&lt;&gt;"",$D38&lt;&gt;"",IF($E38="",0,$E38)&gt;MOD($D38-$C38,1)*24),"⚠ the break is longer than the shift",IF(AND($A38&lt;&gt;"",COUNTIF('Monthly OT Summary'!$A$6:$A$35,$A38&amp;"")=0),"⚠ name not in Monthly OT Summary: its hours are not added","")))))</f>
        <v/>
      </c>
    </row>
    <row r="39">
      <c r="A39" s="21" t="n"/>
      <c r="B39" s="40" t="n"/>
      <c r="C39" s="41" t="n"/>
      <c r="D39" s="41" t="n"/>
      <c r="E39" s="24" t="n"/>
      <c r="F39" s="8">
        <f>IF(OR($C39="",$D39=""),"",IF(OR($C39&gt;=1,$D39&gt;=1,$C39=$D39,IF($E39="",0,$E39)&gt;MOD($D39-$C39,1)*24),"",ROUND(MOD($D39-$C39,1)*24-IF($E39="",0,$E39),2)))</f>
        <v/>
      </c>
      <c r="G39" s="25" t="n">
        <v>8</v>
      </c>
      <c r="H39" s="8">
        <f>IF(OR($A39="",$B39="",$F39=""),"",ROUND(IF($F$3="",0,MAX(0,$F39-$F$3))+IF($D$3="",0,MIN($F39-IF($F$3="",0,MAX(0,$F39-$F$3)),MAX(0,SUMIFS($F$5:$F$304,$A$5:$A$304,$A39&amp;"",$B$5:$B$304,"&gt;="&amp;($B39-MOD(WEEKDAY($B39)-$B$3,7)),$B$5:$B$304,"&lt;="&amp;$B39)-IF($F$3="",0,SUMIFS($F$5:$F$304,$A$5:$A$304,$A39&amp;"",$B$5:$B$304,"&gt;="&amp;($B39-MOD(WEEKDAY($B39)-$B$3,7)),$B$5:$B$304,"&lt;="&amp;$B39,$F$5:$F$304,"&gt;"&amp;$F$3)-$F$3*COUNTIFS($A$5:$A$304,$A39&amp;"",$B$5:$B$304,"&gt;="&amp;($B39-MOD(WEEKDAY($B39)-$B$3,7)),$B$5:$B$304,"&lt;="&amp;$B39,$F$5:$F$304,"&gt;"&amp;$F$3))-$D$3))),2))</f>
        <v/>
      </c>
      <c r="I39" s="26" t="n"/>
      <c r="J39" s="27">
        <f>IF(AND($A39="",$C39="",$D39=""),"",IF(OR($C39&gt;=1,$D39&gt;=1),"⚠ type the time with a colon: 9:00 AM, not 9",IF(AND($C39&lt;&gt;"",$C39=$D39),"⚠ clock-in equals clock-out: the shift adds 0 h",IF(AND($C39&lt;&gt;"",$D39&lt;&gt;"",IF($E39="",0,$E39)&gt;MOD($D39-$C39,1)*24),"⚠ the break is longer than the shift",IF(AND($A39&lt;&gt;"",COUNTIF('Monthly OT Summary'!$A$6:$A$35,$A39&amp;"")=0),"⚠ name not in Monthly OT Summary: its hours are not added","")))))</f>
        <v/>
      </c>
    </row>
    <row r="40">
      <c r="A40" s="21" t="n"/>
      <c r="B40" s="40" t="n"/>
      <c r="C40" s="41" t="n"/>
      <c r="D40" s="41" t="n"/>
      <c r="E40" s="24" t="n"/>
      <c r="F40" s="8">
        <f>IF(OR($C40="",$D40=""),"",IF(OR($C40&gt;=1,$D40&gt;=1,$C40=$D40,IF($E40="",0,$E40)&gt;MOD($D40-$C40,1)*24),"",ROUND(MOD($D40-$C40,1)*24-IF($E40="",0,$E40),2)))</f>
        <v/>
      </c>
      <c r="G40" s="25" t="n">
        <v>8</v>
      </c>
      <c r="H40" s="8">
        <f>IF(OR($A40="",$B40="",$F40=""),"",ROUND(IF($F$3="",0,MAX(0,$F40-$F$3))+IF($D$3="",0,MIN($F40-IF($F$3="",0,MAX(0,$F40-$F$3)),MAX(0,SUMIFS($F$5:$F$304,$A$5:$A$304,$A40&amp;"",$B$5:$B$304,"&gt;="&amp;($B40-MOD(WEEKDAY($B40)-$B$3,7)),$B$5:$B$304,"&lt;="&amp;$B40)-IF($F$3="",0,SUMIFS($F$5:$F$304,$A$5:$A$304,$A40&amp;"",$B$5:$B$304,"&gt;="&amp;($B40-MOD(WEEKDAY($B40)-$B$3,7)),$B$5:$B$304,"&lt;="&amp;$B40,$F$5:$F$304,"&gt;"&amp;$F$3)-$F$3*COUNTIFS($A$5:$A$304,$A40&amp;"",$B$5:$B$304,"&gt;="&amp;($B40-MOD(WEEKDAY($B40)-$B$3,7)),$B$5:$B$304,"&lt;="&amp;$B40,$F$5:$F$304,"&gt;"&amp;$F$3))-$D$3))),2))</f>
        <v/>
      </c>
      <c r="I40" s="26" t="n"/>
      <c r="J40" s="27">
        <f>IF(AND($A40="",$C40="",$D40=""),"",IF(OR($C40&gt;=1,$D40&gt;=1),"⚠ type the time with a colon: 9:00 AM, not 9",IF(AND($C40&lt;&gt;"",$C40=$D40),"⚠ clock-in equals clock-out: the shift adds 0 h",IF(AND($C40&lt;&gt;"",$D40&lt;&gt;"",IF($E40="",0,$E40)&gt;MOD($D40-$C40,1)*24),"⚠ the break is longer than the shift",IF(AND($A40&lt;&gt;"",COUNTIF('Monthly OT Summary'!$A$6:$A$35,$A40&amp;"")=0),"⚠ name not in Monthly OT Summary: its hours are not added","")))))</f>
        <v/>
      </c>
    </row>
    <row r="41">
      <c r="A41" s="21" t="n"/>
      <c r="B41" s="40" t="n"/>
      <c r="C41" s="41" t="n"/>
      <c r="D41" s="41" t="n"/>
      <c r="E41" s="24" t="n"/>
      <c r="F41" s="8">
        <f>IF(OR($C41="",$D41=""),"",IF(OR($C41&gt;=1,$D41&gt;=1,$C41=$D41,IF($E41="",0,$E41)&gt;MOD($D41-$C41,1)*24),"",ROUND(MOD($D41-$C41,1)*24-IF($E41="",0,$E41),2)))</f>
        <v/>
      </c>
      <c r="G41" s="25" t="n">
        <v>8</v>
      </c>
      <c r="H41" s="8">
        <f>IF(OR($A41="",$B41="",$F41=""),"",ROUND(IF($F$3="",0,MAX(0,$F41-$F$3))+IF($D$3="",0,MIN($F41-IF($F$3="",0,MAX(0,$F41-$F$3)),MAX(0,SUMIFS($F$5:$F$304,$A$5:$A$304,$A41&amp;"",$B$5:$B$304,"&gt;="&amp;($B41-MOD(WEEKDAY($B41)-$B$3,7)),$B$5:$B$304,"&lt;="&amp;$B41)-IF($F$3="",0,SUMIFS($F$5:$F$304,$A$5:$A$304,$A41&amp;"",$B$5:$B$304,"&gt;="&amp;($B41-MOD(WEEKDAY($B41)-$B$3,7)),$B$5:$B$304,"&lt;="&amp;$B41,$F$5:$F$304,"&gt;"&amp;$F$3)-$F$3*COUNTIFS($A$5:$A$304,$A41&amp;"",$B$5:$B$304,"&gt;="&amp;($B41-MOD(WEEKDAY($B41)-$B$3,7)),$B$5:$B$304,"&lt;="&amp;$B41,$F$5:$F$304,"&gt;"&amp;$F$3))-$D$3))),2))</f>
        <v/>
      </c>
      <c r="I41" s="26" t="n"/>
      <c r="J41" s="27">
        <f>IF(AND($A41="",$C41="",$D41=""),"",IF(OR($C41&gt;=1,$D41&gt;=1),"⚠ type the time with a colon: 9:00 AM, not 9",IF(AND($C41&lt;&gt;"",$C41=$D41),"⚠ clock-in equals clock-out: the shift adds 0 h",IF(AND($C41&lt;&gt;"",$D41&lt;&gt;"",IF($E41="",0,$E41)&gt;MOD($D41-$C41,1)*24),"⚠ the break is longer than the shift",IF(AND($A41&lt;&gt;"",COUNTIF('Monthly OT Summary'!$A$6:$A$35,$A41&amp;"")=0),"⚠ name not in Monthly OT Summary: its hours are not added","")))))</f>
        <v/>
      </c>
    </row>
    <row r="42">
      <c r="A42" s="21" t="n"/>
      <c r="B42" s="40" t="n"/>
      <c r="C42" s="41" t="n"/>
      <c r="D42" s="41" t="n"/>
      <c r="E42" s="24" t="n"/>
      <c r="F42" s="8">
        <f>IF(OR($C42="",$D42=""),"",IF(OR($C42&gt;=1,$D42&gt;=1,$C42=$D42,IF($E42="",0,$E42)&gt;MOD($D42-$C42,1)*24),"",ROUND(MOD($D42-$C42,1)*24-IF($E42="",0,$E42),2)))</f>
        <v/>
      </c>
      <c r="G42" s="25" t="n">
        <v>8</v>
      </c>
      <c r="H42" s="8">
        <f>IF(OR($A42="",$B42="",$F42=""),"",ROUND(IF($F$3="",0,MAX(0,$F42-$F$3))+IF($D$3="",0,MIN($F42-IF($F$3="",0,MAX(0,$F42-$F$3)),MAX(0,SUMIFS($F$5:$F$304,$A$5:$A$304,$A42&amp;"",$B$5:$B$304,"&gt;="&amp;($B42-MOD(WEEKDAY($B42)-$B$3,7)),$B$5:$B$304,"&lt;="&amp;$B42)-IF($F$3="",0,SUMIFS($F$5:$F$304,$A$5:$A$304,$A42&amp;"",$B$5:$B$304,"&gt;="&amp;($B42-MOD(WEEKDAY($B42)-$B$3,7)),$B$5:$B$304,"&lt;="&amp;$B42,$F$5:$F$304,"&gt;"&amp;$F$3)-$F$3*COUNTIFS($A$5:$A$304,$A42&amp;"",$B$5:$B$304,"&gt;="&amp;($B42-MOD(WEEKDAY($B42)-$B$3,7)),$B$5:$B$304,"&lt;="&amp;$B42,$F$5:$F$304,"&gt;"&amp;$F$3))-$D$3))),2))</f>
        <v/>
      </c>
      <c r="I42" s="26" t="n"/>
      <c r="J42" s="27">
        <f>IF(AND($A42="",$C42="",$D42=""),"",IF(OR($C42&gt;=1,$D42&gt;=1),"⚠ type the time with a colon: 9:00 AM, not 9",IF(AND($C42&lt;&gt;"",$C42=$D42),"⚠ clock-in equals clock-out: the shift adds 0 h",IF(AND($C42&lt;&gt;"",$D42&lt;&gt;"",IF($E42="",0,$E42)&gt;MOD($D42-$C42,1)*24),"⚠ the break is longer than the shift",IF(AND($A42&lt;&gt;"",COUNTIF('Monthly OT Summary'!$A$6:$A$35,$A42&amp;"")=0),"⚠ name not in Monthly OT Summary: its hours are not added","")))))</f>
        <v/>
      </c>
    </row>
    <row r="43">
      <c r="A43" s="21" t="n"/>
      <c r="B43" s="40" t="n"/>
      <c r="C43" s="41" t="n"/>
      <c r="D43" s="41" t="n"/>
      <c r="E43" s="24" t="n"/>
      <c r="F43" s="8">
        <f>IF(OR($C43="",$D43=""),"",IF(OR($C43&gt;=1,$D43&gt;=1,$C43=$D43,IF($E43="",0,$E43)&gt;MOD($D43-$C43,1)*24),"",ROUND(MOD($D43-$C43,1)*24-IF($E43="",0,$E43),2)))</f>
        <v/>
      </c>
      <c r="G43" s="25" t="n">
        <v>8</v>
      </c>
      <c r="H43" s="8">
        <f>IF(OR($A43="",$B43="",$F43=""),"",ROUND(IF($F$3="",0,MAX(0,$F43-$F$3))+IF($D$3="",0,MIN($F43-IF($F$3="",0,MAX(0,$F43-$F$3)),MAX(0,SUMIFS($F$5:$F$304,$A$5:$A$304,$A43&amp;"",$B$5:$B$304,"&gt;="&amp;($B43-MOD(WEEKDAY($B43)-$B$3,7)),$B$5:$B$304,"&lt;="&amp;$B43)-IF($F$3="",0,SUMIFS($F$5:$F$304,$A$5:$A$304,$A43&amp;"",$B$5:$B$304,"&gt;="&amp;($B43-MOD(WEEKDAY($B43)-$B$3,7)),$B$5:$B$304,"&lt;="&amp;$B43,$F$5:$F$304,"&gt;"&amp;$F$3)-$F$3*COUNTIFS($A$5:$A$304,$A43&amp;"",$B$5:$B$304,"&gt;="&amp;($B43-MOD(WEEKDAY($B43)-$B$3,7)),$B$5:$B$304,"&lt;="&amp;$B43,$F$5:$F$304,"&gt;"&amp;$F$3))-$D$3))),2))</f>
        <v/>
      </c>
      <c r="I43" s="26" t="n"/>
      <c r="J43" s="27">
        <f>IF(AND($A43="",$C43="",$D43=""),"",IF(OR($C43&gt;=1,$D43&gt;=1),"⚠ type the time with a colon: 9:00 AM, not 9",IF(AND($C43&lt;&gt;"",$C43=$D43),"⚠ clock-in equals clock-out: the shift adds 0 h",IF(AND($C43&lt;&gt;"",$D43&lt;&gt;"",IF($E43="",0,$E43)&gt;MOD($D43-$C43,1)*24),"⚠ the break is longer than the shift",IF(AND($A43&lt;&gt;"",COUNTIF('Monthly OT Summary'!$A$6:$A$35,$A43&amp;"")=0),"⚠ name not in Monthly OT Summary: its hours are not added","")))))</f>
        <v/>
      </c>
    </row>
    <row r="44">
      <c r="A44" s="21" t="n"/>
      <c r="B44" s="40" t="n"/>
      <c r="C44" s="41" t="n"/>
      <c r="D44" s="41" t="n"/>
      <c r="E44" s="24" t="n"/>
      <c r="F44" s="8">
        <f>IF(OR($C44="",$D44=""),"",IF(OR($C44&gt;=1,$D44&gt;=1,$C44=$D44,IF($E44="",0,$E44)&gt;MOD($D44-$C44,1)*24),"",ROUND(MOD($D44-$C44,1)*24-IF($E44="",0,$E44),2)))</f>
        <v/>
      </c>
      <c r="G44" s="25" t="n">
        <v>8</v>
      </c>
      <c r="H44" s="8">
        <f>IF(OR($A44="",$B44="",$F44=""),"",ROUND(IF($F$3="",0,MAX(0,$F44-$F$3))+IF($D$3="",0,MIN($F44-IF($F$3="",0,MAX(0,$F44-$F$3)),MAX(0,SUMIFS($F$5:$F$304,$A$5:$A$304,$A44&amp;"",$B$5:$B$304,"&gt;="&amp;($B44-MOD(WEEKDAY($B44)-$B$3,7)),$B$5:$B$304,"&lt;="&amp;$B44)-IF($F$3="",0,SUMIFS($F$5:$F$304,$A$5:$A$304,$A44&amp;"",$B$5:$B$304,"&gt;="&amp;($B44-MOD(WEEKDAY($B44)-$B$3,7)),$B$5:$B$304,"&lt;="&amp;$B44,$F$5:$F$304,"&gt;"&amp;$F$3)-$F$3*COUNTIFS($A$5:$A$304,$A44&amp;"",$B$5:$B$304,"&gt;="&amp;($B44-MOD(WEEKDAY($B44)-$B$3,7)),$B$5:$B$304,"&lt;="&amp;$B44,$F$5:$F$304,"&gt;"&amp;$F$3))-$D$3))),2))</f>
        <v/>
      </c>
      <c r="I44" s="26" t="n"/>
      <c r="J44" s="27">
        <f>IF(AND($A44="",$C44="",$D44=""),"",IF(OR($C44&gt;=1,$D44&gt;=1),"⚠ type the time with a colon: 9:00 AM, not 9",IF(AND($C44&lt;&gt;"",$C44=$D44),"⚠ clock-in equals clock-out: the shift adds 0 h",IF(AND($C44&lt;&gt;"",$D44&lt;&gt;"",IF($E44="",0,$E44)&gt;MOD($D44-$C44,1)*24),"⚠ the break is longer than the shift",IF(AND($A44&lt;&gt;"",COUNTIF('Monthly OT Summary'!$A$6:$A$35,$A44&amp;"")=0),"⚠ name not in Monthly OT Summary: its hours are not added","")))))</f>
        <v/>
      </c>
    </row>
    <row r="45">
      <c r="A45" s="21" t="n"/>
      <c r="B45" s="40" t="n"/>
      <c r="C45" s="41" t="n"/>
      <c r="D45" s="41" t="n"/>
      <c r="E45" s="24" t="n"/>
      <c r="F45" s="8">
        <f>IF(OR($C45="",$D45=""),"",IF(OR($C45&gt;=1,$D45&gt;=1,$C45=$D45,IF($E45="",0,$E45)&gt;MOD($D45-$C45,1)*24),"",ROUND(MOD($D45-$C45,1)*24-IF($E45="",0,$E45),2)))</f>
        <v/>
      </c>
      <c r="G45" s="25" t="n">
        <v>8</v>
      </c>
      <c r="H45" s="8">
        <f>IF(OR($A45="",$B45="",$F45=""),"",ROUND(IF($F$3="",0,MAX(0,$F45-$F$3))+IF($D$3="",0,MIN($F45-IF($F$3="",0,MAX(0,$F45-$F$3)),MAX(0,SUMIFS($F$5:$F$304,$A$5:$A$304,$A45&amp;"",$B$5:$B$304,"&gt;="&amp;($B45-MOD(WEEKDAY($B45)-$B$3,7)),$B$5:$B$304,"&lt;="&amp;$B45)-IF($F$3="",0,SUMIFS($F$5:$F$304,$A$5:$A$304,$A45&amp;"",$B$5:$B$304,"&gt;="&amp;($B45-MOD(WEEKDAY($B45)-$B$3,7)),$B$5:$B$304,"&lt;="&amp;$B45,$F$5:$F$304,"&gt;"&amp;$F$3)-$F$3*COUNTIFS($A$5:$A$304,$A45&amp;"",$B$5:$B$304,"&gt;="&amp;($B45-MOD(WEEKDAY($B45)-$B$3,7)),$B$5:$B$304,"&lt;="&amp;$B45,$F$5:$F$304,"&gt;"&amp;$F$3))-$D$3))),2))</f>
        <v/>
      </c>
      <c r="I45" s="26" t="n"/>
      <c r="J45" s="27">
        <f>IF(AND($A45="",$C45="",$D45=""),"",IF(OR($C45&gt;=1,$D45&gt;=1),"⚠ type the time with a colon: 9:00 AM, not 9",IF(AND($C45&lt;&gt;"",$C45=$D45),"⚠ clock-in equals clock-out: the shift adds 0 h",IF(AND($C45&lt;&gt;"",$D45&lt;&gt;"",IF($E45="",0,$E45)&gt;MOD($D45-$C45,1)*24),"⚠ the break is longer than the shift",IF(AND($A45&lt;&gt;"",COUNTIF('Monthly OT Summary'!$A$6:$A$35,$A45&amp;"")=0),"⚠ name not in Monthly OT Summary: its hours are not added","")))))</f>
        <v/>
      </c>
    </row>
    <row r="46">
      <c r="A46" s="21" t="n"/>
      <c r="B46" s="40" t="n"/>
      <c r="C46" s="41" t="n"/>
      <c r="D46" s="41" t="n"/>
      <c r="E46" s="24" t="n"/>
      <c r="F46" s="8">
        <f>IF(OR($C46="",$D46=""),"",IF(OR($C46&gt;=1,$D46&gt;=1,$C46=$D46,IF($E46="",0,$E46)&gt;MOD($D46-$C46,1)*24),"",ROUND(MOD($D46-$C46,1)*24-IF($E46="",0,$E46),2)))</f>
        <v/>
      </c>
      <c r="G46" s="25" t="n">
        <v>8</v>
      </c>
      <c r="H46" s="8">
        <f>IF(OR($A46="",$B46="",$F46=""),"",ROUND(IF($F$3="",0,MAX(0,$F46-$F$3))+IF($D$3="",0,MIN($F46-IF($F$3="",0,MAX(0,$F46-$F$3)),MAX(0,SUMIFS($F$5:$F$304,$A$5:$A$304,$A46&amp;"",$B$5:$B$304,"&gt;="&amp;($B46-MOD(WEEKDAY($B46)-$B$3,7)),$B$5:$B$304,"&lt;="&amp;$B46)-IF($F$3="",0,SUMIFS($F$5:$F$304,$A$5:$A$304,$A46&amp;"",$B$5:$B$304,"&gt;="&amp;($B46-MOD(WEEKDAY($B46)-$B$3,7)),$B$5:$B$304,"&lt;="&amp;$B46,$F$5:$F$304,"&gt;"&amp;$F$3)-$F$3*COUNTIFS($A$5:$A$304,$A46&amp;"",$B$5:$B$304,"&gt;="&amp;($B46-MOD(WEEKDAY($B46)-$B$3,7)),$B$5:$B$304,"&lt;="&amp;$B46,$F$5:$F$304,"&gt;"&amp;$F$3))-$D$3))),2))</f>
        <v/>
      </c>
      <c r="I46" s="26" t="n"/>
      <c r="J46" s="27">
        <f>IF(AND($A46="",$C46="",$D46=""),"",IF(OR($C46&gt;=1,$D46&gt;=1),"⚠ type the time with a colon: 9:00 AM, not 9",IF(AND($C46&lt;&gt;"",$C46=$D46),"⚠ clock-in equals clock-out: the shift adds 0 h",IF(AND($C46&lt;&gt;"",$D46&lt;&gt;"",IF($E46="",0,$E46)&gt;MOD($D46-$C46,1)*24),"⚠ the break is longer than the shift",IF(AND($A46&lt;&gt;"",COUNTIF('Monthly OT Summary'!$A$6:$A$35,$A46&amp;"")=0),"⚠ name not in Monthly OT Summary: its hours are not added","")))))</f>
        <v/>
      </c>
    </row>
    <row r="47">
      <c r="A47" s="21" t="n"/>
      <c r="B47" s="40" t="n"/>
      <c r="C47" s="41" t="n"/>
      <c r="D47" s="41" t="n"/>
      <c r="E47" s="24" t="n"/>
      <c r="F47" s="8">
        <f>IF(OR($C47="",$D47=""),"",IF(OR($C47&gt;=1,$D47&gt;=1,$C47=$D47,IF($E47="",0,$E47)&gt;MOD($D47-$C47,1)*24),"",ROUND(MOD($D47-$C47,1)*24-IF($E47="",0,$E47),2)))</f>
        <v/>
      </c>
      <c r="G47" s="25" t="n">
        <v>8</v>
      </c>
      <c r="H47" s="8">
        <f>IF(OR($A47="",$B47="",$F47=""),"",ROUND(IF($F$3="",0,MAX(0,$F47-$F$3))+IF($D$3="",0,MIN($F47-IF($F$3="",0,MAX(0,$F47-$F$3)),MAX(0,SUMIFS($F$5:$F$304,$A$5:$A$304,$A47&amp;"",$B$5:$B$304,"&gt;="&amp;($B47-MOD(WEEKDAY($B47)-$B$3,7)),$B$5:$B$304,"&lt;="&amp;$B47)-IF($F$3="",0,SUMIFS($F$5:$F$304,$A$5:$A$304,$A47&amp;"",$B$5:$B$304,"&gt;="&amp;($B47-MOD(WEEKDAY($B47)-$B$3,7)),$B$5:$B$304,"&lt;="&amp;$B47,$F$5:$F$304,"&gt;"&amp;$F$3)-$F$3*COUNTIFS($A$5:$A$304,$A47&amp;"",$B$5:$B$304,"&gt;="&amp;($B47-MOD(WEEKDAY($B47)-$B$3,7)),$B$5:$B$304,"&lt;="&amp;$B47,$F$5:$F$304,"&gt;"&amp;$F$3))-$D$3))),2))</f>
        <v/>
      </c>
      <c r="I47" s="26" t="n"/>
      <c r="J47" s="27">
        <f>IF(AND($A47="",$C47="",$D47=""),"",IF(OR($C47&gt;=1,$D47&gt;=1),"⚠ type the time with a colon: 9:00 AM, not 9",IF(AND($C47&lt;&gt;"",$C47=$D47),"⚠ clock-in equals clock-out: the shift adds 0 h",IF(AND($C47&lt;&gt;"",$D47&lt;&gt;"",IF($E47="",0,$E47)&gt;MOD($D47-$C47,1)*24),"⚠ the break is longer than the shift",IF(AND($A47&lt;&gt;"",COUNTIF('Monthly OT Summary'!$A$6:$A$35,$A47&amp;"")=0),"⚠ name not in Monthly OT Summary: its hours are not added","")))))</f>
        <v/>
      </c>
    </row>
    <row r="48">
      <c r="A48" s="21" t="n"/>
      <c r="B48" s="40" t="n"/>
      <c r="C48" s="41" t="n"/>
      <c r="D48" s="41" t="n"/>
      <c r="E48" s="24" t="n"/>
      <c r="F48" s="8">
        <f>IF(OR($C48="",$D48=""),"",IF(OR($C48&gt;=1,$D48&gt;=1,$C48=$D48,IF($E48="",0,$E48)&gt;MOD($D48-$C48,1)*24),"",ROUND(MOD($D48-$C48,1)*24-IF($E48="",0,$E48),2)))</f>
        <v/>
      </c>
      <c r="G48" s="25" t="n">
        <v>8</v>
      </c>
      <c r="H48" s="8">
        <f>IF(OR($A48="",$B48="",$F48=""),"",ROUND(IF($F$3="",0,MAX(0,$F48-$F$3))+IF($D$3="",0,MIN($F48-IF($F$3="",0,MAX(0,$F48-$F$3)),MAX(0,SUMIFS($F$5:$F$304,$A$5:$A$304,$A48&amp;"",$B$5:$B$304,"&gt;="&amp;($B48-MOD(WEEKDAY($B48)-$B$3,7)),$B$5:$B$304,"&lt;="&amp;$B48)-IF($F$3="",0,SUMIFS($F$5:$F$304,$A$5:$A$304,$A48&amp;"",$B$5:$B$304,"&gt;="&amp;($B48-MOD(WEEKDAY($B48)-$B$3,7)),$B$5:$B$304,"&lt;="&amp;$B48,$F$5:$F$304,"&gt;"&amp;$F$3)-$F$3*COUNTIFS($A$5:$A$304,$A48&amp;"",$B$5:$B$304,"&gt;="&amp;($B48-MOD(WEEKDAY($B48)-$B$3,7)),$B$5:$B$304,"&lt;="&amp;$B48,$F$5:$F$304,"&gt;"&amp;$F$3))-$D$3))),2))</f>
        <v/>
      </c>
      <c r="I48" s="26" t="n"/>
      <c r="J48" s="27">
        <f>IF(AND($A48="",$C48="",$D48=""),"",IF(OR($C48&gt;=1,$D48&gt;=1),"⚠ type the time with a colon: 9:00 AM, not 9",IF(AND($C48&lt;&gt;"",$C48=$D48),"⚠ clock-in equals clock-out: the shift adds 0 h",IF(AND($C48&lt;&gt;"",$D48&lt;&gt;"",IF($E48="",0,$E48)&gt;MOD($D48-$C48,1)*24),"⚠ the break is longer than the shift",IF(AND($A48&lt;&gt;"",COUNTIF('Monthly OT Summary'!$A$6:$A$35,$A48&amp;"")=0),"⚠ name not in Monthly OT Summary: its hours are not added","")))))</f>
        <v/>
      </c>
    </row>
    <row r="49">
      <c r="A49" s="21" t="n"/>
      <c r="B49" s="40" t="n"/>
      <c r="C49" s="41" t="n"/>
      <c r="D49" s="41" t="n"/>
      <c r="E49" s="24" t="n"/>
      <c r="F49" s="8">
        <f>IF(OR($C49="",$D49=""),"",IF(OR($C49&gt;=1,$D49&gt;=1,$C49=$D49,IF($E49="",0,$E49)&gt;MOD($D49-$C49,1)*24),"",ROUND(MOD($D49-$C49,1)*24-IF($E49="",0,$E49),2)))</f>
        <v/>
      </c>
      <c r="G49" s="25" t="n">
        <v>8</v>
      </c>
      <c r="H49" s="8">
        <f>IF(OR($A49="",$B49="",$F49=""),"",ROUND(IF($F$3="",0,MAX(0,$F49-$F$3))+IF($D$3="",0,MIN($F49-IF($F$3="",0,MAX(0,$F49-$F$3)),MAX(0,SUMIFS($F$5:$F$304,$A$5:$A$304,$A49&amp;"",$B$5:$B$304,"&gt;="&amp;($B49-MOD(WEEKDAY($B49)-$B$3,7)),$B$5:$B$304,"&lt;="&amp;$B49)-IF($F$3="",0,SUMIFS($F$5:$F$304,$A$5:$A$304,$A49&amp;"",$B$5:$B$304,"&gt;="&amp;($B49-MOD(WEEKDAY($B49)-$B$3,7)),$B$5:$B$304,"&lt;="&amp;$B49,$F$5:$F$304,"&gt;"&amp;$F$3)-$F$3*COUNTIFS($A$5:$A$304,$A49&amp;"",$B$5:$B$304,"&gt;="&amp;($B49-MOD(WEEKDAY($B49)-$B$3,7)),$B$5:$B$304,"&lt;="&amp;$B49,$F$5:$F$304,"&gt;"&amp;$F$3))-$D$3))),2))</f>
        <v/>
      </c>
      <c r="I49" s="26" t="n"/>
      <c r="J49" s="27">
        <f>IF(AND($A49="",$C49="",$D49=""),"",IF(OR($C49&gt;=1,$D49&gt;=1),"⚠ type the time with a colon: 9:00 AM, not 9",IF(AND($C49&lt;&gt;"",$C49=$D49),"⚠ clock-in equals clock-out: the shift adds 0 h",IF(AND($C49&lt;&gt;"",$D49&lt;&gt;"",IF($E49="",0,$E49)&gt;MOD($D49-$C49,1)*24),"⚠ the break is longer than the shift",IF(AND($A49&lt;&gt;"",COUNTIF('Monthly OT Summary'!$A$6:$A$35,$A49&amp;"")=0),"⚠ name not in Monthly OT Summary: its hours are not added","")))))</f>
        <v/>
      </c>
    </row>
    <row r="50">
      <c r="A50" s="21" t="n"/>
      <c r="B50" s="40" t="n"/>
      <c r="C50" s="41" t="n"/>
      <c r="D50" s="41" t="n"/>
      <c r="E50" s="24" t="n"/>
      <c r="F50" s="8">
        <f>IF(OR($C50="",$D50=""),"",IF(OR($C50&gt;=1,$D50&gt;=1,$C50=$D50,IF($E50="",0,$E50)&gt;MOD($D50-$C50,1)*24),"",ROUND(MOD($D50-$C50,1)*24-IF($E50="",0,$E50),2)))</f>
        <v/>
      </c>
      <c r="G50" s="25" t="n">
        <v>8</v>
      </c>
      <c r="H50" s="8">
        <f>IF(OR($A50="",$B50="",$F50=""),"",ROUND(IF($F$3="",0,MAX(0,$F50-$F$3))+IF($D$3="",0,MIN($F50-IF($F$3="",0,MAX(0,$F50-$F$3)),MAX(0,SUMIFS($F$5:$F$304,$A$5:$A$304,$A50&amp;"",$B$5:$B$304,"&gt;="&amp;($B50-MOD(WEEKDAY($B50)-$B$3,7)),$B$5:$B$304,"&lt;="&amp;$B50)-IF($F$3="",0,SUMIFS($F$5:$F$304,$A$5:$A$304,$A50&amp;"",$B$5:$B$304,"&gt;="&amp;($B50-MOD(WEEKDAY($B50)-$B$3,7)),$B$5:$B$304,"&lt;="&amp;$B50,$F$5:$F$304,"&gt;"&amp;$F$3)-$F$3*COUNTIFS($A$5:$A$304,$A50&amp;"",$B$5:$B$304,"&gt;="&amp;($B50-MOD(WEEKDAY($B50)-$B$3,7)),$B$5:$B$304,"&lt;="&amp;$B50,$F$5:$F$304,"&gt;"&amp;$F$3))-$D$3))),2))</f>
        <v/>
      </c>
      <c r="I50" s="26" t="n"/>
      <c r="J50" s="27">
        <f>IF(AND($A50="",$C50="",$D50=""),"",IF(OR($C50&gt;=1,$D50&gt;=1),"⚠ type the time with a colon: 9:00 AM, not 9",IF(AND($C50&lt;&gt;"",$C50=$D50),"⚠ clock-in equals clock-out: the shift adds 0 h",IF(AND($C50&lt;&gt;"",$D50&lt;&gt;"",IF($E50="",0,$E50)&gt;MOD($D50-$C50,1)*24),"⚠ the break is longer than the shift",IF(AND($A50&lt;&gt;"",COUNTIF('Monthly OT Summary'!$A$6:$A$35,$A50&amp;"")=0),"⚠ name not in Monthly OT Summary: its hours are not added","")))))</f>
        <v/>
      </c>
    </row>
    <row r="51">
      <c r="A51" s="21" t="n"/>
      <c r="B51" s="40" t="n"/>
      <c r="C51" s="41" t="n"/>
      <c r="D51" s="41" t="n"/>
      <c r="E51" s="24" t="n"/>
      <c r="F51" s="8">
        <f>IF(OR($C51="",$D51=""),"",IF(OR($C51&gt;=1,$D51&gt;=1,$C51=$D51,IF($E51="",0,$E51)&gt;MOD($D51-$C51,1)*24),"",ROUND(MOD($D51-$C51,1)*24-IF($E51="",0,$E51),2)))</f>
        <v/>
      </c>
      <c r="G51" s="25" t="n">
        <v>8</v>
      </c>
      <c r="H51" s="8">
        <f>IF(OR($A51="",$B51="",$F51=""),"",ROUND(IF($F$3="",0,MAX(0,$F51-$F$3))+IF($D$3="",0,MIN($F51-IF($F$3="",0,MAX(0,$F51-$F$3)),MAX(0,SUMIFS($F$5:$F$304,$A$5:$A$304,$A51&amp;"",$B$5:$B$304,"&gt;="&amp;($B51-MOD(WEEKDAY($B51)-$B$3,7)),$B$5:$B$304,"&lt;="&amp;$B51)-IF($F$3="",0,SUMIFS($F$5:$F$304,$A$5:$A$304,$A51&amp;"",$B$5:$B$304,"&gt;="&amp;($B51-MOD(WEEKDAY($B51)-$B$3,7)),$B$5:$B$304,"&lt;="&amp;$B51,$F$5:$F$304,"&gt;"&amp;$F$3)-$F$3*COUNTIFS($A$5:$A$304,$A51&amp;"",$B$5:$B$304,"&gt;="&amp;($B51-MOD(WEEKDAY($B51)-$B$3,7)),$B$5:$B$304,"&lt;="&amp;$B51,$F$5:$F$304,"&gt;"&amp;$F$3))-$D$3))),2))</f>
        <v/>
      </c>
      <c r="I51" s="26" t="n"/>
      <c r="J51" s="27">
        <f>IF(AND($A51="",$C51="",$D51=""),"",IF(OR($C51&gt;=1,$D51&gt;=1),"⚠ type the time with a colon: 9:00 AM, not 9",IF(AND($C51&lt;&gt;"",$C51=$D51),"⚠ clock-in equals clock-out: the shift adds 0 h",IF(AND($C51&lt;&gt;"",$D51&lt;&gt;"",IF($E51="",0,$E51)&gt;MOD($D51-$C51,1)*24),"⚠ the break is longer than the shift",IF(AND($A51&lt;&gt;"",COUNTIF('Monthly OT Summary'!$A$6:$A$35,$A51&amp;"")=0),"⚠ name not in Monthly OT Summary: its hours are not added","")))))</f>
        <v/>
      </c>
    </row>
    <row r="52">
      <c r="A52" s="21" t="n"/>
      <c r="B52" s="40" t="n"/>
      <c r="C52" s="41" t="n"/>
      <c r="D52" s="41" t="n"/>
      <c r="E52" s="24" t="n"/>
      <c r="F52" s="8">
        <f>IF(OR($C52="",$D52=""),"",IF(OR($C52&gt;=1,$D52&gt;=1,$C52=$D52,IF($E52="",0,$E52)&gt;MOD($D52-$C52,1)*24),"",ROUND(MOD($D52-$C52,1)*24-IF($E52="",0,$E52),2)))</f>
        <v/>
      </c>
      <c r="G52" s="25" t="n">
        <v>8</v>
      </c>
      <c r="H52" s="8">
        <f>IF(OR($A52="",$B52="",$F52=""),"",ROUND(IF($F$3="",0,MAX(0,$F52-$F$3))+IF($D$3="",0,MIN($F52-IF($F$3="",0,MAX(0,$F52-$F$3)),MAX(0,SUMIFS($F$5:$F$304,$A$5:$A$304,$A52&amp;"",$B$5:$B$304,"&gt;="&amp;($B52-MOD(WEEKDAY($B52)-$B$3,7)),$B$5:$B$304,"&lt;="&amp;$B52)-IF($F$3="",0,SUMIFS($F$5:$F$304,$A$5:$A$304,$A52&amp;"",$B$5:$B$304,"&gt;="&amp;($B52-MOD(WEEKDAY($B52)-$B$3,7)),$B$5:$B$304,"&lt;="&amp;$B52,$F$5:$F$304,"&gt;"&amp;$F$3)-$F$3*COUNTIFS($A$5:$A$304,$A52&amp;"",$B$5:$B$304,"&gt;="&amp;($B52-MOD(WEEKDAY($B52)-$B$3,7)),$B$5:$B$304,"&lt;="&amp;$B52,$F$5:$F$304,"&gt;"&amp;$F$3))-$D$3))),2))</f>
        <v/>
      </c>
      <c r="I52" s="26" t="n"/>
      <c r="J52" s="27">
        <f>IF(AND($A52="",$C52="",$D52=""),"",IF(OR($C52&gt;=1,$D52&gt;=1),"⚠ type the time with a colon: 9:00 AM, not 9",IF(AND($C52&lt;&gt;"",$C52=$D52),"⚠ clock-in equals clock-out: the shift adds 0 h",IF(AND($C52&lt;&gt;"",$D52&lt;&gt;"",IF($E52="",0,$E52)&gt;MOD($D52-$C52,1)*24),"⚠ the break is longer than the shift",IF(AND($A52&lt;&gt;"",COUNTIF('Monthly OT Summary'!$A$6:$A$35,$A52&amp;"")=0),"⚠ name not in Monthly OT Summary: its hours are not added","")))))</f>
        <v/>
      </c>
    </row>
    <row r="53">
      <c r="A53" s="21" t="n"/>
      <c r="B53" s="40" t="n"/>
      <c r="C53" s="41" t="n"/>
      <c r="D53" s="41" t="n"/>
      <c r="E53" s="24" t="n"/>
      <c r="F53" s="8">
        <f>IF(OR($C53="",$D53=""),"",IF(OR($C53&gt;=1,$D53&gt;=1,$C53=$D53,IF($E53="",0,$E53)&gt;MOD($D53-$C53,1)*24),"",ROUND(MOD($D53-$C53,1)*24-IF($E53="",0,$E53),2)))</f>
        <v/>
      </c>
      <c r="G53" s="25" t="n">
        <v>8</v>
      </c>
      <c r="H53" s="8">
        <f>IF(OR($A53="",$B53="",$F53=""),"",ROUND(IF($F$3="",0,MAX(0,$F53-$F$3))+IF($D$3="",0,MIN($F53-IF($F$3="",0,MAX(0,$F53-$F$3)),MAX(0,SUMIFS($F$5:$F$304,$A$5:$A$304,$A53&amp;"",$B$5:$B$304,"&gt;="&amp;($B53-MOD(WEEKDAY($B53)-$B$3,7)),$B$5:$B$304,"&lt;="&amp;$B53)-IF($F$3="",0,SUMIFS($F$5:$F$304,$A$5:$A$304,$A53&amp;"",$B$5:$B$304,"&gt;="&amp;($B53-MOD(WEEKDAY($B53)-$B$3,7)),$B$5:$B$304,"&lt;="&amp;$B53,$F$5:$F$304,"&gt;"&amp;$F$3)-$F$3*COUNTIFS($A$5:$A$304,$A53&amp;"",$B$5:$B$304,"&gt;="&amp;($B53-MOD(WEEKDAY($B53)-$B$3,7)),$B$5:$B$304,"&lt;="&amp;$B53,$F$5:$F$304,"&gt;"&amp;$F$3))-$D$3))),2))</f>
        <v/>
      </c>
      <c r="I53" s="26" t="n"/>
      <c r="J53" s="27">
        <f>IF(AND($A53="",$C53="",$D53=""),"",IF(OR($C53&gt;=1,$D53&gt;=1),"⚠ type the time with a colon: 9:00 AM, not 9",IF(AND($C53&lt;&gt;"",$C53=$D53),"⚠ clock-in equals clock-out: the shift adds 0 h",IF(AND($C53&lt;&gt;"",$D53&lt;&gt;"",IF($E53="",0,$E53)&gt;MOD($D53-$C53,1)*24),"⚠ the break is longer than the shift",IF(AND($A53&lt;&gt;"",COUNTIF('Monthly OT Summary'!$A$6:$A$35,$A53&amp;"")=0),"⚠ name not in Monthly OT Summary: its hours are not added","")))))</f>
        <v/>
      </c>
    </row>
    <row r="54">
      <c r="A54" s="21" t="n"/>
      <c r="B54" s="40" t="n"/>
      <c r="C54" s="41" t="n"/>
      <c r="D54" s="41" t="n"/>
      <c r="E54" s="24" t="n"/>
      <c r="F54" s="8">
        <f>IF(OR($C54="",$D54=""),"",IF(OR($C54&gt;=1,$D54&gt;=1,$C54=$D54,IF($E54="",0,$E54)&gt;MOD($D54-$C54,1)*24),"",ROUND(MOD($D54-$C54,1)*24-IF($E54="",0,$E54),2)))</f>
        <v/>
      </c>
      <c r="G54" s="25" t="n">
        <v>8</v>
      </c>
      <c r="H54" s="8">
        <f>IF(OR($A54="",$B54="",$F54=""),"",ROUND(IF($F$3="",0,MAX(0,$F54-$F$3))+IF($D$3="",0,MIN($F54-IF($F$3="",0,MAX(0,$F54-$F$3)),MAX(0,SUMIFS($F$5:$F$304,$A$5:$A$304,$A54&amp;"",$B$5:$B$304,"&gt;="&amp;($B54-MOD(WEEKDAY($B54)-$B$3,7)),$B$5:$B$304,"&lt;="&amp;$B54)-IF($F$3="",0,SUMIFS($F$5:$F$304,$A$5:$A$304,$A54&amp;"",$B$5:$B$304,"&gt;="&amp;($B54-MOD(WEEKDAY($B54)-$B$3,7)),$B$5:$B$304,"&lt;="&amp;$B54,$F$5:$F$304,"&gt;"&amp;$F$3)-$F$3*COUNTIFS($A$5:$A$304,$A54&amp;"",$B$5:$B$304,"&gt;="&amp;($B54-MOD(WEEKDAY($B54)-$B$3,7)),$B$5:$B$304,"&lt;="&amp;$B54,$F$5:$F$304,"&gt;"&amp;$F$3))-$D$3))),2))</f>
        <v/>
      </c>
      <c r="I54" s="26" t="n"/>
      <c r="J54" s="27">
        <f>IF(AND($A54="",$C54="",$D54=""),"",IF(OR($C54&gt;=1,$D54&gt;=1),"⚠ type the time with a colon: 9:00 AM, not 9",IF(AND($C54&lt;&gt;"",$C54=$D54),"⚠ clock-in equals clock-out: the shift adds 0 h",IF(AND($C54&lt;&gt;"",$D54&lt;&gt;"",IF($E54="",0,$E54)&gt;MOD($D54-$C54,1)*24),"⚠ the break is longer than the shift",IF(AND($A54&lt;&gt;"",COUNTIF('Monthly OT Summary'!$A$6:$A$35,$A54&amp;"")=0),"⚠ name not in Monthly OT Summary: its hours are not added","")))))</f>
        <v/>
      </c>
    </row>
    <row r="55">
      <c r="A55" s="21" t="n"/>
      <c r="B55" s="40" t="n"/>
      <c r="C55" s="41" t="n"/>
      <c r="D55" s="41" t="n"/>
      <c r="E55" s="24" t="n"/>
      <c r="F55" s="8">
        <f>IF(OR($C55="",$D55=""),"",IF(OR($C55&gt;=1,$D55&gt;=1,$C55=$D55,IF($E55="",0,$E55)&gt;MOD($D55-$C55,1)*24),"",ROUND(MOD($D55-$C55,1)*24-IF($E55="",0,$E55),2)))</f>
        <v/>
      </c>
      <c r="G55" s="25" t="n">
        <v>8</v>
      </c>
      <c r="H55" s="8">
        <f>IF(OR($A55="",$B55="",$F55=""),"",ROUND(IF($F$3="",0,MAX(0,$F55-$F$3))+IF($D$3="",0,MIN($F55-IF($F$3="",0,MAX(0,$F55-$F$3)),MAX(0,SUMIFS($F$5:$F$304,$A$5:$A$304,$A55&amp;"",$B$5:$B$304,"&gt;="&amp;($B55-MOD(WEEKDAY($B55)-$B$3,7)),$B$5:$B$304,"&lt;="&amp;$B55)-IF($F$3="",0,SUMIFS($F$5:$F$304,$A$5:$A$304,$A55&amp;"",$B$5:$B$304,"&gt;="&amp;($B55-MOD(WEEKDAY($B55)-$B$3,7)),$B$5:$B$304,"&lt;="&amp;$B55,$F$5:$F$304,"&gt;"&amp;$F$3)-$F$3*COUNTIFS($A$5:$A$304,$A55&amp;"",$B$5:$B$304,"&gt;="&amp;($B55-MOD(WEEKDAY($B55)-$B$3,7)),$B$5:$B$304,"&lt;="&amp;$B55,$F$5:$F$304,"&gt;"&amp;$F$3))-$D$3))),2))</f>
        <v/>
      </c>
      <c r="I55" s="26" t="n"/>
      <c r="J55" s="27">
        <f>IF(AND($A55="",$C55="",$D55=""),"",IF(OR($C55&gt;=1,$D55&gt;=1),"⚠ type the time with a colon: 9:00 AM, not 9",IF(AND($C55&lt;&gt;"",$C55=$D55),"⚠ clock-in equals clock-out: the shift adds 0 h",IF(AND($C55&lt;&gt;"",$D55&lt;&gt;"",IF($E55="",0,$E55)&gt;MOD($D55-$C55,1)*24),"⚠ the break is longer than the shift",IF(AND($A55&lt;&gt;"",COUNTIF('Monthly OT Summary'!$A$6:$A$35,$A55&amp;"")=0),"⚠ name not in Monthly OT Summary: its hours are not added","")))))</f>
        <v/>
      </c>
    </row>
    <row r="56">
      <c r="A56" s="21" t="n"/>
      <c r="B56" s="40" t="n"/>
      <c r="C56" s="41" t="n"/>
      <c r="D56" s="41" t="n"/>
      <c r="E56" s="24" t="n"/>
      <c r="F56" s="8">
        <f>IF(OR($C56="",$D56=""),"",IF(OR($C56&gt;=1,$D56&gt;=1,$C56=$D56,IF($E56="",0,$E56)&gt;MOD($D56-$C56,1)*24),"",ROUND(MOD($D56-$C56,1)*24-IF($E56="",0,$E56),2)))</f>
        <v/>
      </c>
      <c r="G56" s="25" t="n">
        <v>8</v>
      </c>
      <c r="H56" s="8">
        <f>IF(OR($A56="",$B56="",$F56=""),"",ROUND(IF($F$3="",0,MAX(0,$F56-$F$3))+IF($D$3="",0,MIN($F56-IF($F$3="",0,MAX(0,$F56-$F$3)),MAX(0,SUMIFS($F$5:$F$304,$A$5:$A$304,$A56&amp;"",$B$5:$B$304,"&gt;="&amp;($B56-MOD(WEEKDAY($B56)-$B$3,7)),$B$5:$B$304,"&lt;="&amp;$B56)-IF($F$3="",0,SUMIFS($F$5:$F$304,$A$5:$A$304,$A56&amp;"",$B$5:$B$304,"&gt;="&amp;($B56-MOD(WEEKDAY($B56)-$B$3,7)),$B$5:$B$304,"&lt;="&amp;$B56,$F$5:$F$304,"&gt;"&amp;$F$3)-$F$3*COUNTIFS($A$5:$A$304,$A56&amp;"",$B$5:$B$304,"&gt;="&amp;($B56-MOD(WEEKDAY($B56)-$B$3,7)),$B$5:$B$304,"&lt;="&amp;$B56,$F$5:$F$304,"&gt;"&amp;$F$3))-$D$3))),2))</f>
        <v/>
      </c>
      <c r="I56" s="26" t="n"/>
      <c r="J56" s="27">
        <f>IF(AND($A56="",$C56="",$D56=""),"",IF(OR($C56&gt;=1,$D56&gt;=1),"⚠ type the time with a colon: 9:00 AM, not 9",IF(AND($C56&lt;&gt;"",$C56=$D56),"⚠ clock-in equals clock-out: the shift adds 0 h",IF(AND($C56&lt;&gt;"",$D56&lt;&gt;"",IF($E56="",0,$E56)&gt;MOD($D56-$C56,1)*24),"⚠ the break is longer than the shift",IF(AND($A56&lt;&gt;"",COUNTIF('Monthly OT Summary'!$A$6:$A$35,$A56&amp;"")=0),"⚠ name not in Monthly OT Summary: its hours are not added","")))))</f>
        <v/>
      </c>
    </row>
    <row r="57">
      <c r="A57" s="21" t="n"/>
      <c r="B57" s="40" t="n"/>
      <c r="C57" s="41" t="n"/>
      <c r="D57" s="41" t="n"/>
      <c r="E57" s="24" t="n"/>
      <c r="F57" s="8">
        <f>IF(OR($C57="",$D57=""),"",IF(OR($C57&gt;=1,$D57&gt;=1,$C57=$D57,IF($E57="",0,$E57)&gt;MOD($D57-$C57,1)*24),"",ROUND(MOD($D57-$C57,1)*24-IF($E57="",0,$E57),2)))</f>
        <v/>
      </c>
      <c r="G57" s="25" t="n">
        <v>8</v>
      </c>
      <c r="H57" s="8">
        <f>IF(OR($A57="",$B57="",$F57=""),"",ROUND(IF($F$3="",0,MAX(0,$F57-$F$3))+IF($D$3="",0,MIN($F57-IF($F$3="",0,MAX(0,$F57-$F$3)),MAX(0,SUMIFS($F$5:$F$304,$A$5:$A$304,$A57&amp;"",$B$5:$B$304,"&gt;="&amp;($B57-MOD(WEEKDAY($B57)-$B$3,7)),$B$5:$B$304,"&lt;="&amp;$B57)-IF($F$3="",0,SUMIFS($F$5:$F$304,$A$5:$A$304,$A57&amp;"",$B$5:$B$304,"&gt;="&amp;($B57-MOD(WEEKDAY($B57)-$B$3,7)),$B$5:$B$304,"&lt;="&amp;$B57,$F$5:$F$304,"&gt;"&amp;$F$3)-$F$3*COUNTIFS($A$5:$A$304,$A57&amp;"",$B$5:$B$304,"&gt;="&amp;($B57-MOD(WEEKDAY($B57)-$B$3,7)),$B$5:$B$304,"&lt;="&amp;$B57,$F$5:$F$304,"&gt;"&amp;$F$3))-$D$3))),2))</f>
        <v/>
      </c>
      <c r="I57" s="26" t="n"/>
      <c r="J57" s="27">
        <f>IF(AND($A57="",$C57="",$D57=""),"",IF(OR($C57&gt;=1,$D57&gt;=1),"⚠ type the time with a colon: 9:00 AM, not 9",IF(AND($C57&lt;&gt;"",$C57=$D57),"⚠ clock-in equals clock-out: the shift adds 0 h",IF(AND($C57&lt;&gt;"",$D57&lt;&gt;"",IF($E57="",0,$E57)&gt;MOD($D57-$C57,1)*24),"⚠ the break is longer than the shift",IF(AND($A57&lt;&gt;"",COUNTIF('Monthly OT Summary'!$A$6:$A$35,$A57&amp;"")=0),"⚠ name not in Monthly OT Summary: its hours are not added","")))))</f>
        <v/>
      </c>
    </row>
    <row r="58">
      <c r="A58" s="21" t="n"/>
      <c r="B58" s="40" t="n"/>
      <c r="C58" s="41" t="n"/>
      <c r="D58" s="41" t="n"/>
      <c r="E58" s="24" t="n"/>
      <c r="F58" s="8">
        <f>IF(OR($C58="",$D58=""),"",IF(OR($C58&gt;=1,$D58&gt;=1,$C58=$D58,IF($E58="",0,$E58)&gt;MOD($D58-$C58,1)*24),"",ROUND(MOD($D58-$C58,1)*24-IF($E58="",0,$E58),2)))</f>
        <v/>
      </c>
      <c r="G58" s="25" t="n">
        <v>8</v>
      </c>
      <c r="H58" s="8">
        <f>IF(OR($A58="",$B58="",$F58=""),"",ROUND(IF($F$3="",0,MAX(0,$F58-$F$3))+IF($D$3="",0,MIN($F58-IF($F$3="",0,MAX(0,$F58-$F$3)),MAX(0,SUMIFS($F$5:$F$304,$A$5:$A$304,$A58&amp;"",$B$5:$B$304,"&gt;="&amp;($B58-MOD(WEEKDAY($B58)-$B$3,7)),$B$5:$B$304,"&lt;="&amp;$B58)-IF($F$3="",0,SUMIFS($F$5:$F$304,$A$5:$A$304,$A58&amp;"",$B$5:$B$304,"&gt;="&amp;($B58-MOD(WEEKDAY($B58)-$B$3,7)),$B$5:$B$304,"&lt;="&amp;$B58,$F$5:$F$304,"&gt;"&amp;$F$3)-$F$3*COUNTIFS($A$5:$A$304,$A58&amp;"",$B$5:$B$304,"&gt;="&amp;($B58-MOD(WEEKDAY($B58)-$B$3,7)),$B$5:$B$304,"&lt;="&amp;$B58,$F$5:$F$304,"&gt;"&amp;$F$3))-$D$3))),2))</f>
        <v/>
      </c>
      <c r="I58" s="26" t="n"/>
      <c r="J58" s="27">
        <f>IF(AND($A58="",$C58="",$D58=""),"",IF(OR($C58&gt;=1,$D58&gt;=1),"⚠ type the time with a colon: 9:00 AM, not 9",IF(AND($C58&lt;&gt;"",$C58=$D58),"⚠ clock-in equals clock-out: the shift adds 0 h",IF(AND($C58&lt;&gt;"",$D58&lt;&gt;"",IF($E58="",0,$E58)&gt;MOD($D58-$C58,1)*24),"⚠ the break is longer than the shift",IF(AND($A58&lt;&gt;"",COUNTIF('Monthly OT Summary'!$A$6:$A$35,$A58&amp;"")=0),"⚠ name not in Monthly OT Summary: its hours are not added","")))))</f>
        <v/>
      </c>
    </row>
    <row r="59">
      <c r="A59" s="21" t="n"/>
      <c r="B59" s="40" t="n"/>
      <c r="C59" s="41" t="n"/>
      <c r="D59" s="41" t="n"/>
      <c r="E59" s="24" t="n"/>
      <c r="F59" s="8">
        <f>IF(OR($C59="",$D59=""),"",IF(OR($C59&gt;=1,$D59&gt;=1,$C59=$D59,IF($E59="",0,$E59)&gt;MOD($D59-$C59,1)*24),"",ROUND(MOD($D59-$C59,1)*24-IF($E59="",0,$E59),2)))</f>
        <v/>
      </c>
      <c r="G59" s="25" t="n">
        <v>8</v>
      </c>
      <c r="H59" s="8">
        <f>IF(OR($A59="",$B59="",$F59=""),"",ROUND(IF($F$3="",0,MAX(0,$F59-$F$3))+IF($D$3="",0,MIN($F59-IF($F$3="",0,MAX(0,$F59-$F$3)),MAX(0,SUMIFS($F$5:$F$304,$A$5:$A$304,$A59&amp;"",$B$5:$B$304,"&gt;="&amp;($B59-MOD(WEEKDAY($B59)-$B$3,7)),$B$5:$B$304,"&lt;="&amp;$B59)-IF($F$3="",0,SUMIFS($F$5:$F$304,$A$5:$A$304,$A59&amp;"",$B$5:$B$304,"&gt;="&amp;($B59-MOD(WEEKDAY($B59)-$B$3,7)),$B$5:$B$304,"&lt;="&amp;$B59,$F$5:$F$304,"&gt;"&amp;$F$3)-$F$3*COUNTIFS($A$5:$A$304,$A59&amp;"",$B$5:$B$304,"&gt;="&amp;($B59-MOD(WEEKDAY($B59)-$B$3,7)),$B$5:$B$304,"&lt;="&amp;$B59,$F$5:$F$304,"&gt;"&amp;$F$3))-$D$3))),2))</f>
        <v/>
      </c>
      <c r="I59" s="26" t="n"/>
      <c r="J59" s="27">
        <f>IF(AND($A59="",$C59="",$D59=""),"",IF(OR($C59&gt;=1,$D59&gt;=1),"⚠ type the time with a colon: 9:00 AM, not 9",IF(AND($C59&lt;&gt;"",$C59=$D59),"⚠ clock-in equals clock-out: the shift adds 0 h",IF(AND($C59&lt;&gt;"",$D59&lt;&gt;"",IF($E59="",0,$E59)&gt;MOD($D59-$C59,1)*24),"⚠ the break is longer than the shift",IF(AND($A59&lt;&gt;"",COUNTIF('Monthly OT Summary'!$A$6:$A$35,$A59&amp;"")=0),"⚠ name not in Monthly OT Summary: its hours are not added","")))))</f>
        <v/>
      </c>
    </row>
    <row r="60">
      <c r="A60" s="21" t="n"/>
      <c r="B60" s="40" t="n"/>
      <c r="C60" s="41" t="n"/>
      <c r="D60" s="41" t="n"/>
      <c r="E60" s="24" t="n"/>
      <c r="F60" s="8">
        <f>IF(OR($C60="",$D60=""),"",IF(OR($C60&gt;=1,$D60&gt;=1,$C60=$D60,IF($E60="",0,$E60)&gt;MOD($D60-$C60,1)*24),"",ROUND(MOD($D60-$C60,1)*24-IF($E60="",0,$E60),2)))</f>
        <v/>
      </c>
      <c r="G60" s="25" t="n">
        <v>8</v>
      </c>
      <c r="H60" s="8">
        <f>IF(OR($A60="",$B60="",$F60=""),"",ROUND(IF($F$3="",0,MAX(0,$F60-$F$3))+IF($D$3="",0,MIN($F60-IF($F$3="",0,MAX(0,$F60-$F$3)),MAX(0,SUMIFS($F$5:$F$304,$A$5:$A$304,$A60&amp;"",$B$5:$B$304,"&gt;="&amp;($B60-MOD(WEEKDAY($B60)-$B$3,7)),$B$5:$B$304,"&lt;="&amp;$B60)-IF($F$3="",0,SUMIFS($F$5:$F$304,$A$5:$A$304,$A60&amp;"",$B$5:$B$304,"&gt;="&amp;($B60-MOD(WEEKDAY($B60)-$B$3,7)),$B$5:$B$304,"&lt;="&amp;$B60,$F$5:$F$304,"&gt;"&amp;$F$3)-$F$3*COUNTIFS($A$5:$A$304,$A60&amp;"",$B$5:$B$304,"&gt;="&amp;($B60-MOD(WEEKDAY($B60)-$B$3,7)),$B$5:$B$304,"&lt;="&amp;$B60,$F$5:$F$304,"&gt;"&amp;$F$3))-$D$3))),2))</f>
        <v/>
      </c>
      <c r="I60" s="26" t="n"/>
      <c r="J60" s="27">
        <f>IF(AND($A60="",$C60="",$D60=""),"",IF(OR($C60&gt;=1,$D60&gt;=1),"⚠ type the time with a colon: 9:00 AM, not 9",IF(AND($C60&lt;&gt;"",$C60=$D60),"⚠ clock-in equals clock-out: the shift adds 0 h",IF(AND($C60&lt;&gt;"",$D60&lt;&gt;"",IF($E60="",0,$E60)&gt;MOD($D60-$C60,1)*24),"⚠ the break is longer than the shift",IF(AND($A60&lt;&gt;"",COUNTIF('Monthly OT Summary'!$A$6:$A$35,$A60&amp;"")=0),"⚠ name not in Monthly OT Summary: its hours are not added","")))))</f>
        <v/>
      </c>
    </row>
    <row r="61">
      <c r="A61" s="21" t="n"/>
      <c r="B61" s="40" t="n"/>
      <c r="C61" s="41" t="n"/>
      <c r="D61" s="41" t="n"/>
      <c r="E61" s="24" t="n"/>
      <c r="F61" s="8">
        <f>IF(OR($C61="",$D61=""),"",IF(OR($C61&gt;=1,$D61&gt;=1,$C61=$D61,IF($E61="",0,$E61)&gt;MOD($D61-$C61,1)*24),"",ROUND(MOD($D61-$C61,1)*24-IF($E61="",0,$E61),2)))</f>
        <v/>
      </c>
      <c r="G61" s="25" t="n">
        <v>8</v>
      </c>
      <c r="H61" s="8">
        <f>IF(OR($A61="",$B61="",$F61=""),"",ROUND(IF($F$3="",0,MAX(0,$F61-$F$3))+IF($D$3="",0,MIN($F61-IF($F$3="",0,MAX(0,$F61-$F$3)),MAX(0,SUMIFS($F$5:$F$304,$A$5:$A$304,$A61&amp;"",$B$5:$B$304,"&gt;="&amp;($B61-MOD(WEEKDAY($B61)-$B$3,7)),$B$5:$B$304,"&lt;="&amp;$B61)-IF($F$3="",0,SUMIFS($F$5:$F$304,$A$5:$A$304,$A61&amp;"",$B$5:$B$304,"&gt;="&amp;($B61-MOD(WEEKDAY($B61)-$B$3,7)),$B$5:$B$304,"&lt;="&amp;$B61,$F$5:$F$304,"&gt;"&amp;$F$3)-$F$3*COUNTIFS($A$5:$A$304,$A61&amp;"",$B$5:$B$304,"&gt;="&amp;($B61-MOD(WEEKDAY($B61)-$B$3,7)),$B$5:$B$304,"&lt;="&amp;$B61,$F$5:$F$304,"&gt;"&amp;$F$3))-$D$3))),2))</f>
        <v/>
      </c>
      <c r="I61" s="26" t="n"/>
      <c r="J61" s="27">
        <f>IF(AND($A61="",$C61="",$D61=""),"",IF(OR($C61&gt;=1,$D61&gt;=1),"⚠ type the time with a colon: 9:00 AM, not 9",IF(AND($C61&lt;&gt;"",$C61=$D61),"⚠ clock-in equals clock-out: the shift adds 0 h",IF(AND($C61&lt;&gt;"",$D61&lt;&gt;"",IF($E61="",0,$E61)&gt;MOD($D61-$C61,1)*24),"⚠ the break is longer than the shift",IF(AND($A61&lt;&gt;"",COUNTIF('Monthly OT Summary'!$A$6:$A$35,$A61&amp;"")=0),"⚠ name not in Monthly OT Summary: its hours are not added","")))))</f>
        <v/>
      </c>
    </row>
    <row r="62">
      <c r="A62" s="21" t="n"/>
      <c r="B62" s="40" t="n"/>
      <c r="C62" s="41" t="n"/>
      <c r="D62" s="41" t="n"/>
      <c r="E62" s="24" t="n"/>
      <c r="F62" s="8">
        <f>IF(OR($C62="",$D62=""),"",IF(OR($C62&gt;=1,$D62&gt;=1,$C62=$D62,IF($E62="",0,$E62)&gt;MOD($D62-$C62,1)*24),"",ROUND(MOD($D62-$C62,1)*24-IF($E62="",0,$E62),2)))</f>
        <v/>
      </c>
      <c r="G62" s="25" t="n">
        <v>8</v>
      </c>
      <c r="H62" s="8">
        <f>IF(OR($A62="",$B62="",$F62=""),"",ROUND(IF($F$3="",0,MAX(0,$F62-$F$3))+IF($D$3="",0,MIN($F62-IF($F$3="",0,MAX(0,$F62-$F$3)),MAX(0,SUMIFS($F$5:$F$304,$A$5:$A$304,$A62&amp;"",$B$5:$B$304,"&gt;="&amp;($B62-MOD(WEEKDAY($B62)-$B$3,7)),$B$5:$B$304,"&lt;="&amp;$B62)-IF($F$3="",0,SUMIFS($F$5:$F$304,$A$5:$A$304,$A62&amp;"",$B$5:$B$304,"&gt;="&amp;($B62-MOD(WEEKDAY($B62)-$B$3,7)),$B$5:$B$304,"&lt;="&amp;$B62,$F$5:$F$304,"&gt;"&amp;$F$3)-$F$3*COUNTIFS($A$5:$A$304,$A62&amp;"",$B$5:$B$304,"&gt;="&amp;($B62-MOD(WEEKDAY($B62)-$B$3,7)),$B$5:$B$304,"&lt;="&amp;$B62,$F$5:$F$304,"&gt;"&amp;$F$3))-$D$3))),2))</f>
        <v/>
      </c>
      <c r="I62" s="26" t="n"/>
      <c r="J62" s="27">
        <f>IF(AND($A62="",$C62="",$D62=""),"",IF(OR($C62&gt;=1,$D62&gt;=1),"⚠ type the time with a colon: 9:00 AM, not 9",IF(AND($C62&lt;&gt;"",$C62=$D62),"⚠ clock-in equals clock-out: the shift adds 0 h",IF(AND($C62&lt;&gt;"",$D62&lt;&gt;"",IF($E62="",0,$E62)&gt;MOD($D62-$C62,1)*24),"⚠ the break is longer than the shift",IF(AND($A62&lt;&gt;"",COUNTIF('Monthly OT Summary'!$A$6:$A$35,$A62&amp;"")=0),"⚠ name not in Monthly OT Summary: its hours are not added","")))))</f>
        <v/>
      </c>
    </row>
    <row r="63">
      <c r="A63" s="21" t="n"/>
      <c r="B63" s="40" t="n"/>
      <c r="C63" s="41" t="n"/>
      <c r="D63" s="41" t="n"/>
      <c r="E63" s="24" t="n"/>
      <c r="F63" s="8">
        <f>IF(OR($C63="",$D63=""),"",IF(OR($C63&gt;=1,$D63&gt;=1,$C63=$D63,IF($E63="",0,$E63)&gt;MOD($D63-$C63,1)*24),"",ROUND(MOD($D63-$C63,1)*24-IF($E63="",0,$E63),2)))</f>
        <v/>
      </c>
      <c r="G63" s="25" t="n">
        <v>8</v>
      </c>
      <c r="H63" s="8">
        <f>IF(OR($A63="",$B63="",$F63=""),"",ROUND(IF($F$3="",0,MAX(0,$F63-$F$3))+IF($D$3="",0,MIN($F63-IF($F$3="",0,MAX(0,$F63-$F$3)),MAX(0,SUMIFS($F$5:$F$304,$A$5:$A$304,$A63&amp;"",$B$5:$B$304,"&gt;="&amp;($B63-MOD(WEEKDAY($B63)-$B$3,7)),$B$5:$B$304,"&lt;="&amp;$B63)-IF($F$3="",0,SUMIFS($F$5:$F$304,$A$5:$A$304,$A63&amp;"",$B$5:$B$304,"&gt;="&amp;($B63-MOD(WEEKDAY($B63)-$B$3,7)),$B$5:$B$304,"&lt;="&amp;$B63,$F$5:$F$304,"&gt;"&amp;$F$3)-$F$3*COUNTIFS($A$5:$A$304,$A63&amp;"",$B$5:$B$304,"&gt;="&amp;($B63-MOD(WEEKDAY($B63)-$B$3,7)),$B$5:$B$304,"&lt;="&amp;$B63,$F$5:$F$304,"&gt;"&amp;$F$3))-$D$3))),2))</f>
        <v/>
      </c>
      <c r="I63" s="26" t="n"/>
      <c r="J63" s="27">
        <f>IF(AND($A63="",$C63="",$D63=""),"",IF(OR($C63&gt;=1,$D63&gt;=1),"⚠ type the time with a colon: 9:00 AM, not 9",IF(AND($C63&lt;&gt;"",$C63=$D63),"⚠ clock-in equals clock-out: the shift adds 0 h",IF(AND($C63&lt;&gt;"",$D63&lt;&gt;"",IF($E63="",0,$E63)&gt;MOD($D63-$C63,1)*24),"⚠ the break is longer than the shift",IF(AND($A63&lt;&gt;"",COUNTIF('Monthly OT Summary'!$A$6:$A$35,$A63&amp;"")=0),"⚠ name not in Monthly OT Summary: its hours are not added","")))))</f>
        <v/>
      </c>
    </row>
    <row r="64">
      <c r="A64" s="21" t="n"/>
      <c r="B64" s="40" t="n"/>
      <c r="C64" s="41" t="n"/>
      <c r="D64" s="41" t="n"/>
      <c r="E64" s="24" t="n"/>
      <c r="F64" s="8">
        <f>IF(OR($C64="",$D64=""),"",IF(OR($C64&gt;=1,$D64&gt;=1,$C64=$D64,IF($E64="",0,$E64)&gt;MOD($D64-$C64,1)*24),"",ROUND(MOD($D64-$C64,1)*24-IF($E64="",0,$E64),2)))</f>
        <v/>
      </c>
      <c r="G64" s="25" t="n">
        <v>8</v>
      </c>
      <c r="H64" s="8">
        <f>IF(OR($A64="",$B64="",$F64=""),"",ROUND(IF($F$3="",0,MAX(0,$F64-$F$3))+IF($D$3="",0,MIN($F64-IF($F$3="",0,MAX(0,$F64-$F$3)),MAX(0,SUMIFS($F$5:$F$304,$A$5:$A$304,$A64&amp;"",$B$5:$B$304,"&gt;="&amp;($B64-MOD(WEEKDAY($B64)-$B$3,7)),$B$5:$B$304,"&lt;="&amp;$B64)-IF($F$3="",0,SUMIFS($F$5:$F$304,$A$5:$A$304,$A64&amp;"",$B$5:$B$304,"&gt;="&amp;($B64-MOD(WEEKDAY($B64)-$B$3,7)),$B$5:$B$304,"&lt;="&amp;$B64,$F$5:$F$304,"&gt;"&amp;$F$3)-$F$3*COUNTIFS($A$5:$A$304,$A64&amp;"",$B$5:$B$304,"&gt;="&amp;($B64-MOD(WEEKDAY($B64)-$B$3,7)),$B$5:$B$304,"&lt;="&amp;$B64,$F$5:$F$304,"&gt;"&amp;$F$3))-$D$3))),2))</f>
        <v/>
      </c>
      <c r="I64" s="26" t="n"/>
      <c r="J64" s="27">
        <f>IF(AND($A64="",$C64="",$D64=""),"",IF(OR($C64&gt;=1,$D64&gt;=1),"⚠ type the time with a colon: 9:00 AM, not 9",IF(AND($C64&lt;&gt;"",$C64=$D64),"⚠ clock-in equals clock-out: the shift adds 0 h",IF(AND($C64&lt;&gt;"",$D64&lt;&gt;"",IF($E64="",0,$E64)&gt;MOD($D64-$C64,1)*24),"⚠ the break is longer than the shift",IF(AND($A64&lt;&gt;"",COUNTIF('Monthly OT Summary'!$A$6:$A$35,$A64&amp;"")=0),"⚠ name not in Monthly OT Summary: its hours are not added","")))))</f>
        <v/>
      </c>
    </row>
    <row r="65">
      <c r="A65" s="21" t="n"/>
      <c r="B65" s="40" t="n"/>
      <c r="C65" s="41" t="n"/>
      <c r="D65" s="41" t="n"/>
      <c r="E65" s="24" t="n"/>
      <c r="F65" s="8">
        <f>IF(OR($C65="",$D65=""),"",IF(OR($C65&gt;=1,$D65&gt;=1,$C65=$D65,IF($E65="",0,$E65)&gt;MOD($D65-$C65,1)*24),"",ROUND(MOD($D65-$C65,1)*24-IF($E65="",0,$E65),2)))</f>
        <v/>
      </c>
      <c r="G65" s="25" t="n">
        <v>8</v>
      </c>
      <c r="H65" s="8">
        <f>IF(OR($A65="",$B65="",$F65=""),"",ROUND(IF($F$3="",0,MAX(0,$F65-$F$3))+IF($D$3="",0,MIN($F65-IF($F$3="",0,MAX(0,$F65-$F$3)),MAX(0,SUMIFS($F$5:$F$304,$A$5:$A$304,$A65&amp;"",$B$5:$B$304,"&gt;="&amp;($B65-MOD(WEEKDAY($B65)-$B$3,7)),$B$5:$B$304,"&lt;="&amp;$B65)-IF($F$3="",0,SUMIFS($F$5:$F$304,$A$5:$A$304,$A65&amp;"",$B$5:$B$304,"&gt;="&amp;($B65-MOD(WEEKDAY($B65)-$B$3,7)),$B$5:$B$304,"&lt;="&amp;$B65,$F$5:$F$304,"&gt;"&amp;$F$3)-$F$3*COUNTIFS($A$5:$A$304,$A65&amp;"",$B$5:$B$304,"&gt;="&amp;($B65-MOD(WEEKDAY($B65)-$B$3,7)),$B$5:$B$304,"&lt;="&amp;$B65,$F$5:$F$304,"&gt;"&amp;$F$3))-$D$3))),2))</f>
        <v/>
      </c>
      <c r="I65" s="26" t="n"/>
      <c r="J65" s="27">
        <f>IF(AND($A65="",$C65="",$D65=""),"",IF(OR($C65&gt;=1,$D65&gt;=1),"⚠ type the time with a colon: 9:00 AM, not 9",IF(AND($C65&lt;&gt;"",$C65=$D65),"⚠ clock-in equals clock-out: the shift adds 0 h",IF(AND($C65&lt;&gt;"",$D65&lt;&gt;"",IF($E65="",0,$E65)&gt;MOD($D65-$C65,1)*24),"⚠ the break is longer than the shift",IF(AND($A65&lt;&gt;"",COUNTIF('Monthly OT Summary'!$A$6:$A$35,$A65&amp;"")=0),"⚠ name not in Monthly OT Summary: its hours are not added","")))))</f>
        <v/>
      </c>
    </row>
    <row r="66">
      <c r="A66" s="21" t="n"/>
      <c r="B66" s="40" t="n"/>
      <c r="C66" s="41" t="n"/>
      <c r="D66" s="41" t="n"/>
      <c r="E66" s="24" t="n"/>
      <c r="F66" s="8">
        <f>IF(OR($C66="",$D66=""),"",IF(OR($C66&gt;=1,$D66&gt;=1,$C66=$D66,IF($E66="",0,$E66)&gt;MOD($D66-$C66,1)*24),"",ROUND(MOD($D66-$C66,1)*24-IF($E66="",0,$E66),2)))</f>
        <v/>
      </c>
      <c r="G66" s="25" t="n">
        <v>8</v>
      </c>
      <c r="H66" s="8">
        <f>IF(OR($A66="",$B66="",$F66=""),"",ROUND(IF($F$3="",0,MAX(0,$F66-$F$3))+IF($D$3="",0,MIN($F66-IF($F$3="",0,MAX(0,$F66-$F$3)),MAX(0,SUMIFS($F$5:$F$304,$A$5:$A$304,$A66&amp;"",$B$5:$B$304,"&gt;="&amp;($B66-MOD(WEEKDAY($B66)-$B$3,7)),$B$5:$B$304,"&lt;="&amp;$B66)-IF($F$3="",0,SUMIFS($F$5:$F$304,$A$5:$A$304,$A66&amp;"",$B$5:$B$304,"&gt;="&amp;($B66-MOD(WEEKDAY($B66)-$B$3,7)),$B$5:$B$304,"&lt;="&amp;$B66,$F$5:$F$304,"&gt;"&amp;$F$3)-$F$3*COUNTIFS($A$5:$A$304,$A66&amp;"",$B$5:$B$304,"&gt;="&amp;($B66-MOD(WEEKDAY($B66)-$B$3,7)),$B$5:$B$304,"&lt;="&amp;$B66,$F$5:$F$304,"&gt;"&amp;$F$3))-$D$3))),2))</f>
        <v/>
      </c>
      <c r="I66" s="26" t="n"/>
      <c r="J66" s="27">
        <f>IF(AND($A66="",$C66="",$D66=""),"",IF(OR($C66&gt;=1,$D66&gt;=1),"⚠ type the time with a colon: 9:00 AM, not 9",IF(AND($C66&lt;&gt;"",$C66=$D66),"⚠ clock-in equals clock-out: the shift adds 0 h",IF(AND($C66&lt;&gt;"",$D66&lt;&gt;"",IF($E66="",0,$E66)&gt;MOD($D66-$C66,1)*24),"⚠ the break is longer than the shift",IF(AND($A66&lt;&gt;"",COUNTIF('Monthly OT Summary'!$A$6:$A$35,$A66&amp;"")=0),"⚠ name not in Monthly OT Summary: its hours are not added","")))))</f>
        <v/>
      </c>
    </row>
    <row r="67">
      <c r="A67" s="21" t="n"/>
      <c r="B67" s="40" t="n"/>
      <c r="C67" s="41" t="n"/>
      <c r="D67" s="41" t="n"/>
      <c r="E67" s="24" t="n"/>
      <c r="F67" s="8">
        <f>IF(OR($C67="",$D67=""),"",IF(OR($C67&gt;=1,$D67&gt;=1,$C67=$D67,IF($E67="",0,$E67)&gt;MOD($D67-$C67,1)*24),"",ROUND(MOD($D67-$C67,1)*24-IF($E67="",0,$E67),2)))</f>
        <v/>
      </c>
      <c r="G67" s="25" t="n">
        <v>8</v>
      </c>
      <c r="H67" s="8">
        <f>IF(OR($A67="",$B67="",$F67=""),"",ROUND(IF($F$3="",0,MAX(0,$F67-$F$3))+IF($D$3="",0,MIN($F67-IF($F$3="",0,MAX(0,$F67-$F$3)),MAX(0,SUMIFS($F$5:$F$304,$A$5:$A$304,$A67&amp;"",$B$5:$B$304,"&gt;="&amp;($B67-MOD(WEEKDAY($B67)-$B$3,7)),$B$5:$B$304,"&lt;="&amp;$B67)-IF($F$3="",0,SUMIFS($F$5:$F$304,$A$5:$A$304,$A67&amp;"",$B$5:$B$304,"&gt;="&amp;($B67-MOD(WEEKDAY($B67)-$B$3,7)),$B$5:$B$304,"&lt;="&amp;$B67,$F$5:$F$304,"&gt;"&amp;$F$3)-$F$3*COUNTIFS($A$5:$A$304,$A67&amp;"",$B$5:$B$304,"&gt;="&amp;($B67-MOD(WEEKDAY($B67)-$B$3,7)),$B$5:$B$304,"&lt;="&amp;$B67,$F$5:$F$304,"&gt;"&amp;$F$3))-$D$3))),2))</f>
        <v/>
      </c>
      <c r="I67" s="26" t="n"/>
      <c r="J67" s="27">
        <f>IF(AND($A67="",$C67="",$D67=""),"",IF(OR($C67&gt;=1,$D67&gt;=1),"⚠ type the time with a colon: 9:00 AM, not 9",IF(AND($C67&lt;&gt;"",$C67=$D67),"⚠ clock-in equals clock-out: the shift adds 0 h",IF(AND($C67&lt;&gt;"",$D67&lt;&gt;"",IF($E67="",0,$E67)&gt;MOD($D67-$C67,1)*24),"⚠ the break is longer than the shift",IF(AND($A67&lt;&gt;"",COUNTIF('Monthly OT Summary'!$A$6:$A$35,$A67&amp;"")=0),"⚠ name not in Monthly OT Summary: its hours are not added","")))))</f>
        <v/>
      </c>
    </row>
    <row r="68">
      <c r="A68" s="21" t="n"/>
      <c r="B68" s="40" t="n"/>
      <c r="C68" s="41" t="n"/>
      <c r="D68" s="41" t="n"/>
      <c r="E68" s="24" t="n"/>
      <c r="F68" s="8">
        <f>IF(OR($C68="",$D68=""),"",IF(OR($C68&gt;=1,$D68&gt;=1,$C68=$D68,IF($E68="",0,$E68)&gt;MOD($D68-$C68,1)*24),"",ROUND(MOD($D68-$C68,1)*24-IF($E68="",0,$E68),2)))</f>
        <v/>
      </c>
      <c r="G68" s="25" t="n">
        <v>8</v>
      </c>
      <c r="H68" s="8">
        <f>IF(OR($A68="",$B68="",$F68=""),"",ROUND(IF($F$3="",0,MAX(0,$F68-$F$3))+IF($D$3="",0,MIN($F68-IF($F$3="",0,MAX(0,$F68-$F$3)),MAX(0,SUMIFS($F$5:$F$304,$A$5:$A$304,$A68&amp;"",$B$5:$B$304,"&gt;="&amp;($B68-MOD(WEEKDAY($B68)-$B$3,7)),$B$5:$B$304,"&lt;="&amp;$B68)-IF($F$3="",0,SUMIFS($F$5:$F$304,$A$5:$A$304,$A68&amp;"",$B$5:$B$304,"&gt;="&amp;($B68-MOD(WEEKDAY($B68)-$B$3,7)),$B$5:$B$304,"&lt;="&amp;$B68,$F$5:$F$304,"&gt;"&amp;$F$3)-$F$3*COUNTIFS($A$5:$A$304,$A68&amp;"",$B$5:$B$304,"&gt;="&amp;($B68-MOD(WEEKDAY($B68)-$B$3,7)),$B$5:$B$304,"&lt;="&amp;$B68,$F$5:$F$304,"&gt;"&amp;$F$3))-$D$3))),2))</f>
        <v/>
      </c>
      <c r="I68" s="26" t="n"/>
      <c r="J68" s="27">
        <f>IF(AND($A68="",$C68="",$D68=""),"",IF(OR($C68&gt;=1,$D68&gt;=1),"⚠ type the time with a colon: 9:00 AM, not 9",IF(AND($C68&lt;&gt;"",$C68=$D68),"⚠ clock-in equals clock-out: the shift adds 0 h",IF(AND($C68&lt;&gt;"",$D68&lt;&gt;"",IF($E68="",0,$E68)&gt;MOD($D68-$C68,1)*24),"⚠ the break is longer than the shift",IF(AND($A68&lt;&gt;"",COUNTIF('Monthly OT Summary'!$A$6:$A$35,$A68&amp;"")=0),"⚠ name not in Monthly OT Summary: its hours are not added","")))))</f>
        <v/>
      </c>
    </row>
    <row r="69">
      <c r="A69" s="21" t="n"/>
      <c r="B69" s="40" t="n"/>
      <c r="C69" s="41" t="n"/>
      <c r="D69" s="41" t="n"/>
      <c r="E69" s="24" t="n"/>
      <c r="F69" s="8">
        <f>IF(OR($C69="",$D69=""),"",IF(OR($C69&gt;=1,$D69&gt;=1,$C69=$D69,IF($E69="",0,$E69)&gt;MOD($D69-$C69,1)*24),"",ROUND(MOD($D69-$C69,1)*24-IF($E69="",0,$E69),2)))</f>
        <v/>
      </c>
      <c r="G69" s="25" t="n">
        <v>8</v>
      </c>
      <c r="H69" s="8">
        <f>IF(OR($A69="",$B69="",$F69=""),"",ROUND(IF($F$3="",0,MAX(0,$F69-$F$3))+IF($D$3="",0,MIN($F69-IF($F$3="",0,MAX(0,$F69-$F$3)),MAX(0,SUMIFS($F$5:$F$304,$A$5:$A$304,$A69&amp;"",$B$5:$B$304,"&gt;="&amp;($B69-MOD(WEEKDAY($B69)-$B$3,7)),$B$5:$B$304,"&lt;="&amp;$B69)-IF($F$3="",0,SUMIFS($F$5:$F$304,$A$5:$A$304,$A69&amp;"",$B$5:$B$304,"&gt;="&amp;($B69-MOD(WEEKDAY($B69)-$B$3,7)),$B$5:$B$304,"&lt;="&amp;$B69,$F$5:$F$304,"&gt;"&amp;$F$3)-$F$3*COUNTIFS($A$5:$A$304,$A69&amp;"",$B$5:$B$304,"&gt;="&amp;($B69-MOD(WEEKDAY($B69)-$B$3,7)),$B$5:$B$304,"&lt;="&amp;$B69,$F$5:$F$304,"&gt;"&amp;$F$3))-$D$3))),2))</f>
        <v/>
      </c>
      <c r="I69" s="26" t="n"/>
      <c r="J69" s="27">
        <f>IF(AND($A69="",$C69="",$D69=""),"",IF(OR($C69&gt;=1,$D69&gt;=1),"⚠ type the time with a colon: 9:00 AM, not 9",IF(AND($C69&lt;&gt;"",$C69=$D69),"⚠ clock-in equals clock-out: the shift adds 0 h",IF(AND($C69&lt;&gt;"",$D69&lt;&gt;"",IF($E69="",0,$E69)&gt;MOD($D69-$C69,1)*24),"⚠ the break is longer than the shift",IF(AND($A69&lt;&gt;"",COUNTIF('Monthly OT Summary'!$A$6:$A$35,$A69&amp;"")=0),"⚠ name not in Monthly OT Summary: its hours are not added","")))))</f>
        <v/>
      </c>
    </row>
    <row r="70">
      <c r="A70" s="21" t="n"/>
      <c r="B70" s="40" t="n"/>
      <c r="C70" s="41" t="n"/>
      <c r="D70" s="41" t="n"/>
      <c r="E70" s="24" t="n"/>
      <c r="F70" s="8">
        <f>IF(OR($C70="",$D70=""),"",IF(OR($C70&gt;=1,$D70&gt;=1,$C70=$D70,IF($E70="",0,$E70)&gt;MOD($D70-$C70,1)*24),"",ROUND(MOD($D70-$C70,1)*24-IF($E70="",0,$E70),2)))</f>
        <v/>
      </c>
      <c r="G70" s="25" t="n">
        <v>8</v>
      </c>
      <c r="H70" s="8">
        <f>IF(OR($A70="",$B70="",$F70=""),"",ROUND(IF($F$3="",0,MAX(0,$F70-$F$3))+IF($D$3="",0,MIN($F70-IF($F$3="",0,MAX(0,$F70-$F$3)),MAX(0,SUMIFS($F$5:$F$304,$A$5:$A$304,$A70&amp;"",$B$5:$B$304,"&gt;="&amp;($B70-MOD(WEEKDAY($B70)-$B$3,7)),$B$5:$B$304,"&lt;="&amp;$B70)-IF($F$3="",0,SUMIFS($F$5:$F$304,$A$5:$A$304,$A70&amp;"",$B$5:$B$304,"&gt;="&amp;($B70-MOD(WEEKDAY($B70)-$B$3,7)),$B$5:$B$304,"&lt;="&amp;$B70,$F$5:$F$304,"&gt;"&amp;$F$3)-$F$3*COUNTIFS($A$5:$A$304,$A70&amp;"",$B$5:$B$304,"&gt;="&amp;($B70-MOD(WEEKDAY($B70)-$B$3,7)),$B$5:$B$304,"&lt;="&amp;$B70,$F$5:$F$304,"&gt;"&amp;$F$3))-$D$3))),2))</f>
        <v/>
      </c>
      <c r="I70" s="26" t="n"/>
      <c r="J70" s="27">
        <f>IF(AND($A70="",$C70="",$D70=""),"",IF(OR($C70&gt;=1,$D70&gt;=1),"⚠ type the time with a colon: 9:00 AM, not 9",IF(AND($C70&lt;&gt;"",$C70=$D70),"⚠ clock-in equals clock-out: the shift adds 0 h",IF(AND($C70&lt;&gt;"",$D70&lt;&gt;"",IF($E70="",0,$E70)&gt;MOD($D70-$C70,1)*24),"⚠ the break is longer than the shift",IF(AND($A70&lt;&gt;"",COUNTIF('Monthly OT Summary'!$A$6:$A$35,$A70&amp;"")=0),"⚠ name not in Monthly OT Summary: its hours are not added","")))))</f>
        <v/>
      </c>
    </row>
    <row r="71">
      <c r="A71" s="21" t="n"/>
      <c r="B71" s="40" t="n"/>
      <c r="C71" s="41" t="n"/>
      <c r="D71" s="41" t="n"/>
      <c r="E71" s="24" t="n"/>
      <c r="F71" s="8">
        <f>IF(OR($C71="",$D71=""),"",IF(OR($C71&gt;=1,$D71&gt;=1,$C71=$D71,IF($E71="",0,$E71)&gt;MOD($D71-$C71,1)*24),"",ROUND(MOD($D71-$C71,1)*24-IF($E71="",0,$E71),2)))</f>
        <v/>
      </c>
      <c r="G71" s="25" t="n">
        <v>8</v>
      </c>
      <c r="H71" s="8">
        <f>IF(OR($A71="",$B71="",$F71=""),"",ROUND(IF($F$3="",0,MAX(0,$F71-$F$3))+IF($D$3="",0,MIN($F71-IF($F$3="",0,MAX(0,$F71-$F$3)),MAX(0,SUMIFS($F$5:$F$304,$A$5:$A$304,$A71&amp;"",$B$5:$B$304,"&gt;="&amp;($B71-MOD(WEEKDAY($B71)-$B$3,7)),$B$5:$B$304,"&lt;="&amp;$B71)-IF($F$3="",0,SUMIFS($F$5:$F$304,$A$5:$A$304,$A71&amp;"",$B$5:$B$304,"&gt;="&amp;($B71-MOD(WEEKDAY($B71)-$B$3,7)),$B$5:$B$304,"&lt;="&amp;$B71,$F$5:$F$304,"&gt;"&amp;$F$3)-$F$3*COUNTIFS($A$5:$A$304,$A71&amp;"",$B$5:$B$304,"&gt;="&amp;($B71-MOD(WEEKDAY($B71)-$B$3,7)),$B$5:$B$304,"&lt;="&amp;$B71,$F$5:$F$304,"&gt;"&amp;$F$3))-$D$3))),2))</f>
        <v/>
      </c>
      <c r="I71" s="26" t="n"/>
      <c r="J71" s="27">
        <f>IF(AND($A71="",$C71="",$D71=""),"",IF(OR($C71&gt;=1,$D71&gt;=1),"⚠ type the time with a colon: 9:00 AM, not 9",IF(AND($C71&lt;&gt;"",$C71=$D71),"⚠ clock-in equals clock-out: the shift adds 0 h",IF(AND($C71&lt;&gt;"",$D71&lt;&gt;"",IF($E71="",0,$E71)&gt;MOD($D71-$C71,1)*24),"⚠ the break is longer than the shift",IF(AND($A71&lt;&gt;"",COUNTIF('Monthly OT Summary'!$A$6:$A$35,$A71&amp;"")=0),"⚠ name not in Monthly OT Summary: its hours are not added","")))))</f>
        <v/>
      </c>
    </row>
    <row r="72">
      <c r="A72" s="21" t="n"/>
      <c r="B72" s="40" t="n"/>
      <c r="C72" s="41" t="n"/>
      <c r="D72" s="41" t="n"/>
      <c r="E72" s="24" t="n"/>
      <c r="F72" s="8">
        <f>IF(OR($C72="",$D72=""),"",IF(OR($C72&gt;=1,$D72&gt;=1,$C72=$D72,IF($E72="",0,$E72)&gt;MOD($D72-$C72,1)*24),"",ROUND(MOD($D72-$C72,1)*24-IF($E72="",0,$E72),2)))</f>
        <v/>
      </c>
      <c r="G72" s="25" t="n">
        <v>8</v>
      </c>
      <c r="H72" s="8">
        <f>IF(OR($A72="",$B72="",$F72=""),"",ROUND(IF($F$3="",0,MAX(0,$F72-$F$3))+IF($D$3="",0,MIN($F72-IF($F$3="",0,MAX(0,$F72-$F$3)),MAX(0,SUMIFS($F$5:$F$304,$A$5:$A$304,$A72&amp;"",$B$5:$B$304,"&gt;="&amp;($B72-MOD(WEEKDAY($B72)-$B$3,7)),$B$5:$B$304,"&lt;="&amp;$B72)-IF($F$3="",0,SUMIFS($F$5:$F$304,$A$5:$A$304,$A72&amp;"",$B$5:$B$304,"&gt;="&amp;($B72-MOD(WEEKDAY($B72)-$B$3,7)),$B$5:$B$304,"&lt;="&amp;$B72,$F$5:$F$304,"&gt;"&amp;$F$3)-$F$3*COUNTIFS($A$5:$A$304,$A72&amp;"",$B$5:$B$304,"&gt;="&amp;($B72-MOD(WEEKDAY($B72)-$B$3,7)),$B$5:$B$304,"&lt;="&amp;$B72,$F$5:$F$304,"&gt;"&amp;$F$3))-$D$3))),2))</f>
        <v/>
      </c>
      <c r="I72" s="26" t="n"/>
      <c r="J72" s="27">
        <f>IF(AND($A72="",$C72="",$D72=""),"",IF(OR($C72&gt;=1,$D72&gt;=1),"⚠ type the time with a colon: 9:00 AM, not 9",IF(AND($C72&lt;&gt;"",$C72=$D72),"⚠ clock-in equals clock-out: the shift adds 0 h",IF(AND($C72&lt;&gt;"",$D72&lt;&gt;"",IF($E72="",0,$E72)&gt;MOD($D72-$C72,1)*24),"⚠ the break is longer than the shift",IF(AND($A72&lt;&gt;"",COUNTIF('Monthly OT Summary'!$A$6:$A$35,$A72&amp;"")=0),"⚠ name not in Monthly OT Summary: its hours are not added","")))))</f>
        <v/>
      </c>
    </row>
    <row r="73">
      <c r="A73" s="21" t="n"/>
      <c r="B73" s="40" t="n"/>
      <c r="C73" s="41" t="n"/>
      <c r="D73" s="41" t="n"/>
      <c r="E73" s="24" t="n"/>
      <c r="F73" s="8">
        <f>IF(OR($C73="",$D73=""),"",IF(OR($C73&gt;=1,$D73&gt;=1,$C73=$D73,IF($E73="",0,$E73)&gt;MOD($D73-$C73,1)*24),"",ROUND(MOD($D73-$C73,1)*24-IF($E73="",0,$E73),2)))</f>
        <v/>
      </c>
      <c r="G73" s="25" t="n">
        <v>8</v>
      </c>
      <c r="H73" s="8">
        <f>IF(OR($A73="",$B73="",$F73=""),"",ROUND(IF($F$3="",0,MAX(0,$F73-$F$3))+IF($D$3="",0,MIN($F73-IF($F$3="",0,MAX(0,$F73-$F$3)),MAX(0,SUMIFS($F$5:$F$304,$A$5:$A$304,$A73&amp;"",$B$5:$B$304,"&gt;="&amp;($B73-MOD(WEEKDAY($B73)-$B$3,7)),$B$5:$B$304,"&lt;="&amp;$B73)-IF($F$3="",0,SUMIFS($F$5:$F$304,$A$5:$A$304,$A73&amp;"",$B$5:$B$304,"&gt;="&amp;($B73-MOD(WEEKDAY($B73)-$B$3,7)),$B$5:$B$304,"&lt;="&amp;$B73,$F$5:$F$304,"&gt;"&amp;$F$3)-$F$3*COUNTIFS($A$5:$A$304,$A73&amp;"",$B$5:$B$304,"&gt;="&amp;($B73-MOD(WEEKDAY($B73)-$B$3,7)),$B$5:$B$304,"&lt;="&amp;$B73,$F$5:$F$304,"&gt;"&amp;$F$3))-$D$3))),2))</f>
        <v/>
      </c>
      <c r="I73" s="26" t="n"/>
      <c r="J73" s="27">
        <f>IF(AND($A73="",$C73="",$D73=""),"",IF(OR($C73&gt;=1,$D73&gt;=1),"⚠ type the time with a colon: 9:00 AM, not 9",IF(AND($C73&lt;&gt;"",$C73=$D73),"⚠ clock-in equals clock-out: the shift adds 0 h",IF(AND($C73&lt;&gt;"",$D73&lt;&gt;"",IF($E73="",0,$E73)&gt;MOD($D73-$C73,1)*24),"⚠ the break is longer than the shift",IF(AND($A73&lt;&gt;"",COUNTIF('Monthly OT Summary'!$A$6:$A$35,$A73&amp;"")=0),"⚠ name not in Monthly OT Summary: its hours are not added","")))))</f>
        <v/>
      </c>
    </row>
    <row r="74">
      <c r="A74" s="21" t="n"/>
      <c r="B74" s="40" t="n"/>
      <c r="C74" s="41" t="n"/>
      <c r="D74" s="41" t="n"/>
      <c r="E74" s="24" t="n"/>
      <c r="F74" s="8">
        <f>IF(OR($C74="",$D74=""),"",IF(OR($C74&gt;=1,$D74&gt;=1,$C74=$D74,IF($E74="",0,$E74)&gt;MOD($D74-$C74,1)*24),"",ROUND(MOD($D74-$C74,1)*24-IF($E74="",0,$E74),2)))</f>
        <v/>
      </c>
      <c r="G74" s="25" t="n">
        <v>8</v>
      </c>
      <c r="H74" s="8">
        <f>IF(OR($A74="",$B74="",$F74=""),"",ROUND(IF($F$3="",0,MAX(0,$F74-$F$3))+IF($D$3="",0,MIN($F74-IF($F$3="",0,MAX(0,$F74-$F$3)),MAX(0,SUMIFS($F$5:$F$304,$A$5:$A$304,$A74&amp;"",$B$5:$B$304,"&gt;="&amp;($B74-MOD(WEEKDAY($B74)-$B$3,7)),$B$5:$B$304,"&lt;="&amp;$B74)-IF($F$3="",0,SUMIFS($F$5:$F$304,$A$5:$A$304,$A74&amp;"",$B$5:$B$304,"&gt;="&amp;($B74-MOD(WEEKDAY($B74)-$B$3,7)),$B$5:$B$304,"&lt;="&amp;$B74,$F$5:$F$304,"&gt;"&amp;$F$3)-$F$3*COUNTIFS($A$5:$A$304,$A74&amp;"",$B$5:$B$304,"&gt;="&amp;($B74-MOD(WEEKDAY($B74)-$B$3,7)),$B$5:$B$304,"&lt;="&amp;$B74,$F$5:$F$304,"&gt;"&amp;$F$3))-$D$3))),2))</f>
        <v/>
      </c>
      <c r="I74" s="26" t="n"/>
      <c r="J74" s="27">
        <f>IF(AND($A74="",$C74="",$D74=""),"",IF(OR($C74&gt;=1,$D74&gt;=1),"⚠ type the time with a colon: 9:00 AM, not 9",IF(AND($C74&lt;&gt;"",$C74=$D74),"⚠ clock-in equals clock-out: the shift adds 0 h",IF(AND($C74&lt;&gt;"",$D74&lt;&gt;"",IF($E74="",0,$E74)&gt;MOD($D74-$C74,1)*24),"⚠ the break is longer than the shift",IF(AND($A74&lt;&gt;"",COUNTIF('Monthly OT Summary'!$A$6:$A$35,$A74&amp;"")=0),"⚠ name not in Monthly OT Summary: its hours are not added","")))))</f>
        <v/>
      </c>
    </row>
    <row r="75">
      <c r="A75" s="21" t="n"/>
      <c r="B75" s="40" t="n"/>
      <c r="C75" s="41" t="n"/>
      <c r="D75" s="41" t="n"/>
      <c r="E75" s="24" t="n"/>
      <c r="F75" s="8">
        <f>IF(OR($C75="",$D75=""),"",IF(OR($C75&gt;=1,$D75&gt;=1,$C75=$D75,IF($E75="",0,$E75)&gt;MOD($D75-$C75,1)*24),"",ROUND(MOD($D75-$C75,1)*24-IF($E75="",0,$E75),2)))</f>
        <v/>
      </c>
      <c r="G75" s="25" t="n">
        <v>8</v>
      </c>
      <c r="H75" s="8">
        <f>IF(OR($A75="",$B75="",$F75=""),"",ROUND(IF($F$3="",0,MAX(0,$F75-$F$3))+IF($D$3="",0,MIN($F75-IF($F$3="",0,MAX(0,$F75-$F$3)),MAX(0,SUMIFS($F$5:$F$304,$A$5:$A$304,$A75&amp;"",$B$5:$B$304,"&gt;="&amp;($B75-MOD(WEEKDAY($B75)-$B$3,7)),$B$5:$B$304,"&lt;="&amp;$B75)-IF($F$3="",0,SUMIFS($F$5:$F$304,$A$5:$A$304,$A75&amp;"",$B$5:$B$304,"&gt;="&amp;($B75-MOD(WEEKDAY($B75)-$B$3,7)),$B$5:$B$304,"&lt;="&amp;$B75,$F$5:$F$304,"&gt;"&amp;$F$3)-$F$3*COUNTIFS($A$5:$A$304,$A75&amp;"",$B$5:$B$304,"&gt;="&amp;($B75-MOD(WEEKDAY($B75)-$B$3,7)),$B$5:$B$304,"&lt;="&amp;$B75,$F$5:$F$304,"&gt;"&amp;$F$3))-$D$3))),2))</f>
        <v/>
      </c>
      <c r="I75" s="26" t="n"/>
      <c r="J75" s="27">
        <f>IF(AND($A75="",$C75="",$D75=""),"",IF(OR($C75&gt;=1,$D75&gt;=1),"⚠ type the time with a colon: 9:00 AM, not 9",IF(AND($C75&lt;&gt;"",$C75=$D75),"⚠ clock-in equals clock-out: the shift adds 0 h",IF(AND($C75&lt;&gt;"",$D75&lt;&gt;"",IF($E75="",0,$E75)&gt;MOD($D75-$C75,1)*24),"⚠ the break is longer than the shift",IF(AND($A75&lt;&gt;"",COUNTIF('Monthly OT Summary'!$A$6:$A$35,$A75&amp;"")=0),"⚠ name not in Monthly OT Summary: its hours are not added","")))))</f>
        <v/>
      </c>
    </row>
    <row r="76">
      <c r="A76" s="21" t="n"/>
      <c r="B76" s="40" t="n"/>
      <c r="C76" s="41" t="n"/>
      <c r="D76" s="41" t="n"/>
      <c r="E76" s="24" t="n"/>
      <c r="F76" s="8">
        <f>IF(OR($C76="",$D76=""),"",IF(OR($C76&gt;=1,$D76&gt;=1,$C76=$D76,IF($E76="",0,$E76)&gt;MOD($D76-$C76,1)*24),"",ROUND(MOD($D76-$C76,1)*24-IF($E76="",0,$E76),2)))</f>
        <v/>
      </c>
      <c r="G76" s="25" t="n">
        <v>8</v>
      </c>
      <c r="H76" s="8">
        <f>IF(OR($A76="",$B76="",$F76=""),"",ROUND(IF($F$3="",0,MAX(0,$F76-$F$3))+IF($D$3="",0,MIN($F76-IF($F$3="",0,MAX(0,$F76-$F$3)),MAX(0,SUMIFS($F$5:$F$304,$A$5:$A$304,$A76&amp;"",$B$5:$B$304,"&gt;="&amp;($B76-MOD(WEEKDAY($B76)-$B$3,7)),$B$5:$B$304,"&lt;="&amp;$B76)-IF($F$3="",0,SUMIFS($F$5:$F$304,$A$5:$A$304,$A76&amp;"",$B$5:$B$304,"&gt;="&amp;($B76-MOD(WEEKDAY($B76)-$B$3,7)),$B$5:$B$304,"&lt;="&amp;$B76,$F$5:$F$304,"&gt;"&amp;$F$3)-$F$3*COUNTIFS($A$5:$A$304,$A76&amp;"",$B$5:$B$304,"&gt;="&amp;($B76-MOD(WEEKDAY($B76)-$B$3,7)),$B$5:$B$304,"&lt;="&amp;$B76,$F$5:$F$304,"&gt;"&amp;$F$3))-$D$3))),2))</f>
        <v/>
      </c>
      <c r="I76" s="26" t="n"/>
      <c r="J76" s="27">
        <f>IF(AND($A76="",$C76="",$D76=""),"",IF(OR($C76&gt;=1,$D76&gt;=1),"⚠ type the time with a colon: 9:00 AM, not 9",IF(AND($C76&lt;&gt;"",$C76=$D76),"⚠ clock-in equals clock-out: the shift adds 0 h",IF(AND($C76&lt;&gt;"",$D76&lt;&gt;"",IF($E76="",0,$E76)&gt;MOD($D76-$C76,1)*24),"⚠ the break is longer than the shift",IF(AND($A76&lt;&gt;"",COUNTIF('Monthly OT Summary'!$A$6:$A$35,$A76&amp;"")=0),"⚠ name not in Monthly OT Summary: its hours are not added","")))))</f>
        <v/>
      </c>
    </row>
    <row r="77">
      <c r="A77" s="21" t="n"/>
      <c r="B77" s="40" t="n"/>
      <c r="C77" s="41" t="n"/>
      <c r="D77" s="41" t="n"/>
      <c r="E77" s="24" t="n"/>
      <c r="F77" s="8">
        <f>IF(OR($C77="",$D77=""),"",IF(OR($C77&gt;=1,$D77&gt;=1,$C77=$D77,IF($E77="",0,$E77)&gt;MOD($D77-$C77,1)*24),"",ROUND(MOD($D77-$C77,1)*24-IF($E77="",0,$E77),2)))</f>
        <v/>
      </c>
      <c r="G77" s="25" t="n">
        <v>8</v>
      </c>
      <c r="H77" s="8">
        <f>IF(OR($A77="",$B77="",$F77=""),"",ROUND(IF($F$3="",0,MAX(0,$F77-$F$3))+IF($D$3="",0,MIN($F77-IF($F$3="",0,MAX(0,$F77-$F$3)),MAX(0,SUMIFS($F$5:$F$304,$A$5:$A$304,$A77&amp;"",$B$5:$B$304,"&gt;="&amp;($B77-MOD(WEEKDAY($B77)-$B$3,7)),$B$5:$B$304,"&lt;="&amp;$B77)-IF($F$3="",0,SUMIFS($F$5:$F$304,$A$5:$A$304,$A77&amp;"",$B$5:$B$304,"&gt;="&amp;($B77-MOD(WEEKDAY($B77)-$B$3,7)),$B$5:$B$304,"&lt;="&amp;$B77,$F$5:$F$304,"&gt;"&amp;$F$3)-$F$3*COUNTIFS($A$5:$A$304,$A77&amp;"",$B$5:$B$304,"&gt;="&amp;($B77-MOD(WEEKDAY($B77)-$B$3,7)),$B$5:$B$304,"&lt;="&amp;$B77,$F$5:$F$304,"&gt;"&amp;$F$3))-$D$3))),2))</f>
        <v/>
      </c>
      <c r="I77" s="26" t="n"/>
      <c r="J77" s="27">
        <f>IF(AND($A77="",$C77="",$D77=""),"",IF(OR($C77&gt;=1,$D77&gt;=1),"⚠ type the time with a colon: 9:00 AM, not 9",IF(AND($C77&lt;&gt;"",$C77=$D77),"⚠ clock-in equals clock-out: the shift adds 0 h",IF(AND($C77&lt;&gt;"",$D77&lt;&gt;"",IF($E77="",0,$E77)&gt;MOD($D77-$C77,1)*24),"⚠ the break is longer than the shift",IF(AND($A77&lt;&gt;"",COUNTIF('Monthly OT Summary'!$A$6:$A$35,$A77&amp;"")=0),"⚠ name not in Monthly OT Summary: its hours are not added","")))))</f>
        <v/>
      </c>
    </row>
    <row r="78">
      <c r="A78" s="21" t="n"/>
      <c r="B78" s="40" t="n"/>
      <c r="C78" s="41" t="n"/>
      <c r="D78" s="41" t="n"/>
      <c r="E78" s="24" t="n"/>
      <c r="F78" s="8">
        <f>IF(OR($C78="",$D78=""),"",IF(OR($C78&gt;=1,$D78&gt;=1,$C78=$D78,IF($E78="",0,$E78)&gt;MOD($D78-$C78,1)*24),"",ROUND(MOD($D78-$C78,1)*24-IF($E78="",0,$E78),2)))</f>
        <v/>
      </c>
      <c r="G78" s="25" t="n">
        <v>8</v>
      </c>
      <c r="H78" s="8">
        <f>IF(OR($A78="",$B78="",$F78=""),"",ROUND(IF($F$3="",0,MAX(0,$F78-$F$3))+IF($D$3="",0,MIN($F78-IF($F$3="",0,MAX(0,$F78-$F$3)),MAX(0,SUMIFS($F$5:$F$304,$A$5:$A$304,$A78&amp;"",$B$5:$B$304,"&gt;="&amp;($B78-MOD(WEEKDAY($B78)-$B$3,7)),$B$5:$B$304,"&lt;="&amp;$B78)-IF($F$3="",0,SUMIFS($F$5:$F$304,$A$5:$A$304,$A78&amp;"",$B$5:$B$304,"&gt;="&amp;($B78-MOD(WEEKDAY($B78)-$B$3,7)),$B$5:$B$304,"&lt;="&amp;$B78,$F$5:$F$304,"&gt;"&amp;$F$3)-$F$3*COUNTIFS($A$5:$A$304,$A78&amp;"",$B$5:$B$304,"&gt;="&amp;($B78-MOD(WEEKDAY($B78)-$B$3,7)),$B$5:$B$304,"&lt;="&amp;$B78,$F$5:$F$304,"&gt;"&amp;$F$3))-$D$3))),2))</f>
        <v/>
      </c>
      <c r="I78" s="26" t="n"/>
      <c r="J78" s="27">
        <f>IF(AND($A78="",$C78="",$D78=""),"",IF(OR($C78&gt;=1,$D78&gt;=1),"⚠ type the time with a colon: 9:00 AM, not 9",IF(AND($C78&lt;&gt;"",$C78=$D78),"⚠ clock-in equals clock-out: the shift adds 0 h",IF(AND($C78&lt;&gt;"",$D78&lt;&gt;"",IF($E78="",0,$E78)&gt;MOD($D78-$C78,1)*24),"⚠ the break is longer than the shift",IF(AND($A78&lt;&gt;"",COUNTIF('Monthly OT Summary'!$A$6:$A$35,$A78&amp;"")=0),"⚠ name not in Monthly OT Summary: its hours are not added","")))))</f>
        <v/>
      </c>
    </row>
    <row r="79">
      <c r="A79" s="21" t="n"/>
      <c r="B79" s="40" t="n"/>
      <c r="C79" s="41" t="n"/>
      <c r="D79" s="41" t="n"/>
      <c r="E79" s="24" t="n"/>
      <c r="F79" s="8">
        <f>IF(OR($C79="",$D79=""),"",IF(OR($C79&gt;=1,$D79&gt;=1,$C79=$D79,IF($E79="",0,$E79)&gt;MOD($D79-$C79,1)*24),"",ROUND(MOD($D79-$C79,1)*24-IF($E79="",0,$E79),2)))</f>
        <v/>
      </c>
      <c r="G79" s="25" t="n">
        <v>8</v>
      </c>
      <c r="H79" s="8">
        <f>IF(OR($A79="",$B79="",$F79=""),"",ROUND(IF($F$3="",0,MAX(0,$F79-$F$3))+IF($D$3="",0,MIN($F79-IF($F$3="",0,MAX(0,$F79-$F$3)),MAX(0,SUMIFS($F$5:$F$304,$A$5:$A$304,$A79&amp;"",$B$5:$B$304,"&gt;="&amp;($B79-MOD(WEEKDAY($B79)-$B$3,7)),$B$5:$B$304,"&lt;="&amp;$B79)-IF($F$3="",0,SUMIFS($F$5:$F$304,$A$5:$A$304,$A79&amp;"",$B$5:$B$304,"&gt;="&amp;($B79-MOD(WEEKDAY($B79)-$B$3,7)),$B$5:$B$304,"&lt;="&amp;$B79,$F$5:$F$304,"&gt;"&amp;$F$3)-$F$3*COUNTIFS($A$5:$A$304,$A79&amp;"",$B$5:$B$304,"&gt;="&amp;($B79-MOD(WEEKDAY($B79)-$B$3,7)),$B$5:$B$304,"&lt;="&amp;$B79,$F$5:$F$304,"&gt;"&amp;$F$3))-$D$3))),2))</f>
        <v/>
      </c>
      <c r="I79" s="26" t="n"/>
      <c r="J79" s="27">
        <f>IF(AND($A79="",$C79="",$D79=""),"",IF(OR($C79&gt;=1,$D79&gt;=1),"⚠ type the time with a colon: 9:00 AM, not 9",IF(AND($C79&lt;&gt;"",$C79=$D79),"⚠ clock-in equals clock-out: the shift adds 0 h",IF(AND($C79&lt;&gt;"",$D79&lt;&gt;"",IF($E79="",0,$E79)&gt;MOD($D79-$C79,1)*24),"⚠ the break is longer than the shift",IF(AND($A79&lt;&gt;"",COUNTIF('Monthly OT Summary'!$A$6:$A$35,$A79&amp;"")=0),"⚠ name not in Monthly OT Summary: its hours are not added","")))))</f>
        <v/>
      </c>
    </row>
    <row r="80">
      <c r="A80" s="21" t="n"/>
      <c r="B80" s="40" t="n"/>
      <c r="C80" s="41" t="n"/>
      <c r="D80" s="41" t="n"/>
      <c r="E80" s="24" t="n"/>
      <c r="F80" s="8">
        <f>IF(OR($C80="",$D80=""),"",IF(OR($C80&gt;=1,$D80&gt;=1,$C80=$D80,IF($E80="",0,$E80)&gt;MOD($D80-$C80,1)*24),"",ROUND(MOD($D80-$C80,1)*24-IF($E80="",0,$E80),2)))</f>
        <v/>
      </c>
      <c r="G80" s="25" t="n">
        <v>8</v>
      </c>
      <c r="H80" s="8">
        <f>IF(OR($A80="",$B80="",$F80=""),"",ROUND(IF($F$3="",0,MAX(0,$F80-$F$3))+IF($D$3="",0,MIN($F80-IF($F$3="",0,MAX(0,$F80-$F$3)),MAX(0,SUMIFS($F$5:$F$304,$A$5:$A$304,$A80&amp;"",$B$5:$B$304,"&gt;="&amp;($B80-MOD(WEEKDAY($B80)-$B$3,7)),$B$5:$B$304,"&lt;="&amp;$B80)-IF($F$3="",0,SUMIFS($F$5:$F$304,$A$5:$A$304,$A80&amp;"",$B$5:$B$304,"&gt;="&amp;($B80-MOD(WEEKDAY($B80)-$B$3,7)),$B$5:$B$304,"&lt;="&amp;$B80,$F$5:$F$304,"&gt;"&amp;$F$3)-$F$3*COUNTIFS($A$5:$A$304,$A80&amp;"",$B$5:$B$304,"&gt;="&amp;($B80-MOD(WEEKDAY($B80)-$B$3,7)),$B$5:$B$304,"&lt;="&amp;$B80,$F$5:$F$304,"&gt;"&amp;$F$3))-$D$3))),2))</f>
        <v/>
      </c>
      <c r="I80" s="26" t="n"/>
      <c r="J80" s="27">
        <f>IF(AND($A80="",$C80="",$D80=""),"",IF(OR($C80&gt;=1,$D80&gt;=1),"⚠ type the time with a colon: 9:00 AM, not 9",IF(AND($C80&lt;&gt;"",$C80=$D80),"⚠ clock-in equals clock-out: the shift adds 0 h",IF(AND($C80&lt;&gt;"",$D80&lt;&gt;"",IF($E80="",0,$E80)&gt;MOD($D80-$C80,1)*24),"⚠ the break is longer than the shift",IF(AND($A80&lt;&gt;"",COUNTIF('Monthly OT Summary'!$A$6:$A$35,$A80&amp;"")=0),"⚠ name not in Monthly OT Summary: its hours are not added","")))))</f>
        <v/>
      </c>
    </row>
    <row r="81">
      <c r="A81" s="21" t="n"/>
      <c r="B81" s="40" t="n"/>
      <c r="C81" s="41" t="n"/>
      <c r="D81" s="41" t="n"/>
      <c r="E81" s="24" t="n"/>
      <c r="F81" s="8">
        <f>IF(OR($C81="",$D81=""),"",IF(OR($C81&gt;=1,$D81&gt;=1,$C81=$D81,IF($E81="",0,$E81)&gt;MOD($D81-$C81,1)*24),"",ROUND(MOD($D81-$C81,1)*24-IF($E81="",0,$E81),2)))</f>
        <v/>
      </c>
      <c r="G81" s="25" t="n">
        <v>8</v>
      </c>
      <c r="H81" s="8">
        <f>IF(OR($A81="",$B81="",$F81=""),"",ROUND(IF($F$3="",0,MAX(0,$F81-$F$3))+IF($D$3="",0,MIN($F81-IF($F$3="",0,MAX(0,$F81-$F$3)),MAX(0,SUMIFS($F$5:$F$304,$A$5:$A$304,$A81&amp;"",$B$5:$B$304,"&gt;="&amp;($B81-MOD(WEEKDAY($B81)-$B$3,7)),$B$5:$B$304,"&lt;="&amp;$B81)-IF($F$3="",0,SUMIFS($F$5:$F$304,$A$5:$A$304,$A81&amp;"",$B$5:$B$304,"&gt;="&amp;($B81-MOD(WEEKDAY($B81)-$B$3,7)),$B$5:$B$304,"&lt;="&amp;$B81,$F$5:$F$304,"&gt;"&amp;$F$3)-$F$3*COUNTIFS($A$5:$A$304,$A81&amp;"",$B$5:$B$304,"&gt;="&amp;($B81-MOD(WEEKDAY($B81)-$B$3,7)),$B$5:$B$304,"&lt;="&amp;$B81,$F$5:$F$304,"&gt;"&amp;$F$3))-$D$3))),2))</f>
        <v/>
      </c>
      <c r="I81" s="26" t="n"/>
      <c r="J81" s="27">
        <f>IF(AND($A81="",$C81="",$D81=""),"",IF(OR($C81&gt;=1,$D81&gt;=1),"⚠ type the time with a colon: 9:00 AM, not 9",IF(AND($C81&lt;&gt;"",$C81=$D81),"⚠ clock-in equals clock-out: the shift adds 0 h",IF(AND($C81&lt;&gt;"",$D81&lt;&gt;"",IF($E81="",0,$E81)&gt;MOD($D81-$C81,1)*24),"⚠ the break is longer than the shift",IF(AND($A81&lt;&gt;"",COUNTIF('Monthly OT Summary'!$A$6:$A$35,$A81&amp;"")=0),"⚠ name not in Monthly OT Summary: its hours are not added","")))))</f>
        <v/>
      </c>
    </row>
    <row r="82">
      <c r="A82" s="21" t="n"/>
      <c r="B82" s="40" t="n"/>
      <c r="C82" s="41" t="n"/>
      <c r="D82" s="41" t="n"/>
      <c r="E82" s="24" t="n"/>
      <c r="F82" s="8">
        <f>IF(OR($C82="",$D82=""),"",IF(OR($C82&gt;=1,$D82&gt;=1,$C82=$D82,IF($E82="",0,$E82)&gt;MOD($D82-$C82,1)*24),"",ROUND(MOD($D82-$C82,1)*24-IF($E82="",0,$E82),2)))</f>
        <v/>
      </c>
      <c r="G82" s="25" t="n">
        <v>8</v>
      </c>
      <c r="H82" s="8">
        <f>IF(OR($A82="",$B82="",$F82=""),"",ROUND(IF($F$3="",0,MAX(0,$F82-$F$3))+IF($D$3="",0,MIN($F82-IF($F$3="",0,MAX(0,$F82-$F$3)),MAX(0,SUMIFS($F$5:$F$304,$A$5:$A$304,$A82&amp;"",$B$5:$B$304,"&gt;="&amp;($B82-MOD(WEEKDAY($B82)-$B$3,7)),$B$5:$B$304,"&lt;="&amp;$B82)-IF($F$3="",0,SUMIFS($F$5:$F$304,$A$5:$A$304,$A82&amp;"",$B$5:$B$304,"&gt;="&amp;($B82-MOD(WEEKDAY($B82)-$B$3,7)),$B$5:$B$304,"&lt;="&amp;$B82,$F$5:$F$304,"&gt;"&amp;$F$3)-$F$3*COUNTIFS($A$5:$A$304,$A82&amp;"",$B$5:$B$304,"&gt;="&amp;($B82-MOD(WEEKDAY($B82)-$B$3,7)),$B$5:$B$304,"&lt;="&amp;$B82,$F$5:$F$304,"&gt;"&amp;$F$3))-$D$3))),2))</f>
        <v/>
      </c>
      <c r="I82" s="26" t="n"/>
      <c r="J82" s="27">
        <f>IF(AND($A82="",$C82="",$D82=""),"",IF(OR($C82&gt;=1,$D82&gt;=1),"⚠ type the time with a colon: 9:00 AM, not 9",IF(AND($C82&lt;&gt;"",$C82=$D82),"⚠ clock-in equals clock-out: the shift adds 0 h",IF(AND($C82&lt;&gt;"",$D82&lt;&gt;"",IF($E82="",0,$E82)&gt;MOD($D82-$C82,1)*24),"⚠ the break is longer than the shift",IF(AND($A82&lt;&gt;"",COUNTIF('Monthly OT Summary'!$A$6:$A$35,$A82&amp;"")=0),"⚠ name not in Monthly OT Summary: its hours are not added","")))))</f>
        <v/>
      </c>
    </row>
    <row r="83">
      <c r="A83" s="21" t="n"/>
      <c r="B83" s="40" t="n"/>
      <c r="C83" s="41" t="n"/>
      <c r="D83" s="41" t="n"/>
      <c r="E83" s="24" t="n"/>
      <c r="F83" s="8">
        <f>IF(OR($C83="",$D83=""),"",IF(OR($C83&gt;=1,$D83&gt;=1,$C83=$D83,IF($E83="",0,$E83)&gt;MOD($D83-$C83,1)*24),"",ROUND(MOD($D83-$C83,1)*24-IF($E83="",0,$E83),2)))</f>
        <v/>
      </c>
      <c r="G83" s="25" t="n">
        <v>8</v>
      </c>
      <c r="H83" s="8">
        <f>IF(OR($A83="",$B83="",$F83=""),"",ROUND(IF($F$3="",0,MAX(0,$F83-$F$3))+IF($D$3="",0,MIN($F83-IF($F$3="",0,MAX(0,$F83-$F$3)),MAX(0,SUMIFS($F$5:$F$304,$A$5:$A$304,$A83&amp;"",$B$5:$B$304,"&gt;="&amp;($B83-MOD(WEEKDAY($B83)-$B$3,7)),$B$5:$B$304,"&lt;="&amp;$B83)-IF($F$3="",0,SUMIFS($F$5:$F$304,$A$5:$A$304,$A83&amp;"",$B$5:$B$304,"&gt;="&amp;($B83-MOD(WEEKDAY($B83)-$B$3,7)),$B$5:$B$304,"&lt;="&amp;$B83,$F$5:$F$304,"&gt;"&amp;$F$3)-$F$3*COUNTIFS($A$5:$A$304,$A83&amp;"",$B$5:$B$304,"&gt;="&amp;($B83-MOD(WEEKDAY($B83)-$B$3,7)),$B$5:$B$304,"&lt;="&amp;$B83,$F$5:$F$304,"&gt;"&amp;$F$3))-$D$3))),2))</f>
        <v/>
      </c>
      <c r="I83" s="26" t="n"/>
      <c r="J83" s="27">
        <f>IF(AND($A83="",$C83="",$D83=""),"",IF(OR($C83&gt;=1,$D83&gt;=1),"⚠ type the time with a colon: 9:00 AM, not 9",IF(AND($C83&lt;&gt;"",$C83=$D83),"⚠ clock-in equals clock-out: the shift adds 0 h",IF(AND($C83&lt;&gt;"",$D83&lt;&gt;"",IF($E83="",0,$E83)&gt;MOD($D83-$C83,1)*24),"⚠ the break is longer than the shift",IF(AND($A83&lt;&gt;"",COUNTIF('Monthly OT Summary'!$A$6:$A$35,$A83&amp;"")=0),"⚠ name not in Monthly OT Summary: its hours are not added","")))))</f>
        <v/>
      </c>
    </row>
    <row r="84">
      <c r="A84" s="21" t="n"/>
      <c r="B84" s="40" t="n"/>
      <c r="C84" s="41" t="n"/>
      <c r="D84" s="41" t="n"/>
      <c r="E84" s="24" t="n"/>
      <c r="F84" s="8">
        <f>IF(OR($C84="",$D84=""),"",IF(OR($C84&gt;=1,$D84&gt;=1,$C84=$D84,IF($E84="",0,$E84)&gt;MOD($D84-$C84,1)*24),"",ROUND(MOD($D84-$C84,1)*24-IF($E84="",0,$E84),2)))</f>
        <v/>
      </c>
      <c r="G84" s="25" t="n">
        <v>8</v>
      </c>
      <c r="H84" s="8">
        <f>IF(OR($A84="",$B84="",$F84=""),"",ROUND(IF($F$3="",0,MAX(0,$F84-$F$3))+IF($D$3="",0,MIN($F84-IF($F$3="",0,MAX(0,$F84-$F$3)),MAX(0,SUMIFS($F$5:$F$304,$A$5:$A$304,$A84&amp;"",$B$5:$B$304,"&gt;="&amp;($B84-MOD(WEEKDAY($B84)-$B$3,7)),$B$5:$B$304,"&lt;="&amp;$B84)-IF($F$3="",0,SUMIFS($F$5:$F$304,$A$5:$A$304,$A84&amp;"",$B$5:$B$304,"&gt;="&amp;($B84-MOD(WEEKDAY($B84)-$B$3,7)),$B$5:$B$304,"&lt;="&amp;$B84,$F$5:$F$304,"&gt;"&amp;$F$3)-$F$3*COUNTIFS($A$5:$A$304,$A84&amp;"",$B$5:$B$304,"&gt;="&amp;($B84-MOD(WEEKDAY($B84)-$B$3,7)),$B$5:$B$304,"&lt;="&amp;$B84,$F$5:$F$304,"&gt;"&amp;$F$3))-$D$3))),2))</f>
        <v/>
      </c>
      <c r="I84" s="26" t="n"/>
      <c r="J84" s="27">
        <f>IF(AND($A84="",$C84="",$D84=""),"",IF(OR($C84&gt;=1,$D84&gt;=1),"⚠ type the time with a colon: 9:00 AM, not 9",IF(AND($C84&lt;&gt;"",$C84=$D84),"⚠ clock-in equals clock-out: the shift adds 0 h",IF(AND($C84&lt;&gt;"",$D84&lt;&gt;"",IF($E84="",0,$E84)&gt;MOD($D84-$C84,1)*24),"⚠ the break is longer than the shift",IF(AND($A84&lt;&gt;"",COUNTIF('Monthly OT Summary'!$A$6:$A$35,$A84&amp;"")=0),"⚠ name not in Monthly OT Summary: its hours are not added","")))))</f>
        <v/>
      </c>
    </row>
    <row r="85">
      <c r="A85" s="21" t="n"/>
      <c r="B85" s="40" t="n"/>
      <c r="C85" s="41" t="n"/>
      <c r="D85" s="41" t="n"/>
      <c r="E85" s="24" t="n"/>
      <c r="F85" s="8">
        <f>IF(OR($C85="",$D85=""),"",IF(OR($C85&gt;=1,$D85&gt;=1,$C85=$D85,IF($E85="",0,$E85)&gt;MOD($D85-$C85,1)*24),"",ROUND(MOD($D85-$C85,1)*24-IF($E85="",0,$E85),2)))</f>
        <v/>
      </c>
      <c r="G85" s="25" t="n">
        <v>8</v>
      </c>
      <c r="H85" s="8">
        <f>IF(OR($A85="",$B85="",$F85=""),"",ROUND(IF($F$3="",0,MAX(0,$F85-$F$3))+IF($D$3="",0,MIN($F85-IF($F$3="",0,MAX(0,$F85-$F$3)),MAX(0,SUMIFS($F$5:$F$304,$A$5:$A$304,$A85&amp;"",$B$5:$B$304,"&gt;="&amp;($B85-MOD(WEEKDAY($B85)-$B$3,7)),$B$5:$B$304,"&lt;="&amp;$B85)-IF($F$3="",0,SUMIFS($F$5:$F$304,$A$5:$A$304,$A85&amp;"",$B$5:$B$304,"&gt;="&amp;($B85-MOD(WEEKDAY($B85)-$B$3,7)),$B$5:$B$304,"&lt;="&amp;$B85,$F$5:$F$304,"&gt;"&amp;$F$3)-$F$3*COUNTIFS($A$5:$A$304,$A85&amp;"",$B$5:$B$304,"&gt;="&amp;($B85-MOD(WEEKDAY($B85)-$B$3,7)),$B$5:$B$304,"&lt;="&amp;$B85,$F$5:$F$304,"&gt;"&amp;$F$3))-$D$3))),2))</f>
        <v/>
      </c>
      <c r="I85" s="26" t="n"/>
      <c r="J85" s="27">
        <f>IF(AND($A85="",$C85="",$D85=""),"",IF(OR($C85&gt;=1,$D85&gt;=1),"⚠ type the time with a colon: 9:00 AM, not 9",IF(AND($C85&lt;&gt;"",$C85=$D85),"⚠ clock-in equals clock-out: the shift adds 0 h",IF(AND($C85&lt;&gt;"",$D85&lt;&gt;"",IF($E85="",0,$E85)&gt;MOD($D85-$C85,1)*24),"⚠ the break is longer than the shift",IF(AND($A85&lt;&gt;"",COUNTIF('Monthly OT Summary'!$A$6:$A$35,$A85&amp;"")=0),"⚠ name not in Monthly OT Summary: its hours are not added","")))))</f>
        <v/>
      </c>
    </row>
    <row r="86">
      <c r="A86" s="21" t="n"/>
      <c r="B86" s="40" t="n"/>
      <c r="C86" s="41" t="n"/>
      <c r="D86" s="41" t="n"/>
      <c r="E86" s="24" t="n"/>
      <c r="F86" s="8">
        <f>IF(OR($C86="",$D86=""),"",IF(OR($C86&gt;=1,$D86&gt;=1,$C86=$D86,IF($E86="",0,$E86)&gt;MOD($D86-$C86,1)*24),"",ROUND(MOD($D86-$C86,1)*24-IF($E86="",0,$E86),2)))</f>
        <v/>
      </c>
      <c r="G86" s="25" t="n">
        <v>8</v>
      </c>
      <c r="H86" s="8">
        <f>IF(OR($A86="",$B86="",$F86=""),"",ROUND(IF($F$3="",0,MAX(0,$F86-$F$3))+IF($D$3="",0,MIN($F86-IF($F$3="",0,MAX(0,$F86-$F$3)),MAX(0,SUMIFS($F$5:$F$304,$A$5:$A$304,$A86&amp;"",$B$5:$B$304,"&gt;="&amp;($B86-MOD(WEEKDAY($B86)-$B$3,7)),$B$5:$B$304,"&lt;="&amp;$B86)-IF($F$3="",0,SUMIFS($F$5:$F$304,$A$5:$A$304,$A86&amp;"",$B$5:$B$304,"&gt;="&amp;($B86-MOD(WEEKDAY($B86)-$B$3,7)),$B$5:$B$304,"&lt;="&amp;$B86,$F$5:$F$304,"&gt;"&amp;$F$3)-$F$3*COUNTIFS($A$5:$A$304,$A86&amp;"",$B$5:$B$304,"&gt;="&amp;($B86-MOD(WEEKDAY($B86)-$B$3,7)),$B$5:$B$304,"&lt;="&amp;$B86,$F$5:$F$304,"&gt;"&amp;$F$3))-$D$3))),2))</f>
        <v/>
      </c>
      <c r="I86" s="26" t="n"/>
      <c r="J86" s="27">
        <f>IF(AND($A86="",$C86="",$D86=""),"",IF(OR($C86&gt;=1,$D86&gt;=1),"⚠ type the time with a colon: 9:00 AM, not 9",IF(AND($C86&lt;&gt;"",$C86=$D86),"⚠ clock-in equals clock-out: the shift adds 0 h",IF(AND($C86&lt;&gt;"",$D86&lt;&gt;"",IF($E86="",0,$E86)&gt;MOD($D86-$C86,1)*24),"⚠ the break is longer than the shift",IF(AND($A86&lt;&gt;"",COUNTIF('Monthly OT Summary'!$A$6:$A$35,$A86&amp;"")=0),"⚠ name not in Monthly OT Summary: its hours are not added","")))))</f>
        <v/>
      </c>
    </row>
    <row r="87">
      <c r="A87" s="21" t="n"/>
      <c r="B87" s="40" t="n"/>
      <c r="C87" s="41" t="n"/>
      <c r="D87" s="41" t="n"/>
      <c r="E87" s="24" t="n"/>
      <c r="F87" s="8">
        <f>IF(OR($C87="",$D87=""),"",IF(OR($C87&gt;=1,$D87&gt;=1,$C87=$D87,IF($E87="",0,$E87)&gt;MOD($D87-$C87,1)*24),"",ROUND(MOD($D87-$C87,1)*24-IF($E87="",0,$E87),2)))</f>
        <v/>
      </c>
      <c r="G87" s="25" t="n">
        <v>8</v>
      </c>
      <c r="H87" s="8">
        <f>IF(OR($A87="",$B87="",$F87=""),"",ROUND(IF($F$3="",0,MAX(0,$F87-$F$3))+IF($D$3="",0,MIN($F87-IF($F$3="",0,MAX(0,$F87-$F$3)),MAX(0,SUMIFS($F$5:$F$304,$A$5:$A$304,$A87&amp;"",$B$5:$B$304,"&gt;="&amp;($B87-MOD(WEEKDAY($B87)-$B$3,7)),$B$5:$B$304,"&lt;="&amp;$B87)-IF($F$3="",0,SUMIFS($F$5:$F$304,$A$5:$A$304,$A87&amp;"",$B$5:$B$304,"&gt;="&amp;($B87-MOD(WEEKDAY($B87)-$B$3,7)),$B$5:$B$304,"&lt;="&amp;$B87,$F$5:$F$304,"&gt;"&amp;$F$3)-$F$3*COUNTIFS($A$5:$A$304,$A87&amp;"",$B$5:$B$304,"&gt;="&amp;($B87-MOD(WEEKDAY($B87)-$B$3,7)),$B$5:$B$304,"&lt;="&amp;$B87,$F$5:$F$304,"&gt;"&amp;$F$3))-$D$3))),2))</f>
        <v/>
      </c>
      <c r="I87" s="26" t="n"/>
      <c r="J87" s="27">
        <f>IF(AND($A87="",$C87="",$D87=""),"",IF(OR($C87&gt;=1,$D87&gt;=1),"⚠ type the time with a colon: 9:00 AM, not 9",IF(AND($C87&lt;&gt;"",$C87=$D87),"⚠ clock-in equals clock-out: the shift adds 0 h",IF(AND($C87&lt;&gt;"",$D87&lt;&gt;"",IF($E87="",0,$E87)&gt;MOD($D87-$C87,1)*24),"⚠ the break is longer than the shift",IF(AND($A87&lt;&gt;"",COUNTIF('Monthly OT Summary'!$A$6:$A$35,$A87&amp;"")=0),"⚠ name not in Monthly OT Summary: its hours are not added","")))))</f>
        <v/>
      </c>
    </row>
    <row r="88">
      <c r="A88" s="21" t="n"/>
      <c r="B88" s="40" t="n"/>
      <c r="C88" s="41" t="n"/>
      <c r="D88" s="41" t="n"/>
      <c r="E88" s="24" t="n"/>
      <c r="F88" s="8">
        <f>IF(OR($C88="",$D88=""),"",IF(OR($C88&gt;=1,$D88&gt;=1,$C88=$D88,IF($E88="",0,$E88)&gt;MOD($D88-$C88,1)*24),"",ROUND(MOD($D88-$C88,1)*24-IF($E88="",0,$E88),2)))</f>
        <v/>
      </c>
      <c r="G88" s="25" t="n">
        <v>8</v>
      </c>
      <c r="H88" s="8">
        <f>IF(OR($A88="",$B88="",$F88=""),"",ROUND(IF($F$3="",0,MAX(0,$F88-$F$3))+IF($D$3="",0,MIN($F88-IF($F$3="",0,MAX(0,$F88-$F$3)),MAX(0,SUMIFS($F$5:$F$304,$A$5:$A$304,$A88&amp;"",$B$5:$B$304,"&gt;="&amp;($B88-MOD(WEEKDAY($B88)-$B$3,7)),$B$5:$B$304,"&lt;="&amp;$B88)-IF($F$3="",0,SUMIFS($F$5:$F$304,$A$5:$A$304,$A88&amp;"",$B$5:$B$304,"&gt;="&amp;($B88-MOD(WEEKDAY($B88)-$B$3,7)),$B$5:$B$304,"&lt;="&amp;$B88,$F$5:$F$304,"&gt;"&amp;$F$3)-$F$3*COUNTIFS($A$5:$A$304,$A88&amp;"",$B$5:$B$304,"&gt;="&amp;($B88-MOD(WEEKDAY($B88)-$B$3,7)),$B$5:$B$304,"&lt;="&amp;$B88,$F$5:$F$304,"&gt;"&amp;$F$3))-$D$3))),2))</f>
        <v/>
      </c>
      <c r="I88" s="26" t="n"/>
      <c r="J88" s="27">
        <f>IF(AND($A88="",$C88="",$D88=""),"",IF(OR($C88&gt;=1,$D88&gt;=1),"⚠ type the time with a colon: 9:00 AM, not 9",IF(AND($C88&lt;&gt;"",$C88=$D88),"⚠ clock-in equals clock-out: the shift adds 0 h",IF(AND($C88&lt;&gt;"",$D88&lt;&gt;"",IF($E88="",0,$E88)&gt;MOD($D88-$C88,1)*24),"⚠ the break is longer than the shift",IF(AND($A88&lt;&gt;"",COUNTIF('Monthly OT Summary'!$A$6:$A$35,$A88&amp;"")=0),"⚠ name not in Monthly OT Summary: its hours are not added","")))))</f>
        <v/>
      </c>
    </row>
    <row r="89">
      <c r="A89" s="21" t="n"/>
      <c r="B89" s="40" t="n"/>
      <c r="C89" s="41" t="n"/>
      <c r="D89" s="41" t="n"/>
      <c r="E89" s="24" t="n"/>
      <c r="F89" s="8">
        <f>IF(OR($C89="",$D89=""),"",IF(OR($C89&gt;=1,$D89&gt;=1,$C89=$D89,IF($E89="",0,$E89)&gt;MOD($D89-$C89,1)*24),"",ROUND(MOD($D89-$C89,1)*24-IF($E89="",0,$E89),2)))</f>
        <v/>
      </c>
      <c r="G89" s="25" t="n">
        <v>8</v>
      </c>
      <c r="H89" s="8">
        <f>IF(OR($A89="",$B89="",$F89=""),"",ROUND(IF($F$3="",0,MAX(0,$F89-$F$3))+IF($D$3="",0,MIN($F89-IF($F$3="",0,MAX(0,$F89-$F$3)),MAX(0,SUMIFS($F$5:$F$304,$A$5:$A$304,$A89&amp;"",$B$5:$B$304,"&gt;="&amp;($B89-MOD(WEEKDAY($B89)-$B$3,7)),$B$5:$B$304,"&lt;="&amp;$B89)-IF($F$3="",0,SUMIFS($F$5:$F$304,$A$5:$A$304,$A89&amp;"",$B$5:$B$304,"&gt;="&amp;($B89-MOD(WEEKDAY($B89)-$B$3,7)),$B$5:$B$304,"&lt;="&amp;$B89,$F$5:$F$304,"&gt;"&amp;$F$3)-$F$3*COUNTIFS($A$5:$A$304,$A89&amp;"",$B$5:$B$304,"&gt;="&amp;($B89-MOD(WEEKDAY($B89)-$B$3,7)),$B$5:$B$304,"&lt;="&amp;$B89,$F$5:$F$304,"&gt;"&amp;$F$3))-$D$3))),2))</f>
        <v/>
      </c>
      <c r="I89" s="26" t="n"/>
      <c r="J89" s="27">
        <f>IF(AND($A89="",$C89="",$D89=""),"",IF(OR($C89&gt;=1,$D89&gt;=1),"⚠ type the time with a colon: 9:00 AM, not 9",IF(AND($C89&lt;&gt;"",$C89=$D89),"⚠ clock-in equals clock-out: the shift adds 0 h",IF(AND($C89&lt;&gt;"",$D89&lt;&gt;"",IF($E89="",0,$E89)&gt;MOD($D89-$C89,1)*24),"⚠ the break is longer than the shift",IF(AND($A89&lt;&gt;"",COUNTIF('Monthly OT Summary'!$A$6:$A$35,$A89&amp;"")=0),"⚠ name not in Monthly OT Summary: its hours are not added","")))))</f>
        <v/>
      </c>
    </row>
    <row r="90">
      <c r="A90" s="21" t="n"/>
      <c r="B90" s="40" t="n"/>
      <c r="C90" s="41" t="n"/>
      <c r="D90" s="41" t="n"/>
      <c r="E90" s="24" t="n"/>
      <c r="F90" s="8">
        <f>IF(OR($C90="",$D90=""),"",IF(OR($C90&gt;=1,$D90&gt;=1,$C90=$D90,IF($E90="",0,$E90)&gt;MOD($D90-$C90,1)*24),"",ROUND(MOD($D90-$C90,1)*24-IF($E90="",0,$E90),2)))</f>
        <v/>
      </c>
      <c r="G90" s="25" t="n">
        <v>8</v>
      </c>
      <c r="H90" s="8">
        <f>IF(OR($A90="",$B90="",$F90=""),"",ROUND(IF($F$3="",0,MAX(0,$F90-$F$3))+IF($D$3="",0,MIN($F90-IF($F$3="",0,MAX(0,$F90-$F$3)),MAX(0,SUMIFS($F$5:$F$304,$A$5:$A$304,$A90&amp;"",$B$5:$B$304,"&gt;="&amp;($B90-MOD(WEEKDAY($B90)-$B$3,7)),$B$5:$B$304,"&lt;="&amp;$B90)-IF($F$3="",0,SUMIFS($F$5:$F$304,$A$5:$A$304,$A90&amp;"",$B$5:$B$304,"&gt;="&amp;($B90-MOD(WEEKDAY($B90)-$B$3,7)),$B$5:$B$304,"&lt;="&amp;$B90,$F$5:$F$304,"&gt;"&amp;$F$3)-$F$3*COUNTIFS($A$5:$A$304,$A90&amp;"",$B$5:$B$304,"&gt;="&amp;($B90-MOD(WEEKDAY($B90)-$B$3,7)),$B$5:$B$304,"&lt;="&amp;$B90,$F$5:$F$304,"&gt;"&amp;$F$3))-$D$3))),2))</f>
        <v/>
      </c>
      <c r="I90" s="26" t="n"/>
      <c r="J90" s="27">
        <f>IF(AND($A90="",$C90="",$D90=""),"",IF(OR($C90&gt;=1,$D90&gt;=1),"⚠ type the time with a colon: 9:00 AM, not 9",IF(AND($C90&lt;&gt;"",$C90=$D90),"⚠ clock-in equals clock-out: the shift adds 0 h",IF(AND($C90&lt;&gt;"",$D90&lt;&gt;"",IF($E90="",0,$E90)&gt;MOD($D90-$C90,1)*24),"⚠ the break is longer than the shift",IF(AND($A90&lt;&gt;"",COUNTIF('Monthly OT Summary'!$A$6:$A$35,$A90&amp;"")=0),"⚠ name not in Monthly OT Summary: its hours are not added","")))))</f>
        <v/>
      </c>
    </row>
    <row r="91">
      <c r="A91" s="21" t="n"/>
      <c r="B91" s="40" t="n"/>
      <c r="C91" s="41" t="n"/>
      <c r="D91" s="41" t="n"/>
      <c r="E91" s="24" t="n"/>
      <c r="F91" s="8">
        <f>IF(OR($C91="",$D91=""),"",IF(OR($C91&gt;=1,$D91&gt;=1,$C91=$D91,IF($E91="",0,$E91)&gt;MOD($D91-$C91,1)*24),"",ROUND(MOD($D91-$C91,1)*24-IF($E91="",0,$E91),2)))</f>
        <v/>
      </c>
      <c r="G91" s="25" t="n">
        <v>8</v>
      </c>
      <c r="H91" s="8">
        <f>IF(OR($A91="",$B91="",$F91=""),"",ROUND(IF($F$3="",0,MAX(0,$F91-$F$3))+IF($D$3="",0,MIN($F91-IF($F$3="",0,MAX(0,$F91-$F$3)),MAX(0,SUMIFS($F$5:$F$304,$A$5:$A$304,$A91&amp;"",$B$5:$B$304,"&gt;="&amp;($B91-MOD(WEEKDAY($B91)-$B$3,7)),$B$5:$B$304,"&lt;="&amp;$B91)-IF($F$3="",0,SUMIFS($F$5:$F$304,$A$5:$A$304,$A91&amp;"",$B$5:$B$304,"&gt;="&amp;($B91-MOD(WEEKDAY($B91)-$B$3,7)),$B$5:$B$304,"&lt;="&amp;$B91,$F$5:$F$304,"&gt;"&amp;$F$3)-$F$3*COUNTIFS($A$5:$A$304,$A91&amp;"",$B$5:$B$304,"&gt;="&amp;($B91-MOD(WEEKDAY($B91)-$B$3,7)),$B$5:$B$304,"&lt;="&amp;$B91,$F$5:$F$304,"&gt;"&amp;$F$3))-$D$3))),2))</f>
        <v/>
      </c>
      <c r="I91" s="26" t="n"/>
      <c r="J91" s="27">
        <f>IF(AND($A91="",$C91="",$D91=""),"",IF(OR($C91&gt;=1,$D91&gt;=1),"⚠ type the time with a colon: 9:00 AM, not 9",IF(AND($C91&lt;&gt;"",$C91=$D91),"⚠ clock-in equals clock-out: the shift adds 0 h",IF(AND($C91&lt;&gt;"",$D91&lt;&gt;"",IF($E91="",0,$E91)&gt;MOD($D91-$C91,1)*24),"⚠ the break is longer than the shift",IF(AND($A91&lt;&gt;"",COUNTIF('Monthly OT Summary'!$A$6:$A$35,$A91&amp;"")=0),"⚠ name not in Monthly OT Summary: its hours are not added","")))))</f>
        <v/>
      </c>
    </row>
    <row r="92">
      <c r="A92" s="21" t="n"/>
      <c r="B92" s="40" t="n"/>
      <c r="C92" s="41" t="n"/>
      <c r="D92" s="41" t="n"/>
      <c r="E92" s="24" t="n"/>
      <c r="F92" s="8">
        <f>IF(OR($C92="",$D92=""),"",IF(OR($C92&gt;=1,$D92&gt;=1,$C92=$D92,IF($E92="",0,$E92)&gt;MOD($D92-$C92,1)*24),"",ROUND(MOD($D92-$C92,1)*24-IF($E92="",0,$E92),2)))</f>
        <v/>
      </c>
      <c r="G92" s="25" t="n">
        <v>8</v>
      </c>
      <c r="H92" s="8">
        <f>IF(OR($A92="",$B92="",$F92=""),"",ROUND(IF($F$3="",0,MAX(0,$F92-$F$3))+IF($D$3="",0,MIN($F92-IF($F$3="",0,MAX(0,$F92-$F$3)),MAX(0,SUMIFS($F$5:$F$304,$A$5:$A$304,$A92&amp;"",$B$5:$B$304,"&gt;="&amp;($B92-MOD(WEEKDAY($B92)-$B$3,7)),$B$5:$B$304,"&lt;="&amp;$B92)-IF($F$3="",0,SUMIFS($F$5:$F$304,$A$5:$A$304,$A92&amp;"",$B$5:$B$304,"&gt;="&amp;($B92-MOD(WEEKDAY($B92)-$B$3,7)),$B$5:$B$304,"&lt;="&amp;$B92,$F$5:$F$304,"&gt;"&amp;$F$3)-$F$3*COUNTIFS($A$5:$A$304,$A92&amp;"",$B$5:$B$304,"&gt;="&amp;($B92-MOD(WEEKDAY($B92)-$B$3,7)),$B$5:$B$304,"&lt;="&amp;$B92,$F$5:$F$304,"&gt;"&amp;$F$3))-$D$3))),2))</f>
        <v/>
      </c>
      <c r="I92" s="26" t="n"/>
      <c r="J92" s="27">
        <f>IF(AND($A92="",$C92="",$D92=""),"",IF(OR($C92&gt;=1,$D92&gt;=1),"⚠ type the time with a colon: 9:00 AM, not 9",IF(AND($C92&lt;&gt;"",$C92=$D92),"⚠ clock-in equals clock-out: the shift adds 0 h",IF(AND($C92&lt;&gt;"",$D92&lt;&gt;"",IF($E92="",0,$E92)&gt;MOD($D92-$C92,1)*24),"⚠ the break is longer than the shift",IF(AND($A92&lt;&gt;"",COUNTIF('Monthly OT Summary'!$A$6:$A$35,$A92&amp;"")=0),"⚠ name not in Monthly OT Summary: its hours are not added","")))))</f>
        <v/>
      </c>
    </row>
    <row r="93">
      <c r="A93" s="21" t="n"/>
      <c r="B93" s="40" t="n"/>
      <c r="C93" s="41" t="n"/>
      <c r="D93" s="41" t="n"/>
      <c r="E93" s="24" t="n"/>
      <c r="F93" s="8">
        <f>IF(OR($C93="",$D93=""),"",IF(OR($C93&gt;=1,$D93&gt;=1,$C93=$D93,IF($E93="",0,$E93)&gt;MOD($D93-$C93,1)*24),"",ROUND(MOD($D93-$C93,1)*24-IF($E93="",0,$E93),2)))</f>
        <v/>
      </c>
      <c r="G93" s="25" t="n">
        <v>8</v>
      </c>
      <c r="H93" s="8">
        <f>IF(OR($A93="",$B93="",$F93=""),"",ROUND(IF($F$3="",0,MAX(0,$F93-$F$3))+IF($D$3="",0,MIN($F93-IF($F$3="",0,MAX(0,$F93-$F$3)),MAX(0,SUMIFS($F$5:$F$304,$A$5:$A$304,$A93&amp;"",$B$5:$B$304,"&gt;="&amp;($B93-MOD(WEEKDAY($B93)-$B$3,7)),$B$5:$B$304,"&lt;="&amp;$B93)-IF($F$3="",0,SUMIFS($F$5:$F$304,$A$5:$A$304,$A93&amp;"",$B$5:$B$304,"&gt;="&amp;($B93-MOD(WEEKDAY($B93)-$B$3,7)),$B$5:$B$304,"&lt;="&amp;$B93,$F$5:$F$304,"&gt;"&amp;$F$3)-$F$3*COUNTIFS($A$5:$A$304,$A93&amp;"",$B$5:$B$304,"&gt;="&amp;($B93-MOD(WEEKDAY($B93)-$B$3,7)),$B$5:$B$304,"&lt;="&amp;$B93,$F$5:$F$304,"&gt;"&amp;$F$3))-$D$3))),2))</f>
        <v/>
      </c>
      <c r="I93" s="26" t="n"/>
      <c r="J93" s="27">
        <f>IF(AND($A93="",$C93="",$D93=""),"",IF(OR($C93&gt;=1,$D93&gt;=1),"⚠ type the time with a colon: 9:00 AM, not 9",IF(AND($C93&lt;&gt;"",$C93=$D93),"⚠ clock-in equals clock-out: the shift adds 0 h",IF(AND($C93&lt;&gt;"",$D93&lt;&gt;"",IF($E93="",0,$E93)&gt;MOD($D93-$C93,1)*24),"⚠ the break is longer than the shift",IF(AND($A93&lt;&gt;"",COUNTIF('Monthly OT Summary'!$A$6:$A$35,$A93&amp;"")=0),"⚠ name not in Monthly OT Summary: its hours are not added","")))))</f>
        <v/>
      </c>
    </row>
    <row r="94">
      <c r="A94" s="21" t="n"/>
      <c r="B94" s="40" t="n"/>
      <c r="C94" s="41" t="n"/>
      <c r="D94" s="41" t="n"/>
      <c r="E94" s="24" t="n"/>
      <c r="F94" s="8">
        <f>IF(OR($C94="",$D94=""),"",IF(OR($C94&gt;=1,$D94&gt;=1,$C94=$D94,IF($E94="",0,$E94)&gt;MOD($D94-$C94,1)*24),"",ROUND(MOD($D94-$C94,1)*24-IF($E94="",0,$E94),2)))</f>
        <v/>
      </c>
      <c r="G94" s="25" t="n">
        <v>8</v>
      </c>
      <c r="H94" s="8">
        <f>IF(OR($A94="",$B94="",$F94=""),"",ROUND(IF($F$3="",0,MAX(0,$F94-$F$3))+IF($D$3="",0,MIN($F94-IF($F$3="",0,MAX(0,$F94-$F$3)),MAX(0,SUMIFS($F$5:$F$304,$A$5:$A$304,$A94&amp;"",$B$5:$B$304,"&gt;="&amp;($B94-MOD(WEEKDAY($B94)-$B$3,7)),$B$5:$B$304,"&lt;="&amp;$B94)-IF($F$3="",0,SUMIFS($F$5:$F$304,$A$5:$A$304,$A94&amp;"",$B$5:$B$304,"&gt;="&amp;($B94-MOD(WEEKDAY($B94)-$B$3,7)),$B$5:$B$304,"&lt;="&amp;$B94,$F$5:$F$304,"&gt;"&amp;$F$3)-$F$3*COUNTIFS($A$5:$A$304,$A94&amp;"",$B$5:$B$304,"&gt;="&amp;($B94-MOD(WEEKDAY($B94)-$B$3,7)),$B$5:$B$304,"&lt;="&amp;$B94,$F$5:$F$304,"&gt;"&amp;$F$3))-$D$3))),2))</f>
        <v/>
      </c>
      <c r="I94" s="26" t="n"/>
      <c r="J94" s="27">
        <f>IF(AND($A94="",$C94="",$D94=""),"",IF(OR($C94&gt;=1,$D94&gt;=1),"⚠ type the time with a colon: 9:00 AM, not 9",IF(AND($C94&lt;&gt;"",$C94=$D94),"⚠ clock-in equals clock-out: the shift adds 0 h",IF(AND($C94&lt;&gt;"",$D94&lt;&gt;"",IF($E94="",0,$E94)&gt;MOD($D94-$C94,1)*24),"⚠ the break is longer than the shift",IF(AND($A94&lt;&gt;"",COUNTIF('Monthly OT Summary'!$A$6:$A$35,$A94&amp;"")=0),"⚠ name not in Monthly OT Summary: its hours are not added","")))))</f>
        <v/>
      </c>
    </row>
    <row r="95">
      <c r="A95" s="21" t="n"/>
      <c r="B95" s="40" t="n"/>
      <c r="C95" s="41" t="n"/>
      <c r="D95" s="41" t="n"/>
      <c r="E95" s="24" t="n"/>
      <c r="F95" s="8">
        <f>IF(OR($C95="",$D95=""),"",IF(OR($C95&gt;=1,$D95&gt;=1,$C95=$D95,IF($E95="",0,$E95)&gt;MOD($D95-$C95,1)*24),"",ROUND(MOD($D95-$C95,1)*24-IF($E95="",0,$E95),2)))</f>
        <v/>
      </c>
      <c r="G95" s="25" t="n">
        <v>8</v>
      </c>
      <c r="H95" s="8">
        <f>IF(OR($A95="",$B95="",$F95=""),"",ROUND(IF($F$3="",0,MAX(0,$F95-$F$3))+IF($D$3="",0,MIN($F95-IF($F$3="",0,MAX(0,$F95-$F$3)),MAX(0,SUMIFS($F$5:$F$304,$A$5:$A$304,$A95&amp;"",$B$5:$B$304,"&gt;="&amp;($B95-MOD(WEEKDAY($B95)-$B$3,7)),$B$5:$B$304,"&lt;="&amp;$B95)-IF($F$3="",0,SUMIFS($F$5:$F$304,$A$5:$A$304,$A95&amp;"",$B$5:$B$304,"&gt;="&amp;($B95-MOD(WEEKDAY($B95)-$B$3,7)),$B$5:$B$304,"&lt;="&amp;$B95,$F$5:$F$304,"&gt;"&amp;$F$3)-$F$3*COUNTIFS($A$5:$A$304,$A95&amp;"",$B$5:$B$304,"&gt;="&amp;($B95-MOD(WEEKDAY($B95)-$B$3,7)),$B$5:$B$304,"&lt;="&amp;$B95,$F$5:$F$304,"&gt;"&amp;$F$3))-$D$3))),2))</f>
        <v/>
      </c>
      <c r="I95" s="26" t="n"/>
      <c r="J95" s="27">
        <f>IF(AND($A95="",$C95="",$D95=""),"",IF(OR($C95&gt;=1,$D95&gt;=1),"⚠ type the time with a colon: 9:00 AM, not 9",IF(AND($C95&lt;&gt;"",$C95=$D95),"⚠ clock-in equals clock-out: the shift adds 0 h",IF(AND($C95&lt;&gt;"",$D95&lt;&gt;"",IF($E95="",0,$E95)&gt;MOD($D95-$C95,1)*24),"⚠ the break is longer than the shift",IF(AND($A95&lt;&gt;"",COUNTIF('Monthly OT Summary'!$A$6:$A$35,$A95&amp;"")=0),"⚠ name not in Monthly OT Summary: its hours are not added","")))))</f>
        <v/>
      </c>
    </row>
    <row r="96">
      <c r="A96" s="21" t="n"/>
      <c r="B96" s="40" t="n"/>
      <c r="C96" s="41" t="n"/>
      <c r="D96" s="41" t="n"/>
      <c r="E96" s="24" t="n"/>
      <c r="F96" s="8">
        <f>IF(OR($C96="",$D96=""),"",IF(OR($C96&gt;=1,$D96&gt;=1,$C96=$D96,IF($E96="",0,$E96)&gt;MOD($D96-$C96,1)*24),"",ROUND(MOD($D96-$C96,1)*24-IF($E96="",0,$E96),2)))</f>
        <v/>
      </c>
      <c r="G96" s="25" t="n">
        <v>8</v>
      </c>
      <c r="H96" s="8">
        <f>IF(OR($A96="",$B96="",$F96=""),"",ROUND(IF($F$3="",0,MAX(0,$F96-$F$3))+IF($D$3="",0,MIN($F96-IF($F$3="",0,MAX(0,$F96-$F$3)),MAX(0,SUMIFS($F$5:$F$304,$A$5:$A$304,$A96&amp;"",$B$5:$B$304,"&gt;="&amp;($B96-MOD(WEEKDAY($B96)-$B$3,7)),$B$5:$B$304,"&lt;="&amp;$B96)-IF($F$3="",0,SUMIFS($F$5:$F$304,$A$5:$A$304,$A96&amp;"",$B$5:$B$304,"&gt;="&amp;($B96-MOD(WEEKDAY($B96)-$B$3,7)),$B$5:$B$304,"&lt;="&amp;$B96,$F$5:$F$304,"&gt;"&amp;$F$3)-$F$3*COUNTIFS($A$5:$A$304,$A96&amp;"",$B$5:$B$304,"&gt;="&amp;($B96-MOD(WEEKDAY($B96)-$B$3,7)),$B$5:$B$304,"&lt;="&amp;$B96,$F$5:$F$304,"&gt;"&amp;$F$3))-$D$3))),2))</f>
        <v/>
      </c>
      <c r="I96" s="26" t="n"/>
      <c r="J96" s="27">
        <f>IF(AND($A96="",$C96="",$D96=""),"",IF(OR($C96&gt;=1,$D96&gt;=1),"⚠ type the time with a colon: 9:00 AM, not 9",IF(AND($C96&lt;&gt;"",$C96=$D96),"⚠ clock-in equals clock-out: the shift adds 0 h",IF(AND($C96&lt;&gt;"",$D96&lt;&gt;"",IF($E96="",0,$E96)&gt;MOD($D96-$C96,1)*24),"⚠ the break is longer than the shift",IF(AND($A96&lt;&gt;"",COUNTIF('Monthly OT Summary'!$A$6:$A$35,$A96&amp;"")=0),"⚠ name not in Monthly OT Summary: its hours are not added","")))))</f>
        <v/>
      </c>
    </row>
    <row r="97">
      <c r="A97" s="21" t="n"/>
      <c r="B97" s="40" t="n"/>
      <c r="C97" s="41" t="n"/>
      <c r="D97" s="41" t="n"/>
      <c r="E97" s="24" t="n"/>
      <c r="F97" s="8">
        <f>IF(OR($C97="",$D97=""),"",IF(OR($C97&gt;=1,$D97&gt;=1,$C97=$D97,IF($E97="",0,$E97)&gt;MOD($D97-$C97,1)*24),"",ROUND(MOD($D97-$C97,1)*24-IF($E97="",0,$E97),2)))</f>
        <v/>
      </c>
      <c r="G97" s="25" t="n">
        <v>8</v>
      </c>
      <c r="H97" s="8">
        <f>IF(OR($A97="",$B97="",$F97=""),"",ROUND(IF($F$3="",0,MAX(0,$F97-$F$3))+IF($D$3="",0,MIN($F97-IF($F$3="",0,MAX(0,$F97-$F$3)),MAX(0,SUMIFS($F$5:$F$304,$A$5:$A$304,$A97&amp;"",$B$5:$B$304,"&gt;="&amp;($B97-MOD(WEEKDAY($B97)-$B$3,7)),$B$5:$B$304,"&lt;="&amp;$B97)-IF($F$3="",0,SUMIFS($F$5:$F$304,$A$5:$A$304,$A97&amp;"",$B$5:$B$304,"&gt;="&amp;($B97-MOD(WEEKDAY($B97)-$B$3,7)),$B$5:$B$304,"&lt;="&amp;$B97,$F$5:$F$304,"&gt;"&amp;$F$3)-$F$3*COUNTIFS($A$5:$A$304,$A97&amp;"",$B$5:$B$304,"&gt;="&amp;($B97-MOD(WEEKDAY($B97)-$B$3,7)),$B$5:$B$304,"&lt;="&amp;$B97,$F$5:$F$304,"&gt;"&amp;$F$3))-$D$3))),2))</f>
        <v/>
      </c>
      <c r="I97" s="26" t="n"/>
      <c r="J97" s="27">
        <f>IF(AND($A97="",$C97="",$D97=""),"",IF(OR($C97&gt;=1,$D97&gt;=1),"⚠ type the time with a colon: 9:00 AM, not 9",IF(AND($C97&lt;&gt;"",$C97=$D97),"⚠ clock-in equals clock-out: the shift adds 0 h",IF(AND($C97&lt;&gt;"",$D97&lt;&gt;"",IF($E97="",0,$E97)&gt;MOD($D97-$C97,1)*24),"⚠ the break is longer than the shift",IF(AND($A97&lt;&gt;"",COUNTIF('Monthly OT Summary'!$A$6:$A$35,$A97&amp;"")=0),"⚠ name not in Monthly OT Summary: its hours are not added","")))))</f>
        <v/>
      </c>
    </row>
    <row r="98">
      <c r="A98" s="21" t="n"/>
      <c r="B98" s="40" t="n"/>
      <c r="C98" s="41" t="n"/>
      <c r="D98" s="41" t="n"/>
      <c r="E98" s="24" t="n"/>
      <c r="F98" s="8">
        <f>IF(OR($C98="",$D98=""),"",IF(OR($C98&gt;=1,$D98&gt;=1,$C98=$D98,IF($E98="",0,$E98)&gt;MOD($D98-$C98,1)*24),"",ROUND(MOD($D98-$C98,1)*24-IF($E98="",0,$E98),2)))</f>
        <v/>
      </c>
      <c r="G98" s="25" t="n">
        <v>8</v>
      </c>
      <c r="H98" s="8">
        <f>IF(OR($A98="",$B98="",$F98=""),"",ROUND(IF($F$3="",0,MAX(0,$F98-$F$3))+IF($D$3="",0,MIN($F98-IF($F$3="",0,MAX(0,$F98-$F$3)),MAX(0,SUMIFS($F$5:$F$304,$A$5:$A$304,$A98&amp;"",$B$5:$B$304,"&gt;="&amp;($B98-MOD(WEEKDAY($B98)-$B$3,7)),$B$5:$B$304,"&lt;="&amp;$B98)-IF($F$3="",0,SUMIFS($F$5:$F$304,$A$5:$A$304,$A98&amp;"",$B$5:$B$304,"&gt;="&amp;($B98-MOD(WEEKDAY($B98)-$B$3,7)),$B$5:$B$304,"&lt;="&amp;$B98,$F$5:$F$304,"&gt;"&amp;$F$3)-$F$3*COUNTIFS($A$5:$A$304,$A98&amp;"",$B$5:$B$304,"&gt;="&amp;($B98-MOD(WEEKDAY($B98)-$B$3,7)),$B$5:$B$304,"&lt;="&amp;$B98,$F$5:$F$304,"&gt;"&amp;$F$3))-$D$3))),2))</f>
        <v/>
      </c>
      <c r="I98" s="26" t="n"/>
      <c r="J98" s="27">
        <f>IF(AND($A98="",$C98="",$D98=""),"",IF(OR($C98&gt;=1,$D98&gt;=1),"⚠ type the time with a colon: 9:00 AM, not 9",IF(AND($C98&lt;&gt;"",$C98=$D98),"⚠ clock-in equals clock-out: the shift adds 0 h",IF(AND($C98&lt;&gt;"",$D98&lt;&gt;"",IF($E98="",0,$E98)&gt;MOD($D98-$C98,1)*24),"⚠ the break is longer than the shift",IF(AND($A98&lt;&gt;"",COUNTIF('Monthly OT Summary'!$A$6:$A$35,$A98&amp;"")=0),"⚠ name not in Monthly OT Summary: its hours are not added","")))))</f>
        <v/>
      </c>
    </row>
    <row r="99">
      <c r="A99" s="21" t="n"/>
      <c r="B99" s="40" t="n"/>
      <c r="C99" s="41" t="n"/>
      <c r="D99" s="41" t="n"/>
      <c r="E99" s="24" t="n"/>
      <c r="F99" s="8">
        <f>IF(OR($C99="",$D99=""),"",IF(OR($C99&gt;=1,$D99&gt;=1,$C99=$D99,IF($E99="",0,$E99)&gt;MOD($D99-$C99,1)*24),"",ROUND(MOD($D99-$C99,1)*24-IF($E99="",0,$E99),2)))</f>
        <v/>
      </c>
      <c r="G99" s="25" t="n">
        <v>8</v>
      </c>
      <c r="H99" s="8">
        <f>IF(OR($A99="",$B99="",$F99=""),"",ROUND(IF($F$3="",0,MAX(0,$F99-$F$3))+IF($D$3="",0,MIN($F99-IF($F$3="",0,MAX(0,$F99-$F$3)),MAX(0,SUMIFS($F$5:$F$304,$A$5:$A$304,$A99&amp;"",$B$5:$B$304,"&gt;="&amp;($B99-MOD(WEEKDAY($B99)-$B$3,7)),$B$5:$B$304,"&lt;="&amp;$B99)-IF($F$3="",0,SUMIFS($F$5:$F$304,$A$5:$A$304,$A99&amp;"",$B$5:$B$304,"&gt;="&amp;($B99-MOD(WEEKDAY($B99)-$B$3,7)),$B$5:$B$304,"&lt;="&amp;$B99,$F$5:$F$304,"&gt;"&amp;$F$3)-$F$3*COUNTIFS($A$5:$A$304,$A99&amp;"",$B$5:$B$304,"&gt;="&amp;($B99-MOD(WEEKDAY($B99)-$B$3,7)),$B$5:$B$304,"&lt;="&amp;$B99,$F$5:$F$304,"&gt;"&amp;$F$3))-$D$3))),2))</f>
        <v/>
      </c>
      <c r="I99" s="26" t="n"/>
      <c r="J99" s="27">
        <f>IF(AND($A99="",$C99="",$D99=""),"",IF(OR($C99&gt;=1,$D99&gt;=1),"⚠ type the time with a colon: 9:00 AM, not 9",IF(AND($C99&lt;&gt;"",$C99=$D99),"⚠ clock-in equals clock-out: the shift adds 0 h",IF(AND($C99&lt;&gt;"",$D99&lt;&gt;"",IF($E99="",0,$E99)&gt;MOD($D99-$C99,1)*24),"⚠ the break is longer than the shift",IF(AND($A99&lt;&gt;"",COUNTIF('Monthly OT Summary'!$A$6:$A$35,$A99&amp;"")=0),"⚠ name not in Monthly OT Summary: its hours are not added","")))))</f>
        <v/>
      </c>
    </row>
    <row r="100">
      <c r="A100" s="21" t="n"/>
      <c r="B100" s="40" t="n"/>
      <c r="C100" s="41" t="n"/>
      <c r="D100" s="41" t="n"/>
      <c r="E100" s="24" t="n"/>
      <c r="F100" s="8">
        <f>IF(OR($C100="",$D100=""),"",IF(OR($C100&gt;=1,$D100&gt;=1,$C100=$D100,IF($E100="",0,$E100)&gt;MOD($D100-$C100,1)*24),"",ROUND(MOD($D100-$C100,1)*24-IF($E100="",0,$E100),2)))</f>
        <v/>
      </c>
      <c r="G100" s="25" t="n">
        <v>8</v>
      </c>
      <c r="H100" s="8">
        <f>IF(OR($A100="",$B100="",$F100=""),"",ROUND(IF($F$3="",0,MAX(0,$F100-$F$3))+IF($D$3="",0,MIN($F100-IF($F$3="",0,MAX(0,$F100-$F$3)),MAX(0,SUMIFS($F$5:$F$304,$A$5:$A$304,$A100&amp;"",$B$5:$B$304,"&gt;="&amp;($B100-MOD(WEEKDAY($B100)-$B$3,7)),$B$5:$B$304,"&lt;="&amp;$B100)-IF($F$3="",0,SUMIFS($F$5:$F$304,$A$5:$A$304,$A100&amp;"",$B$5:$B$304,"&gt;="&amp;($B100-MOD(WEEKDAY($B100)-$B$3,7)),$B$5:$B$304,"&lt;="&amp;$B100,$F$5:$F$304,"&gt;"&amp;$F$3)-$F$3*COUNTIFS($A$5:$A$304,$A100&amp;"",$B$5:$B$304,"&gt;="&amp;($B100-MOD(WEEKDAY($B100)-$B$3,7)),$B$5:$B$304,"&lt;="&amp;$B100,$F$5:$F$304,"&gt;"&amp;$F$3))-$D$3))),2))</f>
        <v/>
      </c>
      <c r="I100" s="26" t="n"/>
      <c r="J100" s="27">
        <f>IF(AND($A100="",$C100="",$D100=""),"",IF(OR($C100&gt;=1,$D100&gt;=1),"⚠ type the time with a colon: 9:00 AM, not 9",IF(AND($C100&lt;&gt;"",$C100=$D100),"⚠ clock-in equals clock-out: the shift adds 0 h",IF(AND($C100&lt;&gt;"",$D100&lt;&gt;"",IF($E100="",0,$E100)&gt;MOD($D100-$C100,1)*24),"⚠ the break is longer than the shift",IF(AND($A100&lt;&gt;"",COUNTIF('Monthly OT Summary'!$A$6:$A$35,$A100&amp;"")=0),"⚠ name not in Monthly OT Summary: its hours are not added","")))))</f>
        <v/>
      </c>
    </row>
    <row r="101">
      <c r="A101" s="21" t="n"/>
      <c r="B101" s="40" t="n"/>
      <c r="C101" s="41" t="n"/>
      <c r="D101" s="41" t="n"/>
      <c r="E101" s="24" t="n"/>
      <c r="F101" s="8">
        <f>IF(OR($C101="",$D101=""),"",IF(OR($C101&gt;=1,$D101&gt;=1,$C101=$D101,IF($E101="",0,$E101)&gt;MOD($D101-$C101,1)*24),"",ROUND(MOD($D101-$C101,1)*24-IF($E101="",0,$E101),2)))</f>
        <v/>
      </c>
      <c r="G101" s="25" t="n">
        <v>8</v>
      </c>
      <c r="H101" s="8">
        <f>IF(OR($A101="",$B101="",$F101=""),"",ROUND(IF($F$3="",0,MAX(0,$F101-$F$3))+IF($D$3="",0,MIN($F101-IF($F$3="",0,MAX(0,$F101-$F$3)),MAX(0,SUMIFS($F$5:$F$304,$A$5:$A$304,$A101&amp;"",$B$5:$B$304,"&gt;="&amp;($B101-MOD(WEEKDAY($B101)-$B$3,7)),$B$5:$B$304,"&lt;="&amp;$B101)-IF($F$3="",0,SUMIFS($F$5:$F$304,$A$5:$A$304,$A101&amp;"",$B$5:$B$304,"&gt;="&amp;($B101-MOD(WEEKDAY($B101)-$B$3,7)),$B$5:$B$304,"&lt;="&amp;$B101,$F$5:$F$304,"&gt;"&amp;$F$3)-$F$3*COUNTIFS($A$5:$A$304,$A101&amp;"",$B$5:$B$304,"&gt;="&amp;($B101-MOD(WEEKDAY($B101)-$B$3,7)),$B$5:$B$304,"&lt;="&amp;$B101,$F$5:$F$304,"&gt;"&amp;$F$3))-$D$3))),2))</f>
        <v/>
      </c>
      <c r="I101" s="26" t="n"/>
      <c r="J101" s="27">
        <f>IF(AND($A101="",$C101="",$D101=""),"",IF(OR($C101&gt;=1,$D101&gt;=1),"⚠ type the time with a colon: 9:00 AM, not 9",IF(AND($C101&lt;&gt;"",$C101=$D101),"⚠ clock-in equals clock-out: the shift adds 0 h",IF(AND($C101&lt;&gt;"",$D101&lt;&gt;"",IF($E101="",0,$E101)&gt;MOD($D101-$C101,1)*24),"⚠ the break is longer than the shift",IF(AND($A101&lt;&gt;"",COUNTIF('Monthly OT Summary'!$A$6:$A$35,$A101&amp;"")=0),"⚠ name not in Monthly OT Summary: its hours are not added","")))))</f>
        <v/>
      </c>
    </row>
    <row r="102">
      <c r="A102" s="21" t="n"/>
      <c r="B102" s="40" t="n"/>
      <c r="C102" s="41" t="n"/>
      <c r="D102" s="41" t="n"/>
      <c r="E102" s="24" t="n"/>
      <c r="F102" s="8">
        <f>IF(OR($C102="",$D102=""),"",IF(OR($C102&gt;=1,$D102&gt;=1,$C102=$D102,IF($E102="",0,$E102)&gt;MOD($D102-$C102,1)*24),"",ROUND(MOD($D102-$C102,1)*24-IF($E102="",0,$E102),2)))</f>
        <v/>
      </c>
      <c r="G102" s="25" t="n">
        <v>8</v>
      </c>
      <c r="H102" s="8">
        <f>IF(OR($A102="",$B102="",$F102=""),"",ROUND(IF($F$3="",0,MAX(0,$F102-$F$3))+IF($D$3="",0,MIN($F102-IF($F$3="",0,MAX(0,$F102-$F$3)),MAX(0,SUMIFS($F$5:$F$304,$A$5:$A$304,$A102&amp;"",$B$5:$B$304,"&gt;="&amp;($B102-MOD(WEEKDAY($B102)-$B$3,7)),$B$5:$B$304,"&lt;="&amp;$B102)-IF($F$3="",0,SUMIFS($F$5:$F$304,$A$5:$A$304,$A102&amp;"",$B$5:$B$304,"&gt;="&amp;($B102-MOD(WEEKDAY($B102)-$B$3,7)),$B$5:$B$304,"&lt;="&amp;$B102,$F$5:$F$304,"&gt;"&amp;$F$3)-$F$3*COUNTIFS($A$5:$A$304,$A102&amp;"",$B$5:$B$304,"&gt;="&amp;($B102-MOD(WEEKDAY($B102)-$B$3,7)),$B$5:$B$304,"&lt;="&amp;$B102,$F$5:$F$304,"&gt;"&amp;$F$3))-$D$3))),2))</f>
        <v/>
      </c>
      <c r="I102" s="26" t="n"/>
      <c r="J102" s="27">
        <f>IF(AND($A102="",$C102="",$D102=""),"",IF(OR($C102&gt;=1,$D102&gt;=1),"⚠ type the time with a colon: 9:00 AM, not 9",IF(AND($C102&lt;&gt;"",$C102=$D102),"⚠ clock-in equals clock-out: the shift adds 0 h",IF(AND($C102&lt;&gt;"",$D102&lt;&gt;"",IF($E102="",0,$E102)&gt;MOD($D102-$C102,1)*24),"⚠ the break is longer than the shift",IF(AND($A102&lt;&gt;"",COUNTIF('Monthly OT Summary'!$A$6:$A$35,$A102&amp;"")=0),"⚠ name not in Monthly OT Summary: its hours are not added","")))))</f>
        <v/>
      </c>
    </row>
    <row r="103">
      <c r="A103" s="21" t="n"/>
      <c r="B103" s="40" t="n"/>
      <c r="C103" s="41" t="n"/>
      <c r="D103" s="41" t="n"/>
      <c r="E103" s="24" t="n"/>
      <c r="F103" s="8">
        <f>IF(OR($C103="",$D103=""),"",IF(OR($C103&gt;=1,$D103&gt;=1,$C103=$D103,IF($E103="",0,$E103)&gt;MOD($D103-$C103,1)*24),"",ROUND(MOD($D103-$C103,1)*24-IF($E103="",0,$E103),2)))</f>
        <v/>
      </c>
      <c r="G103" s="25" t="n">
        <v>8</v>
      </c>
      <c r="H103" s="8">
        <f>IF(OR($A103="",$B103="",$F103=""),"",ROUND(IF($F$3="",0,MAX(0,$F103-$F$3))+IF($D$3="",0,MIN($F103-IF($F$3="",0,MAX(0,$F103-$F$3)),MAX(0,SUMIFS($F$5:$F$304,$A$5:$A$304,$A103&amp;"",$B$5:$B$304,"&gt;="&amp;($B103-MOD(WEEKDAY($B103)-$B$3,7)),$B$5:$B$304,"&lt;="&amp;$B103)-IF($F$3="",0,SUMIFS($F$5:$F$304,$A$5:$A$304,$A103&amp;"",$B$5:$B$304,"&gt;="&amp;($B103-MOD(WEEKDAY($B103)-$B$3,7)),$B$5:$B$304,"&lt;="&amp;$B103,$F$5:$F$304,"&gt;"&amp;$F$3)-$F$3*COUNTIFS($A$5:$A$304,$A103&amp;"",$B$5:$B$304,"&gt;="&amp;($B103-MOD(WEEKDAY($B103)-$B$3,7)),$B$5:$B$304,"&lt;="&amp;$B103,$F$5:$F$304,"&gt;"&amp;$F$3))-$D$3))),2))</f>
        <v/>
      </c>
      <c r="I103" s="26" t="n"/>
      <c r="J103" s="27">
        <f>IF(AND($A103="",$C103="",$D103=""),"",IF(OR($C103&gt;=1,$D103&gt;=1),"⚠ type the time with a colon: 9:00 AM, not 9",IF(AND($C103&lt;&gt;"",$C103=$D103),"⚠ clock-in equals clock-out: the shift adds 0 h",IF(AND($C103&lt;&gt;"",$D103&lt;&gt;"",IF($E103="",0,$E103)&gt;MOD($D103-$C103,1)*24),"⚠ the break is longer than the shift",IF(AND($A103&lt;&gt;"",COUNTIF('Monthly OT Summary'!$A$6:$A$35,$A103&amp;"")=0),"⚠ name not in Monthly OT Summary: its hours are not added","")))))</f>
        <v/>
      </c>
    </row>
    <row r="104">
      <c r="A104" s="21" t="n"/>
      <c r="B104" s="40" t="n"/>
      <c r="C104" s="41" t="n"/>
      <c r="D104" s="41" t="n"/>
      <c r="E104" s="24" t="n"/>
      <c r="F104" s="8">
        <f>IF(OR($C104="",$D104=""),"",IF(OR($C104&gt;=1,$D104&gt;=1,$C104=$D104,IF($E104="",0,$E104)&gt;MOD($D104-$C104,1)*24),"",ROUND(MOD($D104-$C104,1)*24-IF($E104="",0,$E104),2)))</f>
        <v/>
      </c>
      <c r="G104" s="25" t="n">
        <v>8</v>
      </c>
      <c r="H104" s="8">
        <f>IF(OR($A104="",$B104="",$F104=""),"",ROUND(IF($F$3="",0,MAX(0,$F104-$F$3))+IF($D$3="",0,MIN($F104-IF($F$3="",0,MAX(0,$F104-$F$3)),MAX(0,SUMIFS($F$5:$F$304,$A$5:$A$304,$A104&amp;"",$B$5:$B$304,"&gt;="&amp;($B104-MOD(WEEKDAY($B104)-$B$3,7)),$B$5:$B$304,"&lt;="&amp;$B104)-IF($F$3="",0,SUMIFS($F$5:$F$304,$A$5:$A$304,$A104&amp;"",$B$5:$B$304,"&gt;="&amp;($B104-MOD(WEEKDAY($B104)-$B$3,7)),$B$5:$B$304,"&lt;="&amp;$B104,$F$5:$F$304,"&gt;"&amp;$F$3)-$F$3*COUNTIFS($A$5:$A$304,$A104&amp;"",$B$5:$B$304,"&gt;="&amp;($B104-MOD(WEEKDAY($B104)-$B$3,7)),$B$5:$B$304,"&lt;="&amp;$B104,$F$5:$F$304,"&gt;"&amp;$F$3))-$D$3))),2))</f>
        <v/>
      </c>
      <c r="I104" s="26" t="n"/>
      <c r="J104" s="27">
        <f>IF(AND($A104="",$C104="",$D104=""),"",IF(OR($C104&gt;=1,$D104&gt;=1),"⚠ type the time with a colon: 9:00 AM, not 9",IF(AND($C104&lt;&gt;"",$C104=$D104),"⚠ clock-in equals clock-out: the shift adds 0 h",IF(AND($C104&lt;&gt;"",$D104&lt;&gt;"",IF($E104="",0,$E104)&gt;MOD($D104-$C104,1)*24),"⚠ the break is longer than the shift",IF(AND($A104&lt;&gt;"",COUNTIF('Monthly OT Summary'!$A$6:$A$35,$A104&amp;"")=0),"⚠ name not in Monthly OT Summary: its hours are not added","")))))</f>
        <v/>
      </c>
    </row>
    <row r="105">
      <c r="A105" s="21" t="n"/>
      <c r="B105" s="40" t="n"/>
      <c r="C105" s="41" t="n"/>
      <c r="D105" s="41" t="n"/>
      <c r="E105" s="24" t="n"/>
      <c r="F105" s="8">
        <f>IF(OR($C105="",$D105=""),"",IF(OR($C105&gt;=1,$D105&gt;=1,$C105=$D105,IF($E105="",0,$E105)&gt;MOD($D105-$C105,1)*24),"",ROUND(MOD($D105-$C105,1)*24-IF($E105="",0,$E105),2)))</f>
        <v/>
      </c>
      <c r="G105" s="25" t="n">
        <v>8</v>
      </c>
      <c r="H105" s="8">
        <f>IF(OR($A105="",$B105="",$F105=""),"",ROUND(IF($F$3="",0,MAX(0,$F105-$F$3))+IF($D$3="",0,MIN($F105-IF($F$3="",0,MAX(0,$F105-$F$3)),MAX(0,SUMIFS($F$5:$F$304,$A$5:$A$304,$A105&amp;"",$B$5:$B$304,"&gt;="&amp;($B105-MOD(WEEKDAY($B105)-$B$3,7)),$B$5:$B$304,"&lt;="&amp;$B105)-IF($F$3="",0,SUMIFS($F$5:$F$304,$A$5:$A$304,$A105&amp;"",$B$5:$B$304,"&gt;="&amp;($B105-MOD(WEEKDAY($B105)-$B$3,7)),$B$5:$B$304,"&lt;="&amp;$B105,$F$5:$F$304,"&gt;"&amp;$F$3)-$F$3*COUNTIFS($A$5:$A$304,$A105&amp;"",$B$5:$B$304,"&gt;="&amp;($B105-MOD(WEEKDAY($B105)-$B$3,7)),$B$5:$B$304,"&lt;="&amp;$B105,$F$5:$F$304,"&gt;"&amp;$F$3))-$D$3))),2))</f>
        <v/>
      </c>
      <c r="I105" s="26" t="n"/>
      <c r="J105" s="27">
        <f>IF(AND($A105="",$C105="",$D105=""),"",IF(OR($C105&gt;=1,$D105&gt;=1),"⚠ type the time with a colon: 9:00 AM, not 9",IF(AND($C105&lt;&gt;"",$C105=$D105),"⚠ clock-in equals clock-out: the shift adds 0 h",IF(AND($C105&lt;&gt;"",$D105&lt;&gt;"",IF($E105="",0,$E105)&gt;MOD($D105-$C105,1)*24),"⚠ the break is longer than the shift",IF(AND($A105&lt;&gt;"",COUNTIF('Monthly OT Summary'!$A$6:$A$35,$A105&amp;"")=0),"⚠ name not in Monthly OT Summary: its hours are not added","")))))</f>
        <v/>
      </c>
    </row>
    <row r="106">
      <c r="A106" s="21" t="n"/>
      <c r="B106" s="40" t="n"/>
      <c r="C106" s="41" t="n"/>
      <c r="D106" s="41" t="n"/>
      <c r="E106" s="24" t="n"/>
      <c r="F106" s="8">
        <f>IF(OR($C106="",$D106=""),"",IF(OR($C106&gt;=1,$D106&gt;=1,$C106=$D106,IF($E106="",0,$E106)&gt;MOD($D106-$C106,1)*24),"",ROUND(MOD($D106-$C106,1)*24-IF($E106="",0,$E106),2)))</f>
        <v/>
      </c>
      <c r="G106" s="25" t="n">
        <v>8</v>
      </c>
      <c r="H106" s="8">
        <f>IF(OR($A106="",$B106="",$F106=""),"",ROUND(IF($F$3="",0,MAX(0,$F106-$F$3))+IF($D$3="",0,MIN($F106-IF($F$3="",0,MAX(0,$F106-$F$3)),MAX(0,SUMIFS($F$5:$F$304,$A$5:$A$304,$A106&amp;"",$B$5:$B$304,"&gt;="&amp;($B106-MOD(WEEKDAY($B106)-$B$3,7)),$B$5:$B$304,"&lt;="&amp;$B106)-IF($F$3="",0,SUMIFS($F$5:$F$304,$A$5:$A$304,$A106&amp;"",$B$5:$B$304,"&gt;="&amp;($B106-MOD(WEEKDAY($B106)-$B$3,7)),$B$5:$B$304,"&lt;="&amp;$B106,$F$5:$F$304,"&gt;"&amp;$F$3)-$F$3*COUNTIFS($A$5:$A$304,$A106&amp;"",$B$5:$B$304,"&gt;="&amp;($B106-MOD(WEEKDAY($B106)-$B$3,7)),$B$5:$B$304,"&lt;="&amp;$B106,$F$5:$F$304,"&gt;"&amp;$F$3))-$D$3))),2))</f>
        <v/>
      </c>
      <c r="I106" s="26" t="n"/>
      <c r="J106" s="27">
        <f>IF(AND($A106="",$C106="",$D106=""),"",IF(OR($C106&gt;=1,$D106&gt;=1),"⚠ type the time with a colon: 9:00 AM, not 9",IF(AND($C106&lt;&gt;"",$C106=$D106),"⚠ clock-in equals clock-out: the shift adds 0 h",IF(AND($C106&lt;&gt;"",$D106&lt;&gt;"",IF($E106="",0,$E106)&gt;MOD($D106-$C106,1)*24),"⚠ the break is longer than the shift",IF(AND($A106&lt;&gt;"",COUNTIF('Monthly OT Summary'!$A$6:$A$35,$A106&amp;"")=0),"⚠ name not in Monthly OT Summary: its hours are not added","")))))</f>
        <v/>
      </c>
    </row>
    <row r="107">
      <c r="A107" s="21" t="n"/>
      <c r="B107" s="40" t="n"/>
      <c r="C107" s="41" t="n"/>
      <c r="D107" s="41" t="n"/>
      <c r="E107" s="24" t="n"/>
      <c r="F107" s="8">
        <f>IF(OR($C107="",$D107=""),"",IF(OR($C107&gt;=1,$D107&gt;=1,$C107=$D107,IF($E107="",0,$E107)&gt;MOD($D107-$C107,1)*24),"",ROUND(MOD($D107-$C107,1)*24-IF($E107="",0,$E107),2)))</f>
        <v/>
      </c>
      <c r="G107" s="25" t="n">
        <v>8</v>
      </c>
      <c r="H107" s="8">
        <f>IF(OR($A107="",$B107="",$F107=""),"",ROUND(IF($F$3="",0,MAX(0,$F107-$F$3))+IF($D$3="",0,MIN($F107-IF($F$3="",0,MAX(0,$F107-$F$3)),MAX(0,SUMIFS($F$5:$F$304,$A$5:$A$304,$A107&amp;"",$B$5:$B$304,"&gt;="&amp;($B107-MOD(WEEKDAY($B107)-$B$3,7)),$B$5:$B$304,"&lt;="&amp;$B107)-IF($F$3="",0,SUMIFS($F$5:$F$304,$A$5:$A$304,$A107&amp;"",$B$5:$B$304,"&gt;="&amp;($B107-MOD(WEEKDAY($B107)-$B$3,7)),$B$5:$B$304,"&lt;="&amp;$B107,$F$5:$F$304,"&gt;"&amp;$F$3)-$F$3*COUNTIFS($A$5:$A$304,$A107&amp;"",$B$5:$B$304,"&gt;="&amp;($B107-MOD(WEEKDAY($B107)-$B$3,7)),$B$5:$B$304,"&lt;="&amp;$B107,$F$5:$F$304,"&gt;"&amp;$F$3))-$D$3))),2))</f>
        <v/>
      </c>
      <c r="I107" s="26" t="n"/>
      <c r="J107" s="27">
        <f>IF(AND($A107="",$C107="",$D107=""),"",IF(OR($C107&gt;=1,$D107&gt;=1),"⚠ type the time with a colon: 9:00 AM, not 9",IF(AND($C107&lt;&gt;"",$C107=$D107),"⚠ clock-in equals clock-out: the shift adds 0 h",IF(AND($C107&lt;&gt;"",$D107&lt;&gt;"",IF($E107="",0,$E107)&gt;MOD($D107-$C107,1)*24),"⚠ the break is longer than the shift",IF(AND($A107&lt;&gt;"",COUNTIF('Monthly OT Summary'!$A$6:$A$35,$A107&amp;"")=0),"⚠ name not in Monthly OT Summary: its hours are not added","")))))</f>
        <v/>
      </c>
    </row>
    <row r="108">
      <c r="A108" s="21" t="n"/>
      <c r="B108" s="40" t="n"/>
      <c r="C108" s="41" t="n"/>
      <c r="D108" s="41" t="n"/>
      <c r="E108" s="24" t="n"/>
      <c r="F108" s="8">
        <f>IF(OR($C108="",$D108=""),"",IF(OR($C108&gt;=1,$D108&gt;=1,$C108=$D108,IF($E108="",0,$E108)&gt;MOD($D108-$C108,1)*24),"",ROUND(MOD($D108-$C108,1)*24-IF($E108="",0,$E108),2)))</f>
        <v/>
      </c>
      <c r="G108" s="25" t="n">
        <v>8</v>
      </c>
      <c r="H108" s="8">
        <f>IF(OR($A108="",$B108="",$F108=""),"",ROUND(IF($F$3="",0,MAX(0,$F108-$F$3))+IF($D$3="",0,MIN($F108-IF($F$3="",0,MAX(0,$F108-$F$3)),MAX(0,SUMIFS($F$5:$F$304,$A$5:$A$304,$A108&amp;"",$B$5:$B$304,"&gt;="&amp;($B108-MOD(WEEKDAY($B108)-$B$3,7)),$B$5:$B$304,"&lt;="&amp;$B108)-IF($F$3="",0,SUMIFS($F$5:$F$304,$A$5:$A$304,$A108&amp;"",$B$5:$B$304,"&gt;="&amp;($B108-MOD(WEEKDAY($B108)-$B$3,7)),$B$5:$B$304,"&lt;="&amp;$B108,$F$5:$F$304,"&gt;"&amp;$F$3)-$F$3*COUNTIFS($A$5:$A$304,$A108&amp;"",$B$5:$B$304,"&gt;="&amp;($B108-MOD(WEEKDAY($B108)-$B$3,7)),$B$5:$B$304,"&lt;="&amp;$B108,$F$5:$F$304,"&gt;"&amp;$F$3))-$D$3))),2))</f>
        <v/>
      </c>
      <c r="I108" s="26" t="n"/>
      <c r="J108" s="27">
        <f>IF(AND($A108="",$C108="",$D108=""),"",IF(OR($C108&gt;=1,$D108&gt;=1),"⚠ type the time with a colon: 9:00 AM, not 9",IF(AND($C108&lt;&gt;"",$C108=$D108),"⚠ clock-in equals clock-out: the shift adds 0 h",IF(AND($C108&lt;&gt;"",$D108&lt;&gt;"",IF($E108="",0,$E108)&gt;MOD($D108-$C108,1)*24),"⚠ the break is longer than the shift",IF(AND($A108&lt;&gt;"",COUNTIF('Monthly OT Summary'!$A$6:$A$35,$A108&amp;"")=0),"⚠ name not in Monthly OT Summary: its hours are not added","")))))</f>
        <v/>
      </c>
    </row>
    <row r="109">
      <c r="A109" s="21" t="n"/>
      <c r="B109" s="40" t="n"/>
      <c r="C109" s="41" t="n"/>
      <c r="D109" s="41" t="n"/>
      <c r="E109" s="24" t="n"/>
      <c r="F109" s="8">
        <f>IF(OR($C109="",$D109=""),"",IF(OR($C109&gt;=1,$D109&gt;=1,$C109=$D109,IF($E109="",0,$E109)&gt;MOD($D109-$C109,1)*24),"",ROUND(MOD($D109-$C109,1)*24-IF($E109="",0,$E109),2)))</f>
        <v/>
      </c>
      <c r="G109" s="25" t="n">
        <v>8</v>
      </c>
      <c r="H109" s="8">
        <f>IF(OR($A109="",$B109="",$F109=""),"",ROUND(IF($F$3="",0,MAX(0,$F109-$F$3))+IF($D$3="",0,MIN($F109-IF($F$3="",0,MAX(0,$F109-$F$3)),MAX(0,SUMIFS($F$5:$F$304,$A$5:$A$304,$A109&amp;"",$B$5:$B$304,"&gt;="&amp;($B109-MOD(WEEKDAY($B109)-$B$3,7)),$B$5:$B$304,"&lt;="&amp;$B109)-IF($F$3="",0,SUMIFS($F$5:$F$304,$A$5:$A$304,$A109&amp;"",$B$5:$B$304,"&gt;="&amp;($B109-MOD(WEEKDAY($B109)-$B$3,7)),$B$5:$B$304,"&lt;="&amp;$B109,$F$5:$F$304,"&gt;"&amp;$F$3)-$F$3*COUNTIFS($A$5:$A$304,$A109&amp;"",$B$5:$B$304,"&gt;="&amp;($B109-MOD(WEEKDAY($B109)-$B$3,7)),$B$5:$B$304,"&lt;="&amp;$B109,$F$5:$F$304,"&gt;"&amp;$F$3))-$D$3))),2))</f>
        <v/>
      </c>
      <c r="I109" s="26" t="n"/>
      <c r="J109" s="27">
        <f>IF(AND($A109="",$C109="",$D109=""),"",IF(OR($C109&gt;=1,$D109&gt;=1),"⚠ type the time with a colon: 9:00 AM, not 9",IF(AND($C109&lt;&gt;"",$C109=$D109),"⚠ clock-in equals clock-out: the shift adds 0 h",IF(AND($C109&lt;&gt;"",$D109&lt;&gt;"",IF($E109="",0,$E109)&gt;MOD($D109-$C109,1)*24),"⚠ the break is longer than the shift",IF(AND($A109&lt;&gt;"",COUNTIF('Monthly OT Summary'!$A$6:$A$35,$A109&amp;"")=0),"⚠ name not in Monthly OT Summary: its hours are not added","")))))</f>
        <v/>
      </c>
    </row>
    <row r="110">
      <c r="A110" s="21" t="n"/>
      <c r="B110" s="40" t="n"/>
      <c r="C110" s="41" t="n"/>
      <c r="D110" s="41" t="n"/>
      <c r="E110" s="24" t="n"/>
      <c r="F110" s="8">
        <f>IF(OR($C110="",$D110=""),"",IF(OR($C110&gt;=1,$D110&gt;=1,$C110=$D110,IF($E110="",0,$E110)&gt;MOD($D110-$C110,1)*24),"",ROUND(MOD($D110-$C110,1)*24-IF($E110="",0,$E110),2)))</f>
        <v/>
      </c>
      <c r="G110" s="25" t="n">
        <v>8</v>
      </c>
      <c r="H110" s="8">
        <f>IF(OR($A110="",$B110="",$F110=""),"",ROUND(IF($F$3="",0,MAX(0,$F110-$F$3))+IF($D$3="",0,MIN($F110-IF($F$3="",0,MAX(0,$F110-$F$3)),MAX(0,SUMIFS($F$5:$F$304,$A$5:$A$304,$A110&amp;"",$B$5:$B$304,"&gt;="&amp;($B110-MOD(WEEKDAY($B110)-$B$3,7)),$B$5:$B$304,"&lt;="&amp;$B110)-IF($F$3="",0,SUMIFS($F$5:$F$304,$A$5:$A$304,$A110&amp;"",$B$5:$B$304,"&gt;="&amp;($B110-MOD(WEEKDAY($B110)-$B$3,7)),$B$5:$B$304,"&lt;="&amp;$B110,$F$5:$F$304,"&gt;"&amp;$F$3)-$F$3*COUNTIFS($A$5:$A$304,$A110&amp;"",$B$5:$B$304,"&gt;="&amp;($B110-MOD(WEEKDAY($B110)-$B$3,7)),$B$5:$B$304,"&lt;="&amp;$B110,$F$5:$F$304,"&gt;"&amp;$F$3))-$D$3))),2))</f>
        <v/>
      </c>
      <c r="I110" s="26" t="n"/>
      <c r="J110" s="27">
        <f>IF(AND($A110="",$C110="",$D110=""),"",IF(OR($C110&gt;=1,$D110&gt;=1),"⚠ type the time with a colon: 9:00 AM, not 9",IF(AND($C110&lt;&gt;"",$C110=$D110),"⚠ clock-in equals clock-out: the shift adds 0 h",IF(AND($C110&lt;&gt;"",$D110&lt;&gt;"",IF($E110="",0,$E110)&gt;MOD($D110-$C110,1)*24),"⚠ the break is longer than the shift",IF(AND($A110&lt;&gt;"",COUNTIF('Monthly OT Summary'!$A$6:$A$35,$A110&amp;"")=0),"⚠ name not in Monthly OT Summary: its hours are not added","")))))</f>
        <v/>
      </c>
    </row>
    <row r="111">
      <c r="A111" s="21" t="n"/>
      <c r="B111" s="40" t="n"/>
      <c r="C111" s="41" t="n"/>
      <c r="D111" s="41" t="n"/>
      <c r="E111" s="24" t="n"/>
      <c r="F111" s="8">
        <f>IF(OR($C111="",$D111=""),"",IF(OR($C111&gt;=1,$D111&gt;=1,$C111=$D111,IF($E111="",0,$E111)&gt;MOD($D111-$C111,1)*24),"",ROUND(MOD($D111-$C111,1)*24-IF($E111="",0,$E111),2)))</f>
        <v/>
      </c>
      <c r="G111" s="25" t="n">
        <v>8</v>
      </c>
      <c r="H111" s="8">
        <f>IF(OR($A111="",$B111="",$F111=""),"",ROUND(IF($F$3="",0,MAX(0,$F111-$F$3))+IF($D$3="",0,MIN($F111-IF($F$3="",0,MAX(0,$F111-$F$3)),MAX(0,SUMIFS($F$5:$F$304,$A$5:$A$304,$A111&amp;"",$B$5:$B$304,"&gt;="&amp;($B111-MOD(WEEKDAY($B111)-$B$3,7)),$B$5:$B$304,"&lt;="&amp;$B111)-IF($F$3="",0,SUMIFS($F$5:$F$304,$A$5:$A$304,$A111&amp;"",$B$5:$B$304,"&gt;="&amp;($B111-MOD(WEEKDAY($B111)-$B$3,7)),$B$5:$B$304,"&lt;="&amp;$B111,$F$5:$F$304,"&gt;"&amp;$F$3)-$F$3*COUNTIFS($A$5:$A$304,$A111&amp;"",$B$5:$B$304,"&gt;="&amp;($B111-MOD(WEEKDAY($B111)-$B$3,7)),$B$5:$B$304,"&lt;="&amp;$B111,$F$5:$F$304,"&gt;"&amp;$F$3))-$D$3))),2))</f>
        <v/>
      </c>
      <c r="I111" s="26" t="n"/>
      <c r="J111" s="27">
        <f>IF(AND($A111="",$C111="",$D111=""),"",IF(OR($C111&gt;=1,$D111&gt;=1),"⚠ type the time with a colon: 9:00 AM, not 9",IF(AND($C111&lt;&gt;"",$C111=$D111),"⚠ clock-in equals clock-out: the shift adds 0 h",IF(AND($C111&lt;&gt;"",$D111&lt;&gt;"",IF($E111="",0,$E111)&gt;MOD($D111-$C111,1)*24),"⚠ the break is longer than the shift",IF(AND($A111&lt;&gt;"",COUNTIF('Monthly OT Summary'!$A$6:$A$35,$A111&amp;"")=0),"⚠ name not in Monthly OT Summary: its hours are not added","")))))</f>
        <v/>
      </c>
    </row>
    <row r="112">
      <c r="A112" s="21" t="n"/>
      <c r="B112" s="40" t="n"/>
      <c r="C112" s="41" t="n"/>
      <c r="D112" s="41" t="n"/>
      <c r="E112" s="24" t="n"/>
      <c r="F112" s="8">
        <f>IF(OR($C112="",$D112=""),"",IF(OR($C112&gt;=1,$D112&gt;=1,$C112=$D112,IF($E112="",0,$E112)&gt;MOD($D112-$C112,1)*24),"",ROUND(MOD($D112-$C112,1)*24-IF($E112="",0,$E112),2)))</f>
        <v/>
      </c>
      <c r="G112" s="25" t="n">
        <v>8</v>
      </c>
      <c r="H112" s="8">
        <f>IF(OR($A112="",$B112="",$F112=""),"",ROUND(IF($F$3="",0,MAX(0,$F112-$F$3))+IF($D$3="",0,MIN($F112-IF($F$3="",0,MAX(0,$F112-$F$3)),MAX(0,SUMIFS($F$5:$F$304,$A$5:$A$304,$A112&amp;"",$B$5:$B$304,"&gt;="&amp;($B112-MOD(WEEKDAY($B112)-$B$3,7)),$B$5:$B$304,"&lt;="&amp;$B112)-IF($F$3="",0,SUMIFS($F$5:$F$304,$A$5:$A$304,$A112&amp;"",$B$5:$B$304,"&gt;="&amp;($B112-MOD(WEEKDAY($B112)-$B$3,7)),$B$5:$B$304,"&lt;="&amp;$B112,$F$5:$F$304,"&gt;"&amp;$F$3)-$F$3*COUNTIFS($A$5:$A$304,$A112&amp;"",$B$5:$B$304,"&gt;="&amp;($B112-MOD(WEEKDAY($B112)-$B$3,7)),$B$5:$B$304,"&lt;="&amp;$B112,$F$5:$F$304,"&gt;"&amp;$F$3))-$D$3))),2))</f>
        <v/>
      </c>
      <c r="I112" s="26" t="n"/>
      <c r="J112" s="27">
        <f>IF(AND($A112="",$C112="",$D112=""),"",IF(OR($C112&gt;=1,$D112&gt;=1),"⚠ type the time with a colon: 9:00 AM, not 9",IF(AND($C112&lt;&gt;"",$C112=$D112),"⚠ clock-in equals clock-out: the shift adds 0 h",IF(AND($C112&lt;&gt;"",$D112&lt;&gt;"",IF($E112="",0,$E112)&gt;MOD($D112-$C112,1)*24),"⚠ the break is longer than the shift",IF(AND($A112&lt;&gt;"",COUNTIF('Monthly OT Summary'!$A$6:$A$35,$A112&amp;"")=0),"⚠ name not in Monthly OT Summary: its hours are not added","")))))</f>
        <v/>
      </c>
    </row>
    <row r="113">
      <c r="A113" s="21" t="n"/>
      <c r="B113" s="40" t="n"/>
      <c r="C113" s="41" t="n"/>
      <c r="D113" s="41" t="n"/>
      <c r="E113" s="24" t="n"/>
      <c r="F113" s="8">
        <f>IF(OR($C113="",$D113=""),"",IF(OR($C113&gt;=1,$D113&gt;=1,$C113=$D113,IF($E113="",0,$E113)&gt;MOD($D113-$C113,1)*24),"",ROUND(MOD($D113-$C113,1)*24-IF($E113="",0,$E113),2)))</f>
        <v/>
      </c>
      <c r="G113" s="25" t="n">
        <v>8</v>
      </c>
      <c r="H113" s="8">
        <f>IF(OR($A113="",$B113="",$F113=""),"",ROUND(IF($F$3="",0,MAX(0,$F113-$F$3))+IF($D$3="",0,MIN($F113-IF($F$3="",0,MAX(0,$F113-$F$3)),MAX(0,SUMIFS($F$5:$F$304,$A$5:$A$304,$A113&amp;"",$B$5:$B$304,"&gt;="&amp;($B113-MOD(WEEKDAY($B113)-$B$3,7)),$B$5:$B$304,"&lt;="&amp;$B113)-IF($F$3="",0,SUMIFS($F$5:$F$304,$A$5:$A$304,$A113&amp;"",$B$5:$B$304,"&gt;="&amp;($B113-MOD(WEEKDAY($B113)-$B$3,7)),$B$5:$B$304,"&lt;="&amp;$B113,$F$5:$F$304,"&gt;"&amp;$F$3)-$F$3*COUNTIFS($A$5:$A$304,$A113&amp;"",$B$5:$B$304,"&gt;="&amp;($B113-MOD(WEEKDAY($B113)-$B$3,7)),$B$5:$B$304,"&lt;="&amp;$B113,$F$5:$F$304,"&gt;"&amp;$F$3))-$D$3))),2))</f>
        <v/>
      </c>
      <c r="I113" s="26" t="n"/>
      <c r="J113" s="27">
        <f>IF(AND($A113="",$C113="",$D113=""),"",IF(OR($C113&gt;=1,$D113&gt;=1),"⚠ type the time with a colon: 9:00 AM, not 9",IF(AND($C113&lt;&gt;"",$C113=$D113),"⚠ clock-in equals clock-out: the shift adds 0 h",IF(AND($C113&lt;&gt;"",$D113&lt;&gt;"",IF($E113="",0,$E113)&gt;MOD($D113-$C113,1)*24),"⚠ the break is longer than the shift",IF(AND($A113&lt;&gt;"",COUNTIF('Monthly OT Summary'!$A$6:$A$35,$A113&amp;"")=0),"⚠ name not in Monthly OT Summary: its hours are not added","")))))</f>
        <v/>
      </c>
    </row>
    <row r="114">
      <c r="A114" s="21" t="n"/>
      <c r="B114" s="40" t="n"/>
      <c r="C114" s="41" t="n"/>
      <c r="D114" s="41" t="n"/>
      <c r="E114" s="24" t="n"/>
      <c r="F114" s="8">
        <f>IF(OR($C114="",$D114=""),"",IF(OR($C114&gt;=1,$D114&gt;=1,$C114=$D114,IF($E114="",0,$E114)&gt;MOD($D114-$C114,1)*24),"",ROUND(MOD($D114-$C114,1)*24-IF($E114="",0,$E114),2)))</f>
        <v/>
      </c>
      <c r="G114" s="25" t="n">
        <v>8</v>
      </c>
      <c r="H114" s="8">
        <f>IF(OR($A114="",$B114="",$F114=""),"",ROUND(IF($F$3="",0,MAX(0,$F114-$F$3))+IF($D$3="",0,MIN($F114-IF($F$3="",0,MAX(0,$F114-$F$3)),MAX(0,SUMIFS($F$5:$F$304,$A$5:$A$304,$A114&amp;"",$B$5:$B$304,"&gt;="&amp;($B114-MOD(WEEKDAY($B114)-$B$3,7)),$B$5:$B$304,"&lt;="&amp;$B114)-IF($F$3="",0,SUMIFS($F$5:$F$304,$A$5:$A$304,$A114&amp;"",$B$5:$B$304,"&gt;="&amp;($B114-MOD(WEEKDAY($B114)-$B$3,7)),$B$5:$B$304,"&lt;="&amp;$B114,$F$5:$F$304,"&gt;"&amp;$F$3)-$F$3*COUNTIFS($A$5:$A$304,$A114&amp;"",$B$5:$B$304,"&gt;="&amp;($B114-MOD(WEEKDAY($B114)-$B$3,7)),$B$5:$B$304,"&lt;="&amp;$B114,$F$5:$F$304,"&gt;"&amp;$F$3))-$D$3))),2))</f>
        <v/>
      </c>
      <c r="I114" s="26" t="n"/>
      <c r="J114" s="27">
        <f>IF(AND($A114="",$C114="",$D114=""),"",IF(OR($C114&gt;=1,$D114&gt;=1),"⚠ type the time with a colon: 9:00 AM, not 9",IF(AND($C114&lt;&gt;"",$C114=$D114),"⚠ clock-in equals clock-out: the shift adds 0 h",IF(AND($C114&lt;&gt;"",$D114&lt;&gt;"",IF($E114="",0,$E114)&gt;MOD($D114-$C114,1)*24),"⚠ the break is longer than the shift",IF(AND($A114&lt;&gt;"",COUNTIF('Monthly OT Summary'!$A$6:$A$35,$A114&amp;"")=0),"⚠ name not in Monthly OT Summary: its hours are not added","")))))</f>
        <v/>
      </c>
    </row>
    <row r="115">
      <c r="A115" s="21" t="n"/>
      <c r="B115" s="40" t="n"/>
      <c r="C115" s="41" t="n"/>
      <c r="D115" s="41" t="n"/>
      <c r="E115" s="24" t="n"/>
      <c r="F115" s="8">
        <f>IF(OR($C115="",$D115=""),"",IF(OR($C115&gt;=1,$D115&gt;=1,$C115=$D115,IF($E115="",0,$E115)&gt;MOD($D115-$C115,1)*24),"",ROUND(MOD($D115-$C115,1)*24-IF($E115="",0,$E115),2)))</f>
        <v/>
      </c>
      <c r="G115" s="25" t="n">
        <v>8</v>
      </c>
      <c r="H115" s="8">
        <f>IF(OR($A115="",$B115="",$F115=""),"",ROUND(IF($F$3="",0,MAX(0,$F115-$F$3))+IF($D$3="",0,MIN($F115-IF($F$3="",0,MAX(0,$F115-$F$3)),MAX(0,SUMIFS($F$5:$F$304,$A$5:$A$304,$A115&amp;"",$B$5:$B$304,"&gt;="&amp;($B115-MOD(WEEKDAY($B115)-$B$3,7)),$B$5:$B$304,"&lt;="&amp;$B115)-IF($F$3="",0,SUMIFS($F$5:$F$304,$A$5:$A$304,$A115&amp;"",$B$5:$B$304,"&gt;="&amp;($B115-MOD(WEEKDAY($B115)-$B$3,7)),$B$5:$B$304,"&lt;="&amp;$B115,$F$5:$F$304,"&gt;"&amp;$F$3)-$F$3*COUNTIFS($A$5:$A$304,$A115&amp;"",$B$5:$B$304,"&gt;="&amp;($B115-MOD(WEEKDAY($B115)-$B$3,7)),$B$5:$B$304,"&lt;="&amp;$B115,$F$5:$F$304,"&gt;"&amp;$F$3))-$D$3))),2))</f>
        <v/>
      </c>
      <c r="I115" s="26" t="n"/>
      <c r="J115" s="27">
        <f>IF(AND($A115="",$C115="",$D115=""),"",IF(OR($C115&gt;=1,$D115&gt;=1),"⚠ type the time with a colon: 9:00 AM, not 9",IF(AND($C115&lt;&gt;"",$C115=$D115),"⚠ clock-in equals clock-out: the shift adds 0 h",IF(AND($C115&lt;&gt;"",$D115&lt;&gt;"",IF($E115="",0,$E115)&gt;MOD($D115-$C115,1)*24),"⚠ the break is longer than the shift",IF(AND($A115&lt;&gt;"",COUNTIF('Monthly OT Summary'!$A$6:$A$35,$A115&amp;"")=0),"⚠ name not in Monthly OT Summary: its hours are not added","")))))</f>
        <v/>
      </c>
    </row>
    <row r="116">
      <c r="A116" s="21" t="n"/>
      <c r="B116" s="40" t="n"/>
      <c r="C116" s="41" t="n"/>
      <c r="D116" s="41" t="n"/>
      <c r="E116" s="24" t="n"/>
      <c r="F116" s="8">
        <f>IF(OR($C116="",$D116=""),"",IF(OR($C116&gt;=1,$D116&gt;=1,$C116=$D116,IF($E116="",0,$E116)&gt;MOD($D116-$C116,1)*24),"",ROUND(MOD($D116-$C116,1)*24-IF($E116="",0,$E116),2)))</f>
        <v/>
      </c>
      <c r="G116" s="25" t="n">
        <v>8</v>
      </c>
      <c r="H116" s="8">
        <f>IF(OR($A116="",$B116="",$F116=""),"",ROUND(IF($F$3="",0,MAX(0,$F116-$F$3))+IF($D$3="",0,MIN($F116-IF($F$3="",0,MAX(0,$F116-$F$3)),MAX(0,SUMIFS($F$5:$F$304,$A$5:$A$304,$A116&amp;"",$B$5:$B$304,"&gt;="&amp;($B116-MOD(WEEKDAY($B116)-$B$3,7)),$B$5:$B$304,"&lt;="&amp;$B116)-IF($F$3="",0,SUMIFS($F$5:$F$304,$A$5:$A$304,$A116&amp;"",$B$5:$B$304,"&gt;="&amp;($B116-MOD(WEEKDAY($B116)-$B$3,7)),$B$5:$B$304,"&lt;="&amp;$B116,$F$5:$F$304,"&gt;"&amp;$F$3)-$F$3*COUNTIFS($A$5:$A$304,$A116&amp;"",$B$5:$B$304,"&gt;="&amp;($B116-MOD(WEEKDAY($B116)-$B$3,7)),$B$5:$B$304,"&lt;="&amp;$B116,$F$5:$F$304,"&gt;"&amp;$F$3))-$D$3))),2))</f>
        <v/>
      </c>
      <c r="I116" s="26" t="n"/>
      <c r="J116" s="27">
        <f>IF(AND($A116="",$C116="",$D116=""),"",IF(OR($C116&gt;=1,$D116&gt;=1),"⚠ type the time with a colon: 9:00 AM, not 9",IF(AND($C116&lt;&gt;"",$C116=$D116),"⚠ clock-in equals clock-out: the shift adds 0 h",IF(AND($C116&lt;&gt;"",$D116&lt;&gt;"",IF($E116="",0,$E116)&gt;MOD($D116-$C116,1)*24),"⚠ the break is longer than the shift",IF(AND($A116&lt;&gt;"",COUNTIF('Monthly OT Summary'!$A$6:$A$35,$A116&amp;"")=0),"⚠ name not in Monthly OT Summary: its hours are not added","")))))</f>
        <v/>
      </c>
    </row>
    <row r="117">
      <c r="A117" s="21" t="n"/>
      <c r="B117" s="40" t="n"/>
      <c r="C117" s="41" t="n"/>
      <c r="D117" s="41" t="n"/>
      <c r="E117" s="24" t="n"/>
      <c r="F117" s="8">
        <f>IF(OR($C117="",$D117=""),"",IF(OR($C117&gt;=1,$D117&gt;=1,$C117=$D117,IF($E117="",0,$E117)&gt;MOD($D117-$C117,1)*24),"",ROUND(MOD($D117-$C117,1)*24-IF($E117="",0,$E117),2)))</f>
        <v/>
      </c>
      <c r="G117" s="25" t="n">
        <v>8</v>
      </c>
      <c r="H117" s="8">
        <f>IF(OR($A117="",$B117="",$F117=""),"",ROUND(IF($F$3="",0,MAX(0,$F117-$F$3))+IF($D$3="",0,MIN($F117-IF($F$3="",0,MAX(0,$F117-$F$3)),MAX(0,SUMIFS($F$5:$F$304,$A$5:$A$304,$A117&amp;"",$B$5:$B$304,"&gt;="&amp;($B117-MOD(WEEKDAY($B117)-$B$3,7)),$B$5:$B$304,"&lt;="&amp;$B117)-IF($F$3="",0,SUMIFS($F$5:$F$304,$A$5:$A$304,$A117&amp;"",$B$5:$B$304,"&gt;="&amp;($B117-MOD(WEEKDAY($B117)-$B$3,7)),$B$5:$B$304,"&lt;="&amp;$B117,$F$5:$F$304,"&gt;"&amp;$F$3)-$F$3*COUNTIFS($A$5:$A$304,$A117&amp;"",$B$5:$B$304,"&gt;="&amp;($B117-MOD(WEEKDAY($B117)-$B$3,7)),$B$5:$B$304,"&lt;="&amp;$B117,$F$5:$F$304,"&gt;"&amp;$F$3))-$D$3))),2))</f>
        <v/>
      </c>
      <c r="I117" s="26" t="n"/>
      <c r="J117" s="27">
        <f>IF(AND($A117="",$C117="",$D117=""),"",IF(OR($C117&gt;=1,$D117&gt;=1),"⚠ type the time with a colon: 9:00 AM, not 9",IF(AND($C117&lt;&gt;"",$C117=$D117),"⚠ clock-in equals clock-out: the shift adds 0 h",IF(AND($C117&lt;&gt;"",$D117&lt;&gt;"",IF($E117="",0,$E117)&gt;MOD($D117-$C117,1)*24),"⚠ the break is longer than the shift",IF(AND($A117&lt;&gt;"",COUNTIF('Monthly OT Summary'!$A$6:$A$35,$A117&amp;"")=0),"⚠ name not in Monthly OT Summary: its hours are not added","")))))</f>
        <v/>
      </c>
    </row>
    <row r="118">
      <c r="A118" s="21" t="n"/>
      <c r="B118" s="40" t="n"/>
      <c r="C118" s="41" t="n"/>
      <c r="D118" s="41" t="n"/>
      <c r="E118" s="24" t="n"/>
      <c r="F118" s="8">
        <f>IF(OR($C118="",$D118=""),"",IF(OR($C118&gt;=1,$D118&gt;=1,$C118=$D118,IF($E118="",0,$E118)&gt;MOD($D118-$C118,1)*24),"",ROUND(MOD($D118-$C118,1)*24-IF($E118="",0,$E118),2)))</f>
        <v/>
      </c>
      <c r="G118" s="25" t="n">
        <v>8</v>
      </c>
      <c r="H118" s="8">
        <f>IF(OR($A118="",$B118="",$F118=""),"",ROUND(IF($F$3="",0,MAX(0,$F118-$F$3))+IF($D$3="",0,MIN($F118-IF($F$3="",0,MAX(0,$F118-$F$3)),MAX(0,SUMIFS($F$5:$F$304,$A$5:$A$304,$A118&amp;"",$B$5:$B$304,"&gt;="&amp;($B118-MOD(WEEKDAY($B118)-$B$3,7)),$B$5:$B$304,"&lt;="&amp;$B118)-IF($F$3="",0,SUMIFS($F$5:$F$304,$A$5:$A$304,$A118&amp;"",$B$5:$B$304,"&gt;="&amp;($B118-MOD(WEEKDAY($B118)-$B$3,7)),$B$5:$B$304,"&lt;="&amp;$B118,$F$5:$F$304,"&gt;"&amp;$F$3)-$F$3*COUNTIFS($A$5:$A$304,$A118&amp;"",$B$5:$B$304,"&gt;="&amp;($B118-MOD(WEEKDAY($B118)-$B$3,7)),$B$5:$B$304,"&lt;="&amp;$B118,$F$5:$F$304,"&gt;"&amp;$F$3))-$D$3))),2))</f>
        <v/>
      </c>
      <c r="I118" s="26" t="n"/>
      <c r="J118" s="27">
        <f>IF(AND($A118="",$C118="",$D118=""),"",IF(OR($C118&gt;=1,$D118&gt;=1),"⚠ type the time with a colon: 9:00 AM, not 9",IF(AND($C118&lt;&gt;"",$C118=$D118),"⚠ clock-in equals clock-out: the shift adds 0 h",IF(AND($C118&lt;&gt;"",$D118&lt;&gt;"",IF($E118="",0,$E118)&gt;MOD($D118-$C118,1)*24),"⚠ the break is longer than the shift",IF(AND($A118&lt;&gt;"",COUNTIF('Monthly OT Summary'!$A$6:$A$35,$A118&amp;"")=0),"⚠ name not in Monthly OT Summary: its hours are not added","")))))</f>
        <v/>
      </c>
    </row>
    <row r="119">
      <c r="A119" s="21" t="n"/>
      <c r="B119" s="40" t="n"/>
      <c r="C119" s="41" t="n"/>
      <c r="D119" s="41" t="n"/>
      <c r="E119" s="24" t="n"/>
      <c r="F119" s="8">
        <f>IF(OR($C119="",$D119=""),"",IF(OR($C119&gt;=1,$D119&gt;=1,$C119=$D119,IF($E119="",0,$E119)&gt;MOD($D119-$C119,1)*24),"",ROUND(MOD($D119-$C119,1)*24-IF($E119="",0,$E119),2)))</f>
        <v/>
      </c>
      <c r="G119" s="25" t="n">
        <v>8</v>
      </c>
      <c r="H119" s="8">
        <f>IF(OR($A119="",$B119="",$F119=""),"",ROUND(IF($F$3="",0,MAX(0,$F119-$F$3))+IF($D$3="",0,MIN($F119-IF($F$3="",0,MAX(0,$F119-$F$3)),MAX(0,SUMIFS($F$5:$F$304,$A$5:$A$304,$A119&amp;"",$B$5:$B$304,"&gt;="&amp;($B119-MOD(WEEKDAY($B119)-$B$3,7)),$B$5:$B$304,"&lt;="&amp;$B119)-IF($F$3="",0,SUMIFS($F$5:$F$304,$A$5:$A$304,$A119&amp;"",$B$5:$B$304,"&gt;="&amp;($B119-MOD(WEEKDAY($B119)-$B$3,7)),$B$5:$B$304,"&lt;="&amp;$B119,$F$5:$F$304,"&gt;"&amp;$F$3)-$F$3*COUNTIFS($A$5:$A$304,$A119&amp;"",$B$5:$B$304,"&gt;="&amp;($B119-MOD(WEEKDAY($B119)-$B$3,7)),$B$5:$B$304,"&lt;="&amp;$B119,$F$5:$F$304,"&gt;"&amp;$F$3))-$D$3))),2))</f>
        <v/>
      </c>
      <c r="I119" s="26" t="n"/>
      <c r="J119" s="27">
        <f>IF(AND($A119="",$C119="",$D119=""),"",IF(OR($C119&gt;=1,$D119&gt;=1),"⚠ type the time with a colon: 9:00 AM, not 9",IF(AND($C119&lt;&gt;"",$C119=$D119),"⚠ clock-in equals clock-out: the shift adds 0 h",IF(AND($C119&lt;&gt;"",$D119&lt;&gt;"",IF($E119="",0,$E119)&gt;MOD($D119-$C119,1)*24),"⚠ the break is longer than the shift",IF(AND($A119&lt;&gt;"",COUNTIF('Monthly OT Summary'!$A$6:$A$35,$A119&amp;"")=0),"⚠ name not in Monthly OT Summary: its hours are not added","")))))</f>
        <v/>
      </c>
    </row>
    <row r="120">
      <c r="A120" s="21" t="n"/>
      <c r="B120" s="40" t="n"/>
      <c r="C120" s="41" t="n"/>
      <c r="D120" s="41" t="n"/>
      <c r="E120" s="24" t="n"/>
      <c r="F120" s="8">
        <f>IF(OR($C120="",$D120=""),"",IF(OR($C120&gt;=1,$D120&gt;=1,$C120=$D120,IF($E120="",0,$E120)&gt;MOD($D120-$C120,1)*24),"",ROUND(MOD($D120-$C120,1)*24-IF($E120="",0,$E120),2)))</f>
        <v/>
      </c>
      <c r="G120" s="25" t="n">
        <v>8</v>
      </c>
      <c r="H120" s="8">
        <f>IF(OR($A120="",$B120="",$F120=""),"",ROUND(IF($F$3="",0,MAX(0,$F120-$F$3))+IF($D$3="",0,MIN($F120-IF($F$3="",0,MAX(0,$F120-$F$3)),MAX(0,SUMIFS($F$5:$F$304,$A$5:$A$304,$A120&amp;"",$B$5:$B$304,"&gt;="&amp;($B120-MOD(WEEKDAY($B120)-$B$3,7)),$B$5:$B$304,"&lt;="&amp;$B120)-IF($F$3="",0,SUMIFS($F$5:$F$304,$A$5:$A$304,$A120&amp;"",$B$5:$B$304,"&gt;="&amp;($B120-MOD(WEEKDAY($B120)-$B$3,7)),$B$5:$B$304,"&lt;="&amp;$B120,$F$5:$F$304,"&gt;"&amp;$F$3)-$F$3*COUNTIFS($A$5:$A$304,$A120&amp;"",$B$5:$B$304,"&gt;="&amp;($B120-MOD(WEEKDAY($B120)-$B$3,7)),$B$5:$B$304,"&lt;="&amp;$B120,$F$5:$F$304,"&gt;"&amp;$F$3))-$D$3))),2))</f>
        <v/>
      </c>
      <c r="I120" s="26" t="n"/>
      <c r="J120" s="27">
        <f>IF(AND($A120="",$C120="",$D120=""),"",IF(OR($C120&gt;=1,$D120&gt;=1),"⚠ type the time with a colon: 9:00 AM, not 9",IF(AND($C120&lt;&gt;"",$C120=$D120),"⚠ clock-in equals clock-out: the shift adds 0 h",IF(AND($C120&lt;&gt;"",$D120&lt;&gt;"",IF($E120="",0,$E120)&gt;MOD($D120-$C120,1)*24),"⚠ the break is longer than the shift",IF(AND($A120&lt;&gt;"",COUNTIF('Monthly OT Summary'!$A$6:$A$35,$A120&amp;"")=0),"⚠ name not in Monthly OT Summary: its hours are not added","")))))</f>
        <v/>
      </c>
    </row>
    <row r="121">
      <c r="A121" s="21" t="n"/>
      <c r="B121" s="40" t="n"/>
      <c r="C121" s="41" t="n"/>
      <c r="D121" s="41" t="n"/>
      <c r="E121" s="24" t="n"/>
      <c r="F121" s="8">
        <f>IF(OR($C121="",$D121=""),"",IF(OR($C121&gt;=1,$D121&gt;=1,$C121=$D121,IF($E121="",0,$E121)&gt;MOD($D121-$C121,1)*24),"",ROUND(MOD($D121-$C121,1)*24-IF($E121="",0,$E121),2)))</f>
        <v/>
      </c>
      <c r="G121" s="25" t="n">
        <v>8</v>
      </c>
      <c r="H121" s="8">
        <f>IF(OR($A121="",$B121="",$F121=""),"",ROUND(IF($F$3="",0,MAX(0,$F121-$F$3))+IF($D$3="",0,MIN($F121-IF($F$3="",0,MAX(0,$F121-$F$3)),MAX(0,SUMIFS($F$5:$F$304,$A$5:$A$304,$A121&amp;"",$B$5:$B$304,"&gt;="&amp;($B121-MOD(WEEKDAY($B121)-$B$3,7)),$B$5:$B$304,"&lt;="&amp;$B121)-IF($F$3="",0,SUMIFS($F$5:$F$304,$A$5:$A$304,$A121&amp;"",$B$5:$B$304,"&gt;="&amp;($B121-MOD(WEEKDAY($B121)-$B$3,7)),$B$5:$B$304,"&lt;="&amp;$B121,$F$5:$F$304,"&gt;"&amp;$F$3)-$F$3*COUNTIFS($A$5:$A$304,$A121&amp;"",$B$5:$B$304,"&gt;="&amp;($B121-MOD(WEEKDAY($B121)-$B$3,7)),$B$5:$B$304,"&lt;="&amp;$B121,$F$5:$F$304,"&gt;"&amp;$F$3))-$D$3))),2))</f>
        <v/>
      </c>
      <c r="I121" s="26" t="n"/>
      <c r="J121" s="27">
        <f>IF(AND($A121="",$C121="",$D121=""),"",IF(OR($C121&gt;=1,$D121&gt;=1),"⚠ type the time with a colon: 9:00 AM, not 9",IF(AND($C121&lt;&gt;"",$C121=$D121),"⚠ clock-in equals clock-out: the shift adds 0 h",IF(AND($C121&lt;&gt;"",$D121&lt;&gt;"",IF($E121="",0,$E121)&gt;MOD($D121-$C121,1)*24),"⚠ the break is longer than the shift",IF(AND($A121&lt;&gt;"",COUNTIF('Monthly OT Summary'!$A$6:$A$35,$A121&amp;"")=0),"⚠ name not in Monthly OT Summary: its hours are not added","")))))</f>
        <v/>
      </c>
    </row>
    <row r="122">
      <c r="A122" s="21" t="n"/>
      <c r="B122" s="40" t="n"/>
      <c r="C122" s="41" t="n"/>
      <c r="D122" s="41" t="n"/>
      <c r="E122" s="24" t="n"/>
      <c r="F122" s="8">
        <f>IF(OR($C122="",$D122=""),"",IF(OR($C122&gt;=1,$D122&gt;=1,$C122=$D122,IF($E122="",0,$E122)&gt;MOD($D122-$C122,1)*24),"",ROUND(MOD($D122-$C122,1)*24-IF($E122="",0,$E122),2)))</f>
        <v/>
      </c>
      <c r="G122" s="25" t="n">
        <v>8</v>
      </c>
      <c r="H122" s="8">
        <f>IF(OR($A122="",$B122="",$F122=""),"",ROUND(IF($F$3="",0,MAX(0,$F122-$F$3))+IF($D$3="",0,MIN($F122-IF($F$3="",0,MAX(0,$F122-$F$3)),MAX(0,SUMIFS($F$5:$F$304,$A$5:$A$304,$A122&amp;"",$B$5:$B$304,"&gt;="&amp;($B122-MOD(WEEKDAY($B122)-$B$3,7)),$B$5:$B$304,"&lt;="&amp;$B122)-IF($F$3="",0,SUMIFS($F$5:$F$304,$A$5:$A$304,$A122&amp;"",$B$5:$B$304,"&gt;="&amp;($B122-MOD(WEEKDAY($B122)-$B$3,7)),$B$5:$B$304,"&lt;="&amp;$B122,$F$5:$F$304,"&gt;"&amp;$F$3)-$F$3*COUNTIFS($A$5:$A$304,$A122&amp;"",$B$5:$B$304,"&gt;="&amp;($B122-MOD(WEEKDAY($B122)-$B$3,7)),$B$5:$B$304,"&lt;="&amp;$B122,$F$5:$F$304,"&gt;"&amp;$F$3))-$D$3))),2))</f>
        <v/>
      </c>
      <c r="I122" s="26" t="n"/>
      <c r="J122" s="27">
        <f>IF(AND($A122="",$C122="",$D122=""),"",IF(OR($C122&gt;=1,$D122&gt;=1),"⚠ type the time with a colon: 9:00 AM, not 9",IF(AND($C122&lt;&gt;"",$C122=$D122),"⚠ clock-in equals clock-out: the shift adds 0 h",IF(AND($C122&lt;&gt;"",$D122&lt;&gt;"",IF($E122="",0,$E122)&gt;MOD($D122-$C122,1)*24),"⚠ the break is longer than the shift",IF(AND($A122&lt;&gt;"",COUNTIF('Monthly OT Summary'!$A$6:$A$35,$A122&amp;"")=0),"⚠ name not in Monthly OT Summary: its hours are not added","")))))</f>
        <v/>
      </c>
    </row>
    <row r="123">
      <c r="A123" s="21" t="n"/>
      <c r="B123" s="40" t="n"/>
      <c r="C123" s="41" t="n"/>
      <c r="D123" s="41" t="n"/>
      <c r="E123" s="24" t="n"/>
      <c r="F123" s="8">
        <f>IF(OR($C123="",$D123=""),"",IF(OR($C123&gt;=1,$D123&gt;=1,$C123=$D123,IF($E123="",0,$E123)&gt;MOD($D123-$C123,1)*24),"",ROUND(MOD($D123-$C123,1)*24-IF($E123="",0,$E123),2)))</f>
        <v/>
      </c>
      <c r="G123" s="25" t="n">
        <v>8</v>
      </c>
      <c r="H123" s="8">
        <f>IF(OR($A123="",$B123="",$F123=""),"",ROUND(IF($F$3="",0,MAX(0,$F123-$F$3))+IF($D$3="",0,MIN($F123-IF($F$3="",0,MAX(0,$F123-$F$3)),MAX(0,SUMIFS($F$5:$F$304,$A$5:$A$304,$A123&amp;"",$B$5:$B$304,"&gt;="&amp;($B123-MOD(WEEKDAY($B123)-$B$3,7)),$B$5:$B$304,"&lt;="&amp;$B123)-IF($F$3="",0,SUMIFS($F$5:$F$304,$A$5:$A$304,$A123&amp;"",$B$5:$B$304,"&gt;="&amp;($B123-MOD(WEEKDAY($B123)-$B$3,7)),$B$5:$B$304,"&lt;="&amp;$B123,$F$5:$F$304,"&gt;"&amp;$F$3)-$F$3*COUNTIFS($A$5:$A$304,$A123&amp;"",$B$5:$B$304,"&gt;="&amp;($B123-MOD(WEEKDAY($B123)-$B$3,7)),$B$5:$B$304,"&lt;="&amp;$B123,$F$5:$F$304,"&gt;"&amp;$F$3))-$D$3))),2))</f>
        <v/>
      </c>
      <c r="I123" s="26" t="n"/>
      <c r="J123" s="27">
        <f>IF(AND($A123="",$C123="",$D123=""),"",IF(OR($C123&gt;=1,$D123&gt;=1),"⚠ type the time with a colon: 9:00 AM, not 9",IF(AND($C123&lt;&gt;"",$C123=$D123),"⚠ clock-in equals clock-out: the shift adds 0 h",IF(AND($C123&lt;&gt;"",$D123&lt;&gt;"",IF($E123="",0,$E123)&gt;MOD($D123-$C123,1)*24),"⚠ the break is longer than the shift",IF(AND($A123&lt;&gt;"",COUNTIF('Monthly OT Summary'!$A$6:$A$35,$A123&amp;"")=0),"⚠ name not in Monthly OT Summary: its hours are not added","")))))</f>
        <v/>
      </c>
    </row>
    <row r="124">
      <c r="A124" s="21" t="n"/>
      <c r="B124" s="40" t="n"/>
      <c r="C124" s="41" t="n"/>
      <c r="D124" s="41" t="n"/>
      <c r="E124" s="24" t="n"/>
      <c r="F124" s="8">
        <f>IF(OR($C124="",$D124=""),"",IF(OR($C124&gt;=1,$D124&gt;=1,$C124=$D124,IF($E124="",0,$E124)&gt;MOD($D124-$C124,1)*24),"",ROUND(MOD($D124-$C124,1)*24-IF($E124="",0,$E124),2)))</f>
        <v/>
      </c>
      <c r="G124" s="25" t="n">
        <v>8</v>
      </c>
      <c r="H124" s="8">
        <f>IF(OR($A124="",$B124="",$F124=""),"",ROUND(IF($F$3="",0,MAX(0,$F124-$F$3))+IF($D$3="",0,MIN($F124-IF($F$3="",0,MAX(0,$F124-$F$3)),MAX(0,SUMIFS($F$5:$F$304,$A$5:$A$304,$A124&amp;"",$B$5:$B$304,"&gt;="&amp;($B124-MOD(WEEKDAY($B124)-$B$3,7)),$B$5:$B$304,"&lt;="&amp;$B124)-IF($F$3="",0,SUMIFS($F$5:$F$304,$A$5:$A$304,$A124&amp;"",$B$5:$B$304,"&gt;="&amp;($B124-MOD(WEEKDAY($B124)-$B$3,7)),$B$5:$B$304,"&lt;="&amp;$B124,$F$5:$F$304,"&gt;"&amp;$F$3)-$F$3*COUNTIFS($A$5:$A$304,$A124&amp;"",$B$5:$B$304,"&gt;="&amp;($B124-MOD(WEEKDAY($B124)-$B$3,7)),$B$5:$B$304,"&lt;="&amp;$B124,$F$5:$F$304,"&gt;"&amp;$F$3))-$D$3))),2))</f>
        <v/>
      </c>
      <c r="I124" s="26" t="n"/>
      <c r="J124" s="27">
        <f>IF(AND($A124="",$C124="",$D124=""),"",IF(OR($C124&gt;=1,$D124&gt;=1),"⚠ type the time with a colon: 9:00 AM, not 9",IF(AND($C124&lt;&gt;"",$C124=$D124),"⚠ clock-in equals clock-out: the shift adds 0 h",IF(AND($C124&lt;&gt;"",$D124&lt;&gt;"",IF($E124="",0,$E124)&gt;MOD($D124-$C124,1)*24),"⚠ the break is longer than the shift",IF(AND($A124&lt;&gt;"",COUNTIF('Monthly OT Summary'!$A$6:$A$35,$A124&amp;"")=0),"⚠ name not in Monthly OT Summary: its hours are not added","")))))</f>
        <v/>
      </c>
    </row>
    <row r="125">
      <c r="A125" s="21" t="n"/>
      <c r="B125" s="40" t="n"/>
      <c r="C125" s="41" t="n"/>
      <c r="D125" s="41" t="n"/>
      <c r="E125" s="24" t="n"/>
      <c r="F125" s="8">
        <f>IF(OR($C125="",$D125=""),"",IF(OR($C125&gt;=1,$D125&gt;=1,$C125=$D125,IF($E125="",0,$E125)&gt;MOD($D125-$C125,1)*24),"",ROUND(MOD($D125-$C125,1)*24-IF($E125="",0,$E125),2)))</f>
        <v/>
      </c>
      <c r="G125" s="25" t="n">
        <v>8</v>
      </c>
      <c r="H125" s="8">
        <f>IF(OR($A125="",$B125="",$F125=""),"",ROUND(IF($F$3="",0,MAX(0,$F125-$F$3))+IF($D$3="",0,MIN($F125-IF($F$3="",0,MAX(0,$F125-$F$3)),MAX(0,SUMIFS($F$5:$F$304,$A$5:$A$304,$A125&amp;"",$B$5:$B$304,"&gt;="&amp;($B125-MOD(WEEKDAY($B125)-$B$3,7)),$B$5:$B$304,"&lt;="&amp;$B125)-IF($F$3="",0,SUMIFS($F$5:$F$304,$A$5:$A$304,$A125&amp;"",$B$5:$B$304,"&gt;="&amp;($B125-MOD(WEEKDAY($B125)-$B$3,7)),$B$5:$B$304,"&lt;="&amp;$B125,$F$5:$F$304,"&gt;"&amp;$F$3)-$F$3*COUNTIFS($A$5:$A$304,$A125&amp;"",$B$5:$B$304,"&gt;="&amp;($B125-MOD(WEEKDAY($B125)-$B$3,7)),$B$5:$B$304,"&lt;="&amp;$B125,$F$5:$F$304,"&gt;"&amp;$F$3))-$D$3))),2))</f>
        <v/>
      </c>
      <c r="I125" s="26" t="n"/>
      <c r="J125" s="27">
        <f>IF(AND($A125="",$C125="",$D125=""),"",IF(OR($C125&gt;=1,$D125&gt;=1),"⚠ type the time with a colon: 9:00 AM, not 9",IF(AND($C125&lt;&gt;"",$C125=$D125),"⚠ clock-in equals clock-out: the shift adds 0 h",IF(AND($C125&lt;&gt;"",$D125&lt;&gt;"",IF($E125="",0,$E125)&gt;MOD($D125-$C125,1)*24),"⚠ the break is longer than the shift",IF(AND($A125&lt;&gt;"",COUNTIF('Monthly OT Summary'!$A$6:$A$35,$A125&amp;"")=0),"⚠ name not in Monthly OT Summary: its hours are not added","")))))</f>
        <v/>
      </c>
    </row>
    <row r="126">
      <c r="A126" s="21" t="n"/>
      <c r="B126" s="40" t="n"/>
      <c r="C126" s="41" t="n"/>
      <c r="D126" s="41" t="n"/>
      <c r="E126" s="24" t="n"/>
      <c r="F126" s="8">
        <f>IF(OR($C126="",$D126=""),"",IF(OR($C126&gt;=1,$D126&gt;=1,$C126=$D126,IF($E126="",0,$E126)&gt;MOD($D126-$C126,1)*24),"",ROUND(MOD($D126-$C126,1)*24-IF($E126="",0,$E126),2)))</f>
        <v/>
      </c>
      <c r="G126" s="25" t="n">
        <v>8</v>
      </c>
      <c r="H126" s="8">
        <f>IF(OR($A126="",$B126="",$F126=""),"",ROUND(IF($F$3="",0,MAX(0,$F126-$F$3))+IF($D$3="",0,MIN($F126-IF($F$3="",0,MAX(0,$F126-$F$3)),MAX(0,SUMIFS($F$5:$F$304,$A$5:$A$304,$A126&amp;"",$B$5:$B$304,"&gt;="&amp;($B126-MOD(WEEKDAY($B126)-$B$3,7)),$B$5:$B$304,"&lt;="&amp;$B126)-IF($F$3="",0,SUMIFS($F$5:$F$304,$A$5:$A$304,$A126&amp;"",$B$5:$B$304,"&gt;="&amp;($B126-MOD(WEEKDAY($B126)-$B$3,7)),$B$5:$B$304,"&lt;="&amp;$B126,$F$5:$F$304,"&gt;"&amp;$F$3)-$F$3*COUNTIFS($A$5:$A$304,$A126&amp;"",$B$5:$B$304,"&gt;="&amp;($B126-MOD(WEEKDAY($B126)-$B$3,7)),$B$5:$B$304,"&lt;="&amp;$B126,$F$5:$F$304,"&gt;"&amp;$F$3))-$D$3))),2))</f>
        <v/>
      </c>
      <c r="I126" s="26" t="n"/>
      <c r="J126" s="27">
        <f>IF(AND($A126="",$C126="",$D126=""),"",IF(OR($C126&gt;=1,$D126&gt;=1),"⚠ type the time with a colon: 9:00 AM, not 9",IF(AND($C126&lt;&gt;"",$C126=$D126),"⚠ clock-in equals clock-out: the shift adds 0 h",IF(AND($C126&lt;&gt;"",$D126&lt;&gt;"",IF($E126="",0,$E126)&gt;MOD($D126-$C126,1)*24),"⚠ the break is longer than the shift",IF(AND($A126&lt;&gt;"",COUNTIF('Monthly OT Summary'!$A$6:$A$35,$A126&amp;"")=0),"⚠ name not in Monthly OT Summary: its hours are not added","")))))</f>
        <v/>
      </c>
    </row>
    <row r="127">
      <c r="A127" s="21" t="n"/>
      <c r="B127" s="40" t="n"/>
      <c r="C127" s="41" t="n"/>
      <c r="D127" s="41" t="n"/>
      <c r="E127" s="24" t="n"/>
      <c r="F127" s="8">
        <f>IF(OR($C127="",$D127=""),"",IF(OR($C127&gt;=1,$D127&gt;=1,$C127=$D127,IF($E127="",0,$E127)&gt;MOD($D127-$C127,1)*24),"",ROUND(MOD($D127-$C127,1)*24-IF($E127="",0,$E127),2)))</f>
        <v/>
      </c>
      <c r="G127" s="25" t="n">
        <v>8</v>
      </c>
      <c r="H127" s="8">
        <f>IF(OR($A127="",$B127="",$F127=""),"",ROUND(IF($F$3="",0,MAX(0,$F127-$F$3))+IF($D$3="",0,MIN($F127-IF($F$3="",0,MAX(0,$F127-$F$3)),MAX(0,SUMIFS($F$5:$F$304,$A$5:$A$304,$A127&amp;"",$B$5:$B$304,"&gt;="&amp;($B127-MOD(WEEKDAY($B127)-$B$3,7)),$B$5:$B$304,"&lt;="&amp;$B127)-IF($F$3="",0,SUMIFS($F$5:$F$304,$A$5:$A$304,$A127&amp;"",$B$5:$B$304,"&gt;="&amp;($B127-MOD(WEEKDAY($B127)-$B$3,7)),$B$5:$B$304,"&lt;="&amp;$B127,$F$5:$F$304,"&gt;"&amp;$F$3)-$F$3*COUNTIFS($A$5:$A$304,$A127&amp;"",$B$5:$B$304,"&gt;="&amp;($B127-MOD(WEEKDAY($B127)-$B$3,7)),$B$5:$B$304,"&lt;="&amp;$B127,$F$5:$F$304,"&gt;"&amp;$F$3))-$D$3))),2))</f>
        <v/>
      </c>
      <c r="I127" s="26" t="n"/>
      <c r="J127" s="27">
        <f>IF(AND($A127="",$C127="",$D127=""),"",IF(OR($C127&gt;=1,$D127&gt;=1),"⚠ type the time with a colon: 9:00 AM, not 9",IF(AND($C127&lt;&gt;"",$C127=$D127),"⚠ clock-in equals clock-out: the shift adds 0 h",IF(AND($C127&lt;&gt;"",$D127&lt;&gt;"",IF($E127="",0,$E127)&gt;MOD($D127-$C127,1)*24),"⚠ the break is longer than the shift",IF(AND($A127&lt;&gt;"",COUNTIF('Monthly OT Summary'!$A$6:$A$35,$A127&amp;"")=0),"⚠ name not in Monthly OT Summary: its hours are not added","")))))</f>
        <v/>
      </c>
    </row>
    <row r="128">
      <c r="A128" s="21" t="n"/>
      <c r="B128" s="40" t="n"/>
      <c r="C128" s="41" t="n"/>
      <c r="D128" s="41" t="n"/>
      <c r="E128" s="24" t="n"/>
      <c r="F128" s="8">
        <f>IF(OR($C128="",$D128=""),"",IF(OR($C128&gt;=1,$D128&gt;=1,$C128=$D128,IF($E128="",0,$E128)&gt;MOD($D128-$C128,1)*24),"",ROUND(MOD($D128-$C128,1)*24-IF($E128="",0,$E128),2)))</f>
        <v/>
      </c>
      <c r="G128" s="25" t="n">
        <v>8</v>
      </c>
      <c r="H128" s="8">
        <f>IF(OR($A128="",$B128="",$F128=""),"",ROUND(IF($F$3="",0,MAX(0,$F128-$F$3))+IF($D$3="",0,MIN($F128-IF($F$3="",0,MAX(0,$F128-$F$3)),MAX(0,SUMIFS($F$5:$F$304,$A$5:$A$304,$A128&amp;"",$B$5:$B$304,"&gt;="&amp;($B128-MOD(WEEKDAY($B128)-$B$3,7)),$B$5:$B$304,"&lt;="&amp;$B128)-IF($F$3="",0,SUMIFS($F$5:$F$304,$A$5:$A$304,$A128&amp;"",$B$5:$B$304,"&gt;="&amp;($B128-MOD(WEEKDAY($B128)-$B$3,7)),$B$5:$B$304,"&lt;="&amp;$B128,$F$5:$F$304,"&gt;"&amp;$F$3)-$F$3*COUNTIFS($A$5:$A$304,$A128&amp;"",$B$5:$B$304,"&gt;="&amp;($B128-MOD(WEEKDAY($B128)-$B$3,7)),$B$5:$B$304,"&lt;="&amp;$B128,$F$5:$F$304,"&gt;"&amp;$F$3))-$D$3))),2))</f>
        <v/>
      </c>
      <c r="I128" s="26" t="n"/>
      <c r="J128" s="27">
        <f>IF(AND($A128="",$C128="",$D128=""),"",IF(OR($C128&gt;=1,$D128&gt;=1),"⚠ type the time with a colon: 9:00 AM, not 9",IF(AND($C128&lt;&gt;"",$C128=$D128),"⚠ clock-in equals clock-out: the shift adds 0 h",IF(AND($C128&lt;&gt;"",$D128&lt;&gt;"",IF($E128="",0,$E128)&gt;MOD($D128-$C128,1)*24),"⚠ the break is longer than the shift",IF(AND($A128&lt;&gt;"",COUNTIF('Monthly OT Summary'!$A$6:$A$35,$A128&amp;"")=0),"⚠ name not in Monthly OT Summary: its hours are not added","")))))</f>
        <v/>
      </c>
    </row>
    <row r="129">
      <c r="A129" s="21" t="n"/>
      <c r="B129" s="40" t="n"/>
      <c r="C129" s="41" t="n"/>
      <c r="D129" s="41" t="n"/>
      <c r="E129" s="24" t="n"/>
      <c r="F129" s="8">
        <f>IF(OR($C129="",$D129=""),"",IF(OR($C129&gt;=1,$D129&gt;=1,$C129=$D129,IF($E129="",0,$E129)&gt;MOD($D129-$C129,1)*24),"",ROUND(MOD($D129-$C129,1)*24-IF($E129="",0,$E129),2)))</f>
        <v/>
      </c>
      <c r="G129" s="25" t="n">
        <v>8</v>
      </c>
      <c r="H129" s="8">
        <f>IF(OR($A129="",$B129="",$F129=""),"",ROUND(IF($F$3="",0,MAX(0,$F129-$F$3))+IF($D$3="",0,MIN($F129-IF($F$3="",0,MAX(0,$F129-$F$3)),MAX(0,SUMIFS($F$5:$F$304,$A$5:$A$304,$A129&amp;"",$B$5:$B$304,"&gt;="&amp;($B129-MOD(WEEKDAY($B129)-$B$3,7)),$B$5:$B$304,"&lt;="&amp;$B129)-IF($F$3="",0,SUMIFS($F$5:$F$304,$A$5:$A$304,$A129&amp;"",$B$5:$B$304,"&gt;="&amp;($B129-MOD(WEEKDAY($B129)-$B$3,7)),$B$5:$B$304,"&lt;="&amp;$B129,$F$5:$F$304,"&gt;"&amp;$F$3)-$F$3*COUNTIFS($A$5:$A$304,$A129&amp;"",$B$5:$B$304,"&gt;="&amp;($B129-MOD(WEEKDAY($B129)-$B$3,7)),$B$5:$B$304,"&lt;="&amp;$B129,$F$5:$F$304,"&gt;"&amp;$F$3))-$D$3))),2))</f>
        <v/>
      </c>
      <c r="I129" s="26" t="n"/>
      <c r="J129" s="27">
        <f>IF(AND($A129="",$C129="",$D129=""),"",IF(OR($C129&gt;=1,$D129&gt;=1),"⚠ type the time with a colon: 9:00 AM, not 9",IF(AND($C129&lt;&gt;"",$C129=$D129),"⚠ clock-in equals clock-out: the shift adds 0 h",IF(AND($C129&lt;&gt;"",$D129&lt;&gt;"",IF($E129="",0,$E129)&gt;MOD($D129-$C129,1)*24),"⚠ the break is longer than the shift",IF(AND($A129&lt;&gt;"",COUNTIF('Monthly OT Summary'!$A$6:$A$35,$A129&amp;"")=0),"⚠ name not in Monthly OT Summary: its hours are not added","")))))</f>
        <v/>
      </c>
    </row>
    <row r="130">
      <c r="A130" s="21" t="n"/>
      <c r="B130" s="40" t="n"/>
      <c r="C130" s="41" t="n"/>
      <c r="D130" s="41" t="n"/>
      <c r="E130" s="24" t="n"/>
      <c r="F130" s="8">
        <f>IF(OR($C130="",$D130=""),"",IF(OR($C130&gt;=1,$D130&gt;=1,$C130=$D130,IF($E130="",0,$E130)&gt;MOD($D130-$C130,1)*24),"",ROUND(MOD($D130-$C130,1)*24-IF($E130="",0,$E130),2)))</f>
        <v/>
      </c>
      <c r="G130" s="25" t="n">
        <v>8</v>
      </c>
      <c r="H130" s="8">
        <f>IF(OR($A130="",$B130="",$F130=""),"",ROUND(IF($F$3="",0,MAX(0,$F130-$F$3))+IF($D$3="",0,MIN($F130-IF($F$3="",0,MAX(0,$F130-$F$3)),MAX(0,SUMIFS($F$5:$F$304,$A$5:$A$304,$A130&amp;"",$B$5:$B$304,"&gt;="&amp;($B130-MOD(WEEKDAY($B130)-$B$3,7)),$B$5:$B$304,"&lt;="&amp;$B130)-IF($F$3="",0,SUMIFS($F$5:$F$304,$A$5:$A$304,$A130&amp;"",$B$5:$B$304,"&gt;="&amp;($B130-MOD(WEEKDAY($B130)-$B$3,7)),$B$5:$B$304,"&lt;="&amp;$B130,$F$5:$F$304,"&gt;"&amp;$F$3)-$F$3*COUNTIFS($A$5:$A$304,$A130&amp;"",$B$5:$B$304,"&gt;="&amp;($B130-MOD(WEEKDAY($B130)-$B$3,7)),$B$5:$B$304,"&lt;="&amp;$B130,$F$5:$F$304,"&gt;"&amp;$F$3))-$D$3))),2))</f>
        <v/>
      </c>
      <c r="I130" s="26" t="n"/>
      <c r="J130" s="27">
        <f>IF(AND($A130="",$C130="",$D130=""),"",IF(OR($C130&gt;=1,$D130&gt;=1),"⚠ type the time with a colon: 9:00 AM, not 9",IF(AND($C130&lt;&gt;"",$C130=$D130),"⚠ clock-in equals clock-out: the shift adds 0 h",IF(AND($C130&lt;&gt;"",$D130&lt;&gt;"",IF($E130="",0,$E130)&gt;MOD($D130-$C130,1)*24),"⚠ the break is longer than the shift",IF(AND($A130&lt;&gt;"",COUNTIF('Monthly OT Summary'!$A$6:$A$35,$A130&amp;"")=0),"⚠ name not in Monthly OT Summary: its hours are not added","")))))</f>
        <v/>
      </c>
    </row>
    <row r="131">
      <c r="A131" s="21" t="n"/>
      <c r="B131" s="40" t="n"/>
      <c r="C131" s="41" t="n"/>
      <c r="D131" s="41" t="n"/>
      <c r="E131" s="24" t="n"/>
      <c r="F131" s="8">
        <f>IF(OR($C131="",$D131=""),"",IF(OR($C131&gt;=1,$D131&gt;=1,$C131=$D131,IF($E131="",0,$E131)&gt;MOD($D131-$C131,1)*24),"",ROUND(MOD($D131-$C131,1)*24-IF($E131="",0,$E131),2)))</f>
        <v/>
      </c>
      <c r="G131" s="25" t="n">
        <v>8</v>
      </c>
      <c r="H131" s="8">
        <f>IF(OR($A131="",$B131="",$F131=""),"",ROUND(IF($F$3="",0,MAX(0,$F131-$F$3))+IF($D$3="",0,MIN($F131-IF($F$3="",0,MAX(0,$F131-$F$3)),MAX(0,SUMIFS($F$5:$F$304,$A$5:$A$304,$A131&amp;"",$B$5:$B$304,"&gt;="&amp;($B131-MOD(WEEKDAY($B131)-$B$3,7)),$B$5:$B$304,"&lt;="&amp;$B131)-IF($F$3="",0,SUMIFS($F$5:$F$304,$A$5:$A$304,$A131&amp;"",$B$5:$B$304,"&gt;="&amp;($B131-MOD(WEEKDAY($B131)-$B$3,7)),$B$5:$B$304,"&lt;="&amp;$B131,$F$5:$F$304,"&gt;"&amp;$F$3)-$F$3*COUNTIFS($A$5:$A$304,$A131&amp;"",$B$5:$B$304,"&gt;="&amp;($B131-MOD(WEEKDAY($B131)-$B$3,7)),$B$5:$B$304,"&lt;="&amp;$B131,$F$5:$F$304,"&gt;"&amp;$F$3))-$D$3))),2))</f>
        <v/>
      </c>
      <c r="I131" s="26" t="n"/>
      <c r="J131" s="27">
        <f>IF(AND($A131="",$C131="",$D131=""),"",IF(OR($C131&gt;=1,$D131&gt;=1),"⚠ type the time with a colon: 9:00 AM, not 9",IF(AND($C131&lt;&gt;"",$C131=$D131),"⚠ clock-in equals clock-out: the shift adds 0 h",IF(AND($C131&lt;&gt;"",$D131&lt;&gt;"",IF($E131="",0,$E131)&gt;MOD($D131-$C131,1)*24),"⚠ the break is longer than the shift",IF(AND($A131&lt;&gt;"",COUNTIF('Monthly OT Summary'!$A$6:$A$35,$A131&amp;"")=0),"⚠ name not in Monthly OT Summary: its hours are not added","")))))</f>
        <v/>
      </c>
    </row>
    <row r="132">
      <c r="A132" s="21" t="n"/>
      <c r="B132" s="40" t="n"/>
      <c r="C132" s="41" t="n"/>
      <c r="D132" s="41" t="n"/>
      <c r="E132" s="24" t="n"/>
      <c r="F132" s="8">
        <f>IF(OR($C132="",$D132=""),"",IF(OR($C132&gt;=1,$D132&gt;=1,$C132=$D132,IF($E132="",0,$E132)&gt;MOD($D132-$C132,1)*24),"",ROUND(MOD($D132-$C132,1)*24-IF($E132="",0,$E132),2)))</f>
        <v/>
      </c>
      <c r="G132" s="25" t="n">
        <v>8</v>
      </c>
      <c r="H132" s="8">
        <f>IF(OR($A132="",$B132="",$F132=""),"",ROUND(IF($F$3="",0,MAX(0,$F132-$F$3))+IF($D$3="",0,MIN($F132-IF($F$3="",0,MAX(0,$F132-$F$3)),MAX(0,SUMIFS($F$5:$F$304,$A$5:$A$304,$A132&amp;"",$B$5:$B$304,"&gt;="&amp;($B132-MOD(WEEKDAY($B132)-$B$3,7)),$B$5:$B$304,"&lt;="&amp;$B132)-IF($F$3="",0,SUMIFS($F$5:$F$304,$A$5:$A$304,$A132&amp;"",$B$5:$B$304,"&gt;="&amp;($B132-MOD(WEEKDAY($B132)-$B$3,7)),$B$5:$B$304,"&lt;="&amp;$B132,$F$5:$F$304,"&gt;"&amp;$F$3)-$F$3*COUNTIFS($A$5:$A$304,$A132&amp;"",$B$5:$B$304,"&gt;="&amp;($B132-MOD(WEEKDAY($B132)-$B$3,7)),$B$5:$B$304,"&lt;="&amp;$B132,$F$5:$F$304,"&gt;"&amp;$F$3))-$D$3))),2))</f>
        <v/>
      </c>
      <c r="I132" s="26" t="n"/>
      <c r="J132" s="27">
        <f>IF(AND($A132="",$C132="",$D132=""),"",IF(OR($C132&gt;=1,$D132&gt;=1),"⚠ type the time with a colon: 9:00 AM, not 9",IF(AND($C132&lt;&gt;"",$C132=$D132),"⚠ clock-in equals clock-out: the shift adds 0 h",IF(AND($C132&lt;&gt;"",$D132&lt;&gt;"",IF($E132="",0,$E132)&gt;MOD($D132-$C132,1)*24),"⚠ the break is longer than the shift",IF(AND($A132&lt;&gt;"",COUNTIF('Monthly OT Summary'!$A$6:$A$35,$A132&amp;"")=0),"⚠ name not in Monthly OT Summary: its hours are not added","")))))</f>
        <v/>
      </c>
    </row>
    <row r="133">
      <c r="A133" s="21" t="n"/>
      <c r="B133" s="40" t="n"/>
      <c r="C133" s="41" t="n"/>
      <c r="D133" s="41" t="n"/>
      <c r="E133" s="24" t="n"/>
      <c r="F133" s="8">
        <f>IF(OR($C133="",$D133=""),"",IF(OR($C133&gt;=1,$D133&gt;=1,$C133=$D133,IF($E133="",0,$E133)&gt;MOD($D133-$C133,1)*24),"",ROUND(MOD($D133-$C133,1)*24-IF($E133="",0,$E133),2)))</f>
        <v/>
      </c>
      <c r="G133" s="25" t="n">
        <v>8</v>
      </c>
      <c r="H133" s="8">
        <f>IF(OR($A133="",$B133="",$F133=""),"",ROUND(IF($F$3="",0,MAX(0,$F133-$F$3))+IF($D$3="",0,MIN($F133-IF($F$3="",0,MAX(0,$F133-$F$3)),MAX(0,SUMIFS($F$5:$F$304,$A$5:$A$304,$A133&amp;"",$B$5:$B$304,"&gt;="&amp;($B133-MOD(WEEKDAY($B133)-$B$3,7)),$B$5:$B$304,"&lt;="&amp;$B133)-IF($F$3="",0,SUMIFS($F$5:$F$304,$A$5:$A$304,$A133&amp;"",$B$5:$B$304,"&gt;="&amp;($B133-MOD(WEEKDAY($B133)-$B$3,7)),$B$5:$B$304,"&lt;="&amp;$B133,$F$5:$F$304,"&gt;"&amp;$F$3)-$F$3*COUNTIFS($A$5:$A$304,$A133&amp;"",$B$5:$B$304,"&gt;="&amp;($B133-MOD(WEEKDAY($B133)-$B$3,7)),$B$5:$B$304,"&lt;="&amp;$B133,$F$5:$F$304,"&gt;"&amp;$F$3))-$D$3))),2))</f>
        <v/>
      </c>
      <c r="I133" s="26" t="n"/>
      <c r="J133" s="27">
        <f>IF(AND($A133="",$C133="",$D133=""),"",IF(OR($C133&gt;=1,$D133&gt;=1),"⚠ type the time with a colon: 9:00 AM, not 9",IF(AND($C133&lt;&gt;"",$C133=$D133),"⚠ clock-in equals clock-out: the shift adds 0 h",IF(AND($C133&lt;&gt;"",$D133&lt;&gt;"",IF($E133="",0,$E133)&gt;MOD($D133-$C133,1)*24),"⚠ the break is longer than the shift",IF(AND($A133&lt;&gt;"",COUNTIF('Monthly OT Summary'!$A$6:$A$35,$A133&amp;"")=0),"⚠ name not in Monthly OT Summary: its hours are not added","")))))</f>
        <v/>
      </c>
    </row>
    <row r="134">
      <c r="A134" s="21" t="n"/>
      <c r="B134" s="40" t="n"/>
      <c r="C134" s="41" t="n"/>
      <c r="D134" s="41" t="n"/>
      <c r="E134" s="24" t="n"/>
      <c r="F134" s="8">
        <f>IF(OR($C134="",$D134=""),"",IF(OR($C134&gt;=1,$D134&gt;=1,$C134=$D134,IF($E134="",0,$E134)&gt;MOD($D134-$C134,1)*24),"",ROUND(MOD($D134-$C134,1)*24-IF($E134="",0,$E134),2)))</f>
        <v/>
      </c>
      <c r="G134" s="25" t="n">
        <v>8</v>
      </c>
      <c r="H134" s="8">
        <f>IF(OR($A134="",$B134="",$F134=""),"",ROUND(IF($F$3="",0,MAX(0,$F134-$F$3))+IF($D$3="",0,MIN($F134-IF($F$3="",0,MAX(0,$F134-$F$3)),MAX(0,SUMIFS($F$5:$F$304,$A$5:$A$304,$A134&amp;"",$B$5:$B$304,"&gt;="&amp;($B134-MOD(WEEKDAY($B134)-$B$3,7)),$B$5:$B$304,"&lt;="&amp;$B134)-IF($F$3="",0,SUMIFS($F$5:$F$304,$A$5:$A$304,$A134&amp;"",$B$5:$B$304,"&gt;="&amp;($B134-MOD(WEEKDAY($B134)-$B$3,7)),$B$5:$B$304,"&lt;="&amp;$B134,$F$5:$F$304,"&gt;"&amp;$F$3)-$F$3*COUNTIFS($A$5:$A$304,$A134&amp;"",$B$5:$B$304,"&gt;="&amp;($B134-MOD(WEEKDAY($B134)-$B$3,7)),$B$5:$B$304,"&lt;="&amp;$B134,$F$5:$F$304,"&gt;"&amp;$F$3))-$D$3))),2))</f>
        <v/>
      </c>
      <c r="I134" s="26" t="n"/>
      <c r="J134" s="27">
        <f>IF(AND($A134="",$C134="",$D134=""),"",IF(OR($C134&gt;=1,$D134&gt;=1),"⚠ type the time with a colon: 9:00 AM, not 9",IF(AND($C134&lt;&gt;"",$C134=$D134),"⚠ clock-in equals clock-out: the shift adds 0 h",IF(AND($C134&lt;&gt;"",$D134&lt;&gt;"",IF($E134="",0,$E134)&gt;MOD($D134-$C134,1)*24),"⚠ the break is longer than the shift",IF(AND($A134&lt;&gt;"",COUNTIF('Monthly OT Summary'!$A$6:$A$35,$A134&amp;"")=0),"⚠ name not in Monthly OT Summary: its hours are not added","")))))</f>
        <v/>
      </c>
    </row>
    <row r="135">
      <c r="A135" s="21" t="n"/>
      <c r="B135" s="40" t="n"/>
      <c r="C135" s="41" t="n"/>
      <c r="D135" s="41" t="n"/>
      <c r="E135" s="24" t="n"/>
      <c r="F135" s="8">
        <f>IF(OR($C135="",$D135=""),"",IF(OR($C135&gt;=1,$D135&gt;=1,$C135=$D135,IF($E135="",0,$E135)&gt;MOD($D135-$C135,1)*24),"",ROUND(MOD($D135-$C135,1)*24-IF($E135="",0,$E135),2)))</f>
        <v/>
      </c>
      <c r="G135" s="25" t="n">
        <v>8</v>
      </c>
      <c r="H135" s="8">
        <f>IF(OR($A135="",$B135="",$F135=""),"",ROUND(IF($F$3="",0,MAX(0,$F135-$F$3))+IF($D$3="",0,MIN($F135-IF($F$3="",0,MAX(0,$F135-$F$3)),MAX(0,SUMIFS($F$5:$F$304,$A$5:$A$304,$A135&amp;"",$B$5:$B$304,"&gt;="&amp;($B135-MOD(WEEKDAY($B135)-$B$3,7)),$B$5:$B$304,"&lt;="&amp;$B135)-IF($F$3="",0,SUMIFS($F$5:$F$304,$A$5:$A$304,$A135&amp;"",$B$5:$B$304,"&gt;="&amp;($B135-MOD(WEEKDAY($B135)-$B$3,7)),$B$5:$B$304,"&lt;="&amp;$B135,$F$5:$F$304,"&gt;"&amp;$F$3)-$F$3*COUNTIFS($A$5:$A$304,$A135&amp;"",$B$5:$B$304,"&gt;="&amp;($B135-MOD(WEEKDAY($B135)-$B$3,7)),$B$5:$B$304,"&lt;="&amp;$B135,$F$5:$F$304,"&gt;"&amp;$F$3))-$D$3))),2))</f>
        <v/>
      </c>
      <c r="I135" s="26" t="n"/>
      <c r="J135" s="27">
        <f>IF(AND($A135="",$C135="",$D135=""),"",IF(OR($C135&gt;=1,$D135&gt;=1),"⚠ type the time with a colon: 9:00 AM, not 9",IF(AND($C135&lt;&gt;"",$C135=$D135),"⚠ clock-in equals clock-out: the shift adds 0 h",IF(AND($C135&lt;&gt;"",$D135&lt;&gt;"",IF($E135="",0,$E135)&gt;MOD($D135-$C135,1)*24),"⚠ the break is longer than the shift",IF(AND($A135&lt;&gt;"",COUNTIF('Monthly OT Summary'!$A$6:$A$35,$A135&amp;"")=0),"⚠ name not in Monthly OT Summary: its hours are not added","")))))</f>
        <v/>
      </c>
    </row>
    <row r="136">
      <c r="A136" s="21" t="n"/>
      <c r="B136" s="40" t="n"/>
      <c r="C136" s="41" t="n"/>
      <c r="D136" s="41" t="n"/>
      <c r="E136" s="24" t="n"/>
      <c r="F136" s="8">
        <f>IF(OR($C136="",$D136=""),"",IF(OR($C136&gt;=1,$D136&gt;=1,$C136=$D136,IF($E136="",0,$E136)&gt;MOD($D136-$C136,1)*24),"",ROUND(MOD($D136-$C136,1)*24-IF($E136="",0,$E136),2)))</f>
        <v/>
      </c>
      <c r="G136" s="25" t="n">
        <v>8</v>
      </c>
      <c r="H136" s="8">
        <f>IF(OR($A136="",$B136="",$F136=""),"",ROUND(IF($F$3="",0,MAX(0,$F136-$F$3))+IF($D$3="",0,MIN($F136-IF($F$3="",0,MAX(0,$F136-$F$3)),MAX(0,SUMIFS($F$5:$F$304,$A$5:$A$304,$A136&amp;"",$B$5:$B$304,"&gt;="&amp;($B136-MOD(WEEKDAY($B136)-$B$3,7)),$B$5:$B$304,"&lt;="&amp;$B136)-IF($F$3="",0,SUMIFS($F$5:$F$304,$A$5:$A$304,$A136&amp;"",$B$5:$B$304,"&gt;="&amp;($B136-MOD(WEEKDAY($B136)-$B$3,7)),$B$5:$B$304,"&lt;="&amp;$B136,$F$5:$F$304,"&gt;"&amp;$F$3)-$F$3*COUNTIFS($A$5:$A$304,$A136&amp;"",$B$5:$B$304,"&gt;="&amp;($B136-MOD(WEEKDAY($B136)-$B$3,7)),$B$5:$B$304,"&lt;="&amp;$B136,$F$5:$F$304,"&gt;"&amp;$F$3))-$D$3))),2))</f>
        <v/>
      </c>
      <c r="I136" s="26" t="n"/>
      <c r="J136" s="27">
        <f>IF(AND($A136="",$C136="",$D136=""),"",IF(OR($C136&gt;=1,$D136&gt;=1),"⚠ type the time with a colon: 9:00 AM, not 9",IF(AND($C136&lt;&gt;"",$C136=$D136),"⚠ clock-in equals clock-out: the shift adds 0 h",IF(AND($C136&lt;&gt;"",$D136&lt;&gt;"",IF($E136="",0,$E136)&gt;MOD($D136-$C136,1)*24),"⚠ the break is longer than the shift",IF(AND($A136&lt;&gt;"",COUNTIF('Monthly OT Summary'!$A$6:$A$35,$A136&amp;"")=0),"⚠ name not in Monthly OT Summary: its hours are not added","")))))</f>
        <v/>
      </c>
    </row>
    <row r="137">
      <c r="A137" s="21" t="n"/>
      <c r="B137" s="40" t="n"/>
      <c r="C137" s="41" t="n"/>
      <c r="D137" s="41" t="n"/>
      <c r="E137" s="24" t="n"/>
      <c r="F137" s="8">
        <f>IF(OR($C137="",$D137=""),"",IF(OR($C137&gt;=1,$D137&gt;=1,$C137=$D137,IF($E137="",0,$E137)&gt;MOD($D137-$C137,1)*24),"",ROUND(MOD($D137-$C137,1)*24-IF($E137="",0,$E137),2)))</f>
        <v/>
      </c>
      <c r="G137" s="25" t="n">
        <v>8</v>
      </c>
      <c r="H137" s="8">
        <f>IF(OR($A137="",$B137="",$F137=""),"",ROUND(IF($F$3="",0,MAX(0,$F137-$F$3))+IF($D$3="",0,MIN($F137-IF($F$3="",0,MAX(0,$F137-$F$3)),MAX(0,SUMIFS($F$5:$F$304,$A$5:$A$304,$A137&amp;"",$B$5:$B$304,"&gt;="&amp;($B137-MOD(WEEKDAY($B137)-$B$3,7)),$B$5:$B$304,"&lt;="&amp;$B137)-IF($F$3="",0,SUMIFS($F$5:$F$304,$A$5:$A$304,$A137&amp;"",$B$5:$B$304,"&gt;="&amp;($B137-MOD(WEEKDAY($B137)-$B$3,7)),$B$5:$B$304,"&lt;="&amp;$B137,$F$5:$F$304,"&gt;"&amp;$F$3)-$F$3*COUNTIFS($A$5:$A$304,$A137&amp;"",$B$5:$B$304,"&gt;="&amp;($B137-MOD(WEEKDAY($B137)-$B$3,7)),$B$5:$B$304,"&lt;="&amp;$B137,$F$5:$F$304,"&gt;"&amp;$F$3))-$D$3))),2))</f>
        <v/>
      </c>
      <c r="I137" s="26" t="n"/>
      <c r="J137" s="27">
        <f>IF(AND($A137="",$C137="",$D137=""),"",IF(OR($C137&gt;=1,$D137&gt;=1),"⚠ type the time with a colon: 9:00 AM, not 9",IF(AND($C137&lt;&gt;"",$C137=$D137),"⚠ clock-in equals clock-out: the shift adds 0 h",IF(AND($C137&lt;&gt;"",$D137&lt;&gt;"",IF($E137="",0,$E137)&gt;MOD($D137-$C137,1)*24),"⚠ the break is longer than the shift",IF(AND($A137&lt;&gt;"",COUNTIF('Monthly OT Summary'!$A$6:$A$35,$A137&amp;"")=0),"⚠ name not in Monthly OT Summary: its hours are not added","")))))</f>
        <v/>
      </c>
    </row>
    <row r="138">
      <c r="A138" s="21" t="n"/>
      <c r="B138" s="40" t="n"/>
      <c r="C138" s="41" t="n"/>
      <c r="D138" s="41" t="n"/>
      <c r="E138" s="24" t="n"/>
      <c r="F138" s="8">
        <f>IF(OR($C138="",$D138=""),"",IF(OR($C138&gt;=1,$D138&gt;=1,$C138=$D138,IF($E138="",0,$E138)&gt;MOD($D138-$C138,1)*24),"",ROUND(MOD($D138-$C138,1)*24-IF($E138="",0,$E138),2)))</f>
        <v/>
      </c>
      <c r="G138" s="25" t="n">
        <v>8</v>
      </c>
      <c r="H138" s="8">
        <f>IF(OR($A138="",$B138="",$F138=""),"",ROUND(IF($F$3="",0,MAX(0,$F138-$F$3))+IF($D$3="",0,MIN($F138-IF($F$3="",0,MAX(0,$F138-$F$3)),MAX(0,SUMIFS($F$5:$F$304,$A$5:$A$304,$A138&amp;"",$B$5:$B$304,"&gt;="&amp;($B138-MOD(WEEKDAY($B138)-$B$3,7)),$B$5:$B$304,"&lt;="&amp;$B138)-IF($F$3="",0,SUMIFS($F$5:$F$304,$A$5:$A$304,$A138&amp;"",$B$5:$B$304,"&gt;="&amp;($B138-MOD(WEEKDAY($B138)-$B$3,7)),$B$5:$B$304,"&lt;="&amp;$B138,$F$5:$F$304,"&gt;"&amp;$F$3)-$F$3*COUNTIFS($A$5:$A$304,$A138&amp;"",$B$5:$B$304,"&gt;="&amp;($B138-MOD(WEEKDAY($B138)-$B$3,7)),$B$5:$B$304,"&lt;="&amp;$B138,$F$5:$F$304,"&gt;"&amp;$F$3))-$D$3))),2))</f>
        <v/>
      </c>
      <c r="I138" s="26" t="n"/>
      <c r="J138" s="27">
        <f>IF(AND($A138="",$C138="",$D138=""),"",IF(OR($C138&gt;=1,$D138&gt;=1),"⚠ type the time with a colon: 9:00 AM, not 9",IF(AND($C138&lt;&gt;"",$C138=$D138),"⚠ clock-in equals clock-out: the shift adds 0 h",IF(AND($C138&lt;&gt;"",$D138&lt;&gt;"",IF($E138="",0,$E138)&gt;MOD($D138-$C138,1)*24),"⚠ the break is longer than the shift",IF(AND($A138&lt;&gt;"",COUNTIF('Monthly OT Summary'!$A$6:$A$35,$A138&amp;"")=0),"⚠ name not in Monthly OT Summary: its hours are not added","")))))</f>
        <v/>
      </c>
    </row>
    <row r="139">
      <c r="A139" s="21" t="n"/>
      <c r="B139" s="40" t="n"/>
      <c r="C139" s="41" t="n"/>
      <c r="D139" s="41" t="n"/>
      <c r="E139" s="24" t="n"/>
      <c r="F139" s="8">
        <f>IF(OR($C139="",$D139=""),"",IF(OR($C139&gt;=1,$D139&gt;=1,$C139=$D139,IF($E139="",0,$E139)&gt;MOD($D139-$C139,1)*24),"",ROUND(MOD($D139-$C139,1)*24-IF($E139="",0,$E139),2)))</f>
        <v/>
      </c>
      <c r="G139" s="25" t="n">
        <v>8</v>
      </c>
      <c r="H139" s="8">
        <f>IF(OR($A139="",$B139="",$F139=""),"",ROUND(IF($F$3="",0,MAX(0,$F139-$F$3))+IF($D$3="",0,MIN($F139-IF($F$3="",0,MAX(0,$F139-$F$3)),MAX(0,SUMIFS($F$5:$F$304,$A$5:$A$304,$A139&amp;"",$B$5:$B$304,"&gt;="&amp;($B139-MOD(WEEKDAY($B139)-$B$3,7)),$B$5:$B$304,"&lt;="&amp;$B139)-IF($F$3="",0,SUMIFS($F$5:$F$304,$A$5:$A$304,$A139&amp;"",$B$5:$B$304,"&gt;="&amp;($B139-MOD(WEEKDAY($B139)-$B$3,7)),$B$5:$B$304,"&lt;="&amp;$B139,$F$5:$F$304,"&gt;"&amp;$F$3)-$F$3*COUNTIFS($A$5:$A$304,$A139&amp;"",$B$5:$B$304,"&gt;="&amp;($B139-MOD(WEEKDAY($B139)-$B$3,7)),$B$5:$B$304,"&lt;="&amp;$B139,$F$5:$F$304,"&gt;"&amp;$F$3))-$D$3))),2))</f>
        <v/>
      </c>
      <c r="I139" s="26" t="n"/>
      <c r="J139" s="27">
        <f>IF(AND($A139="",$C139="",$D139=""),"",IF(OR($C139&gt;=1,$D139&gt;=1),"⚠ type the time with a colon: 9:00 AM, not 9",IF(AND($C139&lt;&gt;"",$C139=$D139),"⚠ clock-in equals clock-out: the shift adds 0 h",IF(AND($C139&lt;&gt;"",$D139&lt;&gt;"",IF($E139="",0,$E139)&gt;MOD($D139-$C139,1)*24),"⚠ the break is longer than the shift",IF(AND($A139&lt;&gt;"",COUNTIF('Monthly OT Summary'!$A$6:$A$35,$A139&amp;"")=0),"⚠ name not in Monthly OT Summary: its hours are not added","")))))</f>
        <v/>
      </c>
    </row>
    <row r="140">
      <c r="A140" s="21" t="n"/>
      <c r="B140" s="40" t="n"/>
      <c r="C140" s="41" t="n"/>
      <c r="D140" s="41" t="n"/>
      <c r="E140" s="24" t="n"/>
      <c r="F140" s="8">
        <f>IF(OR($C140="",$D140=""),"",IF(OR($C140&gt;=1,$D140&gt;=1,$C140=$D140,IF($E140="",0,$E140)&gt;MOD($D140-$C140,1)*24),"",ROUND(MOD($D140-$C140,1)*24-IF($E140="",0,$E140),2)))</f>
        <v/>
      </c>
      <c r="G140" s="25" t="n">
        <v>8</v>
      </c>
      <c r="H140" s="8">
        <f>IF(OR($A140="",$B140="",$F140=""),"",ROUND(IF($F$3="",0,MAX(0,$F140-$F$3))+IF($D$3="",0,MIN($F140-IF($F$3="",0,MAX(0,$F140-$F$3)),MAX(0,SUMIFS($F$5:$F$304,$A$5:$A$304,$A140&amp;"",$B$5:$B$304,"&gt;="&amp;($B140-MOD(WEEKDAY($B140)-$B$3,7)),$B$5:$B$304,"&lt;="&amp;$B140)-IF($F$3="",0,SUMIFS($F$5:$F$304,$A$5:$A$304,$A140&amp;"",$B$5:$B$304,"&gt;="&amp;($B140-MOD(WEEKDAY($B140)-$B$3,7)),$B$5:$B$304,"&lt;="&amp;$B140,$F$5:$F$304,"&gt;"&amp;$F$3)-$F$3*COUNTIFS($A$5:$A$304,$A140&amp;"",$B$5:$B$304,"&gt;="&amp;($B140-MOD(WEEKDAY($B140)-$B$3,7)),$B$5:$B$304,"&lt;="&amp;$B140,$F$5:$F$304,"&gt;"&amp;$F$3))-$D$3))),2))</f>
        <v/>
      </c>
      <c r="I140" s="26" t="n"/>
      <c r="J140" s="27">
        <f>IF(AND($A140="",$C140="",$D140=""),"",IF(OR($C140&gt;=1,$D140&gt;=1),"⚠ type the time with a colon: 9:00 AM, not 9",IF(AND($C140&lt;&gt;"",$C140=$D140),"⚠ clock-in equals clock-out: the shift adds 0 h",IF(AND($C140&lt;&gt;"",$D140&lt;&gt;"",IF($E140="",0,$E140)&gt;MOD($D140-$C140,1)*24),"⚠ the break is longer than the shift",IF(AND($A140&lt;&gt;"",COUNTIF('Monthly OT Summary'!$A$6:$A$35,$A140&amp;"")=0),"⚠ name not in Monthly OT Summary: its hours are not added","")))))</f>
        <v/>
      </c>
    </row>
    <row r="141">
      <c r="A141" s="21" t="n"/>
      <c r="B141" s="40" t="n"/>
      <c r="C141" s="41" t="n"/>
      <c r="D141" s="41" t="n"/>
      <c r="E141" s="24" t="n"/>
      <c r="F141" s="8">
        <f>IF(OR($C141="",$D141=""),"",IF(OR($C141&gt;=1,$D141&gt;=1,$C141=$D141,IF($E141="",0,$E141)&gt;MOD($D141-$C141,1)*24),"",ROUND(MOD($D141-$C141,1)*24-IF($E141="",0,$E141),2)))</f>
        <v/>
      </c>
      <c r="G141" s="25" t="n">
        <v>8</v>
      </c>
      <c r="H141" s="8">
        <f>IF(OR($A141="",$B141="",$F141=""),"",ROUND(IF($F$3="",0,MAX(0,$F141-$F$3))+IF($D$3="",0,MIN($F141-IF($F$3="",0,MAX(0,$F141-$F$3)),MAX(0,SUMIFS($F$5:$F$304,$A$5:$A$304,$A141&amp;"",$B$5:$B$304,"&gt;="&amp;($B141-MOD(WEEKDAY($B141)-$B$3,7)),$B$5:$B$304,"&lt;="&amp;$B141)-IF($F$3="",0,SUMIFS($F$5:$F$304,$A$5:$A$304,$A141&amp;"",$B$5:$B$304,"&gt;="&amp;($B141-MOD(WEEKDAY($B141)-$B$3,7)),$B$5:$B$304,"&lt;="&amp;$B141,$F$5:$F$304,"&gt;"&amp;$F$3)-$F$3*COUNTIFS($A$5:$A$304,$A141&amp;"",$B$5:$B$304,"&gt;="&amp;($B141-MOD(WEEKDAY($B141)-$B$3,7)),$B$5:$B$304,"&lt;="&amp;$B141,$F$5:$F$304,"&gt;"&amp;$F$3))-$D$3))),2))</f>
        <v/>
      </c>
      <c r="I141" s="26" t="n"/>
      <c r="J141" s="27">
        <f>IF(AND($A141="",$C141="",$D141=""),"",IF(OR($C141&gt;=1,$D141&gt;=1),"⚠ type the time with a colon: 9:00 AM, not 9",IF(AND($C141&lt;&gt;"",$C141=$D141),"⚠ clock-in equals clock-out: the shift adds 0 h",IF(AND($C141&lt;&gt;"",$D141&lt;&gt;"",IF($E141="",0,$E141)&gt;MOD($D141-$C141,1)*24),"⚠ the break is longer than the shift",IF(AND($A141&lt;&gt;"",COUNTIF('Monthly OT Summary'!$A$6:$A$35,$A141&amp;"")=0),"⚠ name not in Monthly OT Summary: its hours are not added","")))))</f>
        <v/>
      </c>
    </row>
    <row r="142">
      <c r="A142" s="21" t="n"/>
      <c r="B142" s="40" t="n"/>
      <c r="C142" s="41" t="n"/>
      <c r="D142" s="41" t="n"/>
      <c r="E142" s="24" t="n"/>
      <c r="F142" s="8">
        <f>IF(OR($C142="",$D142=""),"",IF(OR($C142&gt;=1,$D142&gt;=1,$C142=$D142,IF($E142="",0,$E142)&gt;MOD($D142-$C142,1)*24),"",ROUND(MOD($D142-$C142,1)*24-IF($E142="",0,$E142),2)))</f>
        <v/>
      </c>
      <c r="G142" s="25" t="n">
        <v>8</v>
      </c>
      <c r="H142" s="8">
        <f>IF(OR($A142="",$B142="",$F142=""),"",ROUND(IF($F$3="",0,MAX(0,$F142-$F$3))+IF($D$3="",0,MIN($F142-IF($F$3="",0,MAX(0,$F142-$F$3)),MAX(0,SUMIFS($F$5:$F$304,$A$5:$A$304,$A142&amp;"",$B$5:$B$304,"&gt;="&amp;($B142-MOD(WEEKDAY($B142)-$B$3,7)),$B$5:$B$304,"&lt;="&amp;$B142)-IF($F$3="",0,SUMIFS($F$5:$F$304,$A$5:$A$304,$A142&amp;"",$B$5:$B$304,"&gt;="&amp;($B142-MOD(WEEKDAY($B142)-$B$3,7)),$B$5:$B$304,"&lt;="&amp;$B142,$F$5:$F$304,"&gt;"&amp;$F$3)-$F$3*COUNTIFS($A$5:$A$304,$A142&amp;"",$B$5:$B$304,"&gt;="&amp;($B142-MOD(WEEKDAY($B142)-$B$3,7)),$B$5:$B$304,"&lt;="&amp;$B142,$F$5:$F$304,"&gt;"&amp;$F$3))-$D$3))),2))</f>
        <v/>
      </c>
      <c r="I142" s="26" t="n"/>
      <c r="J142" s="27">
        <f>IF(AND($A142="",$C142="",$D142=""),"",IF(OR($C142&gt;=1,$D142&gt;=1),"⚠ type the time with a colon: 9:00 AM, not 9",IF(AND($C142&lt;&gt;"",$C142=$D142),"⚠ clock-in equals clock-out: the shift adds 0 h",IF(AND($C142&lt;&gt;"",$D142&lt;&gt;"",IF($E142="",0,$E142)&gt;MOD($D142-$C142,1)*24),"⚠ the break is longer than the shift",IF(AND($A142&lt;&gt;"",COUNTIF('Monthly OT Summary'!$A$6:$A$35,$A142&amp;"")=0),"⚠ name not in Monthly OT Summary: its hours are not added","")))))</f>
        <v/>
      </c>
    </row>
    <row r="143">
      <c r="A143" s="21" t="n"/>
      <c r="B143" s="40" t="n"/>
      <c r="C143" s="41" t="n"/>
      <c r="D143" s="41" t="n"/>
      <c r="E143" s="24" t="n"/>
      <c r="F143" s="8">
        <f>IF(OR($C143="",$D143=""),"",IF(OR($C143&gt;=1,$D143&gt;=1,$C143=$D143,IF($E143="",0,$E143)&gt;MOD($D143-$C143,1)*24),"",ROUND(MOD($D143-$C143,1)*24-IF($E143="",0,$E143),2)))</f>
        <v/>
      </c>
      <c r="G143" s="25" t="n">
        <v>8</v>
      </c>
      <c r="H143" s="8">
        <f>IF(OR($A143="",$B143="",$F143=""),"",ROUND(IF($F$3="",0,MAX(0,$F143-$F$3))+IF($D$3="",0,MIN($F143-IF($F$3="",0,MAX(0,$F143-$F$3)),MAX(0,SUMIFS($F$5:$F$304,$A$5:$A$304,$A143&amp;"",$B$5:$B$304,"&gt;="&amp;($B143-MOD(WEEKDAY($B143)-$B$3,7)),$B$5:$B$304,"&lt;="&amp;$B143)-IF($F$3="",0,SUMIFS($F$5:$F$304,$A$5:$A$304,$A143&amp;"",$B$5:$B$304,"&gt;="&amp;($B143-MOD(WEEKDAY($B143)-$B$3,7)),$B$5:$B$304,"&lt;="&amp;$B143,$F$5:$F$304,"&gt;"&amp;$F$3)-$F$3*COUNTIFS($A$5:$A$304,$A143&amp;"",$B$5:$B$304,"&gt;="&amp;($B143-MOD(WEEKDAY($B143)-$B$3,7)),$B$5:$B$304,"&lt;="&amp;$B143,$F$5:$F$304,"&gt;"&amp;$F$3))-$D$3))),2))</f>
        <v/>
      </c>
      <c r="I143" s="26" t="n"/>
      <c r="J143" s="27">
        <f>IF(AND($A143="",$C143="",$D143=""),"",IF(OR($C143&gt;=1,$D143&gt;=1),"⚠ type the time with a colon: 9:00 AM, not 9",IF(AND($C143&lt;&gt;"",$C143=$D143),"⚠ clock-in equals clock-out: the shift adds 0 h",IF(AND($C143&lt;&gt;"",$D143&lt;&gt;"",IF($E143="",0,$E143)&gt;MOD($D143-$C143,1)*24),"⚠ the break is longer than the shift",IF(AND($A143&lt;&gt;"",COUNTIF('Monthly OT Summary'!$A$6:$A$35,$A143&amp;"")=0),"⚠ name not in Monthly OT Summary: its hours are not added","")))))</f>
        <v/>
      </c>
    </row>
    <row r="144">
      <c r="A144" s="21" t="n"/>
      <c r="B144" s="40" t="n"/>
      <c r="C144" s="41" t="n"/>
      <c r="D144" s="41" t="n"/>
      <c r="E144" s="24" t="n"/>
      <c r="F144" s="8">
        <f>IF(OR($C144="",$D144=""),"",IF(OR($C144&gt;=1,$D144&gt;=1,$C144=$D144,IF($E144="",0,$E144)&gt;MOD($D144-$C144,1)*24),"",ROUND(MOD($D144-$C144,1)*24-IF($E144="",0,$E144),2)))</f>
        <v/>
      </c>
      <c r="G144" s="25" t="n">
        <v>8</v>
      </c>
      <c r="H144" s="8">
        <f>IF(OR($A144="",$B144="",$F144=""),"",ROUND(IF($F$3="",0,MAX(0,$F144-$F$3))+IF($D$3="",0,MIN($F144-IF($F$3="",0,MAX(0,$F144-$F$3)),MAX(0,SUMIFS($F$5:$F$304,$A$5:$A$304,$A144&amp;"",$B$5:$B$304,"&gt;="&amp;($B144-MOD(WEEKDAY($B144)-$B$3,7)),$B$5:$B$304,"&lt;="&amp;$B144)-IF($F$3="",0,SUMIFS($F$5:$F$304,$A$5:$A$304,$A144&amp;"",$B$5:$B$304,"&gt;="&amp;($B144-MOD(WEEKDAY($B144)-$B$3,7)),$B$5:$B$304,"&lt;="&amp;$B144,$F$5:$F$304,"&gt;"&amp;$F$3)-$F$3*COUNTIFS($A$5:$A$304,$A144&amp;"",$B$5:$B$304,"&gt;="&amp;($B144-MOD(WEEKDAY($B144)-$B$3,7)),$B$5:$B$304,"&lt;="&amp;$B144,$F$5:$F$304,"&gt;"&amp;$F$3))-$D$3))),2))</f>
        <v/>
      </c>
      <c r="I144" s="26" t="n"/>
      <c r="J144" s="27">
        <f>IF(AND($A144="",$C144="",$D144=""),"",IF(OR($C144&gt;=1,$D144&gt;=1),"⚠ type the time with a colon: 9:00 AM, not 9",IF(AND($C144&lt;&gt;"",$C144=$D144),"⚠ clock-in equals clock-out: the shift adds 0 h",IF(AND($C144&lt;&gt;"",$D144&lt;&gt;"",IF($E144="",0,$E144)&gt;MOD($D144-$C144,1)*24),"⚠ the break is longer than the shift",IF(AND($A144&lt;&gt;"",COUNTIF('Monthly OT Summary'!$A$6:$A$35,$A144&amp;"")=0),"⚠ name not in Monthly OT Summary: its hours are not added","")))))</f>
        <v/>
      </c>
    </row>
    <row r="145">
      <c r="A145" s="21" t="n"/>
      <c r="B145" s="40" t="n"/>
      <c r="C145" s="41" t="n"/>
      <c r="D145" s="41" t="n"/>
      <c r="E145" s="24" t="n"/>
      <c r="F145" s="8">
        <f>IF(OR($C145="",$D145=""),"",IF(OR($C145&gt;=1,$D145&gt;=1,$C145=$D145,IF($E145="",0,$E145)&gt;MOD($D145-$C145,1)*24),"",ROUND(MOD($D145-$C145,1)*24-IF($E145="",0,$E145),2)))</f>
        <v/>
      </c>
      <c r="G145" s="25" t="n">
        <v>8</v>
      </c>
      <c r="H145" s="8">
        <f>IF(OR($A145="",$B145="",$F145=""),"",ROUND(IF($F$3="",0,MAX(0,$F145-$F$3))+IF($D$3="",0,MIN($F145-IF($F$3="",0,MAX(0,$F145-$F$3)),MAX(0,SUMIFS($F$5:$F$304,$A$5:$A$304,$A145&amp;"",$B$5:$B$304,"&gt;="&amp;($B145-MOD(WEEKDAY($B145)-$B$3,7)),$B$5:$B$304,"&lt;="&amp;$B145)-IF($F$3="",0,SUMIFS($F$5:$F$304,$A$5:$A$304,$A145&amp;"",$B$5:$B$304,"&gt;="&amp;($B145-MOD(WEEKDAY($B145)-$B$3,7)),$B$5:$B$304,"&lt;="&amp;$B145,$F$5:$F$304,"&gt;"&amp;$F$3)-$F$3*COUNTIFS($A$5:$A$304,$A145&amp;"",$B$5:$B$304,"&gt;="&amp;($B145-MOD(WEEKDAY($B145)-$B$3,7)),$B$5:$B$304,"&lt;="&amp;$B145,$F$5:$F$304,"&gt;"&amp;$F$3))-$D$3))),2))</f>
        <v/>
      </c>
      <c r="I145" s="26" t="n"/>
      <c r="J145" s="27">
        <f>IF(AND($A145="",$C145="",$D145=""),"",IF(OR($C145&gt;=1,$D145&gt;=1),"⚠ type the time with a colon: 9:00 AM, not 9",IF(AND($C145&lt;&gt;"",$C145=$D145),"⚠ clock-in equals clock-out: the shift adds 0 h",IF(AND($C145&lt;&gt;"",$D145&lt;&gt;"",IF($E145="",0,$E145)&gt;MOD($D145-$C145,1)*24),"⚠ the break is longer than the shift",IF(AND($A145&lt;&gt;"",COUNTIF('Monthly OT Summary'!$A$6:$A$35,$A145&amp;"")=0),"⚠ name not in Monthly OT Summary: its hours are not added","")))))</f>
        <v/>
      </c>
    </row>
    <row r="146">
      <c r="A146" s="21" t="n"/>
      <c r="B146" s="40" t="n"/>
      <c r="C146" s="41" t="n"/>
      <c r="D146" s="41" t="n"/>
      <c r="E146" s="24" t="n"/>
      <c r="F146" s="8">
        <f>IF(OR($C146="",$D146=""),"",IF(OR($C146&gt;=1,$D146&gt;=1,$C146=$D146,IF($E146="",0,$E146)&gt;MOD($D146-$C146,1)*24),"",ROUND(MOD($D146-$C146,1)*24-IF($E146="",0,$E146),2)))</f>
        <v/>
      </c>
      <c r="G146" s="25" t="n">
        <v>8</v>
      </c>
      <c r="H146" s="8">
        <f>IF(OR($A146="",$B146="",$F146=""),"",ROUND(IF($F$3="",0,MAX(0,$F146-$F$3))+IF($D$3="",0,MIN($F146-IF($F$3="",0,MAX(0,$F146-$F$3)),MAX(0,SUMIFS($F$5:$F$304,$A$5:$A$304,$A146&amp;"",$B$5:$B$304,"&gt;="&amp;($B146-MOD(WEEKDAY($B146)-$B$3,7)),$B$5:$B$304,"&lt;="&amp;$B146)-IF($F$3="",0,SUMIFS($F$5:$F$304,$A$5:$A$304,$A146&amp;"",$B$5:$B$304,"&gt;="&amp;($B146-MOD(WEEKDAY($B146)-$B$3,7)),$B$5:$B$304,"&lt;="&amp;$B146,$F$5:$F$304,"&gt;"&amp;$F$3)-$F$3*COUNTIFS($A$5:$A$304,$A146&amp;"",$B$5:$B$304,"&gt;="&amp;($B146-MOD(WEEKDAY($B146)-$B$3,7)),$B$5:$B$304,"&lt;="&amp;$B146,$F$5:$F$304,"&gt;"&amp;$F$3))-$D$3))),2))</f>
        <v/>
      </c>
      <c r="I146" s="26" t="n"/>
      <c r="J146" s="27">
        <f>IF(AND($A146="",$C146="",$D146=""),"",IF(OR($C146&gt;=1,$D146&gt;=1),"⚠ type the time with a colon: 9:00 AM, not 9",IF(AND($C146&lt;&gt;"",$C146=$D146),"⚠ clock-in equals clock-out: the shift adds 0 h",IF(AND($C146&lt;&gt;"",$D146&lt;&gt;"",IF($E146="",0,$E146)&gt;MOD($D146-$C146,1)*24),"⚠ the break is longer than the shift",IF(AND($A146&lt;&gt;"",COUNTIF('Monthly OT Summary'!$A$6:$A$35,$A146&amp;"")=0),"⚠ name not in Monthly OT Summary: its hours are not added","")))))</f>
        <v/>
      </c>
    </row>
    <row r="147">
      <c r="A147" s="21" t="n"/>
      <c r="B147" s="40" t="n"/>
      <c r="C147" s="41" t="n"/>
      <c r="D147" s="41" t="n"/>
      <c r="E147" s="24" t="n"/>
      <c r="F147" s="8">
        <f>IF(OR($C147="",$D147=""),"",IF(OR($C147&gt;=1,$D147&gt;=1,$C147=$D147,IF($E147="",0,$E147)&gt;MOD($D147-$C147,1)*24),"",ROUND(MOD($D147-$C147,1)*24-IF($E147="",0,$E147),2)))</f>
        <v/>
      </c>
      <c r="G147" s="25" t="n">
        <v>8</v>
      </c>
      <c r="H147" s="8">
        <f>IF(OR($A147="",$B147="",$F147=""),"",ROUND(IF($F$3="",0,MAX(0,$F147-$F$3))+IF($D$3="",0,MIN($F147-IF($F$3="",0,MAX(0,$F147-$F$3)),MAX(0,SUMIFS($F$5:$F$304,$A$5:$A$304,$A147&amp;"",$B$5:$B$304,"&gt;="&amp;($B147-MOD(WEEKDAY($B147)-$B$3,7)),$B$5:$B$304,"&lt;="&amp;$B147)-IF($F$3="",0,SUMIFS($F$5:$F$304,$A$5:$A$304,$A147&amp;"",$B$5:$B$304,"&gt;="&amp;($B147-MOD(WEEKDAY($B147)-$B$3,7)),$B$5:$B$304,"&lt;="&amp;$B147,$F$5:$F$304,"&gt;"&amp;$F$3)-$F$3*COUNTIFS($A$5:$A$304,$A147&amp;"",$B$5:$B$304,"&gt;="&amp;($B147-MOD(WEEKDAY($B147)-$B$3,7)),$B$5:$B$304,"&lt;="&amp;$B147,$F$5:$F$304,"&gt;"&amp;$F$3))-$D$3))),2))</f>
        <v/>
      </c>
      <c r="I147" s="26" t="n"/>
      <c r="J147" s="27">
        <f>IF(AND($A147="",$C147="",$D147=""),"",IF(OR($C147&gt;=1,$D147&gt;=1),"⚠ type the time with a colon: 9:00 AM, not 9",IF(AND($C147&lt;&gt;"",$C147=$D147),"⚠ clock-in equals clock-out: the shift adds 0 h",IF(AND($C147&lt;&gt;"",$D147&lt;&gt;"",IF($E147="",0,$E147)&gt;MOD($D147-$C147,1)*24),"⚠ the break is longer than the shift",IF(AND($A147&lt;&gt;"",COUNTIF('Monthly OT Summary'!$A$6:$A$35,$A147&amp;"")=0),"⚠ name not in Monthly OT Summary: its hours are not added","")))))</f>
        <v/>
      </c>
    </row>
    <row r="148">
      <c r="A148" s="21" t="n"/>
      <c r="B148" s="40" t="n"/>
      <c r="C148" s="41" t="n"/>
      <c r="D148" s="41" t="n"/>
      <c r="E148" s="24" t="n"/>
      <c r="F148" s="8">
        <f>IF(OR($C148="",$D148=""),"",IF(OR($C148&gt;=1,$D148&gt;=1,$C148=$D148,IF($E148="",0,$E148)&gt;MOD($D148-$C148,1)*24),"",ROUND(MOD($D148-$C148,1)*24-IF($E148="",0,$E148),2)))</f>
        <v/>
      </c>
      <c r="G148" s="25" t="n">
        <v>8</v>
      </c>
      <c r="H148" s="8">
        <f>IF(OR($A148="",$B148="",$F148=""),"",ROUND(IF($F$3="",0,MAX(0,$F148-$F$3))+IF($D$3="",0,MIN($F148-IF($F$3="",0,MAX(0,$F148-$F$3)),MAX(0,SUMIFS($F$5:$F$304,$A$5:$A$304,$A148&amp;"",$B$5:$B$304,"&gt;="&amp;($B148-MOD(WEEKDAY($B148)-$B$3,7)),$B$5:$B$304,"&lt;="&amp;$B148)-IF($F$3="",0,SUMIFS($F$5:$F$304,$A$5:$A$304,$A148&amp;"",$B$5:$B$304,"&gt;="&amp;($B148-MOD(WEEKDAY($B148)-$B$3,7)),$B$5:$B$304,"&lt;="&amp;$B148,$F$5:$F$304,"&gt;"&amp;$F$3)-$F$3*COUNTIFS($A$5:$A$304,$A148&amp;"",$B$5:$B$304,"&gt;="&amp;($B148-MOD(WEEKDAY($B148)-$B$3,7)),$B$5:$B$304,"&lt;="&amp;$B148,$F$5:$F$304,"&gt;"&amp;$F$3))-$D$3))),2))</f>
        <v/>
      </c>
      <c r="I148" s="26" t="n"/>
      <c r="J148" s="27">
        <f>IF(AND($A148="",$C148="",$D148=""),"",IF(OR($C148&gt;=1,$D148&gt;=1),"⚠ type the time with a colon: 9:00 AM, not 9",IF(AND($C148&lt;&gt;"",$C148=$D148),"⚠ clock-in equals clock-out: the shift adds 0 h",IF(AND($C148&lt;&gt;"",$D148&lt;&gt;"",IF($E148="",0,$E148)&gt;MOD($D148-$C148,1)*24),"⚠ the break is longer than the shift",IF(AND($A148&lt;&gt;"",COUNTIF('Monthly OT Summary'!$A$6:$A$35,$A148&amp;"")=0),"⚠ name not in Monthly OT Summary: its hours are not added","")))))</f>
        <v/>
      </c>
    </row>
    <row r="149">
      <c r="A149" s="21" t="n"/>
      <c r="B149" s="40" t="n"/>
      <c r="C149" s="41" t="n"/>
      <c r="D149" s="41" t="n"/>
      <c r="E149" s="24" t="n"/>
      <c r="F149" s="8">
        <f>IF(OR($C149="",$D149=""),"",IF(OR($C149&gt;=1,$D149&gt;=1,$C149=$D149,IF($E149="",0,$E149)&gt;MOD($D149-$C149,1)*24),"",ROUND(MOD($D149-$C149,1)*24-IF($E149="",0,$E149),2)))</f>
        <v/>
      </c>
      <c r="G149" s="25" t="n">
        <v>8</v>
      </c>
      <c r="H149" s="8">
        <f>IF(OR($A149="",$B149="",$F149=""),"",ROUND(IF($F$3="",0,MAX(0,$F149-$F$3))+IF($D$3="",0,MIN($F149-IF($F$3="",0,MAX(0,$F149-$F$3)),MAX(0,SUMIFS($F$5:$F$304,$A$5:$A$304,$A149&amp;"",$B$5:$B$304,"&gt;="&amp;($B149-MOD(WEEKDAY($B149)-$B$3,7)),$B$5:$B$304,"&lt;="&amp;$B149)-IF($F$3="",0,SUMIFS($F$5:$F$304,$A$5:$A$304,$A149&amp;"",$B$5:$B$304,"&gt;="&amp;($B149-MOD(WEEKDAY($B149)-$B$3,7)),$B$5:$B$304,"&lt;="&amp;$B149,$F$5:$F$304,"&gt;"&amp;$F$3)-$F$3*COUNTIFS($A$5:$A$304,$A149&amp;"",$B$5:$B$304,"&gt;="&amp;($B149-MOD(WEEKDAY($B149)-$B$3,7)),$B$5:$B$304,"&lt;="&amp;$B149,$F$5:$F$304,"&gt;"&amp;$F$3))-$D$3))),2))</f>
        <v/>
      </c>
      <c r="I149" s="26" t="n"/>
      <c r="J149" s="27">
        <f>IF(AND($A149="",$C149="",$D149=""),"",IF(OR($C149&gt;=1,$D149&gt;=1),"⚠ type the time with a colon: 9:00 AM, not 9",IF(AND($C149&lt;&gt;"",$C149=$D149),"⚠ clock-in equals clock-out: the shift adds 0 h",IF(AND($C149&lt;&gt;"",$D149&lt;&gt;"",IF($E149="",0,$E149)&gt;MOD($D149-$C149,1)*24),"⚠ the break is longer than the shift",IF(AND($A149&lt;&gt;"",COUNTIF('Monthly OT Summary'!$A$6:$A$35,$A149&amp;"")=0),"⚠ name not in Monthly OT Summary: its hours are not added","")))))</f>
        <v/>
      </c>
    </row>
    <row r="150">
      <c r="A150" s="21" t="n"/>
      <c r="B150" s="40" t="n"/>
      <c r="C150" s="41" t="n"/>
      <c r="D150" s="41" t="n"/>
      <c r="E150" s="24" t="n"/>
      <c r="F150" s="8">
        <f>IF(OR($C150="",$D150=""),"",IF(OR($C150&gt;=1,$D150&gt;=1,$C150=$D150,IF($E150="",0,$E150)&gt;MOD($D150-$C150,1)*24),"",ROUND(MOD($D150-$C150,1)*24-IF($E150="",0,$E150),2)))</f>
        <v/>
      </c>
      <c r="G150" s="25" t="n">
        <v>8</v>
      </c>
      <c r="H150" s="8">
        <f>IF(OR($A150="",$B150="",$F150=""),"",ROUND(IF($F$3="",0,MAX(0,$F150-$F$3))+IF($D$3="",0,MIN($F150-IF($F$3="",0,MAX(0,$F150-$F$3)),MAX(0,SUMIFS($F$5:$F$304,$A$5:$A$304,$A150&amp;"",$B$5:$B$304,"&gt;="&amp;($B150-MOD(WEEKDAY($B150)-$B$3,7)),$B$5:$B$304,"&lt;="&amp;$B150)-IF($F$3="",0,SUMIFS($F$5:$F$304,$A$5:$A$304,$A150&amp;"",$B$5:$B$304,"&gt;="&amp;($B150-MOD(WEEKDAY($B150)-$B$3,7)),$B$5:$B$304,"&lt;="&amp;$B150,$F$5:$F$304,"&gt;"&amp;$F$3)-$F$3*COUNTIFS($A$5:$A$304,$A150&amp;"",$B$5:$B$304,"&gt;="&amp;($B150-MOD(WEEKDAY($B150)-$B$3,7)),$B$5:$B$304,"&lt;="&amp;$B150,$F$5:$F$304,"&gt;"&amp;$F$3))-$D$3))),2))</f>
        <v/>
      </c>
      <c r="I150" s="26" t="n"/>
      <c r="J150" s="27">
        <f>IF(AND($A150="",$C150="",$D150=""),"",IF(OR($C150&gt;=1,$D150&gt;=1),"⚠ type the time with a colon: 9:00 AM, not 9",IF(AND($C150&lt;&gt;"",$C150=$D150),"⚠ clock-in equals clock-out: the shift adds 0 h",IF(AND($C150&lt;&gt;"",$D150&lt;&gt;"",IF($E150="",0,$E150)&gt;MOD($D150-$C150,1)*24),"⚠ the break is longer than the shift",IF(AND($A150&lt;&gt;"",COUNTIF('Monthly OT Summary'!$A$6:$A$35,$A150&amp;"")=0),"⚠ name not in Monthly OT Summary: its hours are not added","")))))</f>
        <v/>
      </c>
    </row>
    <row r="151">
      <c r="A151" s="21" t="n"/>
      <c r="B151" s="40" t="n"/>
      <c r="C151" s="41" t="n"/>
      <c r="D151" s="41" t="n"/>
      <c r="E151" s="24" t="n"/>
      <c r="F151" s="8">
        <f>IF(OR($C151="",$D151=""),"",IF(OR($C151&gt;=1,$D151&gt;=1,$C151=$D151,IF($E151="",0,$E151)&gt;MOD($D151-$C151,1)*24),"",ROUND(MOD($D151-$C151,1)*24-IF($E151="",0,$E151),2)))</f>
        <v/>
      </c>
      <c r="G151" s="25" t="n">
        <v>8</v>
      </c>
      <c r="H151" s="8">
        <f>IF(OR($A151="",$B151="",$F151=""),"",ROUND(IF($F$3="",0,MAX(0,$F151-$F$3))+IF($D$3="",0,MIN($F151-IF($F$3="",0,MAX(0,$F151-$F$3)),MAX(0,SUMIFS($F$5:$F$304,$A$5:$A$304,$A151&amp;"",$B$5:$B$304,"&gt;="&amp;($B151-MOD(WEEKDAY($B151)-$B$3,7)),$B$5:$B$304,"&lt;="&amp;$B151)-IF($F$3="",0,SUMIFS($F$5:$F$304,$A$5:$A$304,$A151&amp;"",$B$5:$B$304,"&gt;="&amp;($B151-MOD(WEEKDAY($B151)-$B$3,7)),$B$5:$B$304,"&lt;="&amp;$B151,$F$5:$F$304,"&gt;"&amp;$F$3)-$F$3*COUNTIFS($A$5:$A$304,$A151&amp;"",$B$5:$B$304,"&gt;="&amp;($B151-MOD(WEEKDAY($B151)-$B$3,7)),$B$5:$B$304,"&lt;="&amp;$B151,$F$5:$F$304,"&gt;"&amp;$F$3))-$D$3))),2))</f>
        <v/>
      </c>
      <c r="I151" s="26" t="n"/>
      <c r="J151" s="27">
        <f>IF(AND($A151="",$C151="",$D151=""),"",IF(OR($C151&gt;=1,$D151&gt;=1),"⚠ type the time with a colon: 9:00 AM, not 9",IF(AND($C151&lt;&gt;"",$C151=$D151),"⚠ clock-in equals clock-out: the shift adds 0 h",IF(AND($C151&lt;&gt;"",$D151&lt;&gt;"",IF($E151="",0,$E151)&gt;MOD($D151-$C151,1)*24),"⚠ the break is longer than the shift",IF(AND($A151&lt;&gt;"",COUNTIF('Monthly OT Summary'!$A$6:$A$35,$A151&amp;"")=0),"⚠ name not in Monthly OT Summary: its hours are not added","")))))</f>
        <v/>
      </c>
    </row>
    <row r="152">
      <c r="A152" s="21" t="n"/>
      <c r="B152" s="40" t="n"/>
      <c r="C152" s="41" t="n"/>
      <c r="D152" s="41" t="n"/>
      <c r="E152" s="24" t="n"/>
      <c r="F152" s="8">
        <f>IF(OR($C152="",$D152=""),"",IF(OR($C152&gt;=1,$D152&gt;=1,$C152=$D152,IF($E152="",0,$E152)&gt;MOD($D152-$C152,1)*24),"",ROUND(MOD($D152-$C152,1)*24-IF($E152="",0,$E152),2)))</f>
        <v/>
      </c>
      <c r="G152" s="25" t="n">
        <v>8</v>
      </c>
      <c r="H152" s="8">
        <f>IF(OR($A152="",$B152="",$F152=""),"",ROUND(IF($F$3="",0,MAX(0,$F152-$F$3))+IF($D$3="",0,MIN($F152-IF($F$3="",0,MAX(0,$F152-$F$3)),MAX(0,SUMIFS($F$5:$F$304,$A$5:$A$304,$A152&amp;"",$B$5:$B$304,"&gt;="&amp;($B152-MOD(WEEKDAY($B152)-$B$3,7)),$B$5:$B$304,"&lt;="&amp;$B152)-IF($F$3="",0,SUMIFS($F$5:$F$304,$A$5:$A$304,$A152&amp;"",$B$5:$B$304,"&gt;="&amp;($B152-MOD(WEEKDAY($B152)-$B$3,7)),$B$5:$B$304,"&lt;="&amp;$B152,$F$5:$F$304,"&gt;"&amp;$F$3)-$F$3*COUNTIFS($A$5:$A$304,$A152&amp;"",$B$5:$B$304,"&gt;="&amp;($B152-MOD(WEEKDAY($B152)-$B$3,7)),$B$5:$B$304,"&lt;="&amp;$B152,$F$5:$F$304,"&gt;"&amp;$F$3))-$D$3))),2))</f>
        <v/>
      </c>
      <c r="I152" s="26" t="n"/>
      <c r="J152" s="27">
        <f>IF(AND($A152="",$C152="",$D152=""),"",IF(OR($C152&gt;=1,$D152&gt;=1),"⚠ type the time with a colon: 9:00 AM, not 9",IF(AND($C152&lt;&gt;"",$C152=$D152),"⚠ clock-in equals clock-out: the shift adds 0 h",IF(AND($C152&lt;&gt;"",$D152&lt;&gt;"",IF($E152="",0,$E152)&gt;MOD($D152-$C152,1)*24),"⚠ the break is longer than the shift",IF(AND($A152&lt;&gt;"",COUNTIF('Monthly OT Summary'!$A$6:$A$35,$A152&amp;"")=0),"⚠ name not in Monthly OT Summary: its hours are not added","")))))</f>
        <v/>
      </c>
    </row>
    <row r="153">
      <c r="A153" s="21" t="n"/>
      <c r="B153" s="40" t="n"/>
      <c r="C153" s="41" t="n"/>
      <c r="D153" s="41" t="n"/>
      <c r="E153" s="24" t="n"/>
      <c r="F153" s="8">
        <f>IF(OR($C153="",$D153=""),"",IF(OR($C153&gt;=1,$D153&gt;=1,$C153=$D153,IF($E153="",0,$E153)&gt;MOD($D153-$C153,1)*24),"",ROUND(MOD($D153-$C153,1)*24-IF($E153="",0,$E153),2)))</f>
        <v/>
      </c>
      <c r="G153" s="25" t="n">
        <v>8</v>
      </c>
      <c r="H153" s="8">
        <f>IF(OR($A153="",$B153="",$F153=""),"",ROUND(IF($F$3="",0,MAX(0,$F153-$F$3))+IF($D$3="",0,MIN($F153-IF($F$3="",0,MAX(0,$F153-$F$3)),MAX(0,SUMIFS($F$5:$F$304,$A$5:$A$304,$A153&amp;"",$B$5:$B$304,"&gt;="&amp;($B153-MOD(WEEKDAY($B153)-$B$3,7)),$B$5:$B$304,"&lt;="&amp;$B153)-IF($F$3="",0,SUMIFS($F$5:$F$304,$A$5:$A$304,$A153&amp;"",$B$5:$B$304,"&gt;="&amp;($B153-MOD(WEEKDAY($B153)-$B$3,7)),$B$5:$B$304,"&lt;="&amp;$B153,$F$5:$F$304,"&gt;"&amp;$F$3)-$F$3*COUNTIFS($A$5:$A$304,$A153&amp;"",$B$5:$B$304,"&gt;="&amp;($B153-MOD(WEEKDAY($B153)-$B$3,7)),$B$5:$B$304,"&lt;="&amp;$B153,$F$5:$F$304,"&gt;"&amp;$F$3))-$D$3))),2))</f>
        <v/>
      </c>
      <c r="I153" s="26" t="n"/>
      <c r="J153" s="27">
        <f>IF(AND($A153="",$C153="",$D153=""),"",IF(OR($C153&gt;=1,$D153&gt;=1),"⚠ type the time with a colon: 9:00 AM, not 9",IF(AND($C153&lt;&gt;"",$C153=$D153),"⚠ clock-in equals clock-out: the shift adds 0 h",IF(AND($C153&lt;&gt;"",$D153&lt;&gt;"",IF($E153="",0,$E153)&gt;MOD($D153-$C153,1)*24),"⚠ the break is longer than the shift",IF(AND($A153&lt;&gt;"",COUNTIF('Monthly OT Summary'!$A$6:$A$35,$A153&amp;"")=0),"⚠ name not in Monthly OT Summary: its hours are not added","")))))</f>
        <v/>
      </c>
    </row>
    <row r="154">
      <c r="A154" s="21" t="n"/>
      <c r="B154" s="40" t="n"/>
      <c r="C154" s="41" t="n"/>
      <c r="D154" s="41" t="n"/>
      <c r="E154" s="24" t="n"/>
      <c r="F154" s="8">
        <f>IF(OR($C154="",$D154=""),"",IF(OR($C154&gt;=1,$D154&gt;=1,$C154=$D154,IF($E154="",0,$E154)&gt;MOD($D154-$C154,1)*24),"",ROUND(MOD($D154-$C154,1)*24-IF($E154="",0,$E154),2)))</f>
        <v/>
      </c>
      <c r="G154" s="25" t="n">
        <v>8</v>
      </c>
      <c r="H154" s="8">
        <f>IF(OR($A154="",$B154="",$F154=""),"",ROUND(IF($F$3="",0,MAX(0,$F154-$F$3))+IF($D$3="",0,MIN($F154-IF($F$3="",0,MAX(0,$F154-$F$3)),MAX(0,SUMIFS($F$5:$F$304,$A$5:$A$304,$A154&amp;"",$B$5:$B$304,"&gt;="&amp;($B154-MOD(WEEKDAY($B154)-$B$3,7)),$B$5:$B$304,"&lt;="&amp;$B154)-IF($F$3="",0,SUMIFS($F$5:$F$304,$A$5:$A$304,$A154&amp;"",$B$5:$B$304,"&gt;="&amp;($B154-MOD(WEEKDAY($B154)-$B$3,7)),$B$5:$B$304,"&lt;="&amp;$B154,$F$5:$F$304,"&gt;"&amp;$F$3)-$F$3*COUNTIFS($A$5:$A$304,$A154&amp;"",$B$5:$B$304,"&gt;="&amp;($B154-MOD(WEEKDAY($B154)-$B$3,7)),$B$5:$B$304,"&lt;="&amp;$B154,$F$5:$F$304,"&gt;"&amp;$F$3))-$D$3))),2))</f>
        <v/>
      </c>
      <c r="I154" s="26" t="n"/>
      <c r="J154" s="27">
        <f>IF(AND($A154="",$C154="",$D154=""),"",IF(OR($C154&gt;=1,$D154&gt;=1),"⚠ type the time with a colon: 9:00 AM, not 9",IF(AND($C154&lt;&gt;"",$C154=$D154),"⚠ clock-in equals clock-out: the shift adds 0 h",IF(AND($C154&lt;&gt;"",$D154&lt;&gt;"",IF($E154="",0,$E154)&gt;MOD($D154-$C154,1)*24),"⚠ the break is longer than the shift",IF(AND($A154&lt;&gt;"",COUNTIF('Monthly OT Summary'!$A$6:$A$35,$A154&amp;"")=0),"⚠ name not in Monthly OT Summary: its hours are not added","")))))</f>
        <v/>
      </c>
    </row>
    <row r="155">
      <c r="A155" s="21" t="n"/>
      <c r="B155" s="40" t="n"/>
      <c r="C155" s="41" t="n"/>
      <c r="D155" s="41" t="n"/>
      <c r="E155" s="24" t="n"/>
      <c r="F155" s="8">
        <f>IF(OR($C155="",$D155=""),"",IF(OR($C155&gt;=1,$D155&gt;=1,$C155=$D155,IF($E155="",0,$E155)&gt;MOD($D155-$C155,1)*24),"",ROUND(MOD($D155-$C155,1)*24-IF($E155="",0,$E155),2)))</f>
        <v/>
      </c>
      <c r="G155" s="25" t="n">
        <v>8</v>
      </c>
      <c r="H155" s="8">
        <f>IF(OR($A155="",$B155="",$F155=""),"",ROUND(IF($F$3="",0,MAX(0,$F155-$F$3))+IF($D$3="",0,MIN($F155-IF($F$3="",0,MAX(0,$F155-$F$3)),MAX(0,SUMIFS($F$5:$F$304,$A$5:$A$304,$A155&amp;"",$B$5:$B$304,"&gt;="&amp;($B155-MOD(WEEKDAY($B155)-$B$3,7)),$B$5:$B$304,"&lt;="&amp;$B155)-IF($F$3="",0,SUMIFS($F$5:$F$304,$A$5:$A$304,$A155&amp;"",$B$5:$B$304,"&gt;="&amp;($B155-MOD(WEEKDAY($B155)-$B$3,7)),$B$5:$B$304,"&lt;="&amp;$B155,$F$5:$F$304,"&gt;"&amp;$F$3)-$F$3*COUNTIFS($A$5:$A$304,$A155&amp;"",$B$5:$B$304,"&gt;="&amp;($B155-MOD(WEEKDAY($B155)-$B$3,7)),$B$5:$B$304,"&lt;="&amp;$B155,$F$5:$F$304,"&gt;"&amp;$F$3))-$D$3))),2))</f>
        <v/>
      </c>
      <c r="I155" s="26" t="n"/>
      <c r="J155" s="27">
        <f>IF(AND($A155="",$C155="",$D155=""),"",IF(OR($C155&gt;=1,$D155&gt;=1),"⚠ type the time with a colon: 9:00 AM, not 9",IF(AND($C155&lt;&gt;"",$C155=$D155),"⚠ clock-in equals clock-out: the shift adds 0 h",IF(AND($C155&lt;&gt;"",$D155&lt;&gt;"",IF($E155="",0,$E155)&gt;MOD($D155-$C155,1)*24),"⚠ the break is longer than the shift",IF(AND($A155&lt;&gt;"",COUNTIF('Monthly OT Summary'!$A$6:$A$35,$A155&amp;"")=0),"⚠ name not in Monthly OT Summary: its hours are not added","")))))</f>
        <v/>
      </c>
    </row>
    <row r="156">
      <c r="A156" s="21" t="n"/>
      <c r="B156" s="40" t="n"/>
      <c r="C156" s="41" t="n"/>
      <c r="D156" s="41" t="n"/>
      <c r="E156" s="24" t="n"/>
      <c r="F156" s="8">
        <f>IF(OR($C156="",$D156=""),"",IF(OR($C156&gt;=1,$D156&gt;=1,$C156=$D156,IF($E156="",0,$E156)&gt;MOD($D156-$C156,1)*24),"",ROUND(MOD($D156-$C156,1)*24-IF($E156="",0,$E156),2)))</f>
        <v/>
      </c>
      <c r="G156" s="25" t="n">
        <v>8</v>
      </c>
      <c r="H156" s="8">
        <f>IF(OR($A156="",$B156="",$F156=""),"",ROUND(IF($F$3="",0,MAX(0,$F156-$F$3))+IF($D$3="",0,MIN($F156-IF($F$3="",0,MAX(0,$F156-$F$3)),MAX(0,SUMIFS($F$5:$F$304,$A$5:$A$304,$A156&amp;"",$B$5:$B$304,"&gt;="&amp;($B156-MOD(WEEKDAY($B156)-$B$3,7)),$B$5:$B$304,"&lt;="&amp;$B156)-IF($F$3="",0,SUMIFS($F$5:$F$304,$A$5:$A$304,$A156&amp;"",$B$5:$B$304,"&gt;="&amp;($B156-MOD(WEEKDAY($B156)-$B$3,7)),$B$5:$B$304,"&lt;="&amp;$B156,$F$5:$F$304,"&gt;"&amp;$F$3)-$F$3*COUNTIFS($A$5:$A$304,$A156&amp;"",$B$5:$B$304,"&gt;="&amp;($B156-MOD(WEEKDAY($B156)-$B$3,7)),$B$5:$B$304,"&lt;="&amp;$B156,$F$5:$F$304,"&gt;"&amp;$F$3))-$D$3))),2))</f>
        <v/>
      </c>
      <c r="I156" s="26" t="n"/>
      <c r="J156" s="27">
        <f>IF(AND($A156="",$C156="",$D156=""),"",IF(OR($C156&gt;=1,$D156&gt;=1),"⚠ type the time with a colon: 9:00 AM, not 9",IF(AND($C156&lt;&gt;"",$C156=$D156),"⚠ clock-in equals clock-out: the shift adds 0 h",IF(AND($C156&lt;&gt;"",$D156&lt;&gt;"",IF($E156="",0,$E156)&gt;MOD($D156-$C156,1)*24),"⚠ the break is longer than the shift",IF(AND($A156&lt;&gt;"",COUNTIF('Monthly OT Summary'!$A$6:$A$35,$A156&amp;"")=0),"⚠ name not in Monthly OT Summary: its hours are not added","")))))</f>
        <v/>
      </c>
    </row>
    <row r="157">
      <c r="A157" s="21" t="n"/>
      <c r="B157" s="40" t="n"/>
      <c r="C157" s="41" t="n"/>
      <c r="D157" s="41" t="n"/>
      <c r="E157" s="24" t="n"/>
      <c r="F157" s="8">
        <f>IF(OR($C157="",$D157=""),"",IF(OR($C157&gt;=1,$D157&gt;=1,$C157=$D157,IF($E157="",0,$E157)&gt;MOD($D157-$C157,1)*24),"",ROUND(MOD($D157-$C157,1)*24-IF($E157="",0,$E157),2)))</f>
        <v/>
      </c>
      <c r="G157" s="25" t="n">
        <v>8</v>
      </c>
      <c r="H157" s="8">
        <f>IF(OR($A157="",$B157="",$F157=""),"",ROUND(IF($F$3="",0,MAX(0,$F157-$F$3))+IF($D$3="",0,MIN($F157-IF($F$3="",0,MAX(0,$F157-$F$3)),MAX(0,SUMIFS($F$5:$F$304,$A$5:$A$304,$A157&amp;"",$B$5:$B$304,"&gt;="&amp;($B157-MOD(WEEKDAY($B157)-$B$3,7)),$B$5:$B$304,"&lt;="&amp;$B157)-IF($F$3="",0,SUMIFS($F$5:$F$304,$A$5:$A$304,$A157&amp;"",$B$5:$B$304,"&gt;="&amp;($B157-MOD(WEEKDAY($B157)-$B$3,7)),$B$5:$B$304,"&lt;="&amp;$B157,$F$5:$F$304,"&gt;"&amp;$F$3)-$F$3*COUNTIFS($A$5:$A$304,$A157&amp;"",$B$5:$B$304,"&gt;="&amp;($B157-MOD(WEEKDAY($B157)-$B$3,7)),$B$5:$B$304,"&lt;="&amp;$B157,$F$5:$F$304,"&gt;"&amp;$F$3))-$D$3))),2))</f>
        <v/>
      </c>
      <c r="I157" s="26" t="n"/>
      <c r="J157" s="27">
        <f>IF(AND($A157="",$C157="",$D157=""),"",IF(OR($C157&gt;=1,$D157&gt;=1),"⚠ type the time with a colon: 9:00 AM, not 9",IF(AND($C157&lt;&gt;"",$C157=$D157),"⚠ clock-in equals clock-out: the shift adds 0 h",IF(AND($C157&lt;&gt;"",$D157&lt;&gt;"",IF($E157="",0,$E157)&gt;MOD($D157-$C157,1)*24),"⚠ the break is longer than the shift",IF(AND($A157&lt;&gt;"",COUNTIF('Monthly OT Summary'!$A$6:$A$35,$A157&amp;"")=0),"⚠ name not in Monthly OT Summary: its hours are not added","")))))</f>
        <v/>
      </c>
    </row>
    <row r="158">
      <c r="A158" s="21" t="n"/>
      <c r="B158" s="40" t="n"/>
      <c r="C158" s="41" t="n"/>
      <c r="D158" s="41" t="n"/>
      <c r="E158" s="24" t="n"/>
      <c r="F158" s="8">
        <f>IF(OR($C158="",$D158=""),"",IF(OR($C158&gt;=1,$D158&gt;=1,$C158=$D158,IF($E158="",0,$E158)&gt;MOD($D158-$C158,1)*24),"",ROUND(MOD($D158-$C158,1)*24-IF($E158="",0,$E158),2)))</f>
        <v/>
      </c>
      <c r="G158" s="25" t="n">
        <v>8</v>
      </c>
      <c r="H158" s="8">
        <f>IF(OR($A158="",$B158="",$F158=""),"",ROUND(IF($F$3="",0,MAX(0,$F158-$F$3))+IF($D$3="",0,MIN($F158-IF($F$3="",0,MAX(0,$F158-$F$3)),MAX(0,SUMIFS($F$5:$F$304,$A$5:$A$304,$A158&amp;"",$B$5:$B$304,"&gt;="&amp;($B158-MOD(WEEKDAY($B158)-$B$3,7)),$B$5:$B$304,"&lt;="&amp;$B158)-IF($F$3="",0,SUMIFS($F$5:$F$304,$A$5:$A$304,$A158&amp;"",$B$5:$B$304,"&gt;="&amp;($B158-MOD(WEEKDAY($B158)-$B$3,7)),$B$5:$B$304,"&lt;="&amp;$B158,$F$5:$F$304,"&gt;"&amp;$F$3)-$F$3*COUNTIFS($A$5:$A$304,$A158&amp;"",$B$5:$B$304,"&gt;="&amp;($B158-MOD(WEEKDAY($B158)-$B$3,7)),$B$5:$B$304,"&lt;="&amp;$B158,$F$5:$F$304,"&gt;"&amp;$F$3))-$D$3))),2))</f>
        <v/>
      </c>
      <c r="I158" s="26" t="n"/>
      <c r="J158" s="27">
        <f>IF(AND($A158="",$C158="",$D158=""),"",IF(OR($C158&gt;=1,$D158&gt;=1),"⚠ type the time with a colon: 9:00 AM, not 9",IF(AND($C158&lt;&gt;"",$C158=$D158),"⚠ clock-in equals clock-out: the shift adds 0 h",IF(AND($C158&lt;&gt;"",$D158&lt;&gt;"",IF($E158="",0,$E158)&gt;MOD($D158-$C158,1)*24),"⚠ the break is longer than the shift",IF(AND($A158&lt;&gt;"",COUNTIF('Monthly OT Summary'!$A$6:$A$35,$A158&amp;"")=0),"⚠ name not in Monthly OT Summary: its hours are not added","")))))</f>
        <v/>
      </c>
    </row>
    <row r="159">
      <c r="A159" s="21" t="n"/>
      <c r="B159" s="40" t="n"/>
      <c r="C159" s="41" t="n"/>
      <c r="D159" s="41" t="n"/>
      <c r="E159" s="24" t="n"/>
      <c r="F159" s="8">
        <f>IF(OR($C159="",$D159=""),"",IF(OR($C159&gt;=1,$D159&gt;=1,$C159=$D159,IF($E159="",0,$E159)&gt;MOD($D159-$C159,1)*24),"",ROUND(MOD($D159-$C159,1)*24-IF($E159="",0,$E159),2)))</f>
        <v/>
      </c>
      <c r="G159" s="25" t="n">
        <v>8</v>
      </c>
      <c r="H159" s="8">
        <f>IF(OR($A159="",$B159="",$F159=""),"",ROUND(IF($F$3="",0,MAX(0,$F159-$F$3))+IF($D$3="",0,MIN($F159-IF($F$3="",0,MAX(0,$F159-$F$3)),MAX(0,SUMIFS($F$5:$F$304,$A$5:$A$304,$A159&amp;"",$B$5:$B$304,"&gt;="&amp;($B159-MOD(WEEKDAY($B159)-$B$3,7)),$B$5:$B$304,"&lt;="&amp;$B159)-IF($F$3="",0,SUMIFS($F$5:$F$304,$A$5:$A$304,$A159&amp;"",$B$5:$B$304,"&gt;="&amp;($B159-MOD(WEEKDAY($B159)-$B$3,7)),$B$5:$B$304,"&lt;="&amp;$B159,$F$5:$F$304,"&gt;"&amp;$F$3)-$F$3*COUNTIFS($A$5:$A$304,$A159&amp;"",$B$5:$B$304,"&gt;="&amp;($B159-MOD(WEEKDAY($B159)-$B$3,7)),$B$5:$B$304,"&lt;="&amp;$B159,$F$5:$F$304,"&gt;"&amp;$F$3))-$D$3))),2))</f>
        <v/>
      </c>
      <c r="I159" s="26" t="n"/>
      <c r="J159" s="27">
        <f>IF(AND($A159="",$C159="",$D159=""),"",IF(OR($C159&gt;=1,$D159&gt;=1),"⚠ type the time with a colon: 9:00 AM, not 9",IF(AND($C159&lt;&gt;"",$C159=$D159),"⚠ clock-in equals clock-out: the shift adds 0 h",IF(AND($C159&lt;&gt;"",$D159&lt;&gt;"",IF($E159="",0,$E159)&gt;MOD($D159-$C159,1)*24),"⚠ the break is longer than the shift",IF(AND($A159&lt;&gt;"",COUNTIF('Monthly OT Summary'!$A$6:$A$35,$A159&amp;"")=0),"⚠ name not in Monthly OT Summary: its hours are not added","")))))</f>
        <v/>
      </c>
    </row>
    <row r="160">
      <c r="A160" s="21" t="n"/>
      <c r="B160" s="40" t="n"/>
      <c r="C160" s="41" t="n"/>
      <c r="D160" s="41" t="n"/>
      <c r="E160" s="24" t="n"/>
      <c r="F160" s="8">
        <f>IF(OR($C160="",$D160=""),"",IF(OR($C160&gt;=1,$D160&gt;=1,$C160=$D160,IF($E160="",0,$E160)&gt;MOD($D160-$C160,1)*24),"",ROUND(MOD($D160-$C160,1)*24-IF($E160="",0,$E160),2)))</f>
        <v/>
      </c>
      <c r="G160" s="25" t="n">
        <v>8</v>
      </c>
      <c r="H160" s="8">
        <f>IF(OR($A160="",$B160="",$F160=""),"",ROUND(IF($F$3="",0,MAX(0,$F160-$F$3))+IF($D$3="",0,MIN($F160-IF($F$3="",0,MAX(0,$F160-$F$3)),MAX(0,SUMIFS($F$5:$F$304,$A$5:$A$304,$A160&amp;"",$B$5:$B$304,"&gt;="&amp;($B160-MOD(WEEKDAY($B160)-$B$3,7)),$B$5:$B$304,"&lt;="&amp;$B160)-IF($F$3="",0,SUMIFS($F$5:$F$304,$A$5:$A$304,$A160&amp;"",$B$5:$B$304,"&gt;="&amp;($B160-MOD(WEEKDAY($B160)-$B$3,7)),$B$5:$B$304,"&lt;="&amp;$B160,$F$5:$F$304,"&gt;"&amp;$F$3)-$F$3*COUNTIFS($A$5:$A$304,$A160&amp;"",$B$5:$B$304,"&gt;="&amp;($B160-MOD(WEEKDAY($B160)-$B$3,7)),$B$5:$B$304,"&lt;="&amp;$B160,$F$5:$F$304,"&gt;"&amp;$F$3))-$D$3))),2))</f>
        <v/>
      </c>
      <c r="I160" s="26" t="n"/>
      <c r="J160" s="27">
        <f>IF(AND($A160="",$C160="",$D160=""),"",IF(OR($C160&gt;=1,$D160&gt;=1),"⚠ type the time with a colon: 9:00 AM, not 9",IF(AND($C160&lt;&gt;"",$C160=$D160),"⚠ clock-in equals clock-out: the shift adds 0 h",IF(AND($C160&lt;&gt;"",$D160&lt;&gt;"",IF($E160="",0,$E160)&gt;MOD($D160-$C160,1)*24),"⚠ the break is longer than the shift",IF(AND($A160&lt;&gt;"",COUNTIF('Monthly OT Summary'!$A$6:$A$35,$A160&amp;"")=0),"⚠ name not in Monthly OT Summary: its hours are not added","")))))</f>
        <v/>
      </c>
    </row>
    <row r="161">
      <c r="A161" s="21" t="n"/>
      <c r="B161" s="40" t="n"/>
      <c r="C161" s="41" t="n"/>
      <c r="D161" s="41" t="n"/>
      <c r="E161" s="24" t="n"/>
      <c r="F161" s="8">
        <f>IF(OR($C161="",$D161=""),"",IF(OR($C161&gt;=1,$D161&gt;=1,$C161=$D161,IF($E161="",0,$E161)&gt;MOD($D161-$C161,1)*24),"",ROUND(MOD($D161-$C161,1)*24-IF($E161="",0,$E161),2)))</f>
        <v/>
      </c>
      <c r="G161" s="25" t="n">
        <v>8</v>
      </c>
      <c r="H161" s="8">
        <f>IF(OR($A161="",$B161="",$F161=""),"",ROUND(IF($F$3="",0,MAX(0,$F161-$F$3))+IF($D$3="",0,MIN($F161-IF($F$3="",0,MAX(0,$F161-$F$3)),MAX(0,SUMIFS($F$5:$F$304,$A$5:$A$304,$A161&amp;"",$B$5:$B$304,"&gt;="&amp;($B161-MOD(WEEKDAY($B161)-$B$3,7)),$B$5:$B$304,"&lt;="&amp;$B161)-IF($F$3="",0,SUMIFS($F$5:$F$304,$A$5:$A$304,$A161&amp;"",$B$5:$B$304,"&gt;="&amp;($B161-MOD(WEEKDAY($B161)-$B$3,7)),$B$5:$B$304,"&lt;="&amp;$B161,$F$5:$F$304,"&gt;"&amp;$F$3)-$F$3*COUNTIFS($A$5:$A$304,$A161&amp;"",$B$5:$B$304,"&gt;="&amp;($B161-MOD(WEEKDAY($B161)-$B$3,7)),$B$5:$B$304,"&lt;="&amp;$B161,$F$5:$F$304,"&gt;"&amp;$F$3))-$D$3))),2))</f>
        <v/>
      </c>
      <c r="I161" s="26" t="n"/>
      <c r="J161" s="27">
        <f>IF(AND($A161="",$C161="",$D161=""),"",IF(OR($C161&gt;=1,$D161&gt;=1),"⚠ type the time with a colon: 9:00 AM, not 9",IF(AND($C161&lt;&gt;"",$C161=$D161),"⚠ clock-in equals clock-out: the shift adds 0 h",IF(AND($C161&lt;&gt;"",$D161&lt;&gt;"",IF($E161="",0,$E161)&gt;MOD($D161-$C161,1)*24),"⚠ the break is longer than the shift",IF(AND($A161&lt;&gt;"",COUNTIF('Monthly OT Summary'!$A$6:$A$35,$A161&amp;"")=0),"⚠ name not in Monthly OT Summary: its hours are not added","")))))</f>
        <v/>
      </c>
    </row>
    <row r="162">
      <c r="A162" s="21" t="n"/>
      <c r="B162" s="40" t="n"/>
      <c r="C162" s="41" t="n"/>
      <c r="D162" s="41" t="n"/>
      <c r="E162" s="24" t="n"/>
      <c r="F162" s="8">
        <f>IF(OR($C162="",$D162=""),"",IF(OR($C162&gt;=1,$D162&gt;=1,$C162=$D162,IF($E162="",0,$E162)&gt;MOD($D162-$C162,1)*24),"",ROUND(MOD($D162-$C162,1)*24-IF($E162="",0,$E162),2)))</f>
        <v/>
      </c>
      <c r="G162" s="25" t="n">
        <v>8</v>
      </c>
      <c r="H162" s="8">
        <f>IF(OR($A162="",$B162="",$F162=""),"",ROUND(IF($F$3="",0,MAX(0,$F162-$F$3))+IF($D$3="",0,MIN($F162-IF($F$3="",0,MAX(0,$F162-$F$3)),MAX(0,SUMIFS($F$5:$F$304,$A$5:$A$304,$A162&amp;"",$B$5:$B$304,"&gt;="&amp;($B162-MOD(WEEKDAY($B162)-$B$3,7)),$B$5:$B$304,"&lt;="&amp;$B162)-IF($F$3="",0,SUMIFS($F$5:$F$304,$A$5:$A$304,$A162&amp;"",$B$5:$B$304,"&gt;="&amp;($B162-MOD(WEEKDAY($B162)-$B$3,7)),$B$5:$B$304,"&lt;="&amp;$B162,$F$5:$F$304,"&gt;"&amp;$F$3)-$F$3*COUNTIFS($A$5:$A$304,$A162&amp;"",$B$5:$B$304,"&gt;="&amp;($B162-MOD(WEEKDAY($B162)-$B$3,7)),$B$5:$B$304,"&lt;="&amp;$B162,$F$5:$F$304,"&gt;"&amp;$F$3))-$D$3))),2))</f>
        <v/>
      </c>
      <c r="I162" s="26" t="n"/>
      <c r="J162" s="27">
        <f>IF(AND($A162="",$C162="",$D162=""),"",IF(OR($C162&gt;=1,$D162&gt;=1),"⚠ type the time with a colon: 9:00 AM, not 9",IF(AND($C162&lt;&gt;"",$C162=$D162),"⚠ clock-in equals clock-out: the shift adds 0 h",IF(AND($C162&lt;&gt;"",$D162&lt;&gt;"",IF($E162="",0,$E162)&gt;MOD($D162-$C162,1)*24),"⚠ the break is longer than the shift",IF(AND($A162&lt;&gt;"",COUNTIF('Monthly OT Summary'!$A$6:$A$35,$A162&amp;"")=0),"⚠ name not in Monthly OT Summary: its hours are not added","")))))</f>
        <v/>
      </c>
    </row>
    <row r="163">
      <c r="A163" s="21" t="n"/>
      <c r="B163" s="40" t="n"/>
      <c r="C163" s="41" t="n"/>
      <c r="D163" s="41" t="n"/>
      <c r="E163" s="24" t="n"/>
      <c r="F163" s="8">
        <f>IF(OR($C163="",$D163=""),"",IF(OR($C163&gt;=1,$D163&gt;=1,$C163=$D163,IF($E163="",0,$E163)&gt;MOD($D163-$C163,1)*24),"",ROUND(MOD($D163-$C163,1)*24-IF($E163="",0,$E163),2)))</f>
        <v/>
      </c>
      <c r="G163" s="25" t="n">
        <v>8</v>
      </c>
      <c r="H163" s="8">
        <f>IF(OR($A163="",$B163="",$F163=""),"",ROUND(IF($F$3="",0,MAX(0,$F163-$F$3))+IF($D$3="",0,MIN($F163-IF($F$3="",0,MAX(0,$F163-$F$3)),MAX(0,SUMIFS($F$5:$F$304,$A$5:$A$304,$A163&amp;"",$B$5:$B$304,"&gt;="&amp;($B163-MOD(WEEKDAY($B163)-$B$3,7)),$B$5:$B$304,"&lt;="&amp;$B163)-IF($F$3="",0,SUMIFS($F$5:$F$304,$A$5:$A$304,$A163&amp;"",$B$5:$B$304,"&gt;="&amp;($B163-MOD(WEEKDAY($B163)-$B$3,7)),$B$5:$B$304,"&lt;="&amp;$B163,$F$5:$F$304,"&gt;"&amp;$F$3)-$F$3*COUNTIFS($A$5:$A$304,$A163&amp;"",$B$5:$B$304,"&gt;="&amp;($B163-MOD(WEEKDAY($B163)-$B$3,7)),$B$5:$B$304,"&lt;="&amp;$B163,$F$5:$F$304,"&gt;"&amp;$F$3))-$D$3))),2))</f>
        <v/>
      </c>
      <c r="I163" s="26" t="n"/>
      <c r="J163" s="27">
        <f>IF(AND($A163="",$C163="",$D163=""),"",IF(OR($C163&gt;=1,$D163&gt;=1),"⚠ type the time with a colon: 9:00 AM, not 9",IF(AND($C163&lt;&gt;"",$C163=$D163),"⚠ clock-in equals clock-out: the shift adds 0 h",IF(AND($C163&lt;&gt;"",$D163&lt;&gt;"",IF($E163="",0,$E163)&gt;MOD($D163-$C163,1)*24),"⚠ the break is longer than the shift",IF(AND($A163&lt;&gt;"",COUNTIF('Monthly OT Summary'!$A$6:$A$35,$A163&amp;"")=0),"⚠ name not in Monthly OT Summary: its hours are not added","")))))</f>
        <v/>
      </c>
    </row>
    <row r="164">
      <c r="A164" s="21" t="n"/>
      <c r="B164" s="40" t="n"/>
      <c r="C164" s="41" t="n"/>
      <c r="D164" s="41" t="n"/>
      <c r="E164" s="24" t="n"/>
      <c r="F164" s="8">
        <f>IF(OR($C164="",$D164=""),"",IF(OR($C164&gt;=1,$D164&gt;=1,$C164=$D164,IF($E164="",0,$E164)&gt;MOD($D164-$C164,1)*24),"",ROUND(MOD($D164-$C164,1)*24-IF($E164="",0,$E164),2)))</f>
        <v/>
      </c>
      <c r="G164" s="25" t="n">
        <v>8</v>
      </c>
      <c r="H164" s="8">
        <f>IF(OR($A164="",$B164="",$F164=""),"",ROUND(IF($F$3="",0,MAX(0,$F164-$F$3))+IF($D$3="",0,MIN($F164-IF($F$3="",0,MAX(0,$F164-$F$3)),MAX(0,SUMIFS($F$5:$F$304,$A$5:$A$304,$A164&amp;"",$B$5:$B$304,"&gt;="&amp;($B164-MOD(WEEKDAY($B164)-$B$3,7)),$B$5:$B$304,"&lt;="&amp;$B164)-IF($F$3="",0,SUMIFS($F$5:$F$304,$A$5:$A$304,$A164&amp;"",$B$5:$B$304,"&gt;="&amp;($B164-MOD(WEEKDAY($B164)-$B$3,7)),$B$5:$B$304,"&lt;="&amp;$B164,$F$5:$F$304,"&gt;"&amp;$F$3)-$F$3*COUNTIFS($A$5:$A$304,$A164&amp;"",$B$5:$B$304,"&gt;="&amp;($B164-MOD(WEEKDAY($B164)-$B$3,7)),$B$5:$B$304,"&lt;="&amp;$B164,$F$5:$F$304,"&gt;"&amp;$F$3))-$D$3))),2))</f>
        <v/>
      </c>
      <c r="I164" s="26" t="n"/>
      <c r="J164" s="27">
        <f>IF(AND($A164="",$C164="",$D164=""),"",IF(OR($C164&gt;=1,$D164&gt;=1),"⚠ type the time with a colon: 9:00 AM, not 9",IF(AND($C164&lt;&gt;"",$C164=$D164),"⚠ clock-in equals clock-out: the shift adds 0 h",IF(AND($C164&lt;&gt;"",$D164&lt;&gt;"",IF($E164="",0,$E164)&gt;MOD($D164-$C164,1)*24),"⚠ the break is longer than the shift",IF(AND($A164&lt;&gt;"",COUNTIF('Monthly OT Summary'!$A$6:$A$35,$A164&amp;"")=0),"⚠ name not in Monthly OT Summary: its hours are not added","")))))</f>
        <v/>
      </c>
    </row>
    <row r="165">
      <c r="A165" s="21" t="n"/>
      <c r="B165" s="40" t="n"/>
      <c r="C165" s="41" t="n"/>
      <c r="D165" s="41" t="n"/>
      <c r="E165" s="24" t="n"/>
      <c r="F165" s="8">
        <f>IF(OR($C165="",$D165=""),"",IF(OR($C165&gt;=1,$D165&gt;=1,$C165=$D165,IF($E165="",0,$E165)&gt;MOD($D165-$C165,1)*24),"",ROUND(MOD($D165-$C165,1)*24-IF($E165="",0,$E165),2)))</f>
        <v/>
      </c>
      <c r="G165" s="25" t="n">
        <v>8</v>
      </c>
      <c r="H165" s="8">
        <f>IF(OR($A165="",$B165="",$F165=""),"",ROUND(IF($F$3="",0,MAX(0,$F165-$F$3))+IF($D$3="",0,MIN($F165-IF($F$3="",0,MAX(0,$F165-$F$3)),MAX(0,SUMIFS($F$5:$F$304,$A$5:$A$304,$A165&amp;"",$B$5:$B$304,"&gt;="&amp;($B165-MOD(WEEKDAY($B165)-$B$3,7)),$B$5:$B$304,"&lt;="&amp;$B165)-IF($F$3="",0,SUMIFS($F$5:$F$304,$A$5:$A$304,$A165&amp;"",$B$5:$B$304,"&gt;="&amp;($B165-MOD(WEEKDAY($B165)-$B$3,7)),$B$5:$B$304,"&lt;="&amp;$B165,$F$5:$F$304,"&gt;"&amp;$F$3)-$F$3*COUNTIFS($A$5:$A$304,$A165&amp;"",$B$5:$B$304,"&gt;="&amp;($B165-MOD(WEEKDAY($B165)-$B$3,7)),$B$5:$B$304,"&lt;="&amp;$B165,$F$5:$F$304,"&gt;"&amp;$F$3))-$D$3))),2))</f>
        <v/>
      </c>
      <c r="I165" s="26" t="n"/>
      <c r="J165" s="27">
        <f>IF(AND($A165="",$C165="",$D165=""),"",IF(OR($C165&gt;=1,$D165&gt;=1),"⚠ type the time with a colon: 9:00 AM, not 9",IF(AND($C165&lt;&gt;"",$C165=$D165),"⚠ clock-in equals clock-out: the shift adds 0 h",IF(AND($C165&lt;&gt;"",$D165&lt;&gt;"",IF($E165="",0,$E165)&gt;MOD($D165-$C165,1)*24),"⚠ the break is longer than the shift",IF(AND($A165&lt;&gt;"",COUNTIF('Monthly OT Summary'!$A$6:$A$35,$A165&amp;"")=0),"⚠ name not in Monthly OT Summary: its hours are not added","")))))</f>
        <v/>
      </c>
    </row>
    <row r="166">
      <c r="A166" s="21" t="n"/>
      <c r="B166" s="40" t="n"/>
      <c r="C166" s="41" t="n"/>
      <c r="D166" s="41" t="n"/>
      <c r="E166" s="24" t="n"/>
      <c r="F166" s="8">
        <f>IF(OR($C166="",$D166=""),"",IF(OR($C166&gt;=1,$D166&gt;=1,$C166=$D166,IF($E166="",0,$E166)&gt;MOD($D166-$C166,1)*24),"",ROUND(MOD($D166-$C166,1)*24-IF($E166="",0,$E166),2)))</f>
        <v/>
      </c>
      <c r="G166" s="25" t="n">
        <v>8</v>
      </c>
      <c r="H166" s="8">
        <f>IF(OR($A166="",$B166="",$F166=""),"",ROUND(IF($F$3="",0,MAX(0,$F166-$F$3))+IF($D$3="",0,MIN($F166-IF($F$3="",0,MAX(0,$F166-$F$3)),MAX(0,SUMIFS($F$5:$F$304,$A$5:$A$304,$A166&amp;"",$B$5:$B$304,"&gt;="&amp;($B166-MOD(WEEKDAY($B166)-$B$3,7)),$B$5:$B$304,"&lt;="&amp;$B166)-IF($F$3="",0,SUMIFS($F$5:$F$304,$A$5:$A$304,$A166&amp;"",$B$5:$B$304,"&gt;="&amp;($B166-MOD(WEEKDAY($B166)-$B$3,7)),$B$5:$B$304,"&lt;="&amp;$B166,$F$5:$F$304,"&gt;"&amp;$F$3)-$F$3*COUNTIFS($A$5:$A$304,$A166&amp;"",$B$5:$B$304,"&gt;="&amp;($B166-MOD(WEEKDAY($B166)-$B$3,7)),$B$5:$B$304,"&lt;="&amp;$B166,$F$5:$F$304,"&gt;"&amp;$F$3))-$D$3))),2))</f>
        <v/>
      </c>
      <c r="I166" s="26" t="n"/>
      <c r="J166" s="27">
        <f>IF(AND($A166="",$C166="",$D166=""),"",IF(OR($C166&gt;=1,$D166&gt;=1),"⚠ type the time with a colon: 9:00 AM, not 9",IF(AND($C166&lt;&gt;"",$C166=$D166),"⚠ clock-in equals clock-out: the shift adds 0 h",IF(AND($C166&lt;&gt;"",$D166&lt;&gt;"",IF($E166="",0,$E166)&gt;MOD($D166-$C166,1)*24),"⚠ the break is longer than the shift",IF(AND($A166&lt;&gt;"",COUNTIF('Monthly OT Summary'!$A$6:$A$35,$A166&amp;"")=0),"⚠ name not in Monthly OT Summary: its hours are not added","")))))</f>
        <v/>
      </c>
    </row>
    <row r="167">
      <c r="A167" s="21" t="n"/>
      <c r="B167" s="40" t="n"/>
      <c r="C167" s="41" t="n"/>
      <c r="D167" s="41" t="n"/>
      <c r="E167" s="24" t="n"/>
      <c r="F167" s="8">
        <f>IF(OR($C167="",$D167=""),"",IF(OR($C167&gt;=1,$D167&gt;=1,$C167=$D167,IF($E167="",0,$E167)&gt;MOD($D167-$C167,1)*24),"",ROUND(MOD($D167-$C167,1)*24-IF($E167="",0,$E167),2)))</f>
        <v/>
      </c>
      <c r="G167" s="25" t="n">
        <v>8</v>
      </c>
      <c r="H167" s="8">
        <f>IF(OR($A167="",$B167="",$F167=""),"",ROUND(IF($F$3="",0,MAX(0,$F167-$F$3))+IF($D$3="",0,MIN($F167-IF($F$3="",0,MAX(0,$F167-$F$3)),MAX(0,SUMIFS($F$5:$F$304,$A$5:$A$304,$A167&amp;"",$B$5:$B$304,"&gt;="&amp;($B167-MOD(WEEKDAY($B167)-$B$3,7)),$B$5:$B$304,"&lt;="&amp;$B167)-IF($F$3="",0,SUMIFS($F$5:$F$304,$A$5:$A$304,$A167&amp;"",$B$5:$B$304,"&gt;="&amp;($B167-MOD(WEEKDAY($B167)-$B$3,7)),$B$5:$B$304,"&lt;="&amp;$B167,$F$5:$F$304,"&gt;"&amp;$F$3)-$F$3*COUNTIFS($A$5:$A$304,$A167&amp;"",$B$5:$B$304,"&gt;="&amp;($B167-MOD(WEEKDAY($B167)-$B$3,7)),$B$5:$B$304,"&lt;="&amp;$B167,$F$5:$F$304,"&gt;"&amp;$F$3))-$D$3))),2))</f>
        <v/>
      </c>
      <c r="I167" s="26" t="n"/>
      <c r="J167" s="27">
        <f>IF(AND($A167="",$C167="",$D167=""),"",IF(OR($C167&gt;=1,$D167&gt;=1),"⚠ type the time with a colon: 9:00 AM, not 9",IF(AND($C167&lt;&gt;"",$C167=$D167),"⚠ clock-in equals clock-out: the shift adds 0 h",IF(AND($C167&lt;&gt;"",$D167&lt;&gt;"",IF($E167="",0,$E167)&gt;MOD($D167-$C167,1)*24),"⚠ the break is longer than the shift",IF(AND($A167&lt;&gt;"",COUNTIF('Monthly OT Summary'!$A$6:$A$35,$A167&amp;"")=0),"⚠ name not in Monthly OT Summary: its hours are not added","")))))</f>
        <v/>
      </c>
    </row>
    <row r="168">
      <c r="A168" s="21" t="n"/>
      <c r="B168" s="40" t="n"/>
      <c r="C168" s="41" t="n"/>
      <c r="D168" s="41" t="n"/>
      <c r="E168" s="24" t="n"/>
      <c r="F168" s="8">
        <f>IF(OR($C168="",$D168=""),"",IF(OR($C168&gt;=1,$D168&gt;=1,$C168=$D168,IF($E168="",0,$E168)&gt;MOD($D168-$C168,1)*24),"",ROUND(MOD($D168-$C168,1)*24-IF($E168="",0,$E168),2)))</f>
        <v/>
      </c>
      <c r="G168" s="25" t="n">
        <v>8</v>
      </c>
      <c r="H168" s="8">
        <f>IF(OR($A168="",$B168="",$F168=""),"",ROUND(IF($F$3="",0,MAX(0,$F168-$F$3))+IF($D$3="",0,MIN($F168-IF($F$3="",0,MAX(0,$F168-$F$3)),MAX(0,SUMIFS($F$5:$F$304,$A$5:$A$304,$A168&amp;"",$B$5:$B$304,"&gt;="&amp;($B168-MOD(WEEKDAY($B168)-$B$3,7)),$B$5:$B$304,"&lt;="&amp;$B168)-IF($F$3="",0,SUMIFS($F$5:$F$304,$A$5:$A$304,$A168&amp;"",$B$5:$B$304,"&gt;="&amp;($B168-MOD(WEEKDAY($B168)-$B$3,7)),$B$5:$B$304,"&lt;="&amp;$B168,$F$5:$F$304,"&gt;"&amp;$F$3)-$F$3*COUNTIFS($A$5:$A$304,$A168&amp;"",$B$5:$B$304,"&gt;="&amp;($B168-MOD(WEEKDAY($B168)-$B$3,7)),$B$5:$B$304,"&lt;="&amp;$B168,$F$5:$F$304,"&gt;"&amp;$F$3))-$D$3))),2))</f>
        <v/>
      </c>
      <c r="I168" s="26" t="n"/>
      <c r="J168" s="27">
        <f>IF(AND($A168="",$C168="",$D168=""),"",IF(OR($C168&gt;=1,$D168&gt;=1),"⚠ type the time with a colon: 9:00 AM, not 9",IF(AND($C168&lt;&gt;"",$C168=$D168),"⚠ clock-in equals clock-out: the shift adds 0 h",IF(AND($C168&lt;&gt;"",$D168&lt;&gt;"",IF($E168="",0,$E168)&gt;MOD($D168-$C168,1)*24),"⚠ the break is longer than the shift",IF(AND($A168&lt;&gt;"",COUNTIF('Monthly OT Summary'!$A$6:$A$35,$A168&amp;"")=0),"⚠ name not in Monthly OT Summary: its hours are not added","")))))</f>
        <v/>
      </c>
    </row>
    <row r="169">
      <c r="A169" s="21" t="n"/>
      <c r="B169" s="40" t="n"/>
      <c r="C169" s="41" t="n"/>
      <c r="D169" s="41" t="n"/>
      <c r="E169" s="24" t="n"/>
      <c r="F169" s="8">
        <f>IF(OR($C169="",$D169=""),"",IF(OR($C169&gt;=1,$D169&gt;=1,$C169=$D169,IF($E169="",0,$E169)&gt;MOD($D169-$C169,1)*24),"",ROUND(MOD($D169-$C169,1)*24-IF($E169="",0,$E169),2)))</f>
        <v/>
      </c>
      <c r="G169" s="25" t="n">
        <v>8</v>
      </c>
      <c r="H169" s="8">
        <f>IF(OR($A169="",$B169="",$F169=""),"",ROUND(IF($F$3="",0,MAX(0,$F169-$F$3))+IF($D$3="",0,MIN($F169-IF($F$3="",0,MAX(0,$F169-$F$3)),MAX(0,SUMIFS($F$5:$F$304,$A$5:$A$304,$A169&amp;"",$B$5:$B$304,"&gt;="&amp;($B169-MOD(WEEKDAY($B169)-$B$3,7)),$B$5:$B$304,"&lt;="&amp;$B169)-IF($F$3="",0,SUMIFS($F$5:$F$304,$A$5:$A$304,$A169&amp;"",$B$5:$B$304,"&gt;="&amp;($B169-MOD(WEEKDAY($B169)-$B$3,7)),$B$5:$B$304,"&lt;="&amp;$B169,$F$5:$F$304,"&gt;"&amp;$F$3)-$F$3*COUNTIFS($A$5:$A$304,$A169&amp;"",$B$5:$B$304,"&gt;="&amp;($B169-MOD(WEEKDAY($B169)-$B$3,7)),$B$5:$B$304,"&lt;="&amp;$B169,$F$5:$F$304,"&gt;"&amp;$F$3))-$D$3))),2))</f>
        <v/>
      </c>
      <c r="I169" s="26" t="n"/>
      <c r="J169" s="27">
        <f>IF(AND($A169="",$C169="",$D169=""),"",IF(OR($C169&gt;=1,$D169&gt;=1),"⚠ type the time with a colon: 9:00 AM, not 9",IF(AND($C169&lt;&gt;"",$C169=$D169),"⚠ clock-in equals clock-out: the shift adds 0 h",IF(AND($C169&lt;&gt;"",$D169&lt;&gt;"",IF($E169="",0,$E169)&gt;MOD($D169-$C169,1)*24),"⚠ the break is longer than the shift",IF(AND($A169&lt;&gt;"",COUNTIF('Monthly OT Summary'!$A$6:$A$35,$A169&amp;"")=0),"⚠ name not in Monthly OT Summary: its hours are not added","")))))</f>
        <v/>
      </c>
    </row>
    <row r="170">
      <c r="A170" s="21" t="n"/>
      <c r="B170" s="40" t="n"/>
      <c r="C170" s="41" t="n"/>
      <c r="D170" s="41" t="n"/>
      <c r="E170" s="24" t="n"/>
      <c r="F170" s="8">
        <f>IF(OR($C170="",$D170=""),"",IF(OR($C170&gt;=1,$D170&gt;=1,$C170=$D170,IF($E170="",0,$E170)&gt;MOD($D170-$C170,1)*24),"",ROUND(MOD($D170-$C170,1)*24-IF($E170="",0,$E170),2)))</f>
        <v/>
      </c>
      <c r="G170" s="25" t="n">
        <v>8</v>
      </c>
      <c r="H170" s="8">
        <f>IF(OR($A170="",$B170="",$F170=""),"",ROUND(IF($F$3="",0,MAX(0,$F170-$F$3))+IF($D$3="",0,MIN($F170-IF($F$3="",0,MAX(0,$F170-$F$3)),MAX(0,SUMIFS($F$5:$F$304,$A$5:$A$304,$A170&amp;"",$B$5:$B$304,"&gt;="&amp;($B170-MOD(WEEKDAY($B170)-$B$3,7)),$B$5:$B$304,"&lt;="&amp;$B170)-IF($F$3="",0,SUMIFS($F$5:$F$304,$A$5:$A$304,$A170&amp;"",$B$5:$B$304,"&gt;="&amp;($B170-MOD(WEEKDAY($B170)-$B$3,7)),$B$5:$B$304,"&lt;="&amp;$B170,$F$5:$F$304,"&gt;"&amp;$F$3)-$F$3*COUNTIFS($A$5:$A$304,$A170&amp;"",$B$5:$B$304,"&gt;="&amp;($B170-MOD(WEEKDAY($B170)-$B$3,7)),$B$5:$B$304,"&lt;="&amp;$B170,$F$5:$F$304,"&gt;"&amp;$F$3))-$D$3))),2))</f>
        <v/>
      </c>
      <c r="I170" s="26" t="n"/>
      <c r="J170" s="27">
        <f>IF(AND($A170="",$C170="",$D170=""),"",IF(OR($C170&gt;=1,$D170&gt;=1),"⚠ type the time with a colon: 9:00 AM, not 9",IF(AND($C170&lt;&gt;"",$C170=$D170),"⚠ clock-in equals clock-out: the shift adds 0 h",IF(AND($C170&lt;&gt;"",$D170&lt;&gt;"",IF($E170="",0,$E170)&gt;MOD($D170-$C170,1)*24),"⚠ the break is longer than the shift",IF(AND($A170&lt;&gt;"",COUNTIF('Monthly OT Summary'!$A$6:$A$35,$A170&amp;"")=0),"⚠ name not in Monthly OT Summary: its hours are not added","")))))</f>
        <v/>
      </c>
    </row>
    <row r="171">
      <c r="A171" s="21" t="n"/>
      <c r="B171" s="40" t="n"/>
      <c r="C171" s="41" t="n"/>
      <c r="D171" s="41" t="n"/>
      <c r="E171" s="24" t="n"/>
      <c r="F171" s="8">
        <f>IF(OR($C171="",$D171=""),"",IF(OR($C171&gt;=1,$D171&gt;=1,$C171=$D171,IF($E171="",0,$E171)&gt;MOD($D171-$C171,1)*24),"",ROUND(MOD($D171-$C171,1)*24-IF($E171="",0,$E171),2)))</f>
        <v/>
      </c>
      <c r="G171" s="25" t="n">
        <v>8</v>
      </c>
      <c r="H171" s="8">
        <f>IF(OR($A171="",$B171="",$F171=""),"",ROUND(IF($F$3="",0,MAX(0,$F171-$F$3))+IF($D$3="",0,MIN($F171-IF($F$3="",0,MAX(0,$F171-$F$3)),MAX(0,SUMIFS($F$5:$F$304,$A$5:$A$304,$A171&amp;"",$B$5:$B$304,"&gt;="&amp;($B171-MOD(WEEKDAY($B171)-$B$3,7)),$B$5:$B$304,"&lt;="&amp;$B171)-IF($F$3="",0,SUMIFS($F$5:$F$304,$A$5:$A$304,$A171&amp;"",$B$5:$B$304,"&gt;="&amp;($B171-MOD(WEEKDAY($B171)-$B$3,7)),$B$5:$B$304,"&lt;="&amp;$B171,$F$5:$F$304,"&gt;"&amp;$F$3)-$F$3*COUNTIFS($A$5:$A$304,$A171&amp;"",$B$5:$B$304,"&gt;="&amp;($B171-MOD(WEEKDAY($B171)-$B$3,7)),$B$5:$B$304,"&lt;="&amp;$B171,$F$5:$F$304,"&gt;"&amp;$F$3))-$D$3))),2))</f>
        <v/>
      </c>
      <c r="I171" s="26" t="n"/>
      <c r="J171" s="27">
        <f>IF(AND($A171="",$C171="",$D171=""),"",IF(OR($C171&gt;=1,$D171&gt;=1),"⚠ type the time with a colon: 9:00 AM, not 9",IF(AND($C171&lt;&gt;"",$C171=$D171),"⚠ clock-in equals clock-out: the shift adds 0 h",IF(AND($C171&lt;&gt;"",$D171&lt;&gt;"",IF($E171="",0,$E171)&gt;MOD($D171-$C171,1)*24),"⚠ the break is longer than the shift",IF(AND($A171&lt;&gt;"",COUNTIF('Monthly OT Summary'!$A$6:$A$35,$A171&amp;"")=0),"⚠ name not in Monthly OT Summary: its hours are not added","")))))</f>
        <v/>
      </c>
    </row>
    <row r="172">
      <c r="A172" s="21" t="n"/>
      <c r="B172" s="40" t="n"/>
      <c r="C172" s="41" t="n"/>
      <c r="D172" s="41" t="n"/>
      <c r="E172" s="24" t="n"/>
      <c r="F172" s="8">
        <f>IF(OR($C172="",$D172=""),"",IF(OR($C172&gt;=1,$D172&gt;=1,$C172=$D172,IF($E172="",0,$E172)&gt;MOD($D172-$C172,1)*24),"",ROUND(MOD($D172-$C172,1)*24-IF($E172="",0,$E172),2)))</f>
        <v/>
      </c>
      <c r="G172" s="25" t="n">
        <v>8</v>
      </c>
      <c r="H172" s="8">
        <f>IF(OR($A172="",$B172="",$F172=""),"",ROUND(IF($F$3="",0,MAX(0,$F172-$F$3))+IF($D$3="",0,MIN($F172-IF($F$3="",0,MAX(0,$F172-$F$3)),MAX(0,SUMIFS($F$5:$F$304,$A$5:$A$304,$A172&amp;"",$B$5:$B$304,"&gt;="&amp;($B172-MOD(WEEKDAY($B172)-$B$3,7)),$B$5:$B$304,"&lt;="&amp;$B172)-IF($F$3="",0,SUMIFS($F$5:$F$304,$A$5:$A$304,$A172&amp;"",$B$5:$B$304,"&gt;="&amp;($B172-MOD(WEEKDAY($B172)-$B$3,7)),$B$5:$B$304,"&lt;="&amp;$B172,$F$5:$F$304,"&gt;"&amp;$F$3)-$F$3*COUNTIFS($A$5:$A$304,$A172&amp;"",$B$5:$B$304,"&gt;="&amp;($B172-MOD(WEEKDAY($B172)-$B$3,7)),$B$5:$B$304,"&lt;="&amp;$B172,$F$5:$F$304,"&gt;"&amp;$F$3))-$D$3))),2))</f>
        <v/>
      </c>
      <c r="I172" s="26" t="n"/>
      <c r="J172" s="27">
        <f>IF(AND($A172="",$C172="",$D172=""),"",IF(OR($C172&gt;=1,$D172&gt;=1),"⚠ type the time with a colon: 9:00 AM, not 9",IF(AND($C172&lt;&gt;"",$C172=$D172),"⚠ clock-in equals clock-out: the shift adds 0 h",IF(AND($C172&lt;&gt;"",$D172&lt;&gt;"",IF($E172="",0,$E172)&gt;MOD($D172-$C172,1)*24),"⚠ the break is longer than the shift",IF(AND($A172&lt;&gt;"",COUNTIF('Monthly OT Summary'!$A$6:$A$35,$A172&amp;"")=0),"⚠ name not in Monthly OT Summary: its hours are not added","")))))</f>
        <v/>
      </c>
    </row>
    <row r="173">
      <c r="A173" s="21" t="n"/>
      <c r="B173" s="40" t="n"/>
      <c r="C173" s="41" t="n"/>
      <c r="D173" s="41" t="n"/>
      <c r="E173" s="24" t="n"/>
      <c r="F173" s="8">
        <f>IF(OR($C173="",$D173=""),"",IF(OR($C173&gt;=1,$D173&gt;=1,$C173=$D173,IF($E173="",0,$E173)&gt;MOD($D173-$C173,1)*24),"",ROUND(MOD($D173-$C173,1)*24-IF($E173="",0,$E173),2)))</f>
        <v/>
      </c>
      <c r="G173" s="25" t="n">
        <v>8</v>
      </c>
      <c r="H173" s="8">
        <f>IF(OR($A173="",$B173="",$F173=""),"",ROUND(IF($F$3="",0,MAX(0,$F173-$F$3))+IF($D$3="",0,MIN($F173-IF($F$3="",0,MAX(0,$F173-$F$3)),MAX(0,SUMIFS($F$5:$F$304,$A$5:$A$304,$A173&amp;"",$B$5:$B$304,"&gt;="&amp;($B173-MOD(WEEKDAY($B173)-$B$3,7)),$B$5:$B$304,"&lt;="&amp;$B173)-IF($F$3="",0,SUMIFS($F$5:$F$304,$A$5:$A$304,$A173&amp;"",$B$5:$B$304,"&gt;="&amp;($B173-MOD(WEEKDAY($B173)-$B$3,7)),$B$5:$B$304,"&lt;="&amp;$B173,$F$5:$F$304,"&gt;"&amp;$F$3)-$F$3*COUNTIFS($A$5:$A$304,$A173&amp;"",$B$5:$B$304,"&gt;="&amp;($B173-MOD(WEEKDAY($B173)-$B$3,7)),$B$5:$B$304,"&lt;="&amp;$B173,$F$5:$F$304,"&gt;"&amp;$F$3))-$D$3))),2))</f>
        <v/>
      </c>
      <c r="I173" s="26" t="n"/>
      <c r="J173" s="27">
        <f>IF(AND($A173="",$C173="",$D173=""),"",IF(OR($C173&gt;=1,$D173&gt;=1),"⚠ type the time with a colon: 9:00 AM, not 9",IF(AND($C173&lt;&gt;"",$C173=$D173),"⚠ clock-in equals clock-out: the shift adds 0 h",IF(AND($C173&lt;&gt;"",$D173&lt;&gt;"",IF($E173="",0,$E173)&gt;MOD($D173-$C173,1)*24),"⚠ the break is longer than the shift",IF(AND($A173&lt;&gt;"",COUNTIF('Monthly OT Summary'!$A$6:$A$35,$A173&amp;"")=0),"⚠ name not in Monthly OT Summary: its hours are not added","")))))</f>
        <v/>
      </c>
    </row>
    <row r="174">
      <c r="A174" s="21" t="n"/>
      <c r="B174" s="40" t="n"/>
      <c r="C174" s="41" t="n"/>
      <c r="D174" s="41" t="n"/>
      <c r="E174" s="24" t="n"/>
      <c r="F174" s="8">
        <f>IF(OR($C174="",$D174=""),"",IF(OR($C174&gt;=1,$D174&gt;=1,$C174=$D174,IF($E174="",0,$E174)&gt;MOD($D174-$C174,1)*24),"",ROUND(MOD($D174-$C174,1)*24-IF($E174="",0,$E174),2)))</f>
        <v/>
      </c>
      <c r="G174" s="25" t="n">
        <v>8</v>
      </c>
      <c r="H174" s="8">
        <f>IF(OR($A174="",$B174="",$F174=""),"",ROUND(IF($F$3="",0,MAX(0,$F174-$F$3))+IF($D$3="",0,MIN($F174-IF($F$3="",0,MAX(0,$F174-$F$3)),MAX(0,SUMIFS($F$5:$F$304,$A$5:$A$304,$A174&amp;"",$B$5:$B$304,"&gt;="&amp;($B174-MOD(WEEKDAY($B174)-$B$3,7)),$B$5:$B$304,"&lt;="&amp;$B174)-IF($F$3="",0,SUMIFS($F$5:$F$304,$A$5:$A$304,$A174&amp;"",$B$5:$B$304,"&gt;="&amp;($B174-MOD(WEEKDAY($B174)-$B$3,7)),$B$5:$B$304,"&lt;="&amp;$B174,$F$5:$F$304,"&gt;"&amp;$F$3)-$F$3*COUNTIFS($A$5:$A$304,$A174&amp;"",$B$5:$B$304,"&gt;="&amp;($B174-MOD(WEEKDAY($B174)-$B$3,7)),$B$5:$B$304,"&lt;="&amp;$B174,$F$5:$F$304,"&gt;"&amp;$F$3))-$D$3))),2))</f>
        <v/>
      </c>
      <c r="I174" s="26" t="n"/>
      <c r="J174" s="27">
        <f>IF(AND($A174="",$C174="",$D174=""),"",IF(OR($C174&gt;=1,$D174&gt;=1),"⚠ type the time with a colon: 9:00 AM, not 9",IF(AND($C174&lt;&gt;"",$C174=$D174),"⚠ clock-in equals clock-out: the shift adds 0 h",IF(AND($C174&lt;&gt;"",$D174&lt;&gt;"",IF($E174="",0,$E174)&gt;MOD($D174-$C174,1)*24),"⚠ the break is longer than the shift",IF(AND($A174&lt;&gt;"",COUNTIF('Monthly OT Summary'!$A$6:$A$35,$A174&amp;"")=0),"⚠ name not in Monthly OT Summary: its hours are not added","")))))</f>
        <v/>
      </c>
    </row>
    <row r="175">
      <c r="A175" s="21" t="n"/>
      <c r="B175" s="40" t="n"/>
      <c r="C175" s="41" t="n"/>
      <c r="D175" s="41" t="n"/>
      <c r="E175" s="24" t="n"/>
      <c r="F175" s="8">
        <f>IF(OR($C175="",$D175=""),"",IF(OR($C175&gt;=1,$D175&gt;=1,$C175=$D175,IF($E175="",0,$E175)&gt;MOD($D175-$C175,1)*24),"",ROUND(MOD($D175-$C175,1)*24-IF($E175="",0,$E175),2)))</f>
        <v/>
      </c>
      <c r="G175" s="25" t="n">
        <v>8</v>
      </c>
      <c r="H175" s="8">
        <f>IF(OR($A175="",$B175="",$F175=""),"",ROUND(IF($F$3="",0,MAX(0,$F175-$F$3))+IF($D$3="",0,MIN($F175-IF($F$3="",0,MAX(0,$F175-$F$3)),MAX(0,SUMIFS($F$5:$F$304,$A$5:$A$304,$A175&amp;"",$B$5:$B$304,"&gt;="&amp;($B175-MOD(WEEKDAY($B175)-$B$3,7)),$B$5:$B$304,"&lt;="&amp;$B175)-IF($F$3="",0,SUMIFS($F$5:$F$304,$A$5:$A$304,$A175&amp;"",$B$5:$B$304,"&gt;="&amp;($B175-MOD(WEEKDAY($B175)-$B$3,7)),$B$5:$B$304,"&lt;="&amp;$B175,$F$5:$F$304,"&gt;"&amp;$F$3)-$F$3*COUNTIFS($A$5:$A$304,$A175&amp;"",$B$5:$B$304,"&gt;="&amp;($B175-MOD(WEEKDAY($B175)-$B$3,7)),$B$5:$B$304,"&lt;="&amp;$B175,$F$5:$F$304,"&gt;"&amp;$F$3))-$D$3))),2))</f>
        <v/>
      </c>
      <c r="I175" s="26" t="n"/>
      <c r="J175" s="27">
        <f>IF(AND($A175="",$C175="",$D175=""),"",IF(OR($C175&gt;=1,$D175&gt;=1),"⚠ type the time with a colon: 9:00 AM, not 9",IF(AND($C175&lt;&gt;"",$C175=$D175),"⚠ clock-in equals clock-out: the shift adds 0 h",IF(AND($C175&lt;&gt;"",$D175&lt;&gt;"",IF($E175="",0,$E175)&gt;MOD($D175-$C175,1)*24),"⚠ the break is longer than the shift",IF(AND($A175&lt;&gt;"",COUNTIF('Monthly OT Summary'!$A$6:$A$35,$A175&amp;"")=0),"⚠ name not in Monthly OT Summary: its hours are not added","")))))</f>
        <v/>
      </c>
    </row>
    <row r="176">
      <c r="A176" s="21" t="n"/>
      <c r="B176" s="40" t="n"/>
      <c r="C176" s="41" t="n"/>
      <c r="D176" s="41" t="n"/>
      <c r="E176" s="24" t="n"/>
      <c r="F176" s="8">
        <f>IF(OR($C176="",$D176=""),"",IF(OR($C176&gt;=1,$D176&gt;=1,$C176=$D176,IF($E176="",0,$E176)&gt;MOD($D176-$C176,1)*24),"",ROUND(MOD($D176-$C176,1)*24-IF($E176="",0,$E176),2)))</f>
        <v/>
      </c>
      <c r="G176" s="25" t="n">
        <v>8</v>
      </c>
      <c r="H176" s="8">
        <f>IF(OR($A176="",$B176="",$F176=""),"",ROUND(IF($F$3="",0,MAX(0,$F176-$F$3))+IF($D$3="",0,MIN($F176-IF($F$3="",0,MAX(0,$F176-$F$3)),MAX(0,SUMIFS($F$5:$F$304,$A$5:$A$304,$A176&amp;"",$B$5:$B$304,"&gt;="&amp;($B176-MOD(WEEKDAY($B176)-$B$3,7)),$B$5:$B$304,"&lt;="&amp;$B176)-IF($F$3="",0,SUMIFS($F$5:$F$304,$A$5:$A$304,$A176&amp;"",$B$5:$B$304,"&gt;="&amp;($B176-MOD(WEEKDAY($B176)-$B$3,7)),$B$5:$B$304,"&lt;="&amp;$B176,$F$5:$F$304,"&gt;"&amp;$F$3)-$F$3*COUNTIFS($A$5:$A$304,$A176&amp;"",$B$5:$B$304,"&gt;="&amp;($B176-MOD(WEEKDAY($B176)-$B$3,7)),$B$5:$B$304,"&lt;="&amp;$B176,$F$5:$F$304,"&gt;"&amp;$F$3))-$D$3))),2))</f>
        <v/>
      </c>
      <c r="I176" s="26" t="n"/>
      <c r="J176" s="27">
        <f>IF(AND($A176="",$C176="",$D176=""),"",IF(OR($C176&gt;=1,$D176&gt;=1),"⚠ type the time with a colon: 9:00 AM, not 9",IF(AND($C176&lt;&gt;"",$C176=$D176),"⚠ clock-in equals clock-out: the shift adds 0 h",IF(AND($C176&lt;&gt;"",$D176&lt;&gt;"",IF($E176="",0,$E176)&gt;MOD($D176-$C176,1)*24),"⚠ the break is longer than the shift",IF(AND($A176&lt;&gt;"",COUNTIF('Monthly OT Summary'!$A$6:$A$35,$A176&amp;"")=0),"⚠ name not in Monthly OT Summary: its hours are not added","")))))</f>
        <v/>
      </c>
    </row>
    <row r="177">
      <c r="A177" s="21" t="n"/>
      <c r="B177" s="40" t="n"/>
      <c r="C177" s="41" t="n"/>
      <c r="D177" s="41" t="n"/>
      <c r="E177" s="24" t="n"/>
      <c r="F177" s="8">
        <f>IF(OR($C177="",$D177=""),"",IF(OR($C177&gt;=1,$D177&gt;=1,$C177=$D177,IF($E177="",0,$E177)&gt;MOD($D177-$C177,1)*24),"",ROUND(MOD($D177-$C177,1)*24-IF($E177="",0,$E177),2)))</f>
        <v/>
      </c>
      <c r="G177" s="25" t="n">
        <v>8</v>
      </c>
      <c r="H177" s="8">
        <f>IF(OR($A177="",$B177="",$F177=""),"",ROUND(IF($F$3="",0,MAX(0,$F177-$F$3))+IF($D$3="",0,MIN($F177-IF($F$3="",0,MAX(0,$F177-$F$3)),MAX(0,SUMIFS($F$5:$F$304,$A$5:$A$304,$A177&amp;"",$B$5:$B$304,"&gt;="&amp;($B177-MOD(WEEKDAY($B177)-$B$3,7)),$B$5:$B$304,"&lt;="&amp;$B177)-IF($F$3="",0,SUMIFS($F$5:$F$304,$A$5:$A$304,$A177&amp;"",$B$5:$B$304,"&gt;="&amp;($B177-MOD(WEEKDAY($B177)-$B$3,7)),$B$5:$B$304,"&lt;="&amp;$B177,$F$5:$F$304,"&gt;"&amp;$F$3)-$F$3*COUNTIFS($A$5:$A$304,$A177&amp;"",$B$5:$B$304,"&gt;="&amp;($B177-MOD(WEEKDAY($B177)-$B$3,7)),$B$5:$B$304,"&lt;="&amp;$B177,$F$5:$F$304,"&gt;"&amp;$F$3))-$D$3))),2))</f>
        <v/>
      </c>
      <c r="I177" s="26" t="n"/>
      <c r="J177" s="27">
        <f>IF(AND($A177="",$C177="",$D177=""),"",IF(OR($C177&gt;=1,$D177&gt;=1),"⚠ type the time with a colon: 9:00 AM, not 9",IF(AND($C177&lt;&gt;"",$C177=$D177),"⚠ clock-in equals clock-out: the shift adds 0 h",IF(AND($C177&lt;&gt;"",$D177&lt;&gt;"",IF($E177="",0,$E177)&gt;MOD($D177-$C177,1)*24),"⚠ the break is longer than the shift",IF(AND($A177&lt;&gt;"",COUNTIF('Monthly OT Summary'!$A$6:$A$35,$A177&amp;"")=0),"⚠ name not in Monthly OT Summary: its hours are not added","")))))</f>
        <v/>
      </c>
    </row>
    <row r="178">
      <c r="A178" s="21" t="n"/>
      <c r="B178" s="40" t="n"/>
      <c r="C178" s="41" t="n"/>
      <c r="D178" s="41" t="n"/>
      <c r="E178" s="24" t="n"/>
      <c r="F178" s="8">
        <f>IF(OR($C178="",$D178=""),"",IF(OR($C178&gt;=1,$D178&gt;=1,$C178=$D178,IF($E178="",0,$E178)&gt;MOD($D178-$C178,1)*24),"",ROUND(MOD($D178-$C178,1)*24-IF($E178="",0,$E178),2)))</f>
        <v/>
      </c>
      <c r="G178" s="25" t="n">
        <v>8</v>
      </c>
      <c r="H178" s="8">
        <f>IF(OR($A178="",$B178="",$F178=""),"",ROUND(IF($F$3="",0,MAX(0,$F178-$F$3))+IF($D$3="",0,MIN($F178-IF($F$3="",0,MAX(0,$F178-$F$3)),MAX(0,SUMIFS($F$5:$F$304,$A$5:$A$304,$A178&amp;"",$B$5:$B$304,"&gt;="&amp;($B178-MOD(WEEKDAY($B178)-$B$3,7)),$B$5:$B$304,"&lt;="&amp;$B178)-IF($F$3="",0,SUMIFS($F$5:$F$304,$A$5:$A$304,$A178&amp;"",$B$5:$B$304,"&gt;="&amp;($B178-MOD(WEEKDAY($B178)-$B$3,7)),$B$5:$B$304,"&lt;="&amp;$B178,$F$5:$F$304,"&gt;"&amp;$F$3)-$F$3*COUNTIFS($A$5:$A$304,$A178&amp;"",$B$5:$B$304,"&gt;="&amp;($B178-MOD(WEEKDAY($B178)-$B$3,7)),$B$5:$B$304,"&lt;="&amp;$B178,$F$5:$F$304,"&gt;"&amp;$F$3))-$D$3))),2))</f>
        <v/>
      </c>
      <c r="I178" s="26" t="n"/>
      <c r="J178" s="27">
        <f>IF(AND($A178="",$C178="",$D178=""),"",IF(OR($C178&gt;=1,$D178&gt;=1),"⚠ type the time with a colon: 9:00 AM, not 9",IF(AND($C178&lt;&gt;"",$C178=$D178),"⚠ clock-in equals clock-out: the shift adds 0 h",IF(AND($C178&lt;&gt;"",$D178&lt;&gt;"",IF($E178="",0,$E178)&gt;MOD($D178-$C178,1)*24),"⚠ the break is longer than the shift",IF(AND($A178&lt;&gt;"",COUNTIF('Monthly OT Summary'!$A$6:$A$35,$A178&amp;"")=0),"⚠ name not in Monthly OT Summary: its hours are not added","")))))</f>
        <v/>
      </c>
    </row>
    <row r="179">
      <c r="A179" s="21" t="n"/>
      <c r="B179" s="40" t="n"/>
      <c r="C179" s="41" t="n"/>
      <c r="D179" s="41" t="n"/>
      <c r="E179" s="24" t="n"/>
      <c r="F179" s="8">
        <f>IF(OR($C179="",$D179=""),"",IF(OR($C179&gt;=1,$D179&gt;=1,$C179=$D179,IF($E179="",0,$E179)&gt;MOD($D179-$C179,1)*24),"",ROUND(MOD($D179-$C179,1)*24-IF($E179="",0,$E179),2)))</f>
        <v/>
      </c>
      <c r="G179" s="25" t="n">
        <v>8</v>
      </c>
      <c r="H179" s="8">
        <f>IF(OR($A179="",$B179="",$F179=""),"",ROUND(IF($F$3="",0,MAX(0,$F179-$F$3))+IF($D$3="",0,MIN($F179-IF($F$3="",0,MAX(0,$F179-$F$3)),MAX(0,SUMIFS($F$5:$F$304,$A$5:$A$304,$A179&amp;"",$B$5:$B$304,"&gt;="&amp;($B179-MOD(WEEKDAY($B179)-$B$3,7)),$B$5:$B$304,"&lt;="&amp;$B179)-IF($F$3="",0,SUMIFS($F$5:$F$304,$A$5:$A$304,$A179&amp;"",$B$5:$B$304,"&gt;="&amp;($B179-MOD(WEEKDAY($B179)-$B$3,7)),$B$5:$B$304,"&lt;="&amp;$B179,$F$5:$F$304,"&gt;"&amp;$F$3)-$F$3*COUNTIFS($A$5:$A$304,$A179&amp;"",$B$5:$B$304,"&gt;="&amp;($B179-MOD(WEEKDAY($B179)-$B$3,7)),$B$5:$B$304,"&lt;="&amp;$B179,$F$5:$F$304,"&gt;"&amp;$F$3))-$D$3))),2))</f>
        <v/>
      </c>
      <c r="I179" s="26" t="n"/>
      <c r="J179" s="27">
        <f>IF(AND($A179="",$C179="",$D179=""),"",IF(OR($C179&gt;=1,$D179&gt;=1),"⚠ type the time with a colon: 9:00 AM, not 9",IF(AND($C179&lt;&gt;"",$C179=$D179),"⚠ clock-in equals clock-out: the shift adds 0 h",IF(AND($C179&lt;&gt;"",$D179&lt;&gt;"",IF($E179="",0,$E179)&gt;MOD($D179-$C179,1)*24),"⚠ the break is longer than the shift",IF(AND($A179&lt;&gt;"",COUNTIF('Monthly OT Summary'!$A$6:$A$35,$A179&amp;"")=0),"⚠ name not in Monthly OT Summary: its hours are not added","")))))</f>
        <v/>
      </c>
    </row>
    <row r="180">
      <c r="A180" s="21" t="n"/>
      <c r="B180" s="40" t="n"/>
      <c r="C180" s="41" t="n"/>
      <c r="D180" s="41" t="n"/>
      <c r="E180" s="24" t="n"/>
      <c r="F180" s="8">
        <f>IF(OR($C180="",$D180=""),"",IF(OR($C180&gt;=1,$D180&gt;=1,$C180=$D180,IF($E180="",0,$E180)&gt;MOD($D180-$C180,1)*24),"",ROUND(MOD($D180-$C180,1)*24-IF($E180="",0,$E180),2)))</f>
        <v/>
      </c>
      <c r="G180" s="25" t="n">
        <v>8</v>
      </c>
      <c r="H180" s="8">
        <f>IF(OR($A180="",$B180="",$F180=""),"",ROUND(IF($F$3="",0,MAX(0,$F180-$F$3))+IF($D$3="",0,MIN($F180-IF($F$3="",0,MAX(0,$F180-$F$3)),MAX(0,SUMIFS($F$5:$F$304,$A$5:$A$304,$A180&amp;"",$B$5:$B$304,"&gt;="&amp;($B180-MOD(WEEKDAY($B180)-$B$3,7)),$B$5:$B$304,"&lt;="&amp;$B180)-IF($F$3="",0,SUMIFS($F$5:$F$304,$A$5:$A$304,$A180&amp;"",$B$5:$B$304,"&gt;="&amp;($B180-MOD(WEEKDAY($B180)-$B$3,7)),$B$5:$B$304,"&lt;="&amp;$B180,$F$5:$F$304,"&gt;"&amp;$F$3)-$F$3*COUNTIFS($A$5:$A$304,$A180&amp;"",$B$5:$B$304,"&gt;="&amp;($B180-MOD(WEEKDAY($B180)-$B$3,7)),$B$5:$B$304,"&lt;="&amp;$B180,$F$5:$F$304,"&gt;"&amp;$F$3))-$D$3))),2))</f>
        <v/>
      </c>
      <c r="I180" s="26" t="n"/>
      <c r="J180" s="27">
        <f>IF(AND($A180="",$C180="",$D180=""),"",IF(OR($C180&gt;=1,$D180&gt;=1),"⚠ type the time with a colon: 9:00 AM, not 9",IF(AND($C180&lt;&gt;"",$C180=$D180),"⚠ clock-in equals clock-out: the shift adds 0 h",IF(AND($C180&lt;&gt;"",$D180&lt;&gt;"",IF($E180="",0,$E180)&gt;MOD($D180-$C180,1)*24),"⚠ the break is longer than the shift",IF(AND($A180&lt;&gt;"",COUNTIF('Monthly OT Summary'!$A$6:$A$35,$A180&amp;"")=0),"⚠ name not in Monthly OT Summary: its hours are not added","")))))</f>
        <v/>
      </c>
    </row>
    <row r="181">
      <c r="A181" s="21" t="n"/>
      <c r="B181" s="40" t="n"/>
      <c r="C181" s="41" t="n"/>
      <c r="D181" s="41" t="n"/>
      <c r="E181" s="24" t="n"/>
      <c r="F181" s="8">
        <f>IF(OR($C181="",$D181=""),"",IF(OR($C181&gt;=1,$D181&gt;=1,$C181=$D181,IF($E181="",0,$E181)&gt;MOD($D181-$C181,1)*24),"",ROUND(MOD($D181-$C181,1)*24-IF($E181="",0,$E181),2)))</f>
        <v/>
      </c>
      <c r="G181" s="25" t="n">
        <v>8</v>
      </c>
      <c r="H181" s="8">
        <f>IF(OR($A181="",$B181="",$F181=""),"",ROUND(IF($F$3="",0,MAX(0,$F181-$F$3))+IF($D$3="",0,MIN($F181-IF($F$3="",0,MAX(0,$F181-$F$3)),MAX(0,SUMIFS($F$5:$F$304,$A$5:$A$304,$A181&amp;"",$B$5:$B$304,"&gt;="&amp;($B181-MOD(WEEKDAY($B181)-$B$3,7)),$B$5:$B$304,"&lt;="&amp;$B181)-IF($F$3="",0,SUMIFS($F$5:$F$304,$A$5:$A$304,$A181&amp;"",$B$5:$B$304,"&gt;="&amp;($B181-MOD(WEEKDAY($B181)-$B$3,7)),$B$5:$B$304,"&lt;="&amp;$B181,$F$5:$F$304,"&gt;"&amp;$F$3)-$F$3*COUNTIFS($A$5:$A$304,$A181&amp;"",$B$5:$B$304,"&gt;="&amp;($B181-MOD(WEEKDAY($B181)-$B$3,7)),$B$5:$B$304,"&lt;="&amp;$B181,$F$5:$F$304,"&gt;"&amp;$F$3))-$D$3))),2))</f>
        <v/>
      </c>
      <c r="I181" s="26" t="n"/>
      <c r="J181" s="27">
        <f>IF(AND($A181="",$C181="",$D181=""),"",IF(OR($C181&gt;=1,$D181&gt;=1),"⚠ type the time with a colon: 9:00 AM, not 9",IF(AND($C181&lt;&gt;"",$C181=$D181),"⚠ clock-in equals clock-out: the shift adds 0 h",IF(AND($C181&lt;&gt;"",$D181&lt;&gt;"",IF($E181="",0,$E181)&gt;MOD($D181-$C181,1)*24),"⚠ the break is longer than the shift",IF(AND($A181&lt;&gt;"",COUNTIF('Monthly OT Summary'!$A$6:$A$35,$A181&amp;"")=0),"⚠ name not in Monthly OT Summary: its hours are not added","")))))</f>
        <v/>
      </c>
    </row>
    <row r="182">
      <c r="A182" s="21" t="n"/>
      <c r="B182" s="40" t="n"/>
      <c r="C182" s="41" t="n"/>
      <c r="D182" s="41" t="n"/>
      <c r="E182" s="24" t="n"/>
      <c r="F182" s="8">
        <f>IF(OR($C182="",$D182=""),"",IF(OR($C182&gt;=1,$D182&gt;=1,$C182=$D182,IF($E182="",0,$E182)&gt;MOD($D182-$C182,1)*24),"",ROUND(MOD($D182-$C182,1)*24-IF($E182="",0,$E182),2)))</f>
        <v/>
      </c>
      <c r="G182" s="25" t="n">
        <v>8</v>
      </c>
      <c r="H182" s="8">
        <f>IF(OR($A182="",$B182="",$F182=""),"",ROUND(IF($F$3="",0,MAX(0,$F182-$F$3))+IF($D$3="",0,MIN($F182-IF($F$3="",0,MAX(0,$F182-$F$3)),MAX(0,SUMIFS($F$5:$F$304,$A$5:$A$304,$A182&amp;"",$B$5:$B$304,"&gt;="&amp;($B182-MOD(WEEKDAY($B182)-$B$3,7)),$B$5:$B$304,"&lt;="&amp;$B182)-IF($F$3="",0,SUMIFS($F$5:$F$304,$A$5:$A$304,$A182&amp;"",$B$5:$B$304,"&gt;="&amp;($B182-MOD(WEEKDAY($B182)-$B$3,7)),$B$5:$B$304,"&lt;="&amp;$B182,$F$5:$F$304,"&gt;"&amp;$F$3)-$F$3*COUNTIFS($A$5:$A$304,$A182&amp;"",$B$5:$B$304,"&gt;="&amp;($B182-MOD(WEEKDAY($B182)-$B$3,7)),$B$5:$B$304,"&lt;="&amp;$B182,$F$5:$F$304,"&gt;"&amp;$F$3))-$D$3))),2))</f>
        <v/>
      </c>
      <c r="I182" s="26" t="n"/>
      <c r="J182" s="27">
        <f>IF(AND($A182="",$C182="",$D182=""),"",IF(OR($C182&gt;=1,$D182&gt;=1),"⚠ type the time with a colon: 9:00 AM, not 9",IF(AND($C182&lt;&gt;"",$C182=$D182),"⚠ clock-in equals clock-out: the shift adds 0 h",IF(AND($C182&lt;&gt;"",$D182&lt;&gt;"",IF($E182="",0,$E182)&gt;MOD($D182-$C182,1)*24),"⚠ the break is longer than the shift",IF(AND($A182&lt;&gt;"",COUNTIF('Monthly OT Summary'!$A$6:$A$35,$A182&amp;"")=0),"⚠ name not in Monthly OT Summary: its hours are not added","")))))</f>
        <v/>
      </c>
    </row>
    <row r="183">
      <c r="A183" s="21" t="n"/>
      <c r="B183" s="40" t="n"/>
      <c r="C183" s="41" t="n"/>
      <c r="D183" s="41" t="n"/>
      <c r="E183" s="24" t="n"/>
      <c r="F183" s="8">
        <f>IF(OR($C183="",$D183=""),"",IF(OR($C183&gt;=1,$D183&gt;=1,$C183=$D183,IF($E183="",0,$E183)&gt;MOD($D183-$C183,1)*24),"",ROUND(MOD($D183-$C183,1)*24-IF($E183="",0,$E183),2)))</f>
        <v/>
      </c>
      <c r="G183" s="25" t="n">
        <v>8</v>
      </c>
      <c r="H183" s="8">
        <f>IF(OR($A183="",$B183="",$F183=""),"",ROUND(IF($F$3="",0,MAX(0,$F183-$F$3))+IF($D$3="",0,MIN($F183-IF($F$3="",0,MAX(0,$F183-$F$3)),MAX(0,SUMIFS($F$5:$F$304,$A$5:$A$304,$A183&amp;"",$B$5:$B$304,"&gt;="&amp;($B183-MOD(WEEKDAY($B183)-$B$3,7)),$B$5:$B$304,"&lt;="&amp;$B183)-IF($F$3="",0,SUMIFS($F$5:$F$304,$A$5:$A$304,$A183&amp;"",$B$5:$B$304,"&gt;="&amp;($B183-MOD(WEEKDAY($B183)-$B$3,7)),$B$5:$B$304,"&lt;="&amp;$B183,$F$5:$F$304,"&gt;"&amp;$F$3)-$F$3*COUNTIFS($A$5:$A$304,$A183&amp;"",$B$5:$B$304,"&gt;="&amp;($B183-MOD(WEEKDAY($B183)-$B$3,7)),$B$5:$B$304,"&lt;="&amp;$B183,$F$5:$F$304,"&gt;"&amp;$F$3))-$D$3))),2))</f>
        <v/>
      </c>
      <c r="I183" s="26" t="n"/>
      <c r="J183" s="27">
        <f>IF(AND($A183="",$C183="",$D183=""),"",IF(OR($C183&gt;=1,$D183&gt;=1),"⚠ type the time with a colon: 9:00 AM, not 9",IF(AND($C183&lt;&gt;"",$C183=$D183),"⚠ clock-in equals clock-out: the shift adds 0 h",IF(AND($C183&lt;&gt;"",$D183&lt;&gt;"",IF($E183="",0,$E183)&gt;MOD($D183-$C183,1)*24),"⚠ the break is longer than the shift",IF(AND($A183&lt;&gt;"",COUNTIF('Monthly OT Summary'!$A$6:$A$35,$A183&amp;"")=0),"⚠ name not in Monthly OT Summary: its hours are not added","")))))</f>
        <v/>
      </c>
    </row>
    <row r="184">
      <c r="A184" s="21" t="n"/>
      <c r="B184" s="40" t="n"/>
      <c r="C184" s="41" t="n"/>
      <c r="D184" s="41" t="n"/>
      <c r="E184" s="24" t="n"/>
      <c r="F184" s="8">
        <f>IF(OR($C184="",$D184=""),"",IF(OR($C184&gt;=1,$D184&gt;=1,$C184=$D184,IF($E184="",0,$E184)&gt;MOD($D184-$C184,1)*24),"",ROUND(MOD($D184-$C184,1)*24-IF($E184="",0,$E184),2)))</f>
        <v/>
      </c>
      <c r="G184" s="25" t="n">
        <v>8</v>
      </c>
      <c r="H184" s="8">
        <f>IF(OR($A184="",$B184="",$F184=""),"",ROUND(IF($F$3="",0,MAX(0,$F184-$F$3))+IF($D$3="",0,MIN($F184-IF($F$3="",0,MAX(0,$F184-$F$3)),MAX(0,SUMIFS($F$5:$F$304,$A$5:$A$304,$A184&amp;"",$B$5:$B$304,"&gt;="&amp;($B184-MOD(WEEKDAY($B184)-$B$3,7)),$B$5:$B$304,"&lt;="&amp;$B184)-IF($F$3="",0,SUMIFS($F$5:$F$304,$A$5:$A$304,$A184&amp;"",$B$5:$B$304,"&gt;="&amp;($B184-MOD(WEEKDAY($B184)-$B$3,7)),$B$5:$B$304,"&lt;="&amp;$B184,$F$5:$F$304,"&gt;"&amp;$F$3)-$F$3*COUNTIFS($A$5:$A$304,$A184&amp;"",$B$5:$B$304,"&gt;="&amp;($B184-MOD(WEEKDAY($B184)-$B$3,7)),$B$5:$B$304,"&lt;="&amp;$B184,$F$5:$F$304,"&gt;"&amp;$F$3))-$D$3))),2))</f>
        <v/>
      </c>
      <c r="I184" s="26" t="n"/>
      <c r="J184" s="27">
        <f>IF(AND($A184="",$C184="",$D184=""),"",IF(OR($C184&gt;=1,$D184&gt;=1),"⚠ type the time with a colon: 9:00 AM, not 9",IF(AND($C184&lt;&gt;"",$C184=$D184),"⚠ clock-in equals clock-out: the shift adds 0 h",IF(AND($C184&lt;&gt;"",$D184&lt;&gt;"",IF($E184="",0,$E184)&gt;MOD($D184-$C184,1)*24),"⚠ the break is longer than the shift",IF(AND($A184&lt;&gt;"",COUNTIF('Monthly OT Summary'!$A$6:$A$35,$A184&amp;"")=0),"⚠ name not in Monthly OT Summary: its hours are not added","")))))</f>
        <v/>
      </c>
    </row>
    <row r="185">
      <c r="A185" s="21" t="n"/>
      <c r="B185" s="40" t="n"/>
      <c r="C185" s="41" t="n"/>
      <c r="D185" s="41" t="n"/>
      <c r="E185" s="24" t="n"/>
      <c r="F185" s="8">
        <f>IF(OR($C185="",$D185=""),"",IF(OR($C185&gt;=1,$D185&gt;=1,$C185=$D185,IF($E185="",0,$E185)&gt;MOD($D185-$C185,1)*24),"",ROUND(MOD($D185-$C185,1)*24-IF($E185="",0,$E185),2)))</f>
        <v/>
      </c>
      <c r="G185" s="25" t="n">
        <v>8</v>
      </c>
      <c r="H185" s="8">
        <f>IF(OR($A185="",$B185="",$F185=""),"",ROUND(IF($F$3="",0,MAX(0,$F185-$F$3))+IF($D$3="",0,MIN($F185-IF($F$3="",0,MAX(0,$F185-$F$3)),MAX(0,SUMIFS($F$5:$F$304,$A$5:$A$304,$A185&amp;"",$B$5:$B$304,"&gt;="&amp;($B185-MOD(WEEKDAY($B185)-$B$3,7)),$B$5:$B$304,"&lt;="&amp;$B185)-IF($F$3="",0,SUMIFS($F$5:$F$304,$A$5:$A$304,$A185&amp;"",$B$5:$B$304,"&gt;="&amp;($B185-MOD(WEEKDAY($B185)-$B$3,7)),$B$5:$B$304,"&lt;="&amp;$B185,$F$5:$F$304,"&gt;"&amp;$F$3)-$F$3*COUNTIFS($A$5:$A$304,$A185&amp;"",$B$5:$B$304,"&gt;="&amp;($B185-MOD(WEEKDAY($B185)-$B$3,7)),$B$5:$B$304,"&lt;="&amp;$B185,$F$5:$F$304,"&gt;"&amp;$F$3))-$D$3))),2))</f>
        <v/>
      </c>
      <c r="I185" s="26" t="n"/>
      <c r="J185" s="27">
        <f>IF(AND($A185="",$C185="",$D185=""),"",IF(OR($C185&gt;=1,$D185&gt;=1),"⚠ type the time with a colon: 9:00 AM, not 9",IF(AND($C185&lt;&gt;"",$C185=$D185),"⚠ clock-in equals clock-out: the shift adds 0 h",IF(AND($C185&lt;&gt;"",$D185&lt;&gt;"",IF($E185="",0,$E185)&gt;MOD($D185-$C185,1)*24),"⚠ the break is longer than the shift",IF(AND($A185&lt;&gt;"",COUNTIF('Monthly OT Summary'!$A$6:$A$35,$A185&amp;"")=0),"⚠ name not in Monthly OT Summary: its hours are not added","")))))</f>
        <v/>
      </c>
    </row>
    <row r="186">
      <c r="A186" s="21" t="n"/>
      <c r="B186" s="40" t="n"/>
      <c r="C186" s="41" t="n"/>
      <c r="D186" s="41" t="n"/>
      <c r="E186" s="24" t="n"/>
      <c r="F186" s="8">
        <f>IF(OR($C186="",$D186=""),"",IF(OR($C186&gt;=1,$D186&gt;=1,$C186=$D186,IF($E186="",0,$E186)&gt;MOD($D186-$C186,1)*24),"",ROUND(MOD($D186-$C186,1)*24-IF($E186="",0,$E186),2)))</f>
        <v/>
      </c>
      <c r="G186" s="25" t="n">
        <v>8</v>
      </c>
      <c r="H186" s="8">
        <f>IF(OR($A186="",$B186="",$F186=""),"",ROUND(IF($F$3="",0,MAX(0,$F186-$F$3))+IF($D$3="",0,MIN($F186-IF($F$3="",0,MAX(0,$F186-$F$3)),MAX(0,SUMIFS($F$5:$F$304,$A$5:$A$304,$A186&amp;"",$B$5:$B$304,"&gt;="&amp;($B186-MOD(WEEKDAY($B186)-$B$3,7)),$B$5:$B$304,"&lt;="&amp;$B186)-IF($F$3="",0,SUMIFS($F$5:$F$304,$A$5:$A$304,$A186&amp;"",$B$5:$B$304,"&gt;="&amp;($B186-MOD(WEEKDAY($B186)-$B$3,7)),$B$5:$B$304,"&lt;="&amp;$B186,$F$5:$F$304,"&gt;"&amp;$F$3)-$F$3*COUNTIFS($A$5:$A$304,$A186&amp;"",$B$5:$B$304,"&gt;="&amp;($B186-MOD(WEEKDAY($B186)-$B$3,7)),$B$5:$B$304,"&lt;="&amp;$B186,$F$5:$F$304,"&gt;"&amp;$F$3))-$D$3))),2))</f>
        <v/>
      </c>
      <c r="I186" s="26" t="n"/>
      <c r="J186" s="27">
        <f>IF(AND($A186="",$C186="",$D186=""),"",IF(OR($C186&gt;=1,$D186&gt;=1),"⚠ type the time with a colon: 9:00 AM, not 9",IF(AND($C186&lt;&gt;"",$C186=$D186),"⚠ clock-in equals clock-out: the shift adds 0 h",IF(AND($C186&lt;&gt;"",$D186&lt;&gt;"",IF($E186="",0,$E186)&gt;MOD($D186-$C186,1)*24),"⚠ the break is longer than the shift",IF(AND($A186&lt;&gt;"",COUNTIF('Monthly OT Summary'!$A$6:$A$35,$A186&amp;"")=0),"⚠ name not in Monthly OT Summary: its hours are not added","")))))</f>
        <v/>
      </c>
    </row>
    <row r="187">
      <c r="A187" s="21" t="n"/>
      <c r="B187" s="40" t="n"/>
      <c r="C187" s="41" t="n"/>
      <c r="D187" s="41" t="n"/>
      <c r="E187" s="24" t="n"/>
      <c r="F187" s="8">
        <f>IF(OR($C187="",$D187=""),"",IF(OR($C187&gt;=1,$D187&gt;=1,$C187=$D187,IF($E187="",0,$E187)&gt;MOD($D187-$C187,1)*24),"",ROUND(MOD($D187-$C187,1)*24-IF($E187="",0,$E187),2)))</f>
        <v/>
      </c>
      <c r="G187" s="25" t="n">
        <v>8</v>
      </c>
      <c r="H187" s="8">
        <f>IF(OR($A187="",$B187="",$F187=""),"",ROUND(IF($F$3="",0,MAX(0,$F187-$F$3))+IF($D$3="",0,MIN($F187-IF($F$3="",0,MAX(0,$F187-$F$3)),MAX(0,SUMIFS($F$5:$F$304,$A$5:$A$304,$A187&amp;"",$B$5:$B$304,"&gt;="&amp;($B187-MOD(WEEKDAY($B187)-$B$3,7)),$B$5:$B$304,"&lt;="&amp;$B187)-IF($F$3="",0,SUMIFS($F$5:$F$304,$A$5:$A$304,$A187&amp;"",$B$5:$B$304,"&gt;="&amp;($B187-MOD(WEEKDAY($B187)-$B$3,7)),$B$5:$B$304,"&lt;="&amp;$B187,$F$5:$F$304,"&gt;"&amp;$F$3)-$F$3*COUNTIFS($A$5:$A$304,$A187&amp;"",$B$5:$B$304,"&gt;="&amp;($B187-MOD(WEEKDAY($B187)-$B$3,7)),$B$5:$B$304,"&lt;="&amp;$B187,$F$5:$F$304,"&gt;"&amp;$F$3))-$D$3))),2))</f>
        <v/>
      </c>
      <c r="I187" s="26" t="n"/>
      <c r="J187" s="27">
        <f>IF(AND($A187="",$C187="",$D187=""),"",IF(OR($C187&gt;=1,$D187&gt;=1),"⚠ type the time with a colon: 9:00 AM, not 9",IF(AND($C187&lt;&gt;"",$C187=$D187),"⚠ clock-in equals clock-out: the shift adds 0 h",IF(AND($C187&lt;&gt;"",$D187&lt;&gt;"",IF($E187="",0,$E187)&gt;MOD($D187-$C187,1)*24),"⚠ the break is longer than the shift",IF(AND($A187&lt;&gt;"",COUNTIF('Monthly OT Summary'!$A$6:$A$35,$A187&amp;"")=0),"⚠ name not in Monthly OT Summary: its hours are not added","")))))</f>
        <v/>
      </c>
    </row>
    <row r="188">
      <c r="A188" s="21" t="n"/>
      <c r="B188" s="40" t="n"/>
      <c r="C188" s="41" t="n"/>
      <c r="D188" s="41" t="n"/>
      <c r="E188" s="24" t="n"/>
      <c r="F188" s="8">
        <f>IF(OR($C188="",$D188=""),"",IF(OR($C188&gt;=1,$D188&gt;=1,$C188=$D188,IF($E188="",0,$E188)&gt;MOD($D188-$C188,1)*24),"",ROUND(MOD($D188-$C188,1)*24-IF($E188="",0,$E188),2)))</f>
        <v/>
      </c>
      <c r="G188" s="25" t="n">
        <v>8</v>
      </c>
      <c r="H188" s="8">
        <f>IF(OR($A188="",$B188="",$F188=""),"",ROUND(IF($F$3="",0,MAX(0,$F188-$F$3))+IF($D$3="",0,MIN($F188-IF($F$3="",0,MAX(0,$F188-$F$3)),MAX(0,SUMIFS($F$5:$F$304,$A$5:$A$304,$A188&amp;"",$B$5:$B$304,"&gt;="&amp;($B188-MOD(WEEKDAY($B188)-$B$3,7)),$B$5:$B$304,"&lt;="&amp;$B188)-IF($F$3="",0,SUMIFS($F$5:$F$304,$A$5:$A$304,$A188&amp;"",$B$5:$B$304,"&gt;="&amp;($B188-MOD(WEEKDAY($B188)-$B$3,7)),$B$5:$B$304,"&lt;="&amp;$B188,$F$5:$F$304,"&gt;"&amp;$F$3)-$F$3*COUNTIFS($A$5:$A$304,$A188&amp;"",$B$5:$B$304,"&gt;="&amp;($B188-MOD(WEEKDAY($B188)-$B$3,7)),$B$5:$B$304,"&lt;="&amp;$B188,$F$5:$F$304,"&gt;"&amp;$F$3))-$D$3))),2))</f>
        <v/>
      </c>
      <c r="I188" s="26" t="n"/>
      <c r="J188" s="27">
        <f>IF(AND($A188="",$C188="",$D188=""),"",IF(OR($C188&gt;=1,$D188&gt;=1),"⚠ type the time with a colon: 9:00 AM, not 9",IF(AND($C188&lt;&gt;"",$C188=$D188),"⚠ clock-in equals clock-out: the shift adds 0 h",IF(AND($C188&lt;&gt;"",$D188&lt;&gt;"",IF($E188="",0,$E188)&gt;MOD($D188-$C188,1)*24),"⚠ the break is longer than the shift",IF(AND($A188&lt;&gt;"",COUNTIF('Monthly OT Summary'!$A$6:$A$35,$A188&amp;"")=0),"⚠ name not in Monthly OT Summary: its hours are not added","")))))</f>
        <v/>
      </c>
    </row>
    <row r="189">
      <c r="A189" s="21" t="n"/>
      <c r="B189" s="40" t="n"/>
      <c r="C189" s="41" t="n"/>
      <c r="D189" s="41" t="n"/>
      <c r="E189" s="24" t="n"/>
      <c r="F189" s="8">
        <f>IF(OR($C189="",$D189=""),"",IF(OR($C189&gt;=1,$D189&gt;=1,$C189=$D189,IF($E189="",0,$E189)&gt;MOD($D189-$C189,1)*24),"",ROUND(MOD($D189-$C189,1)*24-IF($E189="",0,$E189),2)))</f>
        <v/>
      </c>
      <c r="G189" s="25" t="n">
        <v>8</v>
      </c>
      <c r="H189" s="8">
        <f>IF(OR($A189="",$B189="",$F189=""),"",ROUND(IF($F$3="",0,MAX(0,$F189-$F$3))+IF($D$3="",0,MIN($F189-IF($F$3="",0,MAX(0,$F189-$F$3)),MAX(0,SUMIFS($F$5:$F$304,$A$5:$A$304,$A189&amp;"",$B$5:$B$304,"&gt;="&amp;($B189-MOD(WEEKDAY($B189)-$B$3,7)),$B$5:$B$304,"&lt;="&amp;$B189)-IF($F$3="",0,SUMIFS($F$5:$F$304,$A$5:$A$304,$A189&amp;"",$B$5:$B$304,"&gt;="&amp;($B189-MOD(WEEKDAY($B189)-$B$3,7)),$B$5:$B$304,"&lt;="&amp;$B189,$F$5:$F$304,"&gt;"&amp;$F$3)-$F$3*COUNTIFS($A$5:$A$304,$A189&amp;"",$B$5:$B$304,"&gt;="&amp;($B189-MOD(WEEKDAY($B189)-$B$3,7)),$B$5:$B$304,"&lt;="&amp;$B189,$F$5:$F$304,"&gt;"&amp;$F$3))-$D$3))),2))</f>
        <v/>
      </c>
      <c r="I189" s="26" t="n"/>
      <c r="J189" s="27">
        <f>IF(AND($A189="",$C189="",$D189=""),"",IF(OR($C189&gt;=1,$D189&gt;=1),"⚠ type the time with a colon: 9:00 AM, not 9",IF(AND($C189&lt;&gt;"",$C189=$D189),"⚠ clock-in equals clock-out: the shift adds 0 h",IF(AND($C189&lt;&gt;"",$D189&lt;&gt;"",IF($E189="",0,$E189)&gt;MOD($D189-$C189,1)*24),"⚠ the break is longer than the shift",IF(AND($A189&lt;&gt;"",COUNTIF('Monthly OT Summary'!$A$6:$A$35,$A189&amp;"")=0),"⚠ name not in Monthly OT Summary: its hours are not added","")))))</f>
        <v/>
      </c>
    </row>
    <row r="190">
      <c r="A190" s="21" t="n"/>
      <c r="B190" s="40" t="n"/>
      <c r="C190" s="41" t="n"/>
      <c r="D190" s="41" t="n"/>
      <c r="E190" s="24" t="n"/>
      <c r="F190" s="8">
        <f>IF(OR($C190="",$D190=""),"",IF(OR($C190&gt;=1,$D190&gt;=1,$C190=$D190,IF($E190="",0,$E190)&gt;MOD($D190-$C190,1)*24),"",ROUND(MOD($D190-$C190,1)*24-IF($E190="",0,$E190),2)))</f>
        <v/>
      </c>
      <c r="G190" s="25" t="n">
        <v>8</v>
      </c>
      <c r="H190" s="8">
        <f>IF(OR($A190="",$B190="",$F190=""),"",ROUND(IF($F$3="",0,MAX(0,$F190-$F$3))+IF($D$3="",0,MIN($F190-IF($F$3="",0,MAX(0,$F190-$F$3)),MAX(0,SUMIFS($F$5:$F$304,$A$5:$A$304,$A190&amp;"",$B$5:$B$304,"&gt;="&amp;($B190-MOD(WEEKDAY($B190)-$B$3,7)),$B$5:$B$304,"&lt;="&amp;$B190)-IF($F$3="",0,SUMIFS($F$5:$F$304,$A$5:$A$304,$A190&amp;"",$B$5:$B$304,"&gt;="&amp;($B190-MOD(WEEKDAY($B190)-$B$3,7)),$B$5:$B$304,"&lt;="&amp;$B190,$F$5:$F$304,"&gt;"&amp;$F$3)-$F$3*COUNTIFS($A$5:$A$304,$A190&amp;"",$B$5:$B$304,"&gt;="&amp;($B190-MOD(WEEKDAY($B190)-$B$3,7)),$B$5:$B$304,"&lt;="&amp;$B190,$F$5:$F$304,"&gt;"&amp;$F$3))-$D$3))),2))</f>
        <v/>
      </c>
      <c r="I190" s="26" t="n"/>
      <c r="J190" s="27">
        <f>IF(AND($A190="",$C190="",$D190=""),"",IF(OR($C190&gt;=1,$D190&gt;=1),"⚠ type the time with a colon: 9:00 AM, not 9",IF(AND($C190&lt;&gt;"",$C190=$D190),"⚠ clock-in equals clock-out: the shift adds 0 h",IF(AND($C190&lt;&gt;"",$D190&lt;&gt;"",IF($E190="",0,$E190)&gt;MOD($D190-$C190,1)*24),"⚠ the break is longer than the shift",IF(AND($A190&lt;&gt;"",COUNTIF('Monthly OT Summary'!$A$6:$A$35,$A190&amp;"")=0),"⚠ name not in Monthly OT Summary: its hours are not added","")))))</f>
        <v/>
      </c>
    </row>
    <row r="191">
      <c r="A191" s="21" t="n"/>
      <c r="B191" s="40" t="n"/>
      <c r="C191" s="41" t="n"/>
      <c r="D191" s="41" t="n"/>
      <c r="E191" s="24" t="n"/>
      <c r="F191" s="8">
        <f>IF(OR($C191="",$D191=""),"",IF(OR($C191&gt;=1,$D191&gt;=1,$C191=$D191,IF($E191="",0,$E191)&gt;MOD($D191-$C191,1)*24),"",ROUND(MOD($D191-$C191,1)*24-IF($E191="",0,$E191),2)))</f>
        <v/>
      </c>
      <c r="G191" s="25" t="n">
        <v>8</v>
      </c>
      <c r="H191" s="8">
        <f>IF(OR($A191="",$B191="",$F191=""),"",ROUND(IF($F$3="",0,MAX(0,$F191-$F$3))+IF($D$3="",0,MIN($F191-IF($F$3="",0,MAX(0,$F191-$F$3)),MAX(0,SUMIFS($F$5:$F$304,$A$5:$A$304,$A191&amp;"",$B$5:$B$304,"&gt;="&amp;($B191-MOD(WEEKDAY($B191)-$B$3,7)),$B$5:$B$304,"&lt;="&amp;$B191)-IF($F$3="",0,SUMIFS($F$5:$F$304,$A$5:$A$304,$A191&amp;"",$B$5:$B$304,"&gt;="&amp;($B191-MOD(WEEKDAY($B191)-$B$3,7)),$B$5:$B$304,"&lt;="&amp;$B191,$F$5:$F$304,"&gt;"&amp;$F$3)-$F$3*COUNTIFS($A$5:$A$304,$A191&amp;"",$B$5:$B$304,"&gt;="&amp;($B191-MOD(WEEKDAY($B191)-$B$3,7)),$B$5:$B$304,"&lt;="&amp;$B191,$F$5:$F$304,"&gt;"&amp;$F$3))-$D$3))),2))</f>
        <v/>
      </c>
      <c r="I191" s="26" t="n"/>
      <c r="J191" s="27">
        <f>IF(AND($A191="",$C191="",$D191=""),"",IF(OR($C191&gt;=1,$D191&gt;=1),"⚠ type the time with a colon: 9:00 AM, not 9",IF(AND($C191&lt;&gt;"",$C191=$D191),"⚠ clock-in equals clock-out: the shift adds 0 h",IF(AND($C191&lt;&gt;"",$D191&lt;&gt;"",IF($E191="",0,$E191)&gt;MOD($D191-$C191,1)*24),"⚠ the break is longer than the shift",IF(AND($A191&lt;&gt;"",COUNTIF('Monthly OT Summary'!$A$6:$A$35,$A191&amp;"")=0),"⚠ name not in Monthly OT Summary: its hours are not added","")))))</f>
        <v/>
      </c>
    </row>
    <row r="192">
      <c r="A192" s="21" t="n"/>
      <c r="B192" s="40" t="n"/>
      <c r="C192" s="41" t="n"/>
      <c r="D192" s="41" t="n"/>
      <c r="E192" s="24" t="n"/>
      <c r="F192" s="8">
        <f>IF(OR($C192="",$D192=""),"",IF(OR($C192&gt;=1,$D192&gt;=1,$C192=$D192,IF($E192="",0,$E192)&gt;MOD($D192-$C192,1)*24),"",ROUND(MOD($D192-$C192,1)*24-IF($E192="",0,$E192),2)))</f>
        <v/>
      </c>
      <c r="G192" s="25" t="n">
        <v>8</v>
      </c>
      <c r="H192" s="8">
        <f>IF(OR($A192="",$B192="",$F192=""),"",ROUND(IF($F$3="",0,MAX(0,$F192-$F$3))+IF($D$3="",0,MIN($F192-IF($F$3="",0,MAX(0,$F192-$F$3)),MAX(0,SUMIFS($F$5:$F$304,$A$5:$A$304,$A192&amp;"",$B$5:$B$304,"&gt;="&amp;($B192-MOD(WEEKDAY($B192)-$B$3,7)),$B$5:$B$304,"&lt;="&amp;$B192)-IF($F$3="",0,SUMIFS($F$5:$F$304,$A$5:$A$304,$A192&amp;"",$B$5:$B$304,"&gt;="&amp;($B192-MOD(WEEKDAY($B192)-$B$3,7)),$B$5:$B$304,"&lt;="&amp;$B192,$F$5:$F$304,"&gt;"&amp;$F$3)-$F$3*COUNTIFS($A$5:$A$304,$A192&amp;"",$B$5:$B$304,"&gt;="&amp;($B192-MOD(WEEKDAY($B192)-$B$3,7)),$B$5:$B$304,"&lt;="&amp;$B192,$F$5:$F$304,"&gt;"&amp;$F$3))-$D$3))),2))</f>
        <v/>
      </c>
      <c r="I192" s="26" t="n"/>
      <c r="J192" s="27">
        <f>IF(AND($A192="",$C192="",$D192=""),"",IF(OR($C192&gt;=1,$D192&gt;=1),"⚠ type the time with a colon: 9:00 AM, not 9",IF(AND($C192&lt;&gt;"",$C192=$D192),"⚠ clock-in equals clock-out: the shift adds 0 h",IF(AND($C192&lt;&gt;"",$D192&lt;&gt;"",IF($E192="",0,$E192)&gt;MOD($D192-$C192,1)*24),"⚠ the break is longer than the shift",IF(AND($A192&lt;&gt;"",COUNTIF('Monthly OT Summary'!$A$6:$A$35,$A192&amp;"")=0),"⚠ name not in Monthly OT Summary: its hours are not added","")))))</f>
        <v/>
      </c>
    </row>
    <row r="193">
      <c r="A193" s="21" t="n"/>
      <c r="B193" s="40" t="n"/>
      <c r="C193" s="41" t="n"/>
      <c r="D193" s="41" t="n"/>
      <c r="E193" s="24" t="n"/>
      <c r="F193" s="8">
        <f>IF(OR($C193="",$D193=""),"",IF(OR($C193&gt;=1,$D193&gt;=1,$C193=$D193,IF($E193="",0,$E193)&gt;MOD($D193-$C193,1)*24),"",ROUND(MOD($D193-$C193,1)*24-IF($E193="",0,$E193),2)))</f>
        <v/>
      </c>
      <c r="G193" s="25" t="n">
        <v>8</v>
      </c>
      <c r="H193" s="8">
        <f>IF(OR($A193="",$B193="",$F193=""),"",ROUND(IF($F$3="",0,MAX(0,$F193-$F$3))+IF($D$3="",0,MIN($F193-IF($F$3="",0,MAX(0,$F193-$F$3)),MAX(0,SUMIFS($F$5:$F$304,$A$5:$A$304,$A193&amp;"",$B$5:$B$304,"&gt;="&amp;($B193-MOD(WEEKDAY($B193)-$B$3,7)),$B$5:$B$304,"&lt;="&amp;$B193)-IF($F$3="",0,SUMIFS($F$5:$F$304,$A$5:$A$304,$A193&amp;"",$B$5:$B$304,"&gt;="&amp;($B193-MOD(WEEKDAY($B193)-$B$3,7)),$B$5:$B$304,"&lt;="&amp;$B193,$F$5:$F$304,"&gt;"&amp;$F$3)-$F$3*COUNTIFS($A$5:$A$304,$A193&amp;"",$B$5:$B$304,"&gt;="&amp;($B193-MOD(WEEKDAY($B193)-$B$3,7)),$B$5:$B$304,"&lt;="&amp;$B193,$F$5:$F$304,"&gt;"&amp;$F$3))-$D$3))),2))</f>
        <v/>
      </c>
      <c r="I193" s="26" t="n"/>
      <c r="J193" s="27">
        <f>IF(AND($A193="",$C193="",$D193=""),"",IF(OR($C193&gt;=1,$D193&gt;=1),"⚠ type the time with a colon: 9:00 AM, not 9",IF(AND($C193&lt;&gt;"",$C193=$D193),"⚠ clock-in equals clock-out: the shift adds 0 h",IF(AND($C193&lt;&gt;"",$D193&lt;&gt;"",IF($E193="",0,$E193)&gt;MOD($D193-$C193,1)*24),"⚠ the break is longer than the shift",IF(AND($A193&lt;&gt;"",COUNTIF('Monthly OT Summary'!$A$6:$A$35,$A193&amp;"")=0),"⚠ name not in Monthly OT Summary: its hours are not added","")))))</f>
        <v/>
      </c>
    </row>
    <row r="194">
      <c r="A194" s="21" t="n"/>
      <c r="B194" s="40" t="n"/>
      <c r="C194" s="41" t="n"/>
      <c r="D194" s="41" t="n"/>
      <c r="E194" s="24" t="n"/>
      <c r="F194" s="8">
        <f>IF(OR($C194="",$D194=""),"",IF(OR($C194&gt;=1,$D194&gt;=1,$C194=$D194,IF($E194="",0,$E194)&gt;MOD($D194-$C194,1)*24),"",ROUND(MOD($D194-$C194,1)*24-IF($E194="",0,$E194),2)))</f>
        <v/>
      </c>
      <c r="G194" s="25" t="n">
        <v>8</v>
      </c>
      <c r="H194" s="8">
        <f>IF(OR($A194="",$B194="",$F194=""),"",ROUND(IF($F$3="",0,MAX(0,$F194-$F$3))+IF($D$3="",0,MIN($F194-IF($F$3="",0,MAX(0,$F194-$F$3)),MAX(0,SUMIFS($F$5:$F$304,$A$5:$A$304,$A194&amp;"",$B$5:$B$304,"&gt;="&amp;($B194-MOD(WEEKDAY($B194)-$B$3,7)),$B$5:$B$304,"&lt;="&amp;$B194)-IF($F$3="",0,SUMIFS($F$5:$F$304,$A$5:$A$304,$A194&amp;"",$B$5:$B$304,"&gt;="&amp;($B194-MOD(WEEKDAY($B194)-$B$3,7)),$B$5:$B$304,"&lt;="&amp;$B194,$F$5:$F$304,"&gt;"&amp;$F$3)-$F$3*COUNTIFS($A$5:$A$304,$A194&amp;"",$B$5:$B$304,"&gt;="&amp;($B194-MOD(WEEKDAY($B194)-$B$3,7)),$B$5:$B$304,"&lt;="&amp;$B194,$F$5:$F$304,"&gt;"&amp;$F$3))-$D$3))),2))</f>
        <v/>
      </c>
      <c r="I194" s="26" t="n"/>
      <c r="J194" s="27">
        <f>IF(AND($A194="",$C194="",$D194=""),"",IF(OR($C194&gt;=1,$D194&gt;=1),"⚠ type the time with a colon: 9:00 AM, not 9",IF(AND($C194&lt;&gt;"",$C194=$D194),"⚠ clock-in equals clock-out: the shift adds 0 h",IF(AND($C194&lt;&gt;"",$D194&lt;&gt;"",IF($E194="",0,$E194)&gt;MOD($D194-$C194,1)*24),"⚠ the break is longer than the shift",IF(AND($A194&lt;&gt;"",COUNTIF('Monthly OT Summary'!$A$6:$A$35,$A194&amp;"")=0),"⚠ name not in Monthly OT Summary: its hours are not added","")))))</f>
        <v/>
      </c>
    </row>
    <row r="195">
      <c r="A195" s="21" t="n"/>
      <c r="B195" s="40" t="n"/>
      <c r="C195" s="41" t="n"/>
      <c r="D195" s="41" t="n"/>
      <c r="E195" s="24" t="n"/>
      <c r="F195" s="8">
        <f>IF(OR($C195="",$D195=""),"",IF(OR($C195&gt;=1,$D195&gt;=1,$C195=$D195,IF($E195="",0,$E195)&gt;MOD($D195-$C195,1)*24),"",ROUND(MOD($D195-$C195,1)*24-IF($E195="",0,$E195),2)))</f>
        <v/>
      </c>
      <c r="G195" s="25" t="n">
        <v>8</v>
      </c>
      <c r="H195" s="8">
        <f>IF(OR($A195="",$B195="",$F195=""),"",ROUND(IF($F$3="",0,MAX(0,$F195-$F$3))+IF($D$3="",0,MIN($F195-IF($F$3="",0,MAX(0,$F195-$F$3)),MAX(0,SUMIFS($F$5:$F$304,$A$5:$A$304,$A195&amp;"",$B$5:$B$304,"&gt;="&amp;($B195-MOD(WEEKDAY($B195)-$B$3,7)),$B$5:$B$304,"&lt;="&amp;$B195)-IF($F$3="",0,SUMIFS($F$5:$F$304,$A$5:$A$304,$A195&amp;"",$B$5:$B$304,"&gt;="&amp;($B195-MOD(WEEKDAY($B195)-$B$3,7)),$B$5:$B$304,"&lt;="&amp;$B195,$F$5:$F$304,"&gt;"&amp;$F$3)-$F$3*COUNTIFS($A$5:$A$304,$A195&amp;"",$B$5:$B$304,"&gt;="&amp;($B195-MOD(WEEKDAY($B195)-$B$3,7)),$B$5:$B$304,"&lt;="&amp;$B195,$F$5:$F$304,"&gt;"&amp;$F$3))-$D$3))),2))</f>
        <v/>
      </c>
      <c r="I195" s="26" t="n"/>
      <c r="J195" s="27">
        <f>IF(AND($A195="",$C195="",$D195=""),"",IF(OR($C195&gt;=1,$D195&gt;=1),"⚠ type the time with a colon: 9:00 AM, not 9",IF(AND($C195&lt;&gt;"",$C195=$D195),"⚠ clock-in equals clock-out: the shift adds 0 h",IF(AND($C195&lt;&gt;"",$D195&lt;&gt;"",IF($E195="",0,$E195)&gt;MOD($D195-$C195,1)*24),"⚠ the break is longer than the shift",IF(AND($A195&lt;&gt;"",COUNTIF('Monthly OT Summary'!$A$6:$A$35,$A195&amp;"")=0),"⚠ name not in Monthly OT Summary: its hours are not added","")))))</f>
        <v/>
      </c>
    </row>
    <row r="196">
      <c r="A196" s="21" t="n"/>
      <c r="B196" s="40" t="n"/>
      <c r="C196" s="41" t="n"/>
      <c r="D196" s="41" t="n"/>
      <c r="E196" s="24" t="n"/>
      <c r="F196" s="8">
        <f>IF(OR($C196="",$D196=""),"",IF(OR($C196&gt;=1,$D196&gt;=1,$C196=$D196,IF($E196="",0,$E196)&gt;MOD($D196-$C196,1)*24),"",ROUND(MOD($D196-$C196,1)*24-IF($E196="",0,$E196),2)))</f>
        <v/>
      </c>
      <c r="G196" s="25" t="n">
        <v>8</v>
      </c>
      <c r="H196" s="8">
        <f>IF(OR($A196="",$B196="",$F196=""),"",ROUND(IF($F$3="",0,MAX(0,$F196-$F$3))+IF($D$3="",0,MIN($F196-IF($F$3="",0,MAX(0,$F196-$F$3)),MAX(0,SUMIFS($F$5:$F$304,$A$5:$A$304,$A196&amp;"",$B$5:$B$304,"&gt;="&amp;($B196-MOD(WEEKDAY($B196)-$B$3,7)),$B$5:$B$304,"&lt;="&amp;$B196)-IF($F$3="",0,SUMIFS($F$5:$F$304,$A$5:$A$304,$A196&amp;"",$B$5:$B$304,"&gt;="&amp;($B196-MOD(WEEKDAY($B196)-$B$3,7)),$B$5:$B$304,"&lt;="&amp;$B196,$F$5:$F$304,"&gt;"&amp;$F$3)-$F$3*COUNTIFS($A$5:$A$304,$A196&amp;"",$B$5:$B$304,"&gt;="&amp;($B196-MOD(WEEKDAY($B196)-$B$3,7)),$B$5:$B$304,"&lt;="&amp;$B196,$F$5:$F$304,"&gt;"&amp;$F$3))-$D$3))),2))</f>
        <v/>
      </c>
      <c r="I196" s="26" t="n"/>
      <c r="J196" s="27">
        <f>IF(AND($A196="",$C196="",$D196=""),"",IF(OR($C196&gt;=1,$D196&gt;=1),"⚠ type the time with a colon: 9:00 AM, not 9",IF(AND($C196&lt;&gt;"",$C196=$D196),"⚠ clock-in equals clock-out: the shift adds 0 h",IF(AND($C196&lt;&gt;"",$D196&lt;&gt;"",IF($E196="",0,$E196)&gt;MOD($D196-$C196,1)*24),"⚠ the break is longer than the shift",IF(AND($A196&lt;&gt;"",COUNTIF('Monthly OT Summary'!$A$6:$A$35,$A196&amp;"")=0),"⚠ name not in Monthly OT Summary: its hours are not added","")))))</f>
        <v/>
      </c>
    </row>
    <row r="197">
      <c r="A197" s="21" t="n"/>
      <c r="B197" s="40" t="n"/>
      <c r="C197" s="41" t="n"/>
      <c r="D197" s="41" t="n"/>
      <c r="E197" s="24" t="n"/>
      <c r="F197" s="8">
        <f>IF(OR($C197="",$D197=""),"",IF(OR($C197&gt;=1,$D197&gt;=1,$C197=$D197,IF($E197="",0,$E197)&gt;MOD($D197-$C197,1)*24),"",ROUND(MOD($D197-$C197,1)*24-IF($E197="",0,$E197),2)))</f>
        <v/>
      </c>
      <c r="G197" s="25" t="n">
        <v>8</v>
      </c>
      <c r="H197" s="8">
        <f>IF(OR($A197="",$B197="",$F197=""),"",ROUND(IF($F$3="",0,MAX(0,$F197-$F$3))+IF($D$3="",0,MIN($F197-IF($F$3="",0,MAX(0,$F197-$F$3)),MAX(0,SUMIFS($F$5:$F$304,$A$5:$A$304,$A197&amp;"",$B$5:$B$304,"&gt;="&amp;($B197-MOD(WEEKDAY($B197)-$B$3,7)),$B$5:$B$304,"&lt;="&amp;$B197)-IF($F$3="",0,SUMIFS($F$5:$F$304,$A$5:$A$304,$A197&amp;"",$B$5:$B$304,"&gt;="&amp;($B197-MOD(WEEKDAY($B197)-$B$3,7)),$B$5:$B$304,"&lt;="&amp;$B197,$F$5:$F$304,"&gt;"&amp;$F$3)-$F$3*COUNTIFS($A$5:$A$304,$A197&amp;"",$B$5:$B$304,"&gt;="&amp;($B197-MOD(WEEKDAY($B197)-$B$3,7)),$B$5:$B$304,"&lt;="&amp;$B197,$F$5:$F$304,"&gt;"&amp;$F$3))-$D$3))),2))</f>
        <v/>
      </c>
      <c r="I197" s="26" t="n"/>
      <c r="J197" s="27">
        <f>IF(AND($A197="",$C197="",$D197=""),"",IF(OR($C197&gt;=1,$D197&gt;=1),"⚠ type the time with a colon: 9:00 AM, not 9",IF(AND($C197&lt;&gt;"",$C197=$D197),"⚠ clock-in equals clock-out: the shift adds 0 h",IF(AND($C197&lt;&gt;"",$D197&lt;&gt;"",IF($E197="",0,$E197)&gt;MOD($D197-$C197,1)*24),"⚠ the break is longer than the shift",IF(AND($A197&lt;&gt;"",COUNTIF('Monthly OT Summary'!$A$6:$A$35,$A197&amp;"")=0),"⚠ name not in Monthly OT Summary: its hours are not added","")))))</f>
        <v/>
      </c>
    </row>
    <row r="198">
      <c r="A198" s="21" t="n"/>
      <c r="B198" s="40" t="n"/>
      <c r="C198" s="41" t="n"/>
      <c r="D198" s="41" t="n"/>
      <c r="E198" s="24" t="n"/>
      <c r="F198" s="8">
        <f>IF(OR($C198="",$D198=""),"",IF(OR($C198&gt;=1,$D198&gt;=1,$C198=$D198,IF($E198="",0,$E198)&gt;MOD($D198-$C198,1)*24),"",ROUND(MOD($D198-$C198,1)*24-IF($E198="",0,$E198),2)))</f>
        <v/>
      </c>
      <c r="G198" s="25" t="n">
        <v>8</v>
      </c>
      <c r="H198" s="8">
        <f>IF(OR($A198="",$B198="",$F198=""),"",ROUND(IF($F$3="",0,MAX(0,$F198-$F$3))+IF($D$3="",0,MIN($F198-IF($F$3="",0,MAX(0,$F198-$F$3)),MAX(0,SUMIFS($F$5:$F$304,$A$5:$A$304,$A198&amp;"",$B$5:$B$304,"&gt;="&amp;($B198-MOD(WEEKDAY($B198)-$B$3,7)),$B$5:$B$304,"&lt;="&amp;$B198)-IF($F$3="",0,SUMIFS($F$5:$F$304,$A$5:$A$304,$A198&amp;"",$B$5:$B$304,"&gt;="&amp;($B198-MOD(WEEKDAY($B198)-$B$3,7)),$B$5:$B$304,"&lt;="&amp;$B198,$F$5:$F$304,"&gt;"&amp;$F$3)-$F$3*COUNTIFS($A$5:$A$304,$A198&amp;"",$B$5:$B$304,"&gt;="&amp;($B198-MOD(WEEKDAY($B198)-$B$3,7)),$B$5:$B$304,"&lt;="&amp;$B198,$F$5:$F$304,"&gt;"&amp;$F$3))-$D$3))),2))</f>
        <v/>
      </c>
      <c r="I198" s="26" t="n"/>
      <c r="J198" s="27">
        <f>IF(AND($A198="",$C198="",$D198=""),"",IF(OR($C198&gt;=1,$D198&gt;=1),"⚠ type the time with a colon: 9:00 AM, not 9",IF(AND($C198&lt;&gt;"",$C198=$D198),"⚠ clock-in equals clock-out: the shift adds 0 h",IF(AND($C198&lt;&gt;"",$D198&lt;&gt;"",IF($E198="",0,$E198)&gt;MOD($D198-$C198,1)*24),"⚠ the break is longer than the shift",IF(AND($A198&lt;&gt;"",COUNTIF('Monthly OT Summary'!$A$6:$A$35,$A198&amp;"")=0),"⚠ name not in Monthly OT Summary: its hours are not added","")))))</f>
        <v/>
      </c>
    </row>
    <row r="199">
      <c r="A199" s="21" t="n"/>
      <c r="B199" s="40" t="n"/>
      <c r="C199" s="41" t="n"/>
      <c r="D199" s="41" t="n"/>
      <c r="E199" s="24" t="n"/>
      <c r="F199" s="8">
        <f>IF(OR($C199="",$D199=""),"",IF(OR($C199&gt;=1,$D199&gt;=1,$C199=$D199,IF($E199="",0,$E199)&gt;MOD($D199-$C199,1)*24),"",ROUND(MOD($D199-$C199,1)*24-IF($E199="",0,$E199),2)))</f>
        <v/>
      </c>
      <c r="G199" s="25" t="n">
        <v>8</v>
      </c>
      <c r="H199" s="8">
        <f>IF(OR($A199="",$B199="",$F199=""),"",ROUND(IF($F$3="",0,MAX(0,$F199-$F$3))+IF($D$3="",0,MIN($F199-IF($F$3="",0,MAX(0,$F199-$F$3)),MAX(0,SUMIFS($F$5:$F$304,$A$5:$A$304,$A199&amp;"",$B$5:$B$304,"&gt;="&amp;($B199-MOD(WEEKDAY($B199)-$B$3,7)),$B$5:$B$304,"&lt;="&amp;$B199)-IF($F$3="",0,SUMIFS($F$5:$F$304,$A$5:$A$304,$A199&amp;"",$B$5:$B$304,"&gt;="&amp;($B199-MOD(WEEKDAY($B199)-$B$3,7)),$B$5:$B$304,"&lt;="&amp;$B199,$F$5:$F$304,"&gt;"&amp;$F$3)-$F$3*COUNTIFS($A$5:$A$304,$A199&amp;"",$B$5:$B$304,"&gt;="&amp;($B199-MOD(WEEKDAY($B199)-$B$3,7)),$B$5:$B$304,"&lt;="&amp;$B199,$F$5:$F$304,"&gt;"&amp;$F$3))-$D$3))),2))</f>
        <v/>
      </c>
      <c r="I199" s="26" t="n"/>
      <c r="J199" s="27">
        <f>IF(AND($A199="",$C199="",$D199=""),"",IF(OR($C199&gt;=1,$D199&gt;=1),"⚠ type the time with a colon: 9:00 AM, not 9",IF(AND($C199&lt;&gt;"",$C199=$D199),"⚠ clock-in equals clock-out: the shift adds 0 h",IF(AND($C199&lt;&gt;"",$D199&lt;&gt;"",IF($E199="",0,$E199)&gt;MOD($D199-$C199,1)*24),"⚠ the break is longer than the shift",IF(AND($A199&lt;&gt;"",COUNTIF('Monthly OT Summary'!$A$6:$A$35,$A199&amp;"")=0),"⚠ name not in Monthly OT Summary: its hours are not added","")))))</f>
        <v/>
      </c>
    </row>
    <row r="200">
      <c r="A200" s="21" t="n"/>
      <c r="B200" s="40" t="n"/>
      <c r="C200" s="41" t="n"/>
      <c r="D200" s="41" t="n"/>
      <c r="E200" s="24" t="n"/>
      <c r="F200" s="8">
        <f>IF(OR($C200="",$D200=""),"",IF(OR($C200&gt;=1,$D200&gt;=1,$C200=$D200,IF($E200="",0,$E200)&gt;MOD($D200-$C200,1)*24),"",ROUND(MOD($D200-$C200,1)*24-IF($E200="",0,$E200),2)))</f>
        <v/>
      </c>
      <c r="G200" s="25" t="n">
        <v>8</v>
      </c>
      <c r="H200" s="8">
        <f>IF(OR($A200="",$B200="",$F200=""),"",ROUND(IF($F$3="",0,MAX(0,$F200-$F$3))+IF($D$3="",0,MIN($F200-IF($F$3="",0,MAX(0,$F200-$F$3)),MAX(0,SUMIFS($F$5:$F$304,$A$5:$A$304,$A200&amp;"",$B$5:$B$304,"&gt;="&amp;($B200-MOD(WEEKDAY($B200)-$B$3,7)),$B$5:$B$304,"&lt;="&amp;$B200)-IF($F$3="",0,SUMIFS($F$5:$F$304,$A$5:$A$304,$A200&amp;"",$B$5:$B$304,"&gt;="&amp;($B200-MOD(WEEKDAY($B200)-$B$3,7)),$B$5:$B$304,"&lt;="&amp;$B200,$F$5:$F$304,"&gt;"&amp;$F$3)-$F$3*COUNTIFS($A$5:$A$304,$A200&amp;"",$B$5:$B$304,"&gt;="&amp;($B200-MOD(WEEKDAY($B200)-$B$3,7)),$B$5:$B$304,"&lt;="&amp;$B200,$F$5:$F$304,"&gt;"&amp;$F$3))-$D$3))),2))</f>
        <v/>
      </c>
      <c r="I200" s="26" t="n"/>
      <c r="J200" s="27">
        <f>IF(AND($A200="",$C200="",$D200=""),"",IF(OR($C200&gt;=1,$D200&gt;=1),"⚠ type the time with a colon: 9:00 AM, not 9",IF(AND($C200&lt;&gt;"",$C200=$D200),"⚠ clock-in equals clock-out: the shift adds 0 h",IF(AND($C200&lt;&gt;"",$D200&lt;&gt;"",IF($E200="",0,$E200)&gt;MOD($D200-$C200,1)*24),"⚠ the break is longer than the shift",IF(AND($A200&lt;&gt;"",COUNTIF('Monthly OT Summary'!$A$6:$A$35,$A200&amp;"")=0),"⚠ name not in Monthly OT Summary: its hours are not added","")))))</f>
        <v/>
      </c>
    </row>
    <row r="201">
      <c r="A201" s="21" t="n"/>
      <c r="B201" s="40" t="n"/>
      <c r="C201" s="41" t="n"/>
      <c r="D201" s="41" t="n"/>
      <c r="E201" s="24" t="n"/>
      <c r="F201" s="8">
        <f>IF(OR($C201="",$D201=""),"",IF(OR($C201&gt;=1,$D201&gt;=1,$C201=$D201,IF($E201="",0,$E201)&gt;MOD($D201-$C201,1)*24),"",ROUND(MOD($D201-$C201,1)*24-IF($E201="",0,$E201),2)))</f>
        <v/>
      </c>
      <c r="G201" s="25" t="n">
        <v>8</v>
      </c>
      <c r="H201" s="8">
        <f>IF(OR($A201="",$B201="",$F201=""),"",ROUND(IF($F$3="",0,MAX(0,$F201-$F$3))+IF($D$3="",0,MIN($F201-IF($F$3="",0,MAX(0,$F201-$F$3)),MAX(0,SUMIFS($F$5:$F$304,$A$5:$A$304,$A201&amp;"",$B$5:$B$304,"&gt;="&amp;($B201-MOD(WEEKDAY($B201)-$B$3,7)),$B$5:$B$304,"&lt;="&amp;$B201)-IF($F$3="",0,SUMIFS($F$5:$F$304,$A$5:$A$304,$A201&amp;"",$B$5:$B$304,"&gt;="&amp;($B201-MOD(WEEKDAY($B201)-$B$3,7)),$B$5:$B$304,"&lt;="&amp;$B201,$F$5:$F$304,"&gt;"&amp;$F$3)-$F$3*COUNTIFS($A$5:$A$304,$A201&amp;"",$B$5:$B$304,"&gt;="&amp;($B201-MOD(WEEKDAY($B201)-$B$3,7)),$B$5:$B$304,"&lt;="&amp;$B201,$F$5:$F$304,"&gt;"&amp;$F$3))-$D$3))),2))</f>
        <v/>
      </c>
      <c r="I201" s="26" t="n"/>
      <c r="J201" s="27">
        <f>IF(AND($A201="",$C201="",$D201=""),"",IF(OR($C201&gt;=1,$D201&gt;=1),"⚠ type the time with a colon: 9:00 AM, not 9",IF(AND($C201&lt;&gt;"",$C201=$D201),"⚠ clock-in equals clock-out: the shift adds 0 h",IF(AND($C201&lt;&gt;"",$D201&lt;&gt;"",IF($E201="",0,$E201)&gt;MOD($D201-$C201,1)*24),"⚠ the break is longer than the shift",IF(AND($A201&lt;&gt;"",COUNTIF('Monthly OT Summary'!$A$6:$A$35,$A201&amp;"")=0),"⚠ name not in Monthly OT Summary: its hours are not added","")))))</f>
        <v/>
      </c>
    </row>
    <row r="202">
      <c r="A202" s="21" t="n"/>
      <c r="B202" s="40" t="n"/>
      <c r="C202" s="41" t="n"/>
      <c r="D202" s="41" t="n"/>
      <c r="E202" s="24" t="n"/>
      <c r="F202" s="8">
        <f>IF(OR($C202="",$D202=""),"",IF(OR($C202&gt;=1,$D202&gt;=1,$C202=$D202,IF($E202="",0,$E202)&gt;MOD($D202-$C202,1)*24),"",ROUND(MOD($D202-$C202,1)*24-IF($E202="",0,$E202),2)))</f>
        <v/>
      </c>
      <c r="G202" s="25" t="n">
        <v>8</v>
      </c>
      <c r="H202" s="8">
        <f>IF(OR($A202="",$B202="",$F202=""),"",ROUND(IF($F$3="",0,MAX(0,$F202-$F$3))+IF($D$3="",0,MIN($F202-IF($F$3="",0,MAX(0,$F202-$F$3)),MAX(0,SUMIFS($F$5:$F$304,$A$5:$A$304,$A202&amp;"",$B$5:$B$304,"&gt;="&amp;($B202-MOD(WEEKDAY($B202)-$B$3,7)),$B$5:$B$304,"&lt;="&amp;$B202)-IF($F$3="",0,SUMIFS($F$5:$F$304,$A$5:$A$304,$A202&amp;"",$B$5:$B$304,"&gt;="&amp;($B202-MOD(WEEKDAY($B202)-$B$3,7)),$B$5:$B$304,"&lt;="&amp;$B202,$F$5:$F$304,"&gt;"&amp;$F$3)-$F$3*COUNTIFS($A$5:$A$304,$A202&amp;"",$B$5:$B$304,"&gt;="&amp;($B202-MOD(WEEKDAY($B202)-$B$3,7)),$B$5:$B$304,"&lt;="&amp;$B202,$F$5:$F$304,"&gt;"&amp;$F$3))-$D$3))),2))</f>
        <v/>
      </c>
      <c r="I202" s="26" t="n"/>
      <c r="J202" s="27">
        <f>IF(AND($A202="",$C202="",$D202=""),"",IF(OR($C202&gt;=1,$D202&gt;=1),"⚠ type the time with a colon: 9:00 AM, not 9",IF(AND($C202&lt;&gt;"",$C202=$D202),"⚠ clock-in equals clock-out: the shift adds 0 h",IF(AND($C202&lt;&gt;"",$D202&lt;&gt;"",IF($E202="",0,$E202)&gt;MOD($D202-$C202,1)*24),"⚠ the break is longer than the shift",IF(AND($A202&lt;&gt;"",COUNTIF('Monthly OT Summary'!$A$6:$A$35,$A202&amp;"")=0),"⚠ name not in Monthly OT Summary: its hours are not added","")))))</f>
        <v/>
      </c>
    </row>
    <row r="203">
      <c r="A203" s="21" t="n"/>
      <c r="B203" s="40" t="n"/>
      <c r="C203" s="41" t="n"/>
      <c r="D203" s="41" t="n"/>
      <c r="E203" s="24" t="n"/>
      <c r="F203" s="8">
        <f>IF(OR($C203="",$D203=""),"",IF(OR($C203&gt;=1,$D203&gt;=1,$C203=$D203,IF($E203="",0,$E203)&gt;MOD($D203-$C203,1)*24),"",ROUND(MOD($D203-$C203,1)*24-IF($E203="",0,$E203),2)))</f>
        <v/>
      </c>
      <c r="G203" s="25" t="n">
        <v>8</v>
      </c>
      <c r="H203" s="8">
        <f>IF(OR($A203="",$B203="",$F203=""),"",ROUND(IF($F$3="",0,MAX(0,$F203-$F$3))+IF($D$3="",0,MIN($F203-IF($F$3="",0,MAX(0,$F203-$F$3)),MAX(0,SUMIFS($F$5:$F$304,$A$5:$A$304,$A203&amp;"",$B$5:$B$304,"&gt;="&amp;($B203-MOD(WEEKDAY($B203)-$B$3,7)),$B$5:$B$304,"&lt;="&amp;$B203)-IF($F$3="",0,SUMIFS($F$5:$F$304,$A$5:$A$304,$A203&amp;"",$B$5:$B$304,"&gt;="&amp;($B203-MOD(WEEKDAY($B203)-$B$3,7)),$B$5:$B$304,"&lt;="&amp;$B203,$F$5:$F$304,"&gt;"&amp;$F$3)-$F$3*COUNTIFS($A$5:$A$304,$A203&amp;"",$B$5:$B$304,"&gt;="&amp;($B203-MOD(WEEKDAY($B203)-$B$3,7)),$B$5:$B$304,"&lt;="&amp;$B203,$F$5:$F$304,"&gt;"&amp;$F$3))-$D$3))),2))</f>
        <v/>
      </c>
      <c r="I203" s="26" t="n"/>
      <c r="J203" s="27">
        <f>IF(AND($A203="",$C203="",$D203=""),"",IF(OR($C203&gt;=1,$D203&gt;=1),"⚠ type the time with a colon: 9:00 AM, not 9",IF(AND($C203&lt;&gt;"",$C203=$D203),"⚠ clock-in equals clock-out: the shift adds 0 h",IF(AND($C203&lt;&gt;"",$D203&lt;&gt;"",IF($E203="",0,$E203)&gt;MOD($D203-$C203,1)*24),"⚠ the break is longer than the shift",IF(AND($A203&lt;&gt;"",COUNTIF('Monthly OT Summary'!$A$6:$A$35,$A203&amp;"")=0),"⚠ name not in Monthly OT Summary: its hours are not added","")))))</f>
        <v/>
      </c>
    </row>
    <row r="204">
      <c r="A204" s="21" t="n"/>
      <c r="B204" s="40" t="n"/>
      <c r="C204" s="41" t="n"/>
      <c r="D204" s="41" t="n"/>
      <c r="E204" s="24" t="n"/>
      <c r="F204" s="8">
        <f>IF(OR($C204="",$D204=""),"",IF(OR($C204&gt;=1,$D204&gt;=1,$C204=$D204,IF($E204="",0,$E204)&gt;MOD($D204-$C204,1)*24),"",ROUND(MOD($D204-$C204,1)*24-IF($E204="",0,$E204),2)))</f>
        <v/>
      </c>
      <c r="G204" s="25" t="n">
        <v>8</v>
      </c>
      <c r="H204" s="8">
        <f>IF(OR($A204="",$B204="",$F204=""),"",ROUND(IF($F$3="",0,MAX(0,$F204-$F$3))+IF($D$3="",0,MIN($F204-IF($F$3="",0,MAX(0,$F204-$F$3)),MAX(0,SUMIFS($F$5:$F$304,$A$5:$A$304,$A204&amp;"",$B$5:$B$304,"&gt;="&amp;($B204-MOD(WEEKDAY($B204)-$B$3,7)),$B$5:$B$304,"&lt;="&amp;$B204)-IF($F$3="",0,SUMIFS($F$5:$F$304,$A$5:$A$304,$A204&amp;"",$B$5:$B$304,"&gt;="&amp;($B204-MOD(WEEKDAY($B204)-$B$3,7)),$B$5:$B$304,"&lt;="&amp;$B204,$F$5:$F$304,"&gt;"&amp;$F$3)-$F$3*COUNTIFS($A$5:$A$304,$A204&amp;"",$B$5:$B$304,"&gt;="&amp;($B204-MOD(WEEKDAY($B204)-$B$3,7)),$B$5:$B$304,"&lt;="&amp;$B204,$F$5:$F$304,"&gt;"&amp;$F$3))-$D$3))),2))</f>
        <v/>
      </c>
      <c r="I204" s="26" t="n"/>
      <c r="J204" s="27">
        <f>IF(AND($A204="",$C204="",$D204=""),"",IF(OR($C204&gt;=1,$D204&gt;=1),"⚠ type the time with a colon: 9:00 AM, not 9",IF(AND($C204&lt;&gt;"",$C204=$D204),"⚠ clock-in equals clock-out: the shift adds 0 h",IF(AND($C204&lt;&gt;"",$D204&lt;&gt;"",IF($E204="",0,$E204)&gt;MOD($D204-$C204,1)*24),"⚠ the break is longer than the shift",IF(AND($A204&lt;&gt;"",COUNTIF('Monthly OT Summary'!$A$6:$A$35,$A204&amp;"")=0),"⚠ name not in Monthly OT Summary: its hours are not added","")))))</f>
        <v/>
      </c>
    </row>
    <row r="205">
      <c r="A205" s="21" t="n"/>
      <c r="B205" s="40" t="n"/>
      <c r="C205" s="41" t="n"/>
      <c r="D205" s="41" t="n"/>
      <c r="E205" s="24" t="n"/>
      <c r="F205" s="8">
        <f>IF(OR($C205="",$D205=""),"",IF(OR($C205&gt;=1,$D205&gt;=1,$C205=$D205,IF($E205="",0,$E205)&gt;MOD($D205-$C205,1)*24),"",ROUND(MOD($D205-$C205,1)*24-IF($E205="",0,$E205),2)))</f>
        <v/>
      </c>
      <c r="G205" s="25" t="n">
        <v>8</v>
      </c>
      <c r="H205" s="8">
        <f>IF(OR($A205="",$B205="",$F205=""),"",ROUND(IF($F$3="",0,MAX(0,$F205-$F$3))+IF($D$3="",0,MIN($F205-IF($F$3="",0,MAX(0,$F205-$F$3)),MAX(0,SUMIFS($F$5:$F$304,$A$5:$A$304,$A205&amp;"",$B$5:$B$304,"&gt;="&amp;($B205-MOD(WEEKDAY($B205)-$B$3,7)),$B$5:$B$304,"&lt;="&amp;$B205)-IF($F$3="",0,SUMIFS($F$5:$F$304,$A$5:$A$304,$A205&amp;"",$B$5:$B$304,"&gt;="&amp;($B205-MOD(WEEKDAY($B205)-$B$3,7)),$B$5:$B$304,"&lt;="&amp;$B205,$F$5:$F$304,"&gt;"&amp;$F$3)-$F$3*COUNTIFS($A$5:$A$304,$A205&amp;"",$B$5:$B$304,"&gt;="&amp;($B205-MOD(WEEKDAY($B205)-$B$3,7)),$B$5:$B$304,"&lt;="&amp;$B205,$F$5:$F$304,"&gt;"&amp;$F$3))-$D$3))),2))</f>
        <v/>
      </c>
      <c r="I205" s="26" t="n"/>
      <c r="J205" s="27">
        <f>IF(AND($A205="",$C205="",$D205=""),"",IF(OR($C205&gt;=1,$D205&gt;=1),"⚠ type the time with a colon: 9:00 AM, not 9",IF(AND($C205&lt;&gt;"",$C205=$D205),"⚠ clock-in equals clock-out: the shift adds 0 h",IF(AND($C205&lt;&gt;"",$D205&lt;&gt;"",IF($E205="",0,$E205)&gt;MOD($D205-$C205,1)*24),"⚠ the break is longer than the shift",IF(AND($A205&lt;&gt;"",COUNTIF('Monthly OT Summary'!$A$6:$A$35,$A205&amp;"")=0),"⚠ name not in Monthly OT Summary: its hours are not added","")))))</f>
        <v/>
      </c>
    </row>
    <row r="206">
      <c r="A206" s="21" t="n"/>
      <c r="B206" s="40" t="n"/>
      <c r="C206" s="41" t="n"/>
      <c r="D206" s="41" t="n"/>
      <c r="E206" s="24" t="n"/>
      <c r="F206" s="8">
        <f>IF(OR($C206="",$D206=""),"",IF(OR($C206&gt;=1,$D206&gt;=1,$C206=$D206,IF($E206="",0,$E206)&gt;MOD($D206-$C206,1)*24),"",ROUND(MOD($D206-$C206,1)*24-IF($E206="",0,$E206),2)))</f>
        <v/>
      </c>
      <c r="G206" s="25" t="n">
        <v>8</v>
      </c>
      <c r="H206" s="8">
        <f>IF(OR($A206="",$B206="",$F206=""),"",ROUND(IF($F$3="",0,MAX(0,$F206-$F$3))+IF($D$3="",0,MIN($F206-IF($F$3="",0,MAX(0,$F206-$F$3)),MAX(0,SUMIFS($F$5:$F$304,$A$5:$A$304,$A206&amp;"",$B$5:$B$304,"&gt;="&amp;($B206-MOD(WEEKDAY($B206)-$B$3,7)),$B$5:$B$304,"&lt;="&amp;$B206)-IF($F$3="",0,SUMIFS($F$5:$F$304,$A$5:$A$304,$A206&amp;"",$B$5:$B$304,"&gt;="&amp;($B206-MOD(WEEKDAY($B206)-$B$3,7)),$B$5:$B$304,"&lt;="&amp;$B206,$F$5:$F$304,"&gt;"&amp;$F$3)-$F$3*COUNTIFS($A$5:$A$304,$A206&amp;"",$B$5:$B$304,"&gt;="&amp;($B206-MOD(WEEKDAY($B206)-$B$3,7)),$B$5:$B$304,"&lt;="&amp;$B206,$F$5:$F$304,"&gt;"&amp;$F$3))-$D$3))),2))</f>
        <v/>
      </c>
      <c r="I206" s="26" t="n"/>
      <c r="J206" s="27">
        <f>IF(AND($A206="",$C206="",$D206=""),"",IF(OR($C206&gt;=1,$D206&gt;=1),"⚠ type the time with a colon: 9:00 AM, not 9",IF(AND($C206&lt;&gt;"",$C206=$D206),"⚠ clock-in equals clock-out: the shift adds 0 h",IF(AND($C206&lt;&gt;"",$D206&lt;&gt;"",IF($E206="",0,$E206)&gt;MOD($D206-$C206,1)*24),"⚠ the break is longer than the shift",IF(AND($A206&lt;&gt;"",COUNTIF('Monthly OT Summary'!$A$6:$A$35,$A206&amp;"")=0),"⚠ name not in Monthly OT Summary: its hours are not added","")))))</f>
        <v/>
      </c>
    </row>
    <row r="207">
      <c r="A207" s="21" t="n"/>
      <c r="B207" s="40" t="n"/>
      <c r="C207" s="41" t="n"/>
      <c r="D207" s="41" t="n"/>
      <c r="E207" s="24" t="n"/>
      <c r="F207" s="8">
        <f>IF(OR($C207="",$D207=""),"",IF(OR($C207&gt;=1,$D207&gt;=1,$C207=$D207,IF($E207="",0,$E207)&gt;MOD($D207-$C207,1)*24),"",ROUND(MOD($D207-$C207,1)*24-IF($E207="",0,$E207),2)))</f>
        <v/>
      </c>
      <c r="G207" s="25" t="n">
        <v>8</v>
      </c>
      <c r="H207" s="8">
        <f>IF(OR($A207="",$B207="",$F207=""),"",ROUND(IF($F$3="",0,MAX(0,$F207-$F$3))+IF($D$3="",0,MIN($F207-IF($F$3="",0,MAX(0,$F207-$F$3)),MAX(0,SUMIFS($F$5:$F$304,$A$5:$A$304,$A207&amp;"",$B$5:$B$304,"&gt;="&amp;($B207-MOD(WEEKDAY($B207)-$B$3,7)),$B$5:$B$304,"&lt;="&amp;$B207)-IF($F$3="",0,SUMIFS($F$5:$F$304,$A$5:$A$304,$A207&amp;"",$B$5:$B$304,"&gt;="&amp;($B207-MOD(WEEKDAY($B207)-$B$3,7)),$B$5:$B$304,"&lt;="&amp;$B207,$F$5:$F$304,"&gt;"&amp;$F$3)-$F$3*COUNTIFS($A$5:$A$304,$A207&amp;"",$B$5:$B$304,"&gt;="&amp;($B207-MOD(WEEKDAY($B207)-$B$3,7)),$B$5:$B$304,"&lt;="&amp;$B207,$F$5:$F$304,"&gt;"&amp;$F$3))-$D$3))),2))</f>
        <v/>
      </c>
      <c r="I207" s="26" t="n"/>
      <c r="J207" s="27">
        <f>IF(AND($A207="",$C207="",$D207=""),"",IF(OR($C207&gt;=1,$D207&gt;=1),"⚠ type the time with a colon: 9:00 AM, not 9",IF(AND($C207&lt;&gt;"",$C207=$D207),"⚠ clock-in equals clock-out: the shift adds 0 h",IF(AND($C207&lt;&gt;"",$D207&lt;&gt;"",IF($E207="",0,$E207)&gt;MOD($D207-$C207,1)*24),"⚠ the break is longer than the shift",IF(AND($A207&lt;&gt;"",COUNTIF('Monthly OT Summary'!$A$6:$A$35,$A207&amp;"")=0),"⚠ name not in Monthly OT Summary: its hours are not added","")))))</f>
        <v/>
      </c>
    </row>
    <row r="208">
      <c r="A208" s="21" t="n"/>
      <c r="B208" s="40" t="n"/>
      <c r="C208" s="41" t="n"/>
      <c r="D208" s="41" t="n"/>
      <c r="E208" s="24" t="n"/>
      <c r="F208" s="8">
        <f>IF(OR($C208="",$D208=""),"",IF(OR($C208&gt;=1,$D208&gt;=1,$C208=$D208,IF($E208="",0,$E208)&gt;MOD($D208-$C208,1)*24),"",ROUND(MOD($D208-$C208,1)*24-IF($E208="",0,$E208),2)))</f>
        <v/>
      </c>
      <c r="G208" s="25" t="n">
        <v>8</v>
      </c>
      <c r="H208" s="8">
        <f>IF(OR($A208="",$B208="",$F208=""),"",ROUND(IF($F$3="",0,MAX(0,$F208-$F$3))+IF($D$3="",0,MIN($F208-IF($F$3="",0,MAX(0,$F208-$F$3)),MAX(0,SUMIFS($F$5:$F$304,$A$5:$A$304,$A208&amp;"",$B$5:$B$304,"&gt;="&amp;($B208-MOD(WEEKDAY($B208)-$B$3,7)),$B$5:$B$304,"&lt;="&amp;$B208)-IF($F$3="",0,SUMIFS($F$5:$F$304,$A$5:$A$304,$A208&amp;"",$B$5:$B$304,"&gt;="&amp;($B208-MOD(WEEKDAY($B208)-$B$3,7)),$B$5:$B$304,"&lt;="&amp;$B208,$F$5:$F$304,"&gt;"&amp;$F$3)-$F$3*COUNTIFS($A$5:$A$304,$A208&amp;"",$B$5:$B$304,"&gt;="&amp;($B208-MOD(WEEKDAY($B208)-$B$3,7)),$B$5:$B$304,"&lt;="&amp;$B208,$F$5:$F$304,"&gt;"&amp;$F$3))-$D$3))),2))</f>
        <v/>
      </c>
      <c r="I208" s="26" t="n"/>
      <c r="J208" s="27">
        <f>IF(AND($A208="",$C208="",$D208=""),"",IF(OR($C208&gt;=1,$D208&gt;=1),"⚠ type the time with a colon: 9:00 AM, not 9",IF(AND($C208&lt;&gt;"",$C208=$D208),"⚠ clock-in equals clock-out: the shift adds 0 h",IF(AND($C208&lt;&gt;"",$D208&lt;&gt;"",IF($E208="",0,$E208)&gt;MOD($D208-$C208,1)*24),"⚠ the break is longer than the shift",IF(AND($A208&lt;&gt;"",COUNTIF('Monthly OT Summary'!$A$6:$A$35,$A208&amp;"")=0),"⚠ name not in Monthly OT Summary: its hours are not added","")))))</f>
        <v/>
      </c>
    </row>
    <row r="209">
      <c r="A209" s="21" t="n"/>
      <c r="B209" s="40" t="n"/>
      <c r="C209" s="41" t="n"/>
      <c r="D209" s="41" t="n"/>
      <c r="E209" s="24" t="n"/>
      <c r="F209" s="8">
        <f>IF(OR($C209="",$D209=""),"",IF(OR($C209&gt;=1,$D209&gt;=1,$C209=$D209,IF($E209="",0,$E209)&gt;MOD($D209-$C209,1)*24),"",ROUND(MOD($D209-$C209,1)*24-IF($E209="",0,$E209),2)))</f>
        <v/>
      </c>
      <c r="G209" s="25" t="n">
        <v>8</v>
      </c>
      <c r="H209" s="8">
        <f>IF(OR($A209="",$B209="",$F209=""),"",ROUND(IF($F$3="",0,MAX(0,$F209-$F$3))+IF($D$3="",0,MIN($F209-IF($F$3="",0,MAX(0,$F209-$F$3)),MAX(0,SUMIFS($F$5:$F$304,$A$5:$A$304,$A209&amp;"",$B$5:$B$304,"&gt;="&amp;($B209-MOD(WEEKDAY($B209)-$B$3,7)),$B$5:$B$304,"&lt;="&amp;$B209)-IF($F$3="",0,SUMIFS($F$5:$F$304,$A$5:$A$304,$A209&amp;"",$B$5:$B$304,"&gt;="&amp;($B209-MOD(WEEKDAY($B209)-$B$3,7)),$B$5:$B$304,"&lt;="&amp;$B209,$F$5:$F$304,"&gt;"&amp;$F$3)-$F$3*COUNTIFS($A$5:$A$304,$A209&amp;"",$B$5:$B$304,"&gt;="&amp;($B209-MOD(WEEKDAY($B209)-$B$3,7)),$B$5:$B$304,"&lt;="&amp;$B209,$F$5:$F$304,"&gt;"&amp;$F$3))-$D$3))),2))</f>
        <v/>
      </c>
      <c r="I209" s="26" t="n"/>
      <c r="J209" s="27">
        <f>IF(AND($A209="",$C209="",$D209=""),"",IF(OR($C209&gt;=1,$D209&gt;=1),"⚠ type the time with a colon: 9:00 AM, not 9",IF(AND($C209&lt;&gt;"",$C209=$D209),"⚠ clock-in equals clock-out: the shift adds 0 h",IF(AND($C209&lt;&gt;"",$D209&lt;&gt;"",IF($E209="",0,$E209)&gt;MOD($D209-$C209,1)*24),"⚠ the break is longer than the shift",IF(AND($A209&lt;&gt;"",COUNTIF('Monthly OT Summary'!$A$6:$A$35,$A209&amp;"")=0),"⚠ name not in Monthly OT Summary: its hours are not added","")))))</f>
        <v/>
      </c>
    </row>
    <row r="210">
      <c r="A210" s="21" t="n"/>
      <c r="B210" s="40" t="n"/>
      <c r="C210" s="41" t="n"/>
      <c r="D210" s="41" t="n"/>
      <c r="E210" s="24" t="n"/>
      <c r="F210" s="8">
        <f>IF(OR($C210="",$D210=""),"",IF(OR($C210&gt;=1,$D210&gt;=1,$C210=$D210,IF($E210="",0,$E210)&gt;MOD($D210-$C210,1)*24),"",ROUND(MOD($D210-$C210,1)*24-IF($E210="",0,$E210),2)))</f>
        <v/>
      </c>
      <c r="G210" s="25" t="n">
        <v>8</v>
      </c>
      <c r="H210" s="8">
        <f>IF(OR($A210="",$B210="",$F210=""),"",ROUND(IF($F$3="",0,MAX(0,$F210-$F$3))+IF($D$3="",0,MIN($F210-IF($F$3="",0,MAX(0,$F210-$F$3)),MAX(0,SUMIFS($F$5:$F$304,$A$5:$A$304,$A210&amp;"",$B$5:$B$304,"&gt;="&amp;($B210-MOD(WEEKDAY($B210)-$B$3,7)),$B$5:$B$304,"&lt;="&amp;$B210)-IF($F$3="",0,SUMIFS($F$5:$F$304,$A$5:$A$304,$A210&amp;"",$B$5:$B$304,"&gt;="&amp;($B210-MOD(WEEKDAY($B210)-$B$3,7)),$B$5:$B$304,"&lt;="&amp;$B210,$F$5:$F$304,"&gt;"&amp;$F$3)-$F$3*COUNTIFS($A$5:$A$304,$A210&amp;"",$B$5:$B$304,"&gt;="&amp;($B210-MOD(WEEKDAY($B210)-$B$3,7)),$B$5:$B$304,"&lt;="&amp;$B210,$F$5:$F$304,"&gt;"&amp;$F$3))-$D$3))),2))</f>
        <v/>
      </c>
      <c r="I210" s="26" t="n"/>
      <c r="J210" s="27">
        <f>IF(AND($A210="",$C210="",$D210=""),"",IF(OR($C210&gt;=1,$D210&gt;=1),"⚠ type the time with a colon: 9:00 AM, not 9",IF(AND($C210&lt;&gt;"",$C210=$D210),"⚠ clock-in equals clock-out: the shift adds 0 h",IF(AND($C210&lt;&gt;"",$D210&lt;&gt;"",IF($E210="",0,$E210)&gt;MOD($D210-$C210,1)*24),"⚠ the break is longer than the shift",IF(AND($A210&lt;&gt;"",COUNTIF('Monthly OT Summary'!$A$6:$A$35,$A210&amp;"")=0),"⚠ name not in Monthly OT Summary: its hours are not added","")))))</f>
        <v/>
      </c>
    </row>
    <row r="211">
      <c r="A211" s="21" t="n"/>
      <c r="B211" s="40" t="n"/>
      <c r="C211" s="41" t="n"/>
      <c r="D211" s="41" t="n"/>
      <c r="E211" s="24" t="n"/>
      <c r="F211" s="8">
        <f>IF(OR($C211="",$D211=""),"",IF(OR($C211&gt;=1,$D211&gt;=1,$C211=$D211,IF($E211="",0,$E211)&gt;MOD($D211-$C211,1)*24),"",ROUND(MOD($D211-$C211,1)*24-IF($E211="",0,$E211),2)))</f>
        <v/>
      </c>
      <c r="G211" s="25" t="n">
        <v>8</v>
      </c>
      <c r="H211" s="8">
        <f>IF(OR($A211="",$B211="",$F211=""),"",ROUND(IF($F$3="",0,MAX(0,$F211-$F$3))+IF($D$3="",0,MIN($F211-IF($F$3="",0,MAX(0,$F211-$F$3)),MAX(0,SUMIFS($F$5:$F$304,$A$5:$A$304,$A211&amp;"",$B$5:$B$304,"&gt;="&amp;($B211-MOD(WEEKDAY($B211)-$B$3,7)),$B$5:$B$304,"&lt;="&amp;$B211)-IF($F$3="",0,SUMIFS($F$5:$F$304,$A$5:$A$304,$A211&amp;"",$B$5:$B$304,"&gt;="&amp;($B211-MOD(WEEKDAY($B211)-$B$3,7)),$B$5:$B$304,"&lt;="&amp;$B211,$F$5:$F$304,"&gt;"&amp;$F$3)-$F$3*COUNTIFS($A$5:$A$304,$A211&amp;"",$B$5:$B$304,"&gt;="&amp;($B211-MOD(WEEKDAY($B211)-$B$3,7)),$B$5:$B$304,"&lt;="&amp;$B211,$F$5:$F$304,"&gt;"&amp;$F$3))-$D$3))),2))</f>
        <v/>
      </c>
      <c r="I211" s="26" t="n"/>
      <c r="J211" s="27">
        <f>IF(AND($A211="",$C211="",$D211=""),"",IF(OR($C211&gt;=1,$D211&gt;=1),"⚠ type the time with a colon: 9:00 AM, not 9",IF(AND($C211&lt;&gt;"",$C211=$D211),"⚠ clock-in equals clock-out: the shift adds 0 h",IF(AND($C211&lt;&gt;"",$D211&lt;&gt;"",IF($E211="",0,$E211)&gt;MOD($D211-$C211,1)*24),"⚠ the break is longer than the shift",IF(AND($A211&lt;&gt;"",COUNTIF('Monthly OT Summary'!$A$6:$A$35,$A211&amp;"")=0),"⚠ name not in Monthly OT Summary: its hours are not added","")))))</f>
        <v/>
      </c>
    </row>
    <row r="212">
      <c r="A212" s="21" t="n"/>
      <c r="B212" s="40" t="n"/>
      <c r="C212" s="41" t="n"/>
      <c r="D212" s="41" t="n"/>
      <c r="E212" s="24" t="n"/>
      <c r="F212" s="8">
        <f>IF(OR($C212="",$D212=""),"",IF(OR($C212&gt;=1,$D212&gt;=1,$C212=$D212,IF($E212="",0,$E212)&gt;MOD($D212-$C212,1)*24),"",ROUND(MOD($D212-$C212,1)*24-IF($E212="",0,$E212),2)))</f>
        <v/>
      </c>
      <c r="G212" s="25" t="n">
        <v>8</v>
      </c>
      <c r="H212" s="8">
        <f>IF(OR($A212="",$B212="",$F212=""),"",ROUND(IF($F$3="",0,MAX(0,$F212-$F$3))+IF($D$3="",0,MIN($F212-IF($F$3="",0,MAX(0,$F212-$F$3)),MAX(0,SUMIFS($F$5:$F$304,$A$5:$A$304,$A212&amp;"",$B$5:$B$304,"&gt;="&amp;($B212-MOD(WEEKDAY($B212)-$B$3,7)),$B$5:$B$304,"&lt;="&amp;$B212)-IF($F$3="",0,SUMIFS($F$5:$F$304,$A$5:$A$304,$A212&amp;"",$B$5:$B$304,"&gt;="&amp;($B212-MOD(WEEKDAY($B212)-$B$3,7)),$B$5:$B$304,"&lt;="&amp;$B212,$F$5:$F$304,"&gt;"&amp;$F$3)-$F$3*COUNTIFS($A$5:$A$304,$A212&amp;"",$B$5:$B$304,"&gt;="&amp;($B212-MOD(WEEKDAY($B212)-$B$3,7)),$B$5:$B$304,"&lt;="&amp;$B212,$F$5:$F$304,"&gt;"&amp;$F$3))-$D$3))),2))</f>
        <v/>
      </c>
      <c r="I212" s="26" t="n"/>
      <c r="J212" s="27">
        <f>IF(AND($A212="",$C212="",$D212=""),"",IF(OR($C212&gt;=1,$D212&gt;=1),"⚠ type the time with a colon: 9:00 AM, not 9",IF(AND($C212&lt;&gt;"",$C212=$D212),"⚠ clock-in equals clock-out: the shift adds 0 h",IF(AND($C212&lt;&gt;"",$D212&lt;&gt;"",IF($E212="",0,$E212)&gt;MOD($D212-$C212,1)*24),"⚠ the break is longer than the shift",IF(AND($A212&lt;&gt;"",COUNTIF('Monthly OT Summary'!$A$6:$A$35,$A212&amp;"")=0),"⚠ name not in Monthly OT Summary: its hours are not added","")))))</f>
        <v/>
      </c>
    </row>
    <row r="213">
      <c r="A213" s="21" t="n"/>
      <c r="B213" s="40" t="n"/>
      <c r="C213" s="41" t="n"/>
      <c r="D213" s="41" t="n"/>
      <c r="E213" s="24" t="n"/>
      <c r="F213" s="8">
        <f>IF(OR($C213="",$D213=""),"",IF(OR($C213&gt;=1,$D213&gt;=1,$C213=$D213,IF($E213="",0,$E213)&gt;MOD($D213-$C213,1)*24),"",ROUND(MOD($D213-$C213,1)*24-IF($E213="",0,$E213),2)))</f>
        <v/>
      </c>
      <c r="G213" s="25" t="n">
        <v>8</v>
      </c>
      <c r="H213" s="8">
        <f>IF(OR($A213="",$B213="",$F213=""),"",ROUND(IF($F$3="",0,MAX(0,$F213-$F$3))+IF($D$3="",0,MIN($F213-IF($F$3="",0,MAX(0,$F213-$F$3)),MAX(0,SUMIFS($F$5:$F$304,$A$5:$A$304,$A213&amp;"",$B$5:$B$304,"&gt;="&amp;($B213-MOD(WEEKDAY($B213)-$B$3,7)),$B$5:$B$304,"&lt;="&amp;$B213)-IF($F$3="",0,SUMIFS($F$5:$F$304,$A$5:$A$304,$A213&amp;"",$B$5:$B$304,"&gt;="&amp;($B213-MOD(WEEKDAY($B213)-$B$3,7)),$B$5:$B$304,"&lt;="&amp;$B213,$F$5:$F$304,"&gt;"&amp;$F$3)-$F$3*COUNTIFS($A$5:$A$304,$A213&amp;"",$B$5:$B$304,"&gt;="&amp;($B213-MOD(WEEKDAY($B213)-$B$3,7)),$B$5:$B$304,"&lt;="&amp;$B213,$F$5:$F$304,"&gt;"&amp;$F$3))-$D$3))),2))</f>
        <v/>
      </c>
      <c r="I213" s="26" t="n"/>
      <c r="J213" s="27">
        <f>IF(AND($A213="",$C213="",$D213=""),"",IF(OR($C213&gt;=1,$D213&gt;=1),"⚠ type the time with a colon: 9:00 AM, not 9",IF(AND($C213&lt;&gt;"",$C213=$D213),"⚠ clock-in equals clock-out: the shift adds 0 h",IF(AND($C213&lt;&gt;"",$D213&lt;&gt;"",IF($E213="",0,$E213)&gt;MOD($D213-$C213,1)*24),"⚠ the break is longer than the shift",IF(AND($A213&lt;&gt;"",COUNTIF('Monthly OT Summary'!$A$6:$A$35,$A213&amp;"")=0),"⚠ name not in Monthly OT Summary: its hours are not added","")))))</f>
        <v/>
      </c>
    </row>
    <row r="214">
      <c r="A214" s="21" t="n"/>
      <c r="B214" s="40" t="n"/>
      <c r="C214" s="41" t="n"/>
      <c r="D214" s="41" t="n"/>
      <c r="E214" s="24" t="n"/>
      <c r="F214" s="8">
        <f>IF(OR($C214="",$D214=""),"",IF(OR($C214&gt;=1,$D214&gt;=1,$C214=$D214,IF($E214="",0,$E214)&gt;MOD($D214-$C214,1)*24),"",ROUND(MOD($D214-$C214,1)*24-IF($E214="",0,$E214),2)))</f>
        <v/>
      </c>
      <c r="G214" s="25" t="n">
        <v>8</v>
      </c>
      <c r="H214" s="8">
        <f>IF(OR($A214="",$B214="",$F214=""),"",ROUND(IF($F$3="",0,MAX(0,$F214-$F$3))+IF($D$3="",0,MIN($F214-IF($F$3="",0,MAX(0,$F214-$F$3)),MAX(0,SUMIFS($F$5:$F$304,$A$5:$A$304,$A214&amp;"",$B$5:$B$304,"&gt;="&amp;($B214-MOD(WEEKDAY($B214)-$B$3,7)),$B$5:$B$304,"&lt;="&amp;$B214)-IF($F$3="",0,SUMIFS($F$5:$F$304,$A$5:$A$304,$A214&amp;"",$B$5:$B$304,"&gt;="&amp;($B214-MOD(WEEKDAY($B214)-$B$3,7)),$B$5:$B$304,"&lt;="&amp;$B214,$F$5:$F$304,"&gt;"&amp;$F$3)-$F$3*COUNTIFS($A$5:$A$304,$A214&amp;"",$B$5:$B$304,"&gt;="&amp;($B214-MOD(WEEKDAY($B214)-$B$3,7)),$B$5:$B$304,"&lt;="&amp;$B214,$F$5:$F$304,"&gt;"&amp;$F$3))-$D$3))),2))</f>
        <v/>
      </c>
      <c r="I214" s="26" t="n"/>
      <c r="J214" s="27">
        <f>IF(AND($A214="",$C214="",$D214=""),"",IF(OR($C214&gt;=1,$D214&gt;=1),"⚠ type the time with a colon: 9:00 AM, not 9",IF(AND($C214&lt;&gt;"",$C214=$D214),"⚠ clock-in equals clock-out: the shift adds 0 h",IF(AND($C214&lt;&gt;"",$D214&lt;&gt;"",IF($E214="",0,$E214)&gt;MOD($D214-$C214,1)*24),"⚠ the break is longer than the shift",IF(AND($A214&lt;&gt;"",COUNTIF('Monthly OT Summary'!$A$6:$A$35,$A214&amp;"")=0),"⚠ name not in Monthly OT Summary: its hours are not added","")))))</f>
        <v/>
      </c>
    </row>
    <row r="215">
      <c r="A215" s="21" t="n"/>
      <c r="B215" s="40" t="n"/>
      <c r="C215" s="41" t="n"/>
      <c r="D215" s="41" t="n"/>
      <c r="E215" s="24" t="n"/>
      <c r="F215" s="8">
        <f>IF(OR($C215="",$D215=""),"",IF(OR($C215&gt;=1,$D215&gt;=1,$C215=$D215,IF($E215="",0,$E215)&gt;MOD($D215-$C215,1)*24),"",ROUND(MOD($D215-$C215,1)*24-IF($E215="",0,$E215),2)))</f>
        <v/>
      </c>
      <c r="G215" s="25" t="n">
        <v>8</v>
      </c>
      <c r="H215" s="8">
        <f>IF(OR($A215="",$B215="",$F215=""),"",ROUND(IF($F$3="",0,MAX(0,$F215-$F$3))+IF($D$3="",0,MIN($F215-IF($F$3="",0,MAX(0,$F215-$F$3)),MAX(0,SUMIFS($F$5:$F$304,$A$5:$A$304,$A215&amp;"",$B$5:$B$304,"&gt;="&amp;($B215-MOD(WEEKDAY($B215)-$B$3,7)),$B$5:$B$304,"&lt;="&amp;$B215)-IF($F$3="",0,SUMIFS($F$5:$F$304,$A$5:$A$304,$A215&amp;"",$B$5:$B$304,"&gt;="&amp;($B215-MOD(WEEKDAY($B215)-$B$3,7)),$B$5:$B$304,"&lt;="&amp;$B215,$F$5:$F$304,"&gt;"&amp;$F$3)-$F$3*COUNTIFS($A$5:$A$304,$A215&amp;"",$B$5:$B$304,"&gt;="&amp;($B215-MOD(WEEKDAY($B215)-$B$3,7)),$B$5:$B$304,"&lt;="&amp;$B215,$F$5:$F$304,"&gt;"&amp;$F$3))-$D$3))),2))</f>
        <v/>
      </c>
      <c r="I215" s="26" t="n"/>
      <c r="J215" s="27">
        <f>IF(AND($A215="",$C215="",$D215=""),"",IF(OR($C215&gt;=1,$D215&gt;=1),"⚠ type the time with a colon: 9:00 AM, not 9",IF(AND($C215&lt;&gt;"",$C215=$D215),"⚠ clock-in equals clock-out: the shift adds 0 h",IF(AND($C215&lt;&gt;"",$D215&lt;&gt;"",IF($E215="",0,$E215)&gt;MOD($D215-$C215,1)*24),"⚠ the break is longer than the shift",IF(AND($A215&lt;&gt;"",COUNTIF('Monthly OT Summary'!$A$6:$A$35,$A215&amp;"")=0),"⚠ name not in Monthly OT Summary: its hours are not added","")))))</f>
        <v/>
      </c>
    </row>
    <row r="216">
      <c r="A216" s="21" t="n"/>
      <c r="B216" s="40" t="n"/>
      <c r="C216" s="41" t="n"/>
      <c r="D216" s="41" t="n"/>
      <c r="E216" s="24" t="n"/>
      <c r="F216" s="8">
        <f>IF(OR($C216="",$D216=""),"",IF(OR($C216&gt;=1,$D216&gt;=1,$C216=$D216,IF($E216="",0,$E216)&gt;MOD($D216-$C216,1)*24),"",ROUND(MOD($D216-$C216,1)*24-IF($E216="",0,$E216),2)))</f>
        <v/>
      </c>
      <c r="G216" s="25" t="n">
        <v>8</v>
      </c>
      <c r="H216" s="8">
        <f>IF(OR($A216="",$B216="",$F216=""),"",ROUND(IF($F$3="",0,MAX(0,$F216-$F$3))+IF($D$3="",0,MIN($F216-IF($F$3="",0,MAX(0,$F216-$F$3)),MAX(0,SUMIFS($F$5:$F$304,$A$5:$A$304,$A216&amp;"",$B$5:$B$304,"&gt;="&amp;($B216-MOD(WEEKDAY($B216)-$B$3,7)),$B$5:$B$304,"&lt;="&amp;$B216)-IF($F$3="",0,SUMIFS($F$5:$F$304,$A$5:$A$304,$A216&amp;"",$B$5:$B$304,"&gt;="&amp;($B216-MOD(WEEKDAY($B216)-$B$3,7)),$B$5:$B$304,"&lt;="&amp;$B216,$F$5:$F$304,"&gt;"&amp;$F$3)-$F$3*COUNTIFS($A$5:$A$304,$A216&amp;"",$B$5:$B$304,"&gt;="&amp;($B216-MOD(WEEKDAY($B216)-$B$3,7)),$B$5:$B$304,"&lt;="&amp;$B216,$F$5:$F$304,"&gt;"&amp;$F$3))-$D$3))),2))</f>
        <v/>
      </c>
      <c r="I216" s="26" t="n"/>
      <c r="J216" s="27">
        <f>IF(AND($A216="",$C216="",$D216=""),"",IF(OR($C216&gt;=1,$D216&gt;=1),"⚠ type the time with a colon: 9:00 AM, not 9",IF(AND($C216&lt;&gt;"",$C216=$D216),"⚠ clock-in equals clock-out: the shift adds 0 h",IF(AND($C216&lt;&gt;"",$D216&lt;&gt;"",IF($E216="",0,$E216)&gt;MOD($D216-$C216,1)*24),"⚠ the break is longer than the shift",IF(AND($A216&lt;&gt;"",COUNTIF('Monthly OT Summary'!$A$6:$A$35,$A216&amp;"")=0),"⚠ name not in Monthly OT Summary: its hours are not added","")))))</f>
        <v/>
      </c>
    </row>
    <row r="217">
      <c r="A217" s="21" t="n"/>
      <c r="B217" s="40" t="n"/>
      <c r="C217" s="41" t="n"/>
      <c r="D217" s="41" t="n"/>
      <c r="E217" s="24" t="n"/>
      <c r="F217" s="8">
        <f>IF(OR($C217="",$D217=""),"",IF(OR($C217&gt;=1,$D217&gt;=1,$C217=$D217,IF($E217="",0,$E217)&gt;MOD($D217-$C217,1)*24),"",ROUND(MOD($D217-$C217,1)*24-IF($E217="",0,$E217),2)))</f>
        <v/>
      </c>
      <c r="G217" s="25" t="n">
        <v>8</v>
      </c>
      <c r="H217" s="8">
        <f>IF(OR($A217="",$B217="",$F217=""),"",ROUND(IF($F$3="",0,MAX(0,$F217-$F$3))+IF($D$3="",0,MIN($F217-IF($F$3="",0,MAX(0,$F217-$F$3)),MAX(0,SUMIFS($F$5:$F$304,$A$5:$A$304,$A217&amp;"",$B$5:$B$304,"&gt;="&amp;($B217-MOD(WEEKDAY($B217)-$B$3,7)),$B$5:$B$304,"&lt;="&amp;$B217)-IF($F$3="",0,SUMIFS($F$5:$F$304,$A$5:$A$304,$A217&amp;"",$B$5:$B$304,"&gt;="&amp;($B217-MOD(WEEKDAY($B217)-$B$3,7)),$B$5:$B$304,"&lt;="&amp;$B217,$F$5:$F$304,"&gt;"&amp;$F$3)-$F$3*COUNTIFS($A$5:$A$304,$A217&amp;"",$B$5:$B$304,"&gt;="&amp;($B217-MOD(WEEKDAY($B217)-$B$3,7)),$B$5:$B$304,"&lt;="&amp;$B217,$F$5:$F$304,"&gt;"&amp;$F$3))-$D$3))),2))</f>
        <v/>
      </c>
      <c r="I217" s="26" t="n"/>
      <c r="J217" s="27">
        <f>IF(AND($A217="",$C217="",$D217=""),"",IF(OR($C217&gt;=1,$D217&gt;=1),"⚠ type the time with a colon: 9:00 AM, not 9",IF(AND($C217&lt;&gt;"",$C217=$D217),"⚠ clock-in equals clock-out: the shift adds 0 h",IF(AND($C217&lt;&gt;"",$D217&lt;&gt;"",IF($E217="",0,$E217)&gt;MOD($D217-$C217,1)*24),"⚠ the break is longer than the shift",IF(AND($A217&lt;&gt;"",COUNTIF('Monthly OT Summary'!$A$6:$A$35,$A217&amp;"")=0),"⚠ name not in Monthly OT Summary: its hours are not added","")))))</f>
        <v/>
      </c>
    </row>
    <row r="218">
      <c r="A218" s="21" t="n"/>
      <c r="B218" s="40" t="n"/>
      <c r="C218" s="41" t="n"/>
      <c r="D218" s="41" t="n"/>
      <c r="E218" s="24" t="n"/>
      <c r="F218" s="8">
        <f>IF(OR($C218="",$D218=""),"",IF(OR($C218&gt;=1,$D218&gt;=1,$C218=$D218,IF($E218="",0,$E218)&gt;MOD($D218-$C218,1)*24),"",ROUND(MOD($D218-$C218,1)*24-IF($E218="",0,$E218),2)))</f>
        <v/>
      </c>
      <c r="G218" s="25" t="n">
        <v>8</v>
      </c>
      <c r="H218" s="8">
        <f>IF(OR($A218="",$B218="",$F218=""),"",ROUND(IF($F$3="",0,MAX(0,$F218-$F$3))+IF($D$3="",0,MIN($F218-IF($F$3="",0,MAX(0,$F218-$F$3)),MAX(0,SUMIFS($F$5:$F$304,$A$5:$A$304,$A218&amp;"",$B$5:$B$304,"&gt;="&amp;($B218-MOD(WEEKDAY($B218)-$B$3,7)),$B$5:$B$304,"&lt;="&amp;$B218)-IF($F$3="",0,SUMIFS($F$5:$F$304,$A$5:$A$304,$A218&amp;"",$B$5:$B$304,"&gt;="&amp;($B218-MOD(WEEKDAY($B218)-$B$3,7)),$B$5:$B$304,"&lt;="&amp;$B218,$F$5:$F$304,"&gt;"&amp;$F$3)-$F$3*COUNTIFS($A$5:$A$304,$A218&amp;"",$B$5:$B$304,"&gt;="&amp;($B218-MOD(WEEKDAY($B218)-$B$3,7)),$B$5:$B$304,"&lt;="&amp;$B218,$F$5:$F$304,"&gt;"&amp;$F$3))-$D$3))),2))</f>
        <v/>
      </c>
      <c r="I218" s="26" t="n"/>
      <c r="J218" s="27">
        <f>IF(AND($A218="",$C218="",$D218=""),"",IF(OR($C218&gt;=1,$D218&gt;=1),"⚠ type the time with a colon: 9:00 AM, not 9",IF(AND($C218&lt;&gt;"",$C218=$D218),"⚠ clock-in equals clock-out: the shift adds 0 h",IF(AND($C218&lt;&gt;"",$D218&lt;&gt;"",IF($E218="",0,$E218)&gt;MOD($D218-$C218,1)*24),"⚠ the break is longer than the shift",IF(AND($A218&lt;&gt;"",COUNTIF('Monthly OT Summary'!$A$6:$A$35,$A218&amp;"")=0),"⚠ name not in Monthly OT Summary: its hours are not added","")))))</f>
        <v/>
      </c>
    </row>
    <row r="219">
      <c r="A219" s="21" t="n"/>
      <c r="B219" s="40" t="n"/>
      <c r="C219" s="41" t="n"/>
      <c r="D219" s="41" t="n"/>
      <c r="E219" s="24" t="n"/>
      <c r="F219" s="8">
        <f>IF(OR($C219="",$D219=""),"",IF(OR($C219&gt;=1,$D219&gt;=1,$C219=$D219,IF($E219="",0,$E219)&gt;MOD($D219-$C219,1)*24),"",ROUND(MOD($D219-$C219,1)*24-IF($E219="",0,$E219),2)))</f>
        <v/>
      </c>
      <c r="G219" s="25" t="n">
        <v>8</v>
      </c>
      <c r="H219" s="8">
        <f>IF(OR($A219="",$B219="",$F219=""),"",ROUND(IF($F$3="",0,MAX(0,$F219-$F$3))+IF($D$3="",0,MIN($F219-IF($F$3="",0,MAX(0,$F219-$F$3)),MAX(0,SUMIFS($F$5:$F$304,$A$5:$A$304,$A219&amp;"",$B$5:$B$304,"&gt;="&amp;($B219-MOD(WEEKDAY($B219)-$B$3,7)),$B$5:$B$304,"&lt;="&amp;$B219)-IF($F$3="",0,SUMIFS($F$5:$F$304,$A$5:$A$304,$A219&amp;"",$B$5:$B$304,"&gt;="&amp;($B219-MOD(WEEKDAY($B219)-$B$3,7)),$B$5:$B$304,"&lt;="&amp;$B219,$F$5:$F$304,"&gt;"&amp;$F$3)-$F$3*COUNTIFS($A$5:$A$304,$A219&amp;"",$B$5:$B$304,"&gt;="&amp;($B219-MOD(WEEKDAY($B219)-$B$3,7)),$B$5:$B$304,"&lt;="&amp;$B219,$F$5:$F$304,"&gt;"&amp;$F$3))-$D$3))),2))</f>
        <v/>
      </c>
      <c r="I219" s="26" t="n"/>
      <c r="J219" s="27">
        <f>IF(AND($A219="",$C219="",$D219=""),"",IF(OR($C219&gt;=1,$D219&gt;=1),"⚠ type the time with a colon: 9:00 AM, not 9",IF(AND($C219&lt;&gt;"",$C219=$D219),"⚠ clock-in equals clock-out: the shift adds 0 h",IF(AND($C219&lt;&gt;"",$D219&lt;&gt;"",IF($E219="",0,$E219)&gt;MOD($D219-$C219,1)*24),"⚠ the break is longer than the shift",IF(AND($A219&lt;&gt;"",COUNTIF('Monthly OT Summary'!$A$6:$A$35,$A219&amp;"")=0),"⚠ name not in Monthly OT Summary: its hours are not added","")))))</f>
        <v/>
      </c>
    </row>
    <row r="220">
      <c r="A220" s="21" t="n"/>
      <c r="B220" s="40" t="n"/>
      <c r="C220" s="41" t="n"/>
      <c r="D220" s="41" t="n"/>
      <c r="E220" s="24" t="n"/>
      <c r="F220" s="8">
        <f>IF(OR($C220="",$D220=""),"",IF(OR($C220&gt;=1,$D220&gt;=1,$C220=$D220,IF($E220="",0,$E220)&gt;MOD($D220-$C220,1)*24),"",ROUND(MOD($D220-$C220,1)*24-IF($E220="",0,$E220),2)))</f>
        <v/>
      </c>
      <c r="G220" s="25" t="n">
        <v>8</v>
      </c>
      <c r="H220" s="8">
        <f>IF(OR($A220="",$B220="",$F220=""),"",ROUND(IF($F$3="",0,MAX(0,$F220-$F$3))+IF($D$3="",0,MIN($F220-IF($F$3="",0,MAX(0,$F220-$F$3)),MAX(0,SUMIFS($F$5:$F$304,$A$5:$A$304,$A220&amp;"",$B$5:$B$304,"&gt;="&amp;($B220-MOD(WEEKDAY($B220)-$B$3,7)),$B$5:$B$304,"&lt;="&amp;$B220)-IF($F$3="",0,SUMIFS($F$5:$F$304,$A$5:$A$304,$A220&amp;"",$B$5:$B$304,"&gt;="&amp;($B220-MOD(WEEKDAY($B220)-$B$3,7)),$B$5:$B$304,"&lt;="&amp;$B220,$F$5:$F$304,"&gt;"&amp;$F$3)-$F$3*COUNTIFS($A$5:$A$304,$A220&amp;"",$B$5:$B$304,"&gt;="&amp;($B220-MOD(WEEKDAY($B220)-$B$3,7)),$B$5:$B$304,"&lt;="&amp;$B220,$F$5:$F$304,"&gt;"&amp;$F$3))-$D$3))),2))</f>
        <v/>
      </c>
      <c r="I220" s="26" t="n"/>
      <c r="J220" s="27">
        <f>IF(AND($A220="",$C220="",$D220=""),"",IF(OR($C220&gt;=1,$D220&gt;=1),"⚠ type the time with a colon: 9:00 AM, not 9",IF(AND($C220&lt;&gt;"",$C220=$D220),"⚠ clock-in equals clock-out: the shift adds 0 h",IF(AND($C220&lt;&gt;"",$D220&lt;&gt;"",IF($E220="",0,$E220)&gt;MOD($D220-$C220,1)*24),"⚠ the break is longer than the shift",IF(AND($A220&lt;&gt;"",COUNTIF('Monthly OT Summary'!$A$6:$A$35,$A220&amp;"")=0),"⚠ name not in Monthly OT Summary: its hours are not added","")))))</f>
        <v/>
      </c>
    </row>
    <row r="221">
      <c r="A221" s="21" t="n"/>
      <c r="B221" s="40" t="n"/>
      <c r="C221" s="41" t="n"/>
      <c r="D221" s="41" t="n"/>
      <c r="E221" s="24" t="n"/>
      <c r="F221" s="8">
        <f>IF(OR($C221="",$D221=""),"",IF(OR($C221&gt;=1,$D221&gt;=1,$C221=$D221,IF($E221="",0,$E221)&gt;MOD($D221-$C221,1)*24),"",ROUND(MOD($D221-$C221,1)*24-IF($E221="",0,$E221),2)))</f>
        <v/>
      </c>
      <c r="G221" s="25" t="n">
        <v>8</v>
      </c>
      <c r="H221" s="8">
        <f>IF(OR($A221="",$B221="",$F221=""),"",ROUND(IF($F$3="",0,MAX(0,$F221-$F$3))+IF($D$3="",0,MIN($F221-IF($F$3="",0,MAX(0,$F221-$F$3)),MAX(0,SUMIFS($F$5:$F$304,$A$5:$A$304,$A221&amp;"",$B$5:$B$304,"&gt;="&amp;($B221-MOD(WEEKDAY($B221)-$B$3,7)),$B$5:$B$304,"&lt;="&amp;$B221)-IF($F$3="",0,SUMIFS($F$5:$F$304,$A$5:$A$304,$A221&amp;"",$B$5:$B$304,"&gt;="&amp;($B221-MOD(WEEKDAY($B221)-$B$3,7)),$B$5:$B$304,"&lt;="&amp;$B221,$F$5:$F$304,"&gt;"&amp;$F$3)-$F$3*COUNTIFS($A$5:$A$304,$A221&amp;"",$B$5:$B$304,"&gt;="&amp;($B221-MOD(WEEKDAY($B221)-$B$3,7)),$B$5:$B$304,"&lt;="&amp;$B221,$F$5:$F$304,"&gt;"&amp;$F$3))-$D$3))),2))</f>
        <v/>
      </c>
      <c r="I221" s="26" t="n"/>
      <c r="J221" s="27">
        <f>IF(AND($A221="",$C221="",$D221=""),"",IF(OR($C221&gt;=1,$D221&gt;=1),"⚠ type the time with a colon: 9:00 AM, not 9",IF(AND($C221&lt;&gt;"",$C221=$D221),"⚠ clock-in equals clock-out: the shift adds 0 h",IF(AND($C221&lt;&gt;"",$D221&lt;&gt;"",IF($E221="",0,$E221)&gt;MOD($D221-$C221,1)*24),"⚠ the break is longer than the shift",IF(AND($A221&lt;&gt;"",COUNTIF('Monthly OT Summary'!$A$6:$A$35,$A221&amp;"")=0),"⚠ name not in Monthly OT Summary: its hours are not added","")))))</f>
        <v/>
      </c>
    </row>
    <row r="222">
      <c r="A222" s="21" t="n"/>
      <c r="B222" s="40" t="n"/>
      <c r="C222" s="41" t="n"/>
      <c r="D222" s="41" t="n"/>
      <c r="E222" s="24" t="n"/>
      <c r="F222" s="8">
        <f>IF(OR($C222="",$D222=""),"",IF(OR($C222&gt;=1,$D222&gt;=1,$C222=$D222,IF($E222="",0,$E222)&gt;MOD($D222-$C222,1)*24),"",ROUND(MOD($D222-$C222,1)*24-IF($E222="",0,$E222),2)))</f>
        <v/>
      </c>
      <c r="G222" s="25" t="n">
        <v>8</v>
      </c>
      <c r="H222" s="8">
        <f>IF(OR($A222="",$B222="",$F222=""),"",ROUND(IF($F$3="",0,MAX(0,$F222-$F$3))+IF($D$3="",0,MIN($F222-IF($F$3="",0,MAX(0,$F222-$F$3)),MAX(0,SUMIFS($F$5:$F$304,$A$5:$A$304,$A222&amp;"",$B$5:$B$304,"&gt;="&amp;($B222-MOD(WEEKDAY($B222)-$B$3,7)),$B$5:$B$304,"&lt;="&amp;$B222)-IF($F$3="",0,SUMIFS($F$5:$F$304,$A$5:$A$304,$A222&amp;"",$B$5:$B$304,"&gt;="&amp;($B222-MOD(WEEKDAY($B222)-$B$3,7)),$B$5:$B$304,"&lt;="&amp;$B222,$F$5:$F$304,"&gt;"&amp;$F$3)-$F$3*COUNTIFS($A$5:$A$304,$A222&amp;"",$B$5:$B$304,"&gt;="&amp;($B222-MOD(WEEKDAY($B222)-$B$3,7)),$B$5:$B$304,"&lt;="&amp;$B222,$F$5:$F$304,"&gt;"&amp;$F$3))-$D$3))),2))</f>
        <v/>
      </c>
      <c r="I222" s="26" t="n"/>
      <c r="J222" s="27">
        <f>IF(AND($A222="",$C222="",$D222=""),"",IF(OR($C222&gt;=1,$D222&gt;=1),"⚠ type the time with a colon: 9:00 AM, not 9",IF(AND($C222&lt;&gt;"",$C222=$D222),"⚠ clock-in equals clock-out: the shift adds 0 h",IF(AND($C222&lt;&gt;"",$D222&lt;&gt;"",IF($E222="",0,$E222)&gt;MOD($D222-$C222,1)*24),"⚠ the break is longer than the shift",IF(AND($A222&lt;&gt;"",COUNTIF('Monthly OT Summary'!$A$6:$A$35,$A222&amp;"")=0),"⚠ name not in Monthly OT Summary: its hours are not added","")))))</f>
        <v/>
      </c>
    </row>
    <row r="223">
      <c r="A223" s="21" t="n"/>
      <c r="B223" s="40" t="n"/>
      <c r="C223" s="41" t="n"/>
      <c r="D223" s="41" t="n"/>
      <c r="E223" s="24" t="n"/>
      <c r="F223" s="8">
        <f>IF(OR($C223="",$D223=""),"",IF(OR($C223&gt;=1,$D223&gt;=1,$C223=$D223,IF($E223="",0,$E223)&gt;MOD($D223-$C223,1)*24),"",ROUND(MOD($D223-$C223,1)*24-IF($E223="",0,$E223),2)))</f>
        <v/>
      </c>
      <c r="G223" s="25" t="n">
        <v>8</v>
      </c>
      <c r="H223" s="8">
        <f>IF(OR($A223="",$B223="",$F223=""),"",ROUND(IF($F$3="",0,MAX(0,$F223-$F$3))+IF($D$3="",0,MIN($F223-IF($F$3="",0,MAX(0,$F223-$F$3)),MAX(0,SUMIFS($F$5:$F$304,$A$5:$A$304,$A223&amp;"",$B$5:$B$304,"&gt;="&amp;($B223-MOD(WEEKDAY($B223)-$B$3,7)),$B$5:$B$304,"&lt;="&amp;$B223)-IF($F$3="",0,SUMIFS($F$5:$F$304,$A$5:$A$304,$A223&amp;"",$B$5:$B$304,"&gt;="&amp;($B223-MOD(WEEKDAY($B223)-$B$3,7)),$B$5:$B$304,"&lt;="&amp;$B223,$F$5:$F$304,"&gt;"&amp;$F$3)-$F$3*COUNTIFS($A$5:$A$304,$A223&amp;"",$B$5:$B$304,"&gt;="&amp;($B223-MOD(WEEKDAY($B223)-$B$3,7)),$B$5:$B$304,"&lt;="&amp;$B223,$F$5:$F$304,"&gt;"&amp;$F$3))-$D$3))),2))</f>
        <v/>
      </c>
      <c r="I223" s="26" t="n"/>
      <c r="J223" s="27">
        <f>IF(AND($A223="",$C223="",$D223=""),"",IF(OR($C223&gt;=1,$D223&gt;=1),"⚠ type the time with a colon: 9:00 AM, not 9",IF(AND($C223&lt;&gt;"",$C223=$D223),"⚠ clock-in equals clock-out: the shift adds 0 h",IF(AND($C223&lt;&gt;"",$D223&lt;&gt;"",IF($E223="",0,$E223)&gt;MOD($D223-$C223,1)*24),"⚠ the break is longer than the shift",IF(AND($A223&lt;&gt;"",COUNTIF('Monthly OT Summary'!$A$6:$A$35,$A223&amp;"")=0),"⚠ name not in Monthly OT Summary: its hours are not added","")))))</f>
        <v/>
      </c>
    </row>
    <row r="224">
      <c r="A224" s="21" t="n"/>
      <c r="B224" s="40" t="n"/>
      <c r="C224" s="41" t="n"/>
      <c r="D224" s="41" t="n"/>
      <c r="E224" s="24" t="n"/>
      <c r="F224" s="8">
        <f>IF(OR($C224="",$D224=""),"",IF(OR($C224&gt;=1,$D224&gt;=1,$C224=$D224,IF($E224="",0,$E224)&gt;MOD($D224-$C224,1)*24),"",ROUND(MOD($D224-$C224,1)*24-IF($E224="",0,$E224),2)))</f>
        <v/>
      </c>
      <c r="G224" s="25" t="n">
        <v>8</v>
      </c>
      <c r="H224" s="8">
        <f>IF(OR($A224="",$B224="",$F224=""),"",ROUND(IF($F$3="",0,MAX(0,$F224-$F$3))+IF($D$3="",0,MIN($F224-IF($F$3="",0,MAX(0,$F224-$F$3)),MAX(0,SUMIFS($F$5:$F$304,$A$5:$A$304,$A224&amp;"",$B$5:$B$304,"&gt;="&amp;($B224-MOD(WEEKDAY($B224)-$B$3,7)),$B$5:$B$304,"&lt;="&amp;$B224)-IF($F$3="",0,SUMIFS($F$5:$F$304,$A$5:$A$304,$A224&amp;"",$B$5:$B$304,"&gt;="&amp;($B224-MOD(WEEKDAY($B224)-$B$3,7)),$B$5:$B$304,"&lt;="&amp;$B224,$F$5:$F$304,"&gt;"&amp;$F$3)-$F$3*COUNTIFS($A$5:$A$304,$A224&amp;"",$B$5:$B$304,"&gt;="&amp;($B224-MOD(WEEKDAY($B224)-$B$3,7)),$B$5:$B$304,"&lt;="&amp;$B224,$F$5:$F$304,"&gt;"&amp;$F$3))-$D$3))),2))</f>
        <v/>
      </c>
      <c r="I224" s="26" t="n"/>
      <c r="J224" s="27">
        <f>IF(AND($A224="",$C224="",$D224=""),"",IF(OR($C224&gt;=1,$D224&gt;=1),"⚠ type the time with a colon: 9:00 AM, not 9",IF(AND($C224&lt;&gt;"",$C224=$D224),"⚠ clock-in equals clock-out: the shift adds 0 h",IF(AND($C224&lt;&gt;"",$D224&lt;&gt;"",IF($E224="",0,$E224)&gt;MOD($D224-$C224,1)*24),"⚠ the break is longer than the shift",IF(AND($A224&lt;&gt;"",COUNTIF('Monthly OT Summary'!$A$6:$A$35,$A224&amp;"")=0),"⚠ name not in Monthly OT Summary: its hours are not added","")))))</f>
        <v/>
      </c>
    </row>
    <row r="225">
      <c r="A225" s="21" t="n"/>
      <c r="B225" s="40" t="n"/>
      <c r="C225" s="41" t="n"/>
      <c r="D225" s="41" t="n"/>
      <c r="E225" s="24" t="n"/>
      <c r="F225" s="8">
        <f>IF(OR($C225="",$D225=""),"",IF(OR($C225&gt;=1,$D225&gt;=1,$C225=$D225,IF($E225="",0,$E225)&gt;MOD($D225-$C225,1)*24),"",ROUND(MOD($D225-$C225,1)*24-IF($E225="",0,$E225),2)))</f>
        <v/>
      </c>
      <c r="G225" s="25" t="n">
        <v>8</v>
      </c>
      <c r="H225" s="8">
        <f>IF(OR($A225="",$B225="",$F225=""),"",ROUND(IF($F$3="",0,MAX(0,$F225-$F$3))+IF($D$3="",0,MIN($F225-IF($F$3="",0,MAX(0,$F225-$F$3)),MAX(0,SUMIFS($F$5:$F$304,$A$5:$A$304,$A225&amp;"",$B$5:$B$304,"&gt;="&amp;($B225-MOD(WEEKDAY($B225)-$B$3,7)),$B$5:$B$304,"&lt;="&amp;$B225)-IF($F$3="",0,SUMIFS($F$5:$F$304,$A$5:$A$304,$A225&amp;"",$B$5:$B$304,"&gt;="&amp;($B225-MOD(WEEKDAY($B225)-$B$3,7)),$B$5:$B$304,"&lt;="&amp;$B225,$F$5:$F$304,"&gt;"&amp;$F$3)-$F$3*COUNTIFS($A$5:$A$304,$A225&amp;"",$B$5:$B$304,"&gt;="&amp;($B225-MOD(WEEKDAY($B225)-$B$3,7)),$B$5:$B$304,"&lt;="&amp;$B225,$F$5:$F$304,"&gt;"&amp;$F$3))-$D$3))),2))</f>
        <v/>
      </c>
      <c r="I225" s="26" t="n"/>
      <c r="J225" s="27">
        <f>IF(AND($A225="",$C225="",$D225=""),"",IF(OR($C225&gt;=1,$D225&gt;=1),"⚠ type the time with a colon: 9:00 AM, not 9",IF(AND($C225&lt;&gt;"",$C225=$D225),"⚠ clock-in equals clock-out: the shift adds 0 h",IF(AND($C225&lt;&gt;"",$D225&lt;&gt;"",IF($E225="",0,$E225)&gt;MOD($D225-$C225,1)*24),"⚠ the break is longer than the shift",IF(AND($A225&lt;&gt;"",COUNTIF('Monthly OT Summary'!$A$6:$A$35,$A225&amp;"")=0),"⚠ name not in Monthly OT Summary: its hours are not added","")))))</f>
        <v/>
      </c>
    </row>
    <row r="226">
      <c r="A226" s="21" t="n"/>
      <c r="B226" s="40" t="n"/>
      <c r="C226" s="41" t="n"/>
      <c r="D226" s="41" t="n"/>
      <c r="E226" s="24" t="n"/>
      <c r="F226" s="8">
        <f>IF(OR($C226="",$D226=""),"",IF(OR($C226&gt;=1,$D226&gt;=1,$C226=$D226,IF($E226="",0,$E226)&gt;MOD($D226-$C226,1)*24),"",ROUND(MOD($D226-$C226,1)*24-IF($E226="",0,$E226),2)))</f>
        <v/>
      </c>
      <c r="G226" s="25" t="n">
        <v>8</v>
      </c>
      <c r="H226" s="8">
        <f>IF(OR($A226="",$B226="",$F226=""),"",ROUND(IF($F$3="",0,MAX(0,$F226-$F$3))+IF($D$3="",0,MIN($F226-IF($F$3="",0,MAX(0,$F226-$F$3)),MAX(0,SUMIFS($F$5:$F$304,$A$5:$A$304,$A226&amp;"",$B$5:$B$304,"&gt;="&amp;($B226-MOD(WEEKDAY($B226)-$B$3,7)),$B$5:$B$304,"&lt;="&amp;$B226)-IF($F$3="",0,SUMIFS($F$5:$F$304,$A$5:$A$304,$A226&amp;"",$B$5:$B$304,"&gt;="&amp;($B226-MOD(WEEKDAY($B226)-$B$3,7)),$B$5:$B$304,"&lt;="&amp;$B226,$F$5:$F$304,"&gt;"&amp;$F$3)-$F$3*COUNTIFS($A$5:$A$304,$A226&amp;"",$B$5:$B$304,"&gt;="&amp;($B226-MOD(WEEKDAY($B226)-$B$3,7)),$B$5:$B$304,"&lt;="&amp;$B226,$F$5:$F$304,"&gt;"&amp;$F$3))-$D$3))),2))</f>
        <v/>
      </c>
      <c r="I226" s="26" t="n"/>
      <c r="J226" s="27">
        <f>IF(AND($A226="",$C226="",$D226=""),"",IF(OR($C226&gt;=1,$D226&gt;=1),"⚠ type the time with a colon: 9:00 AM, not 9",IF(AND($C226&lt;&gt;"",$C226=$D226),"⚠ clock-in equals clock-out: the shift adds 0 h",IF(AND($C226&lt;&gt;"",$D226&lt;&gt;"",IF($E226="",0,$E226)&gt;MOD($D226-$C226,1)*24),"⚠ the break is longer than the shift",IF(AND($A226&lt;&gt;"",COUNTIF('Monthly OT Summary'!$A$6:$A$35,$A226&amp;"")=0),"⚠ name not in Monthly OT Summary: its hours are not added","")))))</f>
        <v/>
      </c>
    </row>
    <row r="227">
      <c r="A227" s="21" t="n"/>
      <c r="B227" s="40" t="n"/>
      <c r="C227" s="41" t="n"/>
      <c r="D227" s="41" t="n"/>
      <c r="E227" s="24" t="n"/>
      <c r="F227" s="8">
        <f>IF(OR($C227="",$D227=""),"",IF(OR($C227&gt;=1,$D227&gt;=1,$C227=$D227,IF($E227="",0,$E227)&gt;MOD($D227-$C227,1)*24),"",ROUND(MOD($D227-$C227,1)*24-IF($E227="",0,$E227),2)))</f>
        <v/>
      </c>
      <c r="G227" s="25" t="n">
        <v>8</v>
      </c>
      <c r="H227" s="8">
        <f>IF(OR($A227="",$B227="",$F227=""),"",ROUND(IF($F$3="",0,MAX(0,$F227-$F$3))+IF($D$3="",0,MIN($F227-IF($F$3="",0,MAX(0,$F227-$F$3)),MAX(0,SUMIFS($F$5:$F$304,$A$5:$A$304,$A227&amp;"",$B$5:$B$304,"&gt;="&amp;($B227-MOD(WEEKDAY($B227)-$B$3,7)),$B$5:$B$304,"&lt;="&amp;$B227)-IF($F$3="",0,SUMIFS($F$5:$F$304,$A$5:$A$304,$A227&amp;"",$B$5:$B$304,"&gt;="&amp;($B227-MOD(WEEKDAY($B227)-$B$3,7)),$B$5:$B$304,"&lt;="&amp;$B227,$F$5:$F$304,"&gt;"&amp;$F$3)-$F$3*COUNTIFS($A$5:$A$304,$A227&amp;"",$B$5:$B$304,"&gt;="&amp;($B227-MOD(WEEKDAY($B227)-$B$3,7)),$B$5:$B$304,"&lt;="&amp;$B227,$F$5:$F$304,"&gt;"&amp;$F$3))-$D$3))),2))</f>
        <v/>
      </c>
      <c r="I227" s="26" t="n"/>
      <c r="J227" s="27">
        <f>IF(AND($A227="",$C227="",$D227=""),"",IF(OR($C227&gt;=1,$D227&gt;=1),"⚠ type the time with a colon: 9:00 AM, not 9",IF(AND($C227&lt;&gt;"",$C227=$D227),"⚠ clock-in equals clock-out: the shift adds 0 h",IF(AND($C227&lt;&gt;"",$D227&lt;&gt;"",IF($E227="",0,$E227)&gt;MOD($D227-$C227,1)*24),"⚠ the break is longer than the shift",IF(AND($A227&lt;&gt;"",COUNTIF('Monthly OT Summary'!$A$6:$A$35,$A227&amp;"")=0),"⚠ name not in Monthly OT Summary: its hours are not added","")))))</f>
        <v/>
      </c>
    </row>
    <row r="228">
      <c r="A228" s="21" t="n"/>
      <c r="B228" s="40" t="n"/>
      <c r="C228" s="41" t="n"/>
      <c r="D228" s="41" t="n"/>
      <c r="E228" s="24" t="n"/>
      <c r="F228" s="8">
        <f>IF(OR($C228="",$D228=""),"",IF(OR($C228&gt;=1,$D228&gt;=1,$C228=$D228,IF($E228="",0,$E228)&gt;MOD($D228-$C228,1)*24),"",ROUND(MOD($D228-$C228,1)*24-IF($E228="",0,$E228),2)))</f>
        <v/>
      </c>
      <c r="G228" s="25" t="n">
        <v>8</v>
      </c>
      <c r="H228" s="8">
        <f>IF(OR($A228="",$B228="",$F228=""),"",ROUND(IF($F$3="",0,MAX(0,$F228-$F$3))+IF($D$3="",0,MIN($F228-IF($F$3="",0,MAX(0,$F228-$F$3)),MAX(0,SUMIFS($F$5:$F$304,$A$5:$A$304,$A228&amp;"",$B$5:$B$304,"&gt;="&amp;($B228-MOD(WEEKDAY($B228)-$B$3,7)),$B$5:$B$304,"&lt;="&amp;$B228)-IF($F$3="",0,SUMIFS($F$5:$F$304,$A$5:$A$304,$A228&amp;"",$B$5:$B$304,"&gt;="&amp;($B228-MOD(WEEKDAY($B228)-$B$3,7)),$B$5:$B$304,"&lt;="&amp;$B228,$F$5:$F$304,"&gt;"&amp;$F$3)-$F$3*COUNTIFS($A$5:$A$304,$A228&amp;"",$B$5:$B$304,"&gt;="&amp;($B228-MOD(WEEKDAY($B228)-$B$3,7)),$B$5:$B$304,"&lt;="&amp;$B228,$F$5:$F$304,"&gt;"&amp;$F$3))-$D$3))),2))</f>
        <v/>
      </c>
      <c r="I228" s="26" t="n"/>
      <c r="J228" s="27">
        <f>IF(AND($A228="",$C228="",$D228=""),"",IF(OR($C228&gt;=1,$D228&gt;=1),"⚠ type the time with a colon: 9:00 AM, not 9",IF(AND($C228&lt;&gt;"",$C228=$D228),"⚠ clock-in equals clock-out: the shift adds 0 h",IF(AND($C228&lt;&gt;"",$D228&lt;&gt;"",IF($E228="",0,$E228)&gt;MOD($D228-$C228,1)*24),"⚠ the break is longer than the shift",IF(AND($A228&lt;&gt;"",COUNTIF('Monthly OT Summary'!$A$6:$A$35,$A228&amp;"")=0),"⚠ name not in Monthly OT Summary: its hours are not added","")))))</f>
        <v/>
      </c>
    </row>
    <row r="229">
      <c r="A229" s="21" t="n"/>
      <c r="B229" s="40" t="n"/>
      <c r="C229" s="41" t="n"/>
      <c r="D229" s="41" t="n"/>
      <c r="E229" s="24" t="n"/>
      <c r="F229" s="8">
        <f>IF(OR($C229="",$D229=""),"",IF(OR($C229&gt;=1,$D229&gt;=1,$C229=$D229,IF($E229="",0,$E229)&gt;MOD($D229-$C229,1)*24),"",ROUND(MOD($D229-$C229,1)*24-IF($E229="",0,$E229),2)))</f>
        <v/>
      </c>
      <c r="G229" s="25" t="n">
        <v>8</v>
      </c>
      <c r="H229" s="8">
        <f>IF(OR($A229="",$B229="",$F229=""),"",ROUND(IF($F$3="",0,MAX(0,$F229-$F$3))+IF($D$3="",0,MIN($F229-IF($F$3="",0,MAX(0,$F229-$F$3)),MAX(0,SUMIFS($F$5:$F$304,$A$5:$A$304,$A229&amp;"",$B$5:$B$304,"&gt;="&amp;($B229-MOD(WEEKDAY($B229)-$B$3,7)),$B$5:$B$304,"&lt;="&amp;$B229)-IF($F$3="",0,SUMIFS($F$5:$F$304,$A$5:$A$304,$A229&amp;"",$B$5:$B$304,"&gt;="&amp;($B229-MOD(WEEKDAY($B229)-$B$3,7)),$B$5:$B$304,"&lt;="&amp;$B229,$F$5:$F$304,"&gt;"&amp;$F$3)-$F$3*COUNTIFS($A$5:$A$304,$A229&amp;"",$B$5:$B$304,"&gt;="&amp;($B229-MOD(WEEKDAY($B229)-$B$3,7)),$B$5:$B$304,"&lt;="&amp;$B229,$F$5:$F$304,"&gt;"&amp;$F$3))-$D$3))),2))</f>
        <v/>
      </c>
      <c r="I229" s="26" t="n"/>
      <c r="J229" s="27">
        <f>IF(AND($A229="",$C229="",$D229=""),"",IF(OR($C229&gt;=1,$D229&gt;=1),"⚠ type the time with a colon: 9:00 AM, not 9",IF(AND($C229&lt;&gt;"",$C229=$D229),"⚠ clock-in equals clock-out: the shift adds 0 h",IF(AND($C229&lt;&gt;"",$D229&lt;&gt;"",IF($E229="",0,$E229)&gt;MOD($D229-$C229,1)*24),"⚠ the break is longer than the shift",IF(AND($A229&lt;&gt;"",COUNTIF('Monthly OT Summary'!$A$6:$A$35,$A229&amp;"")=0),"⚠ name not in Monthly OT Summary: its hours are not added","")))))</f>
        <v/>
      </c>
    </row>
    <row r="230">
      <c r="A230" s="21" t="n"/>
      <c r="B230" s="40" t="n"/>
      <c r="C230" s="41" t="n"/>
      <c r="D230" s="41" t="n"/>
      <c r="E230" s="24" t="n"/>
      <c r="F230" s="8">
        <f>IF(OR($C230="",$D230=""),"",IF(OR($C230&gt;=1,$D230&gt;=1,$C230=$D230,IF($E230="",0,$E230)&gt;MOD($D230-$C230,1)*24),"",ROUND(MOD($D230-$C230,1)*24-IF($E230="",0,$E230),2)))</f>
        <v/>
      </c>
      <c r="G230" s="25" t="n">
        <v>8</v>
      </c>
      <c r="H230" s="8">
        <f>IF(OR($A230="",$B230="",$F230=""),"",ROUND(IF($F$3="",0,MAX(0,$F230-$F$3))+IF($D$3="",0,MIN($F230-IF($F$3="",0,MAX(0,$F230-$F$3)),MAX(0,SUMIFS($F$5:$F$304,$A$5:$A$304,$A230&amp;"",$B$5:$B$304,"&gt;="&amp;($B230-MOD(WEEKDAY($B230)-$B$3,7)),$B$5:$B$304,"&lt;="&amp;$B230)-IF($F$3="",0,SUMIFS($F$5:$F$304,$A$5:$A$304,$A230&amp;"",$B$5:$B$304,"&gt;="&amp;($B230-MOD(WEEKDAY($B230)-$B$3,7)),$B$5:$B$304,"&lt;="&amp;$B230,$F$5:$F$304,"&gt;"&amp;$F$3)-$F$3*COUNTIFS($A$5:$A$304,$A230&amp;"",$B$5:$B$304,"&gt;="&amp;($B230-MOD(WEEKDAY($B230)-$B$3,7)),$B$5:$B$304,"&lt;="&amp;$B230,$F$5:$F$304,"&gt;"&amp;$F$3))-$D$3))),2))</f>
        <v/>
      </c>
      <c r="I230" s="26" t="n"/>
      <c r="J230" s="27">
        <f>IF(AND($A230="",$C230="",$D230=""),"",IF(OR($C230&gt;=1,$D230&gt;=1),"⚠ type the time with a colon: 9:00 AM, not 9",IF(AND($C230&lt;&gt;"",$C230=$D230),"⚠ clock-in equals clock-out: the shift adds 0 h",IF(AND($C230&lt;&gt;"",$D230&lt;&gt;"",IF($E230="",0,$E230)&gt;MOD($D230-$C230,1)*24),"⚠ the break is longer than the shift",IF(AND($A230&lt;&gt;"",COUNTIF('Monthly OT Summary'!$A$6:$A$35,$A230&amp;"")=0),"⚠ name not in Monthly OT Summary: its hours are not added","")))))</f>
        <v/>
      </c>
    </row>
    <row r="231">
      <c r="A231" s="21" t="n"/>
      <c r="B231" s="40" t="n"/>
      <c r="C231" s="41" t="n"/>
      <c r="D231" s="41" t="n"/>
      <c r="E231" s="24" t="n"/>
      <c r="F231" s="8">
        <f>IF(OR($C231="",$D231=""),"",IF(OR($C231&gt;=1,$D231&gt;=1,$C231=$D231,IF($E231="",0,$E231)&gt;MOD($D231-$C231,1)*24),"",ROUND(MOD($D231-$C231,1)*24-IF($E231="",0,$E231),2)))</f>
        <v/>
      </c>
      <c r="G231" s="25" t="n">
        <v>8</v>
      </c>
      <c r="H231" s="8">
        <f>IF(OR($A231="",$B231="",$F231=""),"",ROUND(IF($F$3="",0,MAX(0,$F231-$F$3))+IF($D$3="",0,MIN($F231-IF($F$3="",0,MAX(0,$F231-$F$3)),MAX(0,SUMIFS($F$5:$F$304,$A$5:$A$304,$A231&amp;"",$B$5:$B$304,"&gt;="&amp;($B231-MOD(WEEKDAY($B231)-$B$3,7)),$B$5:$B$304,"&lt;="&amp;$B231)-IF($F$3="",0,SUMIFS($F$5:$F$304,$A$5:$A$304,$A231&amp;"",$B$5:$B$304,"&gt;="&amp;($B231-MOD(WEEKDAY($B231)-$B$3,7)),$B$5:$B$304,"&lt;="&amp;$B231,$F$5:$F$304,"&gt;"&amp;$F$3)-$F$3*COUNTIFS($A$5:$A$304,$A231&amp;"",$B$5:$B$304,"&gt;="&amp;($B231-MOD(WEEKDAY($B231)-$B$3,7)),$B$5:$B$304,"&lt;="&amp;$B231,$F$5:$F$304,"&gt;"&amp;$F$3))-$D$3))),2))</f>
        <v/>
      </c>
      <c r="I231" s="26" t="n"/>
      <c r="J231" s="27">
        <f>IF(AND($A231="",$C231="",$D231=""),"",IF(OR($C231&gt;=1,$D231&gt;=1),"⚠ type the time with a colon: 9:00 AM, not 9",IF(AND($C231&lt;&gt;"",$C231=$D231),"⚠ clock-in equals clock-out: the shift adds 0 h",IF(AND($C231&lt;&gt;"",$D231&lt;&gt;"",IF($E231="",0,$E231)&gt;MOD($D231-$C231,1)*24),"⚠ the break is longer than the shift",IF(AND($A231&lt;&gt;"",COUNTIF('Monthly OT Summary'!$A$6:$A$35,$A231&amp;"")=0),"⚠ name not in Monthly OT Summary: its hours are not added","")))))</f>
        <v/>
      </c>
    </row>
    <row r="232">
      <c r="A232" s="21" t="n"/>
      <c r="B232" s="40" t="n"/>
      <c r="C232" s="41" t="n"/>
      <c r="D232" s="41" t="n"/>
      <c r="E232" s="24" t="n"/>
      <c r="F232" s="8">
        <f>IF(OR($C232="",$D232=""),"",IF(OR($C232&gt;=1,$D232&gt;=1,$C232=$D232,IF($E232="",0,$E232)&gt;MOD($D232-$C232,1)*24),"",ROUND(MOD($D232-$C232,1)*24-IF($E232="",0,$E232),2)))</f>
        <v/>
      </c>
      <c r="G232" s="25" t="n">
        <v>8</v>
      </c>
      <c r="H232" s="8">
        <f>IF(OR($A232="",$B232="",$F232=""),"",ROUND(IF($F$3="",0,MAX(0,$F232-$F$3))+IF($D$3="",0,MIN($F232-IF($F$3="",0,MAX(0,$F232-$F$3)),MAX(0,SUMIFS($F$5:$F$304,$A$5:$A$304,$A232&amp;"",$B$5:$B$304,"&gt;="&amp;($B232-MOD(WEEKDAY($B232)-$B$3,7)),$B$5:$B$304,"&lt;="&amp;$B232)-IF($F$3="",0,SUMIFS($F$5:$F$304,$A$5:$A$304,$A232&amp;"",$B$5:$B$304,"&gt;="&amp;($B232-MOD(WEEKDAY($B232)-$B$3,7)),$B$5:$B$304,"&lt;="&amp;$B232,$F$5:$F$304,"&gt;"&amp;$F$3)-$F$3*COUNTIFS($A$5:$A$304,$A232&amp;"",$B$5:$B$304,"&gt;="&amp;($B232-MOD(WEEKDAY($B232)-$B$3,7)),$B$5:$B$304,"&lt;="&amp;$B232,$F$5:$F$304,"&gt;"&amp;$F$3))-$D$3))),2))</f>
        <v/>
      </c>
      <c r="I232" s="26" t="n"/>
      <c r="J232" s="27">
        <f>IF(AND($A232="",$C232="",$D232=""),"",IF(OR($C232&gt;=1,$D232&gt;=1),"⚠ type the time with a colon: 9:00 AM, not 9",IF(AND($C232&lt;&gt;"",$C232=$D232),"⚠ clock-in equals clock-out: the shift adds 0 h",IF(AND($C232&lt;&gt;"",$D232&lt;&gt;"",IF($E232="",0,$E232)&gt;MOD($D232-$C232,1)*24),"⚠ the break is longer than the shift",IF(AND($A232&lt;&gt;"",COUNTIF('Monthly OT Summary'!$A$6:$A$35,$A232&amp;"")=0),"⚠ name not in Monthly OT Summary: its hours are not added","")))))</f>
        <v/>
      </c>
    </row>
    <row r="233">
      <c r="A233" s="21" t="n"/>
      <c r="B233" s="40" t="n"/>
      <c r="C233" s="41" t="n"/>
      <c r="D233" s="41" t="n"/>
      <c r="E233" s="24" t="n"/>
      <c r="F233" s="8">
        <f>IF(OR($C233="",$D233=""),"",IF(OR($C233&gt;=1,$D233&gt;=1,$C233=$D233,IF($E233="",0,$E233)&gt;MOD($D233-$C233,1)*24),"",ROUND(MOD($D233-$C233,1)*24-IF($E233="",0,$E233),2)))</f>
        <v/>
      </c>
      <c r="G233" s="25" t="n">
        <v>8</v>
      </c>
      <c r="H233" s="8">
        <f>IF(OR($A233="",$B233="",$F233=""),"",ROUND(IF($F$3="",0,MAX(0,$F233-$F$3))+IF($D$3="",0,MIN($F233-IF($F$3="",0,MAX(0,$F233-$F$3)),MAX(0,SUMIFS($F$5:$F$304,$A$5:$A$304,$A233&amp;"",$B$5:$B$304,"&gt;="&amp;($B233-MOD(WEEKDAY($B233)-$B$3,7)),$B$5:$B$304,"&lt;="&amp;$B233)-IF($F$3="",0,SUMIFS($F$5:$F$304,$A$5:$A$304,$A233&amp;"",$B$5:$B$304,"&gt;="&amp;($B233-MOD(WEEKDAY($B233)-$B$3,7)),$B$5:$B$304,"&lt;="&amp;$B233,$F$5:$F$304,"&gt;"&amp;$F$3)-$F$3*COUNTIFS($A$5:$A$304,$A233&amp;"",$B$5:$B$304,"&gt;="&amp;($B233-MOD(WEEKDAY($B233)-$B$3,7)),$B$5:$B$304,"&lt;="&amp;$B233,$F$5:$F$304,"&gt;"&amp;$F$3))-$D$3))),2))</f>
        <v/>
      </c>
      <c r="I233" s="26" t="n"/>
      <c r="J233" s="27">
        <f>IF(AND($A233="",$C233="",$D233=""),"",IF(OR($C233&gt;=1,$D233&gt;=1),"⚠ type the time with a colon: 9:00 AM, not 9",IF(AND($C233&lt;&gt;"",$C233=$D233),"⚠ clock-in equals clock-out: the shift adds 0 h",IF(AND($C233&lt;&gt;"",$D233&lt;&gt;"",IF($E233="",0,$E233)&gt;MOD($D233-$C233,1)*24),"⚠ the break is longer than the shift",IF(AND($A233&lt;&gt;"",COUNTIF('Monthly OT Summary'!$A$6:$A$35,$A233&amp;"")=0),"⚠ name not in Monthly OT Summary: its hours are not added","")))))</f>
        <v/>
      </c>
    </row>
    <row r="234">
      <c r="A234" s="21" t="n"/>
      <c r="B234" s="40" t="n"/>
      <c r="C234" s="41" t="n"/>
      <c r="D234" s="41" t="n"/>
      <c r="E234" s="24" t="n"/>
      <c r="F234" s="8">
        <f>IF(OR($C234="",$D234=""),"",IF(OR($C234&gt;=1,$D234&gt;=1,$C234=$D234,IF($E234="",0,$E234)&gt;MOD($D234-$C234,1)*24),"",ROUND(MOD($D234-$C234,1)*24-IF($E234="",0,$E234),2)))</f>
        <v/>
      </c>
      <c r="G234" s="25" t="n">
        <v>8</v>
      </c>
      <c r="H234" s="8">
        <f>IF(OR($A234="",$B234="",$F234=""),"",ROUND(IF($F$3="",0,MAX(0,$F234-$F$3))+IF($D$3="",0,MIN($F234-IF($F$3="",0,MAX(0,$F234-$F$3)),MAX(0,SUMIFS($F$5:$F$304,$A$5:$A$304,$A234&amp;"",$B$5:$B$304,"&gt;="&amp;($B234-MOD(WEEKDAY($B234)-$B$3,7)),$B$5:$B$304,"&lt;="&amp;$B234)-IF($F$3="",0,SUMIFS($F$5:$F$304,$A$5:$A$304,$A234&amp;"",$B$5:$B$304,"&gt;="&amp;($B234-MOD(WEEKDAY($B234)-$B$3,7)),$B$5:$B$304,"&lt;="&amp;$B234,$F$5:$F$304,"&gt;"&amp;$F$3)-$F$3*COUNTIFS($A$5:$A$304,$A234&amp;"",$B$5:$B$304,"&gt;="&amp;($B234-MOD(WEEKDAY($B234)-$B$3,7)),$B$5:$B$304,"&lt;="&amp;$B234,$F$5:$F$304,"&gt;"&amp;$F$3))-$D$3))),2))</f>
        <v/>
      </c>
      <c r="I234" s="26" t="n"/>
      <c r="J234" s="27">
        <f>IF(AND($A234="",$C234="",$D234=""),"",IF(OR($C234&gt;=1,$D234&gt;=1),"⚠ type the time with a colon: 9:00 AM, not 9",IF(AND($C234&lt;&gt;"",$C234=$D234),"⚠ clock-in equals clock-out: the shift adds 0 h",IF(AND($C234&lt;&gt;"",$D234&lt;&gt;"",IF($E234="",0,$E234)&gt;MOD($D234-$C234,1)*24),"⚠ the break is longer than the shift",IF(AND($A234&lt;&gt;"",COUNTIF('Monthly OT Summary'!$A$6:$A$35,$A234&amp;"")=0),"⚠ name not in Monthly OT Summary: its hours are not added","")))))</f>
        <v/>
      </c>
    </row>
    <row r="235">
      <c r="A235" s="21" t="n"/>
      <c r="B235" s="40" t="n"/>
      <c r="C235" s="41" t="n"/>
      <c r="D235" s="41" t="n"/>
      <c r="E235" s="24" t="n"/>
      <c r="F235" s="8">
        <f>IF(OR($C235="",$D235=""),"",IF(OR($C235&gt;=1,$D235&gt;=1,$C235=$D235,IF($E235="",0,$E235)&gt;MOD($D235-$C235,1)*24),"",ROUND(MOD($D235-$C235,1)*24-IF($E235="",0,$E235),2)))</f>
        <v/>
      </c>
      <c r="G235" s="25" t="n">
        <v>8</v>
      </c>
      <c r="H235" s="8">
        <f>IF(OR($A235="",$B235="",$F235=""),"",ROUND(IF($F$3="",0,MAX(0,$F235-$F$3))+IF($D$3="",0,MIN($F235-IF($F$3="",0,MAX(0,$F235-$F$3)),MAX(0,SUMIFS($F$5:$F$304,$A$5:$A$304,$A235&amp;"",$B$5:$B$304,"&gt;="&amp;($B235-MOD(WEEKDAY($B235)-$B$3,7)),$B$5:$B$304,"&lt;="&amp;$B235)-IF($F$3="",0,SUMIFS($F$5:$F$304,$A$5:$A$304,$A235&amp;"",$B$5:$B$304,"&gt;="&amp;($B235-MOD(WEEKDAY($B235)-$B$3,7)),$B$5:$B$304,"&lt;="&amp;$B235,$F$5:$F$304,"&gt;"&amp;$F$3)-$F$3*COUNTIFS($A$5:$A$304,$A235&amp;"",$B$5:$B$304,"&gt;="&amp;($B235-MOD(WEEKDAY($B235)-$B$3,7)),$B$5:$B$304,"&lt;="&amp;$B235,$F$5:$F$304,"&gt;"&amp;$F$3))-$D$3))),2))</f>
        <v/>
      </c>
      <c r="I235" s="26" t="n"/>
      <c r="J235" s="27">
        <f>IF(AND($A235="",$C235="",$D235=""),"",IF(OR($C235&gt;=1,$D235&gt;=1),"⚠ type the time with a colon: 9:00 AM, not 9",IF(AND($C235&lt;&gt;"",$C235=$D235),"⚠ clock-in equals clock-out: the shift adds 0 h",IF(AND($C235&lt;&gt;"",$D235&lt;&gt;"",IF($E235="",0,$E235)&gt;MOD($D235-$C235,1)*24),"⚠ the break is longer than the shift",IF(AND($A235&lt;&gt;"",COUNTIF('Monthly OT Summary'!$A$6:$A$35,$A235&amp;"")=0),"⚠ name not in Monthly OT Summary: its hours are not added","")))))</f>
        <v/>
      </c>
    </row>
    <row r="236">
      <c r="A236" s="21" t="n"/>
      <c r="B236" s="40" t="n"/>
      <c r="C236" s="41" t="n"/>
      <c r="D236" s="41" t="n"/>
      <c r="E236" s="24" t="n"/>
      <c r="F236" s="8">
        <f>IF(OR($C236="",$D236=""),"",IF(OR($C236&gt;=1,$D236&gt;=1,$C236=$D236,IF($E236="",0,$E236)&gt;MOD($D236-$C236,1)*24),"",ROUND(MOD($D236-$C236,1)*24-IF($E236="",0,$E236),2)))</f>
        <v/>
      </c>
      <c r="G236" s="25" t="n">
        <v>8</v>
      </c>
      <c r="H236" s="8">
        <f>IF(OR($A236="",$B236="",$F236=""),"",ROUND(IF($F$3="",0,MAX(0,$F236-$F$3))+IF($D$3="",0,MIN($F236-IF($F$3="",0,MAX(0,$F236-$F$3)),MAX(0,SUMIFS($F$5:$F$304,$A$5:$A$304,$A236&amp;"",$B$5:$B$304,"&gt;="&amp;($B236-MOD(WEEKDAY($B236)-$B$3,7)),$B$5:$B$304,"&lt;="&amp;$B236)-IF($F$3="",0,SUMIFS($F$5:$F$304,$A$5:$A$304,$A236&amp;"",$B$5:$B$304,"&gt;="&amp;($B236-MOD(WEEKDAY($B236)-$B$3,7)),$B$5:$B$304,"&lt;="&amp;$B236,$F$5:$F$304,"&gt;"&amp;$F$3)-$F$3*COUNTIFS($A$5:$A$304,$A236&amp;"",$B$5:$B$304,"&gt;="&amp;($B236-MOD(WEEKDAY($B236)-$B$3,7)),$B$5:$B$304,"&lt;="&amp;$B236,$F$5:$F$304,"&gt;"&amp;$F$3))-$D$3))),2))</f>
        <v/>
      </c>
      <c r="I236" s="26" t="n"/>
      <c r="J236" s="27">
        <f>IF(AND($A236="",$C236="",$D236=""),"",IF(OR($C236&gt;=1,$D236&gt;=1),"⚠ type the time with a colon: 9:00 AM, not 9",IF(AND($C236&lt;&gt;"",$C236=$D236),"⚠ clock-in equals clock-out: the shift adds 0 h",IF(AND($C236&lt;&gt;"",$D236&lt;&gt;"",IF($E236="",0,$E236)&gt;MOD($D236-$C236,1)*24),"⚠ the break is longer than the shift",IF(AND($A236&lt;&gt;"",COUNTIF('Monthly OT Summary'!$A$6:$A$35,$A236&amp;"")=0),"⚠ name not in Monthly OT Summary: its hours are not added","")))))</f>
        <v/>
      </c>
    </row>
    <row r="237">
      <c r="A237" s="21" t="n"/>
      <c r="B237" s="40" t="n"/>
      <c r="C237" s="41" t="n"/>
      <c r="D237" s="41" t="n"/>
      <c r="E237" s="24" t="n"/>
      <c r="F237" s="8">
        <f>IF(OR($C237="",$D237=""),"",IF(OR($C237&gt;=1,$D237&gt;=1,$C237=$D237,IF($E237="",0,$E237)&gt;MOD($D237-$C237,1)*24),"",ROUND(MOD($D237-$C237,1)*24-IF($E237="",0,$E237),2)))</f>
        <v/>
      </c>
      <c r="G237" s="25" t="n">
        <v>8</v>
      </c>
      <c r="H237" s="8">
        <f>IF(OR($A237="",$B237="",$F237=""),"",ROUND(IF($F$3="",0,MAX(0,$F237-$F$3))+IF($D$3="",0,MIN($F237-IF($F$3="",0,MAX(0,$F237-$F$3)),MAX(0,SUMIFS($F$5:$F$304,$A$5:$A$304,$A237&amp;"",$B$5:$B$304,"&gt;="&amp;($B237-MOD(WEEKDAY($B237)-$B$3,7)),$B$5:$B$304,"&lt;="&amp;$B237)-IF($F$3="",0,SUMIFS($F$5:$F$304,$A$5:$A$304,$A237&amp;"",$B$5:$B$304,"&gt;="&amp;($B237-MOD(WEEKDAY($B237)-$B$3,7)),$B$5:$B$304,"&lt;="&amp;$B237,$F$5:$F$304,"&gt;"&amp;$F$3)-$F$3*COUNTIFS($A$5:$A$304,$A237&amp;"",$B$5:$B$304,"&gt;="&amp;($B237-MOD(WEEKDAY($B237)-$B$3,7)),$B$5:$B$304,"&lt;="&amp;$B237,$F$5:$F$304,"&gt;"&amp;$F$3))-$D$3))),2))</f>
        <v/>
      </c>
      <c r="I237" s="26" t="n"/>
      <c r="J237" s="27">
        <f>IF(AND($A237="",$C237="",$D237=""),"",IF(OR($C237&gt;=1,$D237&gt;=1),"⚠ type the time with a colon: 9:00 AM, not 9",IF(AND($C237&lt;&gt;"",$C237=$D237),"⚠ clock-in equals clock-out: the shift adds 0 h",IF(AND($C237&lt;&gt;"",$D237&lt;&gt;"",IF($E237="",0,$E237)&gt;MOD($D237-$C237,1)*24),"⚠ the break is longer than the shift",IF(AND($A237&lt;&gt;"",COUNTIF('Monthly OT Summary'!$A$6:$A$35,$A237&amp;"")=0),"⚠ name not in Monthly OT Summary: its hours are not added","")))))</f>
        <v/>
      </c>
    </row>
    <row r="238">
      <c r="A238" s="21" t="n"/>
      <c r="B238" s="40" t="n"/>
      <c r="C238" s="41" t="n"/>
      <c r="D238" s="41" t="n"/>
      <c r="E238" s="24" t="n"/>
      <c r="F238" s="8">
        <f>IF(OR($C238="",$D238=""),"",IF(OR($C238&gt;=1,$D238&gt;=1,$C238=$D238,IF($E238="",0,$E238)&gt;MOD($D238-$C238,1)*24),"",ROUND(MOD($D238-$C238,1)*24-IF($E238="",0,$E238),2)))</f>
        <v/>
      </c>
      <c r="G238" s="25" t="n">
        <v>8</v>
      </c>
      <c r="H238" s="8">
        <f>IF(OR($A238="",$B238="",$F238=""),"",ROUND(IF($F$3="",0,MAX(0,$F238-$F$3))+IF($D$3="",0,MIN($F238-IF($F$3="",0,MAX(0,$F238-$F$3)),MAX(0,SUMIFS($F$5:$F$304,$A$5:$A$304,$A238&amp;"",$B$5:$B$304,"&gt;="&amp;($B238-MOD(WEEKDAY($B238)-$B$3,7)),$B$5:$B$304,"&lt;="&amp;$B238)-IF($F$3="",0,SUMIFS($F$5:$F$304,$A$5:$A$304,$A238&amp;"",$B$5:$B$304,"&gt;="&amp;($B238-MOD(WEEKDAY($B238)-$B$3,7)),$B$5:$B$304,"&lt;="&amp;$B238,$F$5:$F$304,"&gt;"&amp;$F$3)-$F$3*COUNTIFS($A$5:$A$304,$A238&amp;"",$B$5:$B$304,"&gt;="&amp;($B238-MOD(WEEKDAY($B238)-$B$3,7)),$B$5:$B$304,"&lt;="&amp;$B238,$F$5:$F$304,"&gt;"&amp;$F$3))-$D$3))),2))</f>
        <v/>
      </c>
      <c r="I238" s="26" t="n"/>
      <c r="J238" s="27">
        <f>IF(AND($A238="",$C238="",$D238=""),"",IF(OR($C238&gt;=1,$D238&gt;=1),"⚠ type the time with a colon: 9:00 AM, not 9",IF(AND($C238&lt;&gt;"",$C238=$D238),"⚠ clock-in equals clock-out: the shift adds 0 h",IF(AND($C238&lt;&gt;"",$D238&lt;&gt;"",IF($E238="",0,$E238)&gt;MOD($D238-$C238,1)*24),"⚠ the break is longer than the shift",IF(AND($A238&lt;&gt;"",COUNTIF('Monthly OT Summary'!$A$6:$A$35,$A238&amp;"")=0),"⚠ name not in Monthly OT Summary: its hours are not added","")))))</f>
        <v/>
      </c>
    </row>
    <row r="239">
      <c r="A239" s="21" t="n"/>
      <c r="B239" s="40" t="n"/>
      <c r="C239" s="41" t="n"/>
      <c r="D239" s="41" t="n"/>
      <c r="E239" s="24" t="n"/>
      <c r="F239" s="8">
        <f>IF(OR($C239="",$D239=""),"",IF(OR($C239&gt;=1,$D239&gt;=1,$C239=$D239,IF($E239="",0,$E239)&gt;MOD($D239-$C239,1)*24),"",ROUND(MOD($D239-$C239,1)*24-IF($E239="",0,$E239),2)))</f>
        <v/>
      </c>
      <c r="G239" s="25" t="n">
        <v>8</v>
      </c>
      <c r="H239" s="8">
        <f>IF(OR($A239="",$B239="",$F239=""),"",ROUND(IF($F$3="",0,MAX(0,$F239-$F$3))+IF($D$3="",0,MIN($F239-IF($F$3="",0,MAX(0,$F239-$F$3)),MAX(0,SUMIFS($F$5:$F$304,$A$5:$A$304,$A239&amp;"",$B$5:$B$304,"&gt;="&amp;($B239-MOD(WEEKDAY($B239)-$B$3,7)),$B$5:$B$304,"&lt;="&amp;$B239)-IF($F$3="",0,SUMIFS($F$5:$F$304,$A$5:$A$304,$A239&amp;"",$B$5:$B$304,"&gt;="&amp;($B239-MOD(WEEKDAY($B239)-$B$3,7)),$B$5:$B$304,"&lt;="&amp;$B239,$F$5:$F$304,"&gt;"&amp;$F$3)-$F$3*COUNTIFS($A$5:$A$304,$A239&amp;"",$B$5:$B$304,"&gt;="&amp;($B239-MOD(WEEKDAY($B239)-$B$3,7)),$B$5:$B$304,"&lt;="&amp;$B239,$F$5:$F$304,"&gt;"&amp;$F$3))-$D$3))),2))</f>
        <v/>
      </c>
      <c r="I239" s="26" t="n"/>
      <c r="J239" s="27">
        <f>IF(AND($A239="",$C239="",$D239=""),"",IF(OR($C239&gt;=1,$D239&gt;=1),"⚠ type the time with a colon: 9:00 AM, not 9",IF(AND($C239&lt;&gt;"",$C239=$D239),"⚠ clock-in equals clock-out: the shift adds 0 h",IF(AND($C239&lt;&gt;"",$D239&lt;&gt;"",IF($E239="",0,$E239)&gt;MOD($D239-$C239,1)*24),"⚠ the break is longer than the shift",IF(AND($A239&lt;&gt;"",COUNTIF('Monthly OT Summary'!$A$6:$A$35,$A239&amp;"")=0),"⚠ name not in Monthly OT Summary: its hours are not added","")))))</f>
        <v/>
      </c>
    </row>
    <row r="240">
      <c r="A240" s="21" t="n"/>
      <c r="B240" s="40" t="n"/>
      <c r="C240" s="41" t="n"/>
      <c r="D240" s="41" t="n"/>
      <c r="E240" s="24" t="n"/>
      <c r="F240" s="8">
        <f>IF(OR($C240="",$D240=""),"",IF(OR($C240&gt;=1,$D240&gt;=1,$C240=$D240,IF($E240="",0,$E240)&gt;MOD($D240-$C240,1)*24),"",ROUND(MOD($D240-$C240,1)*24-IF($E240="",0,$E240),2)))</f>
        <v/>
      </c>
      <c r="G240" s="25" t="n">
        <v>8</v>
      </c>
      <c r="H240" s="8">
        <f>IF(OR($A240="",$B240="",$F240=""),"",ROUND(IF($F$3="",0,MAX(0,$F240-$F$3))+IF($D$3="",0,MIN($F240-IF($F$3="",0,MAX(0,$F240-$F$3)),MAX(0,SUMIFS($F$5:$F$304,$A$5:$A$304,$A240&amp;"",$B$5:$B$304,"&gt;="&amp;($B240-MOD(WEEKDAY($B240)-$B$3,7)),$B$5:$B$304,"&lt;="&amp;$B240)-IF($F$3="",0,SUMIFS($F$5:$F$304,$A$5:$A$304,$A240&amp;"",$B$5:$B$304,"&gt;="&amp;($B240-MOD(WEEKDAY($B240)-$B$3,7)),$B$5:$B$304,"&lt;="&amp;$B240,$F$5:$F$304,"&gt;"&amp;$F$3)-$F$3*COUNTIFS($A$5:$A$304,$A240&amp;"",$B$5:$B$304,"&gt;="&amp;($B240-MOD(WEEKDAY($B240)-$B$3,7)),$B$5:$B$304,"&lt;="&amp;$B240,$F$5:$F$304,"&gt;"&amp;$F$3))-$D$3))),2))</f>
        <v/>
      </c>
      <c r="I240" s="26" t="n"/>
      <c r="J240" s="27">
        <f>IF(AND($A240="",$C240="",$D240=""),"",IF(OR($C240&gt;=1,$D240&gt;=1),"⚠ type the time with a colon: 9:00 AM, not 9",IF(AND($C240&lt;&gt;"",$C240=$D240),"⚠ clock-in equals clock-out: the shift adds 0 h",IF(AND($C240&lt;&gt;"",$D240&lt;&gt;"",IF($E240="",0,$E240)&gt;MOD($D240-$C240,1)*24),"⚠ the break is longer than the shift",IF(AND($A240&lt;&gt;"",COUNTIF('Monthly OT Summary'!$A$6:$A$35,$A240&amp;"")=0),"⚠ name not in Monthly OT Summary: its hours are not added","")))))</f>
        <v/>
      </c>
    </row>
    <row r="241">
      <c r="A241" s="21" t="n"/>
      <c r="B241" s="40" t="n"/>
      <c r="C241" s="41" t="n"/>
      <c r="D241" s="41" t="n"/>
      <c r="E241" s="24" t="n"/>
      <c r="F241" s="8">
        <f>IF(OR($C241="",$D241=""),"",IF(OR($C241&gt;=1,$D241&gt;=1,$C241=$D241,IF($E241="",0,$E241)&gt;MOD($D241-$C241,1)*24),"",ROUND(MOD($D241-$C241,1)*24-IF($E241="",0,$E241),2)))</f>
        <v/>
      </c>
      <c r="G241" s="25" t="n">
        <v>8</v>
      </c>
      <c r="H241" s="8">
        <f>IF(OR($A241="",$B241="",$F241=""),"",ROUND(IF($F$3="",0,MAX(0,$F241-$F$3))+IF($D$3="",0,MIN($F241-IF($F$3="",0,MAX(0,$F241-$F$3)),MAX(0,SUMIFS($F$5:$F$304,$A$5:$A$304,$A241&amp;"",$B$5:$B$304,"&gt;="&amp;($B241-MOD(WEEKDAY($B241)-$B$3,7)),$B$5:$B$304,"&lt;="&amp;$B241)-IF($F$3="",0,SUMIFS($F$5:$F$304,$A$5:$A$304,$A241&amp;"",$B$5:$B$304,"&gt;="&amp;($B241-MOD(WEEKDAY($B241)-$B$3,7)),$B$5:$B$304,"&lt;="&amp;$B241,$F$5:$F$304,"&gt;"&amp;$F$3)-$F$3*COUNTIFS($A$5:$A$304,$A241&amp;"",$B$5:$B$304,"&gt;="&amp;($B241-MOD(WEEKDAY($B241)-$B$3,7)),$B$5:$B$304,"&lt;="&amp;$B241,$F$5:$F$304,"&gt;"&amp;$F$3))-$D$3))),2))</f>
        <v/>
      </c>
      <c r="I241" s="26" t="n"/>
      <c r="J241" s="27">
        <f>IF(AND($A241="",$C241="",$D241=""),"",IF(OR($C241&gt;=1,$D241&gt;=1),"⚠ type the time with a colon: 9:00 AM, not 9",IF(AND($C241&lt;&gt;"",$C241=$D241),"⚠ clock-in equals clock-out: the shift adds 0 h",IF(AND($C241&lt;&gt;"",$D241&lt;&gt;"",IF($E241="",0,$E241)&gt;MOD($D241-$C241,1)*24),"⚠ the break is longer than the shift",IF(AND($A241&lt;&gt;"",COUNTIF('Monthly OT Summary'!$A$6:$A$35,$A241&amp;"")=0),"⚠ name not in Monthly OT Summary: its hours are not added","")))))</f>
        <v/>
      </c>
    </row>
    <row r="242">
      <c r="A242" s="21" t="n"/>
      <c r="B242" s="40" t="n"/>
      <c r="C242" s="41" t="n"/>
      <c r="D242" s="41" t="n"/>
      <c r="E242" s="24" t="n"/>
      <c r="F242" s="8">
        <f>IF(OR($C242="",$D242=""),"",IF(OR($C242&gt;=1,$D242&gt;=1,$C242=$D242,IF($E242="",0,$E242)&gt;MOD($D242-$C242,1)*24),"",ROUND(MOD($D242-$C242,1)*24-IF($E242="",0,$E242),2)))</f>
        <v/>
      </c>
      <c r="G242" s="25" t="n">
        <v>8</v>
      </c>
      <c r="H242" s="8">
        <f>IF(OR($A242="",$B242="",$F242=""),"",ROUND(IF($F$3="",0,MAX(0,$F242-$F$3))+IF($D$3="",0,MIN($F242-IF($F$3="",0,MAX(0,$F242-$F$3)),MAX(0,SUMIFS($F$5:$F$304,$A$5:$A$304,$A242&amp;"",$B$5:$B$304,"&gt;="&amp;($B242-MOD(WEEKDAY($B242)-$B$3,7)),$B$5:$B$304,"&lt;="&amp;$B242)-IF($F$3="",0,SUMIFS($F$5:$F$304,$A$5:$A$304,$A242&amp;"",$B$5:$B$304,"&gt;="&amp;($B242-MOD(WEEKDAY($B242)-$B$3,7)),$B$5:$B$304,"&lt;="&amp;$B242,$F$5:$F$304,"&gt;"&amp;$F$3)-$F$3*COUNTIFS($A$5:$A$304,$A242&amp;"",$B$5:$B$304,"&gt;="&amp;($B242-MOD(WEEKDAY($B242)-$B$3,7)),$B$5:$B$304,"&lt;="&amp;$B242,$F$5:$F$304,"&gt;"&amp;$F$3))-$D$3))),2))</f>
        <v/>
      </c>
      <c r="I242" s="26" t="n"/>
      <c r="J242" s="27">
        <f>IF(AND($A242="",$C242="",$D242=""),"",IF(OR($C242&gt;=1,$D242&gt;=1),"⚠ type the time with a colon: 9:00 AM, not 9",IF(AND($C242&lt;&gt;"",$C242=$D242),"⚠ clock-in equals clock-out: the shift adds 0 h",IF(AND($C242&lt;&gt;"",$D242&lt;&gt;"",IF($E242="",0,$E242)&gt;MOD($D242-$C242,1)*24),"⚠ the break is longer than the shift",IF(AND($A242&lt;&gt;"",COUNTIF('Monthly OT Summary'!$A$6:$A$35,$A242&amp;"")=0),"⚠ name not in Monthly OT Summary: its hours are not added","")))))</f>
        <v/>
      </c>
    </row>
    <row r="243">
      <c r="A243" s="21" t="n"/>
      <c r="B243" s="40" t="n"/>
      <c r="C243" s="41" t="n"/>
      <c r="D243" s="41" t="n"/>
      <c r="E243" s="24" t="n"/>
      <c r="F243" s="8">
        <f>IF(OR($C243="",$D243=""),"",IF(OR($C243&gt;=1,$D243&gt;=1,$C243=$D243,IF($E243="",0,$E243)&gt;MOD($D243-$C243,1)*24),"",ROUND(MOD($D243-$C243,1)*24-IF($E243="",0,$E243),2)))</f>
        <v/>
      </c>
      <c r="G243" s="25" t="n">
        <v>8</v>
      </c>
      <c r="H243" s="8">
        <f>IF(OR($A243="",$B243="",$F243=""),"",ROUND(IF($F$3="",0,MAX(0,$F243-$F$3))+IF($D$3="",0,MIN($F243-IF($F$3="",0,MAX(0,$F243-$F$3)),MAX(0,SUMIFS($F$5:$F$304,$A$5:$A$304,$A243&amp;"",$B$5:$B$304,"&gt;="&amp;($B243-MOD(WEEKDAY($B243)-$B$3,7)),$B$5:$B$304,"&lt;="&amp;$B243)-IF($F$3="",0,SUMIFS($F$5:$F$304,$A$5:$A$304,$A243&amp;"",$B$5:$B$304,"&gt;="&amp;($B243-MOD(WEEKDAY($B243)-$B$3,7)),$B$5:$B$304,"&lt;="&amp;$B243,$F$5:$F$304,"&gt;"&amp;$F$3)-$F$3*COUNTIFS($A$5:$A$304,$A243&amp;"",$B$5:$B$304,"&gt;="&amp;($B243-MOD(WEEKDAY($B243)-$B$3,7)),$B$5:$B$304,"&lt;="&amp;$B243,$F$5:$F$304,"&gt;"&amp;$F$3))-$D$3))),2))</f>
        <v/>
      </c>
      <c r="I243" s="26" t="n"/>
      <c r="J243" s="27">
        <f>IF(AND($A243="",$C243="",$D243=""),"",IF(OR($C243&gt;=1,$D243&gt;=1),"⚠ type the time with a colon: 9:00 AM, not 9",IF(AND($C243&lt;&gt;"",$C243=$D243),"⚠ clock-in equals clock-out: the shift adds 0 h",IF(AND($C243&lt;&gt;"",$D243&lt;&gt;"",IF($E243="",0,$E243)&gt;MOD($D243-$C243,1)*24),"⚠ the break is longer than the shift",IF(AND($A243&lt;&gt;"",COUNTIF('Monthly OT Summary'!$A$6:$A$35,$A243&amp;"")=0),"⚠ name not in Monthly OT Summary: its hours are not added","")))))</f>
        <v/>
      </c>
    </row>
    <row r="244">
      <c r="A244" s="21" t="n"/>
      <c r="B244" s="40" t="n"/>
      <c r="C244" s="41" t="n"/>
      <c r="D244" s="41" t="n"/>
      <c r="E244" s="24" t="n"/>
      <c r="F244" s="8">
        <f>IF(OR($C244="",$D244=""),"",IF(OR($C244&gt;=1,$D244&gt;=1,$C244=$D244,IF($E244="",0,$E244)&gt;MOD($D244-$C244,1)*24),"",ROUND(MOD($D244-$C244,1)*24-IF($E244="",0,$E244),2)))</f>
        <v/>
      </c>
      <c r="G244" s="25" t="n">
        <v>8</v>
      </c>
      <c r="H244" s="8">
        <f>IF(OR($A244="",$B244="",$F244=""),"",ROUND(IF($F$3="",0,MAX(0,$F244-$F$3))+IF($D$3="",0,MIN($F244-IF($F$3="",0,MAX(0,$F244-$F$3)),MAX(0,SUMIFS($F$5:$F$304,$A$5:$A$304,$A244&amp;"",$B$5:$B$304,"&gt;="&amp;($B244-MOD(WEEKDAY($B244)-$B$3,7)),$B$5:$B$304,"&lt;="&amp;$B244)-IF($F$3="",0,SUMIFS($F$5:$F$304,$A$5:$A$304,$A244&amp;"",$B$5:$B$304,"&gt;="&amp;($B244-MOD(WEEKDAY($B244)-$B$3,7)),$B$5:$B$304,"&lt;="&amp;$B244,$F$5:$F$304,"&gt;"&amp;$F$3)-$F$3*COUNTIFS($A$5:$A$304,$A244&amp;"",$B$5:$B$304,"&gt;="&amp;($B244-MOD(WEEKDAY($B244)-$B$3,7)),$B$5:$B$304,"&lt;="&amp;$B244,$F$5:$F$304,"&gt;"&amp;$F$3))-$D$3))),2))</f>
        <v/>
      </c>
      <c r="I244" s="26" t="n"/>
      <c r="J244" s="27">
        <f>IF(AND($A244="",$C244="",$D244=""),"",IF(OR($C244&gt;=1,$D244&gt;=1),"⚠ type the time with a colon: 9:00 AM, not 9",IF(AND($C244&lt;&gt;"",$C244=$D244),"⚠ clock-in equals clock-out: the shift adds 0 h",IF(AND($C244&lt;&gt;"",$D244&lt;&gt;"",IF($E244="",0,$E244)&gt;MOD($D244-$C244,1)*24),"⚠ the break is longer than the shift",IF(AND($A244&lt;&gt;"",COUNTIF('Monthly OT Summary'!$A$6:$A$35,$A244&amp;"")=0),"⚠ name not in Monthly OT Summary: its hours are not added","")))))</f>
        <v/>
      </c>
    </row>
    <row r="245">
      <c r="A245" s="21" t="n"/>
      <c r="B245" s="40" t="n"/>
      <c r="C245" s="41" t="n"/>
      <c r="D245" s="41" t="n"/>
      <c r="E245" s="24" t="n"/>
      <c r="F245" s="8">
        <f>IF(OR($C245="",$D245=""),"",IF(OR($C245&gt;=1,$D245&gt;=1,$C245=$D245,IF($E245="",0,$E245)&gt;MOD($D245-$C245,1)*24),"",ROUND(MOD($D245-$C245,1)*24-IF($E245="",0,$E245),2)))</f>
        <v/>
      </c>
      <c r="G245" s="25" t="n">
        <v>8</v>
      </c>
      <c r="H245" s="8">
        <f>IF(OR($A245="",$B245="",$F245=""),"",ROUND(IF($F$3="",0,MAX(0,$F245-$F$3))+IF($D$3="",0,MIN($F245-IF($F$3="",0,MAX(0,$F245-$F$3)),MAX(0,SUMIFS($F$5:$F$304,$A$5:$A$304,$A245&amp;"",$B$5:$B$304,"&gt;="&amp;($B245-MOD(WEEKDAY($B245)-$B$3,7)),$B$5:$B$304,"&lt;="&amp;$B245)-IF($F$3="",0,SUMIFS($F$5:$F$304,$A$5:$A$304,$A245&amp;"",$B$5:$B$304,"&gt;="&amp;($B245-MOD(WEEKDAY($B245)-$B$3,7)),$B$5:$B$304,"&lt;="&amp;$B245,$F$5:$F$304,"&gt;"&amp;$F$3)-$F$3*COUNTIFS($A$5:$A$304,$A245&amp;"",$B$5:$B$304,"&gt;="&amp;($B245-MOD(WEEKDAY($B245)-$B$3,7)),$B$5:$B$304,"&lt;="&amp;$B245,$F$5:$F$304,"&gt;"&amp;$F$3))-$D$3))),2))</f>
        <v/>
      </c>
      <c r="I245" s="26" t="n"/>
      <c r="J245" s="27">
        <f>IF(AND($A245="",$C245="",$D245=""),"",IF(OR($C245&gt;=1,$D245&gt;=1),"⚠ type the time with a colon: 9:00 AM, not 9",IF(AND($C245&lt;&gt;"",$C245=$D245),"⚠ clock-in equals clock-out: the shift adds 0 h",IF(AND($C245&lt;&gt;"",$D245&lt;&gt;"",IF($E245="",0,$E245)&gt;MOD($D245-$C245,1)*24),"⚠ the break is longer than the shift",IF(AND($A245&lt;&gt;"",COUNTIF('Monthly OT Summary'!$A$6:$A$35,$A245&amp;"")=0),"⚠ name not in Monthly OT Summary: its hours are not added","")))))</f>
        <v/>
      </c>
    </row>
    <row r="246">
      <c r="A246" s="21" t="n"/>
      <c r="B246" s="40" t="n"/>
      <c r="C246" s="41" t="n"/>
      <c r="D246" s="41" t="n"/>
      <c r="E246" s="24" t="n"/>
      <c r="F246" s="8">
        <f>IF(OR($C246="",$D246=""),"",IF(OR($C246&gt;=1,$D246&gt;=1,$C246=$D246,IF($E246="",0,$E246)&gt;MOD($D246-$C246,1)*24),"",ROUND(MOD($D246-$C246,1)*24-IF($E246="",0,$E246),2)))</f>
        <v/>
      </c>
      <c r="G246" s="25" t="n">
        <v>8</v>
      </c>
      <c r="H246" s="8">
        <f>IF(OR($A246="",$B246="",$F246=""),"",ROUND(IF($F$3="",0,MAX(0,$F246-$F$3))+IF($D$3="",0,MIN($F246-IF($F$3="",0,MAX(0,$F246-$F$3)),MAX(0,SUMIFS($F$5:$F$304,$A$5:$A$304,$A246&amp;"",$B$5:$B$304,"&gt;="&amp;($B246-MOD(WEEKDAY($B246)-$B$3,7)),$B$5:$B$304,"&lt;="&amp;$B246)-IF($F$3="",0,SUMIFS($F$5:$F$304,$A$5:$A$304,$A246&amp;"",$B$5:$B$304,"&gt;="&amp;($B246-MOD(WEEKDAY($B246)-$B$3,7)),$B$5:$B$304,"&lt;="&amp;$B246,$F$5:$F$304,"&gt;"&amp;$F$3)-$F$3*COUNTIFS($A$5:$A$304,$A246&amp;"",$B$5:$B$304,"&gt;="&amp;($B246-MOD(WEEKDAY($B246)-$B$3,7)),$B$5:$B$304,"&lt;="&amp;$B246,$F$5:$F$304,"&gt;"&amp;$F$3))-$D$3))),2))</f>
        <v/>
      </c>
      <c r="I246" s="26" t="n"/>
      <c r="J246" s="27">
        <f>IF(AND($A246="",$C246="",$D246=""),"",IF(OR($C246&gt;=1,$D246&gt;=1),"⚠ type the time with a colon: 9:00 AM, not 9",IF(AND($C246&lt;&gt;"",$C246=$D246),"⚠ clock-in equals clock-out: the shift adds 0 h",IF(AND($C246&lt;&gt;"",$D246&lt;&gt;"",IF($E246="",0,$E246)&gt;MOD($D246-$C246,1)*24),"⚠ the break is longer than the shift",IF(AND($A246&lt;&gt;"",COUNTIF('Monthly OT Summary'!$A$6:$A$35,$A246&amp;"")=0),"⚠ name not in Monthly OT Summary: its hours are not added","")))))</f>
        <v/>
      </c>
    </row>
    <row r="247">
      <c r="A247" s="21" t="n"/>
      <c r="B247" s="40" t="n"/>
      <c r="C247" s="41" t="n"/>
      <c r="D247" s="41" t="n"/>
      <c r="E247" s="24" t="n"/>
      <c r="F247" s="8">
        <f>IF(OR($C247="",$D247=""),"",IF(OR($C247&gt;=1,$D247&gt;=1,$C247=$D247,IF($E247="",0,$E247)&gt;MOD($D247-$C247,1)*24),"",ROUND(MOD($D247-$C247,1)*24-IF($E247="",0,$E247),2)))</f>
        <v/>
      </c>
      <c r="G247" s="25" t="n">
        <v>8</v>
      </c>
      <c r="H247" s="8">
        <f>IF(OR($A247="",$B247="",$F247=""),"",ROUND(IF($F$3="",0,MAX(0,$F247-$F$3))+IF($D$3="",0,MIN($F247-IF($F$3="",0,MAX(0,$F247-$F$3)),MAX(0,SUMIFS($F$5:$F$304,$A$5:$A$304,$A247&amp;"",$B$5:$B$304,"&gt;="&amp;($B247-MOD(WEEKDAY($B247)-$B$3,7)),$B$5:$B$304,"&lt;="&amp;$B247)-IF($F$3="",0,SUMIFS($F$5:$F$304,$A$5:$A$304,$A247&amp;"",$B$5:$B$304,"&gt;="&amp;($B247-MOD(WEEKDAY($B247)-$B$3,7)),$B$5:$B$304,"&lt;="&amp;$B247,$F$5:$F$304,"&gt;"&amp;$F$3)-$F$3*COUNTIFS($A$5:$A$304,$A247&amp;"",$B$5:$B$304,"&gt;="&amp;($B247-MOD(WEEKDAY($B247)-$B$3,7)),$B$5:$B$304,"&lt;="&amp;$B247,$F$5:$F$304,"&gt;"&amp;$F$3))-$D$3))),2))</f>
        <v/>
      </c>
      <c r="I247" s="26" t="n"/>
      <c r="J247" s="27">
        <f>IF(AND($A247="",$C247="",$D247=""),"",IF(OR($C247&gt;=1,$D247&gt;=1),"⚠ type the time with a colon: 9:00 AM, not 9",IF(AND($C247&lt;&gt;"",$C247=$D247),"⚠ clock-in equals clock-out: the shift adds 0 h",IF(AND($C247&lt;&gt;"",$D247&lt;&gt;"",IF($E247="",0,$E247)&gt;MOD($D247-$C247,1)*24),"⚠ the break is longer than the shift",IF(AND($A247&lt;&gt;"",COUNTIF('Monthly OT Summary'!$A$6:$A$35,$A247&amp;"")=0),"⚠ name not in Monthly OT Summary: its hours are not added","")))))</f>
        <v/>
      </c>
    </row>
    <row r="248">
      <c r="A248" s="21" t="n"/>
      <c r="B248" s="40" t="n"/>
      <c r="C248" s="41" t="n"/>
      <c r="D248" s="41" t="n"/>
      <c r="E248" s="24" t="n"/>
      <c r="F248" s="8">
        <f>IF(OR($C248="",$D248=""),"",IF(OR($C248&gt;=1,$D248&gt;=1,$C248=$D248,IF($E248="",0,$E248)&gt;MOD($D248-$C248,1)*24),"",ROUND(MOD($D248-$C248,1)*24-IF($E248="",0,$E248),2)))</f>
        <v/>
      </c>
      <c r="G248" s="25" t="n">
        <v>8</v>
      </c>
      <c r="H248" s="8">
        <f>IF(OR($A248="",$B248="",$F248=""),"",ROUND(IF($F$3="",0,MAX(0,$F248-$F$3))+IF($D$3="",0,MIN($F248-IF($F$3="",0,MAX(0,$F248-$F$3)),MAX(0,SUMIFS($F$5:$F$304,$A$5:$A$304,$A248&amp;"",$B$5:$B$304,"&gt;="&amp;($B248-MOD(WEEKDAY($B248)-$B$3,7)),$B$5:$B$304,"&lt;="&amp;$B248)-IF($F$3="",0,SUMIFS($F$5:$F$304,$A$5:$A$304,$A248&amp;"",$B$5:$B$304,"&gt;="&amp;($B248-MOD(WEEKDAY($B248)-$B$3,7)),$B$5:$B$304,"&lt;="&amp;$B248,$F$5:$F$304,"&gt;"&amp;$F$3)-$F$3*COUNTIFS($A$5:$A$304,$A248&amp;"",$B$5:$B$304,"&gt;="&amp;($B248-MOD(WEEKDAY($B248)-$B$3,7)),$B$5:$B$304,"&lt;="&amp;$B248,$F$5:$F$304,"&gt;"&amp;$F$3))-$D$3))),2))</f>
        <v/>
      </c>
      <c r="I248" s="26" t="n"/>
      <c r="J248" s="27">
        <f>IF(AND($A248="",$C248="",$D248=""),"",IF(OR($C248&gt;=1,$D248&gt;=1),"⚠ type the time with a colon: 9:00 AM, not 9",IF(AND($C248&lt;&gt;"",$C248=$D248),"⚠ clock-in equals clock-out: the shift adds 0 h",IF(AND($C248&lt;&gt;"",$D248&lt;&gt;"",IF($E248="",0,$E248)&gt;MOD($D248-$C248,1)*24),"⚠ the break is longer than the shift",IF(AND($A248&lt;&gt;"",COUNTIF('Monthly OT Summary'!$A$6:$A$35,$A248&amp;"")=0),"⚠ name not in Monthly OT Summary: its hours are not added","")))))</f>
        <v/>
      </c>
    </row>
    <row r="249">
      <c r="A249" s="21" t="n"/>
      <c r="B249" s="40" t="n"/>
      <c r="C249" s="41" t="n"/>
      <c r="D249" s="41" t="n"/>
      <c r="E249" s="24" t="n"/>
      <c r="F249" s="8">
        <f>IF(OR($C249="",$D249=""),"",IF(OR($C249&gt;=1,$D249&gt;=1,$C249=$D249,IF($E249="",0,$E249)&gt;MOD($D249-$C249,1)*24),"",ROUND(MOD($D249-$C249,1)*24-IF($E249="",0,$E249),2)))</f>
        <v/>
      </c>
      <c r="G249" s="25" t="n">
        <v>8</v>
      </c>
      <c r="H249" s="8">
        <f>IF(OR($A249="",$B249="",$F249=""),"",ROUND(IF($F$3="",0,MAX(0,$F249-$F$3))+IF($D$3="",0,MIN($F249-IF($F$3="",0,MAX(0,$F249-$F$3)),MAX(0,SUMIFS($F$5:$F$304,$A$5:$A$304,$A249&amp;"",$B$5:$B$304,"&gt;="&amp;($B249-MOD(WEEKDAY($B249)-$B$3,7)),$B$5:$B$304,"&lt;="&amp;$B249)-IF($F$3="",0,SUMIFS($F$5:$F$304,$A$5:$A$304,$A249&amp;"",$B$5:$B$304,"&gt;="&amp;($B249-MOD(WEEKDAY($B249)-$B$3,7)),$B$5:$B$304,"&lt;="&amp;$B249,$F$5:$F$304,"&gt;"&amp;$F$3)-$F$3*COUNTIFS($A$5:$A$304,$A249&amp;"",$B$5:$B$304,"&gt;="&amp;($B249-MOD(WEEKDAY($B249)-$B$3,7)),$B$5:$B$304,"&lt;="&amp;$B249,$F$5:$F$304,"&gt;"&amp;$F$3))-$D$3))),2))</f>
        <v/>
      </c>
      <c r="I249" s="26" t="n"/>
      <c r="J249" s="27">
        <f>IF(AND($A249="",$C249="",$D249=""),"",IF(OR($C249&gt;=1,$D249&gt;=1),"⚠ type the time with a colon: 9:00 AM, not 9",IF(AND($C249&lt;&gt;"",$C249=$D249),"⚠ clock-in equals clock-out: the shift adds 0 h",IF(AND($C249&lt;&gt;"",$D249&lt;&gt;"",IF($E249="",0,$E249)&gt;MOD($D249-$C249,1)*24),"⚠ the break is longer than the shift",IF(AND($A249&lt;&gt;"",COUNTIF('Monthly OT Summary'!$A$6:$A$35,$A249&amp;"")=0),"⚠ name not in Monthly OT Summary: its hours are not added","")))))</f>
        <v/>
      </c>
    </row>
    <row r="250">
      <c r="A250" s="21" t="n"/>
      <c r="B250" s="40" t="n"/>
      <c r="C250" s="41" t="n"/>
      <c r="D250" s="41" t="n"/>
      <c r="E250" s="24" t="n"/>
      <c r="F250" s="8">
        <f>IF(OR($C250="",$D250=""),"",IF(OR($C250&gt;=1,$D250&gt;=1,$C250=$D250,IF($E250="",0,$E250)&gt;MOD($D250-$C250,1)*24),"",ROUND(MOD($D250-$C250,1)*24-IF($E250="",0,$E250),2)))</f>
        <v/>
      </c>
      <c r="G250" s="25" t="n">
        <v>8</v>
      </c>
      <c r="H250" s="8">
        <f>IF(OR($A250="",$B250="",$F250=""),"",ROUND(IF($F$3="",0,MAX(0,$F250-$F$3))+IF($D$3="",0,MIN($F250-IF($F$3="",0,MAX(0,$F250-$F$3)),MAX(0,SUMIFS($F$5:$F$304,$A$5:$A$304,$A250&amp;"",$B$5:$B$304,"&gt;="&amp;($B250-MOD(WEEKDAY($B250)-$B$3,7)),$B$5:$B$304,"&lt;="&amp;$B250)-IF($F$3="",0,SUMIFS($F$5:$F$304,$A$5:$A$304,$A250&amp;"",$B$5:$B$304,"&gt;="&amp;($B250-MOD(WEEKDAY($B250)-$B$3,7)),$B$5:$B$304,"&lt;="&amp;$B250,$F$5:$F$304,"&gt;"&amp;$F$3)-$F$3*COUNTIFS($A$5:$A$304,$A250&amp;"",$B$5:$B$304,"&gt;="&amp;($B250-MOD(WEEKDAY($B250)-$B$3,7)),$B$5:$B$304,"&lt;="&amp;$B250,$F$5:$F$304,"&gt;"&amp;$F$3))-$D$3))),2))</f>
        <v/>
      </c>
      <c r="I250" s="26" t="n"/>
      <c r="J250" s="27">
        <f>IF(AND($A250="",$C250="",$D250=""),"",IF(OR($C250&gt;=1,$D250&gt;=1),"⚠ type the time with a colon: 9:00 AM, not 9",IF(AND($C250&lt;&gt;"",$C250=$D250),"⚠ clock-in equals clock-out: the shift adds 0 h",IF(AND($C250&lt;&gt;"",$D250&lt;&gt;"",IF($E250="",0,$E250)&gt;MOD($D250-$C250,1)*24),"⚠ the break is longer than the shift",IF(AND($A250&lt;&gt;"",COUNTIF('Monthly OT Summary'!$A$6:$A$35,$A250&amp;"")=0),"⚠ name not in Monthly OT Summary: its hours are not added","")))))</f>
        <v/>
      </c>
    </row>
    <row r="251">
      <c r="A251" s="21" t="n"/>
      <c r="B251" s="40" t="n"/>
      <c r="C251" s="41" t="n"/>
      <c r="D251" s="41" t="n"/>
      <c r="E251" s="24" t="n"/>
      <c r="F251" s="8">
        <f>IF(OR($C251="",$D251=""),"",IF(OR($C251&gt;=1,$D251&gt;=1,$C251=$D251,IF($E251="",0,$E251)&gt;MOD($D251-$C251,1)*24),"",ROUND(MOD($D251-$C251,1)*24-IF($E251="",0,$E251),2)))</f>
        <v/>
      </c>
      <c r="G251" s="25" t="n">
        <v>8</v>
      </c>
      <c r="H251" s="8">
        <f>IF(OR($A251="",$B251="",$F251=""),"",ROUND(IF($F$3="",0,MAX(0,$F251-$F$3))+IF($D$3="",0,MIN($F251-IF($F$3="",0,MAX(0,$F251-$F$3)),MAX(0,SUMIFS($F$5:$F$304,$A$5:$A$304,$A251&amp;"",$B$5:$B$304,"&gt;="&amp;($B251-MOD(WEEKDAY($B251)-$B$3,7)),$B$5:$B$304,"&lt;="&amp;$B251)-IF($F$3="",0,SUMIFS($F$5:$F$304,$A$5:$A$304,$A251&amp;"",$B$5:$B$304,"&gt;="&amp;($B251-MOD(WEEKDAY($B251)-$B$3,7)),$B$5:$B$304,"&lt;="&amp;$B251,$F$5:$F$304,"&gt;"&amp;$F$3)-$F$3*COUNTIFS($A$5:$A$304,$A251&amp;"",$B$5:$B$304,"&gt;="&amp;($B251-MOD(WEEKDAY($B251)-$B$3,7)),$B$5:$B$304,"&lt;="&amp;$B251,$F$5:$F$304,"&gt;"&amp;$F$3))-$D$3))),2))</f>
        <v/>
      </c>
      <c r="I251" s="26" t="n"/>
      <c r="J251" s="27">
        <f>IF(AND($A251="",$C251="",$D251=""),"",IF(OR($C251&gt;=1,$D251&gt;=1),"⚠ type the time with a colon: 9:00 AM, not 9",IF(AND($C251&lt;&gt;"",$C251=$D251),"⚠ clock-in equals clock-out: the shift adds 0 h",IF(AND($C251&lt;&gt;"",$D251&lt;&gt;"",IF($E251="",0,$E251)&gt;MOD($D251-$C251,1)*24),"⚠ the break is longer than the shift",IF(AND($A251&lt;&gt;"",COUNTIF('Monthly OT Summary'!$A$6:$A$35,$A251&amp;"")=0),"⚠ name not in Monthly OT Summary: its hours are not added","")))))</f>
        <v/>
      </c>
    </row>
    <row r="252">
      <c r="A252" s="21" t="n"/>
      <c r="B252" s="40" t="n"/>
      <c r="C252" s="41" t="n"/>
      <c r="D252" s="41" t="n"/>
      <c r="E252" s="24" t="n"/>
      <c r="F252" s="8">
        <f>IF(OR($C252="",$D252=""),"",IF(OR($C252&gt;=1,$D252&gt;=1,$C252=$D252,IF($E252="",0,$E252)&gt;MOD($D252-$C252,1)*24),"",ROUND(MOD($D252-$C252,1)*24-IF($E252="",0,$E252),2)))</f>
        <v/>
      </c>
      <c r="G252" s="25" t="n">
        <v>8</v>
      </c>
      <c r="H252" s="8">
        <f>IF(OR($A252="",$B252="",$F252=""),"",ROUND(IF($F$3="",0,MAX(0,$F252-$F$3))+IF($D$3="",0,MIN($F252-IF($F$3="",0,MAX(0,$F252-$F$3)),MAX(0,SUMIFS($F$5:$F$304,$A$5:$A$304,$A252&amp;"",$B$5:$B$304,"&gt;="&amp;($B252-MOD(WEEKDAY($B252)-$B$3,7)),$B$5:$B$304,"&lt;="&amp;$B252)-IF($F$3="",0,SUMIFS($F$5:$F$304,$A$5:$A$304,$A252&amp;"",$B$5:$B$304,"&gt;="&amp;($B252-MOD(WEEKDAY($B252)-$B$3,7)),$B$5:$B$304,"&lt;="&amp;$B252,$F$5:$F$304,"&gt;"&amp;$F$3)-$F$3*COUNTIFS($A$5:$A$304,$A252&amp;"",$B$5:$B$304,"&gt;="&amp;($B252-MOD(WEEKDAY($B252)-$B$3,7)),$B$5:$B$304,"&lt;="&amp;$B252,$F$5:$F$304,"&gt;"&amp;$F$3))-$D$3))),2))</f>
        <v/>
      </c>
      <c r="I252" s="26" t="n"/>
      <c r="J252" s="27">
        <f>IF(AND($A252="",$C252="",$D252=""),"",IF(OR($C252&gt;=1,$D252&gt;=1),"⚠ type the time with a colon: 9:00 AM, not 9",IF(AND($C252&lt;&gt;"",$C252=$D252),"⚠ clock-in equals clock-out: the shift adds 0 h",IF(AND($C252&lt;&gt;"",$D252&lt;&gt;"",IF($E252="",0,$E252)&gt;MOD($D252-$C252,1)*24),"⚠ the break is longer than the shift",IF(AND($A252&lt;&gt;"",COUNTIF('Monthly OT Summary'!$A$6:$A$35,$A252&amp;"")=0),"⚠ name not in Monthly OT Summary: its hours are not added","")))))</f>
        <v/>
      </c>
    </row>
    <row r="253">
      <c r="A253" s="21" t="n"/>
      <c r="B253" s="40" t="n"/>
      <c r="C253" s="41" t="n"/>
      <c r="D253" s="41" t="n"/>
      <c r="E253" s="24" t="n"/>
      <c r="F253" s="8">
        <f>IF(OR($C253="",$D253=""),"",IF(OR($C253&gt;=1,$D253&gt;=1,$C253=$D253,IF($E253="",0,$E253)&gt;MOD($D253-$C253,1)*24),"",ROUND(MOD($D253-$C253,1)*24-IF($E253="",0,$E253),2)))</f>
        <v/>
      </c>
      <c r="G253" s="25" t="n">
        <v>8</v>
      </c>
      <c r="H253" s="8">
        <f>IF(OR($A253="",$B253="",$F253=""),"",ROUND(IF($F$3="",0,MAX(0,$F253-$F$3))+IF($D$3="",0,MIN($F253-IF($F$3="",0,MAX(0,$F253-$F$3)),MAX(0,SUMIFS($F$5:$F$304,$A$5:$A$304,$A253&amp;"",$B$5:$B$304,"&gt;="&amp;($B253-MOD(WEEKDAY($B253)-$B$3,7)),$B$5:$B$304,"&lt;="&amp;$B253)-IF($F$3="",0,SUMIFS($F$5:$F$304,$A$5:$A$304,$A253&amp;"",$B$5:$B$304,"&gt;="&amp;($B253-MOD(WEEKDAY($B253)-$B$3,7)),$B$5:$B$304,"&lt;="&amp;$B253,$F$5:$F$304,"&gt;"&amp;$F$3)-$F$3*COUNTIFS($A$5:$A$304,$A253&amp;"",$B$5:$B$304,"&gt;="&amp;($B253-MOD(WEEKDAY($B253)-$B$3,7)),$B$5:$B$304,"&lt;="&amp;$B253,$F$5:$F$304,"&gt;"&amp;$F$3))-$D$3))),2))</f>
        <v/>
      </c>
      <c r="I253" s="26" t="n"/>
      <c r="J253" s="27">
        <f>IF(AND($A253="",$C253="",$D253=""),"",IF(OR($C253&gt;=1,$D253&gt;=1),"⚠ type the time with a colon: 9:00 AM, not 9",IF(AND($C253&lt;&gt;"",$C253=$D253),"⚠ clock-in equals clock-out: the shift adds 0 h",IF(AND($C253&lt;&gt;"",$D253&lt;&gt;"",IF($E253="",0,$E253)&gt;MOD($D253-$C253,1)*24),"⚠ the break is longer than the shift",IF(AND($A253&lt;&gt;"",COUNTIF('Monthly OT Summary'!$A$6:$A$35,$A253&amp;"")=0),"⚠ name not in Monthly OT Summary: its hours are not added","")))))</f>
        <v/>
      </c>
    </row>
    <row r="254">
      <c r="A254" s="21" t="n"/>
      <c r="B254" s="40" t="n"/>
      <c r="C254" s="41" t="n"/>
      <c r="D254" s="41" t="n"/>
      <c r="E254" s="24" t="n"/>
      <c r="F254" s="8">
        <f>IF(OR($C254="",$D254=""),"",IF(OR($C254&gt;=1,$D254&gt;=1,$C254=$D254,IF($E254="",0,$E254)&gt;MOD($D254-$C254,1)*24),"",ROUND(MOD($D254-$C254,1)*24-IF($E254="",0,$E254),2)))</f>
        <v/>
      </c>
      <c r="G254" s="25" t="n">
        <v>8</v>
      </c>
      <c r="H254" s="8">
        <f>IF(OR($A254="",$B254="",$F254=""),"",ROUND(IF($F$3="",0,MAX(0,$F254-$F$3))+IF($D$3="",0,MIN($F254-IF($F$3="",0,MAX(0,$F254-$F$3)),MAX(0,SUMIFS($F$5:$F$304,$A$5:$A$304,$A254&amp;"",$B$5:$B$304,"&gt;="&amp;($B254-MOD(WEEKDAY($B254)-$B$3,7)),$B$5:$B$304,"&lt;="&amp;$B254)-IF($F$3="",0,SUMIFS($F$5:$F$304,$A$5:$A$304,$A254&amp;"",$B$5:$B$304,"&gt;="&amp;($B254-MOD(WEEKDAY($B254)-$B$3,7)),$B$5:$B$304,"&lt;="&amp;$B254,$F$5:$F$304,"&gt;"&amp;$F$3)-$F$3*COUNTIFS($A$5:$A$304,$A254&amp;"",$B$5:$B$304,"&gt;="&amp;($B254-MOD(WEEKDAY($B254)-$B$3,7)),$B$5:$B$304,"&lt;="&amp;$B254,$F$5:$F$304,"&gt;"&amp;$F$3))-$D$3))),2))</f>
        <v/>
      </c>
      <c r="I254" s="26" t="n"/>
      <c r="J254" s="27">
        <f>IF(AND($A254="",$C254="",$D254=""),"",IF(OR($C254&gt;=1,$D254&gt;=1),"⚠ type the time with a colon: 9:00 AM, not 9",IF(AND($C254&lt;&gt;"",$C254=$D254),"⚠ clock-in equals clock-out: the shift adds 0 h",IF(AND($C254&lt;&gt;"",$D254&lt;&gt;"",IF($E254="",0,$E254)&gt;MOD($D254-$C254,1)*24),"⚠ the break is longer than the shift",IF(AND($A254&lt;&gt;"",COUNTIF('Monthly OT Summary'!$A$6:$A$35,$A254&amp;"")=0),"⚠ name not in Monthly OT Summary: its hours are not added","")))))</f>
        <v/>
      </c>
    </row>
    <row r="255">
      <c r="A255" s="21" t="n"/>
      <c r="B255" s="40" t="n"/>
      <c r="C255" s="41" t="n"/>
      <c r="D255" s="41" t="n"/>
      <c r="E255" s="24" t="n"/>
      <c r="F255" s="8">
        <f>IF(OR($C255="",$D255=""),"",IF(OR($C255&gt;=1,$D255&gt;=1,$C255=$D255,IF($E255="",0,$E255)&gt;MOD($D255-$C255,1)*24),"",ROUND(MOD($D255-$C255,1)*24-IF($E255="",0,$E255),2)))</f>
        <v/>
      </c>
      <c r="G255" s="25" t="n">
        <v>8</v>
      </c>
      <c r="H255" s="8">
        <f>IF(OR($A255="",$B255="",$F255=""),"",ROUND(IF($F$3="",0,MAX(0,$F255-$F$3))+IF($D$3="",0,MIN($F255-IF($F$3="",0,MAX(0,$F255-$F$3)),MAX(0,SUMIFS($F$5:$F$304,$A$5:$A$304,$A255&amp;"",$B$5:$B$304,"&gt;="&amp;($B255-MOD(WEEKDAY($B255)-$B$3,7)),$B$5:$B$304,"&lt;="&amp;$B255)-IF($F$3="",0,SUMIFS($F$5:$F$304,$A$5:$A$304,$A255&amp;"",$B$5:$B$304,"&gt;="&amp;($B255-MOD(WEEKDAY($B255)-$B$3,7)),$B$5:$B$304,"&lt;="&amp;$B255,$F$5:$F$304,"&gt;"&amp;$F$3)-$F$3*COUNTIFS($A$5:$A$304,$A255&amp;"",$B$5:$B$304,"&gt;="&amp;($B255-MOD(WEEKDAY($B255)-$B$3,7)),$B$5:$B$304,"&lt;="&amp;$B255,$F$5:$F$304,"&gt;"&amp;$F$3))-$D$3))),2))</f>
        <v/>
      </c>
      <c r="I255" s="26" t="n"/>
      <c r="J255" s="27">
        <f>IF(AND($A255="",$C255="",$D255=""),"",IF(OR($C255&gt;=1,$D255&gt;=1),"⚠ type the time with a colon: 9:00 AM, not 9",IF(AND($C255&lt;&gt;"",$C255=$D255),"⚠ clock-in equals clock-out: the shift adds 0 h",IF(AND($C255&lt;&gt;"",$D255&lt;&gt;"",IF($E255="",0,$E255)&gt;MOD($D255-$C255,1)*24),"⚠ the break is longer than the shift",IF(AND($A255&lt;&gt;"",COUNTIF('Monthly OT Summary'!$A$6:$A$35,$A255&amp;"")=0),"⚠ name not in Monthly OT Summary: its hours are not added","")))))</f>
        <v/>
      </c>
    </row>
    <row r="256">
      <c r="A256" s="21" t="n"/>
      <c r="B256" s="40" t="n"/>
      <c r="C256" s="41" t="n"/>
      <c r="D256" s="41" t="n"/>
      <c r="E256" s="24" t="n"/>
      <c r="F256" s="8">
        <f>IF(OR($C256="",$D256=""),"",IF(OR($C256&gt;=1,$D256&gt;=1,$C256=$D256,IF($E256="",0,$E256)&gt;MOD($D256-$C256,1)*24),"",ROUND(MOD($D256-$C256,1)*24-IF($E256="",0,$E256),2)))</f>
        <v/>
      </c>
      <c r="G256" s="25" t="n">
        <v>8</v>
      </c>
      <c r="H256" s="8">
        <f>IF(OR($A256="",$B256="",$F256=""),"",ROUND(IF($F$3="",0,MAX(0,$F256-$F$3))+IF($D$3="",0,MIN($F256-IF($F$3="",0,MAX(0,$F256-$F$3)),MAX(0,SUMIFS($F$5:$F$304,$A$5:$A$304,$A256&amp;"",$B$5:$B$304,"&gt;="&amp;($B256-MOD(WEEKDAY($B256)-$B$3,7)),$B$5:$B$304,"&lt;="&amp;$B256)-IF($F$3="",0,SUMIFS($F$5:$F$304,$A$5:$A$304,$A256&amp;"",$B$5:$B$304,"&gt;="&amp;($B256-MOD(WEEKDAY($B256)-$B$3,7)),$B$5:$B$304,"&lt;="&amp;$B256,$F$5:$F$304,"&gt;"&amp;$F$3)-$F$3*COUNTIFS($A$5:$A$304,$A256&amp;"",$B$5:$B$304,"&gt;="&amp;($B256-MOD(WEEKDAY($B256)-$B$3,7)),$B$5:$B$304,"&lt;="&amp;$B256,$F$5:$F$304,"&gt;"&amp;$F$3))-$D$3))),2))</f>
        <v/>
      </c>
      <c r="I256" s="26" t="n"/>
      <c r="J256" s="27">
        <f>IF(AND($A256="",$C256="",$D256=""),"",IF(OR($C256&gt;=1,$D256&gt;=1),"⚠ type the time with a colon: 9:00 AM, not 9",IF(AND($C256&lt;&gt;"",$C256=$D256),"⚠ clock-in equals clock-out: the shift adds 0 h",IF(AND($C256&lt;&gt;"",$D256&lt;&gt;"",IF($E256="",0,$E256)&gt;MOD($D256-$C256,1)*24),"⚠ the break is longer than the shift",IF(AND($A256&lt;&gt;"",COUNTIF('Monthly OT Summary'!$A$6:$A$35,$A256&amp;"")=0),"⚠ name not in Monthly OT Summary: its hours are not added","")))))</f>
        <v/>
      </c>
    </row>
    <row r="257">
      <c r="A257" s="21" t="n"/>
      <c r="B257" s="40" t="n"/>
      <c r="C257" s="41" t="n"/>
      <c r="D257" s="41" t="n"/>
      <c r="E257" s="24" t="n"/>
      <c r="F257" s="8">
        <f>IF(OR($C257="",$D257=""),"",IF(OR($C257&gt;=1,$D257&gt;=1,$C257=$D257,IF($E257="",0,$E257)&gt;MOD($D257-$C257,1)*24),"",ROUND(MOD($D257-$C257,1)*24-IF($E257="",0,$E257),2)))</f>
        <v/>
      </c>
      <c r="G257" s="25" t="n">
        <v>8</v>
      </c>
      <c r="H257" s="8">
        <f>IF(OR($A257="",$B257="",$F257=""),"",ROUND(IF($F$3="",0,MAX(0,$F257-$F$3))+IF($D$3="",0,MIN($F257-IF($F$3="",0,MAX(0,$F257-$F$3)),MAX(0,SUMIFS($F$5:$F$304,$A$5:$A$304,$A257&amp;"",$B$5:$B$304,"&gt;="&amp;($B257-MOD(WEEKDAY($B257)-$B$3,7)),$B$5:$B$304,"&lt;="&amp;$B257)-IF($F$3="",0,SUMIFS($F$5:$F$304,$A$5:$A$304,$A257&amp;"",$B$5:$B$304,"&gt;="&amp;($B257-MOD(WEEKDAY($B257)-$B$3,7)),$B$5:$B$304,"&lt;="&amp;$B257,$F$5:$F$304,"&gt;"&amp;$F$3)-$F$3*COUNTIFS($A$5:$A$304,$A257&amp;"",$B$5:$B$304,"&gt;="&amp;($B257-MOD(WEEKDAY($B257)-$B$3,7)),$B$5:$B$304,"&lt;="&amp;$B257,$F$5:$F$304,"&gt;"&amp;$F$3))-$D$3))),2))</f>
        <v/>
      </c>
      <c r="I257" s="26" t="n"/>
      <c r="J257" s="27">
        <f>IF(AND($A257="",$C257="",$D257=""),"",IF(OR($C257&gt;=1,$D257&gt;=1),"⚠ type the time with a colon: 9:00 AM, not 9",IF(AND($C257&lt;&gt;"",$C257=$D257),"⚠ clock-in equals clock-out: the shift adds 0 h",IF(AND($C257&lt;&gt;"",$D257&lt;&gt;"",IF($E257="",0,$E257)&gt;MOD($D257-$C257,1)*24),"⚠ the break is longer than the shift",IF(AND($A257&lt;&gt;"",COUNTIF('Monthly OT Summary'!$A$6:$A$35,$A257&amp;"")=0),"⚠ name not in Monthly OT Summary: its hours are not added","")))))</f>
        <v/>
      </c>
    </row>
    <row r="258">
      <c r="A258" s="21" t="n"/>
      <c r="B258" s="40" t="n"/>
      <c r="C258" s="41" t="n"/>
      <c r="D258" s="41" t="n"/>
      <c r="E258" s="24" t="n"/>
      <c r="F258" s="8">
        <f>IF(OR($C258="",$D258=""),"",IF(OR($C258&gt;=1,$D258&gt;=1,$C258=$D258,IF($E258="",0,$E258)&gt;MOD($D258-$C258,1)*24),"",ROUND(MOD($D258-$C258,1)*24-IF($E258="",0,$E258),2)))</f>
        <v/>
      </c>
      <c r="G258" s="25" t="n">
        <v>8</v>
      </c>
      <c r="H258" s="8">
        <f>IF(OR($A258="",$B258="",$F258=""),"",ROUND(IF($F$3="",0,MAX(0,$F258-$F$3))+IF($D$3="",0,MIN($F258-IF($F$3="",0,MAX(0,$F258-$F$3)),MAX(0,SUMIFS($F$5:$F$304,$A$5:$A$304,$A258&amp;"",$B$5:$B$304,"&gt;="&amp;($B258-MOD(WEEKDAY($B258)-$B$3,7)),$B$5:$B$304,"&lt;="&amp;$B258)-IF($F$3="",0,SUMIFS($F$5:$F$304,$A$5:$A$304,$A258&amp;"",$B$5:$B$304,"&gt;="&amp;($B258-MOD(WEEKDAY($B258)-$B$3,7)),$B$5:$B$304,"&lt;="&amp;$B258,$F$5:$F$304,"&gt;"&amp;$F$3)-$F$3*COUNTIFS($A$5:$A$304,$A258&amp;"",$B$5:$B$304,"&gt;="&amp;($B258-MOD(WEEKDAY($B258)-$B$3,7)),$B$5:$B$304,"&lt;="&amp;$B258,$F$5:$F$304,"&gt;"&amp;$F$3))-$D$3))),2))</f>
        <v/>
      </c>
      <c r="I258" s="26" t="n"/>
      <c r="J258" s="27">
        <f>IF(AND($A258="",$C258="",$D258=""),"",IF(OR($C258&gt;=1,$D258&gt;=1),"⚠ type the time with a colon: 9:00 AM, not 9",IF(AND($C258&lt;&gt;"",$C258=$D258),"⚠ clock-in equals clock-out: the shift adds 0 h",IF(AND($C258&lt;&gt;"",$D258&lt;&gt;"",IF($E258="",0,$E258)&gt;MOD($D258-$C258,1)*24),"⚠ the break is longer than the shift",IF(AND($A258&lt;&gt;"",COUNTIF('Monthly OT Summary'!$A$6:$A$35,$A258&amp;"")=0),"⚠ name not in Monthly OT Summary: its hours are not added","")))))</f>
        <v/>
      </c>
    </row>
    <row r="259">
      <c r="A259" s="21" t="n"/>
      <c r="B259" s="40" t="n"/>
      <c r="C259" s="41" t="n"/>
      <c r="D259" s="41" t="n"/>
      <c r="E259" s="24" t="n"/>
      <c r="F259" s="8">
        <f>IF(OR($C259="",$D259=""),"",IF(OR($C259&gt;=1,$D259&gt;=1,$C259=$D259,IF($E259="",0,$E259)&gt;MOD($D259-$C259,1)*24),"",ROUND(MOD($D259-$C259,1)*24-IF($E259="",0,$E259),2)))</f>
        <v/>
      </c>
      <c r="G259" s="25" t="n">
        <v>8</v>
      </c>
      <c r="H259" s="8">
        <f>IF(OR($A259="",$B259="",$F259=""),"",ROUND(IF($F$3="",0,MAX(0,$F259-$F$3))+IF($D$3="",0,MIN($F259-IF($F$3="",0,MAX(0,$F259-$F$3)),MAX(0,SUMIFS($F$5:$F$304,$A$5:$A$304,$A259&amp;"",$B$5:$B$304,"&gt;="&amp;($B259-MOD(WEEKDAY($B259)-$B$3,7)),$B$5:$B$304,"&lt;="&amp;$B259)-IF($F$3="",0,SUMIFS($F$5:$F$304,$A$5:$A$304,$A259&amp;"",$B$5:$B$304,"&gt;="&amp;($B259-MOD(WEEKDAY($B259)-$B$3,7)),$B$5:$B$304,"&lt;="&amp;$B259,$F$5:$F$304,"&gt;"&amp;$F$3)-$F$3*COUNTIFS($A$5:$A$304,$A259&amp;"",$B$5:$B$304,"&gt;="&amp;($B259-MOD(WEEKDAY($B259)-$B$3,7)),$B$5:$B$304,"&lt;="&amp;$B259,$F$5:$F$304,"&gt;"&amp;$F$3))-$D$3))),2))</f>
        <v/>
      </c>
      <c r="I259" s="26" t="n"/>
      <c r="J259" s="27">
        <f>IF(AND($A259="",$C259="",$D259=""),"",IF(OR($C259&gt;=1,$D259&gt;=1),"⚠ type the time with a colon: 9:00 AM, not 9",IF(AND($C259&lt;&gt;"",$C259=$D259),"⚠ clock-in equals clock-out: the shift adds 0 h",IF(AND($C259&lt;&gt;"",$D259&lt;&gt;"",IF($E259="",0,$E259)&gt;MOD($D259-$C259,1)*24),"⚠ the break is longer than the shift",IF(AND($A259&lt;&gt;"",COUNTIF('Monthly OT Summary'!$A$6:$A$35,$A259&amp;"")=0),"⚠ name not in Monthly OT Summary: its hours are not added","")))))</f>
        <v/>
      </c>
    </row>
    <row r="260">
      <c r="A260" s="21" t="n"/>
      <c r="B260" s="40" t="n"/>
      <c r="C260" s="41" t="n"/>
      <c r="D260" s="41" t="n"/>
      <c r="E260" s="24" t="n"/>
      <c r="F260" s="8">
        <f>IF(OR($C260="",$D260=""),"",IF(OR($C260&gt;=1,$D260&gt;=1,$C260=$D260,IF($E260="",0,$E260)&gt;MOD($D260-$C260,1)*24),"",ROUND(MOD($D260-$C260,1)*24-IF($E260="",0,$E260),2)))</f>
        <v/>
      </c>
      <c r="G260" s="25" t="n">
        <v>8</v>
      </c>
      <c r="H260" s="8">
        <f>IF(OR($A260="",$B260="",$F260=""),"",ROUND(IF($F$3="",0,MAX(0,$F260-$F$3))+IF($D$3="",0,MIN($F260-IF($F$3="",0,MAX(0,$F260-$F$3)),MAX(0,SUMIFS($F$5:$F$304,$A$5:$A$304,$A260&amp;"",$B$5:$B$304,"&gt;="&amp;($B260-MOD(WEEKDAY($B260)-$B$3,7)),$B$5:$B$304,"&lt;="&amp;$B260)-IF($F$3="",0,SUMIFS($F$5:$F$304,$A$5:$A$304,$A260&amp;"",$B$5:$B$304,"&gt;="&amp;($B260-MOD(WEEKDAY($B260)-$B$3,7)),$B$5:$B$304,"&lt;="&amp;$B260,$F$5:$F$304,"&gt;"&amp;$F$3)-$F$3*COUNTIFS($A$5:$A$304,$A260&amp;"",$B$5:$B$304,"&gt;="&amp;($B260-MOD(WEEKDAY($B260)-$B$3,7)),$B$5:$B$304,"&lt;="&amp;$B260,$F$5:$F$304,"&gt;"&amp;$F$3))-$D$3))),2))</f>
        <v/>
      </c>
      <c r="I260" s="26" t="n"/>
      <c r="J260" s="27">
        <f>IF(AND($A260="",$C260="",$D260=""),"",IF(OR($C260&gt;=1,$D260&gt;=1),"⚠ type the time with a colon: 9:00 AM, not 9",IF(AND($C260&lt;&gt;"",$C260=$D260),"⚠ clock-in equals clock-out: the shift adds 0 h",IF(AND($C260&lt;&gt;"",$D260&lt;&gt;"",IF($E260="",0,$E260)&gt;MOD($D260-$C260,1)*24),"⚠ the break is longer than the shift",IF(AND($A260&lt;&gt;"",COUNTIF('Monthly OT Summary'!$A$6:$A$35,$A260&amp;"")=0),"⚠ name not in Monthly OT Summary: its hours are not added","")))))</f>
        <v/>
      </c>
    </row>
    <row r="261">
      <c r="A261" s="21" t="n"/>
      <c r="B261" s="40" t="n"/>
      <c r="C261" s="41" t="n"/>
      <c r="D261" s="41" t="n"/>
      <c r="E261" s="24" t="n"/>
      <c r="F261" s="8">
        <f>IF(OR($C261="",$D261=""),"",IF(OR($C261&gt;=1,$D261&gt;=1,$C261=$D261,IF($E261="",0,$E261)&gt;MOD($D261-$C261,1)*24),"",ROUND(MOD($D261-$C261,1)*24-IF($E261="",0,$E261),2)))</f>
        <v/>
      </c>
      <c r="G261" s="25" t="n">
        <v>8</v>
      </c>
      <c r="H261" s="8">
        <f>IF(OR($A261="",$B261="",$F261=""),"",ROUND(IF($F$3="",0,MAX(0,$F261-$F$3))+IF($D$3="",0,MIN($F261-IF($F$3="",0,MAX(0,$F261-$F$3)),MAX(0,SUMIFS($F$5:$F$304,$A$5:$A$304,$A261&amp;"",$B$5:$B$304,"&gt;="&amp;($B261-MOD(WEEKDAY($B261)-$B$3,7)),$B$5:$B$304,"&lt;="&amp;$B261)-IF($F$3="",0,SUMIFS($F$5:$F$304,$A$5:$A$304,$A261&amp;"",$B$5:$B$304,"&gt;="&amp;($B261-MOD(WEEKDAY($B261)-$B$3,7)),$B$5:$B$304,"&lt;="&amp;$B261,$F$5:$F$304,"&gt;"&amp;$F$3)-$F$3*COUNTIFS($A$5:$A$304,$A261&amp;"",$B$5:$B$304,"&gt;="&amp;($B261-MOD(WEEKDAY($B261)-$B$3,7)),$B$5:$B$304,"&lt;="&amp;$B261,$F$5:$F$304,"&gt;"&amp;$F$3))-$D$3))),2))</f>
        <v/>
      </c>
      <c r="I261" s="26" t="n"/>
      <c r="J261" s="27">
        <f>IF(AND($A261="",$C261="",$D261=""),"",IF(OR($C261&gt;=1,$D261&gt;=1),"⚠ type the time with a colon: 9:00 AM, not 9",IF(AND($C261&lt;&gt;"",$C261=$D261),"⚠ clock-in equals clock-out: the shift adds 0 h",IF(AND($C261&lt;&gt;"",$D261&lt;&gt;"",IF($E261="",0,$E261)&gt;MOD($D261-$C261,1)*24),"⚠ the break is longer than the shift",IF(AND($A261&lt;&gt;"",COUNTIF('Monthly OT Summary'!$A$6:$A$35,$A261&amp;"")=0),"⚠ name not in Monthly OT Summary: its hours are not added","")))))</f>
        <v/>
      </c>
    </row>
    <row r="262">
      <c r="A262" s="21" t="n"/>
      <c r="B262" s="40" t="n"/>
      <c r="C262" s="41" t="n"/>
      <c r="D262" s="41" t="n"/>
      <c r="E262" s="24" t="n"/>
      <c r="F262" s="8">
        <f>IF(OR($C262="",$D262=""),"",IF(OR($C262&gt;=1,$D262&gt;=1,$C262=$D262,IF($E262="",0,$E262)&gt;MOD($D262-$C262,1)*24),"",ROUND(MOD($D262-$C262,1)*24-IF($E262="",0,$E262),2)))</f>
        <v/>
      </c>
      <c r="G262" s="25" t="n">
        <v>8</v>
      </c>
      <c r="H262" s="8">
        <f>IF(OR($A262="",$B262="",$F262=""),"",ROUND(IF($F$3="",0,MAX(0,$F262-$F$3))+IF($D$3="",0,MIN($F262-IF($F$3="",0,MAX(0,$F262-$F$3)),MAX(0,SUMIFS($F$5:$F$304,$A$5:$A$304,$A262&amp;"",$B$5:$B$304,"&gt;="&amp;($B262-MOD(WEEKDAY($B262)-$B$3,7)),$B$5:$B$304,"&lt;="&amp;$B262)-IF($F$3="",0,SUMIFS($F$5:$F$304,$A$5:$A$304,$A262&amp;"",$B$5:$B$304,"&gt;="&amp;($B262-MOD(WEEKDAY($B262)-$B$3,7)),$B$5:$B$304,"&lt;="&amp;$B262,$F$5:$F$304,"&gt;"&amp;$F$3)-$F$3*COUNTIFS($A$5:$A$304,$A262&amp;"",$B$5:$B$304,"&gt;="&amp;($B262-MOD(WEEKDAY($B262)-$B$3,7)),$B$5:$B$304,"&lt;="&amp;$B262,$F$5:$F$304,"&gt;"&amp;$F$3))-$D$3))),2))</f>
        <v/>
      </c>
      <c r="I262" s="26" t="n"/>
      <c r="J262" s="27">
        <f>IF(AND($A262="",$C262="",$D262=""),"",IF(OR($C262&gt;=1,$D262&gt;=1),"⚠ type the time with a colon: 9:00 AM, not 9",IF(AND($C262&lt;&gt;"",$C262=$D262),"⚠ clock-in equals clock-out: the shift adds 0 h",IF(AND($C262&lt;&gt;"",$D262&lt;&gt;"",IF($E262="",0,$E262)&gt;MOD($D262-$C262,1)*24),"⚠ the break is longer than the shift",IF(AND($A262&lt;&gt;"",COUNTIF('Monthly OT Summary'!$A$6:$A$35,$A262&amp;"")=0),"⚠ name not in Monthly OT Summary: its hours are not added","")))))</f>
        <v/>
      </c>
    </row>
    <row r="263">
      <c r="A263" s="21" t="n"/>
      <c r="B263" s="40" t="n"/>
      <c r="C263" s="41" t="n"/>
      <c r="D263" s="41" t="n"/>
      <c r="E263" s="24" t="n"/>
      <c r="F263" s="8">
        <f>IF(OR($C263="",$D263=""),"",IF(OR($C263&gt;=1,$D263&gt;=1,$C263=$D263,IF($E263="",0,$E263)&gt;MOD($D263-$C263,1)*24),"",ROUND(MOD($D263-$C263,1)*24-IF($E263="",0,$E263),2)))</f>
        <v/>
      </c>
      <c r="G263" s="25" t="n">
        <v>8</v>
      </c>
      <c r="H263" s="8">
        <f>IF(OR($A263="",$B263="",$F263=""),"",ROUND(IF($F$3="",0,MAX(0,$F263-$F$3))+IF($D$3="",0,MIN($F263-IF($F$3="",0,MAX(0,$F263-$F$3)),MAX(0,SUMIFS($F$5:$F$304,$A$5:$A$304,$A263&amp;"",$B$5:$B$304,"&gt;="&amp;($B263-MOD(WEEKDAY($B263)-$B$3,7)),$B$5:$B$304,"&lt;="&amp;$B263)-IF($F$3="",0,SUMIFS($F$5:$F$304,$A$5:$A$304,$A263&amp;"",$B$5:$B$304,"&gt;="&amp;($B263-MOD(WEEKDAY($B263)-$B$3,7)),$B$5:$B$304,"&lt;="&amp;$B263,$F$5:$F$304,"&gt;"&amp;$F$3)-$F$3*COUNTIFS($A$5:$A$304,$A263&amp;"",$B$5:$B$304,"&gt;="&amp;($B263-MOD(WEEKDAY($B263)-$B$3,7)),$B$5:$B$304,"&lt;="&amp;$B263,$F$5:$F$304,"&gt;"&amp;$F$3))-$D$3))),2))</f>
        <v/>
      </c>
      <c r="I263" s="26" t="n"/>
      <c r="J263" s="27">
        <f>IF(AND($A263="",$C263="",$D263=""),"",IF(OR($C263&gt;=1,$D263&gt;=1),"⚠ type the time with a colon: 9:00 AM, not 9",IF(AND($C263&lt;&gt;"",$C263=$D263),"⚠ clock-in equals clock-out: the shift adds 0 h",IF(AND($C263&lt;&gt;"",$D263&lt;&gt;"",IF($E263="",0,$E263)&gt;MOD($D263-$C263,1)*24),"⚠ the break is longer than the shift",IF(AND($A263&lt;&gt;"",COUNTIF('Monthly OT Summary'!$A$6:$A$35,$A263&amp;"")=0),"⚠ name not in Monthly OT Summary: its hours are not added","")))))</f>
        <v/>
      </c>
    </row>
    <row r="264">
      <c r="A264" s="21" t="n"/>
      <c r="B264" s="40" t="n"/>
      <c r="C264" s="41" t="n"/>
      <c r="D264" s="41" t="n"/>
      <c r="E264" s="24" t="n"/>
      <c r="F264" s="8">
        <f>IF(OR($C264="",$D264=""),"",IF(OR($C264&gt;=1,$D264&gt;=1,$C264=$D264,IF($E264="",0,$E264)&gt;MOD($D264-$C264,1)*24),"",ROUND(MOD($D264-$C264,1)*24-IF($E264="",0,$E264),2)))</f>
        <v/>
      </c>
      <c r="G264" s="25" t="n">
        <v>8</v>
      </c>
      <c r="H264" s="8">
        <f>IF(OR($A264="",$B264="",$F264=""),"",ROUND(IF($F$3="",0,MAX(0,$F264-$F$3))+IF($D$3="",0,MIN($F264-IF($F$3="",0,MAX(0,$F264-$F$3)),MAX(0,SUMIFS($F$5:$F$304,$A$5:$A$304,$A264&amp;"",$B$5:$B$304,"&gt;="&amp;($B264-MOD(WEEKDAY($B264)-$B$3,7)),$B$5:$B$304,"&lt;="&amp;$B264)-IF($F$3="",0,SUMIFS($F$5:$F$304,$A$5:$A$304,$A264&amp;"",$B$5:$B$304,"&gt;="&amp;($B264-MOD(WEEKDAY($B264)-$B$3,7)),$B$5:$B$304,"&lt;="&amp;$B264,$F$5:$F$304,"&gt;"&amp;$F$3)-$F$3*COUNTIFS($A$5:$A$304,$A264&amp;"",$B$5:$B$304,"&gt;="&amp;($B264-MOD(WEEKDAY($B264)-$B$3,7)),$B$5:$B$304,"&lt;="&amp;$B264,$F$5:$F$304,"&gt;"&amp;$F$3))-$D$3))),2))</f>
        <v/>
      </c>
      <c r="I264" s="26" t="n"/>
      <c r="J264" s="27">
        <f>IF(AND($A264="",$C264="",$D264=""),"",IF(OR($C264&gt;=1,$D264&gt;=1),"⚠ type the time with a colon: 9:00 AM, not 9",IF(AND($C264&lt;&gt;"",$C264=$D264),"⚠ clock-in equals clock-out: the shift adds 0 h",IF(AND($C264&lt;&gt;"",$D264&lt;&gt;"",IF($E264="",0,$E264)&gt;MOD($D264-$C264,1)*24),"⚠ the break is longer than the shift",IF(AND($A264&lt;&gt;"",COUNTIF('Monthly OT Summary'!$A$6:$A$35,$A264&amp;"")=0),"⚠ name not in Monthly OT Summary: its hours are not added","")))))</f>
        <v/>
      </c>
    </row>
    <row r="265">
      <c r="A265" s="21" t="n"/>
      <c r="B265" s="40" t="n"/>
      <c r="C265" s="41" t="n"/>
      <c r="D265" s="41" t="n"/>
      <c r="E265" s="24" t="n"/>
      <c r="F265" s="8">
        <f>IF(OR($C265="",$D265=""),"",IF(OR($C265&gt;=1,$D265&gt;=1,$C265=$D265,IF($E265="",0,$E265)&gt;MOD($D265-$C265,1)*24),"",ROUND(MOD($D265-$C265,1)*24-IF($E265="",0,$E265),2)))</f>
        <v/>
      </c>
      <c r="G265" s="25" t="n">
        <v>8</v>
      </c>
      <c r="H265" s="8">
        <f>IF(OR($A265="",$B265="",$F265=""),"",ROUND(IF($F$3="",0,MAX(0,$F265-$F$3))+IF($D$3="",0,MIN($F265-IF($F$3="",0,MAX(0,$F265-$F$3)),MAX(0,SUMIFS($F$5:$F$304,$A$5:$A$304,$A265&amp;"",$B$5:$B$304,"&gt;="&amp;($B265-MOD(WEEKDAY($B265)-$B$3,7)),$B$5:$B$304,"&lt;="&amp;$B265)-IF($F$3="",0,SUMIFS($F$5:$F$304,$A$5:$A$304,$A265&amp;"",$B$5:$B$304,"&gt;="&amp;($B265-MOD(WEEKDAY($B265)-$B$3,7)),$B$5:$B$304,"&lt;="&amp;$B265,$F$5:$F$304,"&gt;"&amp;$F$3)-$F$3*COUNTIFS($A$5:$A$304,$A265&amp;"",$B$5:$B$304,"&gt;="&amp;($B265-MOD(WEEKDAY($B265)-$B$3,7)),$B$5:$B$304,"&lt;="&amp;$B265,$F$5:$F$304,"&gt;"&amp;$F$3))-$D$3))),2))</f>
        <v/>
      </c>
      <c r="I265" s="26" t="n"/>
      <c r="J265" s="27">
        <f>IF(AND($A265="",$C265="",$D265=""),"",IF(OR($C265&gt;=1,$D265&gt;=1),"⚠ type the time with a colon: 9:00 AM, not 9",IF(AND($C265&lt;&gt;"",$C265=$D265),"⚠ clock-in equals clock-out: the shift adds 0 h",IF(AND($C265&lt;&gt;"",$D265&lt;&gt;"",IF($E265="",0,$E265)&gt;MOD($D265-$C265,1)*24),"⚠ the break is longer than the shift",IF(AND($A265&lt;&gt;"",COUNTIF('Monthly OT Summary'!$A$6:$A$35,$A265&amp;"")=0),"⚠ name not in Monthly OT Summary: its hours are not added","")))))</f>
        <v/>
      </c>
    </row>
    <row r="266">
      <c r="A266" s="21" t="n"/>
      <c r="B266" s="40" t="n"/>
      <c r="C266" s="41" t="n"/>
      <c r="D266" s="41" t="n"/>
      <c r="E266" s="24" t="n"/>
      <c r="F266" s="8">
        <f>IF(OR($C266="",$D266=""),"",IF(OR($C266&gt;=1,$D266&gt;=1,$C266=$D266,IF($E266="",0,$E266)&gt;MOD($D266-$C266,1)*24),"",ROUND(MOD($D266-$C266,1)*24-IF($E266="",0,$E266),2)))</f>
        <v/>
      </c>
      <c r="G266" s="25" t="n">
        <v>8</v>
      </c>
      <c r="H266" s="8">
        <f>IF(OR($A266="",$B266="",$F266=""),"",ROUND(IF($F$3="",0,MAX(0,$F266-$F$3))+IF($D$3="",0,MIN($F266-IF($F$3="",0,MAX(0,$F266-$F$3)),MAX(0,SUMIFS($F$5:$F$304,$A$5:$A$304,$A266&amp;"",$B$5:$B$304,"&gt;="&amp;($B266-MOD(WEEKDAY($B266)-$B$3,7)),$B$5:$B$304,"&lt;="&amp;$B266)-IF($F$3="",0,SUMIFS($F$5:$F$304,$A$5:$A$304,$A266&amp;"",$B$5:$B$304,"&gt;="&amp;($B266-MOD(WEEKDAY($B266)-$B$3,7)),$B$5:$B$304,"&lt;="&amp;$B266,$F$5:$F$304,"&gt;"&amp;$F$3)-$F$3*COUNTIFS($A$5:$A$304,$A266&amp;"",$B$5:$B$304,"&gt;="&amp;($B266-MOD(WEEKDAY($B266)-$B$3,7)),$B$5:$B$304,"&lt;="&amp;$B266,$F$5:$F$304,"&gt;"&amp;$F$3))-$D$3))),2))</f>
        <v/>
      </c>
      <c r="I266" s="26" t="n"/>
      <c r="J266" s="27">
        <f>IF(AND($A266="",$C266="",$D266=""),"",IF(OR($C266&gt;=1,$D266&gt;=1),"⚠ type the time with a colon: 9:00 AM, not 9",IF(AND($C266&lt;&gt;"",$C266=$D266),"⚠ clock-in equals clock-out: the shift adds 0 h",IF(AND($C266&lt;&gt;"",$D266&lt;&gt;"",IF($E266="",0,$E266)&gt;MOD($D266-$C266,1)*24),"⚠ the break is longer than the shift",IF(AND($A266&lt;&gt;"",COUNTIF('Monthly OT Summary'!$A$6:$A$35,$A266&amp;"")=0),"⚠ name not in Monthly OT Summary: its hours are not added","")))))</f>
        <v/>
      </c>
    </row>
    <row r="267">
      <c r="A267" s="21" t="n"/>
      <c r="B267" s="40" t="n"/>
      <c r="C267" s="41" t="n"/>
      <c r="D267" s="41" t="n"/>
      <c r="E267" s="24" t="n"/>
      <c r="F267" s="8">
        <f>IF(OR($C267="",$D267=""),"",IF(OR($C267&gt;=1,$D267&gt;=1,$C267=$D267,IF($E267="",0,$E267)&gt;MOD($D267-$C267,1)*24),"",ROUND(MOD($D267-$C267,1)*24-IF($E267="",0,$E267),2)))</f>
        <v/>
      </c>
      <c r="G267" s="25" t="n">
        <v>8</v>
      </c>
      <c r="H267" s="8">
        <f>IF(OR($A267="",$B267="",$F267=""),"",ROUND(IF($F$3="",0,MAX(0,$F267-$F$3))+IF($D$3="",0,MIN($F267-IF($F$3="",0,MAX(0,$F267-$F$3)),MAX(0,SUMIFS($F$5:$F$304,$A$5:$A$304,$A267&amp;"",$B$5:$B$304,"&gt;="&amp;($B267-MOD(WEEKDAY($B267)-$B$3,7)),$B$5:$B$304,"&lt;="&amp;$B267)-IF($F$3="",0,SUMIFS($F$5:$F$304,$A$5:$A$304,$A267&amp;"",$B$5:$B$304,"&gt;="&amp;($B267-MOD(WEEKDAY($B267)-$B$3,7)),$B$5:$B$304,"&lt;="&amp;$B267,$F$5:$F$304,"&gt;"&amp;$F$3)-$F$3*COUNTIFS($A$5:$A$304,$A267&amp;"",$B$5:$B$304,"&gt;="&amp;($B267-MOD(WEEKDAY($B267)-$B$3,7)),$B$5:$B$304,"&lt;="&amp;$B267,$F$5:$F$304,"&gt;"&amp;$F$3))-$D$3))),2))</f>
        <v/>
      </c>
      <c r="I267" s="26" t="n"/>
      <c r="J267" s="27">
        <f>IF(AND($A267="",$C267="",$D267=""),"",IF(OR($C267&gt;=1,$D267&gt;=1),"⚠ type the time with a colon: 9:00 AM, not 9",IF(AND($C267&lt;&gt;"",$C267=$D267),"⚠ clock-in equals clock-out: the shift adds 0 h",IF(AND($C267&lt;&gt;"",$D267&lt;&gt;"",IF($E267="",0,$E267)&gt;MOD($D267-$C267,1)*24),"⚠ the break is longer than the shift",IF(AND($A267&lt;&gt;"",COUNTIF('Monthly OT Summary'!$A$6:$A$35,$A267&amp;"")=0),"⚠ name not in Monthly OT Summary: its hours are not added","")))))</f>
        <v/>
      </c>
    </row>
    <row r="268">
      <c r="A268" s="21" t="n"/>
      <c r="B268" s="40" t="n"/>
      <c r="C268" s="41" t="n"/>
      <c r="D268" s="41" t="n"/>
      <c r="E268" s="24" t="n"/>
      <c r="F268" s="8">
        <f>IF(OR($C268="",$D268=""),"",IF(OR($C268&gt;=1,$D268&gt;=1,$C268=$D268,IF($E268="",0,$E268)&gt;MOD($D268-$C268,1)*24),"",ROUND(MOD($D268-$C268,1)*24-IF($E268="",0,$E268),2)))</f>
        <v/>
      </c>
      <c r="G268" s="25" t="n">
        <v>8</v>
      </c>
      <c r="H268" s="8">
        <f>IF(OR($A268="",$B268="",$F268=""),"",ROUND(IF($F$3="",0,MAX(0,$F268-$F$3))+IF($D$3="",0,MIN($F268-IF($F$3="",0,MAX(0,$F268-$F$3)),MAX(0,SUMIFS($F$5:$F$304,$A$5:$A$304,$A268&amp;"",$B$5:$B$304,"&gt;="&amp;($B268-MOD(WEEKDAY($B268)-$B$3,7)),$B$5:$B$304,"&lt;="&amp;$B268)-IF($F$3="",0,SUMIFS($F$5:$F$304,$A$5:$A$304,$A268&amp;"",$B$5:$B$304,"&gt;="&amp;($B268-MOD(WEEKDAY($B268)-$B$3,7)),$B$5:$B$304,"&lt;="&amp;$B268,$F$5:$F$304,"&gt;"&amp;$F$3)-$F$3*COUNTIFS($A$5:$A$304,$A268&amp;"",$B$5:$B$304,"&gt;="&amp;($B268-MOD(WEEKDAY($B268)-$B$3,7)),$B$5:$B$304,"&lt;="&amp;$B268,$F$5:$F$304,"&gt;"&amp;$F$3))-$D$3))),2))</f>
        <v/>
      </c>
      <c r="I268" s="26" t="n"/>
      <c r="J268" s="27">
        <f>IF(AND($A268="",$C268="",$D268=""),"",IF(OR($C268&gt;=1,$D268&gt;=1),"⚠ type the time with a colon: 9:00 AM, not 9",IF(AND($C268&lt;&gt;"",$C268=$D268),"⚠ clock-in equals clock-out: the shift adds 0 h",IF(AND($C268&lt;&gt;"",$D268&lt;&gt;"",IF($E268="",0,$E268)&gt;MOD($D268-$C268,1)*24),"⚠ the break is longer than the shift",IF(AND($A268&lt;&gt;"",COUNTIF('Monthly OT Summary'!$A$6:$A$35,$A268&amp;"")=0),"⚠ name not in Monthly OT Summary: its hours are not added","")))))</f>
        <v/>
      </c>
    </row>
    <row r="269">
      <c r="A269" s="21" t="n"/>
      <c r="B269" s="40" t="n"/>
      <c r="C269" s="41" t="n"/>
      <c r="D269" s="41" t="n"/>
      <c r="E269" s="24" t="n"/>
      <c r="F269" s="8">
        <f>IF(OR($C269="",$D269=""),"",IF(OR($C269&gt;=1,$D269&gt;=1,$C269=$D269,IF($E269="",0,$E269)&gt;MOD($D269-$C269,1)*24),"",ROUND(MOD($D269-$C269,1)*24-IF($E269="",0,$E269),2)))</f>
        <v/>
      </c>
      <c r="G269" s="25" t="n">
        <v>8</v>
      </c>
      <c r="H269" s="8">
        <f>IF(OR($A269="",$B269="",$F269=""),"",ROUND(IF($F$3="",0,MAX(0,$F269-$F$3))+IF($D$3="",0,MIN($F269-IF($F$3="",0,MAX(0,$F269-$F$3)),MAX(0,SUMIFS($F$5:$F$304,$A$5:$A$304,$A269&amp;"",$B$5:$B$304,"&gt;="&amp;($B269-MOD(WEEKDAY($B269)-$B$3,7)),$B$5:$B$304,"&lt;="&amp;$B269)-IF($F$3="",0,SUMIFS($F$5:$F$304,$A$5:$A$304,$A269&amp;"",$B$5:$B$304,"&gt;="&amp;($B269-MOD(WEEKDAY($B269)-$B$3,7)),$B$5:$B$304,"&lt;="&amp;$B269,$F$5:$F$304,"&gt;"&amp;$F$3)-$F$3*COUNTIFS($A$5:$A$304,$A269&amp;"",$B$5:$B$304,"&gt;="&amp;($B269-MOD(WEEKDAY($B269)-$B$3,7)),$B$5:$B$304,"&lt;="&amp;$B269,$F$5:$F$304,"&gt;"&amp;$F$3))-$D$3))),2))</f>
        <v/>
      </c>
      <c r="I269" s="26" t="n"/>
      <c r="J269" s="27">
        <f>IF(AND($A269="",$C269="",$D269=""),"",IF(OR($C269&gt;=1,$D269&gt;=1),"⚠ type the time with a colon: 9:00 AM, not 9",IF(AND($C269&lt;&gt;"",$C269=$D269),"⚠ clock-in equals clock-out: the shift adds 0 h",IF(AND($C269&lt;&gt;"",$D269&lt;&gt;"",IF($E269="",0,$E269)&gt;MOD($D269-$C269,1)*24),"⚠ the break is longer than the shift",IF(AND($A269&lt;&gt;"",COUNTIF('Monthly OT Summary'!$A$6:$A$35,$A269&amp;"")=0),"⚠ name not in Monthly OT Summary: its hours are not added","")))))</f>
        <v/>
      </c>
    </row>
    <row r="270">
      <c r="A270" s="21" t="n"/>
      <c r="B270" s="40" t="n"/>
      <c r="C270" s="41" t="n"/>
      <c r="D270" s="41" t="n"/>
      <c r="E270" s="24" t="n"/>
      <c r="F270" s="8">
        <f>IF(OR($C270="",$D270=""),"",IF(OR($C270&gt;=1,$D270&gt;=1,$C270=$D270,IF($E270="",0,$E270)&gt;MOD($D270-$C270,1)*24),"",ROUND(MOD($D270-$C270,1)*24-IF($E270="",0,$E270),2)))</f>
        <v/>
      </c>
      <c r="G270" s="25" t="n">
        <v>8</v>
      </c>
      <c r="H270" s="8">
        <f>IF(OR($A270="",$B270="",$F270=""),"",ROUND(IF($F$3="",0,MAX(0,$F270-$F$3))+IF($D$3="",0,MIN($F270-IF($F$3="",0,MAX(0,$F270-$F$3)),MAX(0,SUMIFS($F$5:$F$304,$A$5:$A$304,$A270&amp;"",$B$5:$B$304,"&gt;="&amp;($B270-MOD(WEEKDAY($B270)-$B$3,7)),$B$5:$B$304,"&lt;="&amp;$B270)-IF($F$3="",0,SUMIFS($F$5:$F$304,$A$5:$A$304,$A270&amp;"",$B$5:$B$304,"&gt;="&amp;($B270-MOD(WEEKDAY($B270)-$B$3,7)),$B$5:$B$304,"&lt;="&amp;$B270,$F$5:$F$304,"&gt;"&amp;$F$3)-$F$3*COUNTIFS($A$5:$A$304,$A270&amp;"",$B$5:$B$304,"&gt;="&amp;($B270-MOD(WEEKDAY($B270)-$B$3,7)),$B$5:$B$304,"&lt;="&amp;$B270,$F$5:$F$304,"&gt;"&amp;$F$3))-$D$3))),2))</f>
        <v/>
      </c>
      <c r="I270" s="26" t="n"/>
      <c r="J270" s="27">
        <f>IF(AND($A270="",$C270="",$D270=""),"",IF(OR($C270&gt;=1,$D270&gt;=1),"⚠ type the time with a colon: 9:00 AM, not 9",IF(AND($C270&lt;&gt;"",$C270=$D270),"⚠ clock-in equals clock-out: the shift adds 0 h",IF(AND($C270&lt;&gt;"",$D270&lt;&gt;"",IF($E270="",0,$E270)&gt;MOD($D270-$C270,1)*24),"⚠ the break is longer than the shift",IF(AND($A270&lt;&gt;"",COUNTIF('Monthly OT Summary'!$A$6:$A$35,$A270&amp;"")=0),"⚠ name not in Monthly OT Summary: its hours are not added","")))))</f>
        <v/>
      </c>
    </row>
    <row r="271">
      <c r="A271" s="21" t="n"/>
      <c r="B271" s="40" t="n"/>
      <c r="C271" s="41" t="n"/>
      <c r="D271" s="41" t="n"/>
      <c r="E271" s="24" t="n"/>
      <c r="F271" s="8">
        <f>IF(OR($C271="",$D271=""),"",IF(OR($C271&gt;=1,$D271&gt;=1,$C271=$D271,IF($E271="",0,$E271)&gt;MOD($D271-$C271,1)*24),"",ROUND(MOD($D271-$C271,1)*24-IF($E271="",0,$E271),2)))</f>
        <v/>
      </c>
      <c r="G271" s="25" t="n">
        <v>8</v>
      </c>
      <c r="H271" s="8">
        <f>IF(OR($A271="",$B271="",$F271=""),"",ROUND(IF($F$3="",0,MAX(0,$F271-$F$3))+IF($D$3="",0,MIN($F271-IF($F$3="",0,MAX(0,$F271-$F$3)),MAX(0,SUMIFS($F$5:$F$304,$A$5:$A$304,$A271&amp;"",$B$5:$B$304,"&gt;="&amp;($B271-MOD(WEEKDAY($B271)-$B$3,7)),$B$5:$B$304,"&lt;="&amp;$B271)-IF($F$3="",0,SUMIFS($F$5:$F$304,$A$5:$A$304,$A271&amp;"",$B$5:$B$304,"&gt;="&amp;($B271-MOD(WEEKDAY($B271)-$B$3,7)),$B$5:$B$304,"&lt;="&amp;$B271,$F$5:$F$304,"&gt;"&amp;$F$3)-$F$3*COUNTIFS($A$5:$A$304,$A271&amp;"",$B$5:$B$304,"&gt;="&amp;($B271-MOD(WEEKDAY($B271)-$B$3,7)),$B$5:$B$304,"&lt;="&amp;$B271,$F$5:$F$304,"&gt;"&amp;$F$3))-$D$3))),2))</f>
        <v/>
      </c>
      <c r="I271" s="26" t="n"/>
      <c r="J271" s="27">
        <f>IF(AND($A271="",$C271="",$D271=""),"",IF(OR($C271&gt;=1,$D271&gt;=1),"⚠ type the time with a colon: 9:00 AM, not 9",IF(AND($C271&lt;&gt;"",$C271=$D271),"⚠ clock-in equals clock-out: the shift adds 0 h",IF(AND($C271&lt;&gt;"",$D271&lt;&gt;"",IF($E271="",0,$E271)&gt;MOD($D271-$C271,1)*24),"⚠ the break is longer than the shift",IF(AND($A271&lt;&gt;"",COUNTIF('Monthly OT Summary'!$A$6:$A$35,$A271&amp;"")=0),"⚠ name not in Monthly OT Summary: its hours are not added","")))))</f>
        <v/>
      </c>
    </row>
    <row r="272">
      <c r="A272" s="21" t="n"/>
      <c r="B272" s="40" t="n"/>
      <c r="C272" s="41" t="n"/>
      <c r="D272" s="41" t="n"/>
      <c r="E272" s="24" t="n"/>
      <c r="F272" s="8">
        <f>IF(OR($C272="",$D272=""),"",IF(OR($C272&gt;=1,$D272&gt;=1,$C272=$D272,IF($E272="",0,$E272)&gt;MOD($D272-$C272,1)*24),"",ROUND(MOD($D272-$C272,1)*24-IF($E272="",0,$E272),2)))</f>
        <v/>
      </c>
      <c r="G272" s="25" t="n">
        <v>8</v>
      </c>
      <c r="H272" s="8">
        <f>IF(OR($A272="",$B272="",$F272=""),"",ROUND(IF($F$3="",0,MAX(0,$F272-$F$3))+IF($D$3="",0,MIN($F272-IF($F$3="",0,MAX(0,$F272-$F$3)),MAX(0,SUMIFS($F$5:$F$304,$A$5:$A$304,$A272&amp;"",$B$5:$B$304,"&gt;="&amp;($B272-MOD(WEEKDAY($B272)-$B$3,7)),$B$5:$B$304,"&lt;="&amp;$B272)-IF($F$3="",0,SUMIFS($F$5:$F$304,$A$5:$A$304,$A272&amp;"",$B$5:$B$304,"&gt;="&amp;($B272-MOD(WEEKDAY($B272)-$B$3,7)),$B$5:$B$304,"&lt;="&amp;$B272,$F$5:$F$304,"&gt;"&amp;$F$3)-$F$3*COUNTIFS($A$5:$A$304,$A272&amp;"",$B$5:$B$304,"&gt;="&amp;($B272-MOD(WEEKDAY($B272)-$B$3,7)),$B$5:$B$304,"&lt;="&amp;$B272,$F$5:$F$304,"&gt;"&amp;$F$3))-$D$3))),2))</f>
        <v/>
      </c>
      <c r="I272" s="26" t="n"/>
      <c r="J272" s="27">
        <f>IF(AND($A272="",$C272="",$D272=""),"",IF(OR($C272&gt;=1,$D272&gt;=1),"⚠ type the time with a colon: 9:00 AM, not 9",IF(AND($C272&lt;&gt;"",$C272=$D272),"⚠ clock-in equals clock-out: the shift adds 0 h",IF(AND($C272&lt;&gt;"",$D272&lt;&gt;"",IF($E272="",0,$E272)&gt;MOD($D272-$C272,1)*24),"⚠ the break is longer than the shift",IF(AND($A272&lt;&gt;"",COUNTIF('Monthly OT Summary'!$A$6:$A$35,$A272&amp;"")=0),"⚠ name not in Monthly OT Summary: its hours are not added","")))))</f>
        <v/>
      </c>
    </row>
    <row r="273">
      <c r="A273" s="21" t="n"/>
      <c r="B273" s="40" t="n"/>
      <c r="C273" s="41" t="n"/>
      <c r="D273" s="41" t="n"/>
      <c r="E273" s="24" t="n"/>
      <c r="F273" s="8">
        <f>IF(OR($C273="",$D273=""),"",IF(OR($C273&gt;=1,$D273&gt;=1,$C273=$D273,IF($E273="",0,$E273)&gt;MOD($D273-$C273,1)*24),"",ROUND(MOD($D273-$C273,1)*24-IF($E273="",0,$E273),2)))</f>
        <v/>
      </c>
      <c r="G273" s="25" t="n">
        <v>8</v>
      </c>
      <c r="H273" s="8">
        <f>IF(OR($A273="",$B273="",$F273=""),"",ROUND(IF($F$3="",0,MAX(0,$F273-$F$3))+IF($D$3="",0,MIN($F273-IF($F$3="",0,MAX(0,$F273-$F$3)),MAX(0,SUMIFS($F$5:$F$304,$A$5:$A$304,$A273&amp;"",$B$5:$B$304,"&gt;="&amp;($B273-MOD(WEEKDAY($B273)-$B$3,7)),$B$5:$B$304,"&lt;="&amp;$B273)-IF($F$3="",0,SUMIFS($F$5:$F$304,$A$5:$A$304,$A273&amp;"",$B$5:$B$304,"&gt;="&amp;($B273-MOD(WEEKDAY($B273)-$B$3,7)),$B$5:$B$304,"&lt;="&amp;$B273,$F$5:$F$304,"&gt;"&amp;$F$3)-$F$3*COUNTIFS($A$5:$A$304,$A273&amp;"",$B$5:$B$304,"&gt;="&amp;($B273-MOD(WEEKDAY($B273)-$B$3,7)),$B$5:$B$304,"&lt;="&amp;$B273,$F$5:$F$304,"&gt;"&amp;$F$3))-$D$3))),2))</f>
        <v/>
      </c>
      <c r="I273" s="26" t="n"/>
      <c r="J273" s="27">
        <f>IF(AND($A273="",$C273="",$D273=""),"",IF(OR($C273&gt;=1,$D273&gt;=1),"⚠ type the time with a colon: 9:00 AM, not 9",IF(AND($C273&lt;&gt;"",$C273=$D273),"⚠ clock-in equals clock-out: the shift adds 0 h",IF(AND($C273&lt;&gt;"",$D273&lt;&gt;"",IF($E273="",0,$E273)&gt;MOD($D273-$C273,1)*24),"⚠ the break is longer than the shift",IF(AND($A273&lt;&gt;"",COUNTIF('Monthly OT Summary'!$A$6:$A$35,$A273&amp;"")=0),"⚠ name not in Monthly OT Summary: its hours are not added","")))))</f>
        <v/>
      </c>
    </row>
    <row r="274">
      <c r="A274" s="21" t="n"/>
      <c r="B274" s="40" t="n"/>
      <c r="C274" s="41" t="n"/>
      <c r="D274" s="41" t="n"/>
      <c r="E274" s="24" t="n"/>
      <c r="F274" s="8">
        <f>IF(OR($C274="",$D274=""),"",IF(OR($C274&gt;=1,$D274&gt;=1,$C274=$D274,IF($E274="",0,$E274)&gt;MOD($D274-$C274,1)*24),"",ROUND(MOD($D274-$C274,1)*24-IF($E274="",0,$E274),2)))</f>
        <v/>
      </c>
      <c r="G274" s="25" t="n">
        <v>8</v>
      </c>
      <c r="H274" s="8">
        <f>IF(OR($A274="",$B274="",$F274=""),"",ROUND(IF($F$3="",0,MAX(0,$F274-$F$3))+IF($D$3="",0,MIN($F274-IF($F$3="",0,MAX(0,$F274-$F$3)),MAX(0,SUMIFS($F$5:$F$304,$A$5:$A$304,$A274&amp;"",$B$5:$B$304,"&gt;="&amp;($B274-MOD(WEEKDAY($B274)-$B$3,7)),$B$5:$B$304,"&lt;="&amp;$B274)-IF($F$3="",0,SUMIFS($F$5:$F$304,$A$5:$A$304,$A274&amp;"",$B$5:$B$304,"&gt;="&amp;($B274-MOD(WEEKDAY($B274)-$B$3,7)),$B$5:$B$304,"&lt;="&amp;$B274,$F$5:$F$304,"&gt;"&amp;$F$3)-$F$3*COUNTIFS($A$5:$A$304,$A274&amp;"",$B$5:$B$304,"&gt;="&amp;($B274-MOD(WEEKDAY($B274)-$B$3,7)),$B$5:$B$304,"&lt;="&amp;$B274,$F$5:$F$304,"&gt;"&amp;$F$3))-$D$3))),2))</f>
        <v/>
      </c>
      <c r="I274" s="26" t="n"/>
      <c r="J274" s="27">
        <f>IF(AND($A274="",$C274="",$D274=""),"",IF(OR($C274&gt;=1,$D274&gt;=1),"⚠ type the time with a colon: 9:00 AM, not 9",IF(AND($C274&lt;&gt;"",$C274=$D274),"⚠ clock-in equals clock-out: the shift adds 0 h",IF(AND($C274&lt;&gt;"",$D274&lt;&gt;"",IF($E274="",0,$E274)&gt;MOD($D274-$C274,1)*24),"⚠ the break is longer than the shift",IF(AND($A274&lt;&gt;"",COUNTIF('Monthly OT Summary'!$A$6:$A$35,$A274&amp;"")=0),"⚠ name not in Monthly OT Summary: its hours are not added","")))))</f>
        <v/>
      </c>
    </row>
    <row r="275">
      <c r="A275" s="21" t="n"/>
      <c r="B275" s="40" t="n"/>
      <c r="C275" s="41" t="n"/>
      <c r="D275" s="41" t="n"/>
      <c r="E275" s="24" t="n"/>
      <c r="F275" s="8">
        <f>IF(OR($C275="",$D275=""),"",IF(OR($C275&gt;=1,$D275&gt;=1,$C275=$D275,IF($E275="",0,$E275)&gt;MOD($D275-$C275,1)*24),"",ROUND(MOD($D275-$C275,1)*24-IF($E275="",0,$E275),2)))</f>
        <v/>
      </c>
      <c r="G275" s="25" t="n">
        <v>8</v>
      </c>
      <c r="H275" s="8">
        <f>IF(OR($A275="",$B275="",$F275=""),"",ROUND(IF($F$3="",0,MAX(0,$F275-$F$3))+IF($D$3="",0,MIN($F275-IF($F$3="",0,MAX(0,$F275-$F$3)),MAX(0,SUMIFS($F$5:$F$304,$A$5:$A$304,$A275&amp;"",$B$5:$B$304,"&gt;="&amp;($B275-MOD(WEEKDAY($B275)-$B$3,7)),$B$5:$B$304,"&lt;="&amp;$B275)-IF($F$3="",0,SUMIFS($F$5:$F$304,$A$5:$A$304,$A275&amp;"",$B$5:$B$304,"&gt;="&amp;($B275-MOD(WEEKDAY($B275)-$B$3,7)),$B$5:$B$304,"&lt;="&amp;$B275,$F$5:$F$304,"&gt;"&amp;$F$3)-$F$3*COUNTIFS($A$5:$A$304,$A275&amp;"",$B$5:$B$304,"&gt;="&amp;($B275-MOD(WEEKDAY($B275)-$B$3,7)),$B$5:$B$304,"&lt;="&amp;$B275,$F$5:$F$304,"&gt;"&amp;$F$3))-$D$3))),2))</f>
        <v/>
      </c>
      <c r="I275" s="26" t="n"/>
      <c r="J275" s="27">
        <f>IF(AND($A275="",$C275="",$D275=""),"",IF(OR($C275&gt;=1,$D275&gt;=1),"⚠ type the time with a colon: 9:00 AM, not 9",IF(AND($C275&lt;&gt;"",$C275=$D275),"⚠ clock-in equals clock-out: the shift adds 0 h",IF(AND($C275&lt;&gt;"",$D275&lt;&gt;"",IF($E275="",0,$E275)&gt;MOD($D275-$C275,1)*24),"⚠ the break is longer than the shift",IF(AND($A275&lt;&gt;"",COUNTIF('Monthly OT Summary'!$A$6:$A$35,$A275&amp;"")=0),"⚠ name not in Monthly OT Summary: its hours are not added","")))))</f>
        <v/>
      </c>
    </row>
    <row r="276">
      <c r="A276" s="21" t="n"/>
      <c r="B276" s="40" t="n"/>
      <c r="C276" s="41" t="n"/>
      <c r="D276" s="41" t="n"/>
      <c r="E276" s="24" t="n"/>
      <c r="F276" s="8">
        <f>IF(OR($C276="",$D276=""),"",IF(OR($C276&gt;=1,$D276&gt;=1,$C276=$D276,IF($E276="",0,$E276)&gt;MOD($D276-$C276,1)*24),"",ROUND(MOD($D276-$C276,1)*24-IF($E276="",0,$E276),2)))</f>
        <v/>
      </c>
      <c r="G276" s="25" t="n">
        <v>8</v>
      </c>
      <c r="H276" s="8">
        <f>IF(OR($A276="",$B276="",$F276=""),"",ROUND(IF($F$3="",0,MAX(0,$F276-$F$3))+IF($D$3="",0,MIN($F276-IF($F$3="",0,MAX(0,$F276-$F$3)),MAX(0,SUMIFS($F$5:$F$304,$A$5:$A$304,$A276&amp;"",$B$5:$B$304,"&gt;="&amp;($B276-MOD(WEEKDAY($B276)-$B$3,7)),$B$5:$B$304,"&lt;="&amp;$B276)-IF($F$3="",0,SUMIFS($F$5:$F$304,$A$5:$A$304,$A276&amp;"",$B$5:$B$304,"&gt;="&amp;($B276-MOD(WEEKDAY($B276)-$B$3,7)),$B$5:$B$304,"&lt;="&amp;$B276,$F$5:$F$304,"&gt;"&amp;$F$3)-$F$3*COUNTIFS($A$5:$A$304,$A276&amp;"",$B$5:$B$304,"&gt;="&amp;($B276-MOD(WEEKDAY($B276)-$B$3,7)),$B$5:$B$304,"&lt;="&amp;$B276,$F$5:$F$304,"&gt;"&amp;$F$3))-$D$3))),2))</f>
        <v/>
      </c>
      <c r="I276" s="26" t="n"/>
      <c r="J276" s="27">
        <f>IF(AND($A276="",$C276="",$D276=""),"",IF(OR($C276&gt;=1,$D276&gt;=1),"⚠ type the time with a colon: 9:00 AM, not 9",IF(AND($C276&lt;&gt;"",$C276=$D276),"⚠ clock-in equals clock-out: the shift adds 0 h",IF(AND($C276&lt;&gt;"",$D276&lt;&gt;"",IF($E276="",0,$E276)&gt;MOD($D276-$C276,1)*24),"⚠ the break is longer than the shift",IF(AND($A276&lt;&gt;"",COUNTIF('Monthly OT Summary'!$A$6:$A$35,$A276&amp;"")=0),"⚠ name not in Monthly OT Summary: its hours are not added","")))))</f>
        <v/>
      </c>
    </row>
    <row r="277">
      <c r="A277" s="21" t="n"/>
      <c r="B277" s="40" t="n"/>
      <c r="C277" s="41" t="n"/>
      <c r="D277" s="41" t="n"/>
      <c r="E277" s="24" t="n"/>
      <c r="F277" s="8">
        <f>IF(OR($C277="",$D277=""),"",IF(OR($C277&gt;=1,$D277&gt;=1,$C277=$D277,IF($E277="",0,$E277)&gt;MOD($D277-$C277,1)*24),"",ROUND(MOD($D277-$C277,1)*24-IF($E277="",0,$E277),2)))</f>
        <v/>
      </c>
      <c r="G277" s="25" t="n">
        <v>8</v>
      </c>
      <c r="H277" s="8">
        <f>IF(OR($A277="",$B277="",$F277=""),"",ROUND(IF($F$3="",0,MAX(0,$F277-$F$3))+IF($D$3="",0,MIN($F277-IF($F$3="",0,MAX(0,$F277-$F$3)),MAX(0,SUMIFS($F$5:$F$304,$A$5:$A$304,$A277&amp;"",$B$5:$B$304,"&gt;="&amp;($B277-MOD(WEEKDAY($B277)-$B$3,7)),$B$5:$B$304,"&lt;="&amp;$B277)-IF($F$3="",0,SUMIFS($F$5:$F$304,$A$5:$A$304,$A277&amp;"",$B$5:$B$304,"&gt;="&amp;($B277-MOD(WEEKDAY($B277)-$B$3,7)),$B$5:$B$304,"&lt;="&amp;$B277,$F$5:$F$304,"&gt;"&amp;$F$3)-$F$3*COUNTIFS($A$5:$A$304,$A277&amp;"",$B$5:$B$304,"&gt;="&amp;($B277-MOD(WEEKDAY($B277)-$B$3,7)),$B$5:$B$304,"&lt;="&amp;$B277,$F$5:$F$304,"&gt;"&amp;$F$3))-$D$3))),2))</f>
        <v/>
      </c>
      <c r="I277" s="26" t="n"/>
      <c r="J277" s="27">
        <f>IF(AND($A277="",$C277="",$D277=""),"",IF(OR($C277&gt;=1,$D277&gt;=1),"⚠ type the time with a colon: 9:00 AM, not 9",IF(AND($C277&lt;&gt;"",$C277=$D277),"⚠ clock-in equals clock-out: the shift adds 0 h",IF(AND($C277&lt;&gt;"",$D277&lt;&gt;"",IF($E277="",0,$E277)&gt;MOD($D277-$C277,1)*24),"⚠ the break is longer than the shift",IF(AND($A277&lt;&gt;"",COUNTIF('Monthly OT Summary'!$A$6:$A$35,$A277&amp;"")=0),"⚠ name not in Monthly OT Summary: its hours are not added","")))))</f>
        <v/>
      </c>
    </row>
    <row r="278">
      <c r="A278" s="21" t="n"/>
      <c r="B278" s="40" t="n"/>
      <c r="C278" s="41" t="n"/>
      <c r="D278" s="41" t="n"/>
      <c r="E278" s="24" t="n"/>
      <c r="F278" s="8">
        <f>IF(OR($C278="",$D278=""),"",IF(OR($C278&gt;=1,$D278&gt;=1,$C278=$D278,IF($E278="",0,$E278)&gt;MOD($D278-$C278,1)*24),"",ROUND(MOD($D278-$C278,1)*24-IF($E278="",0,$E278),2)))</f>
        <v/>
      </c>
      <c r="G278" s="25" t="n">
        <v>8</v>
      </c>
      <c r="H278" s="8">
        <f>IF(OR($A278="",$B278="",$F278=""),"",ROUND(IF($F$3="",0,MAX(0,$F278-$F$3))+IF($D$3="",0,MIN($F278-IF($F$3="",0,MAX(0,$F278-$F$3)),MAX(0,SUMIFS($F$5:$F$304,$A$5:$A$304,$A278&amp;"",$B$5:$B$304,"&gt;="&amp;($B278-MOD(WEEKDAY($B278)-$B$3,7)),$B$5:$B$304,"&lt;="&amp;$B278)-IF($F$3="",0,SUMIFS($F$5:$F$304,$A$5:$A$304,$A278&amp;"",$B$5:$B$304,"&gt;="&amp;($B278-MOD(WEEKDAY($B278)-$B$3,7)),$B$5:$B$304,"&lt;="&amp;$B278,$F$5:$F$304,"&gt;"&amp;$F$3)-$F$3*COUNTIFS($A$5:$A$304,$A278&amp;"",$B$5:$B$304,"&gt;="&amp;($B278-MOD(WEEKDAY($B278)-$B$3,7)),$B$5:$B$304,"&lt;="&amp;$B278,$F$5:$F$304,"&gt;"&amp;$F$3))-$D$3))),2))</f>
        <v/>
      </c>
      <c r="I278" s="26" t="n"/>
      <c r="J278" s="27">
        <f>IF(AND($A278="",$C278="",$D278=""),"",IF(OR($C278&gt;=1,$D278&gt;=1),"⚠ type the time with a colon: 9:00 AM, not 9",IF(AND($C278&lt;&gt;"",$C278=$D278),"⚠ clock-in equals clock-out: the shift adds 0 h",IF(AND($C278&lt;&gt;"",$D278&lt;&gt;"",IF($E278="",0,$E278)&gt;MOD($D278-$C278,1)*24),"⚠ the break is longer than the shift",IF(AND($A278&lt;&gt;"",COUNTIF('Monthly OT Summary'!$A$6:$A$35,$A278&amp;"")=0),"⚠ name not in Monthly OT Summary: its hours are not added","")))))</f>
        <v/>
      </c>
    </row>
    <row r="279">
      <c r="A279" s="21" t="n"/>
      <c r="B279" s="40" t="n"/>
      <c r="C279" s="41" t="n"/>
      <c r="D279" s="41" t="n"/>
      <c r="E279" s="24" t="n"/>
      <c r="F279" s="8">
        <f>IF(OR($C279="",$D279=""),"",IF(OR($C279&gt;=1,$D279&gt;=1,$C279=$D279,IF($E279="",0,$E279)&gt;MOD($D279-$C279,1)*24),"",ROUND(MOD($D279-$C279,1)*24-IF($E279="",0,$E279),2)))</f>
        <v/>
      </c>
      <c r="G279" s="25" t="n">
        <v>8</v>
      </c>
      <c r="H279" s="8">
        <f>IF(OR($A279="",$B279="",$F279=""),"",ROUND(IF($F$3="",0,MAX(0,$F279-$F$3))+IF($D$3="",0,MIN($F279-IF($F$3="",0,MAX(0,$F279-$F$3)),MAX(0,SUMIFS($F$5:$F$304,$A$5:$A$304,$A279&amp;"",$B$5:$B$304,"&gt;="&amp;($B279-MOD(WEEKDAY($B279)-$B$3,7)),$B$5:$B$304,"&lt;="&amp;$B279)-IF($F$3="",0,SUMIFS($F$5:$F$304,$A$5:$A$304,$A279&amp;"",$B$5:$B$304,"&gt;="&amp;($B279-MOD(WEEKDAY($B279)-$B$3,7)),$B$5:$B$304,"&lt;="&amp;$B279,$F$5:$F$304,"&gt;"&amp;$F$3)-$F$3*COUNTIFS($A$5:$A$304,$A279&amp;"",$B$5:$B$304,"&gt;="&amp;($B279-MOD(WEEKDAY($B279)-$B$3,7)),$B$5:$B$304,"&lt;="&amp;$B279,$F$5:$F$304,"&gt;"&amp;$F$3))-$D$3))),2))</f>
        <v/>
      </c>
      <c r="I279" s="26" t="n"/>
      <c r="J279" s="27">
        <f>IF(AND($A279="",$C279="",$D279=""),"",IF(OR($C279&gt;=1,$D279&gt;=1),"⚠ type the time with a colon: 9:00 AM, not 9",IF(AND($C279&lt;&gt;"",$C279=$D279),"⚠ clock-in equals clock-out: the shift adds 0 h",IF(AND($C279&lt;&gt;"",$D279&lt;&gt;"",IF($E279="",0,$E279)&gt;MOD($D279-$C279,1)*24),"⚠ the break is longer than the shift",IF(AND($A279&lt;&gt;"",COUNTIF('Monthly OT Summary'!$A$6:$A$35,$A279&amp;"")=0),"⚠ name not in Monthly OT Summary: its hours are not added","")))))</f>
        <v/>
      </c>
    </row>
    <row r="280">
      <c r="A280" s="21" t="n"/>
      <c r="B280" s="40" t="n"/>
      <c r="C280" s="41" t="n"/>
      <c r="D280" s="41" t="n"/>
      <c r="E280" s="24" t="n"/>
      <c r="F280" s="8">
        <f>IF(OR($C280="",$D280=""),"",IF(OR($C280&gt;=1,$D280&gt;=1,$C280=$D280,IF($E280="",0,$E280)&gt;MOD($D280-$C280,1)*24),"",ROUND(MOD($D280-$C280,1)*24-IF($E280="",0,$E280),2)))</f>
        <v/>
      </c>
      <c r="G280" s="25" t="n">
        <v>8</v>
      </c>
      <c r="H280" s="8">
        <f>IF(OR($A280="",$B280="",$F280=""),"",ROUND(IF($F$3="",0,MAX(0,$F280-$F$3))+IF($D$3="",0,MIN($F280-IF($F$3="",0,MAX(0,$F280-$F$3)),MAX(0,SUMIFS($F$5:$F$304,$A$5:$A$304,$A280&amp;"",$B$5:$B$304,"&gt;="&amp;($B280-MOD(WEEKDAY($B280)-$B$3,7)),$B$5:$B$304,"&lt;="&amp;$B280)-IF($F$3="",0,SUMIFS($F$5:$F$304,$A$5:$A$304,$A280&amp;"",$B$5:$B$304,"&gt;="&amp;($B280-MOD(WEEKDAY($B280)-$B$3,7)),$B$5:$B$304,"&lt;="&amp;$B280,$F$5:$F$304,"&gt;"&amp;$F$3)-$F$3*COUNTIFS($A$5:$A$304,$A280&amp;"",$B$5:$B$304,"&gt;="&amp;($B280-MOD(WEEKDAY($B280)-$B$3,7)),$B$5:$B$304,"&lt;="&amp;$B280,$F$5:$F$304,"&gt;"&amp;$F$3))-$D$3))),2))</f>
        <v/>
      </c>
      <c r="I280" s="26" t="n"/>
      <c r="J280" s="27">
        <f>IF(AND($A280="",$C280="",$D280=""),"",IF(OR($C280&gt;=1,$D280&gt;=1),"⚠ type the time with a colon: 9:00 AM, not 9",IF(AND($C280&lt;&gt;"",$C280=$D280),"⚠ clock-in equals clock-out: the shift adds 0 h",IF(AND($C280&lt;&gt;"",$D280&lt;&gt;"",IF($E280="",0,$E280)&gt;MOD($D280-$C280,1)*24),"⚠ the break is longer than the shift",IF(AND($A280&lt;&gt;"",COUNTIF('Monthly OT Summary'!$A$6:$A$35,$A280&amp;"")=0),"⚠ name not in Monthly OT Summary: its hours are not added","")))))</f>
        <v/>
      </c>
    </row>
    <row r="281">
      <c r="A281" s="21" t="n"/>
      <c r="B281" s="40" t="n"/>
      <c r="C281" s="41" t="n"/>
      <c r="D281" s="41" t="n"/>
      <c r="E281" s="24" t="n"/>
      <c r="F281" s="8">
        <f>IF(OR($C281="",$D281=""),"",IF(OR($C281&gt;=1,$D281&gt;=1,$C281=$D281,IF($E281="",0,$E281)&gt;MOD($D281-$C281,1)*24),"",ROUND(MOD($D281-$C281,1)*24-IF($E281="",0,$E281),2)))</f>
        <v/>
      </c>
      <c r="G281" s="25" t="n">
        <v>8</v>
      </c>
      <c r="H281" s="8">
        <f>IF(OR($A281="",$B281="",$F281=""),"",ROUND(IF($F$3="",0,MAX(0,$F281-$F$3))+IF($D$3="",0,MIN($F281-IF($F$3="",0,MAX(0,$F281-$F$3)),MAX(0,SUMIFS($F$5:$F$304,$A$5:$A$304,$A281&amp;"",$B$5:$B$304,"&gt;="&amp;($B281-MOD(WEEKDAY($B281)-$B$3,7)),$B$5:$B$304,"&lt;="&amp;$B281)-IF($F$3="",0,SUMIFS($F$5:$F$304,$A$5:$A$304,$A281&amp;"",$B$5:$B$304,"&gt;="&amp;($B281-MOD(WEEKDAY($B281)-$B$3,7)),$B$5:$B$304,"&lt;="&amp;$B281,$F$5:$F$304,"&gt;"&amp;$F$3)-$F$3*COUNTIFS($A$5:$A$304,$A281&amp;"",$B$5:$B$304,"&gt;="&amp;($B281-MOD(WEEKDAY($B281)-$B$3,7)),$B$5:$B$304,"&lt;="&amp;$B281,$F$5:$F$304,"&gt;"&amp;$F$3))-$D$3))),2))</f>
        <v/>
      </c>
      <c r="I281" s="26" t="n"/>
      <c r="J281" s="27">
        <f>IF(AND($A281="",$C281="",$D281=""),"",IF(OR($C281&gt;=1,$D281&gt;=1),"⚠ type the time with a colon: 9:00 AM, not 9",IF(AND($C281&lt;&gt;"",$C281=$D281),"⚠ clock-in equals clock-out: the shift adds 0 h",IF(AND($C281&lt;&gt;"",$D281&lt;&gt;"",IF($E281="",0,$E281)&gt;MOD($D281-$C281,1)*24),"⚠ the break is longer than the shift",IF(AND($A281&lt;&gt;"",COUNTIF('Monthly OT Summary'!$A$6:$A$35,$A281&amp;"")=0),"⚠ name not in Monthly OT Summary: its hours are not added","")))))</f>
        <v/>
      </c>
    </row>
    <row r="282">
      <c r="A282" s="21" t="n"/>
      <c r="B282" s="40" t="n"/>
      <c r="C282" s="41" t="n"/>
      <c r="D282" s="41" t="n"/>
      <c r="E282" s="24" t="n"/>
      <c r="F282" s="8">
        <f>IF(OR($C282="",$D282=""),"",IF(OR($C282&gt;=1,$D282&gt;=1,$C282=$D282,IF($E282="",0,$E282)&gt;MOD($D282-$C282,1)*24),"",ROUND(MOD($D282-$C282,1)*24-IF($E282="",0,$E282),2)))</f>
        <v/>
      </c>
      <c r="G282" s="25" t="n">
        <v>8</v>
      </c>
      <c r="H282" s="8">
        <f>IF(OR($A282="",$B282="",$F282=""),"",ROUND(IF($F$3="",0,MAX(0,$F282-$F$3))+IF($D$3="",0,MIN($F282-IF($F$3="",0,MAX(0,$F282-$F$3)),MAX(0,SUMIFS($F$5:$F$304,$A$5:$A$304,$A282&amp;"",$B$5:$B$304,"&gt;="&amp;($B282-MOD(WEEKDAY($B282)-$B$3,7)),$B$5:$B$304,"&lt;="&amp;$B282)-IF($F$3="",0,SUMIFS($F$5:$F$304,$A$5:$A$304,$A282&amp;"",$B$5:$B$304,"&gt;="&amp;($B282-MOD(WEEKDAY($B282)-$B$3,7)),$B$5:$B$304,"&lt;="&amp;$B282,$F$5:$F$304,"&gt;"&amp;$F$3)-$F$3*COUNTIFS($A$5:$A$304,$A282&amp;"",$B$5:$B$304,"&gt;="&amp;($B282-MOD(WEEKDAY($B282)-$B$3,7)),$B$5:$B$304,"&lt;="&amp;$B282,$F$5:$F$304,"&gt;"&amp;$F$3))-$D$3))),2))</f>
        <v/>
      </c>
      <c r="I282" s="26" t="n"/>
      <c r="J282" s="27">
        <f>IF(AND($A282="",$C282="",$D282=""),"",IF(OR($C282&gt;=1,$D282&gt;=1),"⚠ type the time with a colon: 9:00 AM, not 9",IF(AND($C282&lt;&gt;"",$C282=$D282),"⚠ clock-in equals clock-out: the shift adds 0 h",IF(AND($C282&lt;&gt;"",$D282&lt;&gt;"",IF($E282="",0,$E282)&gt;MOD($D282-$C282,1)*24),"⚠ the break is longer than the shift",IF(AND($A282&lt;&gt;"",COUNTIF('Monthly OT Summary'!$A$6:$A$35,$A282&amp;"")=0),"⚠ name not in Monthly OT Summary: its hours are not added","")))))</f>
        <v/>
      </c>
    </row>
    <row r="283">
      <c r="A283" s="21" t="n"/>
      <c r="B283" s="40" t="n"/>
      <c r="C283" s="41" t="n"/>
      <c r="D283" s="41" t="n"/>
      <c r="E283" s="24" t="n"/>
      <c r="F283" s="8">
        <f>IF(OR($C283="",$D283=""),"",IF(OR($C283&gt;=1,$D283&gt;=1,$C283=$D283,IF($E283="",0,$E283)&gt;MOD($D283-$C283,1)*24),"",ROUND(MOD($D283-$C283,1)*24-IF($E283="",0,$E283),2)))</f>
        <v/>
      </c>
      <c r="G283" s="25" t="n">
        <v>8</v>
      </c>
      <c r="H283" s="8">
        <f>IF(OR($A283="",$B283="",$F283=""),"",ROUND(IF($F$3="",0,MAX(0,$F283-$F$3))+IF($D$3="",0,MIN($F283-IF($F$3="",0,MAX(0,$F283-$F$3)),MAX(0,SUMIFS($F$5:$F$304,$A$5:$A$304,$A283&amp;"",$B$5:$B$304,"&gt;="&amp;($B283-MOD(WEEKDAY($B283)-$B$3,7)),$B$5:$B$304,"&lt;="&amp;$B283)-IF($F$3="",0,SUMIFS($F$5:$F$304,$A$5:$A$304,$A283&amp;"",$B$5:$B$304,"&gt;="&amp;($B283-MOD(WEEKDAY($B283)-$B$3,7)),$B$5:$B$304,"&lt;="&amp;$B283,$F$5:$F$304,"&gt;"&amp;$F$3)-$F$3*COUNTIFS($A$5:$A$304,$A283&amp;"",$B$5:$B$304,"&gt;="&amp;($B283-MOD(WEEKDAY($B283)-$B$3,7)),$B$5:$B$304,"&lt;="&amp;$B283,$F$5:$F$304,"&gt;"&amp;$F$3))-$D$3))),2))</f>
        <v/>
      </c>
      <c r="I283" s="26" t="n"/>
      <c r="J283" s="27">
        <f>IF(AND($A283="",$C283="",$D283=""),"",IF(OR($C283&gt;=1,$D283&gt;=1),"⚠ type the time with a colon: 9:00 AM, not 9",IF(AND($C283&lt;&gt;"",$C283=$D283),"⚠ clock-in equals clock-out: the shift adds 0 h",IF(AND($C283&lt;&gt;"",$D283&lt;&gt;"",IF($E283="",0,$E283)&gt;MOD($D283-$C283,1)*24),"⚠ the break is longer than the shift",IF(AND($A283&lt;&gt;"",COUNTIF('Monthly OT Summary'!$A$6:$A$35,$A283&amp;"")=0),"⚠ name not in Monthly OT Summary: its hours are not added","")))))</f>
        <v/>
      </c>
    </row>
    <row r="284">
      <c r="A284" s="21" t="n"/>
      <c r="B284" s="40" t="n"/>
      <c r="C284" s="41" t="n"/>
      <c r="D284" s="41" t="n"/>
      <c r="E284" s="24" t="n"/>
      <c r="F284" s="8">
        <f>IF(OR($C284="",$D284=""),"",IF(OR($C284&gt;=1,$D284&gt;=1,$C284=$D284,IF($E284="",0,$E284)&gt;MOD($D284-$C284,1)*24),"",ROUND(MOD($D284-$C284,1)*24-IF($E284="",0,$E284),2)))</f>
        <v/>
      </c>
      <c r="G284" s="25" t="n">
        <v>8</v>
      </c>
      <c r="H284" s="8">
        <f>IF(OR($A284="",$B284="",$F284=""),"",ROUND(IF($F$3="",0,MAX(0,$F284-$F$3))+IF($D$3="",0,MIN($F284-IF($F$3="",0,MAX(0,$F284-$F$3)),MAX(0,SUMIFS($F$5:$F$304,$A$5:$A$304,$A284&amp;"",$B$5:$B$304,"&gt;="&amp;($B284-MOD(WEEKDAY($B284)-$B$3,7)),$B$5:$B$304,"&lt;="&amp;$B284)-IF($F$3="",0,SUMIFS($F$5:$F$304,$A$5:$A$304,$A284&amp;"",$B$5:$B$304,"&gt;="&amp;($B284-MOD(WEEKDAY($B284)-$B$3,7)),$B$5:$B$304,"&lt;="&amp;$B284,$F$5:$F$304,"&gt;"&amp;$F$3)-$F$3*COUNTIFS($A$5:$A$304,$A284&amp;"",$B$5:$B$304,"&gt;="&amp;($B284-MOD(WEEKDAY($B284)-$B$3,7)),$B$5:$B$304,"&lt;="&amp;$B284,$F$5:$F$304,"&gt;"&amp;$F$3))-$D$3))),2))</f>
        <v/>
      </c>
      <c r="I284" s="26" t="n"/>
      <c r="J284" s="27">
        <f>IF(AND($A284="",$C284="",$D284=""),"",IF(OR($C284&gt;=1,$D284&gt;=1),"⚠ type the time with a colon: 9:00 AM, not 9",IF(AND($C284&lt;&gt;"",$C284=$D284),"⚠ clock-in equals clock-out: the shift adds 0 h",IF(AND($C284&lt;&gt;"",$D284&lt;&gt;"",IF($E284="",0,$E284)&gt;MOD($D284-$C284,1)*24),"⚠ the break is longer than the shift",IF(AND($A284&lt;&gt;"",COUNTIF('Monthly OT Summary'!$A$6:$A$35,$A284&amp;"")=0),"⚠ name not in Monthly OT Summary: its hours are not added","")))))</f>
        <v/>
      </c>
    </row>
    <row r="285">
      <c r="A285" s="21" t="n"/>
      <c r="B285" s="40" t="n"/>
      <c r="C285" s="41" t="n"/>
      <c r="D285" s="41" t="n"/>
      <c r="E285" s="24" t="n"/>
      <c r="F285" s="8">
        <f>IF(OR($C285="",$D285=""),"",IF(OR($C285&gt;=1,$D285&gt;=1,$C285=$D285,IF($E285="",0,$E285)&gt;MOD($D285-$C285,1)*24),"",ROUND(MOD($D285-$C285,1)*24-IF($E285="",0,$E285),2)))</f>
        <v/>
      </c>
      <c r="G285" s="25" t="n">
        <v>8</v>
      </c>
      <c r="H285" s="8">
        <f>IF(OR($A285="",$B285="",$F285=""),"",ROUND(IF($F$3="",0,MAX(0,$F285-$F$3))+IF($D$3="",0,MIN($F285-IF($F$3="",0,MAX(0,$F285-$F$3)),MAX(0,SUMIFS($F$5:$F$304,$A$5:$A$304,$A285&amp;"",$B$5:$B$304,"&gt;="&amp;($B285-MOD(WEEKDAY($B285)-$B$3,7)),$B$5:$B$304,"&lt;="&amp;$B285)-IF($F$3="",0,SUMIFS($F$5:$F$304,$A$5:$A$304,$A285&amp;"",$B$5:$B$304,"&gt;="&amp;($B285-MOD(WEEKDAY($B285)-$B$3,7)),$B$5:$B$304,"&lt;="&amp;$B285,$F$5:$F$304,"&gt;"&amp;$F$3)-$F$3*COUNTIFS($A$5:$A$304,$A285&amp;"",$B$5:$B$304,"&gt;="&amp;($B285-MOD(WEEKDAY($B285)-$B$3,7)),$B$5:$B$304,"&lt;="&amp;$B285,$F$5:$F$304,"&gt;"&amp;$F$3))-$D$3))),2))</f>
        <v/>
      </c>
      <c r="I285" s="26" t="n"/>
      <c r="J285" s="27">
        <f>IF(AND($A285="",$C285="",$D285=""),"",IF(OR($C285&gt;=1,$D285&gt;=1),"⚠ type the time with a colon: 9:00 AM, not 9",IF(AND($C285&lt;&gt;"",$C285=$D285),"⚠ clock-in equals clock-out: the shift adds 0 h",IF(AND($C285&lt;&gt;"",$D285&lt;&gt;"",IF($E285="",0,$E285)&gt;MOD($D285-$C285,1)*24),"⚠ the break is longer than the shift",IF(AND($A285&lt;&gt;"",COUNTIF('Monthly OT Summary'!$A$6:$A$35,$A285&amp;"")=0),"⚠ name not in Monthly OT Summary: its hours are not added","")))))</f>
        <v/>
      </c>
    </row>
    <row r="286">
      <c r="A286" s="21" t="n"/>
      <c r="B286" s="40" t="n"/>
      <c r="C286" s="41" t="n"/>
      <c r="D286" s="41" t="n"/>
      <c r="E286" s="24" t="n"/>
      <c r="F286" s="8">
        <f>IF(OR($C286="",$D286=""),"",IF(OR($C286&gt;=1,$D286&gt;=1,$C286=$D286,IF($E286="",0,$E286)&gt;MOD($D286-$C286,1)*24),"",ROUND(MOD($D286-$C286,1)*24-IF($E286="",0,$E286),2)))</f>
        <v/>
      </c>
      <c r="G286" s="25" t="n">
        <v>8</v>
      </c>
      <c r="H286" s="8">
        <f>IF(OR($A286="",$B286="",$F286=""),"",ROUND(IF($F$3="",0,MAX(0,$F286-$F$3))+IF($D$3="",0,MIN($F286-IF($F$3="",0,MAX(0,$F286-$F$3)),MAX(0,SUMIFS($F$5:$F$304,$A$5:$A$304,$A286&amp;"",$B$5:$B$304,"&gt;="&amp;($B286-MOD(WEEKDAY($B286)-$B$3,7)),$B$5:$B$304,"&lt;="&amp;$B286)-IF($F$3="",0,SUMIFS($F$5:$F$304,$A$5:$A$304,$A286&amp;"",$B$5:$B$304,"&gt;="&amp;($B286-MOD(WEEKDAY($B286)-$B$3,7)),$B$5:$B$304,"&lt;="&amp;$B286,$F$5:$F$304,"&gt;"&amp;$F$3)-$F$3*COUNTIFS($A$5:$A$304,$A286&amp;"",$B$5:$B$304,"&gt;="&amp;($B286-MOD(WEEKDAY($B286)-$B$3,7)),$B$5:$B$304,"&lt;="&amp;$B286,$F$5:$F$304,"&gt;"&amp;$F$3))-$D$3))),2))</f>
        <v/>
      </c>
      <c r="I286" s="26" t="n"/>
      <c r="J286" s="27">
        <f>IF(AND($A286="",$C286="",$D286=""),"",IF(OR($C286&gt;=1,$D286&gt;=1),"⚠ type the time with a colon: 9:00 AM, not 9",IF(AND($C286&lt;&gt;"",$C286=$D286),"⚠ clock-in equals clock-out: the shift adds 0 h",IF(AND($C286&lt;&gt;"",$D286&lt;&gt;"",IF($E286="",0,$E286)&gt;MOD($D286-$C286,1)*24),"⚠ the break is longer than the shift",IF(AND($A286&lt;&gt;"",COUNTIF('Monthly OT Summary'!$A$6:$A$35,$A286&amp;"")=0),"⚠ name not in Monthly OT Summary: its hours are not added","")))))</f>
        <v/>
      </c>
    </row>
    <row r="287">
      <c r="A287" s="21" t="n"/>
      <c r="B287" s="40" t="n"/>
      <c r="C287" s="41" t="n"/>
      <c r="D287" s="41" t="n"/>
      <c r="E287" s="24" t="n"/>
      <c r="F287" s="8">
        <f>IF(OR($C287="",$D287=""),"",IF(OR($C287&gt;=1,$D287&gt;=1,$C287=$D287,IF($E287="",0,$E287)&gt;MOD($D287-$C287,1)*24),"",ROUND(MOD($D287-$C287,1)*24-IF($E287="",0,$E287),2)))</f>
        <v/>
      </c>
      <c r="G287" s="25" t="n">
        <v>8</v>
      </c>
      <c r="H287" s="8">
        <f>IF(OR($A287="",$B287="",$F287=""),"",ROUND(IF($F$3="",0,MAX(0,$F287-$F$3))+IF($D$3="",0,MIN($F287-IF($F$3="",0,MAX(0,$F287-$F$3)),MAX(0,SUMIFS($F$5:$F$304,$A$5:$A$304,$A287&amp;"",$B$5:$B$304,"&gt;="&amp;($B287-MOD(WEEKDAY($B287)-$B$3,7)),$B$5:$B$304,"&lt;="&amp;$B287)-IF($F$3="",0,SUMIFS($F$5:$F$304,$A$5:$A$304,$A287&amp;"",$B$5:$B$304,"&gt;="&amp;($B287-MOD(WEEKDAY($B287)-$B$3,7)),$B$5:$B$304,"&lt;="&amp;$B287,$F$5:$F$304,"&gt;"&amp;$F$3)-$F$3*COUNTIFS($A$5:$A$304,$A287&amp;"",$B$5:$B$304,"&gt;="&amp;($B287-MOD(WEEKDAY($B287)-$B$3,7)),$B$5:$B$304,"&lt;="&amp;$B287,$F$5:$F$304,"&gt;"&amp;$F$3))-$D$3))),2))</f>
        <v/>
      </c>
      <c r="I287" s="26" t="n"/>
      <c r="J287" s="27">
        <f>IF(AND($A287="",$C287="",$D287=""),"",IF(OR($C287&gt;=1,$D287&gt;=1),"⚠ type the time with a colon: 9:00 AM, not 9",IF(AND($C287&lt;&gt;"",$C287=$D287),"⚠ clock-in equals clock-out: the shift adds 0 h",IF(AND($C287&lt;&gt;"",$D287&lt;&gt;"",IF($E287="",0,$E287)&gt;MOD($D287-$C287,1)*24),"⚠ the break is longer than the shift",IF(AND($A287&lt;&gt;"",COUNTIF('Monthly OT Summary'!$A$6:$A$35,$A287&amp;"")=0),"⚠ name not in Monthly OT Summary: its hours are not added","")))))</f>
        <v/>
      </c>
    </row>
    <row r="288">
      <c r="A288" s="21" t="n"/>
      <c r="B288" s="40" t="n"/>
      <c r="C288" s="41" t="n"/>
      <c r="D288" s="41" t="n"/>
      <c r="E288" s="24" t="n"/>
      <c r="F288" s="8">
        <f>IF(OR($C288="",$D288=""),"",IF(OR($C288&gt;=1,$D288&gt;=1,$C288=$D288,IF($E288="",0,$E288)&gt;MOD($D288-$C288,1)*24),"",ROUND(MOD($D288-$C288,1)*24-IF($E288="",0,$E288),2)))</f>
        <v/>
      </c>
      <c r="G288" s="25" t="n">
        <v>8</v>
      </c>
      <c r="H288" s="8">
        <f>IF(OR($A288="",$B288="",$F288=""),"",ROUND(IF($F$3="",0,MAX(0,$F288-$F$3))+IF($D$3="",0,MIN($F288-IF($F$3="",0,MAX(0,$F288-$F$3)),MAX(0,SUMIFS($F$5:$F$304,$A$5:$A$304,$A288&amp;"",$B$5:$B$304,"&gt;="&amp;($B288-MOD(WEEKDAY($B288)-$B$3,7)),$B$5:$B$304,"&lt;="&amp;$B288)-IF($F$3="",0,SUMIFS($F$5:$F$304,$A$5:$A$304,$A288&amp;"",$B$5:$B$304,"&gt;="&amp;($B288-MOD(WEEKDAY($B288)-$B$3,7)),$B$5:$B$304,"&lt;="&amp;$B288,$F$5:$F$304,"&gt;"&amp;$F$3)-$F$3*COUNTIFS($A$5:$A$304,$A288&amp;"",$B$5:$B$304,"&gt;="&amp;($B288-MOD(WEEKDAY($B288)-$B$3,7)),$B$5:$B$304,"&lt;="&amp;$B288,$F$5:$F$304,"&gt;"&amp;$F$3))-$D$3))),2))</f>
        <v/>
      </c>
      <c r="I288" s="26" t="n"/>
      <c r="J288" s="27">
        <f>IF(AND($A288="",$C288="",$D288=""),"",IF(OR($C288&gt;=1,$D288&gt;=1),"⚠ type the time with a colon: 9:00 AM, not 9",IF(AND($C288&lt;&gt;"",$C288=$D288),"⚠ clock-in equals clock-out: the shift adds 0 h",IF(AND($C288&lt;&gt;"",$D288&lt;&gt;"",IF($E288="",0,$E288)&gt;MOD($D288-$C288,1)*24),"⚠ the break is longer than the shift",IF(AND($A288&lt;&gt;"",COUNTIF('Monthly OT Summary'!$A$6:$A$35,$A288&amp;"")=0),"⚠ name not in Monthly OT Summary: its hours are not added","")))))</f>
        <v/>
      </c>
    </row>
    <row r="289">
      <c r="A289" s="21" t="n"/>
      <c r="B289" s="40" t="n"/>
      <c r="C289" s="41" t="n"/>
      <c r="D289" s="41" t="n"/>
      <c r="E289" s="24" t="n"/>
      <c r="F289" s="8">
        <f>IF(OR($C289="",$D289=""),"",IF(OR($C289&gt;=1,$D289&gt;=1,$C289=$D289,IF($E289="",0,$E289)&gt;MOD($D289-$C289,1)*24),"",ROUND(MOD($D289-$C289,1)*24-IF($E289="",0,$E289),2)))</f>
        <v/>
      </c>
      <c r="G289" s="25" t="n">
        <v>8</v>
      </c>
      <c r="H289" s="8">
        <f>IF(OR($A289="",$B289="",$F289=""),"",ROUND(IF($F$3="",0,MAX(0,$F289-$F$3))+IF($D$3="",0,MIN($F289-IF($F$3="",0,MAX(0,$F289-$F$3)),MAX(0,SUMIFS($F$5:$F$304,$A$5:$A$304,$A289&amp;"",$B$5:$B$304,"&gt;="&amp;($B289-MOD(WEEKDAY($B289)-$B$3,7)),$B$5:$B$304,"&lt;="&amp;$B289)-IF($F$3="",0,SUMIFS($F$5:$F$304,$A$5:$A$304,$A289&amp;"",$B$5:$B$304,"&gt;="&amp;($B289-MOD(WEEKDAY($B289)-$B$3,7)),$B$5:$B$304,"&lt;="&amp;$B289,$F$5:$F$304,"&gt;"&amp;$F$3)-$F$3*COUNTIFS($A$5:$A$304,$A289&amp;"",$B$5:$B$304,"&gt;="&amp;($B289-MOD(WEEKDAY($B289)-$B$3,7)),$B$5:$B$304,"&lt;="&amp;$B289,$F$5:$F$304,"&gt;"&amp;$F$3))-$D$3))),2))</f>
        <v/>
      </c>
      <c r="I289" s="26" t="n"/>
      <c r="J289" s="27">
        <f>IF(AND($A289="",$C289="",$D289=""),"",IF(OR($C289&gt;=1,$D289&gt;=1),"⚠ type the time with a colon: 9:00 AM, not 9",IF(AND($C289&lt;&gt;"",$C289=$D289),"⚠ clock-in equals clock-out: the shift adds 0 h",IF(AND($C289&lt;&gt;"",$D289&lt;&gt;"",IF($E289="",0,$E289)&gt;MOD($D289-$C289,1)*24),"⚠ the break is longer than the shift",IF(AND($A289&lt;&gt;"",COUNTIF('Monthly OT Summary'!$A$6:$A$35,$A289&amp;"")=0),"⚠ name not in Monthly OT Summary: its hours are not added","")))))</f>
        <v/>
      </c>
    </row>
    <row r="290">
      <c r="A290" s="21" t="n"/>
      <c r="B290" s="40" t="n"/>
      <c r="C290" s="41" t="n"/>
      <c r="D290" s="41" t="n"/>
      <c r="E290" s="24" t="n"/>
      <c r="F290" s="8">
        <f>IF(OR($C290="",$D290=""),"",IF(OR($C290&gt;=1,$D290&gt;=1,$C290=$D290,IF($E290="",0,$E290)&gt;MOD($D290-$C290,1)*24),"",ROUND(MOD($D290-$C290,1)*24-IF($E290="",0,$E290),2)))</f>
        <v/>
      </c>
      <c r="G290" s="25" t="n">
        <v>8</v>
      </c>
      <c r="H290" s="8">
        <f>IF(OR($A290="",$B290="",$F290=""),"",ROUND(IF($F$3="",0,MAX(0,$F290-$F$3))+IF($D$3="",0,MIN($F290-IF($F$3="",0,MAX(0,$F290-$F$3)),MAX(0,SUMIFS($F$5:$F$304,$A$5:$A$304,$A290&amp;"",$B$5:$B$304,"&gt;="&amp;($B290-MOD(WEEKDAY($B290)-$B$3,7)),$B$5:$B$304,"&lt;="&amp;$B290)-IF($F$3="",0,SUMIFS($F$5:$F$304,$A$5:$A$304,$A290&amp;"",$B$5:$B$304,"&gt;="&amp;($B290-MOD(WEEKDAY($B290)-$B$3,7)),$B$5:$B$304,"&lt;="&amp;$B290,$F$5:$F$304,"&gt;"&amp;$F$3)-$F$3*COUNTIFS($A$5:$A$304,$A290&amp;"",$B$5:$B$304,"&gt;="&amp;($B290-MOD(WEEKDAY($B290)-$B$3,7)),$B$5:$B$304,"&lt;="&amp;$B290,$F$5:$F$304,"&gt;"&amp;$F$3))-$D$3))),2))</f>
        <v/>
      </c>
      <c r="I290" s="26" t="n"/>
      <c r="J290" s="27">
        <f>IF(AND($A290="",$C290="",$D290=""),"",IF(OR($C290&gt;=1,$D290&gt;=1),"⚠ type the time with a colon: 9:00 AM, not 9",IF(AND($C290&lt;&gt;"",$C290=$D290),"⚠ clock-in equals clock-out: the shift adds 0 h",IF(AND($C290&lt;&gt;"",$D290&lt;&gt;"",IF($E290="",0,$E290)&gt;MOD($D290-$C290,1)*24),"⚠ the break is longer than the shift",IF(AND($A290&lt;&gt;"",COUNTIF('Monthly OT Summary'!$A$6:$A$35,$A290&amp;"")=0),"⚠ name not in Monthly OT Summary: its hours are not added","")))))</f>
        <v/>
      </c>
    </row>
    <row r="291">
      <c r="A291" s="21" t="n"/>
      <c r="B291" s="40" t="n"/>
      <c r="C291" s="41" t="n"/>
      <c r="D291" s="41" t="n"/>
      <c r="E291" s="24" t="n"/>
      <c r="F291" s="8">
        <f>IF(OR($C291="",$D291=""),"",IF(OR($C291&gt;=1,$D291&gt;=1,$C291=$D291,IF($E291="",0,$E291)&gt;MOD($D291-$C291,1)*24),"",ROUND(MOD($D291-$C291,1)*24-IF($E291="",0,$E291),2)))</f>
        <v/>
      </c>
      <c r="G291" s="25" t="n">
        <v>8</v>
      </c>
      <c r="H291" s="8">
        <f>IF(OR($A291="",$B291="",$F291=""),"",ROUND(IF($F$3="",0,MAX(0,$F291-$F$3))+IF($D$3="",0,MIN($F291-IF($F$3="",0,MAX(0,$F291-$F$3)),MAX(0,SUMIFS($F$5:$F$304,$A$5:$A$304,$A291&amp;"",$B$5:$B$304,"&gt;="&amp;($B291-MOD(WEEKDAY($B291)-$B$3,7)),$B$5:$B$304,"&lt;="&amp;$B291)-IF($F$3="",0,SUMIFS($F$5:$F$304,$A$5:$A$304,$A291&amp;"",$B$5:$B$304,"&gt;="&amp;($B291-MOD(WEEKDAY($B291)-$B$3,7)),$B$5:$B$304,"&lt;="&amp;$B291,$F$5:$F$304,"&gt;"&amp;$F$3)-$F$3*COUNTIFS($A$5:$A$304,$A291&amp;"",$B$5:$B$304,"&gt;="&amp;($B291-MOD(WEEKDAY($B291)-$B$3,7)),$B$5:$B$304,"&lt;="&amp;$B291,$F$5:$F$304,"&gt;"&amp;$F$3))-$D$3))),2))</f>
        <v/>
      </c>
      <c r="I291" s="26" t="n"/>
      <c r="J291" s="27">
        <f>IF(AND($A291="",$C291="",$D291=""),"",IF(OR($C291&gt;=1,$D291&gt;=1),"⚠ type the time with a colon: 9:00 AM, not 9",IF(AND($C291&lt;&gt;"",$C291=$D291),"⚠ clock-in equals clock-out: the shift adds 0 h",IF(AND($C291&lt;&gt;"",$D291&lt;&gt;"",IF($E291="",0,$E291)&gt;MOD($D291-$C291,1)*24),"⚠ the break is longer than the shift",IF(AND($A291&lt;&gt;"",COUNTIF('Monthly OT Summary'!$A$6:$A$35,$A291&amp;"")=0),"⚠ name not in Monthly OT Summary: its hours are not added","")))))</f>
        <v/>
      </c>
    </row>
    <row r="292">
      <c r="A292" s="21" t="n"/>
      <c r="B292" s="40" t="n"/>
      <c r="C292" s="41" t="n"/>
      <c r="D292" s="41" t="n"/>
      <c r="E292" s="24" t="n"/>
      <c r="F292" s="8">
        <f>IF(OR($C292="",$D292=""),"",IF(OR($C292&gt;=1,$D292&gt;=1,$C292=$D292,IF($E292="",0,$E292)&gt;MOD($D292-$C292,1)*24),"",ROUND(MOD($D292-$C292,1)*24-IF($E292="",0,$E292),2)))</f>
        <v/>
      </c>
      <c r="G292" s="25" t="n">
        <v>8</v>
      </c>
      <c r="H292" s="8">
        <f>IF(OR($A292="",$B292="",$F292=""),"",ROUND(IF($F$3="",0,MAX(0,$F292-$F$3))+IF($D$3="",0,MIN($F292-IF($F$3="",0,MAX(0,$F292-$F$3)),MAX(0,SUMIFS($F$5:$F$304,$A$5:$A$304,$A292&amp;"",$B$5:$B$304,"&gt;="&amp;($B292-MOD(WEEKDAY($B292)-$B$3,7)),$B$5:$B$304,"&lt;="&amp;$B292)-IF($F$3="",0,SUMIFS($F$5:$F$304,$A$5:$A$304,$A292&amp;"",$B$5:$B$304,"&gt;="&amp;($B292-MOD(WEEKDAY($B292)-$B$3,7)),$B$5:$B$304,"&lt;="&amp;$B292,$F$5:$F$304,"&gt;"&amp;$F$3)-$F$3*COUNTIFS($A$5:$A$304,$A292&amp;"",$B$5:$B$304,"&gt;="&amp;($B292-MOD(WEEKDAY($B292)-$B$3,7)),$B$5:$B$304,"&lt;="&amp;$B292,$F$5:$F$304,"&gt;"&amp;$F$3))-$D$3))),2))</f>
        <v/>
      </c>
      <c r="I292" s="26" t="n"/>
      <c r="J292" s="27">
        <f>IF(AND($A292="",$C292="",$D292=""),"",IF(OR($C292&gt;=1,$D292&gt;=1),"⚠ type the time with a colon: 9:00 AM, not 9",IF(AND($C292&lt;&gt;"",$C292=$D292),"⚠ clock-in equals clock-out: the shift adds 0 h",IF(AND($C292&lt;&gt;"",$D292&lt;&gt;"",IF($E292="",0,$E292)&gt;MOD($D292-$C292,1)*24),"⚠ the break is longer than the shift",IF(AND($A292&lt;&gt;"",COUNTIF('Monthly OT Summary'!$A$6:$A$35,$A292&amp;"")=0),"⚠ name not in Monthly OT Summary: its hours are not added","")))))</f>
        <v/>
      </c>
    </row>
    <row r="293">
      <c r="A293" s="21" t="n"/>
      <c r="B293" s="40" t="n"/>
      <c r="C293" s="41" t="n"/>
      <c r="D293" s="41" t="n"/>
      <c r="E293" s="24" t="n"/>
      <c r="F293" s="8">
        <f>IF(OR($C293="",$D293=""),"",IF(OR($C293&gt;=1,$D293&gt;=1,$C293=$D293,IF($E293="",0,$E293)&gt;MOD($D293-$C293,1)*24),"",ROUND(MOD($D293-$C293,1)*24-IF($E293="",0,$E293),2)))</f>
        <v/>
      </c>
      <c r="G293" s="25" t="n">
        <v>8</v>
      </c>
      <c r="H293" s="8">
        <f>IF(OR($A293="",$B293="",$F293=""),"",ROUND(IF($F$3="",0,MAX(0,$F293-$F$3))+IF($D$3="",0,MIN($F293-IF($F$3="",0,MAX(0,$F293-$F$3)),MAX(0,SUMIFS($F$5:$F$304,$A$5:$A$304,$A293&amp;"",$B$5:$B$304,"&gt;="&amp;($B293-MOD(WEEKDAY($B293)-$B$3,7)),$B$5:$B$304,"&lt;="&amp;$B293)-IF($F$3="",0,SUMIFS($F$5:$F$304,$A$5:$A$304,$A293&amp;"",$B$5:$B$304,"&gt;="&amp;($B293-MOD(WEEKDAY($B293)-$B$3,7)),$B$5:$B$304,"&lt;="&amp;$B293,$F$5:$F$304,"&gt;"&amp;$F$3)-$F$3*COUNTIFS($A$5:$A$304,$A293&amp;"",$B$5:$B$304,"&gt;="&amp;($B293-MOD(WEEKDAY($B293)-$B$3,7)),$B$5:$B$304,"&lt;="&amp;$B293,$F$5:$F$304,"&gt;"&amp;$F$3))-$D$3))),2))</f>
        <v/>
      </c>
      <c r="I293" s="26" t="n"/>
      <c r="J293" s="27">
        <f>IF(AND($A293="",$C293="",$D293=""),"",IF(OR($C293&gt;=1,$D293&gt;=1),"⚠ type the time with a colon: 9:00 AM, not 9",IF(AND($C293&lt;&gt;"",$C293=$D293),"⚠ clock-in equals clock-out: the shift adds 0 h",IF(AND($C293&lt;&gt;"",$D293&lt;&gt;"",IF($E293="",0,$E293)&gt;MOD($D293-$C293,1)*24),"⚠ the break is longer than the shift",IF(AND($A293&lt;&gt;"",COUNTIF('Monthly OT Summary'!$A$6:$A$35,$A293&amp;"")=0),"⚠ name not in Monthly OT Summary: its hours are not added","")))))</f>
        <v/>
      </c>
    </row>
    <row r="294">
      <c r="A294" s="21" t="n"/>
      <c r="B294" s="40" t="n"/>
      <c r="C294" s="41" t="n"/>
      <c r="D294" s="41" t="n"/>
      <c r="E294" s="24" t="n"/>
      <c r="F294" s="8">
        <f>IF(OR($C294="",$D294=""),"",IF(OR($C294&gt;=1,$D294&gt;=1,$C294=$D294,IF($E294="",0,$E294)&gt;MOD($D294-$C294,1)*24),"",ROUND(MOD($D294-$C294,1)*24-IF($E294="",0,$E294),2)))</f>
        <v/>
      </c>
      <c r="G294" s="25" t="n">
        <v>8</v>
      </c>
      <c r="H294" s="8">
        <f>IF(OR($A294="",$B294="",$F294=""),"",ROUND(IF($F$3="",0,MAX(0,$F294-$F$3))+IF($D$3="",0,MIN($F294-IF($F$3="",0,MAX(0,$F294-$F$3)),MAX(0,SUMIFS($F$5:$F$304,$A$5:$A$304,$A294&amp;"",$B$5:$B$304,"&gt;="&amp;($B294-MOD(WEEKDAY($B294)-$B$3,7)),$B$5:$B$304,"&lt;="&amp;$B294)-IF($F$3="",0,SUMIFS($F$5:$F$304,$A$5:$A$304,$A294&amp;"",$B$5:$B$304,"&gt;="&amp;($B294-MOD(WEEKDAY($B294)-$B$3,7)),$B$5:$B$304,"&lt;="&amp;$B294,$F$5:$F$304,"&gt;"&amp;$F$3)-$F$3*COUNTIFS($A$5:$A$304,$A294&amp;"",$B$5:$B$304,"&gt;="&amp;($B294-MOD(WEEKDAY($B294)-$B$3,7)),$B$5:$B$304,"&lt;="&amp;$B294,$F$5:$F$304,"&gt;"&amp;$F$3))-$D$3))),2))</f>
        <v/>
      </c>
      <c r="I294" s="26" t="n"/>
      <c r="J294" s="27">
        <f>IF(AND($A294="",$C294="",$D294=""),"",IF(OR($C294&gt;=1,$D294&gt;=1),"⚠ type the time with a colon: 9:00 AM, not 9",IF(AND($C294&lt;&gt;"",$C294=$D294),"⚠ clock-in equals clock-out: the shift adds 0 h",IF(AND($C294&lt;&gt;"",$D294&lt;&gt;"",IF($E294="",0,$E294)&gt;MOD($D294-$C294,1)*24),"⚠ the break is longer than the shift",IF(AND($A294&lt;&gt;"",COUNTIF('Monthly OT Summary'!$A$6:$A$35,$A294&amp;"")=0),"⚠ name not in Monthly OT Summary: its hours are not added","")))))</f>
        <v/>
      </c>
    </row>
    <row r="295">
      <c r="A295" s="21" t="n"/>
      <c r="B295" s="40" t="n"/>
      <c r="C295" s="41" t="n"/>
      <c r="D295" s="41" t="n"/>
      <c r="E295" s="24" t="n"/>
      <c r="F295" s="8">
        <f>IF(OR($C295="",$D295=""),"",IF(OR($C295&gt;=1,$D295&gt;=1,$C295=$D295,IF($E295="",0,$E295)&gt;MOD($D295-$C295,1)*24),"",ROUND(MOD($D295-$C295,1)*24-IF($E295="",0,$E295),2)))</f>
        <v/>
      </c>
      <c r="G295" s="25" t="n">
        <v>8</v>
      </c>
      <c r="H295" s="8">
        <f>IF(OR($A295="",$B295="",$F295=""),"",ROUND(IF($F$3="",0,MAX(0,$F295-$F$3))+IF($D$3="",0,MIN($F295-IF($F$3="",0,MAX(0,$F295-$F$3)),MAX(0,SUMIFS($F$5:$F$304,$A$5:$A$304,$A295&amp;"",$B$5:$B$304,"&gt;="&amp;($B295-MOD(WEEKDAY($B295)-$B$3,7)),$B$5:$B$304,"&lt;="&amp;$B295)-IF($F$3="",0,SUMIFS($F$5:$F$304,$A$5:$A$304,$A295&amp;"",$B$5:$B$304,"&gt;="&amp;($B295-MOD(WEEKDAY($B295)-$B$3,7)),$B$5:$B$304,"&lt;="&amp;$B295,$F$5:$F$304,"&gt;"&amp;$F$3)-$F$3*COUNTIFS($A$5:$A$304,$A295&amp;"",$B$5:$B$304,"&gt;="&amp;($B295-MOD(WEEKDAY($B295)-$B$3,7)),$B$5:$B$304,"&lt;="&amp;$B295,$F$5:$F$304,"&gt;"&amp;$F$3))-$D$3))),2))</f>
        <v/>
      </c>
      <c r="I295" s="26" t="n"/>
      <c r="J295" s="27">
        <f>IF(AND($A295="",$C295="",$D295=""),"",IF(OR($C295&gt;=1,$D295&gt;=1),"⚠ type the time with a colon: 9:00 AM, not 9",IF(AND($C295&lt;&gt;"",$C295=$D295),"⚠ clock-in equals clock-out: the shift adds 0 h",IF(AND($C295&lt;&gt;"",$D295&lt;&gt;"",IF($E295="",0,$E295)&gt;MOD($D295-$C295,1)*24),"⚠ the break is longer than the shift",IF(AND($A295&lt;&gt;"",COUNTIF('Monthly OT Summary'!$A$6:$A$35,$A295&amp;"")=0),"⚠ name not in Monthly OT Summary: its hours are not added","")))))</f>
        <v/>
      </c>
    </row>
    <row r="296">
      <c r="A296" s="21" t="n"/>
      <c r="B296" s="40" t="n"/>
      <c r="C296" s="41" t="n"/>
      <c r="D296" s="41" t="n"/>
      <c r="E296" s="24" t="n"/>
      <c r="F296" s="8">
        <f>IF(OR($C296="",$D296=""),"",IF(OR($C296&gt;=1,$D296&gt;=1,$C296=$D296,IF($E296="",0,$E296)&gt;MOD($D296-$C296,1)*24),"",ROUND(MOD($D296-$C296,1)*24-IF($E296="",0,$E296),2)))</f>
        <v/>
      </c>
      <c r="G296" s="25" t="n">
        <v>8</v>
      </c>
      <c r="H296" s="8">
        <f>IF(OR($A296="",$B296="",$F296=""),"",ROUND(IF($F$3="",0,MAX(0,$F296-$F$3))+IF($D$3="",0,MIN($F296-IF($F$3="",0,MAX(0,$F296-$F$3)),MAX(0,SUMIFS($F$5:$F$304,$A$5:$A$304,$A296&amp;"",$B$5:$B$304,"&gt;="&amp;($B296-MOD(WEEKDAY($B296)-$B$3,7)),$B$5:$B$304,"&lt;="&amp;$B296)-IF($F$3="",0,SUMIFS($F$5:$F$304,$A$5:$A$304,$A296&amp;"",$B$5:$B$304,"&gt;="&amp;($B296-MOD(WEEKDAY($B296)-$B$3,7)),$B$5:$B$304,"&lt;="&amp;$B296,$F$5:$F$304,"&gt;"&amp;$F$3)-$F$3*COUNTIFS($A$5:$A$304,$A296&amp;"",$B$5:$B$304,"&gt;="&amp;($B296-MOD(WEEKDAY($B296)-$B$3,7)),$B$5:$B$304,"&lt;="&amp;$B296,$F$5:$F$304,"&gt;"&amp;$F$3))-$D$3))),2))</f>
        <v/>
      </c>
      <c r="I296" s="26" t="n"/>
      <c r="J296" s="27">
        <f>IF(AND($A296="",$C296="",$D296=""),"",IF(OR($C296&gt;=1,$D296&gt;=1),"⚠ type the time with a colon: 9:00 AM, not 9",IF(AND($C296&lt;&gt;"",$C296=$D296),"⚠ clock-in equals clock-out: the shift adds 0 h",IF(AND($C296&lt;&gt;"",$D296&lt;&gt;"",IF($E296="",0,$E296)&gt;MOD($D296-$C296,1)*24),"⚠ the break is longer than the shift",IF(AND($A296&lt;&gt;"",COUNTIF('Monthly OT Summary'!$A$6:$A$35,$A296&amp;"")=0),"⚠ name not in Monthly OT Summary: its hours are not added","")))))</f>
        <v/>
      </c>
    </row>
    <row r="297">
      <c r="A297" s="21" t="n"/>
      <c r="B297" s="40" t="n"/>
      <c r="C297" s="41" t="n"/>
      <c r="D297" s="41" t="n"/>
      <c r="E297" s="24" t="n"/>
      <c r="F297" s="8">
        <f>IF(OR($C297="",$D297=""),"",IF(OR($C297&gt;=1,$D297&gt;=1,$C297=$D297,IF($E297="",0,$E297)&gt;MOD($D297-$C297,1)*24),"",ROUND(MOD($D297-$C297,1)*24-IF($E297="",0,$E297),2)))</f>
        <v/>
      </c>
      <c r="G297" s="25" t="n">
        <v>8</v>
      </c>
      <c r="H297" s="8">
        <f>IF(OR($A297="",$B297="",$F297=""),"",ROUND(IF($F$3="",0,MAX(0,$F297-$F$3))+IF($D$3="",0,MIN($F297-IF($F$3="",0,MAX(0,$F297-$F$3)),MAX(0,SUMIFS($F$5:$F$304,$A$5:$A$304,$A297&amp;"",$B$5:$B$304,"&gt;="&amp;($B297-MOD(WEEKDAY($B297)-$B$3,7)),$B$5:$B$304,"&lt;="&amp;$B297)-IF($F$3="",0,SUMIFS($F$5:$F$304,$A$5:$A$304,$A297&amp;"",$B$5:$B$304,"&gt;="&amp;($B297-MOD(WEEKDAY($B297)-$B$3,7)),$B$5:$B$304,"&lt;="&amp;$B297,$F$5:$F$304,"&gt;"&amp;$F$3)-$F$3*COUNTIFS($A$5:$A$304,$A297&amp;"",$B$5:$B$304,"&gt;="&amp;($B297-MOD(WEEKDAY($B297)-$B$3,7)),$B$5:$B$304,"&lt;="&amp;$B297,$F$5:$F$304,"&gt;"&amp;$F$3))-$D$3))),2))</f>
        <v/>
      </c>
      <c r="I297" s="26" t="n"/>
      <c r="J297" s="27">
        <f>IF(AND($A297="",$C297="",$D297=""),"",IF(OR($C297&gt;=1,$D297&gt;=1),"⚠ type the time with a colon: 9:00 AM, not 9",IF(AND($C297&lt;&gt;"",$C297=$D297),"⚠ clock-in equals clock-out: the shift adds 0 h",IF(AND($C297&lt;&gt;"",$D297&lt;&gt;"",IF($E297="",0,$E297)&gt;MOD($D297-$C297,1)*24),"⚠ the break is longer than the shift",IF(AND($A297&lt;&gt;"",COUNTIF('Monthly OT Summary'!$A$6:$A$35,$A297&amp;"")=0),"⚠ name not in Monthly OT Summary: its hours are not added","")))))</f>
        <v/>
      </c>
    </row>
    <row r="298">
      <c r="A298" s="21" t="n"/>
      <c r="B298" s="40" t="n"/>
      <c r="C298" s="41" t="n"/>
      <c r="D298" s="41" t="n"/>
      <c r="E298" s="24" t="n"/>
      <c r="F298" s="8">
        <f>IF(OR($C298="",$D298=""),"",IF(OR($C298&gt;=1,$D298&gt;=1,$C298=$D298,IF($E298="",0,$E298)&gt;MOD($D298-$C298,1)*24),"",ROUND(MOD($D298-$C298,1)*24-IF($E298="",0,$E298),2)))</f>
        <v/>
      </c>
      <c r="G298" s="25" t="n">
        <v>8</v>
      </c>
      <c r="H298" s="8">
        <f>IF(OR($A298="",$B298="",$F298=""),"",ROUND(IF($F$3="",0,MAX(0,$F298-$F$3))+IF($D$3="",0,MIN($F298-IF($F$3="",0,MAX(0,$F298-$F$3)),MAX(0,SUMIFS($F$5:$F$304,$A$5:$A$304,$A298&amp;"",$B$5:$B$304,"&gt;="&amp;($B298-MOD(WEEKDAY($B298)-$B$3,7)),$B$5:$B$304,"&lt;="&amp;$B298)-IF($F$3="",0,SUMIFS($F$5:$F$304,$A$5:$A$304,$A298&amp;"",$B$5:$B$304,"&gt;="&amp;($B298-MOD(WEEKDAY($B298)-$B$3,7)),$B$5:$B$304,"&lt;="&amp;$B298,$F$5:$F$304,"&gt;"&amp;$F$3)-$F$3*COUNTIFS($A$5:$A$304,$A298&amp;"",$B$5:$B$304,"&gt;="&amp;($B298-MOD(WEEKDAY($B298)-$B$3,7)),$B$5:$B$304,"&lt;="&amp;$B298,$F$5:$F$304,"&gt;"&amp;$F$3))-$D$3))),2))</f>
        <v/>
      </c>
      <c r="I298" s="26" t="n"/>
      <c r="J298" s="27">
        <f>IF(AND($A298="",$C298="",$D298=""),"",IF(OR($C298&gt;=1,$D298&gt;=1),"⚠ type the time with a colon: 9:00 AM, not 9",IF(AND($C298&lt;&gt;"",$C298=$D298),"⚠ clock-in equals clock-out: the shift adds 0 h",IF(AND($C298&lt;&gt;"",$D298&lt;&gt;"",IF($E298="",0,$E298)&gt;MOD($D298-$C298,1)*24),"⚠ the break is longer than the shift",IF(AND($A298&lt;&gt;"",COUNTIF('Monthly OT Summary'!$A$6:$A$35,$A298&amp;"")=0),"⚠ name not in Monthly OT Summary: its hours are not added","")))))</f>
        <v/>
      </c>
    </row>
    <row r="299">
      <c r="A299" s="21" t="n"/>
      <c r="B299" s="40" t="n"/>
      <c r="C299" s="41" t="n"/>
      <c r="D299" s="41" t="n"/>
      <c r="E299" s="24" t="n"/>
      <c r="F299" s="8">
        <f>IF(OR($C299="",$D299=""),"",IF(OR($C299&gt;=1,$D299&gt;=1,$C299=$D299,IF($E299="",0,$E299)&gt;MOD($D299-$C299,1)*24),"",ROUND(MOD($D299-$C299,1)*24-IF($E299="",0,$E299),2)))</f>
        <v/>
      </c>
      <c r="G299" s="25" t="n">
        <v>8</v>
      </c>
      <c r="H299" s="8">
        <f>IF(OR($A299="",$B299="",$F299=""),"",ROUND(IF($F$3="",0,MAX(0,$F299-$F$3))+IF($D$3="",0,MIN($F299-IF($F$3="",0,MAX(0,$F299-$F$3)),MAX(0,SUMIFS($F$5:$F$304,$A$5:$A$304,$A299&amp;"",$B$5:$B$304,"&gt;="&amp;($B299-MOD(WEEKDAY($B299)-$B$3,7)),$B$5:$B$304,"&lt;="&amp;$B299)-IF($F$3="",0,SUMIFS($F$5:$F$304,$A$5:$A$304,$A299&amp;"",$B$5:$B$304,"&gt;="&amp;($B299-MOD(WEEKDAY($B299)-$B$3,7)),$B$5:$B$304,"&lt;="&amp;$B299,$F$5:$F$304,"&gt;"&amp;$F$3)-$F$3*COUNTIFS($A$5:$A$304,$A299&amp;"",$B$5:$B$304,"&gt;="&amp;($B299-MOD(WEEKDAY($B299)-$B$3,7)),$B$5:$B$304,"&lt;="&amp;$B299,$F$5:$F$304,"&gt;"&amp;$F$3))-$D$3))),2))</f>
        <v/>
      </c>
      <c r="I299" s="26" t="n"/>
      <c r="J299" s="27">
        <f>IF(AND($A299="",$C299="",$D299=""),"",IF(OR($C299&gt;=1,$D299&gt;=1),"⚠ type the time with a colon: 9:00 AM, not 9",IF(AND($C299&lt;&gt;"",$C299=$D299),"⚠ clock-in equals clock-out: the shift adds 0 h",IF(AND($C299&lt;&gt;"",$D299&lt;&gt;"",IF($E299="",0,$E299)&gt;MOD($D299-$C299,1)*24),"⚠ the break is longer than the shift",IF(AND($A299&lt;&gt;"",COUNTIF('Monthly OT Summary'!$A$6:$A$35,$A299&amp;"")=0),"⚠ name not in Monthly OT Summary: its hours are not added","")))))</f>
        <v/>
      </c>
    </row>
    <row r="300">
      <c r="A300" s="21" t="n"/>
      <c r="B300" s="40" t="n"/>
      <c r="C300" s="41" t="n"/>
      <c r="D300" s="41" t="n"/>
      <c r="E300" s="24" t="n"/>
      <c r="F300" s="8">
        <f>IF(OR($C300="",$D300=""),"",IF(OR($C300&gt;=1,$D300&gt;=1,$C300=$D300,IF($E300="",0,$E300)&gt;MOD($D300-$C300,1)*24),"",ROUND(MOD($D300-$C300,1)*24-IF($E300="",0,$E300),2)))</f>
        <v/>
      </c>
      <c r="G300" s="25" t="n">
        <v>8</v>
      </c>
      <c r="H300" s="8">
        <f>IF(OR($A300="",$B300="",$F300=""),"",ROUND(IF($F$3="",0,MAX(0,$F300-$F$3))+IF($D$3="",0,MIN($F300-IF($F$3="",0,MAX(0,$F300-$F$3)),MAX(0,SUMIFS($F$5:$F$304,$A$5:$A$304,$A300&amp;"",$B$5:$B$304,"&gt;="&amp;($B300-MOD(WEEKDAY($B300)-$B$3,7)),$B$5:$B$304,"&lt;="&amp;$B300)-IF($F$3="",0,SUMIFS($F$5:$F$304,$A$5:$A$304,$A300&amp;"",$B$5:$B$304,"&gt;="&amp;($B300-MOD(WEEKDAY($B300)-$B$3,7)),$B$5:$B$304,"&lt;="&amp;$B300,$F$5:$F$304,"&gt;"&amp;$F$3)-$F$3*COUNTIFS($A$5:$A$304,$A300&amp;"",$B$5:$B$304,"&gt;="&amp;($B300-MOD(WEEKDAY($B300)-$B$3,7)),$B$5:$B$304,"&lt;="&amp;$B300,$F$5:$F$304,"&gt;"&amp;$F$3))-$D$3))),2))</f>
        <v/>
      </c>
      <c r="I300" s="26" t="n"/>
      <c r="J300" s="27">
        <f>IF(AND($A300="",$C300="",$D300=""),"",IF(OR($C300&gt;=1,$D300&gt;=1),"⚠ type the time with a colon: 9:00 AM, not 9",IF(AND($C300&lt;&gt;"",$C300=$D300),"⚠ clock-in equals clock-out: the shift adds 0 h",IF(AND($C300&lt;&gt;"",$D300&lt;&gt;"",IF($E300="",0,$E300)&gt;MOD($D300-$C300,1)*24),"⚠ the break is longer than the shift",IF(AND($A300&lt;&gt;"",COUNTIF('Monthly OT Summary'!$A$6:$A$35,$A300&amp;"")=0),"⚠ name not in Monthly OT Summary: its hours are not added","")))))</f>
        <v/>
      </c>
    </row>
    <row r="301">
      <c r="A301" s="21" t="n"/>
      <c r="B301" s="40" t="n"/>
      <c r="C301" s="41" t="n"/>
      <c r="D301" s="41" t="n"/>
      <c r="E301" s="24" t="n"/>
      <c r="F301" s="8">
        <f>IF(OR($C301="",$D301=""),"",IF(OR($C301&gt;=1,$D301&gt;=1,$C301=$D301,IF($E301="",0,$E301)&gt;MOD($D301-$C301,1)*24),"",ROUND(MOD($D301-$C301,1)*24-IF($E301="",0,$E301),2)))</f>
        <v/>
      </c>
      <c r="G301" s="25" t="n">
        <v>8</v>
      </c>
      <c r="H301" s="8">
        <f>IF(OR($A301="",$B301="",$F301=""),"",ROUND(IF($F$3="",0,MAX(0,$F301-$F$3))+IF($D$3="",0,MIN($F301-IF($F$3="",0,MAX(0,$F301-$F$3)),MAX(0,SUMIFS($F$5:$F$304,$A$5:$A$304,$A301&amp;"",$B$5:$B$304,"&gt;="&amp;($B301-MOD(WEEKDAY($B301)-$B$3,7)),$B$5:$B$304,"&lt;="&amp;$B301)-IF($F$3="",0,SUMIFS($F$5:$F$304,$A$5:$A$304,$A301&amp;"",$B$5:$B$304,"&gt;="&amp;($B301-MOD(WEEKDAY($B301)-$B$3,7)),$B$5:$B$304,"&lt;="&amp;$B301,$F$5:$F$304,"&gt;"&amp;$F$3)-$F$3*COUNTIFS($A$5:$A$304,$A301&amp;"",$B$5:$B$304,"&gt;="&amp;($B301-MOD(WEEKDAY($B301)-$B$3,7)),$B$5:$B$304,"&lt;="&amp;$B301,$F$5:$F$304,"&gt;"&amp;$F$3))-$D$3))),2))</f>
        <v/>
      </c>
      <c r="I301" s="26" t="n"/>
      <c r="J301" s="27">
        <f>IF(AND($A301="",$C301="",$D301=""),"",IF(OR($C301&gt;=1,$D301&gt;=1),"⚠ type the time with a colon: 9:00 AM, not 9",IF(AND($C301&lt;&gt;"",$C301=$D301),"⚠ clock-in equals clock-out: the shift adds 0 h",IF(AND($C301&lt;&gt;"",$D301&lt;&gt;"",IF($E301="",0,$E301)&gt;MOD($D301-$C301,1)*24),"⚠ the break is longer than the shift",IF(AND($A301&lt;&gt;"",COUNTIF('Monthly OT Summary'!$A$6:$A$35,$A301&amp;"")=0),"⚠ name not in Monthly OT Summary: its hours are not added","")))))</f>
        <v/>
      </c>
    </row>
    <row r="302">
      <c r="A302" s="21" t="n"/>
      <c r="B302" s="40" t="n"/>
      <c r="C302" s="41" t="n"/>
      <c r="D302" s="41" t="n"/>
      <c r="E302" s="24" t="n"/>
      <c r="F302" s="8">
        <f>IF(OR($C302="",$D302=""),"",IF(OR($C302&gt;=1,$D302&gt;=1,$C302=$D302,IF($E302="",0,$E302)&gt;MOD($D302-$C302,1)*24),"",ROUND(MOD($D302-$C302,1)*24-IF($E302="",0,$E302),2)))</f>
        <v/>
      </c>
      <c r="G302" s="25" t="n">
        <v>8</v>
      </c>
      <c r="H302" s="8">
        <f>IF(OR($A302="",$B302="",$F302=""),"",ROUND(IF($F$3="",0,MAX(0,$F302-$F$3))+IF($D$3="",0,MIN($F302-IF($F$3="",0,MAX(0,$F302-$F$3)),MAX(0,SUMIFS($F$5:$F$304,$A$5:$A$304,$A302&amp;"",$B$5:$B$304,"&gt;="&amp;($B302-MOD(WEEKDAY($B302)-$B$3,7)),$B$5:$B$304,"&lt;="&amp;$B302)-IF($F$3="",0,SUMIFS($F$5:$F$304,$A$5:$A$304,$A302&amp;"",$B$5:$B$304,"&gt;="&amp;($B302-MOD(WEEKDAY($B302)-$B$3,7)),$B$5:$B$304,"&lt;="&amp;$B302,$F$5:$F$304,"&gt;"&amp;$F$3)-$F$3*COUNTIFS($A$5:$A$304,$A302&amp;"",$B$5:$B$304,"&gt;="&amp;($B302-MOD(WEEKDAY($B302)-$B$3,7)),$B$5:$B$304,"&lt;="&amp;$B302,$F$5:$F$304,"&gt;"&amp;$F$3))-$D$3))),2))</f>
        <v/>
      </c>
      <c r="I302" s="26" t="n"/>
      <c r="J302" s="27">
        <f>IF(AND($A302="",$C302="",$D302=""),"",IF(OR($C302&gt;=1,$D302&gt;=1),"⚠ type the time with a colon: 9:00 AM, not 9",IF(AND($C302&lt;&gt;"",$C302=$D302),"⚠ clock-in equals clock-out: the shift adds 0 h",IF(AND($C302&lt;&gt;"",$D302&lt;&gt;"",IF($E302="",0,$E302)&gt;MOD($D302-$C302,1)*24),"⚠ the break is longer than the shift",IF(AND($A302&lt;&gt;"",COUNTIF('Monthly OT Summary'!$A$6:$A$35,$A302&amp;"")=0),"⚠ name not in Monthly OT Summary: its hours are not added","")))))</f>
        <v/>
      </c>
    </row>
    <row r="303">
      <c r="A303" s="21" t="n"/>
      <c r="B303" s="40" t="n"/>
      <c r="C303" s="41" t="n"/>
      <c r="D303" s="41" t="n"/>
      <c r="E303" s="24" t="n"/>
      <c r="F303" s="8">
        <f>IF(OR($C303="",$D303=""),"",IF(OR($C303&gt;=1,$D303&gt;=1,$C303=$D303,IF($E303="",0,$E303)&gt;MOD($D303-$C303,1)*24),"",ROUND(MOD($D303-$C303,1)*24-IF($E303="",0,$E303),2)))</f>
        <v/>
      </c>
      <c r="G303" s="25" t="n">
        <v>8</v>
      </c>
      <c r="H303" s="8">
        <f>IF(OR($A303="",$B303="",$F303=""),"",ROUND(IF($F$3="",0,MAX(0,$F303-$F$3))+IF($D$3="",0,MIN($F303-IF($F$3="",0,MAX(0,$F303-$F$3)),MAX(0,SUMIFS($F$5:$F$304,$A$5:$A$304,$A303&amp;"",$B$5:$B$304,"&gt;="&amp;($B303-MOD(WEEKDAY($B303)-$B$3,7)),$B$5:$B$304,"&lt;="&amp;$B303)-IF($F$3="",0,SUMIFS($F$5:$F$304,$A$5:$A$304,$A303&amp;"",$B$5:$B$304,"&gt;="&amp;($B303-MOD(WEEKDAY($B303)-$B$3,7)),$B$5:$B$304,"&lt;="&amp;$B303,$F$5:$F$304,"&gt;"&amp;$F$3)-$F$3*COUNTIFS($A$5:$A$304,$A303&amp;"",$B$5:$B$304,"&gt;="&amp;($B303-MOD(WEEKDAY($B303)-$B$3,7)),$B$5:$B$304,"&lt;="&amp;$B303,$F$5:$F$304,"&gt;"&amp;$F$3))-$D$3))),2))</f>
        <v/>
      </c>
      <c r="I303" s="26" t="n"/>
      <c r="J303" s="27">
        <f>IF(AND($A303="",$C303="",$D303=""),"",IF(OR($C303&gt;=1,$D303&gt;=1),"⚠ type the time with a colon: 9:00 AM, not 9",IF(AND($C303&lt;&gt;"",$C303=$D303),"⚠ clock-in equals clock-out: the shift adds 0 h",IF(AND($C303&lt;&gt;"",$D303&lt;&gt;"",IF($E303="",0,$E303)&gt;MOD($D303-$C303,1)*24),"⚠ the break is longer than the shift",IF(AND($A303&lt;&gt;"",COUNTIF('Monthly OT Summary'!$A$6:$A$35,$A303&amp;"")=0),"⚠ name not in Monthly OT Summary: its hours are not added","")))))</f>
        <v/>
      </c>
    </row>
    <row r="304">
      <c r="A304" s="21" t="n"/>
      <c r="B304" s="40" t="n"/>
      <c r="C304" s="41" t="n"/>
      <c r="D304" s="41" t="n"/>
      <c r="E304" s="24" t="n"/>
      <c r="F304" s="8">
        <f>IF(OR($C304="",$D304=""),"",IF(OR($C304&gt;=1,$D304&gt;=1,$C304=$D304,IF($E304="",0,$E304)&gt;MOD($D304-$C304,1)*24),"",ROUND(MOD($D304-$C304,1)*24-IF($E304="",0,$E304),2)))</f>
        <v/>
      </c>
      <c r="G304" s="25" t="n">
        <v>8</v>
      </c>
      <c r="H304" s="8">
        <f>IF(OR($A304="",$B304="",$F304=""),"",ROUND(IF($F$3="",0,MAX(0,$F304-$F$3))+IF($D$3="",0,MIN($F304-IF($F$3="",0,MAX(0,$F304-$F$3)),MAX(0,SUMIFS($F$5:$F$304,$A$5:$A$304,$A304&amp;"",$B$5:$B$304,"&gt;="&amp;($B304-MOD(WEEKDAY($B304)-$B$3,7)),$B$5:$B$304,"&lt;="&amp;$B304)-IF($F$3="",0,SUMIFS($F$5:$F$304,$A$5:$A$304,$A304&amp;"",$B$5:$B$304,"&gt;="&amp;($B304-MOD(WEEKDAY($B304)-$B$3,7)),$B$5:$B$304,"&lt;="&amp;$B304,$F$5:$F$304,"&gt;"&amp;$F$3)-$F$3*COUNTIFS($A$5:$A$304,$A304&amp;"",$B$5:$B$304,"&gt;="&amp;($B304-MOD(WEEKDAY($B304)-$B$3,7)),$B$5:$B$304,"&lt;="&amp;$B304,$F$5:$F$304,"&gt;"&amp;$F$3))-$D$3))),2))</f>
        <v/>
      </c>
      <c r="I304" s="26" t="n"/>
      <c r="J304" s="27">
        <f>IF(AND($A304="",$C304="",$D304=""),"",IF(OR($C304&gt;=1,$D304&gt;=1),"⚠ type the time with a colon: 9:00 AM, not 9",IF(AND($C304&lt;&gt;"",$C304=$D304),"⚠ clock-in equals clock-out: the shift adds 0 h",IF(AND($C304&lt;&gt;"",$D304&lt;&gt;"",IF($E304="",0,$E304)&gt;MOD($D304-$C304,1)*24),"⚠ the break is longer than the shift",IF(AND($A304&lt;&gt;"",COUNTIF('Monthly OT Summary'!$A$6:$A$35,$A304&amp;"")=0),"⚠ name not in Monthly OT Summary: its hours are not added","")))))</f>
        <v/>
      </c>
    </row>
    <row r="306">
      <c r="A306" s="10"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3">
    <mergeCell ref="A1:I1"/>
    <mergeCell ref="A2:I2"/>
    <mergeCell ref="A306:I306"/>
  </mergeCells>
  <conditionalFormatting sqref="J5:J304">
    <cfRule type="containsText" priority="1" operator="containsText" dxfId="0" stopIfTrue="1" text="⛔">
      <formula>NOT(ISERROR(SEARCH("⛔",J5)))</formula>
    </cfRule>
    <cfRule type="containsText" priority="2" operator="containsText" dxfId="0" stopIfTrue="1" text="EXCESS">
      <formula>NOT(ISERROR(SEARCH("EXCESS",J5)))</formula>
    </cfRule>
    <cfRule type="containsText" priority="3" operator="containsText" dxfId="1" stopIfTrue="1" text="⚠">
      <formula>NOT(ISERROR(SEARCH("⚠",J5)))</formula>
    </cfRule>
    <cfRule type="containsText" priority="4" operator="containsText" dxfId="2" stopIfTrue="1" text="OK">
      <formula>NOT(ISERROR(SEARCH("OK",J5)))</formula>
    </cfRule>
  </conditionalFormatting>
  <dataValidations count="7">
    <dataValidation sqref="C5:D304" showDropDown="0" showInputMessage="1" showErrorMessage="1" allowBlank="1" errorTitle="Invalid time" error="Type a time between 12:00 AM and 11:59 PM, with a colon (9:00 AM)." promptTitle="Clock-in / clock-out time" prompt="Type the time with a colon and AM/PM: 9:00 AM, not 9. A bare 9 is the NUMBER nine (nine days), not nine in the morning, and &quot;Hours worked&quot; would stay at 0.00 without warning." type="time" errorStyle="stop" operator="between">
      <formula1>0</formula1>
      <formula2>0.9993</formula2>
    </dataValidation>
    <dataValidation sqref="E5:E304" showDropDown="0" showInputMessage="1" showErrorMessage="1" allowBlank="1" errorTitle="Invalid break" error="Type a number of hours between 0 and 8." promptTitle="Unpaid meal break (h)" prompt="UNPAID meal break that day, in hours (0.5 = 30 min). Only bona fide meal periods of 30+ min go here (29 CFR 785.19): 5-20 min rest breaks are paid time (29 CFR 785.18). The 10:00 AM-11:00 PM split shift carries 4." type="decimal" errorStyle="stop" operator="between">
      <formula1>0</formula1>
      <formula2>8</formula2>
    </dataValidation>
    <dataValidation sqref="G5:G304" showDropDown="0" showInputMessage="1" showErrorMessage="1" allowBlank="1" errorTitle="Invalid scheduled hours" error="Type a number of hours between 1 and 12." promptTitle="Scheduled hours" prompt="Hours that person was SCHEDULED that day. Preloaded at 8, for reference. Overtime is calculated by the FLSA rule (hours over 40 in the workweek, plus the optional daily rule in F3), not from this column." type="decimal" errorStyle="stop" operator="between">
      <formula1>1</formula1>
      <formula2>12</formula2>
    </dataValidation>
    <dataValidation sqref="I5:I304" showDropDown="0" showInputMessage="1" showErrorMessage="1" allowBlank="1" errorTitle="Invalid OT type" error="Pick a value from the list: the summary formulas look for this exact text." promptTitle="OT type" prompt="&quot;Not approved&quot; hours are still PAID: if someone worked them, you owe them (29 CFR 785.11). The &quot;Monthly OT Summary&quot; counts them separately by looking for this exact text." type="list" errorStyle="stop">
      <formula1>"Pre-approved,Manager request,Emergency / call-in,Not approved,Shift cover"</formula1>
    </dataValidation>
    <dataValidation sqref="B3" showDropDown="0" showInputMessage="1" showErrorMessage="1" allowBlank="1" error="FLSA workweek = any fixed 7 days you choose. 2 = Monday (default: the same week as the schedule grid in file 01) · 1 = Sunday … 7 = Saturday." prompt="FLSA workweek = any fixed 7 days you choose. 2 = Monday (default: the same week as the schedule grid in file 01) · 1 = Sunday … 7 = Saturday." type="whole" errorStyle="stop" operator="between">
      <formula1>1</formula1>
      <formula2>7</formula2>
    </dataValidation>
    <dataValidation sqref="D3" showDropDown="0" showInputMessage="1" showErrorMessage="1" allowBlank="1" error="Federal overtime starts after 40 hours in the workweek (FLSA). UK: type your contract hours." prompt="Federal overtime starts after 40 hours in the workweek (FLSA). UK: type your contract hours." type="decimal" errorStyle="stop" operator="between">
      <formula1>1</formula1>
      <formula2>80</formula2>
    </dataValidation>
    <dataValidation sqref="F3" showDropDown="0" showInputMessage="1" showErrorMessage="1" allowBlank="1" error="Leave blank under federal law. California: 8 (also AK, NV). Colorado: 12." prompt="Leave blank under federal law. California: 8 (also AK, NV). Colorado: 12." type="decimal" errorStyle="stop" operator="between">
      <formula1>1</formula1>
      <formula2>24</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BF360C"/>
    <outlinePr summaryBelow="1" summaryRight="1"/>
    <pageSetUpPr fitToPage="1"/>
  </sheetPr>
  <dimension ref="A1:H39"/>
  <sheetViews>
    <sheetView workbookViewId="0">
      <pane ySplit="5" topLeftCell="A6" activePane="bottomLeft" state="frozen"/>
      <selection pane="bottomLeft" activeCell="A1" sqref="A1"/>
    </sheetView>
  </sheetViews>
  <sheetFormatPr baseColWidth="8" defaultRowHeight="15"/>
  <cols>
    <col width="22" customWidth="1" min="1" max="1"/>
    <col width="16" customWidth="1" min="2" max="2"/>
    <col width="20" customWidth="1" min="3" max="3"/>
    <col width="16" customWidth="1" min="4" max="4"/>
    <col width="20" customWidth="1" min="5" max="5"/>
    <col width="18" customWidth="1" min="6" max="6"/>
    <col width="18" customWidth="1" min="7" max="7"/>
    <col width="26" customWidth="1" min="8" max="8"/>
  </cols>
  <sheetData>
    <row r="1">
      <c r="A1" s="4" t="inlineStr">
        <is>
          <t>Overtime Summary — Workweeks in this copy</t>
        </is>
      </c>
    </row>
    <row r="2">
      <c r="A2" s="5" t="inlineStr">
        <is>
          <t>AI Chef Pro · aichef.pro — Restaurant Staff Scheduling Kit Pro</t>
        </is>
      </c>
    </row>
    <row r="3" ht="58" customHeight="1">
      <c r="A3" s="28" t="inlineStr">
        <is>
          <t>Hourly rate for the OT cost estimate:</t>
        </is>
      </c>
      <c r="B3" s="42" t="n">
        <v>15</v>
      </c>
      <c r="C3" s="28" t="inlineStr">
        <is>
          <t>Overtime multiplier (FLSA: 1.5×):</t>
        </is>
      </c>
      <c r="D3" s="30" t="n">
        <v>1.5</v>
      </c>
      <c r="E3" s="28" t="inlineStr">
        <is>
          <t>Annual OT budget per person (h):</t>
        </is>
      </c>
      <c r="F3" s="31" t="n">
        <v>80</v>
      </c>
    </row>
    <row r="5" ht="30" customHeight="1">
      <c r="A5" s="19" t="inlineStr">
        <is>
          <t>Employee</t>
        </is>
      </c>
      <c r="B5" s="19" t="inlineStr">
        <is>
          <t>Total OT hours (this copy)</t>
        </is>
      </c>
      <c r="C5" s="19" t="inlineStr">
        <is>
          <t>Unapproved OT hours (still payable)</t>
        </is>
      </c>
      <c r="D5" s="19" t="inlineStr">
        <is>
          <t>Approved OT hours</t>
        </is>
      </c>
      <c r="E5" s="19" t="inlineStr">
        <is>
          <t>OT hours year to date</t>
        </is>
      </c>
      <c r="F5" s="19" t="inlineStr">
        <is>
          <t>Status vs. annual OT budget</t>
        </is>
      </c>
      <c r="G5" s="19" t="inlineStr">
        <is>
          <t>Overtime cost</t>
        </is>
      </c>
      <c r="H5" s="20" t="inlineStr">
        <is>
          <t>Worked − scheduled hours (this copy)</t>
        </is>
      </c>
    </row>
    <row r="6">
      <c r="A6" s="32" t="n"/>
      <c r="B6" s="33">
        <f>IF($A6="","",ROUND(SUMIF('Time Log'!$A$5:$A$304,$A6&amp;"",'Time Log'!$H$5:$H$304),2))</f>
        <v/>
      </c>
      <c r="C6" s="33">
        <f>IF($A6="","",ROUND(SUMIFS('Time Log'!$H$5:$H$304,'Time Log'!$A$5:$A$304,$A6&amp;"",'Time Log'!$I$5:$I$304,"Not approved"),2))</f>
        <v/>
      </c>
      <c r="D6" s="34">
        <f>IF($A6="","",ROUND($B6-$C6,2))</f>
        <v/>
      </c>
      <c r="E6" s="35" t="n"/>
      <c r="F6" s="16">
        <f>IF($E6="","",IF($E6&gt;$F$3,"⛔ OVER BUDGET ("&amp;TEXT($E6-$F$3,"0")&amp;" h)",IF($E6&gt;$F$3*0.8,"⚠ near budget","✓ within budget")))</f>
        <v/>
      </c>
      <c r="G6" s="43">
        <f>IF($B6="","",ROUND($B6*$B$3*$D$3,2))</f>
        <v/>
      </c>
      <c r="H6">
        <f>IF($A6="","",IF(COUNTIF('Time Log'!$A$5:$A$304,$A6&amp;"")=0,"",ROUND(SUMIF('Time Log'!$A$5:$A$304,$A6&amp;"",'Time Log'!$F$5:$F$304)-SUMIF('Time Log'!$A$5:$A$304,$A6&amp;"",'Time Log'!$G$5:$G$304),2)))</f>
        <v/>
      </c>
    </row>
    <row r="7">
      <c r="A7" s="32" t="n"/>
      <c r="B7" s="33">
        <f>IF($A7="","",ROUND(SUMIF('Time Log'!$A$5:$A$304,$A7&amp;"",'Time Log'!$H$5:$H$304),2))</f>
        <v/>
      </c>
      <c r="C7" s="33">
        <f>IF($A7="","",ROUND(SUMIFS('Time Log'!$H$5:$H$304,'Time Log'!$A$5:$A$304,$A7&amp;"",'Time Log'!$I$5:$I$304,"Not approved"),2))</f>
        <v/>
      </c>
      <c r="D7" s="34">
        <f>IF($A7="","",ROUND($B7-$C7,2))</f>
        <v/>
      </c>
      <c r="E7" s="35" t="n"/>
      <c r="F7" s="16">
        <f>IF($E7="","",IF($E7&gt;$F$3,"⛔ OVER BUDGET ("&amp;TEXT($E7-$F$3,"0")&amp;" h)",IF($E7&gt;$F$3*0.8,"⚠ near budget","✓ within budget")))</f>
        <v/>
      </c>
      <c r="G7" s="43">
        <f>IF($B7="","",ROUND($B7*$B$3*$D$3,2))</f>
        <v/>
      </c>
      <c r="H7">
        <f>IF($A7="","",IF(COUNTIF('Time Log'!$A$5:$A$304,$A7&amp;"")=0,"",ROUND(SUMIF('Time Log'!$A$5:$A$304,$A7&amp;"",'Time Log'!$F$5:$F$304)-SUMIF('Time Log'!$A$5:$A$304,$A7&amp;"",'Time Log'!$G$5:$G$304),2)))</f>
        <v/>
      </c>
    </row>
    <row r="8">
      <c r="A8" s="32" t="n"/>
      <c r="B8" s="33">
        <f>IF($A8="","",ROUND(SUMIF('Time Log'!$A$5:$A$304,$A8&amp;"",'Time Log'!$H$5:$H$304),2))</f>
        <v/>
      </c>
      <c r="C8" s="33">
        <f>IF($A8="","",ROUND(SUMIFS('Time Log'!$H$5:$H$304,'Time Log'!$A$5:$A$304,$A8&amp;"",'Time Log'!$I$5:$I$304,"Not approved"),2))</f>
        <v/>
      </c>
      <c r="D8" s="34">
        <f>IF($A8="","",ROUND($B8-$C8,2))</f>
        <v/>
      </c>
      <c r="E8" s="35" t="n"/>
      <c r="F8" s="16">
        <f>IF($E8="","",IF($E8&gt;$F$3,"⛔ OVER BUDGET ("&amp;TEXT($E8-$F$3,"0")&amp;" h)",IF($E8&gt;$F$3*0.8,"⚠ near budget","✓ within budget")))</f>
        <v/>
      </c>
      <c r="G8" s="43">
        <f>IF($B8="","",ROUND($B8*$B$3*$D$3,2))</f>
        <v/>
      </c>
      <c r="H8">
        <f>IF($A8="","",IF(COUNTIF('Time Log'!$A$5:$A$304,$A8&amp;"")=0,"",ROUND(SUMIF('Time Log'!$A$5:$A$304,$A8&amp;"",'Time Log'!$F$5:$F$304)-SUMIF('Time Log'!$A$5:$A$304,$A8&amp;"",'Time Log'!$G$5:$G$304),2)))</f>
        <v/>
      </c>
    </row>
    <row r="9">
      <c r="A9" s="32" t="n"/>
      <c r="B9" s="33">
        <f>IF($A9="","",ROUND(SUMIF('Time Log'!$A$5:$A$304,$A9&amp;"",'Time Log'!$H$5:$H$304),2))</f>
        <v/>
      </c>
      <c r="C9" s="33">
        <f>IF($A9="","",ROUND(SUMIFS('Time Log'!$H$5:$H$304,'Time Log'!$A$5:$A$304,$A9&amp;"",'Time Log'!$I$5:$I$304,"Not approved"),2))</f>
        <v/>
      </c>
      <c r="D9" s="34">
        <f>IF($A9="","",ROUND($B9-$C9,2))</f>
        <v/>
      </c>
      <c r="E9" s="35" t="n"/>
      <c r="F9" s="16">
        <f>IF($E9="","",IF($E9&gt;$F$3,"⛔ OVER BUDGET ("&amp;TEXT($E9-$F$3,"0")&amp;" h)",IF($E9&gt;$F$3*0.8,"⚠ near budget","✓ within budget")))</f>
        <v/>
      </c>
      <c r="G9" s="43">
        <f>IF($B9="","",ROUND($B9*$B$3*$D$3,2))</f>
        <v/>
      </c>
      <c r="H9">
        <f>IF($A9="","",IF(COUNTIF('Time Log'!$A$5:$A$304,$A9&amp;"")=0,"",ROUND(SUMIF('Time Log'!$A$5:$A$304,$A9&amp;"",'Time Log'!$F$5:$F$304)-SUMIF('Time Log'!$A$5:$A$304,$A9&amp;"",'Time Log'!$G$5:$G$304),2)))</f>
        <v/>
      </c>
    </row>
    <row r="10">
      <c r="A10" s="32" t="n"/>
      <c r="B10" s="33">
        <f>IF($A10="","",ROUND(SUMIF('Time Log'!$A$5:$A$304,$A10&amp;"",'Time Log'!$H$5:$H$304),2))</f>
        <v/>
      </c>
      <c r="C10" s="33">
        <f>IF($A10="","",ROUND(SUMIFS('Time Log'!$H$5:$H$304,'Time Log'!$A$5:$A$304,$A10&amp;"",'Time Log'!$I$5:$I$304,"Not approved"),2))</f>
        <v/>
      </c>
      <c r="D10" s="34">
        <f>IF($A10="","",ROUND($B10-$C10,2))</f>
        <v/>
      </c>
      <c r="E10" s="35" t="n"/>
      <c r="F10" s="16">
        <f>IF($E10="","",IF($E10&gt;$F$3,"⛔ OVER BUDGET ("&amp;TEXT($E10-$F$3,"0")&amp;" h)",IF($E10&gt;$F$3*0.8,"⚠ near budget","✓ within budget")))</f>
        <v/>
      </c>
      <c r="G10" s="43">
        <f>IF($B10="","",ROUND($B10*$B$3*$D$3,2))</f>
        <v/>
      </c>
      <c r="H10">
        <f>IF($A10="","",IF(COUNTIF('Time Log'!$A$5:$A$304,$A10&amp;"")=0,"",ROUND(SUMIF('Time Log'!$A$5:$A$304,$A10&amp;"",'Time Log'!$F$5:$F$304)-SUMIF('Time Log'!$A$5:$A$304,$A10&amp;"",'Time Log'!$G$5:$G$304),2)))</f>
        <v/>
      </c>
    </row>
    <row r="11">
      <c r="A11" s="32" t="n"/>
      <c r="B11" s="33">
        <f>IF($A11="","",ROUND(SUMIF('Time Log'!$A$5:$A$304,$A11&amp;"",'Time Log'!$H$5:$H$304),2))</f>
        <v/>
      </c>
      <c r="C11" s="33">
        <f>IF($A11="","",ROUND(SUMIFS('Time Log'!$H$5:$H$304,'Time Log'!$A$5:$A$304,$A11&amp;"",'Time Log'!$I$5:$I$304,"Not approved"),2))</f>
        <v/>
      </c>
      <c r="D11" s="34">
        <f>IF($A11="","",ROUND($B11-$C11,2))</f>
        <v/>
      </c>
      <c r="E11" s="35" t="n"/>
      <c r="F11" s="16">
        <f>IF($E11="","",IF($E11&gt;$F$3,"⛔ OVER BUDGET ("&amp;TEXT($E11-$F$3,"0")&amp;" h)",IF($E11&gt;$F$3*0.8,"⚠ near budget","✓ within budget")))</f>
        <v/>
      </c>
      <c r="G11" s="43">
        <f>IF($B11="","",ROUND($B11*$B$3*$D$3,2))</f>
        <v/>
      </c>
      <c r="H11">
        <f>IF($A11="","",IF(COUNTIF('Time Log'!$A$5:$A$304,$A11&amp;"")=0,"",ROUND(SUMIF('Time Log'!$A$5:$A$304,$A11&amp;"",'Time Log'!$F$5:$F$304)-SUMIF('Time Log'!$A$5:$A$304,$A11&amp;"",'Time Log'!$G$5:$G$304),2)))</f>
        <v/>
      </c>
    </row>
    <row r="12">
      <c r="A12" s="32" t="n"/>
      <c r="B12" s="33">
        <f>IF($A12="","",ROUND(SUMIF('Time Log'!$A$5:$A$304,$A12&amp;"",'Time Log'!$H$5:$H$304),2))</f>
        <v/>
      </c>
      <c r="C12" s="33">
        <f>IF($A12="","",ROUND(SUMIFS('Time Log'!$H$5:$H$304,'Time Log'!$A$5:$A$304,$A12&amp;"",'Time Log'!$I$5:$I$304,"Not approved"),2))</f>
        <v/>
      </c>
      <c r="D12" s="34">
        <f>IF($A12="","",ROUND($B12-$C12,2))</f>
        <v/>
      </c>
      <c r="E12" s="35" t="n"/>
      <c r="F12" s="16">
        <f>IF($E12="","",IF($E12&gt;$F$3,"⛔ OVER BUDGET ("&amp;TEXT($E12-$F$3,"0")&amp;" h)",IF($E12&gt;$F$3*0.8,"⚠ near budget","✓ within budget")))</f>
        <v/>
      </c>
      <c r="G12" s="43">
        <f>IF($B12="","",ROUND($B12*$B$3*$D$3,2))</f>
        <v/>
      </c>
      <c r="H12">
        <f>IF($A12="","",IF(COUNTIF('Time Log'!$A$5:$A$304,$A12&amp;"")=0,"",ROUND(SUMIF('Time Log'!$A$5:$A$304,$A12&amp;"",'Time Log'!$F$5:$F$304)-SUMIF('Time Log'!$A$5:$A$304,$A12&amp;"",'Time Log'!$G$5:$G$304),2)))</f>
        <v/>
      </c>
    </row>
    <row r="13">
      <c r="A13" s="32" t="n"/>
      <c r="B13" s="33">
        <f>IF($A13="","",ROUND(SUMIF('Time Log'!$A$5:$A$304,$A13&amp;"",'Time Log'!$H$5:$H$304),2))</f>
        <v/>
      </c>
      <c r="C13" s="33">
        <f>IF($A13="","",ROUND(SUMIFS('Time Log'!$H$5:$H$304,'Time Log'!$A$5:$A$304,$A13&amp;"",'Time Log'!$I$5:$I$304,"Not approved"),2))</f>
        <v/>
      </c>
      <c r="D13" s="34">
        <f>IF($A13="","",ROUND($B13-$C13,2))</f>
        <v/>
      </c>
      <c r="E13" s="35" t="n"/>
      <c r="F13" s="16">
        <f>IF($E13="","",IF($E13&gt;$F$3,"⛔ OVER BUDGET ("&amp;TEXT($E13-$F$3,"0")&amp;" h)",IF($E13&gt;$F$3*0.8,"⚠ near budget","✓ within budget")))</f>
        <v/>
      </c>
      <c r="G13" s="43">
        <f>IF($B13="","",ROUND($B13*$B$3*$D$3,2))</f>
        <v/>
      </c>
      <c r="H13">
        <f>IF($A13="","",IF(COUNTIF('Time Log'!$A$5:$A$304,$A13&amp;"")=0,"",ROUND(SUMIF('Time Log'!$A$5:$A$304,$A13&amp;"",'Time Log'!$F$5:$F$304)-SUMIF('Time Log'!$A$5:$A$304,$A13&amp;"",'Time Log'!$G$5:$G$304),2)))</f>
        <v/>
      </c>
    </row>
    <row r="14">
      <c r="A14" s="32" t="n"/>
      <c r="B14" s="33">
        <f>IF($A14="","",ROUND(SUMIF('Time Log'!$A$5:$A$304,$A14&amp;"",'Time Log'!$H$5:$H$304),2))</f>
        <v/>
      </c>
      <c r="C14" s="33">
        <f>IF($A14="","",ROUND(SUMIFS('Time Log'!$H$5:$H$304,'Time Log'!$A$5:$A$304,$A14&amp;"",'Time Log'!$I$5:$I$304,"Not approved"),2))</f>
        <v/>
      </c>
      <c r="D14" s="34">
        <f>IF($A14="","",ROUND($B14-$C14,2))</f>
        <v/>
      </c>
      <c r="E14" s="35" t="n"/>
      <c r="F14" s="16">
        <f>IF($E14="","",IF($E14&gt;$F$3,"⛔ OVER BUDGET ("&amp;TEXT($E14-$F$3,"0")&amp;" h)",IF($E14&gt;$F$3*0.8,"⚠ near budget","✓ within budget")))</f>
        <v/>
      </c>
      <c r="G14" s="43">
        <f>IF($B14="","",ROUND($B14*$B$3*$D$3,2))</f>
        <v/>
      </c>
      <c r="H14">
        <f>IF($A14="","",IF(COUNTIF('Time Log'!$A$5:$A$304,$A14&amp;"")=0,"",ROUND(SUMIF('Time Log'!$A$5:$A$304,$A14&amp;"",'Time Log'!$F$5:$F$304)-SUMIF('Time Log'!$A$5:$A$304,$A14&amp;"",'Time Log'!$G$5:$G$304),2)))</f>
        <v/>
      </c>
    </row>
    <row r="15">
      <c r="A15" s="32" t="n"/>
      <c r="B15" s="33">
        <f>IF($A15="","",ROUND(SUMIF('Time Log'!$A$5:$A$304,$A15&amp;"",'Time Log'!$H$5:$H$304),2))</f>
        <v/>
      </c>
      <c r="C15" s="33">
        <f>IF($A15="","",ROUND(SUMIFS('Time Log'!$H$5:$H$304,'Time Log'!$A$5:$A$304,$A15&amp;"",'Time Log'!$I$5:$I$304,"Not approved"),2))</f>
        <v/>
      </c>
      <c r="D15" s="34">
        <f>IF($A15="","",ROUND($B15-$C15,2))</f>
        <v/>
      </c>
      <c r="E15" s="35" t="n"/>
      <c r="F15" s="16">
        <f>IF($E15="","",IF($E15&gt;$F$3,"⛔ OVER BUDGET ("&amp;TEXT($E15-$F$3,"0")&amp;" h)",IF($E15&gt;$F$3*0.8,"⚠ near budget","✓ within budget")))</f>
        <v/>
      </c>
      <c r="G15" s="43">
        <f>IF($B15="","",ROUND($B15*$B$3*$D$3,2))</f>
        <v/>
      </c>
      <c r="H15">
        <f>IF($A15="","",IF(COUNTIF('Time Log'!$A$5:$A$304,$A15&amp;"")=0,"",ROUND(SUMIF('Time Log'!$A$5:$A$304,$A15&amp;"",'Time Log'!$F$5:$F$304)-SUMIF('Time Log'!$A$5:$A$304,$A15&amp;"",'Time Log'!$G$5:$G$304),2)))</f>
        <v/>
      </c>
    </row>
    <row r="16">
      <c r="A16" s="32" t="n"/>
      <c r="B16" s="33">
        <f>IF($A16="","",ROUND(SUMIF('Time Log'!$A$5:$A$304,$A16&amp;"",'Time Log'!$H$5:$H$304),2))</f>
        <v/>
      </c>
      <c r="C16" s="33">
        <f>IF($A16="","",ROUND(SUMIFS('Time Log'!$H$5:$H$304,'Time Log'!$A$5:$A$304,$A16&amp;"",'Time Log'!$I$5:$I$304,"Not approved"),2))</f>
        <v/>
      </c>
      <c r="D16" s="34">
        <f>IF($A16="","",ROUND($B16-$C16,2))</f>
        <v/>
      </c>
      <c r="E16" s="35" t="n"/>
      <c r="F16" s="16">
        <f>IF($E16="","",IF($E16&gt;$F$3,"⛔ OVER BUDGET ("&amp;TEXT($E16-$F$3,"0")&amp;" h)",IF($E16&gt;$F$3*0.8,"⚠ near budget","✓ within budget")))</f>
        <v/>
      </c>
      <c r="G16" s="43">
        <f>IF($B16="","",ROUND($B16*$B$3*$D$3,2))</f>
        <v/>
      </c>
      <c r="H16">
        <f>IF($A16="","",IF(COUNTIF('Time Log'!$A$5:$A$304,$A16&amp;"")=0,"",ROUND(SUMIF('Time Log'!$A$5:$A$304,$A16&amp;"",'Time Log'!$F$5:$F$304)-SUMIF('Time Log'!$A$5:$A$304,$A16&amp;"",'Time Log'!$G$5:$G$304),2)))</f>
        <v/>
      </c>
    </row>
    <row r="17">
      <c r="A17" s="32" t="n"/>
      <c r="B17" s="33">
        <f>IF($A17="","",ROUND(SUMIF('Time Log'!$A$5:$A$304,$A17&amp;"",'Time Log'!$H$5:$H$304),2))</f>
        <v/>
      </c>
      <c r="C17" s="33">
        <f>IF($A17="","",ROUND(SUMIFS('Time Log'!$H$5:$H$304,'Time Log'!$A$5:$A$304,$A17&amp;"",'Time Log'!$I$5:$I$304,"Not approved"),2))</f>
        <v/>
      </c>
      <c r="D17" s="34">
        <f>IF($A17="","",ROUND($B17-$C17,2))</f>
        <v/>
      </c>
      <c r="E17" s="35" t="n"/>
      <c r="F17" s="16">
        <f>IF($E17="","",IF($E17&gt;$F$3,"⛔ OVER BUDGET ("&amp;TEXT($E17-$F$3,"0")&amp;" h)",IF($E17&gt;$F$3*0.8,"⚠ near budget","✓ within budget")))</f>
        <v/>
      </c>
      <c r="G17" s="43">
        <f>IF($B17="","",ROUND($B17*$B$3*$D$3,2))</f>
        <v/>
      </c>
      <c r="H17">
        <f>IF($A17="","",IF(COUNTIF('Time Log'!$A$5:$A$304,$A17&amp;"")=0,"",ROUND(SUMIF('Time Log'!$A$5:$A$304,$A17&amp;"",'Time Log'!$F$5:$F$304)-SUMIF('Time Log'!$A$5:$A$304,$A17&amp;"",'Time Log'!$G$5:$G$304),2)))</f>
        <v/>
      </c>
    </row>
    <row r="18">
      <c r="A18" s="32" t="n"/>
      <c r="B18" s="33">
        <f>IF($A18="","",ROUND(SUMIF('Time Log'!$A$5:$A$304,$A18&amp;"",'Time Log'!$H$5:$H$304),2))</f>
        <v/>
      </c>
      <c r="C18" s="33">
        <f>IF($A18="","",ROUND(SUMIFS('Time Log'!$H$5:$H$304,'Time Log'!$A$5:$A$304,$A18&amp;"",'Time Log'!$I$5:$I$304,"Not approved"),2))</f>
        <v/>
      </c>
      <c r="D18" s="34">
        <f>IF($A18="","",ROUND($B18-$C18,2))</f>
        <v/>
      </c>
      <c r="E18" s="35" t="n"/>
      <c r="F18" s="16">
        <f>IF($E18="","",IF($E18&gt;$F$3,"⛔ OVER BUDGET ("&amp;TEXT($E18-$F$3,"0")&amp;" h)",IF($E18&gt;$F$3*0.8,"⚠ near budget","✓ within budget")))</f>
        <v/>
      </c>
      <c r="G18" s="43">
        <f>IF($B18="","",ROUND($B18*$B$3*$D$3,2))</f>
        <v/>
      </c>
      <c r="H18">
        <f>IF($A18="","",IF(COUNTIF('Time Log'!$A$5:$A$304,$A18&amp;"")=0,"",ROUND(SUMIF('Time Log'!$A$5:$A$304,$A18&amp;"",'Time Log'!$F$5:$F$304)-SUMIF('Time Log'!$A$5:$A$304,$A18&amp;"",'Time Log'!$G$5:$G$304),2)))</f>
        <v/>
      </c>
    </row>
    <row r="19">
      <c r="A19" s="32" t="n"/>
      <c r="B19" s="33">
        <f>IF($A19="","",ROUND(SUMIF('Time Log'!$A$5:$A$304,$A19&amp;"",'Time Log'!$H$5:$H$304),2))</f>
        <v/>
      </c>
      <c r="C19" s="33">
        <f>IF($A19="","",ROUND(SUMIFS('Time Log'!$H$5:$H$304,'Time Log'!$A$5:$A$304,$A19&amp;"",'Time Log'!$I$5:$I$304,"Not approved"),2))</f>
        <v/>
      </c>
      <c r="D19" s="34">
        <f>IF($A19="","",ROUND($B19-$C19,2))</f>
        <v/>
      </c>
      <c r="E19" s="35" t="n"/>
      <c r="F19" s="16">
        <f>IF($E19="","",IF($E19&gt;$F$3,"⛔ OVER BUDGET ("&amp;TEXT($E19-$F$3,"0")&amp;" h)",IF($E19&gt;$F$3*0.8,"⚠ near budget","✓ within budget")))</f>
        <v/>
      </c>
      <c r="G19" s="43">
        <f>IF($B19="","",ROUND($B19*$B$3*$D$3,2))</f>
        <v/>
      </c>
      <c r="H19">
        <f>IF($A19="","",IF(COUNTIF('Time Log'!$A$5:$A$304,$A19&amp;"")=0,"",ROUND(SUMIF('Time Log'!$A$5:$A$304,$A19&amp;"",'Time Log'!$F$5:$F$304)-SUMIF('Time Log'!$A$5:$A$304,$A19&amp;"",'Time Log'!$G$5:$G$304),2)))</f>
        <v/>
      </c>
    </row>
    <row r="20">
      <c r="A20" s="32" t="n"/>
      <c r="B20" s="33">
        <f>IF($A20="","",ROUND(SUMIF('Time Log'!$A$5:$A$304,$A20&amp;"",'Time Log'!$H$5:$H$304),2))</f>
        <v/>
      </c>
      <c r="C20" s="33">
        <f>IF($A20="","",ROUND(SUMIFS('Time Log'!$H$5:$H$304,'Time Log'!$A$5:$A$304,$A20&amp;"",'Time Log'!$I$5:$I$304,"Not approved"),2))</f>
        <v/>
      </c>
      <c r="D20" s="34">
        <f>IF($A20="","",ROUND($B20-$C20,2))</f>
        <v/>
      </c>
      <c r="E20" s="35" t="n"/>
      <c r="F20" s="16">
        <f>IF($E20="","",IF($E20&gt;$F$3,"⛔ OVER BUDGET ("&amp;TEXT($E20-$F$3,"0")&amp;" h)",IF($E20&gt;$F$3*0.8,"⚠ near budget","✓ within budget")))</f>
        <v/>
      </c>
      <c r="G20" s="43">
        <f>IF($B20="","",ROUND($B20*$B$3*$D$3,2))</f>
        <v/>
      </c>
      <c r="H20">
        <f>IF($A20="","",IF(COUNTIF('Time Log'!$A$5:$A$304,$A20&amp;"")=0,"",ROUND(SUMIF('Time Log'!$A$5:$A$304,$A20&amp;"",'Time Log'!$F$5:$F$304)-SUMIF('Time Log'!$A$5:$A$304,$A20&amp;"",'Time Log'!$G$5:$G$304),2)))</f>
        <v/>
      </c>
    </row>
    <row r="21">
      <c r="A21" s="32" t="n"/>
      <c r="B21" s="33">
        <f>IF($A21="","",ROUND(SUMIF('Time Log'!$A$5:$A$304,$A21&amp;"",'Time Log'!$H$5:$H$304),2))</f>
        <v/>
      </c>
      <c r="C21" s="33">
        <f>IF($A21="","",ROUND(SUMIFS('Time Log'!$H$5:$H$304,'Time Log'!$A$5:$A$304,$A21&amp;"",'Time Log'!$I$5:$I$304,"Not approved"),2))</f>
        <v/>
      </c>
      <c r="D21" s="34">
        <f>IF($A21="","",ROUND($B21-$C21,2))</f>
        <v/>
      </c>
      <c r="E21" s="35" t="n"/>
      <c r="F21" s="16">
        <f>IF($E21="","",IF($E21&gt;$F$3,"⛔ OVER BUDGET ("&amp;TEXT($E21-$F$3,"0")&amp;" h)",IF($E21&gt;$F$3*0.8,"⚠ near budget","✓ within budget")))</f>
        <v/>
      </c>
      <c r="G21" s="43">
        <f>IF($B21="","",ROUND($B21*$B$3*$D$3,2))</f>
        <v/>
      </c>
      <c r="H21">
        <f>IF($A21="","",IF(COUNTIF('Time Log'!$A$5:$A$304,$A21&amp;"")=0,"",ROUND(SUMIF('Time Log'!$A$5:$A$304,$A21&amp;"",'Time Log'!$F$5:$F$304)-SUMIF('Time Log'!$A$5:$A$304,$A21&amp;"",'Time Log'!$G$5:$G$304),2)))</f>
        <v/>
      </c>
    </row>
    <row r="22">
      <c r="A22" s="32" t="n"/>
      <c r="B22" s="33">
        <f>IF($A22="","",ROUND(SUMIF('Time Log'!$A$5:$A$304,$A22&amp;"",'Time Log'!$H$5:$H$304),2))</f>
        <v/>
      </c>
      <c r="C22" s="33">
        <f>IF($A22="","",ROUND(SUMIFS('Time Log'!$H$5:$H$304,'Time Log'!$A$5:$A$304,$A22&amp;"",'Time Log'!$I$5:$I$304,"Not approved"),2))</f>
        <v/>
      </c>
      <c r="D22" s="34">
        <f>IF($A22="","",ROUND($B22-$C22,2))</f>
        <v/>
      </c>
      <c r="E22" s="35" t="n"/>
      <c r="F22" s="16">
        <f>IF($E22="","",IF($E22&gt;$F$3,"⛔ OVER BUDGET ("&amp;TEXT($E22-$F$3,"0")&amp;" h)",IF($E22&gt;$F$3*0.8,"⚠ near budget","✓ within budget")))</f>
        <v/>
      </c>
      <c r="G22" s="43">
        <f>IF($B22="","",ROUND($B22*$B$3*$D$3,2))</f>
        <v/>
      </c>
      <c r="H22">
        <f>IF($A22="","",IF(COUNTIF('Time Log'!$A$5:$A$304,$A22&amp;"")=0,"",ROUND(SUMIF('Time Log'!$A$5:$A$304,$A22&amp;"",'Time Log'!$F$5:$F$304)-SUMIF('Time Log'!$A$5:$A$304,$A22&amp;"",'Time Log'!$G$5:$G$304),2)))</f>
        <v/>
      </c>
    </row>
    <row r="23">
      <c r="A23" s="32" t="n"/>
      <c r="B23" s="33">
        <f>IF($A23="","",ROUND(SUMIF('Time Log'!$A$5:$A$304,$A23&amp;"",'Time Log'!$H$5:$H$304),2))</f>
        <v/>
      </c>
      <c r="C23" s="33">
        <f>IF($A23="","",ROUND(SUMIFS('Time Log'!$H$5:$H$304,'Time Log'!$A$5:$A$304,$A23&amp;"",'Time Log'!$I$5:$I$304,"Not approved"),2))</f>
        <v/>
      </c>
      <c r="D23" s="34">
        <f>IF($A23="","",ROUND($B23-$C23,2))</f>
        <v/>
      </c>
      <c r="E23" s="35" t="n"/>
      <c r="F23" s="16">
        <f>IF($E23="","",IF($E23&gt;$F$3,"⛔ OVER BUDGET ("&amp;TEXT($E23-$F$3,"0")&amp;" h)",IF($E23&gt;$F$3*0.8,"⚠ near budget","✓ within budget")))</f>
        <v/>
      </c>
      <c r="G23" s="43">
        <f>IF($B23="","",ROUND($B23*$B$3*$D$3,2))</f>
        <v/>
      </c>
      <c r="H23">
        <f>IF($A23="","",IF(COUNTIF('Time Log'!$A$5:$A$304,$A23&amp;"")=0,"",ROUND(SUMIF('Time Log'!$A$5:$A$304,$A23&amp;"",'Time Log'!$F$5:$F$304)-SUMIF('Time Log'!$A$5:$A$304,$A23&amp;"",'Time Log'!$G$5:$G$304),2)))</f>
        <v/>
      </c>
    </row>
    <row r="24">
      <c r="A24" s="32" t="n"/>
      <c r="B24" s="33">
        <f>IF($A24="","",ROUND(SUMIF('Time Log'!$A$5:$A$304,$A24&amp;"",'Time Log'!$H$5:$H$304),2))</f>
        <v/>
      </c>
      <c r="C24" s="33">
        <f>IF($A24="","",ROUND(SUMIFS('Time Log'!$H$5:$H$304,'Time Log'!$A$5:$A$304,$A24&amp;"",'Time Log'!$I$5:$I$304,"Not approved"),2))</f>
        <v/>
      </c>
      <c r="D24" s="34">
        <f>IF($A24="","",ROUND($B24-$C24,2))</f>
        <v/>
      </c>
      <c r="E24" s="35" t="n"/>
      <c r="F24" s="16">
        <f>IF($E24="","",IF($E24&gt;$F$3,"⛔ OVER BUDGET ("&amp;TEXT($E24-$F$3,"0")&amp;" h)",IF($E24&gt;$F$3*0.8,"⚠ near budget","✓ within budget")))</f>
        <v/>
      </c>
      <c r="G24" s="43">
        <f>IF($B24="","",ROUND($B24*$B$3*$D$3,2))</f>
        <v/>
      </c>
      <c r="H24">
        <f>IF($A24="","",IF(COUNTIF('Time Log'!$A$5:$A$304,$A24&amp;"")=0,"",ROUND(SUMIF('Time Log'!$A$5:$A$304,$A24&amp;"",'Time Log'!$F$5:$F$304)-SUMIF('Time Log'!$A$5:$A$304,$A24&amp;"",'Time Log'!$G$5:$G$304),2)))</f>
        <v/>
      </c>
    </row>
    <row r="25">
      <c r="A25" s="32" t="n"/>
      <c r="B25" s="33">
        <f>IF($A25="","",ROUND(SUMIF('Time Log'!$A$5:$A$304,$A25&amp;"",'Time Log'!$H$5:$H$304),2))</f>
        <v/>
      </c>
      <c r="C25" s="33">
        <f>IF($A25="","",ROUND(SUMIFS('Time Log'!$H$5:$H$304,'Time Log'!$A$5:$A$304,$A25&amp;"",'Time Log'!$I$5:$I$304,"Not approved"),2))</f>
        <v/>
      </c>
      <c r="D25" s="34">
        <f>IF($A25="","",ROUND($B25-$C25,2))</f>
        <v/>
      </c>
      <c r="E25" s="35" t="n"/>
      <c r="F25" s="16">
        <f>IF($E25="","",IF($E25&gt;$F$3,"⛔ OVER BUDGET ("&amp;TEXT($E25-$F$3,"0")&amp;" h)",IF($E25&gt;$F$3*0.8,"⚠ near budget","✓ within budget")))</f>
        <v/>
      </c>
      <c r="G25" s="43">
        <f>IF($B25="","",ROUND($B25*$B$3*$D$3,2))</f>
        <v/>
      </c>
      <c r="H25">
        <f>IF($A25="","",IF(COUNTIF('Time Log'!$A$5:$A$304,$A25&amp;"")=0,"",ROUND(SUMIF('Time Log'!$A$5:$A$304,$A25&amp;"",'Time Log'!$F$5:$F$304)-SUMIF('Time Log'!$A$5:$A$304,$A25&amp;"",'Time Log'!$G$5:$G$304),2)))</f>
        <v/>
      </c>
    </row>
    <row r="26">
      <c r="A26" s="32" t="n"/>
      <c r="B26" s="33">
        <f>IF($A26="","",ROUND(SUMIF('Time Log'!$A$5:$A$304,$A26&amp;"",'Time Log'!$H$5:$H$304),2))</f>
        <v/>
      </c>
      <c r="C26" s="33">
        <f>IF($A26="","",ROUND(SUMIFS('Time Log'!$H$5:$H$304,'Time Log'!$A$5:$A$304,$A26&amp;"",'Time Log'!$I$5:$I$304,"Not approved"),2))</f>
        <v/>
      </c>
      <c r="D26" s="34">
        <f>IF($A26="","",ROUND($B26-$C26,2))</f>
        <v/>
      </c>
      <c r="E26" s="35" t="n"/>
      <c r="F26" s="16">
        <f>IF($E26="","",IF($E26&gt;$F$3,"⛔ OVER BUDGET ("&amp;TEXT($E26-$F$3,"0")&amp;" h)",IF($E26&gt;$F$3*0.8,"⚠ near budget","✓ within budget")))</f>
        <v/>
      </c>
      <c r="G26" s="43">
        <f>IF($B26="","",ROUND($B26*$B$3*$D$3,2))</f>
        <v/>
      </c>
      <c r="H26">
        <f>IF($A26="","",IF(COUNTIF('Time Log'!$A$5:$A$304,$A26&amp;"")=0,"",ROUND(SUMIF('Time Log'!$A$5:$A$304,$A26&amp;"",'Time Log'!$F$5:$F$304)-SUMIF('Time Log'!$A$5:$A$304,$A26&amp;"",'Time Log'!$G$5:$G$304),2)))</f>
        <v/>
      </c>
    </row>
    <row r="27">
      <c r="A27" s="32" t="n"/>
      <c r="B27" s="33">
        <f>IF($A27="","",ROUND(SUMIF('Time Log'!$A$5:$A$304,$A27&amp;"",'Time Log'!$H$5:$H$304),2))</f>
        <v/>
      </c>
      <c r="C27" s="33">
        <f>IF($A27="","",ROUND(SUMIFS('Time Log'!$H$5:$H$304,'Time Log'!$A$5:$A$304,$A27&amp;"",'Time Log'!$I$5:$I$304,"Not approved"),2))</f>
        <v/>
      </c>
      <c r="D27" s="34">
        <f>IF($A27="","",ROUND($B27-$C27,2))</f>
        <v/>
      </c>
      <c r="E27" s="35" t="n"/>
      <c r="F27" s="16">
        <f>IF($E27="","",IF($E27&gt;$F$3,"⛔ OVER BUDGET ("&amp;TEXT($E27-$F$3,"0")&amp;" h)",IF($E27&gt;$F$3*0.8,"⚠ near budget","✓ within budget")))</f>
        <v/>
      </c>
      <c r="G27" s="43">
        <f>IF($B27="","",ROUND($B27*$B$3*$D$3,2))</f>
        <v/>
      </c>
      <c r="H27">
        <f>IF($A27="","",IF(COUNTIF('Time Log'!$A$5:$A$304,$A27&amp;"")=0,"",ROUND(SUMIF('Time Log'!$A$5:$A$304,$A27&amp;"",'Time Log'!$F$5:$F$304)-SUMIF('Time Log'!$A$5:$A$304,$A27&amp;"",'Time Log'!$G$5:$G$304),2)))</f>
        <v/>
      </c>
    </row>
    <row r="28">
      <c r="A28" s="32" t="n"/>
      <c r="B28" s="33">
        <f>IF($A28="","",ROUND(SUMIF('Time Log'!$A$5:$A$304,$A28&amp;"",'Time Log'!$H$5:$H$304),2))</f>
        <v/>
      </c>
      <c r="C28" s="33">
        <f>IF($A28="","",ROUND(SUMIFS('Time Log'!$H$5:$H$304,'Time Log'!$A$5:$A$304,$A28&amp;"",'Time Log'!$I$5:$I$304,"Not approved"),2))</f>
        <v/>
      </c>
      <c r="D28" s="34">
        <f>IF($A28="","",ROUND($B28-$C28,2))</f>
        <v/>
      </c>
      <c r="E28" s="35" t="n"/>
      <c r="F28" s="16">
        <f>IF($E28="","",IF($E28&gt;$F$3,"⛔ OVER BUDGET ("&amp;TEXT($E28-$F$3,"0")&amp;" h)",IF($E28&gt;$F$3*0.8,"⚠ near budget","✓ within budget")))</f>
        <v/>
      </c>
      <c r="G28" s="43">
        <f>IF($B28="","",ROUND($B28*$B$3*$D$3,2))</f>
        <v/>
      </c>
      <c r="H28">
        <f>IF($A28="","",IF(COUNTIF('Time Log'!$A$5:$A$304,$A28&amp;"")=0,"",ROUND(SUMIF('Time Log'!$A$5:$A$304,$A28&amp;"",'Time Log'!$F$5:$F$304)-SUMIF('Time Log'!$A$5:$A$304,$A28&amp;"",'Time Log'!$G$5:$G$304),2)))</f>
        <v/>
      </c>
    </row>
    <row r="29">
      <c r="A29" s="32" t="n"/>
      <c r="B29" s="33">
        <f>IF($A29="","",ROUND(SUMIF('Time Log'!$A$5:$A$304,$A29&amp;"",'Time Log'!$H$5:$H$304),2))</f>
        <v/>
      </c>
      <c r="C29" s="33">
        <f>IF($A29="","",ROUND(SUMIFS('Time Log'!$H$5:$H$304,'Time Log'!$A$5:$A$304,$A29&amp;"",'Time Log'!$I$5:$I$304,"Not approved"),2))</f>
        <v/>
      </c>
      <c r="D29" s="34">
        <f>IF($A29="","",ROUND($B29-$C29,2))</f>
        <v/>
      </c>
      <c r="E29" s="35" t="n"/>
      <c r="F29" s="16">
        <f>IF($E29="","",IF($E29&gt;$F$3,"⛔ OVER BUDGET ("&amp;TEXT($E29-$F$3,"0")&amp;" h)",IF($E29&gt;$F$3*0.8,"⚠ near budget","✓ within budget")))</f>
        <v/>
      </c>
      <c r="G29" s="43">
        <f>IF($B29="","",ROUND($B29*$B$3*$D$3,2))</f>
        <v/>
      </c>
      <c r="H29">
        <f>IF($A29="","",IF(COUNTIF('Time Log'!$A$5:$A$304,$A29&amp;"")=0,"",ROUND(SUMIF('Time Log'!$A$5:$A$304,$A29&amp;"",'Time Log'!$F$5:$F$304)-SUMIF('Time Log'!$A$5:$A$304,$A29&amp;"",'Time Log'!$G$5:$G$304),2)))</f>
        <v/>
      </c>
    </row>
    <row r="30">
      <c r="A30" s="32" t="n"/>
      <c r="B30" s="33">
        <f>IF($A30="","",ROUND(SUMIF('Time Log'!$A$5:$A$304,$A30&amp;"",'Time Log'!$H$5:$H$304),2))</f>
        <v/>
      </c>
      <c r="C30" s="33">
        <f>IF($A30="","",ROUND(SUMIFS('Time Log'!$H$5:$H$304,'Time Log'!$A$5:$A$304,$A30&amp;"",'Time Log'!$I$5:$I$304,"Not approved"),2))</f>
        <v/>
      </c>
      <c r="D30" s="34">
        <f>IF($A30="","",ROUND($B30-$C30,2))</f>
        <v/>
      </c>
      <c r="E30" s="35" t="n"/>
      <c r="F30" s="16">
        <f>IF($E30="","",IF($E30&gt;$F$3,"⛔ OVER BUDGET ("&amp;TEXT($E30-$F$3,"0")&amp;" h)",IF($E30&gt;$F$3*0.8,"⚠ near budget","✓ within budget")))</f>
        <v/>
      </c>
      <c r="G30" s="43">
        <f>IF($B30="","",ROUND($B30*$B$3*$D$3,2))</f>
        <v/>
      </c>
      <c r="H30">
        <f>IF($A30="","",IF(COUNTIF('Time Log'!$A$5:$A$304,$A30&amp;"")=0,"",ROUND(SUMIF('Time Log'!$A$5:$A$304,$A30&amp;"",'Time Log'!$F$5:$F$304)-SUMIF('Time Log'!$A$5:$A$304,$A30&amp;"",'Time Log'!$G$5:$G$304),2)))</f>
        <v/>
      </c>
    </row>
    <row r="31">
      <c r="A31" s="32" t="n"/>
      <c r="B31" s="33">
        <f>IF($A31="","",ROUND(SUMIF('Time Log'!$A$5:$A$304,$A31&amp;"",'Time Log'!$H$5:$H$304),2))</f>
        <v/>
      </c>
      <c r="C31" s="33">
        <f>IF($A31="","",ROUND(SUMIFS('Time Log'!$H$5:$H$304,'Time Log'!$A$5:$A$304,$A31&amp;"",'Time Log'!$I$5:$I$304,"Not approved"),2))</f>
        <v/>
      </c>
      <c r="D31" s="34">
        <f>IF($A31="","",ROUND($B31-$C31,2))</f>
        <v/>
      </c>
      <c r="E31" s="35" t="n"/>
      <c r="F31" s="16">
        <f>IF($E31="","",IF($E31&gt;$F$3,"⛔ OVER BUDGET ("&amp;TEXT($E31-$F$3,"0")&amp;" h)",IF($E31&gt;$F$3*0.8,"⚠ near budget","✓ within budget")))</f>
        <v/>
      </c>
      <c r="G31" s="43">
        <f>IF($B31="","",ROUND($B31*$B$3*$D$3,2))</f>
        <v/>
      </c>
      <c r="H31">
        <f>IF($A31="","",IF(COUNTIF('Time Log'!$A$5:$A$304,$A31&amp;"")=0,"",ROUND(SUMIF('Time Log'!$A$5:$A$304,$A31&amp;"",'Time Log'!$F$5:$F$304)-SUMIF('Time Log'!$A$5:$A$304,$A31&amp;"",'Time Log'!$G$5:$G$304),2)))</f>
        <v/>
      </c>
    </row>
    <row r="32">
      <c r="A32" s="32" t="n"/>
      <c r="B32" s="33">
        <f>IF($A32="","",ROUND(SUMIF('Time Log'!$A$5:$A$304,$A32&amp;"",'Time Log'!$H$5:$H$304),2))</f>
        <v/>
      </c>
      <c r="C32" s="33">
        <f>IF($A32="","",ROUND(SUMIFS('Time Log'!$H$5:$H$304,'Time Log'!$A$5:$A$304,$A32&amp;"",'Time Log'!$I$5:$I$304,"Not approved"),2))</f>
        <v/>
      </c>
      <c r="D32" s="34">
        <f>IF($A32="","",ROUND($B32-$C32,2))</f>
        <v/>
      </c>
      <c r="E32" s="35" t="n"/>
      <c r="F32" s="16">
        <f>IF($E32="","",IF($E32&gt;$F$3,"⛔ OVER BUDGET ("&amp;TEXT($E32-$F$3,"0")&amp;" h)",IF($E32&gt;$F$3*0.8,"⚠ near budget","✓ within budget")))</f>
        <v/>
      </c>
      <c r="G32" s="43">
        <f>IF($B32="","",ROUND($B32*$B$3*$D$3,2))</f>
        <v/>
      </c>
      <c r="H32">
        <f>IF($A32="","",IF(COUNTIF('Time Log'!$A$5:$A$304,$A32&amp;"")=0,"",ROUND(SUMIF('Time Log'!$A$5:$A$304,$A32&amp;"",'Time Log'!$F$5:$F$304)-SUMIF('Time Log'!$A$5:$A$304,$A32&amp;"",'Time Log'!$G$5:$G$304),2)))</f>
        <v/>
      </c>
    </row>
    <row r="33">
      <c r="A33" s="32" t="n"/>
      <c r="B33" s="33">
        <f>IF($A33="","",ROUND(SUMIF('Time Log'!$A$5:$A$304,$A33&amp;"",'Time Log'!$H$5:$H$304),2))</f>
        <v/>
      </c>
      <c r="C33" s="33">
        <f>IF($A33="","",ROUND(SUMIFS('Time Log'!$H$5:$H$304,'Time Log'!$A$5:$A$304,$A33&amp;"",'Time Log'!$I$5:$I$304,"Not approved"),2))</f>
        <v/>
      </c>
      <c r="D33" s="34">
        <f>IF($A33="","",ROUND($B33-$C33,2))</f>
        <v/>
      </c>
      <c r="E33" s="35" t="n"/>
      <c r="F33" s="16">
        <f>IF($E33="","",IF($E33&gt;$F$3,"⛔ OVER BUDGET ("&amp;TEXT($E33-$F$3,"0")&amp;" h)",IF($E33&gt;$F$3*0.8,"⚠ near budget","✓ within budget")))</f>
        <v/>
      </c>
      <c r="G33" s="43">
        <f>IF($B33="","",ROUND($B33*$B$3*$D$3,2))</f>
        <v/>
      </c>
      <c r="H33">
        <f>IF($A33="","",IF(COUNTIF('Time Log'!$A$5:$A$304,$A33&amp;"")=0,"",ROUND(SUMIF('Time Log'!$A$5:$A$304,$A33&amp;"",'Time Log'!$F$5:$F$304)-SUMIF('Time Log'!$A$5:$A$304,$A33&amp;"",'Time Log'!$G$5:$G$304),2)))</f>
        <v/>
      </c>
    </row>
    <row r="34">
      <c r="A34" s="32" t="n"/>
      <c r="B34" s="33">
        <f>IF($A34="","",ROUND(SUMIF('Time Log'!$A$5:$A$304,$A34&amp;"",'Time Log'!$H$5:$H$304),2))</f>
        <v/>
      </c>
      <c r="C34" s="33">
        <f>IF($A34="","",ROUND(SUMIFS('Time Log'!$H$5:$H$304,'Time Log'!$A$5:$A$304,$A34&amp;"",'Time Log'!$I$5:$I$304,"Not approved"),2))</f>
        <v/>
      </c>
      <c r="D34" s="34">
        <f>IF($A34="","",ROUND($B34-$C34,2))</f>
        <v/>
      </c>
      <c r="E34" s="35" t="n"/>
      <c r="F34" s="16">
        <f>IF($E34="","",IF($E34&gt;$F$3,"⛔ OVER BUDGET ("&amp;TEXT($E34-$F$3,"0")&amp;" h)",IF($E34&gt;$F$3*0.8,"⚠ near budget","✓ within budget")))</f>
        <v/>
      </c>
      <c r="G34" s="43">
        <f>IF($B34="","",ROUND($B34*$B$3*$D$3,2))</f>
        <v/>
      </c>
      <c r="H34">
        <f>IF($A34="","",IF(COUNTIF('Time Log'!$A$5:$A$304,$A34&amp;"")=0,"",ROUND(SUMIF('Time Log'!$A$5:$A$304,$A34&amp;"",'Time Log'!$F$5:$F$304)-SUMIF('Time Log'!$A$5:$A$304,$A34&amp;"",'Time Log'!$G$5:$G$304),2)))</f>
        <v/>
      </c>
    </row>
    <row r="35">
      <c r="A35" s="32" t="n"/>
      <c r="B35" s="33">
        <f>IF($A35="","",ROUND(SUMIF('Time Log'!$A$5:$A$304,$A35&amp;"",'Time Log'!$H$5:$H$304),2))</f>
        <v/>
      </c>
      <c r="C35" s="33">
        <f>IF($A35="","",ROUND(SUMIFS('Time Log'!$H$5:$H$304,'Time Log'!$A$5:$A$304,$A35&amp;"",'Time Log'!$I$5:$I$304,"Not approved"),2))</f>
        <v/>
      </c>
      <c r="D35" s="34">
        <f>IF($A35="","",ROUND($B35-$C35,2))</f>
        <v/>
      </c>
      <c r="E35" s="35" t="n"/>
      <c r="F35" s="16">
        <f>IF($E35="","",IF($E35&gt;$F$3,"⛔ OVER BUDGET ("&amp;TEXT($E35-$F$3,"0")&amp;" h)",IF($E35&gt;$F$3*0.8,"⚠ near budget","✓ within budget")))</f>
        <v/>
      </c>
      <c r="G35" s="43">
        <f>IF($B35="","",ROUND($B35*$B$3*$D$3,2))</f>
        <v/>
      </c>
      <c r="H35">
        <f>IF($A35="","",IF(COUNTIF('Time Log'!$A$5:$A$304,$A35&amp;"")=0,"",ROUND(SUMIF('Time Log'!$A$5:$A$304,$A35&amp;"",'Time Log'!$F$5:$F$304)-SUMIF('Time Log'!$A$5:$A$304,$A35&amp;"",'Time Log'!$G$5:$G$304),2)))</f>
        <v/>
      </c>
    </row>
    <row r="37">
      <c r="A37" s="15" t="inlineStr">
        <is>
          <t>TOTALS</t>
        </is>
      </c>
      <c r="B37" s="37">
        <f>IF(COUNT(B6:B35)=0,"",ROUND(SUM(B6:B35),2))</f>
        <v/>
      </c>
      <c r="C37" s="38">
        <f>IF(COUNT(C6:C35)=0,"",ROUND(SUM(C6:C35),2))</f>
        <v/>
      </c>
      <c r="D37" s="38">
        <f>IF(COUNT(D6:D35)=0,"",ROUND(SUM(D6:D35),2))</f>
        <v/>
      </c>
      <c r="E37" s="43" t="n"/>
      <c r="F37" s="43" t="n"/>
      <c r="G37" s="43">
        <f>IF(COUNT(G6:G35)=0,"",ROUND(SUM(G6:G35),2))</f>
        <v/>
      </c>
      <c r="H37" s="38">
        <f>IF(COUNT(H6:H35)=0,"",ROUND(SUM(H6:H35),2))</f>
        <v/>
      </c>
    </row>
    <row r="39">
      <c r="A39" s="10" t="inlineStr">
        <is>
          <t>© 2026 AI Chef Pro · aichef.pro</t>
        </is>
      </c>
    </row>
  </sheetData>
  <sheetProtection selectLockedCells="0" selectUnlockedCells="0" sheet="1" objects="0" insertRows="1" insertHyperlinks="1" autoFilter="0" scenarios="0" formatColumns="0" deleteColumns="1" insertColumns="1" pivotTables="1" deleteRows="1" formatCells="1" formatRows="0" sort="0"/>
  <mergeCells count="3">
    <mergeCell ref="A2:G2"/>
    <mergeCell ref="A39:G39"/>
    <mergeCell ref="A1:G1"/>
  </mergeCells>
  <conditionalFormatting sqref="F6:F35">
    <cfRule type="containsText" priority="1" operator="containsText" dxfId="0" stopIfTrue="1" text="OVER BUDGET">
      <formula>NOT(ISERROR(SEARCH("OVER BUDGET",F6)))</formula>
    </cfRule>
    <cfRule type="containsText" priority="2" operator="containsText" dxfId="1" stopIfTrue="1" text="near budget">
      <formula>NOT(ISERROR(SEARCH("near budget",F6)))</formula>
    </cfRule>
    <cfRule type="containsText" priority="3" operator="containsText" dxfId="2" stopIfTrue="1" text="within budget">
      <formula>NOT(ISERROR(SEARCH("within budget",F6)))</formula>
    </cfRule>
    <cfRule type="containsText" priority="4" operator="containsText" dxfId="2" stopIfTrue="1" text="OK">
      <formula>NOT(ISERROR(SEARCH("OK",F6)))</formula>
    </cfRule>
  </conditionalFormatting>
  <dataValidations count="3">
    <dataValidation sqref="B3" showDropDown="0" showInputMessage="1" showErrorMessage="0" allowBlank="0" promptTitle="Hourly rate for OT estimate" prompt="For the cost ESTIMATE only: your loaded cost per hour, from the &quot;Cost per hour worked&quot; column of file 03 &quot;Restaurant Labor Cost Calculator&quot;. The legal OT rate is 1.5× the regular rate of pay."/>
    <dataValidation sqref="D3" showDropDown="0" showInputMessage="1" showErrorMessage="0" allowBlank="0" promptTitle="Overtime multiplier" prompt="Keep 1.5: the FLSA rate for hours over 40 in the workweek. California double time applies only over 12 h/day and over 8 h on the 7th consecutive day: do not set 2× for all overtime. UK: no legal premium."/>
    <dataValidation sqref="F3" showDropDown="0" showInputMessage="1" showErrorMessage="0" allowBlank="0" promptTitle="Annual OT budget (h)" prompt="Kit rule: federal law sets no yearly cap on overtime hours. Type the budget per person you want to manage (80 by default); the summary shows near or over budget."/>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Overtime Tracker &amp; Time Log (FLSA 40-Hour Week)</dc:title>
  <dc:description xmlns:dc="http://purl.org/dc/elements/1.1/">aichef.pro/en/digital-products/restaurant-schedule-templates</dc:description>
  <dc:subject xmlns:dc="http://purl.org/dc/elements/1.1/">Restaurant Staff Scheduling Kit Pro · v2.0</dc:subject>
  <dcterms:created xmlns:dcterms="http://purl.org/dc/terms/" xmlns:xsi="http://www.w3.org/2001/XMLSchema-instance" xsi:type="dcterms:W3CDTF">2026-03-23T19:17:38Z</dcterms:created>
  <dcterms:modified xmlns:dcterms="http://purl.org/dc/terms/" xmlns:xsi="http://www.w3.org/2001/XMLSchema-instance" xsi:type="dcterms:W3CDTF">2026-10-03T15:46:24Z</dcterms:modified>
  <cp:lastModifiedBy>AI Chef Pro</cp:lastModifiedBy>
  <cp:category>AI Chef Pro · Digital products</cp:category>
  <cp:keywords>restaurant schedule template, staff rota, AI Chef Pro</cp:keywords>
</cp:coreProperties>
</file>