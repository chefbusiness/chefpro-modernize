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Time Log" sheetId="2" state="visible" r:id="rId2"/>
    <sheet xmlns:r="http://schemas.openxmlformats.org/officeDocument/2006/relationships" name="Monthly OT Summary" sheetId="3" state="visible" r:id="rId3"/>
  </sheets>
  <definedNames>
    <definedName name="_xlnm.Print_Area" localSheetId="0">'Instructions'!$A$1:$B$29</definedName>
    <definedName name="_xlnm.Print_Titles" localSheetId="1">'Time Log'!$4:$4</definedName>
    <definedName name="_xlnm.Print_Area" localSheetId="1">'Time Log'!$A$1:$J$306</definedName>
    <definedName name="_xlnm.Print_Titles" localSheetId="2">'Monthly OT Summary'!$5:$5</definedName>
    <definedName name="_xlnm.Print_Area" localSheetId="2">'Monthly OT Summary'!$A$1:$H$39</definedName>
  </definedNames>
  <calcPr calcId="124519" fullCalcOnLoad="1"/>
</workbook>
</file>

<file path=xl/styles.xml><?xml version="1.0" encoding="utf-8"?>
<styleSheet xmlns="http://schemas.openxmlformats.org/spreadsheetml/2006/main">
  <numFmts count="4">
    <numFmt numFmtId="164" formatCode="#,##0.00"/>
    <numFmt numFmtId="165" formatCode="m/d/yyyy"/>
    <numFmt numFmtId="166" formatCode="h:mm AM/PM"/>
    <numFmt numFmtId="167" formatCode="#,##0.00;@"/>
  </numFmts>
  <fonts count="13">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b val="1"/>
      <color rgb="001565C0"/>
      <sz val="11"/>
    </font>
    <font>
      <name val="Calibri"/>
      <color rgb="00999999"/>
      <sz val="9"/>
    </font>
    <font>
      <name val="Calibri"/>
      <b val="1"/>
      <sz val="11"/>
    </font>
    <font>
      <b val="1"/>
      <color rgb="00FFFFFF"/>
      <sz val="10"/>
    </font>
    <font>
      <b val="1"/>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2" fontId="8"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9" fillId="0" borderId="0" pivotButton="0" quotePrefix="0" xfId="0"/>
    <xf numFmtId="0" fontId="10" fillId="0" borderId="0" pivotButton="0" quotePrefix="0" xfId="0"/>
    <xf numFmtId="0" fontId="7" fillId="3" borderId="1" pivotButton="0" quotePrefix="0" xfId="0"/>
    <xf numFmtId="0" fontId="7" fillId="0" borderId="1" applyAlignment="1" pivotButton="0" quotePrefix="0" xfId="0">
      <alignment horizontal="center" vertical="center" wrapText="1"/>
    </xf>
    <xf numFmtId="164" fontId="8" fillId="0" borderId="1" pivotButton="0" quotePrefix="0" xfId="0"/>
    <xf numFmtId="0" fontId="10" fillId="0" borderId="1" pivotButton="0" quotePrefix="0" xfId="0"/>
    <xf numFmtId="0" fontId="8" fillId="0" borderId="1"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1" fillId="4" borderId="1" applyAlignment="1" pivotButton="0" quotePrefix="0" xfId="0">
      <alignment horizontal="center" vertical="center" wrapText="1"/>
    </xf>
    <xf numFmtId="0" fontId="11" fillId="4" borderId="0" applyAlignment="1" pivotButton="0" quotePrefix="0" xfId="0">
      <alignment horizontal="center" vertical="center" wrapText="1"/>
    </xf>
    <xf numFmtId="0" fontId="7" fillId="3" borderId="1" applyAlignment="1" applyProtection="1" pivotButton="0" quotePrefix="0" xfId="0">
      <alignment horizontal="center" vertical="center" wrapText="1"/>
      <protection locked="0" hidden="0"/>
    </xf>
    <xf numFmtId="165" fontId="7" fillId="3" borderId="1" applyAlignment="1" applyProtection="1" pivotButton="0" quotePrefix="0" xfId="0">
      <alignment horizontal="center" vertical="center" wrapText="1"/>
      <protection locked="0" hidden="0"/>
    </xf>
    <xf numFmtId="166" fontId="7" fillId="3" borderId="1" applyAlignment="1" applyProtection="1" pivotButton="0" quotePrefix="0" xfId="0">
      <alignment horizontal="center" vertical="center" wrapText="1"/>
      <protection locked="0" hidden="0"/>
    </xf>
    <xf numFmtId="2" fontId="8" fillId="5" borderId="1" applyAlignment="1" applyProtection="1" pivotButton="0" quotePrefix="0" xfId="0">
      <alignment horizontal="center" vertical="center" wrapText="1"/>
      <protection locked="0" hidden="0"/>
    </xf>
    <xf numFmtId="2" fontId="7" fillId="3" borderId="1" applyAlignment="1" applyProtection="1" pivotButton="0" quotePrefix="0" xfId="0">
      <alignment horizontal="center" vertical="center" wrapText="1"/>
      <protection locked="0" hidden="0"/>
    </xf>
    <xf numFmtId="0" fontId="0" fillId="3" borderId="1" applyAlignment="1" applyProtection="1" pivotButton="0" quotePrefix="0" xfId="0">
      <alignment horizontal="center" vertical="center" wrapText="1"/>
      <protection locked="0" hidden="0"/>
    </xf>
    <xf numFmtId="0" fontId="0" fillId="0" borderId="0" applyAlignment="1" pivotButton="0" quotePrefix="0" xfId="0">
      <alignment vertical="center" wrapText="1"/>
    </xf>
    <xf numFmtId="0" fontId="12" fillId="0" borderId="0" applyAlignment="1" pivotButton="0" quotePrefix="0" xfId="0">
      <alignment vertical="center" wrapText="1"/>
    </xf>
    <xf numFmtId="167" fontId="7" fillId="5" borderId="1" applyProtection="1" pivotButton="0" quotePrefix="0" xfId="0">
      <protection locked="0" hidden="0"/>
    </xf>
    <xf numFmtId="2" fontId="0" fillId="5" borderId="0" applyProtection="1" pivotButton="0" quotePrefix="0" xfId="0">
      <protection locked="0" hidden="0"/>
    </xf>
    <xf numFmtId="1" fontId="0" fillId="5" borderId="0" applyProtection="1" pivotButton="0" quotePrefix="0" xfId="0">
      <protection locked="0" hidden="0"/>
    </xf>
    <xf numFmtId="0" fontId="7" fillId="3" borderId="1" applyProtection="1" pivotButton="0" quotePrefix="0" xfId="0">
      <protection locked="0" hidden="0"/>
    </xf>
    <xf numFmtId="2" fontId="7" fillId="0" borderId="1" pivotButton="0" quotePrefix="0" xfId="0"/>
    <xf numFmtId="2" fontId="7" fillId="0" borderId="1" applyAlignment="1" pivotButton="0" quotePrefix="0" xfId="0">
      <alignment horizontal="center" vertical="center" wrapText="1"/>
    </xf>
    <xf numFmtId="2" fontId="8" fillId="5" borderId="1" applyProtection="1" pivotButton="0" quotePrefix="0" xfId="0">
      <protection locked="0" hidden="0"/>
    </xf>
    <xf numFmtId="167" fontId="8" fillId="0" borderId="1" pivotButton="0" quotePrefix="0" xfId="0"/>
    <xf numFmtId="2" fontId="8" fillId="0" borderId="1" pivotButton="0" quotePrefix="0" xfId="0"/>
    <xf numFmtId="2" fontId="0" fillId="0" borderId="0" pivotButton="0" quotePrefix="0" xfId="0"/>
    <xf numFmtId="0" fontId="0" fillId="5" borderId="0" applyProtection="1" pivotButton="0" quotePrefix="0" xfId="0">
      <protection locked="0" hidden="0"/>
    </xf>
    <xf numFmtId="14" fontId="7" fillId="3" borderId="1" applyAlignment="1" applyProtection="1" pivotButton="0" quotePrefix="0" xfId="0">
      <alignment horizontal="center" vertical="center" wrapText="1"/>
      <protection locked="0" hidden="0"/>
    </xf>
    <xf numFmtId="18" fontId="7" fillId="3" borderId="1" applyAlignment="1" applyProtection="1" pivotButton="0" quotePrefix="0" xfId="0">
      <alignment horizontal="center" vertical="center" wrapText="1"/>
      <protection locked="0" hidden="0"/>
    </xf>
    <xf numFmtId="4" fontId="7" fillId="5" borderId="1" applyProtection="1" pivotButton="0" quotePrefix="0" xfId="0">
      <protection locked="0" hidden="0"/>
    </xf>
    <xf numFmtId="4" fontId="8" fillId="0" borderId="1"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9"/>
  <sheetViews>
    <sheetView workbookViewId="0">
      <selection activeCell="A1" sqref="A1"/>
    </sheetView>
  </sheetViews>
  <sheetFormatPr baseColWidth="8" defaultRowHeight="15"/>
  <cols>
    <col width="3" customWidth="1" min="1" max="1"/>
    <col width="80" customWidth="1" min="2" max="2"/>
  </cols>
  <sheetData>
    <row r="2">
      <c r="B2" s="1" t="inlineStr">
        <is>
          <t>02 · Overtime Tracker &amp; Time Log (FLSA 40-Hour Week)</t>
        </is>
      </c>
    </row>
    <row r="4">
      <c r="B4" s="17" t="inlineStr">
        <is>
          <t>How to use this template:</t>
        </is>
      </c>
    </row>
    <row r="5">
      <c r="B5" s="18" t="inlineStr">
        <is>
          <t>▸ Log clock-in, clock-out and BREAK. The break is what makes a split shift loggable: 10:00 AM → 11:00 PM with a 4 h break is 9 h worked, not 13.</t>
        </is>
      </c>
    </row>
    <row r="6">
      <c r="B6" s="18" t="inlineStr">
        <is>
          <t>▸ A NIGHT shift is logged the same way: 11:00 PM → 7:00 AM is 8 h. The formula handles the midnight crossing.</t>
        </is>
      </c>
    </row>
    <row r="7">
      <c r="B7" s="18" t="inlineStr">
        <is>
          <t>▸ The "Monthly OT Summary" adds up each employee's hours with SUMIF: nothing to copy by hand.</t>
        </is>
      </c>
    </row>
    <row r="8">
      <c r="B8" s="18" t="inlineStr">
        <is>
          <t>▸ This sheet has 300 rows. With 30 people clocking in daily that is about 780 entries a month: use one copy of the sheet per pay period, or select the last row and drag down (the formulas copy themselves).</t>
        </is>
      </c>
    </row>
    <row r="9">
      <c r="B9" s="2" t="n"/>
    </row>
    <row r="10">
      <c r="B10" s="17" t="inlineStr">
        <is>
          <t>What federal law says (FLSA):</t>
        </is>
      </c>
    </row>
    <row r="11">
      <c r="B11" s="18" t="inlineStr">
        <is>
          <t>▸ FLSA, 29 U.S.C. 207(a)(1): overtime is every hour over 40 in the workweek, paid at 1.5× the regular rate. Federal law sets no yearly cap on overtime: the 80 h budget ("Monthly OT Summary", F3) is a kit rule you can change.</t>
        </is>
      </c>
    </row>
    <row r="12">
      <c r="B12" s="18" t="inlineStr">
        <is>
          <t>▸ Some states add a daily rule (California: over 8 h in a day at 1.5×, over 12 h at 2×; Labor Code §510(a)). Type your state's daily threshold in F3 above the log; leave it blank for the federal rule only. UK: no legal overtime premium (gov.uk/overtime-your-rights).</t>
        </is>
      </c>
    </row>
    <row r="13">
      <c r="B13" s="18" t="inlineStr">
        <is>
          <t>▸ That is why the multiplier is a green cell (D3 of the "Monthly OT Summary") and not a number inside a formula. The 1.5 it ships with is the federal minimum for non-exempt staff, not a ceiling: raise it if your contract or state pays more (double time in California) before relying on the cost column. Tipped staff: overtime is owed on the full minimum wage, not on the cash wage (29 CFR 531.60).</t>
        </is>
      </c>
    </row>
    <row r="14">
      <c r="B14" s="18" t="inlineStr">
        <is>
          <t>▸ You may require overtime from non-exempt staff, but every hour worked must be paid, including overtime nobody approved (29 CFR 785.11-785.13).</t>
        </is>
      </c>
    </row>
    <row r="15">
      <c r="B15" s="2" t="n"/>
    </row>
    <row r="16">
      <c r="B16" s="17" t="inlineStr">
        <is>
          <t>Log columns:</t>
        </is>
      </c>
    </row>
    <row r="17">
      <c r="B17" s="18" t="inlineStr">
        <is>
          <t>▸ Hours worked = clock-out − clock-in − break. Type times with a colon and AM/PM (9:00 AM, not 9): the drop-down rejects a bare 9, which Excel reads as nine DAYS and would leave the shift at 0.00 without warning.</t>
        </is>
      </c>
    </row>
    <row r="18">
      <c r="B18" s="18" t="inlineStr">
        <is>
          <t>▸ Scheduled hours = the hours that person was SCHEDULED that day, preloaded at 8 for reference. Overtime does not depend on this column: it is calculated by the FLSA rule (hours over 40 in the workweek, plus the optional daily rule in F3).</t>
        </is>
      </c>
    </row>
    <row r="19">
      <c r="B19" s="18" t="inlineStr">
        <is>
          <t>▸ OT type: Pre-approved · Manager request · Emergency / call-in · Not approved · Shift cover. The "Not approved" hours are counted in their own column of the summary because they are still payable.</t>
        </is>
      </c>
    </row>
    <row r="20">
      <c r="B20" s="18" t="inlineStr">
        <is>
          <t>▸ Comp time does not exist for private employers: you cannot give time off instead of overtime pay (29 U.S.C. 207(o) covers only public agencies). So every overtime hour in this log is paid, including those marked "Not approved": if someone worked it, you owe it (29 CFR 785.11).</t>
        </is>
      </c>
    </row>
    <row r="21">
      <c r="B21" s="18" t="inlineStr">
        <is>
          <t>▸ For a PART-TIME employee, extra hours are overtime only once the workweek passes 40 h; below that they are paid at the regular rate. Tag the hours a part-timer picks up for a colleague as "Shift cover" so you can find them later.</t>
        </is>
      </c>
    </row>
    <row r="22">
      <c r="B22" s="18" t="inlineStr">
        <is>
          <t>▸ "Worked − scheduled hours (month)" carries a SIGN: it can be negative. The "OT hours (FLSA)" column of the log counts only the excess over 40 h in the workweek (and the daily rule if you set F3), so it does not see days below schedule. Use the balance to compare what you scheduled with what was worked; what you PAY as overtime is the log's OT column.</t>
        </is>
      </c>
    </row>
    <row r="23">
      <c r="B23" s="18" t="inlineStr">
        <is>
          <t>▸ The "Alert" column of the log warns about the four ways to lose a shift silently: a time typed without the colon (9 instead of 9:00 AM), clock-in equal to clock-out, a break longer than the shift, and a name that is not in the "Monthly OT Summary" (SUMIF looks for the EXACT text: one extra space and that person shows zero).</t>
        </is>
      </c>
    </row>
    <row r="24">
      <c r="B24" s="18" t="inlineStr">
        <is>
          <t>▸ In the "Monthly OT Summary", "OT hours year to date" is green and you carry it from month to month: add the previous total and this month's hours. It is the one that watches the annual budget.</t>
        </is>
      </c>
    </row>
    <row r="25">
      <c r="B25" s="18" t="inlineStr">
        <is>
          <t>▸ Before using the rate in B3, replace the sample with your own: take it from the "Cost per hour worked" column of file 03 (Restaurant Labor Cost Calculator (Payroll &amp; Labor %)), which is the real cost per hour, not the plain hourly wage.</t>
        </is>
      </c>
    </row>
    <row r="27">
      <c r="B27" s="17" t="inlineStr">
        <is>
          <t>To edit a locked cell: Review → Unprotect Sheet (no password). Green cells are already editable without unprotecting anything.</t>
        </is>
      </c>
    </row>
    <row r="28">
      <c r="B28" s="17" t="inlineStr">
        <is>
          <t>Designed by John Guerrero — chef and restaurant consultant since 2010, in professional kitchens since age 17 · johnguerrero.es</t>
        </is>
      </c>
    </row>
    <row r="29">
      <c r="B29" s="17" t="inlineStr">
        <is>
          <t>Version 2.0 · October 2026 · aichef.pro/en/digital-products/restaurant-schedule-templates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65100"/>
    <outlinePr summaryBelow="1" summaryRight="1"/>
    <pageSetUpPr fitToPage="1"/>
  </sheetPr>
  <dimension ref="A1:J306"/>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2" customWidth="1" min="5" max="5"/>
    <col width="16" customWidth="1" min="6" max="6"/>
    <col width="14" customWidth="1" min="7" max="7"/>
    <col width="16" customWidth="1" min="8" max="8"/>
    <col width="26" customWidth="1" min="9" max="9"/>
    <col width="40" customWidth="1" min="10" max="10"/>
  </cols>
  <sheetData>
    <row r="1">
      <c r="A1" s="4" t="inlineStr">
        <is>
          <t>Time Log — Month: _______________</t>
        </is>
      </c>
    </row>
    <row r="2">
      <c r="A2" s="5" t="inlineStr">
        <is>
          <t>AI Chef Pro · aichef.pro — Restaurant Staff Scheduling Kit Pro</t>
        </is>
      </c>
    </row>
    <row r="3" ht="30" customHeight="1">
      <c r="A3" s="28" t="inlineStr">
        <is>
          <t>Workweek starts (1=Sun):</t>
        </is>
      </c>
      <c r="B3" s="31" t="n">
        <v>1</v>
      </c>
      <c r="C3" s="28" t="inlineStr">
        <is>
          <t>Weekly OT after (h):</t>
        </is>
      </c>
      <c r="D3" s="39" t="n">
        <v>40</v>
      </c>
      <c r="E3" s="28" t="inlineStr">
        <is>
          <t>Daily OT after (h):</t>
        </is>
      </c>
      <c r="F3" s="39" t="n"/>
    </row>
    <row r="4" ht="30" customHeight="1">
      <c r="A4" s="19" t="inlineStr">
        <is>
          <t>Employee</t>
        </is>
      </c>
      <c r="B4" s="19" t="inlineStr">
        <is>
          <t>Date</t>
        </is>
      </c>
      <c r="C4" s="19" t="inlineStr">
        <is>
          <t>Clock-in</t>
        </is>
      </c>
      <c r="D4" s="19" t="inlineStr">
        <is>
          <t>Clock-out</t>
        </is>
      </c>
      <c r="E4" s="19" t="inlineStr">
        <is>
          <t>Break (h)</t>
        </is>
      </c>
      <c r="F4" s="19" t="inlineStr">
        <is>
          <t>Hours worked</t>
        </is>
      </c>
      <c r="G4" s="19" t="inlineStr">
        <is>
          <t>Scheduled hours</t>
        </is>
      </c>
      <c r="H4" s="19" t="inlineStr">
        <is>
          <t>OT hours (FLSA)</t>
        </is>
      </c>
      <c r="I4" s="19" t="inlineStr">
        <is>
          <t>OT type</t>
        </is>
      </c>
      <c r="J4" s="20" t="inlineStr">
        <is>
          <t>Alert</t>
        </is>
      </c>
    </row>
    <row r="5">
      <c r="A5" s="21" t="n"/>
      <c r="B5" s="40" t="n"/>
      <c r="C5" s="41" t="n"/>
      <c r="D5" s="41" t="n"/>
      <c r="E5" s="24" t="n"/>
      <c r="F5" s="8">
        <f>IF(OR($C5="",$D5=""),"",IF(OR($C5&gt;=1,$D5&gt;=1,$C5=$D5,IF($E5="",0,$E5)&gt;MOD($D5-$C5,1)*24),"",ROUND(MOD($D5-$C5,1)*24-IF($E5="",0,$E5),2)))</f>
        <v/>
      </c>
      <c r="G5" s="25" t="n">
        <v>8</v>
      </c>
      <c r="H5" s="8">
        <f>IF(OR($A5="",$B5="",$F5=""),"",ROUND(IF($F$3="",0,MAX(0,$F5-$F$3))+IF($D$3="",0,MIN($F5-IF($F$3="",0,MAX(0,$F5-$F$3)),MAX(0,SUMIFS($F$5:$F$304,$A$5:$A$304,$A5&amp;"",$B$5:$B$304,"&gt;="&amp;($B5-MOD(WEEKDAY($B5)-$B$3,7)),$B$5:$B$304,"&lt;="&amp;$B5)-IF($F$3="",0,SUMIFS($F$5:$F$304,$A$5:$A$304,$A5&amp;"",$B$5:$B$304,"&gt;="&amp;($B5-MOD(WEEKDAY($B5)-$B$3,7)),$B$5:$B$304,"&lt;="&amp;$B5,$F$5:$F$304,"&gt;"&amp;$F$3)-$F$3*COUNTIFS($A$5:$A$304,$A5&amp;"",$B$5:$B$304,"&gt;="&amp;($B5-MOD(WEEKDAY($B5)-$B$3,7)),$B$5:$B$304,"&lt;="&amp;$B5,$F$5:$F$304,"&gt;"&amp;$F$3))-$D$3))),2))</f>
        <v/>
      </c>
      <c r="I5" s="26" t="n"/>
      <c r="J5" s="27">
        <f>IF(AND($A5="",$C5="",$D5=""),"",IF(OR($C5&gt;=1,$D5&gt;=1),"⚠ type the time with a colon: 9:00 AM, not 9",IF(AND($C5&lt;&gt;"",$C5=$D5),"⚠ clock-in equals clock-out: the shift adds 0 h",IF(AND($C5&lt;&gt;"",$D5&lt;&gt;"",IF($E5="",0,$E5)&gt;MOD($D5-$C5,1)*24),"⚠ the break is longer than the shift",IF(AND($A5&lt;&gt;"",COUNTIF('Monthly OT Summary'!$A$6:$A$35,$A5&amp;"")=0),"⚠ name not in Monthly OT Summary: its hours are not added","")))))</f>
        <v/>
      </c>
    </row>
    <row r="6">
      <c r="A6" s="21" t="n"/>
      <c r="B6" s="40" t="n"/>
      <c r="C6" s="41" t="n"/>
      <c r="D6" s="41" t="n"/>
      <c r="E6" s="24" t="n"/>
      <c r="F6" s="8">
        <f>IF(OR($C6="",$D6=""),"",IF(OR($C6&gt;=1,$D6&gt;=1,$C6=$D6,IF($E6="",0,$E6)&gt;MOD($D6-$C6,1)*24),"",ROUND(MOD($D6-$C6,1)*24-IF($E6="",0,$E6),2)))</f>
        <v/>
      </c>
      <c r="G6" s="25" t="n">
        <v>8</v>
      </c>
      <c r="H6" s="8">
        <f>IF(OR($A6="",$B6="",$F6=""),"",ROUND(IF($F$3="",0,MAX(0,$F6-$F$3))+IF($D$3="",0,MIN($F6-IF($F$3="",0,MAX(0,$F6-$F$3)),MAX(0,SUMIFS($F$5:$F$304,$A$5:$A$304,$A6&amp;"",$B$5:$B$304,"&gt;="&amp;($B6-MOD(WEEKDAY($B6)-$B$3,7)),$B$5:$B$304,"&lt;="&amp;$B6)-IF($F$3="",0,SUMIFS($F$5:$F$304,$A$5:$A$304,$A6&amp;"",$B$5:$B$304,"&gt;="&amp;($B6-MOD(WEEKDAY($B6)-$B$3,7)),$B$5:$B$304,"&lt;="&amp;$B6,$F$5:$F$304,"&gt;"&amp;$F$3)-$F$3*COUNTIFS($A$5:$A$304,$A6&amp;"",$B$5:$B$304,"&gt;="&amp;($B6-MOD(WEEKDAY($B6)-$B$3,7)),$B$5:$B$304,"&lt;="&amp;$B6,$F$5:$F$304,"&gt;"&amp;$F$3))-$D$3))),2))</f>
        <v/>
      </c>
      <c r="I6" s="26" t="n"/>
      <c r="J6" s="27">
        <f>IF(AND($A6="",$C6="",$D6=""),"",IF(OR($C6&gt;=1,$D6&gt;=1),"⚠ type the time with a colon: 9:00 AM, not 9",IF(AND($C6&lt;&gt;"",$C6=$D6),"⚠ clock-in equals clock-out: the shift adds 0 h",IF(AND($C6&lt;&gt;"",$D6&lt;&gt;"",IF($E6="",0,$E6)&gt;MOD($D6-$C6,1)*24),"⚠ the break is longer than the shift",IF(AND($A6&lt;&gt;"",COUNTIF('Monthly OT Summary'!$A$6:$A$35,$A6&amp;"")=0),"⚠ name not in Monthly OT Summary: its hours are not added","")))))</f>
        <v/>
      </c>
    </row>
    <row r="7">
      <c r="A7" s="21" t="n"/>
      <c r="B7" s="40" t="n"/>
      <c r="C7" s="41" t="n"/>
      <c r="D7" s="41" t="n"/>
      <c r="E7" s="24" t="n"/>
      <c r="F7" s="8">
        <f>IF(OR($C7="",$D7=""),"",IF(OR($C7&gt;=1,$D7&gt;=1,$C7=$D7,IF($E7="",0,$E7)&gt;MOD($D7-$C7,1)*24),"",ROUND(MOD($D7-$C7,1)*24-IF($E7="",0,$E7),2)))</f>
        <v/>
      </c>
      <c r="G7" s="25" t="n">
        <v>8</v>
      </c>
      <c r="H7" s="8">
        <f>IF(OR($A7="",$B7="",$F7=""),"",ROUND(IF($F$3="",0,MAX(0,$F7-$F$3))+IF($D$3="",0,MIN($F7-IF($F$3="",0,MAX(0,$F7-$F$3)),MAX(0,SUMIFS($F$5:$F$304,$A$5:$A$304,$A7&amp;"",$B$5:$B$304,"&gt;="&amp;($B7-MOD(WEEKDAY($B7)-$B$3,7)),$B$5:$B$304,"&lt;="&amp;$B7)-IF($F$3="",0,SUMIFS($F$5:$F$304,$A$5:$A$304,$A7&amp;"",$B$5:$B$304,"&gt;="&amp;($B7-MOD(WEEKDAY($B7)-$B$3,7)),$B$5:$B$304,"&lt;="&amp;$B7,$F$5:$F$304,"&gt;"&amp;$F$3)-$F$3*COUNTIFS($A$5:$A$304,$A7&amp;"",$B$5:$B$304,"&gt;="&amp;($B7-MOD(WEEKDAY($B7)-$B$3,7)),$B$5:$B$304,"&lt;="&amp;$B7,$F$5:$F$304,"&gt;"&amp;$F$3))-$D$3))),2))</f>
        <v/>
      </c>
      <c r="I7" s="26" t="n"/>
      <c r="J7" s="27">
        <f>IF(AND($A7="",$C7="",$D7=""),"",IF(OR($C7&gt;=1,$D7&gt;=1),"⚠ type the time with a colon: 9:00 AM, not 9",IF(AND($C7&lt;&gt;"",$C7=$D7),"⚠ clock-in equals clock-out: the shift adds 0 h",IF(AND($C7&lt;&gt;"",$D7&lt;&gt;"",IF($E7="",0,$E7)&gt;MOD($D7-$C7,1)*24),"⚠ the break is longer than the shift",IF(AND($A7&lt;&gt;"",COUNTIF('Monthly OT Summary'!$A$6:$A$35,$A7&amp;"")=0),"⚠ name not in Monthly OT Summary: its hours are not added","")))))</f>
        <v/>
      </c>
    </row>
    <row r="8">
      <c r="A8" s="21" t="n"/>
      <c r="B8" s="40" t="n"/>
      <c r="C8" s="41" t="n"/>
      <c r="D8" s="41" t="n"/>
      <c r="E8" s="24" t="n"/>
      <c r="F8" s="8">
        <f>IF(OR($C8="",$D8=""),"",IF(OR($C8&gt;=1,$D8&gt;=1,$C8=$D8,IF($E8="",0,$E8)&gt;MOD($D8-$C8,1)*24),"",ROUND(MOD($D8-$C8,1)*24-IF($E8="",0,$E8),2)))</f>
        <v/>
      </c>
      <c r="G8" s="25" t="n">
        <v>8</v>
      </c>
      <c r="H8" s="8">
        <f>IF(OR($A8="",$B8="",$F8=""),"",ROUND(IF($F$3="",0,MAX(0,$F8-$F$3))+IF($D$3="",0,MIN($F8-IF($F$3="",0,MAX(0,$F8-$F$3)),MAX(0,SUMIFS($F$5:$F$304,$A$5:$A$304,$A8&amp;"",$B$5:$B$304,"&gt;="&amp;($B8-MOD(WEEKDAY($B8)-$B$3,7)),$B$5:$B$304,"&lt;="&amp;$B8)-IF($F$3="",0,SUMIFS($F$5:$F$304,$A$5:$A$304,$A8&amp;"",$B$5:$B$304,"&gt;="&amp;($B8-MOD(WEEKDAY($B8)-$B$3,7)),$B$5:$B$304,"&lt;="&amp;$B8,$F$5:$F$304,"&gt;"&amp;$F$3)-$F$3*COUNTIFS($A$5:$A$304,$A8&amp;"",$B$5:$B$304,"&gt;="&amp;($B8-MOD(WEEKDAY($B8)-$B$3,7)),$B$5:$B$304,"&lt;="&amp;$B8,$F$5:$F$304,"&gt;"&amp;$F$3))-$D$3))),2))</f>
        <v/>
      </c>
      <c r="I8" s="26" t="n"/>
      <c r="J8" s="27">
        <f>IF(AND($A8="",$C8="",$D8=""),"",IF(OR($C8&gt;=1,$D8&gt;=1),"⚠ type the time with a colon: 9:00 AM, not 9",IF(AND($C8&lt;&gt;"",$C8=$D8),"⚠ clock-in equals clock-out: the shift adds 0 h",IF(AND($C8&lt;&gt;"",$D8&lt;&gt;"",IF($E8="",0,$E8)&gt;MOD($D8-$C8,1)*24),"⚠ the break is longer than the shift",IF(AND($A8&lt;&gt;"",COUNTIF('Monthly OT Summary'!$A$6:$A$35,$A8&amp;"")=0),"⚠ name not in Monthly OT Summary: its hours are not added","")))))</f>
        <v/>
      </c>
    </row>
    <row r="9">
      <c r="A9" s="21" t="n"/>
      <c r="B9" s="40" t="n"/>
      <c r="C9" s="41" t="n"/>
      <c r="D9" s="41" t="n"/>
      <c r="E9" s="24" t="n"/>
      <c r="F9" s="8">
        <f>IF(OR($C9="",$D9=""),"",IF(OR($C9&gt;=1,$D9&gt;=1,$C9=$D9,IF($E9="",0,$E9)&gt;MOD($D9-$C9,1)*24),"",ROUND(MOD($D9-$C9,1)*24-IF($E9="",0,$E9),2)))</f>
        <v/>
      </c>
      <c r="G9" s="25" t="n">
        <v>8</v>
      </c>
      <c r="H9" s="8">
        <f>IF(OR($A9="",$B9="",$F9=""),"",ROUND(IF($F$3="",0,MAX(0,$F9-$F$3))+IF($D$3="",0,MIN($F9-IF($F$3="",0,MAX(0,$F9-$F$3)),MAX(0,SUMIFS($F$5:$F$304,$A$5:$A$304,$A9&amp;"",$B$5:$B$304,"&gt;="&amp;($B9-MOD(WEEKDAY($B9)-$B$3,7)),$B$5:$B$304,"&lt;="&amp;$B9)-IF($F$3="",0,SUMIFS($F$5:$F$304,$A$5:$A$304,$A9&amp;"",$B$5:$B$304,"&gt;="&amp;($B9-MOD(WEEKDAY($B9)-$B$3,7)),$B$5:$B$304,"&lt;="&amp;$B9,$F$5:$F$304,"&gt;"&amp;$F$3)-$F$3*COUNTIFS($A$5:$A$304,$A9&amp;"",$B$5:$B$304,"&gt;="&amp;($B9-MOD(WEEKDAY($B9)-$B$3,7)),$B$5:$B$304,"&lt;="&amp;$B9,$F$5:$F$304,"&gt;"&amp;$F$3))-$D$3))),2))</f>
        <v/>
      </c>
      <c r="I9" s="26" t="n"/>
      <c r="J9" s="27">
        <f>IF(AND($A9="",$C9="",$D9=""),"",IF(OR($C9&gt;=1,$D9&gt;=1),"⚠ type the time with a colon: 9:00 AM, not 9",IF(AND($C9&lt;&gt;"",$C9=$D9),"⚠ clock-in equals clock-out: the shift adds 0 h",IF(AND($C9&lt;&gt;"",$D9&lt;&gt;"",IF($E9="",0,$E9)&gt;MOD($D9-$C9,1)*24),"⚠ the break is longer than the shift",IF(AND($A9&lt;&gt;"",COUNTIF('Monthly OT Summary'!$A$6:$A$35,$A9&amp;"")=0),"⚠ name not in Monthly OT Summary: its hours are not added","")))))</f>
        <v/>
      </c>
    </row>
    <row r="10">
      <c r="A10" s="21" t="n"/>
      <c r="B10" s="40" t="n"/>
      <c r="C10" s="41" t="n"/>
      <c r="D10" s="41" t="n"/>
      <c r="E10" s="24" t="n"/>
      <c r="F10" s="8">
        <f>IF(OR($C10="",$D10=""),"",IF(OR($C10&gt;=1,$D10&gt;=1,$C10=$D10,IF($E10="",0,$E10)&gt;MOD($D10-$C10,1)*24),"",ROUND(MOD($D10-$C10,1)*24-IF($E10="",0,$E10),2)))</f>
        <v/>
      </c>
      <c r="G10" s="25" t="n">
        <v>8</v>
      </c>
      <c r="H10" s="8">
        <f>IF(OR($A10="",$B10="",$F10=""),"",ROUND(IF($F$3="",0,MAX(0,$F10-$F$3))+IF($D$3="",0,MIN($F10-IF($F$3="",0,MAX(0,$F10-$F$3)),MAX(0,SUMIFS($F$5:$F$304,$A$5:$A$304,$A10&amp;"",$B$5:$B$304,"&gt;="&amp;($B10-MOD(WEEKDAY($B10)-$B$3,7)),$B$5:$B$304,"&lt;="&amp;$B10)-IF($F$3="",0,SUMIFS($F$5:$F$304,$A$5:$A$304,$A10&amp;"",$B$5:$B$304,"&gt;="&amp;($B10-MOD(WEEKDAY($B10)-$B$3,7)),$B$5:$B$304,"&lt;="&amp;$B10,$F$5:$F$304,"&gt;"&amp;$F$3)-$F$3*COUNTIFS($A$5:$A$304,$A10&amp;"",$B$5:$B$304,"&gt;="&amp;($B10-MOD(WEEKDAY($B10)-$B$3,7)),$B$5:$B$304,"&lt;="&amp;$B10,$F$5:$F$304,"&gt;"&amp;$F$3))-$D$3))),2))</f>
        <v/>
      </c>
      <c r="I10" s="26" t="n"/>
      <c r="J10" s="27">
        <f>IF(AND($A10="",$C10="",$D10=""),"",IF(OR($C10&gt;=1,$D10&gt;=1),"⚠ type the time with a colon: 9:00 AM, not 9",IF(AND($C10&lt;&gt;"",$C10=$D10),"⚠ clock-in equals clock-out: the shift adds 0 h",IF(AND($C10&lt;&gt;"",$D10&lt;&gt;"",IF($E10="",0,$E10)&gt;MOD($D10-$C10,1)*24),"⚠ the break is longer than the shift",IF(AND($A10&lt;&gt;"",COUNTIF('Monthly OT Summary'!$A$6:$A$35,$A10&amp;"")=0),"⚠ name not in Monthly OT Summary: its hours are not added","")))))</f>
        <v/>
      </c>
    </row>
    <row r="11">
      <c r="A11" s="21" t="n"/>
      <c r="B11" s="40" t="n"/>
      <c r="C11" s="41" t="n"/>
      <c r="D11" s="41" t="n"/>
      <c r="E11" s="24" t="n"/>
      <c r="F11" s="8">
        <f>IF(OR($C11="",$D11=""),"",IF(OR($C11&gt;=1,$D11&gt;=1,$C11=$D11,IF($E11="",0,$E11)&gt;MOD($D11-$C11,1)*24),"",ROUND(MOD($D11-$C11,1)*24-IF($E11="",0,$E11),2)))</f>
        <v/>
      </c>
      <c r="G11" s="25" t="n">
        <v>8</v>
      </c>
      <c r="H11" s="8">
        <f>IF(OR($A11="",$B11="",$F11=""),"",ROUND(IF($F$3="",0,MAX(0,$F11-$F$3))+IF($D$3="",0,MIN($F11-IF($F$3="",0,MAX(0,$F11-$F$3)),MAX(0,SUMIFS($F$5:$F$304,$A$5:$A$304,$A11&amp;"",$B$5:$B$304,"&gt;="&amp;($B11-MOD(WEEKDAY($B11)-$B$3,7)),$B$5:$B$304,"&lt;="&amp;$B11)-IF($F$3="",0,SUMIFS($F$5:$F$304,$A$5:$A$304,$A11&amp;"",$B$5:$B$304,"&gt;="&amp;($B11-MOD(WEEKDAY($B11)-$B$3,7)),$B$5:$B$304,"&lt;="&amp;$B11,$F$5:$F$304,"&gt;"&amp;$F$3)-$F$3*COUNTIFS($A$5:$A$304,$A11&amp;"",$B$5:$B$304,"&gt;="&amp;($B11-MOD(WEEKDAY($B11)-$B$3,7)),$B$5:$B$304,"&lt;="&amp;$B11,$F$5:$F$304,"&gt;"&amp;$F$3))-$D$3))),2))</f>
        <v/>
      </c>
      <c r="I11" s="26" t="n"/>
      <c r="J11" s="27">
        <f>IF(AND($A11="",$C11="",$D11=""),"",IF(OR($C11&gt;=1,$D11&gt;=1),"⚠ type the time with a colon: 9:00 AM, not 9",IF(AND($C11&lt;&gt;"",$C11=$D11),"⚠ clock-in equals clock-out: the shift adds 0 h",IF(AND($C11&lt;&gt;"",$D11&lt;&gt;"",IF($E11="",0,$E11)&gt;MOD($D11-$C11,1)*24),"⚠ the break is longer than the shift",IF(AND($A11&lt;&gt;"",COUNTIF('Monthly OT Summary'!$A$6:$A$35,$A11&amp;"")=0),"⚠ name not in Monthly OT Summary: its hours are not added","")))))</f>
        <v/>
      </c>
    </row>
    <row r="12">
      <c r="A12" s="21" t="n"/>
      <c r="B12" s="40" t="n"/>
      <c r="C12" s="41" t="n"/>
      <c r="D12" s="41" t="n"/>
      <c r="E12" s="24" t="n"/>
      <c r="F12" s="8">
        <f>IF(OR($C12="",$D12=""),"",IF(OR($C12&gt;=1,$D12&gt;=1,$C12=$D12,IF($E12="",0,$E12)&gt;MOD($D12-$C12,1)*24),"",ROUND(MOD($D12-$C12,1)*24-IF($E12="",0,$E12),2)))</f>
        <v/>
      </c>
      <c r="G12" s="25" t="n">
        <v>8</v>
      </c>
      <c r="H12" s="8">
        <f>IF(OR($A12="",$B12="",$F12=""),"",ROUND(IF($F$3="",0,MAX(0,$F12-$F$3))+IF($D$3="",0,MIN($F12-IF($F$3="",0,MAX(0,$F12-$F$3)),MAX(0,SUMIFS($F$5:$F$304,$A$5:$A$304,$A12&amp;"",$B$5:$B$304,"&gt;="&amp;($B12-MOD(WEEKDAY($B12)-$B$3,7)),$B$5:$B$304,"&lt;="&amp;$B12)-IF($F$3="",0,SUMIFS($F$5:$F$304,$A$5:$A$304,$A12&amp;"",$B$5:$B$304,"&gt;="&amp;($B12-MOD(WEEKDAY($B12)-$B$3,7)),$B$5:$B$304,"&lt;="&amp;$B12,$F$5:$F$304,"&gt;"&amp;$F$3)-$F$3*COUNTIFS($A$5:$A$304,$A12&amp;"",$B$5:$B$304,"&gt;="&amp;($B12-MOD(WEEKDAY($B12)-$B$3,7)),$B$5:$B$304,"&lt;="&amp;$B12,$F$5:$F$304,"&gt;"&amp;$F$3))-$D$3))),2))</f>
        <v/>
      </c>
      <c r="I12" s="26" t="n"/>
      <c r="J12" s="27">
        <f>IF(AND($A12="",$C12="",$D12=""),"",IF(OR($C12&gt;=1,$D12&gt;=1),"⚠ type the time with a colon: 9:00 AM, not 9",IF(AND($C12&lt;&gt;"",$C12=$D12),"⚠ clock-in equals clock-out: the shift adds 0 h",IF(AND($C12&lt;&gt;"",$D12&lt;&gt;"",IF($E12="",0,$E12)&gt;MOD($D12-$C12,1)*24),"⚠ the break is longer than the shift",IF(AND($A12&lt;&gt;"",COUNTIF('Monthly OT Summary'!$A$6:$A$35,$A12&amp;"")=0),"⚠ name not in Monthly OT Summary: its hours are not added","")))))</f>
        <v/>
      </c>
    </row>
    <row r="13">
      <c r="A13" s="21" t="n"/>
      <c r="B13" s="40" t="n"/>
      <c r="C13" s="41" t="n"/>
      <c r="D13" s="41" t="n"/>
      <c r="E13" s="24" t="n"/>
      <c r="F13" s="8">
        <f>IF(OR($C13="",$D13=""),"",IF(OR($C13&gt;=1,$D13&gt;=1,$C13=$D13,IF($E13="",0,$E13)&gt;MOD($D13-$C13,1)*24),"",ROUND(MOD($D13-$C13,1)*24-IF($E13="",0,$E13),2)))</f>
        <v/>
      </c>
      <c r="G13" s="25" t="n">
        <v>8</v>
      </c>
      <c r="H13" s="8">
        <f>IF(OR($A13="",$B13="",$F13=""),"",ROUND(IF($F$3="",0,MAX(0,$F13-$F$3))+IF($D$3="",0,MIN($F13-IF($F$3="",0,MAX(0,$F13-$F$3)),MAX(0,SUMIFS($F$5:$F$304,$A$5:$A$304,$A13&amp;"",$B$5:$B$304,"&gt;="&amp;($B13-MOD(WEEKDAY($B13)-$B$3,7)),$B$5:$B$304,"&lt;="&amp;$B13)-IF($F$3="",0,SUMIFS($F$5:$F$304,$A$5:$A$304,$A13&amp;"",$B$5:$B$304,"&gt;="&amp;($B13-MOD(WEEKDAY($B13)-$B$3,7)),$B$5:$B$304,"&lt;="&amp;$B13,$F$5:$F$304,"&gt;"&amp;$F$3)-$F$3*COUNTIFS($A$5:$A$304,$A13&amp;"",$B$5:$B$304,"&gt;="&amp;($B13-MOD(WEEKDAY($B13)-$B$3,7)),$B$5:$B$304,"&lt;="&amp;$B13,$F$5:$F$304,"&gt;"&amp;$F$3))-$D$3))),2))</f>
        <v/>
      </c>
      <c r="I13" s="26" t="n"/>
      <c r="J13" s="27">
        <f>IF(AND($A13="",$C13="",$D13=""),"",IF(OR($C13&gt;=1,$D13&gt;=1),"⚠ type the time with a colon: 9:00 AM, not 9",IF(AND($C13&lt;&gt;"",$C13=$D13),"⚠ clock-in equals clock-out: the shift adds 0 h",IF(AND($C13&lt;&gt;"",$D13&lt;&gt;"",IF($E13="",0,$E13)&gt;MOD($D13-$C13,1)*24),"⚠ the break is longer than the shift",IF(AND($A13&lt;&gt;"",COUNTIF('Monthly OT Summary'!$A$6:$A$35,$A13&amp;"")=0),"⚠ name not in Monthly OT Summary: its hours are not added","")))))</f>
        <v/>
      </c>
    </row>
    <row r="14">
      <c r="A14" s="21" t="n"/>
      <c r="B14" s="40" t="n"/>
      <c r="C14" s="41" t="n"/>
      <c r="D14" s="41" t="n"/>
      <c r="E14" s="24" t="n"/>
      <c r="F14" s="8">
        <f>IF(OR($C14="",$D14=""),"",IF(OR($C14&gt;=1,$D14&gt;=1,$C14=$D14,IF($E14="",0,$E14)&gt;MOD($D14-$C14,1)*24),"",ROUND(MOD($D14-$C14,1)*24-IF($E14="",0,$E14),2)))</f>
        <v/>
      </c>
      <c r="G14" s="25" t="n">
        <v>8</v>
      </c>
      <c r="H14" s="8">
        <f>IF(OR($A14="",$B14="",$F14=""),"",ROUND(IF($F$3="",0,MAX(0,$F14-$F$3))+IF($D$3="",0,MIN($F14-IF($F$3="",0,MAX(0,$F14-$F$3)),MAX(0,SUMIFS($F$5:$F$304,$A$5:$A$304,$A14&amp;"",$B$5:$B$304,"&gt;="&amp;($B14-MOD(WEEKDAY($B14)-$B$3,7)),$B$5:$B$304,"&lt;="&amp;$B14)-IF($F$3="",0,SUMIFS($F$5:$F$304,$A$5:$A$304,$A14&amp;"",$B$5:$B$304,"&gt;="&amp;($B14-MOD(WEEKDAY($B14)-$B$3,7)),$B$5:$B$304,"&lt;="&amp;$B14,$F$5:$F$304,"&gt;"&amp;$F$3)-$F$3*COUNTIFS($A$5:$A$304,$A14&amp;"",$B$5:$B$304,"&gt;="&amp;($B14-MOD(WEEKDAY($B14)-$B$3,7)),$B$5:$B$304,"&lt;="&amp;$B14,$F$5:$F$304,"&gt;"&amp;$F$3))-$D$3))),2))</f>
        <v/>
      </c>
      <c r="I14" s="26" t="n"/>
      <c r="J14" s="27">
        <f>IF(AND($A14="",$C14="",$D14=""),"",IF(OR($C14&gt;=1,$D14&gt;=1),"⚠ type the time with a colon: 9:00 AM, not 9",IF(AND($C14&lt;&gt;"",$C14=$D14),"⚠ clock-in equals clock-out: the shift adds 0 h",IF(AND($C14&lt;&gt;"",$D14&lt;&gt;"",IF($E14="",0,$E14)&gt;MOD($D14-$C14,1)*24),"⚠ the break is longer than the shift",IF(AND($A14&lt;&gt;"",COUNTIF('Monthly OT Summary'!$A$6:$A$35,$A14&amp;"")=0),"⚠ name not in Monthly OT Summary: its hours are not added","")))))</f>
        <v/>
      </c>
    </row>
    <row r="15">
      <c r="A15" s="21" t="n"/>
      <c r="B15" s="40" t="n"/>
      <c r="C15" s="41" t="n"/>
      <c r="D15" s="41" t="n"/>
      <c r="E15" s="24" t="n"/>
      <c r="F15" s="8">
        <f>IF(OR($C15="",$D15=""),"",IF(OR($C15&gt;=1,$D15&gt;=1,$C15=$D15,IF($E15="",0,$E15)&gt;MOD($D15-$C15,1)*24),"",ROUND(MOD($D15-$C15,1)*24-IF($E15="",0,$E15),2)))</f>
        <v/>
      </c>
      <c r="G15" s="25" t="n">
        <v>8</v>
      </c>
      <c r="H15" s="8">
        <f>IF(OR($A15="",$B15="",$F15=""),"",ROUND(IF($F$3="",0,MAX(0,$F15-$F$3))+IF($D$3="",0,MIN($F15-IF($F$3="",0,MAX(0,$F15-$F$3)),MAX(0,SUMIFS($F$5:$F$304,$A$5:$A$304,$A15&amp;"",$B$5:$B$304,"&gt;="&amp;($B15-MOD(WEEKDAY($B15)-$B$3,7)),$B$5:$B$304,"&lt;="&amp;$B15)-IF($F$3="",0,SUMIFS($F$5:$F$304,$A$5:$A$304,$A15&amp;"",$B$5:$B$304,"&gt;="&amp;($B15-MOD(WEEKDAY($B15)-$B$3,7)),$B$5:$B$304,"&lt;="&amp;$B15,$F$5:$F$304,"&gt;"&amp;$F$3)-$F$3*COUNTIFS($A$5:$A$304,$A15&amp;"",$B$5:$B$304,"&gt;="&amp;($B15-MOD(WEEKDAY($B15)-$B$3,7)),$B$5:$B$304,"&lt;="&amp;$B15,$F$5:$F$304,"&gt;"&amp;$F$3))-$D$3))),2))</f>
        <v/>
      </c>
      <c r="I15" s="26" t="n"/>
      <c r="J15" s="27">
        <f>IF(AND($A15="",$C15="",$D15=""),"",IF(OR($C15&gt;=1,$D15&gt;=1),"⚠ type the time with a colon: 9:00 AM, not 9",IF(AND($C15&lt;&gt;"",$C15=$D15),"⚠ clock-in equals clock-out: the shift adds 0 h",IF(AND($C15&lt;&gt;"",$D15&lt;&gt;"",IF($E15="",0,$E15)&gt;MOD($D15-$C15,1)*24),"⚠ the break is longer than the shift",IF(AND($A15&lt;&gt;"",COUNTIF('Monthly OT Summary'!$A$6:$A$35,$A15&amp;"")=0),"⚠ name not in Monthly OT Summary: its hours are not added","")))))</f>
        <v/>
      </c>
    </row>
    <row r="16">
      <c r="A16" s="21" t="n"/>
      <c r="B16" s="40" t="n"/>
      <c r="C16" s="41" t="n"/>
      <c r="D16" s="41" t="n"/>
      <c r="E16" s="24" t="n"/>
      <c r="F16" s="8">
        <f>IF(OR($C16="",$D16=""),"",IF(OR($C16&gt;=1,$D16&gt;=1,$C16=$D16,IF($E16="",0,$E16)&gt;MOD($D16-$C16,1)*24),"",ROUND(MOD($D16-$C16,1)*24-IF($E16="",0,$E16),2)))</f>
        <v/>
      </c>
      <c r="G16" s="25" t="n">
        <v>8</v>
      </c>
      <c r="H16" s="8">
        <f>IF(OR($A16="",$B16="",$F16=""),"",ROUND(IF($F$3="",0,MAX(0,$F16-$F$3))+IF($D$3="",0,MIN($F16-IF($F$3="",0,MAX(0,$F16-$F$3)),MAX(0,SUMIFS($F$5:$F$304,$A$5:$A$304,$A16&amp;"",$B$5:$B$304,"&gt;="&amp;($B16-MOD(WEEKDAY($B16)-$B$3,7)),$B$5:$B$304,"&lt;="&amp;$B16)-IF($F$3="",0,SUMIFS($F$5:$F$304,$A$5:$A$304,$A16&amp;"",$B$5:$B$304,"&gt;="&amp;($B16-MOD(WEEKDAY($B16)-$B$3,7)),$B$5:$B$304,"&lt;="&amp;$B16,$F$5:$F$304,"&gt;"&amp;$F$3)-$F$3*COUNTIFS($A$5:$A$304,$A16&amp;"",$B$5:$B$304,"&gt;="&amp;($B16-MOD(WEEKDAY($B16)-$B$3,7)),$B$5:$B$304,"&lt;="&amp;$B16,$F$5:$F$304,"&gt;"&amp;$F$3))-$D$3))),2))</f>
        <v/>
      </c>
      <c r="I16" s="26" t="n"/>
      <c r="J16" s="27">
        <f>IF(AND($A16="",$C16="",$D16=""),"",IF(OR($C16&gt;=1,$D16&gt;=1),"⚠ type the time with a colon: 9:00 AM, not 9",IF(AND($C16&lt;&gt;"",$C16=$D16),"⚠ clock-in equals clock-out: the shift adds 0 h",IF(AND($C16&lt;&gt;"",$D16&lt;&gt;"",IF($E16="",0,$E16)&gt;MOD($D16-$C16,1)*24),"⚠ the break is longer than the shift",IF(AND($A16&lt;&gt;"",COUNTIF('Monthly OT Summary'!$A$6:$A$35,$A16&amp;"")=0),"⚠ name not in Monthly OT Summary: its hours are not added","")))))</f>
        <v/>
      </c>
    </row>
    <row r="17">
      <c r="A17" s="21" t="n"/>
      <c r="B17" s="40" t="n"/>
      <c r="C17" s="41" t="n"/>
      <c r="D17" s="41" t="n"/>
      <c r="E17" s="24" t="n"/>
      <c r="F17" s="8">
        <f>IF(OR($C17="",$D17=""),"",IF(OR($C17&gt;=1,$D17&gt;=1,$C17=$D17,IF($E17="",0,$E17)&gt;MOD($D17-$C17,1)*24),"",ROUND(MOD($D17-$C17,1)*24-IF($E17="",0,$E17),2)))</f>
        <v/>
      </c>
      <c r="G17" s="25" t="n">
        <v>8</v>
      </c>
      <c r="H17" s="8">
        <f>IF(OR($A17="",$B17="",$F17=""),"",ROUND(IF($F$3="",0,MAX(0,$F17-$F$3))+IF($D$3="",0,MIN($F17-IF($F$3="",0,MAX(0,$F17-$F$3)),MAX(0,SUMIFS($F$5:$F$304,$A$5:$A$304,$A17&amp;"",$B$5:$B$304,"&gt;="&amp;($B17-MOD(WEEKDAY($B17)-$B$3,7)),$B$5:$B$304,"&lt;="&amp;$B17)-IF($F$3="",0,SUMIFS($F$5:$F$304,$A$5:$A$304,$A17&amp;"",$B$5:$B$304,"&gt;="&amp;($B17-MOD(WEEKDAY($B17)-$B$3,7)),$B$5:$B$304,"&lt;="&amp;$B17,$F$5:$F$304,"&gt;"&amp;$F$3)-$F$3*COUNTIFS($A$5:$A$304,$A17&amp;"",$B$5:$B$304,"&gt;="&amp;($B17-MOD(WEEKDAY($B17)-$B$3,7)),$B$5:$B$304,"&lt;="&amp;$B17,$F$5:$F$304,"&gt;"&amp;$F$3))-$D$3))),2))</f>
        <v/>
      </c>
      <c r="I17" s="26" t="n"/>
      <c r="J17" s="27">
        <f>IF(AND($A17="",$C17="",$D17=""),"",IF(OR($C17&gt;=1,$D17&gt;=1),"⚠ type the time with a colon: 9:00 AM, not 9",IF(AND($C17&lt;&gt;"",$C17=$D17),"⚠ clock-in equals clock-out: the shift adds 0 h",IF(AND($C17&lt;&gt;"",$D17&lt;&gt;"",IF($E17="",0,$E17)&gt;MOD($D17-$C17,1)*24),"⚠ the break is longer than the shift",IF(AND($A17&lt;&gt;"",COUNTIF('Monthly OT Summary'!$A$6:$A$35,$A17&amp;"")=0),"⚠ name not in Monthly OT Summary: its hours are not added","")))))</f>
        <v/>
      </c>
    </row>
    <row r="18">
      <c r="A18" s="21" t="n"/>
      <c r="B18" s="40" t="n"/>
      <c r="C18" s="41" t="n"/>
      <c r="D18" s="41" t="n"/>
      <c r="E18" s="24" t="n"/>
      <c r="F18" s="8">
        <f>IF(OR($C18="",$D18=""),"",IF(OR($C18&gt;=1,$D18&gt;=1,$C18=$D18,IF($E18="",0,$E18)&gt;MOD($D18-$C18,1)*24),"",ROUND(MOD($D18-$C18,1)*24-IF($E18="",0,$E18),2)))</f>
        <v/>
      </c>
      <c r="G18" s="25" t="n">
        <v>8</v>
      </c>
      <c r="H18" s="8">
        <f>IF(OR($A18="",$B18="",$F18=""),"",ROUND(IF($F$3="",0,MAX(0,$F18-$F$3))+IF($D$3="",0,MIN($F18-IF($F$3="",0,MAX(0,$F18-$F$3)),MAX(0,SUMIFS($F$5:$F$304,$A$5:$A$304,$A18&amp;"",$B$5:$B$304,"&gt;="&amp;($B18-MOD(WEEKDAY($B18)-$B$3,7)),$B$5:$B$304,"&lt;="&amp;$B18)-IF($F$3="",0,SUMIFS($F$5:$F$304,$A$5:$A$304,$A18&amp;"",$B$5:$B$304,"&gt;="&amp;($B18-MOD(WEEKDAY($B18)-$B$3,7)),$B$5:$B$304,"&lt;="&amp;$B18,$F$5:$F$304,"&gt;"&amp;$F$3)-$F$3*COUNTIFS($A$5:$A$304,$A18&amp;"",$B$5:$B$304,"&gt;="&amp;($B18-MOD(WEEKDAY($B18)-$B$3,7)),$B$5:$B$304,"&lt;="&amp;$B18,$F$5:$F$304,"&gt;"&amp;$F$3))-$D$3))),2))</f>
        <v/>
      </c>
      <c r="I18" s="26" t="n"/>
      <c r="J18" s="27">
        <f>IF(AND($A18="",$C18="",$D18=""),"",IF(OR($C18&gt;=1,$D18&gt;=1),"⚠ type the time with a colon: 9:00 AM, not 9",IF(AND($C18&lt;&gt;"",$C18=$D18),"⚠ clock-in equals clock-out: the shift adds 0 h",IF(AND($C18&lt;&gt;"",$D18&lt;&gt;"",IF($E18="",0,$E18)&gt;MOD($D18-$C18,1)*24),"⚠ the break is longer than the shift",IF(AND($A18&lt;&gt;"",COUNTIF('Monthly OT Summary'!$A$6:$A$35,$A18&amp;"")=0),"⚠ name not in Monthly OT Summary: its hours are not added","")))))</f>
        <v/>
      </c>
    </row>
    <row r="19">
      <c r="A19" s="21" t="n"/>
      <c r="B19" s="40" t="n"/>
      <c r="C19" s="41" t="n"/>
      <c r="D19" s="41" t="n"/>
      <c r="E19" s="24" t="n"/>
      <c r="F19" s="8">
        <f>IF(OR($C19="",$D19=""),"",IF(OR($C19&gt;=1,$D19&gt;=1,$C19=$D19,IF($E19="",0,$E19)&gt;MOD($D19-$C19,1)*24),"",ROUND(MOD($D19-$C19,1)*24-IF($E19="",0,$E19),2)))</f>
        <v/>
      </c>
      <c r="G19" s="25" t="n">
        <v>8</v>
      </c>
      <c r="H19" s="8">
        <f>IF(OR($A19="",$B19="",$F19=""),"",ROUND(IF($F$3="",0,MAX(0,$F19-$F$3))+IF($D$3="",0,MIN($F19-IF($F$3="",0,MAX(0,$F19-$F$3)),MAX(0,SUMIFS($F$5:$F$304,$A$5:$A$304,$A19&amp;"",$B$5:$B$304,"&gt;="&amp;($B19-MOD(WEEKDAY($B19)-$B$3,7)),$B$5:$B$304,"&lt;="&amp;$B19)-IF($F$3="",0,SUMIFS($F$5:$F$304,$A$5:$A$304,$A19&amp;"",$B$5:$B$304,"&gt;="&amp;($B19-MOD(WEEKDAY($B19)-$B$3,7)),$B$5:$B$304,"&lt;="&amp;$B19,$F$5:$F$304,"&gt;"&amp;$F$3)-$F$3*COUNTIFS($A$5:$A$304,$A19&amp;"",$B$5:$B$304,"&gt;="&amp;($B19-MOD(WEEKDAY($B19)-$B$3,7)),$B$5:$B$304,"&lt;="&amp;$B19,$F$5:$F$304,"&gt;"&amp;$F$3))-$D$3))),2))</f>
        <v/>
      </c>
      <c r="I19" s="26" t="n"/>
      <c r="J19" s="27">
        <f>IF(AND($A19="",$C19="",$D19=""),"",IF(OR($C19&gt;=1,$D19&gt;=1),"⚠ type the time with a colon: 9:00 AM, not 9",IF(AND($C19&lt;&gt;"",$C19=$D19),"⚠ clock-in equals clock-out: the shift adds 0 h",IF(AND($C19&lt;&gt;"",$D19&lt;&gt;"",IF($E19="",0,$E19)&gt;MOD($D19-$C19,1)*24),"⚠ the break is longer than the shift",IF(AND($A19&lt;&gt;"",COUNTIF('Monthly OT Summary'!$A$6:$A$35,$A19&amp;"")=0),"⚠ name not in Monthly OT Summary: its hours are not added","")))))</f>
        <v/>
      </c>
    </row>
    <row r="20">
      <c r="A20" s="21" t="n"/>
      <c r="B20" s="40" t="n"/>
      <c r="C20" s="41" t="n"/>
      <c r="D20" s="41" t="n"/>
      <c r="E20" s="24" t="n"/>
      <c r="F20" s="8">
        <f>IF(OR($C20="",$D20=""),"",IF(OR($C20&gt;=1,$D20&gt;=1,$C20=$D20,IF($E20="",0,$E20)&gt;MOD($D20-$C20,1)*24),"",ROUND(MOD($D20-$C20,1)*24-IF($E20="",0,$E20),2)))</f>
        <v/>
      </c>
      <c r="G20" s="25" t="n">
        <v>8</v>
      </c>
      <c r="H20" s="8">
        <f>IF(OR($A20="",$B20="",$F20=""),"",ROUND(IF($F$3="",0,MAX(0,$F20-$F$3))+IF($D$3="",0,MIN($F20-IF($F$3="",0,MAX(0,$F20-$F$3)),MAX(0,SUMIFS($F$5:$F$304,$A$5:$A$304,$A20&amp;"",$B$5:$B$304,"&gt;="&amp;($B20-MOD(WEEKDAY($B20)-$B$3,7)),$B$5:$B$304,"&lt;="&amp;$B20)-IF($F$3="",0,SUMIFS($F$5:$F$304,$A$5:$A$304,$A20&amp;"",$B$5:$B$304,"&gt;="&amp;($B20-MOD(WEEKDAY($B20)-$B$3,7)),$B$5:$B$304,"&lt;="&amp;$B20,$F$5:$F$304,"&gt;"&amp;$F$3)-$F$3*COUNTIFS($A$5:$A$304,$A20&amp;"",$B$5:$B$304,"&gt;="&amp;($B20-MOD(WEEKDAY($B20)-$B$3,7)),$B$5:$B$304,"&lt;="&amp;$B20,$F$5:$F$304,"&gt;"&amp;$F$3))-$D$3))),2))</f>
        <v/>
      </c>
      <c r="I20" s="26" t="n"/>
      <c r="J20" s="27">
        <f>IF(AND($A20="",$C20="",$D20=""),"",IF(OR($C20&gt;=1,$D20&gt;=1),"⚠ type the time with a colon: 9:00 AM, not 9",IF(AND($C20&lt;&gt;"",$C20=$D20),"⚠ clock-in equals clock-out: the shift adds 0 h",IF(AND($C20&lt;&gt;"",$D20&lt;&gt;"",IF($E20="",0,$E20)&gt;MOD($D20-$C20,1)*24),"⚠ the break is longer than the shift",IF(AND($A20&lt;&gt;"",COUNTIF('Monthly OT Summary'!$A$6:$A$35,$A20&amp;"")=0),"⚠ name not in Monthly OT Summary: its hours are not added","")))))</f>
        <v/>
      </c>
    </row>
    <row r="21">
      <c r="A21" s="21" t="n"/>
      <c r="B21" s="40" t="n"/>
      <c r="C21" s="41" t="n"/>
      <c r="D21" s="41" t="n"/>
      <c r="E21" s="24" t="n"/>
      <c r="F21" s="8">
        <f>IF(OR($C21="",$D21=""),"",IF(OR($C21&gt;=1,$D21&gt;=1,$C21=$D21,IF($E21="",0,$E21)&gt;MOD($D21-$C21,1)*24),"",ROUND(MOD($D21-$C21,1)*24-IF($E21="",0,$E21),2)))</f>
        <v/>
      </c>
      <c r="G21" s="25" t="n">
        <v>8</v>
      </c>
      <c r="H21" s="8">
        <f>IF(OR($A21="",$B21="",$F21=""),"",ROUND(IF($F$3="",0,MAX(0,$F21-$F$3))+IF($D$3="",0,MIN($F21-IF($F$3="",0,MAX(0,$F21-$F$3)),MAX(0,SUMIFS($F$5:$F$304,$A$5:$A$304,$A21&amp;"",$B$5:$B$304,"&gt;="&amp;($B21-MOD(WEEKDAY($B21)-$B$3,7)),$B$5:$B$304,"&lt;="&amp;$B21)-IF($F$3="",0,SUMIFS($F$5:$F$304,$A$5:$A$304,$A21&amp;"",$B$5:$B$304,"&gt;="&amp;($B21-MOD(WEEKDAY($B21)-$B$3,7)),$B$5:$B$304,"&lt;="&amp;$B21,$F$5:$F$304,"&gt;"&amp;$F$3)-$F$3*COUNTIFS($A$5:$A$304,$A21&amp;"",$B$5:$B$304,"&gt;="&amp;($B21-MOD(WEEKDAY($B21)-$B$3,7)),$B$5:$B$304,"&lt;="&amp;$B21,$F$5:$F$304,"&gt;"&amp;$F$3))-$D$3))),2))</f>
        <v/>
      </c>
      <c r="I21" s="26" t="n"/>
      <c r="J21" s="27">
        <f>IF(AND($A21="",$C21="",$D21=""),"",IF(OR($C21&gt;=1,$D21&gt;=1),"⚠ type the time with a colon: 9:00 AM, not 9",IF(AND($C21&lt;&gt;"",$C21=$D21),"⚠ clock-in equals clock-out: the shift adds 0 h",IF(AND($C21&lt;&gt;"",$D21&lt;&gt;"",IF($E21="",0,$E21)&gt;MOD($D21-$C21,1)*24),"⚠ the break is longer than the shift",IF(AND($A21&lt;&gt;"",COUNTIF('Monthly OT Summary'!$A$6:$A$35,$A21&amp;"")=0),"⚠ name not in Monthly OT Summary: its hours are not added","")))))</f>
        <v/>
      </c>
    </row>
    <row r="22">
      <c r="A22" s="21" t="n"/>
      <c r="B22" s="40" t="n"/>
      <c r="C22" s="41" t="n"/>
      <c r="D22" s="41" t="n"/>
      <c r="E22" s="24" t="n"/>
      <c r="F22" s="8">
        <f>IF(OR($C22="",$D22=""),"",IF(OR($C22&gt;=1,$D22&gt;=1,$C22=$D22,IF($E22="",0,$E22)&gt;MOD($D22-$C22,1)*24),"",ROUND(MOD($D22-$C22,1)*24-IF($E22="",0,$E22),2)))</f>
        <v/>
      </c>
      <c r="G22" s="25" t="n">
        <v>8</v>
      </c>
      <c r="H22" s="8">
        <f>IF(OR($A22="",$B22="",$F22=""),"",ROUND(IF($F$3="",0,MAX(0,$F22-$F$3))+IF($D$3="",0,MIN($F22-IF($F$3="",0,MAX(0,$F22-$F$3)),MAX(0,SUMIFS($F$5:$F$304,$A$5:$A$304,$A22&amp;"",$B$5:$B$304,"&gt;="&amp;($B22-MOD(WEEKDAY($B22)-$B$3,7)),$B$5:$B$304,"&lt;="&amp;$B22)-IF($F$3="",0,SUMIFS($F$5:$F$304,$A$5:$A$304,$A22&amp;"",$B$5:$B$304,"&gt;="&amp;($B22-MOD(WEEKDAY($B22)-$B$3,7)),$B$5:$B$304,"&lt;="&amp;$B22,$F$5:$F$304,"&gt;"&amp;$F$3)-$F$3*COUNTIFS($A$5:$A$304,$A22&amp;"",$B$5:$B$304,"&gt;="&amp;($B22-MOD(WEEKDAY($B22)-$B$3,7)),$B$5:$B$304,"&lt;="&amp;$B22,$F$5:$F$304,"&gt;"&amp;$F$3))-$D$3))),2))</f>
        <v/>
      </c>
      <c r="I22" s="26" t="n"/>
      <c r="J22" s="27">
        <f>IF(AND($A22="",$C22="",$D22=""),"",IF(OR($C22&gt;=1,$D22&gt;=1),"⚠ type the time with a colon: 9:00 AM, not 9",IF(AND($C22&lt;&gt;"",$C22=$D22),"⚠ clock-in equals clock-out: the shift adds 0 h",IF(AND($C22&lt;&gt;"",$D22&lt;&gt;"",IF($E22="",0,$E22)&gt;MOD($D22-$C22,1)*24),"⚠ the break is longer than the shift",IF(AND($A22&lt;&gt;"",COUNTIF('Monthly OT Summary'!$A$6:$A$35,$A22&amp;"")=0),"⚠ name not in Monthly OT Summary: its hours are not added","")))))</f>
        <v/>
      </c>
    </row>
    <row r="23">
      <c r="A23" s="21" t="n"/>
      <c r="B23" s="40" t="n"/>
      <c r="C23" s="41" t="n"/>
      <c r="D23" s="41" t="n"/>
      <c r="E23" s="24" t="n"/>
      <c r="F23" s="8">
        <f>IF(OR($C23="",$D23=""),"",IF(OR($C23&gt;=1,$D23&gt;=1,$C23=$D23,IF($E23="",0,$E23)&gt;MOD($D23-$C23,1)*24),"",ROUND(MOD($D23-$C23,1)*24-IF($E23="",0,$E23),2)))</f>
        <v/>
      </c>
      <c r="G23" s="25" t="n">
        <v>8</v>
      </c>
      <c r="H23" s="8">
        <f>IF(OR($A23="",$B23="",$F23=""),"",ROUND(IF($F$3="",0,MAX(0,$F23-$F$3))+IF($D$3="",0,MIN($F23-IF($F$3="",0,MAX(0,$F23-$F$3)),MAX(0,SUMIFS($F$5:$F$304,$A$5:$A$304,$A23&amp;"",$B$5:$B$304,"&gt;="&amp;($B23-MOD(WEEKDAY($B23)-$B$3,7)),$B$5:$B$304,"&lt;="&amp;$B23)-IF($F$3="",0,SUMIFS($F$5:$F$304,$A$5:$A$304,$A23&amp;"",$B$5:$B$304,"&gt;="&amp;($B23-MOD(WEEKDAY($B23)-$B$3,7)),$B$5:$B$304,"&lt;="&amp;$B23,$F$5:$F$304,"&gt;"&amp;$F$3)-$F$3*COUNTIFS($A$5:$A$304,$A23&amp;"",$B$5:$B$304,"&gt;="&amp;($B23-MOD(WEEKDAY($B23)-$B$3,7)),$B$5:$B$304,"&lt;="&amp;$B23,$F$5:$F$304,"&gt;"&amp;$F$3))-$D$3))),2))</f>
        <v/>
      </c>
      <c r="I23" s="26" t="n"/>
      <c r="J23" s="27">
        <f>IF(AND($A23="",$C23="",$D23=""),"",IF(OR($C23&gt;=1,$D23&gt;=1),"⚠ type the time with a colon: 9:00 AM, not 9",IF(AND($C23&lt;&gt;"",$C23=$D23),"⚠ clock-in equals clock-out: the shift adds 0 h",IF(AND($C23&lt;&gt;"",$D23&lt;&gt;"",IF($E23="",0,$E23)&gt;MOD($D23-$C23,1)*24),"⚠ the break is longer than the shift",IF(AND($A23&lt;&gt;"",COUNTIF('Monthly OT Summary'!$A$6:$A$35,$A23&amp;"")=0),"⚠ name not in Monthly OT Summary: its hours are not added","")))))</f>
        <v/>
      </c>
    </row>
    <row r="24">
      <c r="A24" s="21" t="n"/>
      <c r="B24" s="40" t="n"/>
      <c r="C24" s="41" t="n"/>
      <c r="D24" s="41" t="n"/>
      <c r="E24" s="24" t="n"/>
      <c r="F24" s="8">
        <f>IF(OR($C24="",$D24=""),"",IF(OR($C24&gt;=1,$D24&gt;=1,$C24=$D24,IF($E24="",0,$E24)&gt;MOD($D24-$C24,1)*24),"",ROUND(MOD($D24-$C24,1)*24-IF($E24="",0,$E24),2)))</f>
        <v/>
      </c>
      <c r="G24" s="25" t="n">
        <v>8</v>
      </c>
      <c r="H24" s="8">
        <f>IF(OR($A24="",$B24="",$F24=""),"",ROUND(IF($F$3="",0,MAX(0,$F24-$F$3))+IF($D$3="",0,MIN($F24-IF($F$3="",0,MAX(0,$F24-$F$3)),MAX(0,SUMIFS($F$5:$F$304,$A$5:$A$304,$A24&amp;"",$B$5:$B$304,"&gt;="&amp;($B24-MOD(WEEKDAY($B24)-$B$3,7)),$B$5:$B$304,"&lt;="&amp;$B24)-IF($F$3="",0,SUMIFS($F$5:$F$304,$A$5:$A$304,$A24&amp;"",$B$5:$B$304,"&gt;="&amp;($B24-MOD(WEEKDAY($B24)-$B$3,7)),$B$5:$B$304,"&lt;="&amp;$B24,$F$5:$F$304,"&gt;"&amp;$F$3)-$F$3*COUNTIFS($A$5:$A$304,$A24&amp;"",$B$5:$B$304,"&gt;="&amp;($B24-MOD(WEEKDAY($B24)-$B$3,7)),$B$5:$B$304,"&lt;="&amp;$B24,$F$5:$F$304,"&gt;"&amp;$F$3))-$D$3))),2))</f>
        <v/>
      </c>
      <c r="I24" s="26" t="n"/>
      <c r="J24" s="27">
        <f>IF(AND($A24="",$C24="",$D24=""),"",IF(OR($C24&gt;=1,$D24&gt;=1),"⚠ type the time with a colon: 9:00 AM, not 9",IF(AND($C24&lt;&gt;"",$C24=$D24),"⚠ clock-in equals clock-out: the shift adds 0 h",IF(AND($C24&lt;&gt;"",$D24&lt;&gt;"",IF($E24="",0,$E24)&gt;MOD($D24-$C24,1)*24),"⚠ the break is longer than the shift",IF(AND($A24&lt;&gt;"",COUNTIF('Monthly OT Summary'!$A$6:$A$35,$A24&amp;"")=0),"⚠ name not in Monthly OT Summary: its hours are not added","")))))</f>
        <v/>
      </c>
    </row>
    <row r="25">
      <c r="A25" s="21" t="n"/>
      <c r="B25" s="40" t="n"/>
      <c r="C25" s="41" t="n"/>
      <c r="D25" s="41" t="n"/>
      <c r="E25" s="24" t="n"/>
      <c r="F25" s="8">
        <f>IF(OR($C25="",$D25=""),"",IF(OR($C25&gt;=1,$D25&gt;=1,$C25=$D25,IF($E25="",0,$E25)&gt;MOD($D25-$C25,1)*24),"",ROUND(MOD($D25-$C25,1)*24-IF($E25="",0,$E25),2)))</f>
        <v/>
      </c>
      <c r="G25" s="25" t="n">
        <v>8</v>
      </c>
      <c r="H25" s="8">
        <f>IF(OR($A25="",$B25="",$F25=""),"",ROUND(IF($F$3="",0,MAX(0,$F25-$F$3))+IF($D$3="",0,MIN($F25-IF($F$3="",0,MAX(0,$F25-$F$3)),MAX(0,SUMIFS($F$5:$F$304,$A$5:$A$304,$A25&amp;"",$B$5:$B$304,"&gt;="&amp;($B25-MOD(WEEKDAY($B25)-$B$3,7)),$B$5:$B$304,"&lt;="&amp;$B25)-IF($F$3="",0,SUMIFS($F$5:$F$304,$A$5:$A$304,$A25&amp;"",$B$5:$B$304,"&gt;="&amp;($B25-MOD(WEEKDAY($B25)-$B$3,7)),$B$5:$B$304,"&lt;="&amp;$B25,$F$5:$F$304,"&gt;"&amp;$F$3)-$F$3*COUNTIFS($A$5:$A$304,$A25&amp;"",$B$5:$B$304,"&gt;="&amp;($B25-MOD(WEEKDAY($B25)-$B$3,7)),$B$5:$B$304,"&lt;="&amp;$B25,$F$5:$F$304,"&gt;"&amp;$F$3))-$D$3))),2))</f>
        <v/>
      </c>
      <c r="I25" s="26" t="n"/>
      <c r="J25" s="27">
        <f>IF(AND($A25="",$C25="",$D25=""),"",IF(OR($C25&gt;=1,$D25&gt;=1),"⚠ type the time with a colon: 9:00 AM, not 9",IF(AND($C25&lt;&gt;"",$C25=$D25),"⚠ clock-in equals clock-out: the shift adds 0 h",IF(AND($C25&lt;&gt;"",$D25&lt;&gt;"",IF($E25="",0,$E25)&gt;MOD($D25-$C25,1)*24),"⚠ the break is longer than the shift",IF(AND($A25&lt;&gt;"",COUNTIF('Monthly OT Summary'!$A$6:$A$35,$A25&amp;"")=0),"⚠ name not in Monthly OT Summary: its hours are not added","")))))</f>
        <v/>
      </c>
    </row>
    <row r="26">
      <c r="A26" s="21" t="n"/>
      <c r="B26" s="40" t="n"/>
      <c r="C26" s="41" t="n"/>
      <c r="D26" s="41" t="n"/>
      <c r="E26" s="24" t="n"/>
      <c r="F26" s="8">
        <f>IF(OR($C26="",$D26=""),"",IF(OR($C26&gt;=1,$D26&gt;=1,$C26=$D26,IF($E26="",0,$E26)&gt;MOD($D26-$C26,1)*24),"",ROUND(MOD($D26-$C26,1)*24-IF($E26="",0,$E26),2)))</f>
        <v/>
      </c>
      <c r="G26" s="25" t="n">
        <v>8</v>
      </c>
      <c r="H26" s="8">
        <f>IF(OR($A26="",$B26="",$F26=""),"",ROUND(IF($F$3="",0,MAX(0,$F26-$F$3))+IF($D$3="",0,MIN($F26-IF($F$3="",0,MAX(0,$F26-$F$3)),MAX(0,SUMIFS($F$5:$F$304,$A$5:$A$304,$A26&amp;"",$B$5:$B$304,"&gt;="&amp;($B26-MOD(WEEKDAY($B26)-$B$3,7)),$B$5:$B$304,"&lt;="&amp;$B26)-IF($F$3="",0,SUMIFS($F$5:$F$304,$A$5:$A$304,$A26&amp;"",$B$5:$B$304,"&gt;="&amp;($B26-MOD(WEEKDAY($B26)-$B$3,7)),$B$5:$B$304,"&lt;="&amp;$B26,$F$5:$F$304,"&gt;"&amp;$F$3)-$F$3*COUNTIFS($A$5:$A$304,$A26&amp;"",$B$5:$B$304,"&gt;="&amp;($B26-MOD(WEEKDAY($B26)-$B$3,7)),$B$5:$B$304,"&lt;="&amp;$B26,$F$5:$F$304,"&gt;"&amp;$F$3))-$D$3))),2))</f>
        <v/>
      </c>
      <c r="I26" s="26" t="n"/>
      <c r="J26" s="27">
        <f>IF(AND($A26="",$C26="",$D26=""),"",IF(OR($C26&gt;=1,$D26&gt;=1),"⚠ type the time with a colon: 9:00 AM, not 9",IF(AND($C26&lt;&gt;"",$C26=$D26),"⚠ clock-in equals clock-out: the shift adds 0 h",IF(AND($C26&lt;&gt;"",$D26&lt;&gt;"",IF($E26="",0,$E26)&gt;MOD($D26-$C26,1)*24),"⚠ the break is longer than the shift",IF(AND($A26&lt;&gt;"",COUNTIF('Monthly OT Summary'!$A$6:$A$35,$A26&amp;"")=0),"⚠ name not in Monthly OT Summary: its hours are not added","")))))</f>
        <v/>
      </c>
    </row>
    <row r="27">
      <c r="A27" s="21" t="n"/>
      <c r="B27" s="40" t="n"/>
      <c r="C27" s="41" t="n"/>
      <c r="D27" s="41" t="n"/>
      <c r="E27" s="24" t="n"/>
      <c r="F27" s="8">
        <f>IF(OR($C27="",$D27=""),"",IF(OR($C27&gt;=1,$D27&gt;=1,$C27=$D27,IF($E27="",0,$E27)&gt;MOD($D27-$C27,1)*24),"",ROUND(MOD($D27-$C27,1)*24-IF($E27="",0,$E27),2)))</f>
        <v/>
      </c>
      <c r="G27" s="25" t="n">
        <v>8</v>
      </c>
      <c r="H27" s="8">
        <f>IF(OR($A27="",$B27="",$F27=""),"",ROUND(IF($F$3="",0,MAX(0,$F27-$F$3))+IF($D$3="",0,MIN($F27-IF($F$3="",0,MAX(0,$F27-$F$3)),MAX(0,SUMIFS($F$5:$F$304,$A$5:$A$304,$A27&amp;"",$B$5:$B$304,"&gt;="&amp;($B27-MOD(WEEKDAY($B27)-$B$3,7)),$B$5:$B$304,"&lt;="&amp;$B27)-IF($F$3="",0,SUMIFS($F$5:$F$304,$A$5:$A$304,$A27&amp;"",$B$5:$B$304,"&gt;="&amp;($B27-MOD(WEEKDAY($B27)-$B$3,7)),$B$5:$B$304,"&lt;="&amp;$B27,$F$5:$F$304,"&gt;"&amp;$F$3)-$F$3*COUNTIFS($A$5:$A$304,$A27&amp;"",$B$5:$B$304,"&gt;="&amp;($B27-MOD(WEEKDAY($B27)-$B$3,7)),$B$5:$B$304,"&lt;="&amp;$B27,$F$5:$F$304,"&gt;"&amp;$F$3))-$D$3))),2))</f>
        <v/>
      </c>
      <c r="I27" s="26" t="n"/>
      <c r="J27" s="27">
        <f>IF(AND($A27="",$C27="",$D27=""),"",IF(OR($C27&gt;=1,$D27&gt;=1),"⚠ type the time with a colon: 9:00 AM, not 9",IF(AND($C27&lt;&gt;"",$C27=$D27),"⚠ clock-in equals clock-out: the shift adds 0 h",IF(AND($C27&lt;&gt;"",$D27&lt;&gt;"",IF($E27="",0,$E27)&gt;MOD($D27-$C27,1)*24),"⚠ the break is longer than the shift",IF(AND($A27&lt;&gt;"",COUNTIF('Monthly OT Summary'!$A$6:$A$35,$A27&amp;"")=0),"⚠ name not in Monthly OT Summary: its hours are not added","")))))</f>
        <v/>
      </c>
    </row>
    <row r="28">
      <c r="A28" s="21" t="n"/>
      <c r="B28" s="40" t="n"/>
      <c r="C28" s="41" t="n"/>
      <c r="D28" s="41" t="n"/>
      <c r="E28" s="24" t="n"/>
      <c r="F28" s="8">
        <f>IF(OR($C28="",$D28=""),"",IF(OR($C28&gt;=1,$D28&gt;=1,$C28=$D28,IF($E28="",0,$E28)&gt;MOD($D28-$C28,1)*24),"",ROUND(MOD($D28-$C28,1)*24-IF($E28="",0,$E28),2)))</f>
        <v/>
      </c>
      <c r="G28" s="25" t="n">
        <v>8</v>
      </c>
      <c r="H28" s="8">
        <f>IF(OR($A28="",$B28="",$F28=""),"",ROUND(IF($F$3="",0,MAX(0,$F28-$F$3))+IF($D$3="",0,MIN($F28-IF($F$3="",0,MAX(0,$F28-$F$3)),MAX(0,SUMIFS($F$5:$F$304,$A$5:$A$304,$A28&amp;"",$B$5:$B$304,"&gt;="&amp;($B28-MOD(WEEKDAY($B28)-$B$3,7)),$B$5:$B$304,"&lt;="&amp;$B28)-IF($F$3="",0,SUMIFS($F$5:$F$304,$A$5:$A$304,$A28&amp;"",$B$5:$B$304,"&gt;="&amp;($B28-MOD(WEEKDAY($B28)-$B$3,7)),$B$5:$B$304,"&lt;="&amp;$B28,$F$5:$F$304,"&gt;"&amp;$F$3)-$F$3*COUNTIFS($A$5:$A$304,$A28&amp;"",$B$5:$B$304,"&gt;="&amp;($B28-MOD(WEEKDAY($B28)-$B$3,7)),$B$5:$B$304,"&lt;="&amp;$B28,$F$5:$F$304,"&gt;"&amp;$F$3))-$D$3))),2))</f>
        <v/>
      </c>
      <c r="I28" s="26" t="n"/>
      <c r="J28" s="27">
        <f>IF(AND($A28="",$C28="",$D28=""),"",IF(OR($C28&gt;=1,$D28&gt;=1),"⚠ type the time with a colon: 9:00 AM, not 9",IF(AND($C28&lt;&gt;"",$C28=$D28),"⚠ clock-in equals clock-out: the shift adds 0 h",IF(AND($C28&lt;&gt;"",$D28&lt;&gt;"",IF($E28="",0,$E28)&gt;MOD($D28-$C28,1)*24),"⚠ the break is longer than the shift",IF(AND($A28&lt;&gt;"",COUNTIF('Monthly OT Summary'!$A$6:$A$35,$A28&amp;"")=0),"⚠ name not in Monthly OT Summary: its hours are not added","")))))</f>
        <v/>
      </c>
    </row>
    <row r="29">
      <c r="A29" s="21" t="n"/>
      <c r="B29" s="40" t="n"/>
      <c r="C29" s="41" t="n"/>
      <c r="D29" s="41" t="n"/>
      <c r="E29" s="24" t="n"/>
      <c r="F29" s="8">
        <f>IF(OR($C29="",$D29=""),"",IF(OR($C29&gt;=1,$D29&gt;=1,$C29=$D29,IF($E29="",0,$E29)&gt;MOD($D29-$C29,1)*24),"",ROUND(MOD($D29-$C29,1)*24-IF($E29="",0,$E29),2)))</f>
        <v/>
      </c>
      <c r="G29" s="25" t="n">
        <v>8</v>
      </c>
      <c r="H29" s="8">
        <f>IF(OR($A29="",$B29="",$F29=""),"",ROUND(IF($F$3="",0,MAX(0,$F29-$F$3))+IF($D$3="",0,MIN($F29-IF($F$3="",0,MAX(0,$F29-$F$3)),MAX(0,SUMIFS($F$5:$F$304,$A$5:$A$304,$A29&amp;"",$B$5:$B$304,"&gt;="&amp;($B29-MOD(WEEKDAY($B29)-$B$3,7)),$B$5:$B$304,"&lt;="&amp;$B29)-IF($F$3="",0,SUMIFS($F$5:$F$304,$A$5:$A$304,$A29&amp;"",$B$5:$B$304,"&gt;="&amp;($B29-MOD(WEEKDAY($B29)-$B$3,7)),$B$5:$B$304,"&lt;="&amp;$B29,$F$5:$F$304,"&gt;"&amp;$F$3)-$F$3*COUNTIFS($A$5:$A$304,$A29&amp;"",$B$5:$B$304,"&gt;="&amp;($B29-MOD(WEEKDAY($B29)-$B$3,7)),$B$5:$B$304,"&lt;="&amp;$B29,$F$5:$F$304,"&gt;"&amp;$F$3))-$D$3))),2))</f>
        <v/>
      </c>
      <c r="I29" s="26" t="n"/>
      <c r="J29" s="27">
        <f>IF(AND($A29="",$C29="",$D29=""),"",IF(OR($C29&gt;=1,$D29&gt;=1),"⚠ type the time with a colon: 9:00 AM, not 9",IF(AND($C29&lt;&gt;"",$C29=$D29),"⚠ clock-in equals clock-out: the shift adds 0 h",IF(AND($C29&lt;&gt;"",$D29&lt;&gt;"",IF($E29="",0,$E29)&gt;MOD($D29-$C29,1)*24),"⚠ the break is longer than the shift",IF(AND($A29&lt;&gt;"",COUNTIF('Monthly OT Summary'!$A$6:$A$35,$A29&amp;"")=0),"⚠ name not in Monthly OT Summary: its hours are not added","")))))</f>
        <v/>
      </c>
    </row>
    <row r="30">
      <c r="A30" s="21" t="n"/>
      <c r="B30" s="40" t="n"/>
      <c r="C30" s="41" t="n"/>
      <c r="D30" s="41" t="n"/>
      <c r="E30" s="24" t="n"/>
      <c r="F30" s="8">
        <f>IF(OR($C30="",$D30=""),"",IF(OR($C30&gt;=1,$D30&gt;=1,$C30=$D30,IF($E30="",0,$E30)&gt;MOD($D30-$C30,1)*24),"",ROUND(MOD($D30-$C30,1)*24-IF($E30="",0,$E30),2)))</f>
        <v/>
      </c>
      <c r="G30" s="25" t="n">
        <v>8</v>
      </c>
      <c r="H30" s="8">
        <f>IF(OR($A30="",$B30="",$F30=""),"",ROUND(IF($F$3="",0,MAX(0,$F30-$F$3))+IF($D$3="",0,MIN($F30-IF($F$3="",0,MAX(0,$F30-$F$3)),MAX(0,SUMIFS($F$5:$F$304,$A$5:$A$304,$A30&amp;"",$B$5:$B$304,"&gt;="&amp;($B30-MOD(WEEKDAY($B30)-$B$3,7)),$B$5:$B$304,"&lt;="&amp;$B30)-IF($F$3="",0,SUMIFS($F$5:$F$304,$A$5:$A$304,$A30&amp;"",$B$5:$B$304,"&gt;="&amp;($B30-MOD(WEEKDAY($B30)-$B$3,7)),$B$5:$B$304,"&lt;="&amp;$B30,$F$5:$F$304,"&gt;"&amp;$F$3)-$F$3*COUNTIFS($A$5:$A$304,$A30&amp;"",$B$5:$B$304,"&gt;="&amp;($B30-MOD(WEEKDAY($B30)-$B$3,7)),$B$5:$B$304,"&lt;="&amp;$B30,$F$5:$F$304,"&gt;"&amp;$F$3))-$D$3))),2))</f>
        <v/>
      </c>
      <c r="I30" s="26" t="n"/>
      <c r="J30" s="27">
        <f>IF(AND($A30="",$C30="",$D30=""),"",IF(OR($C30&gt;=1,$D30&gt;=1),"⚠ type the time with a colon: 9:00 AM, not 9",IF(AND($C30&lt;&gt;"",$C30=$D30),"⚠ clock-in equals clock-out: the shift adds 0 h",IF(AND($C30&lt;&gt;"",$D30&lt;&gt;"",IF($E30="",0,$E30)&gt;MOD($D30-$C30,1)*24),"⚠ the break is longer than the shift",IF(AND($A30&lt;&gt;"",COUNTIF('Monthly OT Summary'!$A$6:$A$35,$A30&amp;"")=0),"⚠ name not in Monthly OT Summary: its hours are not added","")))))</f>
        <v/>
      </c>
    </row>
    <row r="31">
      <c r="A31" s="21" t="n"/>
      <c r="B31" s="40" t="n"/>
      <c r="C31" s="41" t="n"/>
      <c r="D31" s="41" t="n"/>
      <c r="E31" s="24" t="n"/>
      <c r="F31" s="8">
        <f>IF(OR($C31="",$D31=""),"",IF(OR($C31&gt;=1,$D31&gt;=1,$C31=$D31,IF($E31="",0,$E31)&gt;MOD($D31-$C31,1)*24),"",ROUND(MOD($D31-$C31,1)*24-IF($E31="",0,$E31),2)))</f>
        <v/>
      </c>
      <c r="G31" s="25" t="n">
        <v>8</v>
      </c>
      <c r="H31" s="8">
        <f>IF(OR($A31="",$B31="",$F31=""),"",ROUND(IF($F$3="",0,MAX(0,$F31-$F$3))+IF($D$3="",0,MIN($F31-IF($F$3="",0,MAX(0,$F31-$F$3)),MAX(0,SUMIFS($F$5:$F$304,$A$5:$A$304,$A31&amp;"",$B$5:$B$304,"&gt;="&amp;($B31-MOD(WEEKDAY($B31)-$B$3,7)),$B$5:$B$304,"&lt;="&amp;$B31)-IF($F$3="",0,SUMIFS($F$5:$F$304,$A$5:$A$304,$A31&amp;"",$B$5:$B$304,"&gt;="&amp;($B31-MOD(WEEKDAY($B31)-$B$3,7)),$B$5:$B$304,"&lt;="&amp;$B31,$F$5:$F$304,"&gt;"&amp;$F$3)-$F$3*COUNTIFS($A$5:$A$304,$A31&amp;"",$B$5:$B$304,"&gt;="&amp;($B31-MOD(WEEKDAY($B31)-$B$3,7)),$B$5:$B$304,"&lt;="&amp;$B31,$F$5:$F$304,"&gt;"&amp;$F$3))-$D$3))),2))</f>
        <v/>
      </c>
      <c r="I31" s="26" t="n"/>
      <c r="J31" s="27">
        <f>IF(AND($A31="",$C31="",$D31=""),"",IF(OR($C31&gt;=1,$D31&gt;=1),"⚠ type the time with a colon: 9:00 AM, not 9",IF(AND($C31&lt;&gt;"",$C31=$D31),"⚠ clock-in equals clock-out: the shift adds 0 h",IF(AND($C31&lt;&gt;"",$D31&lt;&gt;"",IF($E31="",0,$E31)&gt;MOD($D31-$C31,1)*24),"⚠ the break is longer than the shift",IF(AND($A31&lt;&gt;"",COUNTIF('Monthly OT Summary'!$A$6:$A$35,$A31&amp;"")=0),"⚠ name not in Monthly OT Summary: its hours are not added","")))))</f>
        <v/>
      </c>
    </row>
    <row r="32">
      <c r="A32" s="21" t="n"/>
      <c r="B32" s="40" t="n"/>
      <c r="C32" s="41" t="n"/>
      <c r="D32" s="41" t="n"/>
      <c r="E32" s="24" t="n"/>
      <c r="F32" s="8">
        <f>IF(OR($C32="",$D32=""),"",IF(OR($C32&gt;=1,$D32&gt;=1,$C32=$D32,IF($E32="",0,$E32)&gt;MOD($D32-$C32,1)*24),"",ROUND(MOD($D32-$C32,1)*24-IF($E32="",0,$E32),2)))</f>
        <v/>
      </c>
      <c r="G32" s="25" t="n">
        <v>8</v>
      </c>
      <c r="H32" s="8">
        <f>IF(OR($A32="",$B32="",$F32=""),"",ROUND(IF($F$3="",0,MAX(0,$F32-$F$3))+IF($D$3="",0,MIN($F32-IF($F$3="",0,MAX(0,$F32-$F$3)),MAX(0,SUMIFS($F$5:$F$304,$A$5:$A$304,$A32&amp;"",$B$5:$B$304,"&gt;="&amp;($B32-MOD(WEEKDAY($B32)-$B$3,7)),$B$5:$B$304,"&lt;="&amp;$B32)-IF($F$3="",0,SUMIFS($F$5:$F$304,$A$5:$A$304,$A32&amp;"",$B$5:$B$304,"&gt;="&amp;($B32-MOD(WEEKDAY($B32)-$B$3,7)),$B$5:$B$304,"&lt;="&amp;$B32,$F$5:$F$304,"&gt;"&amp;$F$3)-$F$3*COUNTIFS($A$5:$A$304,$A32&amp;"",$B$5:$B$304,"&gt;="&amp;($B32-MOD(WEEKDAY($B32)-$B$3,7)),$B$5:$B$304,"&lt;="&amp;$B32,$F$5:$F$304,"&gt;"&amp;$F$3))-$D$3))),2))</f>
        <v/>
      </c>
      <c r="I32" s="26" t="n"/>
      <c r="J32" s="27">
        <f>IF(AND($A32="",$C32="",$D32=""),"",IF(OR($C32&gt;=1,$D32&gt;=1),"⚠ type the time with a colon: 9:00 AM, not 9",IF(AND($C32&lt;&gt;"",$C32=$D32),"⚠ clock-in equals clock-out: the shift adds 0 h",IF(AND($C32&lt;&gt;"",$D32&lt;&gt;"",IF($E32="",0,$E32)&gt;MOD($D32-$C32,1)*24),"⚠ the break is longer than the shift",IF(AND($A32&lt;&gt;"",COUNTIF('Monthly OT Summary'!$A$6:$A$35,$A32&amp;"")=0),"⚠ name not in Monthly OT Summary: its hours are not added","")))))</f>
        <v/>
      </c>
    </row>
    <row r="33">
      <c r="A33" s="21" t="n"/>
      <c r="B33" s="40" t="n"/>
      <c r="C33" s="41" t="n"/>
      <c r="D33" s="41" t="n"/>
      <c r="E33" s="24" t="n"/>
      <c r="F33" s="8">
        <f>IF(OR($C33="",$D33=""),"",IF(OR($C33&gt;=1,$D33&gt;=1,$C33=$D33,IF($E33="",0,$E33)&gt;MOD($D33-$C33,1)*24),"",ROUND(MOD($D33-$C33,1)*24-IF($E33="",0,$E33),2)))</f>
        <v/>
      </c>
      <c r="G33" s="25" t="n">
        <v>8</v>
      </c>
      <c r="H33" s="8">
        <f>IF(OR($A33="",$B33="",$F33=""),"",ROUND(IF($F$3="",0,MAX(0,$F33-$F$3))+IF($D$3="",0,MIN($F33-IF($F$3="",0,MAX(0,$F33-$F$3)),MAX(0,SUMIFS($F$5:$F$304,$A$5:$A$304,$A33&amp;"",$B$5:$B$304,"&gt;="&amp;($B33-MOD(WEEKDAY($B33)-$B$3,7)),$B$5:$B$304,"&lt;="&amp;$B33)-IF($F$3="",0,SUMIFS($F$5:$F$304,$A$5:$A$304,$A33&amp;"",$B$5:$B$304,"&gt;="&amp;($B33-MOD(WEEKDAY($B33)-$B$3,7)),$B$5:$B$304,"&lt;="&amp;$B33,$F$5:$F$304,"&gt;"&amp;$F$3)-$F$3*COUNTIFS($A$5:$A$304,$A33&amp;"",$B$5:$B$304,"&gt;="&amp;($B33-MOD(WEEKDAY($B33)-$B$3,7)),$B$5:$B$304,"&lt;="&amp;$B33,$F$5:$F$304,"&gt;"&amp;$F$3))-$D$3))),2))</f>
        <v/>
      </c>
      <c r="I33" s="26" t="n"/>
      <c r="J33" s="27">
        <f>IF(AND($A33="",$C33="",$D33=""),"",IF(OR($C33&gt;=1,$D33&gt;=1),"⚠ type the time with a colon: 9:00 AM, not 9",IF(AND($C33&lt;&gt;"",$C33=$D33),"⚠ clock-in equals clock-out: the shift adds 0 h",IF(AND($C33&lt;&gt;"",$D33&lt;&gt;"",IF($E33="",0,$E33)&gt;MOD($D33-$C33,1)*24),"⚠ the break is longer than the shift",IF(AND($A33&lt;&gt;"",COUNTIF('Monthly OT Summary'!$A$6:$A$35,$A33&amp;"")=0),"⚠ name not in Monthly OT Summary: its hours are not added","")))))</f>
        <v/>
      </c>
    </row>
    <row r="34">
      <c r="A34" s="21" t="n"/>
      <c r="B34" s="40" t="n"/>
      <c r="C34" s="41" t="n"/>
      <c r="D34" s="41" t="n"/>
      <c r="E34" s="24" t="n"/>
      <c r="F34" s="8">
        <f>IF(OR($C34="",$D34=""),"",IF(OR($C34&gt;=1,$D34&gt;=1,$C34=$D34,IF($E34="",0,$E34)&gt;MOD($D34-$C34,1)*24),"",ROUND(MOD($D34-$C34,1)*24-IF($E34="",0,$E34),2)))</f>
        <v/>
      </c>
      <c r="G34" s="25" t="n">
        <v>8</v>
      </c>
      <c r="H34" s="8">
        <f>IF(OR($A34="",$B34="",$F34=""),"",ROUND(IF($F$3="",0,MAX(0,$F34-$F$3))+IF($D$3="",0,MIN($F34-IF($F$3="",0,MAX(0,$F34-$F$3)),MAX(0,SUMIFS($F$5:$F$304,$A$5:$A$304,$A34&amp;"",$B$5:$B$304,"&gt;="&amp;($B34-MOD(WEEKDAY($B34)-$B$3,7)),$B$5:$B$304,"&lt;="&amp;$B34)-IF($F$3="",0,SUMIFS($F$5:$F$304,$A$5:$A$304,$A34&amp;"",$B$5:$B$304,"&gt;="&amp;($B34-MOD(WEEKDAY($B34)-$B$3,7)),$B$5:$B$304,"&lt;="&amp;$B34,$F$5:$F$304,"&gt;"&amp;$F$3)-$F$3*COUNTIFS($A$5:$A$304,$A34&amp;"",$B$5:$B$304,"&gt;="&amp;($B34-MOD(WEEKDAY($B34)-$B$3,7)),$B$5:$B$304,"&lt;="&amp;$B34,$F$5:$F$304,"&gt;"&amp;$F$3))-$D$3))),2))</f>
        <v/>
      </c>
      <c r="I34" s="26" t="n"/>
      <c r="J34" s="27">
        <f>IF(AND($A34="",$C34="",$D34=""),"",IF(OR($C34&gt;=1,$D34&gt;=1),"⚠ type the time with a colon: 9:00 AM, not 9",IF(AND($C34&lt;&gt;"",$C34=$D34),"⚠ clock-in equals clock-out: the shift adds 0 h",IF(AND($C34&lt;&gt;"",$D34&lt;&gt;"",IF($E34="",0,$E34)&gt;MOD($D34-$C34,1)*24),"⚠ the break is longer than the shift",IF(AND($A34&lt;&gt;"",COUNTIF('Monthly OT Summary'!$A$6:$A$35,$A34&amp;"")=0),"⚠ name not in Monthly OT Summary: its hours are not added","")))))</f>
        <v/>
      </c>
    </row>
    <row r="35">
      <c r="A35" s="21" t="n"/>
      <c r="B35" s="40" t="n"/>
      <c r="C35" s="41" t="n"/>
      <c r="D35" s="41" t="n"/>
      <c r="E35" s="24" t="n"/>
      <c r="F35" s="8">
        <f>IF(OR($C35="",$D35=""),"",IF(OR($C35&gt;=1,$D35&gt;=1,$C35=$D35,IF($E35="",0,$E35)&gt;MOD($D35-$C35,1)*24),"",ROUND(MOD($D35-$C35,1)*24-IF($E35="",0,$E35),2)))</f>
        <v/>
      </c>
      <c r="G35" s="25" t="n">
        <v>8</v>
      </c>
      <c r="H35" s="8">
        <f>IF(OR($A35="",$B35="",$F35=""),"",ROUND(IF($F$3="",0,MAX(0,$F35-$F$3))+IF($D$3="",0,MIN($F35-IF($F$3="",0,MAX(0,$F35-$F$3)),MAX(0,SUMIFS($F$5:$F$304,$A$5:$A$304,$A35&amp;"",$B$5:$B$304,"&gt;="&amp;($B35-MOD(WEEKDAY($B35)-$B$3,7)),$B$5:$B$304,"&lt;="&amp;$B35)-IF($F$3="",0,SUMIFS($F$5:$F$304,$A$5:$A$304,$A35&amp;"",$B$5:$B$304,"&gt;="&amp;($B35-MOD(WEEKDAY($B35)-$B$3,7)),$B$5:$B$304,"&lt;="&amp;$B35,$F$5:$F$304,"&gt;"&amp;$F$3)-$F$3*COUNTIFS($A$5:$A$304,$A35&amp;"",$B$5:$B$304,"&gt;="&amp;($B35-MOD(WEEKDAY($B35)-$B$3,7)),$B$5:$B$304,"&lt;="&amp;$B35,$F$5:$F$304,"&gt;"&amp;$F$3))-$D$3))),2))</f>
        <v/>
      </c>
      <c r="I35" s="26" t="n"/>
      <c r="J35" s="27">
        <f>IF(AND($A35="",$C35="",$D35=""),"",IF(OR($C35&gt;=1,$D35&gt;=1),"⚠ type the time with a colon: 9:00 AM, not 9",IF(AND($C35&lt;&gt;"",$C35=$D35),"⚠ clock-in equals clock-out: the shift adds 0 h",IF(AND($C35&lt;&gt;"",$D35&lt;&gt;"",IF($E35="",0,$E35)&gt;MOD($D35-$C35,1)*24),"⚠ the break is longer than the shift",IF(AND($A35&lt;&gt;"",COUNTIF('Monthly OT Summary'!$A$6:$A$35,$A35&amp;"")=0),"⚠ name not in Monthly OT Summary: its hours are not added","")))))</f>
        <v/>
      </c>
    </row>
    <row r="36">
      <c r="A36" s="21" t="n"/>
      <c r="B36" s="40" t="n"/>
      <c r="C36" s="41" t="n"/>
      <c r="D36" s="41" t="n"/>
      <c r="E36" s="24" t="n"/>
      <c r="F36" s="8">
        <f>IF(OR($C36="",$D36=""),"",IF(OR($C36&gt;=1,$D36&gt;=1,$C36=$D36,IF($E36="",0,$E36)&gt;MOD($D36-$C36,1)*24),"",ROUND(MOD($D36-$C36,1)*24-IF($E36="",0,$E36),2)))</f>
        <v/>
      </c>
      <c r="G36" s="25" t="n">
        <v>8</v>
      </c>
      <c r="H36" s="8">
        <f>IF(OR($A36="",$B36="",$F36=""),"",ROUND(IF($F$3="",0,MAX(0,$F36-$F$3))+IF($D$3="",0,MIN($F36-IF($F$3="",0,MAX(0,$F36-$F$3)),MAX(0,SUMIFS($F$5:$F$304,$A$5:$A$304,$A36&amp;"",$B$5:$B$304,"&gt;="&amp;($B36-MOD(WEEKDAY($B36)-$B$3,7)),$B$5:$B$304,"&lt;="&amp;$B36)-IF($F$3="",0,SUMIFS($F$5:$F$304,$A$5:$A$304,$A36&amp;"",$B$5:$B$304,"&gt;="&amp;($B36-MOD(WEEKDAY($B36)-$B$3,7)),$B$5:$B$304,"&lt;="&amp;$B36,$F$5:$F$304,"&gt;"&amp;$F$3)-$F$3*COUNTIFS($A$5:$A$304,$A36&amp;"",$B$5:$B$304,"&gt;="&amp;($B36-MOD(WEEKDAY($B36)-$B$3,7)),$B$5:$B$304,"&lt;="&amp;$B36,$F$5:$F$304,"&gt;"&amp;$F$3))-$D$3))),2))</f>
        <v/>
      </c>
      <c r="I36" s="26" t="n"/>
      <c r="J36" s="27">
        <f>IF(AND($A36="",$C36="",$D36=""),"",IF(OR($C36&gt;=1,$D36&gt;=1),"⚠ type the time with a colon: 9:00 AM, not 9",IF(AND($C36&lt;&gt;"",$C36=$D36),"⚠ clock-in equals clock-out: the shift adds 0 h",IF(AND($C36&lt;&gt;"",$D36&lt;&gt;"",IF($E36="",0,$E36)&gt;MOD($D36-$C36,1)*24),"⚠ the break is longer than the shift",IF(AND($A36&lt;&gt;"",COUNTIF('Monthly OT Summary'!$A$6:$A$35,$A36&amp;"")=0),"⚠ name not in Monthly OT Summary: its hours are not added","")))))</f>
        <v/>
      </c>
    </row>
    <row r="37">
      <c r="A37" s="21" t="n"/>
      <c r="B37" s="40" t="n"/>
      <c r="C37" s="41" t="n"/>
      <c r="D37" s="41" t="n"/>
      <c r="E37" s="24" t="n"/>
      <c r="F37" s="8">
        <f>IF(OR($C37="",$D37=""),"",IF(OR($C37&gt;=1,$D37&gt;=1,$C37=$D37,IF($E37="",0,$E37)&gt;MOD($D37-$C37,1)*24),"",ROUND(MOD($D37-$C37,1)*24-IF($E37="",0,$E37),2)))</f>
        <v/>
      </c>
      <c r="G37" s="25" t="n">
        <v>8</v>
      </c>
      <c r="H37" s="8">
        <f>IF(OR($A37="",$B37="",$F37=""),"",ROUND(IF($F$3="",0,MAX(0,$F37-$F$3))+IF($D$3="",0,MIN($F37-IF($F$3="",0,MAX(0,$F37-$F$3)),MAX(0,SUMIFS($F$5:$F$304,$A$5:$A$304,$A37&amp;"",$B$5:$B$304,"&gt;="&amp;($B37-MOD(WEEKDAY($B37)-$B$3,7)),$B$5:$B$304,"&lt;="&amp;$B37)-IF($F$3="",0,SUMIFS($F$5:$F$304,$A$5:$A$304,$A37&amp;"",$B$5:$B$304,"&gt;="&amp;($B37-MOD(WEEKDAY($B37)-$B$3,7)),$B$5:$B$304,"&lt;="&amp;$B37,$F$5:$F$304,"&gt;"&amp;$F$3)-$F$3*COUNTIFS($A$5:$A$304,$A37&amp;"",$B$5:$B$304,"&gt;="&amp;($B37-MOD(WEEKDAY($B37)-$B$3,7)),$B$5:$B$304,"&lt;="&amp;$B37,$F$5:$F$304,"&gt;"&amp;$F$3))-$D$3))),2))</f>
        <v/>
      </c>
      <c r="I37" s="26" t="n"/>
      <c r="J37" s="27">
        <f>IF(AND($A37="",$C37="",$D37=""),"",IF(OR($C37&gt;=1,$D37&gt;=1),"⚠ type the time with a colon: 9:00 AM, not 9",IF(AND($C37&lt;&gt;"",$C37=$D37),"⚠ clock-in equals clock-out: the shift adds 0 h",IF(AND($C37&lt;&gt;"",$D37&lt;&gt;"",IF($E37="",0,$E37)&gt;MOD($D37-$C37,1)*24),"⚠ the break is longer than the shift",IF(AND($A37&lt;&gt;"",COUNTIF('Monthly OT Summary'!$A$6:$A$35,$A37&amp;"")=0),"⚠ name not in Monthly OT Summary: its hours are not added","")))))</f>
        <v/>
      </c>
    </row>
    <row r="38">
      <c r="A38" s="21" t="n"/>
      <c r="B38" s="40" t="n"/>
      <c r="C38" s="41" t="n"/>
      <c r="D38" s="41" t="n"/>
      <c r="E38" s="24" t="n"/>
      <c r="F38" s="8">
        <f>IF(OR($C38="",$D38=""),"",IF(OR($C38&gt;=1,$D38&gt;=1,$C38=$D38,IF($E38="",0,$E38)&gt;MOD($D38-$C38,1)*24),"",ROUND(MOD($D38-$C38,1)*24-IF($E38="",0,$E38),2)))</f>
        <v/>
      </c>
      <c r="G38" s="25" t="n">
        <v>8</v>
      </c>
      <c r="H38" s="8">
        <f>IF(OR($A38="",$B38="",$F38=""),"",ROUND(IF($F$3="",0,MAX(0,$F38-$F$3))+IF($D$3="",0,MIN($F38-IF($F$3="",0,MAX(0,$F38-$F$3)),MAX(0,SUMIFS($F$5:$F$304,$A$5:$A$304,$A38&amp;"",$B$5:$B$304,"&gt;="&amp;($B38-MOD(WEEKDAY($B38)-$B$3,7)),$B$5:$B$304,"&lt;="&amp;$B38)-IF($F$3="",0,SUMIFS($F$5:$F$304,$A$5:$A$304,$A38&amp;"",$B$5:$B$304,"&gt;="&amp;($B38-MOD(WEEKDAY($B38)-$B$3,7)),$B$5:$B$304,"&lt;="&amp;$B38,$F$5:$F$304,"&gt;"&amp;$F$3)-$F$3*COUNTIFS($A$5:$A$304,$A38&amp;"",$B$5:$B$304,"&gt;="&amp;($B38-MOD(WEEKDAY($B38)-$B$3,7)),$B$5:$B$304,"&lt;="&amp;$B38,$F$5:$F$304,"&gt;"&amp;$F$3))-$D$3))),2))</f>
        <v/>
      </c>
      <c r="I38" s="26" t="n"/>
      <c r="J38" s="27">
        <f>IF(AND($A38="",$C38="",$D38=""),"",IF(OR($C38&gt;=1,$D38&gt;=1),"⚠ type the time with a colon: 9:00 AM, not 9",IF(AND($C38&lt;&gt;"",$C38=$D38),"⚠ clock-in equals clock-out: the shift adds 0 h",IF(AND($C38&lt;&gt;"",$D38&lt;&gt;"",IF($E38="",0,$E38)&gt;MOD($D38-$C38,1)*24),"⚠ the break is longer than the shift",IF(AND($A38&lt;&gt;"",COUNTIF('Monthly OT Summary'!$A$6:$A$35,$A38&amp;"")=0),"⚠ name not in Monthly OT Summary: its hours are not added","")))))</f>
        <v/>
      </c>
    </row>
    <row r="39">
      <c r="A39" s="21" t="n"/>
      <c r="B39" s="40" t="n"/>
      <c r="C39" s="41" t="n"/>
      <c r="D39" s="41" t="n"/>
      <c r="E39" s="24" t="n"/>
      <c r="F39" s="8">
        <f>IF(OR($C39="",$D39=""),"",IF(OR($C39&gt;=1,$D39&gt;=1,$C39=$D39,IF($E39="",0,$E39)&gt;MOD($D39-$C39,1)*24),"",ROUND(MOD($D39-$C39,1)*24-IF($E39="",0,$E39),2)))</f>
        <v/>
      </c>
      <c r="G39" s="25" t="n">
        <v>8</v>
      </c>
      <c r="H39" s="8">
        <f>IF(OR($A39="",$B39="",$F39=""),"",ROUND(IF($F$3="",0,MAX(0,$F39-$F$3))+IF($D$3="",0,MIN($F39-IF($F$3="",0,MAX(0,$F39-$F$3)),MAX(0,SUMIFS($F$5:$F$304,$A$5:$A$304,$A39&amp;"",$B$5:$B$304,"&gt;="&amp;($B39-MOD(WEEKDAY($B39)-$B$3,7)),$B$5:$B$304,"&lt;="&amp;$B39)-IF($F$3="",0,SUMIFS($F$5:$F$304,$A$5:$A$304,$A39&amp;"",$B$5:$B$304,"&gt;="&amp;($B39-MOD(WEEKDAY($B39)-$B$3,7)),$B$5:$B$304,"&lt;="&amp;$B39,$F$5:$F$304,"&gt;"&amp;$F$3)-$F$3*COUNTIFS($A$5:$A$304,$A39&amp;"",$B$5:$B$304,"&gt;="&amp;($B39-MOD(WEEKDAY($B39)-$B$3,7)),$B$5:$B$304,"&lt;="&amp;$B39,$F$5:$F$304,"&gt;"&amp;$F$3))-$D$3))),2))</f>
        <v/>
      </c>
      <c r="I39" s="26" t="n"/>
      <c r="J39" s="27">
        <f>IF(AND($A39="",$C39="",$D39=""),"",IF(OR($C39&gt;=1,$D39&gt;=1),"⚠ type the time with a colon: 9:00 AM, not 9",IF(AND($C39&lt;&gt;"",$C39=$D39),"⚠ clock-in equals clock-out: the shift adds 0 h",IF(AND($C39&lt;&gt;"",$D39&lt;&gt;"",IF($E39="",0,$E39)&gt;MOD($D39-$C39,1)*24),"⚠ the break is longer than the shift",IF(AND($A39&lt;&gt;"",COUNTIF('Monthly OT Summary'!$A$6:$A$35,$A39&amp;"")=0),"⚠ name not in Monthly OT Summary: its hours are not added","")))))</f>
        <v/>
      </c>
    </row>
    <row r="40">
      <c r="A40" s="21" t="n"/>
      <c r="B40" s="40" t="n"/>
      <c r="C40" s="41" t="n"/>
      <c r="D40" s="41" t="n"/>
      <c r="E40" s="24" t="n"/>
      <c r="F40" s="8">
        <f>IF(OR($C40="",$D40=""),"",IF(OR($C40&gt;=1,$D40&gt;=1,$C40=$D40,IF($E40="",0,$E40)&gt;MOD($D40-$C40,1)*24),"",ROUND(MOD($D40-$C40,1)*24-IF($E40="",0,$E40),2)))</f>
        <v/>
      </c>
      <c r="G40" s="25" t="n">
        <v>8</v>
      </c>
      <c r="H40" s="8">
        <f>IF(OR($A40="",$B40="",$F40=""),"",ROUND(IF($F$3="",0,MAX(0,$F40-$F$3))+IF($D$3="",0,MIN($F40-IF($F$3="",0,MAX(0,$F40-$F$3)),MAX(0,SUMIFS($F$5:$F$304,$A$5:$A$304,$A40&amp;"",$B$5:$B$304,"&gt;="&amp;($B40-MOD(WEEKDAY($B40)-$B$3,7)),$B$5:$B$304,"&lt;="&amp;$B40)-IF($F$3="",0,SUMIFS($F$5:$F$304,$A$5:$A$304,$A40&amp;"",$B$5:$B$304,"&gt;="&amp;($B40-MOD(WEEKDAY($B40)-$B$3,7)),$B$5:$B$304,"&lt;="&amp;$B40,$F$5:$F$304,"&gt;"&amp;$F$3)-$F$3*COUNTIFS($A$5:$A$304,$A40&amp;"",$B$5:$B$304,"&gt;="&amp;($B40-MOD(WEEKDAY($B40)-$B$3,7)),$B$5:$B$304,"&lt;="&amp;$B40,$F$5:$F$304,"&gt;"&amp;$F$3))-$D$3))),2))</f>
        <v/>
      </c>
      <c r="I40" s="26" t="n"/>
      <c r="J40" s="27">
        <f>IF(AND($A40="",$C40="",$D40=""),"",IF(OR($C40&gt;=1,$D40&gt;=1),"⚠ type the time with a colon: 9:00 AM, not 9",IF(AND($C40&lt;&gt;"",$C40=$D40),"⚠ clock-in equals clock-out: the shift adds 0 h",IF(AND($C40&lt;&gt;"",$D40&lt;&gt;"",IF($E40="",0,$E40)&gt;MOD($D40-$C40,1)*24),"⚠ the break is longer than the shift",IF(AND($A40&lt;&gt;"",COUNTIF('Monthly OT Summary'!$A$6:$A$35,$A40&amp;"")=0),"⚠ name not in Monthly OT Summary: its hours are not added","")))))</f>
        <v/>
      </c>
    </row>
    <row r="41">
      <c r="A41" s="21" t="n"/>
      <c r="B41" s="40" t="n"/>
      <c r="C41" s="41" t="n"/>
      <c r="D41" s="41" t="n"/>
      <c r="E41" s="24" t="n"/>
      <c r="F41" s="8">
        <f>IF(OR($C41="",$D41=""),"",IF(OR($C41&gt;=1,$D41&gt;=1,$C41=$D41,IF($E41="",0,$E41)&gt;MOD($D41-$C41,1)*24),"",ROUND(MOD($D41-$C41,1)*24-IF($E41="",0,$E41),2)))</f>
        <v/>
      </c>
      <c r="G41" s="25" t="n">
        <v>8</v>
      </c>
      <c r="H41" s="8">
        <f>IF(OR($A41="",$B41="",$F41=""),"",ROUND(IF($F$3="",0,MAX(0,$F41-$F$3))+IF($D$3="",0,MIN($F41-IF($F$3="",0,MAX(0,$F41-$F$3)),MAX(0,SUMIFS($F$5:$F$304,$A$5:$A$304,$A41&amp;"",$B$5:$B$304,"&gt;="&amp;($B41-MOD(WEEKDAY($B41)-$B$3,7)),$B$5:$B$304,"&lt;="&amp;$B41)-IF($F$3="",0,SUMIFS($F$5:$F$304,$A$5:$A$304,$A41&amp;"",$B$5:$B$304,"&gt;="&amp;($B41-MOD(WEEKDAY($B41)-$B$3,7)),$B$5:$B$304,"&lt;="&amp;$B41,$F$5:$F$304,"&gt;"&amp;$F$3)-$F$3*COUNTIFS($A$5:$A$304,$A41&amp;"",$B$5:$B$304,"&gt;="&amp;($B41-MOD(WEEKDAY($B41)-$B$3,7)),$B$5:$B$304,"&lt;="&amp;$B41,$F$5:$F$304,"&gt;"&amp;$F$3))-$D$3))),2))</f>
        <v/>
      </c>
      <c r="I41" s="26" t="n"/>
      <c r="J41" s="27">
        <f>IF(AND($A41="",$C41="",$D41=""),"",IF(OR($C41&gt;=1,$D41&gt;=1),"⚠ type the time with a colon: 9:00 AM, not 9",IF(AND($C41&lt;&gt;"",$C41=$D41),"⚠ clock-in equals clock-out: the shift adds 0 h",IF(AND($C41&lt;&gt;"",$D41&lt;&gt;"",IF($E41="",0,$E41)&gt;MOD($D41-$C41,1)*24),"⚠ the break is longer than the shift",IF(AND($A41&lt;&gt;"",COUNTIF('Monthly OT Summary'!$A$6:$A$35,$A41&amp;"")=0),"⚠ name not in Monthly OT Summary: its hours are not added","")))))</f>
        <v/>
      </c>
    </row>
    <row r="42">
      <c r="A42" s="21" t="n"/>
      <c r="B42" s="40" t="n"/>
      <c r="C42" s="41" t="n"/>
      <c r="D42" s="41" t="n"/>
      <c r="E42" s="24" t="n"/>
      <c r="F42" s="8">
        <f>IF(OR($C42="",$D42=""),"",IF(OR($C42&gt;=1,$D42&gt;=1,$C42=$D42,IF($E42="",0,$E42)&gt;MOD($D42-$C42,1)*24),"",ROUND(MOD($D42-$C42,1)*24-IF($E42="",0,$E42),2)))</f>
        <v/>
      </c>
      <c r="G42" s="25" t="n">
        <v>8</v>
      </c>
      <c r="H42" s="8">
        <f>IF(OR($A42="",$B42="",$F42=""),"",ROUND(IF($F$3="",0,MAX(0,$F42-$F$3))+IF($D$3="",0,MIN($F42-IF($F$3="",0,MAX(0,$F42-$F$3)),MAX(0,SUMIFS($F$5:$F$304,$A$5:$A$304,$A42&amp;"",$B$5:$B$304,"&gt;="&amp;($B42-MOD(WEEKDAY($B42)-$B$3,7)),$B$5:$B$304,"&lt;="&amp;$B42)-IF($F$3="",0,SUMIFS($F$5:$F$304,$A$5:$A$304,$A42&amp;"",$B$5:$B$304,"&gt;="&amp;($B42-MOD(WEEKDAY($B42)-$B$3,7)),$B$5:$B$304,"&lt;="&amp;$B42,$F$5:$F$304,"&gt;"&amp;$F$3)-$F$3*COUNTIFS($A$5:$A$304,$A42&amp;"",$B$5:$B$304,"&gt;="&amp;($B42-MOD(WEEKDAY($B42)-$B$3,7)),$B$5:$B$304,"&lt;="&amp;$B42,$F$5:$F$304,"&gt;"&amp;$F$3))-$D$3))),2))</f>
        <v/>
      </c>
      <c r="I42" s="26" t="n"/>
      <c r="J42" s="27">
        <f>IF(AND($A42="",$C42="",$D42=""),"",IF(OR($C42&gt;=1,$D42&gt;=1),"⚠ type the time with a colon: 9:00 AM, not 9",IF(AND($C42&lt;&gt;"",$C42=$D42),"⚠ clock-in equals clock-out: the shift adds 0 h",IF(AND($C42&lt;&gt;"",$D42&lt;&gt;"",IF($E42="",0,$E42)&gt;MOD($D42-$C42,1)*24),"⚠ the break is longer than the shift",IF(AND($A42&lt;&gt;"",COUNTIF('Monthly OT Summary'!$A$6:$A$35,$A42&amp;"")=0),"⚠ name not in Monthly OT Summary: its hours are not added","")))))</f>
        <v/>
      </c>
    </row>
    <row r="43">
      <c r="A43" s="21" t="n"/>
      <c r="B43" s="40" t="n"/>
      <c r="C43" s="41" t="n"/>
      <c r="D43" s="41" t="n"/>
      <c r="E43" s="24" t="n"/>
      <c r="F43" s="8">
        <f>IF(OR($C43="",$D43=""),"",IF(OR($C43&gt;=1,$D43&gt;=1,$C43=$D43,IF($E43="",0,$E43)&gt;MOD($D43-$C43,1)*24),"",ROUND(MOD($D43-$C43,1)*24-IF($E43="",0,$E43),2)))</f>
        <v/>
      </c>
      <c r="G43" s="25" t="n">
        <v>8</v>
      </c>
      <c r="H43" s="8">
        <f>IF(OR($A43="",$B43="",$F43=""),"",ROUND(IF($F$3="",0,MAX(0,$F43-$F$3))+IF($D$3="",0,MIN($F43-IF($F$3="",0,MAX(0,$F43-$F$3)),MAX(0,SUMIFS($F$5:$F$304,$A$5:$A$304,$A43&amp;"",$B$5:$B$304,"&gt;="&amp;($B43-MOD(WEEKDAY($B43)-$B$3,7)),$B$5:$B$304,"&lt;="&amp;$B43)-IF($F$3="",0,SUMIFS($F$5:$F$304,$A$5:$A$304,$A43&amp;"",$B$5:$B$304,"&gt;="&amp;($B43-MOD(WEEKDAY($B43)-$B$3,7)),$B$5:$B$304,"&lt;="&amp;$B43,$F$5:$F$304,"&gt;"&amp;$F$3)-$F$3*COUNTIFS($A$5:$A$304,$A43&amp;"",$B$5:$B$304,"&gt;="&amp;($B43-MOD(WEEKDAY($B43)-$B$3,7)),$B$5:$B$304,"&lt;="&amp;$B43,$F$5:$F$304,"&gt;"&amp;$F$3))-$D$3))),2))</f>
        <v/>
      </c>
      <c r="I43" s="26" t="n"/>
      <c r="J43" s="27">
        <f>IF(AND($A43="",$C43="",$D43=""),"",IF(OR($C43&gt;=1,$D43&gt;=1),"⚠ type the time with a colon: 9:00 AM, not 9",IF(AND($C43&lt;&gt;"",$C43=$D43),"⚠ clock-in equals clock-out: the shift adds 0 h",IF(AND($C43&lt;&gt;"",$D43&lt;&gt;"",IF($E43="",0,$E43)&gt;MOD($D43-$C43,1)*24),"⚠ the break is longer than the shift",IF(AND($A43&lt;&gt;"",COUNTIF('Monthly OT Summary'!$A$6:$A$35,$A43&amp;"")=0),"⚠ name not in Monthly OT Summary: its hours are not added","")))))</f>
        <v/>
      </c>
    </row>
    <row r="44">
      <c r="A44" s="21" t="n"/>
      <c r="B44" s="40" t="n"/>
      <c r="C44" s="41" t="n"/>
      <c r="D44" s="41" t="n"/>
      <c r="E44" s="24" t="n"/>
      <c r="F44" s="8">
        <f>IF(OR($C44="",$D44=""),"",IF(OR($C44&gt;=1,$D44&gt;=1,$C44=$D44,IF($E44="",0,$E44)&gt;MOD($D44-$C44,1)*24),"",ROUND(MOD($D44-$C44,1)*24-IF($E44="",0,$E44),2)))</f>
        <v/>
      </c>
      <c r="G44" s="25" t="n">
        <v>8</v>
      </c>
      <c r="H44" s="8">
        <f>IF(OR($A44="",$B44="",$F44=""),"",ROUND(IF($F$3="",0,MAX(0,$F44-$F$3))+IF($D$3="",0,MIN($F44-IF($F$3="",0,MAX(0,$F44-$F$3)),MAX(0,SUMIFS($F$5:$F$304,$A$5:$A$304,$A44&amp;"",$B$5:$B$304,"&gt;="&amp;($B44-MOD(WEEKDAY($B44)-$B$3,7)),$B$5:$B$304,"&lt;="&amp;$B44)-IF($F$3="",0,SUMIFS($F$5:$F$304,$A$5:$A$304,$A44&amp;"",$B$5:$B$304,"&gt;="&amp;($B44-MOD(WEEKDAY($B44)-$B$3,7)),$B$5:$B$304,"&lt;="&amp;$B44,$F$5:$F$304,"&gt;"&amp;$F$3)-$F$3*COUNTIFS($A$5:$A$304,$A44&amp;"",$B$5:$B$304,"&gt;="&amp;($B44-MOD(WEEKDAY($B44)-$B$3,7)),$B$5:$B$304,"&lt;="&amp;$B44,$F$5:$F$304,"&gt;"&amp;$F$3))-$D$3))),2))</f>
        <v/>
      </c>
      <c r="I44" s="26" t="n"/>
      <c r="J44" s="27">
        <f>IF(AND($A44="",$C44="",$D44=""),"",IF(OR($C44&gt;=1,$D44&gt;=1),"⚠ type the time with a colon: 9:00 AM, not 9",IF(AND($C44&lt;&gt;"",$C44=$D44),"⚠ clock-in equals clock-out: the shift adds 0 h",IF(AND($C44&lt;&gt;"",$D44&lt;&gt;"",IF($E44="",0,$E44)&gt;MOD($D44-$C44,1)*24),"⚠ the break is longer than the shift",IF(AND($A44&lt;&gt;"",COUNTIF('Monthly OT Summary'!$A$6:$A$35,$A44&amp;"")=0),"⚠ name not in Monthly OT Summary: its hours are not added","")))))</f>
        <v/>
      </c>
    </row>
    <row r="45">
      <c r="A45" s="21" t="n"/>
      <c r="B45" s="40" t="n"/>
      <c r="C45" s="41" t="n"/>
      <c r="D45" s="41" t="n"/>
      <c r="E45" s="24" t="n"/>
      <c r="F45" s="8">
        <f>IF(OR($C45="",$D45=""),"",IF(OR($C45&gt;=1,$D45&gt;=1,$C45=$D45,IF($E45="",0,$E45)&gt;MOD($D45-$C45,1)*24),"",ROUND(MOD($D45-$C45,1)*24-IF($E45="",0,$E45),2)))</f>
        <v/>
      </c>
      <c r="G45" s="25" t="n">
        <v>8</v>
      </c>
      <c r="H45" s="8">
        <f>IF(OR($A45="",$B45="",$F45=""),"",ROUND(IF($F$3="",0,MAX(0,$F45-$F$3))+IF($D$3="",0,MIN($F45-IF($F$3="",0,MAX(0,$F45-$F$3)),MAX(0,SUMIFS($F$5:$F$304,$A$5:$A$304,$A45&amp;"",$B$5:$B$304,"&gt;="&amp;($B45-MOD(WEEKDAY($B45)-$B$3,7)),$B$5:$B$304,"&lt;="&amp;$B45)-IF($F$3="",0,SUMIFS($F$5:$F$304,$A$5:$A$304,$A45&amp;"",$B$5:$B$304,"&gt;="&amp;($B45-MOD(WEEKDAY($B45)-$B$3,7)),$B$5:$B$304,"&lt;="&amp;$B45,$F$5:$F$304,"&gt;"&amp;$F$3)-$F$3*COUNTIFS($A$5:$A$304,$A45&amp;"",$B$5:$B$304,"&gt;="&amp;($B45-MOD(WEEKDAY($B45)-$B$3,7)),$B$5:$B$304,"&lt;="&amp;$B45,$F$5:$F$304,"&gt;"&amp;$F$3))-$D$3))),2))</f>
        <v/>
      </c>
      <c r="I45" s="26" t="n"/>
      <c r="J45" s="27">
        <f>IF(AND($A45="",$C45="",$D45=""),"",IF(OR($C45&gt;=1,$D45&gt;=1),"⚠ type the time with a colon: 9:00 AM, not 9",IF(AND($C45&lt;&gt;"",$C45=$D45),"⚠ clock-in equals clock-out: the shift adds 0 h",IF(AND($C45&lt;&gt;"",$D45&lt;&gt;"",IF($E45="",0,$E45)&gt;MOD($D45-$C45,1)*24),"⚠ the break is longer than the shift",IF(AND($A45&lt;&gt;"",COUNTIF('Monthly OT Summary'!$A$6:$A$35,$A45&amp;"")=0),"⚠ name not in Monthly OT Summary: its hours are not added","")))))</f>
        <v/>
      </c>
    </row>
    <row r="46">
      <c r="A46" s="21" t="n"/>
      <c r="B46" s="40" t="n"/>
      <c r="C46" s="41" t="n"/>
      <c r="D46" s="41" t="n"/>
      <c r="E46" s="24" t="n"/>
      <c r="F46" s="8">
        <f>IF(OR($C46="",$D46=""),"",IF(OR($C46&gt;=1,$D46&gt;=1,$C46=$D46,IF($E46="",0,$E46)&gt;MOD($D46-$C46,1)*24),"",ROUND(MOD($D46-$C46,1)*24-IF($E46="",0,$E46),2)))</f>
        <v/>
      </c>
      <c r="G46" s="25" t="n">
        <v>8</v>
      </c>
      <c r="H46" s="8">
        <f>IF(OR($A46="",$B46="",$F46=""),"",ROUND(IF($F$3="",0,MAX(0,$F46-$F$3))+IF($D$3="",0,MIN($F46-IF($F$3="",0,MAX(0,$F46-$F$3)),MAX(0,SUMIFS($F$5:$F$304,$A$5:$A$304,$A46&amp;"",$B$5:$B$304,"&gt;="&amp;($B46-MOD(WEEKDAY($B46)-$B$3,7)),$B$5:$B$304,"&lt;="&amp;$B46)-IF($F$3="",0,SUMIFS($F$5:$F$304,$A$5:$A$304,$A46&amp;"",$B$5:$B$304,"&gt;="&amp;($B46-MOD(WEEKDAY($B46)-$B$3,7)),$B$5:$B$304,"&lt;="&amp;$B46,$F$5:$F$304,"&gt;"&amp;$F$3)-$F$3*COUNTIFS($A$5:$A$304,$A46&amp;"",$B$5:$B$304,"&gt;="&amp;($B46-MOD(WEEKDAY($B46)-$B$3,7)),$B$5:$B$304,"&lt;="&amp;$B46,$F$5:$F$304,"&gt;"&amp;$F$3))-$D$3))),2))</f>
        <v/>
      </c>
      <c r="I46" s="26" t="n"/>
      <c r="J46" s="27">
        <f>IF(AND($A46="",$C46="",$D46=""),"",IF(OR($C46&gt;=1,$D46&gt;=1),"⚠ type the time with a colon: 9:00 AM, not 9",IF(AND($C46&lt;&gt;"",$C46=$D46),"⚠ clock-in equals clock-out: the shift adds 0 h",IF(AND($C46&lt;&gt;"",$D46&lt;&gt;"",IF($E46="",0,$E46)&gt;MOD($D46-$C46,1)*24),"⚠ the break is longer than the shift",IF(AND($A46&lt;&gt;"",COUNTIF('Monthly OT Summary'!$A$6:$A$35,$A46&amp;"")=0),"⚠ name not in Monthly OT Summary: its hours are not added","")))))</f>
        <v/>
      </c>
    </row>
    <row r="47">
      <c r="A47" s="21" t="n"/>
      <c r="B47" s="40" t="n"/>
      <c r="C47" s="41" t="n"/>
      <c r="D47" s="41" t="n"/>
      <c r="E47" s="24" t="n"/>
      <c r="F47" s="8">
        <f>IF(OR($C47="",$D47=""),"",IF(OR($C47&gt;=1,$D47&gt;=1,$C47=$D47,IF($E47="",0,$E47)&gt;MOD($D47-$C47,1)*24),"",ROUND(MOD($D47-$C47,1)*24-IF($E47="",0,$E47),2)))</f>
        <v/>
      </c>
      <c r="G47" s="25" t="n">
        <v>8</v>
      </c>
      <c r="H47" s="8">
        <f>IF(OR($A47="",$B47="",$F47=""),"",ROUND(IF($F$3="",0,MAX(0,$F47-$F$3))+IF($D$3="",0,MIN($F47-IF($F$3="",0,MAX(0,$F47-$F$3)),MAX(0,SUMIFS($F$5:$F$304,$A$5:$A$304,$A47&amp;"",$B$5:$B$304,"&gt;="&amp;($B47-MOD(WEEKDAY($B47)-$B$3,7)),$B$5:$B$304,"&lt;="&amp;$B47)-IF($F$3="",0,SUMIFS($F$5:$F$304,$A$5:$A$304,$A47&amp;"",$B$5:$B$304,"&gt;="&amp;($B47-MOD(WEEKDAY($B47)-$B$3,7)),$B$5:$B$304,"&lt;="&amp;$B47,$F$5:$F$304,"&gt;"&amp;$F$3)-$F$3*COUNTIFS($A$5:$A$304,$A47&amp;"",$B$5:$B$304,"&gt;="&amp;($B47-MOD(WEEKDAY($B47)-$B$3,7)),$B$5:$B$304,"&lt;="&amp;$B47,$F$5:$F$304,"&gt;"&amp;$F$3))-$D$3))),2))</f>
        <v/>
      </c>
      <c r="I47" s="26" t="n"/>
      <c r="J47" s="27">
        <f>IF(AND($A47="",$C47="",$D47=""),"",IF(OR($C47&gt;=1,$D47&gt;=1),"⚠ type the time with a colon: 9:00 AM, not 9",IF(AND($C47&lt;&gt;"",$C47=$D47),"⚠ clock-in equals clock-out: the shift adds 0 h",IF(AND($C47&lt;&gt;"",$D47&lt;&gt;"",IF($E47="",0,$E47)&gt;MOD($D47-$C47,1)*24),"⚠ the break is longer than the shift",IF(AND($A47&lt;&gt;"",COUNTIF('Monthly OT Summary'!$A$6:$A$35,$A47&amp;"")=0),"⚠ name not in Monthly OT Summary: its hours are not added","")))))</f>
        <v/>
      </c>
    </row>
    <row r="48">
      <c r="A48" s="21" t="n"/>
      <c r="B48" s="40" t="n"/>
      <c r="C48" s="41" t="n"/>
      <c r="D48" s="41" t="n"/>
      <c r="E48" s="24" t="n"/>
      <c r="F48" s="8">
        <f>IF(OR($C48="",$D48=""),"",IF(OR($C48&gt;=1,$D48&gt;=1,$C48=$D48,IF($E48="",0,$E48)&gt;MOD($D48-$C48,1)*24),"",ROUND(MOD($D48-$C48,1)*24-IF($E48="",0,$E48),2)))</f>
        <v/>
      </c>
      <c r="G48" s="25" t="n">
        <v>8</v>
      </c>
      <c r="H48" s="8">
        <f>IF(OR($A48="",$B48="",$F48=""),"",ROUND(IF($F$3="",0,MAX(0,$F48-$F$3))+IF($D$3="",0,MIN($F48-IF($F$3="",0,MAX(0,$F48-$F$3)),MAX(0,SUMIFS($F$5:$F$304,$A$5:$A$304,$A48&amp;"",$B$5:$B$304,"&gt;="&amp;($B48-MOD(WEEKDAY($B48)-$B$3,7)),$B$5:$B$304,"&lt;="&amp;$B48)-IF($F$3="",0,SUMIFS($F$5:$F$304,$A$5:$A$304,$A48&amp;"",$B$5:$B$304,"&gt;="&amp;($B48-MOD(WEEKDAY($B48)-$B$3,7)),$B$5:$B$304,"&lt;="&amp;$B48,$F$5:$F$304,"&gt;"&amp;$F$3)-$F$3*COUNTIFS($A$5:$A$304,$A48&amp;"",$B$5:$B$304,"&gt;="&amp;($B48-MOD(WEEKDAY($B48)-$B$3,7)),$B$5:$B$304,"&lt;="&amp;$B48,$F$5:$F$304,"&gt;"&amp;$F$3))-$D$3))),2))</f>
        <v/>
      </c>
      <c r="I48" s="26" t="n"/>
      <c r="J48" s="27">
        <f>IF(AND($A48="",$C48="",$D48=""),"",IF(OR($C48&gt;=1,$D48&gt;=1),"⚠ type the time with a colon: 9:00 AM, not 9",IF(AND($C48&lt;&gt;"",$C48=$D48),"⚠ clock-in equals clock-out: the shift adds 0 h",IF(AND($C48&lt;&gt;"",$D48&lt;&gt;"",IF($E48="",0,$E48)&gt;MOD($D48-$C48,1)*24),"⚠ the break is longer than the shift",IF(AND($A48&lt;&gt;"",COUNTIF('Monthly OT Summary'!$A$6:$A$35,$A48&amp;"")=0),"⚠ name not in Monthly OT Summary: its hours are not added","")))))</f>
        <v/>
      </c>
    </row>
    <row r="49">
      <c r="A49" s="21" t="n"/>
      <c r="B49" s="40" t="n"/>
      <c r="C49" s="41" t="n"/>
      <c r="D49" s="41" t="n"/>
      <c r="E49" s="24" t="n"/>
      <c r="F49" s="8">
        <f>IF(OR($C49="",$D49=""),"",IF(OR($C49&gt;=1,$D49&gt;=1,$C49=$D49,IF($E49="",0,$E49)&gt;MOD($D49-$C49,1)*24),"",ROUND(MOD($D49-$C49,1)*24-IF($E49="",0,$E49),2)))</f>
        <v/>
      </c>
      <c r="G49" s="25" t="n">
        <v>8</v>
      </c>
      <c r="H49" s="8">
        <f>IF(OR($A49="",$B49="",$F49=""),"",ROUND(IF($F$3="",0,MAX(0,$F49-$F$3))+IF($D$3="",0,MIN($F49-IF($F$3="",0,MAX(0,$F49-$F$3)),MAX(0,SUMIFS($F$5:$F$304,$A$5:$A$304,$A49&amp;"",$B$5:$B$304,"&gt;="&amp;($B49-MOD(WEEKDAY($B49)-$B$3,7)),$B$5:$B$304,"&lt;="&amp;$B49)-IF($F$3="",0,SUMIFS($F$5:$F$304,$A$5:$A$304,$A49&amp;"",$B$5:$B$304,"&gt;="&amp;($B49-MOD(WEEKDAY($B49)-$B$3,7)),$B$5:$B$304,"&lt;="&amp;$B49,$F$5:$F$304,"&gt;"&amp;$F$3)-$F$3*COUNTIFS($A$5:$A$304,$A49&amp;"",$B$5:$B$304,"&gt;="&amp;($B49-MOD(WEEKDAY($B49)-$B$3,7)),$B$5:$B$304,"&lt;="&amp;$B49,$F$5:$F$304,"&gt;"&amp;$F$3))-$D$3))),2))</f>
        <v/>
      </c>
      <c r="I49" s="26" t="n"/>
      <c r="J49" s="27">
        <f>IF(AND($A49="",$C49="",$D49=""),"",IF(OR($C49&gt;=1,$D49&gt;=1),"⚠ type the time with a colon: 9:00 AM, not 9",IF(AND($C49&lt;&gt;"",$C49=$D49),"⚠ clock-in equals clock-out: the shift adds 0 h",IF(AND($C49&lt;&gt;"",$D49&lt;&gt;"",IF($E49="",0,$E49)&gt;MOD($D49-$C49,1)*24),"⚠ the break is longer than the shift",IF(AND($A49&lt;&gt;"",COUNTIF('Monthly OT Summary'!$A$6:$A$35,$A49&amp;"")=0),"⚠ name not in Monthly OT Summary: its hours are not added","")))))</f>
        <v/>
      </c>
    </row>
    <row r="50">
      <c r="A50" s="21" t="n"/>
      <c r="B50" s="40" t="n"/>
      <c r="C50" s="41" t="n"/>
      <c r="D50" s="41" t="n"/>
      <c r="E50" s="24" t="n"/>
      <c r="F50" s="8">
        <f>IF(OR($C50="",$D50=""),"",IF(OR($C50&gt;=1,$D50&gt;=1,$C50=$D50,IF($E50="",0,$E50)&gt;MOD($D50-$C50,1)*24),"",ROUND(MOD($D50-$C50,1)*24-IF($E50="",0,$E50),2)))</f>
        <v/>
      </c>
      <c r="G50" s="25" t="n">
        <v>8</v>
      </c>
      <c r="H50" s="8">
        <f>IF(OR($A50="",$B50="",$F50=""),"",ROUND(IF($F$3="",0,MAX(0,$F50-$F$3))+IF($D$3="",0,MIN($F50-IF($F$3="",0,MAX(0,$F50-$F$3)),MAX(0,SUMIFS($F$5:$F$304,$A$5:$A$304,$A50&amp;"",$B$5:$B$304,"&gt;="&amp;($B50-MOD(WEEKDAY($B50)-$B$3,7)),$B$5:$B$304,"&lt;="&amp;$B50)-IF($F$3="",0,SUMIFS($F$5:$F$304,$A$5:$A$304,$A50&amp;"",$B$5:$B$304,"&gt;="&amp;($B50-MOD(WEEKDAY($B50)-$B$3,7)),$B$5:$B$304,"&lt;="&amp;$B50,$F$5:$F$304,"&gt;"&amp;$F$3)-$F$3*COUNTIFS($A$5:$A$304,$A50&amp;"",$B$5:$B$304,"&gt;="&amp;($B50-MOD(WEEKDAY($B50)-$B$3,7)),$B$5:$B$304,"&lt;="&amp;$B50,$F$5:$F$304,"&gt;"&amp;$F$3))-$D$3))),2))</f>
        <v/>
      </c>
      <c r="I50" s="26" t="n"/>
      <c r="J50" s="27">
        <f>IF(AND($A50="",$C50="",$D50=""),"",IF(OR($C50&gt;=1,$D50&gt;=1),"⚠ type the time with a colon: 9:00 AM, not 9",IF(AND($C50&lt;&gt;"",$C50=$D50),"⚠ clock-in equals clock-out: the shift adds 0 h",IF(AND($C50&lt;&gt;"",$D50&lt;&gt;"",IF($E50="",0,$E50)&gt;MOD($D50-$C50,1)*24),"⚠ the break is longer than the shift",IF(AND($A50&lt;&gt;"",COUNTIF('Monthly OT Summary'!$A$6:$A$35,$A50&amp;"")=0),"⚠ name not in Monthly OT Summary: its hours are not added","")))))</f>
        <v/>
      </c>
    </row>
    <row r="51">
      <c r="A51" s="21" t="n"/>
      <c r="B51" s="40" t="n"/>
      <c r="C51" s="41" t="n"/>
      <c r="D51" s="41" t="n"/>
      <c r="E51" s="24" t="n"/>
      <c r="F51" s="8">
        <f>IF(OR($C51="",$D51=""),"",IF(OR($C51&gt;=1,$D51&gt;=1,$C51=$D51,IF($E51="",0,$E51)&gt;MOD($D51-$C51,1)*24),"",ROUND(MOD($D51-$C51,1)*24-IF($E51="",0,$E51),2)))</f>
        <v/>
      </c>
      <c r="G51" s="25" t="n">
        <v>8</v>
      </c>
      <c r="H51" s="8">
        <f>IF(OR($A51="",$B51="",$F51=""),"",ROUND(IF($F$3="",0,MAX(0,$F51-$F$3))+IF($D$3="",0,MIN($F51-IF($F$3="",0,MAX(0,$F51-$F$3)),MAX(0,SUMIFS($F$5:$F$304,$A$5:$A$304,$A51&amp;"",$B$5:$B$304,"&gt;="&amp;($B51-MOD(WEEKDAY($B51)-$B$3,7)),$B$5:$B$304,"&lt;="&amp;$B51)-IF($F$3="",0,SUMIFS($F$5:$F$304,$A$5:$A$304,$A51&amp;"",$B$5:$B$304,"&gt;="&amp;($B51-MOD(WEEKDAY($B51)-$B$3,7)),$B$5:$B$304,"&lt;="&amp;$B51,$F$5:$F$304,"&gt;"&amp;$F$3)-$F$3*COUNTIFS($A$5:$A$304,$A51&amp;"",$B$5:$B$304,"&gt;="&amp;($B51-MOD(WEEKDAY($B51)-$B$3,7)),$B$5:$B$304,"&lt;="&amp;$B51,$F$5:$F$304,"&gt;"&amp;$F$3))-$D$3))),2))</f>
        <v/>
      </c>
      <c r="I51" s="26" t="n"/>
      <c r="J51" s="27">
        <f>IF(AND($A51="",$C51="",$D51=""),"",IF(OR($C51&gt;=1,$D51&gt;=1),"⚠ type the time with a colon: 9:00 AM, not 9",IF(AND($C51&lt;&gt;"",$C51=$D51),"⚠ clock-in equals clock-out: the shift adds 0 h",IF(AND($C51&lt;&gt;"",$D51&lt;&gt;"",IF($E51="",0,$E51)&gt;MOD($D51-$C51,1)*24),"⚠ the break is longer than the shift",IF(AND($A51&lt;&gt;"",COUNTIF('Monthly OT Summary'!$A$6:$A$35,$A51&amp;"")=0),"⚠ name not in Monthly OT Summary: its hours are not added","")))))</f>
        <v/>
      </c>
    </row>
    <row r="52">
      <c r="A52" s="21" t="n"/>
      <c r="B52" s="40" t="n"/>
      <c r="C52" s="41" t="n"/>
      <c r="D52" s="41" t="n"/>
      <c r="E52" s="24" t="n"/>
      <c r="F52" s="8">
        <f>IF(OR($C52="",$D52=""),"",IF(OR($C52&gt;=1,$D52&gt;=1,$C52=$D52,IF($E52="",0,$E52)&gt;MOD($D52-$C52,1)*24),"",ROUND(MOD($D52-$C52,1)*24-IF($E52="",0,$E52),2)))</f>
        <v/>
      </c>
      <c r="G52" s="25" t="n">
        <v>8</v>
      </c>
      <c r="H52" s="8">
        <f>IF(OR($A52="",$B52="",$F52=""),"",ROUND(IF($F$3="",0,MAX(0,$F52-$F$3))+IF($D$3="",0,MIN($F52-IF($F$3="",0,MAX(0,$F52-$F$3)),MAX(0,SUMIFS($F$5:$F$304,$A$5:$A$304,$A52&amp;"",$B$5:$B$304,"&gt;="&amp;($B52-MOD(WEEKDAY($B52)-$B$3,7)),$B$5:$B$304,"&lt;="&amp;$B52)-IF($F$3="",0,SUMIFS($F$5:$F$304,$A$5:$A$304,$A52&amp;"",$B$5:$B$304,"&gt;="&amp;($B52-MOD(WEEKDAY($B52)-$B$3,7)),$B$5:$B$304,"&lt;="&amp;$B52,$F$5:$F$304,"&gt;"&amp;$F$3)-$F$3*COUNTIFS($A$5:$A$304,$A52&amp;"",$B$5:$B$304,"&gt;="&amp;($B52-MOD(WEEKDAY($B52)-$B$3,7)),$B$5:$B$304,"&lt;="&amp;$B52,$F$5:$F$304,"&gt;"&amp;$F$3))-$D$3))),2))</f>
        <v/>
      </c>
      <c r="I52" s="26" t="n"/>
      <c r="J52" s="27">
        <f>IF(AND($A52="",$C52="",$D52=""),"",IF(OR($C52&gt;=1,$D52&gt;=1),"⚠ type the time with a colon: 9:00 AM, not 9",IF(AND($C52&lt;&gt;"",$C52=$D52),"⚠ clock-in equals clock-out: the shift adds 0 h",IF(AND($C52&lt;&gt;"",$D52&lt;&gt;"",IF($E52="",0,$E52)&gt;MOD($D52-$C52,1)*24),"⚠ the break is longer than the shift",IF(AND($A52&lt;&gt;"",COUNTIF('Monthly OT Summary'!$A$6:$A$35,$A52&amp;"")=0),"⚠ name not in Monthly OT Summary: its hours are not added","")))))</f>
        <v/>
      </c>
    </row>
    <row r="53">
      <c r="A53" s="21" t="n"/>
      <c r="B53" s="40" t="n"/>
      <c r="C53" s="41" t="n"/>
      <c r="D53" s="41" t="n"/>
      <c r="E53" s="24" t="n"/>
      <c r="F53" s="8">
        <f>IF(OR($C53="",$D53=""),"",IF(OR($C53&gt;=1,$D53&gt;=1,$C53=$D53,IF($E53="",0,$E53)&gt;MOD($D53-$C53,1)*24),"",ROUND(MOD($D53-$C53,1)*24-IF($E53="",0,$E53),2)))</f>
        <v/>
      </c>
      <c r="G53" s="25" t="n">
        <v>8</v>
      </c>
      <c r="H53" s="8">
        <f>IF(OR($A53="",$B53="",$F53=""),"",ROUND(IF($F$3="",0,MAX(0,$F53-$F$3))+IF($D$3="",0,MIN($F53-IF($F$3="",0,MAX(0,$F53-$F$3)),MAX(0,SUMIFS($F$5:$F$304,$A$5:$A$304,$A53&amp;"",$B$5:$B$304,"&gt;="&amp;($B53-MOD(WEEKDAY($B53)-$B$3,7)),$B$5:$B$304,"&lt;="&amp;$B53)-IF($F$3="",0,SUMIFS($F$5:$F$304,$A$5:$A$304,$A53&amp;"",$B$5:$B$304,"&gt;="&amp;($B53-MOD(WEEKDAY($B53)-$B$3,7)),$B$5:$B$304,"&lt;="&amp;$B53,$F$5:$F$304,"&gt;"&amp;$F$3)-$F$3*COUNTIFS($A$5:$A$304,$A53&amp;"",$B$5:$B$304,"&gt;="&amp;($B53-MOD(WEEKDAY($B53)-$B$3,7)),$B$5:$B$304,"&lt;="&amp;$B53,$F$5:$F$304,"&gt;"&amp;$F$3))-$D$3))),2))</f>
        <v/>
      </c>
      <c r="I53" s="26" t="n"/>
      <c r="J53" s="27">
        <f>IF(AND($A53="",$C53="",$D53=""),"",IF(OR($C53&gt;=1,$D53&gt;=1),"⚠ type the time with a colon: 9:00 AM, not 9",IF(AND($C53&lt;&gt;"",$C53=$D53),"⚠ clock-in equals clock-out: the shift adds 0 h",IF(AND($C53&lt;&gt;"",$D53&lt;&gt;"",IF($E53="",0,$E53)&gt;MOD($D53-$C53,1)*24),"⚠ the break is longer than the shift",IF(AND($A53&lt;&gt;"",COUNTIF('Monthly OT Summary'!$A$6:$A$35,$A53&amp;"")=0),"⚠ name not in Monthly OT Summary: its hours are not added","")))))</f>
        <v/>
      </c>
    </row>
    <row r="54">
      <c r="A54" s="21" t="n"/>
      <c r="B54" s="40" t="n"/>
      <c r="C54" s="41" t="n"/>
      <c r="D54" s="41" t="n"/>
      <c r="E54" s="24" t="n"/>
      <c r="F54" s="8">
        <f>IF(OR($C54="",$D54=""),"",IF(OR($C54&gt;=1,$D54&gt;=1,$C54=$D54,IF($E54="",0,$E54)&gt;MOD($D54-$C54,1)*24),"",ROUND(MOD($D54-$C54,1)*24-IF($E54="",0,$E54),2)))</f>
        <v/>
      </c>
      <c r="G54" s="25" t="n">
        <v>8</v>
      </c>
      <c r="H54" s="8">
        <f>IF(OR($A54="",$B54="",$F54=""),"",ROUND(IF($F$3="",0,MAX(0,$F54-$F$3))+IF($D$3="",0,MIN($F54-IF($F$3="",0,MAX(0,$F54-$F$3)),MAX(0,SUMIFS($F$5:$F$304,$A$5:$A$304,$A54&amp;"",$B$5:$B$304,"&gt;="&amp;($B54-MOD(WEEKDAY($B54)-$B$3,7)),$B$5:$B$304,"&lt;="&amp;$B54)-IF($F$3="",0,SUMIFS($F$5:$F$304,$A$5:$A$304,$A54&amp;"",$B$5:$B$304,"&gt;="&amp;($B54-MOD(WEEKDAY($B54)-$B$3,7)),$B$5:$B$304,"&lt;="&amp;$B54,$F$5:$F$304,"&gt;"&amp;$F$3)-$F$3*COUNTIFS($A$5:$A$304,$A54&amp;"",$B$5:$B$304,"&gt;="&amp;($B54-MOD(WEEKDAY($B54)-$B$3,7)),$B$5:$B$304,"&lt;="&amp;$B54,$F$5:$F$304,"&gt;"&amp;$F$3))-$D$3))),2))</f>
        <v/>
      </c>
      <c r="I54" s="26" t="n"/>
      <c r="J54" s="27">
        <f>IF(AND($A54="",$C54="",$D54=""),"",IF(OR($C54&gt;=1,$D54&gt;=1),"⚠ type the time with a colon: 9:00 AM, not 9",IF(AND($C54&lt;&gt;"",$C54=$D54),"⚠ clock-in equals clock-out: the shift adds 0 h",IF(AND($C54&lt;&gt;"",$D54&lt;&gt;"",IF($E54="",0,$E54)&gt;MOD($D54-$C54,1)*24),"⚠ the break is longer than the shift",IF(AND($A54&lt;&gt;"",COUNTIF('Monthly OT Summary'!$A$6:$A$35,$A54&amp;"")=0),"⚠ name not in Monthly OT Summary: its hours are not added","")))))</f>
        <v/>
      </c>
    </row>
    <row r="55">
      <c r="A55" s="21" t="n"/>
      <c r="B55" s="40" t="n"/>
      <c r="C55" s="41" t="n"/>
      <c r="D55" s="41" t="n"/>
      <c r="E55" s="24" t="n"/>
      <c r="F55" s="8">
        <f>IF(OR($C55="",$D55=""),"",IF(OR($C55&gt;=1,$D55&gt;=1,$C55=$D55,IF($E55="",0,$E55)&gt;MOD($D55-$C55,1)*24),"",ROUND(MOD($D55-$C55,1)*24-IF($E55="",0,$E55),2)))</f>
        <v/>
      </c>
      <c r="G55" s="25" t="n">
        <v>8</v>
      </c>
      <c r="H55" s="8">
        <f>IF(OR($A55="",$B55="",$F55=""),"",ROUND(IF($F$3="",0,MAX(0,$F55-$F$3))+IF($D$3="",0,MIN($F55-IF($F$3="",0,MAX(0,$F55-$F$3)),MAX(0,SUMIFS($F$5:$F$304,$A$5:$A$304,$A55&amp;"",$B$5:$B$304,"&gt;="&amp;($B55-MOD(WEEKDAY($B55)-$B$3,7)),$B$5:$B$304,"&lt;="&amp;$B55)-IF($F$3="",0,SUMIFS($F$5:$F$304,$A$5:$A$304,$A55&amp;"",$B$5:$B$304,"&gt;="&amp;($B55-MOD(WEEKDAY($B55)-$B$3,7)),$B$5:$B$304,"&lt;="&amp;$B55,$F$5:$F$304,"&gt;"&amp;$F$3)-$F$3*COUNTIFS($A$5:$A$304,$A55&amp;"",$B$5:$B$304,"&gt;="&amp;($B55-MOD(WEEKDAY($B55)-$B$3,7)),$B$5:$B$304,"&lt;="&amp;$B55,$F$5:$F$304,"&gt;"&amp;$F$3))-$D$3))),2))</f>
        <v/>
      </c>
      <c r="I55" s="26" t="n"/>
      <c r="J55" s="27">
        <f>IF(AND($A55="",$C55="",$D55=""),"",IF(OR($C55&gt;=1,$D55&gt;=1),"⚠ type the time with a colon: 9:00 AM, not 9",IF(AND($C55&lt;&gt;"",$C55=$D55),"⚠ clock-in equals clock-out: the shift adds 0 h",IF(AND($C55&lt;&gt;"",$D55&lt;&gt;"",IF($E55="",0,$E55)&gt;MOD($D55-$C55,1)*24),"⚠ the break is longer than the shift",IF(AND($A55&lt;&gt;"",COUNTIF('Monthly OT Summary'!$A$6:$A$35,$A55&amp;"")=0),"⚠ name not in Monthly OT Summary: its hours are not added","")))))</f>
        <v/>
      </c>
    </row>
    <row r="56">
      <c r="A56" s="21" t="n"/>
      <c r="B56" s="40" t="n"/>
      <c r="C56" s="41" t="n"/>
      <c r="D56" s="41" t="n"/>
      <c r="E56" s="24" t="n"/>
      <c r="F56" s="8">
        <f>IF(OR($C56="",$D56=""),"",IF(OR($C56&gt;=1,$D56&gt;=1,$C56=$D56,IF($E56="",0,$E56)&gt;MOD($D56-$C56,1)*24),"",ROUND(MOD($D56-$C56,1)*24-IF($E56="",0,$E56),2)))</f>
        <v/>
      </c>
      <c r="G56" s="25" t="n">
        <v>8</v>
      </c>
      <c r="H56" s="8">
        <f>IF(OR($A56="",$B56="",$F56=""),"",ROUND(IF($F$3="",0,MAX(0,$F56-$F$3))+IF($D$3="",0,MIN($F56-IF($F$3="",0,MAX(0,$F56-$F$3)),MAX(0,SUMIFS($F$5:$F$304,$A$5:$A$304,$A56&amp;"",$B$5:$B$304,"&gt;="&amp;($B56-MOD(WEEKDAY($B56)-$B$3,7)),$B$5:$B$304,"&lt;="&amp;$B56)-IF($F$3="",0,SUMIFS($F$5:$F$304,$A$5:$A$304,$A56&amp;"",$B$5:$B$304,"&gt;="&amp;($B56-MOD(WEEKDAY($B56)-$B$3,7)),$B$5:$B$304,"&lt;="&amp;$B56,$F$5:$F$304,"&gt;"&amp;$F$3)-$F$3*COUNTIFS($A$5:$A$304,$A56&amp;"",$B$5:$B$304,"&gt;="&amp;($B56-MOD(WEEKDAY($B56)-$B$3,7)),$B$5:$B$304,"&lt;="&amp;$B56,$F$5:$F$304,"&gt;"&amp;$F$3))-$D$3))),2))</f>
        <v/>
      </c>
      <c r="I56" s="26" t="n"/>
      <c r="J56" s="27">
        <f>IF(AND($A56="",$C56="",$D56=""),"",IF(OR($C56&gt;=1,$D56&gt;=1),"⚠ type the time with a colon: 9:00 AM, not 9",IF(AND($C56&lt;&gt;"",$C56=$D56),"⚠ clock-in equals clock-out: the shift adds 0 h",IF(AND($C56&lt;&gt;"",$D56&lt;&gt;"",IF($E56="",0,$E56)&gt;MOD($D56-$C56,1)*24),"⚠ the break is longer than the shift",IF(AND($A56&lt;&gt;"",COUNTIF('Monthly OT Summary'!$A$6:$A$35,$A56&amp;"")=0),"⚠ name not in Monthly OT Summary: its hours are not added","")))))</f>
        <v/>
      </c>
    </row>
    <row r="57">
      <c r="A57" s="21" t="n"/>
      <c r="B57" s="40" t="n"/>
      <c r="C57" s="41" t="n"/>
      <c r="D57" s="41" t="n"/>
      <c r="E57" s="24" t="n"/>
      <c r="F57" s="8">
        <f>IF(OR($C57="",$D57=""),"",IF(OR($C57&gt;=1,$D57&gt;=1,$C57=$D57,IF($E57="",0,$E57)&gt;MOD($D57-$C57,1)*24),"",ROUND(MOD($D57-$C57,1)*24-IF($E57="",0,$E57),2)))</f>
        <v/>
      </c>
      <c r="G57" s="25" t="n">
        <v>8</v>
      </c>
      <c r="H57" s="8">
        <f>IF(OR($A57="",$B57="",$F57=""),"",ROUND(IF($F$3="",0,MAX(0,$F57-$F$3))+IF($D$3="",0,MIN($F57-IF($F$3="",0,MAX(0,$F57-$F$3)),MAX(0,SUMIFS($F$5:$F$304,$A$5:$A$304,$A57&amp;"",$B$5:$B$304,"&gt;="&amp;($B57-MOD(WEEKDAY($B57)-$B$3,7)),$B$5:$B$304,"&lt;="&amp;$B57)-IF($F$3="",0,SUMIFS($F$5:$F$304,$A$5:$A$304,$A57&amp;"",$B$5:$B$304,"&gt;="&amp;($B57-MOD(WEEKDAY($B57)-$B$3,7)),$B$5:$B$304,"&lt;="&amp;$B57,$F$5:$F$304,"&gt;"&amp;$F$3)-$F$3*COUNTIFS($A$5:$A$304,$A57&amp;"",$B$5:$B$304,"&gt;="&amp;($B57-MOD(WEEKDAY($B57)-$B$3,7)),$B$5:$B$304,"&lt;="&amp;$B57,$F$5:$F$304,"&gt;"&amp;$F$3))-$D$3))),2))</f>
        <v/>
      </c>
      <c r="I57" s="26" t="n"/>
      <c r="J57" s="27">
        <f>IF(AND($A57="",$C57="",$D57=""),"",IF(OR($C57&gt;=1,$D57&gt;=1),"⚠ type the time with a colon: 9:00 AM, not 9",IF(AND($C57&lt;&gt;"",$C57=$D57),"⚠ clock-in equals clock-out: the shift adds 0 h",IF(AND($C57&lt;&gt;"",$D57&lt;&gt;"",IF($E57="",0,$E57)&gt;MOD($D57-$C57,1)*24),"⚠ the break is longer than the shift",IF(AND($A57&lt;&gt;"",COUNTIF('Monthly OT Summary'!$A$6:$A$35,$A57&amp;"")=0),"⚠ name not in Monthly OT Summary: its hours are not added","")))))</f>
        <v/>
      </c>
    </row>
    <row r="58">
      <c r="A58" s="21" t="n"/>
      <c r="B58" s="40" t="n"/>
      <c r="C58" s="41" t="n"/>
      <c r="D58" s="41" t="n"/>
      <c r="E58" s="24" t="n"/>
      <c r="F58" s="8">
        <f>IF(OR($C58="",$D58=""),"",IF(OR($C58&gt;=1,$D58&gt;=1,$C58=$D58,IF($E58="",0,$E58)&gt;MOD($D58-$C58,1)*24),"",ROUND(MOD($D58-$C58,1)*24-IF($E58="",0,$E58),2)))</f>
        <v/>
      </c>
      <c r="G58" s="25" t="n">
        <v>8</v>
      </c>
      <c r="H58" s="8">
        <f>IF(OR($A58="",$B58="",$F58=""),"",ROUND(IF($F$3="",0,MAX(0,$F58-$F$3))+IF($D$3="",0,MIN($F58-IF($F$3="",0,MAX(0,$F58-$F$3)),MAX(0,SUMIFS($F$5:$F$304,$A$5:$A$304,$A58&amp;"",$B$5:$B$304,"&gt;="&amp;($B58-MOD(WEEKDAY($B58)-$B$3,7)),$B$5:$B$304,"&lt;="&amp;$B58)-IF($F$3="",0,SUMIFS($F$5:$F$304,$A$5:$A$304,$A58&amp;"",$B$5:$B$304,"&gt;="&amp;($B58-MOD(WEEKDAY($B58)-$B$3,7)),$B$5:$B$304,"&lt;="&amp;$B58,$F$5:$F$304,"&gt;"&amp;$F$3)-$F$3*COUNTIFS($A$5:$A$304,$A58&amp;"",$B$5:$B$304,"&gt;="&amp;($B58-MOD(WEEKDAY($B58)-$B$3,7)),$B$5:$B$304,"&lt;="&amp;$B58,$F$5:$F$304,"&gt;"&amp;$F$3))-$D$3))),2))</f>
        <v/>
      </c>
      <c r="I58" s="26" t="n"/>
      <c r="J58" s="27">
        <f>IF(AND($A58="",$C58="",$D58=""),"",IF(OR($C58&gt;=1,$D58&gt;=1),"⚠ type the time with a colon: 9:00 AM, not 9",IF(AND($C58&lt;&gt;"",$C58=$D58),"⚠ clock-in equals clock-out: the shift adds 0 h",IF(AND($C58&lt;&gt;"",$D58&lt;&gt;"",IF($E58="",0,$E58)&gt;MOD($D58-$C58,1)*24),"⚠ the break is longer than the shift",IF(AND($A58&lt;&gt;"",COUNTIF('Monthly OT Summary'!$A$6:$A$35,$A58&amp;"")=0),"⚠ name not in Monthly OT Summary: its hours are not added","")))))</f>
        <v/>
      </c>
    </row>
    <row r="59">
      <c r="A59" s="21" t="n"/>
      <c r="B59" s="40" t="n"/>
      <c r="C59" s="41" t="n"/>
      <c r="D59" s="41" t="n"/>
      <c r="E59" s="24" t="n"/>
      <c r="F59" s="8">
        <f>IF(OR($C59="",$D59=""),"",IF(OR($C59&gt;=1,$D59&gt;=1,$C59=$D59,IF($E59="",0,$E59)&gt;MOD($D59-$C59,1)*24),"",ROUND(MOD($D59-$C59,1)*24-IF($E59="",0,$E59),2)))</f>
        <v/>
      </c>
      <c r="G59" s="25" t="n">
        <v>8</v>
      </c>
      <c r="H59" s="8">
        <f>IF(OR($A59="",$B59="",$F59=""),"",ROUND(IF($F$3="",0,MAX(0,$F59-$F$3))+IF($D$3="",0,MIN($F59-IF($F$3="",0,MAX(0,$F59-$F$3)),MAX(0,SUMIFS($F$5:$F$304,$A$5:$A$304,$A59&amp;"",$B$5:$B$304,"&gt;="&amp;($B59-MOD(WEEKDAY($B59)-$B$3,7)),$B$5:$B$304,"&lt;="&amp;$B59)-IF($F$3="",0,SUMIFS($F$5:$F$304,$A$5:$A$304,$A59&amp;"",$B$5:$B$304,"&gt;="&amp;($B59-MOD(WEEKDAY($B59)-$B$3,7)),$B$5:$B$304,"&lt;="&amp;$B59,$F$5:$F$304,"&gt;"&amp;$F$3)-$F$3*COUNTIFS($A$5:$A$304,$A59&amp;"",$B$5:$B$304,"&gt;="&amp;($B59-MOD(WEEKDAY($B59)-$B$3,7)),$B$5:$B$304,"&lt;="&amp;$B59,$F$5:$F$304,"&gt;"&amp;$F$3))-$D$3))),2))</f>
        <v/>
      </c>
      <c r="I59" s="26" t="n"/>
      <c r="J59" s="27">
        <f>IF(AND($A59="",$C59="",$D59=""),"",IF(OR($C59&gt;=1,$D59&gt;=1),"⚠ type the time with a colon: 9:00 AM, not 9",IF(AND($C59&lt;&gt;"",$C59=$D59),"⚠ clock-in equals clock-out: the shift adds 0 h",IF(AND($C59&lt;&gt;"",$D59&lt;&gt;"",IF($E59="",0,$E59)&gt;MOD($D59-$C59,1)*24),"⚠ the break is longer than the shift",IF(AND($A59&lt;&gt;"",COUNTIF('Monthly OT Summary'!$A$6:$A$35,$A59&amp;"")=0),"⚠ name not in Monthly OT Summary: its hours are not added","")))))</f>
        <v/>
      </c>
    </row>
    <row r="60">
      <c r="A60" s="21" t="n"/>
      <c r="B60" s="40" t="n"/>
      <c r="C60" s="41" t="n"/>
      <c r="D60" s="41" t="n"/>
      <c r="E60" s="24" t="n"/>
      <c r="F60" s="8">
        <f>IF(OR($C60="",$D60=""),"",IF(OR($C60&gt;=1,$D60&gt;=1,$C60=$D60,IF($E60="",0,$E60)&gt;MOD($D60-$C60,1)*24),"",ROUND(MOD($D60-$C60,1)*24-IF($E60="",0,$E60),2)))</f>
        <v/>
      </c>
      <c r="G60" s="25" t="n">
        <v>8</v>
      </c>
      <c r="H60" s="8">
        <f>IF(OR($A60="",$B60="",$F60=""),"",ROUND(IF($F$3="",0,MAX(0,$F60-$F$3))+IF($D$3="",0,MIN($F60-IF($F$3="",0,MAX(0,$F60-$F$3)),MAX(0,SUMIFS($F$5:$F$304,$A$5:$A$304,$A60&amp;"",$B$5:$B$304,"&gt;="&amp;($B60-MOD(WEEKDAY($B60)-$B$3,7)),$B$5:$B$304,"&lt;="&amp;$B60)-IF($F$3="",0,SUMIFS($F$5:$F$304,$A$5:$A$304,$A60&amp;"",$B$5:$B$304,"&gt;="&amp;($B60-MOD(WEEKDAY($B60)-$B$3,7)),$B$5:$B$304,"&lt;="&amp;$B60,$F$5:$F$304,"&gt;"&amp;$F$3)-$F$3*COUNTIFS($A$5:$A$304,$A60&amp;"",$B$5:$B$304,"&gt;="&amp;($B60-MOD(WEEKDAY($B60)-$B$3,7)),$B$5:$B$304,"&lt;="&amp;$B60,$F$5:$F$304,"&gt;"&amp;$F$3))-$D$3))),2))</f>
        <v/>
      </c>
      <c r="I60" s="26" t="n"/>
      <c r="J60" s="27">
        <f>IF(AND($A60="",$C60="",$D60=""),"",IF(OR($C60&gt;=1,$D60&gt;=1),"⚠ type the time with a colon: 9:00 AM, not 9",IF(AND($C60&lt;&gt;"",$C60=$D60),"⚠ clock-in equals clock-out: the shift adds 0 h",IF(AND($C60&lt;&gt;"",$D60&lt;&gt;"",IF($E60="",0,$E60)&gt;MOD($D60-$C60,1)*24),"⚠ the break is longer than the shift",IF(AND($A60&lt;&gt;"",COUNTIF('Monthly OT Summary'!$A$6:$A$35,$A60&amp;"")=0),"⚠ name not in Monthly OT Summary: its hours are not added","")))))</f>
        <v/>
      </c>
    </row>
    <row r="61">
      <c r="A61" s="21" t="n"/>
      <c r="B61" s="40" t="n"/>
      <c r="C61" s="41" t="n"/>
      <c r="D61" s="41" t="n"/>
      <c r="E61" s="24" t="n"/>
      <c r="F61" s="8">
        <f>IF(OR($C61="",$D61=""),"",IF(OR($C61&gt;=1,$D61&gt;=1,$C61=$D61,IF($E61="",0,$E61)&gt;MOD($D61-$C61,1)*24),"",ROUND(MOD($D61-$C61,1)*24-IF($E61="",0,$E61),2)))</f>
        <v/>
      </c>
      <c r="G61" s="25" t="n">
        <v>8</v>
      </c>
      <c r="H61" s="8">
        <f>IF(OR($A61="",$B61="",$F61=""),"",ROUND(IF($F$3="",0,MAX(0,$F61-$F$3))+IF($D$3="",0,MIN($F61-IF($F$3="",0,MAX(0,$F61-$F$3)),MAX(0,SUMIFS($F$5:$F$304,$A$5:$A$304,$A61&amp;"",$B$5:$B$304,"&gt;="&amp;($B61-MOD(WEEKDAY($B61)-$B$3,7)),$B$5:$B$304,"&lt;="&amp;$B61)-IF($F$3="",0,SUMIFS($F$5:$F$304,$A$5:$A$304,$A61&amp;"",$B$5:$B$304,"&gt;="&amp;($B61-MOD(WEEKDAY($B61)-$B$3,7)),$B$5:$B$304,"&lt;="&amp;$B61,$F$5:$F$304,"&gt;"&amp;$F$3)-$F$3*COUNTIFS($A$5:$A$304,$A61&amp;"",$B$5:$B$304,"&gt;="&amp;($B61-MOD(WEEKDAY($B61)-$B$3,7)),$B$5:$B$304,"&lt;="&amp;$B61,$F$5:$F$304,"&gt;"&amp;$F$3))-$D$3))),2))</f>
        <v/>
      </c>
      <c r="I61" s="26" t="n"/>
      <c r="J61" s="27">
        <f>IF(AND($A61="",$C61="",$D61=""),"",IF(OR($C61&gt;=1,$D61&gt;=1),"⚠ type the time with a colon: 9:00 AM, not 9",IF(AND($C61&lt;&gt;"",$C61=$D61),"⚠ clock-in equals clock-out: the shift adds 0 h",IF(AND($C61&lt;&gt;"",$D61&lt;&gt;"",IF($E61="",0,$E61)&gt;MOD($D61-$C61,1)*24),"⚠ the break is longer than the shift",IF(AND($A61&lt;&gt;"",COUNTIF('Monthly OT Summary'!$A$6:$A$35,$A61&amp;"")=0),"⚠ name not in Monthly OT Summary: its hours are not added","")))))</f>
        <v/>
      </c>
    </row>
    <row r="62">
      <c r="A62" s="21" t="n"/>
      <c r="B62" s="40" t="n"/>
      <c r="C62" s="41" t="n"/>
      <c r="D62" s="41" t="n"/>
      <c r="E62" s="24" t="n"/>
      <c r="F62" s="8">
        <f>IF(OR($C62="",$D62=""),"",IF(OR($C62&gt;=1,$D62&gt;=1,$C62=$D62,IF($E62="",0,$E62)&gt;MOD($D62-$C62,1)*24),"",ROUND(MOD($D62-$C62,1)*24-IF($E62="",0,$E62),2)))</f>
        <v/>
      </c>
      <c r="G62" s="25" t="n">
        <v>8</v>
      </c>
      <c r="H62" s="8">
        <f>IF(OR($A62="",$B62="",$F62=""),"",ROUND(IF($F$3="",0,MAX(0,$F62-$F$3))+IF($D$3="",0,MIN($F62-IF($F$3="",0,MAX(0,$F62-$F$3)),MAX(0,SUMIFS($F$5:$F$304,$A$5:$A$304,$A62&amp;"",$B$5:$B$304,"&gt;="&amp;($B62-MOD(WEEKDAY($B62)-$B$3,7)),$B$5:$B$304,"&lt;="&amp;$B62)-IF($F$3="",0,SUMIFS($F$5:$F$304,$A$5:$A$304,$A62&amp;"",$B$5:$B$304,"&gt;="&amp;($B62-MOD(WEEKDAY($B62)-$B$3,7)),$B$5:$B$304,"&lt;="&amp;$B62,$F$5:$F$304,"&gt;"&amp;$F$3)-$F$3*COUNTIFS($A$5:$A$304,$A62&amp;"",$B$5:$B$304,"&gt;="&amp;($B62-MOD(WEEKDAY($B62)-$B$3,7)),$B$5:$B$304,"&lt;="&amp;$B62,$F$5:$F$304,"&gt;"&amp;$F$3))-$D$3))),2))</f>
        <v/>
      </c>
      <c r="I62" s="26" t="n"/>
      <c r="J62" s="27">
        <f>IF(AND($A62="",$C62="",$D62=""),"",IF(OR($C62&gt;=1,$D62&gt;=1),"⚠ type the time with a colon: 9:00 AM, not 9",IF(AND($C62&lt;&gt;"",$C62=$D62),"⚠ clock-in equals clock-out: the shift adds 0 h",IF(AND($C62&lt;&gt;"",$D62&lt;&gt;"",IF($E62="",0,$E62)&gt;MOD($D62-$C62,1)*24),"⚠ the break is longer than the shift",IF(AND($A62&lt;&gt;"",COUNTIF('Monthly OT Summary'!$A$6:$A$35,$A62&amp;"")=0),"⚠ name not in Monthly OT Summary: its hours are not added","")))))</f>
        <v/>
      </c>
    </row>
    <row r="63">
      <c r="A63" s="21" t="n"/>
      <c r="B63" s="40" t="n"/>
      <c r="C63" s="41" t="n"/>
      <c r="D63" s="41" t="n"/>
      <c r="E63" s="24" t="n"/>
      <c r="F63" s="8">
        <f>IF(OR($C63="",$D63=""),"",IF(OR($C63&gt;=1,$D63&gt;=1,$C63=$D63,IF($E63="",0,$E63)&gt;MOD($D63-$C63,1)*24),"",ROUND(MOD($D63-$C63,1)*24-IF($E63="",0,$E63),2)))</f>
        <v/>
      </c>
      <c r="G63" s="25" t="n">
        <v>8</v>
      </c>
      <c r="H63" s="8">
        <f>IF(OR($A63="",$B63="",$F63=""),"",ROUND(IF($F$3="",0,MAX(0,$F63-$F$3))+IF($D$3="",0,MIN($F63-IF($F$3="",0,MAX(0,$F63-$F$3)),MAX(0,SUMIFS($F$5:$F$304,$A$5:$A$304,$A63&amp;"",$B$5:$B$304,"&gt;="&amp;($B63-MOD(WEEKDAY($B63)-$B$3,7)),$B$5:$B$304,"&lt;="&amp;$B63)-IF($F$3="",0,SUMIFS($F$5:$F$304,$A$5:$A$304,$A63&amp;"",$B$5:$B$304,"&gt;="&amp;($B63-MOD(WEEKDAY($B63)-$B$3,7)),$B$5:$B$304,"&lt;="&amp;$B63,$F$5:$F$304,"&gt;"&amp;$F$3)-$F$3*COUNTIFS($A$5:$A$304,$A63&amp;"",$B$5:$B$304,"&gt;="&amp;($B63-MOD(WEEKDAY($B63)-$B$3,7)),$B$5:$B$304,"&lt;="&amp;$B63,$F$5:$F$304,"&gt;"&amp;$F$3))-$D$3))),2))</f>
        <v/>
      </c>
      <c r="I63" s="26" t="n"/>
      <c r="J63" s="27">
        <f>IF(AND($A63="",$C63="",$D63=""),"",IF(OR($C63&gt;=1,$D63&gt;=1),"⚠ type the time with a colon: 9:00 AM, not 9",IF(AND($C63&lt;&gt;"",$C63=$D63),"⚠ clock-in equals clock-out: the shift adds 0 h",IF(AND($C63&lt;&gt;"",$D63&lt;&gt;"",IF($E63="",0,$E63)&gt;MOD($D63-$C63,1)*24),"⚠ the break is longer than the shift",IF(AND($A63&lt;&gt;"",COUNTIF('Monthly OT Summary'!$A$6:$A$35,$A63&amp;"")=0),"⚠ name not in Monthly OT Summary: its hours are not added","")))))</f>
        <v/>
      </c>
    </row>
    <row r="64">
      <c r="A64" s="21" t="n"/>
      <c r="B64" s="40" t="n"/>
      <c r="C64" s="41" t="n"/>
      <c r="D64" s="41" t="n"/>
      <c r="E64" s="24" t="n"/>
      <c r="F64" s="8">
        <f>IF(OR($C64="",$D64=""),"",IF(OR($C64&gt;=1,$D64&gt;=1,$C64=$D64,IF($E64="",0,$E64)&gt;MOD($D64-$C64,1)*24),"",ROUND(MOD($D64-$C64,1)*24-IF($E64="",0,$E64),2)))</f>
        <v/>
      </c>
      <c r="G64" s="25" t="n">
        <v>8</v>
      </c>
      <c r="H64" s="8">
        <f>IF(OR($A64="",$B64="",$F64=""),"",ROUND(IF($F$3="",0,MAX(0,$F64-$F$3))+IF($D$3="",0,MIN($F64-IF($F$3="",0,MAX(0,$F64-$F$3)),MAX(0,SUMIFS($F$5:$F$304,$A$5:$A$304,$A64&amp;"",$B$5:$B$304,"&gt;="&amp;($B64-MOD(WEEKDAY($B64)-$B$3,7)),$B$5:$B$304,"&lt;="&amp;$B64)-IF($F$3="",0,SUMIFS($F$5:$F$304,$A$5:$A$304,$A64&amp;"",$B$5:$B$304,"&gt;="&amp;($B64-MOD(WEEKDAY($B64)-$B$3,7)),$B$5:$B$304,"&lt;="&amp;$B64,$F$5:$F$304,"&gt;"&amp;$F$3)-$F$3*COUNTIFS($A$5:$A$304,$A64&amp;"",$B$5:$B$304,"&gt;="&amp;($B64-MOD(WEEKDAY($B64)-$B$3,7)),$B$5:$B$304,"&lt;="&amp;$B64,$F$5:$F$304,"&gt;"&amp;$F$3))-$D$3))),2))</f>
        <v/>
      </c>
      <c r="I64" s="26" t="n"/>
      <c r="J64" s="27">
        <f>IF(AND($A64="",$C64="",$D64=""),"",IF(OR($C64&gt;=1,$D64&gt;=1),"⚠ type the time with a colon: 9:00 AM, not 9",IF(AND($C64&lt;&gt;"",$C64=$D64),"⚠ clock-in equals clock-out: the shift adds 0 h",IF(AND($C64&lt;&gt;"",$D64&lt;&gt;"",IF($E64="",0,$E64)&gt;MOD($D64-$C64,1)*24),"⚠ the break is longer than the shift",IF(AND($A64&lt;&gt;"",COUNTIF('Monthly OT Summary'!$A$6:$A$35,$A64&amp;"")=0),"⚠ name not in Monthly OT Summary: its hours are not added","")))))</f>
        <v/>
      </c>
    </row>
    <row r="65">
      <c r="A65" s="21" t="n"/>
      <c r="B65" s="40" t="n"/>
      <c r="C65" s="41" t="n"/>
      <c r="D65" s="41" t="n"/>
      <c r="E65" s="24" t="n"/>
      <c r="F65" s="8">
        <f>IF(OR($C65="",$D65=""),"",IF(OR($C65&gt;=1,$D65&gt;=1,$C65=$D65,IF($E65="",0,$E65)&gt;MOD($D65-$C65,1)*24),"",ROUND(MOD($D65-$C65,1)*24-IF($E65="",0,$E65),2)))</f>
        <v/>
      </c>
      <c r="G65" s="25" t="n">
        <v>8</v>
      </c>
      <c r="H65" s="8">
        <f>IF(OR($A65="",$B65="",$F65=""),"",ROUND(IF($F$3="",0,MAX(0,$F65-$F$3))+IF($D$3="",0,MIN($F65-IF($F$3="",0,MAX(0,$F65-$F$3)),MAX(0,SUMIFS($F$5:$F$304,$A$5:$A$304,$A65&amp;"",$B$5:$B$304,"&gt;="&amp;($B65-MOD(WEEKDAY($B65)-$B$3,7)),$B$5:$B$304,"&lt;="&amp;$B65)-IF($F$3="",0,SUMIFS($F$5:$F$304,$A$5:$A$304,$A65&amp;"",$B$5:$B$304,"&gt;="&amp;($B65-MOD(WEEKDAY($B65)-$B$3,7)),$B$5:$B$304,"&lt;="&amp;$B65,$F$5:$F$304,"&gt;"&amp;$F$3)-$F$3*COUNTIFS($A$5:$A$304,$A65&amp;"",$B$5:$B$304,"&gt;="&amp;($B65-MOD(WEEKDAY($B65)-$B$3,7)),$B$5:$B$304,"&lt;="&amp;$B65,$F$5:$F$304,"&gt;"&amp;$F$3))-$D$3))),2))</f>
        <v/>
      </c>
      <c r="I65" s="26" t="n"/>
      <c r="J65" s="27">
        <f>IF(AND($A65="",$C65="",$D65=""),"",IF(OR($C65&gt;=1,$D65&gt;=1),"⚠ type the time with a colon: 9:00 AM, not 9",IF(AND($C65&lt;&gt;"",$C65=$D65),"⚠ clock-in equals clock-out: the shift adds 0 h",IF(AND($C65&lt;&gt;"",$D65&lt;&gt;"",IF($E65="",0,$E65)&gt;MOD($D65-$C65,1)*24),"⚠ the break is longer than the shift",IF(AND($A65&lt;&gt;"",COUNTIF('Monthly OT Summary'!$A$6:$A$35,$A65&amp;"")=0),"⚠ name not in Monthly OT Summary: its hours are not added","")))))</f>
        <v/>
      </c>
    </row>
    <row r="66">
      <c r="A66" s="21" t="n"/>
      <c r="B66" s="40" t="n"/>
      <c r="C66" s="41" t="n"/>
      <c r="D66" s="41" t="n"/>
      <c r="E66" s="24" t="n"/>
      <c r="F66" s="8">
        <f>IF(OR($C66="",$D66=""),"",IF(OR($C66&gt;=1,$D66&gt;=1,$C66=$D66,IF($E66="",0,$E66)&gt;MOD($D66-$C66,1)*24),"",ROUND(MOD($D66-$C66,1)*24-IF($E66="",0,$E66),2)))</f>
        <v/>
      </c>
      <c r="G66" s="25" t="n">
        <v>8</v>
      </c>
      <c r="H66" s="8">
        <f>IF(OR($A66="",$B66="",$F66=""),"",ROUND(IF($F$3="",0,MAX(0,$F66-$F$3))+IF($D$3="",0,MIN($F66-IF($F$3="",0,MAX(0,$F66-$F$3)),MAX(0,SUMIFS($F$5:$F$304,$A$5:$A$304,$A66&amp;"",$B$5:$B$304,"&gt;="&amp;($B66-MOD(WEEKDAY($B66)-$B$3,7)),$B$5:$B$304,"&lt;="&amp;$B66)-IF($F$3="",0,SUMIFS($F$5:$F$304,$A$5:$A$304,$A66&amp;"",$B$5:$B$304,"&gt;="&amp;($B66-MOD(WEEKDAY($B66)-$B$3,7)),$B$5:$B$304,"&lt;="&amp;$B66,$F$5:$F$304,"&gt;"&amp;$F$3)-$F$3*COUNTIFS($A$5:$A$304,$A66&amp;"",$B$5:$B$304,"&gt;="&amp;($B66-MOD(WEEKDAY($B66)-$B$3,7)),$B$5:$B$304,"&lt;="&amp;$B66,$F$5:$F$304,"&gt;"&amp;$F$3))-$D$3))),2))</f>
        <v/>
      </c>
      <c r="I66" s="26" t="n"/>
      <c r="J66" s="27">
        <f>IF(AND($A66="",$C66="",$D66=""),"",IF(OR($C66&gt;=1,$D66&gt;=1),"⚠ type the time with a colon: 9:00 AM, not 9",IF(AND($C66&lt;&gt;"",$C66=$D66),"⚠ clock-in equals clock-out: the shift adds 0 h",IF(AND($C66&lt;&gt;"",$D66&lt;&gt;"",IF($E66="",0,$E66)&gt;MOD($D66-$C66,1)*24),"⚠ the break is longer than the shift",IF(AND($A66&lt;&gt;"",COUNTIF('Monthly OT Summary'!$A$6:$A$35,$A66&amp;"")=0),"⚠ name not in Monthly OT Summary: its hours are not added","")))))</f>
        <v/>
      </c>
    </row>
    <row r="67">
      <c r="A67" s="21" t="n"/>
      <c r="B67" s="40" t="n"/>
      <c r="C67" s="41" t="n"/>
      <c r="D67" s="41" t="n"/>
      <c r="E67" s="24" t="n"/>
      <c r="F67" s="8">
        <f>IF(OR($C67="",$D67=""),"",IF(OR($C67&gt;=1,$D67&gt;=1,$C67=$D67,IF($E67="",0,$E67)&gt;MOD($D67-$C67,1)*24),"",ROUND(MOD($D67-$C67,1)*24-IF($E67="",0,$E67),2)))</f>
        <v/>
      </c>
      <c r="G67" s="25" t="n">
        <v>8</v>
      </c>
      <c r="H67" s="8">
        <f>IF(OR($A67="",$B67="",$F67=""),"",ROUND(IF($F$3="",0,MAX(0,$F67-$F$3))+IF($D$3="",0,MIN($F67-IF($F$3="",0,MAX(0,$F67-$F$3)),MAX(0,SUMIFS($F$5:$F$304,$A$5:$A$304,$A67&amp;"",$B$5:$B$304,"&gt;="&amp;($B67-MOD(WEEKDAY($B67)-$B$3,7)),$B$5:$B$304,"&lt;="&amp;$B67)-IF($F$3="",0,SUMIFS($F$5:$F$304,$A$5:$A$304,$A67&amp;"",$B$5:$B$304,"&gt;="&amp;($B67-MOD(WEEKDAY($B67)-$B$3,7)),$B$5:$B$304,"&lt;="&amp;$B67,$F$5:$F$304,"&gt;"&amp;$F$3)-$F$3*COUNTIFS($A$5:$A$304,$A67&amp;"",$B$5:$B$304,"&gt;="&amp;($B67-MOD(WEEKDAY($B67)-$B$3,7)),$B$5:$B$304,"&lt;="&amp;$B67,$F$5:$F$304,"&gt;"&amp;$F$3))-$D$3))),2))</f>
        <v/>
      </c>
      <c r="I67" s="26" t="n"/>
      <c r="J67" s="27">
        <f>IF(AND($A67="",$C67="",$D67=""),"",IF(OR($C67&gt;=1,$D67&gt;=1),"⚠ type the time with a colon: 9:00 AM, not 9",IF(AND($C67&lt;&gt;"",$C67=$D67),"⚠ clock-in equals clock-out: the shift adds 0 h",IF(AND($C67&lt;&gt;"",$D67&lt;&gt;"",IF($E67="",0,$E67)&gt;MOD($D67-$C67,1)*24),"⚠ the break is longer than the shift",IF(AND($A67&lt;&gt;"",COUNTIF('Monthly OT Summary'!$A$6:$A$35,$A67&amp;"")=0),"⚠ name not in Monthly OT Summary: its hours are not added","")))))</f>
        <v/>
      </c>
    </row>
    <row r="68">
      <c r="A68" s="21" t="n"/>
      <c r="B68" s="40" t="n"/>
      <c r="C68" s="41" t="n"/>
      <c r="D68" s="41" t="n"/>
      <c r="E68" s="24" t="n"/>
      <c r="F68" s="8">
        <f>IF(OR($C68="",$D68=""),"",IF(OR($C68&gt;=1,$D68&gt;=1,$C68=$D68,IF($E68="",0,$E68)&gt;MOD($D68-$C68,1)*24),"",ROUND(MOD($D68-$C68,1)*24-IF($E68="",0,$E68),2)))</f>
        <v/>
      </c>
      <c r="G68" s="25" t="n">
        <v>8</v>
      </c>
      <c r="H68" s="8">
        <f>IF(OR($A68="",$B68="",$F68=""),"",ROUND(IF($F$3="",0,MAX(0,$F68-$F$3))+IF($D$3="",0,MIN($F68-IF($F$3="",0,MAX(0,$F68-$F$3)),MAX(0,SUMIFS($F$5:$F$304,$A$5:$A$304,$A68&amp;"",$B$5:$B$304,"&gt;="&amp;($B68-MOD(WEEKDAY($B68)-$B$3,7)),$B$5:$B$304,"&lt;="&amp;$B68)-IF($F$3="",0,SUMIFS($F$5:$F$304,$A$5:$A$304,$A68&amp;"",$B$5:$B$304,"&gt;="&amp;($B68-MOD(WEEKDAY($B68)-$B$3,7)),$B$5:$B$304,"&lt;="&amp;$B68,$F$5:$F$304,"&gt;"&amp;$F$3)-$F$3*COUNTIFS($A$5:$A$304,$A68&amp;"",$B$5:$B$304,"&gt;="&amp;($B68-MOD(WEEKDAY($B68)-$B$3,7)),$B$5:$B$304,"&lt;="&amp;$B68,$F$5:$F$304,"&gt;"&amp;$F$3))-$D$3))),2))</f>
        <v/>
      </c>
      <c r="I68" s="26" t="n"/>
      <c r="J68" s="27">
        <f>IF(AND($A68="",$C68="",$D68=""),"",IF(OR($C68&gt;=1,$D68&gt;=1),"⚠ type the time with a colon: 9:00 AM, not 9",IF(AND($C68&lt;&gt;"",$C68=$D68),"⚠ clock-in equals clock-out: the shift adds 0 h",IF(AND($C68&lt;&gt;"",$D68&lt;&gt;"",IF($E68="",0,$E68)&gt;MOD($D68-$C68,1)*24),"⚠ the break is longer than the shift",IF(AND($A68&lt;&gt;"",COUNTIF('Monthly OT Summary'!$A$6:$A$35,$A68&amp;"")=0),"⚠ name not in Monthly OT Summary: its hours are not added","")))))</f>
        <v/>
      </c>
    </row>
    <row r="69">
      <c r="A69" s="21" t="n"/>
      <c r="B69" s="40" t="n"/>
      <c r="C69" s="41" t="n"/>
      <c r="D69" s="41" t="n"/>
      <c r="E69" s="24" t="n"/>
      <c r="F69" s="8">
        <f>IF(OR($C69="",$D69=""),"",IF(OR($C69&gt;=1,$D69&gt;=1,$C69=$D69,IF($E69="",0,$E69)&gt;MOD($D69-$C69,1)*24),"",ROUND(MOD($D69-$C69,1)*24-IF($E69="",0,$E69),2)))</f>
        <v/>
      </c>
      <c r="G69" s="25" t="n">
        <v>8</v>
      </c>
      <c r="H69" s="8">
        <f>IF(OR($A69="",$B69="",$F69=""),"",ROUND(IF($F$3="",0,MAX(0,$F69-$F$3))+IF($D$3="",0,MIN($F69-IF($F$3="",0,MAX(0,$F69-$F$3)),MAX(0,SUMIFS($F$5:$F$304,$A$5:$A$304,$A69&amp;"",$B$5:$B$304,"&gt;="&amp;($B69-MOD(WEEKDAY($B69)-$B$3,7)),$B$5:$B$304,"&lt;="&amp;$B69)-IF($F$3="",0,SUMIFS($F$5:$F$304,$A$5:$A$304,$A69&amp;"",$B$5:$B$304,"&gt;="&amp;($B69-MOD(WEEKDAY($B69)-$B$3,7)),$B$5:$B$304,"&lt;="&amp;$B69,$F$5:$F$304,"&gt;"&amp;$F$3)-$F$3*COUNTIFS($A$5:$A$304,$A69&amp;"",$B$5:$B$304,"&gt;="&amp;($B69-MOD(WEEKDAY($B69)-$B$3,7)),$B$5:$B$304,"&lt;="&amp;$B69,$F$5:$F$304,"&gt;"&amp;$F$3))-$D$3))),2))</f>
        <v/>
      </c>
      <c r="I69" s="26" t="n"/>
      <c r="J69" s="27">
        <f>IF(AND($A69="",$C69="",$D69=""),"",IF(OR($C69&gt;=1,$D69&gt;=1),"⚠ type the time with a colon: 9:00 AM, not 9",IF(AND($C69&lt;&gt;"",$C69=$D69),"⚠ clock-in equals clock-out: the shift adds 0 h",IF(AND($C69&lt;&gt;"",$D69&lt;&gt;"",IF($E69="",0,$E69)&gt;MOD($D69-$C69,1)*24),"⚠ the break is longer than the shift",IF(AND($A69&lt;&gt;"",COUNTIF('Monthly OT Summary'!$A$6:$A$35,$A69&amp;"")=0),"⚠ name not in Monthly OT Summary: its hours are not added","")))))</f>
        <v/>
      </c>
    </row>
    <row r="70">
      <c r="A70" s="21" t="n"/>
      <c r="B70" s="40" t="n"/>
      <c r="C70" s="41" t="n"/>
      <c r="D70" s="41" t="n"/>
      <c r="E70" s="24" t="n"/>
      <c r="F70" s="8">
        <f>IF(OR($C70="",$D70=""),"",IF(OR($C70&gt;=1,$D70&gt;=1,$C70=$D70,IF($E70="",0,$E70)&gt;MOD($D70-$C70,1)*24),"",ROUND(MOD($D70-$C70,1)*24-IF($E70="",0,$E70),2)))</f>
        <v/>
      </c>
      <c r="G70" s="25" t="n">
        <v>8</v>
      </c>
      <c r="H70" s="8">
        <f>IF(OR($A70="",$B70="",$F70=""),"",ROUND(IF($F$3="",0,MAX(0,$F70-$F$3))+IF($D$3="",0,MIN($F70-IF($F$3="",0,MAX(0,$F70-$F$3)),MAX(0,SUMIFS($F$5:$F$304,$A$5:$A$304,$A70&amp;"",$B$5:$B$304,"&gt;="&amp;($B70-MOD(WEEKDAY($B70)-$B$3,7)),$B$5:$B$304,"&lt;="&amp;$B70)-IF($F$3="",0,SUMIFS($F$5:$F$304,$A$5:$A$304,$A70&amp;"",$B$5:$B$304,"&gt;="&amp;($B70-MOD(WEEKDAY($B70)-$B$3,7)),$B$5:$B$304,"&lt;="&amp;$B70,$F$5:$F$304,"&gt;"&amp;$F$3)-$F$3*COUNTIFS($A$5:$A$304,$A70&amp;"",$B$5:$B$304,"&gt;="&amp;($B70-MOD(WEEKDAY($B70)-$B$3,7)),$B$5:$B$304,"&lt;="&amp;$B70,$F$5:$F$304,"&gt;"&amp;$F$3))-$D$3))),2))</f>
        <v/>
      </c>
      <c r="I70" s="26" t="n"/>
      <c r="J70" s="27">
        <f>IF(AND($A70="",$C70="",$D70=""),"",IF(OR($C70&gt;=1,$D70&gt;=1),"⚠ type the time with a colon: 9:00 AM, not 9",IF(AND($C70&lt;&gt;"",$C70=$D70),"⚠ clock-in equals clock-out: the shift adds 0 h",IF(AND($C70&lt;&gt;"",$D70&lt;&gt;"",IF($E70="",0,$E70)&gt;MOD($D70-$C70,1)*24),"⚠ the break is longer than the shift",IF(AND($A70&lt;&gt;"",COUNTIF('Monthly OT Summary'!$A$6:$A$35,$A70&amp;"")=0),"⚠ name not in Monthly OT Summary: its hours are not added","")))))</f>
        <v/>
      </c>
    </row>
    <row r="71">
      <c r="A71" s="21" t="n"/>
      <c r="B71" s="40" t="n"/>
      <c r="C71" s="41" t="n"/>
      <c r="D71" s="41" t="n"/>
      <c r="E71" s="24" t="n"/>
      <c r="F71" s="8">
        <f>IF(OR($C71="",$D71=""),"",IF(OR($C71&gt;=1,$D71&gt;=1,$C71=$D71,IF($E71="",0,$E71)&gt;MOD($D71-$C71,1)*24),"",ROUND(MOD($D71-$C71,1)*24-IF($E71="",0,$E71),2)))</f>
        <v/>
      </c>
      <c r="G71" s="25" t="n">
        <v>8</v>
      </c>
      <c r="H71" s="8">
        <f>IF(OR($A71="",$B71="",$F71=""),"",ROUND(IF($F$3="",0,MAX(0,$F71-$F$3))+IF($D$3="",0,MIN($F71-IF($F$3="",0,MAX(0,$F71-$F$3)),MAX(0,SUMIFS($F$5:$F$304,$A$5:$A$304,$A71&amp;"",$B$5:$B$304,"&gt;="&amp;($B71-MOD(WEEKDAY($B71)-$B$3,7)),$B$5:$B$304,"&lt;="&amp;$B71)-IF($F$3="",0,SUMIFS($F$5:$F$304,$A$5:$A$304,$A71&amp;"",$B$5:$B$304,"&gt;="&amp;($B71-MOD(WEEKDAY($B71)-$B$3,7)),$B$5:$B$304,"&lt;="&amp;$B71,$F$5:$F$304,"&gt;"&amp;$F$3)-$F$3*COUNTIFS($A$5:$A$304,$A71&amp;"",$B$5:$B$304,"&gt;="&amp;($B71-MOD(WEEKDAY($B71)-$B$3,7)),$B$5:$B$304,"&lt;="&amp;$B71,$F$5:$F$304,"&gt;"&amp;$F$3))-$D$3))),2))</f>
        <v/>
      </c>
      <c r="I71" s="26" t="n"/>
      <c r="J71" s="27">
        <f>IF(AND($A71="",$C71="",$D71=""),"",IF(OR($C71&gt;=1,$D71&gt;=1),"⚠ type the time with a colon: 9:00 AM, not 9",IF(AND($C71&lt;&gt;"",$C71=$D71),"⚠ clock-in equals clock-out: the shift adds 0 h",IF(AND($C71&lt;&gt;"",$D71&lt;&gt;"",IF($E71="",0,$E71)&gt;MOD($D71-$C71,1)*24),"⚠ the break is longer than the shift",IF(AND($A71&lt;&gt;"",COUNTIF('Monthly OT Summary'!$A$6:$A$35,$A71&amp;"")=0),"⚠ name not in Monthly OT Summary: its hours are not added","")))))</f>
        <v/>
      </c>
    </row>
    <row r="72">
      <c r="A72" s="21" t="n"/>
      <c r="B72" s="40" t="n"/>
      <c r="C72" s="41" t="n"/>
      <c r="D72" s="41" t="n"/>
      <c r="E72" s="24" t="n"/>
      <c r="F72" s="8">
        <f>IF(OR($C72="",$D72=""),"",IF(OR($C72&gt;=1,$D72&gt;=1,$C72=$D72,IF($E72="",0,$E72)&gt;MOD($D72-$C72,1)*24),"",ROUND(MOD($D72-$C72,1)*24-IF($E72="",0,$E72),2)))</f>
        <v/>
      </c>
      <c r="G72" s="25" t="n">
        <v>8</v>
      </c>
      <c r="H72" s="8">
        <f>IF(OR($A72="",$B72="",$F72=""),"",ROUND(IF($F$3="",0,MAX(0,$F72-$F$3))+IF($D$3="",0,MIN($F72-IF($F$3="",0,MAX(0,$F72-$F$3)),MAX(0,SUMIFS($F$5:$F$304,$A$5:$A$304,$A72&amp;"",$B$5:$B$304,"&gt;="&amp;($B72-MOD(WEEKDAY($B72)-$B$3,7)),$B$5:$B$304,"&lt;="&amp;$B72)-IF($F$3="",0,SUMIFS($F$5:$F$304,$A$5:$A$304,$A72&amp;"",$B$5:$B$304,"&gt;="&amp;($B72-MOD(WEEKDAY($B72)-$B$3,7)),$B$5:$B$304,"&lt;="&amp;$B72,$F$5:$F$304,"&gt;"&amp;$F$3)-$F$3*COUNTIFS($A$5:$A$304,$A72&amp;"",$B$5:$B$304,"&gt;="&amp;($B72-MOD(WEEKDAY($B72)-$B$3,7)),$B$5:$B$304,"&lt;="&amp;$B72,$F$5:$F$304,"&gt;"&amp;$F$3))-$D$3))),2))</f>
        <v/>
      </c>
      <c r="I72" s="26" t="n"/>
      <c r="J72" s="27">
        <f>IF(AND($A72="",$C72="",$D72=""),"",IF(OR($C72&gt;=1,$D72&gt;=1),"⚠ type the time with a colon: 9:00 AM, not 9",IF(AND($C72&lt;&gt;"",$C72=$D72),"⚠ clock-in equals clock-out: the shift adds 0 h",IF(AND($C72&lt;&gt;"",$D72&lt;&gt;"",IF($E72="",0,$E72)&gt;MOD($D72-$C72,1)*24),"⚠ the break is longer than the shift",IF(AND($A72&lt;&gt;"",COUNTIF('Monthly OT Summary'!$A$6:$A$35,$A72&amp;"")=0),"⚠ name not in Monthly OT Summary: its hours are not added","")))))</f>
        <v/>
      </c>
    </row>
    <row r="73">
      <c r="A73" s="21" t="n"/>
      <c r="B73" s="40" t="n"/>
      <c r="C73" s="41" t="n"/>
      <c r="D73" s="41" t="n"/>
      <c r="E73" s="24" t="n"/>
      <c r="F73" s="8">
        <f>IF(OR($C73="",$D73=""),"",IF(OR($C73&gt;=1,$D73&gt;=1,$C73=$D73,IF($E73="",0,$E73)&gt;MOD($D73-$C73,1)*24),"",ROUND(MOD($D73-$C73,1)*24-IF($E73="",0,$E73),2)))</f>
        <v/>
      </c>
      <c r="G73" s="25" t="n">
        <v>8</v>
      </c>
      <c r="H73" s="8">
        <f>IF(OR($A73="",$B73="",$F73=""),"",ROUND(IF($F$3="",0,MAX(0,$F73-$F$3))+IF($D$3="",0,MIN($F73-IF($F$3="",0,MAX(0,$F73-$F$3)),MAX(0,SUMIFS($F$5:$F$304,$A$5:$A$304,$A73&amp;"",$B$5:$B$304,"&gt;="&amp;($B73-MOD(WEEKDAY($B73)-$B$3,7)),$B$5:$B$304,"&lt;="&amp;$B73)-IF($F$3="",0,SUMIFS($F$5:$F$304,$A$5:$A$304,$A73&amp;"",$B$5:$B$304,"&gt;="&amp;($B73-MOD(WEEKDAY($B73)-$B$3,7)),$B$5:$B$304,"&lt;="&amp;$B73,$F$5:$F$304,"&gt;"&amp;$F$3)-$F$3*COUNTIFS($A$5:$A$304,$A73&amp;"",$B$5:$B$304,"&gt;="&amp;($B73-MOD(WEEKDAY($B73)-$B$3,7)),$B$5:$B$304,"&lt;="&amp;$B73,$F$5:$F$304,"&gt;"&amp;$F$3))-$D$3))),2))</f>
        <v/>
      </c>
      <c r="I73" s="26" t="n"/>
      <c r="J73" s="27">
        <f>IF(AND($A73="",$C73="",$D73=""),"",IF(OR($C73&gt;=1,$D73&gt;=1),"⚠ type the time with a colon: 9:00 AM, not 9",IF(AND($C73&lt;&gt;"",$C73=$D73),"⚠ clock-in equals clock-out: the shift adds 0 h",IF(AND($C73&lt;&gt;"",$D73&lt;&gt;"",IF($E73="",0,$E73)&gt;MOD($D73-$C73,1)*24),"⚠ the break is longer than the shift",IF(AND($A73&lt;&gt;"",COUNTIF('Monthly OT Summary'!$A$6:$A$35,$A73&amp;"")=0),"⚠ name not in Monthly OT Summary: its hours are not added","")))))</f>
        <v/>
      </c>
    </row>
    <row r="74">
      <c r="A74" s="21" t="n"/>
      <c r="B74" s="40" t="n"/>
      <c r="C74" s="41" t="n"/>
      <c r="D74" s="41" t="n"/>
      <c r="E74" s="24" t="n"/>
      <c r="F74" s="8">
        <f>IF(OR($C74="",$D74=""),"",IF(OR($C74&gt;=1,$D74&gt;=1,$C74=$D74,IF($E74="",0,$E74)&gt;MOD($D74-$C74,1)*24),"",ROUND(MOD($D74-$C74,1)*24-IF($E74="",0,$E74),2)))</f>
        <v/>
      </c>
      <c r="G74" s="25" t="n">
        <v>8</v>
      </c>
      <c r="H74" s="8">
        <f>IF(OR($A74="",$B74="",$F74=""),"",ROUND(IF($F$3="",0,MAX(0,$F74-$F$3))+IF($D$3="",0,MIN($F74-IF($F$3="",0,MAX(0,$F74-$F$3)),MAX(0,SUMIFS($F$5:$F$304,$A$5:$A$304,$A74&amp;"",$B$5:$B$304,"&gt;="&amp;($B74-MOD(WEEKDAY($B74)-$B$3,7)),$B$5:$B$304,"&lt;="&amp;$B74)-IF($F$3="",0,SUMIFS($F$5:$F$304,$A$5:$A$304,$A74&amp;"",$B$5:$B$304,"&gt;="&amp;($B74-MOD(WEEKDAY($B74)-$B$3,7)),$B$5:$B$304,"&lt;="&amp;$B74,$F$5:$F$304,"&gt;"&amp;$F$3)-$F$3*COUNTIFS($A$5:$A$304,$A74&amp;"",$B$5:$B$304,"&gt;="&amp;($B74-MOD(WEEKDAY($B74)-$B$3,7)),$B$5:$B$304,"&lt;="&amp;$B74,$F$5:$F$304,"&gt;"&amp;$F$3))-$D$3))),2))</f>
        <v/>
      </c>
      <c r="I74" s="26" t="n"/>
      <c r="J74" s="27">
        <f>IF(AND($A74="",$C74="",$D74=""),"",IF(OR($C74&gt;=1,$D74&gt;=1),"⚠ type the time with a colon: 9:00 AM, not 9",IF(AND($C74&lt;&gt;"",$C74=$D74),"⚠ clock-in equals clock-out: the shift adds 0 h",IF(AND($C74&lt;&gt;"",$D74&lt;&gt;"",IF($E74="",0,$E74)&gt;MOD($D74-$C74,1)*24),"⚠ the break is longer than the shift",IF(AND($A74&lt;&gt;"",COUNTIF('Monthly OT Summary'!$A$6:$A$35,$A74&amp;"")=0),"⚠ name not in Monthly OT Summary: its hours are not added","")))))</f>
        <v/>
      </c>
    </row>
    <row r="75">
      <c r="A75" s="21" t="n"/>
      <c r="B75" s="40" t="n"/>
      <c r="C75" s="41" t="n"/>
      <c r="D75" s="41" t="n"/>
      <c r="E75" s="24" t="n"/>
      <c r="F75" s="8">
        <f>IF(OR($C75="",$D75=""),"",IF(OR($C75&gt;=1,$D75&gt;=1,$C75=$D75,IF($E75="",0,$E75)&gt;MOD($D75-$C75,1)*24),"",ROUND(MOD($D75-$C75,1)*24-IF($E75="",0,$E75),2)))</f>
        <v/>
      </c>
      <c r="G75" s="25" t="n">
        <v>8</v>
      </c>
      <c r="H75" s="8">
        <f>IF(OR($A75="",$B75="",$F75=""),"",ROUND(IF($F$3="",0,MAX(0,$F75-$F$3))+IF($D$3="",0,MIN($F75-IF($F$3="",0,MAX(0,$F75-$F$3)),MAX(0,SUMIFS($F$5:$F$304,$A$5:$A$304,$A75&amp;"",$B$5:$B$304,"&gt;="&amp;($B75-MOD(WEEKDAY($B75)-$B$3,7)),$B$5:$B$304,"&lt;="&amp;$B75)-IF($F$3="",0,SUMIFS($F$5:$F$304,$A$5:$A$304,$A75&amp;"",$B$5:$B$304,"&gt;="&amp;($B75-MOD(WEEKDAY($B75)-$B$3,7)),$B$5:$B$304,"&lt;="&amp;$B75,$F$5:$F$304,"&gt;"&amp;$F$3)-$F$3*COUNTIFS($A$5:$A$304,$A75&amp;"",$B$5:$B$304,"&gt;="&amp;($B75-MOD(WEEKDAY($B75)-$B$3,7)),$B$5:$B$304,"&lt;="&amp;$B75,$F$5:$F$304,"&gt;"&amp;$F$3))-$D$3))),2))</f>
        <v/>
      </c>
      <c r="I75" s="26" t="n"/>
      <c r="J75" s="27">
        <f>IF(AND($A75="",$C75="",$D75=""),"",IF(OR($C75&gt;=1,$D75&gt;=1),"⚠ type the time with a colon: 9:00 AM, not 9",IF(AND($C75&lt;&gt;"",$C75=$D75),"⚠ clock-in equals clock-out: the shift adds 0 h",IF(AND($C75&lt;&gt;"",$D75&lt;&gt;"",IF($E75="",0,$E75)&gt;MOD($D75-$C75,1)*24),"⚠ the break is longer than the shift",IF(AND($A75&lt;&gt;"",COUNTIF('Monthly OT Summary'!$A$6:$A$35,$A75&amp;"")=0),"⚠ name not in Monthly OT Summary: its hours are not added","")))))</f>
        <v/>
      </c>
    </row>
    <row r="76">
      <c r="A76" s="21" t="n"/>
      <c r="B76" s="40" t="n"/>
      <c r="C76" s="41" t="n"/>
      <c r="D76" s="41" t="n"/>
      <c r="E76" s="24" t="n"/>
      <c r="F76" s="8">
        <f>IF(OR($C76="",$D76=""),"",IF(OR($C76&gt;=1,$D76&gt;=1,$C76=$D76,IF($E76="",0,$E76)&gt;MOD($D76-$C76,1)*24),"",ROUND(MOD($D76-$C76,1)*24-IF($E76="",0,$E76),2)))</f>
        <v/>
      </c>
      <c r="G76" s="25" t="n">
        <v>8</v>
      </c>
      <c r="H76" s="8">
        <f>IF(OR($A76="",$B76="",$F76=""),"",ROUND(IF($F$3="",0,MAX(0,$F76-$F$3))+IF($D$3="",0,MIN($F76-IF($F$3="",0,MAX(0,$F76-$F$3)),MAX(0,SUMIFS($F$5:$F$304,$A$5:$A$304,$A76&amp;"",$B$5:$B$304,"&gt;="&amp;($B76-MOD(WEEKDAY($B76)-$B$3,7)),$B$5:$B$304,"&lt;="&amp;$B76)-IF($F$3="",0,SUMIFS($F$5:$F$304,$A$5:$A$304,$A76&amp;"",$B$5:$B$304,"&gt;="&amp;($B76-MOD(WEEKDAY($B76)-$B$3,7)),$B$5:$B$304,"&lt;="&amp;$B76,$F$5:$F$304,"&gt;"&amp;$F$3)-$F$3*COUNTIFS($A$5:$A$304,$A76&amp;"",$B$5:$B$304,"&gt;="&amp;($B76-MOD(WEEKDAY($B76)-$B$3,7)),$B$5:$B$304,"&lt;="&amp;$B76,$F$5:$F$304,"&gt;"&amp;$F$3))-$D$3))),2))</f>
        <v/>
      </c>
      <c r="I76" s="26" t="n"/>
      <c r="J76" s="27">
        <f>IF(AND($A76="",$C76="",$D76=""),"",IF(OR($C76&gt;=1,$D76&gt;=1),"⚠ type the time with a colon: 9:00 AM, not 9",IF(AND($C76&lt;&gt;"",$C76=$D76),"⚠ clock-in equals clock-out: the shift adds 0 h",IF(AND($C76&lt;&gt;"",$D76&lt;&gt;"",IF($E76="",0,$E76)&gt;MOD($D76-$C76,1)*24),"⚠ the break is longer than the shift",IF(AND($A76&lt;&gt;"",COUNTIF('Monthly OT Summary'!$A$6:$A$35,$A76&amp;"")=0),"⚠ name not in Monthly OT Summary: its hours are not added","")))))</f>
        <v/>
      </c>
    </row>
    <row r="77">
      <c r="A77" s="21" t="n"/>
      <c r="B77" s="40" t="n"/>
      <c r="C77" s="41" t="n"/>
      <c r="D77" s="41" t="n"/>
      <c r="E77" s="24" t="n"/>
      <c r="F77" s="8">
        <f>IF(OR($C77="",$D77=""),"",IF(OR($C77&gt;=1,$D77&gt;=1,$C77=$D77,IF($E77="",0,$E77)&gt;MOD($D77-$C77,1)*24),"",ROUND(MOD($D77-$C77,1)*24-IF($E77="",0,$E77),2)))</f>
        <v/>
      </c>
      <c r="G77" s="25" t="n">
        <v>8</v>
      </c>
      <c r="H77" s="8">
        <f>IF(OR($A77="",$B77="",$F77=""),"",ROUND(IF($F$3="",0,MAX(0,$F77-$F$3))+IF($D$3="",0,MIN($F77-IF($F$3="",0,MAX(0,$F77-$F$3)),MAX(0,SUMIFS($F$5:$F$304,$A$5:$A$304,$A77&amp;"",$B$5:$B$304,"&gt;="&amp;($B77-MOD(WEEKDAY($B77)-$B$3,7)),$B$5:$B$304,"&lt;="&amp;$B77)-IF($F$3="",0,SUMIFS($F$5:$F$304,$A$5:$A$304,$A77&amp;"",$B$5:$B$304,"&gt;="&amp;($B77-MOD(WEEKDAY($B77)-$B$3,7)),$B$5:$B$304,"&lt;="&amp;$B77,$F$5:$F$304,"&gt;"&amp;$F$3)-$F$3*COUNTIFS($A$5:$A$304,$A77&amp;"",$B$5:$B$304,"&gt;="&amp;($B77-MOD(WEEKDAY($B77)-$B$3,7)),$B$5:$B$304,"&lt;="&amp;$B77,$F$5:$F$304,"&gt;"&amp;$F$3))-$D$3))),2))</f>
        <v/>
      </c>
      <c r="I77" s="26" t="n"/>
      <c r="J77" s="27">
        <f>IF(AND($A77="",$C77="",$D77=""),"",IF(OR($C77&gt;=1,$D77&gt;=1),"⚠ type the time with a colon: 9:00 AM, not 9",IF(AND($C77&lt;&gt;"",$C77=$D77),"⚠ clock-in equals clock-out: the shift adds 0 h",IF(AND($C77&lt;&gt;"",$D77&lt;&gt;"",IF($E77="",0,$E77)&gt;MOD($D77-$C77,1)*24),"⚠ the break is longer than the shift",IF(AND($A77&lt;&gt;"",COUNTIF('Monthly OT Summary'!$A$6:$A$35,$A77&amp;"")=0),"⚠ name not in Monthly OT Summary: its hours are not added","")))))</f>
        <v/>
      </c>
    </row>
    <row r="78">
      <c r="A78" s="21" t="n"/>
      <c r="B78" s="40" t="n"/>
      <c r="C78" s="41" t="n"/>
      <c r="D78" s="41" t="n"/>
      <c r="E78" s="24" t="n"/>
      <c r="F78" s="8">
        <f>IF(OR($C78="",$D78=""),"",IF(OR($C78&gt;=1,$D78&gt;=1,$C78=$D78,IF($E78="",0,$E78)&gt;MOD($D78-$C78,1)*24),"",ROUND(MOD($D78-$C78,1)*24-IF($E78="",0,$E78),2)))</f>
        <v/>
      </c>
      <c r="G78" s="25" t="n">
        <v>8</v>
      </c>
      <c r="H78" s="8">
        <f>IF(OR($A78="",$B78="",$F78=""),"",ROUND(IF($F$3="",0,MAX(0,$F78-$F$3))+IF($D$3="",0,MIN($F78-IF($F$3="",0,MAX(0,$F78-$F$3)),MAX(0,SUMIFS($F$5:$F$304,$A$5:$A$304,$A78&amp;"",$B$5:$B$304,"&gt;="&amp;($B78-MOD(WEEKDAY($B78)-$B$3,7)),$B$5:$B$304,"&lt;="&amp;$B78)-IF($F$3="",0,SUMIFS($F$5:$F$304,$A$5:$A$304,$A78&amp;"",$B$5:$B$304,"&gt;="&amp;($B78-MOD(WEEKDAY($B78)-$B$3,7)),$B$5:$B$304,"&lt;="&amp;$B78,$F$5:$F$304,"&gt;"&amp;$F$3)-$F$3*COUNTIFS($A$5:$A$304,$A78&amp;"",$B$5:$B$304,"&gt;="&amp;($B78-MOD(WEEKDAY($B78)-$B$3,7)),$B$5:$B$304,"&lt;="&amp;$B78,$F$5:$F$304,"&gt;"&amp;$F$3))-$D$3))),2))</f>
        <v/>
      </c>
      <c r="I78" s="26" t="n"/>
      <c r="J78" s="27">
        <f>IF(AND($A78="",$C78="",$D78=""),"",IF(OR($C78&gt;=1,$D78&gt;=1),"⚠ type the time with a colon: 9:00 AM, not 9",IF(AND($C78&lt;&gt;"",$C78=$D78),"⚠ clock-in equals clock-out: the shift adds 0 h",IF(AND($C78&lt;&gt;"",$D78&lt;&gt;"",IF($E78="",0,$E78)&gt;MOD($D78-$C78,1)*24),"⚠ the break is longer than the shift",IF(AND($A78&lt;&gt;"",COUNTIF('Monthly OT Summary'!$A$6:$A$35,$A78&amp;"")=0),"⚠ name not in Monthly OT Summary: its hours are not added","")))))</f>
        <v/>
      </c>
    </row>
    <row r="79">
      <c r="A79" s="21" t="n"/>
      <c r="B79" s="40" t="n"/>
      <c r="C79" s="41" t="n"/>
      <c r="D79" s="41" t="n"/>
      <c r="E79" s="24" t="n"/>
      <c r="F79" s="8">
        <f>IF(OR($C79="",$D79=""),"",IF(OR($C79&gt;=1,$D79&gt;=1,$C79=$D79,IF($E79="",0,$E79)&gt;MOD($D79-$C79,1)*24),"",ROUND(MOD($D79-$C79,1)*24-IF($E79="",0,$E79),2)))</f>
        <v/>
      </c>
      <c r="G79" s="25" t="n">
        <v>8</v>
      </c>
      <c r="H79" s="8">
        <f>IF(OR($A79="",$B79="",$F79=""),"",ROUND(IF($F$3="",0,MAX(0,$F79-$F$3))+IF($D$3="",0,MIN($F79-IF($F$3="",0,MAX(0,$F79-$F$3)),MAX(0,SUMIFS($F$5:$F$304,$A$5:$A$304,$A79&amp;"",$B$5:$B$304,"&gt;="&amp;($B79-MOD(WEEKDAY($B79)-$B$3,7)),$B$5:$B$304,"&lt;="&amp;$B79)-IF($F$3="",0,SUMIFS($F$5:$F$304,$A$5:$A$304,$A79&amp;"",$B$5:$B$304,"&gt;="&amp;($B79-MOD(WEEKDAY($B79)-$B$3,7)),$B$5:$B$304,"&lt;="&amp;$B79,$F$5:$F$304,"&gt;"&amp;$F$3)-$F$3*COUNTIFS($A$5:$A$304,$A79&amp;"",$B$5:$B$304,"&gt;="&amp;($B79-MOD(WEEKDAY($B79)-$B$3,7)),$B$5:$B$304,"&lt;="&amp;$B79,$F$5:$F$304,"&gt;"&amp;$F$3))-$D$3))),2))</f>
        <v/>
      </c>
      <c r="I79" s="26" t="n"/>
      <c r="J79" s="27">
        <f>IF(AND($A79="",$C79="",$D79=""),"",IF(OR($C79&gt;=1,$D79&gt;=1),"⚠ type the time with a colon: 9:00 AM, not 9",IF(AND($C79&lt;&gt;"",$C79=$D79),"⚠ clock-in equals clock-out: the shift adds 0 h",IF(AND($C79&lt;&gt;"",$D79&lt;&gt;"",IF($E79="",0,$E79)&gt;MOD($D79-$C79,1)*24),"⚠ the break is longer than the shift",IF(AND($A79&lt;&gt;"",COUNTIF('Monthly OT Summary'!$A$6:$A$35,$A79&amp;"")=0),"⚠ name not in Monthly OT Summary: its hours are not added","")))))</f>
        <v/>
      </c>
    </row>
    <row r="80">
      <c r="A80" s="21" t="n"/>
      <c r="B80" s="40" t="n"/>
      <c r="C80" s="41" t="n"/>
      <c r="D80" s="41" t="n"/>
      <c r="E80" s="24" t="n"/>
      <c r="F80" s="8">
        <f>IF(OR($C80="",$D80=""),"",IF(OR($C80&gt;=1,$D80&gt;=1,$C80=$D80,IF($E80="",0,$E80)&gt;MOD($D80-$C80,1)*24),"",ROUND(MOD($D80-$C80,1)*24-IF($E80="",0,$E80),2)))</f>
        <v/>
      </c>
      <c r="G80" s="25" t="n">
        <v>8</v>
      </c>
      <c r="H80" s="8">
        <f>IF(OR($A80="",$B80="",$F80=""),"",ROUND(IF($F$3="",0,MAX(0,$F80-$F$3))+IF($D$3="",0,MIN($F80-IF($F$3="",0,MAX(0,$F80-$F$3)),MAX(0,SUMIFS($F$5:$F$304,$A$5:$A$304,$A80&amp;"",$B$5:$B$304,"&gt;="&amp;($B80-MOD(WEEKDAY($B80)-$B$3,7)),$B$5:$B$304,"&lt;="&amp;$B80)-IF($F$3="",0,SUMIFS($F$5:$F$304,$A$5:$A$304,$A80&amp;"",$B$5:$B$304,"&gt;="&amp;($B80-MOD(WEEKDAY($B80)-$B$3,7)),$B$5:$B$304,"&lt;="&amp;$B80,$F$5:$F$304,"&gt;"&amp;$F$3)-$F$3*COUNTIFS($A$5:$A$304,$A80&amp;"",$B$5:$B$304,"&gt;="&amp;($B80-MOD(WEEKDAY($B80)-$B$3,7)),$B$5:$B$304,"&lt;="&amp;$B80,$F$5:$F$304,"&gt;"&amp;$F$3))-$D$3))),2))</f>
        <v/>
      </c>
      <c r="I80" s="26" t="n"/>
      <c r="J80" s="27">
        <f>IF(AND($A80="",$C80="",$D80=""),"",IF(OR($C80&gt;=1,$D80&gt;=1),"⚠ type the time with a colon: 9:00 AM, not 9",IF(AND($C80&lt;&gt;"",$C80=$D80),"⚠ clock-in equals clock-out: the shift adds 0 h",IF(AND($C80&lt;&gt;"",$D80&lt;&gt;"",IF($E80="",0,$E80)&gt;MOD($D80-$C80,1)*24),"⚠ the break is longer than the shift",IF(AND($A80&lt;&gt;"",COUNTIF('Monthly OT Summary'!$A$6:$A$35,$A80&amp;"")=0),"⚠ name not in Monthly OT Summary: its hours are not added","")))))</f>
        <v/>
      </c>
    </row>
    <row r="81">
      <c r="A81" s="21" t="n"/>
      <c r="B81" s="40" t="n"/>
      <c r="C81" s="41" t="n"/>
      <c r="D81" s="41" t="n"/>
      <c r="E81" s="24" t="n"/>
      <c r="F81" s="8">
        <f>IF(OR($C81="",$D81=""),"",IF(OR($C81&gt;=1,$D81&gt;=1,$C81=$D81,IF($E81="",0,$E81)&gt;MOD($D81-$C81,1)*24),"",ROUND(MOD($D81-$C81,1)*24-IF($E81="",0,$E81),2)))</f>
        <v/>
      </c>
      <c r="G81" s="25" t="n">
        <v>8</v>
      </c>
      <c r="H81" s="8">
        <f>IF(OR($A81="",$B81="",$F81=""),"",ROUND(IF($F$3="",0,MAX(0,$F81-$F$3))+IF($D$3="",0,MIN($F81-IF($F$3="",0,MAX(0,$F81-$F$3)),MAX(0,SUMIFS($F$5:$F$304,$A$5:$A$304,$A81&amp;"",$B$5:$B$304,"&gt;="&amp;($B81-MOD(WEEKDAY($B81)-$B$3,7)),$B$5:$B$304,"&lt;="&amp;$B81)-IF($F$3="",0,SUMIFS($F$5:$F$304,$A$5:$A$304,$A81&amp;"",$B$5:$B$304,"&gt;="&amp;($B81-MOD(WEEKDAY($B81)-$B$3,7)),$B$5:$B$304,"&lt;="&amp;$B81,$F$5:$F$304,"&gt;"&amp;$F$3)-$F$3*COUNTIFS($A$5:$A$304,$A81&amp;"",$B$5:$B$304,"&gt;="&amp;($B81-MOD(WEEKDAY($B81)-$B$3,7)),$B$5:$B$304,"&lt;="&amp;$B81,$F$5:$F$304,"&gt;"&amp;$F$3))-$D$3))),2))</f>
        <v/>
      </c>
      <c r="I81" s="26" t="n"/>
      <c r="J81" s="27">
        <f>IF(AND($A81="",$C81="",$D81=""),"",IF(OR($C81&gt;=1,$D81&gt;=1),"⚠ type the time with a colon: 9:00 AM, not 9",IF(AND($C81&lt;&gt;"",$C81=$D81),"⚠ clock-in equals clock-out: the shift adds 0 h",IF(AND($C81&lt;&gt;"",$D81&lt;&gt;"",IF($E81="",0,$E81)&gt;MOD($D81-$C81,1)*24),"⚠ the break is longer than the shift",IF(AND($A81&lt;&gt;"",COUNTIF('Monthly OT Summary'!$A$6:$A$35,$A81&amp;"")=0),"⚠ name not in Monthly OT Summary: its hours are not added","")))))</f>
        <v/>
      </c>
    </row>
    <row r="82">
      <c r="A82" s="21" t="n"/>
      <c r="B82" s="40" t="n"/>
      <c r="C82" s="41" t="n"/>
      <c r="D82" s="41" t="n"/>
      <c r="E82" s="24" t="n"/>
      <c r="F82" s="8">
        <f>IF(OR($C82="",$D82=""),"",IF(OR($C82&gt;=1,$D82&gt;=1,$C82=$D82,IF($E82="",0,$E82)&gt;MOD($D82-$C82,1)*24),"",ROUND(MOD($D82-$C82,1)*24-IF($E82="",0,$E82),2)))</f>
        <v/>
      </c>
      <c r="G82" s="25" t="n">
        <v>8</v>
      </c>
      <c r="H82" s="8">
        <f>IF(OR($A82="",$B82="",$F82=""),"",ROUND(IF($F$3="",0,MAX(0,$F82-$F$3))+IF($D$3="",0,MIN($F82-IF($F$3="",0,MAX(0,$F82-$F$3)),MAX(0,SUMIFS($F$5:$F$304,$A$5:$A$304,$A82&amp;"",$B$5:$B$304,"&gt;="&amp;($B82-MOD(WEEKDAY($B82)-$B$3,7)),$B$5:$B$304,"&lt;="&amp;$B82)-IF($F$3="",0,SUMIFS($F$5:$F$304,$A$5:$A$304,$A82&amp;"",$B$5:$B$304,"&gt;="&amp;($B82-MOD(WEEKDAY($B82)-$B$3,7)),$B$5:$B$304,"&lt;="&amp;$B82,$F$5:$F$304,"&gt;"&amp;$F$3)-$F$3*COUNTIFS($A$5:$A$304,$A82&amp;"",$B$5:$B$304,"&gt;="&amp;($B82-MOD(WEEKDAY($B82)-$B$3,7)),$B$5:$B$304,"&lt;="&amp;$B82,$F$5:$F$304,"&gt;"&amp;$F$3))-$D$3))),2))</f>
        <v/>
      </c>
      <c r="I82" s="26" t="n"/>
      <c r="J82" s="27">
        <f>IF(AND($A82="",$C82="",$D82=""),"",IF(OR($C82&gt;=1,$D82&gt;=1),"⚠ type the time with a colon: 9:00 AM, not 9",IF(AND($C82&lt;&gt;"",$C82=$D82),"⚠ clock-in equals clock-out: the shift adds 0 h",IF(AND($C82&lt;&gt;"",$D82&lt;&gt;"",IF($E82="",0,$E82)&gt;MOD($D82-$C82,1)*24),"⚠ the break is longer than the shift",IF(AND($A82&lt;&gt;"",COUNTIF('Monthly OT Summary'!$A$6:$A$35,$A82&amp;"")=0),"⚠ name not in Monthly OT Summary: its hours are not added","")))))</f>
        <v/>
      </c>
    </row>
    <row r="83">
      <c r="A83" s="21" t="n"/>
      <c r="B83" s="40" t="n"/>
      <c r="C83" s="41" t="n"/>
      <c r="D83" s="41" t="n"/>
      <c r="E83" s="24" t="n"/>
      <c r="F83" s="8">
        <f>IF(OR($C83="",$D83=""),"",IF(OR($C83&gt;=1,$D83&gt;=1,$C83=$D83,IF($E83="",0,$E83)&gt;MOD($D83-$C83,1)*24),"",ROUND(MOD($D83-$C83,1)*24-IF($E83="",0,$E83),2)))</f>
        <v/>
      </c>
      <c r="G83" s="25" t="n">
        <v>8</v>
      </c>
      <c r="H83" s="8">
        <f>IF(OR($A83="",$B83="",$F83=""),"",ROUND(IF($F$3="",0,MAX(0,$F83-$F$3))+IF($D$3="",0,MIN($F83-IF($F$3="",0,MAX(0,$F83-$F$3)),MAX(0,SUMIFS($F$5:$F$304,$A$5:$A$304,$A83&amp;"",$B$5:$B$304,"&gt;="&amp;($B83-MOD(WEEKDAY($B83)-$B$3,7)),$B$5:$B$304,"&lt;="&amp;$B83)-IF($F$3="",0,SUMIFS($F$5:$F$304,$A$5:$A$304,$A83&amp;"",$B$5:$B$304,"&gt;="&amp;($B83-MOD(WEEKDAY($B83)-$B$3,7)),$B$5:$B$304,"&lt;="&amp;$B83,$F$5:$F$304,"&gt;"&amp;$F$3)-$F$3*COUNTIFS($A$5:$A$304,$A83&amp;"",$B$5:$B$304,"&gt;="&amp;($B83-MOD(WEEKDAY($B83)-$B$3,7)),$B$5:$B$304,"&lt;="&amp;$B83,$F$5:$F$304,"&gt;"&amp;$F$3))-$D$3))),2))</f>
        <v/>
      </c>
      <c r="I83" s="26" t="n"/>
      <c r="J83" s="27">
        <f>IF(AND($A83="",$C83="",$D83=""),"",IF(OR($C83&gt;=1,$D83&gt;=1),"⚠ type the time with a colon: 9:00 AM, not 9",IF(AND($C83&lt;&gt;"",$C83=$D83),"⚠ clock-in equals clock-out: the shift adds 0 h",IF(AND($C83&lt;&gt;"",$D83&lt;&gt;"",IF($E83="",0,$E83)&gt;MOD($D83-$C83,1)*24),"⚠ the break is longer than the shift",IF(AND($A83&lt;&gt;"",COUNTIF('Monthly OT Summary'!$A$6:$A$35,$A83&amp;"")=0),"⚠ name not in Monthly OT Summary: its hours are not added","")))))</f>
        <v/>
      </c>
    </row>
    <row r="84">
      <c r="A84" s="21" t="n"/>
      <c r="B84" s="40" t="n"/>
      <c r="C84" s="41" t="n"/>
      <c r="D84" s="41" t="n"/>
      <c r="E84" s="24" t="n"/>
      <c r="F84" s="8">
        <f>IF(OR($C84="",$D84=""),"",IF(OR($C84&gt;=1,$D84&gt;=1,$C84=$D84,IF($E84="",0,$E84)&gt;MOD($D84-$C84,1)*24),"",ROUND(MOD($D84-$C84,1)*24-IF($E84="",0,$E84),2)))</f>
        <v/>
      </c>
      <c r="G84" s="25" t="n">
        <v>8</v>
      </c>
      <c r="H84" s="8">
        <f>IF(OR($A84="",$B84="",$F84=""),"",ROUND(IF($F$3="",0,MAX(0,$F84-$F$3))+IF($D$3="",0,MIN($F84-IF($F$3="",0,MAX(0,$F84-$F$3)),MAX(0,SUMIFS($F$5:$F$304,$A$5:$A$304,$A84&amp;"",$B$5:$B$304,"&gt;="&amp;($B84-MOD(WEEKDAY($B84)-$B$3,7)),$B$5:$B$304,"&lt;="&amp;$B84)-IF($F$3="",0,SUMIFS($F$5:$F$304,$A$5:$A$304,$A84&amp;"",$B$5:$B$304,"&gt;="&amp;($B84-MOD(WEEKDAY($B84)-$B$3,7)),$B$5:$B$304,"&lt;="&amp;$B84,$F$5:$F$304,"&gt;"&amp;$F$3)-$F$3*COUNTIFS($A$5:$A$304,$A84&amp;"",$B$5:$B$304,"&gt;="&amp;($B84-MOD(WEEKDAY($B84)-$B$3,7)),$B$5:$B$304,"&lt;="&amp;$B84,$F$5:$F$304,"&gt;"&amp;$F$3))-$D$3))),2))</f>
        <v/>
      </c>
      <c r="I84" s="26" t="n"/>
      <c r="J84" s="27">
        <f>IF(AND($A84="",$C84="",$D84=""),"",IF(OR($C84&gt;=1,$D84&gt;=1),"⚠ type the time with a colon: 9:00 AM, not 9",IF(AND($C84&lt;&gt;"",$C84=$D84),"⚠ clock-in equals clock-out: the shift adds 0 h",IF(AND($C84&lt;&gt;"",$D84&lt;&gt;"",IF($E84="",0,$E84)&gt;MOD($D84-$C84,1)*24),"⚠ the break is longer than the shift",IF(AND($A84&lt;&gt;"",COUNTIF('Monthly OT Summary'!$A$6:$A$35,$A84&amp;"")=0),"⚠ name not in Monthly OT Summary: its hours are not added","")))))</f>
        <v/>
      </c>
    </row>
    <row r="85">
      <c r="A85" s="21" t="n"/>
      <c r="B85" s="40" t="n"/>
      <c r="C85" s="41" t="n"/>
      <c r="D85" s="41" t="n"/>
      <c r="E85" s="24" t="n"/>
      <c r="F85" s="8">
        <f>IF(OR($C85="",$D85=""),"",IF(OR($C85&gt;=1,$D85&gt;=1,$C85=$D85,IF($E85="",0,$E85)&gt;MOD($D85-$C85,1)*24),"",ROUND(MOD($D85-$C85,1)*24-IF($E85="",0,$E85),2)))</f>
        <v/>
      </c>
      <c r="G85" s="25" t="n">
        <v>8</v>
      </c>
      <c r="H85" s="8">
        <f>IF(OR($A85="",$B85="",$F85=""),"",ROUND(IF($F$3="",0,MAX(0,$F85-$F$3))+IF($D$3="",0,MIN($F85-IF($F$3="",0,MAX(0,$F85-$F$3)),MAX(0,SUMIFS($F$5:$F$304,$A$5:$A$304,$A85&amp;"",$B$5:$B$304,"&gt;="&amp;($B85-MOD(WEEKDAY($B85)-$B$3,7)),$B$5:$B$304,"&lt;="&amp;$B85)-IF($F$3="",0,SUMIFS($F$5:$F$304,$A$5:$A$304,$A85&amp;"",$B$5:$B$304,"&gt;="&amp;($B85-MOD(WEEKDAY($B85)-$B$3,7)),$B$5:$B$304,"&lt;="&amp;$B85,$F$5:$F$304,"&gt;"&amp;$F$3)-$F$3*COUNTIFS($A$5:$A$304,$A85&amp;"",$B$5:$B$304,"&gt;="&amp;($B85-MOD(WEEKDAY($B85)-$B$3,7)),$B$5:$B$304,"&lt;="&amp;$B85,$F$5:$F$304,"&gt;"&amp;$F$3))-$D$3))),2))</f>
        <v/>
      </c>
      <c r="I85" s="26" t="n"/>
      <c r="J85" s="27">
        <f>IF(AND($A85="",$C85="",$D85=""),"",IF(OR($C85&gt;=1,$D85&gt;=1),"⚠ type the time with a colon: 9:00 AM, not 9",IF(AND($C85&lt;&gt;"",$C85=$D85),"⚠ clock-in equals clock-out: the shift adds 0 h",IF(AND($C85&lt;&gt;"",$D85&lt;&gt;"",IF($E85="",0,$E85)&gt;MOD($D85-$C85,1)*24),"⚠ the break is longer than the shift",IF(AND($A85&lt;&gt;"",COUNTIF('Monthly OT Summary'!$A$6:$A$35,$A85&amp;"")=0),"⚠ name not in Monthly OT Summary: its hours are not added","")))))</f>
        <v/>
      </c>
    </row>
    <row r="86">
      <c r="A86" s="21" t="n"/>
      <c r="B86" s="40" t="n"/>
      <c r="C86" s="41" t="n"/>
      <c r="D86" s="41" t="n"/>
      <c r="E86" s="24" t="n"/>
      <c r="F86" s="8">
        <f>IF(OR($C86="",$D86=""),"",IF(OR($C86&gt;=1,$D86&gt;=1,$C86=$D86,IF($E86="",0,$E86)&gt;MOD($D86-$C86,1)*24),"",ROUND(MOD($D86-$C86,1)*24-IF($E86="",0,$E86),2)))</f>
        <v/>
      </c>
      <c r="G86" s="25" t="n">
        <v>8</v>
      </c>
      <c r="H86" s="8">
        <f>IF(OR($A86="",$B86="",$F86=""),"",ROUND(IF($F$3="",0,MAX(0,$F86-$F$3))+IF($D$3="",0,MIN($F86-IF($F$3="",0,MAX(0,$F86-$F$3)),MAX(0,SUMIFS($F$5:$F$304,$A$5:$A$304,$A86&amp;"",$B$5:$B$304,"&gt;="&amp;($B86-MOD(WEEKDAY($B86)-$B$3,7)),$B$5:$B$304,"&lt;="&amp;$B86)-IF($F$3="",0,SUMIFS($F$5:$F$304,$A$5:$A$304,$A86&amp;"",$B$5:$B$304,"&gt;="&amp;($B86-MOD(WEEKDAY($B86)-$B$3,7)),$B$5:$B$304,"&lt;="&amp;$B86,$F$5:$F$304,"&gt;"&amp;$F$3)-$F$3*COUNTIFS($A$5:$A$304,$A86&amp;"",$B$5:$B$304,"&gt;="&amp;($B86-MOD(WEEKDAY($B86)-$B$3,7)),$B$5:$B$304,"&lt;="&amp;$B86,$F$5:$F$304,"&gt;"&amp;$F$3))-$D$3))),2))</f>
        <v/>
      </c>
      <c r="I86" s="26" t="n"/>
      <c r="J86" s="27">
        <f>IF(AND($A86="",$C86="",$D86=""),"",IF(OR($C86&gt;=1,$D86&gt;=1),"⚠ type the time with a colon: 9:00 AM, not 9",IF(AND($C86&lt;&gt;"",$C86=$D86),"⚠ clock-in equals clock-out: the shift adds 0 h",IF(AND($C86&lt;&gt;"",$D86&lt;&gt;"",IF($E86="",0,$E86)&gt;MOD($D86-$C86,1)*24),"⚠ the break is longer than the shift",IF(AND($A86&lt;&gt;"",COUNTIF('Monthly OT Summary'!$A$6:$A$35,$A86&amp;"")=0),"⚠ name not in Monthly OT Summary: its hours are not added","")))))</f>
        <v/>
      </c>
    </row>
    <row r="87">
      <c r="A87" s="21" t="n"/>
      <c r="B87" s="40" t="n"/>
      <c r="C87" s="41" t="n"/>
      <c r="D87" s="41" t="n"/>
      <c r="E87" s="24" t="n"/>
      <c r="F87" s="8">
        <f>IF(OR($C87="",$D87=""),"",IF(OR($C87&gt;=1,$D87&gt;=1,$C87=$D87,IF($E87="",0,$E87)&gt;MOD($D87-$C87,1)*24),"",ROUND(MOD($D87-$C87,1)*24-IF($E87="",0,$E87),2)))</f>
        <v/>
      </c>
      <c r="G87" s="25" t="n">
        <v>8</v>
      </c>
      <c r="H87" s="8">
        <f>IF(OR($A87="",$B87="",$F87=""),"",ROUND(IF($F$3="",0,MAX(0,$F87-$F$3))+IF($D$3="",0,MIN($F87-IF($F$3="",0,MAX(0,$F87-$F$3)),MAX(0,SUMIFS($F$5:$F$304,$A$5:$A$304,$A87&amp;"",$B$5:$B$304,"&gt;="&amp;($B87-MOD(WEEKDAY($B87)-$B$3,7)),$B$5:$B$304,"&lt;="&amp;$B87)-IF($F$3="",0,SUMIFS($F$5:$F$304,$A$5:$A$304,$A87&amp;"",$B$5:$B$304,"&gt;="&amp;($B87-MOD(WEEKDAY($B87)-$B$3,7)),$B$5:$B$304,"&lt;="&amp;$B87,$F$5:$F$304,"&gt;"&amp;$F$3)-$F$3*COUNTIFS($A$5:$A$304,$A87&amp;"",$B$5:$B$304,"&gt;="&amp;($B87-MOD(WEEKDAY($B87)-$B$3,7)),$B$5:$B$304,"&lt;="&amp;$B87,$F$5:$F$304,"&gt;"&amp;$F$3))-$D$3))),2))</f>
        <v/>
      </c>
      <c r="I87" s="26" t="n"/>
      <c r="J87" s="27">
        <f>IF(AND($A87="",$C87="",$D87=""),"",IF(OR($C87&gt;=1,$D87&gt;=1),"⚠ type the time with a colon: 9:00 AM, not 9",IF(AND($C87&lt;&gt;"",$C87=$D87),"⚠ clock-in equals clock-out: the shift adds 0 h",IF(AND($C87&lt;&gt;"",$D87&lt;&gt;"",IF($E87="",0,$E87)&gt;MOD($D87-$C87,1)*24),"⚠ the break is longer than the shift",IF(AND($A87&lt;&gt;"",COUNTIF('Monthly OT Summary'!$A$6:$A$35,$A87&amp;"")=0),"⚠ name not in Monthly OT Summary: its hours are not added","")))))</f>
        <v/>
      </c>
    </row>
    <row r="88">
      <c r="A88" s="21" t="n"/>
      <c r="B88" s="40" t="n"/>
      <c r="C88" s="41" t="n"/>
      <c r="D88" s="41" t="n"/>
      <c r="E88" s="24" t="n"/>
      <c r="F88" s="8">
        <f>IF(OR($C88="",$D88=""),"",IF(OR($C88&gt;=1,$D88&gt;=1,$C88=$D88,IF($E88="",0,$E88)&gt;MOD($D88-$C88,1)*24),"",ROUND(MOD($D88-$C88,1)*24-IF($E88="",0,$E88),2)))</f>
        <v/>
      </c>
      <c r="G88" s="25" t="n">
        <v>8</v>
      </c>
      <c r="H88" s="8">
        <f>IF(OR($A88="",$B88="",$F88=""),"",ROUND(IF($F$3="",0,MAX(0,$F88-$F$3))+IF($D$3="",0,MIN($F88-IF($F$3="",0,MAX(0,$F88-$F$3)),MAX(0,SUMIFS($F$5:$F$304,$A$5:$A$304,$A88&amp;"",$B$5:$B$304,"&gt;="&amp;($B88-MOD(WEEKDAY($B88)-$B$3,7)),$B$5:$B$304,"&lt;="&amp;$B88)-IF($F$3="",0,SUMIFS($F$5:$F$304,$A$5:$A$304,$A88&amp;"",$B$5:$B$304,"&gt;="&amp;($B88-MOD(WEEKDAY($B88)-$B$3,7)),$B$5:$B$304,"&lt;="&amp;$B88,$F$5:$F$304,"&gt;"&amp;$F$3)-$F$3*COUNTIFS($A$5:$A$304,$A88&amp;"",$B$5:$B$304,"&gt;="&amp;($B88-MOD(WEEKDAY($B88)-$B$3,7)),$B$5:$B$304,"&lt;="&amp;$B88,$F$5:$F$304,"&gt;"&amp;$F$3))-$D$3))),2))</f>
        <v/>
      </c>
      <c r="I88" s="26" t="n"/>
      <c r="J88" s="27">
        <f>IF(AND($A88="",$C88="",$D88=""),"",IF(OR($C88&gt;=1,$D88&gt;=1),"⚠ type the time with a colon: 9:00 AM, not 9",IF(AND($C88&lt;&gt;"",$C88=$D88),"⚠ clock-in equals clock-out: the shift adds 0 h",IF(AND($C88&lt;&gt;"",$D88&lt;&gt;"",IF($E88="",0,$E88)&gt;MOD($D88-$C88,1)*24),"⚠ the break is longer than the shift",IF(AND($A88&lt;&gt;"",COUNTIF('Monthly OT Summary'!$A$6:$A$35,$A88&amp;"")=0),"⚠ name not in Monthly OT Summary: its hours are not added","")))))</f>
        <v/>
      </c>
    </row>
    <row r="89">
      <c r="A89" s="21" t="n"/>
      <c r="B89" s="40" t="n"/>
      <c r="C89" s="41" t="n"/>
      <c r="D89" s="41" t="n"/>
      <c r="E89" s="24" t="n"/>
      <c r="F89" s="8">
        <f>IF(OR($C89="",$D89=""),"",IF(OR($C89&gt;=1,$D89&gt;=1,$C89=$D89,IF($E89="",0,$E89)&gt;MOD($D89-$C89,1)*24),"",ROUND(MOD($D89-$C89,1)*24-IF($E89="",0,$E89),2)))</f>
        <v/>
      </c>
      <c r="G89" s="25" t="n">
        <v>8</v>
      </c>
      <c r="H89" s="8">
        <f>IF(OR($A89="",$B89="",$F89=""),"",ROUND(IF($F$3="",0,MAX(0,$F89-$F$3))+IF($D$3="",0,MIN($F89-IF($F$3="",0,MAX(0,$F89-$F$3)),MAX(0,SUMIFS($F$5:$F$304,$A$5:$A$304,$A89&amp;"",$B$5:$B$304,"&gt;="&amp;($B89-MOD(WEEKDAY($B89)-$B$3,7)),$B$5:$B$304,"&lt;="&amp;$B89)-IF($F$3="",0,SUMIFS($F$5:$F$304,$A$5:$A$304,$A89&amp;"",$B$5:$B$304,"&gt;="&amp;($B89-MOD(WEEKDAY($B89)-$B$3,7)),$B$5:$B$304,"&lt;="&amp;$B89,$F$5:$F$304,"&gt;"&amp;$F$3)-$F$3*COUNTIFS($A$5:$A$304,$A89&amp;"",$B$5:$B$304,"&gt;="&amp;($B89-MOD(WEEKDAY($B89)-$B$3,7)),$B$5:$B$304,"&lt;="&amp;$B89,$F$5:$F$304,"&gt;"&amp;$F$3))-$D$3))),2))</f>
        <v/>
      </c>
      <c r="I89" s="26" t="n"/>
      <c r="J89" s="27">
        <f>IF(AND($A89="",$C89="",$D89=""),"",IF(OR($C89&gt;=1,$D89&gt;=1),"⚠ type the time with a colon: 9:00 AM, not 9",IF(AND($C89&lt;&gt;"",$C89=$D89),"⚠ clock-in equals clock-out: the shift adds 0 h",IF(AND($C89&lt;&gt;"",$D89&lt;&gt;"",IF($E89="",0,$E89)&gt;MOD($D89-$C89,1)*24),"⚠ the break is longer than the shift",IF(AND($A89&lt;&gt;"",COUNTIF('Monthly OT Summary'!$A$6:$A$35,$A89&amp;"")=0),"⚠ name not in Monthly OT Summary: its hours are not added","")))))</f>
        <v/>
      </c>
    </row>
    <row r="90">
      <c r="A90" s="21" t="n"/>
      <c r="B90" s="40" t="n"/>
      <c r="C90" s="41" t="n"/>
      <c r="D90" s="41" t="n"/>
      <c r="E90" s="24" t="n"/>
      <c r="F90" s="8">
        <f>IF(OR($C90="",$D90=""),"",IF(OR($C90&gt;=1,$D90&gt;=1,$C90=$D90,IF($E90="",0,$E90)&gt;MOD($D90-$C90,1)*24),"",ROUND(MOD($D90-$C90,1)*24-IF($E90="",0,$E90),2)))</f>
        <v/>
      </c>
      <c r="G90" s="25" t="n">
        <v>8</v>
      </c>
      <c r="H90" s="8">
        <f>IF(OR($A90="",$B90="",$F90=""),"",ROUND(IF($F$3="",0,MAX(0,$F90-$F$3))+IF($D$3="",0,MIN($F90-IF($F$3="",0,MAX(0,$F90-$F$3)),MAX(0,SUMIFS($F$5:$F$304,$A$5:$A$304,$A90&amp;"",$B$5:$B$304,"&gt;="&amp;($B90-MOD(WEEKDAY($B90)-$B$3,7)),$B$5:$B$304,"&lt;="&amp;$B90)-IF($F$3="",0,SUMIFS($F$5:$F$304,$A$5:$A$304,$A90&amp;"",$B$5:$B$304,"&gt;="&amp;($B90-MOD(WEEKDAY($B90)-$B$3,7)),$B$5:$B$304,"&lt;="&amp;$B90,$F$5:$F$304,"&gt;"&amp;$F$3)-$F$3*COUNTIFS($A$5:$A$304,$A90&amp;"",$B$5:$B$304,"&gt;="&amp;($B90-MOD(WEEKDAY($B90)-$B$3,7)),$B$5:$B$304,"&lt;="&amp;$B90,$F$5:$F$304,"&gt;"&amp;$F$3))-$D$3))),2))</f>
        <v/>
      </c>
      <c r="I90" s="26" t="n"/>
      <c r="J90" s="27">
        <f>IF(AND($A90="",$C90="",$D90=""),"",IF(OR($C90&gt;=1,$D90&gt;=1),"⚠ type the time with a colon: 9:00 AM, not 9",IF(AND($C90&lt;&gt;"",$C90=$D90),"⚠ clock-in equals clock-out: the shift adds 0 h",IF(AND($C90&lt;&gt;"",$D90&lt;&gt;"",IF($E90="",0,$E90)&gt;MOD($D90-$C90,1)*24),"⚠ the break is longer than the shift",IF(AND($A90&lt;&gt;"",COUNTIF('Monthly OT Summary'!$A$6:$A$35,$A90&amp;"")=0),"⚠ name not in Monthly OT Summary: its hours are not added","")))))</f>
        <v/>
      </c>
    </row>
    <row r="91">
      <c r="A91" s="21" t="n"/>
      <c r="B91" s="40" t="n"/>
      <c r="C91" s="41" t="n"/>
      <c r="D91" s="41" t="n"/>
      <c r="E91" s="24" t="n"/>
      <c r="F91" s="8">
        <f>IF(OR($C91="",$D91=""),"",IF(OR($C91&gt;=1,$D91&gt;=1,$C91=$D91,IF($E91="",0,$E91)&gt;MOD($D91-$C91,1)*24),"",ROUND(MOD($D91-$C91,1)*24-IF($E91="",0,$E91),2)))</f>
        <v/>
      </c>
      <c r="G91" s="25" t="n">
        <v>8</v>
      </c>
      <c r="H91" s="8">
        <f>IF(OR($A91="",$B91="",$F91=""),"",ROUND(IF($F$3="",0,MAX(0,$F91-$F$3))+IF($D$3="",0,MIN($F91-IF($F$3="",0,MAX(0,$F91-$F$3)),MAX(0,SUMIFS($F$5:$F$304,$A$5:$A$304,$A91&amp;"",$B$5:$B$304,"&gt;="&amp;($B91-MOD(WEEKDAY($B91)-$B$3,7)),$B$5:$B$304,"&lt;="&amp;$B91)-IF($F$3="",0,SUMIFS($F$5:$F$304,$A$5:$A$304,$A91&amp;"",$B$5:$B$304,"&gt;="&amp;($B91-MOD(WEEKDAY($B91)-$B$3,7)),$B$5:$B$304,"&lt;="&amp;$B91,$F$5:$F$304,"&gt;"&amp;$F$3)-$F$3*COUNTIFS($A$5:$A$304,$A91&amp;"",$B$5:$B$304,"&gt;="&amp;($B91-MOD(WEEKDAY($B91)-$B$3,7)),$B$5:$B$304,"&lt;="&amp;$B91,$F$5:$F$304,"&gt;"&amp;$F$3))-$D$3))),2))</f>
        <v/>
      </c>
      <c r="I91" s="26" t="n"/>
      <c r="J91" s="27">
        <f>IF(AND($A91="",$C91="",$D91=""),"",IF(OR($C91&gt;=1,$D91&gt;=1),"⚠ type the time with a colon: 9:00 AM, not 9",IF(AND($C91&lt;&gt;"",$C91=$D91),"⚠ clock-in equals clock-out: the shift adds 0 h",IF(AND($C91&lt;&gt;"",$D91&lt;&gt;"",IF($E91="",0,$E91)&gt;MOD($D91-$C91,1)*24),"⚠ the break is longer than the shift",IF(AND($A91&lt;&gt;"",COUNTIF('Monthly OT Summary'!$A$6:$A$35,$A91&amp;"")=0),"⚠ name not in Monthly OT Summary: its hours are not added","")))))</f>
        <v/>
      </c>
    </row>
    <row r="92">
      <c r="A92" s="21" t="n"/>
      <c r="B92" s="40" t="n"/>
      <c r="C92" s="41" t="n"/>
      <c r="D92" s="41" t="n"/>
      <c r="E92" s="24" t="n"/>
      <c r="F92" s="8">
        <f>IF(OR($C92="",$D92=""),"",IF(OR($C92&gt;=1,$D92&gt;=1,$C92=$D92,IF($E92="",0,$E92)&gt;MOD($D92-$C92,1)*24),"",ROUND(MOD($D92-$C92,1)*24-IF($E92="",0,$E92),2)))</f>
        <v/>
      </c>
      <c r="G92" s="25" t="n">
        <v>8</v>
      </c>
      <c r="H92" s="8">
        <f>IF(OR($A92="",$B92="",$F92=""),"",ROUND(IF($F$3="",0,MAX(0,$F92-$F$3))+IF($D$3="",0,MIN($F92-IF($F$3="",0,MAX(0,$F92-$F$3)),MAX(0,SUMIFS($F$5:$F$304,$A$5:$A$304,$A92&amp;"",$B$5:$B$304,"&gt;="&amp;($B92-MOD(WEEKDAY($B92)-$B$3,7)),$B$5:$B$304,"&lt;="&amp;$B92)-IF($F$3="",0,SUMIFS($F$5:$F$304,$A$5:$A$304,$A92&amp;"",$B$5:$B$304,"&gt;="&amp;($B92-MOD(WEEKDAY($B92)-$B$3,7)),$B$5:$B$304,"&lt;="&amp;$B92,$F$5:$F$304,"&gt;"&amp;$F$3)-$F$3*COUNTIFS($A$5:$A$304,$A92&amp;"",$B$5:$B$304,"&gt;="&amp;($B92-MOD(WEEKDAY($B92)-$B$3,7)),$B$5:$B$304,"&lt;="&amp;$B92,$F$5:$F$304,"&gt;"&amp;$F$3))-$D$3))),2))</f>
        <v/>
      </c>
      <c r="I92" s="26" t="n"/>
      <c r="J92" s="27">
        <f>IF(AND($A92="",$C92="",$D92=""),"",IF(OR($C92&gt;=1,$D92&gt;=1),"⚠ type the time with a colon: 9:00 AM, not 9",IF(AND($C92&lt;&gt;"",$C92=$D92),"⚠ clock-in equals clock-out: the shift adds 0 h",IF(AND($C92&lt;&gt;"",$D92&lt;&gt;"",IF($E92="",0,$E92)&gt;MOD($D92-$C92,1)*24),"⚠ the break is longer than the shift",IF(AND($A92&lt;&gt;"",COUNTIF('Monthly OT Summary'!$A$6:$A$35,$A92&amp;"")=0),"⚠ name not in Monthly OT Summary: its hours are not added","")))))</f>
        <v/>
      </c>
    </row>
    <row r="93">
      <c r="A93" s="21" t="n"/>
      <c r="B93" s="40" t="n"/>
      <c r="C93" s="41" t="n"/>
      <c r="D93" s="41" t="n"/>
      <c r="E93" s="24" t="n"/>
      <c r="F93" s="8">
        <f>IF(OR($C93="",$D93=""),"",IF(OR($C93&gt;=1,$D93&gt;=1,$C93=$D93,IF($E93="",0,$E93)&gt;MOD($D93-$C93,1)*24),"",ROUND(MOD($D93-$C93,1)*24-IF($E93="",0,$E93),2)))</f>
        <v/>
      </c>
      <c r="G93" s="25" t="n">
        <v>8</v>
      </c>
      <c r="H93" s="8">
        <f>IF(OR($A93="",$B93="",$F93=""),"",ROUND(IF($F$3="",0,MAX(0,$F93-$F$3))+IF($D$3="",0,MIN($F93-IF($F$3="",0,MAX(0,$F93-$F$3)),MAX(0,SUMIFS($F$5:$F$304,$A$5:$A$304,$A93&amp;"",$B$5:$B$304,"&gt;="&amp;($B93-MOD(WEEKDAY($B93)-$B$3,7)),$B$5:$B$304,"&lt;="&amp;$B93)-IF($F$3="",0,SUMIFS($F$5:$F$304,$A$5:$A$304,$A93&amp;"",$B$5:$B$304,"&gt;="&amp;($B93-MOD(WEEKDAY($B93)-$B$3,7)),$B$5:$B$304,"&lt;="&amp;$B93,$F$5:$F$304,"&gt;"&amp;$F$3)-$F$3*COUNTIFS($A$5:$A$304,$A93&amp;"",$B$5:$B$304,"&gt;="&amp;($B93-MOD(WEEKDAY($B93)-$B$3,7)),$B$5:$B$304,"&lt;="&amp;$B93,$F$5:$F$304,"&gt;"&amp;$F$3))-$D$3))),2))</f>
        <v/>
      </c>
      <c r="I93" s="26" t="n"/>
      <c r="J93" s="27">
        <f>IF(AND($A93="",$C93="",$D93=""),"",IF(OR($C93&gt;=1,$D93&gt;=1),"⚠ type the time with a colon: 9:00 AM, not 9",IF(AND($C93&lt;&gt;"",$C93=$D93),"⚠ clock-in equals clock-out: the shift adds 0 h",IF(AND($C93&lt;&gt;"",$D93&lt;&gt;"",IF($E93="",0,$E93)&gt;MOD($D93-$C93,1)*24),"⚠ the break is longer than the shift",IF(AND($A93&lt;&gt;"",COUNTIF('Monthly OT Summary'!$A$6:$A$35,$A93&amp;"")=0),"⚠ name not in Monthly OT Summary: its hours are not added","")))))</f>
        <v/>
      </c>
    </row>
    <row r="94">
      <c r="A94" s="21" t="n"/>
      <c r="B94" s="40" t="n"/>
      <c r="C94" s="41" t="n"/>
      <c r="D94" s="41" t="n"/>
      <c r="E94" s="24" t="n"/>
      <c r="F94" s="8">
        <f>IF(OR($C94="",$D94=""),"",IF(OR($C94&gt;=1,$D94&gt;=1,$C94=$D94,IF($E94="",0,$E94)&gt;MOD($D94-$C94,1)*24),"",ROUND(MOD($D94-$C94,1)*24-IF($E94="",0,$E94),2)))</f>
        <v/>
      </c>
      <c r="G94" s="25" t="n">
        <v>8</v>
      </c>
      <c r="H94" s="8">
        <f>IF(OR($A94="",$B94="",$F94=""),"",ROUND(IF($F$3="",0,MAX(0,$F94-$F$3))+IF($D$3="",0,MIN($F94-IF($F$3="",0,MAX(0,$F94-$F$3)),MAX(0,SUMIFS($F$5:$F$304,$A$5:$A$304,$A94&amp;"",$B$5:$B$304,"&gt;="&amp;($B94-MOD(WEEKDAY($B94)-$B$3,7)),$B$5:$B$304,"&lt;="&amp;$B94)-IF($F$3="",0,SUMIFS($F$5:$F$304,$A$5:$A$304,$A94&amp;"",$B$5:$B$304,"&gt;="&amp;($B94-MOD(WEEKDAY($B94)-$B$3,7)),$B$5:$B$304,"&lt;="&amp;$B94,$F$5:$F$304,"&gt;"&amp;$F$3)-$F$3*COUNTIFS($A$5:$A$304,$A94&amp;"",$B$5:$B$304,"&gt;="&amp;($B94-MOD(WEEKDAY($B94)-$B$3,7)),$B$5:$B$304,"&lt;="&amp;$B94,$F$5:$F$304,"&gt;"&amp;$F$3))-$D$3))),2))</f>
        <v/>
      </c>
      <c r="I94" s="26" t="n"/>
      <c r="J94" s="27">
        <f>IF(AND($A94="",$C94="",$D94=""),"",IF(OR($C94&gt;=1,$D94&gt;=1),"⚠ type the time with a colon: 9:00 AM, not 9",IF(AND($C94&lt;&gt;"",$C94=$D94),"⚠ clock-in equals clock-out: the shift adds 0 h",IF(AND($C94&lt;&gt;"",$D94&lt;&gt;"",IF($E94="",0,$E94)&gt;MOD($D94-$C94,1)*24),"⚠ the break is longer than the shift",IF(AND($A94&lt;&gt;"",COUNTIF('Monthly OT Summary'!$A$6:$A$35,$A94&amp;"")=0),"⚠ name not in Monthly OT Summary: its hours are not added","")))))</f>
        <v/>
      </c>
    </row>
    <row r="95">
      <c r="A95" s="21" t="n"/>
      <c r="B95" s="40" t="n"/>
      <c r="C95" s="41" t="n"/>
      <c r="D95" s="41" t="n"/>
      <c r="E95" s="24" t="n"/>
      <c r="F95" s="8">
        <f>IF(OR($C95="",$D95=""),"",IF(OR($C95&gt;=1,$D95&gt;=1,$C95=$D95,IF($E95="",0,$E95)&gt;MOD($D95-$C95,1)*24),"",ROUND(MOD($D95-$C95,1)*24-IF($E95="",0,$E95),2)))</f>
        <v/>
      </c>
      <c r="G95" s="25" t="n">
        <v>8</v>
      </c>
      <c r="H95" s="8">
        <f>IF(OR($A95="",$B95="",$F95=""),"",ROUND(IF($F$3="",0,MAX(0,$F95-$F$3))+IF($D$3="",0,MIN($F95-IF($F$3="",0,MAX(0,$F95-$F$3)),MAX(0,SUMIFS($F$5:$F$304,$A$5:$A$304,$A95&amp;"",$B$5:$B$304,"&gt;="&amp;($B95-MOD(WEEKDAY($B95)-$B$3,7)),$B$5:$B$304,"&lt;="&amp;$B95)-IF($F$3="",0,SUMIFS($F$5:$F$304,$A$5:$A$304,$A95&amp;"",$B$5:$B$304,"&gt;="&amp;($B95-MOD(WEEKDAY($B95)-$B$3,7)),$B$5:$B$304,"&lt;="&amp;$B95,$F$5:$F$304,"&gt;"&amp;$F$3)-$F$3*COUNTIFS($A$5:$A$304,$A95&amp;"",$B$5:$B$304,"&gt;="&amp;($B95-MOD(WEEKDAY($B95)-$B$3,7)),$B$5:$B$304,"&lt;="&amp;$B95,$F$5:$F$304,"&gt;"&amp;$F$3))-$D$3))),2))</f>
        <v/>
      </c>
      <c r="I95" s="26" t="n"/>
      <c r="J95" s="27">
        <f>IF(AND($A95="",$C95="",$D95=""),"",IF(OR($C95&gt;=1,$D95&gt;=1),"⚠ type the time with a colon: 9:00 AM, not 9",IF(AND($C95&lt;&gt;"",$C95=$D95),"⚠ clock-in equals clock-out: the shift adds 0 h",IF(AND($C95&lt;&gt;"",$D95&lt;&gt;"",IF($E95="",0,$E95)&gt;MOD($D95-$C95,1)*24),"⚠ the break is longer than the shift",IF(AND($A95&lt;&gt;"",COUNTIF('Monthly OT Summary'!$A$6:$A$35,$A95&amp;"")=0),"⚠ name not in Monthly OT Summary: its hours are not added","")))))</f>
        <v/>
      </c>
    </row>
    <row r="96">
      <c r="A96" s="21" t="n"/>
      <c r="B96" s="40" t="n"/>
      <c r="C96" s="41" t="n"/>
      <c r="D96" s="41" t="n"/>
      <c r="E96" s="24" t="n"/>
      <c r="F96" s="8">
        <f>IF(OR($C96="",$D96=""),"",IF(OR($C96&gt;=1,$D96&gt;=1,$C96=$D96,IF($E96="",0,$E96)&gt;MOD($D96-$C96,1)*24),"",ROUND(MOD($D96-$C96,1)*24-IF($E96="",0,$E96),2)))</f>
        <v/>
      </c>
      <c r="G96" s="25" t="n">
        <v>8</v>
      </c>
      <c r="H96" s="8">
        <f>IF(OR($A96="",$B96="",$F96=""),"",ROUND(IF($F$3="",0,MAX(0,$F96-$F$3))+IF($D$3="",0,MIN($F96-IF($F$3="",0,MAX(0,$F96-$F$3)),MAX(0,SUMIFS($F$5:$F$304,$A$5:$A$304,$A96&amp;"",$B$5:$B$304,"&gt;="&amp;($B96-MOD(WEEKDAY($B96)-$B$3,7)),$B$5:$B$304,"&lt;="&amp;$B96)-IF($F$3="",0,SUMIFS($F$5:$F$304,$A$5:$A$304,$A96&amp;"",$B$5:$B$304,"&gt;="&amp;($B96-MOD(WEEKDAY($B96)-$B$3,7)),$B$5:$B$304,"&lt;="&amp;$B96,$F$5:$F$304,"&gt;"&amp;$F$3)-$F$3*COUNTIFS($A$5:$A$304,$A96&amp;"",$B$5:$B$304,"&gt;="&amp;($B96-MOD(WEEKDAY($B96)-$B$3,7)),$B$5:$B$304,"&lt;="&amp;$B96,$F$5:$F$304,"&gt;"&amp;$F$3))-$D$3))),2))</f>
        <v/>
      </c>
      <c r="I96" s="26" t="n"/>
      <c r="J96" s="27">
        <f>IF(AND($A96="",$C96="",$D96=""),"",IF(OR($C96&gt;=1,$D96&gt;=1),"⚠ type the time with a colon: 9:00 AM, not 9",IF(AND($C96&lt;&gt;"",$C96=$D96),"⚠ clock-in equals clock-out: the shift adds 0 h",IF(AND($C96&lt;&gt;"",$D96&lt;&gt;"",IF($E96="",0,$E96)&gt;MOD($D96-$C96,1)*24),"⚠ the break is longer than the shift",IF(AND($A96&lt;&gt;"",COUNTIF('Monthly OT Summary'!$A$6:$A$35,$A96&amp;"")=0),"⚠ name not in Monthly OT Summary: its hours are not added","")))))</f>
        <v/>
      </c>
    </row>
    <row r="97">
      <c r="A97" s="21" t="n"/>
      <c r="B97" s="40" t="n"/>
      <c r="C97" s="41" t="n"/>
      <c r="D97" s="41" t="n"/>
      <c r="E97" s="24" t="n"/>
      <c r="F97" s="8">
        <f>IF(OR($C97="",$D97=""),"",IF(OR($C97&gt;=1,$D97&gt;=1,$C97=$D97,IF($E97="",0,$E97)&gt;MOD($D97-$C97,1)*24),"",ROUND(MOD($D97-$C97,1)*24-IF($E97="",0,$E97),2)))</f>
        <v/>
      </c>
      <c r="G97" s="25" t="n">
        <v>8</v>
      </c>
      <c r="H97" s="8">
        <f>IF(OR($A97="",$B97="",$F97=""),"",ROUND(IF($F$3="",0,MAX(0,$F97-$F$3))+IF($D$3="",0,MIN($F97-IF($F$3="",0,MAX(0,$F97-$F$3)),MAX(0,SUMIFS($F$5:$F$304,$A$5:$A$304,$A97&amp;"",$B$5:$B$304,"&gt;="&amp;($B97-MOD(WEEKDAY($B97)-$B$3,7)),$B$5:$B$304,"&lt;="&amp;$B97)-IF($F$3="",0,SUMIFS($F$5:$F$304,$A$5:$A$304,$A97&amp;"",$B$5:$B$304,"&gt;="&amp;($B97-MOD(WEEKDAY($B97)-$B$3,7)),$B$5:$B$304,"&lt;="&amp;$B97,$F$5:$F$304,"&gt;"&amp;$F$3)-$F$3*COUNTIFS($A$5:$A$304,$A97&amp;"",$B$5:$B$304,"&gt;="&amp;($B97-MOD(WEEKDAY($B97)-$B$3,7)),$B$5:$B$304,"&lt;="&amp;$B97,$F$5:$F$304,"&gt;"&amp;$F$3))-$D$3))),2))</f>
        <v/>
      </c>
      <c r="I97" s="26" t="n"/>
      <c r="J97" s="27">
        <f>IF(AND($A97="",$C97="",$D97=""),"",IF(OR($C97&gt;=1,$D97&gt;=1),"⚠ type the time with a colon: 9:00 AM, not 9",IF(AND($C97&lt;&gt;"",$C97=$D97),"⚠ clock-in equals clock-out: the shift adds 0 h",IF(AND($C97&lt;&gt;"",$D97&lt;&gt;"",IF($E97="",0,$E97)&gt;MOD($D97-$C97,1)*24),"⚠ the break is longer than the shift",IF(AND($A97&lt;&gt;"",COUNTIF('Monthly OT Summary'!$A$6:$A$35,$A97&amp;"")=0),"⚠ name not in Monthly OT Summary: its hours are not added","")))))</f>
        <v/>
      </c>
    </row>
    <row r="98">
      <c r="A98" s="21" t="n"/>
      <c r="B98" s="40" t="n"/>
      <c r="C98" s="41" t="n"/>
      <c r="D98" s="41" t="n"/>
      <c r="E98" s="24" t="n"/>
      <c r="F98" s="8">
        <f>IF(OR($C98="",$D98=""),"",IF(OR($C98&gt;=1,$D98&gt;=1,$C98=$D98,IF($E98="",0,$E98)&gt;MOD($D98-$C98,1)*24),"",ROUND(MOD($D98-$C98,1)*24-IF($E98="",0,$E98),2)))</f>
        <v/>
      </c>
      <c r="G98" s="25" t="n">
        <v>8</v>
      </c>
      <c r="H98" s="8">
        <f>IF(OR($A98="",$B98="",$F98=""),"",ROUND(IF($F$3="",0,MAX(0,$F98-$F$3))+IF($D$3="",0,MIN($F98-IF($F$3="",0,MAX(0,$F98-$F$3)),MAX(0,SUMIFS($F$5:$F$304,$A$5:$A$304,$A98&amp;"",$B$5:$B$304,"&gt;="&amp;($B98-MOD(WEEKDAY($B98)-$B$3,7)),$B$5:$B$304,"&lt;="&amp;$B98)-IF($F$3="",0,SUMIFS($F$5:$F$304,$A$5:$A$304,$A98&amp;"",$B$5:$B$304,"&gt;="&amp;($B98-MOD(WEEKDAY($B98)-$B$3,7)),$B$5:$B$304,"&lt;="&amp;$B98,$F$5:$F$304,"&gt;"&amp;$F$3)-$F$3*COUNTIFS($A$5:$A$304,$A98&amp;"",$B$5:$B$304,"&gt;="&amp;($B98-MOD(WEEKDAY($B98)-$B$3,7)),$B$5:$B$304,"&lt;="&amp;$B98,$F$5:$F$304,"&gt;"&amp;$F$3))-$D$3))),2))</f>
        <v/>
      </c>
      <c r="I98" s="26" t="n"/>
      <c r="J98" s="27">
        <f>IF(AND($A98="",$C98="",$D98=""),"",IF(OR($C98&gt;=1,$D98&gt;=1),"⚠ type the time with a colon: 9:00 AM, not 9",IF(AND($C98&lt;&gt;"",$C98=$D98),"⚠ clock-in equals clock-out: the shift adds 0 h",IF(AND($C98&lt;&gt;"",$D98&lt;&gt;"",IF($E98="",0,$E98)&gt;MOD($D98-$C98,1)*24),"⚠ the break is longer than the shift",IF(AND($A98&lt;&gt;"",COUNTIF('Monthly OT Summary'!$A$6:$A$35,$A98&amp;"")=0),"⚠ name not in Monthly OT Summary: its hours are not added","")))))</f>
        <v/>
      </c>
    </row>
    <row r="99">
      <c r="A99" s="21" t="n"/>
      <c r="B99" s="40" t="n"/>
      <c r="C99" s="41" t="n"/>
      <c r="D99" s="41" t="n"/>
      <c r="E99" s="24" t="n"/>
      <c r="F99" s="8">
        <f>IF(OR($C99="",$D99=""),"",IF(OR($C99&gt;=1,$D99&gt;=1,$C99=$D99,IF($E99="",0,$E99)&gt;MOD($D99-$C99,1)*24),"",ROUND(MOD($D99-$C99,1)*24-IF($E99="",0,$E99),2)))</f>
        <v/>
      </c>
      <c r="G99" s="25" t="n">
        <v>8</v>
      </c>
      <c r="H99" s="8">
        <f>IF(OR($A99="",$B99="",$F99=""),"",ROUND(IF($F$3="",0,MAX(0,$F99-$F$3))+IF($D$3="",0,MIN($F99-IF($F$3="",0,MAX(0,$F99-$F$3)),MAX(0,SUMIFS($F$5:$F$304,$A$5:$A$304,$A99&amp;"",$B$5:$B$304,"&gt;="&amp;($B99-MOD(WEEKDAY($B99)-$B$3,7)),$B$5:$B$304,"&lt;="&amp;$B99)-IF($F$3="",0,SUMIFS($F$5:$F$304,$A$5:$A$304,$A99&amp;"",$B$5:$B$304,"&gt;="&amp;($B99-MOD(WEEKDAY($B99)-$B$3,7)),$B$5:$B$304,"&lt;="&amp;$B99,$F$5:$F$304,"&gt;"&amp;$F$3)-$F$3*COUNTIFS($A$5:$A$304,$A99&amp;"",$B$5:$B$304,"&gt;="&amp;($B99-MOD(WEEKDAY($B99)-$B$3,7)),$B$5:$B$304,"&lt;="&amp;$B99,$F$5:$F$304,"&gt;"&amp;$F$3))-$D$3))),2))</f>
        <v/>
      </c>
      <c r="I99" s="26" t="n"/>
      <c r="J99" s="27">
        <f>IF(AND($A99="",$C99="",$D99=""),"",IF(OR($C99&gt;=1,$D99&gt;=1),"⚠ type the time with a colon: 9:00 AM, not 9",IF(AND($C99&lt;&gt;"",$C99=$D99),"⚠ clock-in equals clock-out: the shift adds 0 h",IF(AND($C99&lt;&gt;"",$D99&lt;&gt;"",IF($E99="",0,$E99)&gt;MOD($D99-$C99,1)*24),"⚠ the break is longer than the shift",IF(AND($A99&lt;&gt;"",COUNTIF('Monthly OT Summary'!$A$6:$A$35,$A99&amp;"")=0),"⚠ name not in Monthly OT Summary: its hours are not added","")))))</f>
        <v/>
      </c>
    </row>
    <row r="100">
      <c r="A100" s="21" t="n"/>
      <c r="B100" s="40" t="n"/>
      <c r="C100" s="41" t="n"/>
      <c r="D100" s="41" t="n"/>
      <c r="E100" s="24" t="n"/>
      <c r="F100" s="8">
        <f>IF(OR($C100="",$D100=""),"",IF(OR($C100&gt;=1,$D100&gt;=1,$C100=$D100,IF($E100="",0,$E100)&gt;MOD($D100-$C100,1)*24),"",ROUND(MOD($D100-$C100,1)*24-IF($E100="",0,$E100),2)))</f>
        <v/>
      </c>
      <c r="G100" s="25" t="n">
        <v>8</v>
      </c>
      <c r="H100" s="8">
        <f>IF(OR($A100="",$B100="",$F100=""),"",ROUND(IF($F$3="",0,MAX(0,$F100-$F$3))+IF($D$3="",0,MIN($F100-IF($F$3="",0,MAX(0,$F100-$F$3)),MAX(0,SUMIFS($F$5:$F$304,$A$5:$A$304,$A100&amp;"",$B$5:$B$304,"&gt;="&amp;($B100-MOD(WEEKDAY($B100)-$B$3,7)),$B$5:$B$304,"&lt;="&amp;$B100)-IF($F$3="",0,SUMIFS($F$5:$F$304,$A$5:$A$304,$A100&amp;"",$B$5:$B$304,"&gt;="&amp;($B100-MOD(WEEKDAY($B100)-$B$3,7)),$B$5:$B$304,"&lt;="&amp;$B100,$F$5:$F$304,"&gt;"&amp;$F$3)-$F$3*COUNTIFS($A$5:$A$304,$A100&amp;"",$B$5:$B$304,"&gt;="&amp;($B100-MOD(WEEKDAY($B100)-$B$3,7)),$B$5:$B$304,"&lt;="&amp;$B100,$F$5:$F$304,"&gt;"&amp;$F$3))-$D$3))),2))</f>
        <v/>
      </c>
      <c r="I100" s="26" t="n"/>
      <c r="J100" s="27">
        <f>IF(AND($A100="",$C100="",$D100=""),"",IF(OR($C100&gt;=1,$D100&gt;=1),"⚠ type the time with a colon: 9:00 AM, not 9",IF(AND($C100&lt;&gt;"",$C100=$D100),"⚠ clock-in equals clock-out: the shift adds 0 h",IF(AND($C100&lt;&gt;"",$D100&lt;&gt;"",IF($E100="",0,$E100)&gt;MOD($D100-$C100,1)*24),"⚠ the break is longer than the shift",IF(AND($A100&lt;&gt;"",COUNTIF('Monthly OT Summary'!$A$6:$A$35,$A100&amp;"")=0),"⚠ name not in Monthly OT Summary: its hours are not added","")))))</f>
        <v/>
      </c>
    </row>
    <row r="101">
      <c r="A101" s="21" t="n"/>
      <c r="B101" s="40" t="n"/>
      <c r="C101" s="41" t="n"/>
      <c r="D101" s="41" t="n"/>
      <c r="E101" s="24" t="n"/>
      <c r="F101" s="8">
        <f>IF(OR($C101="",$D101=""),"",IF(OR($C101&gt;=1,$D101&gt;=1,$C101=$D101,IF($E101="",0,$E101)&gt;MOD($D101-$C101,1)*24),"",ROUND(MOD($D101-$C101,1)*24-IF($E101="",0,$E101),2)))</f>
        <v/>
      </c>
      <c r="G101" s="25" t="n">
        <v>8</v>
      </c>
      <c r="H101" s="8">
        <f>IF(OR($A101="",$B101="",$F101=""),"",ROUND(IF($F$3="",0,MAX(0,$F101-$F$3))+IF($D$3="",0,MIN($F101-IF($F$3="",0,MAX(0,$F101-$F$3)),MAX(0,SUMIFS($F$5:$F$304,$A$5:$A$304,$A101&amp;"",$B$5:$B$304,"&gt;="&amp;($B101-MOD(WEEKDAY($B101)-$B$3,7)),$B$5:$B$304,"&lt;="&amp;$B101)-IF($F$3="",0,SUMIFS($F$5:$F$304,$A$5:$A$304,$A101&amp;"",$B$5:$B$304,"&gt;="&amp;($B101-MOD(WEEKDAY($B101)-$B$3,7)),$B$5:$B$304,"&lt;="&amp;$B101,$F$5:$F$304,"&gt;"&amp;$F$3)-$F$3*COUNTIFS($A$5:$A$304,$A101&amp;"",$B$5:$B$304,"&gt;="&amp;($B101-MOD(WEEKDAY($B101)-$B$3,7)),$B$5:$B$304,"&lt;="&amp;$B101,$F$5:$F$304,"&gt;"&amp;$F$3))-$D$3))),2))</f>
        <v/>
      </c>
      <c r="I101" s="26" t="n"/>
      <c r="J101" s="27">
        <f>IF(AND($A101="",$C101="",$D101=""),"",IF(OR($C101&gt;=1,$D101&gt;=1),"⚠ type the time with a colon: 9:00 AM, not 9",IF(AND($C101&lt;&gt;"",$C101=$D101),"⚠ clock-in equals clock-out: the shift adds 0 h",IF(AND($C101&lt;&gt;"",$D101&lt;&gt;"",IF($E101="",0,$E101)&gt;MOD($D101-$C101,1)*24),"⚠ the break is longer than the shift",IF(AND($A101&lt;&gt;"",COUNTIF('Monthly OT Summary'!$A$6:$A$35,$A101&amp;"")=0),"⚠ name not in Monthly OT Summary: its hours are not added","")))))</f>
        <v/>
      </c>
    </row>
    <row r="102">
      <c r="A102" s="21" t="n"/>
      <c r="B102" s="40" t="n"/>
      <c r="C102" s="41" t="n"/>
      <c r="D102" s="41" t="n"/>
      <c r="E102" s="24" t="n"/>
      <c r="F102" s="8">
        <f>IF(OR($C102="",$D102=""),"",IF(OR($C102&gt;=1,$D102&gt;=1,$C102=$D102,IF($E102="",0,$E102)&gt;MOD($D102-$C102,1)*24),"",ROUND(MOD($D102-$C102,1)*24-IF($E102="",0,$E102),2)))</f>
        <v/>
      </c>
      <c r="G102" s="25" t="n">
        <v>8</v>
      </c>
      <c r="H102" s="8">
        <f>IF(OR($A102="",$B102="",$F102=""),"",ROUND(IF($F$3="",0,MAX(0,$F102-$F$3))+IF($D$3="",0,MIN($F102-IF($F$3="",0,MAX(0,$F102-$F$3)),MAX(0,SUMIFS($F$5:$F$304,$A$5:$A$304,$A102&amp;"",$B$5:$B$304,"&gt;="&amp;($B102-MOD(WEEKDAY($B102)-$B$3,7)),$B$5:$B$304,"&lt;="&amp;$B102)-IF($F$3="",0,SUMIFS($F$5:$F$304,$A$5:$A$304,$A102&amp;"",$B$5:$B$304,"&gt;="&amp;($B102-MOD(WEEKDAY($B102)-$B$3,7)),$B$5:$B$304,"&lt;="&amp;$B102,$F$5:$F$304,"&gt;"&amp;$F$3)-$F$3*COUNTIFS($A$5:$A$304,$A102&amp;"",$B$5:$B$304,"&gt;="&amp;($B102-MOD(WEEKDAY($B102)-$B$3,7)),$B$5:$B$304,"&lt;="&amp;$B102,$F$5:$F$304,"&gt;"&amp;$F$3))-$D$3))),2))</f>
        <v/>
      </c>
      <c r="I102" s="26" t="n"/>
      <c r="J102" s="27">
        <f>IF(AND($A102="",$C102="",$D102=""),"",IF(OR($C102&gt;=1,$D102&gt;=1),"⚠ type the time with a colon: 9:00 AM, not 9",IF(AND($C102&lt;&gt;"",$C102=$D102),"⚠ clock-in equals clock-out: the shift adds 0 h",IF(AND($C102&lt;&gt;"",$D102&lt;&gt;"",IF($E102="",0,$E102)&gt;MOD($D102-$C102,1)*24),"⚠ the break is longer than the shift",IF(AND($A102&lt;&gt;"",COUNTIF('Monthly OT Summary'!$A$6:$A$35,$A102&amp;"")=0),"⚠ name not in Monthly OT Summary: its hours are not added","")))))</f>
        <v/>
      </c>
    </row>
    <row r="103">
      <c r="A103" s="21" t="n"/>
      <c r="B103" s="40" t="n"/>
      <c r="C103" s="41" t="n"/>
      <c r="D103" s="41" t="n"/>
      <c r="E103" s="24" t="n"/>
      <c r="F103" s="8">
        <f>IF(OR($C103="",$D103=""),"",IF(OR($C103&gt;=1,$D103&gt;=1,$C103=$D103,IF($E103="",0,$E103)&gt;MOD($D103-$C103,1)*24),"",ROUND(MOD($D103-$C103,1)*24-IF($E103="",0,$E103),2)))</f>
        <v/>
      </c>
      <c r="G103" s="25" t="n">
        <v>8</v>
      </c>
      <c r="H103" s="8">
        <f>IF(OR($A103="",$B103="",$F103=""),"",ROUND(IF($F$3="",0,MAX(0,$F103-$F$3))+IF($D$3="",0,MIN($F103-IF($F$3="",0,MAX(0,$F103-$F$3)),MAX(0,SUMIFS($F$5:$F$304,$A$5:$A$304,$A103&amp;"",$B$5:$B$304,"&gt;="&amp;($B103-MOD(WEEKDAY($B103)-$B$3,7)),$B$5:$B$304,"&lt;="&amp;$B103)-IF($F$3="",0,SUMIFS($F$5:$F$304,$A$5:$A$304,$A103&amp;"",$B$5:$B$304,"&gt;="&amp;($B103-MOD(WEEKDAY($B103)-$B$3,7)),$B$5:$B$304,"&lt;="&amp;$B103,$F$5:$F$304,"&gt;"&amp;$F$3)-$F$3*COUNTIFS($A$5:$A$304,$A103&amp;"",$B$5:$B$304,"&gt;="&amp;($B103-MOD(WEEKDAY($B103)-$B$3,7)),$B$5:$B$304,"&lt;="&amp;$B103,$F$5:$F$304,"&gt;"&amp;$F$3))-$D$3))),2))</f>
        <v/>
      </c>
      <c r="I103" s="26" t="n"/>
      <c r="J103" s="27">
        <f>IF(AND($A103="",$C103="",$D103=""),"",IF(OR($C103&gt;=1,$D103&gt;=1),"⚠ type the time with a colon: 9:00 AM, not 9",IF(AND($C103&lt;&gt;"",$C103=$D103),"⚠ clock-in equals clock-out: the shift adds 0 h",IF(AND($C103&lt;&gt;"",$D103&lt;&gt;"",IF($E103="",0,$E103)&gt;MOD($D103-$C103,1)*24),"⚠ the break is longer than the shift",IF(AND($A103&lt;&gt;"",COUNTIF('Monthly OT Summary'!$A$6:$A$35,$A103&amp;"")=0),"⚠ name not in Monthly OT Summary: its hours are not added","")))))</f>
        <v/>
      </c>
    </row>
    <row r="104">
      <c r="A104" s="21" t="n"/>
      <c r="B104" s="40" t="n"/>
      <c r="C104" s="41" t="n"/>
      <c r="D104" s="41" t="n"/>
      <c r="E104" s="24" t="n"/>
      <c r="F104" s="8">
        <f>IF(OR($C104="",$D104=""),"",IF(OR($C104&gt;=1,$D104&gt;=1,$C104=$D104,IF($E104="",0,$E104)&gt;MOD($D104-$C104,1)*24),"",ROUND(MOD($D104-$C104,1)*24-IF($E104="",0,$E104),2)))</f>
        <v/>
      </c>
      <c r="G104" s="25" t="n">
        <v>8</v>
      </c>
      <c r="H104" s="8">
        <f>IF(OR($A104="",$B104="",$F104=""),"",ROUND(IF($F$3="",0,MAX(0,$F104-$F$3))+IF($D$3="",0,MIN($F104-IF($F$3="",0,MAX(0,$F104-$F$3)),MAX(0,SUMIFS($F$5:$F$304,$A$5:$A$304,$A104&amp;"",$B$5:$B$304,"&gt;="&amp;($B104-MOD(WEEKDAY($B104)-$B$3,7)),$B$5:$B$304,"&lt;="&amp;$B104)-IF($F$3="",0,SUMIFS($F$5:$F$304,$A$5:$A$304,$A104&amp;"",$B$5:$B$304,"&gt;="&amp;($B104-MOD(WEEKDAY($B104)-$B$3,7)),$B$5:$B$304,"&lt;="&amp;$B104,$F$5:$F$304,"&gt;"&amp;$F$3)-$F$3*COUNTIFS($A$5:$A$304,$A104&amp;"",$B$5:$B$304,"&gt;="&amp;($B104-MOD(WEEKDAY($B104)-$B$3,7)),$B$5:$B$304,"&lt;="&amp;$B104,$F$5:$F$304,"&gt;"&amp;$F$3))-$D$3))),2))</f>
        <v/>
      </c>
      <c r="I104" s="26" t="n"/>
      <c r="J104" s="27">
        <f>IF(AND($A104="",$C104="",$D104=""),"",IF(OR($C104&gt;=1,$D104&gt;=1),"⚠ type the time with a colon: 9:00 AM, not 9",IF(AND($C104&lt;&gt;"",$C104=$D104),"⚠ clock-in equals clock-out: the shift adds 0 h",IF(AND($C104&lt;&gt;"",$D104&lt;&gt;"",IF($E104="",0,$E104)&gt;MOD($D104-$C104,1)*24),"⚠ the break is longer than the shift",IF(AND($A104&lt;&gt;"",COUNTIF('Monthly OT Summary'!$A$6:$A$35,$A104&amp;"")=0),"⚠ name not in Monthly OT Summary: its hours are not added","")))))</f>
        <v/>
      </c>
    </row>
    <row r="105">
      <c r="A105" s="21" t="n"/>
      <c r="B105" s="40" t="n"/>
      <c r="C105" s="41" t="n"/>
      <c r="D105" s="41" t="n"/>
      <c r="E105" s="24" t="n"/>
      <c r="F105" s="8">
        <f>IF(OR($C105="",$D105=""),"",IF(OR($C105&gt;=1,$D105&gt;=1,$C105=$D105,IF($E105="",0,$E105)&gt;MOD($D105-$C105,1)*24),"",ROUND(MOD($D105-$C105,1)*24-IF($E105="",0,$E105),2)))</f>
        <v/>
      </c>
      <c r="G105" s="25" t="n">
        <v>8</v>
      </c>
      <c r="H105" s="8">
        <f>IF(OR($A105="",$B105="",$F105=""),"",ROUND(IF($F$3="",0,MAX(0,$F105-$F$3))+IF($D$3="",0,MIN($F105-IF($F$3="",0,MAX(0,$F105-$F$3)),MAX(0,SUMIFS($F$5:$F$304,$A$5:$A$304,$A105&amp;"",$B$5:$B$304,"&gt;="&amp;($B105-MOD(WEEKDAY($B105)-$B$3,7)),$B$5:$B$304,"&lt;="&amp;$B105)-IF($F$3="",0,SUMIFS($F$5:$F$304,$A$5:$A$304,$A105&amp;"",$B$5:$B$304,"&gt;="&amp;($B105-MOD(WEEKDAY($B105)-$B$3,7)),$B$5:$B$304,"&lt;="&amp;$B105,$F$5:$F$304,"&gt;"&amp;$F$3)-$F$3*COUNTIFS($A$5:$A$304,$A105&amp;"",$B$5:$B$304,"&gt;="&amp;($B105-MOD(WEEKDAY($B105)-$B$3,7)),$B$5:$B$304,"&lt;="&amp;$B105,$F$5:$F$304,"&gt;"&amp;$F$3))-$D$3))),2))</f>
        <v/>
      </c>
      <c r="I105" s="26" t="n"/>
      <c r="J105" s="27">
        <f>IF(AND($A105="",$C105="",$D105=""),"",IF(OR($C105&gt;=1,$D105&gt;=1),"⚠ type the time with a colon: 9:00 AM, not 9",IF(AND($C105&lt;&gt;"",$C105=$D105),"⚠ clock-in equals clock-out: the shift adds 0 h",IF(AND($C105&lt;&gt;"",$D105&lt;&gt;"",IF($E105="",0,$E105)&gt;MOD($D105-$C105,1)*24),"⚠ the break is longer than the shift",IF(AND($A105&lt;&gt;"",COUNTIF('Monthly OT Summary'!$A$6:$A$35,$A105&amp;"")=0),"⚠ name not in Monthly OT Summary: its hours are not added","")))))</f>
        <v/>
      </c>
    </row>
    <row r="106">
      <c r="A106" s="21" t="n"/>
      <c r="B106" s="40" t="n"/>
      <c r="C106" s="41" t="n"/>
      <c r="D106" s="41" t="n"/>
      <c r="E106" s="24" t="n"/>
      <c r="F106" s="8">
        <f>IF(OR($C106="",$D106=""),"",IF(OR($C106&gt;=1,$D106&gt;=1,$C106=$D106,IF($E106="",0,$E106)&gt;MOD($D106-$C106,1)*24),"",ROUND(MOD($D106-$C106,1)*24-IF($E106="",0,$E106),2)))</f>
        <v/>
      </c>
      <c r="G106" s="25" t="n">
        <v>8</v>
      </c>
      <c r="H106" s="8">
        <f>IF(OR($A106="",$B106="",$F106=""),"",ROUND(IF($F$3="",0,MAX(0,$F106-$F$3))+IF($D$3="",0,MIN($F106-IF($F$3="",0,MAX(0,$F106-$F$3)),MAX(0,SUMIFS($F$5:$F$304,$A$5:$A$304,$A106&amp;"",$B$5:$B$304,"&gt;="&amp;($B106-MOD(WEEKDAY($B106)-$B$3,7)),$B$5:$B$304,"&lt;="&amp;$B106)-IF($F$3="",0,SUMIFS($F$5:$F$304,$A$5:$A$304,$A106&amp;"",$B$5:$B$304,"&gt;="&amp;($B106-MOD(WEEKDAY($B106)-$B$3,7)),$B$5:$B$304,"&lt;="&amp;$B106,$F$5:$F$304,"&gt;"&amp;$F$3)-$F$3*COUNTIFS($A$5:$A$304,$A106&amp;"",$B$5:$B$304,"&gt;="&amp;($B106-MOD(WEEKDAY($B106)-$B$3,7)),$B$5:$B$304,"&lt;="&amp;$B106,$F$5:$F$304,"&gt;"&amp;$F$3))-$D$3))),2))</f>
        <v/>
      </c>
      <c r="I106" s="26" t="n"/>
      <c r="J106" s="27">
        <f>IF(AND($A106="",$C106="",$D106=""),"",IF(OR($C106&gt;=1,$D106&gt;=1),"⚠ type the time with a colon: 9:00 AM, not 9",IF(AND($C106&lt;&gt;"",$C106=$D106),"⚠ clock-in equals clock-out: the shift adds 0 h",IF(AND($C106&lt;&gt;"",$D106&lt;&gt;"",IF($E106="",0,$E106)&gt;MOD($D106-$C106,1)*24),"⚠ the break is longer than the shift",IF(AND($A106&lt;&gt;"",COUNTIF('Monthly OT Summary'!$A$6:$A$35,$A106&amp;"")=0),"⚠ name not in Monthly OT Summary: its hours are not added","")))))</f>
        <v/>
      </c>
    </row>
    <row r="107">
      <c r="A107" s="21" t="n"/>
      <c r="B107" s="40" t="n"/>
      <c r="C107" s="41" t="n"/>
      <c r="D107" s="41" t="n"/>
      <c r="E107" s="24" t="n"/>
      <c r="F107" s="8">
        <f>IF(OR($C107="",$D107=""),"",IF(OR($C107&gt;=1,$D107&gt;=1,$C107=$D107,IF($E107="",0,$E107)&gt;MOD($D107-$C107,1)*24),"",ROUND(MOD($D107-$C107,1)*24-IF($E107="",0,$E107),2)))</f>
        <v/>
      </c>
      <c r="G107" s="25" t="n">
        <v>8</v>
      </c>
      <c r="H107" s="8">
        <f>IF(OR($A107="",$B107="",$F107=""),"",ROUND(IF($F$3="",0,MAX(0,$F107-$F$3))+IF($D$3="",0,MIN($F107-IF($F$3="",0,MAX(0,$F107-$F$3)),MAX(0,SUMIFS($F$5:$F$304,$A$5:$A$304,$A107&amp;"",$B$5:$B$304,"&gt;="&amp;($B107-MOD(WEEKDAY($B107)-$B$3,7)),$B$5:$B$304,"&lt;="&amp;$B107)-IF($F$3="",0,SUMIFS($F$5:$F$304,$A$5:$A$304,$A107&amp;"",$B$5:$B$304,"&gt;="&amp;($B107-MOD(WEEKDAY($B107)-$B$3,7)),$B$5:$B$304,"&lt;="&amp;$B107,$F$5:$F$304,"&gt;"&amp;$F$3)-$F$3*COUNTIFS($A$5:$A$304,$A107&amp;"",$B$5:$B$304,"&gt;="&amp;($B107-MOD(WEEKDAY($B107)-$B$3,7)),$B$5:$B$304,"&lt;="&amp;$B107,$F$5:$F$304,"&gt;"&amp;$F$3))-$D$3))),2))</f>
        <v/>
      </c>
      <c r="I107" s="26" t="n"/>
      <c r="J107" s="27">
        <f>IF(AND($A107="",$C107="",$D107=""),"",IF(OR($C107&gt;=1,$D107&gt;=1),"⚠ type the time with a colon: 9:00 AM, not 9",IF(AND($C107&lt;&gt;"",$C107=$D107),"⚠ clock-in equals clock-out: the shift adds 0 h",IF(AND($C107&lt;&gt;"",$D107&lt;&gt;"",IF($E107="",0,$E107)&gt;MOD($D107-$C107,1)*24),"⚠ the break is longer than the shift",IF(AND($A107&lt;&gt;"",COUNTIF('Monthly OT Summary'!$A$6:$A$35,$A107&amp;"")=0),"⚠ name not in Monthly OT Summary: its hours are not added","")))))</f>
        <v/>
      </c>
    </row>
    <row r="108">
      <c r="A108" s="21" t="n"/>
      <c r="B108" s="40" t="n"/>
      <c r="C108" s="41" t="n"/>
      <c r="D108" s="41" t="n"/>
      <c r="E108" s="24" t="n"/>
      <c r="F108" s="8">
        <f>IF(OR($C108="",$D108=""),"",IF(OR($C108&gt;=1,$D108&gt;=1,$C108=$D108,IF($E108="",0,$E108)&gt;MOD($D108-$C108,1)*24),"",ROUND(MOD($D108-$C108,1)*24-IF($E108="",0,$E108),2)))</f>
        <v/>
      </c>
      <c r="G108" s="25" t="n">
        <v>8</v>
      </c>
      <c r="H108" s="8">
        <f>IF(OR($A108="",$B108="",$F108=""),"",ROUND(IF($F$3="",0,MAX(0,$F108-$F$3))+IF($D$3="",0,MIN($F108-IF($F$3="",0,MAX(0,$F108-$F$3)),MAX(0,SUMIFS($F$5:$F$304,$A$5:$A$304,$A108&amp;"",$B$5:$B$304,"&gt;="&amp;($B108-MOD(WEEKDAY($B108)-$B$3,7)),$B$5:$B$304,"&lt;="&amp;$B108)-IF($F$3="",0,SUMIFS($F$5:$F$304,$A$5:$A$304,$A108&amp;"",$B$5:$B$304,"&gt;="&amp;($B108-MOD(WEEKDAY($B108)-$B$3,7)),$B$5:$B$304,"&lt;="&amp;$B108,$F$5:$F$304,"&gt;"&amp;$F$3)-$F$3*COUNTIFS($A$5:$A$304,$A108&amp;"",$B$5:$B$304,"&gt;="&amp;($B108-MOD(WEEKDAY($B108)-$B$3,7)),$B$5:$B$304,"&lt;="&amp;$B108,$F$5:$F$304,"&gt;"&amp;$F$3))-$D$3))),2))</f>
        <v/>
      </c>
      <c r="I108" s="26" t="n"/>
      <c r="J108" s="27">
        <f>IF(AND($A108="",$C108="",$D108=""),"",IF(OR($C108&gt;=1,$D108&gt;=1),"⚠ type the time with a colon: 9:00 AM, not 9",IF(AND($C108&lt;&gt;"",$C108=$D108),"⚠ clock-in equals clock-out: the shift adds 0 h",IF(AND($C108&lt;&gt;"",$D108&lt;&gt;"",IF($E108="",0,$E108)&gt;MOD($D108-$C108,1)*24),"⚠ the break is longer than the shift",IF(AND($A108&lt;&gt;"",COUNTIF('Monthly OT Summary'!$A$6:$A$35,$A108&amp;"")=0),"⚠ name not in Monthly OT Summary: its hours are not added","")))))</f>
        <v/>
      </c>
    </row>
    <row r="109">
      <c r="A109" s="21" t="n"/>
      <c r="B109" s="40" t="n"/>
      <c r="C109" s="41" t="n"/>
      <c r="D109" s="41" t="n"/>
      <c r="E109" s="24" t="n"/>
      <c r="F109" s="8">
        <f>IF(OR($C109="",$D109=""),"",IF(OR($C109&gt;=1,$D109&gt;=1,$C109=$D109,IF($E109="",0,$E109)&gt;MOD($D109-$C109,1)*24),"",ROUND(MOD($D109-$C109,1)*24-IF($E109="",0,$E109),2)))</f>
        <v/>
      </c>
      <c r="G109" s="25" t="n">
        <v>8</v>
      </c>
      <c r="H109" s="8">
        <f>IF(OR($A109="",$B109="",$F109=""),"",ROUND(IF($F$3="",0,MAX(0,$F109-$F$3))+IF($D$3="",0,MIN($F109-IF($F$3="",0,MAX(0,$F109-$F$3)),MAX(0,SUMIFS($F$5:$F$304,$A$5:$A$304,$A109&amp;"",$B$5:$B$304,"&gt;="&amp;($B109-MOD(WEEKDAY($B109)-$B$3,7)),$B$5:$B$304,"&lt;="&amp;$B109)-IF($F$3="",0,SUMIFS($F$5:$F$304,$A$5:$A$304,$A109&amp;"",$B$5:$B$304,"&gt;="&amp;($B109-MOD(WEEKDAY($B109)-$B$3,7)),$B$5:$B$304,"&lt;="&amp;$B109,$F$5:$F$304,"&gt;"&amp;$F$3)-$F$3*COUNTIFS($A$5:$A$304,$A109&amp;"",$B$5:$B$304,"&gt;="&amp;($B109-MOD(WEEKDAY($B109)-$B$3,7)),$B$5:$B$304,"&lt;="&amp;$B109,$F$5:$F$304,"&gt;"&amp;$F$3))-$D$3))),2))</f>
        <v/>
      </c>
      <c r="I109" s="26" t="n"/>
      <c r="J109" s="27">
        <f>IF(AND($A109="",$C109="",$D109=""),"",IF(OR($C109&gt;=1,$D109&gt;=1),"⚠ type the time with a colon: 9:00 AM, not 9",IF(AND($C109&lt;&gt;"",$C109=$D109),"⚠ clock-in equals clock-out: the shift adds 0 h",IF(AND($C109&lt;&gt;"",$D109&lt;&gt;"",IF($E109="",0,$E109)&gt;MOD($D109-$C109,1)*24),"⚠ the break is longer than the shift",IF(AND($A109&lt;&gt;"",COUNTIF('Monthly OT Summary'!$A$6:$A$35,$A109&amp;"")=0),"⚠ name not in Monthly OT Summary: its hours are not added","")))))</f>
        <v/>
      </c>
    </row>
    <row r="110">
      <c r="A110" s="21" t="n"/>
      <c r="B110" s="40" t="n"/>
      <c r="C110" s="41" t="n"/>
      <c r="D110" s="41" t="n"/>
      <c r="E110" s="24" t="n"/>
      <c r="F110" s="8">
        <f>IF(OR($C110="",$D110=""),"",IF(OR($C110&gt;=1,$D110&gt;=1,$C110=$D110,IF($E110="",0,$E110)&gt;MOD($D110-$C110,1)*24),"",ROUND(MOD($D110-$C110,1)*24-IF($E110="",0,$E110),2)))</f>
        <v/>
      </c>
      <c r="G110" s="25" t="n">
        <v>8</v>
      </c>
      <c r="H110" s="8">
        <f>IF(OR($A110="",$B110="",$F110=""),"",ROUND(IF($F$3="",0,MAX(0,$F110-$F$3))+IF($D$3="",0,MIN($F110-IF($F$3="",0,MAX(0,$F110-$F$3)),MAX(0,SUMIFS($F$5:$F$304,$A$5:$A$304,$A110&amp;"",$B$5:$B$304,"&gt;="&amp;($B110-MOD(WEEKDAY($B110)-$B$3,7)),$B$5:$B$304,"&lt;="&amp;$B110)-IF($F$3="",0,SUMIFS($F$5:$F$304,$A$5:$A$304,$A110&amp;"",$B$5:$B$304,"&gt;="&amp;($B110-MOD(WEEKDAY($B110)-$B$3,7)),$B$5:$B$304,"&lt;="&amp;$B110,$F$5:$F$304,"&gt;"&amp;$F$3)-$F$3*COUNTIFS($A$5:$A$304,$A110&amp;"",$B$5:$B$304,"&gt;="&amp;($B110-MOD(WEEKDAY($B110)-$B$3,7)),$B$5:$B$304,"&lt;="&amp;$B110,$F$5:$F$304,"&gt;"&amp;$F$3))-$D$3))),2))</f>
        <v/>
      </c>
      <c r="I110" s="26" t="n"/>
      <c r="J110" s="27">
        <f>IF(AND($A110="",$C110="",$D110=""),"",IF(OR($C110&gt;=1,$D110&gt;=1),"⚠ type the time with a colon: 9:00 AM, not 9",IF(AND($C110&lt;&gt;"",$C110=$D110),"⚠ clock-in equals clock-out: the shift adds 0 h",IF(AND($C110&lt;&gt;"",$D110&lt;&gt;"",IF($E110="",0,$E110)&gt;MOD($D110-$C110,1)*24),"⚠ the break is longer than the shift",IF(AND($A110&lt;&gt;"",COUNTIF('Monthly OT Summary'!$A$6:$A$35,$A110&amp;"")=0),"⚠ name not in Monthly OT Summary: its hours are not added","")))))</f>
        <v/>
      </c>
    </row>
    <row r="111">
      <c r="A111" s="21" t="n"/>
      <c r="B111" s="40" t="n"/>
      <c r="C111" s="41" t="n"/>
      <c r="D111" s="41" t="n"/>
      <c r="E111" s="24" t="n"/>
      <c r="F111" s="8">
        <f>IF(OR($C111="",$D111=""),"",IF(OR($C111&gt;=1,$D111&gt;=1,$C111=$D111,IF($E111="",0,$E111)&gt;MOD($D111-$C111,1)*24),"",ROUND(MOD($D111-$C111,1)*24-IF($E111="",0,$E111),2)))</f>
        <v/>
      </c>
      <c r="G111" s="25" t="n">
        <v>8</v>
      </c>
      <c r="H111" s="8">
        <f>IF(OR($A111="",$B111="",$F111=""),"",ROUND(IF($F$3="",0,MAX(0,$F111-$F$3))+IF($D$3="",0,MIN($F111-IF($F$3="",0,MAX(0,$F111-$F$3)),MAX(0,SUMIFS($F$5:$F$304,$A$5:$A$304,$A111&amp;"",$B$5:$B$304,"&gt;="&amp;($B111-MOD(WEEKDAY($B111)-$B$3,7)),$B$5:$B$304,"&lt;="&amp;$B111)-IF($F$3="",0,SUMIFS($F$5:$F$304,$A$5:$A$304,$A111&amp;"",$B$5:$B$304,"&gt;="&amp;($B111-MOD(WEEKDAY($B111)-$B$3,7)),$B$5:$B$304,"&lt;="&amp;$B111,$F$5:$F$304,"&gt;"&amp;$F$3)-$F$3*COUNTIFS($A$5:$A$304,$A111&amp;"",$B$5:$B$304,"&gt;="&amp;($B111-MOD(WEEKDAY($B111)-$B$3,7)),$B$5:$B$304,"&lt;="&amp;$B111,$F$5:$F$304,"&gt;"&amp;$F$3))-$D$3))),2))</f>
        <v/>
      </c>
      <c r="I111" s="26" t="n"/>
      <c r="J111" s="27">
        <f>IF(AND($A111="",$C111="",$D111=""),"",IF(OR($C111&gt;=1,$D111&gt;=1),"⚠ type the time with a colon: 9:00 AM, not 9",IF(AND($C111&lt;&gt;"",$C111=$D111),"⚠ clock-in equals clock-out: the shift adds 0 h",IF(AND($C111&lt;&gt;"",$D111&lt;&gt;"",IF($E111="",0,$E111)&gt;MOD($D111-$C111,1)*24),"⚠ the break is longer than the shift",IF(AND($A111&lt;&gt;"",COUNTIF('Monthly OT Summary'!$A$6:$A$35,$A111&amp;"")=0),"⚠ name not in Monthly OT Summary: its hours are not added","")))))</f>
        <v/>
      </c>
    </row>
    <row r="112">
      <c r="A112" s="21" t="n"/>
      <c r="B112" s="40" t="n"/>
      <c r="C112" s="41" t="n"/>
      <c r="D112" s="41" t="n"/>
      <c r="E112" s="24" t="n"/>
      <c r="F112" s="8">
        <f>IF(OR($C112="",$D112=""),"",IF(OR($C112&gt;=1,$D112&gt;=1,$C112=$D112,IF($E112="",0,$E112)&gt;MOD($D112-$C112,1)*24),"",ROUND(MOD($D112-$C112,1)*24-IF($E112="",0,$E112),2)))</f>
        <v/>
      </c>
      <c r="G112" s="25" t="n">
        <v>8</v>
      </c>
      <c r="H112" s="8">
        <f>IF(OR($A112="",$B112="",$F112=""),"",ROUND(IF($F$3="",0,MAX(0,$F112-$F$3))+IF($D$3="",0,MIN($F112-IF($F$3="",0,MAX(0,$F112-$F$3)),MAX(0,SUMIFS($F$5:$F$304,$A$5:$A$304,$A112&amp;"",$B$5:$B$304,"&gt;="&amp;($B112-MOD(WEEKDAY($B112)-$B$3,7)),$B$5:$B$304,"&lt;="&amp;$B112)-IF($F$3="",0,SUMIFS($F$5:$F$304,$A$5:$A$304,$A112&amp;"",$B$5:$B$304,"&gt;="&amp;($B112-MOD(WEEKDAY($B112)-$B$3,7)),$B$5:$B$304,"&lt;="&amp;$B112,$F$5:$F$304,"&gt;"&amp;$F$3)-$F$3*COUNTIFS($A$5:$A$304,$A112&amp;"",$B$5:$B$304,"&gt;="&amp;($B112-MOD(WEEKDAY($B112)-$B$3,7)),$B$5:$B$304,"&lt;="&amp;$B112,$F$5:$F$304,"&gt;"&amp;$F$3))-$D$3))),2))</f>
        <v/>
      </c>
      <c r="I112" s="26" t="n"/>
      <c r="J112" s="27">
        <f>IF(AND($A112="",$C112="",$D112=""),"",IF(OR($C112&gt;=1,$D112&gt;=1),"⚠ type the time with a colon: 9:00 AM, not 9",IF(AND($C112&lt;&gt;"",$C112=$D112),"⚠ clock-in equals clock-out: the shift adds 0 h",IF(AND($C112&lt;&gt;"",$D112&lt;&gt;"",IF($E112="",0,$E112)&gt;MOD($D112-$C112,1)*24),"⚠ the break is longer than the shift",IF(AND($A112&lt;&gt;"",COUNTIF('Monthly OT Summary'!$A$6:$A$35,$A112&amp;"")=0),"⚠ name not in Monthly OT Summary: its hours are not added","")))))</f>
        <v/>
      </c>
    </row>
    <row r="113">
      <c r="A113" s="21" t="n"/>
      <c r="B113" s="40" t="n"/>
      <c r="C113" s="41" t="n"/>
      <c r="D113" s="41" t="n"/>
      <c r="E113" s="24" t="n"/>
      <c r="F113" s="8">
        <f>IF(OR($C113="",$D113=""),"",IF(OR($C113&gt;=1,$D113&gt;=1,$C113=$D113,IF($E113="",0,$E113)&gt;MOD($D113-$C113,1)*24),"",ROUND(MOD($D113-$C113,1)*24-IF($E113="",0,$E113),2)))</f>
        <v/>
      </c>
      <c r="G113" s="25" t="n">
        <v>8</v>
      </c>
      <c r="H113" s="8">
        <f>IF(OR($A113="",$B113="",$F113=""),"",ROUND(IF($F$3="",0,MAX(0,$F113-$F$3))+IF($D$3="",0,MIN($F113-IF($F$3="",0,MAX(0,$F113-$F$3)),MAX(0,SUMIFS($F$5:$F$304,$A$5:$A$304,$A113&amp;"",$B$5:$B$304,"&gt;="&amp;($B113-MOD(WEEKDAY($B113)-$B$3,7)),$B$5:$B$304,"&lt;="&amp;$B113)-IF($F$3="",0,SUMIFS($F$5:$F$304,$A$5:$A$304,$A113&amp;"",$B$5:$B$304,"&gt;="&amp;($B113-MOD(WEEKDAY($B113)-$B$3,7)),$B$5:$B$304,"&lt;="&amp;$B113,$F$5:$F$304,"&gt;"&amp;$F$3)-$F$3*COUNTIFS($A$5:$A$304,$A113&amp;"",$B$5:$B$304,"&gt;="&amp;($B113-MOD(WEEKDAY($B113)-$B$3,7)),$B$5:$B$304,"&lt;="&amp;$B113,$F$5:$F$304,"&gt;"&amp;$F$3))-$D$3))),2))</f>
        <v/>
      </c>
      <c r="I113" s="26" t="n"/>
      <c r="J113" s="27">
        <f>IF(AND($A113="",$C113="",$D113=""),"",IF(OR($C113&gt;=1,$D113&gt;=1),"⚠ type the time with a colon: 9:00 AM, not 9",IF(AND($C113&lt;&gt;"",$C113=$D113),"⚠ clock-in equals clock-out: the shift adds 0 h",IF(AND($C113&lt;&gt;"",$D113&lt;&gt;"",IF($E113="",0,$E113)&gt;MOD($D113-$C113,1)*24),"⚠ the break is longer than the shift",IF(AND($A113&lt;&gt;"",COUNTIF('Monthly OT Summary'!$A$6:$A$35,$A113&amp;"")=0),"⚠ name not in Monthly OT Summary: its hours are not added","")))))</f>
        <v/>
      </c>
    </row>
    <row r="114">
      <c r="A114" s="21" t="n"/>
      <c r="B114" s="40" t="n"/>
      <c r="C114" s="41" t="n"/>
      <c r="D114" s="41" t="n"/>
      <c r="E114" s="24" t="n"/>
      <c r="F114" s="8">
        <f>IF(OR($C114="",$D114=""),"",IF(OR($C114&gt;=1,$D114&gt;=1,$C114=$D114,IF($E114="",0,$E114)&gt;MOD($D114-$C114,1)*24),"",ROUND(MOD($D114-$C114,1)*24-IF($E114="",0,$E114),2)))</f>
        <v/>
      </c>
      <c r="G114" s="25" t="n">
        <v>8</v>
      </c>
      <c r="H114" s="8">
        <f>IF(OR($A114="",$B114="",$F114=""),"",ROUND(IF($F$3="",0,MAX(0,$F114-$F$3))+IF($D$3="",0,MIN($F114-IF($F$3="",0,MAX(0,$F114-$F$3)),MAX(0,SUMIFS($F$5:$F$304,$A$5:$A$304,$A114&amp;"",$B$5:$B$304,"&gt;="&amp;($B114-MOD(WEEKDAY($B114)-$B$3,7)),$B$5:$B$304,"&lt;="&amp;$B114)-IF($F$3="",0,SUMIFS($F$5:$F$304,$A$5:$A$304,$A114&amp;"",$B$5:$B$304,"&gt;="&amp;($B114-MOD(WEEKDAY($B114)-$B$3,7)),$B$5:$B$304,"&lt;="&amp;$B114,$F$5:$F$304,"&gt;"&amp;$F$3)-$F$3*COUNTIFS($A$5:$A$304,$A114&amp;"",$B$5:$B$304,"&gt;="&amp;($B114-MOD(WEEKDAY($B114)-$B$3,7)),$B$5:$B$304,"&lt;="&amp;$B114,$F$5:$F$304,"&gt;"&amp;$F$3))-$D$3))),2))</f>
        <v/>
      </c>
      <c r="I114" s="26" t="n"/>
      <c r="J114" s="27">
        <f>IF(AND($A114="",$C114="",$D114=""),"",IF(OR($C114&gt;=1,$D114&gt;=1),"⚠ type the time with a colon: 9:00 AM, not 9",IF(AND($C114&lt;&gt;"",$C114=$D114),"⚠ clock-in equals clock-out: the shift adds 0 h",IF(AND($C114&lt;&gt;"",$D114&lt;&gt;"",IF($E114="",0,$E114)&gt;MOD($D114-$C114,1)*24),"⚠ the break is longer than the shift",IF(AND($A114&lt;&gt;"",COUNTIF('Monthly OT Summary'!$A$6:$A$35,$A114&amp;"")=0),"⚠ name not in Monthly OT Summary: its hours are not added","")))))</f>
        <v/>
      </c>
    </row>
    <row r="115">
      <c r="A115" s="21" t="n"/>
      <c r="B115" s="40" t="n"/>
      <c r="C115" s="41" t="n"/>
      <c r="D115" s="41" t="n"/>
      <c r="E115" s="24" t="n"/>
      <c r="F115" s="8">
        <f>IF(OR($C115="",$D115=""),"",IF(OR($C115&gt;=1,$D115&gt;=1,$C115=$D115,IF($E115="",0,$E115)&gt;MOD($D115-$C115,1)*24),"",ROUND(MOD($D115-$C115,1)*24-IF($E115="",0,$E115),2)))</f>
        <v/>
      </c>
      <c r="G115" s="25" t="n">
        <v>8</v>
      </c>
      <c r="H115" s="8">
        <f>IF(OR($A115="",$B115="",$F115=""),"",ROUND(IF($F$3="",0,MAX(0,$F115-$F$3))+IF($D$3="",0,MIN($F115-IF($F$3="",0,MAX(0,$F115-$F$3)),MAX(0,SUMIFS($F$5:$F$304,$A$5:$A$304,$A115&amp;"",$B$5:$B$304,"&gt;="&amp;($B115-MOD(WEEKDAY($B115)-$B$3,7)),$B$5:$B$304,"&lt;="&amp;$B115)-IF($F$3="",0,SUMIFS($F$5:$F$304,$A$5:$A$304,$A115&amp;"",$B$5:$B$304,"&gt;="&amp;($B115-MOD(WEEKDAY($B115)-$B$3,7)),$B$5:$B$304,"&lt;="&amp;$B115,$F$5:$F$304,"&gt;"&amp;$F$3)-$F$3*COUNTIFS($A$5:$A$304,$A115&amp;"",$B$5:$B$304,"&gt;="&amp;($B115-MOD(WEEKDAY($B115)-$B$3,7)),$B$5:$B$304,"&lt;="&amp;$B115,$F$5:$F$304,"&gt;"&amp;$F$3))-$D$3))),2))</f>
        <v/>
      </c>
      <c r="I115" s="26" t="n"/>
      <c r="J115" s="27">
        <f>IF(AND($A115="",$C115="",$D115=""),"",IF(OR($C115&gt;=1,$D115&gt;=1),"⚠ type the time with a colon: 9:00 AM, not 9",IF(AND($C115&lt;&gt;"",$C115=$D115),"⚠ clock-in equals clock-out: the shift adds 0 h",IF(AND($C115&lt;&gt;"",$D115&lt;&gt;"",IF($E115="",0,$E115)&gt;MOD($D115-$C115,1)*24),"⚠ the break is longer than the shift",IF(AND($A115&lt;&gt;"",COUNTIF('Monthly OT Summary'!$A$6:$A$35,$A115&amp;"")=0),"⚠ name not in Monthly OT Summary: its hours are not added","")))))</f>
        <v/>
      </c>
    </row>
    <row r="116">
      <c r="A116" s="21" t="n"/>
      <c r="B116" s="40" t="n"/>
      <c r="C116" s="41" t="n"/>
      <c r="D116" s="41" t="n"/>
      <c r="E116" s="24" t="n"/>
      <c r="F116" s="8">
        <f>IF(OR($C116="",$D116=""),"",IF(OR($C116&gt;=1,$D116&gt;=1,$C116=$D116,IF($E116="",0,$E116)&gt;MOD($D116-$C116,1)*24),"",ROUND(MOD($D116-$C116,1)*24-IF($E116="",0,$E116),2)))</f>
        <v/>
      </c>
      <c r="G116" s="25" t="n">
        <v>8</v>
      </c>
      <c r="H116" s="8">
        <f>IF(OR($A116="",$B116="",$F116=""),"",ROUND(IF($F$3="",0,MAX(0,$F116-$F$3))+IF($D$3="",0,MIN($F116-IF($F$3="",0,MAX(0,$F116-$F$3)),MAX(0,SUMIFS($F$5:$F$304,$A$5:$A$304,$A116&amp;"",$B$5:$B$304,"&gt;="&amp;($B116-MOD(WEEKDAY($B116)-$B$3,7)),$B$5:$B$304,"&lt;="&amp;$B116)-IF($F$3="",0,SUMIFS($F$5:$F$304,$A$5:$A$304,$A116&amp;"",$B$5:$B$304,"&gt;="&amp;($B116-MOD(WEEKDAY($B116)-$B$3,7)),$B$5:$B$304,"&lt;="&amp;$B116,$F$5:$F$304,"&gt;"&amp;$F$3)-$F$3*COUNTIFS($A$5:$A$304,$A116&amp;"",$B$5:$B$304,"&gt;="&amp;($B116-MOD(WEEKDAY($B116)-$B$3,7)),$B$5:$B$304,"&lt;="&amp;$B116,$F$5:$F$304,"&gt;"&amp;$F$3))-$D$3))),2))</f>
        <v/>
      </c>
      <c r="I116" s="26" t="n"/>
      <c r="J116" s="27">
        <f>IF(AND($A116="",$C116="",$D116=""),"",IF(OR($C116&gt;=1,$D116&gt;=1),"⚠ type the time with a colon: 9:00 AM, not 9",IF(AND($C116&lt;&gt;"",$C116=$D116),"⚠ clock-in equals clock-out: the shift adds 0 h",IF(AND($C116&lt;&gt;"",$D116&lt;&gt;"",IF($E116="",0,$E116)&gt;MOD($D116-$C116,1)*24),"⚠ the break is longer than the shift",IF(AND($A116&lt;&gt;"",COUNTIF('Monthly OT Summary'!$A$6:$A$35,$A116&amp;"")=0),"⚠ name not in Monthly OT Summary: its hours are not added","")))))</f>
        <v/>
      </c>
    </row>
    <row r="117">
      <c r="A117" s="21" t="n"/>
      <c r="B117" s="40" t="n"/>
      <c r="C117" s="41" t="n"/>
      <c r="D117" s="41" t="n"/>
      <c r="E117" s="24" t="n"/>
      <c r="F117" s="8">
        <f>IF(OR($C117="",$D117=""),"",IF(OR($C117&gt;=1,$D117&gt;=1,$C117=$D117,IF($E117="",0,$E117)&gt;MOD($D117-$C117,1)*24),"",ROUND(MOD($D117-$C117,1)*24-IF($E117="",0,$E117),2)))</f>
        <v/>
      </c>
      <c r="G117" s="25" t="n">
        <v>8</v>
      </c>
      <c r="H117" s="8">
        <f>IF(OR($A117="",$B117="",$F117=""),"",ROUND(IF($F$3="",0,MAX(0,$F117-$F$3))+IF($D$3="",0,MIN($F117-IF($F$3="",0,MAX(0,$F117-$F$3)),MAX(0,SUMIFS($F$5:$F$304,$A$5:$A$304,$A117&amp;"",$B$5:$B$304,"&gt;="&amp;($B117-MOD(WEEKDAY($B117)-$B$3,7)),$B$5:$B$304,"&lt;="&amp;$B117)-IF($F$3="",0,SUMIFS($F$5:$F$304,$A$5:$A$304,$A117&amp;"",$B$5:$B$304,"&gt;="&amp;($B117-MOD(WEEKDAY($B117)-$B$3,7)),$B$5:$B$304,"&lt;="&amp;$B117,$F$5:$F$304,"&gt;"&amp;$F$3)-$F$3*COUNTIFS($A$5:$A$304,$A117&amp;"",$B$5:$B$304,"&gt;="&amp;($B117-MOD(WEEKDAY($B117)-$B$3,7)),$B$5:$B$304,"&lt;="&amp;$B117,$F$5:$F$304,"&gt;"&amp;$F$3))-$D$3))),2))</f>
        <v/>
      </c>
      <c r="I117" s="26" t="n"/>
      <c r="J117" s="27">
        <f>IF(AND($A117="",$C117="",$D117=""),"",IF(OR($C117&gt;=1,$D117&gt;=1),"⚠ type the time with a colon: 9:00 AM, not 9",IF(AND($C117&lt;&gt;"",$C117=$D117),"⚠ clock-in equals clock-out: the shift adds 0 h",IF(AND($C117&lt;&gt;"",$D117&lt;&gt;"",IF($E117="",0,$E117)&gt;MOD($D117-$C117,1)*24),"⚠ the break is longer than the shift",IF(AND($A117&lt;&gt;"",COUNTIF('Monthly OT Summary'!$A$6:$A$35,$A117&amp;"")=0),"⚠ name not in Monthly OT Summary: its hours are not added","")))))</f>
        <v/>
      </c>
    </row>
    <row r="118">
      <c r="A118" s="21" t="n"/>
      <c r="B118" s="40" t="n"/>
      <c r="C118" s="41" t="n"/>
      <c r="D118" s="41" t="n"/>
      <c r="E118" s="24" t="n"/>
      <c r="F118" s="8">
        <f>IF(OR($C118="",$D118=""),"",IF(OR($C118&gt;=1,$D118&gt;=1,$C118=$D118,IF($E118="",0,$E118)&gt;MOD($D118-$C118,1)*24),"",ROUND(MOD($D118-$C118,1)*24-IF($E118="",0,$E118),2)))</f>
        <v/>
      </c>
      <c r="G118" s="25" t="n">
        <v>8</v>
      </c>
      <c r="H118" s="8">
        <f>IF(OR($A118="",$B118="",$F118=""),"",ROUND(IF($F$3="",0,MAX(0,$F118-$F$3))+IF($D$3="",0,MIN($F118-IF($F$3="",0,MAX(0,$F118-$F$3)),MAX(0,SUMIFS($F$5:$F$304,$A$5:$A$304,$A118&amp;"",$B$5:$B$304,"&gt;="&amp;($B118-MOD(WEEKDAY($B118)-$B$3,7)),$B$5:$B$304,"&lt;="&amp;$B118)-IF($F$3="",0,SUMIFS($F$5:$F$304,$A$5:$A$304,$A118&amp;"",$B$5:$B$304,"&gt;="&amp;($B118-MOD(WEEKDAY($B118)-$B$3,7)),$B$5:$B$304,"&lt;="&amp;$B118,$F$5:$F$304,"&gt;"&amp;$F$3)-$F$3*COUNTIFS($A$5:$A$304,$A118&amp;"",$B$5:$B$304,"&gt;="&amp;($B118-MOD(WEEKDAY($B118)-$B$3,7)),$B$5:$B$304,"&lt;="&amp;$B118,$F$5:$F$304,"&gt;"&amp;$F$3))-$D$3))),2))</f>
        <v/>
      </c>
      <c r="I118" s="26" t="n"/>
      <c r="J118" s="27">
        <f>IF(AND($A118="",$C118="",$D118=""),"",IF(OR($C118&gt;=1,$D118&gt;=1),"⚠ type the time with a colon: 9:00 AM, not 9",IF(AND($C118&lt;&gt;"",$C118=$D118),"⚠ clock-in equals clock-out: the shift adds 0 h",IF(AND($C118&lt;&gt;"",$D118&lt;&gt;"",IF($E118="",0,$E118)&gt;MOD($D118-$C118,1)*24),"⚠ the break is longer than the shift",IF(AND($A118&lt;&gt;"",COUNTIF('Monthly OT Summary'!$A$6:$A$35,$A118&amp;"")=0),"⚠ name not in Monthly OT Summary: its hours are not added","")))))</f>
        <v/>
      </c>
    </row>
    <row r="119">
      <c r="A119" s="21" t="n"/>
      <c r="B119" s="40" t="n"/>
      <c r="C119" s="41" t="n"/>
      <c r="D119" s="41" t="n"/>
      <c r="E119" s="24" t="n"/>
      <c r="F119" s="8">
        <f>IF(OR($C119="",$D119=""),"",IF(OR($C119&gt;=1,$D119&gt;=1,$C119=$D119,IF($E119="",0,$E119)&gt;MOD($D119-$C119,1)*24),"",ROUND(MOD($D119-$C119,1)*24-IF($E119="",0,$E119),2)))</f>
        <v/>
      </c>
      <c r="G119" s="25" t="n">
        <v>8</v>
      </c>
      <c r="H119" s="8">
        <f>IF(OR($A119="",$B119="",$F119=""),"",ROUND(IF($F$3="",0,MAX(0,$F119-$F$3))+IF($D$3="",0,MIN($F119-IF($F$3="",0,MAX(0,$F119-$F$3)),MAX(0,SUMIFS($F$5:$F$304,$A$5:$A$304,$A119&amp;"",$B$5:$B$304,"&gt;="&amp;($B119-MOD(WEEKDAY($B119)-$B$3,7)),$B$5:$B$304,"&lt;="&amp;$B119)-IF($F$3="",0,SUMIFS($F$5:$F$304,$A$5:$A$304,$A119&amp;"",$B$5:$B$304,"&gt;="&amp;($B119-MOD(WEEKDAY($B119)-$B$3,7)),$B$5:$B$304,"&lt;="&amp;$B119,$F$5:$F$304,"&gt;"&amp;$F$3)-$F$3*COUNTIFS($A$5:$A$304,$A119&amp;"",$B$5:$B$304,"&gt;="&amp;($B119-MOD(WEEKDAY($B119)-$B$3,7)),$B$5:$B$304,"&lt;="&amp;$B119,$F$5:$F$304,"&gt;"&amp;$F$3))-$D$3))),2))</f>
        <v/>
      </c>
      <c r="I119" s="26" t="n"/>
      <c r="J119" s="27">
        <f>IF(AND($A119="",$C119="",$D119=""),"",IF(OR($C119&gt;=1,$D119&gt;=1),"⚠ type the time with a colon: 9:00 AM, not 9",IF(AND($C119&lt;&gt;"",$C119=$D119),"⚠ clock-in equals clock-out: the shift adds 0 h",IF(AND($C119&lt;&gt;"",$D119&lt;&gt;"",IF($E119="",0,$E119)&gt;MOD($D119-$C119,1)*24),"⚠ the break is longer than the shift",IF(AND($A119&lt;&gt;"",COUNTIF('Monthly OT Summary'!$A$6:$A$35,$A119&amp;"")=0),"⚠ name not in Monthly OT Summary: its hours are not added","")))))</f>
        <v/>
      </c>
    </row>
    <row r="120">
      <c r="A120" s="21" t="n"/>
      <c r="B120" s="40" t="n"/>
      <c r="C120" s="41" t="n"/>
      <c r="D120" s="41" t="n"/>
      <c r="E120" s="24" t="n"/>
      <c r="F120" s="8">
        <f>IF(OR($C120="",$D120=""),"",IF(OR($C120&gt;=1,$D120&gt;=1,$C120=$D120,IF($E120="",0,$E120)&gt;MOD($D120-$C120,1)*24),"",ROUND(MOD($D120-$C120,1)*24-IF($E120="",0,$E120),2)))</f>
        <v/>
      </c>
      <c r="G120" s="25" t="n">
        <v>8</v>
      </c>
      <c r="H120" s="8">
        <f>IF(OR($A120="",$B120="",$F120=""),"",ROUND(IF($F$3="",0,MAX(0,$F120-$F$3))+IF($D$3="",0,MIN($F120-IF($F$3="",0,MAX(0,$F120-$F$3)),MAX(0,SUMIFS($F$5:$F$304,$A$5:$A$304,$A120&amp;"",$B$5:$B$304,"&gt;="&amp;($B120-MOD(WEEKDAY($B120)-$B$3,7)),$B$5:$B$304,"&lt;="&amp;$B120)-IF($F$3="",0,SUMIFS($F$5:$F$304,$A$5:$A$304,$A120&amp;"",$B$5:$B$304,"&gt;="&amp;($B120-MOD(WEEKDAY($B120)-$B$3,7)),$B$5:$B$304,"&lt;="&amp;$B120,$F$5:$F$304,"&gt;"&amp;$F$3)-$F$3*COUNTIFS($A$5:$A$304,$A120&amp;"",$B$5:$B$304,"&gt;="&amp;($B120-MOD(WEEKDAY($B120)-$B$3,7)),$B$5:$B$304,"&lt;="&amp;$B120,$F$5:$F$304,"&gt;"&amp;$F$3))-$D$3))),2))</f>
        <v/>
      </c>
      <c r="I120" s="26" t="n"/>
      <c r="J120" s="27">
        <f>IF(AND($A120="",$C120="",$D120=""),"",IF(OR($C120&gt;=1,$D120&gt;=1),"⚠ type the time with a colon: 9:00 AM, not 9",IF(AND($C120&lt;&gt;"",$C120=$D120),"⚠ clock-in equals clock-out: the shift adds 0 h",IF(AND($C120&lt;&gt;"",$D120&lt;&gt;"",IF($E120="",0,$E120)&gt;MOD($D120-$C120,1)*24),"⚠ the break is longer than the shift",IF(AND($A120&lt;&gt;"",COUNTIF('Monthly OT Summary'!$A$6:$A$35,$A120&amp;"")=0),"⚠ name not in Monthly OT Summary: its hours are not added","")))))</f>
        <v/>
      </c>
    </row>
    <row r="121">
      <c r="A121" s="21" t="n"/>
      <c r="B121" s="40" t="n"/>
      <c r="C121" s="41" t="n"/>
      <c r="D121" s="41" t="n"/>
      <c r="E121" s="24" t="n"/>
      <c r="F121" s="8">
        <f>IF(OR($C121="",$D121=""),"",IF(OR($C121&gt;=1,$D121&gt;=1,$C121=$D121,IF($E121="",0,$E121)&gt;MOD($D121-$C121,1)*24),"",ROUND(MOD($D121-$C121,1)*24-IF($E121="",0,$E121),2)))</f>
        <v/>
      </c>
      <c r="G121" s="25" t="n">
        <v>8</v>
      </c>
      <c r="H121" s="8">
        <f>IF(OR($A121="",$B121="",$F121=""),"",ROUND(IF($F$3="",0,MAX(0,$F121-$F$3))+IF($D$3="",0,MIN($F121-IF($F$3="",0,MAX(0,$F121-$F$3)),MAX(0,SUMIFS($F$5:$F$304,$A$5:$A$304,$A121&amp;"",$B$5:$B$304,"&gt;="&amp;($B121-MOD(WEEKDAY($B121)-$B$3,7)),$B$5:$B$304,"&lt;="&amp;$B121)-IF($F$3="",0,SUMIFS($F$5:$F$304,$A$5:$A$304,$A121&amp;"",$B$5:$B$304,"&gt;="&amp;($B121-MOD(WEEKDAY($B121)-$B$3,7)),$B$5:$B$304,"&lt;="&amp;$B121,$F$5:$F$304,"&gt;"&amp;$F$3)-$F$3*COUNTIFS($A$5:$A$304,$A121&amp;"",$B$5:$B$304,"&gt;="&amp;($B121-MOD(WEEKDAY($B121)-$B$3,7)),$B$5:$B$304,"&lt;="&amp;$B121,$F$5:$F$304,"&gt;"&amp;$F$3))-$D$3))),2))</f>
        <v/>
      </c>
      <c r="I121" s="26" t="n"/>
      <c r="J121" s="27">
        <f>IF(AND($A121="",$C121="",$D121=""),"",IF(OR($C121&gt;=1,$D121&gt;=1),"⚠ type the time with a colon: 9:00 AM, not 9",IF(AND($C121&lt;&gt;"",$C121=$D121),"⚠ clock-in equals clock-out: the shift adds 0 h",IF(AND($C121&lt;&gt;"",$D121&lt;&gt;"",IF($E121="",0,$E121)&gt;MOD($D121-$C121,1)*24),"⚠ the break is longer than the shift",IF(AND($A121&lt;&gt;"",COUNTIF('Monthly OT Summary'!$A$6:$A$35,$A121&amp;"")=0),"⚠ name not in Monthly OT Summary: its hours are not added","")))))</f>
        <v/>
      </c>
    </row>
    <row r="122">
      <c r="A122" s="21" t="n"/>
      <c r="B122" s="40" t="n"/>
      <c r="C122" s="41" t="n"/>
      <c r="D122" s="41" t="n"/>
      <c r="E122" s="24" t="n"/>
      <c r="F122" s="8">
        <f>IF(OR($C122="",$D122=""),"",IF(OR($C122&gt;=1,$D122&gt;=1,$C122=$D122,IF($E122="",0,$E122)&gt;MOD($D122-$C122,1)*24),"",ROUND(MOD($D122-$C122,1)*24-IF($E122="",0,$E122),2)))</f>
        <v/>
      </c>
      <c r="G122" s="25" t="n">
        <v>8</v>
      </c>
      <c r="H122" s="8">
        <f>IF(OR($A122="",$B122="",$F122=""),"",ROUND(IF($F$3="",0,MAX(0,$F122-$F$3))+IF($D$3="",0,MIN($F122-IF($F$3="",0,MAX(0,$F122-$F$3)),MAX(0,SUMIFS($F$5:$F$304,$A$5:$A$304,$A122&amp;"",$B$5:$B$304,"&gt;="&amp;($B122-MOD(WEEKDAY($B122)-$B$3,7)),$B$5:$B$304,"&lt;="&amp;$B122)-IF($F$3="",0,SUMIFS($F$5:$F$304,$A$5:$A$304,$A122&amp;"",$B$5:$B$304,"&gt;="&amp;($B122-MOD(WEEKDAY($B122)-$B$3,7)),$B$5:$B$304,"&lt;="&amp;$B122,$F$5:$F$304,"&gt;"&amp;$F$3)-$F$3*COUNTIFS($A$5:$A$304,$A122&amp;"",$B$5:$B$304,"&gt;="&amp;($B122-MOD(WEEKDAY($B122)-$B$3,7)),$B$5:$B$304,"&lt;="&amp;$B122,$F$5:$F$304,"&gt;"&amp;$F$3))-$D$3))),2))</f>
        <v/>
      </c>
      <c r="I122" s="26" t="n"/>
      <c r="J122" s="27">
        <f>IF(AND($A122="",$C122="",$D122=""),"",IF(OR($C122&gt;=1,$D122&gt;=1),"⚠ type the time with a colon: 9:00 AM, not 9",IF(AND($C122&lt;&gt;"",$C122=$D122),"⚠ clock-in equals clock-out: the shift adds 0 h",IF(AND($C122&lt;&gt;"",$D122&lt;&gt;"",IF($E122="",0,$E122)&gt;MOD($D122-$C122,1)*24),"⚠ the break is longer than the shift",IF(AND($A122&lt;&gt;"",COUNTIF('Monthly OT Summary'!$A$6:$A$35,$A122&amp;"")=0),"⚠ name not in Monthly OT Summary: its hours are not added","")))))</f>
        <v/>
      </c>
    </row>
    <row r="123">
      <c r="A123" s="21" t="n"/>
      <c r="B123" s="40" t="n"/>
      <c r="C123" s="41" t="n"/>
      <c r="D123" s="41" t="n"/>
      <c r="E123" s="24" t="n"/>
      <c r="F123" s="8">
        <f>IF(OR($C123="",$D123=""),"",IF(OR($C123&gt;=1,$D123&gt;=1,$C123=$D123,IF($E123="",0,$E123)&gt;MOD($D123-$C123,1)*24),"",ROUND(MOD($D123-$C123,1)*24-IF($E123="",0,$E123),2)))</f>
        <v/>
      </c>
      <c r="G123" s="25" t="n">
        <v>8</v>
      </c>
      <c r="H123" s="8">
        <f>IF(OR($A123="",$B123="",$F123=""),"",ROUND(IF($F$3="",0,MAX(0,$F123-$F$3))+IF($D$3="",0,MIN($F123-IF($F$3="",0,MAX(0,$F123-$F$3)),MAX(0,SUMIFS($F$5:$F$304,$A$5:$A$304,$A123&amp;"",$B$5:$B$304,"&gt;="&amp;($B123-MOD(WEEKDAY($B123)-$B$3,7)),$B$5:$B$304,"&lt;="&amp;$B123)-IF($F$3="",0,SUMIFS($F$5:$F$304,$A$5:$A$304,$A123&amp;"",$B$5:$B$304,"&gt;="&amp;($B123-MOD(WEEKDAY($B123)-$B$3,7)),$B$5:$B$304,"&lt;="&amp;$B123,$F$5:$F$304,"&gt;"&amp;$F$3)-$F$3*COUNTIFS($A$5:$A$304,$A123&amp;"",$B$5:$B$304,"&gt;="&amp;($B123-MOD(WEEKDAY($B123)-$B$3,7)),$B$5:$B$304,"&lt;="&amp;$B123,$F$5:$F$304,"&gt;"&amp;$F$3))-$D$3))),2))</f>
        <v/>
      </c>
      <c r="I123" s="26" t="n"/>
      <c r="J123" s="27">
        <f>IF(AND($A123="",$C123="",$D123=""),"",IF(OR($C123&gt;=1,$D123&gt;=1),"⚠ type the time with a colon: 9:00 AM, not 9",IF(AND($C123&lt;&gt;"",$C123=$D123),"⚠ clock-in equals clock-out: the shift adds 0 h",IF(AND($C123&lt;&gt;"",$D123&lt;&gt;"",IF($E123="",0,$E123)&gt;MOD($D123-$C123,1)*24),"⚠ the break is longer than the shift",IF(AND($A123&lt;&gt;"",COUNTIF('Monthly OT Summary'!$A$6:$A$35,$A123&amp;"")=0),"⚠ name not in Monthly OT Summary: its hours are not added","")))))</f>
        <v/>
      </c>
    </row>
    <row r="124">
      <c r="A124" s="21" t="n"/>
      <c r="B124" s="40" t="n"/>
      <c r="C124" s="41" t="n"/>
      <c r="D124" s="41" t="n"/>
      <c r="E124" s="24" t="n"/>
      <c r="F124" s="8">
        <f>IF(OR($C124="",$D124=""),"",IF(OR($C124&gt;=1,$D124&gt;=1,$C124=$D124,IF($E124="",0,$E124)&gt;MOD($D124-$C124,1)*24),"",ROUND(MOD($D124-$C124,1)*24-IF($E124="",0,$E124),2)))</f>
        <v/>
      </c>
      <c r="G124" s="25" t="n">
        <v>8</v>
      </c>
      <c r="H124" s="8">
        <f>IF(OR($A124="",$B124="",$F124=""),"",ROUND(IF($F$3="",0,MAX(0,$F124-$F$3))+IF($D$3="",0,MIN($F124-IF($F$3="",0,MAX(0,$F124-$F$3)),MAX(0,SUMIFS($F$5:$F$304,$A$5:$A$304,$A124&amp;"",$B$5:$B$304,"&gt;="&amp;($B124-MOD(WEEKDAY($B124)-$B$3,7)),$B$5:$B$304,"&lt;="&amp;$B124)-IF($F$3="",0,SUMIFS($F$5:$F$304,$A$5:$A$304,$A124&amp;"",$B$5:$B$304,"&gt;="&amp;($B124-MOD(WEEKDAY($B124)-$B$3,7)),$B$5:$B$304,"&lt;="&amp;$B124,$F$5:$F$304,"&gt;"&amp;$F$3)-$F$3*COUNTIFS($A$5:$A$304,$A124&amp;"",$B$5:$B$304,"&gt;="&amp;($B124-MOD(WEEKDAY($B124)-$B$3,7)),$B$5:$B$304,"&lt;="&amp;$B124,$F$5:$F$304,"&gt;"&amp;$F$3))-$D$3))),2))</f>
        <v/>
      </c>
      <c r="I124" s="26" t="n"/>
      <c r="J124" s="27">
        <f>IF(AND($A124="",$C124="",$D124=""),"",IF(OR($C124&gt;=1,$D124&gt;=1),"⚠ type the time with a colon: 9:00 AM, not 9",IF(AND($C124&lt;&gt;"",$C124=$D124),"⚠ clock-in equals clock-out: the shift adds 0 h",IF(AND($C124&lt;&gt;"",$D124&lt;&gt;"",IF($E124="",0,$E124)&gt;MOD($D124-$C124,1)*24),"⚠ the break is longer than the shift",IF(AND($A124&lt;&gt;"",COUNTIF('Monthly OT Summary'!$A$6:$A$35,$A124&amp;"")=0),"⚠ name not in Monthly OT Summary: its hours are not added","")))))</f>
        <v/>
      </c>
    </row>
    <row r="125">
      <c r="A125" s="21" t="n"/>
      <c r="B125" s="40" t="n"/>
      <c r="C125" s="41" t="n"/>
      <c r="D125" s="41" t="n"/>
      <c r="E125" s="24" t="n"/>
      <c r="F125" s="8">
        <f>IF(OR($C125="",$D125=""),"",IF(OR($C125&gt;=1,$D125&gt;=1,$C125=$D125,IF($E125="",0,$E125)&gt;MOD($D125-$C125,1)*24),"",ROUND(MOD($D125-$C125,1)*24-IF($E125="",0,$E125),2)))</f>
        <v/>
      </c>
      <c r="G125" s="25" t="n">
        <v>8</v>
      </c>
      <c r="H125" s="8">
        <f>IF(OR($A125="",$B125="",$F125=""),"",ROUND(IF($F$3="",0,MAX(0,$F125-$F$3))+IF($D$3="",0,MIN($F125-IF($F$3="",0,MAX(0,$F125-$F$3)),MAX(0,SUMIFS($F$5:$F$304,$A$5:$A$304,$A125&amp;"",$B$5:$B$304,"&gt;="&amp;($B125-MOD(WEEKDAY($B125)-$B$3,7)),$B$5:$B$304,"&lt;="&amp;$B125)-IF($F$3="",0,SUMIFS($F$5:$F$304,$A$5:$A$304,$A125&amp;"",$B$5:$B$304,"&gt;="&amp;($B125-MOD(WEEKDAY($B125)-$B$3,7)),$B$5:$B$304,"&lt;="&amp;$B125,$F$5:$F$304,"&gt;"&amp;$F$3)-$F$3*COUNTIFS($A$5:$A$304,$A125&amp;"",$B$5:$B$304,"&gt;="&amp;($B125-MOD(WEEKDAY($B125)-$B$3,7)),$B$5:$B$304,"&lt;="&amp;$B125,$F$5:$F$304,"&gt;"&amp;$F$3))-$D$3))),2))</f>
        <v/>
      </c>
      <c r="I125" s="26" t="n"/>
      <c r="J125" s="27">
        <f>IF(AND($A125="",$C125="",$D125=""),"",IF(OR($C125&gt;=1,$D125&gt;=1),"⚠ type the time with a colon: 9:00 AM, not 9",IF(AND($C125&lt;&gt;"",$C125=$D125),"⚠ clock-in equals clock-out: the shift adds 0 h",IF(AND($C125&lt;&gt;"",$D125&lt;&gt;"",IF($E125="",0,$E125)&gt;MOD($D125-$C125,1)*24),"⚠ the break is longer than the shift",IF(AND($A125&lt;&gt;"",COUNTIF('Monthly OT Summary'!$A$6:$A$35,$A125&amp;"")=0),"⚠ name not in Monthly OT Summary: its hours are not added","")))))</f>
        <v/>
      </c>
    </row>
    <row r="126">
      <c r="A126" s="21" t="n"/>
      <c r="B126" s="40" t="n"/>
      <c r="C126" s="41" t="n"/>
      <c r="D126" s="41" t="n"/>
      <c r="E126" s="24" t="n"/>
      <c r="F126" s="8">
        <f>IF(OR($C126="",$D126=""),"",IF(OR($C126&gt;=1,$D126&gt;=1,$C126=$D126,IF($E126="",0,$E126)&gt;MOD($D126-$C126,1)*24),"",ROUND(MOD($D126-$C126,1)*24-IF($E126="",0,$E126),2)))</f>
        <v/>
      </c>
      <c r="G126" s="25" t="n">
        <v>8</v>
      </c>
      <c r="H126" s="8">
        <f>IF(OR($A126="",$B126="",$F126=""),"",ROUND(IF($F$3="",0,MAX(0,$F126-$F$3))+IF($D$3="",0,MIN($F126-IF($F$3="",0,MAX(0,$F126-$F$3)),MAX(0,SUMIFS($F$5:$F$304,$A$5:$A$304,$A126&amp;"",$B$5:$B$304,"&gt;="&amp;($B126-MOD(WEEKDAY($B126)-$B$3,7)),$B$5:$B$304,"&lt;="&amp;$B126)-IF($F$3="",0,SUMIFS($F$5:$F$304,$A$5:$A$304,$A126&amp;"",$B$5:$B$304,"&gt;="&amp;($B126-MOD(WEEKDAY($B126)-$B$3,7)),$B$5:$B$304,"&lt;="&amp;$B126,$F$5:$F$304,"&gt;"&amp;$F$3)-$F$3*COUNTIFS($A$5:$A$304,$A126&amp;"",$B$5:$B$304,"&gt;="&amp;($B126-MOD(WEEKDAY($B126)-$B$3,7)),$B$5:$B$304,"&lt;="&amp;$B126,$F$5:$F$304,"&gt;"&amp;$F$3))-$D$3))),2))</f>
        <v/>
      </c>
      <c r="I126" s="26" t="n"/>
      <c r="J126" s="27">
        <f>IF(AND($A126="",$C126="",$D126=""),"",IF(OR($C126&gt;=1,$D126&gt;=1),"⚠ type the time with a colon: 9:00 AM, not 9",IF(AND($C126&lt;&gt;"",$C126=$D126),"⚠ clock-in equals clock-out: the shift adds 0 h",IF(AND($C126&lt;&gt;"",$D126&lt;&gt;"",IF($E126="",0,$E126)&gt;MOD($D126-$C126,1)*24),"⚠ the break is longer than the shift",IF(AND($A126&lt;&gt;"",COUNTIF('Monthly OT Summary'!$A$6:$A$35,$A126&amp;"")=0),"⚠ name not in Monthly OT Summary: its hours are not added","")))))</f>
        <v/>
      </c>
    </row>
    <row r="127">
      <c r="A127" s="21" t="n"/>
      <c r="B127" s="40" t="n"/>
      <c r="C127" s="41" t="n"/>
      <c r="D127" s="41" t="n"/>
      <c r="E127" s="24" t="n"/>
      <c r="F127" s="8">
        <f>IF(OR($C127="",$D127=""),"",IF(OR($C127&gt;=1,$D127&gt;=1,$C127=$D127,IF($E127="",0,$E127)&gt;MOD($D127-$C127,1)*24),"",ROUND(MOD($D127-$C127,1)*24-IF($E127="",0,$E127),2)))</f>
        <v/>
      </c>
      <c r="G127" s="25" t="n">
        <v>8</v>
      </c>
      <c r="H127" s="8">
        <f>IF(OR($A127="",$B127="",$F127=""),"",ROUND(IF($F$3="",0,MAX(0,$F127-$F$3))+IF($D$3="",0,MIN($F127-IF($F$3="",0,MAX(0,$F127-$F$3)),MAX(0,SUMIFS($F$5:$F$304,$A$5:$A$304,$A127&amp;"",$B$5:$B$304,"&gt;="&amp;($B127-MOD(WEEKDAY($B127)-$B$3,7)),$B$5:$B$304,"&lt;="&amp;$B127)-IF($F$3="",0,SUMIFS($F$5:$F$304,$A$5:$A$304,$A127&amp;"",$B$5:$B$304,"&gt;="&amp;($B127-MOD(WEEKDAY($B127)-$B$3,7)),$B$5:$B$304,"&lt;="&amp;$B127,$F$5:$F$304,"&gt;"&amp;$F$3)-$F$3*COUNTIFS($A$5:$A$304,$A127&amp;"",$B$5:$B$304,"&gt;="&amp;($B127-MOD(WEEKDAY($B127)-$B$3,7)),$B$5:$B$304,"&lt;="&amp;$B127,$F$5:$F$304,"&gt;"&amp;$F$3))-$D$3))),2))</f>
        <v/>
      </c>
      <c r="I127" s="26" t="n"/>
      <c r="J127" s="27">
        <f>IF(AND($A127="",$C127="",$D127=""),"",IF(OR($C127&gt;=1,$D127&gt;=1),"⚠ type the time with a colon: 9:00 AM, not 9",IF(AND($C127&lt;&gt;"",$C127=$D127),"⚠ clock-in equals clock-out: the shift adds 0 h",IF(AND($C127&lt;&gt;"",$D127&lt;&gt;"",IF($E127="",0,$E127)&gt;MOD($D127-$C127,1)*24),"⚠ the break is longer than the shift",IF(AND($A127&lt;&gt;"",COUNTIF('Monthly OT Summary'!$A$6:$A$35,$A127&amp;"")=0),"⚠ name not in Monthly OT Summary: its hours are not added","")))))</f>
        <v/>
      </c>
    </row>
    <row r="128">
      <c r="A128" s="21" t="n"/>
      <c r="B128" s="40" t="n"/>
      <c r="C128" s="41" t="n"/>
      <c r="D128" s="41" t="n"/>
      <c r="E128" s="24" t="n"/>
      <c r="F128" s="8">
        <f>IF(OR($C128="",$D128=""),"",IF(OR($C128&gt;=1,$D128&gt;=1,$C128=$D128,IF($E128="",0,$E128)&gt;MOD($D128-$C128,1)*24),"",ROUND(MOD($D128-$C128,1)*24-IF($E128="",0,$E128),2)))</f>
        <v/>
      </c>
      <c r="G128" s="25" t="n">
        <v>8</v>
      </c>
      <c r="H128" s="8">
        <f>IF(OR($A128="",$B128="",$F128=""),"",ROUND(IF($F$3="",0,MAX(0,$F128-$F$3))+IF($D$3="",0,MIN($F128-IF($F$3="",0,MAX(0,$F128-$F$3)),MAX(0,SUMIFS($F$5:$F$304,$A$5:$A$304,$A128&amp;"",$B$5:$B$304,"&gt;="&amp;($B128-MOD(WEEKDAY($B128)-$B$3,7)),$B$5:$B$304,"&lt;="&amp;$B128)-IF($F$3="",0,SUMIFS($F$5:$F$304,$A$5:$A$304,$A128&amp;"",$B$5:$B$304,"&gt;="&amp;($B128-MOD(WEEKDAY($B128)-$B$3,7)),$B$5:$B$304,"&lt;="&amp;$B128,$F$5:$F$304,"&gt;"&amp;$F$3)-$F$3*COUNTIFS($A$5:$A$304,$A128&amp;"",$B$5:$B$304,"&gt;="&amp;($B128-MOD(WEEKDAY($B128)-$B$3,7)),$B$5:$B$304,"&lt;="&amp;$B128,$F$5:$F$304,"&gt;"&amp;$F$3))-$D$3))),2))</f>
        <v/>
      </c>
      <c r="I128" s="26" t="n"/>
      <c r="J128" s="27">
        <f>IF(AND($A128="",$C128="",$D128=""),"",IF(OR($C128&gt;=1,$D128&gt;=1),"⚠ type the time with a colon: 9:00 AM, not 9",IF(AND($C128&lt;&gt;"",$C128=$D128),"⚠ clock-in equals clock-out: the shift adds 0 h",IF(AND($C128&lt;&gt;"",$D128&lt;&gt;"",IF($E128="",0,$E128)&gt;MOD($D128-$C128,1)*24),"⚠ the break is longer than the shift",IF(AND($A128&lt;&gt;"",COUNTIF('Monthly OT Summary'!$A$6:$A$35,$A128&amp;"")=0),"⚠ name not in Monthly OT Summary: its hours are not added","")))))</f>
        <v/>
      </c>
    </row>
    <row r="129">
      <c r="A129" s="21" t="n"/>
      <c r="B129" s="40" t="n"/>
      <c r="C129" s="41" t="n"/>
      <c r="D129" s="41" t="n"/>
      <c r="E129" s="24" t="n"/>
      <c r="F129" s="8">
        <f>IF(OR($C129="",$D129=""),"",IF(OR($C129&gt;=1,$D129&gt;=1,$C129=$D129,IF($E129="",0,$E129)&gt;MOD($D129-$C129,1)*24),"",ROUND(MOD($D129-$C129,1)*24-IF($E129="",0,$E129),2)))</f>
        <v/>
      </c>
      <c r="G129" s="25" t="n">
        <v>8</v>
      </c>
      <c r="H129" s="8">
        <f>IF(OR($A129="",$B129="",$F129=""),"",ROUND(IF($F$3="",0,MAX(0,$F129-$F$3))+IF($D$3="",0,MIN($F129-IF($F$3="",0,MAX(0,$F129-$F$3)),MAX(0,SUMIFS($F$5:$F$304,$A$5:$A$304,$A129&amp;"",$B$5:$B$304,"&gt;="&amp;($B129-MOD(WEEKDAY($B129)-$B$3,7)),$B$5:$B$304,"&lt;="&amp;$B129)-IF($F$3="",0,SUMIFS($F$5:$F$304,$A$5:$A$304,$A129&amp;"",$B$5:$B$304,"&gt;="&amp;($B129-MOD(WEEKDAY($B129)-$B$3,7)),$B$5:$B$304,"&lt;="&amp;$B129,$F$5:$F$304,"&gt;"&amp;$F$3)-$F$3*COUNTIFS($A$5:$A$304,$A129&amp;"",$B$5:$B$304,"&gt;="&amp;($B129-MOD(WEEKDAY($B129)-$B$3,7)),$B$5:$B$304,"&lt;="&amp;$B129,$F$5:$F$304,"&gt;"&amp;$F$3))-$D$3))),2))</f>
        <v/>
      </c>
      <c r="I129" s="26" t="n"/>
      <c r="J129" s="27">
        <f>IF(AND($A129="",$C129="",$D129=""),"",IF(OR($C129&gt;=1,$D129&gt;=1),"⚠ type the time with a colon: 9:00 AM, not 9",IF(AND($C129&lt;&gt;"",$C129=$D129),"⚠ clock-in equals clock-out: the shift adds 0 h",IF(AND($C129&lt;&gt;"",$D129&lt;&gt;"",IF($E129="",0,$E129)&gt;MOD($D129-$C129,1)*24),"⚠ the break is longer than the shift",IF(AND($A129&lt;&gt;"",COUNTIF('Monthly OT Summary'!$A$6:$A$35,$A129&amp;"")=0),"⚠ name not in Monthly OT Summary: its hours are not added","")))))</f>
        <v/>
      </c>
    </row>
    <row r="130">
      <c r="A130" s="21" t="n"/>
      <c r="B130" s="40" t="n"/>
      <c r="C130" s="41" t="n"/>
      <c r="D130" s="41" t="n"/>
      <c r="E130" s="24" t="n"/>
      <c r="F130" s="8">
        <f>IF(OR($C130="",$D130=""),"",IF(OR($C130&gt;=1,$D130&gt;=1,$C130=$D130,IF($E130="",0,$E130)&gt;MOD($D130-$C130,1)*24),"",ROUND(MOD($D130-$C130,1)*24-IF($E130="",0,$E130),2)))</f>
        <v/>
      </c>
      <c r="G130" s="25" t="n">
        <v>8</v>
      </c>
      <c r="H130" s="8">
        <f>IF(OR($A130="",$B130="",$F130=""),"",ROUND(IF($F$3="",0,MAX(0,$F130-$F$3))+IF($D$3="",0,MIN($F130-IF($F$3="",0,MAX(0,$F130-$F$3)),MAX(0,SUMIFS($F$5:$F$304,$A$5:$A$304,$A130&amp;"",$B$5:$B$304,"&gt;="&amp;($B130-MOD(WEEKDAY($B130)-$B$3,7)),$B$5:$B$304,"&lt;="&amp;$B130)-IF($F$3="",0,SUMIFS($F$5:$F$304,$A$5:$A$304,$A130&amp;"",$B$5:$B$304,"&gt;="&amp;($B130-MOD(WEEKDAY($B130)-$B$3,7)),$B$5:$B$304,"&lt;="&amp;$B130,$F$5:$F$304,"&gt;"&amp;$F$3)-$F$3*COUNTIFS($A$5:$A$304,$A130&amp;"",$B$5:$B$304,"&gt;="&amp;($B130-MOD(WEEKDAY($B130)-$B$3,7)),$B$5:$B$304,"&lt;="&amp;$B130,$F$5:$F$304,"&gt;"&amp;$F$3))-$D$3))),2))</f>
        <v/>
      </c>
      <c r="I130" s="26" t="n"/>
      <c r="J130" s="27">
        <f>IF(AND($A130="",$C130="",$D130=""),"",IF(OR($C130&gt;=1,$D130&gt;=1),"⚠ type the time with a colon: 9:00 AM, not 9",IF(AND($C130&lt;&gt;"",$C130=$D130),"⚠ clock-in equals clock-out: the shift adds 0 h",IF(AND($C130&lt;&gt;"",$D130&lt;&gt;"",IF($E130="",0,$E130)&gt;MOD($D130-$C130,1)*24),"⚠ the break is longer than the shift",IF(AND($A130&lt;&gt;"",COUNTIF('Monthly OT Summary'!$A$6:$A$35,$A130&amp;"")=0),"⚠ name not in Monthly OT Summary: its hours are not added","")))))</f>
        <v/>
      </c>
    </row>
    <row r="131">
      <c r="A131" s="21" t="n"/>
      <c r="B131" s="40" t="n"/>
      <c r="C131" s="41" t="n"/>
      <c r="D131" s="41" t="n"/>
      <c r="E131" s="24" t="n"/>
      <c r="F131" s="8">
        <f>IF(OR($C131="",$D131=""),"",IF(OR($C131&gt;=1,$D131&gt;=1,$C131=$D131,IF($E131="",0,$E131)&gt;MOD($D131-$C131,1)*24),"",ROUND(MOD($D131-$C131,1)*24-IF($E131="",0,$E131),2)))</f>
        <v/>
      </c>
      <c r="G131" s="25" t="n">
        <v>8</v>
      </c>
      <c r="H131" s="8">
        <f>IF(OR($A131="",$B131="",$F131=""),"",ROUND(IF($F$3="",0,MAX(0,$F131-$F$3))+IF($D$3="",0,MIN($F131-IF($F$3="",0,MAX(0,$F131-$F$3)),MAX(0,SUMIFS($F$5:$F$304,$A$5:$A$304,$A131&amp;"",$B$5:$B$304,"&gt;="&amp;($B131-MOD(WEEKDAY($B131)-$B$3,7)),$B$5:$B$304,"&lt;="&amp;$B131)-IF($F$3="",0,SUMIFS($F$5:$F$304,$A$5:$A$304,$A131&amp;"",$B$5:$B$304,"&gt;="&amp;($B131-MOD(WEEKDAY($B131)-$B$3,7)),$B$5:$B$304,"&lt;="&amp;$B131,$F$5:$F$304,"&gt;"&amp;$F$3)-$F$3*COUNTIFS($A$5:$A$304,$A131&amp;"",$B$5:$B$304,"&gt;="&amp;($B131-MOD(WEEKDAY($B131)-$B$3,7)),$B$5:$B$304,"&lt;="&amp;$B131,$F$5:$F$304,"&gt;"&amp;$F$3))-$D$3))),2))</f>
        <v/>
      </c>
      <c r="I131" s="26" t="n"/>
      <c r="J131" s="27">
        <f>IF(AND($A131="",$C131="",$D131=""),"",IF(OR($C131&gt;=1,$D131&gt;=1),"⚠ type the time with a colon: 9:00 AM, not 9",IF(AND($C131&lt;&gt;"",$C131=$D131),"⚠ clock-in equals clock-out: the shift adds 0 h",IF(AND($C131&lt;&gt;"",$D131&lt;&gt;"",IF($E131="",0,$E131)&gt;MOD($D131-$C131,1)*24),"⚠ the break is longer than the shift",IF(AND($A131&lt;&gt;"",COUNTIF('Monthly OT Summary'!$A$6:$A$35,$A131&amp;"")=0),"⚠ name not in Monthly OT Summary: its hours are not added","")))))</f>
        <v/>
      </c>
    </row>
    <row r="132">
      <c r="A132" s="21" t="n"/>
      <c r="B132" s="40" t="n"/>
      <c r="C132" s="41" t="n"/>
      <c r="D132" s="41" t="n"/>
      <c r="E132" s="24" t="n"/>
      <c r="F132" s="8">
        <f>IF(OR($C132="",$D132=""),"",IF(OR($C132&gt;=1,$D132&gt;=1,$C132=$D132,IF($E132="",0,$E132)&gt;MOD($D132-$C132,1)*24),"",ROUND(MOD($D132-$C132,1)*24-IF($E132="",0,$E132),2)))</f>
        <v/>
      </c>
      <c r="G132" s="25" t="n">
        <v>8</v>
      </c>
      <c r="H132" s="8">
        <f>IF(OR($A132="",$B132="",$F132=""),"",ROUND(IF($F$3="",0,MAX(0,$F132-$F$3))+IF($D$3="",0,MIN($F132-IF($F$3="",0,MAX(0,$F132-$F$3)),MAX(0,SUMIFS($F$5:$F$304,$A$5:$A$304,$A132&amp;"",$B$5:$B$304,"&gt;="&amp;($B132-MOD(WEEKDAY($B132)-$B$3,7)),$B$5:$B$304,"&lt;="&amp;$B132)-IF($F$3="",0,SUMIFS($F$5:$F$304,$A$5:$A$304,$A132&amp;"",$B$5:$B$304,"&gt;="&amp;($B132-MOD(WEEKDAY($B132)-$B$3,7)),$B$5:$B$304,"&lt;="&amp;$B132,$F$5:$F$304,"&gt;"&amp;$F$3)-$F$3*COUNTIFS($A$5:$A$304,$A132&amp;"",$B$5:$B$304,"&gt;="&amp;($B132-MOD(WEEKDAY($B132)-$B$3,7)),$B$5:$B$304,"&lt;="&amp;$B132,$F$5:$F$304,"&gt;"&amp;$F$3))-$D$3))),2))</f>
        <v/>
      </c>
      <c r="I132" s="26" t="n"/>
      <c r="J132" s="27">
        <f>IF(AND($A132="",$C132="",$D132=""),"",IF(OR($C132&gt;=1,$D132&gt;=1),"⚠ type the time with a colon: 9:00 AM, not 9",IF(AND($C132&lt;&gt;"",$C132=$D132),"⚠ clock-in equals clock-out: the shift adds 0 h",IF(AND($C132&lt;&gt;"",$D132&lt;&gt;"",IF($E132="",0,$E132)&gt;MOD($D132-$C132,1)*24),"⚠ the break is longer than the shift",IF(AND($A132&lt;&gt;"",COUNTIF('Monthly OT Summary'!$A$6:$A$35,$A132&amp;"")=0),"⚠ name not in Monthly OT Summary: its hours are not added","")))))</f>
        <v/>
      </c>
    </row>
    <row r="133">
      <c r="A133" s="21" t="n"/>
      <c r="B133" s="40" t="n"/>
      <c r="C133" s="41" t="n"/>
      <c r="D133" s="41" t="n"/>
      <c r="E133" s="24" t="n"/>
      <c r="F133" s="8">
        <f>IF(OR($C133="",$D133=""),"",IF(OR($C133&gt;=1,$D133&gt;=1,$C133=$D133,IF($E133="",0,$E133)&gt;MOD($D133-$C133,1)*24),"",ROUND(MOD($D133-$C133,1)*24-IF($E133="",0,$E133),2)))</f>
        <v/>
      </c>
      <c r="G133" s="25" t="n">
        <v>8</v>
      </c>
      <c r="H133" s="8">
        <f>IF(OR($A133="",$B133="",$F133=""),"",ROUND(IF($F$3="",0,MAX(0,$F133-$F$3))+IF($D$3="",0,MIN($F133-IF($F$3="",0,MAX(0,$F133-$F$3)),MAX(0,SUMIFS($F$5:$F$304,$A$5:$A$304,$A133&amp;"",$B$5:$B$304,"&gt;="&amp;($B133-MOD(WEEKDAY($B133)-$B$3,7)),$B$5:$B$304,"&lt;="&amp;$B133)-IF($F$3="",0,SUMIFS($F$5:$F$304,$A$5:$A$304,$A133&amp;"",$B$5:$B$304,"&gt;="&amp;($B133-MOD(WEEKDAY($B133)-$B$3,7)),$B$5:$B$304,"&lt;="&amp;$B133,$F$5:$F$304,"&gt;"&amp;$F$3)-$F$3*COUNTIFS($A$5:$A$304,$A133&amp;"",$B$5:$B$304,"&gt;="&amp;($B133-MOD(WEEKDAY($B133)-$B$3,7)),$B$5:$B$304,"&lt;="&amp;$B133,$F$5:$F$304,"&gt;"&amp;$F$3))-$D$3))),2))</f>
        <v/>
      </c>
      <c r="I133" s="26" t="n"/>
      <c r="J133" s="27">
        <f>IF(AND($A133="",$C133="",$D133=""),"",IF(OR($C133&gt;=1,$D133&gt;=1),"⚠ type the time with a colon: 9:00 AM, not 9",IF(AND($C133&lt;&gt;"",$C133=$D133),"⚠ clock-in equals clock-out: the shift adds 0 h",IF(AND($C133&lt;&gt;"",$D133&lt;&gt;"",IF($E133="",0,$E133)&gt;MOD($D133-$C133,1)*24),"⚠ the break is longer than the shift",IF(AND($A133&lt;&gt;"",COUNTIF('Monthly OT Summary'!$A$6:$A$35,$A133&amp;"")=0),"⚠ name not in Monthly OT Summary: its hours are not added","")))))</f>
        <v/>
      </c>
    </row>
    <row r="134">
      <c r="A134" s="21" t="n"/>
      <c r="B134" s="40" t="n"/>
      <c r="C134" s="41" t="n"/>
      <c r="D134" s="41" t="n"/>
      <c r="E134" s="24" t="n"/>
      <c r="F134" s="8">
        <f>IF(OR($C134="",$D134=""),"",IF(OR($C134&gt;=1,$D134&gt;=1,$C134=$D134,IF($E134="",0,$E134)&gt;MOD($D134-$C134,1)*24),"",ROUND(MOD($D134-$C134,1)*24-IF($E134="",0,$E134),2)))</f>
        <v/>
      </c>
      <c r="G134" s="25" t="n">
        <v>8</v>
      </c>
      <c r="H134" s="8">
        <f>IF(OR($A134="",$B134="",$F134=""),"",ROUND(IF($F$3="",0,MAX(0,$F134-$F$3))+IF($D$3="",0,MIN($F134-IF($F$3="",0,MAX(0,$F134-$F$3)),MAX(0,SUMIFS($F$5:$F$304,$A$5:$A$304,$A134&amp;"",$B$5:$B$304,"&gt;="&amp;($B134-MOD(WEEKDAY($B134)-$B$3,7)),$B$5:$B$304,"&lt;="&amp;$B134)-IF($F$3="",0,SUMIFS($F$5:$F$304,$A$5:$A$304,$A134&amp;"",$B$5:$B$304,"&gt;="&amp;($B134-MOD(WEEKDAY($B134)-$B$3,7)),$B$5:$B$304,"&lt;="&amp;$B134,$F$5:$F$304,"&gt;"&amp;$F$3)-$F$3*COUNTIFS($A$5:$A$304,$A134&amp;"",$B$5:$B$304,"&gt;="&amp;($B134-MOD(WEEKDAY($B134)-$B$3,7)),$B$5:$B$304,"&lt;="&amp;$B134,$F$5:$F$304,"&gt;"&amp;$F$3))-$D$3))),2))</f>
        <v/>
      </c>
      <c r="I134" s="26" t="n"/>
      <c r="J134" s="27">
        <f>IF(AND($A134="",$C134="",$D134=""),"",IF(OR($C134&gt;=1,$D134&gt;=1),"⚠ type the time with a colon: 9:00 AM, not 9",IF(AND($C134&lt;&gt;"",$C134=$D134),"⚠ clock-in equals clock-out: the shift adds 0 h",IF(AND($C134&lt;&gt;"",$D134&lt;&gt;"",IF($E134="",0,$E134)&gt;MOD($D134-$C134,1)*24),"⚠ the break is longer than the shift",IF(AND($A134&lt;&gt;"",COUNTIF('Monthly OT Summary'!$A$6:$A$35,$A134&amp;"")=0),"⚠ name not in Monthly OT Summary: its hours are not added","")))))</f>
        <v/>
      </c>
    </row>
    <row r="135">
      <c r="A135" s="21" t="n"/>
      <c r="B135" s="40" t="n"/>
      <c r="C135" s="41" t="n"/>
      <c r="D135" s="41" t="n"/>
      <c r="E135" s="24" t="n"/>
      <c r="F135" s="8">
        <f>IF(OR($C135="",$D135=""),"",IF(OR($C135&gt;=1,$D135&gt;=1,$C135=$D135,IF($E135="",0,$E135)&gt;MOD($D135-$C135,1)*24),"",ROUND(MOD($D135-$C135,1)*24-IF($E135="",0,$E135),2)))</f>
        <v/>
      </c>
      <c r="G135" s="25" t="n">
        <v>8</v>
      </c>
      <c r="H135" s="8">
        <f>IF(OR($A135="",$B135="",$F135=""),"",ROUND(IF($F$3="",0,MAX(0,$F135-$F$3))+IF($D$3="",0,MIN($F135-IF($F$3="",0,MAX(0,$F135-$F$3)),MAX(0,SUMIFS($F$5:$F$304,$A$5:$A$304,$A135&amp;"",$B$5:$B$304,"&gt;="&amp;($B135-MOD(WEEKDAY($B135)-$B$3,7)),$B$5:$B$304,"&lt;="&amp;$B135)-IF($F$3="",0,SUMIFS($F$5:$F$304,$A$5:$A$304,$A135&amp;"",$B$5:$B$304,"&gt;="&amp;($B135-MOD(WEEKDAY($B135)-$B$3,7)),$B$5:$B$304,"&lt;="&amp;$B135,$F$5:$F$304,"&gt;"&amp;$F$3)-$F$3*COUNTIFS($A$5:$A$304,$A135&amp;"",$B$5:$B$304,"&gt;="&amp;($B135-MOD(WEEKDAY($B135)-$B$3,7)),$B$5:$B$304,"&lt;="&amp;$B135,$F$5:$F$304,"&gt;"&amp;$F$3))-$D$3))),2))</f>
        <v/>
      </c>
      <c r="I135" s="26" t="n"/>
      <c r="J135" s="27">
        <f>IF(AND($A135="",$C135="",$D135=""),"",IF(OR($C135&gt;=1,$D135&gt;=1),"⚠ type the time with a colon: 9:00 AM, not 9",IF(AND($C135&lt;&gt;"",$C135=$D135),"⚠ clock-in equals clock-out: the shift adds 0 h",IF(AND($C135&lt;&gt;"",$D135&lt;&gt;"",IF($E135="",0,$E135)&gt;MOD($D135-$C135,1)*24),"⚠ the break is longer than the shift",IF(AND($A135&lt;&gt;"",COUNTIF('Monthly OT Summary'!$A$6:$A$35,$A135&amp;"")=0),"⚠ name not in Monthly OT Summary: its hours are not added","")))))</f>
        <v/>
      </c>
    </row>
    <row r="136">
      <c r="A136" s="21" t="n"/>
      <c r="B136" s="40" t="n"/>
      <c r="C136" s="41" t="n"/>
      <c r="D136" s="41" t="n"/>
      <c r="E136" s="24" t="n"/>
      <c r="F136" s="8">
        <f>IF(OR($C136="",$D136=""),"",IF(OR($C136&gt;=1,$D136&gt;=1,$C136=$D136,IF($E136="",0,$E136)&gt;MOD($D136-$C136,1)*24),"",ROUND(MOD($D136-$C136,1)*24-IF($E136="",0,$E136),2)))</f>
        <v/>
      </c>
      <c r="G136" s="25" t="n">
        <v>8</v>
      </c>
      <c r="H136" s="8">
        <f>IF(OR($A136="",$B136="",$F136=""),"",ROUND(IF($F$3="",0,MAX(0,$F136-$F$3))+IF($D$3="",0,MIN($F136-IF($F$3="",0,MAX(0,$F136-$F$3)),MAX(0,SUMIFS($F$5:$F$304,$A$5:$A$304,$A136&amp;"",$B$5:$B$304,"&gt;="&amp;($B136-MOD(WEEKDAY($B136)-$B$3,7)),$B$5:$B$304,"&lt;="&amp;$B136)-IF($F$3="",0,SUMIFS($F$5:$F$304,$A$5:$A$304,$A136&amp;"",$B$5:$B$304,"&gt;="&amp;($B136-MOD(WEEKDAY($B136)-$B$3,7)),$B$5:$B$304,"&lt;="&amp;$B136,$F$5:$F$304,"&gt;"&amp;$F$3)-$F$3*COUNTIFS($A$5:$A$304,$A136&amp;"",$B$5:$B$304,"&gt;="&amp;($B136-MOD(WEEKDAY($B136)-$B$3,7)),$B$5:$B$304,"&lt;="&amp;$B136,$F$5:$F$304,"&gt;"&amp;$F$3))-$D$3))),2))</f>
        <v/>
      </c>
      <c r="I136" s="26" t="n"/>
      <c r="J136" s="27">
        <f>IF(AND($A136="",$C136="",$D136=""),"",IF(OR($C136&gt;=1,$D136&gt;=1),"⚠ type the time with a colon: 9:00 AM, not 9",IF(AND($C136&lt;&gt;"",$C136=$D136),"⚠ clock-in equals clock-out: the shift adds 0 h",IF(AND($C136&lt;&gt;"",$D136&lt;&gt;"",IF($E136="",0,$E136)&gt;MOD($D136-$C136,1)*24),"⚠ the break is longer than the shift",IF(AND($A136&lt;&gt;"",COUNTIF('Monthly OT Summary'!$A$6:$A$35,$A136&amp;"")=0),"⚠ name not in Monthly OT Summary: its hours are not added","")))))</f>
        <v/>
      </c>
    </row>
    <row r="137">
      <c r="A137" s="21" t="n"/>
      <c r="B137" s="40" t="n"/>
      <c r="C137" s="41" t="n"/>
      <c r="D137" s="41" t="n"/>
      <c r="E137" s="24" t="n"/>
      <c r="F137" s="8">
        <f>IF(OR($C137="",$D137=""),"",IF(OR($C137&gt;=1,$D137&gt;=1,$C137=$D137,IF($E137="",0,$E137)&gt;MOD($D137-$C137,1)*24),"",ROUND(MOD($D137-$C137,1)*24-IF($E137="",0,$E137),2)))</f>
        <v/>
      </c>
      <c r="G137" s="25" t="n">
        <v>8</v>
      </c>
      <c r="H137" s="8">
        <f>IF(OR($A137="",$B137="",$F137=""),"",ROUND(IF($F$3="",0,MAX(0,$F137-$F$3))+IF($D$3="",0,MIN($F137-IF($F$3="",0,MAX(0,$F137-$F$3)),MAX(0,SUMIFS($F$5:$F$304,$A$5:$A$304,$A137&amp;"",$B$5:$B$304,"&gt;="&amp;($B137-MOD(WEEKDAY($B137)-$B$3,7)),$B$5:$B$304,"&lt;="&amp;$B137)-IF($F$3="",0,SUMIFS($F$5:$F$304,$A$5:$A$304,$A137&amp;"",$B$5:$B$304,"&gt;="&amp;($B137-MOD(WEEKDAY($B137)-$B$3,7)),$B$5:$B$304,"&lt;="&amp;$B137,$F$5:$F$304,"&gt;"&amp;$F$3)-$F$3*COUNTIFS($A$5:$A$304,$A137&amp;"",$B$5:$B$304,"&gt;="&amp;($B137-MOD(WEEKDAY($B137)-$B$3,7)),$B$5:$B$304,"&lt;="&amp;$B137,$F$5:$F$304,"&gt;"&amp;$F$3))-$D$3))),2))</f>
        <v/>
      </c>
      <c r="I137" s="26" t="n"/>
      <c r="J137" s="27">
        <f>IF(AND($A137="",$C137="",$D137=""),"",IF(OR($C137&gt;=1,$D137&gt;=1),"⚠ type the time with a colon: 9:00 AM, not 9",IF(AND($C137&lt;&gt;"",$C137=$D137),"⚠ clock-in equals clock-out: the shift adds 0 h",IF(AND($C137&lt;&gt;"",$D137&lt;&gt;"",IF($E137="",0,$E137)&gt;MOD($D137-$C137,1)*24),"⚠ the break is longer than the shift",IF(AND($A137&lt;&gt;"",COUNTIF('Monthly OT Summary'!$A$6:$A$35,$A137&amp;"")=0),"⚠ name not in Monthly OT Summary: its hours are not added","")))))</f>
        <v/>
      </c>
    </row>
    <row r="138">
      <c r="A138" s="21" t="n"/>
      <c r="B138" s="40" t="n"/>
      <c r="C138" s="41" t="n"/>
      <c r="D138" s="41" t="n"/>
      <c r="E138" s="24" t="n"/>
      <c r="F138" s="8">
        <f>IF(OR($C138="",$D138=""),"",IF(OR($C138&gt;=1,$D138&gt;=1,$C138=$D138,IF($E138="",0,$E138)&gt;MOD($D138-$C138,1)*24),"",ROUND(MOD($D138-$C138,1)*24-IF($E138="",0,$E138),2)))</f>
        <v/>
      </c>
      <c r="G138" s="25" t="n">
        <v>8</v>
      </c>
      <c r="H138" s="8">
        <f>IF(OR($A138="",$B138="",$F138=""),"",ROUND(IF($F$3="",0,MAX(0,$F138-$F$3))+IF($D$3="",0,MIN($F138-IF($F$3="",0,MAX(0,$F138-$F$3)),MAX(0,SUMIFS($F$5:$F$304,$A$5:$A$304,$A138&amp;"",$B$5:$B$304,"&gt;="&amp;($B138-MOD(WEEKDAY($B138)-$B$3,7)),$B$5:$B$304,"&lt;="&amp;$B138)-IF($F$3="",0,SUMIFS($F$5:$F$304,$A$5:$A$304,$A138&amp;"",$B$5:$B$304,"&gt;="&amp;($B138-MOD(WEEKDAY($B138)-$B$3,7)),$B$5:$B$304,"&lt;="&amp;$B138,$F$5:$F$304,"&gt;"&amp;$F$3)-$F$3*COUNTIFS($A$5:$A$304,$A138&amp;"",$B$5:$B$304,"&gt;="&amp;($B138-MOD(WEEKDAY($B138)-$B$3,7)),$B$5:$B$304,"&lt;="&amp;$B138,$F$5:$F$304,"&gt;"&amp;$F$3))-$D$3))),2))</f>
        <v/>
      </c>
      <c r="I138" s="26" t="n"/>
      <c r="J138" s="27">
        <f>IF(AND($A138="",$C138="",$D138=""),"",IF(OR($C138&gt;=1,$D138&gt;=1),"⚠ type the time with a colon: 9:00 AM, not 9",IF(AND($C138&lt;&gt;"",$C138=$D138),"⚠ clock-in equals clock-out: the shift adds 0 h",IF(AND($C138&lt;&gt;"",$D138&lt;&gt;"",IF($E138="",0,$E138)&gt;MOD($D138-$C138,1)*24),"⚠ the break is longer than the shift",IF(AND($A138&lt;&gt;"",COUNTIF('Monthly OT Summary'!$A$6:$A$35,$A138&amp;"")=0),"⚠ name not in Monthly OT Summary: its hours are not added","")))))</f>
        <v/>
      </c>
    </row>
    <row r="139">
      <c r="A139" s="21" t="n"/>
      <c r="B139" s="40" t="n"/>
      <c r="C139" s="41" t="n"/>
      <c r="D139" s="41" t="n"/>
      <c r="E139" s="24" t="n"/>
      <c r="F139" s="8">
        <f>IF(OR($C139="",$D139=""),"",IF(OR($C139&gt;=1,$D139&gt;=1,$C139=$D139,IF($E139="",0,$E139)&gt;MOD($D139-$C139,1)*24),"",ROUND(MOD($D139-$C139,1)*24-IF($E139="",0,$E139),2)))</f>
        <v/>
      </c>
      <c r="G139" s="25" t="n">
        <v>8</v>
      </c>
      <c r="H139" s="8">
        <f>IF(OR($A139="",$B139="",$F139=""),"",ROUND(IF($F$3="",0,MAX(0,$F139-$F$3))+IF($D$3="",0,MIN($F139-IF($F$3="",0,MAX(0,$F139-$F$3)),MAX(0,SUMIFS($F$5:$F$304,$A$5:$A$304,$A139&amp;"",$B$5:$B$304,"&gt;="&amp;($B139-MOD(WEEKDAY($B139)-$B$3,7)),$B$5:$B$304,"&lt;="&amp;$B139)-IF($F$3="",0,SUMIFS($F$5:$F$304,$A$5:$A$304,$A139&amp;"",$B$5:$B$304,"&gt;="&amp;($B139-MOD(WEEKDAY($B139)-$B$3,7)),$B$5:$B$304,"&lt;="&amp;$B139,$F$5:$F$304,"&gt;"&amp;$F$3)-$F$3*COUNTIFS($A$5:$A$304,$A139&amp;"",$B$5:$B$304,"&gt;="&amp;($B139-MOD(WEEKDAY($B139)-$B$3,7)),$B$5:$B$304,"&lt;="&amp;$B139,$F$5:$F$304,"&gt;"&amp;$F$3))-$D$3))),2))</f>
        <v/>
      </c>
      <c r="I139" s="26" t="n"/>
      <c r="J139" s="27">
        <f>IF(AND($A139="",$C139="",$D139=""),"",IF(OR($C139&gt;=1,$D139&gt;=1),"⚠ type the time with a colon: 9:00 AM, not 9",IF(AND($C139&lt;&gt;"",$C139=$D139),"⚠ clock-in equals clock-out: the shift adds 0 h",IF(AND($C139&lt;&gt;"",$D139&lt;&gt;"",IF($E139="",0,$E139)&gt;MOD($D139-$C139,1)*24),"⚠ the break is longer than the shift",IF(AND($A139&lt;&gt;"",COUNTIF('Monthly OT Summary'!$A$6:$A$35,$A139&amp;"")=0),"⚠ name not in Monthly OT Summary: its hours are not added","")))))</f>
        <v/>
      </c>
    </row>
    <row r="140">
      <c r="A140" s="21" t="n"/>
      <c r="B140" s="40" t="n"/>
      <c r="C140" s="41" t="n"/>
      <c r="D140" s="41" t="n"/>
      <c r="E140" s="24" t="n"/>
      <c r="F140" s="8">
        <f>IF(OR($C140="",$D140=""),"",IF(OR($C140&gt;=1,$D140&gt;=1,$C140=$D140,IF($E140="",0,$E140)&gt;MOD($D140-$C140,1)*24),"",ROUND(MOD($D140-$C140,1)*24-IF($E140="",0,$E140),2)))</f>
        <v/>
      </c>
      <c r="G140" s="25" t="n">
        <v>8</v>
      </c>
      <c r="H140" s="8">
        <f>IF(OR($A140="",$B140="",$F140=""),"",ROUND(IF($F$3="",0,MAX(0,$F140-$F$3))+IF($D$3="",0,MIN($F140-IF($F$3="",0,MAX(0,$F140-$F$3)),MAX(0,SUMIFS($F$5:$F$304,$A$5:$A$304,$A140&amp;"",$B$5:$B$304,"&gt;="&amp;($B140-MOD(WEEKDAY($B140)-$B$3,7)),$B$5:$B$304,"&lt;="&amp;$B140)-IF($F$3="",0,SUMIFS($F$5:$F$304,$A$5:$A$304,$A140&amp;"",$B$5:$B$304,"&gt;="&amp;($B140-MOD(WEEKDAY($B140)-$B$3,7)),$B$5:$B$304,"&lt;="&amp;$B140,$F$5:$F$304,"&gt;"&amp;$F$3)-$F$3*COUNTIFS($A$5:$A$304,$A140&amp;"",$B$5:$B$304,"&gt;="&amp;($B140-MOD(WEEKDAY($B140)-$B$3,7)),$B$5:$B$304,"&lt;="&amp;$B140,$F$5:$F$304,"&gt;"&amp;$F$3))-$D$3))),2))</f>
        <v/>
      </c>
      <c r="I140" s="26" t="n"/>
      <c r="J140" s="27">
        <f>IF(AND($A140="",$C140="",$D140=""),"",IF(OR($C140&gt;=1,$D140&gt;=1),"⚠ type the time with a colon: 9:00 AM, not 9",IF(AND($C140&lt;&gt;"",$C140=$D140),"⚠ clock-in equals clock-out: the shift adds 0 h",IF(AND($C140&lt;&gt;"",$D140&lt;&gt;"",IF($E140="",0,$E140)&gt;MOD($D140-$C140,1)*24),"⚠ the break is longer than the shift",IF(AND($A140&lt;&gt;"",COUNTIF('Monthly OT Summary'!$A$6:$A$35,$A140&amp;"")=0),"⚠ name not in Monthly OT Summary: its hours are not added","")))))</f>
        <v/>
      </c>
    </row>
    <row r="141">
      <c r="A141" s="21" t="n"/>
      <c r="B141" s="40" t="n"/>
      <c r="C141" s="41" t="n"/>
      <c r="D141" s="41" t="n"/>
      <c r="E141" s="24" t="n"/>
      <c r="F141" s="8">
        <f>IF(OR($C141="",$D141=""),"",IF(OR($C141&gt;=1,$D141&gt;=1,$C141=$D141,IF($E141="",0,$E141)&gt;MOD($D141-$C141,1)*24),"",ROUND(MOD($D141-$C141,1)*24-IF($E141="",0,$E141),2)))</f>
        <v/>
      </c>
      <c r="G141" s="25" t="n">
        <v>8</v>
      </c>
      <c r="H141" s="8">
        <f>IF(OR($A141="",$B141="",$F141=""),"",ROUND(IF($F$3="",0,MAX(0,$F141-$F$3))+IF($D$3="",0,MIN($F141-IF($F$3="",0,MAX(0,$F141-$F$3)),MAX(0,SUMIFS($F$5:$F$304,$A$5:$A$304,$A141&amp;"",$B$5:$B$304,"&gt;="&amp;($B141-MOD(WEEKDAY($B141)-$B$3,7)),$B$5:$B$304,"&lt;="&amp;$B141)-IF($F$3="",0,SUMIFS($F$5:$F$304,$A$5:$A$304,$A141&amp;"",$B$5:$B$304,"&gt;="&amp;($B141-MOD(WEEKDAY($B141)-$B$3,7)),$B$5:$B$304,"&lt;="&amp;$B141,$F$5:$F$304,"&gt;"&amp;$F$3)-$F$3*COUNTIFS($A$5:$A$304,$A141&amp;"",$B$5:$B$304,"&gt;="&amp;($B141-MOD(WEEKDAY($B141)-$B$3,7)),$B$5:$B$304,"&lt;="&amp;$B141,$F$5:$F$304,"&gt;"&amp;$F$3))-$D$3))),2))</f>
        <v/>
      </c>
      <c r="I141" s="26" t="n"/>
      <c r="J141" s="27">
        <f>IF(AND($A141="",$C141="",$D141=""),"",IF(OR($C141&gt;=1,$D141&gt;=1),"⚠ type the time with a colon: 9:00 AM, not 9",IF(AND($C141&lt;&gt;"",$C141=$D141),"⚠ clock-in equals clock-out: the shift adds 0 h",IF(AND($C141&lt;&gt;"",$D141&lt;&gt;"",IF($E141="",0,$E141)&gt;MOD($D141-$C141,1)*24),"⚠ the break is longer than the shift",IF(AND($A141&lt;&gt;"",COUNTIF('Monthly OT Summary'!$A$6:$A$35,$A141&amp;"")=0),"⚠ name not in Monthly OT Summary: its hours are not added","")))))</f>
        <v/>
      </c>
    </row>
    <row r="142">
      <c r="A142" s="21" t="n"/>
      <c r="B142" s="40" t="n"/>
      <c r="C142" s="41" t="n"/>
      <c r="D142" s="41" t="n"/>
      <c r="E142" s="24" t="n"/>
      <c r="F142" s="8">
        <f>IF(OR($C142="",$D142=""),"",IF(OR($C142&gt;=1,$D142&gt;=1,$C142=$D142,IF($E142="",0,$E142)&gt;MOD($D142-$C142,1)*24),"",ROUND(MOD($D142-$C142,1)*24-IF($E142="",0,$E142),2)))</f>
        <v/>
      </c>
      <c r="G142" s="25" t="n">
        <v>8</v>
      </c>
      <c r="H142" s="8">
        <f>IF(OR($A142="",$B142="",$F142=""),"",ROUND(IF($F$3="",0,MAX(0,$F142-$F$3))+IF($D$3="",0,MIN($F142-IF($F$3="",0,MAX(0,$F142-$F$3)),MAX(0,SUMIFS($F$5:$F$304,$A$5:$A$304,$A142&amp;"",$B$5:$B$304,"&gt;="&amp;($B142-MOD(WEEKDAY($B142)-$B$3,7)),$B$5:$B$304,"&lt;="&amp;$B142)-IF($F$3="",0,SUMIFS($F$5:$F$304,$A$5:$A$304,$A142&amp;"",$B$5:$B$304,"&gt;="&amp;($B142-MOD(WEEKDAY($B142)-$B$3,7)),$B$5:$B$304,"&lt;="&amp;$B142,$F$5:$F$304,"&gt;"&amp;$F$3)-$F$3*COUNTIFS($A$5:$A$304,$A142&amp;"",$B$5:$B$304,"&gt;="&amp;($B142-MOD(WEEKDAY($B142)-$B$3,7)),$B$5:$B$304,"&lt;="&amp;$B142,$F$5:$F$304,"&gt;"&amp;$F$3))-$D$3))),2))</f>
        <v/>
      </c>
      <c r="I142" s="26" t="n"/>
      <c r="J142" s="27">
        <f>IF(AND($A142="",$C142="",$D142=""),"",IF(OR($C142&gt;=1,$D142&gt;=1),"⚠ type the time with a colon: 9:00 AM, not 9",IF(AND($C142&lt;&gt;"",$C142=$D142),"⚠ clock-in equals clock-out: the shift adds 0 h",IF(AND($C142&lt;&gt;"",$D142&lt;&gt;"",IF($E142="",0,$E142)&gt;MOD($D142-$C142,1)*24),"⚠ the break is longer than the shift",IF(AND($A142&lt;&gt;"",COUNTIF('Monthly OT Summary'!$A$6:$A$35,$A142&amp;"")=0),"⚠ name not in Monthly OT Summary: its hours are not added","")))))</f>
        <v/>
      </c>
    </row>
    <row r="143">
      <c r="A143" s="21" t="n"/>
      <c r="B143" s="40" t="n"/>
      <c r="C143" s="41" t="n"/>
      <c r="D143" s="41" t="n"/>
      <c r="E143" s="24" t="n"/>
      <c r="F143" s="8">
        <f>IF(OR($C143="",$D143=""),"",IF(OR($C143&gt;=1,$D143&gt;=1,$C143=$D143,IF($E143="",0,$E143)&gt;MOD($D143-$C143,1)*24),"",ROUND(MOD($D143-$C143,1)*24-IF($E143="",0,$E143),2)))</f>
        <v/>
      </c>
      <c r="G143" s="25" t="n">
        <v>8</v>
      </c>
      <c r="H143" s="8">
        <f>IF(OR($A143="",$B143="",$F143=""),"",ROUND(IF($F$3="",0,MAX(0,$F143-$F$3))+IF($D$3="",0,MIN($F143-IF($F$3="",0,MAX(0,$F143-$F$3)),MAX(0,SUMIFS($F$5:$F$304,$A$5:$A$304,$A143&amp;"",$B$5:$B$304,"&gt;="&amp;($B143-MOD(WEEKDAY($B143)-$B$3,7)),$B$5:$B$304,"&lt;="&amp;$B143)-IF($F$3="",0,SUMIFS($F$5:$F$304,$A$5:$A$304,$A143&amp;"",$B$5:$B$304,"&gt;="&amp;($B143-MOD(WEEKDAY($B143)-$B$3,7)),$B$5:$B$304,"&lt;="&amp;$B143,$F$5:$F$304,"&gt;"&amp;$F$3)-$F$3*COUNTIFS($A$5:$A$304,$A143&amp;"",$B$5:$B$304,"&gt;="&amp;($B143-MOD(WEEKDAY($B143)-$B$3,7)),$B$5:$B$304,"&lt;="&amp;$B143,$F$5:$F$304,"&gt;"&amp;$F$3))-$D$3))),2))</f>
        <v/>
      </c>
      <c r="I143" s="26" t="n"/>
      <c r="J143" s="27">
        <f>IF(AND($A143="",$C143="",$D143=""),"",IF(OR($C143&gt;=1,$D143&gt;=1),"⚠ type the time with a colon: 9:00 AM, not 9",IF(AND($C143&lt;&gt;"",$C143=$D143),"⚠ clock-in equals clock-out: the shift adds 0 h",IF(AND($C143&lt;&gt;"",$D143&lt;&gt;"",IF($E143="",0,$E143)&gt;MOD($D143-$C143,1)*24),"⚠ the break is longer than the shift",IF(AND($A143&lt;&gt;"",COUNTIF('Monthly OT Summary'!$A$6:$A$35,$A143&amp;"")=0),"⚠ name not in Monthly OT Summary: its hours are not added","")))))</f>
        <v/>
      </c>
    </row>
    <row r="144">
      <c r="A144" s="21" t="n"/>
      <c r="B144" s="40" t="n"/>
      <c r="C144" s="41" t="n"/>
      <c r="D144" s="41" t="n"/>
      <c r="E144" s="24" t="n"/>
      <c r="F144" s="8">
        <f>IF(OR($C144="",$D144=""),"",IF(OR($C144&gt;=1,$D144&gt;=1,$C144=$D144,IF($E144="",0,$E144)&gt;MOD($D144-$C144,1)*24),"",ROUND(MOD($D144-$C144,1)*24-IF($E144="",0,$E144),2)))</f>
        <v/>
      </c>
      <c r="G144" s="25" t="n">
        <v>8</v>
      </c>
      <c r="H144" s="8">
        <f>IF(OR($A144="",$B144="",$F144=""),"",ROUND(IF($F$3="",0,MAX(0,$F144-$F$3))+IF($D$3="",0,MIN($F144-IF($F$3="",0,MAX(0,$F144-$F$3)),MAX(0,SUMIFS($F$5:$F$304,$A$5:$A$304,$A144&amp;"",$B$5:$B$304,"&gt;="&amp;($B144-MOD(WEEKDAY($B144)-$B$3,7)),$B$5:$B$304,"&lt;="&amp;$B144)-IF($F$3="",0,SUMIFS($F$5:$F$304,$A$5:$A$304,$A144&amp;"",$B$5:$B$304,"&gt;="&amp;($B144-MOD(WEEKDAY($B144)-$B$3,7)),$B$5:$B$304,"&lt;="&amp;$B144,$F$5:$F$304,"&gt;"&amp;$F$3)-$F$3*COUNTIFS($A$5:$A$304,$A144&amp;"",$B$5:$B$304,"&gt;="&amp;($B144-MOD(WEEKDAY($B144)-$B$3,7)),$B$5:$B$304,"&lt;="&amp;$B144,$F$5:$F$304,"&gt;"&amp;$F$3))-$D$3))),2))</f>
        <v/>
      </c>
      <c r="I144" s="26" t="n"/>
      <c r="J144" s="27">
        <f>IF(AND($A144="",$C144="",$D144=""),"",IF(OR($C144&gt;=1,$D144&gt;=1),"⚠ type the time with a colon: 9:00 AM, not 9",IF(AND($C144&lt;&gt;"",$C144=$D144),"⚠ clock-in equals clock-out: the shift adds 0 h",IF(AND($C144&lt;&gt;"",$D144&lt;&gt;"",IF($E144="",0,$E144)&gt;MOD($D144-$C144,1)*24),"⚠ the break is longer than the shift",IF(AND($A144&lt;&gt;"",COUNTIF('Monthly OT Summary'!$A$6:$A$35,$A144&amp;"")=0),"⚠ name not in Monthly OT Summary: its hours are not added","")))))</f>
        <v/>
      </c>
    </row>
    <row r="145">
      <c r="A145" s="21" t="n"/>
      <c r="B145" s="40" t="n"/>
      <c r="C145" s="41" t="n"/>
      <c r="D145" s="41" t="n"/>
      <c r="E145" s="24" t="n"/>
      <c r="F145" s="8">
        <f>IF(OR($C145="",$D145=""),"",IF(OR($C145&gt;=1,$D145&gt;=1,$C145=$D145,IF($E145="",0,$E145)&gt;MOD($D145-$C145,1)*24),"",ROUND(MOD($D145-$C145,1)*24-IF($E145="",0,$E145),2)))</f>
        <v/>
      </c>
      <c r="G145" s="25" t="n">
        <v>8</v>
      </c>
      <c r="H145" s="8">
        <f>IF(OR($A145="",$B145="",$F145=""),"",ROUND(IF($F$3="",0,MAX(0,$F145-$F$3))+IF($D$3="",0,MIN($F145-IF($F$3="",0,MAX(0,$F145-$F$3)),MAX(0,SUMIFS($F$5:$F$304,$A$5:$A$304,$A145&amp;"",$B$5:$B$304,"&gt;="&amp;($B145-MOD(WEEKDAY($B145)-$B$3,7)),$B$5:$B$304,"&lt;="&amp;$B145)-IF($F$3="",0,SUMIFS($F$5:$F$304,$A$5:$A$304,$A145&amp;"",$B$5:$B$304,"&gt;="&amp;($B145-MOD(WEEKDAY($B145)-$B$3,7)),$B$5:$B$304,"&lt;="&amp;$B145,$F$5:$F$304,"&gt;"&amp;$F$3)-$F$3*COUNTIFS($A$5:$A$304,$A145&amp;"",$B$5:$B$304,"&gt;="&amp;($B145-MOD(WEEKDAY($B145)-$B$3,7)),$B$5:$B$304,"&lt;="&amp;$B145,$F$5:$F$304,"&gt;"&amp;$F$3))-$D$3))),2))</f>
        <v/>
      </c>
      <c r="I145" s="26" t="n"/>
      <c r="J145" s="27">
        <f>IF(AND($A145="",$C145="",$D145=""),"",IF(OR($C145&gt;=1,$D145&gt;=1),"⚠ type the time with a colon: 9:00 AM, not 9",IF(AND($C145&lt;&gt;"",$C145=$D145),"⚠ clock-in equals clock-out: the shift adds 0 h",IF(AND($C145&lt;&gt;"",$D145&lt;&gt;"",IF($E145="",0,$E145)&gt;MOD($D145-$C145,1)*24),"⚠ the break is longer than the shift",IF(AND($A145&lt;&gt;"",COUNTIF('Monthly OT Summary'!$A$6:$A$35,$A145&amp;"")=0),"⚠ name not in Monthly OT Summary: its hours are not added","")))))</f>
        <v/>
      </c>
    </row>
    <row r="146">
      <c r="A146" s="21" t="n"/>
      <c r="B146" s="40" t="n"/>
      <c r="C146" s="41" t="n"/>
      <c r="D146" s="41" t="n"/>
      <c r="E146" s="24" t="n"/>
      <c r="F146" s="8">
        <f>IF(OR($C146="",$D146=""),"",IF(OR($C146&gt;=1,$D146&gt;=1,$C146=$D146,IF($E146="",0,$E146)&gt;MOD($D146-$C146,1)*24),"",ROUND(MOD($D146-$C146,1)*24-IF($E146="",0,$E146),2)))</f>
        <v/>
      </c>
      <c r="G146" s="25" t="n">
        <v>8</v>
      </c>
      <c r="H146" s="8">
        <f>IF(OR($A146="",$B146="",$F146=""),"",ROUND(IF($F$3="",0,MAX(0,$F146-$F$3))+IF($D$3="",0,MIN($F146-IF($F$3="",0,MAX(0,$F146-$F$3)),MAX(0,SUMIFS($F$5:$F$304,$A$5:$A$304,$A146&amp;"",$B$5:$B$304,"&gt;="&amp;($B146-MOD(WEEKDAY($B146)-$B$3,7)),$B$5:$B$304,"&lt;="&amp;$B146)-IF($F$3="",0,SUMIFS($F$5:$F$304,$A$5:$A$304,$A146&amp;"",$B$5:$B$304,"&gt;="&amp;($B146-MOD(WEEKDAY($B146)-$B$3,7)),$B$5:$B$304,"&lt;="&amp;$B146,$F$5:$F$304,"&gt;"&amp;$F$3)-$F$3*COUNTIFS($A$5:$A$304,$A146&amp;"",$B$5:$B$304,"&gt;="&amp;($B146-MOD(WEEKDAY($B146)-$B$3,7)),$B$5:$B$304,"&lt;="&amp;$B146,$F$5:$F$304,"&gt;"&amp;$F$3))-$D$3))),2))</f>
        <v/>
      </c>
      <c r="I146" s="26" t="n"/>
      <c r="J146" s="27">
        <f>IF(AND($A146="",$C146="",$D146=""),"",IF(OR($C146&gt;=1,$D146&gt;=1),"⚠ type the time with a colon: 9:00 AM, not 9",IF(AND($C146&lt;&gt;"",$C146=$D146),"⚠ clock-in equals clock-out: the shift adds 0 h",IF(AND($C146&lt;&gt;"",$D146&lt;&gt;"",IF($E146="",0,$E146)&gt;MOD($D146-$C146,1)*24),"⚠ the break is longer than the shift",IF(AND($A146&lt;&gt;"",COUNTIF('Monthly OT Summary'!$A$6:$A$35,$A146&amp;"")=0),"⚠ name not in Monthly OT Summary: its hours are not added","")))))</f>
        <v/>
      </c>
    </row>
    <row r="147">
      <c r="A147" s="21" t="n"/>
      <c r="B147" s="40" t="n"/>
      <c r="C147" s="41" t="n"/>
      <c r="D147" s="41" t="n"/>
      <c r="E147" s="24" t="n"/>
      <c r="F147" s="8">
        <f>IF(OR($C147="",$D147=""),"",IF(OR($C147&gt;=1,$D147&gt;=1,$C147=$D147,IF($E147="",0,$E147)&gt;MOD($D147-$C147,1)*24),"",ROUND(MOD($D147-$C147,1)*24-IF($E147="",0,$E147),2)))</f>
        <v/>
      </c>
      <c r="G147" s="25" t="n">
        <v>8</v>
      </c>
      <c r="H147" s="8">
        <f>IF(OR($A147="",$B147="",$F147=""),"",ROUND(IF($F$3="",0,MAX(0,$F147-$F$3))+IF($D$3="",0,MIN($F147-IF($F$3="",0,MAX(0,$F147-$F$3)),MAX(0,SUMIFS($F$5:$F$304,$A$5:$A$304,$A147&amp;"",$B$5:$B$304,"&gt;="&amp;($B147-MOD(WEEKDAY($B147)-$B$3,7)),$B$5:$B$304,"&lt;="&amp;$B147)-IF($F$3="",0,SUMIFS($F$5:$F$304,$A$5:$A$304,$A147&amp;"",$B$5:$B$304,"&gt;="&amp;($B147-MOD(WEEKDAY($B147)-$B$3,7)),$B$5:$B$304,"&lt;="&amp;$B147,$F$5:$F$304,"&gt;"&amp;$F$3)-$F$3*COUNTIFS($A$5:$A$304,$A147&amp;"",$B$5:$B$304,"&gt;="&amp;($B147-MOD(WEEKDAY($B147)-$B$3,7)),$B$5:$B$304,"&lt;="&amp;$B147,$F$5:$F$304,"&gt;"&amp;$F$3))-$D$3))),2))</f>
        <v/>
      </c>
      <c r="I147" s="26" t="n"/>
      <c r="J147" s="27">
        <f>IF(AND($A147="",$C147="",$D147=""),"",IF(OR($C147&gt;=1,$D147&gt;=1),"⚠ type the time with a colon: 9:00 AM, not 9",IF(AND($C147&lt;&gt;"",$C147=$D147),"⚠ clock-in equals clock-out: the shift adds 0 h",IF(AND($C147&lt;&gt;"",$D147&lt;&gt;"",IF($E147="",0,$E147)&gt;MOD($D147-$C147,1)*24),"⚠ the break is longer than the shift",IF(AND($A147&lt;&gt;"",COUNTIF('Monthly OT Summary'!$A$6:$A$35,$A147&amp;"")=0),"⚠ name not in Monthly OT Summary: its hours are not added","")))))</f>
        <v/>
      </c>
    </row>
    <row r="148">
      <c r="A148" s="21" t="n"/>
      <c r="B148" s="40" t="n"/>
      <c r="C148" s="41" t="n"/>
      <c r="D148" s="41" t="n"/>
      <c r="E148" s="24" t="n"/>
      <c r="F148" s="8">
        <f>IF(OR($C148="",$D148=""),"",IF(OR($C148&gt;=1,$D148&gt;=1,$C148=$D148,IF($E148="",0,$E148)&gt;MOD($D148-$C148,1)*24),"",ROUND(MOD($D148-$C148,1)*24-IF($E148="",0,$E148),2)))</f>
        <v/>
      </c>
      <c r="G148" s="25" t="n">
        <v>8</v>
      </c>
      <c r="H148" s="8">
        <f>IF(OR($A148="",$B148="",$F148=""),"",ROUND(IF($F$3="",0,MAX(0,$F148-$F$3))+IF($D$3="",0,MIN($F148-IF($F$3="",0,MAX(0,$F148-$F$3)),MAX(0,SUMIFS($F$5:$F$304,$A$5:$A$304,$A148&amp;"",$B$5:$B$304,"&gt;="&amp;($B148-MOD(WEEKDAY($B148)-$B$3,7)),$B$5:$B$304,"&lt;="&amp;$B148)-IF($F$3="",0,SUMIFS($F$5:$F$304,$A$5:$A$304,$A148&amp;"",$B$5:$B$304,"&gt;="&amp;($B148-MOD(WEEKDAY($B148)-$B$3,7)),$B$5:$B$304,"&lt;="&amp;$B148,$F$5:$F$304,"&gt;"&amp;$F$3)-$F$3*COUNTIFS($A$5:$A$304,$A148&amp;"",$B$5:$B$304,"&gt;="&amp;($B148-MOD(WEEKDAY($B148)-$B$3,7)),$B$5:$B$304,"&lt;="&amp;$B148,$F$5:$F$304,"&gt;"&amp;$F$3))-$D$3))),2))</f>
        <v/>
      </c>
      <c r="I148" s="26" t="n"/>
      <c r="J148" s="27">
        <f>IF(AND($A148="",$C148="",$D148=""),"",IF(OR($C148&gt;=1,$D148&gt;=1),"⚠ type the time with a colon: 9:00 AM, not 9",IF(AND($C148&lt;&gt;"",$C148=$D148),"⚠ clock-in equals clock-out: the shift adds 0 h",IF(AND($C148&lt;&gt;"",$D148&lt;&gt;"",IF($E148="",0,$E148)&gt;MOD($D148-$C148,1)*24),"⚠ the break is longer than the shift",IF(AND($A148&lt;&gt;"",COUNTIF('Monthly OT Summary'!$A$6:$A$35,$A148&amp;"")=0),"⚠ name not in Monthly OT Summary: its hours are not added","")))))</f>
        <v/>
      </c>
    </row>
    <row r="149">
      <c r="A149" s="21" t="n"/>
      <c r="B149" s="40" t="n"/>
      <c r="C149" s="41" t="n"/>
      <c r="D149" s="41" t="n"/>
      <c r="E149" s="24" t="n"/>
      <c r="F149" s="8">
        <f>IF(OR($C149="",$D149=""),"",IF(OR($C149&gt;=1,$D149&gt;=1,$C149=$D149,IF($E149="",0,$E149)&gt;MOD($D149-$C149,1)*24),"",ROUND(MOD($D149-$C149,1)*24-IF($E149="",0,$E149),2)))</f>
        <v/>
      </c>
      <c r="G149" s="25" t="n">
        <v>8</v>
      </c>
      <c r="H149" s="8">
        <f>IF(OR($A149="",$B149="",$F149=""),"",ROUND(IF($F$3="",0,MAX(0,$F149-$F$3))+IF($D$3="",0,MIN($F149-IF($F$3="",0,MAX(0,$F149-$F$3)),MAX(0,SUMIFS($F$5:$F$304,$A$5:$A$304,$A149&amp;"",$B$5:$B$304,"&gt;="&amp;($B149-MOD(WEEKDAY($B149)-$B$3,7)),$B$5:$B$304,"&lt;="&amp;$B149)-IF($F$3="",0,SUMIFS($F$5:$F$304,$A$5:$A$304,$A149&amp;"",$B$5:$B$304,"&gt;="&amp;($B149-MOD(WEEKDAY($B149)-$B$3,7)),$B$5:$B$304,"&lt;="&amp;$B149,$F$5:$F$304,"&gt;"&amp;$F$3)-$F$3*COUNTIFS($A$5:$A$304,$A149&amp;"",$B$5:$B$304,"&gt;="&amp;($B149-MOD(WEEKDAY($B149)-$B$3,7)),$B$5:$B$304,"&lt;="&amp;$B149,$F$5:$F$304,"&gt;"&amp;$F$3))-$D$3))),2))</f>
        <v/>
      </c>
      <c r="I149" s="26" t="n"/>
      <c r="J149" s="27">
        <f>IF(AND($A149="",$C149="",$D149=""),"",IF(OR($C149&gt;=1,$D149&gt;=1),"⚠ type the time with a colon: 9:00 AM, not 9",IF(AND($C149&lt;&gt;"",$C149=$D149),"⚠ clock-in equals clock-out: the shift adds 0 h",IF(AND($C149&lt;&gt;"",$D149&lt;&gt;"",IF($E149="",0,$E149)&gt;MOD($D149-$C149,1)*24),"⚠ the break is longer than the shift",IF(AND($A149&lt;&gt;"",COUNTIF('Monthly OT Summary'!$A$6:$A$35,$A149&amp;"")=0),"⚠ name not in Monthly OT Summary: its hours are not added","")))))</f>
        <v/>
      </c>
    </row>
    <row r="150">
      <c r="A150" s="21" t="n"/>
      <c r="B150" s="40" t="n"/>
      <c r="C150" s="41" t="n"/>
      <c r="D150" s="41" t="n"/>
      <c r="E150" s="24" t="n"/>
      <c r="F150" s="8">
        <f>IF(OR($C150="",$D150=""),"",IF(OR($C150&gt;=1,$D150&gt;=1,$C150=$D150,IF($E150="",0,$E150)&gt;MOD($D150-$C150,1)*24),"",ROUND(MOD($D150-$C150,1)*24-IF($E150="",0,$E150),2)))</f>
        <v/>
      </c>
      <c r="G150" s="25" t="n">
        <v>8</v>
      </c>
      <c r="H150" s="8">
        <f>IF(OR($A150="",$B150="",$F150=""),"",ROUND(IF($F$3="",0,MAX(0,$F150-$F$3))+IF($D$3="",0,MIN($F150-IF($F$3="",0,MAX(0,$F150-$F$3)),MAX(0,SUMIFS($F$5:$F$304,$A$5:$A$304,$A150&amp;"",$B$5:$B$304,"&gt;="&amp;($B150-MOD(WEEKDAY($B150)-$B$3,7)),$B$5:$B$304,"&lt;="&amp;$B150)-IF($F$3="",0,SUMIFS($F$5:$F$304,$A$5:$A$304,$A150&amp;"",$B$5:$B$304,"&gt;="&amp;($B150-MOD(WEEKDAY($B150)-$B$3,7)),$B$5:$B$304,"&lt;="&amp;$B150,$F$5:$F$304,"&gt;"&amp;$F$3)-$F$3*COUNTIFS($A$5:$A$304,$A150&amp;"",$B$5:$B$304,"&gt;="&amp;($B150-MOD(WEEKDAY($B150)-$B$3,7)),$B$5:$B$304,"&lt;="&amp;$B150,$F$5:$F$304,"&gt;"&amp;$F$3))-$D$3))),2))</f>
        <v/>
      </c>
      <c r="I150" s="26" t="n"/>
      <c r="J150" s="27">
        <f>IF(AND($A150="",$C150="",$D150=""),"",IF(OR($C150&gt;=1,$D150&gt;=1),"⚠ type the time with a colon: 9:00 AM, not 9",IF(AND($C150&lt;&gt;"",$C150=$D150),"⚠ clock-in equals clock-out: the shift adds 0 h",IF(AND($C150&lt;&gt;"",$D150&lt;&gt;"",IF($E150="",0,$E150)&gt;MOD($D150-$C150,1)*24),"⚠ the break is longer than the shift",IF(AND($A150&lt;&gt;"",COUNTIF('Monthly OT Summary'!$A$6:$A$35,$A150&amp;"")=0),"⚠ name not in Monthly OT Summary: its hours are not added","")))))</f>
        <v/>
      </c>
    </row>
    <row r="151">
      <c r="A151" s="21" t="n"/>
      <c r="B151" s="40" t="n"/>
      <c r="C151" s="41" t="n"/>
      <c r="D151" s="41" t="n"/>
      <c r="E151" s="24" t="n"/>
      <c r="F151" s="8">
        <f>IF(OR($C151="",$D151=""),"",IF(OR($C151&gt;=1,$D151&gt;=1,$C151=$D151,IF($E151="",0,$E151)&gt;MOD($D151-$C151,1)*24),"",ROUND(MOD($D151-$C151,1)*24-IF($E151="",0,$E151),2)))</f>
        <v/>
      </c>
      <c r="G151" s="25" t="n">
        <v>8</v>
      </c>
      <c r="H151" s="8">
        <f>IF(OR($A151="",$B151="",$F151=""),"",ROUND(IF($F$3="",0,MAX(0,$F151-$F$3))+IF($D$3="",0,MIN($F151-IF($F$3="",0,MAX(0,$F151-$F$3)),MAX(0,SUMIFS($F$5:$F$304,$A$5:$A$304,$A151&amp;"",$B$5:$B$304,"&gt;="&amp;($B151-MOD(WEEKDAY($B151)-$B$3,7)),$B$5:$B$304,"&lt;="&amp;$B151)-IF($F$3="",0,SUMIFS($F$5:$F$304,$A$5:$A$304,$A151&amp;"",$B$5:$B$304,"&gt;="&amp;($B151-MOD(WEEKDAY($B151)-$B$3,7)),$B$5:$B$304,"&lt;="&amp;$B151,$F$5:$F$304,"&gt;"&amp;$F$3)-$F$3*COUNTIFS($A$5:$A$304,$A151&amp;"",$B$5:$B$304,"&gt;="&amp;($B151-MOD(WEEKDAY($B151)-$B$3,7)),$B$5:$B$304,"&lt;="&amp;$B151,$F$5:$F$304,"&gt;"&amp;$F$3))-$D$3))),2))</f>
        <v/>
      </c>
      <c r="I151" s="26" t="n"/>
      <c r="J151" s="27">
        <f>IF(AND($A151="",$C151="",$D151=""),"",IF(OR($C151&gt;=1,$D151&gt;=1),"⚠ type the time with a colon: 9:00 AM, not 9",IF(AND($C151&lt;&gt;"",$C151=$D151),"⚠ clock-in equals clock-out: the shift adds 0 h",IF(AND($C151&lt;&gt;"",$D151&lt;&gt;"",IF($E151="",0,$E151)&gt;MOD($D151-$C151,1)*24),"⚠ the break is longer than the shift",IF(AND($A151&lt;&gt;"",COUNTIF('Monthly OT Summary'!$A$6:$A$35,$A151&amp;"")=0),"⚠ name not in Monthly OT Summary: its hours are not added","")))))</f>
        <v/>
      </c>
    </row>
    <row r="152">
      <c r="A152" s="21" t="n"/>
      <c r="B152" s="40" t="n"/>
      <c r="C152" s="41" t="n"/>
      <c r="D152" s="41" t="n"/>
      <c r="E152" s="24" t="n"/>
      <c r="F152" s="8">
        <f>IF(OR($C152="",$D152=""),"",IF(OR($C152&gt;=1,$D152&gt;=1,$C152=$D152,IF($E152="",0,$E152)&gt;MOD($D152-$C152,1)*24),"",ROUND(MOD($D152-$C152,1)*24-IF($E152="",0,$E152),2)))</f>
        <v/>
      </c>
      <c r="G152" s="25" t="n">
        <v>8</v>
      </c>
      <c r="H152" s="8">
        <f>IF(OR($A152="",$B152="",$F152=""),"",ROUND(IF($F$3="",0,MAX(0,$F152-$F$3))+IF($D$3="",0,MIN($F152-IF($F$3="",0,MAX(0,$F152-$F$3)),MAX(0,SUMIFS($F$5:$F$304,$A$5:$A$304,$A152&amp;"",$B$5:$B$304,"&gt;="&amp;($B152-MOD(WEEKDAY($B152)-$B$3,7)),$B$5:$B$304,"&lt;="&amp;$B152)-IF($F$3="",0,SUMIFS($F$5:$F$304,$A$5:$A$304,$A152&amp;"",$B$5:$B$304,"&gt;="&amp;($B152-MOD(WEEKDAY($B152)-$B$3,7)),$B$5:$B$304,"&lt;="&amp;$B152,$F$5:$F$304,"&gt;"&amp;$F$3)-$F$3*COUNTIFS($A$5:$A$304,$A152&amp;"",$B$5:$B$304,"&gt;="&amp;($B152-MOD(WEEKDAY($B152)-$B$3,7)),$B$5:$B$304,"&lt;="&amp;$B152,$F$5:$F$304,"&gt;"&amp;$F$3))-$D$3))),2))</f>
        <v/>
      </c>
      <c r="I152" s="26" t="n"/>
      <c r="J152" s="27">
        <f>IF(AND($A152="",$C152="",$D152=""),"",IF(OR($C152&gt;=1,$D152&gt;=1),"⚠ type the time with a colon: 9:00 AM, not 9",IF(AND($C152&lt;&gt;"",$C152=$D152),"⚠ clock-in equals clock-out: the shift adds 0 h",IF(AND($C152&lt;&gt;"",$D152&lt;&gt;"",IF($E152="",0,$E152)&gt;MOD($D152-$C152,1)*24),"⚠ the break is longer than the shift",IF(AND($A152&lt;&gt;"",COUNTIF('Monthly OT Summary'!$A$6:$A$35,$A152&amp;"")=0),"⚠ name not in Monthly OT Summary: its hours are not added","")))))</f>
        <v/>
      </c>
    </row>
    <row r="153">
      <c r="A153" s="21" t="n"/>
      <c r="B153" s="40" t="n"/>
      <c r="C153" s="41" t="n"/>
      <c r="D153" s="41" t="n"/>
      <c r="E153" s="24" t="n"/>
      <c r="F153" s="8">
        <f>IF(OR($C153="",$D153=""),"",IF(OR($C153&gt;=1,$D153&gt;=1,$C153=$D153,IF($E153="",0,$E153)&gt;MOD($D153-$C153,1)*24),"",ROUND(MOD($D153-$C153,1)*24-IF($E153="",0,$E153),2)))</f>
        <v/>
      </c>
      <c r="G153" s="25" t="n">
        <v>8</v>
      </c>
      <c r="H153" s="8">
        <f>IF(OR($A153="",$B153="",$F153=""),"",ROUND(IF($F$3="",0,MAX(0,$F153-$F$3))+IF($D$3="",0,MIN($F153-IF($F$3="",0,MAX(0,$F153-$F$3)),MAX(0,SUMIFS($F$5:$F$304,$A$5:$A$304,$A153&amp;"",$B$5:$B$304,"&gt;="&amp;($B153-MOD(WEEKDAY($B153)-$B$3,7)),$B$5:$B$304,"&lt;="&amp;$B153)-IF($F$3="",0,SUMIFS($F$5:$F$304,$A$5:$A$304,$A153&amp;"",$B$5:$B$304,"&gt;="&amp;($B153-MOD(WEEKDAY($B153)-$B$3,7)),$B$5:$B$304,"&lt;="&amp;$B153,$F$5:$F$304,"&gt;"&amp;$F$3)-$F$3*COUNTIFS($A$5:$A$304,$A153&amp;"",$B$5:$B$304,"&gt;="&amp;($B153-MOD(WEEKDAY($B153)-$B$3,7)),$B$5:$B$304,"&lt;="&amp;$B153,$F$5:$F$304,"&gt;"&amp;$F$3))-$D$3))),2))</f>
        <v/>
      </c>
      <c r="I153" s="26" t="n"/>
      <c r="J153" s="27">
        <f>IF(AND($A153="",$C153="",$D153=""),"",IF(OR($C153&gt;=1,$D153&gt;=1),"⚠ type the time with a colon: 9:00 AM, not 9",IF(AND($C153&lt;&gt;"",$C153=$D153),"⚠ clock-in equals clock-out: the shift adds 0 h",IF(AND($C153&lt;&gt;"",$D153&lt;&gt;"",IF($E153="",0,$E153)&gt;MOD($D153-$C153,1)*24),"⚠ the break is longer than the shift",IF(AND($A153&lt;&gt;"",COUNTIF('Monthly OT Summary'!$A$6:$A$35,$A153&amp;"")=0),"⚠ name not in Monthly OT Summary: its hours are not added","")))))</f>
        <v/>
      </c>
    </row>
    <row r="154">
      <c r="A154" s="21" t="n"/>
      <c r="B154" s="40" t="n"/>
      <c r="C154" s="41" t="n"/>
      <c r="D154" s="41" t="n"/>
      <c r="E154" s="24" t="n"/>
      <c r="F154" s="8">
        <f>IF(OR($C154="",$D154=""),"",IF(OR($C154&gt;=1,$D154&gt;=1,$C154=$D154,IF($E154="",0,$E154)&gt;MOD($D154-$C154,1)*24),"",ROUND(MOD($D154-$C154,1)*24-IF($E154="",0,$E154),2)))</f>
        <v/>
      </c>
      <c r="G154" s="25" t="n">
        <v>8</v>
      </c>
      <c r="H154" s="8">
        <f>IF(OR($A154="",$B154="",$F154=""),"",ROUND(IF($F$3="",0,MAX(0,$F154-$F$3))+IF($D$3="",0,MIN($F154-IF($F$3="",0,MAX(0,$F154-$F$3)),MAX(0,SUMIFS($F$5:$F$304,$A$5:$A$304,$A154&amp;"",$B$5:$B$304,"&gt;="&amp;($B154-MOD(WEEKDAY($B154)-$B$3,7)),$B$5:$B$304,"&lt;="&amp;$B154)-IF($F$3="",0,SUMIFS($F$5:$F$304,$A$5:$A$304,$A154&amp;"",$B$5:$B$304,"&gt;="&amp;($B154-MOD(WEEKDAY($B154)-$B$3,7)),$B$5:$B$304,"&lt;="&amp;$B154,$F$5:$F$304,"&gt;"&amp;$F$3)-$F$3*COUNTIFS($A$5:$A$304,$A154&amp;"",$B$5:$B$304,"&gt;="&amp;($B154-MOD(WEEKDAY($B154)-$B$3,7)),$B$5:$B$304,"&lt;="&amp;$B154,$F$5:$F$304,"&gt;"&amp;$F$3))-$D$3))),2))</f>
        <v/>
      </c>
      <c r="I154" s="26" t="n"/>
      <c r="J154" s="27">
        <f>IF(AND($A154="",$C154="",$D154=""),"",IF(OR($C154&gt;=1,$D154&gt;=1),"⚠ type the time with a colon: 9:00 AM, not 9",IF(AND($C154&lt;&gt;"",$C154=$D154),"⚠ clock-in equals clock-out: the shift adds 0 h",IF(AND($C154&lt;&gt;"",$D154&lt;&gt;"",IF($E154="",0,$E154)&gt;MOD($D154-$C154,1)*24),"⚠ the break is longer than the shift",IF(AND($A154&lt;&gt;"",COUNTIF('Monthly OT Summary'!$A$6:$A$35,$A154&amp;"")=0),"⚠ name not in Monthly OT Summary: its hours are not added","")))))</f>
        <v/>
      </c>
    </row>
    <row r="155">
      <c r="A155" s="21" t="n"/>
      <c r="B155" s="40" t="n"/>
      <c r="C155" s="41" t="n"/>
      <c r="D155" s="41" t="n"/>
      <c r="E155" s="24" t="n"/>
      <c r="F155" s="8">
        <f>IF(OR($C155="",$D155=""),"",IF(OR($C155&gt;=1,$D155&gt;=1,$C155=$D155,IF($E155="",0,$E155)&gt;MOD($D155-$C155,1)*24),"",ROUND(MOD($D155-$C155,1)*24-IF($E155="",0,$E155),2)))</f>
        <v/>
      </c>
      <c r="G155" s="25" t="n">
        <v>8</v>
      </c>
      <c r="H155" s="8">
        <f>IF(OR($A155="",$B155="",$F155=""),"",ROUND(IF($F$3="",0,MAX(0,$F155-$F$3))+IF($D$3="",0,MIN($F155-IF($F$3="",0,MAX(0,$F155-$F$3)),MAX(0,SUMIFS($F$5:$F$304,$A$5:$A$304,$A155&amp;"",$B$5:$B$304,"&gt;="&amp;($B155-MOD(WEEKDAY($B155)-$B$3,7)),$B$5:$B$304,"&lt;="&amp;$B155)-IF($F$3="",0,SUMIFS($F$5:$F$304,$A$5:$A$304,$A155&amp;"",$B$5:$B$304,"&gt;="&amp;($B155-MOD(WEEKDAY($B155)-$B$3,7)),$B$5:$B$304,"&lt;="&amp;$B155,$F$5:$F$304,"&gt;"&amp;$F$3)-$F$3*COUNTIFS($A$5:$A$304,$A155&amp;"",$B$5:$B$304,"&gt;="&amp;($B155-MOD(WEEKDAY($B155)-$B$3,7)),$B$5:$B$304,"&lt;="&amp;$B155,$F$5:$F$304,"&gt;"&amp;$F$3))-$D$3))),2))</f>
        <v/>
      </c>
      <c r="I155" s="26" t="n"/>
      <c r="J155" s="27">
        <f>IF(AND($A155="",$C155="",$D155=""),"",IF(OR($C155&gt;=1,$D155&gt;=1),"⚠ type the time with a colon: 9:00 AM, not 9",IF(AND($C155&lt;&gt;"",$C155=$D155),"⚠ clock-in equals clock-out: the shift adds 0 h",IF(AND($C155&lt;&gt;"",$D155&lt;&gt;"",IF($E155="",0,$E155)&gt;MOD($D155-$C155,1)*24),"⚠ the break is longer than the shift",IF(AND($A155&lt;&gt;"",COUNTIF('Monthly OT Summary'!$A$6:$A$35,$A155&amp;"")=0),"⚠ name not in Monthly OT Summary: its hours are not added","")))))</f>
        <v/>
      </c>
    </row>
    <row r="156">
      <c r="A156" s="21" t="n"/>
      <c r="B156" s="40" t="n"/>
      <c r="C156" s="41" t="n"/>
      <c r="D156" s="41" t="n"/>
      <c r="E156" s="24" t="n"/>
      <c r="F156" s="8">
        <f>IF(OR($C156="",$D156=""),"",IF(OR($C156&gt;=1,$D156&gt;=1,$C156=$D156,IF($E156="",0,$E156)&gt;MOD($D156-$C156,1)*24),"",ROUND(MOD($D156-$C156,1)*24-IF($E156="",0,$E156),2)))</f>
        <v/>
      </c>
      <c r="G156" s="25" t="n">
        <v>8</v>
      </c>
      <c r="H156" s="8">
        <f>IF(OR($A156="",$B156="",$F156=""),"",ROUND(IF($F$3="",0,MAX(0,$F156-$F$3))+IF($D$3="",0,MIN($F156-IF($F$3="",0,MAX(0,$F156-$F$3)),MAX(0,SUMIFS($F$5:$F$304,$A$5:$A$304,$A156&amp;"",$B$5:$B$304,"&gt;="&amp;($B156-MOD(WEEKDAY($B156)-$B$3,7)),$B$5:$B$304,"&lt;="&amp;$B156)-IF($F$3="",0,SUMIFS($F$5:$F$304,$A$5:$A$304,$A156&amp;"",$B$5:$B$304,"&gt;="&amp;($B156-MOD(WEEKDAY($B156)-$B$3,7)),$B$5:$B$304,"&lt;="&amp;$B156,$F$5:$F$304,"&gt;"&amp;$F$3)-$F$3*COUNTIFS($A$5:$A$304,$A156&amp;"",$B$5:$B$304,"&gt;="&amp;($B156-MOD(WEEKDAY($B156)-$B$3,7)),$B$5:$B$304,"&lt;="&amp;$B156,$F$5:$F$304,"&gt;"&amp;$F$3))-$D$3))),2))</f>
        <v/>
      </c>
      <c r="I156" s="26" t="n"/>
      <c r="J156" s="27">
        <f>IF(AND($A156="",$C156="",$D156=""),"",IF(OR($C156&gt;=1,$D156&gt;=1),"⚠ type the time with a colon: 9:00 AM, not 9",IF(AND($C156&lt;&gt;"",$C156=$D156),"⚠ clock-in equals clock-out: the shift adds 0 h",IF(AND($C156&lt;&gt;"",$D156&lt;&gt;"",IF($E156="",0,$E156)&gt;MOD($D156-$C156,1)*24),"⚠ the break is longer than the shift",IF(AND($A156&lt;&gt;"",COUNTIF('Monthly OT Summary'!$A$6:$A$35,$A156&amp;"")=0),"⚠ name not in Monthly OT Summary: its hours are not added","")))))</f>
        <v/>
      </c>
    </row>
    <row r="157">
      <c r="A157" s="21" t="n"/>
      <c r="B157" s="40" t="n"/>
      <c r="C157" s="41" t="n"/>
      <c r="D157" s="41" t="n"/>
      <c r="E157" s="24" t="n"/>
      <c r="F157" s="8">
        <f>IF(OR($C157="",$D157=""),"",IF(OR($C157&gt;=1,$D157&gt;=1,$C157=$D157,IF($E157="",0,$E157)&gt;MOD($D157-$C157,1)*24),"",ROUND(MOD($D157-$C157,1)*24-IF($E157="",0,$E157),2)))</f>
        <v/>
      </c>
      <c r="G157" s="25" t="n">
        <v>8</v>
      </c>
      <c r="H157" s="8">
        <f>IF(OR($A157="",$B157="",$F157=""),"",ROUND(IF($F$3="",0,MAX(0,$F157-$F$3))+IF($D$3="",0,MIN($F157-IF($F$3="",0,MAX(0,$F157-$F$3)),MAX(0,SUMIFS($F$5:$F$304,$A$5:$A$304,$A157&amp;"",$B$5:$B$304,"&gt;="&amp;($B157-MOD(WEEKDAY($B157)-$B$3,7)),$B$5:$B$304,"&lt;="&amp;$B157)-IF($F$3="",0,SUMIFS($F$5:$F$304,$A$5:$A$304,$A157&amp;"",$B$5:$B$304,"&gt;="&amp;($B157-MOD(WEEKDAY($B157)-$B$3,7)),$B$5:$B$304,"&lt;="&amp;$B157,$F$5:$F$304,"&gt;"&amp;$F$3)-$F$3*COUNTIFS($A$5:$A$304,$A157&amp;"",$B$5:$B$304,"&gt;="&amp;($B157-MOD(WEEKDAY($B157)-$B$3,7)),$B$5:$B$304,"&lt;="&amp;$B157,$F$5:$F$304,"&gt;"&amp;$F$3))-$D$3))),2))</f>
        <v/>
      </c>
      <c r="I157" s="26" t="n"/>
      <c r="J157" s="27">
        <f>IF(AND($A157="",$C157="",$D157=""),"",IF(OR($C157&gt;=1,$D157&gt;=1),"⚠ type the time with a colon: 9:00 AM, not 9",IF(AND($C157&lt;&gt;"",$C157=$D157),"⚠ clock-in equals clock-out: the shift adds 0 h",IF(AND($C157&lt;&gt;"",$D157&lt;&gt;"",IF($E157="",0,$E157)&gt;MOD($D157-$C157,1)*24),"⚠ the break is longer than the shift",IF(AND($A157&lt;&gt;"",COUNTIF('Monthly OT Summary'!$A$6:$A$35,$A157&amp;"")=0),"⚠ name not in Monthly OT Summary: its hours are not added","")))))</f>
        <v/>
      </c>
    </row>
    <row r="158">
      <c r="A158" s="21" t="n"/>
      <c r="B158" s="40" t="n"/>
      <c r="C158" s="41" t="n"/>
      <c r="D158" s="41" t="n"/>
      <c r="E158" s="24" t="n"/>
      <c r="F158" s="8">
        <f>IF(OR($C158="",$D158=""),"",IF(OR($C158&gt;=1,$D158&gt;=1,$C158=$D158,IF($E158="",0,$E158)&gt;MOD($D158-$C158,1)*24),"",ROUND(MOD($D158-$C158,1)*24-IF($E158="",0,$E158),2)))</f>
        <v/>
      </c>
      <c r="G158" s="25" t="n">
        <v>8</v>
      </c>
      <c r="H158" s="8">
        <f>IF(OR($A158="",$B158="",$F158=""),"",ROUND(IF($F$3="",0,MAX(0,$F158-$F$3))+IF($D$3="",0,MIN($F158-IF($F$3="",0,MAX(0,$F158-$F$3)),MAX(0,SUMIFS($F$5:$F$304,$A$5:$A$304,$A158&amp;"",$B$5:$B$304,"&gt;="&amp;($B158-MOD(WEEKDAY($B158)-$B$3,7)),$B$5:$B$304,"&lt;="&amp;$B158)-IF($F$3="",0,SUMIFS($F$5:$F$304,$A$5:$A$304,$A158&amp;"",$B$5:$B$304,"&gt;="&amp;($B158-MOD(WEEKDAY($B158)-$B$3,7)),$B$5:$B$304,"&lt;="&amp;$B158,$F$5:$F$304,"&gt;"&amp;$F$3)-$F$3*COUNTIFS($A$5:$A$304,$A158&amp;"",$B$5:$B$304,"&gt;="&amp;($B158-MOD(WEEKDAY($B158)-$B$3,7)),$B$5:$B$304,"&lt;="&amp;$B158,$F$5:$F$304,"&gt;"&amp;$F$3))-$D$3))),2))</f>
        <v/>
      </c>
      <c r="I158" s="26" t="n"/>
      <c r="J158" s="27">
        <f>IF(AND($A158="",$C158="",$D158=""),"",IF(OR($C158&gt;=1,$D158&gt;=1),"⚠ type the time with a colon: 9:00 AM, not 9",IF(AND($C158&lt;&gt;"",$C158=$D158),"⚠ clock-in equals clock-out: the shift adds 0 h",IF(AND($C158&lt;&gt;"",$D158&lt;&gt;"",IF($E158="",0,$E158)&gt;MOD($D158-$C158,1)*24),"⚠ the break is longer than the shift",IF(AND($A158&lt;&gt;"",COUNTIF('Monthly OT Summary'!$A$6:$A$35,$A158&amp;"")=0),"⚠ name not in Monthly OT Summary: its hours are not added","")))))</f>
        <v/>
      </c>
    </row>
    <row r="159">
      <c r="A159" s="21" t="n"/>
      <c r="B159" s="40" t="n"/>
      <c r="C159" s="41" t="n"/>
      <c r="D159" s="41" t="n"/>
      <c r="E159" s="24" t="n"/>
      <c r="F159" s="8">
        <f>IF(OR($C159="",$D159=""),"",IF(OR($C159&gt;=1,$D159&gt;=1,$C159=$D159,IF($E159="",0,$E159)&gt;MOD($D159-$C159,1)*24),"",ROUND(MOD($D159-$C159,1)*24-IF($E159="",0,$E159),2)))</f>
        <v/>
      </c>
      <c r="G159" s="25" t="n">
        <v>8</v>
      </c>
      <c r="H159" s="8">
        <f>IF(OR($A159="",$B159="",$F159=""),"",ROUND(IF($F$3="",0,MAX(0,$F159-$F$3))+IF($D$3="",0,MIN($F159-IF($F$3="",0,MAX(0,$F159-$F$3)),MAX(0,SUMIFS($F$5:$F$304,$A$5:$A$304,$A159&amp;"",$B$5:$B$304,"&gt;="&amp;($B159-MOD(WEEKDAY($B159)-$B$3,7)),$B$5:$B$304,"&lt;="&amp;$B159)-IF($F$3="",0,SUMIFS($F$5:$F$304,$A$5:$A$304,$A159&amp;"",$B$5:$B$304,"&gt;="&amp;($B159-MOD(WEEKDAY($B159)-$B$3,7)),$B$5:$B$304,"&lt;="&amp;$B159,$F$5:$F$304,"&gt;"&amp;$F$3)-$F$3*COUNTIFS($A$5:$A$304,$A159&amp;"",$B$5:$B$304,"&gt;="&amp;($B159-MOD(WEEKDAY($B159)-$B$3,7)),$B$5:$B$304,"&lt;="&amp;$B159,$F$5:$F$304,"&gt;"&amp;$F$3))-$D$3))),2))</f>
        <v/>
      </c>
      <c r="I159" s="26" t="n"/>
      <c r="J159" s="27">
        <f>IF(AND($A159="",$C159="",$D159=""),"",IF(OR($C159&gt;=1,$D159&gt;=1),"⚠ type the time with a colon: 9:00 AM, not 9",IF(AND($C159&lt;&gt;"",$C159=$D159),"⚠ clock-in equals clock-out: the shift adds 0 h",IF(AND($C159&lt;&gt;"",$D159&lt;&gt;"",IF($E159="",0,$E159)&gt;MOD($D159-$C159,1)*24),"⚠ the break is longer than the shift",IF(AND($A159&lt;&gt;"",COUNTIF('Monthly OT Summary'!$A$6:$A$35,$A159&amp;"")=0),"⚠ name not in Monthly OT Summary: its hours are not added","")))))</f>
        <v/>
      </c>
    </row>
    <row r="160">
      <c r="A160" s="21" t="n"/>
      <c r="B160" s="40" t="n"/>
      <c r="C160" s="41" t="n"/>
      <c r="D160" s="41" t="n"/>
      <c r="E160" s="24" t="n"/>
      <c r="F160" s="8">
        <f>IF(OR($C160="",$D160=""),"",IF(OR($C160&gt;=1,$D160&gt;=1,$C160=$D160,IF($E160="",0,$E160)&gt;MOD($D160-$C160,1)*24),"",ROUND(MOD($D160-$C160,1)*24-IF($E160="",0,$E160),2)))</f>
        <v/>
      </c>
      <c r="G160" s="25" t="n">
        <v>8</v>
      </c>
      <c r="H160" s="8">
        <f>IF(OR($A160="",$B160="",$F160=""),"",ROUND(IF($F$3="",0,MAX(0,$F160-$F$3))+IF($D$3="",0,MIN($F160-IF($F$3="",0,MAX(0,$F160-$F$3)),MAX(0,SUMIFS($F$5:$F$304,$A$5:$A$304,$A160&amp;"",$B$5:$B$304,"&gt;="&amp;($B160-MOD(WEEKDAY($B160)-$B$3,7)),$B$5:$B$304,"&lt;="&amp;$B160)-IF($F$3="",0,SUMIFS($F$5:$F$304,$A$5:$A$304,$A160&amp;"",$B$5:$B$304,"&gt;="&amp;($B160-MOD(WEEKDAY($B160)-$B$3,7)),$B$5:$B$304,"&lt;="&amp;$B160,$F$5:$F$304,"&gt;"&amp;$F$3)-$F$3*COUNTIFS($A$5:$A$304,$A160&amp;"",$B$5:$B$304,"&gt;="&amp;($B160-MOD(WEEKDAY($B160)-$B$3,7)),$B$5:$B$304,"&lt;="&amp;$B160,$F$5:$F$304,"&gt;"&amp;$F$3))-$D$3))),2))</f>
        <v/>
      </c>
      <c r="I160" s="26" t="n"/>
      <c r="J160" s="27">
        <f>IF(AND($A160="",$C160="",$D160=""),"",IF(OR($C160&gt;=1,$D160&gt;=1),"⚠ type the time with a colon: 9:00 AM, not 9",IF(AND($C160&lt;&gt;"",$C160=$D160),"⚠ clock-in equals clock-out: the shift adds 0 h",IF(AND($C160&lt;&gt;"",$D160&lt;&gt;"",IF($E160="",0,$E160)&gt;MOD($D160-$C160,1)*24),"⚠ the break is longer than the shift",IF(AND($A160&lt;&gt;"",COUNTIF('Monthly OT Summary'!$A$6:$A$35,$A160&amp;"")=0),"⚠ name not in Monthly OT Summary: its hours are not added","")))))</f>
        <v/>
      </c>
    </row>
    <row r="161">
      <c r="A161" s="21" t="n"/>
      <c r="B161" s="40" t="n"/>
      <c r="C161" s="41" t="n"/>
      <c r="D161" s="41" t="n"/>
      <c r="E161" s="24" t="n"/>
      <c r="F161" s="8">
        <f>IF(OR($C161="",$D161=""),"",IF(OR($C161&gt;=1,$D161&gt;=1,$C161=$D161,IF($E161="",0,$E161)&gt;MOD($D161-$C161,1)*24),"",ROUND(MOD($D161-$C161,1)*24-IF($E161="",0,$E161),2)))</f>
        <v/>
      </c>
      <c r="G161" s="25" t="n">
        <v>8</v>
      </c>
      <c r="H161" s="8">
        <f>IF(OR($A161="",$B161="",$F161=""),"",ROUND(IF($F$3="",0,MAX(0,$F161-$F$3))+IF($D$3="",0,MIN($F161-IF($F$3="",0,MAX(0,$F161-$F$3)),MAX(0,SUMIFS($F$5:$F$304,$A$5:$A$304,$A161&amp;"",$B$5:$B$304,"&gt;="&amp;($B161-MOD(WEEKDAY($B161)-$B$3,7)),$B$5:$B$304,"&lt;="&amp;$B161)-IF($F$3="",0,SUMIFS($F$5:$F$304,$A$5:$A$304,$A161&amp;"",$B$5:$B$304,"&gt;="&amp;($B161-MOD(WEEKDAY($B161)-$B$3,7)),$B$5:$B$304,"&lt;="&amp;$B161,$F$5:$F$304,"&gt;"&amp;$F$3)-$F$3*COUNTIFS($A$5:$A$304,$A161&amp;"",$B$5:$B$304,"&gt;="&amp;($B161-MOD(WEEKDAY($B161)-$B$3,7)),$B$5:$B$304,"&lt;="&amp;$B161,$F$5:$F$304,"&gt;"&amp;$F$3))-$D$3))),2))</f>
        <v/>
      </c>
      <c r="I161" s="26" t="n"/>
      <c r="J161" s="27">
        <f>IF(AND($A161="",$C161="",$D161=""),"",IF(OR($C161&gt;=1,$D161&gt;=1),"⚠ type the time with a colon: 9:00 AM, not 9",IF(AND($C161&lt;&gt;"",$C161=$D161),"⚠ clock-in equals clock-out: the shift adds 0 h",IF(AND($C161&lt;&gt;"",$D161&lt;&gt;"",IF($E161="",0,$E161)&gt;MOD($D161-$C161,1)*24),"⚠ the break is longer than the shift",IF(AND($A161&lt;&gt;"",COUNTIF('Monthly OT Summary'!$A$6:$A$35,$A161&amp;"")=0),"⚠ name not in Monthly OT Summary: its hours are not added","")))))</f>
        <v/>
      </c>
    </row>
    <row r="162">
      <c r="A162" s="21" t="n"/>
      <c r="B162" s="40" t="n"/>
      <c r="C162" s="41" t="n"/>
      <c r="D162" s="41" t="n"/>
      <c r="E162" s="24" t="n"/>
      <c r="F162" s="8">
        <f>IF(OR($C162="",$D162=""),"",IF(OR($C162&gt;=1,$D162&gt;=1,$C162=$D162,IF($E162="",0,$E162)&gt;MOD($D162-$C162,1)*24),"",ROUND(MOD($D162-$C162,1)*24-IF($E162="",0,$E162),2)))</f>
        <v/>
      </c>
      <c r="G162" s="25" t="n">
        <v>8</v>
      </c>
      <c r="H162" s="8">
        <f>IF(OR($A162="",$B162="",$F162=""),"",ROUND(IF($F$3="",0,MAX(0,$F162-$F$3))+IF($D$3="",0,MIN($F162-IF($F$3="",0,MAX(0,$F162-$F$3)),MAX(0,SUMIFS($F$5:$F$304,$A$5:$A$304,$A162&amp;"",$B$5:$B$304,"&gt;="&amp;($B162-MOD(WEEKDAY($B162)-$B$3,7)),$B$5:$B$304,"&lt;="&amp;$B162)-IF($F$3="",0,SUMIFS($F$5:$F$304,$A$5:$A$304,$A162&amp;"",$B$5:$B$304,"&gt;="&amp;($B162-MOD(WEEKDAY($B162)-$B$3,7)),$B$5:$B$304,"&lt;="&amp;$B162,$F$5:$F$304,"&gt;"&amp;$F$3)-$F$3*COUNTIFS($A$5:$A$304,$A162&amp;"",$B$5:$B$304,"&gt;="&amp;($B162-MOD(WEEKDAY($B162)-$B$3,7)),$B$5:$B$304,"&lt;="&amp;$B162,$F$5:$F$304,"&gt;"&amp;$F$3))-$D$3))),2))</f>
        <v/>
      </c>
      <c r="I162" s="26" t="n"/>
      <c r="J162" s="27">
        <f>IF(AND($A162="",$C162="",$D162=""),"",IF(OR($C162&gt;=1,$D162&gt;=1),"⚠ type the time with a colon: 9:00 AM, not 9",IF(AND($C162&lt;&gt;"",$C162=$D162),"⚠ clock-in equals clock-out: the shift adds 0 h",IF(AND($C162&lt;&gt;"",$D162&lt;&gt;"",IF($E162="",0,$E162)&gt;MOD($D162-$C162,1)*24),"⚠ the break is longer than the shift",IF(AND($A162&lt;&gt;"",COUNTIF('Monthly OT Summary'!$A$6:$A$35,$A162&amp;"")=0),"⚠ name not in Monthly OT Summary: its hours are not added","")))))</f>
        <v/>
      </c>
    </row>
    <row r="163">
      <c r="A163" s="21" t="n"/>
      <c r="B163" s="40" t="n"/>
      <c r="C163" s="41" t="n"/>
      <c r="D163" s="41" t="n"/>
      <c r="E163" s="24" t="n"/>
      <c r="F163" s="8">
        <f>IF(OR($C163="",$D163=""),"",IF(OR($C163&gt;=1,$D163&gt;=1,$C163=$D163,IF($E163="",0,$E163)&gt;MOD($D163-$C163,1)*24),"",ROUND(MOD($D163-$C163,1)*24-IF($E163="",0,$E163),2)))</f>
        <v/>
      </c>
      <c r="G163" s="25" t="n">
        <v>8</v>
      </c>
      <c r="H163" s="8">
        <f>IF(OR($A163="",$B163="",$F163=""),"",ROUND(IF($F$3="",0,MAX(0,$F163-$F$3))+IF($D$3="",0,MIN($F163-IF($F$3="",0,MAX(0,$F163-$F$3)),MAX(0,SUMIFS($F$5:$F$304,$A$5:$A$304,$A163&amp;"",$B$5:$B$304,"&gt;="&amp;($B163-MOD(WEEKDAY($B163)-$B$3,7)),$B$5:$B$304,"&lt;="&amp;$B163)-IF($F$3="",0,SUMIFS($F$5:$F$304,$A$5:$A$304,$A163&amp;"",$B$5:$B$304,"&gt;="&amp;($B163-MOD(WEEKDAY($B163)-$B$3,7)),$B$5:$B$304,"&lt;="&amp;$B163,$F$5:$F$304,"&gt;"&amp;$F$3)-$F$3*COUNTIFS($A$5:$A$304,$A163&amp;"",$B$5:$B$304,"&gt;="&amp;($B163-MOD(WEEKDAY($B163)-$B$3,7)),$B$5:$B$304,"&lt;="&amp;$B163,$F$5:$F$304,"&gt;"&amp;$F$3))-$D$3))),2))</f>
        <v/>
      </c>
      <c r="I163" s="26" t="n"/>
      <c r="J163" s="27">
        <f>IF(AND($A163="",$C163="",$D163=""),"",IF(OR($C163&gt;=1,$D163&gt;=1),"⚠ type the time with a colon: 9:00 AM, not 9",IF(AND($C163&lt;&gt;"",$C163=$D163),"⚠ clock-in equals clock-out: the shift adds 0 h",IF(AND($C163&lt;&gt;"",$D163&lt;&gt;"",IF($E163="",0,$E163)&gt;MOD($D163-$C163,1)*24),"⚠ the break is longer than the shift",IF(AND($A163&lt;&gt;"",COUNTIF('Monthly OT Summary'!$A$6:$A$35,$A163&amp;"")=0),"⚠ name not in Monthly OT Summary: its hours are not added","")))))</f>
        <v/>
      </c>
    </row>
    <row r="164">
      <c r="A164" s="21" t="n"/>
      <c r="B164" s="40" t="n"/>
      <c r="C164" s="41" t="n"/>
      <c r="D164" s="41" t="n"/>
      <c r="E164" s="24" t="n"/>
      <c r="F164" s="8">
        <f>IF(OR($C164="",$D164=""),"",IF(OR($C164&gt;=1,$D164&gt;=1,$C164=$D164,IF($E164="",0,$E164)&gt;MOD($D164-$C164,1)*24),"",ROUND(MOD($D164-$C164,1)*24-IF($E164="",0,$E164),2)))</f>
        <v/>
      </c>
      <c r="G164" s="25" t="n">
        <v>8</v>
      </c>
      <c r="H164" s="8">
        <f>IF(OR($A164="",$B164="",$F164=""),"",ROUND(IF($F$3="",0,MAX(0,$F164-$F$3))+IF($D$3="",0,MIN($F164-IF($F$3="",0,MAX(0,$F164-$F$3)),MAX(0,SUMIFS($F$5:$F$304,$A$5:$A$304,$A164&amp;"",$B$5:$B$304,"&gt;="&amp;($B164-MOD(WEEKDAY($B164)-$B$3,7)),$B$5:$B$304,"&lt;="&amp;$B164)-IF($F$3="",0,SUMIFS($F$5:$F$304,$A$5:$A$304,$A164&amp;"",$B$5:$B$304,"&gt;="&amp;($B164-MOD(WEEKDAY($B164)-$B$3,7)),$B$5:$B$304,"&lt;="&amp;$B164,$F$5:$F$304,"&gt;"&amp;$F$3)-$F$3*COUNTIFS($A$5:$A$304,$A164&amp;"",$B$5:$B$304,"&gt;="&amp;($B164-MOD(WEEKDAY($B164)-$B$3,7)),$B$5:$B$304,"&lt;="&amp;$B164,$F$5:$F$304,"&gt;"&amp;$F$3))-$D$3))),2))</f>
        <v/>
      </c>
      <c r="I164" s="26" t="n"/>
      <c r="J164" s="27">
        <f>IF(AND($A164="",$C164="",$D164=""),"",IF(OR($C164&gt;=1,$D164&gt;=1),"⚠ type the time with a colon: 9:00 AM, not 9",IF(AND($C164&lt;&gt;"",$C164=$D164),"⚠ clock-in equals clock-out: the shift adds 0 h",IF(AND($C164&lt;&gt;"",$D164&lt;&gt;"",IF($E164="",0,$E164)&gt;MOD($D164-$C164,1)*24),"⚠ the break is longer than the shift",IF(AND($A164&lt;&gt;"",COUNTIF('Monthly OT Summary'!$A$6:$A$35,$A164&amp;"")=0),"⚠ name not in Monthly OT Summary: its hours are not added","")))))</f>
        <v/>
      </c>
    </row>
    <row r="165">
      <c r="A165" s="21" t="n"/>
      <c r="B165" s="40" t="n"/>
      <c r="C165" s="41" t="n"/>
      <c r="D165" s="41" t="n"/>
      <c r="E165" s="24" t="n"/>
      <c r="F165" s="8">
        <f>IF(OR($C165="",$D165=""),"",IF(OR($C165&gt;=1,$D165&gt;=1,$C165=$D165,IF($E165="",0,$E165)&gt;MOD($D165-$C165,1)*24),"",ROUND(MOD($D165-$C165,1)*24-IF($E165="",0,$E165),2)))</f>
        <v/>
      </c>
      <c r="G165" s="25" t="n">
        <v>8</v>
      </c>
      <c r="H165" s="8">
        <f>IF(OR($A165="",$B165="",$F165=""),"",ROUND(IF($F$3="",0,MAX(0,$F165-$F$3))+IF($D$3="",0,MIN($F165-IF($F$3="",0,MAX(0,$F165-$F$3)),MAX(0,SUMIFS($F$5:$F$304,$A$5:$A$304,$A165&amp;"",$B$5:$B$304,"&gt;="&amp;($B165-MOD(WEEKDAY($B165)-$B$3,7)),$B$5:$B$304,"&lt;="&amp;$B165)-IF($F$3="",0,SUMIFS($F$5:$F$304,$A$5:$A$304,$A165&amp;"",$B$5:$B$304,"&gt;="&amp;($B165-MOD(WEEKDAY($B165)-$B$3,7)),$B$5:$B$304,"&lt;="&amp;$B165,$F$5:$F$304,"&gt;"&amp;$F$3)-$F$3*COUNTIFS($A$5:$A$304,$A165&amp;"",$B$5:$B$304,"&gt;="&amp;($B165-MOD(WEEKDAY($B165)-$B$3,7)),$B$5:$B$304,"&lt;="&amp;$B165,$F$5:$F$304,"&gt;"&amp;$F$3))-$D$3))),2))</f>
        <v/>
      </c>
      <c r="I165" s="26" t="n"/>
      <c r="J165" s="27">
        <f>IF(AND($A165="",$C165="",$D165=""),"",IF(OR($C165&gt;=1,$D165&gt;=1),"⚠ type the time with a colon: 9:00 AM, not 9",IF(AND($C165&lt;&gt;"",$C165=$D165),"⚠ clock-in equals clock-out: the shift adds 0 h",IF(AND($C165&lt;&gt;"",$D165&lt;&gt;"",IF($E165="",0,$E165)&gt;MOD($D165-$C165,1)*24),"⚠ the break is longer than the shift",IF(AND($A165&lt;&gt;"",COUNTIF('Monthly OT Summary'!$A$6:$A$35,$A165&amp;"")=0),"⚠ name not in Monthly OT Summary: its hours are not added","")))))</f>
        <v/>
      </c>
    </row>
    <row r="166">
      <c r="A166" s="21" t="n"/>
      <c r="B166" s="40" t="n"/>
      <c r="C166" s="41" t="n"/>
      <c r="D166" s="41" t="n"/>
      <c r="E166" s="24" t="n"/>
      <c r="F166" s="8">
        <f>IF(OR($C166="",$D166=""),"",IF(OR($C166&gt;=1,$D166&gt;=1,$C166=$D166,IF($E166="",0,$E166)&gt;MOD($D166-$C166,1)*24),"",ROUND(MOD($D166-$C166,1)*24-IF($E166="",0,$E166),2)))</f>
        <v/>
      </c>
      <c r="G166" s="25" t="n">
        <v>8</v>
      </c>
      <c r="H166" s="8">
        <f>IF(OR($A166="",$B166="",$F166=""),"",ROUND(IF($F$3="",0,MAX(0,$F166-$F$3))+IF($D$3="",0,MIN($F166-IF($F$3="",0,MAX(0,$F166-$F$3)),MAX(0,SUMIFS($F$5:$F$304,$A$5:$A$304,$A166&amp;"",$B$5:$B$304,"&gt;="&amp;($B166-MOD(WEEKDAY($B166)-$B$3,7)),$B$5:$B$304,"&lt;="&amp;$B166)-IF($F$3="",0,SUMIFS($F$5:$F$304,$A$5:$A$304,$A166&amp;"",$B$5:$B$304,"&gt;="&amp;($B166-MOD(WEEKDAY($B166)-$B$3,7)),$B$5:$B$304,"&lt;="&amp;$B166,$F$5:$F$304,"&gt;"&amp;$F$3)-$F$3*COUNTIFS($A$5:$A$304,$A166&amp;"",$B$5:$B$304,"&gt;="&amp;($B166-MOD(WEEKDAY($B166)-$B$3,7)),$B$5:$B$304,"&lt;="&amp;$B166,$F$5:$F$304,"&gt;"&amp;$F$3))-$D$3))),2))</f>
        <v/>
      </c>
      <c r="I166" s="26" t="n"/>
      <c r="J166" s="27">
        <f>IF(AND($A166="",$C166="",$D166=""),"",IF(OR($C166&gt;=1,$D166&gt;=1),"⚠ type the time with a colon: 9:00 AM, not 9",IF(AND($C166&lt;&gt;"",$C166=$D166),"⚠ clock-in equals clock-out: the shift adds 0 h",IF(AND($C166&lt;&gt;"",$D166&lt;&gt;"",IF($E166="",0,$E166)&gt;MOD($D166-$C166,1)*24),"⚠ the break is longer than the shift",IF(AND($A166&lt;&gt;"",COUNTIF('Monthly OT Summary'!$A$6:$A$35,$A166&amp;"")=0),"⚠ name not in Monthly OT Summary: its hours are not added","")))))</f>
        <v/>
      </c>
    </row>
    <row r="167">
      <c r="A167" s="21" t="n"/>
      <c r="B167" s="40" t="n"/>
      <c r="C167" s="41" t="n"/>
      <c r="D167" s="41" t="n"/>
      <c r="E167" s="24" t="n"/>
      <c r="F167" s="8">
        <f>IF(OR($C167="",$D167=""),"",IF(OR($C167&gt;=1,$D167&gt;=1,$C167=$D167,IF($E167="",0,$E167)&gt;MOD($D167-$C167,1)*24),"",ROUND(MOD($D167-$C167,1)*24-IF($E167="",0,$E167),2)))</f>
        <v/>
      </c>
      <c r="G167" s="25" t="n">
        <v>8</v>
      </c>
      <c r="H167" s="8">
        <f>IF(OR($A167="",$B167="",$F167=""),"",ROUND(IF($F$3="",0,MAX(0,$F167-$F$3))+IF($D$3="",0,MIN($F167-IF($F$3="",0,MAX(0,$F167-$F$3)),MAX(0,SUMIFS($F$5:$F$304,$A$5:$A$304,$A167&amp;"",$B$5:$B$304,"&gt;="&amp;($B167-MOD(WEEKDAY($B167)-$B$3,7)),$B$5:$B$304,"&lt;="&amp;$B167)-IF($F$3="",0,SUMIFS($F$5:$F$304,$A$5:$A$304,$A167&amp;"",$B$5:$B$304,"&gt;="&amp;($B167-MOD(WEEKDAY($B167)-$B$3,7)),$B$5:$B$304,"&lt;="&amp;$B167,$F$5:$F$304,"&gt;"&amp;$F$3)-$F$3*COUNTIFS($A$5:$A$304,$A167&amp;"",$B$5:$B$304,"&gt;="&amp;($B167-MOD(WEEKDAY($B167)-$B$3,7)),$B$5:$B$304,"&lt;="&amp;$B167,$F$5:$F$304,"&gt;"&amp;$F$3))-$D$3))),2))</f>
        <v/>
      </c>
      <c r="I167" s="26" t="n"/>
      <c r="J167" s="27">
        <f>IF(AND($A167="",$C167="",$D167=""),"",IF(OR($C167&gt;=1,$D167&gt;=1),"⚠ type the time with a colon: 9:00 AM, not 9",IF(AND($C167&lt;&gt;"",$C167=$D167),"⚠ clock-in equals clock-out: the shift adds 0 h",IF(AND($C167&lt;&gt;"",$D167&lt;&gt;"",IF($E167="",0,$E167)&gt;MOD($D167-$C167,1)*24),"⚠ the break is longer than the shift",IF(AND($A167&lt;&gt;"",COUNTIF('Monthly OT Summary'!$A$6:$A$35,$A167&amp;"")=0),"⚠ name not in Monthly OT Summary: its hours are not added","")))))</f>
        <v/>
      </c>
    </row>
    <row r="168">
      <c r="A168" s="21" t="n"/>
      <c r="B168" s="40" t="n"/>
      <c r="C168" s="41" t="n"/>
      <c r="D168" s="41" t="n"/>
      <c r="E168" s="24" t="n"/>
      <c r="F168" s="8">
        <f>IF(OR($C168="",$D168=""),"",IF(OR($C168&gt;=1,$D168&gt;=1,$C168=$D168,IF($E168="",0,$E168)&gt;MOD($D168-$C168,1)*24),"",ROUND(MOD($D168-$C168,1)*24-IF($E168="",0,$E168),2)))</f>
        <v/>
      </c>
      <c r="G168" s="25" t="n">
        <v>8</v>
      </c>
      <c r="H168" s="8">
        <f>IF(OR($A168="",$B168="",$F168=""),"",ROUND(IF($F$3="",0,MAX(0,$F168-$F$3))+IF($D$3="",0,MIN($F168-IF($F$3="",0,MAX(0,$F168-$F$3)),MAX(0,SUMIFS($F$5:$F$304,$A$5:$A$304,$A168&amp;"",$B$5:$B$304,"&gt;="&amp;($B168-MOD(WEEKDAY($B168)-$B$3,7)),$B$5:$B$304,"&lt;="&amp;$B168)-IF($F$3="",0,SUMIFS($F$5:$F$304,$A$5:$A$304,$A168&amp;"",$B$5:$B$304,"&gt;="&amp;($B168-MOD(WEEKDAY($B168)-$B$3,7)),$B$5:$B$304,"&lt;="&amp;$B168,$F$5:$F$304,"&gt;"&amp;$F$3)-$F$3*COUNTIFS($A$5:$A$304,$A168&amp;"",$B$5:$B$304,"&gt;="&amp;($B168-MOD(WEEKDAY($B168)-$B$3,7)),$B$5:$B$304,"&lt;="&amp;$B168,$F$5:$F$304,"&gt;"&amp;$F$3))-$D$3))),2))</f>
        <v/>
      </c>
      <c r="I168" s="26" t="n"/>
      <c r="J168" s="27">
        <f>IF(AND($A168="",$C168="",$D168=""),"",IF(OR($C168&gt;=1,$D168&gt;=1),"⚠ type the time with a colon: 9:00 AM, not 9",IF(AND($C168&lt;&gt;"",$C168=$D168),"⚠ clock-in equals clock-out: the shift adds 0 h",IF(AND($C168&lt;&gt;"",$D168&lt;&gt;"",IF($E168="",0,$E168)&gt;MOD($D168-$C168,1)*24),"⚠ the break is longer than the shift",IF(AND($A168&lt;&gt;"",COUNTIF('Monthly OT Summary'!$A$6:$A$35,$A168&amp;"")=0),"⚠ name not in Monthly OT Summary: its hours are not added","")))))</f>
        <v/>
      </c>
    </row>
    <row r="169">
      <c r="A169" s="21" t="n"/>
      <c r="B169" s="40" t="n"/>
      <c r="C169" s="41" t="n"/>
      <c r="D169" s="41" t="n"/>
      <c r="E169" s="24" t="n"/>
      <c r="F169" s="8">
        <f>IF(OR($C169="",$D169=""),"",IF(OR($C169&gt;=1,$D169&gt;=1,$C169=$D169,IF($E169="",0,$E169)&gt;MOD($D169-$C169,1)*24),"",ROUND(MOD($D169-$C169,1)*24-IF($E169="",0,$E169),2)))</f>
        <v/>
      </c>
      <c r="G169" s="25" t="n">
        <v>8</v>
      </c>
      <c r="H169" s="8">
        <f>IF(OR($A169="",$B169="",$F169=""),"",ROUND(IF($F$3="",0,MAX(0,$F169-$F$3))+IF($D$3="",0,MIN($F169-IF($F$3="",0,MAX(0,$F169-$F$3)),MAX(0,SUMIFS($F$5:$F$304,$A$5:$A$304,$A169&amp;"",$B$5:$B$304,"&gt;="&amp;($B169-MOD(WEEKDAY($B169)-$B$3,7)),$B$5:$B$304,"&lt;="&amp;$B169)-IF($F$3="",0,SUMIFS($F$5:$F$304,$A$5:$A$304,$A169&amp;"",$B$5:$B$304,"&gt;="&amp;($B169-MOD(WEEKDAY($B169)-$B$3,7)),$B$5:$B$304,"&lt;="&amp;$B169,$F$5:$F$304,"&gt;"&amp;$F$3)-$F$3*COUNTIFS($A$5:$A$304,$A169&amp;"",$B$5:$B$304,"&gt;="&amp;($B169-MOD(WEEKDAY($B169)-$B$3,7)),$B$5:$B$304,"&lt;="&amp;$B169,$F$5:$F$304,"&gt;"&amp;$F$3))-$D$3))),2))</f>
        <v/>
      </c>
      <c r="I169" s="26" t="n"/>
      <c r="J169" s="27">
        <f>IF(AND($A169="",$C169="",$D169=""),"",IF(OR($C169&gt;=1,$D169&gt;=1),"⚠ type the time with a colon: 9:00 AM, not 9",IF(AND($C169&lt;&gt;"",$C169=$D169),"⚠ clock-in equals clock-out: the shift adds 0 h",IF(AND($C169&lt;&gt;"",$D169&lt;&gt;"",IF($E169="",0,$E169)&gt;MOD($D169-$C169,1)*24),"⚠ the break is longer than the shift",IF(AND($A169&lt;&gt;"",COUNTIF('Monthly OT Summary'!$A$6:$A$35,$A169&amp;"")=0),"⚠ name not in Monthly OT Summary: its hours are not added","")))))</f>
        <v/>
      </c>
    </row>
    <row r="170">
      <c r="A170" s="21" t="n"/>
      <c r="B170" s="40" t="n"/>
      <c r="C170" s="41" t="n"/>
      <c r="D170" s="41" t="n"/>
      <c r="E170" s="24" t="n"/>
      <c r="F170" s="8">
        <f>IF(OR($C170="",$D170=""),"",IF(OR($C170&gt;=1,$D170&gt;=1,$C170=$D170,IF($E170="",0,$E170)&gt;MOD($D170-$C170,1)*24),"",ROUND(MOD($D170-$C170,1)*24-IF($E170="",0,$E170),2)))</f>
        <v/>
      </c>
      <c r="G170" s="25" t="n">
        <v>8</v>
      </c>
      <c r="H170" s="8">
        <f>IF(OR($A170="",$B170="",$F170=""),"",ROUND(IF($F$3="",0,MAX(0,$F170-$F$3))+IF($D$3="",0,MIN($F170-IF($F$3="",0,MAX(0,$F170-$F$3)),MAX(0,SUMIFS($F$5:$F$304,$A$5:$A$304,$A170&amp;"",$B$5:$B$304,"&gt;="&amp;($B170-MOD(WEEKDAY($B170)-$B$3,7)),$B$5:$B$304,"&lt;="&amp;$B170)-IF($F$3="",0,SUMIFS($F$5:$F$304,$A$5:$A$304,$A170&amp;"",$B$5:$B$304,"&gt;="&amp;($B170-MOD(WEEKDAY($B170)-$B$3,7)),$B$5:$B$304,"&lt;="&amp;$B170,$F$5:$F$304,"&gt;"&amp;$F$3)-$F$3*COUNTIFS($A$5:$A$304,$A170&amp;"",$B$5:$B$304,"&gt;="&amp;($B170-MOD(WEEKDAY($B170)-$B$3,7)),$B$5:$B$304,"&lt;="&amp;$B170,$F$5:$F$304,"&gt;"&amp;$F$3))-$D$3))),2))</f>
        <v/>
      </c>
      <c r="I170" s="26" t="n"/>
      <c r="J170" s="27">
        <f>IF(AND($A170="",$C170="",$D170=""),"",IF(OR($C170&gt;=1,$D170&gt;=1),"⚠ type the time with a colon: 9:00 AM, not 9",IF(AND($C170&lt;&gt;"",$C170=$D170),"⚠ clock-in equals clock-out: the shift adds 0 h",IF(AND($C170&lt;&gt;"",$D170&lt;&gt;"",IF($E170="",0,$E170)&gt;MOD($D170-$C170,1)*24),"⚠ the break is longer than the shift",IF(AND($A170&lt;&gt;"",COUNTIF('Monthly OT Summary'!$A$6:$A$35,$A170&amp;"")=0),"⚠ name not in Monthly OT Summary: its hours are not added","")))))</f>
        <v/>
      </c>
    </row>
    <row r="171">
      <c r="A171" s="21" t="n"/>
      <c r="B171" s="40" t="n"/>
      <c r="C171" s="41" t="n"/>
      <c r="D171" s="41" t="n"/>
      <c r="E171" s="24" t="n"/>
      <c r="F171" s="8">
        <f>IF(OR($C171="",$D171=""),"",IF(OR($C171&gt;=1,$D171&gt;=1,$C171=$D171,IF($E171="",0,$E171)&gt;MOD($D171-$C171,1)*24),"",ROUND(MOD($D171-$C171,1)*24-IF($E171="",0,$E171),2)))</f>
        <v/>
      </c>
      <c r="G171" s="25" t="n">
        <v>8</v>
      </c>
      <c r="H171" s="8">
        <f>IF(OR($A171="",$B171="",$F171=""),"",ROUND(IF($F$3="",0,MAX(0,$F171-$F$3))+IF($D$3="",0,MIN($F171-IF($F$3="",0,MAX(0,$F171-$F$3)),MAX(0,SUMIFS($F$5:$F$304,$A$5:$A$304,$A171&amp;"",$B$5:$B$304,"&gt;="&amp;($B171-MOD(WEEKDAY($B171)-$B$3,7)),$B$5:$B$304,"&lt;="&amp;$B171)-IF($F$3="",0,SUMIFS($F$5:$F$304,$A$5:$A$304,$A171&amp;"",$B$5:$B$304,"&gt;="&amp;($B171-MOD(WEEKDAY($B171)-$B$3,7)),$B$5:$B$304,"&lt;="&amp;$B171,$F$5:$F$304,"&gt;"&amp;$F$3)-$F$3*COUNTIFS($A$5:$A$304,$A171&amp;"",$B$5:$B$304,"&gt;="&amp;($B171-MOD(WEEKDAY($B171)-$B$3,7)),$B$5:$B$304,"&lt;="&amp;$B171,$F$5:$F$304,"&gt;"&amp;$F$3))-$D$3))),2))</f>
        <v/>
      </c>
      <c r="I171" s="26" t="n"/>
      <c r="J171" s="27">
        <f>IF(AND($A171="",$C171="",$D171=""),"",IF(OR($C171&gt;=1,$D171&gt;=1),"⚠ type the time with a colon: 9:00 AM, not 9",IF(AND($C171&lt;&gt;"",$C171=$D171),"⚠ clock-in equals clock-out: the shift adds 0 h",IF(AND($C171&lt;&gt;"",$D171&lt;&gt;"",IF($E171="",0,$E171)&gt;MOD($D171-$C171,1)*24),"⚠ the break is longer than the shift",IF(AND($A171&lt;&gt;"",COUNTIF('Monthly OT Summary'!$A$6:$A$35,$A171&amp;"")=0),"⚠ name not in Monthly OT Summary: its hours are not added","")))))</f>
        <v/>
      </c>
    </row>
    <row r="172">
      <c r="A172" s="21" t="n"/>
      <c r="B172" s="40" t="n"/>
      <c r="C172" s="41" t="n"/>
      <c r="D172" s="41" t="n"/>
      <c r="E172" s="24" t="n"/>
      <c r="F172" s="8">
        <f>IF(OR($C172="",$D172=""),"",IF(OR($C172&gt;=1,$D172&gt;=1,$C172=$D172,IF($E172="",0,$E172)&gt;MOD($D172-$C172,1)*24),"",ROUND(MOD($D172-$C172,1)*24-IF($E172="",0,$E172),2)))</f>
        <v/>
      </c>
      <c r="G172" s="25" t="n">
        <v>8</v>
      </c>
      <c r="H172" s="8">
        <f>IF(OR($A172="",$B172="",$F172=""),"",ROUND(IF($F$3="",0,MAX(0,$F172-$F$3))+IF($D$3="",0,MIN($F172-IF($F$3="",0,MAX(0,$F172-$F$3)),MAX(0,SUMIFS($F$5:$F$304,$A$5:$A$304,$A172&amp;"",$B$5:$B$304,"&gt;="&amp;($B172-MOD(WEEKDAY($B172)-$B$3,7)),$B$5:$B$304,"&lt;="&amp;$B172)-IF($F$3="",0,SUMIFS($F$5:$F$304,$A$5:$A$304,$A172&amp;"",$B$5:$B$304,"&gt;="&amp;($B172-MOD(WEEKDAY($B172)-$B$3,7)),$B$5:$B$304,"&lt;="&amp;$B172,$F$5:$F$304,"&gt;"&amp;$F$3)-$F$3*COUNTIFS($A$5:$A$304,$A172&amp;"",$B$5:$B$304,"&gt;="&amp;($B172-MOD(WEEKDAY($B172)-$B$3,7)),$B$5:$B$304,"&lt;="&amp;$B172,$F$5:$F$304,"&gt;"&amp;$F$3))-$D$3))),2))</f>
        <v/>
      </c>
      <c r="I172" s="26" t="n"/>
      <c r="J172" s="27">
        <f>IF(AND($A172="",$C172="",$D172=""),"",IF(OR($C172&gt;=1,$D172&gt;=1),"⚠ type the time with a colon: 9:00 AM, not 9",IF(AND($C172&lt;&gt;"",$C172=$D172),"⚠ clock-in equals clock-out: the shift adds 0 h",IF(AND($C172&lt;&gt;"",$D172&lt;&gt;"",IF($E172="",0,$E172)&gt;MOD($D172-$C172,1)*24),"⚠ the break is longer than the shift",IF(AND($A172&lt;&gt;"",COUNTIF('Monthly OT Summary'!$A$6:$A$35,$A172&amp;"")=0),"⚠ name not in Monthly OT Summary: its hours are not added","")))))</f>
        <v/>
      </c>
    </row>
    <row r="173">
      <c r="A173" s="21" t="n"/>
      <c r="B173" s="40" t="n"/>
      <c r="C173" s="41" t="n"/>
      <c r="D173" s="41" t="n"/>
      <c r="E173" s="24" t="n"/>
      <c r="F173" s="8">
        <f>IF(OR($C173="",$D173=""),"",IF(OR($C173&gt;=1,$D173&gt;=1,$C173=$D173,IF($E173="",0,$E173)&gt;MOD($D173-$C173,1)*24),"",ROUND(MOD($D173-$C173,1)*24-IF($E173="",0,$E173),2)))</f>
        <v/>
      </c>
      <c r="G173" s="25" t="n">
        <v>8</v>
      </c>
      <c r="H173" s="8">
        <f>IF(OR($A173="",$B173="",$F173=""),"",ROUND(IF($F$3="",0,MAX(0,$F173-$F$3))+IF($D$3="",0,MIN($F173-IF($F$3="",0,MAX(0,$F173-$F$3)),MAX(0,SUMIFS($F$5:$F$304,$A$5:$A$304,$A173&amp;"",$B$5:$B$304,"&gt;="&amp;($B173-MOD(WEEKDAY($B173)-$B$3,7)),$B$5:$B$304,"&lt;="&amp;$B173)-IF($F$3="",0,SUMIFS($F$5:$F$304,$A$5:$A$304,$A173&amp;"",$B$5:$B$304,"&gt;="&amp;($B173-MOD(WEEKDAY($B173)-$B$3,7)),$B$5:$B$304,"&lt;="&amp;$B173,$F$5:$F$304,"&gt;"&amp;$F$3)-$F$3*COUNTIFS($A$5:$A$304,$A173&amp;"",$B$5:$B$304,"&gt;="&amp;($B173-MOD(WEEKDAY($B173)-$B$3,7)),$B$5:$B$304,"&lt;="&amp;$B173,$F$5:$F$304,"&gt;"&amp;$F$3))-$D$3))),2))</f>
        <v/>
      </c>
      <c r="I173" s="26" t="n"/>
      <c r="J173" s="27">
        <f>IF(AND($A173="",$C173="",$D173=""),"",IF(OR($C173&gt;=1,$D173&gt;=1),"⚠ type the time with a colon: 9:00 AM, not 9",IF(AND($C173&lt;&gt;"",$C173=$D173),"⚠ clock-in equals clock-out: the shift adds 0 h",IF(AND($C173&lt;&gt;"",$D173&lt;&gt;"",IF($E173="",0,$E173)&gt;MOD($D173-$C173,1)*24),"⚠ the break is longer than the shift",IF(AND($A173&lt;&gt;"",COUNTIF('Monthly OT Summary'!$A$6:$A$35,$A173&amp;"")=0),"⚠ name not in Monthly OT Summary: its hours are not added","")))))</f>
        <v/>
      </c>
    </row>
    <row r="174">
      <c r="A174" s="21" t="n"/>
      <c r="B174" s="40" t="n"/>
      <c r="C174" s="41" t="n"/>
      <c r="D174" s="41" t="n"/>
      <c r="E174" s="24" t="n"/>
      <c r="F174" s="8">
        <f>IF(OR($C174="",$D174=""),"",IF(OR($C174&gt;=1,$D174&gt;=1,$C174=$D174,IF($E174="",0,$E174)&gt;MOD($D174-$C174,1)*24),"",ROUND(MOD($D174-$C174,1)*24-IF($E174="",0,$E174),2)))</f>
        <v/>
      </c>
      <c r="G174" s="25" t="n">
        <v>8</v>
      </c>
      <c r="H174" s="8">
        <f>IF(OR($A174="",$B174="",$F174=""),"",ROUND(IF($F$3="",0,MAX(0,$F174-$F$3))+IF($D$3="",0,MIN($F174-IF($F$3="",0,MAX(0,$F174-$F$3)),MAX(0,SUMIFS($F$5:$F$304,$A$5:$A$304,$A174&amp;"",$B$5:$B$304,"&gt;="&amp;($B174-MOD(WEEKDAY($B174)-$B$3,7)),$B$5:$B$304,"&lt;="&amp;$B174)-IF($F$3="",0,SUMIFS($F$5:$F$304,$A$5:$A$304,$A174&amp;"",$B$5:$B$304,"&gt;="&amp;($B174-MOD(WEEKDAY($B174)-$B$3,7)),$B$5:$B$304,"&lt;="&amp;$B174,$F$5:$F$304,"&gt;"&amp;$F$3)-$F$3*COUNTIFS($A$5:$A$304,$A174&amp;"",$B$5:$B$304,"&gt;="&amp;($B174-MOD(WEEKDAY($B174)-$B$3,7)),$B$5:$B$304,"&lt;="&amp;$B174,$F$5:$F$304,"&gt;"&amp;$F$3))-$D$3))),2))</f>
        <v/>
      </c>
      <c r="I174" s="26" t="n"/>
      <c r="J174" s="27">
        <f>IF(AND($A174="",$C174="",$D174=""),"",IF(OR($C174&gt;=1,$D174&gt;=1),"⚠ type the time with a colon: 9:00 AM, not 9",IF(AND($C174&lt;&gt;"",$C174=$D174),"⚠ clock-in equals clock-out: the shift adds 0 h",IF(AND($C174&lt;&gt;"",$D174&lt;&gt;"",IF($E174="",0,$E174)&gt;MOD($D174-$C174,1)*24),"⚠ the break is longer than the shift",IF(AND($A174&lt;&gt;"",COUNTIF('Monthly OT Summary'!$A$6:$A$35,$A174&amp;"")=0),"⚠ name not in Monthly OT Summary: its hours are not added","")))))</f>
        <v/>
      </c>
    </row>
    <row r="175">
      <c r="A175" s="21" t="n"/>
      <c r="B175" s="40" t="n"/>
      <c r="C175" s="41" t="n"/>
      <c r="D175" s="41" t="n"/>
      <c r="E175" s="24" t="n"/>
      <c r="F175" s="8">
        <f>IF(OR($C175="",$D175=""),"",IF(OR($C175&gt;=1,$D175&gt;=1,$C175=$D175,IF($E175="",0,$E175)&gt;MOD($D175-$C175,1)*24),"",ROUND(MOD($D175-$C175,1)*24-IF($E175="",0,$E175),2)))</f>
        <v/>
      </c>
      <c r="G175" s="25" t="n">
        <v>8</v>
      </c>
      <c r="H175" s="8">
        <f>IF(OR($A175="",$B175="",$F175=""),"",ROUND(IF($F$3="",0,MAX(0,$F175-$F$3))+IF($D$3="",0,MIN($F175-IF($F$3="",0,MAX(0,$F175-$F$3)),MAX(0,SUMIFS($F$5:$F$304,$A$5:$A$304,$A175&amp;"",$B$5:$B$304,"&gt;="&amp;($B175-MOD(WEEKDAY($B175)-$B$3,7)),$B$5:$B$304,"&lt;="&amp;$B175)-IF($F$3="",0,SUMIFS($F$5:$F$304,$A$5:$A$304,$A175&amp;"",$B$5:$B$304,"&gt;="&amp;($B175-MOD(WEEKDAY($B175)-$B$3,7)),$B$5:$B$304,"&lt;="&amp;$B175,$F$5:$F$304,"&gt;"&amp;$F$3)-$F$3*COUNTIFS($A$5:$A$304,$A175&amp;"",$B$5:$B$304,"&gt;="&amp;($B175-MOD(WEEKDAY($B175)-$B$3,7)),$B$5:$B$304,"&lt;="&amp;$B175,$F$5:$F$304,"&gt;"&amp;$F$3))-$D$3))),2))</f>
        <v/>
      </c>
      <c r="I175" s="26" t="n"/>
      <c r="J175" s="27">
        <f>IF(AND($A175="",$C175="",$D175=""),"",IF(OR($C175&gt;=1,$D175&gt;=1),"⚠ type the time with a colon: 9:00 AM, not 9",IF(AND($C175&lt;&gt;"",$C175=$D175),"⚠ clock-in equals clock-out: the shift adds 0 h",IF(AND($C175&lt;&gt;"",$D175&lt;&gt;"",IF($E175="",0,$E175)&gt;MOD($D175-$C175,1)*24),"⚠ the break is longer than the shift",IF(AND($A175&lt;&gt;"",COUNTIF('Monthly OT Summary'!$A$6:$A$35,$A175&amp;"")=0),"⚠ name not in Monthly OT Summary: its hours are not added","")))))</f>
        <v/>
      </c>
    </row>
    <row r="176">
      <c r="A176" s="21" t="n"/>
      <c r="B176" s="40" t="n"/>
      <c r="C176" s="41" t="n"/>
      <c r="D176" s="41" t="n"/>
      <c r="E176" s="24" t="n"/>
      <c r="F176" s="8">
        <f>IF(OR($C176="",$D176=""),"",IF(OR($C176&gt;=1,$D176&gt;=1,$C176=$D176,IF($E176="",0,$E176)&gt;MOD($D176-$C176,1)*24),"",ROUND(MOD($D176-$C176,1)*24-IF($E176="",0,$E176),2)))</f>
        <v/>
      </c>
      <c r="G176" s="25" t="n">
        <v>8</v>
      </c>
      <c r="H176" s="8">
        <f>IF(OR($A176="",$B176="",$F176=""),"",ROUND(IF($F$3="",0,MAX(0,$F176-$F$3))+IF($D$3="",0,MIN($F176-IF($F$3="",0,MAX(0,$F176-$F$3)),MAX(0,SUMIFS($F$5:$F$304,$A$5:$A$304,$A176&amp;"",$B$5:$B$304,"&gt;="&amp;($B176-MOD(WEEKDAY($B176)-$B$3,7)),$B$5:$B$304,"&lt;="&amp;$B176)-IF($F$3="",0,SUMIFS($F$5:$F$304,$A$5:$A$304,$A176&amp;"",$B$5:$B$304,"&gt;="&amp;($B176-MOD(WEEKDAY($B176)-$B$3,7)),$B$5:$B$304,"&lt;="&amp;$B176,$F$5:$F$304,"&gt;"&amp;$F$3)-$F$3*COUNTIFS($A$5:$A$304,$A176&amp;"",$B$5:$B$304,"&gt;="&amp;($B176-MOD(WEEKDAY($B176)-$B$3,7)),$B$5:$B$304,"&lt;="&amp;$B176,$F$5:$F$304,"&gt;"&amp;$F$3))-$D$3))),2))</f>
        <v/>
      </c>
      <c r="I176" s="26" t="n"/>
      <c r="J176" s="27">
        <f>IF(AND($A176="",$C176="",$D176=""),"",IF(OR($C176&gt;=1,$D176&gt;=1),"⚠ type the time with a colon: 9:00 AM, not 9",IF(AND($C176&lt;&gt;"",$C176=$D176),"⚠ clock-in equals clock-out: the shift adds 0 h",IF(AND($C176&lt;&gt;"",$D176&lt;&gt;"",IF($E176="",0,$E176)&gt;MOD($D176-$C176,1)*24),"⚠ the break is longer than the shift",IF(AND($A176&lt;&gt;"",COUNTIF('Monthly OT Summary'!$A$6:$A$35,$A176&amp;"")=0),"⚠ name not in Monthly OT Summary: its hours are not added","")))))</f>
        <v/>
      </c>
    </row>
    <row r="177">
      <c r="A177" s="21" t="n"/>
      <c r="B177" s="40" t="n"/>
      <c r="C177" s="41" t="n"/>
      <c r="D177" s="41" t="n"/>
      <c r="E177" s="24" t="n"/>
      <c r="F177" s="8">
        <f>IF(OR($C177="",$D177=""),"",IF(OR($C177&gt;=1,$D177&gt;=1,$C177=$D177,IF($E177="",0,$E177)&gt;MOD($D177-$C177,1)*24),"",ROUND(MOD($D177-$C177,1)*24-IF($E177="",0,$E177),2)))</f>
        <v/>
      </c>
      <c r="G177" s="25" t="n">
        <v>8</v>
      </c>
      <c r="H177" s="8">
        <f>IF(OR($A177="",$B177="",$F177=""),"",ROUND(IF($F$3="",0,MAX(0,$F177-$F$3))+IF($D$3="",0,MIN($F177-IF($F$3="",0,MAX(0,$F177-$F$3)),MAX(0,SUMIFS($F$5:$F$304,$A$5:$A$304,$A177&amp;"",$B$5:$B$304,"&gt;="&amp;($B177-MOD(WEEKDAY($B177)-$B$3,7)),$B$5:$B$304,"&lt;="&amp;$B177)-IF($F$3="",0,SUMIFS($F$5:$F$304,$A$5:$A$304,$A177&amp;"",$B$5:$B$304,"&gt;="&amp;($B177-MOD(WEEKDAY($B177)-$B$3,7)),$B$5:$B$304,"&lt;="&amp;$B177,$F$5:$F$304,"&gt;"&amp;$F$3)-$F$3*COUNTIFS($A$5:$A$304,$A177&amp;"",$B$5:$B$304,"&gt;="&amp;($B177-MOD(WEEKDAY($B177)-$B$3,7)),$B$5:$B$304,"&lt;="&amp;$B177,$F$5:$F$304,"&gt;"&amp;$F$3))-$D$3))),2))</f>
        <v/>
      </c>
      <c r="I177" s="26" t="n"/>
      <c r="J177" s="27">
        <f>IF(AND($A177="",$C177="",$D177=""),"",IF(OR($C177&gt;=1,$D177&gt;=1),"⚠ type the time with a colon: 9:00 AM, not 9",IF(AND($C177&lt;&gt;"",$C177=$D177),"⚠ clock-in equals clock-out: the shift adds 0 h",IF(AND($C177&lt;&gt;"",$D177&lt;&gt;"",IF($E177="",0,$E177)&gt;MOD($D177-$C177,1)*24),"⚠ the break is longer than the shift",IF(AND($A177&lt;&gt;"",COUNTIF('Monthly OT Summary'!$A$6:$A$35,$A177&amp;"")=0),"⚠ name not in Monthly OT Summary: its hours are not added","")))))</f>
        <v/>
      </c>
    </row>
    <row r="178">
      <c r="A178" s="21" t="n"/>
      <c r="B178" s="40" t="n"/>
      <c r="C178" s="41" t="n"/>
      <c r="D178" s="41" t="n"/>
      <c r="E178" s="24" t="n"/>
      <c r="F178" s="8">
        <f>IF(OR($C178="",$D178=""),"",IF(OR($C178&gt;=1,$D178&gt;=1,$C178=$D178,IF($E178="",0,$E178)&gt;MOD($D178-$C178,1)*24),"",ROUND(MOD($D178-$C178,1)*24-IF($E178="",0,$E178),2)))</f>
        <v/>
      </c>
      <c r="G178" s="25" t="n">
        <v>8</v>
      </c>
      <c r="H178" s="8">
        <f>IF(OR($A178="",$B178="",$F178=""),"",ROUND(IF($F$3="",0,MAX(0,$F178-$F$3))+IF($D$3="",0,MIN($F178-IF($F$3="",0,MAX(0,$F178-$F$3)),MAX(0,SUMIFS($F$5:$F$304,$A$5:$A$304,$A178&amp;"",$B$5:$B$304,"&gt;="&amp;($B178-MOD(WEEKDAY($B178)-$B$3,7)),$B$5:$B$304,"&lt;="&amp;$B178)-IF($F$3="",0,SUMIFS($F$5:$F$304,$A$5:$A$304,$A178&amp;"",$B$5:$B$304,"&gt;="&amp;($B178-MOD(WEEKDAY($B178)-$B$3,7)),$B$5:$B$304,"&lt;="&amp;$B178,$F$5:$F$304,"&gt;"&amp;$F$3)-$F$3*COUNTIFS($A$5:$A$304,$A178&amp;"",$B$5:$B$304,"&gt;="&amp;($B178-MOD(WEEKDAY($B178)-$B$3,7)),$B$5:$B$304,"&lt;="&amp;$B178,$F$5:$F$304,"&gt;"&amp;$F$3))-$D$3))),2))</f>
        <v/>
      </c>
      <c r="I178" s="26" t="n"/>
      <c r="J178" s="27">
        <f>IF(AND($A178="",$C178="",$D178=""),"",IF(OR($C178&gt;=1,$D178&gt;=1),"⚠ type the time with a colon: 9:00 AM, not 9",IF(AND($C178&lt;&gt;"",$C178=$D178),"⚠ clock-in equals clock-out: the shift adds 0 h",IF(AND($C178&lt;&gt;"",$D178&lt;&gt;"",IF($E178="",0,$E178)&gt;MOD($D178-$C178,1)*24),"⚠ the break is longer than the shift",IF(AND($A178&lt;&gt;"",COUNTIF('Monthly OT Summary'!$A$6:$A$35,$A178&amp;"")=0),"⚠ name not in Monthly OT Summary: its hours are not added","")))))</f>
        <v/>
      </c>
    </row>
    <row r="179">
      <c r="A179" s="21" t="n"/>
      <c r="B179" s="40" t="n"/>
      <c r="C179" s="41" t="n"/>
      <c r="D179" s="41" t="n"/>
      <c r="E179" s="24" t="n"/>
      <c r="F179" s="8">
        <f>IF(OR($C179="",$D179=""),"",IF(OR($C179&gt;=1,$D179&gt;=1,$C179=$D179,IF($E179="",0,$E179)&gt;MOD($D179-$C179,1)*24),"",ROUND(MOD($D179-$C179,1)*24-IF($E179="",0,$E179),2)))</f>
        <v/>
      </c>
      <c r="G179" s="25" t="n">
        <v>8</v>
      </c>
      <c r="H179" s="8">
        <f>IF(OR($A179="",$B179="",$F179=""),"",ROUND(IF($F$3="",0,MAX(0,$F179-$F$3))+IF($D$3="",0,MIN($F179-IF($F$3="",0,MAX(0,$F179-$F$3)),MAX(0,SUMIFS($F$5:$F$304,$A$5:$A$304,$A179&amp;"",$B$5:$B$304,"&gt;="&amp;($B179-MOD(WEEKDAY($B179)-$B$3,7)),$B$5:$B$304,"&lt;="&amp;$B179)-IF($F$3="",0,SUMIFS($F$5:$F$304,$A$5:$A$304,$A179&amp;"",$B$5:$B$304,"&gt;="&amp;($B179-MOD(WEEKDAY($B179)-$B$3,7)),$B$5:$B$304,"&lt;="&amp;$B179,$F$5:$F$304,"&gt;"&amp;$F$3)-$F$3*COUNTIFS($A$5:$A$304,$A179&amp;"",$B$5:$B$304,"&gt;="&amp;($B179-MOD(WEEKDAY($B179)-$B$3,7)),$B$5:$B$304,"&lt;="&amp;$B179,$F$5:$F$304,"&gt;"&amp;$F$3))-$D$3))),2))</f>
        <v/>
      </c>
      <c r="I179" s="26" t="n"/>
      <c r="J179" s="27">
        <f>IF(AND($A179="",$C179="",$D179=""),"",IF(OR($C179&gt;=1,$D179&gt;=1),"⚠ type the time with a colon: 9:00 AM, not 9",IF(AND($C179&lt;&gt;"",$C179=$D179),"⚠ clock-in equals clock-out: the shift adds 0 h",IF(AND($C179&lt;&gt;"",$D179&lt;&gt;"",IF($E179="",0,$E179)&gt;MOD($D179-$C179,1)*24),"⚠ the break is longer than the shift",IF(AND($A179&lt;&gt;"",COUNTIF('Monthly OT Summary'!$A$6:$A$35,$A179&amp;"")=0),"⚠ name not in Monthly OT Summary: its hours are not added","")))))</f>
        <v/>
      </c>
    </row>
    <row r="180">
      <c r="A180" s="21" t="n"/>
      <c r="B180" s="40" t="n"/>
      <c r="C180" s="41" t="n"/>
      <c r="D180" s="41" t="n"/>
      <c r="E180" s="24" t="n"/>
      <c r="F180" s="8">
        <f>IF(OR($C180="",$D180=""),"",IF(OR($C180&gt;=1,$D180&gt;=1,$C180=$D180,IF($E180="",0,$E180)&gt;MOD($D180-$C180,1)*24),"",ROUND(MOD($D180-$C180,1)*24-IF($E180="",0,$E180),2)))</f>
        <v/>
      </c>
      <c r="G180" s="25" t="n">
        <v>8</v>
      </c>
      <c r="H180" s="8">
        <f>IF(OR($A180="",$B180="",$F180=""),"",ROUND(IF($F$3="",0,MAX(0,$F180-$F$3))+IF($D$3="",0,MIN($F180-IF($F$3="",0,MAX(0,$F180-$F$3)),MAX(0,SUMIFS($F$5:$F$304,$A$5:$A$304,$A180&amp;"",$B$5:$B$304,"&gt;="&amp;($B180-MOD(WEEKDAY($B180)-$B$3,7)),$B$5:$B$304,"&lt;="&amp;$B180)-IF($F$3="",0,SUMIFS($F$5:$F$304,$A$5:$A$304,$A180&amp;"",$B$5:$B$304,"&gt;="&amp;($B180-MOD(WEEKDAY($B180)-$B$3,7)),$B$5:$B$304,"&lt;="&amp;$B180,$F$5:$F$304,"&gt;"&amp;$F$3)-$F$3*COUNTIFS($A$5:$A$304,$A180&amp;"",$B$5:$B$304,"&gt;="&amp;($B180-MOD(WEEKDAY($B180)-$B$3,7)),$B$5:$B$304,"&lt;="&amp;$B180,$F$5:$F$304,"&gt;"&amp;$F$3))-$D$3))),2))</f>
        <v/>
      </c>
      <c r="I180" s="26" t="n"/>
      <c r="J180" s="27">
        <f>IF(AND($A180="",$C180="",$D180=""),"",IF(OR($C180&gt;=1,$D180&gt;=1),"⚠ type the time with a colon: 9:00 AM, not 9",IF(AND($C180&lt;&gt;"",$C180=$D180),"⚠ clock-in equals clock-out: the shift adds 0 h",IF(AND($C180&lt;&gt;"",$D180&lt;&gt;"",IF($E180="",0,$E180)&gt;MOD($D180-$C180,1)*24),"⚠ the break is longer than the shift",IF(AND($A180&lt;&gt;"",COUNTIF('Monthly OT Summary'!$A$6:$A$35,$A180&amp;"")=0),"⚠ name not in Monthly OT Summary: its hours are not added","")))))</f>
        <v/>
      </c>
    </row>
    <row r="181">
      <c r="A181" s="21" t="n"/>
      <c r="B181" s="40" t="n"/>
      <c r="C181" s="41" t="n"/>
      <c r="D181" s="41" t="n"/>
      <c r="E181" s="24" t="n"/>
      <c r="F181" s="8">
        <f>IF(OR($C181="",$D181=""),"",IF(OR($C181&gt;=1,$D181&gt;=1,$C181=$D181,IF($E181="",0,$E181)&gt;MOD($D181-$C181,1)*24),"",ROUND(MOD($D181-$C181,1)*24-IF($E181="",0,$E181),2)))</f>
        <v/>
      </c>
      <c r="G181" s="25" t="n">
        <v>8</v>
      </c>
      <c r="H181" s="8">
        <f>IF(OR($A181="",$B181="",$F181=""),"",ROUND(IF($F$3="",0,MAX(0,$F181-$F$3))+IF($D$3="",0,MIN($F181-IF($F$3="",0,MAX(0,$F181-$F$3)),MAX(0,SUMIFS($F$5:$F$304,$A$5:$A$304,$A181&amp;"",$B$5:$B$304,"&gt;="&amp;($B181-MOD(WEEKDAY($B181)-$B$3,7)),$B$5:$B$304,"&lt;="&amp;$B181)-IF($F$3="",0,SUMIFS($F$5:$F$304,$A$5:$A$304,$A181&amp;"",$B$5:$B$304,"&gt;="&amp;($B181-MOD(WEEKDAY($B181)-$B$3,7)),$B$5:$B$304,"&lt;="&amp;$B181,$F$5:$F$304,"&gt;"&amp;$F$3)-$F$3*COUNTIFS($A$5:$A$304,$A181&amp;"",$B$5:$B$304,"&gt;="&amp;($B181-MOD(WEEKDAY($B181)-$B$3,7)),$B$5:$B$304,"&lt;="&amp;$B181,$F$5:$F$304,"&gt;"&amp;$F$3))-$D$3))),2))</f>
        <v/>
      </c>
      <c r="I181" s="26" t="n"/>
      <c r="J181" s="27">
        <f>IF(AND($A181="",$C181="",$D181=""),"",IF(OR($C181&gt;=1,$D181&gt;=1),"⚠ type the time with a colon: 9:00 AM, not 9",IF(AND($C181&lt;&gt;"",$C181=$D181),"⚠ clock-in equals clock-out: the shift adds 0 h",IF(AND($C181&lt;&gt;"",$D181&lt;&gt;"",IF($E181="",0,$E181)&gt;MOD($D181-$C181,1)*24),"⚠ the break is longer than the shift",IF(AND($A181&lt;&gt;"",COUNTIF('Monthly OT Summary'!$A$6:$A$35,$A181&amp;"")=0),"⚠ name not in Monthly OT Summary: its hours are not added","")))))</f>
        <v/>
      </c>
    </row>
    <row r="182">
      <c r="A182" s="21" t="n"/>
      <c r="B182" s="40" t="n"/>
      <c r="C182" s="41" t="n"/>
      <c r="D182" s="41" t="n"/>
      <c r="E182" s="24" t="n"/>
      <c r="F182" s="8">
        <f>IF(OR($C182="",$D182=""),"",IF(OR($C182&gt;=1,$D182&gt;=1,$C182=$D182,IF($E182="",0,$E182)&gt;MOD($D182-$C182,1)*24),"",ROUND(MOD($D182-$C182,1)*24-IF($E182="",0,$E182),2)))</f>
        <v/>
      </c>
      <c r="G182" s="25" t="n">
        <v>8</v>
      </c>
      <c r="H182" s="8">
        <f>IF(OR($A182="",$B182="",$F182=""),"",ROUND(IF($F$3="",0,MAX(0,$F182-$F$3))+IF($D$3="",0,MIN($F182-IF($F$3="",0,MAX(0,$F182-$F$3)),MAX(0,SUMIFS($F$5:$F$304,$A$5:$A$304,$A182&amp;"",$B$5:$B$304,"&gt;="&amp;($B182-MOD(WEEKDAY($B182)-$B$3,7)),$B$5:$B$304,"&lt;="&amp;$B182)-IF($F$3="",0,SUMIFS($F$5:$F$304,$A$5:$A$304,$A182&amp;"",$B$5:$B$304,"&gt;="&amp;($B182-MOD(WEEKDAY($B182)-$B$3,7)),$B$5:$B$304,"&lt;="&amp;$B182,$F$5:$F$304,"&gt;"&amp;$F$3)-$F$3*COUNTIFS($A$5:$A$304,$A182&amp;"",$B$5:$B$304,"&gt;="&amp;($B182-MOD(WEEKDAY($B182)-$B$3,7)),$B$5:$B$304,"&lt;="&amp;$B182,$F$5:$F$304,"&gt;"&amp;$F$3))-$D$3))),2))</f>
        <v/>
      </c>
      <c r="I182" s="26" t="n"/>
      <c r="J182" s="27">
        <f>IF(AND($A182="",$C182="",$D182=""),"",IF(OR($C182&gt;=1,$D182&gt;=1),"⚠ type the time with a colon: 9:00 AM, not 9",IF(AND($C182&lt;&gt;"",$C182=$D182),"⚠ clock-in equals clock-out: the shift adds 0 h",IF(AND($C182&lt;&gt;"",$D182&lt;&gt;"",IF($E182="",0,$E182)&gt;MOD($D182-$C182,1)*24),"⚠ the break is longer than the shift",IF(AND($A182&lt;&gt;"",COUNTIF('Monthly OT Summary'!$A$6:$A$35,$A182&amp;"")=0),"⚠ name not in Monthly OT Summary: its hours are not added","")))))</f>
        <v/>
      </c>
    </row>
    <row r="183">
      <c r="A183" s="21" t="n"/>
      <c r="B183" s="40" t="n"/>
      <c r="C183" s="41" t="n"/>
      <c r="D183" s="41" t="n"/>
      <c r="E183" s="24" t="n"/>
      <c r="F183" s="8">
        <f>IF(OR($C183="",$D183=""),"",IF(OR($C183&gt;=1,$D183&gt;=1,$C183=$D183,IF($E183="",0,$E183)&gt;MOD($D183-$C183,1)*24),"",ROUND(MOD($D183-$C183,1)*24-IF($E183="",0,$E183),2)))</f>
        <v/>
      </c>
      <c r="G183" s="25" t="n">
        <v>8</v>
      </c>
      <c r="H183" s="8">
        <f>IF(OR($A183="",$B183="",$F183=""),"",ROUND(IF($F$3="",0,MAX(0,$F183-$F$3))+IF($D$3="",0,MIN($F183-IF($F$3="",0,MAX(0,$F183-$F$3)),MAX(0,SUMIFS($F$5:$F$304,$A$5:$A$304,$A183&amp;"",$B$5:$B$304,"&gt;="&amp;($B183-MOD(WEEKDAY($B183)-$B$3,7)),$B$5:$B$304,"&lt;="&amp;$B183)-IF($F$3="",0,SUMIFS($F$5:$F$304,$A$5:$A$304,$A183&amp;"",$B$5:$B$304,"&gt;="&amp;($B183-MOD(WEEKDAY($B183)-$B$3,7)),$B$5:$B$304,"&lt;="&amp;$B183,$F$5:$F$304,"&gt;"&amp;$F$3)-$F$3*COUNTIFS($A$5:$A$304,$A183&amp;"",$B$5:$B$304,"&gt;="&amp;($B183-MOD(WEEKDAY($B183)-$B$3,7)),$B$5:$B$304,"&lt;="&amp;$B183,$F$5:$F$304,"&gt;"&amp;$F$3))-$D$3))),2))</f>
        <v/>
      </c>
      <c r="I183" s="26" t="n"/>
      <c r="J183" s="27">
        <f>IF(AND($A183="",$C183="",$D183=""),"",IF(OR($C183&gt;=1,$D183&gt;=1),"⚠ type the time with a colon: 9:00 AM, not 9",IF(AND($C183&lt;&gt;"",$C183=$D183),"⚠ clock-in equals clock-out: the shift adds 0 h",IF(AND($C183&lt;&gt;"",$D183&lt;&gt;"",IF($E183="",0,$E183)&gt;MOD($D183-$C183,1)*24),"⚠ the break is longer than the shift",IF(AND($A183&lt;&gt;"",COUNTIF('Monthly OT Summary'!$A$6:$A$35,$A183&amp;"")=0),"⚠ name not in Monthly OT Summary: its hours are not added","")))))</f>
        <v/>
      </c>
    </row>
    <row r="184">
      <c r="A184" s="21" t="n"/>
      <c r="B184" s="40" t="n"/>
      <c r="C184" s="41" t="n"/>
      <c r="D184" s="41" t="n"/>
      <c r="E184" s="24" t="n"/>
      <c r="F184" s="8">
        <f>IF(OR($C184="",$D184=""),"",IF(OR($C184&gt;=1,$D184&gt;=1,$C184=$D184,IF($E184="",0,$E184)&gt;MOD($D184-$C184,1)*24),"",ROUND(MOD($D184-$C184,1)*24-IF($E184="",0,$E184),2)))</f>
        <v/>
      </c>
      <c r="G184" s="25" t="n">
        <v>8</v>
      </c>
      <c r="H184" s="8">
        <f>IF(OR($A184="",$B184="",$F184=""),"",ROUND(IF($F$3="",0,MAX(0,$F184-$F$3))+IF($D$3="",0,MIN($F184-IF($F$3="",0,MAX(0,$F184-$F$3)),MAX(0,SUMIFS($F$5:$F$304,$A$5:$A$304,$A184&amp;"",$B$5:$B$304,"&gt;="&amp;($B184-MOD(WEEKDAY($B184)-$B$3,7)),$B$5:$B$304,"&lt;="&amp;$B184)-IF($F$3="",0,SUMIFS($F$5:$F$304,$A$5:$A$304,$A184&amp;"",$B$5:$B$304,"&gt;="&amp;($B184-MOD(WEEKDAY($B184)-$B$3,7)),$B$5:$B$304,"&lt;="&amp;$B184,$F$5:$F$304,"&gt;"&amp;$F$3)-$F$3*COUNTIFS($A$5:$A$304,$A184&amp;"",$B$5:$B$304,"&gt;="&amp;($B184-MOD(WEEKDAY($B184)-$B$3,7)),$B$5:$B$304,"&lt;="&amp;$B184,$F$5:$F$304,"&gt;"&amp;$F$3))-$D$3))),2))</f>
        <v/>
      </c>
      <c r="I184" s="26" t="n"/>
      <c r="J184" s="27">
        <f>IF(AND($A184="",$C184="",$D184=""),"",IF(OR($C184&gt;=1,$D184&gt;=1),"⚠ type the time with a colon: 9:00 AM, not 9",IF(AND($C184&lt;&gt;"",$C184=$D184),"⚠ clock-in equals clock-out: the shift adds 0 h",IF(AND($C184&lt;&gt;"",$D184&lt;&gt;"",IF($E184="",0,$E184)&gt;MOD($D184-$C184,1)*24),"⚠ the break is longer than the shift",IF(AND($A184&lt;&gt;"",COUNTIF('Monthly OT Summary'!$A$6:$A$35,$A184&amp;"")=0),"⚠ name not in Monthly OT Summary: its hours are not added","")))))</f>
        <v/>
      </c>
    </row>
    <row r="185">
      <c r="A185" s="21" t="n"/>
      <c r="B185" s="40" t="n"/>
      <c r="C185" s="41" t="n"/>
      <c r="D185" s="41" t="n"/>
      <c r="E185" s="24" t="n"/>
      <c r="F185" s="8">
        <f>IF(OR($C185="",$D185=""),"",IF(OR($C185&gt;=1,$D185&gt;=1,$C185=$D185,IF($E185="",0,$E185)&gt;MOD($D185-$C185,1)*24),"",ROUND(MOD($D185-$C185,1)*24-IF($E185="",0,$E185),2)))</f>
        <v/>
      </c>
      <c r="G185" s="25" t="n">
        <v>8</v>
      </c>
      <c r="H185" s="8">
        <f>IF(OR($A185="",$B185="",$F185=""),"",ROUND(IF($F$3="",0,MAX(0,$F185-$F$3))+IF($D$3="",0,MIN($F185-IF($F$3="",0,MAX(0,$F185-$F$3)),MAX(0,SUMIFS($F$5:$F$304,$A$5:$A$304,$A185&amp;"",$B$5:$B$304,"&gt;="&amp;($B185-MOD(WEEKDAY($B185)-$B$3,7)),$B$5:$B$304,"&lt;="&amp;$B185)-IF($F$3="",0,SUMIFS($F$5:$F$304,$A$5:$A$304,$A185&amp;"",$B$5:$B$304,"&gt;="&amp;($B185-MOD(WEEKDAY($B185)-$B$3,7)),$B$5:$B$304,"&lt;="&amp;$B185,$F$5:$F$304,"&gt;"&amp;$F$3)-$F$3*COUNTIFS($A$5:$A$304,$A185&amp;"",$B$5:$B$304,"&gt;="&amp;($B185-MOD(WEEKDAY($B185)-$B$3,7)),$B$5:$B$304,"&lt;="&amp;$B185,$F$5:$F$304,"&gt;"&amp;$F$3))-$D$3))),2))</f>
        <v/>
      </c>
      <c r="I185" s="26" t="n"/>
      <c r="J185" s="27">
        <f>IF(AND($A185="",$C185="",$D185=""),"",IF(OR($C185&gt;=1,$D185&gt;=1),"⚠ type the time with a colon: 9:00 AM, not 9",IF(AND($C185&lt;&gt;"",$C185=$D185),"⚠ clock-in equals clock-out: the shift adds 0 h",IF(AND($C185&lt;&gt;"",$D185&lt;&gt;"",IF($E185="",0,$E185)&gt;MOD($D185-$C185,1)*24),"⚠ the break is longer than the shift",IF(AND($A185&lt;&gt;"",COUNTIF('Monthly OT Summary'!$A$6:$A$35,$A185&amp;"")=0),"⚠ name not in Monthly OT Summary: its hours are not added","")))))</f>
        <v/>
      </c>
    </row>
    <row r="186">
      <c r="A186" s="21" t="n"/>
      <c r="B186" s="40" t="n"/>
      <c r="C186" s="41" t="n"/>
      <c r="D186" s="41" t="n"/>
      <c r="E186" s="24" t="n"/>
      <c r="F186" s="8">
        <f>IF(OR($C186="",$D186=""),"",IF(OR($C186&gt;=1,$D186&gt;=1,$C186=$D186,IF($E186="",0,$E186)&gt;MOD($D186-$C186,1)*24),"",ROUND(MOD($D186-$C186,1)*24-IF($E186="",0,$E186),2)))</f>
        <v/>
      </c>
      <c r="G186" s="25" t="n">
        <v>8</v>
      </c>
      <c r="H186" s="8">
        <f>IF(OR($A186="",$B186="",$F186=""),"",ROUND(IF($F$3="",0,MAX(0,$F186-$F$3))+IF($D$3="",0,MIN($F186-IF($F$3="",0,MAX(0,$F186-$F$3)),MAX(0,SUMIFS($F$5:$F$304,$A$5:$A$304,$A186&amp;"",$B$5:$B$304,"&gt;="&amp;($B186-MOD(WEEKDAY($B186)-$B$3,7)),$B$5:$B$304,"&lt;="&amp;$B186)-IF($F$3="",0,SUMIFS($F$5:$F$304,$A$5:$A$304,$A186&amp;"",$B$5:$B$304,"&gt;="&amp;($B186-MOD(WEEKDAY($B186)-$B$3,7)),$B$5:$B$304,"&lt;="&amp;$B186,$F$5:$F$304,"&gt;"&amp;$F$3)-$F$3*COUNTIFS($A$5:$A$304,$A186&amp;"",$B$5:$B$304,"&gt;="&amp;($B186-MOD(WEEKDAY($B186)-$B$3,7)),$B$5:$B$304,"&lt;="&amp;$B186,$F$5:$F$304,"&gt;"&amp;$F$3))-$D$3))),2))</f>
        <v/>
      </c>
      <c r="I186" s="26" t="n"/>
      <c r="J186" s="27">
        <f>IF(AND($A186="",$C186="",$D186=""),"",IF(OR($C186&gt;=1,$D186&gt;=1),"⚠ type the time with a colon: 9:00 AM, not 9",IF(AND($C186&lt;&gt;"",$C186=$D186),"⚠ clock-in equals clock-out: the shift adds 0 h",IF(AND($C186&lt;&gt;"",$D186&lt;&gt;"",IF($E186="",0,$E186)&gt;MOD($D186-$C186,1)*24),"⚠ the break is longer than the shift",IF(AND($A186&lt;&gt;"",COUNTIF('Monthly OT Summary'!$A$6:$A$35,$A186&amp;"")=0),"⚠ name not in Monthly OT Summary: its hours are not added","")))))</f>
        <v/>
      </c>
    </row>
    <row r="187">
      <c r="A187" s="21" t="n"/>
      <c r="B187" s="40" t="n"/>
      <c r="C187" s="41" t="n"/>
      <c r="D187" s="41" t="n"/>
      <c r="E187" s="24" t="n"/>
      <c r="F187" s="8">
        <f>IF(OR($C187="",$D187=""),"",IF(OR($C187&gt;=1,$D187&gt;=1,$C187=$D187,IF($E187="",0,$E187)&gt;MOD($D187-$C187,1)*24),"",ROUND(MOD($D187-$C187,1)*24-IF($E187="",0,$E187),2)))</f>
        <v/>
      </c>
      <c r="G187" s="25" t="n">
        <v>8</v>
      </c>
      <c r="H187" s="8">
        <f>IF(OR($A187="",$B187="",$F187=""),"",ROUND(IF($F$3="",0,MAX(0,$F187-$F$3))+IF($D$3="",0,MIN($F187-IF($F$3="",0,MAX(0,$F187-$F$3)),MAX(0,SUMIFS($F$5:$F$304,$A$5:$A$304,$A187&amp;"",$B$5:$B$304,"&gt;="&amp;($B187-MOD(WEEKDAY($B187)-$B$3,7)),$B$5:$B$304,"&lt;="&amp;$B187)-IF($F$3="",0,SUMIFS($F$5:$F$304,$A$5:$A$304,$A187&amp;"",$B$5:$B$304,"&gt;="&amp;($B187-MOD(WEEKDAY($B187)-$B$3,7)),$B$5:$B$304,"&lt;="&amp;$B187,$F$5:$F$304,"&gt;"&amp;$F$3)-$F$3*COUNTIFS($A$5:$A$304,$A187&amp;"",$B$5:$B$304,"&gt;="&amp;($B187-MOD(WEEKDAY($B187)-$B$3,7)),$B$5:$B$304,"&lt;="&amp;$B187,$F$5:$F$304,"&gt;"&amp;$F$3))-$D$3))),2))</f>
        <v/>
      </c>
      <c r="I187" s="26" t="n"/>
      <c r="J187" s="27">
        <f>IF(AND($A187="",$C187="",$D187=""),"",IF(OR($C187&gt;=1,$D187&gt;=1),"⚠ type the time with a colon: 9:00 AM, not 9",IF(AND($C187&lt;&gt;"",$C187=$D187),"⚠ clock-in equals clock-out: the shift adds 0 h",IF(AND($C187&lt;&gt;"",$D187&lt;&gt;"",IF($E187="",0,$E187)&gt;MOD($D187-$C187,1)*24),"⚠ the break is longer than the shift",IF(AND($A187&lt;&gt;"",COUNTIF('Monthly OT Summary'!$A$6:$A$35,$A187&amp;"")=0),"⚠ name not in Monthly OT Summary: its hours are not added","")))))</f>
        <v/>
      </c>
    </row>
    <row r="188">
      <c r="A188" s="21" t="n"/>
      <c r="B188" s="40" t="n"/>
      <c r="C188" s="41" t="n"/>
      <c r="D188" s="41" t="n"/>
      <c r="E188" s="24" t="n"/>
      <c r="F188" s="8">
        <f>IF(OR($C188="",$D188=""),"",IF(OR($C188&gt;=1,$D188&gt;=1,$C188=$D188,IF($E188="",0,$E188)&gt;MOD($D188-$C188,1)*24),"",ROUND(MOD($D188-$C188,1)*24-IF($E188="",0,$E188),2)))</f>
        <v/>
      </c>
      <c r="G188" s="25" t="n">
        <v>8</v>
      </c>
      <c r="H188" s="8">
        <f>IF(OR($A188="",$B188="",$F188=""),"",ROUND(IF($F$3="",0,MAX(0,$F188-$F$3))+IF($D$3="",0,MIN($F188-IF($F$3="",0,MAX(0,$F188-$F$3)),MAX(0,SUMIFS($F$5:$F$304,$A$5:$A$304,$A188&amp;"",$B$5:$B$304,"&gt;="&amp;($B188-MOD(WEEKDAY($B188)-$B$3,7)),$B$5:$B$304,"&lt;="&amp;$B188)-IF($F$3="",0,SUMIFS($F$5:$F$304,$A$5:$A$304,$A188&amp;"",$B$5:$B$304,"&gt;="&amp;($B188-MOD(WEEKDAY($B188)-$B$3,7)),$B$5:$B$304,"&lt;="&amp;$B188,$F$5:$F$304,"&gt;"&amp;$F$3)-$F$3*COUNTIFS($A$5:$A$304,$A188&amp;"",$B$5:$B$304,"&gt;="&amp;($B188-MOD(WEEKDAY($B188)-$B$3,7)),$B$5:$B$304,"&lt;="&amp;$B188,$F$5:$F$304,"&gt;"&amp;$F$3))-$D$3))),2))</f>
        <v/>
      </c>
      <c r="I188" s="26" t="n"/>
      <c r="J188" s="27">
        <f>IF(AND($A188="",$C188="",$D188=""),"",IF(OR($C188&gt;=1,$D188&gt;=1),"⚠ type the time with a colon: 9:00 AM, not 9",IF(AND($C188&lt;&gt;"",$C188=$D188),"⚠ clock-in equals clock-out: the shift adds 0 h",IF(AND($C188&lt;&gt;"",$D188&lt;&gt;"",IF($E188="",0,$E188)&gt;MOD($D188-$C188,1)*24),"⚠ the break is longer than the shift",IF(AND($A188&lt;&gt;"",COUNTIF('Monthly OT Summary'!$A$6:$A$35,$A188&amp;"")=0),"⚠ name not in Monthly OT Summary: its hours are not added","")))))</f>
        <v/>
      </c>
    </row>
    <row r="189">
      <c r="A189" s="21" t="n"/>
      <c r="B189" s="40" t="n"/>
      <c r="C189" s="41" t="n"/>
      <c r="D189" s="41" t="n"/>
      <c r="E189" s="24" t="n"/>
      <c r="F189" s="8">
        <f>IF(OR($C189="",$D189=""),"",IF(OR($C189&gt;=1,$D189&gt;=1,$C189=$D189,IF($E189="",0,$E189)&gt;MOD($D189-$C189,1)*24),"",ROUND(MOD($D189-$C189,1)*24-IF($E189="",0,$E189),2)))</f>
        <v/>
      </c>
      <c r="G189" s="25" t="n">
        <v>8</v>
      </c>
      <c r="H189" s="8">
        <f>IF(OR($A189="",$B189="",$F189=""),"",ROUND(IF($F$3="",0,MAX(0,$F189-$F$3))+IF($D$3="",0,MIN($F189-IF($F$3="",0,MAX(0,$F189-$F$3)),MAX(0,SUMIFS($F$5:$F$304,$A$5:$A$304,$A189&amp;"",$B$5:$B$304,"&gt;="&amp;($B189-MOD(WEEKDAY($B189)-$B$3,7)),$B$5:$B$304,"&lt;="&amp;$B189)-IF($F$3="",0,SUMIFS($F$5:$F$304,$A$5:$A$304,$A189&amp;"",$B$5:$B$304,"&gt;="&amp;($B189-MOD(WEEKDAY($B189)-$B$3,7)),$B$5:$B$304,"&lt;="&amp;$B189,$F$5:$F$304,"&gt;"&amp;$F$3)-$F$3*COUNTIFS($A$5:$A$304,$A189&amp;"",$B$5:$B$304,"&gt;="&amp;($B189-MOD(WEEKDAY($B189)-$B$3,7)),$B$5:$B$304,"&lt;="&amp;$B189,$F$5:$F$304,"&gt;"&amp;$F$3))-$D$3))),2))</f>
        <v/>
      </c>
      <c r="I189" s="26" t="n"/>
      <c r="J189" s="27">
        <f>IF(AND($A189="",$C189="",$D189=""),"",IF(OR($C189&gt;=1,$D189&gt;=1),"⚠ type the time with a colon: 9:00 AM, not 9",IF(AND($C189&lt;&gt;"",$C189=$D189),"⚠ clock-in equals clock-out: the shift adds 0 h",IF(AND($C189&lt;&gt;"",$D189&lt;&gt;"",IF($E189="",0,$E189)&gt;MOD($D189-$C189,1)*24),"⚠ the break is longer than the shift",IF(AND($A189&lt;&gt;"",COUNTIF('Monthly OT Summary'!$A$6:$A$35,$A189&amp;"")=0),"⚠ name not in Monthly OT Summary: its hours are not added","")))))</f>
        <v/>
      </c>
    </row>
    <row r="190">
      <c r="A190" s="21" t="n"/>
      <c r="B190" s="40" t="n"/>
      <c r="C190" s="41" t="n"/>
      <c r="D190" s="41" t="n"/>
      <c r="E190" s="24" t="n"/>
      <c r="F190" s="8">
        <f>IF(OR($C190="",$D190=""),"",IF(OR($C190&gt;=1,$D190&gt;=1,$C190=$D190,IF($E190="",0,$E190)&gt;MOD($D190-$C190,1)*24),"",ROUND(MOD($D190-$C190,1)*24-IF($E190="",0,$E190),2)))</f>
        <v/>
      </c>
      <c r="G190" s="25" t="n">
        <v>8</v>
      </c>
      <c r="H190" s="8">
        <f>IF(OR($A190="",$B190="",$F190=""),"",ROUND(IF($F$3="",0,MAX(0,$F190-$F$3))+IF($D$3="",0,MIN($F190-IF($F$3="",0,MAX(0,$F190-$F$3)),MAX(0,SUMIFS($F$5:$F$304,$A$5:$A$304,$A190&amp;"",$B$5:$B$304,"&gt;="&amp;($B190-MOD(WEEKDAY($B190)-$B$3,7)),$B$5:$B$304,"&lt;="&amp;$B190)-IF($F$3="",0,SUMIFS($F$5:$F$304,$A$5:$A$304,$A190&amp;"",$B$5:$B$304,"&gt;="&amp;($B190-MOD(WEEKDAY($B190)-$B$3,7)),$B$5:$B$304,"&lt;="&amp;$B190,$F$5:$F$304,"&gt;"&amp;$F$3)-$F$3*COUNTIFS($A$5:$A$304,$A190&amp;"",$B$5:$B$304,"&gt;="&amp;($B190-MOD(WEEKDAY($B190)-$B$3,7)),$B$5:$B$304,"&lt;="&amp;$B190,$F$5:$F$304,"&gt;"&amp;$F$3))-$D$3))),2))</f>
        <v/>
      </c>
      <c r="I190" s="26" t="n"/>
      <c r="J190" s="27">
        <f>IF(AND($A190="",$C190="",$D190=""),"",IF(OR($C190&gt;=1,$D190&gt;=1),"⚠ type the time with a colon: 9:00 AM, not 9",IF(AND($C190&lt;&gt;"",$C190=$D190),"⚠ clock-in equals clock-out: the shift adds 0 h",IF(AND($C190&lt;&gt;"",$D190&lt;&gt;"",IF($E190="",0,$E190)&gt;MOD($D190-$C190,1)*24),"⚠ the break is longer than the shift",IF(AND($A190&lt;&gt;"",COUNTIF('Monthly OT Summary'!$A$6:$A$35,$A190&amp;"")=0),"⚠ name not in Monthly OT Summary: its hours are not added","")))))</f>
        <v/>
      </c>
    </row>
    <row r="191">
      <c r="A191" s="21" t="n"/>
      <c r="B191" s="40" t="n"/>
      <c r="C191" s="41" t="n"/>
      <c r="D191" s="41" t="n"/>
      <c r="E191" s="24" t="n"/>
      <c r="F191" s="8">
        <f>IF(OR($C191="",$D191=""),"",IF(OR($C191&gt;=1,$D191&gt;=1,$C191=$D191,IF($E191="",0,$E191)&gt;MOD($D191-$C191,1)*24),"",ROUND(MOD($D191-$C191,1)*24-IF($E191="",0,$E191),2)))</f>
        <v/>
      </c>
      <c r="G191" s="25" t="n">
        <v>8</v>
      </c>
      <c r="H191" s="8">
        <f>IF(OR($A191="",$B191="",$F191=""),"",ROUND(IF($F$3="",0,MAX(0,$F191-$F$3))+IF($D$3="",0,MIN($F191-IF($F$3="",0,MAX(0,$F191-$F$3)),MAX(0,SUMIFS($F$5:$F$304,$A$5:$A$304,$A191&amp;"",$B$5:$B$304,"&gt;="&amp;($B191-MOD(WEEKDAY($B191)-$B$3,7)),$B$5:$B$304,"&lt;="&amp;$B191)-IF($F$3="",0,SUMIFS($F$5:$F$304,$A$5:$A$304,$A191&amp;"",$B$5:$B$304,"&gt;="&amp;($B191-MOD(WEEKDAY($B191)-$B$3,7)),$B$5:$B$304,"&lt;="&amp;$B191,$F$5:$F$304,"&gt;"&amp;$F$3)-$F$3*COUNTIFS($A$5:$A$304,$A191&amp;"",$B$5:$B$304,"&gt;="&amp;($B191-MOD(WEEKDAY($B191)-$B$3,7)),$B$5:$B$304,"&lt;="&amp;$B191,$F$5:$F$304,"&gt;"&amp;$F$3))-$D$3))),2))</f>
        <v/>
      </c>
      <c r="I191" s="26" t="n"/>
      <c r="J191" s="27">
        <f>IF(AND($A191="",$C191="",$D191=""),"",IF(OR($C191&gt;=1,$D191&gt;=1),"⚠ type the time with a colon: 9:00 AM, not 9",IF(AND($C191&lt;&gt;"",$C191=$D191),"⚠ clock-in equals clock-out: the shift adds 0 h",IF(AND($C191&lt;&gt;"",$D191&lt;&gt;"",IF($E191="",0,$E191)&gt;MOD($D191-$C191,1)*24),"⚠ the break is longer than the shift",IF(AND($A191&lt;&gt;"",COUNTIF('Monthly OT Summary'!$A$6:$A$35,$A191&amp;"")=0),"⚠ name not in Monthly OT Summary: its hours are not added","")))))</f>
        <v/>
      </c>
    </row>
    <row r="192">
      <c r="A192" s="21" t="n"/>
      <c r="B192" s="40" t="n"/>
      <c r="C192" s="41" t="n"/>
      <c r="D192" s="41" t="n"/>
      <c r="E192" s="24" t="n"/>
      <c r="F192" s="8">
        <f>IF(OR($C192="",$D192=""),"",IF(OR($C192&gt;=1,$D192&gt;=1,$C192=$D192,IF($E192="",0,$E192)&gt;MOD($D192-$C192,1)*24),"",ROUND(MOD($D192-$C192,1)*24-IF($E192="",0,$E192),2)))</f>
        <v/>
      </c>
      <c r="G192" s="25" t="n">
        <v>8</v>
      </c>
      <c r="H192" s="8">
        <f>IF(OR($A192="",$B192="",$F192=""),"",ROUND(IF($F$3="",0,MAX(0,$F192-$F$3))+IF($D$3="",0,MIN($F192-IF($F$3="",0,MAX(0,$F192-$F$3)),MAX(0,SUMIFS($F$5:$F$304,$A$5:$A$304,$A192&amp;"",$B$5:$B$304,"&gt;="&amp;($B192-MOD(WEEKDAY($B192)-$B$3,7)),$B$5:$B$304,"&lt;="&amp;$B192)-IF($F$3="",0,SUMIFS($F$5:$F$304,$A$5:$A$304,$A192&amp;"",$B$5:$B$304,"&gt;="&amp;($B192-MOD(WEEKDAY($B192)-$B$3,7)),$B$5:$B$304,"&lt;="&amp;$B192,$F$5:$F$304,"&gt;"&amp;$F$3)-$F$3*COUNTIFS($A$5:$A$304,$A192&amp;"",$B$5:$B$304,"&gt;="&amp;($B192-MOD(WEEKDAY($B192)-$B$3,7)),$B$5:$B$304,"&lt;="&amp;$B192,$F$5:$F$304,"&gt;"&amp;$F$3))-$D$3))),2))</f>
        <v/>
      </c>
      <c r="I192" s="26" t="n"/>
      <c r="J192" s="27">
        <f>IF(AND($A192="",$C192="",$D192=""),"",IF(OR($C192&gt;=1,$D192&gt;=1),"⚠ type the time with a colon: 9:00 AM, not 9",IF(AND($C192&lt;&gt;"",$C192=$D192),"⚠ clock-in equals clock-out: the shift adds 0 h",IF(AND($C192&lt;&gt;"",$D192&lt;&gt;"",IF($E192="",0,$E192)&gt;MOD($D192-$C192,1)*24),"⚠ the break is longer than the shift",IF(AND($A192&lt;&gt;"",COUNTIF('Monthly OT Summary'!$A$6:$A$35,$A192&amp;"")=0),"⚠ name not in Monthly OT Summary: its hours are not added","")))))</f>
        <v/>
      </c>
    </row>
    <row r="193">
      <c r="A193" s="21" t="n"/>
      <c r="B193" s="40" t="n"/>
      <c r="C193" s="41" t="n"/>
      <c r="D193" s="41" t="n"/>
      <c r="E193" s="24" t="n"/>
      <c r="F193" s="8">
        <f>IF(OR($C193="",$D193=""),"",IF(OR($C193&gt;=1,$D193&gt;=1,$C193=$D193,IF($E193="",0,$E193)&gt;MOD($D193-$C193,1)*24),"",ROUND(MOD($D193-$C193,1)*24-IF($E193="",0,$E193),2)))</f>
        <v/>
      </c>
      <c r="G193" s="25" t="n">
        <v>8</v>
      </c>
      <c r="H193" s="8">
        <f>IF(OR($A193="",$B193="",$F193=""),"",ROUND(IF($F$3="",0,MAX(0,$F193-$F$3))+IF($D$3="",0,MIN($F193-IF($F$3="",0,MAX(0,$F193-$F$3)),MAX(0,SUMIFS($F$5:$F$304,$A$5:$A$304,$A193&amp;"",$B$5:$B$304,"&gt;="&amp;($B193-MOD(WEEKDAY($B193)-$B$3,7)),$B$5:$B$304,"&lt;="&amp;$B193)-IF($F$3="",0,SUMIFS($F$5:$F$304,$A$5:$A$304,$A193&amp;"",$B$5:$B$304,"&gt;="&amp;($B193-MOD(WEEKDAY($B193)-$B$3,7)),$B$5:$B$304,"&lt;="&amp;$B193,$F$5:$F$304,"&gt;"&amp;$F$3)-$F$3*COUNTIFS($A$5:$A$304,$A193&amp;"",$B$5:$B$304,"&gt;="&amp;($B193-MOD(WEEKDAY($B193)-$B$3,7)),$B$5:$B$304,"&lt;="&amp;$B193,$F$5:$F$304,"&gt;"&amp;$F$3))-$D$3))),2))</f>
        <v/>
      </c>
      <c r="I193" s="26" t="n"/>
      <c r="J193" s="27">
        <f>IF(AND($A193="",$C193="",$D193=""),"",IF(OR($C193&gt;=1,$D193&gt;=1),"⚠ type the time with a colon: 9:00 AM, not 9",IF(AND($C193&lt;&gt;"",$C193=$D193),"⚠ clock-in equals clock-out: the shift adds 0 h",IF(AND($C193&lt;&gt;"",$D193&lt;&gt;"",IF($E193="",0,$E193)&gt;MOD($D193-$C193,1)*24),"⚠ the break is longer than the shift",IF(AND($A193&lt;&gt;"",COUNTIF('Monthly OT Summary'!$A$6:$A$35,$A193&amp;"")=0),"⚠ name not in Monthly OT Summary: its hours are not added","")))))</f>
        <v/>
      </c>
    </row>
    <row r="194">
      <c r="A194" s="21" t="n"/>
      <c r="B194" s="40" t="n"/>
      <c r="C194" s="41" t="n"/>
      <c r="D194" s="41" t="n"/>
      <c r="E194" s="24" t="n"/>
      <c r="F194" s="8">
        <f>IF(OR($C194="",$D194=""),"",IF(OR($C194&gt;=1,$D194&gt;=1,$C194=$D194,IF($E194="",0,$E194)&gt;MOD($D194-$C194,1)*24),"",ROUND(MOD($D194-$C194,1)*24-IF($E194="",0,$E194),2)))</f>
        <v/>
      </c>
      <c r="G194" s="25" t="n">
        <v>8</v>
      </c>
      <c r="H194" s="8">
        <f>IF(OR($A194="",$B194="",$F194=""),"",ROUND(IF($F$3="",0,MAX(0,$F194-$F$3))+IF($D$3="",0,MIN($F194-IF($F$3="",0,MAX(0,$F194-$F$3)),MAX(0,SUMIFS($F$5:$F$304,$A$5:$A$304,$A194&amp;"",$B$5:$B$304,"&gt;="&amp;($B194-MOD(WEEKDAY($B194)-$B$3,7)),$B$5:$B$304,"&lt;="&amp;$B194)-IF($F$3="",0,SUMIFS($F$5:$F$304,$A$5:$A$304,$A194&amp;"",$B$5:$B$304,"&gt;="&amp;($B194-MOD(WEEKDAY($B194)-$B$3,7)),$B$5:$B$304,"&lt;="&amp;$B194,$F$5:$F$304,"&gt;"&amp;$F$3)-$F$3*COUNTIFS($A$5:$A$304,$A194&amp;"",$B$5:$B$304,"&gt;="&amp;($B194-MOD(WEEKDAY($B194)-$B$3,7)),$B$5:$B$304,"&lt;="&amp;$B194,$F$5:$F$304,"&gt;"&amp;$F$3))-$D$3))),2))</f>
        <v/>
      </c>
      <c r="I194" s="26" t="n"/>
      <c r="J194" s="27">
        <f>IF(AND($A194="",$C194="",$D194=""),"",IF(OR($C194&gt;=1,$D194&gt;=1),"⚠ type the time with a colon: 9:00 AM, not 9",IF(AND($C194&lt;&gt;"",$C194=$D194),"⚠ clock-in equals clock-out: the shift adds 0 h",IF(AND($C194&lt;&gt;"",$D194&lt;&gt;"",IF($E194="",0,$E194)&gt;MOD($D194-$C194,1)*24),"⚠ the break is longer than the shift",IF(AND($A194&lt;&gt;"",COUNTIF('Monthly OT Summary'!$A$6:$A$35,$A194&amp;"")=0),"⚠ name not in Monthly OT Summary: its hours are not added","")))))</f>
        <v/>
      </c>
    </row>
    <row r="195">
      <c r="A195" s="21" t="n"/>
      <c r="B195" s="40" t="n"/>
      <c r="C195" s="41" t="n"/>
      <c r="D195" s="41" t="n"/>
      <c r="E195" s="24" t="n"/>
      <c r="F195" s="8">
        <f>IF(OR($C195="",$D195=""),"",IF(OR($C195&gt;=1,$D195&gt;=1,$C195=$D195,IF($E195="",0,$E195)&gt;MOD($D195-$C195,1)*24),"",ROUND(MOD($D195-$C195,1)*24-IF($E195="",0,$E195),2)))</f>
        <v/>
      </c>
      <c r="G195" s="25" t="n">
        <v>8</v>
      </c>
      <c r="H195" s="8">
        <f>IF(OR($A195="",$B195="",$F195=""),"",ROUND(IF($F$3="",0,MAX(0,$F195-$F$3))+IF($D$3="",0,MIN($F195-IF($F$3="",0,MAX(0,$F195-$F$3)),MAX(0,SUMIFS($F$5:$F$304,$A$5:$A$304,$A195&amp;"",$B$5:$B$304,"&gt;="&amp;($B195-MOD(WEEKDAY($B195)-$B$3,7)),$B$5:$B$304,"&lt;="&amp;$B195)-IF($F$3="",0,SUMIFS($F$5:$F$304,$A$5:$A$304,$A195&amp;"",$B$5:$B$304,"&gt;="&amp;($B195-MOD(WEEKDAY($B195)-$B$3,7)),$B$5:$B$304,"&lt;="&amp;$B195,$F$5:$F$304,"&gt;"&amp;$F$3)-$F$3*COUNTIFS($A$5:$A$304,$A195&amp;"",$B$5:$B$304,"&gt;="&amp;($B195-MOD(WEEKDAY($B195)-$B$3,7)),$B$5:$B$304,"&lt;="&amp;$B195,$F$5:$F$304,"&gt;"&amp;$F$3))-$D$3))),2))</f>
        <v/>
      </c>
      <c r="I195" s="26" t="n"/>
      <c r="J195" s="27">
        <f>IF(AND($A195="",$C195="",$D195=""),"",IF(OR($C195&gt;=1,$D195&gt;=1),"⚠ type the time with a colon: 9:00 AM, not 9",IF(AND($C195&lt;&gt;"",$C195=$D195),"⚠ clock-in equals clock-out: the shift adds 0 h",IF(AND($C195&lt;&gt;"",$D195&lt;&gt;"",IF($E195="",0,$E195)&gt;MOD($D195-$C195,1)*24),"⚠ the break is longer than the shift",IF(AND($A195&lt;&gt;"",COUNTIF('Monthly OT Summary'!$A$6:$A$35,$A195&amp;"")=0),"⚠ name not in Monthly OT Summary: its hours are not added","")))))</f>
        <v/>
      </c>
    </row>
    <row r="196">
      <c r="A196" s="21" t="n"/>
      <c r="B196" s="40" t="n"/>
      <c r="C196" s="41" t="n"/>
      <c r="D196" s="41" t="n"/>
      <c r="E196" s="24" t="n"/>
      <c r="F196" s="8">
        <f>IF(OR($C196="",$D196=""),"",IF(OR($C196&gt;=1,$D196&gt;=1,$C196=$D196,IF($E196="",0,$E196)&gt;MOD($D196-$C196,1)*24),"",ROUND(MOD($D196-$C196,1)*24-IF($E196="",0,$E196),2)))</f>
        <v/>
      </c>
      <c r="G196" s="25" t="n">
        <v>8</v>
      </c>
      <c r="H196" s="8">
        <f>IF(OR($A196="",$B196="",$F196=""),"",ROUND(IF($F$3="",0,MAX(0,$F196-$F$3))+IF($D$3="",0,MIN($F196-IF($F$3="",0,MAX(0,$F196-$F$3)),MAX(0,SUMIFS($F$5:$F$304,$A$5:$A$304,$A196&amp;"",$B$5:$B$304,"&gt;="&amp;($B196-MOD(WEEKDAY($B196)-$B$3,7)),$B$5:$B$304,"&lt;="&amp;$B196)-IF($F$3="",0,SUMIFS($F$5:$F$304,$A$5:$A$304,$A196&amp;"",$B$5:$B$304,"&gt;="&amp;($B196-MOD(WEEKDAY($B196)-$B$3,7)),$B$5:$B$304,"&lt;="&amp;$B196,$F$5:$F$304,"&gt;"&amp;$F$3)-$F$3*COUNTIFS($A$5:$A$304,$A196&amp;"",$B$5:$B$304,"&gt;="&amp;($B196-MOD(WEEKDAY($B196)-$B$3,7)),$B$5:$B$304,"&lt;="&amp;$B196,$F$5:$F$304,"&gt;"&amp;$F$3))-$D$3))),2))</f>
        <v/>
      </c>
      <c r="I196" s="26" t="n"/>
      <c r="J196" s="27">
        <f>IF(AND($A196="",$C196="",$D196=""),"",IF(OR($C196&gt;=1,$D196&gt;=1),"⚠ type the time with a colon: 9:00 AM, not 9",IF(AND($C196&lt;&gt;"",$C196=$D196),"⚠ clock-in equals clock-out: the shift adds 0 h",IF(AND($C196&lt;&gt;"",$D196&lt;&gt;"",IF($E196="",0,$E196)&gt;MOD($D196-$C196,1)*24),"⚠ the break is longer than the shift",IF(AND($A196&lt;&gt;"",COUNTIF('Monthly OT Summary'!$A$6:$A$35,$A196&amp;"")=0),"⚠ name not in Monthly OT Summary: its hours are not added","")))))</f>
        <v/>
      </c>
    </row>
    <row r="197">
      <c r="A197" s="21" t="n"/>
      <c r="B197" s="40" t="n"/>
      <c r="C197" s="41" t="n"/>
      <c r="D197" s="41" t="n"/>
      <c r="E197" s="24" t="n"/>
      <c r="F197" s="8">
        <f>IF(OR($C197="",$D197=""),"",IF(OR($C197&gt;=1,$D197&gt;=1,$C197=$D197,IF($E197="",0,$E197)&gt;MOD($D197-$C197,1)*24),"",ROUND(MOD($D197-$C197,1)*24-IF($E197="",0,$E197),2)))</f>
        <v/>
      </c>
      <c r="G197" s="25" t="n">
        <v>8</v>
      </c>
      <c r="H197" s="8">
        <f>IF(OR($A197="",$B197="",$F197=""),"",ROUND(IF($F$3="",0,MAX(0,$F197-$F$3))+IF($D$3="",0,MIN($F197-IF($F$3="",0,MAX(0,$F197-$F$3)),MAX(0,SUMIFS($F$5:$F$304,$A$5:$A$304,$A197&amp;"",$B$5:$B$304,"&gt;="&amp;($B197-MOD(WEEKDAY($B197)-$B$3,7)),$B$5:$B$304,"&lt;="&amp;$B197)-IF($F$3="",0,SUMIFS($F$5:$F$304,$A$5:$A$304,$A197&amp;"",$B$5:$B$304,"&gt;="&amp;($B197-MOD(WEEKDAY($B197)-$B$3,7)),$B$5:$B$304,"&lt;="&amp;$B197,$F$5:$F$304,"&gt;"&amp;$F$3)-$F$3*COUNTIFS($A$5:$A$304,$A197&amp;"",$B$5:$B$304,"&gt;="&amp;($B197-MOD(WEEKDAY($B197)-$B$3,7)),$B$5:$B$304,"&lt;="&amp;$B197,$F$5:$F$304,"&gt;"&amp;$F$3))-$D$3))),2))</f>
        <v/>
      </c>
      <c r="I197" s="26" t="n"/>
      <c r="J197" s="27">
        <f>IF(AND($A197="",$C197="",$D197=""),"",IF(OR($C197&gt;=1,$D197&gt;=1),"⚠ type the time with a colon: 9:00 AM, not 9",IF(AND($C197&lt;&gt;"",$C197=$D197),"⚠ clock-in equals clock-out: the shift adds 0 h",IF(AND($C197&lt;&gt;"",$D197&lt;&gt;"",IF($E197="",0,$E197)&gt;MOD($D197-$C197,1)*24),"⚠ the break is longer than the shift",IF(AND($A197&lt;&gt;"",COUNTIF('Monthly OT Summary'!$A$6:$A$35,$A197&amp;"")=0),"⚠ name not in Monthly OT Summary: its hours are not added","")))))</f>
        <v/>
      </c>
    </row>
    <row r="198">
      <c r="A198" s="21" t="n"/>
      <c r="B198" s="40" t="n"/>
      <c r="C198" s="41" t="n"/>
      <c r="D198" s="41" t="n"/>
      <c r="E198" s="24" t="n"/>
      <c r="F198" s="8">
        <f>IF(OR($C198="",$D198=""),"",IF(OR($C198&gt;=1,$D198&gt;=1,$C198=$D198,IF($E198="",0,$E198)&gt;MOD($D198-$C198,1)*24),"",ROUND(MOD($D198-$C198,1)*24-IF($E198="",0,$E198),2)))</f>
        <v/>
      </c>
      <c r="G198" s="25" t="n">
        <v>8</v>
      </c>
      <c r="H198" s="8">
        <f>IF(OR($A198="",$B198="",$F198=""),"",ROUND(IF($F$3="",0,MAX(0,$F198-$F$3))+IF($D$3="",0,MIN($F198-IF($F$3="",0,MAX(0,$F198-$F$3)),MAX(0,SUMIFS($F$5:$F$304,$A$5:$A$304,$A198&amp;"",$B$5:$B$304,"&gt;="&amp;($B198-MOD(WEEKDAY($B198)-$B$3,7)),$B$5:$B$304,"&lt;="&amp;$B198)-IF($F$3="",0,SUMIFS($F$5:$F$304,$A$5:$A$304,$A198&amp;"",$B$5:$B$304,"&gt;="&amp;($B198-MOD(WEEKDAY($B198)-$B$3,7)),$B$5:$B$304,"&lt;="&amp;$B198,$F$5:$F$304,"&gt;"&amp;$F$3)-$F$3*COUNTIFS($A$5:$A$304,$A198&amp;"",$B$5:$B$304,"&gt;="&amp;($B198-MOD(WEEKDAY($B198)-$B$3,7)),$B$5:$B$304,"&lt;="&amp;$B198,$F$5:$F$304,"&gt;"&amp;$F$3))-$D$3))),2))</f>
        <v/>
      </c>
      <c r="I198" s="26" t="n"/>
      <c r="J198" s="27">
        <f>IF(AND($A198="",$C198="",$D198=""),"",IF(OR($C198&gt;=1,$D198&gt;=1),"⚠ type the time with a colon: 9:00 AM, not 9",IF(AND($C198&lt;&gt;"",$C198=$D198),"⚠ clock-in equals clock-out: the shift adds 0 h",IF(AND($C198&lt;&gt;"",$D198&lt;&gt;"",IF($E198="",0,$E198)&gt;MOD($D198-$C198,1)*24),"⚠ the break is longer than the shift",IF(AND($A198&lt;&gt;"",COUNTIF('Monthly OT Summary'!$A$6:$A$35,$A198&amp;"")=0),"⚠ name not in Monthly OT Summary: its hours are not added","")))))</f>
        <v/>
      </c>
    </row>
    <row r="199">
      <c r="A199" s="21" t="n"/>
      <c r="B199" s="40" t="n"/>
      <c r="C199" s="41" t="n"/>
      <c r="D199" s="41" t="n"/>
      <c r="E199" s="24" t="n"/>
      <c r="F199" s="8">
        <f>IF(OR($C199="",$D199=""),"",IF(OR($C199&gt;=1,$D199&gt;=1,$C199=$D199,IF($E199="",0,$E199)&gt;MOD($D199-$C199,1)*24),"",ROUND(MOD($D199-$C199,1)*24-IF($E199="",0,$E199),2)))</f>
        <v/>
      </c>
      <c r="G199" s="25" t="n">
        <v>8</v>
      </c>
      <c r="H199" s="8">
        <f>IF(OR($A199="",$B199="",$F199=""),"",ROUND(IF($F$3="",0,MAX(0,$F199-$F$3))+IF($D$3="",0,MIN($F199-IF($F$3="",0,MAX(0,$F199-$F$3)),MAX(0,SUMIFS($F$5:$F$304,$A$5:$A$304,$A199&amp;"",$B$5:$B$304,"&gt;="&amp;($B199-MOD(WEEKDAY($B199)-$B$3,7)),$B$5:$B$304,"&lt;="&amp;$B199)-IF($F$3="",0,SUMIFS($F$5:$F$304,$A$5:$A$304,$A199&amp;"",$B$5:$B$304,"&gt;="&amp;($B199-MOD(WEEKDAY($B199)-$B$3,7)),$B$5:$B$304,"&lt;="&amp;$B199,$F$5:$F$304,"&gt;"&amp;$F$3)-$F$3*COUNTIFS($A$5:$A$304,$A199&amp;"",$B$5:$B$304,"&gt;="&amp;($B199-MOD(WEEKDAY($B199)-$B$3,7)),$B$5:$B$304,"&lt;="&amp;$B199,$F$5:$F$304,"&gt;"&amp;$F$3))-$D$3))),2))</f>
        <v/>
      </c>
      <c r="I199" s="26" t="n"/>
      <c r="J199" s="27">
        <f>IF(AND($A199="",$C199="",$D199=""),"",IF(OR($C199&gt;=1,$D199&gt;=1),"⚠ type the time with a colon: 9:00 AM, not 9",IF(AND($C199&lt;&gt;"",$C199=$D199),"⚠ clock-in equals clock-out: the shift adds 0 h",IF(AND($C199&lt;&gt;"",$D199&lt;&gt;"",IF($E199="",0,$E199)&gt;MOD($D199-$C199,1)*24),"⚠ the break is longer than the shift",IF(AND($A199&lt;&gt;"",COUNTIF('Monthly OT Summary'!$A$6:$A$35,$A199&amp;"")=0),"⚠ name not in Monthly OT Summary: its hours are not added","")))))</f>
        <v/>
      </c>
    </row>
    <row r="200">
      <c r="A200" s="21" t="n"/>
      <c r="B200" s="40" t="n"/>
      <c r="C200" s="41" t="n"/>
      <c r="D200" s="41" t="n"/>
      <c r="E200" s="24" t="n"/>
      <c r="F200" s="8">
        <f>IF(OR($C200="",$D200=""),"",IF(OR($C200&gt;=1,$D200&gt;=1,$C200=$D200,IF($E200="",0,$E200)&gt;MOD($D200-$C200,1)*24),"",ROUND(MOD($D200-$C200,1)*24-IF($E200="",0,$E200),2)))</f>
        <v/>
      </c>
      <c r="G200" s="25" t="n">
        <v>8</v>
      </c>
      <c r="H200" s="8">
        <f>IF(OR($A200="",$B200="",$F200=""),"",ROUND(IF($F$3="",0,MAX(0,$F200-$F$3))+IF($D$3="",0,MIN($F200-IF($F$3="",0,MAX(0,$F200-$F$3)),MAX(0,SUMIFS($F$5:$F$304,$A$5:$A$304,$A200&amp;"",$B$5:$B$304,"&gt;="&amp;($B200-MOD(WEEKDAY($B200)-$B$3,7)),$B$5:$B$304,"&lt;="&amp;$B200)-IF($F$3="",0,SUMIFS($F$5:$F$304,$A$5:$A$304,$A200&amp;"",$B$5:$B$304,"&gt;="&amp;($B200-MOD(WEEKDAY($B200)-$B$3,7)),$B$5:$B$304,"&lt;="&amp;$B200,$F$5:$F$304,"&gt;"&amp;$F$3)-$F$3*COUNTIFS($A$5:$A$304,$A200&amp;"",$B$5:$B$304,"&gt;="&amp;($B200-MOD(WEEKDAY($B200)-$B$3,7)),$B$5:$B$304,"&lt;="&amp;$B200,$F$5:$F$304,"&gt;"&amp;$F$3))-$D$3))),2))</f>
        <v/>
      </c>
      <c r="I200" s="26" t="n"/>
      <c r="J200" s="27">
        <f>IF(AND($A200="",$C200="",$D200=""),"",IF(OR($C200&gt;=1,$D200&gt;=1),"⚠ type the time with a colon: 9:00 AM, not 9",IF(AND($C200&lt;&gt;"",$C200=$D200),"⚠ clock-in equals clock-out: the shift adds 0 h",IF(AND($C200&lt;&gt;"",$D200&lt;&gt;"",IF($E200="",0,$E200)&gt;MOD($D200-$C200,1)*24),"⚠ the break is longer than the shift",IF(AND($A200&lt;&gt;"",COUNTIF('Monthly OT Summary'!$A$6:$A$35,$A200&amp;"")=0),"⚠ name not in Monthly OT Summary: its hours are not added","")))))</f>
        <v/>
      </c>
    </row>
    <row r="201">
      <c r="A201" s="21" t="n"/>
      <c r="B201" s="40" t="n"/>
      <c r="C201" s="41" t="n"/>
      <c r="D201" s="41" t="n"/>
      <c r="E201" s="24" t="n"/>
      <c r="F201" s="8">
        <f>IF(OR($C201="",$D201=""),"",IF(OR($C201&gt;=1,$D201&gt;=1,$C201=$D201,IF($E201="",0,$E201)&gt;MOD($D201-$C201,1)*24),"",ROUND(MOD($D201-$C201,1)*24-IF($E201="",0,$E201),2)))</f>
        <v/>
      </c>
      <c r="G201" s="25" t="n">
        <v>8</v>
      </c>
      <c r="H201" s="8">
        <f>IF(OR($A201="",$B201="",$F201=""),"",ROUND(IF($F$3="",0,MAX(0,$F201-$F$3))+IF($D$3="",0,MIN($F201-IF($F$3="",0,MAX(0,$F201-$F$3)),MAX(0,SUMIFS($F$5:$F$304,$A$5:$A$304,$A201&amp;"",$B$5:$B$304,"&gt;="&amp;($B201-MOD(WEEKDAY($B201)-$B$3,7)),$B$5:$B$304,"&lt;="&amp;$B201)-IF($F$3="",0,SUMIFS($F$5:$F$304,$A$5:$A$304,$A201&amp;"",$B$5:$B$304,"&gt;="&amp;($B201-MOD(WEEKDAY($B201)-$B$3,7)),$B$5:$B$304,"&lt;="&amp;$B201,$F$5:$F$304,"&gt;"&amp;$F$3)-$F$3*COUNTIFS($A$5:$A$304,$A201&amp;"",$B$5:$B$304,"&gt;="&amp;($B201-MOD(WEEKDAY($B201)-$B$3,7)),$B$5:$B$304,"&lt;="&amp;$B201,$F$5:$F$304,"&gt;"&amp;$F$3))-$D$3))),2))</f>
        <v/>
      </c>
      <c r="I201" s="26" t="n"/>
      <c r="J201" s="27">
        <f>IF(AND($A201="",$C201="",$D201=""),"",IF(OR($C201&gt;=1,$D201&gt;=1),"⚠ type the time with a colon: 9:00 AM, not 9",IF(AND($C201&lt;&gt;"",$C201=$D201),"⚠ clock-in equals clock-out: the shift adds 0 h",IF(AND($C201&lt;&gt;"",$D201&lt;&gt;"",IF($E201="",0,$E201)&gt;MOD($D201-$C201,1)*24),"⚠ the break is longer than the shift",IF(AND($A201&lt;&gt;"",COUNTIF('Monthly OT Summary'!$A$6:$A$35,$A201&amp;"")=0),"⚠ name not in Monthly OT Summary: its hours are not added","")))))</f>
        <v/>
      </c>
    </row>
    <row r="202">
      <c r="A202" s="21" t="n"/>
      <c r="B202" s="40" t="n"/>
      <c r="C202" s="41" t="n"/>
      <c r="D202" s="41" t="n"/>
      <c r="E202" s="24" t="n"/>
      <c r="F202" s="8">
        <f>IF(OR($C202="",$D202=""),"",IF(OR($C202&gt;=1,$D202&gt;=1,$C202=$D202,IF($E202="",0,$E202)&gt;MOD($D202-$C202,1)*24),"",ROUND(MOD($D202-$C202,1)*24-IF($E202="",0,$E202),2)))</f>
        <v/>
      </c>
      <c r="G202" s="25" t="n">
        <v>8</v>
      </c>
      <c r="H202" s="8">
        <f>IF(OR($A202="",$B202="",$F202=""),"",ROUND(IF($F$3="",0,MAX(0,$F202-$F$3))+IF($D$3="",0,MIN($F202-IF($F$3="",0,MAX(0,$F202-$F$3)),MAX(0,SUMIFS($F$5:$F$304,$A$5:$A$304,$A202&amp;"",$B$5:$B$304,"&gt;="&amp;($B202-MOD(WEEKDAY($B202)-$B$3,7)),$B$5:$B$304,"&lt;="&amp;$B202)-IF($F$3="",0,SUMIFS($F$5:$F$304,$A$5:$A$304,$A202&amp;"",$B$5:$B$304,"&gt;="&amp;($B202-MOD(WEEKDAY($B202)-$B$3,7)),$B$5:$B$304,"&lt;="&amp;$B202,$F$5:$F$304,"&gt;"&amp;$F$3)-$F$3*COUNTIFS($A$5:$A$304,$A202&amp;"",$B$5:$B$304,"&gt;="&amp;($B202-MOD(WEEKDAY($B202)-$B$3,7)),$B$5:$B$304,"&lt;="&amp;$B202,$F$5:$F$304,"&gt;"&amp;$F$3))-$D$3))),2))</f>
        <v/>
      </c>
      <c r="I202" s="26" t="n"/>
      <c r="J202" s="27">
        <f>IF(AND($A202="",$C202="",$D202=""),"",IF(OR($C202&gt;=1,$D202&gt;=1),"⚠ type the time with a colon: 9:00 AM, not 9",IF(AND($C202&lt;&gt;"",$C202=$D202),"⚠ clock-in equals clock-out: the shift adds 0 h",IF(AND($C202&lt;&gt;"",$D202&lt;&gt;"",IF($E202="",0,$E202)&gt;MOD($D202-$C202,1)*24),"⚠ the break is longer than the shift",IF(AND($A202&lt;&gt;"",COUNTIF('Monthly OT Summary'!$A$6:$A$35,$A202&amp;"")=0),"⚠ name not in Monthly OT Summary: its hours are not added","")))))</f>
        <v/>
      </c>
    </row>
    <row r="203">
      <c r="A203" s="21" t="n"/>
      <c r="B203" s="40" t="n"/>
      <c r="C203" s="41" t="n"/>
      <c r="D203" s="41" t="n"/>
      <c r="E203" s="24" t="n"/>
      <c r="F203" s="8">
        <f>IF(OR($C203="",$D203=""),"",IF(OR($C203&gt;=1,$D203&gt;=1,$C203=$D203,IF($E203="",0,$E203)&gt;MOD($D203-$C203,1)*24),"",ROUND(MOD($D203-$C203,1)*24-IF($E203="",0,$E203),2)))</f>
        <v/>
      </c>
      <c r="G203" s="25" t="n">
        <v>8</v>
      </c>
      <c r="H203" s="8">
        <f>IF(OR($A203="",$B203="",$F203=""),"",ROUND(IF($F$3="",0,MAX(0,$F203-$F$3))+IF($D$3="",0,MIN($F203-IF($F$3="",0,MAX(0,$F203-$F$3)),MAX(0,SUMIFS($F$5:$F$304,$A$5:$A$304,$A203&amp;"",$B$5:$B$304,"&gt;="&amp;($B203-MOD(WEEKDAY($B203)-$B$3,7)),$B$5:$B$304,"&lt;="&amp;$B203)-IF($F$3="",0,SUMIFS($F$5:$F$304,$A$5:$A$304,$A203&amp;"",$B$5:$B$304,"&gt;="&amp;($B203-MOD(WEEKDAY($B203)-$B$3,7)),$B$5:$B$304,"&lt;="&amp;$B203,$F$5:$F$304,"&gt;"&amp;$F$3)-$F$3*COUNTIFS($A$5:$A$304,$A203&amp;"",$B$5:$B$304,"&gt;="&amp;($B203-MOD(WEEKDAY($B203)-$B$3,7)),$B$5:$B$304,"&lt;="&amp;$B203,$F$5:$F$304,"&gt;"&amp;$F$3))-$D$3))),2))</f>
        <v/>
      </c>
      <c r="I203" s="26" t="n"/>
      <c r="J203" s="27">
        <f>IF(AND($A203="",$C203="",$D203=""),"",IF(OR($C203&gt;=1,$D203&gt;=1),"⚠ type the time with a colon: 9:00 AM, not 9",IF(AND($C203&lt;&gt;"",$C203=$D203),"⚠ clock-in equals clock-out: the shift adds 0 h",IF(AND($C203&lt;&gt;"",$D203&lt;&gt;"",IF($E203="",0,$E203)&gt;MOD($D203-$C203,1)*24),"⚠ the break is longer than the shift",IF(AND($A203&lt;&gt;"",COUNTIF('Monthly OT Summary'!$A$6:$A$35,$A203&amp;"")=0),"⚠ name not in Monthly OT Summary: its hours are not added","")))))</f>
        <v/>
      </c>
    </row>
    <row r="204">
      <c r="A204" s="21" t="n"/>
      <c r="B204" s="40" t="n"/>
      <c r="C204" s="41" t="n"/>
      <c r="D204" s="41" t="n"/>
      <c r="E204" s="24" t="n"/>
      <c r="F204" s="8">
        <f>IF(OR($C204="",$D204=""),"",IF(OR($C204&gt;=1,$D204&gt;=1,$C204=$D204,IF($E204="",0,$E204)&gt;MOD($D204-$C204,1)*24),"",ROUND(MOD($D204-$C204,1)*24-IF($E204="",0,$E204),2)))</f>
        <v/>
      </c>
      <c r="G204" s="25" t="n">
        <v>8</v>
      </c>
      <c r="H204" s="8">
        <f>IF(OR($A204="",$B204="",$F204=""),"",ROUND(IF($F$3="",0,MAX(0,$F204-$F$3))+IF($D$3="",0,MIN($F204-IF($F$3="",0,MAX(0,$F204-$F$3)),MAX(0,SUMIFS($F$5:$F$304,$A$5:$A$304,$A204&amp;"",$B$5:$B$304,"&gt;="&amp;($B204-MOD(WEEKDAY($B204)-$B$3,7)),$B$5:$B$304,"&lt;="&amp;$B204)-IF($F$3="",0,SUMIFS($F$5:$F$304,$A$5:$A$304,$A204&amp;"",$B$5:$B$304,"&gt;="&amp;($B204-MOD(WEEKDAY($B204)-$B$3,7)),$B$5:$B$304,"&lt;="&amp;$B204,$F$5:$F$304,"&gt;"&amp;$F$3)-$F$3*COUNTIFS($A$5:$A$304,$A204&amp;"",$B$5:$B$304,"&gt;="&amp;($B204-MOD(WEEKDAY($B204)-$B$3,7)),$B$5:$B$304,"&lt;="&amp;$B204,$F$5:$F$304,"&gt;"&amp;$F$3))-$D$3))),2))</f>
        <v/>
      </c>
      <c r="I204" s="26" t="n"/>
      <c r="J204" s="27">
        <f>IF(AND($A204="",$C204="",$D204=""),"",IF(OR($C204&gt;=1,$D204&gt;=1),"⚠ type the time with a colon: 9:00 AM, not 9",IF(AND($C204&lt;&gt;"",$C204=$D204),"⚠ clock-in equals clock-out: the shift adds 0 h",IF(AND($C204&lt;&gt;"",$D204&lt;&gt;"",IF($E204="",0,$E204)&gt;MOD($D204-$C204,1)*24),"⚠ the break is longer than the shift",IF(AND($A204&lt;&gt;"",COUNTIF('Monthly OT Summary'!$A$6:$A$35,$A204&amp;"")=0),"⚠ name not in Monthly OT Summary: its hours are not added","")))))</f>
        <v/>
      </c>
    </row>
    <row r="205">
      <c r="A205" s="21" t="n"/>
      <c r="B205" s="40" t="n"/>
      <c r="C205" s="41" t="n"/>
      <c r="D205" s="41" t="n"/>
      <c r="E205" s="24" t="n"/>
      <c r="F205" s="8">
        <f>IF(OR($C205="",$D205=""),"",IF(OR($C205&gt;=1,$D205&gt;=1,$C205=$D205,IF($E205="",0,$E205)&gt;MOD($D205-$C205,1)*24),"",ROUND(MOD($D205-$C205,1)*24-IF($E205="",0,$E205),2)))</f>
        <v/>
      </c>
      <c r="G205" s="25" t="n">
        <v>8</v>
      </c>
      <c r="H205" s="8">
        <f>IF(OR($A205="",$B205="",$F205=""),"",ROUND(IF($F$3="",0,MAX(0,$F205-$F$3))+IF($D$3="",0,MIN($F205-IF($F$3="",0,MAX(0,$F205-$F$3)),MAX(0,SUMIFS($F$5:$F$304,$A$5:$A$304,$A205&amp;"",$B$5:$B$304,"&gt;="&amp;($B205-MOD(WEEKDAY($B205)-$B$3,7)),$B$5:$B$304,"&lt;="&amp;$B205)-IF($F$3="",0,SUMIFS($F$5:$F$304,$A$5:$A$304,$A205&amp;"",$B$5:$B$304,"&gt;="&amp;($B205-MOD(WEEKDAY($B205)-$B$3,7)),$B$5:$B$304,"&lt;="&amp;$B205,$F$5:$F$304,"&gt;"&amp;$F$3)-$F$3*COUNTIFS($A$5:$A$304,$A205&amp;"",$B$5:$B$304,"&gt;="&amp;($B205-MOD(WEEKDAY($B205)-$B$3,7)),$B$5:$B$304,"&lt;="&amp;$B205,$F$5:$F$304,"&gt;"&amp;$F$3))-$D$3))),2))</f>
        <v/>
      </c>
      <c r="I205" s="26" t="n"/>
      <c r="J205" s="27">
        <f>IF(AND($A205="",$C205="",$D205=""),"",IF(OR($C205&gt;=1,$D205&gt;=1),"⚠ type the time with a colon: 9:00 AM, not 9",IF(AND($C205&lt;&gt;"",$C205=$D205),"⚠ clock-in equals clock-out: the shift adds 0 h",IF(AND($C205&lt;&gt;"",$D205&lt;&gt;"",IF($E205="",0,$E205)&gt;MOD($D205-$C205,1)*24),"⚠ the break is longer than the shift",IF(AND($A205&lt;&gt;"",COUNTIF('Monthly OT Summary'!$A$6:$A$35,$A205&amp;"")=0),"⚠ name not in Monthly OT Summary: its hours are not added","")))))</f>
        <v/>
      </c>
    </row>
    <row r="206">
      <c r="A206" s="21" t="n"/>
      <c r="B206" s="40" t="n"/>
      <c r="C206" s="41" t="n"/>
      <c r="D206" s="41" t="n"/>
      <c r="E206" s="24" t="n"/>
      <c r="F206" s="8">
        <f>IF(OR($C206="",$D206=""),"",IF(OR($C206&gt;=1,$D206&gt;=1,$C206=$D206,IF($E206="",0,$E206)&gt;MOD($D206-$C206,1)*24),"",ROUND(MOD($D206-$C206,1)*24-IF($E206="",0,$E206),2)))</f>
        <v/>
      </c>
      <c r="G206" s="25" t="n">
        <v>8</v>
      </c>
      <c r="H206" s="8">
        <f>IF(OR($A206="",$B206="",$F206=""),"",ROUND(IF($F$3="",0,MAX(0,$F206-$F$3))+IF($D$3="",0,MIN($F206-IF($F$3="",0,MAX(0,$F206-$F$3)),MAX(0,SUMIFS($F$5:$F$304,$A$5:$A$304,$A206&amp;"",$B$5:$B$304,"&gt;="&amp;($B206-MOD(WEEKDAY($B206)-$B$3,7)),$B$5:$B$304,"&lt;="&amp;$B206)-IF($F$3="",0,SUMIFS($F$5:$F$304,$A$5:$A$304,$A206&amp;"",$B$5:$B$304,"&gt;="&amp;($B206-MOD(WEEKDAY($B206)-$B$3,7)),$B$5:$B$304,"&lt;="&amp;$B206,$F$5:$F$304,"&gt;"&amp;$F$3)-$F$3*COUNTIFS($A$5:$A$304,$A206&amp;"",$B$5:$B$304,"&gt;="&amp;($B206-MOD(WEEKDAY($B206)-$B$3,7)),$B$5:$B$304,"&lt;="&amp;$B206,$F$5:$F$304,"&gt;"&amp;$F$3))-$D$3))),2))</f>
        <v/>
      </c>
      <c r="I206" s="26" t="n"/>
      <c r="J206" s="27">
        <f>IF(AND($A206="",$C206="",$D206=""),"",IF(OR($C206&gt;=1,$D206&gt;=1),"⚠ type the time with a colon: 9:00 AM, not 9",IF(AND($C206&lt;&gt;"",$C206=$D206),"⚠ clock-in equals clock-out: the shift adds 0 h",IF(AND($C206&lt;&gt;"",$D206&lt;&gt;"",IF($E206="",0,$E206)&gt;MOD($D206-$C206,1)*24),"⚠ the break is longer than the shift",IF(AND($A206&lt;&gt;"",COUNTIF('Monthly OT Summary'!$A$6:$A$35,$A206&amp;"")=0),"⚠ name not in Monthly OT Summary: its hours are not added","")))))</f>
        <v/>
      </c>
    </row>
    <row r="207">
      <c r="A207" s="21" t="n"/>
      <c r="B207" s="40" t="n"/>
      <c r="C207" s="41" t="n"/>
      <c r="D207" s="41" t="n"/>
      <c r="E207" s="24" t="n"/>
      <c r="F207" s="8">
        <f>IF(OR($C207="",$D207=""),"",IF(OR($C207&gt;=1,$D207&gt;=1,$C207=$D207,IF($E207="",0,$E207)&gt;MOD($D207-$C207,1)*24),"",ROUND(MOD($D207-$C207,1)*24-IF($E207="",0,$E207),2)))</f>
        <v/>
      </c>
      <c r="G207" s="25" t="n">
        <v>8</v>
      </c>
      <c r="H207" s="8">
        <f>IF(OR($A207="",$B207="",$F207=""),"",ROUND(IF($F$3="",0,MAX(0,$F207-$F$3))+IF($D$3="",0,MIN($F207-IF($F$3="",0,MAX(0,$F207-$F$3)),MAX(0,SUMIFS($F$5:$F$304,$A$5:$A$304,$A207&amp;"",$B$5:$B$304,"&gt;="&amp;($B207-MOD(WEEKDAY($B207)-$B$3,7)),$B$5:$B$304,"&lt;="&amp;$B207)-IF($F$3="",0,SUMIFS($F$5:$F$304,$A$5:$A$304,$A207&amp;"",$B$5:$B$304,"&gt;="&amp;($B207-MOD(WEEKDAY($B207)-$B$3,7)),$B$5:$B$304,"&lt;="&amp;$B207,$F$5:$F$304,"&gt;"&amp;$F$3)-$F$3*COUNTIFS($A$5:$A$304,$A207&amp;"",$B$5:$B$304,"&gt;="&amp;($B207-MOD(WEEKDAY($B207)-$B$3,7)),$B$5:$B$304,"&lt;="&amp;$B207,$F$5:$F$304,"&gt;"&amp;$F$3))-$D$3))),2))</f>
        <v/>
      </c>
      <c r="I207" s="26" t="n"/>
      <c r="J207" s="27">
        <f>IF(AND($A207="",$C207="",$D207=""),"",IF(OR($C207&gt;=1,$D207&gt;=1),"⚠ type the time with a colon: 9:00 AM, not 9",IF(AND($C207&lt;&gt;"",$C207=$D207),"⚠ clock-in equals clock-out: the shift adds 0 h",IF(AND($C207&lt;&gt;"",$D207&lt;&gt;"",IF($E207="",0,$E207)&gt;MOD($D207-$C207,1)*24),"⚠ the break is longer than the shift",IF(AND($A207&lt;&gt;"",COUNTIF('Monthly OT Summary'!$A$6:$A$35,$A207&amp;"")=0),"⚠ name not in Monthly OT Summary: its hours are not added","")))))</f>
        <v/>
      </c>
    </row>
    <row r="208">
      <c r="A208" s="21" t="n"/>
      <c r="B208" s="40" t="n"/>
      <c r="C208" s="41" t="n"/>
      <c r="D208" s="41" t="n"/>
      <c r="E208" s="24" t="n"/>
      <c r="F208" s="8">
        <f>IF(OR($C208="",$D208=""),"",IF(OR($C208&gt;=1,$D208&gt;=1,$C208=$D208,IF($E208="",0,$E208)&gt;MOD($D208-$C208,1)*24),"",ROUND(MOD($D208-$C208,1)*24-IF($E208="",0,$E208),2)))</f>
        <v/>
      </c>
      <c r="G208" s="25" t="n">
        <v>8</v>
      </c>
      <c r="H208" s="8">
        <f>IF(OR($A208="",$B208="",$F208=""),"",ROUND(IF($F$3="",0,MAX(0,$F208-$F$3))+IF($D$3="",0,MIN($F208-IF($F$3="",0,MAX(0,$F208-$F$3)),MAX(0,SUMIFS($F$5:$F$304,$A$5:$A$304,$A208&amp;"",$B$5:$B$304,"&gt;="&amp;($B208-MOD(WEEKDAY($B208)-$B$3,7)),$B$5:$B$304,"&lt;="&amp;$B208)-IF($F$3="",0,SUMIFS($F$5:$F$304,$A$5:$A$304,$A208&amp;"",$B$5:$B$304,"&gt;="&amp;($B208-MOD(WEEKDAY($B208)-$B$3,7)),$B$5:$B$304,"&lt;="&amp;$B208,$F$5:$F$304,"&gt;"&amp;$F$3)-$F$3*COUNTIFS($A$5:$A$304,$A208&amp;"",$B$5:$B$304,"&gt;="&amp;($B208-MOD(WEEKDAY($B208)-$B$3,7)),$B$5:$B$304,"&lt;="&amp;$B208,$F$5:$F$304,"&gt;"&amp;$F$3))-$D$3))),2))</f>
        <v/>
      </c>
      <c r="I208" s="26" t="n"/>
      <c r="J208" s="27">
        <f>IF(AND($A208="",$C208="",$D208=""),"",IF(OR($C208&gt;=1,$D208&gt;=1),"⚠ type the time with a colon: 9:00 AM, not 9",IF(AND($C208&lt;&gt;"",$C208=$D208),"⚠ clock-in equals clock-out: the shift adds 0 h",IF(AND($C208&lt;&gt;"",$D208&lt;&gt;"",IF($E208="",0,$E208)&gt;MOD($D208-$C208,1)*24),"⚠ the break is longer than the shift",IF(AND($A208&lt;&gt;"",COUNTIF('Monthly OT Summary'!$A$6:$A$35,$A208&amp;"")=0),"⚠ name not in Monthly OT Summary: its hours are not added","")))))</f>
        <v/>
      </c>
    </row>
    <row r="209">
      <c r="A209" s="21" t="n"/>
      <c r="B209" s="40" t="n"/>
      <c r="C209" s="41" t="n"/>
      <c r="D209" s="41" t="n"/>
      <c r="E209" s="24" t="n"/>
      <c r="F209" s="8">
        <f>IF(OR($C209="",$D209=""),"",IF(OR($C209&gt;=1,$D209&gt;=1,$C209=$D209,IF($E209="",0,$E209)&gt;MOD($D209-$C209,1)*24),"",ROUND(MOD($D209-$C209,1)*24-IF($E209="",0,$E209),2)))</f>
        <v/>
      </c>
      <c r="G209" s="25" t="n">
        <v>8</v>
      </c>
      <c r="H209" s="8">
        <f>IF(OR($A209="",$B209="",$F209=""),"",ROUND(IF($F$3="",0,MAX(0,$F209-$F$3))+IF($D$3="",0,MIN($F209-IF($F$3="",0,MAX(0,$F209-$F$3)),MAX(0,SUMIFS($F$5:$F$304,$A$5:$A$304,$A209&amp;"",$B$5:$B$304,"&gt;="&amp;($B209-MOD(WEEKDAY($B209)-$B$3,7)),$B$5:$B$304,"&lt;="&amp;$B209)-IF($F$3="",0,SUMIFS($F$5:$F$304,$A$5:$A$304,$A209&amp;"",$B$5:$B$304,"&gt;="&amp;($B209-MOD(WEEKDAY($B209)-$B$3,7)),$B$5:$B$304,"&lt;="&amp;$B209,$F$5:$F$304,"&gt;"&amp;$F$3)-$F$3*COUNTIFS($A$5:$A$304,$A209&amp;"",$B$5:$B$304,"&gt;="&amp;($B209-MOD(WEEKDAY($B209)-$B$3,7)),$B$5:$B$304,"&lt;="&amp;$B209,$F$5:$F$304,"&gt;"&amp;$F$3))-$D$3))),2))</f>
        <v/>
      </c>
      <c r="I209" s="26" t="n"/>
      <c r="J209" s="27">
        <f>IF(AND($A209="",$C209="",$D209=""),"",IF(OR($C209&gt;=1,$D209&gt;=1),"⚠ type the time with a colon: 9:00 AM, not 9",IF(AND($C209&lt;&gt;"",$C209=$D209),"⚠ clock-in equals clock-out: the shift adds 0 h",IF(AND($C209&lt;&gt;"",$D209&lt;&gt;"",IF($E209="",0,$E209)&gt;MOD($D209-$C209,1)*24),"⚠ the break is longer than the shift",IF(AND($A209&lt;&gt;"",COUNTIF('Monthly OT Summary'!$A$6:$A$35,$A209&amp;"")=0),"⚠ name not in Monthly OT Summary: its hours are not added","")))))</f>
        <v/>
      </c>
    </row>
    <row r="210">
      <c r="A210" s="21" t="n"/>
      <c r="B210" s="40" t="n"/>
      <c r="C210" s="41" t="n"/>
      <c r="D210" s="41" t="n"/>
      <c r="E210" s="24" t="n"/>
      <c r="F210" s="8">
        <f>IF(OR($C210="",$D210=""),"",IF(OR($C210&gt;=1,$D210&gt;=1,$C210=$D210,IF($E210="",0,$E210)&gt;MOD($D210-$C210,1)*24),"",ROUND(MOD($D210-$C210,1)*24-IF($E210="",0,$E210),2)))</f>
        <v/>
      </c>
      <c r="G210" s="25" t="n">
        <v>8</v>
      </c>
      <c r="H210" s="8">
        <f>IF(OR($A210="",$B210="",$F210=""),"",ROUND(IF($F$3="",0,MAX(0,$F210-$F$3))+IF($D$3="",0,MIN($F210-IF($F$3="",0,MAX(0,$F210-$F$3)),MAX(0,SUMIFS($F$5:$F$304,$A$5:$A$304,$A210&amp;"",$B$5:$B$304,"&gt;="&amp;($B210-MOD(WEEKDAY($B210)-$B$3,7)),$B$5:$B$304,"&lt;="&amp;$B210)-IF($F$3="",0,SUMIFS($F$5:$F$304,$A$5:$A$304,$A210&amp;"",$B$5:$B$304,"&gt;="&amp;($B210-MOD(WEEKDAY($B210)-$B$3,7)),$B$5:$B$304,"&lt;="&amp;$B210,$F$5:$F$304,"&gt;"&amp;$F$3)-$F$3*COUNTIFS($A$5:$A$304,$A210&amp;"",$B$5:$B$304,"&gt;="&amp;($B210-MOD(WEEKDAY($B210)-$B$3,7)),$B$5:$B$304,"&lt;="&amp;$B210,$F$5:$F$304,"&gt;"&amp;$F$3))-$D$3))),2))</f>
        <v/>
      </c>
      <c r="I210" s="26" t="n"/>
      <c r="J210" s="27">
        <f>IF(AND($A210="",$C210="",$D210=""),"",IF(OR($C210&gt;=1,$D210&gt;=1),"⚠ type the time with a colon: 9:00 AM, not 9",IF(AND($C210&lt;&gt;"",$C210=$D210),"⚠ clock-in equals clock-out: the shift adds 0 h",IF(AND($C210&lt;&gt;"",$D210&lt;&gt;"",IF($E210="",0,$E210)&gt;MOD($D210-$C210,1)*24),"⚠ the break is longer than the shift",IF(AND($A210&lt;&gt;"",COUNTIF('Monthly OT Summary'!$A$6:$A$35,$A210&amp;"")=0),"⚠ name not in Monthly OT Summary: its hours are not added","")))))</f>
        <v/>
      </c>
    </row>
    <row r="211">
      <c r="A211" s="21" t="n"/>
      <c r="B211" s="40" t="n"/>
      <c r="C211" s="41" t="n"/>
      <c r="D211" s="41" t="n"/>
      <c r="E211" s="24" t="n"/>
      <c r="F211" s="8">
        <f>IF(OR($C211="",$D211=""),"",IF(OR($C211&gt;=1,$D211&gt;=1,$C211=$D211,IF($E211="",0,$E211)&gt;MOD($D211-$C211,1)*24),"",ROUND(MOD($D211-$C211,1)*24-IF($E211="",0,$E211),2)))</f>
        <v/>
      </c>
      <c r="G211" s="25" t="n">
        <v>8</v>
      </c>
      <c r="H211" s="8">
        <f>IF(OR($A211="",$B211="",$F211=""),"",ROUND(IF($F$3="",0,MAX(0,$F211-$F$3))+IF($D$3="",0,MIN($F211-IF($F$3="",0,MAX(0,$F211-$F$3)),MAX(0,SUMIFS($F$5:$F$304,$A$5:$A$304,$A211&amp;"",$B$5:$B$304,"&gt;="&amp;($B211-MOD(WEEKDAY($B211)-$B$3,7)),$B$5:$B$304,"&lt;="&amp;$B211)-IF($F$3="",0,SUMIFS($F$5:$F$304,$A$5:$A$304,$A211&amp;"",$B$5:$B$304,"&gt;="&amp;($B211-MOD(WEEKDAY($B211)-$B$3,7)),$B$5:$B$304,"&lt;="&amp;$B211,$F$5:$F$304,"&gt;"&amp;$F$3)-$F$3*COUNTIFS($A$5:$A$304,$A211&amp;"",$B$5:$B$304,"&gt;="&amp;($B211-MOD(WEEKDAY($B211)-$B$3,7)),$B$5:$B$304,"&lt;="&amp;$B211,$F$5:$F$304,"&gt;"&amp;$F$3))-$D$3))),2))</f>
        <v/>
      </c>
      <c r="I211" s="26" t="n"/>
      <c r="J211" s="27">
        <f>IF(AND($A211="",$C211="",$D211=""),"",IF(OR($C211&gt;=1,$D211&gt;=1),"⚠ type the time with a colon: 9:00 AM, not 9",IF(AND($C211&lt;&gt;"",$C211=$D211),"⚠ clock-in equals clock-out: the shift adds 0 h",IF(AND($C211&lt;&gt;"",$D211&lt;&gt;"",IF($E211="",0,$E211)&gt;MOD($D211-$C211,1)*24),"⚠ the break is longer than the shift",IF(AND($A211&lt;&gt;"",COUNTIF('Monthly OT Summary'!$A$6:$A$35,$A211&amp;"")=0),"⚠ name not in Monthly OT Summary: its hours are not added","")))))</f>
        <v/>
      </c>
    </row>
    <row r="212">
      <c r="A212" s="21" t="n"/>
      <c r="B212" s="40" t="n"/>
      <c r="C212" s="41" t="n"/>
      <c r="D212" s="41" t="n"/>
      <c r="E212" s="24" t="n"/>
      <c r="F212" s="8">
        <f>IF(OR($C212="",$D212=""),"",IF(OR($C212&gt;=1,$D212&gt;=1,$C212=$D212,IF($E212="",0,$E212)&gt;MOD($D212-$C212,1)*24),"",ROUND(MOD($D212-$C212,1)*24-IF($E212="",0,$E212),2)))</f>
        <v/>
      </c>
      <c r="G212" s="25" t="n">
        <v>8</v>
      </c>
      <c r="H212" s="8">
        <f>IF(OR($A212="",$B212="",$F212=""),"",ROUND(IF($F$3="",0,MAX(0,$F212-$F$3))+IF($D$3="",0,MIN($F212-IF($F$3="",0,MAX(0,$F212-$F$3)),MAX(0,SUMIFS($F$5:$F$304,$A$5:$A$304,$A212&amp;"",$B$5:$B$304,"&gt;="&amp;($B212-MOD(WEEKDAY($B212)-$B$3,7)),$B$5:$B$304,"&lt;="&amp;$B212)-IF($F$3="",0,SUMIFS($F$5:$F$304,$A$5:$A$304,$A212&amp;"",$B$5:$B$304,"&gt;="&amp;($B212-MOD(WEEKDAY($B212)-$B$3,7)),$B$5:$B$304,"&lt;="&amp;$B212,$F$5:$F$304,"&gt;"&amp;$F$3)-$F$3*COUNTIFS($A$5:$A$304,$A212&amp;"",$B$5:$B$304,"&gt;="&amp;($B212-MOD(WEEKDAY($B212)-$B$3,7)),$B$5:$B$304,"&lt;="&amp;$B212,$F$5:$F$304,"&gt;"&amp;$F$3))-$D$3))),2))</f>
        <v/>
      </c>
      <c r="I212" s="26" t="n"/>
      <c r="J212" s="27">
        <f>IF(AND($A212="",$C212="",$D212=""),"",IF(OR($C212&gt;=1,$D212&gt;=1),"⚠ type the time with a colon: 9:00 AM, not 9",IF(AND($C212&lt;&gt;"",$C212=$D212),"⚠ clock-in equals clock-out: the shift adds 0 h",IF(AND($C212&lt;&gt;"",$D212&lt;&gt;"",IF($E212="",0,$E212)&gt;MOD($D212-$C212,1)*24),"⚠ the break is longer than the shift",IF(AND($A212&lt;&gt;"",COUNTIF('Monthly OT Summary'!$A$6:$A$35,$A212&amp;"")=0),"⚠ name not in Monthly OT Summary: its hours are not added","")))))</f>
        <v/>
      </c>
    </row>
    <row r="213">
      <c r="A213" s="21" t="n"/>
      <c r="B213" s="40" t="n"/>
      <c r="C213" s="41" t="n"/>
      <c r="D213" s="41" t="n"/>
      <c r="E213" s="24" t="n"/>
      <c r="F213" s="8">
        <f>IF(OR($C213="",$D213=""),"",IF(OR($C213&gt;=1,$D213&gt;=1,$C213=$D213,IF($E213="",0,$E213)&gt;MOD($D213-$C213,1)*24),"",ROUND(MOD($D213-$C213,1)*24-IF($E213="",0,$E213),2)))</f>
        <v/>
      </c>
      <c r="G213" s="25" t="n">
        <v>8</v>
      </c>
      <c r="H213" s="8">
        <f>IF(OR($A213="",$B213="",$F213=""),"",ROUND(IF($F$3="",0,MAX(0,$F213-$F$3))+IF($D$3="",0,MIN($F213-IF($F$3="",0,MAX(0,$F213-$F$3)),MAX(0,SUMIFS($F$5:$F$304,$A$5:$A$304,$A213&amp;"",$B$5:$B$304,"&gt;="&amp;($B213-MOD(WEEKDAY($B213)-$B$3,7)),$B$5:$B$304,"&lt;="&amp;$B213)-IF($F$3="",0,SUMIFS($F$5:$F$304,$A$5:$A$304,$A213&amp;"",$B$5:$B$304,"&gt;="&amp;($B213-MOD(WEEKDAY($B213)-$B$3,7)),$B$5:$B$304,"&lt;="&amp;$B213,$F$5:$F$304,"&gt;"&amp;$F$3)-$F$3*COUNTIFS($A$5:$A$304,$A213&amp;"",$B$5:$B$304,"&gt;="&amp;($B213-MOD(WEEKDAY($B213)-$B$3,7)),$B$5:$B$304,"&lt;="&amp;$B213,$F$5:$F$304,"&gt;"&amp;$F$3))-$D$3))),2))</f>
        <v/>
      </c>
      <c r="I213" s="26" t="n"/>
      <c r="J213" s="27">
        <f>IF(AND($A213="",$C213="",$D213=""),"",IF(OR($C213&gt;=1,$D213&gt;=1),"⚠ type the time with a colon: 9:00 AM, not 9",IF(AND($C213&lt;&gt;"",$C213=$D213),"⚠ clock-in equals clock-out: the shift adds 0 h",IF(AND($C213&lt;&gt;"",$D213&lt;&gt;"",IF($E213="",0,$E213)&gt;MOD($D213-$C213,1)*24),"⚠ the break is longer than the shift",IF(AND($A213&lt;&gt;"",COUNTIF('Monthly OT Summary'!$A$6:$A$35,$A213&amp;"")=0),"⚠ name not in Monthly OT Summary: its hours are not added","")))))</f>
        <v/>
      </c>
    </row>
    <row r="214">
      <c r="A214" s="21" t="n"/>
      <c r="B214" s="40" t="n"/>
      <c r="C214" s="41" t="n"/>
      <c r="D214" s="41" t="n"/>
      <c r="E214" s="24" t="n"/>
      <c r="F214" s="8">
        <f>IF(OR($C214="",$D214=""),"",IF(OR($C214&gt;=1,$D214&gt;=1,$C214=$D214,IF($E214="",0,$E214)&gt;MOD($D214-$C214,1)*24),"",ROUND(MOD($D214-$C214,1)*24-IF($E214="",0,$E214),2)))</f>
        <v/>
      </c>
      <c r="G214" s="25" t="n">
        <v>8</v>
      </c>
      <c r="H214" s="8">
        <f>IF(OR($A214="",$B214="",$F214=""),"",ROUND(IF($F$3="",0,MAX(0,$F214-$F$3))+IF($D$3="",0,MIN($F214-IF($F$3="",0,MAX(0,$F214-$F$3)),MAX(0,SUMIFS($F$5:$F$304,$A$5:$A$304,$A214&amp;"",$B$5:$B$304,"&gt;="&amp;($B214-MOD(WEEKDAY($B214)-$B$3,7)),$B$5:$B$304,"&lt;="&amp;$B214)-IF($F$3="",0,SUMIFS($F$5:$F$304,$A$5:$A$304,$A214&amp;"",$B$5:$B$304,"&gt;="&amp;($B214-MOD(WEEKDAY($B214)-$B$3,7)),$B$5:$B$304,"&lt;="&amp;$B214,$F$5:$F$304,"&gt;"&amp;$F$3)-$F$3*COUNTIFS($A$5:$A$304,$A214&amp;"",$B$5:$B$304,"&gt;="&amp;($B214-MOD(WEEKDAY($B214)-$B$3,7)),$B$5:$B$304,"&lt;="&amp;$B214,$F$5:$F$304,"&gt;"&amp;$F$3))-$D$3))),2))</f>
        <v/>
      </c>
      <c r="I214" s="26" t="n"/>
      <c r="J214" s="27">
        <f>IF(AND($A214="",$C214="",$D214=""),"",IF(OR($C214&gt;=1,$D214&gt;=1),"⚠ type the time with a colon: 9:00 AM, not 9",IF(AND($C214&lt;&gt;"",$C214=$D214),"⚠ clock-in equals clock-out: the shift adds 0 h",IF(AND($C214&lt;&gt;"",$D214&lt;&gt;"",IF($E214="",0,$E214)&gt;MOD($D214-$C214,1)*24),"⚠ the break is longer than the shift",IF(AND($A214&lt;&gt;"",COUNTIF('Monthly OT Summary'!$A$6:$A$35,$A214&amp;"")=0),"⚠ name not in Monthly OT Summary: its hours are not added","")))))</f>
        <v/>
      </c>
    </row>
    <row r="215">
      <c r="A215" s="21" t="n"/>
      <c r="B215" s="40" t="n"/>
      <c r="C215" s="41" t="n"/>
      <c r="D215" s="41" t="n"/>
      <c r="E215" s="24" t="n"/>
      <c r="F215" s="8">
        <f>IF(OR($C215="",$D215=""),"",IF(OR($C215&gt;=1,$D215&gt;=1,$C215=$D215,IF($E215="",0,$E215)&gt;MOD($D215-$C215,1)*24),"",ROUND(MOD($D215-$C215,1)*24-IF($E215="",0,$E215),2)))</f>
        <v/>
      </c>
      <c r="G215" s="25" t="n">
        <v>8</v>
      </c>
      <c r="H215" s="8">
        <f>IF(OR($A215="",$B215="",$F215=""),"",ROUND(IF($F$3="",0,MAX(0,$F215-$F$3))+IF($D$3="",0,MIN($F215-IF($F$3="",0,MAX(0,$F215-$F$3)),MAX(0,SUMIFS($F$5:$F$304,$A$5:$A$304,$A215&amp;"",$B$5:$B$304,"&gt;="&amp;($B215-MOD(WEEKDAY($B215)-$B$3,7)),$B$5:$B$304,"&lt;="&amp;$B215)-IF($F$3="",0,SUMIFS($F$5:$F$304,$A$5:$A$304,$A215&amp;"",$B$5:$B$304,"&gt;="&amp;($B215-MOD(WEEKDAY($B215)-$B$3,7)),$B$5:$B$304,"&lt;="&amp;$B215,$F$5:$F$304,"&gt;"&amp;$F$3)-$F$3*COUNTIFS($A$5:$A$304,$A215&amp;"",$B$5:$B$304,"&gt;="&amp;($B215-MOD(WEEKDAY($B215)-$B$3,7)),$B$5:$B$304,"&lt;="&amp;$B215,$F$5:$F$304,"&gt;"&amp;$F$3))-$D$3))),2))</f>
        <v/>
      </c>
      <c r="I215" s="26" t="n"/>
      <c r="J215" s="27">
        <f>IF(AND($A215="",$C215="",$D215=""),"",IF(OR($C215&gt;=1,$D215&gt;=1),"⚠ type the time with a colon: 9:00 AM, not 9",IF(AND($C215&lt;&gt;"",$C215=$D215),"⚠ clock-in equals clock-out: the shift adds 0 h",IF(AND($C215&lt;&gt;"",$D215&lt;&gt;"",IF($E215="",0,$E215)&gt;MOD($D215-$C215,1)*24),"⚠ the break is longer than the shift",IF(AND($A215&lt;&gt;"",COUNTIF('Monthly OT Summary'!$A$6:$A$35,$A215&amp;"")=0),"⚠ name not in Monthly OT Summary: its hours are not added","")))))</f>
        <v/>
      </c>
    </row>
    <row r="216">
      <c r="A216" s="21" t="n"/>
      <c r="B216" s="40" t="n"/>
      <c r="C216" s="41" t="n"/>
      <c r="D216" s="41" t="n"/>
      <c r="E216" s="24" t="n"/>
      <c r="F216" s="8">
        <f>IF(OR($C216="",$D216=""),"",IF(OR($C216&gt;=1,$D216&gt;=1,$C216=$D216,IF($E216="",0,$E216)&gt;MOD($D216-$C216,1)*24),"",ROUND(MOD($D216-$C216,1)*24-IF($E216="",0,$E216),2)))</f>
        <v/>
      </c>
      <c r="G216" s="25" t="n">
        <v>8</v>
      </c>
      <c r="H216" s="8">
        <f>IF(OR($A216="",$B216="",$F216=""),"",ROUND(IF($F$3="",0,MAX(0,$F216-$F$3))+IF($D$3="",0,MIN($F216-IF($F$3="",0,MAX(0,$F216-$F$3)),MAX(0,SUMIFS($F$5:$F$304,$A$5:$A$304,$A216&amp;"",$B$5:$B$304,"&gt;="&amp;($B216-MOD(WEEKDAY($B216)-$B$3,7)),$B$5:$B$304,"&lt;="&amp;$B216)-IF($F$3="",0,SUMIFS($F$5:$F$304,$A$5:$A$304,$A216&amp;"",$B$5:$B$304,"&gt;="&amp;($B216-MOD(WEEKDAY($B216)-$B$3,7)),$B$5:$B$304,"&lt;="&amp;$B216,$F$5:$F$304,"&gt;"&amp;$F$3)-$F$3*COUNTIFS($A$5:$A$304,$A216&amp;"",$B$5:$B$304,"&gt;="&amp;($B216-MOD(WEEKDAY($B216)-$B$3,7)),$B$5:$B$304,"&lt;="&amp;$B216,$F$5:$F$304,"&gt;"&amp;$F$3))-$D$3))),2))</f>
        <v/>
      </c>
      <c r="I216" s="26" t="n"/>
      <c r="J216" s="27">
        <f>IF(AND($A216="",$C216="",$D216=""),"",IF(OR($C216&gt;=1,$D216&gt;=1),"⚠ type the time with a colon: 9:00 AM, not 9",IF(AND($C216&lt;&gt;"",$C216=$D216),"⚠ clock-in equals clock-out: the shift adds 0 h",IF(AND($C216&lt;&gt;"",$D216&lt;&gt;"",IF($E216="",0,$E216)&gt;MOD($D216-$C216,1)*24),"⚠ the break is longer than the shift",IF(AND($A216&lt;&gt;"",COUNTIF('Monthly OT Summary'!$A$6:$A$35,$A216&amp;"")=0),"⚠ name not in Monthly OT Summary: its hours are not added","")))))</f>
        <v/>
      </c>
    </row>
    <row r="217">
      <c r="A217" s="21" t="n"/>
      <c r="B217" s="40" t="n"/>
      <c r="C217" s="41" t="n"/>
      <c r="D217" s="41" t="n"/>
      <c r="E217" s="24" t="n"/>
      <c r="F217" s="8">
        <f>IF(OR($C217="",$D217=""),"",IF(OR($C217&gt;=1,$D217&gt;=1,$C217=$D217,IF($E217="",0,$E217)&gt;MOD($D217-$C217,1)*24),"",ROUND(MOD($D217-$C217,1)*24-IF($E217="",0,$E217),2)))</f>
        <v/>
      </c>
      <c r="G217" s="25" t="n">
        <v>8</v>
      </c>
      <c r="H217" s="8">
        <f>IF(OR($A217="",$B217="",$F217=""),"",ROUND(IF($F$3="",0,MAX(0,$F217-$F$3))+IF($D$3="",0,MIN($F217-IF($F$3="",0,MAX(0,$F217-$F$3)),MAX(0,SUMIFS($F$5:$F$304,$A$5:$A$304,$A217&amp;"",$B$5:$B$304,"&gt;="&amp;($B217-MOD(WEEKDAY($B217)-$B$3,7)),$B$5:$B$304,"&lt;="&amp;$B217)-IF($F$3="",0,SUMIFS($F$5:$F$304,$A$5:$A$304,$A217&amp;"",$B$5:$B$304,"&gt;="&amp;($B217-MOD(WEEKDAY($B217)-$B$3,7)),$B$5:$B$304,"&lt;="&amp;$B217,$F$5:$F$304,"&gt;"&amp;$F$3)-$F$3*COUNTIFS($A$5:$A$304,$A217&amp;"",$B$5:$B$304,"&gt;="&amp;($B217-MOD(WEEKDAY($B217)-$B$3,7)),$B$5:$B$304,"&lt;="&amp;$B217,$F$5:$F$304,"&gt;"&amp;$F$3))-$D$3))),2))</f>
        <v/>
      </c>
      <c r="I217" s="26" t="n"/>
      <c r="J217" s="27">
        <f>IF(AND($A217="",$C217="",$D217=""),"",IF(OR($C217&gt;=1,$D217&gt;=1),"⚠ type the time with a colon: 9:00 AM, not 9",IF(AND($C217&lt;&gt;"",$C217=$D217),"⚠ clock-in equals clock-out: the shift adds 0 h",IF(AND($C217&lt;&gt;"",$D217&lt;&gt;"",IF($E217="",0,$E217)&gt;MOD($D217-$C217,1)*24),"⚠ the break is longer than the shift",IF(AND($A217&lt;&gt;"",COUNTIF('Monthly OT Summary'!$A$6:$A$35,$A217&amp;"")=0),"⚠ name not in Monthly OT Summary: its hours are not added","")))))</f>
        <v/>
      </c>
    </row>
    <row r="218">
      <c r="A218" s="21" t="n"/>
      <c r="B218" s="40" t="n"/>
      <c r="C218" s="41" t="n"/>
      <c r="D218" s="41" t="n"/>
      <c r="E218" s="24" t="n"/>
      <c r="F218" s="8">
        <f>IF(OR($C218="",$D218=""),"",IF(OR($C218&gt;=1,$D218&gt;=1,$C218=$D218,IF($E218="",0,$E218)&gt;MOD($D218-$C218,1)*24),"",ROUND(MOD($D218-$C218,1)*24-IF($E218="",0,$E218),2)))</f>
        <v/>
      </c>
      <c r="G218" s="25" t="n">
        <v>8</v>
      </c>
      <c r="H218" s="8">
        <f>IF(OR($A218="",$B218="",$F218=""),"",ROUND(IF($F$3="",0,MAX(0,$F218-$F$3))+IF($D$3="",0,MIN($F218-IF($F$3="",0,MAX(0,$F218-$F$3)),MAX(0,SUMIFS($F$5:$F$304,$A$5:$A$304,$A218&amp;"",$B$5:$B$304,"&gt;="&amp;($B218-MOD(WEEKDAY($B218)-$B$3,7)),$B$5:$B$304,"&lt;="&amp;$B218)-IF($F$3="",0,SUMIFS($F$5:$F$304,$A$5:$A$304,$A218&amp;"",$B$5:$B$304,"&gt;="&amp;($B218-MOD(WEEKDAY($B218)-$B$3,7)),$B$5:$B$304,"&lt;="&amp;$B218,$F$5:$F$304,"&gt;"&amp;$F$3)-$F$3*COUNTIFS($A$5:$A$304,$A218&amp;"",$B$5:$B$304,"&gt;="&amp;($B218-MOD(WEEKDAY($B218)-$B$3,7)),$B$5:$B$304,"&lt;="&amp;$B218,$F$5:$F$304,"&gt;"&amp;$F$3))-$D$3))),2))</f>
        <v/>
      </c>
      <c r="I218" s="26" t="n"/>
      <c r="J218" s="27">
        <f>IF(AND($A218="",$C218="",$D218=""),"",IF(OR($C218&gt;=1,$D218&gt;=1),"⚠ type the time with a colon: 9:00 AM, not 9",IF(AND($C218&lt;&gt;"",$C218=$D218),"⚠ clock-in equals clock-out: the shift adds 0 h",IF(AND($C218&lt;&gt;"",$D218&lt;&gt;"",IF($E218="",0,$E218)&gt;MOD($D218-$C218,1)*24),"⚠ the break is longer than the shift",IF(AND($A218&lt;&gt;"",COUNTIF('Monthly OT Summary'!$A$6:$A$35,$A218&amp;"")=0),"⚠ name not in Monthly OT Summary: its hours are not added","")))))</f>
        <v/>
      </c>
    </row>
    <row r="219">
      <c r="A219" s="21" t="n"/>
      <c r="B219" s="40" t="n"/>
      <c r="C219" s="41" t="n"/>
      <c r="D219" s="41" t="n"/>
      <c r="E219" s="24" t="n"/>
      <c r="F219" s="8">
        <f>IF(OR($C219="",$D219=""),"",IF(OR($C219&gt;=1,$D219&gt;=1,$C219=$D219,IF($E219="",0,$E219)&gt;MOD($D219-$C219,1)*24),"",ROUND(MOD($D219-$C219,1)*24-IF($E219="",0,$E219),2)))</f>
        <v/>
      </c>
      <c r="G219" s="25" t="n">
        <v>8</v>
      </c>
      <c r="H219" s="8">
        <f>IF(OR($A219="",$B219="",$F219=""),"",ROUND(IF($F$3="",0,MAX(0,$F219-$F$3))+IF($D$3="",0,MIN($F219-IF($F$3="",0,MAX(0,$F219-$F$3)),MAX(0,SUMIFS($F$5:$F$304,$A$5:$A$304,$A219&amp;"",$B$5:$B$304,"&gt;="&amp;($B219-MOD(WEEKDAY($B219)-$B$3,7)),$B$5:$B$304,"&lt;="&amp;$B219)-IF($F$3="",0,SUMIFS($F$5:$F$304,$A$5:$A$304,$A219&amp;"",$B$5:$B$304,"&gt;="&amp;($B219-MOD(WEEKDAY($B219)-$B$3,7)),$B$5:$B$304,"&lt;="&amp;$B219,$F$5:$F$304,"&gt;"&amp;$F$3)-$F$3*COUNTIFS($A$5:$A$304,$A219&amp;"",$B$5:$B$304,"&gt;="&amp;($B219-MOD(WEEKDAY($B219)-$B$3,7)),$B$5:$B$304,"&lt;="&amp;$B219,$F$5:$F$304,"&gt;"&amp;$F$3))-$D$3))),2))</f>
        <v/>
      </c>
      <c r="I219" s="26" t="n"/>
      <c r="J219" s="27">
        <f>IF(AND($A219="",$C219="",$D219=""),"",IF(OR($C219&gt;=1,$D219&gt;=1),"⚠ type the time with a colon: 9:00 AM, not 9",IF(AND($C219&lt;&gt;"",$C219=$D219),"⚠ clock-in equals clock-out: the shift adds 0 h",IF(AND($C219&lt;&gt;"",$D219&lt;&gt;"",IF($E219="",0,$E219)&gt;MOD($D219-$C219,1)*24),"⚠ the break is longer than the shift",IF(AND($A219&lt;&gt;"",COUNTIF('Monthly OT Summary'!$A$6:$A$35,$A219&amp;"")=0),"⚠ name not in Monthly OT Summary: its hours are not added","")))))</f>
        <v/>
      </c>
    </row>
    <row r="220">
      <c r="A220" s="21" t="n"/>
      <c r="B220" s="40" t="n"/>
      <c r="C220" s="41" t="n"/>
      <c r="D220" s="41" t="n"/>
      <c r="E220" s="24" t="n"/>
      <c r="F220" s="8">
        <f>IF(OR($C220="",$D220=""),"",IF(OR($C220&gt;=1,$D220&gt;=1,$C220=$D220,IF($E220="",0,$E220)&gt;MOD($D220-$C220,1)*24),"",ROUND(MOD($D220-$C220,1)*24-IF($E220="",0,$E220),2)))</f>
        <v/>
      </c>
      <c r="G220" s="25" t="n">
        <v>8</v>
      </c>
      <c r="H220" s="8">
        <f>IF(OR($A220="",$B220="",$F220=""),"",ROUND(IF($F$3="",0,MAX(0,$F220-$F$3))+IF($D$3="",0,MIN($F220-IF($F$3="",0,MAX(0,$F220-$F$3)),MAX(0,SUMIFS($F$5:$F$304,$A$5:$A$304,$A220&amp;"",$B$5:$B$304,"&gt;="&amp;($B220-MOD(WEEKDAY($B220)-$B$3,7)),$B$5:$B$304,"&lt;="&amp;$B220)-IF($F$3="",0,SUMIFS($F$5:$F$304,$A$5:$A$304,$A220&amp;"",$B$5:$B$304,"&gt;="&amp;($B220-MOD(WEEKDAY($B220)-$B$3,7)),$B$5:$B$304,"&lt;="&amp;$B220,$F$5:$F$304,"&gt;"&amp;$F$3)-$F$3*COUNTIFS($A$5:$A$304,$A220&amp;"",$B$5:$B$304,"&gt;="&amp;($B220-MOD(WEEKDAY($B220)-$B$3,7)),$B$5:$B$304,"&lt;="&amp;$B220,$F$5:$F$304,"&gt;"&amp;$F$3))-$D$3))),2))</f>
        <v/>
      </c>
      <c r="I220" s="26" t="n"/>
      <c r="J220" s="27">
        <f>IF(AND($A220="",$C220="",$D220=""),"",IF(OR($C220&gt;=1,$D220&gt;=1),"⚠ type the time with a colon: 9:00 AM, not 9",IF(AND($C220&lt;&gt;"",$C220=$D220),"⚠ clock-in equals clock-out: the shift adds 0 h",IF(AND($C220&lt;&gt;"",$D220&lt;&gt;"",IF($E220="",0,$E220)&gt;MOD($D220-$C220,1)*24),"⚠ the break is longer than the shift",IF(AND($A220&lt;&gt;"",COUNTIF('Monthly OT Summary'!$A$6:$A$35,$A220&amp;"")=0),"⚠ name not in Monthly OT Summary: its hours are not added","")))))</f>
        <v/>
      </c>
    </row>
    <row r="221">
      <c r="A221" s="21" t="n"/>
      <c r="B221" s="40" t="n"/>
      <c r="C221" s="41" t="n"/>
      <c r="D221" s="41" t="n"/>
      <c r="E221" s="24" t="n"/>
      <c r="F221" s="8">
        <f>IF(OR($C221="",$D221=""),"",IF(OR($C221&gt;=1,$D221&gt;=1,$C221=$D221,IF($E221="",0,$E221)&gt;MOD($D221-$C221,1)*24),"",ROUND(MOD($D221-$C221,1)*24-IF($E221="",0,$E221),2)))</f>
        <v/>
      </c>
      <c r="G221" s="25" t="n">
        <v>8</v>
      </c>
      <c r="H221" s="8">
        <f>IF(OR($A221="",$B221="",$F221=""),"",ROUND(IF($F$3="",0,MAX(0,$F221-$F$3))+IF($D$3="",0,MIN($F221-IF($F$3="",0,MAX(0,$F221-$F$3)),MAX(0,SUMIFS($F$5:$F$304,$A$5:$A$304,$A221&amp;"",$B$5:$B$304,"&gt;="&amp;($B221-MOD(WEEKDAY($B221)-$B$3,7)),$B$5:$B$304,"&lt;="&amp;$B221)-IF($F$3="",0,SUMIFS($F$5:$F$304,$A$5:$A$304,$A221&amp;"",$B$5:$B$304,"&gt;="&amp;($B221-MOD(WEEKDAY($B221)-$B$3,7)),$B$5:$B$304,"&lt;="&amp;$B221,$F$5:$F$304,"&gt;"&amp;$F$3)-$F$3*COUNTIFS($A$5:$A$304,$A221&amp;"",$B$5:$B$304,"&gt;="&amp;($B221-MOD(WEEKDAY($B221)-$B$3,7)),$B$5:$B$304,"&lt;="&amp;$B221,$F$5:$F$304,"&gt;"&amp;$F$3))-$D$3))),2))</f>
        <v/>
      </c>
      <c r="I221" s="26" t="n"/>
      <c r="J221" s="27">
        <f>IF(AND($A221="",$C221="",$D221=""),"",IF(OR($C221&gt;=1,$D221&gt;=1),"⚠ type the time with a colon: 9:00 AM, not 9",IF(AND($C221&lt;&gt;"",$C221=$D221),"⚠ clock-in equals clock-out: the shift adds 0 h",IF(AND($C221&lt;&gt;"",$D221&lt;&gt;"",IF($E221="",0,$E221)&gt;MOD($D221-$C221,1)*24),"⚠ the break is longer than the shift",IF(AND($A221&lt;&gt;"",COUNTIF('Monthly OT Summary'!$A$6:$A$35,$A221&amp;"")=0),"⚠ name not in Monthly OT Summary: its hours are not added","")))))</f>
        <v/>
      </c>
    </row>
    <row r="222">
      <c r="A222" s="21" t="n"/>
      <c r="B222" s="40" t="n"/>
      <c r="C222" s="41" t="n"/>
      <c r="D222" s="41" t="n"/>
      <c r="E222" s="24" t="n"/>
      <c r="F222" s="8">
        <f>IF(OR($C222="",$D222=""),"",IF(OR($C222&gt;=1,$D222&gt;=1,$C222=$D222,IF($E222="",0,$E222)&gt;MOD($D222-$C222,1)*24),"",ROUND(MOD($D222-$C222,1)*24-IF($E222="",0,$E222),2)))</f>
        <v/>
      </c>
      <c r="G222" s="25" t="n">
        <v>8</v>
      </c>
      <c r="H222" s="8">
        <f>IF(OR($A222="",$B222="",$F222=""),"",ROUND(IF($F$3="",0,MAX(0,$F222-$F$3))+IF($D$3="",0,MIN($F222-IF($F$3="",0,MAX(0,$F222-$F$3)),MAX(0,SUMIFS($F$5:$F$304,$A$5:$A$304,$A222&amp;"",$B$5:$B$304,"&gt;="&amp;($B222-MOD(WEEKDAY($B222)-$B$3,7)),$B$5:$B$304,"&lt;="&amp;$B222)-IF($F$3="",0,SUMIFS($F$5:$F$304,$A$5:$A$304,$A222&amp;"",$B$5:$B$304,"&gt;="&amp;($B222-MOD(WEEKDAY($B222)-$B$3,7)),$B$5:$B$304,"&lt;="&amp;$B222,$F$5:$F$304,"&gt;"&amp;$F$3)-$F$3*COUNTIFS($A$5:$A$304,$A222&amp;"",$B$5:$B$304,"&gt;="&amp;($B222-MOD(WEEKDAY($B222)-$B$3,7)),$B$5:$B$304,"&lt;="&amp;$B222,$F$5:$F$304,"&gt;"&amp;$F$3))-$D$3))),2))</f>
        <v/>
      </c>
      <c r="I222" s="26" t="n"/>
      <c r="J222" s="27">
        <f>IF(AND($A222="",$C222="",$D222=""),"",IF(OR($C222&gt;=1,$D222&gt;=1),"⚠ type the time with a colon: 9:00 AM, not 9",IF(AND($C222&lt;&gt;"",$C222=$D222),"⚠ clock-in equals clock-out: the shift adds 0 h",IF(AND($C222&lt;&gt;"",$D222&lt;&gt;"",IF($E222="",0,$E222)&gt;MOD($D222-$C222,1)*24),"⚠ the break is longer than the shift",IF(AND($A222&lt;&gt;"",COUNTIF('Monthly OT Summary'!$A$6:$A$35,$A222&amp;"")=0),"⚠ name not in Monthly OT Summary: its hours are not added","")))))</f>
        <v/>
      </c>
    </row>
    <row r="223">
      <c r="A223" s="21" t="n"/>
      <c r="B223" s="40" t="n"/>
      <c r="C223" s="41" t="n"/>
      <c r="D223" s="41" t="n"/>
      <c r="E223" s="24" t="n"/>
      <c r="F223" s="8">
        <f>IF(OR($C223="",$D223=""),"",IF(OR($C223&gt;=1,$D223&gt;=1,$C223=$D223,IF($E223="",0,$E223)&gt;MOD($D223-$C223,1)*24),"",ROUND(MOD($D223-$C223,1)*24-IF($E223="",0,$E223),2)))</f>
        <v/>
      </c>
      <c r="G223" s="25" t="n">
        <v>8</v>
      </c>
      <c r="H223" s="8">
        <f>IF(OR($A223="",$B223="",$F223=""),"",ROUND(IF($F$3="",0,MAX(0,$F223-$F$3))+IF($D$3="",0,MIN($F223-IF($F$3="",0,MAX(0,$F223-$F$3)),MAX(0,SUMIFS($F$5:$F$304,$A$5:$A$304,$A223&amp;"",$B$5:$B$304,"&gt;="&amp;($B223-MOD(WEEKDAY($B223)-$B$3,7)),$B$5:$B$304,"&lt;="&amp;$B223)-IF($F$3="",0,SUMIFS($F$5:$F$304,$A$5:$A$304,$A223&amp;"",$B$5:$B$304,"&gt;="&amp;($B223-MOD(WEEKDAY($B223)-$B$3,7)),$B$5:$B$304,"&lt;="&amp;$B223,$F$5:$F$304,"&gt;"&amp;$F$3)-$F$3*COUNTIFS($A$5:$A$304,$A223&amp;"",$B$5:$B$304,"&gt;="&amp;($B223-MOD(WEEKDAY($B223)-$B$3,7)),$B$5:$B$304,"&lt;="&amp;$B223,$F$5:$F$304,"&gt;"&amp;$F$3))-$D$3))),2))</f>
        <v/>
      </c>
      <c r="I223" s="26" t="n"/>
      <c r="J223" s="27">
        <f>IF(AND($A223="",$C223="",$D223=""),"",IF(OR($C223&gt;=1,$D223&gt;=1),"⚠ type the time with a colon: 9:00 AM, not 9",IF(AND($C223&lt;&gt;"",$C223=$D223),"⚠ clock-in equals clock-out: the shift adds 0 h",IF(AND($C223&lt;&gt;"",$D223&lt;&gt;"",IF($E223="",0,$E223)&gt;MOD($D223-$C223,1)*24),"⚠ the break is longer than the shift",IF(AND($A223&lt;&gt;"",COUNTIF('Monthly OT Summary'!$A$6:$A$35,$A223&amp;"")=0),"⚠ name not in Monthly OT Summary: its hours are not added","")))))</f>
        <v/>
      </c>
    </row>
    <row r="224">
      <c r="A224" s="21" t="n"/>
      <c r="B224" s="40" t="n"/>
      <c r="C224" s="41" t="n"/>
      <c r="D224" s="41" t="n"/>
      <c r="E224" s="24" t="n"/>
      <c r="F224" s="8">
        <f>IF(OR($C224="",$D224=""),"",IF(OR($C224&gt;=1,$D224&gt;=1,$C224=$D224,IF($E224="",0,$E224)&gt;MOD($D224-$C224,1)*24),"",ROUND(MOD($D224-$C224,1)*24-IF($E224="",0,$E224),2)))</f>
        <v/>
      </c>
      <c r="G224" s="25" t="n">
        <v>8</v>
      </c>
      <c r="H224" s="8">
        <f>IF(OR($A224="",$B224="",$F224=""),"",ROUND(IF($F$3="",0,MAX(0,$F224-$F$3))+IF($D$3="",0,MIN($F224-IF($F$3="",0,MAX(0,$F224-$F$3)),MAX(0,SUMIFS($F$5:$F$304,$A$5:$A$304,$A224&amp;"",$B$5:$B$304,"&gt;="&amp;($B224-MOD(WEEKDAY($B224)-$B$3,7)),$B$5:$B$304,"&lt;="&amp;$B224)-IF($F$3="",0,SUMIFS($F$5:$F$304,$A$5:$A$304,$A224&amp;"",$B$5:$B$304,"&gt;="&amp;($B224-MOD(WEEKDAY($B224)-$B$3,7)),$B$5:$B$304,"&lt;="&amp;$B224,$F$5:$F$304,"&gt;"&amp;$F$3)-$F$3*COUNTIFS($A$5:$A$304,$A224&amp;"",$B$5:$B$304,"&gt;="&amp;($B224-MOD(WEEKDAY($B224)-$B$3,7)),$B$5:$B$304,"&lt;="&amp;$B224,$F$5:$F$304,"&gt;"&amp;$F$3))-$D$3))),2))</f>
        <v/>
      </c>
      <c r="I224" s="26" t="n"/>
      <c r="J224" s="27">
        <f>IF(AND($A224="",$C224="",$D224=""),"",IF(OR($C224&gt;=1,$D224&gt;=1),"⚠ type the time with a colon: 9:00 AM, not 9",IF(AND($C224&lt;&gt;"",$C224=$D224),"⚠ clock-in equals clock-out: the shift adds 0 h",IF(AND($C224&lt;&gt;"",$D224&lt;&gt;"",IF($E224="",0,$E224)&gt;MOD($D224-$C224,1)*24),"⚠ the break is longer than the shift",IF(AND($A224&lt;&gt;"",COUNTIF('Monthly OT Summary'!$A$6:$A$35,$A224&amp;"")=0),"⚠ name not in Monthly OT Summary: its hours are not added","")))))</f>
        <v/>
      </c>
    </row>
    <row r="225">
      <c r="A225" s="21" t="n"/>
      <c r="B225" s="40" t="n"/>
      <c r="C225" s="41" t="n"/>
      <c r="D225" s="41" t="n"/>
      <c r="E225" s="24" t="n"/>
      <c r="F225" s="8">
        <f>IF(OR($C225="",$D225=""),"",IF(OR($C225&gt;=1,$D225&gt;=1,$C225=$D225,IF($E225="",0,$E225)&gt;MOD($D225-$C225,1)*24),"",ROUND(MOD($D225-$C225,1)*24-IF($E225="",0,$E225),2)))</f>
        <v/>
      </c>
      <c r="G225" s="25" t="n">
        <v>8</v>
      </c>
      <c r="H225" s="8">
        <f>IF(OR($A225="",$B225="",$F225=""),"",ROUND(IF($F$3="",0,MAX(0,$F225-$F$3))+IF($D$3="",0,MIN($F225-IF($F$3="",0,MAX(0,$F225-$F$3)),MAX(0,SUMIFS($F$5:$F$304,$A$5:$A$304,$A225&amp;"",$B$5:$B$304,"&gt;="&amp;($B225-MOD(WEEKDAY($B225)-$B$3,7)),$B$5:$B$304,"&lt;="&amp;$B225)-IF($F$3="",0,SUMIFS($F$5:$F$304,$A$5:$A$304,$A225&amp;"",$B$5:$B$304,"&gt;="&amp;($B225-MOD(WEEKDAY($B225)-$B$3,7)),$B$5:$B$304,"&lt;="&amp;$B225,$F$5:$F$304,"&gt;"&amp;$F$3)-$F$3*COUNTIFS($A$5:$A$304,$A225&amp;"",$B$5:$B$304,"&gt;="&amp;($B225-MOD(WEEKDAY($B225)-$B$3,7)),$B$5:$B$304,"&lt;="&amp;$B225,$F$5:$F$304,"&gt;"&amp;$F$3))-$D$3))),2))</f>
        <v/>
      </c>
      <c r="I225" s="26" t="n"/>
      <c r="J225" s="27">
        <f>IF(AND($A225="",$C225="",$D225=""),"",IF(OR($C225&gt;=1,$D225&gt;=1),"⚠ type the time with a colon: 9:00 AM, not 9",IF(AND($C225&lt;&gt;"",$C225=$D225),"⚠ clock-in equals clock-out: the shift adds 0 h",IF(AND($C225&lt;&gt;"",$D225&lt;&gt;"",IF($E225="",0,$E225)&gt;MOD($D225-$C225,1)*24),"⚠ the break is longer than the shift",IF(AND($A225&lt;&gt;"",COUNTIF('Monthly OT Summary'!$A$6:$A$35,$A225&amp;"")=0),"⚠ name not in Monthly OT Summary: its hours are not added","")))))</f>
        <v/>
      </c>
    </row>
    <row r="226">
      <c r="A226" s="21" t="n"/>
      <c r="B226" s="40" t="n"/>
      <c r="C226" s="41" t="n"/>
      <c r="D226" s="41" t="n"/>
      <c r="E226" s="24" t="n"/>
      <c r="F226" s="8">
        <f>IF(OR($C226="",$D226=""),"",IF(OR($C226&gt;=1,$D226&gt;=1,$C226=$D226,IF($E226="",0,$E226)&gt;MOD($D226-$C226,1)*24),"",ROUND(MOD($D226-$C226,1)*24-IF($E226="",0,$E226),2)))</f>
        <v/>
      </c>
      <c r="G226" s="25" t="n">
        <v>8</v>
      </c>
      <c r="H226" s="8">
        <f>IF(OR($A226="",$B226="",$F226=""),"",ROUND(IF($F$3="",0,MAX(0,$F226-$F$3))+IF($D$3="",0,MIN($F226-IF($F$3="",0,MAX(0,$F226-$F$3)),MAX(0,SUMIFS($F$5:$F$304,$A$5:$A$304,$A226&amp;"",$B$5:$B$304,"&gt;="&amp;($B226-MOD(WEEKDAY($B226)-$B$3,7)),$B$5:$B$304,"&lt;="&amp;$B226)-IF($F$3="",0,SUMIFS($F$5:$F$304,$A$5:$A$304,$A226&amp;"",$B$5:$B$304,"&gt;="&amp;($B226-MOD(WEEKDAY($B226)-$B$3,7)),$B$5:$B$304,"&lt;="&amp;$B226,$F$5:$F$304,"&gt;"&amp;$F$3)-$F$3*COUNTIFS($A$5:$A$304,$A226&amp;"",$B$5:$B$304,"&gt;="&amp;($B226-MOD(WEEKDAY($B226)-$B$3,7)),$B$5:$B$304,"&lt;="&amp;$B226,$F$5:$F$304,"&gt;"&amp;$F$3))-$D$3))),2))</f>
        <v/>
      </c>
      <c r="I226" s="26" t="n"/>
      <c r="J226" s="27">
        <f>IF(AND($A226="",$C226="",$D226=""),"",IF(OR($C226&gt;=1,$D226&gt;=1),"⚠ type the time with a colon: 9:00 AM, not 9",IF(AND($C226&lt;&gt;"",$C226=$D226),"⚠ clock-in equals clock-out: the shift adds 0 h",IF(AND($C226&lt;&gt;"",$D226&lt;&gt;"",IF($E226="",0,$E226)&gt;MOD($D226-$C226,1)*24),"⚠ the break is longer than the shift",IF(AND($A226&lt;&gt;"",COUNTIF('Monthly OT Summary'!$A$6:$A$35,$A226&amp;"")=0),"⚠ name not in Monthly OT Summary: its hours are not added","")))))</f>
        <v/>
      </c>
    </row>
    <row r="227">
      <c r="A227" s="21" t="n"/>
      <c r="B227" s="40" t="n"/>
      <c r="C227" s="41" t="n"/>
      <c r="D227" s="41" t="n"/>
      <c r="E227" s="24" t="n"/>
      <c r="F227" s="8">
        <f>IF(OR($C227="",$D227=""),"",IF(OR($C227&gt;=1,$D227&gt;=1,$C227=$D227,IF($E227="",0,$E227)&gt;MOD($D227-$C227,1)*24),"",ROUND(MOD($D227-$C227,1)*24-IF($E227="",0,$E227),2)))</f>
        <v/>
      </c>
      <c r="G227" s="25" t="n">
        <v>8</v>
      </c>
      <c r="H227" s="8">
        <f>IF(OR($A227="",$B227="",$F227=""),"",ROUND(IF($F$3="",0,MAX(0,$F227-$F$3))+IF($D$3="",0,MIN($F227-IF($F$3="",0,MAX(0,$F227-$F$3)),MAX(0,SUMIFS($F$5:$F$304,$A$5:$A$304,$A227&amp;"",$B$5:$B$304,"&gt;="&amp;($B227-MOD(WEEKDAY($B227)-$B$3,7)),$B$5:$B$304,"&lt;="&amp;$B227)-IF($F$3="",0,SUMIFS($F$5:$F$304,$A$5:$A$304,$A227&amp;"",$B$5:$B$304,"&gt;="&amp;($B227-MOD(WEEKDAY($B227)-$B$3,7)),$B$5:$B$304,"&lt;="&amp;$B227,$F$5:$F$304,"&gt;"&amp;$F$3)-$F$3*COUNTIFS($A$5:$A$304,$A227&amp;"",$B$5:$B$304,"&gt;="&amp;($B227-MOD(WEEKDAY($B227)-$B$3,7)),$B$5:$B$304,"&lt;="&amp;$B227,$F$5:$F$304,"&gt;"&amp;$F$3))-$D$3))),2))</f>
        <v/>
      </c>
      <c r="I227" s="26" t="n"/>
      <c r="J227" s="27">
        <f>IF(AND($A227="",$C227="",$D227=""),"",IF(OR($C227&gt;=1,$D227&gt;=1),"⚠ type the time with a colon: 9:00 AM, not 9",IF(AND($C227&lt;&gt;"",$C227=$D227),"⚠ clock-in equals clock-out: the shift adds 0 h",IF(AND($C227&lt;&gt;"",$D227&lt;&gt;"",IF($E227="",0,$E227)&gt;MOD($D227-$C227,1)*24),"⚠ the break is longer than the shift",IF(AND($A227&lt;&gt;"",COUNTIF('Monthly OT Summary'!$A$6:$A$35,$A227&amp;"")=0),"⚠ name not in Monthly OT Summary: its hours are not added","")))))</f>
        <v/>
      </c>
    </row>
    <row r="228">
      <c r="A228" s="21" t="n"/>
      <c r="B228" s="40" t="n"/>
      <c r="C228" s="41" t="n"/>
      <c r="D228" s="41" t="n"/>
      <c r="E228" s="24" t="n"/>
      <c r="F228" s="8">
        <f>IF(OR($C228="",$D228=""),"",IF(OR($C228&gt;=1,$D228&gt;=1,$C228=$D228,IF($E228="",0,$E228)&gt;MOD($D228-$C228,1)*24),"",ROUND(MOD($D228-$C228,1)*24-IF($E228="",0,$E228),2)))</f>
        <v/>
      </c>
      <c r="G228" s="25" t="n">
        <v>8</v>
      </c>
      <c r="H228" s="8">
        <f>IF(OR($A228="",$B228="",$F228=""),"",ROUND(IF($F$3="",0,MAX(0,$F228-$F$3))+IF($D$3="",0,MIN($F228-IF($F$3="",0,MAX(0,$F228-$F$3)),MAX(0,SUMIFS($F$5:$F$304,$A$5:$A$304,$A228&amp;"",$B$5:$B$304,"&gt;="&amp;($B228-MOD(WEEKDAY($B228)-$B$3,7)),$B$5:$B$304,"&lt;="&amp;$B228)-IF($F$3="",0,SUMIFS($F$5:$F$304,$A$5:$A$304,$A228&amp;"",$B$5:$B$304,"&gt;="&amp;($B228-MOD(WEEKDAY($B228)-$B$3,7)),$B$5:$B$304,"&lt;="&amp;$B228,$F$5:$F$304,"&gt;"&amp;$F$3)-$F$3*COUNTIFS($A$5:$A$304,$A228&amp;"",$B$5:$B$304,"&gt;="&amp;($B228-MOD(WEEKDAY($B228)-$B$3,7)),$B$5:$B$304,"&lt;="&amp;$B228,$F$5:$F$304,"&gt;"&amp;$F$3))-$D$3))),2))</f>
        <v/>
      </c>
      <c r="I228" s="26" t="n"/>
      <c r="J228" s="27">
        <f>IF(AND($A228="",$C228="",$D228=""),"",IF(OR($C228&gt;=1,$D228&gt;=1),"⚠ type the time with a colon: 9:00 AM, not 9",IF(AND($C228&lt;&gt;"",$C228=$D228),"⚠ clock-in equals clock-out: the shift adds 0 h",IF(AND($C228&lt;&gt;"",$D228&lt;&gt;"",IF($E228="",0,$E228)&gt;MOD($D228-$C228,1)*24),"⚠ the break is longer than the shift",IF(AND($A228&lt;&gt;"",COUNTIF('Monthly OT Summary'!$A$6:$A$35,$A228&amp;"")=0),"⚠ name not in Monthly OT Summary: its hours are not added","")))))</f>
        <v/>
      </c>
    </row>
    <row r="229">
      <c r="A229" s="21" t="n"/>
      <c r="B229" s="40" t="n"/>
      <c r="C229" s="41" t="n"/>
      <c r="D229" s="41" t="n"/>
      <c r="E229" s="24" t="n"/>
      <c r="F229" s="8">
        <f>IF(OR($C229="",$D229=""),"",IF(OR($C229&gt;=1,$D229&gt;=1,$C229=$D229,IF($E229="",0,$E229)&gt;MOD($D229-$C229,1)*24),"",ROUND(MOD($D229-$C229,1)*24-IF($E229="",0,$E229),2)))</f>
        <v/>
      </c>
      <c r="G229" s="25" t="n">
        <v>8</v>
      </c>
      <c r="H229" s="8">
        <f>IF(OR($A229="",$B229="",$F229=""),"",ROUND(IF($F$3="",0,MAX(0,$F229-$F$3))+IF($D$3="",0,MIN($F229-IF($F$3="",0,MAX(0,$F229-$F$3)),MAX(0,SUMIFS($F$5:$F$304,$A$5:$A$304,$A229&amp;"",$B$5:$B$304,"&gt;="&amp;($B229-MOD(WEEKDAY($B229)-$B$3,7)),$B$5:$B$304,"&lt;="&amp;$B229)-IF($F$3="",0,SUMIFS($F$5:$F$304,$A$5:$A$304,$A229&amp;"",$B$5:$B$304,"&gt;="&amp;($B229-MOD(WEEKDAY($B229)-$B$3,7)),$B$5:$B$304,"&lt;="&amp;$B229,$F$5:$F$304,"&gt;"&amp;$F$3)-$F$3*COUNTIFS($A$5:$A$304,$A229&amp;"",$B$5:$B$304,"&gt;="&amp;($B229-MOD(WEEKDAY($B229)-$B$3,7)),$B$5:$B$304,"&lt;="&amp;$B229,$F$5:$F$304,"&gt;"&amp;$F$3))-$D$3))),2))</f>
        <v/>
      </c>
      <c r="I229" s="26" t="n"/>
      <c r="J229" s="27">
        <f>IF(AND($A229="",$C229="",$D229=""),"",IF(OR($C229&gt;=1,$D229&gt;=1),"⚠ type the time with a colon: 9:00 AM, not 9",IF(AND($C229&lt;&gt;"",$C229=$D229),"⚠ clock-in equals clock-out: the shift adds 0 h",IF(AND($C229&lt;&gt;"",$D229&lt;&gt;"",IF($E229="",0,$E229)&gt;MOD($D229-$C229,1)*24),"⚠ the break is longer than the shift",IF(AND($A229&lt;&gt;"",COUNTIF('Monthly OT Summary'!$A$6:$A$35,$A229&amp;"")=0),"⚠ name not in Monthly OT Summary: its hours are not added","")))))</f>
        <v/>
      </c>
    </row>
    <row r="230">
      <c r="A230" s="21" t="n"/>
      <c r="B230" s="40" t="n"/>
      <c r="C230" s="41" t="n"/>
      <c r="D230" s="41" t="n"/>
      <c r="E230" s="24" t="n"/>
      <c r="F230" s="8">
        <f>IF(OR($C230="",$D230=""),"",IF(OR($C230&gt;=1,$D230&gt;=1,$C230=$D230,IF($E230="",0,$E230)&gt;MOD($D230-$C230,1)*24),"",ROUND(MOD($D230-$C230,1)*24-IF($E230="",0,$E230),2)))</f>
        <v/>
      </c>
      <c r="G230" s="25" t="n">
        <v>8</v>
      </c>
      <c r="H230" s="8">
        <f>IF(OR($A230="",$B230="",$F230=""),"",ROUND(IF($F$3="",0,MAX(0,$F230-$F$3))+IF($D$3="",0,MIN($F230-IF($F$3="",0,MAX(0,$F230-$F$3)),MAX(0,SUMIFS($F$5:$F$304,$A$5:$A$304,$A230&amp;"",$B$5:$B$304,"&gt;="&amp;($B230-MOD(WEEKDAY($B230)-$B$3,7)),$B$5:$B$304,"&lt;="&amp;$B230)-IF($F$3="",0,SUMIFS($F$5:$F$304,$A$5:$A$304,$A230&amp;"",$B$5:$B$304,"&gt;="&amp;($B230-MOD(WEEKDAY($B230)-$B$3,7)),$B$5:$B$304,"&lt;="&amp;$B230,$F$5:$F$304,"&gt;"&amp;$F$3)-$F$3*COUNTIFS($A$5:$A$304,$A230&amp;"",$B$5:$B$304,"&gt;="&amp;($B230-MOD(WEEKDAY($B230)-$B$3,7)),$B$5:$B$304,"&lt;="&amp;$B230,$F$5:$F$304,"&gt;"&amp;$F$3))-$D$3))),2))</f>
        <v/>
      </c>
      <c r="I230" s="26" t="n"/>
      <c r="J230" s="27">
        <f>IF(AND($A230="",$C230="",$D230=""),"",IF(OR($C230&gt;=1,$D230&gt;=1),"⚠ type the time with a colon: 9:00 AM, not 9",IF(AND($C230&lt;&gt;"",$C230=$D230),"⚠ clock-in equals clock-out: the shift adds 0 h",IF(AND($C230&lt;&gt;"",$D230&lt;&gt;"",IF($E230="",0,$E230)&gt;MOD($D230-$C230,1)*24),"⚠ the break is longer than the shift",IF(AND($A230&lt;&gt;"",COUNTIF('Monthly OT Summary'!$A$6:$A$35,$A230&amp;"")=0),"⚠ name not in Monthly OT Summary: its hours are not added","")))))</f>
        <v/>
      </c>
    </row>
    <row r="231">
      <c r="A231" s="21" t="n"/>
      <c r="B231" s="40" t="n"/>
      <c r="C231" s="41" t="n"/>
      <c r="D231" s="41" t="n"/>
      <c r="E231" s="24" t="n"/>
      <c r="F231" s="8">
        <f>IF(OR($C231="",$D231=""),"",IF(OR($C231&gt;=1,$D231&gt;=1,$C231=$D231,IF($E231="",0,$E231)&gt;MOD($D231-$C231,1)*24),"",ROUND(MOD($D231-$C231,1)*24-IF($E231="",0,$E231),2)))</f>
        <v/>
      </c>
      <c r="G231" s="25" t="n">
        <v>8</v>
      </c>
      <c r="H231" s="8">
        <f>IF(OR($A231="",$B231="",$F231=""),"",ROUND(IF($F$3="",0,MAX(0,$F231-$F$3))+IF($D$3="",0,MIN($F231-IF($F$3="",0,MAX(0,$F231-$F$3)),MAX(0,SUMIFS($F$5:$F$304,$A$5:$A$304,$A231&amp;"",$B$5:$B$304,"&gt;="&amp;($B231-MOD(WEEKDAY($B231)-$B$3,7)),$B$5:$B$304,"&lt;="&amp;$B231)-IF($F$3="",0,SUMIFS($F$5:$F$304,$A$5:$A$304,$A231&amp;"",$B$5:$B$304,"&gt;="&amp;($B231-MOD(WEEKDAY($B231)-$B$3,7)),$B$5:$B$304,"&lt;="&amp;$B231,$F$5:$F$304,"&gt;"&amp;$F$3)-$F$3*COUNTIFS($A$5:$A$304,$A231&amp;"",$B$5:$B$304,"&gt;="&amp;($B231-MOD(WEEKDAY($B231)-$B$3,7)),$B$5:$B$304,"&lt;="&amp;$B231,$F$5:$F$304,"&gt;"&amp;$F$3))-$D$3))),2))</f>
        <v/>
      </c>
      <c r="I231" s="26" t="n"/>
      <c r="J231" s="27">
        <f>IF(AND($A231="",$C231="",$D231=""),"",IF(OR($C231&gt;=1,$D231&gt;=1),"⚠ type the time with a colon: 9:00 AM, not 9",IF(AND($C231&lt;&gt;"",$C231=$D231),"⚠ clock-in equals clock-out: the shift adds 0 h",IF(AND($C231&lt;&gt;"",$D231&lt;&gt;"",IF($E231="",0,$E231)&gt;MOD($D231-$C231,1)*24),"⚠ the break is longer than the shift",IF(AND($A231&lt;&gt;"",COUNTIF('Monthly OT Summary'!$A$6:$A$35,$A231&amp;"")=0),"⚠ name not in Monthly OT Summary: its hours are not added","")))))</f>
        <v/>
      </c>
    </row>
    <row r="232">
      <c r="A232" s="21" t="n"/>
      <c r="B232" s="40" t="n"/>
      <c r="C232" s="41" t="n"/>
      <c r="D232" s="41" t="n"/>
      <c r="E232" s="24" t="n"/>
      <c r="F232" s="8">
        <f>IF(OR($C232="",$D232=""),"",IF(OR($C232&gt;=1,$D232&gt;=1,$C232=$D232,IF($E232="",0,$E232)&gt;MOD($D232-$C232,1)*24),"",ROUND(MOD($D232-$C232,1)*24-IF($E232="",0,$E232),2)))</f>
        <v/>
      </c>
      <c r="G232" s="25" t="n">
        <v>8</v>
      </c>
      <c r="H232" s="8">
        <f>IF(OR($A232="",$B232="",$F232=""),"",ROUND(IF($F$3="",0,MAX(0,$F232-$F$3))+IF($D$3="",0,MIN($F232-IF($F$3="",0,MAX(0,$F232-$F$3)),MAX(0,SUMIFS($F$5:$F$304,$A$5:$A$304,$A232&amp;"",$B$5:$B$304,"&gt;="&amp;($B232-MOD(WEEKDAY($B232)-$B$3,7)),$B$5:$B$304,"&lt;="&amp;$B232)-IF($F$3="",0,SUMIFS($F$5:$F$304,$A$5:$A$304,$A232&amp;"",$B$5:$B$304,"&gt;="&amp;($B232-MOD(WEEKDAY($B232)-$B$3,7)),$B$5:$B$304,"&lt;="&amp;$B232,$F$5:$F$304,"&gt;"&amp;$F$3)-$F$3*COUNTIFS($A$5:$A$304,$A232&amp;"",$B$5:$B$304,"&gt;="&amp;($B232-MOD(WEEKDAY($B232)-$B$3,7)),$B$5:$B$304,"&lt;="&amp;$B232,$F$5:$F$304,"&gt;"&amp;$F$3))-$D$3))),2))</f>
        <v/>
      </c>
      <c r="I232" s="26" t="n"/>
      <c r="J232" s="27">
        <f>IF(AND($A232="",$C232="",$D232=""),"",IF(OR($C232&gt;=1,$D232&gt;=1),"⚠ type the time with a colon: 9:00 AM, not 9",IF(AND($C232&lt;&gt;"",$C232=$D232),"⚠ clock-in equals clock-out: the shift adds 0 h",IF(AND($C232&lt;&gt;"",$D232&lt;&gt;"",IF($E232="",0,$E232)&gt;MOD($D232-$C232,1)*24),"⚠ the break is longer than the shift",IF(AND($A232&lt;&gt;"",COUNTIF('Monthly OT Summary'!$A$6:$A$35,$A232&amp;"")=0),"⚠ name not in Monthly OT Summary: its hours are not added","")))))</f>
        <v/>
      </c>
    </row>
    <row r="233">
      <c r="A233" s="21" t="n"/>
      <c r="B233" s="40" t="n"/>
      <c r="C233" s="41" t="n"/>
      <c r="D233" s="41" t="n"/>
      <c r="E233" s="24" t="n"/>
      <c r="F233" s="8">
        <f>IF(OR($C233="",$D233=""),"",IF(OR($C233&gt;=1,$D233&gt;=1,$C233=$D233,IF($E233="",0,$E233)&gt;MOD($D233-$C233,1)*24),"",ROUND(MOD($D233-$C233,1)*24-IF($E233="",0,$E233),2)))</f>
        <v/>
      </c>
      <c r="G233" s="25" t="n">
        <v>8</v>
      </c>
      <c r="H233" s="8">
        <f>IF(OR($A233="",$B233="",$F233=""),"",ROUND(IF($F$3="",0,MAX(0,$F233-$F$3))+IF($D$3="",0,MIN($F233-IF($F$3="",0,MAX(0,$F233-$F$3)),MAX(0,SUMIFS($F$5:$F$304,$A$5:$A$304,$A233&amp;"",$B$5:$B$304,"&gt;="&amp;($B233-MOD(WEEKDAY($B233)-$B$3,7)),$B$5:$B$304,"&lt;="&amp;$B233)-IF($F$3="",0,SUMIFS($F$5:$F$304,$A$5:$A$304,$A233&amp;"",$B$5:$B$304,"&gt;="&amp;($B233-MOD(WEEKDAY($B233)-$B$3,7)),$B$5:$B$304,"&lt;="&amp;$B233,$F$5:$F$304,"&gt;"&amp;$F$3)-$F$3*COUNTIFS($A$5:$A$304,$A233&amp;"",$B$5:$B$304,"&gt;="&amp;($B233-MOD(WEEKDAY($B233)-$B$3,7)),$B$5:$B$304,"&lt;="&amp;$B233,$F$5:$F$304,"&gt;"&amp;$F$3))-$D$3))),2))</f>
        <v/>
      </c>
      <c r="I233" s="26" t="n"/>
      <c r="J233" s="27">
        <f>IF(AND($A233="",$C233="",$D233=""),"",IF(OR($C233&gt;=1,$D233&gt;=1),"⚠ type the time with a colon: 9:00 AM, not 9",IF(AND($C233&lt;&gt;"",$C233=$D233),"⚠ clock-in equals clock-out: the shift adds 0 h",IF(AND($C233&lt;&gt;"",$D233&lt;&gt;"",IF($E233="",0,$E233)&gt;MOD($D233-$C233,1)*24),"⚠ the break is longer than the shift",IF(AND($A233&lt;&gt;"",COUNTIF('Monthly OT Summary'!$A$6:$A$35,$A233&amp;"")=0),"⚠ name not in Monthly OT Summary: its hours are not added","")))))</f>
        <v/>
      </c>
    </row>
    <row r="234">
      <c r="A234" s="21" t="n"/>
      <c r="B234" s="40" t="n"/>
      <c r="C234" s="41" t="n"/>
      <c r="D234" s="41" t="n"/>
      <c r="E234" s="24" t="n"/>
      <c r="F234" s="8">
        <f>IF(OR($C234="",$D234=""),"",IF(OR($C234&gt;=1,$D234&gt;=1,$C234=$D234,IF($E234="",0,$E234)&gt;MOD($D234-$C234,1)*24),"",ROUND(MOD($D234-$C234,1)*24-IF($E234="",0,$E234),2)))</f>
        <v/>
      </c>
      <c r="G234" s="25" t="n">
        <v>8</v>
      </c>
      <c r="H234" s="8">
        <f>IF(OR($A234="",$B234="",$F234=""),"",ROUND(IF($F$3="",0,MAX(0,$F234-$F$3))+IF($D$3="",0,MIN($F234-IF($F$3="",0,MAX(0,$F234-$F$3)),MAX(0,SUMIFS($F$5:$F$304,$A$5:$A$304,$A234&amp;"",$B$5:$B$304,"&gt;="&amp;($B234-MOD(WEEKDAY($B234)-$B$3,7)),$B$5:$B$304,"&lt;="&amp;$B234)-IF($F$3="",0,SUMIFS($F$5:$F$304,$A$5:$A$304,$A234&amp;"",$B$5:$B$304,"&gt;="&amp;($B234-MOD(WEEKDAY($B234)-$B$3,7)),$B$5:$B$304,"&lt;="&amp;$B234,$F$5:$F$304,"&gt;"&amp;$F$3)-$F$3*COUNTIFS($A$5:$A$304,$A234&amp;"",$B$5:$B$304,"&gt;="&amp;($B234-MOD(WEEKDAY($B234)-$B$3,7)),$B$5:$B$304,"&lt;="&amp;$B234,$F$5:$F$304,"&gt;"&amp;$F$3))-$D$3))),2))</f>
        <v/>
      </c>
      <c r="I234" s="26" t="n"/>
      <c r="J234" s="27">
        <f>IF(AND($A234="",$C234="",$D234=""),"",IF(OR($C234&gt;=1,$D234&gt;=1),"⚠ type the time with a colon: 9:00 AM, not 9",IF(AND($C234&lt;&gt;"",$C234=$D234),"⚠ clock-in equals clock-out: the shift adds 0 h",IF(AND($C234&lt;&gt;"",$D234&lt;&gt;"",IF($E234="",0,$E234)&gt;MOD($D234-$C234,1)*24),"⚠ the break is longer than the shift",IF(AND($A234&lt;&gt;"",COUNTIF('Monthly OT Summary'!$A$6:$A$35,$A234&amp;"")=0),"⚠ name not in Monthly OT Summary: its hours are not added","")))))</f>
        <v/>
      </c>
    </row>
    <row r="235">
      <c r="A235" s="21" t="n"/>
      <c r="B235" s="40" t="n"/>
      <c r="C235" s="41" t="n"/>
      <c r="D235" s="41" t="n"/>
      <c r="E235" s="24" t="n"/>
      <c r="F235" s="8">
        <f>IF(OR($C235="",$D235=""),"",IF(OR($C235&gt;=1,$D235&gt;=1,$C235=$D235,IF($E235="",0,$E235)&gt;MOD($D235-$C235,1)*24),"",ROUND(MOD($D235-$C235,1)*24-IF($E235="",0,$E235),2)))</f>
        <v/>
      </c>
      <c r="G235" s="25" t="n">
        <v>8</v>
      </c>
      <c r="H235" s="8">
        <f>IF(OR($A235="",$B235="",$F235=""),"",ROUND(IF($F$3="",0,MAX(0,$F235-$F$3))+IF($D$3="",0,MIN($F235-IF($F$3="",0,MAX(0,$F235-$F$3)),MAX(0,SUMIFS($F$5:$F$304,$A$5:$A$304,$A235&amp;"",$B$5:$B$304,"&gt;="&amp;($B235-MOD(WEEKDAY($B235)-$B$3,7)),$B$5:$B$304,"&lt;="&amp;$B235)-IF($F$3="",0,SUMIFS($F$5:$F$304,$A$5:$A$304,$A235&amp;"",$B$5:$B$304,"&gt;="&amp;($B235-MOD(WEEKDAY($B235)-$B$3,7)),$B$5:$B$304,"&lt;="&amp;$B235,$F$5:$F$304,"&gt;"&amp;$F$3)-$F$3*COUNTIFS($A$5:$A$304,$A235&amp;"",$B$5:$B$304,"&gt;="&amp;($B235-MOD(WEEKDAY($B235)-$B$3,7)),$B$5:$B$304,"&lt;="&amp;$B235,$F$5:$F$304,"&gt;"&amp;$F$3))-$D$3))),2))</f>
        <v/>
      </c>
      <c r="I235" s="26" t="n"/>
      <c r="J235" s="27">
        <f>IF(AND($A235="",$C235="",$D235=""),"",IF(OR($C235&gt;=1,$D235&gt;=1),"⚠ type the time with a colon: 9:00 AM, not 9",IF(AND($C235&lt;&gt;"",$C235=$D235),"⚠ clock-in equals clock-out: the shift adds 0 h",IF(AND($C235&lt;&gt;"",$D235&lt;&gt;"",IF($E235="",0,$E235)&gt;MOD($D235-$C235,1)*24),"⚠ the break is longer than the shift",IF(AND($A235&lt;&gt;"",COUNTIF('Monthly OT Summary'!$A$6:$A$35,$A235&amp;"")=0),"⚠ name not in Monthly OT Summary: its hours are not added","")))))</f>
        <v/>
      </c>
    </row>
    <row r="236">
      <c r="A236" s="21" t="n"/>
      <c r="B236" s="40" t="n"/>
      <c r="C236" s="41" t="n"/>
      <c r="D236" s="41" t="n"/>
      <c r="E236" s="24" t="n"/>
      <c r="F236" s="8">
        <f>IF(OR($C236="",$D236=""),"",IF(OR($C236&gt;=1,$D236&gt;=1,$C236=$D236,IF($E236="",0,$E236)&gt;MOD($D236-$C236,1)*24),"",ROUND(MOD($D236-$C236,1)*24-IF($E236="",0,$E236),2)))</f>
        <v/>
      </c>
      <c r="G236" s="25" t="n">
        <v>8</v>
      </c>
      <c r="H236" s="8">
        <f>IF(OR($A236="",$B236="",$F236=""),"",ROUND(IF($F$3="",0,MAX(0,$F236-$F$3))+IF($D$3="",0,MIN($F236-IF($F$3="",0,MAX(0,$F236-$F$3)),MAX(0,SUMIFS($F$5:$F$304,$A$5:$A$304,$A236&amp;"",$B$5:$B$304,"&gt;="&amp;($B236-MOD(WEEKDAY($B236)-$B$3,7)),$B$5:$B$304,"&lt;="&amp;$B236)-IF($F$3="",0,SUMIFS($F$5:$F$304,$A$5:$A$304,$A236&amp;"",$B$5:$B$304,"&gt;="&amp;($B236-MOD(WEEKDAY($B236)-$B$3,7)),$B$5:$B$304,"&lt;="&amp;$B236,$F$5:$F$304,"&gt;"&amp;$F$3)-$F$3*COUNTIFS($A$5:$A$304,$A236&amp;"",$B$5:$B$304,"&gt;="&amp;($B236-MOD(WEEKDAY($B236)-$B$3,7)),$B$5:$B$304,"&lt;="&amp;$B236,$F$5:$F$304,"&gt;"&amp;$F$3))-$D$3))),2))</f>
        <v/>
      </c>
      <c r="I236" s="26" t="n"/>
      <c r="J236" s="27">
        <f>IF(AND($A236="",$C236="",$D236=""),"",IF(OR($C236&gt;=1,$D236&gt;=1),"⚠ type the time with a colon: 9:00 AM, not 9",IF(AND($C236&lt;&gt;"",$C236=$D236),"⚠ clock-in equals clock-out: the shift adds 0 h",IF(AND($C236&lt;&gt;"",$D236&lt;&gt;"",IF($E236="",0,$E236)&gt;MOD($D236-$C236,1)*24),"⚠ the break is longer than the shift",IF(AND($A236&lt;&gt;"",COUNTIF('Monthly OT Summary'!$A$6:$A$35,$A236&amp;"")=0),"⚠ name not in Monthly OT Summary: its hours are not added","")))))</f>
        <v/>
      </c>
    </row>
    <row r="237">
      <c r="A237" s="21" t="n"/>
      <c r="B237" s="40" t="n"/>
      <c r="C237" s="41" t="n"/>
      <c r="D237" s="41" t="n"/>
      <c r="E237" s="24" t="n"/>
      <c r="F237" s="8">
        <f>IF(OR($C237="",$D237=""),"",IF(OR($C237&gt;=1,$D237&gt;=1,$C237=$D237,IF($E237="",0,$E237)&gt;MOD($D237-$C237,1)*24),"",ROUND(MOD($D237-$C237,1)*24-IF($E237="",0,$E237),2)))</f>
        <v/>
      </c>
      <c r="G237" s="25" t="n">
        <v>8</v>
      </c>
      <c r="H237" s="8">
        <f>IF(OR($A237="",$B237="",$F237=""),"",ROUND(IF($F$3="",0,MAX(0,$F237-$F$3))+IF($D$3="",0,MIN($F237-IF($F$3="",0,MAX(0,$F237-$F$3)),MAX(0,SUMIFS($F$5:$F$304,$A$5:$A$304,$A237&amp;"",$B$5:$B$304,"&gt;="&amp;($B237-MOD(WEEKDAY($B237)-$B$3,7)),$B$5:$B$304,"&lt;="&amp;$B237)-IF($F$3="",0,SUMIFS($F$5:$F$304,$A$5:$A$304,$A237&amp;"",$B$5:$B$304,"&gt;="&amp;($B237-MOD(WEEKDAY($B237)-$B$3,7)),$B$5:$B$304,"&lt;="&amp;$B237,$F$5:$F$304,"&gt;"&amp;$F$3)-$F$3*COUNTIFS($A$5:$A$304,$A237&amp;"",$B$5:$B$304,"&gt;="&amp;($B237-MOD(WEEKDAY($B237)-$B$3,7)),$B$5:$B$304,"&lt;="&amp;$B237,$F$5:$F$304,"&gt;"&amp;$F$3))-$D$3))),2))</f>
        <v/>
      </c>
      <c r="I237" s="26" t="n"/>
      <c r="J237" s="27">
        <f>IF(AND($A237="",$C237="",$D237=""),"",IF(OR($C237&gt;=1,$D237&gt;=1),"⚠ type the time with a colon: 9:00 AM, not 9",IF(AND($C237&lt;&gt;"",$C237=$D237),"⚠ clock-in equals clock-out: the shift adds 0 h",IF(AND($C237&lt;&gt;"",$D237&lt;&gt;"",IF($E237="",0,$E237)&gt;MOD($D237-$C237,1)*24),"⚠ the break is longer than the shift",IF(AND($A237&lt;&gt;"",COUNTIF('Monthly OT Summary'!$A$6:$A$35,$A237&amp;"")=0),"⚠ name not in Monthly OT Summary: its hours are not added","")))))</f>
        <v/>
      </c>
    </row>
    <row r="238">
      <c r="A238" s="21" t="n"/>
      <c r="B238" s="40" t="n"/>
      <c r="C238" s="41" t="n"/>
      <c r="D238" s="41" t="n"/>
      <c r="E238" s="24" t="n"/>
      <c r="F238" s="8">
        <f>IF(OR($C238="",$D238=""),"",IF(OR($C238&gt;=1,$D238&gt;=1,$C238=$D238,IF($E238="",0,$E238)&gt;MOD($D238-$C238,1)*24),"",ROUND(MOD($D238-$C238,1)*24-IF($E238="",0,$E238),2)))</f>
        <v/>
      </c>
      <c r="G238" s="25" t="n">
        <v>8</v>
      </c>
      <c r="H238" s="8">
        <f>IF(OR($A238="",$B238="",$F238=""),"",ROUND(IF($F$3="",0,MAX(0,$F238-$F$3))+IF($D$3="",0,MIN($F238-IF($F$3="",0,MAX(0,$F238-$F$3)),MAX(0,SUMIFS($F$5:$F$304,$A$5:$A$304,$A238&amp;"",$B$5:$B$304,"&gt;="&amp;($B238-MOD(WEEKDAY($B238)-$B$3,7)),$B$5:$B$304,"&lt;="&amp;$B238)-IF($F$3="",0,SUMIFS($F$5:$F$304,$A$5:$A$304,$A238&amp;"",$B$5:$B$304,"&gt;="&amp;($B238-MOD(WEEKDAY($B238)-$B$3,7)),$B$5:$B$304,"&lt;="&amp;$B238,$F$5:$F$304,"&gt;"&amp;$F$3)-$F$3*COUNTIFS($A$5:$A$304,$A238&amp;"",$B$5:$B$304,"&gt;="&amp;($B238-MOD(WEEKDAY($B238)-$B$3,7)),$B$5:$B$304,"&lt;="&amp;$B238,$F$5:$F$304,"&gt;"&amp;$F$3))-$D$3))),2))</f>
        <v/>
      </c>
      <c r="I238" s="26" t="n"/>
      <c r="J238" s="27">
        <f>IF(AND($A238="",$C238="",$D238=""),"",IF(OR($C238&gt;=1,$D238&gt;=1),"⚠ type the time with a colon: 9:00 AM, not 9",IF(AND($C238&lt;&gt;"",$C238=$D238),"⚠ clock-in equals clock-out: the shift adds 0 h",IF(AND($C238&lt;&gt;"",$D238&lt;&gt;"",IF($E238="",0,$E238)&gt;MOD($D238-$C238,1)*24),"⚠ the break is longer than the shift",IF(AND($A238&lt;&gt;"",COUNTIF('Monthly OT Summary'!$A$6:$A$35,$A238&amp;"")=0),"⚠ name not in Monthly OT Summary: its hours are not added","")))))</f>
        <v/>
      </c>
    </row>
    <row r="239">
      <c r="A239" s="21" t="n"/>
      <c r="B239" s="40" t="n"/>
      <c r="C239" s="41" t="n"/>
      <c r="D239" s="41" t="n"/>
      <c r="E239" s="24" t="n"/>
      <c r="F239" s="8">
        <f>IF(OR($C239="",$D239=""),"",IF(OR($C239&gt;=1,$D239&gt;=1,$C239=$D239,IF($E239="",0,$E239)&gt;MOD($D239-$C239,1)*24),"",ROUND(MOD($D239-$C239,1)*24-IF($E239="",0,$E239),2)))</f>
        <v/>
      </c>
      <c r="G239" s="25" t="n">
        <v>8</v>
      </c>
      <c r="H239" s="8">
        <f>IF(OR($A239="",$B239="",$F239=""),"",ROUND(IF($F$3="",0,MAX(0,$F239-$F$3))+IF($D$3="",0,MIN($F239-IF($F$3="",0,MAX(0,$F239-$F$3)),MAX(0,SUMIFS($F$5:$F$304,$A$5:$A$304,$A239&amp;"",$B$5:$B$304,"&gt;="&amp;($B239-MOD(WEEKDAY($B239)-$B$3,7)),$B$5:$B$304,"&lt;="&amp;$B239)-IF($F$3="",0,SUMIFS($F$5:$F$304,$A$5:$A$304,$A239&amp;"",$B$5:$B$304,"&gt;="&amp;($B239-MOD(WEEKDAY($B239)-$B$3,7)),$B$5:$B$304,"&lt;="&amp;$B239,$F$5:$F$304,"&gt;"&amp;$F$3)-$F$3*COUNTIFS($A$5:$A$304,$A239&amp;"",$B$5:$B$304,"&gt;="&amp;($B239-MOD(WEEKDAY($B239)-$B$3,7)),$B$5:$B$304,"&lt;="&amp;$B239,$F$5:$F$304,"&gt;"&amp;$F$3))-$D$3))),2))</f>
        <v/>
      </c>
      <c r="I239" s="26" t="n"/>
      <c r="J239" s="27">
        <f>IF(AND($A239="",$C239="",$D239=""),"",IF(OR($C239&gt;=1,$D239&gt;=1),"⚠ type the time with a colon: 9:00 AM, not 9",IF(AND($C239&lt;&gt;"",$C239=$D239),"⚠ clock-in equals clock-out: the shift adds 0 h",IF(AND($C239&lt;&gt;"",$D239&lt;&gt;"",IF($E239="",0,$E239)&gt;MOD($D239-$C239,1)*24),"⚠ the break is longer than the shift",IF(AND($A239&lt;&gt;"",COUNTIF('Monthly OT Summary'!$A$6:$A$35,$A239&amp;"")=0),"⚠ name not in Monthly OT Summary: its hours are not added","")))))</f>
        <v/>
      </c>
    </row>
    <row r="240">
      <c r="A240" s="21" t="n"/>
      <c r="B240" s="40" t="n"/>
      <c r="C240" s="41" t="n"/>
      <c r="D240" s="41" t="n"/>
      <c r="E240" s="24" t="n"/>
      <c r="F240" s="8">
        <f>IF(OR($C240="",$D240=""),"",IF(OR($C240&gt;=1,$D240&gt;=1,$C240=$D240,IF($E240="",0,$E240)&gt;MOD($D240-$C240,1)*24),"",ROUND(MOD($D240-$C240,1)*24-IF($E240="",0,$E240),2)))</f>
        <v/>
      </c>
      <c r="G240" s="25" t="n">
        <v>8</v>
      </c>
      <c r="H240" s="8">
        <f>IF(OR($A240="",$B240="",$F240=""),"",ROUND(IF($F$3="",0,MAX(0,$F240-$F$3))+IF($D$3="",0,MIN($F240-IF($F$3="",0,MAX(0,$F240-$F$3)),MAX(0,SUMIFS($F$5:$F$304,$A$5:$A$304,$A240&amp;"",$B$5:$B$304,"&gt;="&amp;($B240-MOD(WEEKDAY($B240)-$B$3,7)),$B$5:$B$304,"&lt;="&amp;$B240)-IF($F$3="",0,SUMIFS($F$5:$F$304,$A$5:$A$304,$A240&amp;"",$B$5:$B$304,"&gt;="&amp;($B240-MOD(WEEKDAY($B240)-$B$3,7)),$B$5:$B$304,"&lt;="&amp;$B240,$F$5:$F$304,"&gt;"&amp;$F$3)-$F$3*COUNTIFS($A$5:$A$304,$A240&amp;"",$B$5:$B$304,"&gt;="&amp;($B240-MOD(WEEKDAY($B240)-$B$3,7)),$B$5:$B$304,"&lt;="&amp;$B240,$F$5:$F$304,"&gt;"&amp;$F$3))-$D$3))),2))</f>
        <v/>
      </c>
      <c r="I240" s="26" t="n"/>
      <c r="J240" s="27">
        <f>IF(AND($A240="",$C240="",$D240=""),"",IF(OR($C240&gt;=1,$D240&gt;=1),"⚠ type the time with a colon: 9:00 AM, not 9",IF(AND($C240&lt;&gt;"",$C240=$D240),"⚠ clock-in equals clock-out: the shift adds 0 h",IF(AND($C240&lt;&gt;"",$D240&lt;&gt;"",IF($E240="",0,$E240)&gt;MOD($D240-$C240,1)*24),"⚠ the break is longer than the shift",IF(AND($A240&lt;&gt;"",COUNTIF('Monthly OT Summary'!$A$6:$A$35,$A240&amp;"")=0),"⚠ name not in Monthly OT Summary: its hours are not added","")))))</f>
        <v/>
      </c>
    </row>
    <row r="241">
      <c r="A241" s="21" t="n"/>
      <c r="B241" s="40" t="n"/>
      <c r="C241" s="41" t="n"/>
      <c r="D241" s="41" t="n"/>
      <c r="E241" s="24" t="n"/>
      <c r="F241" s="8">
        <f>IF(OR($C241="",$D241=""),"",IF(OR($C241&gt;=1,$D241&gt;=1,$C241=$D241,IF($E241="",0,$E241)&gt;MOD($D241-$C241,1)*24),"",ROUND(MOD($D241-$C241,1)*24-IF($E241="",0,$E241),2)))</f>
        <v/>
      </c>
      <c r="G241" s="25" t="n">
        <v>8</v>
      </c>
      <c r="H241" s="8">
        <f>IF(OR($A241="",$B241="",$F241=""),"",ROUND(IF($F$3="",0,MAX(0,$F241-$F$3))+IF($D$3="",0,MIN($F241-IF($F$3="",0,MAX(0,$F241-$F$3)),MAX(0,SUMIFS($F$5:$F$304,$A$5:$A$304,$A241&amp;"",$B$5:$B$304,"&gt;="&amp;($B241-MOD(WEEKDAY($B241)-$B$3,7)),$B$5:$B$304,"&lt;="&amp;$B241)-IF($F$3="",0,SUMIFS($F$5:$F$304,$A$5:$A$304,$A241&amp;"",$B$5:$B$304,"&gt;="&amp;($B241-MOD(WEEKDAY($B241)-$B$3,7)),$B$5:$B$304,"&lt;="&amp;$B241,$F$5:$F$304,"&gt;"&amp;$F$3)-$F$3*COUNTIFS($A$5:$A$304,$A241&amp;"",$B$5:$B$304,"&gt;="&amp;($B241-MOD(WEEKDAY($B241)-$B$3,7)),$B$5:$B$304,"&lt;="&amp;$B241,$F$5:$F$304,"&gt;"&amp;$F$3))-$D$3))),2))</f>
        <v/>
      </c>
      <c r="I241" s="26" t="n"/>
      <c r="J241" s="27">
        <f>IF(AND($A241="",$C241="",$D241=""),"",IF(OR($C241&gt;=1,$D241&gt;=1),"⚠ type the time with a colon: 9:00 AM, not 9",IF(AND($C241&lt;&gt;"",$C241=$D241),"⚠ clock-in equals clock-out: the shift adds 0 h",IF(AND($C241&lt;&gt;"",$D241&lt;&gt;"",IF($E241="",0,$E241)&gt;MOD($D241-$C241,1)*24),"⚠ the break is longer than the shift",IF(AND($A241&lt;&gt;"",COUNTIF('Monthly OT Summary'!$A$6:$A$35,$A241&amp;"")=0),"⚠ name not in Monthly OT Summary: its hours are not added","")))))</f>
        <v/>
      </c>
    </row>
    <row r="242">
      <c r="A242" s="21" t="n"/>
      <c r="B242" s="40" t="n"/>
      <c r="C242" s="41" t="n"/>
      <c r="D242" s="41" t="n"/>
      <c r="E242" s="24" t="n"/>
      <c r="F242" s="8">
        <f>IF(OR($C242="",$D242=""),"",IF(OR($C242&gt;=1,$D242&gt;=1,$C242=$D242,IF($E242="",0,$E242)&gt;MOD($D242-$C242,1)*24),"",ROUND(MOD($D242-$C242,1)*24-IF($E242="",0,$E242),2)))</f>
        <v/>
      </c>
      <c r="G242" s="25" t="n">
        <v>8</v>
      </c>
      <c r="H242" s="8">
        <f>IF(OR($A242="",$B242="",$F242=""),"",ROUND(IF($F$3="",0,MAX(0,$F242-$F$3))+IF($D$3="",0,MIN($F242-IF($F$3="",0,MAX(0,$F242-$F$3)),MAX(0,SUMIFS($F$5:$F$304,$A$5:$A$304,$A242&amp;"",$B$5:$B$304,"&gt;="&amp;($B242-MOD(WEEKDAY($B242)-$B$3,7)),$B$5:$B$304,"&lt;="&amp;$B242)-IF($F$3="",0,SUMIFS($F$5:$F$304,$A$5:$A$304,$A242&amp;"",$B$5:$B$304,"&gt;="&amp;($B242-MOD(WEEKDAY($B242)-$B$3,7)),$B$5:$B$304,"&lt;="&amp;$B242,$F$5:$F$304,"&gt;"&amp;$F$3)-$F$3*COUNTIFS($A$5:$A$304,$A242&amp;"",$B$5:$B$304,"&gt;="&amp;($B242-MOD(WEEKDAY($B242)-$B$3,7)),$B$5:$B$304,"&lt;="&amp;$B242,$F$5:$F$304,"&gt;"&amp;$F$3))-$D$3))),2))</f>
        <v/>
      </c>
      <c r="I242" s="26" t="n"/>
      <c r="J242" s="27">
        <f>IF(AND($A242="",$C242="",$D242=""),"",IF(OR($C242&gt;=1,$D242&gt;=1),"⚠ type the time with a colon: 9:00 AM, not 9",IF(AND($C242&lt;&gt;"",$C242=$D242),"⚠ clock-in equals clock-out: the shift adds 0 h",IF(AND($C242&lt;&gt;"",$D242&lt;&gt;"",IF($E242="",0,$E242)&gt;MOD($D242-$C242,1)*24),"⚠ the break is longer than the shift",IF(AND($A242&lt;&gt;"",COUNTIF('Monthly OT Summary'!$A$6:$A$35,$A242&amp;"")=0),"⚠ name not in Monthly OT Summary: its hours are not added","")))))</f>
        <v/>
      </c>
    </row>
    <row r="243">
      <c r="A243" s="21" t="n"/>
      <c r="B243" s="40" t="n"/>
      <c r="C243" s="41" t="n"/>
      <c r="D243" s="41" t="n"/>
      <c r="E243" s="24" t="n"/>
      <c r="F243" s="8">
        <f>IF(OR($C243="",$D243=""),"",IF(OR($C243&gt;=1,$D243&gt;=1,$C243=$D243,IF($E243="",0,$E243)&gt;MOD($D243-$C243,1)*24),"",ROUND(MOD($D243-$C243,1)*24-IF($E243="",0,$E243),2)))</f>
        <v/>
      </c>
      <c r="G243" s="25" t="n">
        <v>8</v>
      </c>
      <c r="H243" s="8">
        <f>IF(OR($A243="",$B243="",$F243=""),"",ROUND(IF($F$3="",0,MAX(0,$F243-$F$3))+IF($D$3="",0,MIN($F243-IF($F$3="",0,MAX(0,$F243-$F$3)),MAX(0,SUMIFS($F$5:$F$304,$A$5:$A$304,$A243&amp;"",$B$5:$B$304,"&gt;="&amp;($B243-MOD(WEEKDAY($B243)-$B$3,7)),$B$5:$B$304,"&lt;="&amp;$B243)-IF($F$3="",0,SUMIFS($F$5:$F$304,$A$5:$A$304,$A243&amp;"",$B$5:$B$304,"&gt;="&amp;($B243-MOD(WEEKDAY($B243)-$B$3,7)),$B$5:$B$304,"&lt;="&amp;$B243,$F$5:$F$304,"&gt;"&amp;$F$3)-$F$3*COUNTIFS($A$5:$A$304,$A243&amp;"",$B$5:$B$304,"&gt;="&amp;($B243-MOD(WEEKDAY($B243)-$B$3,7)),$B$5:$B$304,"&lt;="&amp;$B243,$F$5:$F$304,"&gt;"&amp;$F$3))-$D$3))),2))</f>
        <v/>
      </c>
      <c r="I243" s="26" t="n"/>
      <c r="J243" s="27">
        <f>IF(AND($A243="",$C243="",$D243=""),"",IF(OR($C243&gt;=1,$D243&gt;=1),"⚠ type the time with a colon: 9:00 AM, not 9",IF(AND($C243&lt;&gt;"",$C243=$D243),"⚠ clock-in equals clock-out: the shift adds 0 h",IF(AND($C243&lt;&gt;"",$D243&lt;&gt;"",IF($E243="",0,$E243)&gt;MOD($D243-$C243,1)*24),"⚠ the break is longer than the shift",IF(AND($A243&lt;&gt;"",COUNTIF('Monthly OT Summary'!$A$6:$A$35,$A243&amp;"")=0),"⚠ name not in Monthly OT Summary: its hours are not added","")))))</f>
        <v/>
      </c>
    </row>
    <row r="244">
      <c r="A244" s="21" t="n"/>
      <c r="B244" s="40" t="n"/>
      <c r="C244" s="41" t="n"/>
      <c r="D244" s="41" t="n"/>
      <c r="E244" s="24" t="n"/>
      <c r="F244" s="8">
        <f>IF(OR($C244="",$D244=""),"",IF(OR($C244&gt;=1,$D244&gt;=1,$C244=$D244,IF($E244="",0,$E244)&gt;MOD($D244-$C244,1)*24),"",ROUND(MOD($D244-$C244,1)*24-IF($E244="",0,$E244),2)))</f>
        <v/>
      </c>
      <c r="G244" s="25" t="n">
        <v>8</v>
      </c>
      <c r="H244" s="8">
        <f>IF(OR($A244="",$B244="",$F244=""),"",ROUND(IF($F$3="",0,MAX(0,$F244-$F$3))+IF($D$3="",0,MIN($F244-IF($F$3="",0,MAX(0,$F244-$F$3)),MAX(0,SUMIFS($F$5:$F$304,$A$5:$A$304,$A244&amp;"",$B$5:$B$304,"&gt;="&amp;($B244-MOD(WEEKDAY($B244)-$B$3,7)),$B$5:$B$304,"&lt;="&amp;$B244)-IF($F$3="",0,SUMIFS($F$5:$F$304,$A$5:$A$304,$A244&amp;"",$B$5:$B$304,"&gt;="&amp;($B244-MOD(WEEKDAY($B244)-$B$3,7)),$B$5:$B$304,"&lt;="&amp;$B244,$F$5:$F$304,"&gt;"&amp;$F$3)-$F$3*COUNTIFS($A$5:$A$304,$A244&amp;"",$B$5:$B$304,"&gt;="&amp;($B244-MOD(WEEKDAY($B244)-$B$3,7)),$B$5:$B$304,"&lt;="&amp;$B244,$F$5:$F$304,"&gt;"&amp;$F$3))-$D$3))),2))</f>
        <v/>
      </c>
      <c r="I244" s="26" t="n"/>
      <c r="J244" s="27">
        <f>IF(AND($A244="",$C244="",$D244=""),"",IF(OR($C244&gt;=1,$D244&gt;=1),"⚠ type the time with a colon: 9:00 AM, not 9",IF(AND($C244&lt;&gt;"",$C244=$D244),"⚠ clock-in equals clock-out: the shift adds 0 h",IF(AND($C244&lt;&gt;"",$D244&lt;&gt;"",IF($E244="",0,$E244)&gt;MOD($D244-$C244,1)*24),"⚠ the break is longer than the shift",IF(AND($A244&lt;&gt;"",COUNTIF('Monthly OT Summary'!$A$6:$A$35,$A244&amp;"")=0),"⚠ name not in Monthly OT Summary: its hours are not added","")))))</f>
        <v/>
      </c>
    </row>
    <row r="245">
      <c r="A245" s="21" t="n"/>
      <c r="B245" s="40" t="n"/>
      <c r="C245" s="41" t="n"/>
      <c r="D245" s="41" t="n"/>
      <c r="E245" s="24" t="n"/>
      <c r="F245" s="8">
        <f>IF(OR($C245="",$D245=""),"",IF(OR($C245&gt;=1,$D245&gt;=1,$C245=$D245,IF($E245="",0,$E245)&gt;MOD($D245-$C245,1)*24),"",ROUND(MOD($D245-$C245,1)*24-IF($E245="",0,$E245),2)))</f>
        <v/>
      </c>
      <c r="G245" s="25" t="n">
        <v>8</v>
      </c>
      <c r="H245" s="8">
        <f>IF(OR($A245="",$B245="",$F245=""),"",ROUND(IF($F$3="",0,MAX(0,$F245-$F$3))+IF($D$3="",0,MIN($F245-IF($F$3="",0,MAX(0,$F245-$F$3)),MAX(0,SUMIFS($F$5:$F$304,$A$5:$A$304,$A245&amp;"",$B$5:$B$304,"&gt;="&amp;($B245-MOD(WEEKDAY($B245)-$B$3,7)),$B$5:$B$304,"&lt;="&amp;$B245)-IF($F$3="",0,SUMIFS($F$5:$F$304,$A$5:$A$304,$A245&amp;"",$B$5:$B$304,"&gt;="&amp;($B245-MOD(WEEKDAY($B245)-$B$3,7)),$B$5:$B$304,"&lt;="&amp;$B245,$F$5:$F$304,"&gt;"&amp;$F$3)-$F$3*COUNTIFS($A$5:$A$304,$A245&amp;"",$B$5:$B$304,"&gt;="&amp;($B245-MOD(WEEKDAY($B245)-$B$3,7)),$B$5:$B$304,"&lt;="&amp;$B245,$F$5:$F$304,"&gt;"&amp;$F$3))-$D$3))),2))</f>
        <v/>
      </c>
      <c r="I245" s="26" t="n"/>
      <c r="J245" s="27">
        <f>IF(AND($A245="",$C245="",$D245=""),"",IF(OR($C245&gt;=1,$D245&gt;=1),"⚠ type the time with a colon: 9:00 AM, not 9",IF(AND($C245&lt;&gt;"",$C245=$D245),"⚠ clock-in equals clock-out: the shift adds 0 h",IF(AND($C245&lt;&gt;"",$D245&lt;&gt;"",IF($E245="",0,$E245)&gt;MOD($D245-$C245,1)*24),"⚠ the break is longer than the shift",IF(AND($A245&lt;&gt;"",COUNTIF('Monthly OT Summary'!$A$6:$A$35,$A245&amp;"")=0),"⚠ name not in Monthly OT Summary: its hours are not added","")))))</f>
        <v/>
      </c>
    </row>
    <row r="246">
      <c r="A246" s="21" t="n"/>
      <c r="B246" s="40" t="n"/>
      <c r="C246" s="41" t="n"/>
      <c r="D246" s="41" t="n"/>
      <c r="E246" s="24" t="n"/>
      <c r="F246" s="8">
        <f>IF(OR($C246="",$D246=""),"",IF(OR($C246&gt;=1,$D246&gt;=1,$C246=$D246,IF($E246="",0,$E246)&gt;MOD($D246-$C246,1)*24),"",ROUND(MOD($D246-$C246,1)*24-IF($E246="",0,$E246),2)))</f>
        <v/>
      </c>
      <c r="G246" s="25" t="n">
        <v>8</v>
      </c>
      <c r="H246" s="8">
        <f>IF(OR($A246="",$B246="",$F246=""),"",ROUND(IF($F$3="",0,MAX(0,$F246-$F$3))+IF($D$3="",0,MIN($F246-IF($F$3="",0,MAX(0,$F246-$F$3)),MAX(0,SUMIFS($F$5:$F$304,$A$5:$A$304,$A246&amp;"",$B$5:$B$304,"&gt;="&amp;($B246-MOD(WEEKDAY($B246)-$B$3,7)),$B$5:$B$304,"&lt;="&amp;$B246)-IF($F$3="",0,SUMIFS($F$5:$F$304,$A$5:$A$304,$A246&amp;"",$B$5:$B$304,"&gt;="&amp;($B246-MOD(WEEKDAY($B246)-$B$3,7)),$B$5:$B$304,"&lt;="&amp;$B246,$F$5:$F$304,"&gt;"&amp;$F$3)-$F$3*COUNTIFS($A$5:$A$304,$A246&amp;"",$B$5:$B$304,"&gt;="&amp;($B246-MOD(WEEKDAY($B246)-$B$3,7)),$B$5:$B$304,"&lt;="&amp;$B246,$F$5:$F$304,"&gt;"&amp;$F$3))-$D$3))),2))</f>
        <v/>
      </c>
      <c r="I246" s="26" t="n"/>
      <c r="J246" s="27">
        <f>IF(AND($A246="",$C246="",$D246=""),"",IF(OR($C246&gt;=1,$D246&gt;=1),"⚠ type the time with a colon: 9:00 AM, not 9",IF(AND($C246&lt;&gt;"",$C246=$D246),"⚠ clock-in equals clock-out: the shift adds 0 h",IF(AND($C246&lt;&gt;"",$D246&lt;&gt;"",IF($E246="",0,$E246)&gt;MOD($D246-$C246,1)*24),"⚠ the break is longer than the shift",IF(AND($A246&lt;&gt;"",COUNTIF('Monthly OT Summary'!$A$6:$A$35,$A246&amp;"")=0),"⚠ name not in Monthly OT Summary: its hours are not added","")))))</f>
        <v/>
      </c>
    </row>
    <row r="247">
      <c r="A247" s="21" t="n"/>
      <c r="B247" s="40" t="n"/>
      <c r="C247" s="41" t="n"/>
      <c r="D247" s="41" t="n"/>
      <c r="E247" s="24" t="n"/>
      <c r="F247" s="8">
        <f>IF(OR($C247="",$D247=""),"",IF(OR($C247&gt;=1,$D247&gt;=1,$C247=$D247,IF($E247="",0,$E247)&gt;MOD($D247-$C247,1)*24),"",ROUND(MOD($D247-$C247,1)*24-IF($E247="",0,$E247),2)))</f>
        <v/>
      </c>
      <c r="G247" s="25" t="n">
        <v>8</v>
      </c>
      <c r="H247" s="8">
        <f>IF(OR($A247="",$B247="",$F247=""),"",ROUND(IF($F$3="",0,MAX(0,$F247-$F$3))+IF($D$3="",0,MIN($F247-IF($F$3="",0,MAX(0,$F247-$F$3)),MAX(0,SUMIFS($F$5:$F$304,$A$5:$A$304,$A247&amp;"",$B$5:$B$304,"&gt;="&amp;($B247-MOD(WEEKDAY($B247)-$B$3,7)),$B$5:$B$304,"&lt;="&amp;$B247)-IF($F$3="",0,SUMIFS($F$5:$F$304,$A$5:$A$304,$A247&amp;"",$B$5:$B$304,"&gt;="&amp;($B247-MOD(WEEKDAY($B247)-$B$3,7)),$B$5:$B$304,"&lt;="&amp;$B247,$F$5:$F$304,"&gt;"&amp;$F$3)-$F$3*COUNTIFS($A$5:$A$304,$A247&amp;"",$B$5:$B$304,"&gt;="&amp;($B247-MOD(WEEKDAY($B247)-$B$3,7)),$B$5:$B$304,"&lt;="&amp;$B247,$F$5:$F$304,"&gt;"&amp;$F$3))-$D$3))),2))</f>
        <v/>
      </c>
      <c r="I247" s="26" t="n"/>
      <c r="J247" s="27">
        <f>IF(AND($A247="",$C247="",$D247=""),"",IF(OR($C247&gt;=1,$D247&gt;=1),"⚠ type the time with a colon: 9:00 AM, not 9",IF(AND($C247&lt;&gt;"",$C247=$D247),"⚠ clock-in equals clock-out: the shift adds 0 h",IF(AND($C247&lt;&gt;"",$D247&lt;&gt;"",IF($E247="",0,$E247)&gt;MOD($D247-$C247,1)*24),"⚠ the break is longer than the shift",IF(AND($A247&lt;&gt;"",COUNTIF('Monthly OT Summary'!$A$6:$A$35,$A247&amp;"")=0),"⚠ name not in Monthly OT Summary: its hours are not added","")))))</f>
        <v/>
      </c>
    </row>
    <row r="248">
      <c r="A248" s="21" t="n"/>
      <c r="B248" s="40" t="n"/>
      <c r="C248" s="41" t="n"/>
      <c r="D248" s="41" t="n"/>
      <c r="E248" s="24" t="n"/>
      <c r="F248" s="8">
        <f>IF(OR($C248="",$D248=""),"",IF(OR($C248&gt;=1,$D248&gt;=1,$C248=$D248,IF($E248="",0,$E248)&gt;MOD($D248-$C248,1)*24),"",ROUND(MOD($D248-$C248,1)*24-IF($E248="",0,$E248),2)))</f>
        <v/>
      </c>
      <c r="G248" s="25" t="n">
        <v>8</v>
      </c>
      <c r="H248" s="8">
        <f>IF(OR($A248="",$B248="",$F248=""),"",ROUND(IF($F$3="",0,MAX(0,$F248-$F$3))+IF($D$3="",0,MIN($F248-IF($F$3="",0,MAX(0,$F248-$F$3)),MAX(0,SUMIFS($F$5:$F$304,$A$5:$A$304,$A248&amp;"",$B$5:$B$304,"&gt;="&amp;($B248-MOD(WEEKDAY($B248)-$B$3,7)),$B$5:$B$304,"&lt;="&amp;$B248)-IF($F$3="",0,SUMIFS($F$5:$F$304,$A$5:$A$304,$A248&amp;"",$B$5:$B$304,"&gt;="&amp;($B248-MOD(WEEKDAY($B248)-$B$3,7)),$B$5:$B$304,"&lt;="&amp;$B248,$F$5:$F$304,"&gt;"&amp;$F$3)-$F$3*COUNTIFS($A$5:$A$304,$A248&amp;"",$B$5:$B$304,"&gt;="&amp;($B248-MOD(WEEKDAY($B248)-$B$3,7)),$B$5:$B$304,"&lt;="&amp;$B248,$F$5:$F$304,"&gt;"&amp;$F$3))-$D$3))),2))</f>
        <v/>
      </c>
      <c r="I248" s="26" t="n"/>
      <c r="J248" s="27">
        <f>IF(AND($A248="",$C248="",$D248=""),"",IF(OR($C248&gt;=1,$D248&gt;=1),"⚠ type the time with a colon: 9:00 AM, not 9",IF(AND($C248&lt;&gt;"",$C248=$D248),"⚠ clock-in equals clock-out: the shift adds 0 h",IF(AND($C248&lt;&gt;"",$D248&lt;&gt;"",IF($E248="",0,$E248)&gt;MOD($D248-$C248,1)*24),"⚠ the break is longer than the shift",IF(AND($A248&lt;&gt;"",COUNTIF('Monthly OT Summary'!$A$6:$A$35,$A248&amp;"")=0),"⚠ name not in Monthly OT Summary: its hours are not added","")))))</f>
        <v/>
      </c>
    </row>
    <row r="249">
      <c r="A249" s="21" t="n"/>
      <c r="B249" s="40" t="n"/>
      <c r="C249" s="41" t="n"/>
      <c r="D249" s="41" t="n"/>
      <c r="E249" s="24" t="n"/>
      <c r="F249" s="8">
        <f>IF(OR($C249="",$D249=""),"",IF(OR($C249&gt;=1,$D249&gt;=1,$C249=$D249,IF($E249="",0,$E249)&gt;MOD($D249-$C249,1)*24),"",ROUND(MOD($D249-$C249,1)*24-IF($E249="",0,$E249),2)))</f>
        <v/>
      </c>
      <c r="G249" s="25" t="n">
        <v>8</v>
      </c>
      <c r="H249" s="8">
        <f>IF(OR($A249="",$B249="",$F249=""),"",ROUND(IF($F$3="",0,MAX(0,$F249-$F$3))+IF($D$3="",0,MIN($F249-IF($F$3="",0,MAX(0,$F249-$F$3)),MAX(0,SUMIFS($F$5:$F$304,$A$5:$A$304,$A249&amp;"",$B$5:$B$304,"&gt;="&amp;($B249-MOD(WEEKDAY($B249)-$B$3,7)),$B$5:$B$304,"&lt;="&amp;$B249)-IF($F$3="",0,SUMIFS($F$5:$F$304,$A$5:$A$304,$A249&amp;"",$B$5:$B$304,"&gt;="&amp;($B249-MOD(WEEKDAY($B249)-$B$3,7)),$B$5:$B$304,"&lt;="&amp;$B249,$F$5:$F$304,"&gt;"&amp;$F$3)-$F$3*COUNTIFS($A$5:$A$304,$A249&amp;"",$B$5:$B$304,"&gt;="&amp;($B249-MOD(WEEKDAY($B249)-$B$3,7)),$B$5:$B$304,"&lt;="&amp;$B249,$F$5:$F$304,"&gt;"&amp;$F$3))-$D$3))),2))</f>
        <v/>
      </c>
      <c r="I249" s="26" t="n"/>
      <c r="J249" s="27">
        <f>IF(AND($A249="",$C249="",$D249=""),"",IF(OR($C249&gt;=1,$D249&gt;=1),"⚠ type the time with a colon: 9:00 AM, not 9",IF(AND($C249&lt;&gt;"",$C249=$D249),"⚠ clock-in equals clock-out: the shift adds 0 h",IF(AND($C249&lt;&gt;"",$D249&lt;&gt;"",IF($E249="",0,$E249)&gt;MOD($D249-$C249,1)*24),"⚠ the break is longer than the shift",IF(AND($A249&lt;&gt;"",COUNTIF('Monthly OT Summary'!$A$6:$A$35,$A249&amp;"")=0),"⚠ name not in Monthly OT Summary: its hours are not added","")))))</f>
        <v/>
      </c>
    </row>
    <row r="250">
      <c r="A250" s="21" t="n"/>
      <c r="B250" s="40" t="n"/>
      <c r="C250" s="41" t="n"/>
      <c r="D250" s="41" t="n"/>
      <c r="E250" s="24" t="n"/>
      <c r="F250" s="8">
        <f>IF(OR($C250="",$D250=""),"",IF(OR($C250&gt;=1,$D250&gt;=1,$C250=$D250,IF($E250="",0,$E250)&gt;MOD($D250-$C250,1)*24),"",ROUND(MOD($D250-$C250,1)*24-IF($E250="",0,$E250),2)))</f>
        <v/>
      </c>
      <c r="G250" s="25" t="n">
        <v>8</v>
      </c>
      <c r="H250" s="8">
        <f>IF(OR($A250="",$B250="",$F250=""),"",ROUND(IF($F$3="",0,MAX(0,$F250-$F$3))+IF($D$3="",0,MIN($F250-IF($F$3="",0,MAX(0,$F250-$F$3)),MAX(0,SUMIFS($F$5:$F$304,$A$5:$A$304,$A250&amp;"",$B$5:$B$304,"&gt;="&amp;($B250-MOD(WEEKDAY($B250)-$B$3,7)),$B$5:$B$304,"&lt;="&amp;$B250)-IF($F$3="",0,SUMIFS($F$5:$F$304,$A$5:$A$304,$A250&amp;"",$B$5:$B$304,"&gt;="&amp;($B250-MOD(WEEKDAY($B250)-$B$3,7)),$B$5:$B$304,"&lt;="&amp;$B250,$F$5:$F$304,"&gt;"&amp;$F$3)-$F$3*COUNTIFS($A$5:$A$304,$A250&amp;"",$B$5:$B$304,"&gt;="&amp;($B250-MOD(WEEKDAY($B250)-$B$3,7)),$B$5:$B$304,"&lt;="&amp;$B250,$F$5:$F$304,"&gt;"&amp;$F$3))-$D$3))),2))</f>
        <v/>
      </c>
      <c r="I250" s="26" t="n"/>
      <c r="J250" s="27">
        <f>IF(AND($A250="",$C250="",$D250=""),"",IF(OR($C250&gt;=1,$D250&gt;=1),"⚠ type the time with a colon: 9:00 AM, not 9",IF(AND($C250&lt;&gt;"",$C250=$D250),"⚠ clock-in equals clock-out: the shift adds 0 h",IF(AND($C250&lt;&gt;"",$D250&lt;&gt;"",IF($E250="",0,$E250)&gt;MOD($D250-$C250,1)*24),"⚠ the break is longer than the shift",IF(AND($A250&lt;&gt;"",COUNTIF('Monthly OT Summary'!$A$6:$A$35,$A250&amp;"")=0),"⚠ name not in Monthly OT Summary: its hours are not added","")))))</f>
        <v/>
      </c>
    </row>
    <row r="251">
      <c r="A251" s="21" t="n"/>
      <c r="B251" s="40" t="n"/>
      <c r="C251" s="41" t="n"/>
      <c r="D251" s="41" t="n"/>
      <c r="E251" s="24" t="n"/>
      <c r="F251" s="8">
        <f>IF(OR($C251="",$D251=""),"",IF(OR($C251&gt;=1,$D251&gt;=1,$C251=$D251,IF($E251="",0,$E251)&gt;MOD($D251-$C251,1)*24),"",ROUND(MOD($D251-$C251,1)*24-IF($E251="",0,$E251),2)))</f>
        <v/>
      </c>
      <c r="G251" s="25" t="n">
        <v>8</v>
      </c>
      <c r="H251" s="8">
        <f>IF(OR($A251="",$B251="",$F251=""),"",ROUND(IF($F$3="",0,MAX(0,$F251-$F$3))+IF($D$3="",0,MIN($F251-IF($F$3="",0,MAX(0,$F251-$F$3)),MAX(0,SUMIFS($F$5:$F$304,$A$5:$A$304,$A251&amp;"",$B$5:$B$304,"&gt;="&amp;($B251-MOD(WEEKDAY($B251)-$B$3,7)),$B$5:$B$304,"&lt;="&amp;$B251)-IF($F$3="",0,SUMIFS($F$5:$F$304,$A$5:$A$304,$A251&amp;"",$B$5:$B$304,"&gt;="&amp;($B251-MOD(WEEKDAY($B251)-$B$3,7)),$B$5:$B$304,"&lt;="&amp;$B251,$F$5:$F$304,"&gt;"&amp;$F$3)-$F$3*COUNTIFS($A$5:$A$304,$A251&amp;"",$B$5:$B$304,"&gt;="&amp;($B251-MOD(WEEKDAY($B251)-$B$3,7)),$B$5:$B$304,"&lt;="&amp;$B251,$F$5:$F$304,"&gt;"&amp;$F$3))-$D$3))),2))</f>
        <v/>
      </c>
      <c r="I251" s="26" t="n"/>
      <c r="J251" s="27">
        <f>IF(AND($A251="",$C251="",$D251=""),"",IF(OR($C251&gt;=1,$D251&gt;=1),"⚠ type the time with a colon: 9:00 AM, not 9",IF(AND($C251&lt;&gt;"",$C251=$D251),"⚠ clock-in equals clock-out: the shift adds 0 h",IF(AND($C251&lt;&gt;"",$D251&lt;&gt;"",IF($E251="",0,$E251)&gt;MOD($D251-$C251,1)*24),"⚠ the break is longer than the shift",IF(AND($A251&lt;&gt;"",COUNTIF('Monthly OT Summary'!$A$6:$A$35,$A251&amp;"")=0),"⚠ name not in Monthly OT Summary: its hours are not added","")))))</f>
        <v/>
      </c>
    </row>
    <row r="252">
      <c r="A252" s="21" t="n"/>
      <c r="B252" s="40" t="n"/>
      <c r="C252" s="41" t="n"/>
      <c r="D252" s="41" t="n"/>
      <c r="E252" s="24" t="n"/>
      <c r="F252" s="8">
        <f>IF(OR($C252="",$D252=""),"",IF(OR($C252&gt;=1,$D252&gt;=1,$C252=$D252,IF($E252="",0,$E252)&gt;MOD($D252-$C252,1)*24),"",ROUND(MOD($D252-$C252,1)*24-IF($E252="",0,$E252),2)))</f>
        <v/>
      </c>
      <c r="G252" s="25" t="n">
        <v>8</v>
      </c>
      <c r="H252" s="8">
        <f>IF(OR($A252="",$B252="",$F252=""),"",ROUND(IF($F$3="",0,MAX(0,$F252-$F$3))+IF($D$3="",0,MIN($F252-IF($F$3="",0,MAX(0,$F252-$F$3)),MAX(0,SUMIFS($F$5:$F$304,$A$5:$A$304,$A252&amp;"",$B$5:$B$304,"&gt;="&amp;($B252-MOD(WEEKDAY($B252)-$B$3,7)),$B$5:$B$304,"&lt;="&amp;$B252)-IF($F$3="",0,SUMIFS($F$5:$F$304,$A$5:$A$304,$A252&amp;"",$B$5:$B$304,"&gt;="&amp;($B252-MOD(WEEKDAY($B252)-$B$3,7)),$B$5:$B$304,"&lt;="&amp;$B252,$F$5:$F$304,"&gt;"&amp;$F$3)-$F$3*COUNTIFS($A$5:$A$304,$A252&amp;"",$B$5:$B$304,"&gt;="&amp;($B252-MOD(WEEKDAY($B252)-$B$3,7)),$B$5:$B$304,"&lt;="&amp;$B252,$F$5:$F$304,"&gt;"&amp;$F$3))-$D$3))),2))</f>
        <v/>
      </c>
      <c r="I252" s="26" t="n"/>
      <c r="J252" s="27">
        <f>IF(AND($A252="",$C252="",$D252=""),"",IF(OR($C252&gt;=1,$D252&gt;=1),"⚠ type the time with a colon: 9:00 AM, not 9",IF(AND($C252&lt;&gt;"",$C252=$D252),"⚠ clock-in equals clock-out: the shift adds 0 h",IF(AND($C252&lt;&gt;"",$D252&lt;&gt;"",IF($E252="",0,$E252)&gt;MOD($D252-$C252,1)*24),"⚠ the break is longer than the shift",IF(AND($A252&lt;&gt;"",COUNTIF('Monthly OT Summary'!$A$6:$A$35,$A252&amp;"")=0),"⚠ name not in Monthly OT Summary: its hours are not added","")))))</f>
        <v/>
      </c>
    </row>
    <row r="253">
      <c r="A253" s="21" t="n"/>
      <c r="B253" s="40" t="n"/>
      <c r="C253" s="41" t="n"/>
      <c r="D253" s="41" t="n"/>
      <c r="E253" s="24" t="n"/>
      <c r="F253" s="8">
        <f>IF(OR($C253="",$D253=""),"",IF(OR($C253&gt;=1,$D253&gt;=1,$C253=$D253,IF($E253="",0,$E253)&gt;MOD($D253-$C253,1)*24),"",ROUND(MOD($D253-$C253,1)*24-IF($E253="",0,$E253),2)))</f>
        <v/>
      </c>
      <c r="G253" s="25" t="n">
        <v>8</v>
      </c>
      <c r="H253" s="8">
        <f>IF(OR($A253="",$B253="",$F253=""),"",ROUND(IF($F$3="",0,MAX(0,$F253-$F$3))+IF($D$3="",0,MIN($F253-IF($F$3="",0,MAX(0,$F253-$F$3)),MAX(0,SUMIFS($F$5:$F$304,$A$5:$A$304,$A253&amp;"",$B$5:$B$304,"&gt;="&amp;($B253-MOD(WEEKDAY($B253)-$B$3,7)),$B$5:$B$304,"&lt;="&amp;$B253)-IF($F$3="",0,SUMIFS($F$5:$F$304,$A$5:$A$304,$A253&amp;"",$B$5:$B$304,"&gt;="&amp;($B253-MOD(WEEKDAY($B253)-$B$3,7)),$B$5:$B$304,"&lt;="&amp;$B253,$F$5:$F$304,"&gt;"&amp;$F$3)-$F$3*COUNTIFS($A$5:$A$304,$A253&amp;"",$B$5:$B$304,"&gt;="&amp;($B253-MOD(WEEKDAY($B253)-$B$3,7)),$B$5:$B$304,"&lt;="&amp;$B253,$F$5:$F$304,"&gt;"&amp;$F$3))-$D$3))),2))</f>
        <v/>
      </c>
      <c r="I253" s="26" t="n"/>
      <c r="J253" s="27">
        <f>IF(AND($A253="",$C253="",$D253=""),"",IF(OR($C253&gt;=1,$D253&gt;=1),"⚠ type the time with a colon: 9:00 AM, not 9",IF(AND($C253&lt;&gt;"",$C253=$D253),"⚠ clock-in equals clock-out: the shift adds 0 h",IF(AND($C253&lt;&gt;"",$D253&lt;&gt;"",IF($E253="",0,$E253)&gt;MOD($D253-$C253,1)*24),"⚠ the break is longer than the shift",IF(AND($A253&lt;&gt;"",COUNTIF('Monthly OT Summary'!$A$6:$A$35,$A253&amp;"")=0),"⚠ name not in Monthly OT Summary: its hours are not added","")))))</f>
        <v/>
      </c>
    </row>
    <row r="254">
      <c r="A254" s="21" t="n"/>
      <c r="B254" s="40" t="n"/>
      <c r="C254" s="41" t="n"/>
      <c r="D254" s="41" t="n"/>
      <c r="E254" s="24" t="n"/>
      <c r="F254" s="8">
        <f>IF(OR($C254="",$D254=""),"",IF(OR($C254&gt;=1,$D254&gt;=1,$C254=$D254,IF($E254="",0,$E254)&gt;MOD($D254-$C254,1)*24),"",ROUND(MOD($D254-$C254,1)*24-IF($E254="",0,$E254),2)))</f>
        <v/>
      </c>
      <c r="G254" s="25" t="n">
        <v>8</v>
      </c>
      <c r="H254" s="8">
        <f>IF(OR($A254="",$B254="",$F254=""),"",ROUND(IF($F$3="",0,MAX(0,$F254-$F$3))+IF($D$3="",0,MIN($F254-IF($F$3="",0,MAX(0,$F254-$F$3)),MAX(0,SUMIFS($F$5:$F$304,$A$5:$A$304,$A254&amp;"",$B$5:$B$304,"&gt;="&amp;($B254-MOD(WEEKDAY($B254)-$B$3,7)),$B$5:$B$304,"&lt;="&amp;$B254)-IF($F$3="",0,SUMIFS($F$5:$F$304,$A$5:$A$304,$A254&amp;"",$B$5:$B$304,"&gt;="&amp;($B254-MOD(WEEKDAY($B254)-$B$3,7)),$B$5:$B$304,"&lt;="&amp;$B254,$F$5:$F$304,"&gt;"&amp;$F$3)-$F$3*COUNTIFS($A$5:$A$304,$A254&amp;"",$B$5:$B$304,"&gt;="&amp;($B254-MOD(WEEKDAY($B254)-$B$3,7)),$B$5:$B$304,"&lt;="&amp;$B254,$F$5:$F$304,"&gt;"&amp;$F$3))-$D$3))),2))</f>
        <v/>
      </c>
      <c r="I254" s="26" t="n"/>
      <c r="J254" s="27">
        <f>IF(AND($A254="",$C254="",$D254=""),"",IF(OR($C254&gt;=1,$D254&gt;=1),"⚠ type the time with a colon: 9:00 AM, not 9",IF(AND($C254&lt;&gt;"",$C254=$D254),"⚠ clock-in equals clock-out: the shift adds 0 h",IF(AND($C254&lt;&gt;"",$D254&lt;&gt;"",IF($E254="",0,$E254)&gt;MOD($D254-$C254,1)*24),"⚠ the break is longer than the shift",IF(AND($A254&lt;&gt;"",COUNTIF('Monthly OT Summary'!$A$6:$A$35,$A254&amp;"")=0),"⚠ name not in Monthly OT Summary: its hours are not added","")))))</f>
        <v/>
      </c>
    </row>
    <row r="255">
      <c r="A255" s="21" t="n"/>
      <c r="B255" s="40" t="n"/>
      <c r="C255" s="41" t="n"/>
      <c r="D255" s="41" t="n"/>
      <c r="E255" s="24" t="n"/>
      <c r="F255" s="8">
        <f>IF(OR($C255="",$D255=""),"",IF(OR($C255&gt;=1,$D255&gt;=1,$C255=$D255,IF($E255="",0,$E255)&gt;MOD($D255-$C255,1)*24),"",ROUND(MOD($D255-$C255,1)*24-IF($E255="",0,$E255),2)))</f>
        <v/>
      </c>
      <c r="G255" s="25" t="n">
        <v>8</v>
      </c>
      <c r="H255" s="8">
        <f>IF(OR($A255="",$B255="",$F255=""),"",ROUND(IF($F$3="",0,MAX(0,$F255-$F$3))+IF($D$3="",0,MIN($F255-IF($F$3="",0,MAX(0,$F255-$F$3)),MAX(0,SUMIFS($F$5:$F$304,$A$5:$A$304,$A255&amp;"",$B$5:$B$304,"&gt;="&amp;($B255-MOD(WEEKDAY($B255)-$B$3,7)),$B$5:$B$304,"&lt;="&amp;$B255)-IF($F$3="",0,SUMIFS($F$5:$F$304,$A$5:$A$304,$A255&amp;"",$B$5:$B$304,"&gt;="&amp;($B255-MOD(WEEKDAY($B255)-$B$3,7)),$B$5:$B$304,"&lt;="&amp;$B255,$F$5:$F$304,"&gt;"&amp;$F$3)-$F$3*COUNTIFS($A$5:$A$304,$A255&amp;"",$B$5:$B$304,"&gt;="&amp;($B255-MOD(WEEKDAY($B255)-$B$3,7)),$B$5:$B$304,"&lt;="&amp;$B255,$F$5:$F$304,"&gt;"&amp;$F$3))-$D$3))),2))</f>
        <v/>
      </c>
      <c r="I255" s="26" t="n"/>
      <c r="J255" s="27">
        <f>IF(AND($A255="",$C255="",$D255=""),"",IF(OR($C255&gt;=1,$D255&gt;=1),"⚠ type the time with a colon: 9:00 AM, not 9",IF(AND($C255&lt;&gt;"",$C255=$D255),"⚠ clock-in equals clock-out: the shift adds 0 h",IF(AND($C255&lt;&gt;"",$D255&lt;&gt;"",IF($E255="",0,$E255)&gt;MOD($D255-$C255,1)*24),"⚠ the break is longer than the shift",IF(AND($A255&lt;&gt;"",COUNTIF('Monthly OT Summary'!$A$6:$A$35,$A255&amp;"")=0),"⚠ name not in Monthly OT Summary: its hours are not added","")))))</f>
        <v/>
      </c>
    </row>
    <row r="256">
      <c r="A256" s="21" t="n"/>
      <c r="B256" s="40" t="n"/>
      <c r="C256" s="41" t="n"/>
      <c r="D256" s="41" t="n"/>
      <c r="E256" s="24" t="n"/>
      <c r="F256" s="8">
        <f>IF(OR($C256="",$D256=""),"",IF(OR($C256&gt;=1,$D256&gt;=1,$C256=$D256,IF($E256="",0,$E256)&gt;MOD($D256-$C256,1)*24),"",ROUND(MOD($D256-$C256,1)*24-IF($E256="",0,$E256),2)))</f>
        <v/>
      </c>
      <c r="G256" s="25" t="n">
        <v>8</v>
      </c>
      <c r="H256" s="8">
        <f>IF(OR($A256="",$B256="",$F256=""),"",ROUND(IF($F$3="",0,MAX(0,$F256-$F$3))+IF($D$3="",0,MIN($F256-IF($F$3="",0,MAX(0,$F256-$F$3)),MAX(0,SUMIFS($F$5:$F$304,$A$5:$A$304,$A256&amp;"",$B$5:$B$304,"&gt;="&amp;($B256-MOD(WEEKDAY($B256)-$B$3,7)),$B$5:$B$304,"&lt;="&amp;$B256)-IF($F$3="",0,SUMIFS($F$5:$F$304,$A$5:$A$304,$A256&amp;"",$B$5:$B$304,"&gt;="&amp;($B256-MOD(WEEKDAY($B256)-$B$3,7)),$B$5:$B$304,"&lt;="&amp;$B256,$F$5:$F$304,"&gt;"&amp;$F$3)-$F$3*COUNTIFS($A$5:$A$304,$A256&amp;"",$B$5:$B$304,"&gt;="&amp;($B256-MOD(WEEKDAY($B256)-$B$3,7)),$B$5:$B$304,"&lt;="&amp;$B256,$F$5:$F$304,"&gt;"&amp;$F$3))-$D$3))),2))</f>
        <v/>
      </c>
      <c r="I256" s="26" t="n"/>
      <c r="J256" s="27">
        <f>IF(AND($A256="",$C256="",$D256=""),"",IF(OR($C256&gt;=1,$D256&gt;=1),"⚠ type the time with a colon: 9:00 AM, not 9",IF(AND($C256&lt;&gt;"",$C256=$D256),"⚠ clock-in equals clock-out: the shift adds 0 h",IF(AND($C256&lt;&gt;"",$D256&lt;&gt;"",IF($E256="",0,$E256)&gt;MOD($D256-$C256,1)*24),"⚠ the break is longer than the shift",IF(AND($A256&lt;&gt;"",COUNTIF('Monthly OT Summary'!$A$6:$A$35,$A256&amp;"")=0),"⚠ name not in Monthly OT Summary: its hours are not added","")))))</f>
        <v/>
      </c>
    </row>
    <row r="257">
      <c r="A257" s="21" t="n"/>
      <c r="B257" s="40" t="n"/>
      <c r="C257" s="41" t="n"/>
      <c r="D257" s="41" t="n"/>
      <c r="E257" s="24" t="n"/>
      <c r="F257" s="8">
        <f>IF(OR($C257="",$D257=""),"",IF(OR($C257&gt;=1,$D257&gt;=1,$C257=$D257,IF($E257="",0,$E257)&gt;MOD($D257-$C257,1)*24),"",ROUND(MOD($D257-$C257,1)*24-IF($E257="",0,$E257),2)))</f>
        <v/>
      </c>
      <c r="G257" s="25" t="n">
        <v>8</v>
      </c>
      <c r="H257" s="8">
        <f>IF(OR($A257="",$B257="",$F257=""),"",ROUND(IF($F$3="",0,MAX(0,$F257-$F$3))+IF($D$3="",0,MIN($F257-IF($F$3="",0,MAX(0,$F257-$F$3)),MAX(0,SUMIFS($F$5:$F$304,$A$5:$A$304,$A257&amp;"",$B$5:$B$304,"&gt;="&amp;($B257-MOD(WEEKDAY($B257)-$B$3,7)),$B$5:$B$304,"&lt;="&amp;$B257)-IF($F$3="",0,SUMIFS($F$5:$F$304,$A$5:$A$304,$A257&amp;"",$B$5:$B$304,"&gt;="&amp;($B257-MOD(WEEKDAY($B257)-$B$3,7)),$B$5:$B$304,"&lt;="&amp;$B257,$F$5:$F$304,"&gt;"&amp;$F$3)-$F$3*COUNTIFS($A$5:$A$304,$A257&amp;"",$B$5:$B$304,"&gt;="&amp;($B257-MOD(WEEKDAY($B257)-$B$3,7)),$B$5:$B$304,"&lt;="&amp;$B257,$F$5:$F$304,"&gt;"&amp;$F$3))-$D$3))),2))</f>
        <v/>
      </c>
      <c r="I257" s="26" t="n"/>
      <c r="J257" s="27">
        <f>IF(AND($A257="",$C257="",$D257=""),"",IF(OR($C257&gt;=1,$D257&gt;=1),"⚠ type the time with a colon: 9:00 AM, not 9",IF(AND($C257&lt;&gt;"",$C257=$D257),"⚠ clock-in equals clock-out: the shift adds 0 h",IF(AND($C257&lt;&gt;"",$D257&lt;&gt;"",IF($E257="",0,$E257)&gt;MOD($D257-$C257,1)*24),"⚠ the break is longer than the shift",IF(AND($A257&lt;&gt;"",COUNTIF('Monthly OT Summary'!$A$6:$A$35,$A257&amp;"")=0),"⚠ name not in Monthly OT Summary: its hours are not added","")))))</f>
        <v/>
      </c>
    </row>
    <row r="258">
      <c r="A258" s="21" t="n"/>
      <c r="B258" s="40" t="n"/>
      <c r="C258" s="41" t="n"/>
      <c r="D258" s="41" t="n"/>
      <c r="E258" s="24" t="n"/>
      <c r="F258" s="8">
        <f>IF(OR($C258="",$D258=""),"",IF(OR($C258&gt;=1,$D258&gt;=1,$C258=$D258,IF($E258="",0,$E258)&gt;MOD($D258-$C258,1)*24),"",ROUND(MOD($D258-$C258,1)*24-IF($E258="",0,$E258),2)))</f>
        <v/>
      </c>
      <c r="G258" s="25" t="n">
        <v>8</v>
      </c>
      <c r="H258" s="8">
        <f>IF(OR($A258="",$B258="",$F258=""),"",ROUND(IF($F$3="",0,MAX(0,$F258-$F$3))+IF($D$3="",0,MIN($F258-IF($F$3="",0,MAX(0,$F258-$F$3)),MAX(0,SUMIFS($F$5:$F$304,$A$5:$A$304,$A258&amp;"",$B$5:$B$304,"&gt;="&amp;($B258-MOD(WEEKDAY($B258)-$B$3,7)),$B$5:$B$304,"&lt;="&amp;$B258)-IF($F$3="",0,SUMIFS($F$5:$F$304,$A$5:$A$304,$A258&amp;"",$B$5:$B$304,"&gt;="&amp;($B258-MOD(WEEKDAY($B258)-$B$3,7)),$B$5:$B$304,"&lt;="&amp;$B258,$F$5:$F$304,"&gt;"&amp;$F$3)-$F$3*COUNTIFS($A$5:$A$304,$A258&amp;"",$B$5:$B$304,"&gt;="&amp;($B258-MOD(WEEKDAY($B258)-$B$3,7)),$B$5:$B$304,"&lt;="&amp;$B258,$F$5:$F$304,"&gt;"&amp;$F$3))-$D$3))),2))</f>
        <v/>
      </c>
      <c r="I258" s="26" t="n"/>
      <c r="J258" s="27">
        <f>IF(AND($A258="",$C258="",$D258=""),"",IF(OR($C258&gt;=1,$D258&gt;=1),"⚠ type the time with a colon: 9:00 AM, not 9",IF(AND($C258&lt;&gt;"",$C258=$D258),"⚠ clock-in equals clock-out: the shift adds 0 h",IF(AND($C258&lt;&gt;"",$D258&lt;&gt;"",IF($E258="",0,$E258)&gt;MOD($D258-$C258,1)*24),"⚠ the break is longer than the shift",IF(AND($A258&lt;&gt;"",COUNTIF('Monthly OT Summary'!$A$6:$A$35,$A258&amp;"")=0),"⚠ name not in Monthly OT Summary: its hours are not added","")))))</f>
        <v/>
      </c>
    </row>
    <row r="259">
      <c r="A259" s="21" t="n"/>
      <c r="B259" s="40" t="n"/>
      <c r="C259" s="41" t="n"/>
      <c r="D259" s="41" t="n"/>
      <c r="E259" s="24" t="n"/>
      <c r="F259" s="8">
        <f>IF(OR($C259="",$D259=""),"",IF(OR($C259&gt;=1,$D259&gt;=1,$C259=$D259,IF($E259="",0,$E259)&gt;MOD($D259-$C259,1)*24),"",ROUND(MOD($D259-$C259,1)*24-IF($E259="",0,$E259),2)))</f>
        <v/>
      </c>
      <c r="G259" s="25" t="n">
        <v>8</v>
      </c>
      <c r="H259" s="8">
        <f>IF(OR($A259="",$B259="",$F259=""),"",ROUND(IF($F$3="",0,MAX(0,$F259-$F$3))+IF($D$3="",0,MIN($F259-IF($F$3="",0,MAX(0,$F259-$F$3)),MAX(0,SUMIFS($F$5:$F$304,$A$5:$A$304,$A259&amp;"",$B$5:$B$304,"&gt;="&amp;($B259-MOD(WEEKDAY($B259)-$B$3,7)),$B$5:$B$304,"&lt;="&amp;$B259)-IF($F$3="",0,SUMIFS($F$5:$F$304,$A$5:$A$304,$A259&amp;"",$B$5:$B$304,"&gt;="&amp;($B259-MOD(WEEKDAY($B259)-$B$3,7)),$B$5:$B$304,"&lt;="&amp;$B259,$F$5:$F$304,"&gt;"&amp;$F$3)-$F$3*COUNTIFS($A$5:$A$304,$A259&amp;"",$B$5:$B$304,"&gt;="&amp;($B259-MOD(WEEKDAY($B259)-$B$3,7)),$B$5:$B$304,"&lt;="&amp;$B259,$F$5:$F$304,"&gt;"&amp;$F$3))-$D$3))),2))</f>
        <v/>
      </c>
      <c r="I259" s="26" t="n"/>
      <c r="J259" s="27">
        <f>IF(AND($A259="",$C259="",$D259=""),"",IF(OR($C259&gt;=1,$D259&gt;=1),"⚠ type the time with a colon: 9:00 AM, not 9",IF(AND($C259&lt;&gt;"",$C259=$D259),"⚠ clock-in equals clock-out: the shift adds 0 h",IF(AND($C259&lt;&gt;"",$D259&lt;&gt;"",IF($E259="",0,$E259)&gt;MOD($D259-$C259,1)*24),"⚠ the break is longer than the shift",IF(AND($A259&lt;&gt;"",COUNTIF('Monthly OT Summary'!$A$6:$A$35,$A259&amp;"")=0),"⚠ name not in Monthly OT Summary: its hours are not added","")))))</f>
        <v/>
      </c>
    </row>
    <row r="260">
      <c r="A260" s="21" t="n"/>
      <c r="B260" s="40" t="n"/>
      <c r="C260" s="41" t="n"/>
      <c r="D260" s="41" t="n"/>
      <c r="E260" s="24" t="n"/>
      <c r="F260" s="8">
        <f>IF(OR($C260="",$D260=""),"",IF(OR($C260&gt;=1,$D260&gt;=1,$C260=$D260,IF($E260="",0,$E260)&gt;MOD($D260-$C260,1)*24),"",ROUND(MOD($D260-$C260,1)*24-IF($E260="",0,$E260),2)))</f>
        <v/>
      </c>
      <c r="G260" s="25" t="n">
        <v>8</v>
      </c>
      <c r="H260" s="8">
        <f>IF(OR($A260="",$B260="",$F260=""),"",ROUND(IF($F$3="",0,MAX(0,$F260-$F$3))+IF($D$3="",0,MIN($F260-IF($F$3="",0,MAX(0,$F260-$F$3)),MAX(0,SUMIFS($F$5:$F$304,$A$5:$A$304,$A260&amp;"",$B$5:$B$304,"&gt;="&amp;($B260-MOD(WEEKDAY($B260)-$B$3,7)),$B$5:$B$304,"&lt;="&amp;$B260)-IF($F$3="",0,SUMIFS($F$5:$F$304,$A$5:$A$304,$A260&amp;"",$B$5:$B$304,"&gt;="&amp;($B260-MOD(WEEKDAY($B260)-$B$3,7)),$B$5:$B$304,"&lt;="&amp;$B260,$F$5:$F$304,"&gt;"&amp;$F$3)-$F$3*COUNTIFS($A$5:$A$304,$A260&amp;"",$B$5:$B$304,"&gt;="&amp;($B260-MOD(WEEKDAY($B260)-$B$3,7)),$B$5:$B$304,"&lt;="&amp;$B260,$F$5:$F$304,"&gt;"&amp;$F$3))-$D$3))),2))</f>
        <v/>
      </c>
      <c r="I260" s="26" t="n"/>
      <c r="J260" s="27">
        <f>IF(AND($A260="",$C260="",$D260=""),"",IF(OR($C260&gt;=1,$D260&gt;=1),"⚠ type the time with a colon: 9:00 AM, not 9",IF(AND($C260&lt;&gt;"",$C260=$D260),"⚠ clock-in equals clock-out: the shift adds 0 h",IF(AND($C260&lt;&gt;"",$D260&lt;&gt;"",IF($E260="",0,$E260)&gt;MOD($D260-$C260,1)*24),"⚠ the break is longer than the shift",IF(AND($A260&lt;&gt;"",COUNTIF('Monthly OT Summary'!$A$6:$A$35,$A260&amp;"")=0),"⚠ name not in Monthly OT Summary: its hours are not added","")))))</f>
        <v/>
      </c>
    </row>
    <row r="261">
      <c r="A261" s="21" t="n"/>
      <c r="B261" s="40" t="n"/>
      <c r="C261" s="41" t="n"/>
      <c r="D261" s="41" t="n"/>
      <c r="E261" s="24" t="n"/>
      <c r="F261" s="8">
        <f>IF(OR($C261="",$D261=""),"",IF(OR($C261&gt;=1,$D261&gt;=1,$C261=$D261,IF($E261="",0,$E261)&gt;MOD($D261-$C261,1)*24),"",ROUND(MOD($D261-$C261,1)*24-IF($E261="",0,$E261),2)))</f>
        <v/>
      </c>
      <c r="G261" s="25" t="n">
        <v>8</v>
      </c>
      <c r="H261" s="8">
        <f>IF(OR($A261="",$B261="",$F261=""),"",ROUND(IF($F$3="",0,MAX(0,$F261-$F$3))+IF($D$3="",0,MIN($F261-IF($F$3="",0,MAX(0,$F261-$F$3)),MAX(0,SUMIFS($F$5:$F$304,$A$5:$A$304,$A261&amp;"",$B$5:$B$304,"&gt;="&amp;($B261-MOD(WEEKDAY($B261)-$B$3,7)),$B$5:$B$304,"&lt;="&amp;$B261)-IF($F$3="",0,SUMIFS($F$5:$F$304,$A$5:$A$304,$A261&amp;"",$B$5:$B$304,"&gt;="&amp;($B261-MOD(WEEKDAY($B261)-$B$3,7)),$B$5:$B$304,"&lt;="&amp;$B261,$F$5:$F$304,"&gt;"&amp;$F$3)-$F$3*COUNTIFS($A$5:$A$304,$A261&amp;"",$B$5:$B$304,"&gt;="&amp;($B261-MOD(WEEKDAY($B261)-$B$3,7)),$B$5:$B$304,"&lt;="&amp;$B261,$F$5:$F$304,"&gt;"&amp;$F$3))-$D$3))),2))</f>
        <v/>
      </c>
      <c r="I261" s="26" t="n"/>
      <c r="J261" s="27">
        <f>IF(AND($A261="",$C261="",$D261=""),"",IF(OR($C261&gt;=1,$D261&gt;=1),"⚠ type the time with a colon: 9:00 AM, not 9",IF(AND($C261&lt;&gt;"",$C261=$D261),"⚠ clock-in equals clock-out: the shift adds 0 h",IF(AND($C261&lt;&gt;"",$D261&lt;&gt;"",IF($E261="",0,$E261)&gt;MOD($D261-$C261,1)*24),"⚠ the break is longer than the shift",IF(AND($A261&lt;&gt;"",COUNTIF('Monthly OT Summary'!$A$6:$A$35,$A261&amp;"")=0),"⚠ name not in Monthly OT Summary: its hours are not added","")))))</f>
        <v/>
      </c>
    </row>
    <row r="262">
      <c r="A262" s="21" t="n"/>
      <c r="B262" s="40" t="n"/>
      <c r="C262" s="41" t="n"/>
      <c r="D262" s="41" t="n"/>
      <c r="E262" s="24" t="n"/>
      <c r="F262" s="8">
        <f>IF(OR($C262="",$D262=""),"",IF(OR($C262&gt;=1,$D262&gt;=1,$C262=$D262,IF($E262="",0,$E262)&gt;MOD($D262-$C262,1)*24),"",ROUND(MOD($D262-$C262,1)*24-IF($E262="",0,$E262),2)))</f>
        <v/>
      </c>
      <c r="G262" s="25" t="n">
        <v>8</v>
      </c>
      <c r="H262" s="8">
        <f>IF(OR($A262="",$B262="",$F262=""),"",ROUND(IF($F$3="",0,MAX(0,$F262-$F$3))+IF($D$3="",0,MIN($F262-IF($F$3="",0,MAX(0,$F262-$F$3)),MAX(0,SUMIFS($F$5:$F$304,$A$5:$A$304,$A262&amp;"",$B$5:$B$304,"&gt;="&amp;($B262-MOD(WEEKDAY($B262)-$B$3,7)),$B$5:$B$304,"&lt;="&amp;$B262)-IF($F$3="",0,SUMIFS($F$5:$F$304,$A$5:$A$304,$A262&amp;"",$B$5:$B$304,"&gt;="&amp;($B262-MOD(WEEKDAY($B262)-$B$3,7)),$B$5:$B$304,"&lt;="&amp;$B262,$F$5:$F$304,"&gt;"&amp;$F$3)-$F$3*COUNTIFS($A$5:$A$304,$A262&amp;"",$B$5:$B$304,"&gt;="&amp;($B262-MOD(WEEKDAY($B262)-$B$3,7)),$B$5:$B$304,"&lt;="&amp;$B262,$F$5:$F$304,"&gt;"&amp;$F$3))-$D$3))),2))</f>
        <v/>
      </c>
      <c r="I262" s="26" t="n"/>
      <c r="J262" s="27">
        <f>IF(AND($A262="",$C262="",$D262=""),"",IF(OR($C262&gt;=1,$D262&gt;=1),"⚠ type the time with a colon: 9:00 AM, not 9",IF(AND($C262&lt;&gt;"",$C262=$D262),"⚠ clock-in equals clock-out: the shift adds 0 h",IF(AND($C262&lt;&gt;"",$D262&lt;&gt;"",IF($E262="",0,$E262)&gt;MOD($D262-$C262,1)*24),"⚠ the break is longer than the shift",IF(AND($A262&lt;&gt;"",COUNTIF('Monthly OT Summary'!$A$6:$A$35,$A262&amp;"")=0),"⚠ name not in Monthly OT Summary: its hours are not added","")))))</f>
        <v/>
      </c>
    </row>
    <row r="263">
      <c r="A263" s="21" t="n"/>
      <c r="B263" s="40" t="n"/>
      <c r="C263" s="41" t="n"/>
      <c r="D263" s="41" t="n"/>
      <c r="E263" s="24" t="n"/>
      <c r="F263" s="8">
        <f>IF(OR($C263="",$D263=""),"",IF(OR($C263&gt;=1,$D263&gt;=1,$C263=$D263,IF($E263="",0,$E263)&gt;MOD($D263-$C263,1)*24),"",ROUND(MOD($D263-$C263,1)*24-IF($E263="",0,$E263),2)))</f>
        <v/>
      </c>
      <c r="G263" s="25" t="n">
        <v>8</v>
      </c>
      <c r="H263" s="8">
        <f>IF(OR($A263="",$B263="",$F263=""),"",ROUND(IF($F$3="",0,MAX(0,$F263-$F$3))+IF($D$3="",0,MIN($F263-IF($F$3="",0,MAX(0,$F263-$F$3)),MAX(0,SUMIFS($F$5:$F$304,$A$5:$A$304,$A263&amp;"",$B$5:$B$304,"&gt;="&amp;($B263-MOD(WEEKDAY($B263)-$B$3,7)),$B$5:$B$304,"&lt;="&amp;$B263)-IF($F$3="",0,SUMIFS($F$5:$F$304,$A$5:$A$304,$A263&amp;"",$B$5:$B$304,"&gt;="&amp;($B263-MOD(WEEKDAY($B263)-$B$3,7)),$B$5:$B$304,"&lt;="&amp;$B263,$F$5:$F$304,"&gt;"&amp;$F$3)-$F$3*COUNTIFS($A$5:$A$304,$A263&amp;"",$B$5:$B$304,"&gt;="&amp;($B263-MOD(WEEKDAY($B263)-$B$3,7)),$B$5:$B$304,"&lt;="&amp;$B263,$F$5:$F$304,"&gt;"&amp;$F$3))-$D$3))),2))</f>
        <v/>
      </c>
      <c r="I263" s="26" t="n"/>
      <c r="J263" s="27">
        <f>IF(AND($A263="",$C263="",$D263=""),"",IF(OR($C263&gt;=1,$D263&gt;=1),"⚠ type the time with a colon: 9:00 AM, not 9",IF(AND($C263&lt;&gt;"",$C263=$D263),"⚠ clock-in equals clock-out: the shift adds 0 h",IF(AND($C263&lt;&gt;"",$D263&lt;&gt;"",IF($E263="",0,$E263)&gt;MOD($D263-$C263,1)*24),"⚠ the break is longer than the shift",IF(AND($A263&lt;&gt;"",COUNTIF('Monthly OT Summary'!$A$6:$A$35,$A263&amp;"")=0),"⚠ name not in Monthly OT Summary: its hours are not added","")))))</f>
        <v/>
      </c>
    </row>
    <row r="264">
      <c r="A264" s="21" t="n"/>
      <c r="B264" s="40" t="n"/>
      <c r="C264" s="41" t="n"/>
      <c r="D264" s="41" t="n"/>
      <c r="E264" s="24" t="n"/>
      <c r="F264" s="8">
        <f>IF(OR($C264="",$D264=""),"",IF(OR($C264&gt;=1,$D264&gt;=1,$C264=$D264,IF($E264="",0,$E264)&gt;MOD($D264-$C264,1)*24),"",ROUND(MOD($D264-$C264,1)*24-IF($E264="",0,$E264),2)))</f>
        <v/>
      </c>
      <c r="G264" s="25" t="n">
        <v>8</v>
      </c>
      <c r="H264" s="8">
        <f>IF(OR($A264="",$B264="",$F264=""),"",ROUND(IF($F$3="",0,MAX(0,$F264-$F$3))+IF($D$3="",0,MIN($F264-IF($F$3="",0,MAX(0,$F264-$F$3)),MAX(0,SUMIFS($F$5:$F$304,$A$5:$A$304,$A264&amp;"",$B$5:$B$304,"&gt;="&amp;($B264-MOD(WEEKDAY($B264)-$B$3,7)),$B$5:$B$304,"&lt;="&amp;$B264)-IF($F$3="",0,SUMIFS($F$5:$F$304,$A$5:$A$304,$A264&amp;"",$B$5:$B$304,"&gt;="&amp;($B264-MOD(WEEKDAY($B264)-$B$3,7)),$B$5:$B$304,"&lt;="&amp;$B264,$F$5:$F$304,"&gt;"&amp;$F$3)-$F$3*COUNTIFS($A$5:$A$304,$A264&amp;"",$B$5:$B$304,"&gt;="&amp;($B264-MOD(WEEKDAY($B264)-$B$3,7)),$B$5:$B$304,"&lt;="&amp;$B264,$F$5:$F$304,"&gt;"&amp;$F$3))-$D$3))),2))</f>
        <v/>
      </c>
      <c r="I264" s="26" t="n"/>
      <c r="J264" s="27">
        <f>IF(AND($A264="",$C264="",$D264=""),"",IF(OR($C264&gt;=1,$D264&gt;=1),"⚠ type the time with a colon: 9:00 AM, not 9",IF(AND($C264&lt;&gt;"",$C264=$D264),"⚠ clock-in equals clock-out: the shift adds 0 h",IF(AND($C264&lt;&gt;"",$D264&lt;&gt;"",IF($E264="",0,$E264)&gt;MOD($D264-$C264,1)*24),"⚠ the break is longer than the shift",IF(AND($A264&lt;&gt;"",COUNTIF('Monthly OT Summary'!$A$6:$A$35,$A264&amp;"")=0),"⚠ name not in Monthly OT Summary: its hours are not added","")))))</f>
        <v/>
      </c>
    </row>
    <row r="265">
      <c r="A265" s="21" t="n"/>
      <c r="B265" s="40" t="n"/>
      <c r="C265" s="41" t="n"/>
      <c r="D265" s="41" t="n"/>
      <c r="E265" s="24" t="n"/>
      <c r="F265" s="8">
        <f>IF(OR($C265="",$D265=""),"",IF(OR($C265&gt;=1,$D265&gt;=1,$C265=$D265,IF($E265="",0,$E265)&gt;MOD($D265-$C265,1)*24),"",ROUND(MOD($D265-$C265,1)*24-IF($E265="",0,$E265),2)))</f>
        <v/>
      </c>
      <c r="G265" s="25" t="n">
        <v>8</v>
      </c>
      <c r="H265" s="8">
        <f>IF(OR($A265="",$B265="",$F265=""),"",ROUND(IF($F$3="",0,MAX(0,$F265-$F$3))+IF($D$3="",0,MIN($F265-IF($F$3="",0,MAX(0,$F265-$F$3)),MAX(0,SUMIFS($F$5:$F$304,$A$5:$A$304,$A265&amp;"",$B$5:$B$304,"&gt;="&amp;($B265-MOD(WEEKDAY($B265)-$B$3,7)),$B$5:$B$304,"&lt;="&amp;$B265)-IF($F$3="",0,SUMIFS($F$5:$F$304,$A$5:$A$304,$A265&amp;"",$B$5:$B$304,"&gt;="&amp;($B265-MOD(WEEKDAY($B265)-$B$3,7)),$B$5:$B$304,"&lt;="&amp;$B265,$F$5:$F$304,"&gt;"&amp;$F$3)-$F$3*COUNTIFS($A$5:$A$304,$A265&amp;"",$B$5:$B$304,"&gt;="&amp;($B265-MOD(WEEKDAY($B265)-$B$3,7)),$B$5:$B$304,"&lt;="&amp;$B265,$F$5:$F$304,"&gt;"&amp;$F$3))-$D$3))),2))</f>
        <v/>
      </c>
      <c r="I265" s="26" t="n"/>
      <c r="J265" s="27">
        <f>IF(AND($A265="",$C265="",$D265=""),"",IF(OR($C265&gt;=1,$D265&gt;=1),"⚠ type the time with a colon: 9:00 AM, not 9",IF(AND($C265&lt;&gt;"",$C265=$D265),"⚠ clock-in equals clock-out: the shift adds 0 h",IF(AND($C265&lt;&gt;"",$D265&lt;&gt;"",IF($E265="",0,$E265)&gt;MOD($D265-$C265,1)*24),"⚠ the break is longer than the shift",IF(AND($A265&lt;&gt;"",COUNTIF('Monthly OT Summary'!$A$6:$A$35,$A265&amp;"")=0),"⚠ name not in Monthly OT Summary: its hours are not added","")))))</f>
        <v/>
      </c>
    </row>
    <row r="266">
      <c r="A266" s="21" t="n"/>
      <c r="B266" s="40" t="n"/>
      <c r="C266" s="41" t="n"/>
      <c r="D266" s="41" t="n"/>
      <c r="E266" s="24" t="n"/>
      <c r="F266" s="8">
        <f>IF(OR($C266="",$D266=""),"",IF(OR($C266&gt;=1,$D266&gt;=1,$C266=$D266,IF($E266="",0,$E266)&gt;MOD($D266-$C266,1)*24),"",ROUND(MOD($D266-$C266,1)*24-IF($E266="",0,$E266),2)))</f>
        <v/>
      </c>
      <c r="G266" s="25" t="n">
        <v>8</v>
      </c>
      <c r="H266" s="8">
        <f>IF(OR($A266="",$B266="",$F266=""),"",ROUND(IF($F$3="",0,MAX(0,$F266-$F$3))+IF($D$3="",0,MIN($F266-IF($F$3="",0,MAX(0,$F266-$F$3)),MAX(0,SUMIFS($F$5:$F$304,$A$5:$A$304,$A266&amp;"",$B$5:$B$304,"&gt;="&amp;($B266-MOD(WEEKDAY($B266)-$B$3,7)),$B$5:$B$304,"&lt;="&amp;$B266)-IF($F$3="",0,SUMIFS($F$5:$F$304,$A$5:$A$304,$A266&amp;"",$B$5:$B$304,"&gt;="&amp;($B266-MOD(WEEKDAY($B266)-$B$3,7)),$B$5:$B$304,"&lt;="&amp;$B266,$F$5:$F$304,"&gt;"&amp;$F$3)-$F$3*COUNTIFS($A$5:$A$304,$A266&amp;"",$B$5:$B$304,"&gt;="&amp;($B266-MOD(WEEKDAY($B266)-$B$3,7)),$B$5:$B$304,"&lt;="&amp;$B266,$F$5:$F$304,"&gt;"&amp;$F$3))-$D$3))),2))</f>
        <v/>
      </c>
      <c r="I266" s="26" t="n"/>
      <c r="J266" s="27">
        <f>IF(AND($A266="",$C266="",$D266=""),"",IF(OR($C266&gt;=1,$D266&gt;=1),"⚠ type the time with a colon: 9:00 AM, not 9",IF(AND($C266&lt;&gt;"",$C266=$D266),"⚠ clock-in equals clock-out: the shift adds 0 h",IF(AND($C266&lt;&gt;"",$D266&lt;&gt;"",IF($E266="",0,$E266)&gt;MOD($D266-$C266,1)*24),"⚠ the break is longer than the shift",IF(AND($A266&lt;&gt;"",COUNTIF('Monthly OT Summary'!$A$6:$A$35,$A266&amp;"")=0),"⚠ name not in Monthly OT Summary: its hours are not added","")))))</f>
        <v/>
      </c>
    </row>
    <row r="267">
      <c r="A267" s="21" t="n"/>
      <c r="B267" s="40" t="n"/>
      <c r="C267" s="41" t="n"/>
      <c r="D267" s="41" t="n"/>
      <c r="E267" s="24" t="n"/>
      <c r="F267" s="8">
        <f>IF(OR($C267="",$D267=""),"",IF(OR($C267&gt;=1,$D267&gt;=1,$C267=$D267,IF($E267="",0,$E267)&gt;MOD($D267-$C267,1)*24),"",ROUND(MOD($D267-$C267,1)*24-IF($E267="",0,$E267),2)))</f>
        <v/>
      </c>
      <c r="G267" s="25" t="n">
        <v>8</v>
      </c>
      <c r="H267" s="8">
        <f>IF(OR($A267="",$B267="",$F267=""),"",ROUND(IF($F$3="",0,MAX(0,$F267-$F$3))+IF($D$3="",0,MIN($F267-IF($F$3="",0,MAX(0,$F267-$F$3)),MAX(0,SUMIFS($F$5:$F$304,$A$5:$A$304,$A267&amp;"",$B$5:$B$304,"&gt;="&amp;($B267-MOD(WEEKDAY($B267)-$B$3,7)),$B$5:$B$304,"&lt;="&amp;$B267)-IF($F$3="",0,SUMIFS($F$5:$F$304,$A$5:$A$304,$A267&amp;"",$B$5:$B$304,"&gt;="&amp;($B267-MOD(WEEKDAY($B267)-$B$3,7)),$B$5:$B$304,"&lt;="&amp;$B267,$F$5:$F$304,"&gt;"&amp;$F$3)-$F$3*COUNTIFS($A$5:$A$304,$A267&amp;"",$B$5:$B$304,"&gt;="&amp;($B267-MOD(WEEKDAY($B267)-$B$3,7)),$B$5:$B$304,"&lt;="&amp;$B267,$F$5:$F$304,"&gt;"&amp;$F$3))-$D$3))),2))</f>
        <v/>
      </c>
      <c r="I267" s="26" t="n"/>
      <c r="J267" s="27">
        <f>IF(AND($A267="",$C267="",$D267=""),"",IF(OR($C267&gt;=1,$D267&gt;=1),"⚠ type the time with a colon: 9:00 AM, not 9",IF(AND($C267&lt;&gt;"",$C267=$D267),"⚠ clock-in equals clock-out: the shift adds 0 h",IF(AND($C267&lt;&gt;"",$D267&lt;&gt;"",IF($E267="",0,$E267)&gt;MOD($D267-$C267,1)*24),"⚠ the break is longer than the shift",IF(AND($A267&lt;&gt;"",COUNTIF('Monthly OT Summary'!$A$6:$A$35,$A267&amp;"")=0),"⚠ name not in Monthly OT Summary: its hours are not added","")))))</f>
        <v/>
      </c>
    </row>
    <row r="268">
      <c r="A268" s="21" t="n"/>
      <c r="B268" s="40" t="n"/>
      <c r="C268" s="41" t="n"/>
      <c r="D268" s="41" t="n"/>
      <c r="E268" s="24" t="n"/>
      <c r="F268" s="8">
        <f>IF(OR($C268="",$D268=""),"",IF(OR($C268&gt;=1,$D268&gt;=1,$C268=$D268,IF($E268="",0,$E268)&gt;MOD($D268-$C268,1)*24),"",ROUND(MOD($D268-$C268,1)*24-IF($E268="",0,$E268),2)))</f>
        <v/>
      </c>
      <c r="G268" s="25" t="n">
        <v>8</v>
      </c>
      <c r="H268" s="8">
        <f>IF(OR($A268="",$B268="",$F268=""),"",ROUND(IF($F$3="",0,MAX(0,$F268-$F$3))+IF($D$3="",0,MIN($F268-IF($F$3="",0,MAX(0,$F268-$F$3)),MAX(0,SUMIFS($F$5:$F$304,$A$5:$A$304,$A268&amp;"",$B$5:$B$304,"&gt;="&amp;($B268-MOD(WEEKDAY($B268)-$B$3,7)),$B$5:$B$304,"&lt;="&amp;$B268)-IF($F$3="",0,SUMIFS($F$5:$F$304,$A$5:$A$304,$A268&amp;"",$B$5:$B$304,"&gt;="&amp;($B268-MOD(WEEKDAY($B268)-$B$3,7)),$B$5:$B$304,"&lt;="&amp;$B268,$F$5:$F$304,"&gt;"&amp;$F$3)-$F$3*COUNTIFS($A$5:$A$304,$A268&amp;"",$B$5:$B$304,"&gt;="&amp;($B268-MOD(WEEKDAY($B268)-$B$3,7)),$B$5:$B$304,"&lt;="&amp;$B268,$F$5:$F$304,"&gt;"&amp;$F$3))-$D$3))),2))</f>
        <v/>
      </c>
      <c r="I268" s="26" t="n"/>
      <c r="J268" s="27">
        <f>IF(AND($A268="",$C268="",$D268=""),"",IF(OR($C268&gt;=1,$D268&gt;=1),"⚠ type the time with a colon: 9:00 AM, not 9",IF(AND($C268&lt;&gt;"",$C268=$D268),"⚠ clock-in equals clock-out: the shift adds 0 h",IF(AND($C268&lt;&gt;"",$D268&lt;&gt;"",IF($E268="",0,$E268)&gt;MOD($D268-$C268,1)*24),"⚠ the break is longer than the shift",IF(AND($A268&lt;&gt;"",COUNTIF('Monthly OT Summary'!$A$6:$A$35,$A268&amp;"")=0),"⚠ name not in Monthly OT Summary: its hours are not added","")))))</f>
        <v/>
      </c>
    </row>
    <row r="269">
      <c r="A269" s="21" t="n"/>
      <c r="B269" s="40" t="n"/>
      <c r="C269" s="41" t="n"/>
      <c r="D269" s="41" t="n"/>
      <c r="E269" s="24" t="n"/>
      <c r="F269" s="8">
        <f>IF(OR($C269="",$D269=""),"",IF(OR($C269&gt;=1,$D269&gt;=1,$C269=$D269,IF($E269="",0,$E269)&gt;MOD($D269-$C269,1)*24),"",ROUND(MOD($D269-$C269,1)*24-IF($E269="",0,$E269),2)))</f>
        <v/>
      </c>
      <c r="G269" s="25" t="n">
        <v>8</v>
      </c>
      <c r="H269" s="8">
        <f>IF(OR($A269="",$B269="",$F269=""),"",ROUND(IF($F$3="",0,MAX(0,$F269-$F$3))+IF($D$3="",0,MIN($F269-IF($F$3="",0,MAX(0,$F269-$F$3)),MAX(0,SUMIFS($F$5:$F$304,$A$5:$A$304,$A269&amp;"",$B$5:$B$304,"&gt;="&amp;($B269-MOD(WEEKDAY($B269)-$B$3,7)),$B$5:$B$304,"&lt;="&amp;$B269)-IF($F$3="",0,SUMIFS($F$5:$F$304,$A$5:$A$304,$A269&amp;"",$B$5:$B$304,"&gt;="&amp;($B269-MOD(WEEKDAY($B269)-$B$3,7)),$B$5:$B$304,"&lt;="&amp;$B269,$F$5:$F$304,"&gt;"&amp;$F$3)-$F$3*COUNTIFS($A$5:$A$304,$A269&amp;"",$B$5:$B$304,"&gt;="&amp;($B269-MOD(WEEKDAY($B269)-$B$3,7)),$B$5:$B$304,"&lt;="&amp;$B269,$F$5:$F$304,"&gt;"&amp;$F$3))-$D$3))),2))</f>
        <v/>
      </c>
      <c r="I269" s="26" t="n"/>
      <c r="J269" s="27">
        <f>IF(AND($A269="",$C269="",$D269=""),"",IF(OR($C269&gt;=1,$D269&gt;=1),"⚠ type the time with a colon: 9:00 AM, not 9",IF(AND($C269&lt;&gt;"",$C269=$D269),"⚠ clock-in equals clock-out: the shift adds 0 h",IF(AND($C269&lt;&gt;"",$D269&lt;&gt;"",IF($E269="",0,$E269)&gt;MOD($D269-$C269,1)*24),"⚠ the break is longer than the shift",IF(AND($A269&lt;&gt;"",COUNTIF('Monthly OT Summary'!$A$6:$A$35,$A269&amp;"")=0),"⚠ name not in Monthly OT Summary: its hours are not added","")))))</f>
        <v/>
      </c>
    </row>
    <row r="270">
      <c r="A270" s="21" t="n"/>
      <c r="B270" s="40" t="n"/>
      <c r="C270" s="41" t="n"/>
      <c r="D270" s="41" t="n"/>
      <c r="E270" s="24" t="n"/>
      <c r="F270" s="8">
        <f>IF(OR($C270="",$D270=""),"",IF(OR($C270&gt;=1,$D270&gt;=1,$C270=$D270,IF($E270="",0,$E270)&gt;MOD($D270-$C270,1)*24),"",ROUND(MOD($D270-$C270,1)*24-IF($E270="",0,$E270),2)))</f>
        <v/>
      </c>
      <c r="G270" s="25" t="n">
        <v>8</v>
      </c>
      <c r="H270" s="8">
        <f>IF(OR($A270="",$B270="",$F270=""),"",ROUND(IF($F$3="",0,MAX(0,$F270-$F$3))+IF($D$3="",0,MIN($F270-IF($F$3="",0,MAX(0,$F270-$F$3)),MAX(0,SUMIFS($F$5:$F$304,$A$5:$A$304,$A270&amp;"",$B$5:$B$304,"&gt;="&amp;($B270-MOD(WEEKDAY($B270)-$B$3,7)),$B$5:$B$304,"&lt;="&amp;$B270)-IF($F$3="",0,SUMIFS($F$5:$F$304,$A$5:$A$304,$A270&amp;"",$B$5:$B$304,"&gt;="&amp;($B270-MOD(WEEKDAY($B270)-$B$3,7)),$B$5:$B$304,"&lt;="&amp;$B270,$F$5:$F$304,"&gt;"&amp;$F$3)-$F$3*COUNTIFS($A$5:$A$304,$A270&amp;"",$B$5:$B$304,"&gt;="&amp;($B270-MOD(WEEKDAY($B270)-$B$3,7)),$B$5:$B$304,"&lt;="&amp;$B270,$F$5:$F$304,"&gt;"&amp;$F$3))-$D$3))),2))</f>
        <v/>
      </c>
      <c r="I270" s="26" t="n"/>
      <c r="J270" s="27">
        <f>IF(AND($A270="",$C270="",$D270=""),"",IF(OR($C270&gt;=1,$D270&gt;=1),"⚠ type the time with a colon: 9:00 AM, not 9",IF(AND($C270&lt;&gt;"",$C270=$D270),"⚠ clock-in equals clock-out: the shift adds 0 h",IF(AND($C270&lt;&gt;"",$D270&lt;&gt;"",IF($E270="",0,$E270)&gt;MOD($D270-$C270,1)*24),"⚠ the break is longer than the shift",IF(AND($A270&lt;&gt;"",COUNTIF('Monthly OT Summary'!$A$6:$A$35,$A270&amp;"")=0),"⚠ name not in Monthly OT Summary: its hours are not added","")))))</f>
        <v/>
      </c>
    </row>
    <row r="271">
      <c r="A271" s="21" t="n"/>
      <c r="B271" s="40" t="n"/>
      <c r="C271" s="41" t="n"/>
      <c r="D271" s="41" t="n"/>
      <c r="E271" s="24" t="n"/>
      <c r="F271" s="8">
        <f>IF(OR($C271="",$D271=""),"",IF(OR($C271&gt;=1,$D271&gt;=1,$C271=$D271,IF($E271="",0,$E271)&gt;MOD($D271-$C271,1)*24),"",ROUND(MOD($D271-$C271,1)*24-IF($E271="",0,$E271),2)))</f>
        <v/>
      </c>
      <c r="G271" s="25" t="n">
        <v>8</v>
      </c>
      <c r="H271" s="8">
        <f>IF(OR($A271="",$B271="",$F271=""),"",ROUND(IF($F$3="",0,MAX(0,$F271-$F$3))+IF($D$3="",0,MIN($F271-IF($F$3="",0,MAX(0,$F271-$F$3)),MAX(0,SUMIFS($F$5:$F$304,$A$5:$A$304,$A271&amp;"",$B$5:$B$304,"&gt;="&amp;($B271-MOD(WEEKDAY($B271)-$B$3,7)),$B$5:$B$304,"&lt;="&amp;$B271)-IF($F$3="",0,SUMIFS($F$5:$F$304,$A$5:$A$304,$A271&amp;"",$B$5:$B$304,"&gt;="&amp;($B271-MOD(WEEKDAY($B271)-$B$3,7)),$B$5:$B$304,"&lt;="&amp;$B271,$F$5:$F$304,"&gt;"&amp;$F$3)-$F$3*COUNTIFS($A$5:$A$304,$A271&amp;"",$B$5:$B$304,"&gt;="&amp;($B271-MOD(WEEKDAY($B271)-$B$3,7)),$B$5:$B$304,"&lt;="&amp;$B271,$F$5:$F$304,"&gt;"&amp;$F$3))-$D$3))),2))</f>
        <v/>
      </c>
      <c r="I271" s="26" t="n"/>
      <c r="J271" s="27">
        <f>IF(AND($A271="",$C271="",$D271=""),"",IF(OR($C271&gt;=1,$D271&gt;=1),"⚠ type the time with a colon: 9:00 AM, not 9",IF(AND($C271&lt;&gt;"",$C271=$D271),"⚠ clock-in equals clock-out: the shift adds 0 h",IF(AND($C271&lt;&gt;"",$D271&lt;&gt;"",IF($E271="",0,$E271)&gt;MOD($D271-$C271,1)*24),"⚠ the break is longer than the shift",IF(AND($A271&lt;&gt;"",COUNTIF('Monthly OT Summary'!$A$6:$A$35,$A271&amp;"")=0),"⚠ name not in Monthly OT Summary: its hours are not added","")))))</f>
        <v/>
      </c>
    </row>
    <row r="272">
      <c r="A272" s="21" t="n"/>
      <c r="B272" s="40" t="n"/>
      <c r="C272" s="41" t="n"/>
      <c r="D272" s="41" t="n"/>
      <c r="E272" s="24" t="n"/>
      <c r="F272" s="8">
        <f>IF(OR($C272="",$D272=""),"",IF(OR($C272&gt;=1,$D272&gt;=1,$C272=$D272,IF($E272="",0,$E272)&gt;MOD($D272-$C272,1)*24),"",ROUND(MOD($D272-$C272,1)*24-IF($E272="",0,$E272),2)))</f>
        <v/>
      </c>
      <c r="G272" s="25" t="n">
        <v>8</v>
      </c>
      <c r="H272" s="8">
        <f>IF(OR($A272="",$B272="",$F272=""),"",ROUND(IF($F$3="",0,MAX(0,$F272-$F$3))+IF($D$3="",0,MIN($F272-IF($F$3="",0,MAX(0,$F272-$F$3)),MAX(0,SUMIFS($F$5:$F$304,$A$5:$A$304,$A272&amp;"",$B$5:$B$304,"&gt;="&amp;($B272-MOD(WEEKDAY($B272)-$B$3,7)),$B$5:$B$304,"&lt;="&amp;$B272)-IF($F$3="",0,SUMIFS($F$5:$F$304,$A$5:$A$304,$A272&amp;"",$B$5:$B$304,"&gt;="&amp;($B272-MOD(WEEKDAY($B272)-$B$3,7)),$B$5:$B$304,"&lt;="&amp;$B272,$F$5:$F$304,"&gt;"&amp;$F$3)-$F$3*COUNTIFS($A$5:$A$304,$A272&amp;"",$B$5:$B$304,"&gt;="&amp;($B272-MOD(WEEKDAY($B272)-$B$3,7)),$B$5:$B$304,"&lt;="&amp;$B272,$F$5:$F$304,"&gt;"&amp;$F$3))-$D$3))),2))</f>
        <v/>
      </c>
      <c r="I272" s="26" t="n"/>
      <c r="J272" s="27">
        <f>IF(AND($A272="",$C272="",$D272=""),"",IF(OR($C272&gt;=1,$D272&gt;=1),"⚠ type the time with a colon: 9:00 AM, not 9",IF(AND($C272&lt;&gt;"",$C272=$D272),"⚠ clock-in equals clock-out: the shift adds 0 h",IF(AND($C272&lt;&gt;"",$D272&lt;&gt;"",IF($E272="",0,$E272)&gt;MOD($D272-$C272,1)*24),"⚠ the break is longer than the shift",IF(AND($A272&lt;&gt;"",COUNTIF('Monthly OT Summary'!$A$6:$A$35,$A272&amp;"")=0),"⚠ name not in Monthly OT Summary: its hours are not added","")))))</f>
        <v/>
      </c>
    </row>
    <row r="273">
      <c r="A273" s="21" t="n"/>
      <c r="B273" s="40" t="n"/>
      <c r="C273" s="41" t="n"/>
      <c r="D273" s="41" t="n"/>
      <c r="E273" s="24" t="n"/>
      <c r="F273" s="8">
        <f>IF(OR($C273="",$D273=""),"",IF(OR($C273&gt;=1,$D273&gt;=1,$C273=$D273,IF($E273="",0,$E273)&gt;MOD($D273-$C273,1)*24),"",ROUND(MOD($D273-$C273,1)*24-IF($E273="",0,$E273),2)))</f>
        <v/>
      </c>
      <c r="G273" s="25" t="n">
        <v>8</v>
      </c>
      <c r="H273" s="8">
        <f>IF(OR($A273="",$B273="",$F273=""),"",ROUND(IF($F$3="",0,MAX(0,$F273-$F$3))+IF($D$3="",0,MIN($F273-IF($F$3="",0,MAX(0,$F273-$F$3)),MAX(0,SUMIFS($F$5:$F$304,$A$5:$A$304,$A273&amp;"",$B$5:$B$304,"&gt;="&amp;($B273-MOD(WEEKDAY($B273)-$B$3,7)),$B$5:$B$304,"&lt;="&amp;$B273)-IF($F$3="",0,SUMIFS($F$5:$F$304,$A$5:$A$304,$A273&amp;"",$B$5:$B$304,"&gt;="&amp;($B273-MOD(WEEKDAY($B273)-$B$3,7)),$B$5:$B$304,"&lt;="&amp;$B273,$F$5:$F$304,"&gt;"&amp;$F$3)-$F$3*COUNTIFS($A$5:$A$304,$A273&amp;"",$B$5:$B$304,"&gt;="&amp;($B273-MOD(WEEKDAY($B273)-$B$3,7)),$B$5:$B$304,"&lt;="&amp;$B273,$F$5:$F$304,"&gt;"&amp;$F$3))-$D$3))),2))</f>
        <v/>
      </c>
      <c r="I273" s="26" t="n"/>
      <c r="J273" s="27">
        <f>IF(AND($A273="",$C273="",$D273=""),"",IF(OR($C273&gt;=1,$D273&gt;=1),"⚠ type the time with a colon: 9:00 AM, not 9",IF(AND($C273&lt;&gt;"",$C273=$D273),"⚠ clock-in equals clock-out: the shift adds 0 h",IF(AND($C273&lt;&gt;"",$D273&lt;&gt;"",IF($E273="",0,$E273)&gt;MOD($D273-$C273,1)*24),"⚠ the break is longer than the shift",IF(AND($A273&lt;&gt;"",COUNTIF('Monthly OT Summary'!$A$6:$A$35,$A273&amp;"")=0),"⚠ name not in Monthly OT Summary: its hours are not added","")))))</f>
        <v/>
      </c>
    </row>
    <row r="274">
      <c r="A274" s="21" t="n"/>
      <c r="B274" s="40" t="n"/>
      <c r="C274" s="41" t="n"/>
      <c r="D274" s="41" t="n"/>
      <c r="E274" s="24" t="n"/>
      <c r="F274" s="8">
        <f>IF(OR($C274="",$D274=""),"",IF(OR($C274&gt;=1,$D274&gt;=1,$C274=$D274,IF($E274="",0,$E274)&gt;MOD($D274-$C274,1)*24),"",ROUND(MOD($D274-$C274,1)*24-IF($E274="",0,$E274),2)))</f>
        <v/>
      </c>
      <c r="G274" s="25" t="n">
        <v>8</v>
      </c>
      <c r="H274" s="8">
        <f>IF(OR($A274="",$B274="",$F274=""),"",ROUND(IF($F$3="",0,MAX(0,$F274-$F$3))+IF($D$3="",0,MIN($F274-IF($F$3="",0,MAX(0,$F274-$F$3)),MAX(0,SUMIFS($F$5:$F$304,$A$5:$A$304,$A274&amp;"",$B$5:$B$304,"&gt;="&amp;($B274-MOD(WEEKDAY($B274)-$B$3,7)),$B$5:$B$304,"&lt;="&amp;$B274)-IF($F$3="",0,SUMIFS($F$5:$F$304,$A$5:$A$304,$A274&amp;"",$B$5:$B$304,"&gt;="&amp;($B274-MOD(WEEKDAY($B274)-$B$3,7)),$B$5:$B$304,"&lt;="&amp;$B274,$F$5:$F$304,"&gt;"&amp;$F$3)-$F$3*COUNTIFS($A$5:$A$304,$A274&amp;"",$B$5:$B$304,"&gt;="&amp;($B274-MOD(WEEKDAY($B274)-$B$3,7)),$B$5:$B$304,"&lt;="&amp;$B274,$F$5:$F$304,"&gt;"&amp;$F$3))-$D$3))),2))</f>
        <v/>
      </c>
      <c r="I274" s="26" t="n"/>
      <c r="J274" s="27">
        <f>IF(AND($A274="",$C274="",$D274=""),"",IF(OR($C274&gt;=1,$D274&gt;=1),"⚠ type the time with a colon: 9:00 AM, not 9",IF(AND($C274&lt;&gt;"",$C274=$D274),"⚠ clock-in equals clock-out: the shift adds 0 h",IF(AND($C274&lt;&gt;"",$D274&lt;&gt;"",IF($E274="",0,$E274)&gt;MOD($D274-$C274,1)*24),"⚠ the break is longer than the shift",IF(AND($A274&lt;&gt;"",COUNTIF('Monthly OT Summary'!$A$6:$A$35,$A274&amp;"")=0),"⚠ name not in Monthly OT Summary: its hours are not added","")))))</f>
        <v/>
      </c>
    </row>
    <row r="275">
      <c r="A275" s="21" t="n"/>
      <c r="B275" s="40" t="n"/>
      <c r="C275" s="41" t="n"/>
      <c r="D275" s="41" t="n"/>
      <c r="E275" s="24" t="n"/>
      <c r="F275" s="8">
        <f>IF(OR($C275="",$D275=""),"",IF(OR($C275&gt;=1,$D275&gt;=1,$C275=$D275,IF($E275="",0,$E275)&gt;MOD($D275-$C275,1)*24),"",ROUND(MOD($D275-$C275,1)*24-IF($E275="",0,$E275),2)))</f>
        <v/>
      </c>
      <c r="G275" s="25" t="n">
        <v>8</v>
      </c>
      <c r="H275" s="8">
        <f>IF(OR($A275="",$B275="",$F275=""),"",ROUND(IF($F$3="",0,MAX(0,$F275-$F$3))+IF($D$3="",0,MIN($F275-IF($F$3="",0,MAX(0,$F275-$F$3)),MAX(0,SUMIFS($F$5:$F$304,$A$5:$A$304,$A275&amp;"",$B$5:$B$304,"&gt;="&amp;($B275-MOD(WEEKDAY($B275)-$B$3,7)),$B$5:$B$304,"&lt;="&amp;$B275)-IF($F$3="",0,SUMIFS($F$5:$F$304,$A$5:$A$304,$A275&amp;"",$B$5:$B$304,"&gt;="&amp;($B275-MOD(WEEKDAY($B275)-$B$3,7)),$B$5:$B$304,"&lt;="&amp;$B275,$F$5:$F$304,"&gt;"&amp;$F$3)-$F$3*COUNTIFS($A$5:$A$304,$A275&amp;"",$B$5:$B$304,"&gt;="&amp;($B275-MOD(WEEKDAY($B275)-$B$3,7)),$B$5:$B$304,"&lt;="&amp;$B275,$F$5:$F$304,"&gt;"&amp;$F$3))-$D$3))),2))</f>
        <v/>
      </c>
      <c r="I275" s="26" t="n"/>
      <c r="J275" s="27">
        <f>IF(AND($A275="",$C275="",$D275=""),"",IF(OR($C275&gt;=1,$D275&gt;=1),"⚠ type the time with a colon: 9:00 AM, not 9",IF(AND($C275&lt;&gt;"",$C275=$D275),"⚠ clock-in equals clock-out: the shift adds 0 h",IF(AND($C275&lt;&gt;"",$D275&lt;&gt;"",IF($E275="",0,$E275)&gt;MOD($D275-$C275,1)*24),"⚠ the break is longer than the shift",IF(AND($A275&lt;&gt;"",COUNTIF('Monthly OT Summary'!$A$6:$A$35,$A275&amp;"")=0),"⚠ name not in Monthly OT Summary: its hours are not added","")))))</f>
        <v/>
      </c>
    </row>
    <row r="276">
      <c r="A276" s="21" t="n"/>
      <c r="B276" s="40" t="n"/>
      <c r="C276" s="41" t="n"/>
      <c r="D276" s="41" t="n"/>
      <c r="E276" s="24" t="n"/>
      <c r="F276" s="8">
        <f>IF(OR($C276="",$D276=""),"",IF(OR($C276&gt;=1,$D276&gt;=1,$C276=$D276,IF($E276="",0,$E276)&gt;MOD($D276-$C276,1)*24),"",ROUND(MOD($D276-$C276,1)*24-IF($E276="",0,$E276),2)))</f>
        <v/>
      </c>
      <c r="G276" s="25" t="n">
        <v>8</v>
      </c>
      <c r="H276" s="8">
        <f>IF(OR($A276="",$B276="",$F276=""),"",ROUND(IF($F$3="",0,MAX(0,$F276-$F$3))+IF($D$3="",0,MIN($F276-IF($F$3="",0,MAX(0,$F276-$F$3)),MAX(0,SUMIFS($F$5:$F$304,$A$5:$A$304,$A276&amp;"",$B$5:$B$304,"&gt;="&amp;($B276-MOD(WEEKDAY($B276)-$B$3,7)),$B$5:$B$304,"&lt;="&amp;$B276)-IF($F$3="",0,SUMIFS($F$5:$F$304,$A$5:$A$304,$A276&amp;"",$B$5:$B$304,"&gt;="&amp;($B276-MOD(WEEKDAY($B276)-$B$3,7)),$B$5:$B$304,"&lt;="&amp;$B276,$F$5:$F$304,"&gt;"&amp;$F$3)-$F$3*COUNTIFS($A$5:$A$304,$A276&amp;"",$B$5:$B$304,"&gt;="&amp;($B276-MOD(WEEKDAY($B276)-$B$3,7)),$B$5:$B$304,"&lt;="&amp;$B276,$F$5:$F$304,"&gt;"&amp;$F$3))-$D$3))),2))</f>
        <v/>
      </c>
      <c r="I276" s="26" t="n"/>
      <c r="J276" s="27">
        <f>IF(AND($A276="",$C276="",$D276=""),"",IF(OR($C276&gt;=1,$D276&gt;=1),"⚠ type the time with a colon: 9:00 AM, not 9",IF(AND($C276&lt;&gt;"",$C276=$D276),"⚠ clock-in equals clock-out: the shift adds 0 h",IF(AND($C276&lt;&gt;"",$D276&lt;&gt;"",IF($E276="",0,$E276)&gt;MOD($D276-$C276,1)*24),"⚠ the break is longer than the shift",IF(AND($A276&lt;&gt;"",COUNTIF('Monthly OT Summary'!$A$6:$A$35,$A276&amp;"")=0),"⚠ name not in Monthly OT Summary: its hours are not added","")))))</f>
        <v/>
      </c>
    </row>
    <row r="277">
      <c r="A277" s="21" t="n"/>
      <c r="B277" s="40" t="n"/>
      <c r="C277" s="41" t="n"/>
      <c r="D277" s="41" t="n"/>
      <c r="E277" s="24" t="n"/>
      <c r="F277" s="8">
        <f>IF(OR($C277="",$D277=""),"",IF(OR($C277&gt;=1,$D277&gt;=1,$C277=$D277,IF($E277="",0,$E277)&gt;MOD($D277-$C277,1)*24),"",ROUND(MOD($D277-$C277,1)*24-IF($E277="",0,$E277),2)))</f>
        <v/>
      </c>
      <c r="G277" s="25" t="n">
        <v>8</v>
      </c>
      <c r="H277" s="8">
        <f>IF(OR($A277="",$B277="",$F277=""),"",ROUND(IF($F$3="",0,MAX(0,$F277-$F$3))+IF($D$3="",0,MIN($F277-IF($F$3="",0,MAX(0,$F277-$F$3)),MAX(0,SUMIFS($F$5:$F$304,$A$5:$A$304,$A277&amp;"",$B$5:$B$304,"&gt;="&amp;($B277-MOD(WEEKDAY($B277)-$B$3,7)),$B$5:$B$304,"&lt;="&amp;$B277)-IF($F$3="",0,SUMIFS($F$5:$F$304,$A$5:$A$304,$A277&amp;"",$B$5:$B$304,"&gt;="&amp;($B277-MOD(WEEKDAY($B277)-$B$3,7)),$B$5:$B$304,"&lt;="&amp;$B277,$F$5:$F$304,"&gt;"&amp;$F$3)-$F$3*COUNTIFS($A$5:$A$304,$A277&amp;"",$B$5:$B$304,"&gt;="&amp;($B277-MOD(WEEKDAY($B277)-$B$3,7)),$B$5:$B$304,"&lt;="&amp;$B277,$F$5:$F$304,"&gt;"&amp;$F$3))-$D$3))),2))</f>
        <v/>
      </c>
      <c r="I277" s="26" t="n"/>
      <c r="J277" s="27">
        <f>IF(AND($A277="",$C277="",$D277=""),"",IF(OR($C277&gt;=1,$D277&gt;=1),"⚠ type the time with a colon: 9:00 AM, not 9",IF(AND($C277&lt;&gt;"",$C277=$D277),"⚠ clock-in equals clock-out: the shift adds 0 h",IF(AND($C277&lt;&gt;"",$D277&lt;&gt;"",IF($E277="",0,$E277)&gt;MOD($D277-$C277,1)*24),"⚠ the break is longer than the shift",IF(AND($A277&lt;&gt;"",COUNTIF('Monthly OT Summary'!$A$6:$A$35,$A277&amp;"")=0),"⚠ name not in Monthly OT Summary: its hours are not added","")))))</f>
        <v/>
      </c>
    </row>
    <row r="278">
      <c r="A278" s="21" t="n"/>
      <c r="B278" s="40" t="n"/>
      <c r="C278" s="41" t="n"/>
      <c r="D278" s="41" t="n"/>
      <c r="E278" s="24" t="n"/>
      <c r="F278" s="8">
        <f>IF(OR($C278="",$D278=""),"",IF(OR($C278&gt;=1,$D278&gt;=1,$C278=$D278,IF($E278="",0,$E278)&gt;MOD($D278-$C278,1)*24),"",ROUND(MOD($D278-$C278,1)*24-IF($E278="",0,$E278),2)))</f>
        <v/>
      </c>
      <c r="G278" s="25" t="n">
        <v>8</v>
      </c>
      <c r="H278" s="8">
        <f>IF(OR($A278="",$B278="",$F278=""),"",ROUND(IF($F$3="",0,MAX(0,$F278-$F$3))+IF($D$3="",0,MIN($F278-IF($F$3="",0,MAX(0,$F278-$F$3)),MAX(0,SUMIFS($F$5:$F$304,$A$5:$A$304,$A278&amp;"",$B$5:$B$304,"&gt;="&amp;($B278-MOD(WEEKDAY($B278)-$B$3,7)),$B$5:$B$304,"&lt;="&amp;$B278)-IF($F$3="",0,SUMIFS($F$5:$F$304,$A$5:$A$304,$A278&amp;"",$B$5:$B$304,"&gt;="&amp;($B278-MOD(WEEKDAY($B278)-$B$3,7)),$B$5:$B$304,"&lt;="&amp;$B278,$F$5:$F$304,"&gt;"&amp;$F$3)-$F$3*COUNTIFS($A$5:$A$304,$A278&amp;"",$B$5:$B$304,"&gt;="&amp;($B278-MOD(WEEKDAY($B278)-$B$3,7)),$B$5:$B$304,"&lt;="&amp;$B278,$F$5:$F$304,"&gt;"&amp;$F$3))-$D$3))),2))</f>
        <v/>
      </c>
      <c r="I278" s="26" t="n"/>
      <c r="J278" s="27">
        <f>IF(AND($A278="",$C278="",$D278=""),"",IF(OR($C278&gt;=1,$D278&gt;=1),"⚠ type the time with a colon: 9:00 AM, not 9",IF(AND($C278&lt;&gt;"",$C278=$D278),"⚠ clock-in equals clock-out: the shift adds 0 h",IF(AND($C278&lt;&gt;"",$D278&lt;&gt;"",IF($E278="",0,$E278)&gt;MOD($D278-$C278,1)*24),"⚠ the break is longer than the shift",IF(AND($A278&lt;&gt;"",COUNTIF('Monthly OT Summary'!$A$6:$A$35,$A278&amp;"")=0),"⚠ name not in Monthly OT Summary: its hours are not added","")))))</f>
        <v/>
      </c>
    </row>
    <row r="279">
      <c r="A279" s="21" t="n"/>
      <c r="B279" s="40" t="n"/>
      <c r="C279" s="41" t="n"/>
      <c r="D279" s="41" t="n"/>
      <c r="E279" s="24" t="n"/>
      <c r="F279" s="8">
        <f>IF(OR($C279="",$D279=""),"",IF(OR($C279&gt;=1,$D279&gt;=1,$C279=$D279,IF($E279="",0,$E279)&gt;MOD($D279-$C279,1)*24),"",ROUND(MOD($D279-$C279,1)*24-IF($E279="",0,$E279),2)))</f>
        <v/>
      </c>
      <c r="G279" s="25" t="n">
        <v>8</v>
      </c>
      <c r="H279" s="8">
        <f>IF(OR($A279="",$B279="",$F279=""),"",ROUND(IF($F$3="",0,MAX(0,$F279-$F$3))+IF($D$3="",0,MIN($F279-IF($F$3="",0,MAX(0,$F279-$F$3)),MAX(0,SUMIFS($F$5:$F$304,$A$5:$A$304,$A279&amp;"",$B$5:$B$304,"&gt;="&amp;($B279-MOD(WEEKDAY($B279)-$B$3,7)),$B$5:$B$304,"&lt;="&amp;$B279)-IF($F$3="",0,SUMIFS($F$5:$F$304,$A$5:$A$304,$A279&amp;"",$B$5:$B$304,"&gt;="&amp;($B279-MOD(WEEKDAY($B279)-$B$3,7)),$B$5:$B$304,"&lt;="&amp;$B279,$F$5:$F$304,"&gt;"&amp;$F$3)-$F$3*COUNTIFS($A$5:$A$304,$A279&amp;"",$B$5:$B$304,"&gt;="&amp;($B279-MOD(WEEKDAY($B279)-$B$3,7)),$B$5:$B$304,"&lt;="&amp;$B279,$F$5:$F$304,"&gt;"&amp;$F$3))-$D$3))),2))</f>
        <v/>
      </c>
      <c r="I279" s="26" t="n"/>
      <c r="J279" s="27">
        <f>IF(AND($A279="",$C279="",$D279=""),"",IF(OR($C279&gt;=1,$D279&gt;=1),"⚠ type the time with a colon: 9:00 AM, not 9",IF(AND($C279&lt;&gt;"",$C279=$D279),"⚠ clock-in equals clock-out: the shift adds 0 h",IF(AND($C279&lt;&gt;"",$D279&lt;&gt;"",IF($E279="",0,$E279)&gt;MOD($D279-$C279,1)*24),"⚠ the break is longer than the shift",IF(AND($A279&lt;&gt;"",COUNTIF('Monthly OT Summary'!$A$6:$A$35,$A279&amp;"")=0),"⚠ name not in Monthly OT Summary: its hours are not added","")))))</f>
        <v/>
      </c>
    </row>
    <row r="280">
      <c r="A280" s="21" t="n"/>
      <c r="B280" s="40" t="n"/>
      <c r="C280" s="41" t="n"/>
      <c r="D280" s="41" t="n"/>
      <c r="E280" s="24" t="n"/>
      <c r="F280" s="8">
        <f>IF(OR($C280="",$D280=""),"",IF(OR($C280&gt;=1,$D280&gt;=1,$C280=$D280,IF($E280="",0,$E280)&gt;MOD($D280-$C280,1)*24),"",ROUND(MOD($D280-$C280,1)*24-IF($E280="",0,$E280),2)))</f>
        <v/>
      </c>
      <c r="G280" s="25" t="n">
        <v>8</v>
      </c>
      <c r="H280" s="8">
        <f>IF(OR($A280="",$B280="",$F280=""),"",ROUND(IF($F$3="",0,MAX(0,$F280-$F$3))+IF($D$3="",0,MIN($F280-IF($F$3="",0,MAX(0,$F280-$F$3)),MAX(0,SUMIFS($F$5:$F$304,$A$5:$A$304,$A280&amp;"",$B$5:$B$304,"&gt;="&amp;($B280-MOD(WEEKDAY($B280)-$B$3,7)),$B$5:$B$304,"&lt;="&amp;$B280)-IF($F$3="",0,SUMIFS($F$5:$F$304,$A$5:$A$304,$A280&amp;"",$B$5:$B$304,"&gt;="&amp;($B280-MOD(WEEKDAY($B280)-$B$3,7)),$B$5:$B$304,"&lt;="&amp;$B280,$F$5:$F$304,"&gt;"&amp;$F$3)-$F$3*COUNTIFS($A$5:$A$304,$A280&amp;"",$B$5:$B$304,"&gt;="&amp;($B280-MOD(WEEKDAY($B280)-$B$3,7)),$B$5:$B$304,"&lt;="&amp;$B280,$F$5:$F$304,"&gt;"&amp;$F$3))-$D$3))),2))</f>
        <v/>
      </c>
      <c r="I280" s="26" t="n"/>
      <c r="J280" s="27">
        <f>IF(AND($A280="",$C280="",$D280=""),"",IF(OR($C280&gt;=1,$D280&gt;=1),"⚠ type the time with a colon: 9:00 AM, not 9",IF(AND($C280&lt;&gt;"",$C280=$D280),"⚠ clock-in equals clock-out: the shift adds 0 h",IF(AND($C280&lt;&gt;"",$D280&lt;&gt;"",IF($E280="",0,$E280)&gt;MOD($D280-$C280,1)*24),"⚠ the break is longer than the shift",IF(AND($A280&lt;&gt;"",COUNTIF('Monthly OT Summary'!$A$6:$A$35,$A280&amp;"")=0),"⚠ name not in Monthly OT Summary: its hours are not added","")))))</f>
        <v/>
      </c>
    </row>
    <row r="281">
      <c r="A281" s="21" t="n"/>
      <c r="B281" s="40" t="n"/>
      <c r="C281" s="41" t="n"/>
      <c r="D281" s="41" t="n"/>
      <c r="E281" s="24" t="n"/>
      <c r="F281" s="8">
        <f>IF(OR($C281="",$D281=""),"",IF(OR($C281&gt;=1,$D281&gt;=1,$C281=$D281,IF($E281="",0,$E281)&gt;MOD($D281-$C281,1)*24),"",ROUND(MOD($D281-$C281,1)*24-IF($E281="",0,$E281),2)))</f>
        <v/>
      </c>
      <c r="G281" s="25" t="n">
        <v>8</v>
      </c>
      <c r="H281" s="8">
        <f>IF(OR($A281="",$B281="",$F281=""),"",ROUND(IF($F$3="",0,MAX(0,$F281-$F$3))+IF($D$3="",0,MIN($F281-IF($F$3="",0,MAX(0,$F281-$F$3)),MAX(0,SUMIFS($F$5:$F$304,$A$5:$A$304,$A281&amp;"",$B$5:$B$304,"&gt;="&amp;($B281-MOD(WEEKDAY($B281)-$B$3,7)),$B$5:$B$304,"&lt;="&amp;$B281)-IF($F$3="",0,SUMIFS($F$5:$F$304,$A$5:$A$304,$A281&amp;"",$B$5:$B$304,"&gt;="&amp;($B281-MOD(WEEKDAY($B281)-$B$3,7)),$B$5:$B$304,"&lt;="&amp;$B281,$F$5:$F$304,"&gt;"&amp;$F$3)-$F$3*COUNTIFS($A$5:$A$304,$A281&amp;"",$B$5:$B$304,"&gt;="&amp;($B281-MOD(WEEKDAY($B281)-$B$3,7)),$B$5:$B$304,"&lt;="&amp;$B281,$F$5:$F$304,"&gt;"&amp;$F$3))-$D$3))),2))</f>
        <v/>
      </c>
      <c r="I281" s="26" t="n"/>
      <c r="J281" s="27">
        <f>IF(AND($A281="",$C281="",$D281=""),"",IF(OR($C281&gt;=1,$D281&gt;=1),"⚠ type the time with a colon: 9:00 AM, not 9",IF(AND($C281&lt;&gt;"",$C281=$D281),"⚠ clock-in equals clock-out: the shift adds 0 h",IF(AND($C281&lt;&gt;"",$D281&lt;&gt;"",IF($E281="",0,$E281)&gt;MOD($D281-$C281,1)*24),"⚠ the break is longer than the shift",IF(AND($A281&lt;&gt;"",COUNTIF('Monthly OT Summary'!$A$6:$A$35,$A281&amp;"")=0),"⚠ name not in Monthly OT Summary: its hours are not added","")))))</f>
        <v/>
      </c>
    </row>
    <row r="282">
      <c r="A282" s="21" t="n"/>
      <c r="B282" s="40" t="n"/>
      <c r="C282" s="41" t="n"/>
      <c r="D282" s="41" t="n"/>
      <c r="E282" s="24" t="n"/>
      <c r="F282" s="8">
        <f>IF(OR($C282="",$D282=""),"",IF(OR($C282&gt;=1,$D282&gt;=1,$C282=$D282,IF($E282="",0,$E282)&gt;MOD($D282-$C282,1)*24),"",ROUND(MOD($D282-$C282,1)*24-IF($E282="",0,$E282),2)))</f>
        <v/>
      </c>
      <c r="G282" s="25" t="n">
        <v>8</v>
      </c>
      <c r="H282" s="8">
        <f>IF(OR($A282="",$B282="",$F282=""),"",ROUND(IF($F$3="",0,MAX(0,$F282-$F$3))+IF($D$3="",0,MIN($F282-IF($F$3="",0,MAX(0,$F282-$F$3)),MAX(0,SUMIFS($F$5:$F$304,$A$5:$A$304,$A282&amp;"",$B$5:$B$304,"&gt;="&amp;($B282-MOD(WEEKDAY($B282)-$B$3,7)),$B$5:$B$304,"&lt;="&amp;$B282)-IF($F$3="",0,SUMIFS($F$5:$F$304,$A$5:$A$304,$A282&amp;"",$B$5:$B$304,"&gt;="&amp;($B282-MOD(WEEKDAY($B282)-$B$3,7)),$B$5:$B$304,"&lt;="&amp;$B282,$F$5:$F$304,"&gt;"&amp;$F$3)-$F$3*COUNTIFS($A$5:$A$304,$A282&amp;"",$B$5:$B$304,"&gt;="&amp;($B282-MOD(WEEKDAY($B282)-$B$3,7)),$B$5:$B$304,"&lt;="&amp;$B282,$F$5:$F$304,"&gt;"&amp;$F$3))-$D$3))),2))</f>
        <v/>
      </c>
      <c r="I282" s="26" t="n"/>
      <c r="J282" s="27">
        <f>IF(AND($A282="",$C282="",$D282=""),"",IF(OR($C282&gt;=1,$D282&gt;=1),"⚠ type the time with a colon: 9:00 AM, not 9",IF(AND($C282&lt;&gt;"",$C282=$D282),"⚠ clock-in equals clock-out: the shift adds 0 h",IF(AND($C282&lt;&gt;"",$D282&lt;&gt;"",IF($E282="",0,$E282)&gt;MOD($D282-$C282,1)*24),"⚠ the break is longer than the shift",IF(AND($A282&lt;&gt;"",COUNTIF('Monthly OT Summary'!$A$6:$A$35,$A282&amp;"")=0),"⚠ name not in Monthly OT Summary: its hours are not added","")))))</f>
        <v/>
      </c>
    </row>
    <row r="283">
      <c r="A283" s="21" t="n"/>
      <c r="B283" s="40" t="n"/>
      <c r="C283" s="41" t="n"/>
      <c r="D283" s="41" t="n"/>
      <c r="E283" s="24" t="n"/>
      <c r="F283" s="8">
        <f>IF(OR($C283="",$D283=""),"",IF(OR($C283&gt;=1,$D283&gt;=1,$C283=$D283,IF($E283="",0,$E283)&gt;MOD($D283-$C283,1)*24),"",ROUND(MOD($D283-$C283,1)*24-IF($E283="",0,$E283),2)))</f>
        <v/>
      </c>
      <c r="G283" s="25" t="n">
        <v>8</v>
      </c>
      <c r="H283" s="8">
        <f>IF(OR($A283="",$B283="",$F283=""),"",ROUND(IF($F$3="",0,MAX(0,$F283-$F$3))+IF($D$3="",0,MIN($F283-IF($F$3="",0,MAX(0,$F283-$F$3)),MAX(0,SUMIFS($F$5:$F$304,$A$5:$A$304,$A283&amp;"",$B$5:$B$304,"&gt;="&amp;($B283-MOD(WEEKDAY($B283)-$B$3,7)),$B$5:$B$304,"&lt;="&amp;$B283)-IF($F$3="",0,SUMIFS($F$5:$F$304,$A$5:$A$304,$A283&amp;"",$B$5:$B$304,"&gt;="&amp;($B283-MOD(WEEKDAY($B283)-$B$3,7)),$B$5:$B$304,"&lt;="&amp;$B283,$F$5:$F$304,"&gt;"&amp;$F$3)-$F$3*COUNTIFS($A$5:$A$304,$A283&amp;"",$B$5:$B$304,"&gt;="&amp;($B283-MOD(WEEKDAY($B283)-$B$3,7)),$B$5:$B$304,"&lt;="&amp;$B283,$F$5:$F$304,"&gt;"&amp;$F$3))-$D$3))),2))</f>
        <v/>
      </c>
      <c r="I283" s="26" t="n"/>
      <c r="J283" s="27">
        <f>IF(AND($A283="",$C283="",$D283=""),"",IF(OR($C283&gt;=1,$D283&gt;=1),"⚠ type the time with a colon: 9:00 AM, not 9",IF(AND($C283&lt;&gt;"",$C283=$D283),"⚠ clock-in equals clock-out: the shift adds 0 h",IF(AND($C283&lt;&gt;"",$D283&lt;&gt;"",IF($E283="",0,$E283)&gt;MOD($D283-$C283,1)*24),"⚠ the break is longer than the shift",IF(AND($A283&lt;&gt;"",COUNTIF('Monthly OT Summary'!$A$6:$A$35,$A283&amp;"")=0),"⚠ name not in Monthly OT Summary: its hours are not added","")))))</f>
        <v/>
      </c>
    </row>
    <row r="284">
      <c r="A284" s="21" t="n"/>
      <c r="B284" s="40" t="n"/>
      <c r="C284" s="41" t="n"/>
      <c r="D284" s="41" t="n"/>
      <c r="E284" s="24" t="n"/>
      <c r="F284" s="8">
        <f>IF(OR($C284="",$D284=""),"",IF(OR($C284&gt;=1,$D284&gt;=1,$C284=$D284,IF($E284="",0,$E284)&gt;MOD($D284-$C284,1)*24),"",ROUND(MOD($D284-$C284,1)*24-IF($E284="",0,$E284),2)))</f>
        <v/>
      </c>
      <c r="G284" s="25" t="n">
        <v>8</v>
      </c>
      <c r="H284" s="8">
        <f>IF(OR($A284="",$B284="",$F284=""),"",ROUND(IF($F$3="",0,MAX(0,$F284-$F$3))+IF($D$3="",0,MIN($F284-IF($F$3="",0,MAX(0,$F284-$F$3)),MAX(0,SUMIFS($F$5:$F$304,$A$5:$A$304,$A284&amp;"",$B$5:$B$304,"&gt;="&amp;($B284-MOD(WEEKDAY($B284)-$B$3,7)),$B$5:$B$304,"&lt;="&amp;$B284)-IF($F$3="",0,SUMIFS($F$5:$F$304,$A$5:$A$304,$A284&amp;"",$B$5:$B$304,"&gt;="&amp;($B284-MOD(WEEKDAY($B284)-$B$3,7)),$B$5:$B$304,"&lt;="&amp;$B284,$F$5:$F$304,"&gt;"&amp;$F$3)-$F$3*COUNTIFS($A$5:$A$304,$A284&amp;"",$B$5:$B$304,"&gt;="&amp;($B284-MOD(WEEKDAY($B284)-$B$3,7)),$B$5:$B$304,"&lt;="&amp;$B284,$F$5:$F$304,"&gt;"&amp;$F$3))-$D$3))),2))</f>
        <v/>
      </c>
      <c r="I284" s="26" t="n"/>
      <c r="J284" s="27">
        <f>IF(AND($A284="",$C284="",$D284=""),"",IF(OR($C284&gt;=1,$D284&gt;=1),"⚠ type the time with a colon: 9:00 AM, not 9",IF(AND($C284&lt;&gt;"",$C284=$D284),"⚠ clock-in equals clock-out: the shift adds 0 h",IF(AND($C284&lt;&gt;"",$D284&lt;&gt;"",IF($E284="",0,$E284)&gt;MOD($D284-$C284,1)*24),"⚠ the break is longer than the shift",IF(AND($A284&lt;&gt;"",COUNTIF('Monthly OT Summary'!$A$6:$A$35,$A284&amp;"")=0),"⚠ name not in Monthly OT Summary: its hours are not added","")))))</f>
        <v/>
      </c>
    </row>
    <row r="285">
      <c r="A285" s="21" t="n"/>
      <c r="B285" s="40" t="n"/>
      <c r="C285" s="41" t="n"/>
      <c r="D285" s="41" t="n"/>
      <c r="E285" s="24" t="n"/>
      <c r="F285" s="8">
        <f>IF(OR($C285="",$D285=""),"",IF(OR($C285&gt;=1,$D285&gt;=1,$C285=$D285,IF($E285="",0,$E285)&gt;MOD($D285-$C285,1)*24),"",ROUND(MOD($D285-$C285,1)*24-IF($E285="",0,$E285),2)))</f>
        <v/>
      </c>
      <c r="G285" s="25" t="n">
        <v>8</v>
      </c>
      <c r="H285" s="8">
        <f>IF(OR($A285="",$B285="",$F285=""),"",ROUND(IF($F$3="",0,MAX(0,$F285-$F$3))+IF($D$3="",0,MIN($F285-IF($F$3="",0,MAX(0,$F285-$F$3)),MAX(0,SUMIFS($F$5:$F$304,$A$5:$A$304,$A285&amp;"",$B$5:$B$304,"&gt;="&amp;($B285-MOD(WEEKDAY($B285)-$B$3,7)),$B$5:$B$304,"&lt;="&amp;$B285)-IF($F$3="",0,SUMIFS($F$5:$F$304,$A$5:$A$304,$A285&amp;"",$B$5:$B$304,"&gt;="&amp;($B285-MOD(WEEKDAY($B285)-$B$3,7)),$B$5:$B$304,"&lt;="&amp;$B285,$F$5:$F$304,"&gt;"&amp;$F$3)-$F$3*COUNTIFS($A$5:$A$304,$A285&amp;"",$B$5:$B$304,"&gt;="&amp;($B285-MOD(WEEKDAY($B285)-$B$3,7)),$B$5:$B$304,"&lt;="&amp;$B285,$F$5:$F$304,"&gt;"&amp;$F$3))-$D$3))),2))</f>
        <v/>
      </c>
      <c r="I285" s="26" t="n"/>
      <c r="J285" s="27">
        <f>IF(AND($A285="",$C285="",$D285=""),"",IF(OR($C285&gt;=1,$D285&gt;=1),"⚠ type the time with a colon: 9:00 AM, not 9",IF(AND($C285&lt;&gt;"",$C285=$D285),"⚠ clock-in equals clock-out: the shift adds 0 h",IF(AND($C285&lt;&gt;"",$D285&lt;&gt;"",IF($E285="",0,$E285)&gt;MOD($D285-$C285,1)*24),"⚠ the break is longer than the shift",IF(AND($A285&lt;&gt;"",COUNTIF('Monthly OT Summary'!$A$6:$A$35,$A285&amp;"")=0),"⚠ name not in Monthly OT Summary: its hours are not added","")))))</f>
        <v/>
      </c>
    </row>
    <row r="286">
      <c r="A286" s="21" t="n"/>
      <c r="B286" s="40" t="n"/>
      <c r="C286" s="41" t="n"/>
      <c r="D286" s="41" t="n"/>
      <c r="E286" s="24" t="n"/>
      <c r="F286" s="8">
        <f>IF(OR($C286="",$D286=""),"",IF(OR($C286&gt;=1,$D286&gt;=1,$C286=$D286,IF($E286="",0,$E286)&gt;MOD($D286-$C286,1)*24),"",ROUND(MOD($D286-$C286,1)*24-IF($E286="",0,$E286),2)))</f>
        <v/>
      </c>
      <c r="G286" s="25" t="n">
        <v>8</v>
      </c>
      <c r="H286" s="8">
        <f>IF(OR($A286="",$B286="",$F286=""),"",ROUND(IF($F$3="",0,MAX(0,$F286-$F$3))+IF($D$3="",0,MIN($F286-IF($F$3="",0,MAX(0,$F286-$F$3)),MAX(0,SUMIFS($F$5:$F$304,$A$5:$A$304,$A286&amp;"",$B$5:$B$304,"&gt;="&amp;($B286-MOD(WEEKDAY($B286)-$B$3,7)),$B$5:$B$304,"&lt;="&amp;$B286)-IF($F$3="",0,SUMIFS($F$5:$F$304,$A$5:$A$304,$A286&amp;"",$B$5:$B$304,"&gt;="&amp;($B286-MOD(WEEKDAY($B286)-$B$3,7)),$B$5:$B$304,"&lt;="&amp;$B286,$F$5:$F$304,"&gt;"&amp;$F$3)-$F$3*COUNTIFS($A$5:$A$304,$A286&amp;"",$B$5:$B$304,"&gt;="&amp;($B286-MOD(WEEKDAY($B286)-$B$3,7)),$B$5:$B$304,"&lt;="&amp;$B286,$F$5:$F$304,"&gt;"&amp;$F$3))-$D$3))),2))</f>
        <v/>
      </c>
      <c r="I286" s="26" t="n"/>
      <c r="J286" s="27">
        <f>IF(AND($A286="",$C286="",$D286=""),"",IF(OR($C286&gt;=1,$D286&gt;=1),"⚠ type the time with a colon: 9:00 AM, not 9",IF(AND($C286&lt;&gt;"",$C286=$D286),"⚠ clock-in equals clock-out: the shift adds 0 h",IF(AND($C286&lt;&gt;"",$D286&lt;&gt;"",IF($E286="",0,$E286)&gt;MOD($D286-$C286,1)*24),"⚠ the break is longer than the shift",IF(AND($A286&lt;&gt;"",COUNTIF('Monthly OT Summary'!$A$6:$A$35,$A286&amp;"")=0),"⚠ name not in Monthly OT Summary: its hours are not added","")))))</f>
        <v/>
      </c>
    </row>
    <row r="287">
      <c r="A287" s="21" t="n"/>
      <c r="B287" s="40" t="n"/>
      <c r="C287" s="41" t="n"/>
      <c r="D287" s="41" t="n"/>
      <c r="E287" s="24" t="n"/>
      <c r="F287" s="8">
        <f>IF(OR($C287="",$D287=""),"",IF(OR($C287&gt;=1,$D287&gt;=1,$C287=$D287,IF($E287="",0,$E287)&gt;MOD($D287-$C287,1)*24),"",ROUND(MOD($D287-$C287,1)*24-IF($E287="",0,$E287),2)))</f>
        <v/>
      </c>
      <c r="G287" s="25" t="n">
        <v>8</v>
      </c>
      <c r="H287" s="8">
        <f>IF(OR($A287="",$B287="",$F287=""),"",ROUND(IF($F$3="",0,MAX(0,$F287-$F$3))+IF($D$3="",0,MIN($F287-IF($F$3="",0,MAX(0,$F287-$F$3)),MAX(0,SUMIFS($F$5:$F$304,$A$5:$A$304,$A287&amp;"",$B$5:$B$304,"&gt;="&amp;($B287-MOD(WEEKDAY($B287)-$B$3,7)),$B$5:$B$304,"&lt;="&amp;$B287)-IF($F$3="",0,SUMIFS($F$5:$F$304,$A$5:$A$304,$A287&amp;"",$B$5:$B$304,"&gt;="&amp;($B287-MOD(WEEKDAY($B287)-$B$3,7)),$B$5:$B$304,"&lt;="&amp;$B287,$F$5:$F$304,"&gt;"&amp;$F$3)-$F$3*COUNTIFS($A$5:$A$304,$A287&amp;"",$B$5:$B$304,"&gt;="&amp;($B287-MOD(WEEKDAY($B287)-$B$3,7)),$B$5:$B$304,"&lt;="&amp;$B287,$F$5:$F$304,"&gt;"&amp;$F$3))-$D$3))),2))</f>
        <v/>
      </c>
      <c r="I287" s="26" t="n"/>
      <c r="J287" s="27">
        <f>IF(AND($A287="",$C287="",$D287=""),"",IF(OR($C287&gt;=1,$D287&gt;=1),"⚠ type the time with a colon: 9:00 AM, not 9",IF(AND($C287&lt;&gt;"",$C287=$D287),"⚠ clock-in equals clock-out: the shift adds 0 h",IF(AND($C287&lt;&gt;"",$D287&lt;&gt;"",IF($E287="",0,$E287)&gt;MOD($D287-$C287,1)*24),"⚠ the break is longer than the shift",IF(AND($A287&lt;&gt;"",COUNTIF('Monthly OT Summary'!$A$6:$A$35,$A287&amp;"")=0),"⚠ name not in Monthly OT Summary: its hours are not added","")))))</f>
        <v/>
      </c>
    </row>
    <row r="288">
      <c r="A288" s="21" t="n"/>
      <c r="B288" s="40" t="n"/>
      <c r="C288" s="41" t="n"/>
      <c r="D288" s="41" t="n"/>
      <c r="E288" s="24" t="n"/>
      <c r="F288" s="8">
        <f>IF(OR($C288="",$D288=""),"",IF(OR($C288&gt;=1,$D288&gt;=1,$C288=$D288,IF($E288="",0,$E288)&gt;MOD($D288-$C288,1)*24),"",ROUND(MOD($D288-$C288,1)*24-IF($E288="",0,$E288),2)))</f>
        <v/>
      </c>
      <c r="G288" s="25" t="n">
        <v>8</v>
      </c>
      <c r="H288" s="8">
        <f>IF(OR($A288="",$B288="",$F288=""),"",ROUND(IF($F$3="",0,MAX(0,$F288-$F$3))+IF($D$3="",0,MIN($F288-IF($F$3="",0,MAX(0,$F288-$F$3)),MAX(0,SUMIFS($F$5:$F$304,$A$5:$A$304,$A288&amp;"",$B$5:$B$304,"&gt;="&amp;($B288-MOD(WEEKDAY($B288)-$B$3,7)),$B$5:$B$304,"&lt;="&amp;$B288)-IF($F$3="",0,SUMIFS($F$5:$F$304,$A$5:$A$304,$A288&amp;"",$B$5:$B$304,"&gt;="&amp;($B288-MOD(WEEKDAY($B288)-$B$3,7)),$B$5:$B$304,"&lt;="&amp;$B288,$F$5:$F$304,"&gt;"&amp;$F$3)-$F$3*COUNTIFS($A$5:$A$304,$A288&amp;"",$B$5:$B$304,"&gt;="&amp;($B288-MOD(WEEKDAY($B288)-$B$3,7)),$B$5:$B$304,"&lt;="&amp;$B288,$F$5:$F$304,"&gt;"&amp;$F$3))-$D$3))),2))</f>
        <v/>
      </c>
      <c r="I288" s="26" t="n"/>
      <c r="J288" s="27">
        <f>IF(AND($A288="",$C288="",$D288=""),"",IF(OR($C288&gt;=1,$D288&gt;=1),"⚠ type the time with a colon: 9:00 AM, not 9",IF(AND($C288&lt;&gt;"",$C288=$D288),"⚠ clock-in equals clock-out: the shift adds 0 h",IF(AND($C288&lt;&gt;"",$D288&lt;&gt;"",IF($E288="",0,$E288)&gt;MOD($D288-$C288,1)*24),"⚠ the break is longer than the shift",IF(AND($A288&lt;&gt;"",COUNTIF('Monthly OT Summary'!$A$6:$A$35,$A288&amp;"")=0),"⚠ name not in Monthly OT Summary: its hours are not added","")))))</f>
        <v/>
      </c>
    </row>
    <row r="289">
      <c r="A289" s="21" t="n"/>
      <c r="B289" s="40" t="n"/>
      <c r="C289" s="41" t="n"/>
      <c r="D289" s="41" t="n"/>
      <c r="E289" s="24" t="n"/>
      <c r="F289" s="8">
        <f>IF(OR($C289="",$D289=""),"",IF(OR($C289&gt;=1,$D289&gt;=1,$C289=$D289,IF($E289="",0,$E289)&gt;MOD($D289-$C289,1)*24),"",ROUND(MOD($D289-$C289,1)*24-IF($E289="",0,$E289),2)))</f>
        <v/>
      </c>
      <c r="G289" s="25" t="n">
        <v>8</v>
      </c>
      <c r="H289" s="8">
        <f>IF(OR($A289="",$B289="",$F289=""),"",ROUND(IF($F$3="",0,MAX(0,$F289-$F$3))+IF($D$3="",0,MIN($F289-IF($F$3="",0,MAX(0,$F289-$F$3)),MAX(0,SUMIFS($F$5:$F$304,$A$5:$A$304,$A289&amp;"",$B$5:$B$304,"&gt;="&amp;($B289-MOD(WEEKDAY($B289)-$B$3,7)),$B$5:$B$304,"&lt;="&amp;$B289)-IF($F$3="",0,SUMIFS($F$5:$F$304,$A$5:$A$304,$A289&amp;"",$B$5:$B$304,"&gt;="&amp;($B289-MOD(WEEKDAY($B289)-$B$3,7)),$B$5:$B$304,"&lt;="&amp;$B289,$F$5:$F$304,"&gt;"&amp;$F$3)-$F$3*COUNTIFS($A$5:$A$304,$A289&amp;"",$B$5:$B$304,"&gt;="&amp;($B289-MOD(WEEKDAY($B289)-$B$3,7)),$B$5:$B$304,"&lt;="&amp;$B289,$F$5:$F$304,"&gt;"&amp;$F$3))-$D$3))),2))</f>
        <v/>
      </c>
      <c r="I289" s="26" t="n"/>
      <c r="J289" s="27">
        <f>IF(AND($A289="",$C289="",$D289=""),"",IF(OR($C289&gt;=1,$D289&gt;=1),"⚠ type the time with a colon: 9:00 AM, not 9",IF(AND($C289&lt;&gt;"",$C289=$D289),"⚠ clock-in equals clock-out: the shift adds 0 h",IF(AND($C289&lt;&gt;"",$D289&lt;&gt;"",IF($E289="",0,$E289)&gt;MOD($D289-$C289,1)*24),"⚠ the break is longer than the shift",IF(AND($A289&lt;&gt;"",COUNTIF('Monthly OT Summary'!$A$6:$A$35,$A289&amp;"")=0),"⚠ name not in Monthly OT Summary: its hours are not added","")))))</f>
        <v/>
      </c>
    </row>
    <row r="290">
      <c r="A290" s="21" t="n"/>
      <c r="B290" s="40" t="n"/>
      <c r="C290" s="41" t="n"/>
      <c r="D290" s="41" t="n"/>
      <c r="E290" s="24" t="n"/>
      <c r="F290" s="8">
        <f>IF(OR($C290="",$D290=""),"",IF(OR($C290&gt;=1,$D290&gt;=1,$C290=$D290,IF($E290="",0,$E290)&gt;MOD($D290-$C290,1)*24),"",ROUND(MOD($D290-$C290,1)*24-IF($E290="",0,$E290),2)))</f>
        <v/>
      </c>
      <c r="G290" s="25" t="n">
        <v>8</v>
      </c>
      <c r="H290" s="8">
        <f>IF(OR($A290="",$B290="",$F290=""),"",ROUND(IF($F$3="",0,MAX(0,$F290-$F$3))+IF($D$3="",0,MIN($F290-IF($F$3="",0,MAX(0,$F290-$F$3)),MAX(0,SUMIFS($F$5:$F$304,$A$5:$A$304,$A290&amp;"",$B$5:$B$304,"&gt;="&amp;($B290-MOD(WEEKDAY($B290)-$B$3,7)),$B$5:$B$304,"&lt;="&amp;$B290)-IF($F$3="",0,SUMIFS($F$5:$F$304,$A$5:$A$304,$A290&amp;"",$B$5:$B$304,"&gt;="&amp;($B290-MOD(WEEKDAY($B290)-$B$3,7)),$B$5:$B$304,"&lt;="&amp;$B290,$F$5:$F$304,"&gt;"&amp;$F$3)-$F$3*COUNTIFS($A$5:$A$304,$A290&amp;"",$B$5:$B$304,"&gt;="&amp;($B290-MOD(WEEKDAY($B290)-$B$3,7)),$B$5:$B$304,"&lt;="&amp;$B290,$F$5:$F$304,"&gt;"&amp;$F$3))-$D$3))),2))</f>
        <v/>
      </c>
      <c r="I290" s="26" t="n"/>
      <c r="J290" s="27">
        <f>IF(AND($A290="",$C290="",$D290=""),"",IF(OR($C290&gt;=1,$D290&gt;=1),"⚠ type the time with a colon: 9:00 AM, not 9",IF(AND($C290&lt;&gt;"",$C290=$D290),"⚠ clock-in equals clock-out: the shift adds 0 h",IF(AND($C290&lt;&gt;"",$D290&lt;&gt;"",IF($E290="",0,$E290)&gt;MOD($D290-$C290,1)*24),"⚠ the break is longer than the shift",IF(AND($A290&lt;&gt;"",COUNTIF('Monthly OT Summary'!$A$6:$A$35,$A290&amp;"")=0),"⚠ name not in Monthly OT Summary: its hours are not added","")))))</f>
        <v/>
      </c>
    </row>
    <row r="291">
      <c r="A291" s="21" t="n"/>
      <c r="B291" s="40" t="n"/>
      <c r="C291" s="41" t="n"/>
      <c r="D291" s="41" t="n"/>
      <c r="E291" s="24" t="n"/>
      <c r="F291" s="8">
        <f>IF(OR($C291="",$D291=""),"",IF(OR($C291&gt;=1,$D291&gt;=1,$C291=$D291,IF($E291="",0,$E291)&gt;MOD($D291-$C291,1)*24),"",ROUND(MOD($D291-$C291,1)*24-IF($E291="",0,$E291),2)))</f>
        <v/>
      </c>
      <c r="G291" s="25" t="n">
        <v>8</v>
      </c>
      <c r="H291" s="8">
        <f>IF(OR($A291="",$B291="",$F291=""),"",ROUND(IF($F$3="",0,MAX(0,$F291-$F$3))+IF($D$3="",0,MIN($F291-IF($F$3="",0,MAX(0,$F291-$F$3)),MAX(0,SUMIFS($F$5:$F$304,$A$5:$A$304,$A291&amp;"",$B$5:$B$304,"&gt;="&amp;($B291-MOD(WEEKDAY($B291)-$B$3,7)),$B$5:$B$304,"&lt;="&amp;$B291)-IF($F$3="",0,SUMIFS($F$5:$F$304,$A$5:$A$304,$A291&amp;"",$B$5:$B$304,"&gt;="&amp;($B291-MOD(WEEKDAY($B291)-$B$3,7)),$B$5:$B$304,"&lt;="&amp;$B291,$F$5:$F$304,"&gt;"&amp;$F$3)-$F$3*COUNTIFS($A$5:$A$304,$A291&amp;"",$B$5:$B$304,"&gt;="&amp;($B291-MOD(WEEKDAY($B291)-$B$3,7)),$B$5:$B$304,"&lt;="&amp;$B291,$F$5:$F$304,"&gt;"&amp;$F$3))-$D$3))),2))</f>
        <v/>
      </c>
      <c r="I291" s="26" t="n"/>
      <c r="J291" s="27">
        <f>IF(AND($A291="",$C291="",$D291=""),"",IF(OR($C291&gt;=1,$D291&gt;=1),"⚠ type the time with a colon: 9:00 AM, not 9",IF(AND($C291&lt;&gt;"",$C291=$D291),"⚠ clock-in equals clock-out: the shift adds 0 h",IF(AND($C291&lt;&gt;"",$D291&lt;&gt;"",IF($E291="",0,$E291)&gt;MOD($D291-$C291,1)*24),"⚠ the break is longer than the shift",IF(AND($A291&lt;&gt;"",COUNTIF('Monthly OT Summary'!$A$6:$A$35,$A291&amp;"")=0),"⚠ name not in Monthly OT Summary: its hours are not added","")))))</f>
        <v/>
      </c>
    </row>
    <row r="292">
      <c r="A292" s="21" t="n"/>
      <c r="B292" s="40" t="n"/>
      <c r="C292" s="41" t="n"/>
      <c r="D292" s="41" t="n"/>
      <c r="E292" s="24" t="n"/>
      <c r="F292" s="8">
        <f>IF(OR($C292="",$D292=""),"",IF(OR($C292&gt;=1,$D292&gt;=1,$C292=$D292,IF($E292="",0,$E292)&gt;MOD($D292-$C292,1)*24),"",ROUND(MOD($D292-$C292,1)*24-IF($E292="",0,$E292),2)))</f>
        <v/>
      </c>
      <c r="G292" s="25" t="n">
        <v>8</v>
      </c>
      <c r="H292" s="8">
        <f>IF(OR($A292="",$B292="",$F292=""),"",ROUND(IF($F$3="",0,MAX(0,$F292-$F$3))+IF($D$3="",0,MIN($F292-IF($F$3="",0,MAX(0,$F292-$F$3)),MAX(0,SUMIFS($F$5:$F$304,$A$5:$A$304,$A292&amp;"",$B$5:$B$304,"&gt;="&amp;($B292-MOD(WEEKDAY($B292)-$B$3,7)),$B$5:$B$304,"&lt;="&amp;$B292)-IF($F$3="",0,SUMIFS($F$5:$F$304,$A$5:$A$304,$A292&amp;"",$B$5:$B$304,"&gt;="&amp;($B292-MOD(WEEKDAY($B292)-$B$3,7)),$B$5:$B$304,"&lt;="&amp;$B292,$F$5:$F$304,"&gt;"&amp;$F$3)-$F$3*COUNTIFS($A$5:$A$304,$A292&amp;"",$B$5:$B$304,"&gt;="&amp;($B292-MOD(WEEKDAY($B292)-$B$3,7)),$B$5:$B$304,"&lt;="&amp;$B292,$F$5:$F$304,"&gt;"&amp;$F$3))-$D$3))),2))</f>
        <v/>
      </c>
      <c r="I292" s="26" t="n"/>
      <c r="J292" s="27">
        <f>IF(AND($A292="",$C292="",$D292=""),"",IF(OR($C292&gt;=1,$D292&gt;=1),"⚠ type the time with a colon: 9:00 AM, not 9",IF(AND($C292&lt;&gt;"",$C292=$D292),"⚠ clock-in equals clock-out: the shift adds 0 h",IF(AND($C292&lt;&gt;"",$D292&lt;&gt;"",IF($E292="",0,$E292)&gt;MOD($D292-$C292,1)*24),"⚠ the break is longer than the shift",IF(AND($A292&lt;&gt;"",COUNTIF('Monthly OT Summary'!$A$6:$A$35,$A292&amp;"")=0),"⚠ name not in Monthly OT Summary: its hours are not added","")))))</f>
        <v/>
      </c>
    </row>
    <row r="293">
      <c r="A293" s="21" t="n"/>
      <c r="B293" s="40" t="n"/>
      <c r="C293" s="41" t="n"/>
      <c r="D293" s="41" t="n"/>
      <c r="E293" s="24" t="n"/>
      <c r="F293" s="8">
        <f>IF(OR($C293="",$D293=""),"",IF(OR($C293&gt;=1,$D293&gt;=1,$C293=$D293,IF($E293="",0,$E293)&gt;MOD($D293-$C293,1)*24),"",ROUND(MOD($D293-$C293,1)*24-IF($E293="",0,$E293),2)))</f>
        <v/>
      </c>
      <c r="G293" s="25" t="n">
        <v>8</v>
      </c>
      <c r="H293" s="8">
        <f>IF(OR($A293="",$B293="",$F293=""),"",ROUND(IF($F$3="",0,MAX(0,$F293-$F$3))+IF($D$3="",0,MIN($F293-IF($F$3="",0,MAX(0,$F293-$F$3)),MAX(0,SUMIFS($F$5:$F$304,$A$5:$A$304,$A293&amp;"",$B$5:$B$304,"&gt;="&amp;($B293-MOD(WEEKDAY($B293)-$B$3,7)),$B$5:$B$304,"&lt;="&amp;$B293)-IF($F$3="",0,SUMIFS($F$5:$F$304,$A$5:$A$304,$A293&amp;"",$B$5:$B$304,"&gt;="&amp;($B293-MOD(WEEKDAY($B293)-$B$3,7)),$B$5:$B$304,"&lt;="&amp;$B293,$F$5:$F$304,"&gt;"&amp;$F$3)-$F$3*COUNTIFS($A$5:$A$304,$A293&amp;"",$B$5:$B$304,"&gt;="&amp;($B293-MOD(WEEKDAY($B293)-$B$3,7)),$B$5:$B$304,"&lt;="&amp;$B293,$F$5:$F$304,"&gt;"&amp;$F$3))-$D$3))),2))</f>
        <v/>
      </c>
      <c r="I293" s="26" t="n"/>
      <c r="J293" s="27">
        <f>IF(AND($A293="",$C293="",$D293=""),"",IF(OR($C293&gt;=1,$D293&gt;=1),"⚠ type the time with a colon: 9:00 AM, not 9",IF(AND($C293&lt;&gt;"",$C293=$D293),"⚠ clock-in equals clock-out: the shift adds 0 h",IF(AND($C293&lt;&gt;"",$D293&lt;&gt;"",IF($E293="",0,$E293)&gt;MOD($D293-$C293,1)*24),"⚠ the break is longer than the shift",IF(AND($A293&lt;&gt;"",COUNTIF('Monthly OT Summary'!$A$6:$A$35,$A293&amp;"")=0),"⚠ name not in Monthly OT Summary: its hours are not added","")))))</f>
        <v/>
      </c>
    </row>
    <row r="294">
      <c r="A294" s="21" t="n"/>
      <c r="B294" s="40" t="n"/>
      <c r="C294" s="41" t="n"/>
      <c r="D294" s="41" t="n"/>
      <c r="E294" s="24" t="n"/>
      <c r="F294" s="8">
        <f>IF(OR($C294="",$D294=""),"",IF(OR($C294&gt;=1,$D294&gt;=1,$C294=$D294,IF($E294="",0,$E294)&gt;MOD($D294-$C294,1)*24),"",ROUND(MOD($D294-$C294,1)*24-IF($E294="",0,$E294),2)))</f>
        <v/>
      </c>
      <c r="G294" s="25" t="n">
        <v>8</v>
      </c>
      <c r="H294" s="8">
        <f>IF(OR($A294="",$B294="",$F294=""),"",ROUND(IF($F$3="",0,MAX(0,$F294-$F$3))+IF($D$3="",0,MIN($F294-IF($F$3="",0,MAX(0,$F294-$F$3)),MAX(0,SUMIFS($F$5:$F$304,$A$5:$A$304,$A294&amp;"",$B$5:$B$304,"&gt;="&amp;($B294-MOD(WEEKDAY($B294)-$B$3,7)),$B$5:$B$304,"&lt;="&amp;$B294)-IF($F$3="",0,SUMIFS($F$5:$F$304,$A$5:$A$304,$A294&amp;"",$B$5:$B$304,"&gt;="&amp;($B294-MOD(WEEKDAY($B294)-$B$3,7)),$B$5:$B$304,"&lt;="&amp;$B294,$F$5:$F$304,"&gt;"&amp;$F$3)-$F$3*COUNTIFS($A$5:$A$304,$A294&amp;"",$B$5:$B$304,"&gt;="&amp;($B294-MOD(WEEKDAY($B294)-$B$3,7)),$B$5:$B$304,"&lt;="&amp;$B294,$F$5:$F$304,"&gt;"&amp;$F$3))-$D$3))),2))</f>
        <v/>
      </c>
      <c r="I294" s="26" t="n"/>
      <c r="J294" s="27">
        <f>IF(AND($A294="",$C294="",$D294=""),"",IF(OR($C294&gt;=1,$D294&gt;=1),"⚠ type the time with a colon: 9:00 AM, not 9",IF(AND($C294&lt;&gt;"",$C294=$D294),"⚠ clock-in equals clock-out: the shift adds 0 h",IF(AND($C294&lt;&gt;"",$D294&lt;&gt;"",IF($E294="",0,$E294)&gt;MOD($D294-$C294,1)*24),"⚠ the break is longer than the shift",IF(AND($A294&lt;&gt;"",COUNTIF('Monthly OT Summary'!$A$6:$A$35,$A294&amp;"")=0),"⚠ name not in Monthly OT Summary: its hours are not added","")))))</f>
        <v/>
      </c>
    </row>
    <row r="295">
      <c r="A295" s="21" t="n"/>
      <c r="B295" s="40" t="n"/>
      <c r="C295" s="41" t="n"/>
      <c r="D295" s="41" t="n"/>
      <c r="E295" s="24" t="n"/>
      <c r="F295" s="8">
        <f>IF(OR($C295="",$D295=""),"",IF(OR($C295&gt;=1,$D295&gt;=1,$C295=$D295,IF($E295="",0,$E295)&gt;MOD($D295-$C295,1)*24),"",ROUND(MOD($D295-$C295,1)*24-IF($E295="",0,$E295),2)))</f>
        <v/>
      </c>
      <c r="G295" s="25" t="n">
        <v>8</v>
      </c>
      <c r="H295" s="8">
        <f>IF(OR($A295="",$B295="",$F295=""),"",ROUND(IF($F$3="",0,MAX(0,$F295-$F$3))+IF($D$3="",0,MIN($F295-IF($F$3="",0,MAX(0,$F295-$F$3)),MAX(0,SUMIFS($F$5:$F$304,$A$5:$A$304,$A295&amp;"",$B$5:$B$304,"&gt;="&amp;($B295-MOD(WEEKDAY($B295)-$B$3,7)),$B$5:$B$304,"&lt;="&amp;$B295)-IF($F$3="",0,SUMIFS($F$5:$F$304,$A$5:$A$304,$A295&amp;"",$B$5:$B$304,"&gt;="&amp;($B295-MOD(WEEKDAY($B295)-$B$3,7)),$B$5:$B$304,"&lt;="&amp;$B295,$F$5:$F$304,"&gt;"&amp;$F$3)-$F$3*COUNTIFS($A$5:$A$304,$A295&amp;"",$B$5:$B$304,"&gt;="&amp;($B295-MOD(WEEKDAY($B295)-$B$3,7)),$B$5:$B$304,"&lt;="&amp;$B295,$F$5:$F$304,"&gt;"&amp;$F$3))-$D$3))),2))</f>
        <v/>
      </c>
      <c r="I295" s="26" t="n"/>
      <c r="J295" s="27">
        <f>IF(AND($A295="",$C295="",$D295=""),"",IF(OR($C295&gt;=1,$D295&gt;=1),"⚠ type the time with a colon: 9:00 AM, not 9",IF(AND($C295&lt;&gt;"",$C295=$D295),"⚠ clock-in equals clock-out: the shift adds 0 h",IF(AND($C295&lt;&gt;"",$D295&lt;&gt;"",IF($E295="",0,$E295)&gt;MOD($D295-$C295,1)*24),"⚠ the break is longer than the shift",IF(AND($A295&lt;&gt;"",COUNTIF('Monthly OT Summary'!$A$6:$A$35,$A295&amp;"")=0),"⚠ name not in Monthly OT Summary: its hours are not added","")))))</f>
        <v/>
      </c>
    </row>
    <row r="296">
      <c r="A296" s="21" t="n"/>
      <c r="B296" s="40" t="n"/>
      <c r="C296" s="41" t="n"/>
      <c r="D296" s="41" t="n"/>
      <c r="E296" s="24" t="n"/>
      <c r="F296" s="8">
        <f>IF(OR($C296="",$D296=""),"",IF(OR($C296&gt;=1,$D296&gt;=1,$C296=$D296,IF($E296="",0,$E296)&gt;MOD($D296-$C296,1)*24),"",ROUND(MOD($D296-$C296,1)*24-IF($E296="",0,$E296),2)))</f>
        <v/>
      </c>
      <c r="G296" s="25" t="n">
        <v>8</v>
      </c>
      <c r="H296" s="8">
        <f>IF(OR($A296="",$B296="",$F296=""),"",ROUND(IF($F$3="",0,MAX(0,$F296-$F$3))+IF($D$3="",0,MIN($F296-IF($F$3="",0,MAX(0,$F296-$F$3)),MAX(0,SUMIFS($F$5:$F$304,$A$5:$A$304,$A296&amp;"",$B$5:$B$304,"&gt;="&amp;($B296-MOD(WEEKDAY($B296)-$B$3,7)),$B$5:$B$304,"&lt;="&amp;$B296)-IF($F$3="",0,SUMIFS($F$5:$F$304,$A$5:$A$304,$A296&amp;"",$B$5:$B$304,"&gt;="&amp;($B296-MOD(WEEKDAY($B296)-$B$3,7)),$B$5:$B$304,"&lt;="&amp;$B296,$F$5:$F$304,"&gt;"&amp;$F$3)-$F$3*COUNTIFS($A$5:$A$304,$A296&amp;"",$B$5:$B$304,"&gt;="&amp;($B296-MOD(WEEKDAY($B296)-$B$3,7)),$B$5:$B$304,"&lt;="&amp;$B296,$F$5:$F$304,"&gt;"&amp;$F$3))-$D$3))),2))</f>
        <v/>
      </c>
      <c r="I296" s="26" t="n"/>
      <c r="J296" s="27">
        <f>IF(AND($A296="",$C296="",$D296=""),"",IF(OR($C296&gt;=1,$D296&gt;=1),"⚠ type the time with a colon: 9:00 AM, not 9",IF(AND($C296&lt;&gt;"",$C296=$D296),"⚠ clock-in equals clock-out: the shift adds 0 h",IF(AND($C296&lt;&gt;"",$D296&lt;&gt;"",IF($E296="",0,$E296)&gt;MOD($D296-$C296,1)*24),"⚠ the break is longer than the shift",IF(AND($A296&lt;&gt;"",COUNTIF('Monthly OT Summary'!$A$6:$A$35,$A296&amp;"")=0),"⚠ name not in Monthly OT Summary: its hours are not added","")))))</f>
        <v/>
      </c>
    </row>
    <row r="297">
      <c r="A297" s="21" t="n"/>
      <c r="B297" s="40" t="n"/>
      <c r="C297" s="41" t="n"/>
      <c r="D297" s="41" t="n"/>
      <c r="E297" s="24" t="n"/>
      <c r="F297" s="8">
        <f>IF(OR($C297="",$D297=""),"",IF(OR($C297&gt;=1,$D297&gt;=1,$C297=$D297,IF($E297="",0,$E297)&gt;MOD($D297-$C297,1)*24),"",ROUND(MOD($D297-$C297,1)*24-IF($E297="",0,$E297),2)))</f>
        <v/>
      </c>
      <c r="G297" s="25" t="n">
        <v>8</v>
      </c>
      <c r="H297" s="8">
        <f>IF(OR($A297="",$B297="",$F297=""),"",ROUND(IF($F$3="",0,MAX(0,$F297-$F$3))+IF($D$3="",0,MIN($F297-IF($F$3="",0,MAX(0,$F297-$F$3)),MAX(0,SUMIFS($F$5:$F$304,$A$5:$A$304,$A297&amp;"",$B$5:$B$304,"&gt;="&amp;($B297-MOD(WEEKDAY($B297)-$B$3,7)),$B$5:$B$304,"&lt;="&amp;$B297)-IF($F$3="",0,SUMIFS($F$5:$F$304,$A$5:$A$304,$A297&amp;"",$B$5:$B$304,"&gt;="&amp;($B297-MOD(WEEKDAY($B297)-$B$3,7)),$B$5:$B$304,"&lt;="&amp;$B297,$F$5:$F$304,"&gt;"&amp;$F$3)-$F$3*COUNTIFS($A$5:$A$304,$A297&amp;"",$B$5:$B$304,"&gt;="&amp;($B297-MOD(WEEKDAY($B297)-$B$3,7)),$B$5:$B$304,"&lt;="&amp;$B297,$F$5:$F$304,"&gt;"&amp;$F$3))-$D$3))),2))</f>
        <v/>
      </c>
      <c r="I297" s="26" t="n"/>
      <c r="J297" s="27">
        <f>IF(AND($A297="",$C297="",$D297=""),"",IF(OR($C297&gt;=1,$D297&gt;=1),"⚠ type the time with a colon: 9:00 AM, not 9",IF(AND($C297&lt;&gt;"",$C297=$D297),"⚠ clock-in equals clock-out: the shift adds 0 h",IF(AND($C297&lt;&gt;"",$D297&lt;&gt;"",IF($E297="",0,$E297)&gt;MOD($D297-$C297,1)*24),"⚠ the break is longer than the shift",IF(AND($A297&lt;&gt;"",COUNTIF('Monthly OT Summary'!$A$6:$A$35,$A297&amp;"")=0),"⚠ name not in Monthly OT Summary: its hours are not added","")))))</f>
        <v/>
      </c>
    </row>
    <row r="298">
      <c r="A298" s="21" t="n"/>
      <c r="B298" s="40" t="n"/>
      <c r="C298" s="41" t="n"/>
      <c r="D298" s="41" t="n"/>
      <c r="E298" s="24" t="n"/>
      <c r="F298" s="8">
        <f>IF(OR($C298="",$D298=""),"",IF(OR($C298&gt;=1,$D298&gt;=1,$C298=$D298,IF($E298="",0,$E298)&gt;MOD($D298-$C298,1)*24),"",ROUND(MOD($D298-$C298,1)*24-IF($E298="",0,$E298),2)))</f>
        <v/>
      </c>
      <c r="G298" s="25" t="n">
        <v>8</v>
      </c>
      <c r="H298" s="8">
        <f>IF(OR($A298="",$B298="",$F298=""),"",ROUND(IF($F$3="",0,MAX(0,$F298-$F$3))+IF($D$3="",0,MIN($F298-IF($F$3="",0,MAX(0,$F298-$F$3)),MAX(0,SUMIFS($F$5:$F$304,$A$5:$A$304,$A298&amp;"",$B$5:$B$304,"&gt;="&amp;($B298-MOD(WEEKDAY($B298)-$B$3,7)),$B$5:$B$304,"&lt;="&amp;$B298)-IF($F$3="",0,SUMIFS($F$5:$F$304,$A$5:$A$304,$A298&amp;"",$B$5:$B$304,"&gt;="&amp;($B298-MOD(WEEKDAY($B298)-$B$3,7)),$B$5:$B$304,"&lt;="&amp;$B298,$F$5:$F$304,"&gt;"&amp;$F$3)-$F$3*COUNTIFS($A$5:$A$304,$A298&amp;"",$B$5:$B$304,"&gt;="&amp;($B298-MOD(WEEKDAY($B298)-$B$3,7)),$B$5:$B$304,"&lt;="&amp;$B298,$F$5:$F$304,"&gt;"&amp;$F$3))-$D$3))),2))</f>
        <v/>
      </c>
      <c r="I298" s="26" t="n"/>
      <c r="J298" s="27">
        <f>IF(AND($A298="",$C298="",$D298=""),"",IF(OR($C298&gt;=1,$D298&gt;=1),"⚠ type the time with a colon: 9:00 AM, not 9",IF(AND($C298&lt;&gt;"",$C298=$D298),"⚠ clock-in equals clock-out: the shift adds 0 h",IF(AND($C298&lt;&gt;"",$D298&lt;&gt;"",IF($E298="",0,$E298)&gt;MOD($D298-$C298,1)*24),"⚠ the break is longer than the shift",IF(AND($A298&lt;&gt;"",COUNTIF('Monthly OT Summary'!$A$6:$A$35,$A298&amp;"")=0),"⚠ name not in Monthly OT Summary: its hours are not added","")))))</f>
        <v/>
      </c>
    </row>
    <row r="299">
      <c r="A299" s="21" t="n"/>
      <c r="B299" s="40" t="n"/>
      <c r="C299" s="41" t="n"/>
      <c r="D299" s="41" t="n"/>
      <c r="E299" s="24" t="n"/>
      <c r="F299" s="8">
        <f>IF(OR($C299="",$D299=""),"",IF(OR($C299&gt;=1,$D299&gt;=1,$C299=$D299,IF($E299="",0,$E299)&gt;MOD($D299-$C299,1)*24),"",ROUND(MOD($D299-$C299,1)*24-IF($E299="",0,$E299),2)))</f>
        <v/>
      </c>
      <c r="G299" s="25" t="n">
        <v>8</v>
      </c>
      <c r="H299" s="8">
        <f>IF(OR($A299="",$B299="",$F299=""),"",ROUND(IF($F$3="",0,MAX(0,$F299-$F$3))+IF($D$3="",0,MIN($F299-IF($F$3="",0,MAX(0,$F299-$F$3)),MAX(0,SUMIFS($F$5:$F$304,$A$5:$A$304,$A299&amp;"",$B$5:$B$304,"&gt;="&amp;($B299-MOD(WEEKDAY($B299)-$B$3,7)),$B$5:$B$304,"&lt;="&amp;$B299)-IF($F$3="",0,SUMIFS($F$5:$F$304,$A$5:$A$304,$A299&amp;"",$B$5:$B$304,"&gt;="&amp;($B299-MOD(WEEKDAY($B299)-$B$3,7)),$B$5:$B$304,"&lt;="&amp;$B299,$F$5:$F$304,"&gt;"&amp;$F$3)-$F$3*COUNTIFS($A$5:$A$304,$A299&amp;"",$B$5:$B$304,"&gt;="&amp;($B299-MOD(WEEKDAY($B299)-$B$3,7)),$B$5:$B$304,"&lt;="&amp;$B299,$F$5:$F$304,"&gt;"&amp;$F$3))-$D$3))),2))</f>
        <v/>
      </c>
      <c r="I299" s="26" t="n"/>
      <c r="J299" s="27">
        <f>IF(AND($A299="",$C299="",$D299=""),"",IF(OR($C299&gt;=1,$D299&gt;=1),"⚠ type the time with a colon: 9:00 AM, not 9",IF(AND($C299&lt;&gt;"",$C299=$D299),"⚠ clock-in equals clock-out: the shift adds 0 h",IF(AND($C299&lt;&gt;"",$D299&lt;&gt;"",IF($E299="",0,$E299)&gt;MOD($D299-$C299,1)*24),"⚠ the break is longer than the shift",IF(AND($A299&lt;&gt;"",COUNTIF('Monthly OT Summary'!$A$6:$A$35,$A299&amp;"")=0),"⚠ name not in Monthly OT Summary: its hours are not added","")))))</f>
        <v/>
      </c>
    </row>
    <row r="300">
      <c r="A300" s="21" t="n"/>
      <c r="B300" s="40" t="n"/>
      <c r="C300" s="41" t="n"/>
      <c r="D300" s="41" t="n"/>
      <c r="E300" s="24" t="n"/>
      <c r="F300" s="8">
        <f>IF(OR($C300="",$D300=""),"",IF(OR($C300&gt;=1,$D300&gt;=1,$C300=$D300,IF($E300="",0,$E300)&gt;MOD($D300-$C300,1)*24),"",ROUND(MOD($D300-$C300,1)*24-IF($E300="",0,$E300),2)))</f>
        <v/>
      </c>
      <c r="G300" s="25" t="n">
        <v>8</v>
      </c>
      <c r="H300" s="8">
        <f>IF(OR($A300="",$B300="",$F300=""),"",ROUND(IF($F$3="",0,MAX(0,$F300-$F$3))+IF($D$3="",0,MIN($F300-IF($F$3="",0,MAX(0,$F300-$F$3)),MAX(0,SUMIFS($F$5:$F$304,$A$5:$A$304,$A300&amp;"",$B$5:$B$304,"&gt;="&amp;($B300-MOD(WEEKDAY($B300)-$B$3,7)),$B$5:$B$304,"&lt;="&amp;$B300)-IF($F$3="",0,SUMIFS($F$5:$F$304,$A$5:$A$304,$A300&amp;"",$B$5:$B$304,"&gt;="&amp;($B300-MOD(WEEKDAY($B300)-$B$3,7)),$B$5:$B$304,"&lt;="&amp;$B300,$F$5:$F$304,"&gt;"&amp;$F$3)-$F$3*COUNTIFS($A$5:$A$304,$A300&amp;"",$B$5:$B$304,"&gt;="&amp;($B300-MOD(WEEKDAY($B300)-$B$3,7)),$B$5:$B$304,"&lt;="&amp;$B300,$F$5:$F$304,"&gt;"&amp;$F$3))-$D$3))),2))</f>
        <v/>
      </c>
      <c r="I300" s="26" t="n"/>
      <c r="J300" s="27">
        <f>IF(AND($A300="",$C300="",$D300=""),"",IF(OR($C300&gt;=1,$D300&gt;=1),"⚠ type the time with a colon: 9:00 AM, not 9",IF(AND($C300&lt;&gt;"",$C300=$D300),"⚠ clock-in equals clock-out: the shift adds 0 h",IF(AND($C300&lt;&gt;"",$D300&lt;&gt;"",IF($E300="",0,$E300)&gt;MOD($D300-$C300,1)*24),"⚠ the break is longer than the shift",IF(AND($A300&lt;&gt;"",COUNTIF('Monthly OT Summary'!$A$6:$A$35,$A300&amp;"")=0),"⚠ name not in Monthly OT Summary: its hours are not added","")))))</f>
        <v/>
      </c>
    </row>
    <row r="301">
      <c r="A301" s="21" t="n"/>
      <c r="B301" s="40" t="n"/>
      <c r="C301" s="41" t="n"/>
      <c r="D301" s="41" t="n"/>
      <c r="E301" s="24" t="n"/>
      <c r="F301" s="8">
        <f>IF(OR($C301="",$D301=""),"",IF(OR($C301&gt;=1,$D301&gt;=1,$C301=$D301,IF($E301="",0,$E301)&gt;MOD($D301-$C301,1)*24),"",ROUND(MOD($D301-$C301,1)*24-IF($E301="",0,$E301),2)))</f>
        <v/>
      </c>
      <c r="G301" s="25" t="n">
        <v>8</v>
      </c>
      <c r="H301" s="8">
        <f>IF(OR($A301="",$B301="",$F301=""),"",ROUND(IF($F$3="",0,MAX(0,$F301-$F$3))+IF($D$3="",0,MIN($F301-IF($F$3="",0,MAX(0,$F301-$F$3)),MAX(0,SUMIFS($F$5:$F$304,$A$5:$A$304,$A301&amp;"",$B$5:$B$304,"&gt;="&amp;($B301-MOD(WEEKDAY($B301)-$B$3,7)),$B$5:$B$304,"&lt;="&amp;$B301)-IF($F$3="",0,SUMIFS($F$5:$F$304,$A$5:$A$304,$A301&amp;"",$B$5:$B$304,"&gt;="&amp;($B301-MOD(WEEKDAY($B301)-$B$3,7)),$B$5:$B$304,"&lt;="&amp;$B301,$F$5:$F$304,"&gt;"&amp;$F$3)-$F$3*COUNTIFS($A$5:$A$304,$A301&amp;"",$B$5:$B$304,"&gt;="&amp;($B301-MOD(WEEKDAY($B301)-$B$3,7)),$B$5:$B$304,"&lt;="&amp;$B301,$F$5:$F$304,"&gt;"&amp;$F$3))-$D$3))),2))</f>
        <v/>
      </c>
      <c r="I301" s="26" t="n"/>
      <c r="J301" s="27">
        <f>IF(AND($A301="",$C301="",$D301=""),"",IF(OR($C301&gt;=1,$D301&gt;=1),"⚠ type the time with a colon: 9:00 AM, not 9",IF(AND($C301&lt;&gt;"",$C301=$D301),"⚠ clock-in equals clock-out: the shift adds 0 h",IF(AND($C301&lt;&gt;"",$D301&lt;&gt;"",IF($E301="",0,$E301)&gt;MOD($D301-$C301,1)*24),"⚠ the break is longer than the shift",IF(AND($A301&lt;&gt;"",COUNTIF('Monthly OT Summary'!$A$6:$A$35,$A301&amp;"")=0),"⚠ name not in Monthly OT Summary: its hours are not added","")))))</f>
        <v/>
      </c>
    </row>
    <row r="302">
      <c r="A302" s="21" t="n"/>
      <c r="B302" s="40" t="n"/>
      <c r="C302" s="41" t="n"/>
      <c r="D302" s="41" t="n"/>
      <c r="E302" s="24" t="n"/>
      <c r="F302" s="8">
        <f>IF(OR($C302="",$D302=""),"",IF(OR($C302&gt;=1,$D302&gt;=1,$C302=$D302,IF($E302="",0,$E302)&gt;MOD($D302-$C302,1)*24),"",ROUND(MOD($D302-$C302,1)*24-IF($E302="",0,$E302),2)))</f>
        <v/>
      </c>
      <c r="G302" s="25" t="n">
        <v>8</v>
      </c>
      <c r="H302" s="8">
        <f>IF(OR($A302="",$B302="",$F302=""),"",ROUND(IF($F$3="",0,MAX(0,$F302-$F$3))+IF($D$3="",0,MIN($F302-IF($F$3="",0,MAX(0,$F302-$F$3)),MAX(0,SUMIFS($F$5:$F$304,$A$5:$A$304,$A302&amp;"",$B$5:$B$304,"&gt;="&amp;($B302-MOD(WEEKDAY($B302)-$B$3,7)),$B$5:$B$304,"&lt;="&amp;$B302)-IF($F$3="",0,SUMIFS($F$5:$F$304,$A$5:$A$304,$A302&amp;"",$B$5:$B$304,"&gt;="&amp;($B302-MOD(WEEKDAY($B302)-$B$3,7)),$B$5:$B$304,"&lt;="&amp;$B302,$F$5:$F$304,"&gt;"&amp;$F$3)-$F$3*COUNTIFS($A$5:$A$304,$A302&amp;"",$B$5:$B$304,"&gt;="&amp;($B302-MOD(WEEKDAY($B302)-$B$3,7)),$B$5:$B$304,"&lt;="&amp;$B302,$F$5:$F$304,"&gt;"&amp;$F$3))-$D$3))),2))</f>
        <v/>
      </c>
      <c r="I302" s="26" t="n"/>
      <c r="J302" s="27">
        <f>IF(AND($A302="",$C302="",$D302=""),"",IF(OR($C302&gt;=1,$D302&gt;=1),"⚠ type the time with a colon: 9:00 AM, not 9",IF(AND($C302&lt;&gt;"",$C302=$D302),"⚠ clock-in equals clock-out: the shift adds 0 h",IF(AND($C302&lt;&gt;"",$D302&lt;&gt;"",IF($E302="",0,$E302)&gt;MOD($D302-$C302,1)*24),"⚠ the break is longer than the shift",IF(AND($A302&lt;&gt;"",COUNTIF('Monthly OT Summary'!$A$6:$A$35,$A302&amp;"")=0),"⚠ name not in Monthly OT Summary: its hours are not added","")))))</f>
        <v/>
      </c>
    </row>
    <row r="303">
      <c r="A303" s="21" t="n"/>
      <c r="B303" s="40" t="n"/>
      <c r="C303" s="41" t="n"/>
      <c r="D303" s="41" t="n"/>
      <c r="E303" s="24" t="n"/>
      <c r="F303" s="8">
        <f>IF(OR($C303="",$D303=""),"",IF(OR($C303&gt;=1,$D303&gt;=1,$C303=$D303,IF($E303="",0,$E303)&gt;MOD($D303-$C303,1)*24),"",ROUND(MOD($D303-$C303,1)*24-IF($E303="",0,$E303),2)))</f>
        <v/>
      </c>
      <c r="G303" s="25" t="n">
        <v>8</v>
      </c>
      <c r="H303" s="8">
        <f>IF(OR($A303="",$B303="",$F303=""),"",ROUND(IF($F$3="",0,MAX(0,$F303-$F$3))+IF($D$3="",0,MIN($F303-IF($F$3="",0,MAX(0,$F303-$F$3)),MAX(0,SUMIFS($F$5:$F$304,$A$5:$A$304,$A303&amp;"",$B$5:$B$304,"&gt;="&amp;($B303-MOD(WEEKDAY($B303)-$B$3,7)),$B$5:$B$304,"&lt;="&amp;$B303)-IF($F$3="",0,SUMIFS($F$5:$F$304,$A$5:$A$304,$A303&amp;"",$B$5:$B$304,"&gt;="&amp;($B303-MOD(WEEKDAY($B303)-$B$3,7)),$B$5:$B$304,"&lt;="&amp;$B303,$F$5:$F$304,"&gt;"&amp;$F$3)-$F$3*COUNTIFS($A$5:$A$304,$A303&amp;"",$B$5:$B$304,"&gt;="&amp;($B303-MOD(WEEKDAY($B303)-$B$3,7)),$B$5:$B$304,"&lt;="&amp;$B303,$F$5:$F$304,"&gt;"&amp;$F$3))-$D$3))),2))</f>
        <v/>
      </c>
      <c r="I303" s="26" t="n"/>
      <c r="J303" s="27">
        <f>IF(AND($A303="",$C303="",$D303=""),"",IF(OR($C303&gt;=1,$D303&gt;=1),"⚠ type the time with a colon: 9:00 AM, not 9",IF(AND($C303&lt;&gt;"",$C303=$D303),"⚠ clock-in equals clock-out: the shift adds 0 h",IF(AND($C303&lt;&gt;"",$D303&lt;&gt;"",IF($E303="",0,$E303)&gt;MOD($D303-$C303,1)*24),"⚠ the break is longer than the shift",IF(AND($A303&lt;&gt;"",COUNTIF('Monthly OT Summary'!$A$6:$A$35,$A303&amp;"")=0),"⚠ name not in Monthly OT Summary: its hours are not added","")))))</f>
        <v/>
      </c>
    </row>
    <row r="304">
      <c r="A304" s="21" t="n"/>
      <c r="B304" s="40" t="n"/>
      <c r="C304" s="41" t="n"/>
      <c r="D304" s="41" t="n"/>
      <c r="E304" s="24" t="n"/>
      <c r="F304" s="8">
        <f>IF(OR($C304="",$D304=""),"",IF(OR($C304&gt;=1,$D304&gt;=1,$C304=$D304,IF($E304="",0,$E304)&gt;MOD($D304-$C304,1)*24),"",ROUND(MOD($D304-$C304,1)*24-IF($E304="",0,$E304),2)))</f>
        <v/>
      </c>
      <c r="G304" s="25" t="n">
        <v>8</v>
      </c>
      <c r="H304" s="8">
        <f>IF(OR($A304="",$B304="",$F304=""),"",ROUND(IF($F$3="",0,MAX(0,$F304-$F$3))+IF($D$3="",0,MIN($F304-IF($F$3="",0,MAX(0,$F304-$F$3)),MAX(0,SUMIFS($F$5:$F$304,$A$5:$A$304,$A304&amp;"",$B$5:$B$304,"&gt;="&amp;($B304-MOD(WEEKDAY($B304)-$B$3,7)),$B$5:$B$304,"&lt;="&amp;$B304)-IF($F$3="",0,SUMIFS($F$5:$F$304,$A$5:$A$304,$A304&amp;"",$B$5:$B$304,"&gt;="&amp;($B304-MOD(WEEKDAY($B304)-$B$3,7)),$B$5:$B$304,"&lt;="&amp;$B304,$F$5:$F$304,"&gt;"&amp;$F$3)-$F$3*COUNTIFS($A$5:$A$304,$A304&amp;"",$B$5:$B$304,"&gt;="&amp;($B304-MOD(WEEKDAY($B304)-$B$3,7)),$B$5:$B$304,"&lt;="&amp;$B304,$F$5:$F$304,"&gt;"&amp;$F$3))-$D$3))),2))</f>
        <v/>
      </c>
      <c r="I304" s="26" t="n"/>
      <c r="J304" s="27">
        <f>IF(AND($A304="",$C304="",$D304=""),"",IF(OR($C304&gt;=1,$D304&gt;=1),"⚠ type the time with a colon: 9:00 AM, not 9",IF(AND($C304&lt;&gt;"",$C304=$D304),"⚠ clock-in equals clock-out: the shift adds 0 h",IF(AND($C304&lt;&gt;"",$D304&lt;&gt;"",IF($E304="",0,$E304)&gt;MOD($D304-$C304,1)*24),"⚠ the break is longer than the shift",IF(AND($A304&lt;&gt;"",COUNTIF('Monthly OT Summary'!$A$6:$A$35,$A304&amp;"")=0),"⚠ name not in Monthly OT Summary: its hours are not added","")))))</f>
        <v/>
      </c>
    </row>
    <row r="306">
      <c r="A306" s="1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1:I1"/>
    <mergeCell ref="A2:I2"/>
    <mergeCell ref="A306:I306"/>
  </mergeCells>
  <conditionalFormatting sqref="J5:J304">
    <cfRule type="containsText" priority="1" operator="containsText" dxfId="0" stopIfTrue="1" text="⛔">
      <formula>NOT(ISERROR(SEARCH("⛔",J5)))</formula>
    </cfRule>
    <cfRule type="containsText" priority="2" operator="containsText" dxfId="0" stopIfTrue="1" text="EXCESS">
      <formula>NOT(ISERROR(SEARCH("EXCESS",J5)))</formula>
    </cfRule>
    <cfRule type="containsText" priority="3" operator="containsText" dxfId="1" stopIfTrue="1" text="⚠">
      <formula>NOT(ISERROR(SEARCH("⚠",J5)))</formula>
    </cfRule>
    <cfRule type="containsText" priority="4" operator="containsText" dxfId="2" stopIfTrue="1" text="OK">
      <formula>NOT(ISERROR(SEARCH("OK",J5)))</formula>
    </cfRule>
  </conditionalFormatting>
  <dataValidations count="7">
    <dataValidation sqref="C5:D304" showDropDown="0" showInputMessage="1" showErrorMessage="1" allowBlank="1" errorTitle="Invalid time" error="Type a time between 12:00 AM and 11:59 PM, with a colon (9:00 AM)." promptTitle="grupoA-v2 · Invalid time" prompt="Type the time with a colon and AM/PM: 9:00 AM, not 9. A bare 9 is the NUMBER nine (nine days), not nine in the morning, and &quot;Hours worked&quot; would stay at 0.00 without warning." type="time" errorStyle="stop" operator="between">
      <formula1>0</formula1>
      <formula2>0.9993</formula2>
    </dataValidation>
    <dataValidation sqref="E5:E304" showDropDown="0" showInputMessage="1" showErrorMessage="1" allowBlank="1" errorTitle="Invalid break" error="Type a number of hours between 0 and 8." promptTitle="grupoA-v2 · Invalid break" prompt="UNPAID break that day, in hours: 0.5 is thirty minutes. The 10:00 AM-11:00 PM split shift carries 4. If the break is longer than the shift, &quot;Hours worked&quot; stays blank and the &quot;Alert&quot; column tells you why." type="decimal" errorStyle="stop" operator="between">
      <formula1>0</formula1>
      <formula2>8</formula2>
    </dataValidation>
    <dataValidation sqref="G5:G304" showDropDown="0" showInputMessage="1" showErrorMessage="1" allowBlank="1" errorTitle="Invalid scheduled hours" error="Type a number of hours between 1 and 12." promptTitle="grupoA-v2 · Scheduled hours" prompt="Hours that person was SCHEDULED that day. Preloaded at 8, for reference. Overtime is calculated by the FLSA rule (hours over 40 in the workweek, plus the optional daily rule in F3), not from this column." type="decimal" errorStyle="stop" operator="between">
      <formula1>1</formula1>
      <formula2>12</formula2>
    </dataValidation>
    <dataValidation sqref="I5:I304" showDropDown="0" showInputMessage="1" showErrorMessage="1" allowBlank="1" errorTitle="Invalid OT type" error="Pick a value from the list: the summary formulas look for this exact text." promptTitle="grupoA-v2 · Invalid OT type" prompt="&quot;Not approved&quot; hours are still PAID: if someone worked them, you owe them (29 CFR 785.11). The &quot;Monthly OT Summary&quot; counts them separately by looking for this exact text." type="list" errorStyle="stop">
      <formula1>"Pre-approved,Manager request,Emergency / call-in,Not approved,Shift cover"</formula1>
    </dataValidation>
    <dataValidation sqref="B3" showDropDown="0" showInputMessage="1" showErrorMessage="1" allowBlank="1" error="FLSA workweek = any fixed 7 days you choose. 1 = Sunday … 7 = Saturday." prompt="FLSA workweek = any fixed 7 days you choose. 1 = Sunday … 7 = Saturday." type="whole" errorStyle="stop" operator="between">
      <formula1>1</formula1>
      <formula2>7</formula2>
    </dataValidation>
    <dataValidation sqref="D3" showDropDown="0" showInputMessage="1" showErrorMessage="1" allowBlank="1" error="Federal overtime starts after 40 hours in the workweek (FLSA). UK: type your contract hours." prompt="Federal overtime starts after 40 hours in the workweek (FLSA). UK: type your contract hours." type="decimal" errorStyle="stop" operator="between">
      <formula1>1</formula1>
      <formula2>80</formula2>
    </dataValidation>
    <dataValidation sqref="F3" showDropDown="0" showInputMessage="1" showErrorMessage="1" allowBlank="1" error="Leave blank under federal law. California: 8 (also AK, NV). Colorado: 12." prompt="Leave blank under federal law. California: 8 (also AK, NV). Colorado: 12." type="decimal" errorStyle="stop" operator="between">
      <formula1>1</formula1>
      <formula2>24</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BF360C"/>
    <outlinePr summaryBelow="1" summaryRight="1"/>
    <pageSetUpPr fitToPage="1"/>
  </sheetPr>
  <dimension ref="A1:H39"/>
  <sheetViews>
    <sheetView workbookViewId="0">
      <pane ySplit="5" topLeftCell="A6" activePane="bottomLeft" state="frozen"/>
      <selection pane="bottomLeft" activeCell="A1" sqref="A1"/>
    </sheetView>
  </sheetViews>
  <sheetFormatPr baseColWidth="8" defaultRowHeight="15"/>
  <cols>
    <col width="22" customWidth="1" min="1" max="1"/>
    <col width="16" customWidth="1" min="2" max="2"/>
    <col width="20" customWidth="1" min="3" max="3"/>
    <col width="16" customWidth="1" min="4" max="4"/>
    <col width="20" customWidth="1" min="5" max="5"/>
    <col width="18" customWidth="1" min="6" max="6"/>
    <col width="18" customWidth="1" min="7" max="7"/>
    <col width="26" customWidth="1" min="8" max="8"/>
  </cols>
  <sheetData>
    <row r="1">
      <c r="A1" s="4" t="inlineStr">
        <is>
          <t>Monthly Overtime Summary</t>
        </is>
      </c>
    </row>
    <row r="2">
      <c r="A2" s="5" t="inlineStr">
        <is>
          <t>AI Chef Pro · aichef.pro — Restaurant Staff Scheduling Kit Pro</t>
        </is>
      </c>
    </row>
    <row r="3" ht="58" customHeight="1">
      <c r="A3" s="28" t="inlineStr">
        <is>
          <t>Regular hourly rate:</t>
        </is>
      </c>
      <c r="B3" s="42" t="n">
        <v>15</v>
      </c>
      <c r="C3" s="28" t="inlineStr">
        <is>
          <t>Overtime multiplier (FLSA: 1.5×):</t>
        </is>
      </c>
      <c r="D3" s="30" t="n">
        <v>1.5</v>
      </c>
      <c r="E3" s="28" t="inlineStr">
        <is>
          <t>Annual OT budget per person (h):</t>
        </is>
      </c>
      <c r="F3" s="31" t="n">
        <v>80</v>
      </c>
    </row>
    <row r="5" ht="30" customHeight="1">
      <c r="A5" s="19" t="inlineStr">
        <is>
          <t>Employee</t>
        </is>
      </c>
      <c r="B5" s="19" t="inlineStr">
        <is>
          <t>Total OT hours this month</t>
        </is>
      </c>
      <c r="C5" s="19" t="inlineStr">
        <is>
          <t>Unapproved OT hours (still payable)</t>
        </is>
      </c>
      <c r="D5" s="19" t="inlineStr">
        <is>
          <t>Approved OT hours</t>
        </is>
      </c>
      <c r="E5" s="19" t="inlineStr">
        <is>
          <t>OT hours year to date</t>
        </is>
      </c>
      <c r="F5" s="19" t="inlineStr">
        <is>
          <t>Status vs. annual OT budget</t>
        </is>
      </c>
      <c r="G5" s="19" t="inlineStr">
        <is>
          <t>Overtime cost</t>
        </is>
      </c>
      <c r="H5" s="20" t="inlineStr">
        <is>
          <t>Worked − scheduled hours (month)</t>
        </is>
      </c>
    </row>
    <row r="6">
      <c r="A6" s="32" t="n"/>
      <c r="B6" s="33">
        <f>IF($A6="","",ROUND(SUMIF('Time Log'!$A$5:$A$304,$A6&amp;"",'Time Log'!$H$5:$H$304),2))</f>
        <v/>
      </c>
      <c r="C6" s="33">
        <f>IF($A6="","",ROUND(SUMIFS('Time Log'!$H$5:$H$304,'Time Log'!$A$5:$A$304,$A6&amp;"",'Time Log'!$I$5:$I$304,"Not approved"),2))</f>
        <v/>
      </c>
      <c r="D6" s="34">
        <f>IF($A6="","",ROUND($B6-$C6,2))</f>
        <v/>
      </c>
      <c r="E6" s="35" t="n"/>
      <c r="F6" s="16">
        <f>IF($E6="","",IF($E6&gt;$F$3,"⛔ OVER BUDGET ("&amp;TEXT($E6-$F$3,"0")&amp;" h)",IF($E6&gt;$F$3*0.8,"⚠ near budget","✓ within budget")))</f>
        <v/>
      </c>
      <c r="G6" s="43">
        <f>IF($B6="","",ROUND($B6*$B$3*$D$3,2))</f>
        <v/>
      </c>
      <c r="H6">
        <f>IF($A6="","",IF(COUNTIF('Time Log'!$A$5:$A$304,$A6&amp;"")=0,"",ROUND(SUMIF('Time Log'!$A$5:$A$304,$A6&amp;"",'Time Log'!$F$5:$F$304)-SUMIF('Time Log'!$A$5:$A$304,$A6&amp;"",'Time Log'!$G$5:$G$304),2)))</f>
        <v/>
      </c>
    </row>
    <row r="7">
      <c r="A7" s="32" t="n"/>
      <c r="B7" s="33">
        <f>IF($A7="","",ROUND(SUMIF('Time Log'!$A$5:$A$304,$A7&amp;"",'Time Log'!$H$5:$H$304),2))</f>
        <v/>
      </c>
      <c r="C7" s="33">
        <f>IF($A7="","",ROUND(SUMIFS('Time Log'!$H$5:$H$304,'Time Log'!$A$5:$A$304,$A7&amp;"",'Time Log'!$I$5:$I$304,"Not approved"),2))</f>
        <v/>
      </c>
      <c r="D7" s="34">
        <f>IF($A7="","",ROUND($B7-$C7,2))</f>
        <v/>
      </c>
      <c r="E7" s="35" t="n"/>
      <c r="F7" s="16">
        <f>IF($E7="","",IF($E7&gt;$F$3,"⛔ OVER BUDGET ("&amp;TEXT($E7-$F$3,"0")&amp;" h)",IF($E7&gt;$F$3*0.8,"⚠ near budget","✓ within budget")))</f>
        <v/>
      </c>
      <c r="G7" s="43">
        <f>IF($B7="","",ROUND($B7*$B$3*$D$3,2))</f>
        <v/>
      </c>
      <c r="H7">
        <f>IF($A7="","",IF(COUNTIF('Time Log'!$A$5:$A$304,$A7&amp;"")=0,"",ROUND(SUMIF('Time Log'!$A$5:$A$304,$A7&amp;"",'Time Log'!$F$5:$F$304)-SUMIF('Time Log'!$A$5:$A$304,$A7&amp;"",'Time Log'!$G$5:$G$304),2)))</f>
        <v/>
      </c>
    </row>
    <row r="8">
      <c r="A8" s="32" t="n"/>
      <c r="B8" s="33">
        <f>IF($A8="","",ROUND(SUMIF('Time Log'!$A$5:$A$304,$A8&amp;"",'Time Log'!$H$5:$H$304),2))</f>
        <v/>
      </c>
      <c r="C8" s="33">
        <f>IF($A8="","",ROUND(SUMIFS('Time Log'!$H$5:$H$304,'Time Log'!$A$5:$A$304,$A8&amp;"",'Time Log'!$I$5:$I$304,"Not approved"),2))</f>
        <v/>
      </c>
      <c r="D8" s="34">
        <f>IF($A8="","",ROUND($B8-$C8,2))</f>
        <v/>
      </c>
      <c r="E8" s="35" t="n"/>
      <c r="F8" s="16">
        <f>IF($E8="","",IF($E8&gt;$F$3,"⛔ OVER BUDGET ("&amp;TEXT($E8-$F$3,"0")&amp;" h)",IF($E8&gt;$F$3*0.8,"⚠ near budget","✓ within budget")))</f>
        <v/>
      </c>
      <c r="G8" s="43">
        <f>IF($B8="","",ROUND($B8*$B$3*$D$3,2))</f>
        <v/>
      </c>
      <c r="H8">
        <f>IF($A8="","",IF(COUNTIF('Time Log'!$A$5:$A$304,$A8&amp;"")=0,"",ROUND(SUMIF('Time Log'!$A$5:$A$304,$A8&amp;"",'Time Log'!$F$5:$F$304)-SUMIF('Time Log'!$A$5:$A$304,$A8&amp;"",'Time Log'!$G$5:$G$304),2)))</f>
        <v/>
      </c>
    </row>
    <row r="9">
      <c r="A9" s="32" t="n"/>
      <c r="B9" s="33">
        <f>IF($A9="","",ROUND(SUMIF('Time Log'!$A$5:$A$304,$A9&amp;"",'Time Log'!$H$5:$H$304),2))</f>
        <v/>
      </c>
      <c r="C9" s="33">
        <f>IF($A9="","",ROUND(SUMIFS('Time Log'!$H$5:$H$304,'Time Log'!$A$5:$A$304,$A9&amp;"",'Time Log'!$I$5:$I$304,"Not approved"),2))</f>
        <v/>
      </c>
      <c r="D9" s="34">
        <f>IF($A9="","",ROUND($B9-$C9,2))</f>
        <v/>
      </c>
      <c r="E9" s="35" t="n"/>
      <c r="F9" s="16">
        <f>IF($E9="","",IF($E9&gt;$F$3,"⛔ OVER BUDGET ("&amp;TEXT($E9-$F$3,"0")&amp;" h)",IF($E9&gt;$F$3*0.8,"⚠ near budget","✓ within budget")))</f>
        <v/>
      </c>
      <c r="G9" s="43">
        <f>IF($B9="","",ROUND($B9*$B$3*$D$3,2))</f>
        <v/>
      </c>
      <c r="H9">
        <f>IF($A9="","",IF(COUNTIF('Time Log'!$A$5:$A$304,$A9&amp;"")=0,"",ROUND(SUMIF('Time Log'!$A$5:$A$304,$A9&amp;"",'Time Log'!$F$5:$F$304)-SUMIF('Time Log'!$A$5:$A$304,$A9&amp;"",'Time Log'!$G$5:$G$304),2)))</f>
        <v/>
      </c>
    </row>
    <row r="10">
      <c r="A10" s="32" t="n"/>
      <c r="B10" s="33">
        <f>IF($A10="","",ROUND(SUMIF('Time Log'!$A$5:$A$304,$A10&amp;"",'Time Log'!$H$5:$H$304),2))</f>
        <v/>
      </c>
      <c r="C10" s="33">
        <f>IF($A10="","",ROUND(SUMIFS('Time Log'!$H$5:$H$304,'Time Log'!$A$5:$A$304,$A10&amp;"",'Time Log'!$I$5:$I$304,"Not approved"),2))</f>
        <v/>
      </c>
      <c r="D10" s="34">
        <f>IF($A10="","",ROUND($B10-$C10,2))</f>
        <v/>
      </c>
      <c r="E10" s="35" t="n"/>
      <c r="F10" s="16">
        <f>IF($E10="","",IF($E10&gt;$F$3,"⛔ OVER BUDGET ("&amp;TEXT($E10-$F$3,"0")&amp;" h)",IF($E10&gt;$F$3*0.8,"⚠ near budget","✓ within budget")))</f>
        <v/>
      </c>
      <c r="G10" s="43">
        <f>IF($B10="","",ROUND($B10*$B$3*$D$3,2))</f>
        <v/>
      </c>
      <c r="H10">
        <f>IF($A10="","",IF(COUNTIF('Time Log'!$A$5:$A$304,$A10&amp;"")=0,"",ROUND(SUMIF('Time Log'!$A$5:$A$304,$A10&amp;"",'Time Log'!$F$5:$F$304)-SUMIF('Time Log'!$A$5:$A$304,$A10&amp;"",'Time Log'!$G$5:$G$304),2)))</f>
        <v/>
      </c>
    </row>
    <row r="11">
      <c r="A11" s="32" t="n"/>
      <c r="B11" s="33">
        <f>IF($A11="","",ROUND(SUMIF('Time Log'!$A$5:$A$304,$A11&amp;"",'Time Log'!$H$5:$H$304),2))</f>
        <v/>
      </c>
      <c r="C11" s="33">
        <f>IF($A11="","",ROUND(SUMIFS('Time Log'!$H$5:$H$304,'Time Log'!$A$5:$A$304,$A11&amp;"",'Time Log'!$I$5:$I$304,"Not approved"),2))</f>
        <v/>
      </c>
      <c r="D11" s="34">
        <f>IF($A11="","",ROUND($B11-$C11,2))</f>
        <v/>
      </c>
      <c r="E11" s="35" t="n"/>
      <c r="F11" s="16">
        <f>IF($E11="","",IF($E11&gt;$F$3,"⛔ OVER BUDGET ("&amp;TEXT($E11-$F$3,"0")&amp;" h)",IF($E11&gt;$F$3*0.8,"⚠ near budget","✓ within budget")))</f>
        <v/>
      </c>
      <c r="G11" s="43">
        <f>IF($B11="","",ROUND($B11*$B$3*$D$3,2))</f>
        <v/>
      </c>
      <c r="H11">
        <f>IF($A11="","",IF(COUNTIF('Time Log'!$A$5:$A$304,$A11&amp;"")=0,"",ROUND(SUMIF('Time Log'!$A$5:$A$304,$A11&amp;"",'Time Log'!$F$5:$F$304)-SUMIF('Time Log'!$A$5:$A$304,$A11&amp;"",'Time Log'!$G$5:$G$304),2)))</f>
        <v/>
      </c>
    </row>
    <row r="12">
      <c r="A12" s="32" t="n"/>
      <c r="B12" s="33">
        <f>IF($A12="","",ROUND(SUMIF('Time Log'!$A$5:$A$304,$A12&amp;"",'Time Log'!$H$5:$H$304),2))</f>
        <v/>
      </c>
      <c r="C12" s="33">
        <f>IF($A12="","",ROUND(SUMIFS('Time Log'!$H$5:$H$304,'Time Log'!$A$5:$A$304,$A12&amp;"",'Time Log'!$I$5:$I$304,"Not approved"),2))</f>
        <v/>
      </c>
      <c r="D12" s="34">
        <f>IF($A12="","",ROUND($B12-$C12,2))</f>
        <v/>
      </c>
      <c r="E12" s="35" t="n"/>
      <c r="F12" s="16">
        <f>IF($E12="","",IF($E12&gt;$F$3,"⛔ OVER BUDGET ("&amp;TEXT($E12-$F$3,"0")&amp;" h)",IF($E12&gt;$F$3*0.8,"⚠ near budget","✓ within budget")))</f>
        <v/>
      </c>
      <c r="G12" s="43">
        <f>IF($B12="","",ROUND($B12*$B$3*$D$3,2))</f>
        <v/>
      </c>
      <c r="H12">
        <f>IF($A12="","",IF(COUNTIF('Time Log'!$A$5:$A$304,$A12&amp;"")=0,"",ROUND(SUMIF('Time Log'!$A$5:$A$304,$A12&amp;"",'Time Log'!$F$5:$F$304)-SUMIF('Time Log'!$A$5:$A$304,$A12&amp;"",'Time Log'!$G$5:$G$304),2)))</f>
        <v/>
      </c>
    </row>
    <row r="13">
      <c r="A13" s="32" t="n"/>
      <c r="B13" s="33">
        <f>IF($A13="","",ROUND(SUMIF('Time Log'!$A$5:$A$304,$A13&amp;"",'Time Log'!$H$5:$H$304),2))</f>
        <v/>
      </c>
      <c r="C13" s="33">
        <f>IF($A13="","",ROUND(SUMIFS('Time Log'!$H$5:$H$304,'Time Log'!$A$5:$A$304,$A13&amp;"",'Time Log'!$I$5:$I$304,"Not approved"),2))</f>
        <v/>
      </c>
      <c r="D13" s="34">
        <f>IF($A13="","",ROUND($B13-$C13,2))</f>
        <v/>
      </c>
      <c r="E13" s="35" t="n"/>
      <c r="F13" s="16">
        <f>IF($E13="","",IF($E13&gt;$F$3,"⛔ OVER BUDGET ("&amp;TEXT($E13-$F$3,"0")&amp;" h)",IF($E13&gt;$F$3*0.8,"⚠ near budget","✓ within budget")))</f>
        <v/>
      </c>
      <c r="G13" s="43">
        <f>IF($B13="","",ROUND($B13*$B$3*$D$3,2))</f>
        <v/>
      </c>
      <c r="H13">
        <f>IF($A13="","",IF(COUNTIF('Time Log'!$A$5:$A$304,$A13&amp;"")=0,"",ROUND(SUMIF('Time Log'!$A$5:$A$304,$A13&amp;"",'Time Log'!$F$5:$F$304)-SUMIF('Time Log'!$A$5:$A$304,$A13&amp;"",'Time Log'!$G$5:$G$304),2)))</f>
        <v/>
      </c>
    </row>
    <row r="14">
      <c r="A14" s="32" t="n"/>
      <c r="B14" s="33">
        <f>IF($A14="","",ROUND(SUMIF('Time Log'!$A$5:$A$304,$A14&amp;"",'Time Log'!$H$5:$H$304),2))</f>
        <v/>
      </c>
      <c r="C14" s="33">
        <f>IF($A14="","",ROUND(SUMIFS('Time Log'!$H$5:$H$304,'Time Log'!$A$5:$A$304,$A14&amp;"",'Time Log'!$I$5:$I$304,"Not approved"),2))</f>
        <v/>
      </c>
      <c r="D14" s="34">
        <f>IF($A14="","",ROUND($B14-$C14,2))</f>
        <v/>
      </c>
      <c r="E14" s="35" t="n"/>
      <c r="F14" s="16">
        <f>IF($E14="","",IF($E14&gt;$F$3,"⛔ OVER BUDGET ("&amp;TEXT($E14-$F$3,"0")&amp;" h)",IF($E14&gt;$F$3*0.8,"⚠ near budget","✓ within budget")))</f>
        <v/>
      </c>
      <c r="G14" s="43">
        <f>IF($B14="","",ROUND($B14*$B$3*$D$3,2))</f>
        <v/>
      </c>
      <c r="H14">
        <f>IF($A14="","",IF(COUNTIF('Time Log'!$A$5:$A$304,$A14&amp;"")=0,"",ROUND(SUMIF('Time Log'!$A$5:$A$304,$A14&amp;"",'Time Log'!$F$5:$F$304)-SUMIF('Time Log'!$A$5:$A$304,$A14&amp;"",'Time Log'!$G$5:$G$304),2)))</f>
        <v/>
      </c>
    </row>
    <row r="15">
      <c r="A15" s="32" t="n"/>
      <c r="B15" s="33">
        <f>IF($A15="","",ROUND(SUMIF('Time Log'!$A$5:$A$304,$A15&amp;"",'Time Log'!$H$5:$H$304),2))</f>
        <v/>
      </c>
      <c r="C15" s="33">
        <f>IF($A15="","",ROUND(SUMIFS('Time Log'!$H$5:$H$304,'Time Log'!$A$5:$A$304,$A15&amp;"",'Time Log'!$I$5:$I$304,"Not approved"),2))</f>
        <v/>
      </c>
      <c r="D15" s="34">
        <f>IF($A15="","",ROUND($B15-$C15,2))</f>
        <v/>
      </c>
      <c r="E15" s="35" t="n"/>
      <c r="F15" s="16">
        <f>IF($E15="","",IF($E15&gt;$F$3,"⛔ OVER BUDGET ("&amp;TEXT($E15-$F$3,"0")&amp;" h)",IF($E15&gt;$F$3*0.8,"⚠ near budget","✓ within budget")))</f>
        <v/>
      </c>
      <c r="G15" s="43">
        <f>IF($B15="","",ROUND($B15*$B$3*$D$3,2))</f>
        <v/>
      </c>
      <c r="H15">
        <f>IF($A15="","",IF(COUNTIF('Time Log'!$A$5:$A$304,$A15&amp;"")=0,"",ROUND(SUMIF('Time Log'!$A$5:$A$304,$A15&amp;"",'Time Log'!$F$5:$F$304)-SUMIF('Time Log'!$A$5:$A$304,$A15&amp;"",'Time Log'!$G$5:$G$304),2)))</f>
        <v/>
      </c>
    </row>
    <row r="16">
      <c r="A16" s="32" t="n"/>
      <c r="B16" s="33">
        <f>IF($A16="","",ROUND(SUMIF('Time Log'!$A$5:$A$304,$A16&amp;"",'Time Log'!$H$5:$H$304),2))</f>
        <v/>
      </c>
      <c r="C16" s="33">
        <f>IF($A16="","",ROUND(SUMIFS('Time Log'!$H$5:$H$304,'Time Log'!$A$5:$A$304,$A16&amp;"",'Time Log'!$I$5:$I$304,"Not approved"),2))</f>
        <v/>
      </c>
      <c r="D16" s="34">
        <f>IF($A16="","",ROUND($B16-$C16,2))</f>
        <v/>
      </c>
      <c r="E16" s="35" t="n"/>
      <c r="F16" s="16">
        <f>IF($E16="","",IF($E16&gt;$F$3,"⛔ OVER BUDGET ("&amp;TEXT($E16-$F$3,"0")&amp;" h)",IF($E16&gt;$F$3*0.8,"⚠ near budget","✓ within budget")))</f>
        <v/>
      </c>
      <c r="G16" s="43">
        <f>IF($B16="","",ROUND($B16*$B$3*$D$3,2))</f>
        <v/>
      </c>
      <c r="H16">
        <f>IF($A16="","",IF(COUNTIF('Time Log'!$A$5:$A$304,$A16&amp;"")=0,"",ROUND(SUMIF('Time Log'!$A$5:$A$304,$A16&amp;"",'Time Log'!$F$5:$F$304)-SUMIF('Time Log'!$A$5:$A$304,$A16&amp;"",'Time Log'!$G$5:$G$304),2)))</f>
        <v/>
      </c>
    </row>
    <row r="17">
      <c r="A17" s="32" t="n"/>
      <c r="B17" s="33">
        <f>IF($A17="","",ROUND(SUMIF('Time Log'!$A$5:$A$304,$A17&amp;"",'Time Log'!$H$5:$H$304),2))</f>
        <v/>
      </c>
      <c r="C17" s="33">
        <f>IF($A17="","",ROUND(SUMIFS('Time Log'!$H$5:$H$304,'Time Log'!$A$5:$A$304,$A17&amp;"",'Time Log'!$I$5:$I$304,"Not approved"),2))</f>
        <v/>
      </c>
      <c r="D17" s="34">
        <f>IF($A17="","",ROUND($B17-$C17,2))</f>
        <v/>
      </c>
      <c r="E17" s="35" t="n"/>
      <c r="F17" s="16">
        <f>IF($E17="","",IF($E17&gt;$F$3,"⛔ OVER BUDGET ("&amp;TEXT($E17-$F$3,"0")&amp;" h)",IF($E17&gt;$F$3*0.8,"⚠ near budget","✓ within budget")))</f>
        <v/>
      </c>
      <c r="G17" s="43">
        <f>IF($B17="","",ROUND($B17*$B$3*$D$3,2))</f>
        <v/>
      </c>
      <c r="H17">
        <f>IF($A17="","",IF(COUNTIF('Time Log'!$A$5:$A$304,$A17&amp;"")=0,"",ROUND(SUMIF('Time Log'!$A$5:$A$304,$A17&amp;"",'Time Log'!$F$5:$F$304)-SUMIF('Time Log'!$A$5:$A$304,$A17&amp;"",'Time Log'!$G$5:$G$304),2)))</f>
        <v/>
      </c>
    </row>
    <row r="18">
      <c r="A18" s="32" t="n"/>
      <c r="B18" s="33">
        <f>IF($A18="","",ROUND(SUMIF('Time Log'!$A$5:$A$304,$A18&amp;"",'Time Log'!$H$5:$H$304),2))</f>
        <v/>
      </c>
      <c r="C18" s="33">
        <f>IF($A18="","",ROUND(SUMIFS('Time Log'!$H$5:$H$304,'Time Log'!$A$5:$A$304,$A18&amp;"",'Time Log'!$I$5:$I$304,"Not approved"),2))</f>
        <v/>
      </c>
      <c r="D18" s="34">
        <f>IF($A18="","",ROUND($B18-$C18,2))</f>
        <v/>
      </c>
      <c r="E18" s="35" t="n"/>
      <c r="F18" s="16">
        <f>IF($E18="","",IF($E18&gt;$F$3,"⛔ OVER BUDGET ("&amp;TEXT($E18-$F$3,"0")&amp;" h)",IF($E18&gt;$F$3*0.8,"⚠ near budget","✓ within budget")))</f>
        <v/>
      </c>
      <c r="G18" s="43">
        <f>IF($B18="","",ROUND($B18*$B$3*$D$3,2))</f>
        <v/>
      </c>
      <c r="H18">
        <f>IF($A18="","",IF(COUNTIF('Time Log'!$A$5:$A$304,$A18&amp;"")=0,"",ROUND(SUMIF('Time Log'!$A$5:$A$304,$A18&amp;"",'Time Log'!$F$5:$F$304)-SUMIF('Time Log'!$A$5:$A$304,$A18&amp;"",'Time Log'!$G$5:$G$304),2)))</f>
        <v/>
      </c>
    </row>
    <row r="19">
      <c r="A19" s="32" t="n"/>
      <c r="B19" s="33">
        <f>IF($A19="","",ROUND(SUMIF('Time Log'!$A$5:$A$304,$A19&amp;"",'Time Log'!$H$5:$H$304),2))</f>
        <v/>
      </c>
      <c r="C19" s="33">
        <f>IF($A19="","",ROUND(SUMIFS('Time Log'!$H$5:$H$304,'Time Log'!$A$5:$A$304,$A19&amp;"",'Time Log'!$I$5:$I$304,"Not approved"),2))</f>
        <v/>
      </c>
      <c r="D19" s="34">
        <f>IF($A19="","",ROUND($B19-$C19,2))</f>
        <v/>
      </c>
      <c r="E19" s="35" t="n"/>
      <c r="F19" s="16">
        <f>IF($E19="","",IF($E19&gt;$F$3,"⛔ OVER BUDGET ("&amp;TEXT($E19-$F$3,"0")&amp;" h)",IF($E19&gt;$F$3*0.8,"⚠ near budget","✓ within budget")))</f>
        <v/>
      </c>
      <c r="G19" s="43">
        <f>IF($B19="","",ROUND($B19*$B$3*$D$3,2))</f>
        <v/>
      </c>
      <c r="H19">
        <f>IF($A19="","",IF(COUNTIF('Time Log'!$A$5:$A$304,$A19&amp;"")=0,"",ROUND(SUMIF('Time Log'!$A$5:$A$304,$A19&amp;"",'Time Log'!$F$5:$F$304)-SUMIF('Time Log'!$A$5:$A$304,$A19&amp;"",'Time Log'!$G$5:$G$304),2)))</f>
        <v/>
      </c>
    </row>
    <row r="20">
      <c r="A20" s="32" t="n"/>
      <c r="B20" s="33">
        <f>IF($A20="","",ROUND(SUMIF('Time Log'!$A$5:$A$304,$A20&amp;"",'Time Log'!$H$5:$H$304),2))</f>
        <v/>
      </c>
      <c r="C20" s="33">
        <f>IF($A20="","",ROUND(SUMIFS('Time Log'!$H$5:$H$304,'Time Log'!$A$5:$A$304,$A20&amp;"",'Time Log'!$I$5:$I$304,"Not approved"),2))</f>
        <v/>
      </c>
      <c r="D20" s="34">
        <f>IF($A20="","",ROUND($B20-$C20,2))</f>
        <v/>
      </c>
      <c r="E20" s="35" t="n"/>
      <c r="F20" s="16">
        <f>IF($E20="","",IF($E20&gt;$F$3,"⛔ OVER BUDGET ("&amp;TEXT($E20-$F$3,"0")&amp;" h)",IF($E20&gt;$F$3*0.8,"⚠ near budget","✓ within budget")))</f>
        <v/>
      </c>
      <c r="G20" s="43">
        <f>IF($B20="","",ROUND($B20*$B$3*$D$3,2))</f>
        <v/>
      </c>
      <c r="H20">
        <f>IF($A20="","",IF(COUNTIF('Time Log'!$A$5:$A$304,$A20&amp;"")=0,"",ROUND(SUMIF('Time Log'!$A$5:$A$304,$A20&amp;"",'Time Log'!$F$5:$F$304)-SUMIF('Time Log'!$A$5:$A$304,$A20&amp;"",'Time Log'!$G$5:$G$304),2)))</f>
        <v/>
      </c>
    </row>
    <row r="21">
      <c r="A21" s="32" t="n"/>
      <c r="B21" s="33">
        <f>IF($A21="","",ROUND(SUMIF('Time Log'!$A$5:$A$304,$A21&amp;"",'Time Log'!$H$5:$H$304),2))</f>
        <v/>
      </c>
      <c r="C21" s="33">
        <f>IF($A21="","",ROUND(SUMIFS('Time Log'!$H$5:$H$304,'Time Log'!$A$5:$A$304,$A21&amp;"",'Time Log'!$I$5:$I$304,"Not approved"),2))</f>
        <v/>
      </c>
      <c r="D21" s="34">
        <f>IF($A21="","",ROUND($B21-$C21,2))</f>
        <v/>
      </c>
      <c r="E21" s="35" t="n"/>
      <c r="F21" s="16">
        <f>IF($E21="","",IF($E21&gt;$F$3,"⛔ OVER BUDGET ("&amp;TEXT($E21-$F$3,"0")&amp;" h)",IF($E21&gt;$F$3*0.8,"⚠ near budget","✓ within budget")))</f>
        <v/>
      </c>
      <c r="G21" s="43">
        <f>IF($B21="","",ROUND($B21*$B$3*$D$3,2))</f>
        <v/>
      </c>
      <c r="H21">
        <f>IF($A21="","",IF(COUNTIF('Time Log'!$A$5:$A$304,$A21&amp;"")=0,"",ROUND(SUMIF('Time Log'!$A$5:$A$304,$A21&amp;"",'Time Log'!$F$5:$F$304)-SUMIF('Time Log'!$A$5:$A$304,$A21&amp;"",'Time Log'!$G$5:$G$304),2)))</f>
        <v/>
      </c>
    </row>
    <row r="22">
      <c r="A22" s="32" t="n"/>
      <c r="B22" s="33">
        <f>IF($A22="","",ROUND(SUMIF('Time Log'!$A$5:$A$304,$A22&amp;"",'Time Log'!$H$5:$H$304),2))</f>
        <v/>
      </c>
      <c r="C22" s="33">
        <f>IF($A22="","",ROUND(SUMIFS('Time Log'!$H$5:$H$304,'Time Log'!$A$5:$A$304,$A22&amp;"",'Time Log'!$I$5:$I$304,"Not approved"),2))</f>
        <v/>
      </c>
      <c r="D22" s="34">
        <f>IF($A22="","",ROUND($B22-$C22,2))</f>
        <v/>
      </c>
      <c r="E22" s="35" t="n"/>
      <c r="F22" s="16">
        <f>IF($E22="","",IF($E22&gt;$F$3,"⛔ OVER BUDGET ("&amp;TEXT($E22-$F$3,"0")&amp;" h)",IF($E22&gt;$F$3*0.8,"⚠ near budget","✓ within budget")))</f>
        <v/>
      </c>
      <c r="G22" s="43">
        <f>IF($B22="","",ROUND($B22*$B$3*$D$3,2))</f>
        <v/>
      </c>
      <c r="H22">
        <f>IF($A22="","",IF(COUNTIF('Time Log'!$A$5:$A$304,$A22&amp;"")=0,"",ROUND(SUMIF('Time Log'!$A$5:$A$304,$A22&amp;"",'Time Log'!$F$5:$F$304)-SUMIF('Time Log'!$A$5:$A$304,$A22&amp;"",'Time Log'!$G$5:$G$304),2)))</f>
        <v/>
      </c>
    </row>
    <row r="23">
      <c r="A23" s="32" t="n"/>
      <c r="B23" s="33">
        <f>IF($A23="","",ROUND(SUMIF('Time Log'!$A$5:$A$304,$A23&amp;"",'Time Log'!$H$5:$H$304),2))</f>
        <v/>
      </c>
      <c r="C23" s="33">
        <f>IF($A23="","",ROUND(SUMIFS('Time Log'!$H$5:$H$304,'Time Log'!$A$5:$A$304,$A23&amp;"",'Time Log'!$I$5:$I$304,"Not approved"),2))</f>
        <v/>
      </c>
      <c r="D23" s="34">
        <f>IF($A23="","",ROUND($B23-$C23,2))</f>
        <v/>
      </c>
      <c r="E23" s="35" t="n"/>
      <c r="F23" s="16">
        <f>IF($E23="","",IF($E23&gt;$F$3,"⛔ OVER BUDGET ("&amp;TEXT($E23-$F$3,"0")&amp;" h)",IF($E23&gt;$F$3*0.8,"⚠ near budget","✓ within budget")))</f>
        <v/>
      </c>
      <c r="G23" s="43">
        <f>IF($B23="","",ROUND($B23*$B$3*$D$3,2))</f>
        <v/>
      </c>
      <c r="H23">
        <f>IF($A23="","",IF(COUNTIF('Time Log'!$A$5:$A$304,$A23&amp;"")=0,"",ROUND(SUMIF('Time Log'!$A$5:$A$304,$A23&amp;"",'Time Log'!$F$5:$F$304)-SUMIF('Time Log'!$A$5:$A$304,$A23&amp;"",'Time Log'!$G$5:$G$304),2)))</f>
        <v/>
      </c>
    </row>
    <row r="24">
      <c r="A24" s="32" t="n"/>
      <c r="B24" s="33">
        <f>IF($A24="","",ROUND(SUMIF('Time Log'!$A$5:$A$304,$A24&amp;"",'Time Log'!$H$5:$H$304),2))</f>
        <v/>
      </c>
      <c r="C24" s="33">
        <f>IF($A24="","",ROUND(SUMIFS('Time Log'!$H$5:$H$304,'Time Log'!$A$5:$A$304,$A24&amp;"",'Time Log'!$I$5:$I$304,"Not approved"),2))</f>
        <v/>
      </c>
      <c r="D24" s="34">
        <f>IF($A24="","",ROUND($B24-$C24,2))</f>
        <v/>
      </c>
      <c r="E24" s="35" t="n"/>
      <c r="F24" s="16">
        <f>IF($E24="","",IF($E24&gt;$F$3,"⛔ OVER BUDGET ("&amp;TEXT($E24-$F$3,"0")&amp;" h)",IF($E24&gt;$F$3*0.8,"⚠ near budget","✓ within budget")))</f>
        <v/>
      </c>
      <c r="G24" s="43">
        <f>IF($B24="","",ROUND($B24*$B$3*$D$3,2))</f>
        <v/>
      </c>
      <c r="H24">
        <f>IF($A24="","",IF(COUNTIF('Time Log'!$A$5:$A$304,$A24&amp;"")=0,"",ROUND(SUMIF('Time Log'!$A$5:$A$304,$A24&amp;"",'Time Log'!$F$5:$F$304)-SUMIF('Time Log'!$A$5:$A$304,$A24&amp;"",'Time Log'!$G$5:$G$304),2)))</f>
        <v/>
      </c>
    </row>
    <row r="25">
      <c r="A25" s="32" t="n"/>
      <c r="B25" s="33">
        <f>IF($A25="","",ROUND(SUMIF('Time Log'!$A$5:$A$304,$A25&amp;"",'Time Log'!$H$5:$H$304),2))</f>
        <v/>
      </c>
      <c r="C25" s="33">
        <f>IF($A25="","",ROUND(SUMIFS('Time Log'!$H$5:$H$304,'Time Log'!$A$5:$A$304,$A25&amp;"",'Time Log'!$I$5:$I$304,"Not approved"),2))</f>
        <v/>
      </c>
      <c r="D25" s="34">
        <f>IF($A25="","",ROUND($B25-$C25,2))</f>
        <v/>
      </c>
      <c r="E25" s="35" t="n"/>
      <c r="F25" s="16">
        <f>IF($E25="","",IF($E25&gt;$F$3,"⛔ OVER BUDGET ("&amp;TEXT($E25-$F$3,"0")&amp;" h)",IF($E25&gt;$F$3*0.8,"⚠ near budget","✓ within budget")))</f>
        <v/>
      </c>
      <c r="G25" s="43">
        <f>IF($B25="","",ROUND($B25*$B$3*$D$3,2))</f>
        <v/>
      </c>
      <c r="H25">
        <f>IF($A25="","",IF(COUNTIF('Time Log'!$A$5:$A$304,$A25&amp;"")=0,"",ROUND(SUMIF('Time Log'!$A$5:$A$304,$A25&amp;"",'Time Log'!$F$5:$F$304)-SUMIF('Time Log'!$A$5:$A$304,$A25&amp;"",'Time Log'!$G$5:$G$304),2)))</f>
        <v/>
      </c>
    </row>
    <row r="26">
      <c r="A26" s="32" t="n"/>
      <c r="B26" s="33">
        <f>IF($A26="","",ROUND(SUMIF('Time Log'!$A$5:$A$304,$A26&amp;"",'Time Log'!$H$5:$H$304),2))</f>
        <v/>
      </c>
      <c r="C26" s="33">
        <f>IF($A26="","",ROUND(SUMIFS('Time Log'!$H$5:$H$304,'Time Log'!$A$5:$A$304,$A26&amp;"",'Time Log'!$I$5:$I$304,"Not approved"),2))</f>
        <v/>
      </c>
      <c r="D26" s="34">
        <f>IF($A26="","",ROUND($B26-$C26,2))</f>
        <v/>
      </c>
      <c r="E26" s="35" t="n"/>
      <c r="F26" s="16">
        <f>IF($E26="","",IF($E26&gt;$F$3,"⛔ OVER BUDGET ("&amp;TEXT($E26-$F$3,"0")&amp;" h)",IF($E26&gt;$F$3*0.8,"⚠ near budget","✓ within budget")))</f>
        <v/>
      </c>
      <c r="G26" s="43">
        <f>IF($B26="","",ROUND($B26*$B$3*$D$3,2))</f>
        <v/>
      </c>
      <c r="H26">
        <f>IF($A26="","",IF(COUNTIF('Time Log'!$A$5:$A$304,$A26&amp;"")=0,"",ROUND(SUMIF('Time Log'!$A$5:$A$304,$A26&amp;"",'Time Log'!$F$5:$F$304)-SUMIF('Time Log'!$A$5:$A$304,$A26&amp;"",'Time Log'!$G$5:$G$304),2)))</f>
        <v/>
      </c>
    </row>
    <row r="27">
      <c r="A27" s="32" t="n"/>
      <c r="B27" s="33">
        <f>IF($A27="","",ROUND(SUMIF('Time Log'!$A$5:$A$304,$A27&amp;"",'Time Log'!$H$5:$H$304),2))</f>
        <v/>
      </c>
      <c r="C27" s="33">
        <f>IF($A27="","",ROUND(SUMIFS('Time Log'!$H$5:$H$304,'Time Log'!$A$5:$A$304,$A27&amp;"",'Time Log'!$I$5:$I$304,"Not approved"),2))</f>
        <v/>
      </c>
      <c r="D27" s="34">
        <f>IF($A27="","",ROUND($B27-$C27,2))</f>
        <v/>
      </c>
      <c r="E27" s="35" t="n"/>
      <c r="F27" s="16">
        <f>IF($E27="","",IF($E27&gt;$F$3,"⛔ OVER BUDGET ("&amp;TEXT($E27-$F$3,"0")&amp;" h)",IF($E27&gt;$F$3*0.8,"⚠ near budget","✓ within budget")))</f>
        <v/>
      </c>
      <c r="G27" s="43">
        <f>IF($B27="","",ROUND($B27*$B$3*$D$3,2))</f>
        <v/>
      </c>
      <c r="H27">
        <f>IF($A27="","",IF(COUNTIF('Time Log'!$A$5:$A$304,$A27&amp;"")=0,"",ROUND(SUMIF('Time Log'!$A$5:$A$304,$A27&amp;"",'Time Log'!$F$5:$F$304)-SUMIF('Time Log'!$A$5:$A$304,$A27&amp;"",'Time Log'!$G$5:$G$304),2)))</f>
        <v/>
      </c>
    </row>
    <row r="28">
      <c r="A28" s="32" t="n"/>
      <c r="B28" s="33">
        <f>IF($A28="","",ROUND(SUMIF('Time Log'!$A$5:$A$304,$A28&amp;"",'Time Log'!$H$5:$H$304),2))</f>
        <v/>
      </c>
      <c r="C28" s="33">
        <f>IF($A28="","",ROUND(SUMIFS('Time Log'!$H$5:$H$304,'Time Log'!$A$5:$A$304,$A28&amp;"",'Time Log'!$I$5:$I$304,"Not approved"),2))</f>
        <v/>
      </c>
      <c r="D28" s="34">
        <f>IF($A28="","",ROUND($B28-$C28,2))</f>
        <v/>
      </c>
      <c r="E28" s="35" t="n"/>
      <c r="F28" s="16">
        <f>IF($E28="","",IF($E28&gt;$F$3,"⛔ OVER BUDGET ("&amp;TEXT($E28-$F$3,"0")&amp;" h)",IF($E28&gt;$F$3*0.8,"⚠ near budget","✓ within budget")))</f>
        <v/>
      </c>
      <c r="G28" s="43">
        <f>IF($B28="","",ROUND($B28*$B$3*$D$3,2))</f>
        <v/>
      </c>
      <c r="H28">
        <f>IF($A28="","",IF(COUNTIF('Time Log'!$A$5:$A$304,$A28&amp;"")=0,"",ROUND(SUMIF('Time Log'!$A$5:$A$304,$A28&amp;"",'Time Log'!$F$5:$F$304)-SUMIF('Time Log'!$A$5:$A$304,$A28&amp;"",'Time Log'!$G$5:$G$304),2)))</f>
        <v/>
      </c>
    </row>
    <row r="29">
      <c r="A29" s="32" t="n"/>
      <c r="B29" s="33">
        <f>IF($A29="","",ROUND(SUMIF('Time Log'!$A$5:$A$304,$A29&amp;"",'Time Log'!$H$5:$H$304),2))</f>
        <v/>
      </c>
      <c r="C29" s="33">
        <f>IF($A29="","",ROUND(SUMIFS('Time Log'!$H$5:$H$304,'Time Log'!$A$5:$A$304,$A29&amp;"",'Time Log'!$I$5:$I$304,"Not approved"),2))</f>
        <v/>
      </c>
      <c r="D29" s="34">
        <f>IF($A29="","",ROUND($B29-$C29,2))</f>
        <v/>
      </c>
      <c r="E29" s="35" t="n"/>
      <c r="F29" s="16">
        <f>IF($E29="","",IF($E29&gt;$F$3,"⛔ OVER BUDGET ("&amp;TEXT($E29-$F$3,"0")&amp;" h)",IF($E29&gt;$F$3*0.8,"⚠ near budget","✓ within budget")))</f>
        <v/>
      </c>
      <c r="G29" s="43">
        <f>IF($B29="","",ROUND($B29*$B$3*$D$3,2))</f>
        <v/>
      </c>
      <c r="H29">
        <f>IF($A29="","",IF(COUNTIF('Time Log'!$A$5:$A$304,$A29&amp;"")=0,"",ROUND(SUMIF('Time Log'!$A$5:$A$304,$A29&amp;"",'Time Log'!$F$5:$F$304)-SUMIF('Time Log'!$A$5:$A$304,$A29&amp;"",'Time Log'!$G$5:$G$304),2)))</f>
        <v/>
      </c>
    </row>
    <row r="30">
      <c r="A30" s="32" t="n"/>
      <c r="B30" s="33">
        <f>IF($A30="","",ROUND(SUMIF('Time Log'!$A$5:$A$304,$A30&amp;"",'Time Log'!$H$5:$H$304),2))</f>
        <v/>
      </c>
      <c r="C30" s="33">
        <f>IF($A30="","",ROUND(SUMIFS('Time Log'!$H$5:$H$304,'Time Log'!$A$5:$A$304,$A30&amp;"",'Time Log'!$I$5:$I$304,"Not approved"),2))</f>
        <v/>
      </c>
      <c r="D30" s="34">
        <f>IF($A30="","",ROUND($B30-$C30,2))</f>
        <v/>
      </c>
      <c r="E30" s="35" t="n"/>
      <c r="F30" s="16">
        <f>IF($E30="","",IF($E30&gt;$F$3,"⛔ OVER BUDGET ("&amp;TEXT($E30-$F$3,"0")&amp;" h)",IF($E30&gt;$F$3*0.8,"⚠ near budget","✓ within budget")))</f>
        <v/>
      </c>
      <c r="G30" s="43">
        <f>IF($B30="","",ROUND($B30*$B$3*$D$3,2))</f>
        <v/>
      </c>
      <c r="H30">
        <f>IF($A30="","",IF(COUNTIF('Time Log'!$A$5:$A$304,$A30&amp;"")=0,"",ROUND(SUMIF('Time Log'!$A$5:$A$304,$A30&amp;"",'Time Log'!$F$5:$F$304)-SUMIF('Time Log'!$A$5:$A$304,$A30&amp;"",'Time Log'!$G$5:$G$304),2)))</f>
        <v/>
      </c>
    </row>
    <row r="31">
      <c r="A31" s="32" t="n"/>
      <c r="B31" s="33">
        <f>IF($A31="","",ROUND(SUMIF('Time Log'!$A$5:$A$304,$A31&amp;"",'Time Log'!$H$5:$H$304),2))</f>
        <v/>
      </c>
      <c r="C31" s="33">
        <f>IF($A31="","",ROUND(SUMIFS('Time Log'!$H$5:$H$304,'Time Log'!$A$5:$A$304,$A31&amp;"",'Time Log'!$I$5:$I$304,"Not approved"),2))</f>
        <v/>
      </c>
      <c r="D31" s="34">
        <f>IF($A31="","",ROUND($B31-$C31,2))</f>
        <v/>
      </c>
      <c r="E31" s="35" t="n"/>
      <c r="F31" s="16">
        <f>IF($E31="","",IF($E31&gt;$F$3,"⛔ OVER BUDGET ("&amp;TEXT($E31-$F$3,"0")&amp;" h)",IF($E31&gt;$F$3*0.8,"⚠ near budget","✓ within budget")))</f>
        <v/>
      </c>
      <c r="G31" s="43">
        <f>IF($B31="","",ROUND($B31*$B$3*$D$3,2))</f>
        <v/>
      </c>
      <c r="H31">
        <f>IF($A31="","",IF(COUNTIF('Time Log'!$A$5:$A$304,$A31&amp;"")=0,"",ROUND(SUMIF('Time Log'!$A$5:$A$304,$A31&amp;"",'Time Log'!$F$5:$F$304)-SUMIF('Time Log'!$A$5:$A$304,$A31&amp;"",'Time Log'!$G$5:$G$304),2)))</f>
        <v/>
      </c>
    </row>
    <row r="32">
      <c r="A32" s="32" t="n"/>
      <c r="B32" s="33">
        <f>IF($A32="","",ROUND(SUMIF('Time Log'!$A$5:$A$304,$A32&amp;"",'Time Log'!$H$5:$H$304),2))</f>
        <v/>
      </c>
      <c r="C32" s="33">
        <f>IF($A32="","",ROUND(SUMIFS('Time Log'!$H$5:$H$304,'Time Log'!$A$5:$A$304,$A32&amp;"",'Time Log'!$I$5:$I$304,"Not approved"),2))</f>
        <v/>
      </c>
      <c r="D32" s="34">
        <f>IF($A32="","",ROUND($B32-$C32,2))</f>
        <v/>
      </c>
      <c r="E32" s="35" t="n"/>
      <c r="F32" s="16">
        <f>IF($E32="","",IF($E32&gt;$F$3,"⛔ OVER BUDGET ("&amp;TEXT($E32-$F$3,"0")&amp;" h)",IF($E32&gt;$F$3*0.8,"⚠ near budget","✓ within budget")))</f>
        <v/>
      </c>
      <c r="G32" s="43">
        <f>IF($B32="","",ROUND($B32*$B$3*$D$3,2))</f>
        <v/>
      </c>
      <c r="H32">
        <f>IF($A32="","",IF(COUNTIF('Time Log'!$A$5:$A$304,$A32&amp;"")=0,"",ROUND(SUMIF('Time Log'!$A$5:$A$304,$A32&amp;"",'Time Log'!$F$5:$F$304)-SUMIF('Time Log'!$A$5:$A$304,$A32&amp;"",'Time Log'!$G$5:$G$304),2)))</f>
        <v/>
      </c>
    </row>
    <row r="33">
      <c r="A33" s="32" t="n"/>
      <c r="B33" s="33">
        <f>IF($A33="","",ROUND(SUMIF('Time Log'!$A$5:$A$304,$A33&amp;"",'Time Log'!$H$5:$H$304),2))</f>
        <v/>
      </c>
      <c r="C33" s="33">
        <f>IF($A33="","",ROUND(SUMIFS('Time Log'!$H$5:$H$304,'Time Log'!$A$5:$A$304,$A33&amp;"",'Time Log'!$I$5:$I$304,"Not approved"),2))</f>
        <v/>
      </c>
      <c r="D33" s="34">
        <f>IF($A33="","",ROUND($B33-$C33,2))</f>
        <v/>
      </c>
      <c r="E33" s="35" t="n"/>
      <c r="F33" s="16">
        <f>IF($E33="","",IF($E33&gt;$F$3,"⛔ OVER BUDGET ("&amp;TEXT($E33-$F$3,"0")&amp;" h)",IF($E33&gt;$F$3*0.8,"⚠ near budget","✓ within budget")))</f>
        <v/>
      </c>
      <c r="G33" s="43">
        <f>IF($B33="","",ROUND($B33*$B$3*$D$3,2))</f>
        <v/>
      </c>
      <c r="H33">
        <f>IF($A33="","",IF(COUNTIF('Time Log'!$A$5:$A$304,$A33&amp;"")=0,"",ROUND(SUMIF('Time Log'!$A$5:$A$304,$A33&amp;"",'Time Log'!$F$5:$F$304)-SUMIF('Time Log'!$A$5:$A$304,$A33&amp;"",'Time Log'!$G$5:$G$304),2)))</f>
        <v/>
      </c>
    </row>
    <row r="34">
      <c r="A34" s="32" t="n"/>
      <c r="B34" s="33">
        <f>IF($A34="","",ROUND(SUMIF('Time Log'!$A$5:$A$304,$A34&amp;"",'Time Log'!$H$5:$H$304),2))</f>
        <v/>
      </c>
      <c r="C34" s="33">
        <f>IF($A34="","",ROUND(SUMIFS('Time Log'!$H$5:$H$304,'Time Log'!$A$5:$A$304,$A34&amp;"",'Time Log'!$I$5:$I$304,"Not approved"),2))</f>
        <v/>
      </c>
      <c r="D34" s="34">
        <f>IF($A34="","",ROUND($B34-$C34,2))</f>
        <v/>
      </c>
      <c r="E34" s="35" t="n"/>
      <c r="F34" s="16">
        <f>IF($E34="","",IF($E34&gt;$F$3,"⛔ OVER BUDGET ("&amp;TEXT($E34-$F$3,"0")&amp;" h)",IF($E34&gt;$F$3*0.8,"⚠ near budget","✓ within budget")))</f>
        <v/>
      </c>
      <c r="G34" s="43">
        <f>IF($B34="","",ROUND($B34*$B$3*$D$3,2))</f>
        <v/>
      </c>
      <c r="H34">
        <f>IF($A34="","",IF(COUNTIF('Time Log'!$A$5:$A$304,$A34&amp;"")=0,"",ROUND(SUMIF('Time Log'!$A$5:$A$304,$A34&amp;"",'Time Log'!$F$5:$F$304)-SUMIF('Time Log'!$A$5:$A$304,$A34&amp;"",'Time Log'!$G$5:$G$304),2)))</f>
        <v/>
      </c>
    </row>
    <row r="35">
      <c r="A35" s="32" t="n"/>
      <c r="B35" s="33">
        <f>IF($A35="","",ROUND(SUMIF('Time Log'!$A$5:$A$304,$A35&amp;"",'Time Log'!$H$5:$H$304),2))</f>
        <v/>
      </c>
      <c r="C35" s="33">
        <f>IF($A35="","",ROUND(SUMIFS('Time Log'!$H$5:$H$304,'Time Log'!$A$5:$A$304,$A35&amp;"",'Time Log'!$I$5:$I$304,"Not approved"),2))</f>
        <v/>
      </c>
      <c r="D35" s="34">
        <f>IF($A35="","",ROUND($B35-$C35,2))</f>
        <v/>
      </c>
      <c r="E35" s="35" t="n"/>
      <c r="F35" s="16">
        <f>IF($E35="","",IF($E35&gt;$F$3,"⛔ OVER BUDGET ("&amp;TEXT($E35-$F$3,"0")&amp;" h)",IF($E35&gt;$F$3*0.8,"⚠ near budget","✓ within budget")))</f>
        <v/>
      </c>
      <c r="G35" s="43">
        <f>IF($B35="","",ROUND($B35*$B$3*$D$3,2))</f>
        <v/>
      </c>
      <c r="H35">
        <f>IF($A35="","",IF(COUNTIF('Time Log'!$A$5:$A$304,$A35&amp;"")=0,"",ROUND(SUMIF('Time Log'!$A$5:$A$304,$A35&amp;"",'Time Log'!$F$5:$F$304)-SUMIF('Time Log'!$A$5:$A$304,$A35&amp;"",'Time Log'!$G$5:$G$304),2)))</f>
        <v/>
      </c>
    </row>
    <row r="37">
      <c r="A37" s="15" t="inlineStr">
        <is>
          <t>TOTALS</t>
        </is>
      </c>
      <c r="B37" s="37">
        <f>IF(COUNT(B6:B35)=0,"",ROUND(SUM(B6:B35),2))</f>
        <v/>
      </c>
      <c r="C37" s="38">
        <f>IF(COUNT(C6:C35)=0,"",ROUND(SUM(C6:C35),2))</f>
        <v/>
      </c>
      <c r="D37" s="38">
        <f>IF(COUNT(D6:D35)=0,"",ROUND(SUM(D6:D35),2))</f>
        <v/>
      </c>
      <c r="E37" s="43" t="n"/>
      <c r="F37" s="43" t="n"/>
      <c r="G37" s="43">
        <f>IF(COUNT(G6:G35)=0,"",ROUND(SUM(G6:G35),2))</f>
        <v/>
      </c>
      <c r="H37" s="38">
        <f>IF(COUNT(H6:H35)=0,"",ROUND(SUM(H6:H35),2))</f>
        <v/>
      </c>
    </row>
    <row r="39">
      <c r="A39" s="1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2:G2"/>
    <mergeCell ref="A39:G39"/>
    <mergeCell ref="A1:G1"/>
  </mergeCells>
  <conditionalFormatting sqref="F6:F35">
    <cfRule type="containsText" priority="1" operator="containsText" dxfId="0" stopIfTrue="1" text="OVER BUDGET">
      <formula>NOT(ISERROR(SEARCH("OVER BUDGET",F6)))</formula>
    </cfRule>
    <cfRule type="containsText" priority="2" operator="containsText" dxfId="1" stopIfTrue="1" text="near budget">
      <formula>NOT(ISERROR(SEARCH("near budget",F6)))</formula>
    </cfRule>
    <cfRule type="containsText" priority="3" operator="containsText" dxfId="2" stopIfTrue="1" text="within budget">
      <formula>NOT(ISERROR(SEARCH("within budget",F6)))</formula>
    </cfRule>
    <cfRule type="containsText" priority="4" operator="containsText" dxfId="2" stopIfTrue="1" text="OK">
      <formula>NOT(ISERROR(SEARCH("OK",F6)))</formula>
    </cfRule>
  </conditionalFormatting>
  <dataValidations count="3">
    <dataValidation sqref="B3" showDropDown="0" showInputMessage="1" showErrorMessage="0" allowBlank="0" promptTitle="kitgp-v2 · hourly_rate" prompt="Take it from the &quot;Cost per hour worked&quot; column of file 03 (Restaurant Labor Cost Calculator (Payroll &amp; Labor %)): it is the real cost per hour, not the plain hourly wage."/>
    <dataValidation sqref="D3" showDropDown="0" showInputMessage="1" showErrorMessage="0" allowBlank="0" promptTitle="kitgp-v2 · ot_multiplier" prompt="FLSA minimum: 1.5× the regular rate for hours over 40 in the workweek. California: 2× above 12 h in a day. Raise it if your contract or state pays more. UK: no legal premium."/>
    <dataValidation sqref="F3" showDropDown="0" showInputMessage="1" showErrorMessage="0" allowBlank="0" promptTitle="kitgp-v2 · annual_ot_budget" prompt="Kit rule: federal law sets no yearly cap on overtime hours. Type the budget per person you want to manage (80 by default); the summary shows near or over budget."/>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Overtime Tracker &amp; Time Log (FLSA 40-Hour Week)</dc:title>
  <dc:description xmlns:dc="http://purl.org/dc/elements/1.1/">aichef.pro/en/digital-products/restaurant-schedule-templates</dc:description>
  <dc:subject xmlns:dc="http://purl.org/dc/elements/1.1/">Restaurant Staff Scheduling Kit Pro · v2.0</dc:subject>
  <dcterms:created xmlns:dcterms="http://purl.org/dc/terms/" xmlns:xsi="http://www.w3.org/2001/XMLSchema-instance" xsi:type="dcterms:W3CDTF">2026-03-23T19:17:38Z</dcterms:created>
  <dcterms:modified xmlns:dcterms="http://purl.org/dc/terms/" xmlns:xsi="http://www.w3.org/2001/XMLSchema-instance" xsi:type="dcterms:W3CDTF">2026-10-03T15:13:42Z</dcterms:modified>
  <cp:lastModifiedBy>AI Chef Pro</cp:lastModifiedBy>
  <cp:category>AI Chef Pro · Digital products</cp:category>
  <cp:keywords>restaurant schedule template, staff rota, AI Chef Pro</cp:keywords>
</cp:coreProperties>
</file>