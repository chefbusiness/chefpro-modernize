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taff Directory" sheetId="2" state="visible" r:id="rId2"/>
    <sheet xmlns:r="http://schemas.openxmlformats.org/officeDocument/2006/relationships" name="Expiry Alerts" sheetId="3" state="visible" r:id="rId3"/>
  </sheets>
  <definedNames>
    <definedName name="_xlnm.Print_Area" localSheetId="0">'Instructions'!$A$1:$B$31</definedName>
    <definedName name="_xlnm._FilterDatabase" localSheetId="1" hidden="1">'Staff Directory'!$A$4:$V$34</definedName>
    <definedName name="_xlnm.Print_Titles" localSheetId="1">'Staff Directory'!$4:$4,'Staff Directory'!$A:$A</definedName>
    <definedName name="_xlnm.Print_Area" localSheetId="1">'Staff Directory'!$A$1:$V$41</definedName>
    <definedName name="_xlnm.Print_Titles" localSheetId="2">'Expiry Alerts'!$6:$6,'Expiry Alerts'!$A:$A</definedName>
    <definedName name="_xlnm.Print_Area" localSheetId="2">'Expiry Alerts'!$A$1:$I$43</definedName>
  </definedNames>
  <calcPr calcId="124519" fullCalcOnLoad="1"/>
</workbook>
</file>

<file path=xl/styles.xml><?xml version="1.0" encoding="utf-8"?>
<styleSheet xmlns="http://schemas.openxmlformats.org/spreadsheetml/2006/main">
  <numFmts count="4">
    <numFmt numFmtId="164" formatCode="#,##0.00"/>
    <numFmt numFmtId="165" formatCode="#,##0.00;@"/>
    <numFmt numFmtId="166" formatCode="m/d/yyyy"/>
    <numFmt numFmtId="167" formatCode="#,##0.00;@;@"/>
  </numFmts>
  <fonts count="20">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sz val="11"/>
    </font>
    <font>
      <name val="Calibri"/>
      <color rgb="00999999"/>
      <sz val="9"/>
    </font>
    <font>
      <name val="Calibri"/>
      <b val="1"/>
      <sz val="11"/>
    </font>
    <font>
      <name val="Calibri"/>
      <b val="1"/>
      <color rgb="001565C0"/>
      <sz val="11"/>
    </font>
    <font>
      <name val="Calibri"/>
      <b val="1"/>
      <color rgb="00FFD700"/>
      <sz val="12"/>
    </font>
    <font/>
    <font>
      <b val="1"/>
      <sz val="14"/>
    </font>
    <font>
      <color rgb="00666666"/>
      <sz val="9"/>
    </font>
    <font>
      <b val="1"/>
      <color rgb="00FFFFFF"/>
      <sz val="10"/>
    </font>
    <font>
      <i val="1"/>
      <sz val="9"/>
    </font>
    <font>
      <color rgb="00888888"/>
      <sz val="8"/>
    </font>
    <font>
      <b val="1"/>
      <sz val="11"/>
    </font>
    <font>
      <b val="1"/>
      <sz val="13"/>
    </font>
  </fonts>
  <fills count="6">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2D2D2D"/>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horizontal="center" vertical="center" wrapText="1"/>
    </xf>
    <xf numFmtId="164" fontId="7" fillId="3" borderId="1" applyAlignment="1" pivotButton="0" quotePrefix="0" xfId="0">
      <alignment horizontal="center" vertical="center" wrapText="1"/>
    </xf>
    <xf numFmtId="165" fontId="7" fillId="3" borderId="1" applyAlignment="1" pivotButton="0" quotePrefix="0" xfId="0">
      <alignment horizontal="center" vertical="center" wrapText="1"/>
    </xf>
    <xf numFmtId="0" fontId="8" fillId="0" borderId="0" pivotButton="0" quotePrefix="0" xfId="0"/>
    <xf numFmtId="0" fontId="9" fillId="0" borderId="0" pivotButton="0" quotePrefix="0" xfId="0"/>
    <xf numFmtId="164" fontId="10" fillId="0" borderId="1" pivotButton="0" quotePrefix="0" xfId="0"/>
    <xf numFmtId="0" fontId="11" fillId="0" borderId="0" pivotButton="0" quotePrefix="0" xfId="0"/>
    <xf numFmtId="0" fontId="7" fillId="0" borderId="1" pivotButton="0" quotePrefix="0" xfId="0"/>
    <xf numFmtId="164" fontId="7" fillId="0" borderId="1" pivotButton="0" quotePrefix="0" xfId="0"/>
    <xf numFmtId="0" fontId="10"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3" borderId="1" pivotButton="0" quotePrefix="0" xfId="0"/>
    <xf numFmtId="164" fontId="7" fillId="3" borderId="1" pivotButton="0" quotePrefix="0" xfId="0"/>
    <xf numFmtId="0" fontId="19" fillId="0" borderId="0" applyAlignment="1" pivotButton="0" quotePrefix="0" xfId="0">
      <alignment vertical="top" wrapText="1"/>
    </xf>
    <xf numFmtId="0" fontId="12" fillId="0" borderId="0" applyAlignment="1" pivotButton="0" quotePrefix="0" xfId="0">
      <alignment vertical="top" wrapText="1"/>
    </xf>
    <xf numFmtId="0" fontId="0" fillId="0" borderId="0" applyAlignment="1" pivotButton="0" quotePrefix="0" xfId="0">
      <alignment vertical="top" wrapText="1"/>
    </xf>
    <xf numFmtId="0" fontId="13" fillId="0" borderId="0" pivotButton="0" quotePrefix="0" xfId="0"/>
    <xf numFmtId="0" fontId="14" fillId="0" borderId="0" pivotButton="0" quotePrefix="0" xfId="0"/>
    <xf numFmtId="0" fontId="12" fillId="0" borderId="0" pivotButton="0" quotePrefix="0" xfId="0"/>
    <xf numFmtId="0" fontId="15" fillId="4" borderId="1" applyAlignment="1" pivotButton="0" quotePrefix="0" xfId="0">
      <alignment horizontal="center" vertical="center" wrapText="1"/>
    </xf>
    <xf numFmtId="0" fontId="15" fillId="4" borderId="0" applyAlignment="1" pivotButton="0" quotePrefix="0" xfId="0">
      <alignment horizontal="center" vertical="center" wrapText="1"/>
    </xf>
    <xf numFmtId="0" fontId="12" fillId="5" borderId="1" applyProtection="1" pivotButton="0" quotePrefix="0" xfId="0">
      <protection locked="0" hidden="0"/>
    </xf>
    <xf numFmtId="49" fontId="12" fillId="5" borderId="1" applyProtection="1" pivotButton="0" quotePrefix="0" xfId="0">
      <protection locked="0" hidden="0"/>
    </xf>
    <xf numFmtId="166" fontId="12" fillId="5" borderId="1" applyProtection="1" pivotButton="0" quotePrefix="0" xfId="0">
      <protection locked="0" hidden="0"/>
    </xf>
    <xf numFmtId="2" fontId="12" fillId="5" borderId="1" applyProtection="1" pivotButton="0" quotePrefix="0" xfId="0">
      <protection locked="0" hidden="0"/>
    </xf>
    <xf numFmtId="167" fontId="0" fillId="5" borderId="0" applyProtection="1" pivotButton="0" quotePrefix="0" xfId="0">
      <protection locked="0" hidden="0"/>
    </xf>
    <xf numFmtId="49" fontId="0" fillId="5" borderId="0" applyProtection="1" pivotButton="0" quotePrefix="0" xfId="0">
      <protection locked="0" hidden="0"/>
    </xf>
    <xf numFmtId="0" fontId="0" fillId="5" borderId="0" applyProtection="1" pivotButton="0" quotePrefix="0" xfId="0">
      <protection locked="0" hidden="0"/>
    </xf>
    <xf numFmtId="0" fontId="0" fillId="0" borderId="0" applyAlignment="1" pivotButton="0" quotePrefix="0" xfId="0">
      <alignment vertical="center" wrapText="1"/>
    </xf>
    <xf numFmtId="0" fontId="16" fillId="0" borderId="0" applyAlignment="1" pivotButton="0" quotePrefix="0" xfId="0">
      <alignment vertical="top" wrapText="1"/>
    </xf>
    <xf numFmtId="0" fontId="17" fillId="0" borderId="0" applyAlignment="1" pivotButton="0" quotePrefix="0" xfId="0">
      <alignment horizontal="center"/>
    </xf>
    <xf numFmtId="0" fontId="18" fillId="0" borderId="0" pivotButton="0" quotePrefix="0" xfId="0"/>
    <xf numFmtId="166" fontId="12" fillId="0" borderId="1" pivotButton="0" quotePrefix="0" xfId="0"/>
    <xf numFmtId="1" fontId="12" fillId="0" borderId="0" applyAlignment="1" pivotButton="0" quotePrefix="0" xfId="0">
      <alignment horizontal="center" vertical="center"/>
    </xf>
    <xf numFmtId="1" fontId="12" fillId="5" borderId="0" applyProtection="1" pivotButton="0" quotePrefix="0" xfId="0">
      <protection locked="0" hidden="0"/>
    </xf>
    <xf numFmtId="0" fontId="12" fillId="0" borderId="1" pivotButton="0" quotePrefix="0" xfId="0"/>
    <xf numFmtId="0" fontId="12" fillId="0" borderId="1" applyAlignment="1" pivotButton="0" quotePrefix="0" xfId="0">
      <alignment horizontal="center" vertical="center"/>
    </xf>
    <xf numFmtId="166" fontId="0" fillId="0" borderId="0" pivotButton="0" quotePrefix="0" xfId="0"/>
    <xf numFmtId="0" fontId="0" fillId="0" borderId="0" applyAlignment="1" pivotButton="0" quotePrefix="0" xfId="0">
      <alignment horizontal="center" vertical="center"/>
    </xf>
    <xf numFmtId="166" fontId="12" fillId="0" borderId="0" pivotButton="0" quotePrefix="0" xfId="0"/>
    <xf numFmtId="0" fontId="12" fillId="0" borderId="0" applyAlignment="1" pivotButton="0" quotePrefix="0" xfId="0">
      <alignment horizontal="center" vertical="center"/>
    </xf>
    <xf numFmtId="14" fontId="12" fillId="5" borderId="1" applyProtection="1" pivotButton="0" quotePrefix="0" xfId="0">
      <protection locked="0" hidden="0"/>
    </xf>
    <xf numFmtId="4" fontId="0" fillId="5" borderId="0" applyProtection="1" pivotButton="0" quotePrefix="0" xfId="0">
      <protection locked="0" hidden="0"/>
    </xf>
    <xf numFmtId="14" fontId="12" fillId="0" borderId="1" pivotButton="0" quotePrefix="0" xfId="0"/>
    <xf numFmtId="14" fontId="0" fillId="0" borderId="0" pivotButton="0" quotePrefix="0" xfId="0"/>
    <xf numFmtId="14" fontId="12" fillId="0" borderId="0" pivotButton="0" quotePrefix="0" xfId="0"/>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31"/>
  <sheetViews>
    <sheetView workbookViewId="0">
      <selection activeCell="A1" sqref="A1"/>
    </sheetView>
  </sheetViews>
  <sheetFormatPr baseColWidth="8" defaultRowHeight="15"/>
  <cols>
    <col width="3" customWidth="1" min="1" max="1"/>
    <col width="80" customWidth="1" min="2" max="2"/>
  </cols>
  <sheetData>
    <row r="2">
      <c r="B2" s="21" t="inlineStr">
        <is>
          <t>07 · Employee Directory &amp; Expiry Tracker</t>
        </is>
      </c>
    </row>
    <row r="4">
      <c r="B4" s="22" t="inlineStr">
        <is>
          <t>How to use this template:</t>
        </is>
      </c>
    </row>
    <row r="5">
      <c r="B5" s="22" t="inlineStr">
        <is>
          <t>▸ Log each employee on one row of the "Staff Directory" tab. It holds 30, the same as the schedule (file 01 "Restaurant Schedule Template") and the review history (file 06 "Employee Performance Review Form").</t>
        </is>
      </c>
    </row>
    <row r="6">
      <c r="B6" s="22" t="inlineStr">
        <is>
          <t>▸ Use Excel filters to search by position, FLSA status or employment type.</t>
        </is>
      </c>
    </row>
    <row r="7">
      <c r="B7" s="22" t="inlineStr">
        <is>
          <t>▸ The "Expiry Alerts" tab is not typed into: it reads the four expiry dates from the directory and sorts them by severity.</t>
        </is>
      </c>
    </row>
    <row r="9">
      <c r="B9" s="22" t="inlineStr">
        <is>
          <t>Data included:</t>
        </is>
      </c>
    </row>
    <row r="10">
      <c r="B10" s="22" t="inlineStr">
        <is>
          <t>▸ Identification: Employee ID, name, date of birth and the last 4 digits of the SSN (never the full number).</t>
        </is>
      </c>
    </row>
    <row r="11">
      <c r="B11" s="22" t="inlineStr">
        <is>
          <t>▸ Employment: position, FLSA status (non-exempt / exempt), employment type, full or part-time, weekly hours, pay type, hire date, end date and end of the introductory period.</t>
        </is>
      </c>
    </row>
    <row r="12">
      <c r="B12" s="22" t="inlineStr">
        <is>
          <t>▸ Required credentials: expiry of the food handler card and of the alcohol server certification.</t>
        </is>
      </c>
    </row>
    <row r="13">
      <c r="B13" s="22" t="inlineStr">
        <is>
          <t>▸ Contact: phone, email and emergency contact.</t>
        </is>
      </c>
    </row>
    <row r="14">
      <c r="B14" s="22" t="inlineStr">
        <is>
          <t>▸ Operational: pay rate, uniform size and locker.</t>
        </is>
      </c>
    </row>
    <row r="15">
      <c r="B15" s="22" t="inlineStr">
        <is>
          <t>▸ NO health data is requested: the directory has no column for employee allergies or medical conditions (see below).</t>
        </is>
      </c>
    </row>
    <row r="16">
      <c r="B16" s="3" t="n"/>
    </row>
    <row r="17">
      <c r="B17" s="22" t="inlineStr">
        <is>
          <t>Records and data privacy:</t>
        </is>
      </c>
    </row>
    <row r="18">
      <c r="B18" s="22" t="inlineStr">
        <is>
          <t>▸ Purpose: these records exist to run the employment relationship and to meet payroll, tax and employment-law recordkeeping duties. Collect only what you need for that.</t>
        </is>
      </c>
    </row>
    <row r="19">
      <c r="B19" s="22" t="inlineStr">
        <is>
          <t>▸ Minimization: only what you need to manage the employment relationship. That is why the directory takes just the LAST 4 digits of the SSN and no health data. Keep the full SSN in your payroll system and any medical information in a separate, restricted file, never in the HR sheet.</t>
        </is>
      </c>
    </row>
    <row r="20">
      <c r="B20" s="22" t="inlineStr">
        <is>
          <t>▸ Emergency contact: this is a THIRD PARTY's data. Tell that person you have them on file and why, and collect the information from the employee only with their knowledge.</t>
        </is>
      </c>
    </row>
    <row r="21">
      <c r="B21" s="22" t="inlineStr">
        <is>
          <t>▸ Retention: keep Form I-9 for 3 years from the hire date or 1 year after the employee leaves, whichever is later (8 CFR 274a.2), stored apart from the personnel file; payroll records 3 years and time cards 2 years (29 CFR 516.5-516.6). Once the period has passed and any claims are settled, delete them.</t>
        </is>
      </c>
    </row>
    <row r="22">
      <c r="B22" s="22" t="inlineStr">
        <is>
          <t>▸ Employee rights: decide who receives requests to access or correct employee records and how fast you answer. UK note: under UK GDPR employees can ask for access, rectification, erasure, restriction, portability and to object, and you answer within one month.</t>
        </is>
      </c>
    </row>
    <row r="23">
      <c r="B23" s="22" t="inlineStr">
        <is>
          <t>▸ How to encrypt this workbook: File → Info → Protect Workbook → Encrypt with Password. Keep that password in your password manager, not in the file name.</t>
        </is>
      </c>
    </row>
    <row r="24">
      <c r="B24" s="22" t="inlineStr">
        <is>
          <t>▸ Access limited to HR and management; never by unencrypted email or in shared team folders.</t>
        </is>
      </c>
    </row>
    <row r="26">
      <c r="B26" s="22" t="inlineStr">
        <is>
          <t>A note on sheet protection:</t>
        </is>
      </c>
    </row>
    <row r="27">
      <c r="B27" s="22" t="inlineStr">
        <is>
          <t>▸ The sheets are protected so nobody deletes a formula by mistake, but WITHOUT a password: they are two different things. Encrypting the workbook (above) is what protects personal data.</t>
        </is>
      </c>
    </row>
    <row r="29">
      <c r="B29" s="23" t="inlineStr">
        <is>
          <t>To edit a locked cell: Review → Unprotect Sheet (no password). Green cells are already editable without unprotecting anything.</t>
        </is>
      </c>
    </row>
    <row r="30">
      <c r="B30" s="23" t="inlineStr">
        <is>
          <t>Designed by John Guerrero — chef and restaurant consultant since 2010, in professional kitchens since age 17 · johnguerrero.es</t>
        </is>
      </c>
    </row>
    <row r="31">
      <c r="B31" s="23" t="inlineStr">
        <is>
          <t>Version 2.0 · October 2026 · aichef.pro/en/digital-products/restaurant-schedule-templates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00695C"/>
    <outlinePr summaryBelow="1" summaryRight="1"/>
    <pageSetUpPr fitToPage="1"/>
  </sheetPr>
  <dimension ref="A1:V41"/>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4" customWidth="1" min="2" max="2"/>
    <col width="16" customWidth="1" min="3" max="3"/>
    <col width="16" customWidth="1" min="4" max="4"/>
    <col width="20" customWidth="1" min="5" max="5"/>
    <col width="20" customWidth="1" min="6" max="6"/>
    <col width="12" customWidth="1" min="7" max="7"/>
    <col width="12" customWidth="1" min="8" max="8"/>
    <col width="26" customWidth="1" min="9" max="9"/>
    <col width="20" customWidth="1" min="10" max="10"/>
    <col width="13" customWidth="1" min="11" max="11"/>
    <col width="15" customWidth="1" min="12" max="12"/>
    <col width="15" customWidth="1" min="13" max="13"/>
    <col width="17" customWidth="1" min="14" max="14"/>
    <col width="15" customWidth="1" min="15" max="15"/>
    <col width="16" customWidth="1" min="16" max="16"/>
    <col width="14" customWidth="1" min="17" max="17"/>
    <col width="24" customWidth="1" min="18" max="18"/>
    <col width="24" customWidth="1" min="19" max="19"/>
    <col width="12" customWidth="1" min="20" max="20"/>
    <col width="10" customWidth="1" min="21" max="21"/>
    <col width="34" customWidth="1" min="22" max="22"/>
  </cols>
  <sheetData>
    <row r="1">
      <c r="A1" s="24" t="inlineStr">
        <is>
          <t>Staff Directory</t>
        </is>
      </c>
    </row>
    <row r="2">
      <c r="A2" s="25" t="inlineStr">
        <is>
          <t>AI Chef Pro · aichef.pro — Restaurant Staff Scheduling Kit Pro</t>
        </is>
      </c>
    </row>
    <row r="3">
      <c r="A3" s="26" t="n"/>
      <c r="B3" s="26" t="n"/>
      <c r="C3" s="26" t="n"/>
      <c r="D3" s="26" t="n"/>
      <c r="E3" s="26" t="n"/>
      <c r="F3" s="26" t="n"/>
      <c r="G3" s="26" t="n"/>
      <c r="H3" s="26" t="n"/>
      <c r="I3" s="26" t="n"/>
      <c r="J3" s="26" t="n"/>
      <c r="K3" s="26" t="n"/>
      <c r="L3" s="26" t="n"/>
      <c r="M3" s="26" t="n"/>
      <c r="N3" s="26" t="n"/>
      <c r="O3" s="26" t="n"/>
    </row>
    <row r="4" ht="30" customHeight="1">
      <c r="A4" s="27" t="inlineStr">
        <is>
          <t>Full Name</t>
        </is>
      </c>
      <c r="B4" s="27" t="inlineStr">
        <is>
          <t>Employee ID</t>
        </is>
      </c>
      <c r="C4" s="27" t="inlineStr">
        <is>
          <t>Date of Birth</t>
        </is>
      </c>
      <c r="D4" s="27" t="inlineStr">
        <is>
          <t>Employment type</t>
        </is>
      </c>
      <c r="E4" s="27" t="inlineStr">
        <is>
          <t>Position</t>
        </is>
      </c>
      <c r="F4" s="27" t="inlineStr">
        <is>
          <t>FLSA status (non-exempt / exempt)</t>
        </is>
      </c>
      <c r="G4" s="27" t="inlineStr">
        <is>
          <t>Full / part-time</t>
        </is>
      </c>
      <c r="H4" s="27" t="inlineStr">
        <is>
          <t>Weekly Hours</t>
        </is>
      </c>
      <c r="I4" s="27" t="inlineStr">
        <is>
          <t>Pay type (hourly / salaried / tipped)</t>
        </is>
      </c>
      <c r="J4" s="27" t="inlineStr">
        <is>
          <t>SSN (last 4 digits only)</t>
        </is>
      </c>
      <c r="K4" s="27" t="inlineStr">
        <is>
          <t>Hire date</t>
        </is>
      </c>
      <c r="L4" s="27" t="inlineStr">
        <is>
          <t>End date (seasonal / temp)</t>
        </is>
      </c>
      <c r="M4" s="27" t="inlineStr">
        <is>
          <t>Introductory period ends</t>
        </is>
      </c>
      <c r="N4" s="27" t="inlineStr">
        <is>
          <t>Food handler card expires</t>
        </is>
      </c>
      <c r="O4" s="27" t="inlineStr">
        <is>
          <t>Alcohol server cert expires</t>
        </is>
      </c>
      <c r="P4" s="28" t="inlineStr">
        <is>
          <t>Pay rate</t>
        </is>
      </c>
      <c r="Q4" s="28" t="inlineStr">
        <is>
          <t>Phone</t>
        </is>
      </c>
      <c r="R4" s="28" t="inlineStr">
        <is>
          <t>Email</t>
        </is>
      </c>
      <c r="S4" s="28" t="inlineStr">
        <is>
          <t>Emergency Contact</t>
        </is>
      </c>
      <c r="T4" s="28" t="inlineStr">
        <is>
          <t>Uniform Size</t>
        </is>
      </c>
      <c r="U4" s="28" t="inlineStr">
        <is>
          <t>Locker</t>
        </is>
      </c>
      <c r="V4" s="28" t="inlineStr">
        <is>
          <t>Alert</t>
        </is>
      </c>
    </row>
    <row r="5">
      <c r="A5" s="29" t="n"/>
      <c r="B5" s="30" t="n"/>
      <c r="C5" s="49" t="n"/>
      <c r="D5" s="29" t="n"/>
      <c r="E5" s="29" t="n"/>
      <c r="F5" s="29" t="n"/>
      <c r="G5" s="29" t="n"/>
      <c r="H5" s="32" t="n"/>
      <c r="I5" s="29" t="n"/>
      <c r="J5" s="30" t="n"/>
      <c r="K5" s="49" t="n"/>
      <c r="L5" s="49" t="n"/>
      <c r="M5" s="49" t="n"/>
      <c r="N5" s="49" t="n"/>
      <c r="O5" s="49" t="n"/>
      <c r="P5" s="50" t="n"/>
      <c r="Q5" s="34" t="n"/>
      <c r="R5" s="35" t="n"/>
      <c r="S5" s="35" t="n"/>
      <c r="T5" s="35" t="n"/>
      <c r="U5" s="35" t="n"/>
      <c r="V5" s="36">
        <f>IF($C5="","",IF(DATE(YEAR($C5)+18,MONTH($C5),DAY($C5))&gt;TODAY(),"⚠ UNDER 18: child labor rules apply (29 CFR 570)",""))</f>
        <v/>
      </c>
    </row>
    <row r="6">
      <c r="A6" s="29" t="n"/>
      <c r="B6" s="30" t="n"/>
      <c r="C6" s="49" t="n"/>
      <c r="D6" s="29" t="n"/>
      <c r="E6" s="29" t="n"/>
      <c r="F6" s="29" t="n"/>
      <c r="G6" s="29" t="n"/>
      <c r="H6" s="32" t="n"/>
      <c r="I6" s="29" t="n"/>
      <c r="J6" s="30" t="n"/>
      <c r="K6" s="49" t="n"/>
      <c r="L6" s="49" t="n"/>
      <c r="M6" s="49" t="n"/>
      <c r="N6" s="49" t="n"/>
      <c r="O6" s="49" t="n"/>
      <c r="P6" s="50" t="n"/>
      <c r="Q6" s="34" t="n"/>
      <c r="R6" s="35" t="n"/>
      <c r="S6" s="35" t="n"/>
      <c r="T6" s="35" t="n"/>
      <c r="U6" s="35" t="n"/>
      <c r="V6" s="36">
        <f>IF($C6="","",IF(DATE(YEAR($C6)+18,MONTH($C6),DAY($C6))&gt;TODAY(),"⚠ UNDER 18: child labor rules apply (29 CFR 570)",""))</f>
        <v/>
      </c>
    </row>
    <row r="7">
      <c r="A7" s="29" t="n"/>
      <c r="B7" s="30" t="n"/>
      <c r="C7" s="49" t="n"/>
      <c r="D7" s="29" t="n"/>
      <c r="E7" s="29" t="n"/>
      <c r="F7" s="29" t="n"/>
      <c r="G7" s="29" t="n"/>
      <c r="H7" s="32" t="n"/>
      <c r="I7" s="29" t="n"/>
      <c r="J7" s="30" t="n"/>
      <c r="K7" s="49" t="n"/>
      <c r="L7" s="49" t="n"/>
      <c r="M7" s="49" t="n"/>
      <c r="N7" s="49" t="n"/>
      <c r="O7" s="49" t="n"/>
      <c r="P7" s="50" t="n"/>
      <c r="Q7" s="34" t="n"/>
      <c r="R7" s="35" t="n"/>
      <c r="S7" s="35" t="n"/>
      <c r="T7" s="35" t="n"/>
      <c r="U7" s="35" t="n"/>
      <c r="V7" s="36">
        <f>IF($C7="","",IF(DATE(YEAR($C7)+18,MONTH($C7),DAY($C7))&gt;TODAY(),"⚠ UNDER 18: child labor rules apply (29 CFR 570)",""))</f>
        <v/>
      </c>
    </row>
    <row r="8">
      <c r="A8" s="29" t="n"/>
      <c r="B8" s="30" t="n"/>
      <c r="C8" s="49" t="n"/>
      <c r="D8" s="29" t="n"/>
      <c r="E8" s="29" t="n"/>
      <c r="F8" s="29" t="n"/>
      <c r="G8" s="29" t="n"/>
      <c r="H8" s="32" t="n"/>
      <c r="I8" s="29" t="n"/>
      <c r="J8" s="30" t="n"/>
      <c r="K8" s="49" t="n"/>
      <c r="L8" s="49" t="n"/>
      <c r="M8" s="49" t="n"/>
      <c r="N8" s="49" t="n"/>
      <c r="O8" s="49" t="n"/>
      <c r="P8" s="50" t="n"/>
      <c r="Q8" s="34" t="n"/>
      <c r="R8" s="35" t="n"/>
      <c r="S8" s="35" t="n"/>
      <c r="T8" s="35" t="n"/>
      <c r="U8" s="35" t="n"/>
      <c r="V8" s="36">
        <f>IF($C8="","",IF(DATE(YEAR($C8)+18,MONTH($C8),DAY($C8))&gt;TODAY(),"⚠ UNDER 18: child labor rules apply (29 CFR 570)",""))</f>
        <v/>
      </c>
    </row>
    <row r="9">
      <c r="A9" s="29" t="n"/>
      <c r="B9" s="30" t="n"/>
      <c r="C9" s="49" t="n"/>
      <c r="D9" s="29" t="n"/>
      <c r="E9" s="29" t="n"/>
      <c r="F9" s="29" t="n"/>
      <c r="G9" s="29" t="n"/>
      <c r="H9" s="32" t="n"/>
      <c r="I9" s="29" t="n"/>
      <c r="J9" s="30" t="n"/>
      <c r="K9" s="49" t="n"/>
      <c r="L9" s="49" t="n"/>
      <c r="M9" s="49" t="n"/>
      <c r="N9" s="49" t="n"/>
      <c r="O9" s="49" t="n"/>
      <c r="P9" s="50" t="n"/>
      <c r="Q9" s="34" t="n"/>
      <c r="R9" s="35" t="n"/>
      <c r="S9" s="35" t="n"/>
      <c r="T9" s="35" t="n"/>
      <c r="U9" s="35" t="n"/>
      <c r="V9" s="36">
        <f>IF($C9="","",IF(DATE(YEAR($C9)+18,MONTH($C9),DAY($C9))&gt;TODAY(),"⚠ UNDER 18: child labor rules apply (29 CFR 570)",""))</f>
        <v/>
      </c>
    </row>
    <row r="10">
      <c r="A10" s="29" t="n"/>
      <c r="B10" s="30" t="n"/>
      <c r="C10" s="49" t="n"/>
      <c r="D10" s="29" t="n"/>
      <c r="E10" s="29" t="n"/>
      <c r="F10" s="29" t="n"/>
      <c r="G10" s="29" t="n"/>
      <c r="H10" s="32" t="n"/>
      <c r="I10" s="29" t="n"/>
      <c r="J10" s="30" t="n"/>
      <c r="K10" s="49" t="n"/>
      <c r="L10" s="49" t="n"/>
      <c r="M10" s="49" t="n"/>
      <c r="N10" s="49" t="n"/>
      <c r="O10" s="49" t="n"/>
      <c r="P10" s="50" t="n"/>
      <c r="Q10" s="34" t="n"/>
      <c r="R10" s="35" t="n"/>
      <c r="S10" s="35" t="n"/>
      <c r="T10" s="35" t="n"/>
      <c r="U10" s="35" t="n"/>
      <c r="V10" s="36">
        <f>IF($C10="","",IF(DATE(YEAR($C10)+18,MONTH($C10),DAY($C10))&gt;TODAY(),"⚠ UNDER 18: child labor rules apply (29 CFR 570)",""))</f>
        <v/>
      </c>
    </row>
    <row r="11">
      <c r="A11" s="29" t="n"/>
      <c r="B11" s="30" t="n"/>
      <c r="C11" s="49" t="n"/>
      <c r="D11" s="29" t="n"/>
      <c r="E11" s="29" t="n"/>
      <c r="F11" s="29" t="n"/>
      <c r="G11" s="29" t="n"/>
      <c r="H11" s="32" t="n"/>
      <c r="I11" s="29" t="n"/>
      <c r="J11" s="30" t="n"/>
      <c r="K11" s="49" t="n"/>
      <c r="L11" s="49" t="n"/>
      <c r="M11" s="49" t="n"/>
      <c r="N11" s="49" t="n"/>
      <c r="O11" s="49" t="n"/>
      <c r="P11" s="50" t="n"/>
      <c r="Q11" s="34" t="n"/>
      <c r="R11" s="35" t="n"/>
      <c r="S11" s="35" t="n"/>
      <c r="T11" s="35" t="n"/>
      <c r="U11" s="35" t="n"/>
      <c r="V11" s="36">
        <f>IF($C11="","",IF(DATE(YEAR($C11)+18,MONTH($C11),DAY($C11))&gt;TODAY(),"⚠ UNDER 18: child labor rules apply (29 CFR 570)",""))</f>
        <v/>
      </c>
    </row>
    <row r="12">
      <c r="A12" s="29" t="n"/>
      <c r="B12" s="30" t="n"/>
      <c r="C12" s="49" t="n"/>
      <c r="D12" s="29" t="n"/>
      <c r="E12" s="29" t="n"/>
      <c r="F12" s="29" t="n"/>
      <c r="G12" s="29" t="n"/>
      <c r="H12" s="32" t="n"/>
      <c r="I12" s="29" t="n"/>
      <c r="J12" s="30" t="n"/>
      <c r="K12" s="49" t="n"/>
      <c r="L12" s="49" t="n"/>
      <c r="M12" s="49" t="n"/>
      <c r="N12" s="49" t="n"/>
      <c r="O12" s="49" t="n"/>
      <c r="P12" s="50" t="n"/>
      <c r="Q12" s="34" t="n"/>
      <c r="R12" s="35" t="n"/>
      <c r="S12" s="35" t="n"/>
      <c r="T12" s="35" t="n"/>
      <c r="U12" s="35" t="n"/>
      <c r="V12" s="36">
        <f>IF($C12="","",IF(DATE(YEAR($C12)+18,MONTH($C12),DAY($C12))&gt;TODAY(),"⚠ UNDER 18: child labor rules apply (29 CFR 570)",""))</f>
        <v/>
      </c>
    </row>
    <row r="13">
      <c r="A13" s="29" t="n"/>
      <c r="B13" s="30" t="n"/>
      <c r="C13" s="49" t="n"/>
      <c r="D13" s="29" t="n"/>
      <c r="E13" s="29" t="n"/>
      <c r="F13" s="29" t="n"/>
      <c r="G13" s="29" t="n"/>
      <c r="H13" s="32" t="n"/>
      <c r="I13" s="29" t="n"/>
      <c r="J13" s="30" t="n"/>
      <c r="K13" s="49" t="n"/>
      <c r="L13" s="49" t="n"/>
      <c r="M13" s="49" t="n"/>
      <c r="N13" s="49" t="n"/>
      <c r="O13" s="49" t="n"/>
      <c r="P13" s="50" t="n"/>
      <c r="Q13" s="34" t="n"/>
      <c r="R13" s="35" t="n"/>
      <c r="S13" s="35" t="n"/>
      <c r="T13" s="35" t="n"/>
      <c r="U13" s="35" t="n"/>
      <c r="V13" s="36">
        <f>IF($C13="","",IF(DATE(YEAR($C13)+18,MONTH($C13),DAY($C13))&gt;TODAY(),"⚠ UNDER 18: child labor rules apply (29 CFR 570)",""))</f>
        <v/>
      </c>
    </row>
    <row r="14">
      <c r="A14" s="29" t="n"/>
      <c r="B14" s="30" t="n"/>
      <c r="C14" s="49" t="n"/>
      <c r="D14" s="29" t="n"/>
      <c r="E14" s="29" t="n"/>
      <c r="F14" s="29" t="n"/>
      <c r="G14" s="29" t="n"/>
      <c r="H14" s="32" t="n"/>
      <c r="I14" s="29" t="n"/>
      <c r="J14" s="30" t="n"/>
      <c r="K14" s="49" t="n"/>
      <c r="L14" s="49" t="n"/>
      <c r="M14" s="49" t="n"/>
      <c r="N14" s="49" t="n"/>
      <c r="O14" s="49" t="n"/>
      <c r="P14" s="50" t="n"/>
      <c r="Q14" s="34" t="n"/>
      <c r="R14" s="35" t="n"/>
      <c r="S14" s="35" t="n"/>
      <c r="T14" s="35" t="n"/>
      <c r="U14" s="35" t="n"/>
      <c r="V14" s="36">
        <f>IF($C14="","",IF(DATE(YEAR($C14)+18,MONTH($C14),DAY($C14))&gt;TODAY(),"⚠ UNDER 18: child labor rules apply (29 CFR 570)",""))</f>
        <v/>
      </c>
    </row>
    <row r="15">
      <c r="A15" s="29" t="n"/>
      <c r="B15" s="30" t="n"/>
      <c r="C15" s="49" t="n"/>
      <c r="D15" s="29" t="n"/>
      <c r="E15" s="29" t="n"/>
      <c r="F15" s="29" t="n"/>
      <c r="G15" s="29" t="n"/>
      <c r="H15" s="32" t="n"/>
      <c r="I15" s="29" t="n"/>
      <c r="J15" s="30" t="n"/>
      <c r="K15" s="49" t="n"/>
      <c r="L15" s="49" t="n"/>
      <c r="M15" s="49" t="n"/>
      <c r="N15" s="49" t="n"/>
      <c r="O15" s="49" t="n"/>
      <c r="P15" s="50" t="n"/>
      <c r="Q15" s="34" t="n"/>
      <c r="R15" s="35" t="n"/>
      <c r="S15" s="35" t="n"/>
      <c r="T15" s="35" t="n"/>
      <c r="U15" s="35" t="n"/>
      <c r="V15" s="36">
        <f>IF($C15="","",IF(DATE(YEAR($C15)+18,MONTH($C15),DAY($C15))&gt;TODAY(),"⚠ UNDER 18: child labor rules apply (29 CFR 570)",""))</f>
        <v/>
      </c>
    </row>
    <row r="16">
      <c r="A16" s="29" t="n"/>
      <c r="B16" s="30" t="n"/>
      <c r="C16" s="49" t="n"/>
      <c r="D16" s="29" t="n"/>
      <c r="E16" s="29" t="n"/>
      <c r="F16" s="29" t="n"/>
      <c r="G16" s="29" t="n"/>
      <c r="H16" s="32" t="n"/>
      <c r="I16" s="29" t="n"/>
      <c r="J16" s="30" t="n"/>
      <c r="K16" s="49" t="n"/>
      <c r="L16" s="49" t="n"/>
      <c r="M16" s="49" t="n"/>
      <c r="N16" s="49" t="n"/>
      <c r="O16" s="49" t="n"/>
      <c r="P16" s="50" t="n"/>
      <c r="Q16" s="34" t="n"/>
      <c r="R16" s="35" t="n"/>
      <c r="S16" s="35" t="n"/>
      <c r="T16" s="35" t="n"/>
      <c r="U16" s="35" t="n"/>
      <c r="V16" s="36">
        <f>IF($C16="","",IF(DATE(YEAR($C16)+18,MONTH($C16),DAY($C16))&gt;TODAY(),"⚠ UNDER 18: child labor rules apply (29 CFR 570)",""))</f>
        <v/>
      </c>
    </row>
    <row r="17">
      <c r="A17" s="29" t="n"/>
      <c r="B17" s="30" t="n"/>
      <c r="C17" s="49" t="n"/>
      <c r="D17" s="29" t="n"/>
      <c r="E17" s="29" t="n"/>
      <c r="F17" s="29" t="n"/>
      <c r="G17" s="29" t="n"/>
      <c r="H17" s="32" t="n"/>
      <c r="I17" s="29" t="n"/>
      <c r="J17" s="30" t="n"/>
      <c r="K17" s="49" t="n"/>
      <c r="L17" s="49" t="n"/>
      <c r="M17" s="49" t="n"/>
      <c r="N17" s="49" t="n"/>
      <c r="O17" s="49" t="n"/>
      <c r="P17" s="50" t="n"/>
      <c r="Q17" s="34" t="n"/>
      <c r="R17" s="35" t="n"/>
      <c r="S17" s="35" t="n"/>
      <c r="T17" s="35" t="n"/>
      <c r="U17" s="35" t="n"/>
      <c r="V17" s="36">
        <f>IF($C17="","",IF(DATE(YEAR($C17)+18,MONTH($C17),DAY($C17))&gt;TODAY(),"⚠ UNDER 18: child labor rules apply (29 CFR 570)",""))</f>
        <v/>
      </c>
    </row>
    <row r="18">
      <c r="A18" s="29" t="n"/>
      <c r="B18" s="30" t="n"/>
      <c r="C18" s="49" t="n"/>
      <c r="D18" s="29" t="n"/>
      <c r="E18" s="29" t="n"/>
      <c r="F18" s="29" t="n"/>
      <c r="G18" s="29" t="n"/>
      <c r="H18" s="32" t="n"/>
      <c r="I18" s="29" t="n"/>
      <c r="J18" s="30" t="n"/>
      <c r="K18" s="49" t="n"/>
      <c r="L18" s="49" t="n"/>
      <c r="M18" s="49" t="n"/>
      <c r="N18" s="49" t="n"/>
      <c r="O18" s="49" t="n"/>
      <c r="P18" s="50" t="n"/>
      <c r="Q18" s="34" t="n"/>
      <c r="R18" s="35" t="n"/>
      <c r="S18" s="35" t="n"/>
      <c r="T18" s="35" t="n"/>
      <c r="U18" s="35" t="n"/>
      <c r="V18" s="36">
        <f>IF($C18="","",IF(DATE(YEAR($C18)+18,MONTH($C18),DAY($C18))&gt;TODAY(),"⚠ UNDER 18: child labor rules apply (29 CFR 570)",""))</f>
        <v/>
      </c>
    </row>
    <row r="19">
      <c r="A19" s="29" t="n"/>
      <c r="B19" s="30" t="n"/>
      <c r="C19" s="49" t="n"/>
      <c r="D19" s="29" t="n"/>
      <c r="E19" s="29" t="n"/>
      <c r="F19" s="29" t="n"/>
      <c r="G19" s="29" t="n"/>
      <c r="H19" s="32" t="n"/>
      <c r="I19" s="29" t="n"/>
      <c r="J19" s="30" t="n"/>
      <c r="K19" s="49" t="n"/>
      <c r="L19" s="49" t="n"/>
      <c r="M19" s="49" t="n"/>
      <c r="N19" s="49" t="n"/>
      <c r="O19" s="49" t="n"/>
      <c r="P19" s="50" t="n"/>
      <c r="Q19" s="34" t="n"/>
      <c r="R19" s="35" t="n"/>
      <c r="S19" s="35" t="n"/>
      <c r="T19" s="35" t="n"/>
      <c r="U19" s="35" t="n"/>
      <c r="V19" s="36">
        <f>IF($C19="","",IF(DATE(YEAR($C19)+18,MONTH($C19),DAY($C19))&gt;TODAY(),"⚠ UNDER 18: child labor rules apply (29 CFR 570)",""))</f>
        <v/>
      </c>
    </row>
    <row r="20">
      <c r="A20" s="29" t="n"/>
      <c r="B20" s="30" t="n"/>
      <c r="C20" s="49" t="n"/>
      <c r="D20" s="29" t="n"/>
      <c r="E20" s="29" t="n"/>
      <c r="F20" s="29" t="n"/>
      <c r="G20" s="29" t="n"/>
      <c r="H20" s="32" t="n"/>
      <c r="I20" s="29" t="n"/>
      <c r="J20" s="30" t="n"/>
      <c r="K20" s="49" t="n"/>
      <c r="L20" s="49" t="n"/>
      <c r="M20" s="49" t="n"/>
      <c r="N20" s="49" t="n"/>
      <c r="O20" s="49" t="n"/>
      <c r="P20" s="50" t="n"/>
      <c r="Q20" s="34" t="n"/>
      <c r="R20" s="35" t="n"/>
      <c r="S20" s="35" t="n"/>
      <c r="T20" s="35" t="n"/>
      <c r="U20" s="35" t="n"/>
      <c r="V20" s="36">
        <f>IF($C20="","",IF(DATE(YEAR($C20)+18,MONTH($C20),DAY($C20))&gt;TODAY(),"⚠ UNDER 18: child labor rules apply (29 CFR 570)",""))</f>
        <v/>
      </c>
    </row>
    <row r="21">
      <c r="A21" s="29" t="n"/>
      <c r="B21" s="30" t="n"/>
      <c r="C21" s="49" t="n"/>
      <c r="D21" s="29" t="n"/>
      <c r="E21" s="29" t="n"/>
      <c r="F21" s="29" t="n"/>
      <c r="G21" s="29" t="n"/>
      <c r="H21" s="32" t="n"/>
      <c r="I21" s="29" t="n"/>
      <c r="J21" s="30" t="n"/>
      <c r="K21" s="49" t="n"/>
      <c r="L21" s="49" t="n"/>
      <c r="M21" s="49" t="n"/>
      <c r="N21" s="49" t="n"/>
      <c r="O21" s="49" t="n"/>
      <c r="P21" s="50" t="n"/>
      <c r="Q21" s="34" t="n"/>
      <c r="R21" s="35" t="n"/>
      <c r="S21" s="35" t="n"/>
      <c r="T21" s="35" t="n"/>
      <c r="U21" s="35" t="n"/>
      <c r="V21" s="36">
        <f>IF($C21="","",IF(DATE(YEAR($C21)+18,MONTH($C21),DAY($C21))&gt;TODAY(),"⚠ UNDER 18: child labor rules apply (29 CFR 570)",""))</f>
        <v/>
      </c>
    </row>
    <row r="22">
      <c r="A22" s="29" t="n"/>
      <c r="B22" s="30" t="n"/>
      <c r="C22" s="49" t="n"/>
      <c r="D22" s="29" t="n"/>
      <c r="E22" s="29" t="n"/>
      <c r="F22" s="29" t="n"/>
      <c r="G22" s="29" t="n"/>
      <c r="H22" s="32" t="n"/>
      <c r="I22" s="29" t="n"/>
      <c r="J22" s="30" t="n"/>
      <c r="K22" s="49" t="n"/>
      <c r="L22" s="49" t="n"/>
      <c r="M22" s="49" t="n"/>
      <c r="N22" s="49" t="n"/>
      <c r="O22" s="49" t="n"/>
      <c r="P22" s="50" t="n"/>
      <c r="Q22" s="34" t="n"/>
      <c r="R22" s="35" t="n"/>
      <c r="S22" s="35" t="n"/>
      <c r="T22" s="35" t="n"/>
      <c r="U22" s="35" t="n"/>
      <c r="V22" s="36">
        <f>IF($C22="","",IF(DATE(YEAR($C22)+18,MONTH($C22),DAY($C22))&gt;TODAY(),"⚠ UNDER 18: child labor rules apply (29 CFR 570)",""))</f>
        <v/>
      </c>
    </row>
    <row r="23">
      <c r="A23" s="29" t="n"/>
      <c r="B23" s="30" t="n"/>
      <c r="C23" s="49" t="n"/>
      <c r="D23" s="29" t="n"/>
      <c r="E23" s="29" t="n"/>
      <c r="F23" s="29" t="n"/>
      <c r="G23" s="29" t="n"/>
      <c r="H23" s="32" t="n"/>
      <c r="I23" s="29" t="n"/>
      <c r="J23" s="30" t="n"/>
      <c r="K23" s="49" t="n"/>
      <c r="L23" s="49" t="n"/>
      <c r="M23" s="49" t="n"/>
      <c r="N23" s="49" t="n"/>
      <c r="O23" s="49" t="n"/>
      <c r="P23" s="50" t="n"/>
      <c r="Q23" s="34" t="n"/>
      <c r="R23" s="35" t="n"/>
      <c r="S23" s="35" t="n"/>
      <c r="T23" s="35" t="n"/>
      <c r="U23" s="35" t="n"/>
      <c r="V23" s="36">
        <f>IF($C23="","",IF(DATE(YEAR($C23)+18,MONTH($C23),DAY($C23))&gt;TODAY(),"⚠ UNDER 18: child labor rules apply (29 CFR 570)",""))</f>
        <v/>
      </c>
    </row>
    <row r="24">
      <c r="A24" s="29" t="n"/>
      <c r="B24" s="30" t="n"/>
      <c r="C24" s="49" t="n"/>
      <c r="D24" s="29" t="n"/>
      <c r="E24" s="29" t="n"/>
      <c r="F24" s="29" t="n"/>
      <c r="G24" s="29" t="n"/>
      <c r="H24" s="32" t="n"/>
      <c r="I24" s="29" t="n"/>
      <c r="J24" s="30" t="n"/>
      <c r="K24" s="49" t="n"/>
      <c r="L24" s="49" t="n"/>
      <c r="M24" s="49" t="n"/>
      <c r="N24" s="49" t="n"/>
      <c r="O24" s="49" t="n"/>
      <c r="P24" s="50" t="n"/>
      <c r="Q24" s="34" t="n"/>
      <c r="R24" s="35" t="n"/>
      <c r="S24" s="35" t="n"/>
      <c r="T24" s="35" t="n"/>
      <c r="U24" s="35" t="n"/>
      <c r="V24" s="36">
        <f>IF($C24="","",IF(DATE(YEAR($C24)+18,MONTH($C24),DAY($C24))&gt;TODAY(),"⚠ UNDER 18: child labor rules apply (29 CFR 570)",""))</f>
        <v/>
      </c>
    </row>
    <row r="25">
      <c r="A25" s="29" t="n"/>
      <c r="B25" s="30" t="n"/>
      <c r="C25" s="49" t="n"/>
      <c r="D25" s="29" t="n"/>
      <c r="E25" s="29" t="n"/>
      <c r="F25" s="29" t="n"/>
      <c r="G25" s="29" t="n"/>
      <c r="H25" s="32" t="n"/>
      <c r="I25" s="29" t="n"/>
      <c r="J25" s="30" t="n"/>
      <c r="K25" s="49" t="n"/>
      <c r="L25" s="49" t="n"/>
      <c r="M25" s="49" t="n"/>
      <c r="N25" s="49" t="n"/>
      <c r="O25" s="49" t="n"/>
      <c r="P25" s="50" t="n"/>
      <c r="Q25" s="34" t="n"/>
      <c r="R25" s="35" t="n"/>
      <c r="S25" s="35" t="n"/>
      <c r="T25" s="35" t="n"/>
      <c r="U25" s="35" t="n"/>
      <c r="V25" s="36">
        <f>IF($C25="","",IF(DATE(YEAR($C25)+18,MONTH($C25),DAY($C25))&gt;TODAY(),"⚠ UNDER 18: child labor rules apply (29 CFR 570)",""))</f>
        <v/>
      </c>
    </row>
    <row r="26">
      <c r="A26" s="29" t="n"/>
      <c r="B26" s="30" t="n"/>
      <c r="C26" s="49" t="n"/>
      <c r="D26" s="29" t="n"/>
      <c r="E26" s="29" t="n"/>
      <c r="F26" s="29" t="n"/>
      <c r="G26" s="29" t="n"/>
      <c r="H26" s="32" t="n"/>
      <c r="I26" s="29" t="n"/>
      <c r="J26" s="30" t="n"/>
      <c r="K26" s="49" t="n"/>
      <c r="L26" s="49" t="n"/>
      <c r="M26" s="49" t="n"/>
      <c r="N26" s="49" t="n"/>
      <c r="O26" s="49" t="n"/>
      <c r="P26" s="50" t="n"/>
      <c r="Q26" s="34" t="n"/>
      <c r="R26" s="35" t="n"/>
      <c r="S26" s="35" t="n"/>
      <c r="T26" s="35" t="n"/>
      <c r="U26" s="35" t="n"/>
      <c r="V26" s="36">
        <f>IF($C26="","",IF(DATE(YEAR($C26)+18,MONTH($C26),DAY($C26))&gt;TODAY(),"⚠ UNDER 18: child labor rules apply (29 CFR 570)",""))</f>
        <v/>
      </c>
    </row>
    <row r="27">
      <c r="A27" s="29" t="n"/>
      <c r="B27" s="30" t="n"/>
      <c r="C27" s="49" t="n"/>
      <c r="D27" s="29" t="n"/>
      <c r="E27" s="29" t="n"/>
      <c r="F27" s="29" t="n"/>
      <c r="G27" s="29" t="n"/>
      <c r="H27" s="32" t="n"/>
      <c r="I27" s="29" t="n"/>
      <c r="J27" s="30" t="n"/>
      <c r="K27" s="49" t="n"/>
      <c r="L27" s="49" t="n"/>
      <c r="M27" s="49" t="n"/>
      <c r="N27" s="49" t="n"/>
      <c r="O27" s="49" t="n"/>
      <c r="P27" s="50" t="n"/>
      <c r="Q27" s="34" t="n"/>
      <c r="R27" s="35" t="n"/>
      <c r="S27" s="35" t="n"/>
      <c r="T27" s="35" t="n"/>
      <c r="U27" s="35" t="n"/>
      <c r="V27" s="36">
        <f>IF($C27="","",IF(DATE(YEAR($C27)+18,MONTH($C27),DAY($C27))&gt;TODAY(),"⚠ UNDER 18: child labor rules apply (29 CFR 570)",""))</f>
        <v/>
      </c>
    </row>
    <row r="28">
      <c r="A28" s="29" t="n"/>
      <c r="B28" s="30" t="n"/>
      <c r="C28" s="49" t="n"/>
      <c r="D28" s="29" t="n"/>
      <c r="E28" s="29" t="n"/>
      <c r="F28" s="29" t="n"/>
      <c r="G28" s="29" t="n"/>
      <c r="H28" s="32" t="n"/>
      <c r="I28" s="29" t="n"/>
      <c r="J28" s="30" t="n"/>
      <c r="K28" s="49" t="n"/>
      <c r="L28" s="49" t="n"/>
      <c r="M28" s="49" t="n"/>
      <c r="N28" s="49" t="n"/>
      <c r="O28" s="49" t="n"/>
      <c r="P28" s="50" t="n"/>
      <c r="Q28" s="34" t="n"/>
      <c r="R28" s="35" t="n"/>
      <c r="S28" s="35" t="n"/>
      <c r="T28" s="35" t="n"/>
      <c r="U28" s="35" t="n"/>
      <c r="V28" s="36">
        <f>IF($C28="","",IF(DATE(YEAR($C28)+18,MONTH($C28),DAY($C28))&gt;TODAY(),"⚠ UNDER 18: child labor rules apply (29 CFR 570)",""))</f>
        <v/>
      </c>
    </row>
    <row r="29">
      <c r="A29" s="29" t="n"/>
      <c r="B29" s="30" t="n"/>
      <c r="C29" s="49" t="n"/>
      <c r="D29" s="29" t="n"/>
      <c r="E29" s="29" t="n"/>
      <c r="F29" s="29" t="n"/>
      <c r="G29" s="29" t="n"/>
      <c r="H29" s="32" t="n"/>
      <c r="I29" s="29" t="n"/>
      <c r="J29" s="30" t="n"/>
      <c r="K29" s="49" t="n"/>
      <c r="L29" s="49" t="n"/>
      <c r="M29" s="49" t="n"/>
      <c r="N29" s="49" t="n"/>
      <c r="O29" s="49" t="n"/>
      <c r="P29" s="50" t="n"/>
      <c r="Q29" s="34" t="n"/>
      <c r="R29" s="35" t="n"/>
      <c r="S29" s="35" t="n"/>
      <c r="T29" s="35" t="n"/>
      <c r="U29" s="35" t="n"/>
      <c r="V29" s="36">
        <f>IF($C29="","",IF(DATE(YEAR($C29)+18,MONTH($C29),DAY($C29))&gt;TODAY(),"⚠ UNDER 18: child labor rules apply (29 CFR 570)",""))</f>
        <v/>
      </c>
    </row>
    <row r="30">
      <c r="A30" s="29" t="n"/>
      <c r="B30" s="30" t="n"/>
      <c r="C30" s="49" t="n"/>
      <c r="D30" s="29" t="n"/>
      <c r="E30" s="29" t="n"/>
      <c r="F30" s="29" t="n"/>
      <c r="G30" s="29" t="n"/>
      <c r="H30" s="32" t="n"/>
      <c r="I30" s="29" t="n"/>
      <c r="J30" s="30" t="n"/>
      <c r="K30" s="49" t="n"/>
      <c r="L30" s="49" t="n"/>
      <c r="M30" s="49" t="n"/>
      <c r="N30" s="49" t="n"/>
      <c r="O30" s="49" t="n"/>
      <c r="P30" s="50" t="n"/>
      <c r="Q30" s="34" t="n"/>
      <c r="R30" s="35" t="n"/>
      <c r="S30" s="35" t="n"/>
      <c r="T30" s="35" t="n"/>
      <c r="U30" s="35" t="n"/>
      <c r="V30" s="36">
        <f>IF($C30="","",IF(DATE(YEAR($C30)+18,MONTH($C30),DAY($C30))&gt;TODAY(),"⚠ UNDER 18: child labor rules apply (29 CFR 570)",""))</f>
        <v/>
      </c>
    </row>
    <row r="31">
      <c r="A31" s="29" t="n"/>
      <c r="B31" s="30" t="n"/>
      <c r="C31" s="49" t="n"/>
      <c r="D31" s="29" t="n"/>
      <c r="E31" s="29" t="n"/>
      <c r="F31" s="29" t="n"/>
      <c r="G31" s="29" t="n"/>
      <c r="H31" s="32" t="n"/>
      <c r="I31" s="29" t="n"/>
      <c r="J31" s="30" t="n"/>
      <c r="K31" s="49" t="n"/>
      <c r="L31" s="49" t="n"/>
      <c r="M31" s="49" t="n"/>
      <c r="N31" s="49" t="n"/>
      <c r="O31" s="49" t="n"/>
      <c r="P31" s="50" t="n"/>
      <c r="Q31" s="34" t="n"/>
      <c r="R31" s="35" t="n"/>
      <c r="S31" s="35" t="n"/>
      <c r="T31" s="35" t="n"/>
      <c r="U31" s="35" t="n"/>
      <c r="V31" s="36">
        <f>IF($C31="","",IF(DATE(YEAR($C31)+18,MONTH($C31),DAY($C31))&gt;TODAY(),"⚠ UNDER 18: child labor rules apply (29 CFR 570)",""))</f>
        <v/>
      </c>
    </row>
    <row r="32">
      <c r="A32" s="29" t="n"/>
      <c r="B32" s="30" t="n"/>
      <c r="C32" s="49" t="n"/>
      <c r="D32" s="29" t="n"/>
      <c r="E32" s="29" t="n"/>
      <c r="F32" s="29" t="n"/>
      <c r="G32" s="29" t="n"/>
      <c r="H32" s="32" t="n"/>
      <c r="I32" s="29" t="n"/>
      <c r="J32" s="30" t="n"/>
      <c r="K32" s="49" t="n"/>
      <c r="L32" s="49" t="n"/>
      <c r="M32" s="49" t="n"/>
      <c r="N32" s="49" t="n"/>
      <c r="O32" s="49" t="n"/>
      <c r="P32" s="50" t="n"/>
      <c r="Q32" s="34" t="n"/>
      <c r="R32" s="35" t="n"/>
      <c r="S32" s="35" t="n"/>
      <c r="T32" s="35" t="n"/>
      <c r="U32" s="35" t="n"/>
      <c r="V32" s="36">
        <f>IF($C32="","",IF(DATE(YEAR($C32)+18,MONTH($C32),DAY($C32))&gt;TODAY(),"⚠ UNDER 18: child labor rules apply (29 CFR 570)",""))</f>
        <v/>
      </c>
    </row>
    <row r="33">
      <c r="A33" s="29" t="n"/>
      <c r="B33" s="30" t="n"/>
      <c r="C33" s="49" t="n"/>
      <c r="D33" s="29" t="n"/>
      <c r="E33" s="29" t="n"/>
      <c r="F33" s="29" t="n"/>
      <c r="G33" s="29" t="n"/>
      <c r="H33" s="32" t="n"/>
      <c r="I33" s="29" t="n"/>
      <c r="J33" s="30" t="n"/>
      <c r="K33" s="49" t="n"/>
      <c r="L33" s="49" t="n"/>
      <c r="M33" s="49" t="n"/>
      <c r="N33" s="49" t="n"/>
      <c r="O33" s="49" t="n"/>
      <c r="P33" s="50" t="n"/>
      <c r="Q33" s="34" t="n"/>
      <c r="R33" s="35" t="n"/>
      <c r="S33" s="35" t="n"/>
      <c r="T33" s="35" t="n"/>
      <c r="U33" s="35" t="n"/>
      <c r="V33" s="36">
        <f>IF($C33="","",IF(DATE(YEAR($C33)+18,MONTH($C33),DAY($C33))&gt;TODAY(),"⚠ UNDER 18: child labor rules apply (29 CFR 570)",""))</f>
        <v/>
      </c>
    </row>
    <row r="34">
      <c r="A34" s="29" t="n"/>
      <c r="B34" s="30" t="n"/>
      <c r="C34" s="49" t="n"/>
      <c r="D34" s="29" t="n"/>
      <c r="E34" s="29" t="n"/>
      <c r="F34" s="29" t="n"/>
      <c r="G34" s="29" t="n"/>
      <c r="H34" s="32" t="n"/>
      <c r="I34" s="29" t="n"/>
      <c r="J34" s="30" t="n"/>
      <c r="K34" s="49" t="n"/>
      <c r="L34" s="49" t="n"/>
      <c r="M34" s="49" t="n"/>
      <c r="N34" s="49" t="n"/>
      <c r="O34" s="49" t="n"/>
      <c r="P34" s="50" t="n"/>
      <c r="Q34" s="34" t="n"/>
      <c r="R34" s="35" t="n"/>
      <c r="S34" s="35" t="n"/>
      <c r="T34" s="35" t="n"/>
      <c r="U34" s="35" t="n"/>
      <c r="V34" s="36">
        <f>IF($C34="","",IF(DATE(YEAR($C34)+18,MONTH($C34),DAY($C34))&gt;TODAY(),"⚠ UNDER 18: child labor rules apply (29 CFR 570)",""))</f>
        <v/>
      </c>
    </row>
    <row r="35">
      <c r="A35" s="26" t="n"/>
      <c r="B35" s="26" t="n"/>
      <c r="C35" s="26" t="n"/>
      <c r="D35" s="26" t="n"/>
      <c r="E35" s="26" t="n"/>
      <c r="F35" s="26" t="n"/>
      <c r="G35" s="26" t="n"/>
      <c r="H35" s="26" t="n"/>
      <c r="I35" s="26" t="n"/>
      <c r="J35" s="26" t="n"/>
      <c r="K35" s="26" t="n"/>
      <c r="L35" s="26" t="n"/>
      <c r="M35" s="26" t="n"/>
      <c r="N35" s="26" t="n"/>
      <c r="O35" s="26" t="n"/>
    </row>
    <row r="36" ht="30" customHeight="1">
      <c r="A36" s="37" t="inlineStr">
        <is>
          <t>▸ This sheet does NOT ask for medical data. Keep any medical information (allergies, disabilities, health conditions) in a separate, restricted file: it is not handled at the same level as a shirt size. Read the records and data privacy section in "Instructions".</t>
        </is>
      </c>
    </row>
    <row r="37" ht="30" customHeight="1">
      <c r="A37" s="37" t="inlineStr">
        <is>
          <t>▸ "End date (seasonal / temp)", "Introductory period ends", "Food handler card expires" and "Alcohol server cert expires" feed the "Expiry Alerts" tab automatically: type them here and do not enter them twice.</t>
        </is>
      </c>
    </row>
    <row r="38" ht="30" customHeight="1">
      <c r="A38" s="37" t="inlineStr">
        <is>
          <t>▸ "FLSA status" and "Pay type" are the first fields a payroll provider or accountant asks for. The SSN column takes only the LAST 4 digits: keep the full number in your payroll system, not here.</t>
        </is>
      </c>
    </row>
    <row r="39" ht="30" customHeight="1">
      <c r="A39" s="37" t="inlineStr">
        <is>
          <t>▸ The "Alert" column flags a minor as soon as you enter the date of birth (child labor rules apply, 29 CFR 570: under 16, limits on hours and times of day; under 18, no hazardous machines). Overtime in the US starts after 40 h per workweek at 1.5×.</t>
        </is>
      </c>
    </row>
    <row r="41">
      <c r="A41" s="38"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autoFilter ref="A4:V34"/>
  <mergeCells count="7">
    <mergeCell ref="A2:V2"/>
    <mergeCell ref="A41:V41"/>
    <mergeCell ref="A36:V36"/>
    <mergeCell ref="A1:V1"/>
    <mergeCell ref="A37:V37"/>
    <mergeCell ref="A39:V39"/>
    <mergeCell ref="A38:V38"/>
  </mergeCells>
  <dataValidations count="2">
    <dataValidation sqref="D5:D34" showDropDown="0" showInputMessage="1" showErrorMessage="1" allowBlank="1" errorTitle="Invalid employment type" error="Pick a value from the list." promptTitle="Employment type" prompt="Permanent, Temporary, Intern, Trainee or Seasonal." type="list" errorStyle="stop">
      <formula1>"Permanent,Temporary,Intern,Trainee,Seasonal"</formula1>
    </dataValidation>
    <dataValidation sqref="G5:G34" showDropDown="0" showInputMessage="1" showErrorMessage="1" allowBlank="1" errorTitle="Invalid full/part-time" error="Pick a value from the list." promptTitle="Full / part-time" prompt="Full-time or Part-time. This is only a schedule label: under the FLSA, overtime depends on the hours worked in the workweek (over 40 h at 1.5×), not on the employment type." type="list" errorStyle="stop">
      <formula1>"Full-time,Part-time"</formula1>
    </dataValidation>
  </dataValidations>
  <pageMargins left="0.59" right="0.59" top="0.59" bottom="0.59" header="0.3" footer="0.3"/>
  <pageSetup orientation="landscape" paperSize="1" fitToHeight="0" fitToWidth="2"/>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004D40"/>
    <outlinePr summaryBelow="1" summaryRight="1"/>
    <pageSetUpPr fitToPage="1"/>
  </sheetPr>
  <dimension ref="A1:I43"/>
  <sheetViews>
    <sheetView workbookViewId="0">
      <pane ySplit="6" topLeftCell="A7" activePane="bottomLeft" state="frozen"/>
      <selection pane="bottomLeft" activeCell="A1" sqref="A1"/>
    </sheetView>
  </sheetViews>
  <sheetFormatPr baseColWidth="8" defaultRowHeight="15"/>
  <cols>
    <col width="26" customWidth="1" min="1" max="1"/>
    <col width="17" customWidth="1" min="2" max="2"/>
    <col width="20" customWidth="1" min="3" max="3"/>
    <col width="17" customWidth="1" min="4" max="4"/>
    <col width="20" customWidth="1" min="5" max="5"/>
    <col width="17" customWidth="1" min="6" max="6"/>
    <col width="20" customWidth="1" min="7" max="7"/>
    <col width="17" customWidth="1" min="8" max="8"/>
    <col width="20" customWidth="1" min="9" max="9"/>
  </cols>
  <sheetData>
    <row r="1">
      <c r="A1" s="24" t="inlineStr">
        <is>
          <t>Expiry Alerts</t>
        </is>
      </c>
    </row>
    <row r="2">
      <c r="A2" s="25" t="inlineStr">
        <is>
          <t>AI Chef Pro · aichef.pro — Restaurant Staff Scheduling Kit Pro</t>
        </is>
      </c>
    </row>
    <row r="3">
      <c r="A3" s="39" t="inlineStr">
        <is>
          <t>Today's date:</t>
        </is>
      </c>
      <c r="B3" s="51">
        <f>TODAY()</f>
        <v>46298.0</v>
      </c>
      <c r="C3" s="26" t="n"/>
      <c r="D3" s="39" t="inlineStr">
        <is>
          <t>Expiries already OVERDUE:</t>
        </is>
      </c>
      <c r="E3" s="41">
        <f>COUNTIF($C$7:$C$36,"❌*")+COUNTIF($E$7:$E$36,"❌*")+COUNTIF($G$7:$G$36,"❌*")+COUNTIF($I$7:$I$36,"❌*")</f>
        <v>0.0</v>
      </c>
    </row>
    <row r="4">
      <c r="A4" s="26" t="inlineStr">
        <is>
          <t>RED alert — fewer than (days) left:</t>
        </is>
      </c>
      <c r="B4" s="42" t="n">
        <v>30</v>
      </c>
      <c r="C4" s="26" t="n"/>
      <c r="D4" s="26" t="inlineStr">
        <is>
          <t>In RED (expiring soon):</t>
        </is>
      </c>
      <c r="E4" s="41">
        <f>COUNTIF($C$7:$C$36,"🔴*")+COUNTIF($E$7:$E$36,"🔴*")+COUNTIF($G$7:$G$36,"🔴*")+COUNTIF($I$7:$I$36,"🔴*")</f>
        <v>0.0</v>
      </c>
    </row>
    <row r="5">
      <c r="A5" s="26" t="inlineStr">
        <is>
          <t>AMBER alert — fewer than (days) left:</t>
        </is>
      </c>
      <c r="B5" s="42" t="n">
        <v>60</v>
      </c>
      <c r="C5" s="26" t="n"/>
      <c r="D5" s="26" t="inlineStr">
        <is>
          <t>In AMBER (worth a look):</t>
        </is>
      </c>
      <c r="E5" s="41">
        <f>COUNTIF($C$7:$C$36,"🟡*")+COUNTIF($E$7:$E$36,"🟡*")+COUNTIF($G$7:$G$36,"🟡*")+COUNTIF($I$7:$I$36,"🟡*")</f>
        <v>0.0</v>
      </c>
    </row>
    <row r="6" ht="30" customHeight="1">
      <c r="A6" s="27" t="inlineStr">
        <is>
          <t>Employee</t>
        </is>
      </c>
      <c r="B6" s="27" t="inlineStr">
        <is>
          <t>End date (seasonal / temp)</t>
        </is>
      </c>
      <c r="C6" s="27" t="inlineStr">
        <is>
          <t>Alert</t>
        </is>
      </c>
      <c r="D6" s="27" t="inlineStr">
        <is>
          <t>Introductory period ends</t>
        </is>
      </c>
      <c r="E6" s="27" t="inlineStr">
        <is>
          <t>Alert</t>
        </is>
      </c>
      <c r="F6" s="28" t="inlineStr">
        <is>
          <t>Food handler card</t>
        </is>
      </c>
      <c r="G6" s="28" t="inlineStr">
        <is>
          <t>Alert</t>
        </is>
      </c>
      <c r="H6" s="28" t="inlineStr">
        <is>
          <t>Alcohol server cert</t>
        </is>
      </c>
      <c r="I6" s="28" t="inlineStr">
        <is>
          <t>Alert</t>
        </is>
      </c>
    </row>
    <row r="7">
      <c r="A7" s="43">
        <f>IF('Staff Directory'!$A5="","",'Staff Directory'!$A5)</f>
        <v/>
      </c>
      <c r="B7" s="51">
        <f>IF('Staff Directory'!$L5="","",'Staff Directory'!$L5)</f>
        <v/>
      </c>
      <c r="C7" s="44">
        <f>IF($B7="","",IF($B7-$B$3&lt;0,"❌ OVERDUE BY "&amp;TEXT($B$3-$B7,"0")&amp;" d",IF($B7-$B$3&lt;=$B$4,"🔴 "&amp;TEXT($B7-$B$3,"0")&amp;" d",IF($B7-$B$3&lt;=$B$5,"🟡 "&amp;TEXT($B7-$B$3,"0")&amp;" d","🟢 OK"))))</f>
        <v/>
      </c>
      <c r="D7" s="51">
        <f>IF('Staff Directory'!$M5="","",'Staff Directory'!$M5)</f>
        <v/>
      </c>
      <c r="E7" s="44">
        <f>IF($D7="","",IF($D7-$B$3&lt;0,"❌ OVERDUE BY "&amp;TEXT($B$3-$D7,"0")&amp;" d",IF($D7-$B$3&lt;=$B$4,"🔴 "&amp;TEXT($D7-$B$3,"0")&amp;" d",IF($D7-$B$3&lt;=$B$5,"🟡 "&amp;TEXT($D7-$B$3,"0")&amp;" d","🟢 OK"))))</f>
        <v/>
      </c>
      <c r="F7" s="52">
        <f>IF('Staff Directory'!$N5="","",'Staff Directory'!$N5)</f>
        <v/>
      </c>
      <c r="G7" s="46">
        <f>IF($F7="","",IF($F7-$B$3&lt;0,"❌ OVERDUE BY "&amp;TEXT($B$3-$F7,"0")&amp;" d",IF($F7-$B$3&lt;=$B$4,"🔴 "&amp;TEXT($F7-$B$3,"0")&amp;" d",IF($F7-$B$3&lt;=$B$5,"🟡 "&amp;TEXT($F7-$B$3,"0")&amp;" d","🟢 OK"))))</f>
        <v/>
      </c>
      <c r="H7" s="52">
        <f>IF('Staff Directory'!$O5="","",'Staff Directory'!$O5)</f>
        <v/>
      </c>
      <c r="I7" s="46">
        <f>IF($H7="","",IF($H7-$B$3&lt;0,"❌ OVERDUE BY "&amp;TEXT($B$3-$H7,"0")&amp;" d",IF($H7-$B$3&lt;=$B$4,"🔴 "&amp;TEXT($H7-$B$3,"0")&amp;" d",IF($H7-$B$3&lt;=$B$5,"🟡 "&amp;TEXT($H7-$B$3,"0")&amp;" d","🟢 OK"))))</f>
        <v/>
      </c>
    </row>
    <row r="8">
      <c r="A8" s="43">
        <f>IF('Staff Directory'!$A6="","",'Staff Directory'!$A6)</f>
        <v/>
      </c>
      <c r="B8" s="51">
        <f>IF('Staff Directory'!$L6="","",'Staff Directory'!$L6)</f>
        <v/>
      </c>
      <c r="C8" s="44">
        <f>IF($B8="","",IF($B8-$B$3&lt;0,"❌ OVERDUE BY "&amp;TEXT($B$3-$B8,"0")&amp;" d",IF($B8-$B$3&lt;=$B$4,"🔴 "&amp;TEXT($B8-$B$3,"0")&amp;" d",IF($B8-$B$3&lt;=$B$5,"🟡 "&amp;TEXT($B8-$B$3,"0")&amp;" d","🟢 OK"))))</f>
        <v/>
      </c>
      <c r="D8" s="51">
        <f>IF('Staff Directory'!$M6="","",'Staff Directory'!$M6)</f>
        <v/>
      </c>
      <c r="E8" s="44">
        <f>IF($D8="","",IF($D8-$B$3&lt;0,"❌ OVERDUE BY "&amp;TEXT($B$3-$D8,"0")&amp;" d",IF($D8-$B$3&lt;=$B$4,"🔴 "&amp;TEXT($D8-$B$3,"0")&amp;" d",IF($D8-$B$3&lt;=$B$5,"🟡 "&amp;TEXT($D8-$B$3,"0")&amp;" d","🟢 OK"))))</f>
        <v/>
      </c>
      <c r="F8" s="52">
        <f>IF('Staff Directory'!$N6="","",'Staff Directory'!$N6)</f>
        <v/>
      </c>
      <c r="G8" s="46">
        <f>IF($F8="","",IF($F8-$B$3&lt;0,"❌ OVERDUE BY "&amp;TEXT($B$3-$F8,"0")&amp;" d",IF($F8-$B$3&lt;=$B$4,"🔴 "&amp;TEXT($F8-$B$3,"0")&amp;" d",IF($F8-$B$3&lt;=$B$5,"🟡 "&amp;TEXT($F8-$B$3,"0")&amp;" d","🟢 OK"))))</f>
        <v/>
      </c>
      <c r="H8" s="52">
        <f>IF('Staff Directory'!$O6="","",'Staff Directory'!$O6)</f>
        <v/>
      </c>
      <c r="I8" s="46">
        <f>IF($H8="","",IF($H8-$B$3&lt;0,"❌ OVERDUE BY "&amp;TEXT($B$3-$H8,"0")&amp;" d",IF($H8-$B$3&lt;=$B$4,"🔴 "&amp;TEXT($H8-$B$3,"0")&amp;" d",IF($H8-$B$3&lt;=$B$5,"🟡 "&amp;TEXT($H8-$B$3,"0")&amp;" d","🟢 OK"))))</f>
        <v/>
      </c>
    </row>
    <row r="9">
      <c r="A9" s="43">
        <f>IF('Staff Directory'!$A7="","",'Staff Directory'!$A7)</f>
        <v/>
      </c>
      <c r="B9" s="51">
        <f>IF('Staff Directory'!$L7="","",'Staff Directory'!$L7)</f>
        <v/>
      </c>
      <c r="C9" s="44">
        <f>IF($B9="","",IF($B9-$B$3&lt;0,"❌ OVERDUE BY "&amp;TEXT($B$3-$B9,"0")&amp;" d",IF($B9-$B$3&lt;=$B$4,"🔴 "&amp;TEXT($B9-$B$3,"0")&amp;" d",IF($B9-$B$3&lt;=$B$5,"🟡 "&amp;TEXT($B9-$B$3,"0")&amp;" d","🟢 OK"))))</f>
        <v/>
      </c>
      <c r="D9" s="51">
        <f>IF('Staff Directory'!$M7="","",'Staff Directory'!$M7)</f>
        <v/>
      </c>
      <c r="E9" s="44">
        <f>IF($D9="","",IF($D9-$B$3&lt;0,"❌ OVERDUE BY "&amp;TEXT($B$3-$D9,"0")&amp;" d",IF($D9-$B$3&lt;=$B$4,"🔴 "&amp;TEXT($D9-$B$3,"0")&amp;" d",IF($D9-$B$3&lt;=$B$5,"🟡 "&amp;TEXT($D9-$B$3,"0")&amp;" d","🟢 OK"))))</f>
        <v/>
      </c>
      <c r="F9" s="52">
        <f>IF('Staff Directory'!$N7="","",'Staff Directory'!$N7)</f>
        <v/>
      </c>
      <c r="G9" s="46">
        <f>IF($F9="","",IF($F9-$B$3&lt;0,"❌ OVERDUE BY "&amp;TEXT($B$3-$F9,"0")&amp;" d",IF($F9-$B$3&lt;=$B$4,"🔴 "&amp;TEXT($F9-$B$3,"0")&amp;" d",IF($F9-$B$3&lt;=$B$5,"🟡 "&amp;TEXT($F9-$B$3,"0")&amp;" d","🟢 OK"))))</f>
        <v/>
      </c>
      <c r="H9" s="52">
        <f>IF('Staff Directory'!$O7="","",'Staff Directory'!$O7)</f>
        <v/>
      </c>
      <c r="I9" s="46">
        <f>IF($H9="","",IF($H9-$B$3&lt;0,"❌ OVERDUE BY "&amp;TEXT($B$3-$H9,"0")&amp;" d",IF($H9-$B$3&lt;=$B$4,"🔴 "&amp;TEXT($H9-$B$3,"0")&amp;" d",IF($H9-$B$3&lt;=$B$5,"🟡 "&amp;TEXT($H9-$B$3,"0")&amp;" d","🟢 OK"))))</f>
        <v/>
      </c>
    </row>
    <row r="10">
      <c r="A10" s="43">
        <f>IF('Staff Directory'!$A8="","",'Staff Directory'!$A8)</f>
        <v/>
      </c>
      <c r="B10" s="51">
        <f>IF('Staff Directory'!$L8="","",'Staff Directory'!$L8)</f>
        <v/>
      </c>
      <c r="C10" s="44">
        <f>IF($B10="","",IF($B10-$B$3&lt;0,"❌ OVERDUE BY "&amp;TEXT($B$3-$B10,"0")&amp;" d",IF($B10-$B$3&lt;=$B$4,"🔴 "&amp;TEXT($B10-$B$3,"0")&amp;" d",IF($B10-$B$3&lt;=$B$5,"🟡 "&amp;TEXT($B10-$B$3,"0")&amp;" d","🟢 OK"))))</f>
        <v/>
      </c>
      <c r="D10" s="51">
        <f>IF('Staff Directory'!$M8="","",'Staff Directory'!$M8)</f>
        <v/>
      </c>
      <c r="E10" s="44">
        <f>IF($D10="","",IF($D10-$B$3&lt;0,"❌ OVERDUE BY "&amp;TEXT($B$3-$D10,"0")&amp;" d",IF($D10-$B$3&lt;=$B$4,"🔴 "&amp;TEXT($D10-$B$3,"0")&amp;" d",IF($D10-$B$3&lt;=$B$5,"🟡 "&amp;TEXT($D10-$B$3,"0")&amp;" d","🟢 OK"))))</f>
        <v/>
      </c>
      <c r="F10" s="52">
        <f>IF('Staff Directory'!$N8="","",'Staff Directory'!$N8)</f>
        <v/>
      </c>
      <c r="G10" s="46">
        <f>IF($F10="","",IF($F10-$B$3&lt;0,"❌ OVERDUE BY "&amp;TEXT($B$3-$F10,"0")&amp;" d",IF($F10-$B$3&lt;=$B$4,"🔴 "&amp;TEXT($F10-$B$3,"0")&amp;" d",IF($F10-$B$3&lt;=$B$5,"🟡 "&amp;TEXT($F10-$B$3,"0")&amp;" d","🟢 OK"))))</f>
        <v/>
      </c>
      <c r="H10" s="52">
        <f>IF('Staff Directory'!$O8="","",'Staff Directory'!$O8)</f>
        <v/>
      </c>
      <c r="I10" s="46">
        <f>IF($H10="","",IF($H10-$B$3&lt;0,"❌ OVERDUE BY "&amp;TEXT($B$3-$H10,"0")&amp;" d",IF($H10-$B$3&lt;=$B$4,"🔴 "&amp;TEXT($H10-$B$3,"0")&amp;" d",IF($H10-$B$3&lt;=$B$5,"🟡 "&amp;TEXT($H10-$B$3,"0")&amp;" d","🟢 OK"))))</f>
        <v/>
      </c>
    </row>
    <row r="11">
      <c r="A11" s="43">
        <f>IF('Staff Directory'!$A9="","",'Staff Directory'!$A9)</f>
        <v/>
      </c>
      <c r="B11" s="51">
        <f>IF('Staff Directory'!$L9="","",'Staff Directory'!$L9)</f>
        <v/>
      </c>
      <c r="C11" s="44">
        <f>IF($B11="","",IF($B11-$B$3&lt;0,"❌ OVERDUE BY "&amp;TEXT($B$3-$B11,"0")&amp;" d",IF($B11-$B$3&lt;=$B$4,"🔴 "&amp;TEXT($B11-$B$3,"0")&amp;" d",IF($B11-$B$3&lt;=$B$5,"🟡 "&amp;TEXT($B11-$B$3,"0")&amp;" d","🟢 OK"))))</f>
        <v/>
      </c>
      <c r="D11" s="51">
        <f>IF('Staff Directory'!$M9="","",'Staff Directory'!$M9)</f>
        <v/>
      </c>
      <c r="E11" s="44">
        <f>IF($D11="","",IF($D11-$B$3&lt;0,"❌ OVERDUE BY "&amp;TEXT($B$3-$D11,"0")&amp;" d",IF($D11-$B$3&lt;=$B$4,"🔴 "&amp;TEXT($D11-$B$3,"0")&amp;" d",IF($D11-$B$3&lt;=$B$5,"🟡 "&amp;TEXT($D11-$B$3,"0")&amp;" d","🟢 OK"))))</f>
        <v/>
      </c>
      <c r="F11" s="52">
        <f>IF('Staff Directory'!$N9="","",'Staff Directory'!$N9)</f>
        <v/>
      </c>
      <c r="G11" s="46">
        <f>IF($F11="","",IF($F11-$B$3&lt;0,"❌ OVERDUE BY "&amp;TEXT($B$3-$F11,"0")&amp;" d",IF($F11-$B$3&lt;=$B$4,"🔴 "&amp;TEXT($F11-$B$3,"0")&amp;" d",IF($F11-$B$3&lt;=$B$5,"🟡 "&amp;TEXT($F11-$B$3,"0")&amp;" d","🟢 OK"))))</f>
        <v/>
      </c>
      <c r="H11" s="52">
        <f>IF('Staff Directory'!$O9="","",'Staff Directory'!$O9)</f>
        <v/>
      </c>
      <c r="I11" s="46">
        <f>IF($H11="","",IF($H11-$B$3&lt;0,"❌ OVERDUE BY "&amp;TEXT($B$3-$H11,"0")&amp;" d",IF($H11-$B$3&lt;=$B$4,"🔴 "&amp;TEXT($H11-$B$3,"0")&amp;" d",IF($H11-$B$3&lt;=$B$5,"🟡 "&amp;TEXT($H11-$B$3,"0")&amp;" d","🟢 OK"))))</f>
        <v/>
      </c>
    </row>
    <row r="12">
      <c r="A12" s="43">
        <f>IF('Staff Directory'!$A10="","",'Staff Directory'!$A10)</f>
        <v/>
      </c>
      <c r="B12" s="51">
        <f>IF('Staff Directory'!$L10="","",'Staff Directory'!$L10)</f>
        <v/>
      </c>
      <c r="C12" s="44">
        <f>IF($B12="","",IF($B12-$B$3&lt;0,"❌ OVERDUE BY "&amp;TEXT($B$3-$B12,"0")&amp;" d",IF($B12-$B$3&lt;=$B$4,"🔴 "&amp;TEXT($B12-$B$3,"0")&amp;" d",IF($B12-$B$3&lt;=$B$5,"🟡 "&amp;TEXT($B12-$B$3,"0")&amp;" d","🟢 OK"))))</f>
        <v/>
      </c>
      <c r="D12" s="51">
        <f>IF('Staff Directory'!$M10="","",'Staff Directory'!$M10)</f>
        <v/>
      </c>
      <c r="E12" s="44">
        <f>IF($D12="","",IF($D12-$B$3&lt;0,"❌ OVERDUE BY "&amp;TEXT($B$3-$D12,"0")&amp;" d",IF($D12-$B$3&lt;=$B$4,"🔴 "&amp;TEXT($D12-$B$3,"0")&amp;" d",IF($D12-$B$3&lt;=$B$5,"🟡 "&amp;TEXT($D12-$B$3,"0")&amp;" d","🟢 OK"))))</f>
        <v/>
      </c>
      <c r="F12" s="52">
        <f>IF('Staff Directory'!$N10="","",'Staff Directory'!$N10)</f>
        <v/>
      </c>
      <c r="G12" s="46">
        <f>IF($F12="","",IF($F12-$B$3&lt;0,"❌ OVERDUE BY "&amp;TEXT($B$3-$F12,"0")&amp;" d",IF($F12-$B$3&lt;=$B$4,"🔴 "&amp;TEXT($F12-$B$3,"0")&amp;" d",IF($F12-$B$3&lt;=$B$5,"🟡 "&amp;TEXT($F12-$B$3,"0")&amp;" d","🟢 OK"))))</f>
        <v/>
      </c>
      <c r="H12" s="52">
        <f>IF('Staff Directory'!$O10="","",'Staff Directory'!$O10)</f>
        <v/>
      </c>
      <c r="I12" s="46">
        <f>IF($H12="","",IF($H12-$B$3&lt;0,"❌ OVERDUE BY "&amp;TEXT($B$3-$H12,"0")&amp;" d",IF($H12-$B$3&lt;=$B$4,"🔴 "&amp;TEXT($H12-$B$3,"0")&amp;" d",IF($H12-$B$3&lt;=$B$5,"🟡 "&amp;TEXT($H12-$B$3,"0")&amp;" d","🟢 OK"))))</f>
        <v/>
      </c>
    </row>
    <row r="13">
      <c r="A13" s="43">
        <f>IF('Staff Directory'!$A11="","",'Staff Directory'!$A11)</f>
        <v/>
      </c>
      <c r="B13" s="51">
        <f>IF('Staff Directory'!$L11="","",'Staff Directory'!$L11)</f>
        <v/>
      </c>
      <c r="C13" s="44">
        <f>IF($B13="","",IF($B13-$B$3&lt;0,"❌ OVERDUE BY "&amp;TEXT($B$3-$B13,"0")&amp;" d",IF($B13-$B$3&lt;=$B$4,"🔴 "&amp;TEXT($B13-$B$3,"0")&amp;" d",IF($B13-$B$3&lt;=$B$5,"🟡 "&amp;TEXT($B13-$B$3,"0")&amp;" d","🟢 OK"))))</f>
        <v/>
      </c>
      <c r="D13" s="51">
        <f>IF('Staff Directory'!$M11="","",'Staff Directory'!$M11)</f>
        <v/>
      </c>
      <c r="E13" s="44">
        <f>IF($D13="","",IF($D13-$B$3&lt;0,"❌ OVERDUE BY "&amp;TEXT($B$3-$D13,"0")&amp;" d",IF($D13-$B$3&lt;=$B$4,"🔴 "&amp;TEXT($D13-$B$3,"0")&amp;" d",IF($D13-$B$3&lt;=$B$5,"🟡 "&amp;TEXT($D13-$B$3,"0")&amp;" d","🟢 OK"))))</f>
        <v/>
      </c>
      <c r="F13" s="52">
        <f>IF('Staff Directory'!$N11="","",'Staff Directory'!$N11)</f>
        <v/>
      </c>
      <c r="G13" s="46">
        <f>IF($F13="","",IF($F13-$B$3&lt;0,"❌ OVERDUE BY "&amp;TEXT($B$3-$F13,"0")&amp;" d",IF($F13-$B$3&lt;=$B$4,"🔴 "&amp;TEXT($F13-$B$3,"0")&amp;" d",IF($F13-$B$3&lt;=$B$5,"🟡 "&amp;TEXT($F13-$B$3,"0")&amp;" d","🟢 OK"))))</f>
        <v/>
      </c>
      <c r="H13" s="52">
        <f>IF('Staff Directory'!$O11="","",'Staff Directory'!$O11)</f>
        <v/>
      </c>
      <c r="I13" s="46">
        <f>IF($H13="","",IF($H13-$B$3&lt;0,"❌ OVERDUE BY "&amp;TEXT($B$3-$H13,"0")&amp;" d",IF($H13-$B$3&lt;=$B$4,"🔴 "&amp;TEXT($H13-$B$3,"0")&amp;" d",IF($H13-$B$3&lt;=$B$5,"🟡 "&amp;TEXT($H13-$B$3,"0")&amp;" d","🟢 OK"))))</f>
        <v/>
      </c>
    </row>
    <row r="14">
      <c r="A14" s="43">
        <f>IF('Staff Directory'!$A12="","",'Staff Directory'!$A12)</f>
        <v/>
      </c>
      <c r="B14" s="51">
        <f>IF('Staff Directory'!$L12="","",'Staff Directory'!$L12)</f>
        <v/>
      </c>
      <c r="C14" s="44">
        <f>IF($B14="","",IF($B14-$B$3&lt;0,"❌ OVERDUE BY "&amp;TEXT($B$3-$B14,"0")&amp;" d",IF($B14-$B$3&lt;=$B$4,"🔴 "&amp;TEXT($B14-$B$3,"0")&amp;" d",IF($B14-$B$3&lt;=$B$5,"🟡 "&amp;TEXT($B14-$B$3,"0")&amp;" d","🟢 OK"))))</f>
        <v/>
      </c>
      <c r="D14" s="51">
        <f>IF('Staff Directory'!$M12="","",'Staff Directory'!$M12)</f>
        <v/>
      </c>
      <c r="E14" s="44">
        <f>IF($D14="","",IF($D14-$B$3&lt;0,"❌ OVERDUE BY "&amp;TEXT($B$3-$D14,"0")&amp;" d",IF($D14-$B$3&lt;=$B$4,"🔴 "&amp;TEXT($D14-$B$3,"0")&amp;" d",IF($D14-$B$3&lt;=$B$5,"🟡 "&amp;TEXT($D14-$B$3,"0")&amp;" d","🟢 OK"))))</f>
        <v/>
      </c>
      <c r="F14" s="52">
        <f>IF('Staff Directory'!$N12="","",'Staff Directory'!$N12)</f>
        <v/>
      </c>
      <c r="G14" s="46">
        <f>IF($F14="","",IF($F14-$B$3&lt;0,"❌ OVERDUE BY "&amp;TEXT($B$3-$F14,"0")&amp;" d",IF($F14-$B$3&lt;=$B$4,"🔴 "&amp;TEXT($F14-$B$3,"0")&amp;" d",IF($F14-$B$3&lt;=$B$5,"🟡 "&amp;TEXT($F14-$B$3,"0")&amp;" d","🟢 OK"))))</f>
        <v/>
      </c>
      <c r="H14" s="52">
        <f>IF('Staff Directory'!$O12="","",'Staff Directory'!$O12)</f>
        <v/>
      </c>
      <c r="I14" s="46">
        <f>IF($H14="","",IF($H14-$B$3&lt;0,"❌ OVERDUE BY "&amp;TEXT($B$3-$H14,"0")&amp;" d",IF($H14-$B$3&lt;=$B$4,"🔴 "&amp;TEXT($H14-$B$3,"0")&amp;" d",IF($H14-$B$3&lt;=$B$5,"🟡 "&amp;TEXT($H14-$B$3,"0")&amp;" d","🟢 OK"))))</f>
        <v/>
      </c>
    </row>
    <row r="15">
      <c r="A15" s="43">
        <f>IF('Staff Directory'!$A13="","",'Staff Directory'!$A13)</f>
        <v/>
      </c>
      <c r="B15" s="51">
        <f>IF('Staff Directory'!$L13="","",'Staff Directory'!$L13)</f>
        <v/>
      </c>
      <c r="C15" s="44">
        <f>IF($B15="","",IF($B15-$B$3&lt;0,"❌ OVERDUE BY "&amp;TEXT($B$3-$B15,"0")&amp;" d",IF($B15-$B$3&lt;=$B$4,"🔴 "&amp;TEXT($B15-$B$3,"0")&amp;" d",IF($B15-$B$3&lt;=$B$5,"🟡 "&amp;TEXT($B15-$B$3,"0")&amp;" d","🟢 OK"))))</f>
        <v/>
      </c>
      <c r="D15" s="51">
        <f>IF('Staff Directory'!$M13="","",'Staff Directory'!$M13)</f>
        <v/>
      </c>
      <c r="E15" s="44">
        <f>IF($D15="","",IF($D15-$B$3&lt;0,"❌ OVERDUE BY "&amp;TEXT($B$3-$D15,"0")&amp;" d",IF($D15-$B$3&lt;=$B$4,"🔴 "&amp;TEXT($D15-$B$3,"0")&amp;" d",IF($D15-$B$3&lt;=$B$5,"🟡 "&amp;TEXT($D15-$B$3,"0")&amp;" d","🟢 OK"))))</f>
        <v/>
      </c>
      <c r="F15" s="52">
        <f>IF('Staff Directory'!$N13="","",'Staff Directory'!$N13)</f>
        <v/>
      </c>
      <c r="G15" s="46">
        <f>IF($F15="","",IF($F15-$B$3&lt;0,"❌ OVERDUE BY "&amp;TEXT($B$3-$F15,"0")&amp;" d",IF($F15-$B$3&lt;=$B$4,"🔴 "&amp;TEXT($F15-$B$3,"0")&amp;" d",IF($F15-$B$3&lt;=$B$5,"🟡 "&amp;TEXT($F15-$B$3,"0")&amp;" d","🟢 OK"))))</f>
        <v/>
      </c>
      <c r="H15" s="52">
        <f>IF('Staff Directory'!$O13="","",'Staff Directory'!$O13)</f>
        <v/>
      </c>
      <c r="I15" s="46">
        <f>IF($H15="","",IF($H15-$B$3&lt;0,"❌ OVERDUE BY "&amp;TEXT($B$3-$H15,"0")&amp;" d",IF($H15-$B$3&lt;=$B$4,"🔴 "&amp;TEXT($H15-$B$3,"0")&amp;" d",IF($H15-$B$3&lt;=$B$5,"🟡 "&amp;TEXT($H15-$B$3,"0")&amp;" d","🟢 OK"))))</f>
        <v/>
      </c>
    </row>
    <row r="16">
      <c r="A16" s="43">
        <f>IF('Staff Directory'!$A14="","",'Staff Directory'!$A14)</f>
        <v/>
      </c>
      <c r="B16" s="51">
        <f>IF('Staff Directory'!$L14="","",'Staff Directory'!$L14)</f>
        <v/>
      </c>
      <c r="C16" s="44">
        <f>IF($B16="","",IF($B16-$B$3&lt;0,"❌ OVERDUE BY "&amp;TEXT($B$3-$B16,"0")&amp;" d",IF($B16-$B$3&lt;=$B$4,"🔴 "&amp;TEXT($B16-$B$3,"0")&amp;" d",IF($B16-$B$3&lt;=$B$5,"🟡 "&amp;TEXT($B16-$B$3,"0")&amp;" d","🟢 OK"))))</f>
        <v/>
      </c>
      <c r="D16" s="51">
        <f>IF('Staff Directory'!$M14="","",'Staff Directory'!$M14)</f>
        <v/>
      </c>
      <c r="E16" s="44">
        <f>IF($D16="","",IF($D16-$B$3&lt;0,"❌ OVERDUE BY "&amp;TEXT($B$3-$D16,"0")&amp;" d",IF($D16-$B$3&lt;=$B$4,"🔴 "&amp;TEXT($D16-$B$3,"0")&amp;" d",IF($D16-$B$3&lt;=$B$5,"🟡 "&amp;TEXT($D16-$B$3,"0")&amp;" d","🟢 OK"))))</f>
        <v/>
      </c>
      <c r="F16" s="52">
        <f>IF('Staff Directory'!$N14="","",'Staff Directory'!$N14)</f>
        <v/>
      </c>
      <c r="G16" s="46">
        <f>IF($F16="","",IF($F16-$B$3&lt;0,"❌ OVERDUE BY "&amp;TEXT($B$3-$F16,"0")&amp;" d",IF($F16-$B$3&lt;=$B$4,"🔴 "&amp;TEXT($F16-$B$3,"0")&amp;" d",IF($F16-$B$3&lt;=$B$5,"🟡 "&amp;TEXT($F16-$B$3,"0")&amp;" d","🟢 OK"))))</f>
        <v/>
      </c>
      <c r="H16" s="52">
        <f>IF('Staff Directory'!$O14="","",'Staff Directory'!$O14)</f>
        <v/>
      </c>
      <c r="I16" s="46">
        <f>IF($H16="","",IF($H16-$B$3&lt;0,"❌ OVERDUE BY "&amp;TEXT($B$3-$H16,"0")&amp;" d",IF($H16-$B$3&lt;=$B$4,"🔴 "&amp;TEXT($H16-$B$3,"0")&amp;" d",IF($H16-$B$3&lt;=$B$5,"🟡 "&amp;TEXT($H16-$B$3,"0")&amp;" d","🟢 OK"))))</f>
        <v/>
      </c>
    </row>
    <row r="17">
      <c r="A17" s="43">
        <f>IF('Staff Directory'!$A15="","",'Staff Directory'!$A15)</f>
        <v/>
      </c>
      <c r="B17" s="51">
        <f>IF('Staff Directory'!$L15="","",'Staff Directory'!$L15)</f>
        <v/>
      </c>
      <c r="C17" s="44">
        <f>IF($B17="","",IF($B17-$B$3&lt;0,"❌ OVERDUE BY "&amp;TEXT($B$3-$B17,"0")&amp;" d",IF($B17-$B$3&lt;=$B$4,"🔴 "&amp;TEXT($B17-$B$3,"0")&amp;" d",IF($B17-$B$3&lt;=$B$5,"🟡 "&amp;TEXT($B17-$B$3,"0")&amp;" d","🟢 OK"))))</f>
        <v/>
      </c>
      <c r="D17" s="51">
        <f>IF('Staff Directory'!$M15="","",'Staff Directory'!$M15)</f>
        <v/>
      </c>
      <c r="E17" s="44">
        <f>IF($D17="","",IF($D17-$B$3&lt;0,"❌ OVERDUE BY "&amp;TEXT($B$3-$D17,"0")&amp;" d",IF($D17-$B$3&lt;=$B$4,"🔴 "&amp;TEXT($D17-$B$3,"0")&amp;" d",IF($D17-$B$3&lt;=$B$5,"🟡 "&amp;TEXT($D17-$B$3,"0")&amp;" d","🟢 OK"))))</f>
        <v/>
      </c>
      <c r="F17" s="52">
        <f>IF('Staff Directory'!$N15="","",'Staff Directory'!$N15)</f>
        <v/>
      </c>
      <c r="G17" s="46">
        <f>IF($F17="","",IF($F17-$B$3&lt;0,"❌ OVERDUE BY "&amp;TEXT($B$3-$F17,"0")&amp;" d",IF($F17-$B$3&lt;=$B$4,"🔴 "&amp;TEXT($F17-$B$3,"0")&amp;" d",IF($F17-$B$3&lt;=$B$5,"🟡 "&amp;TEXT($F17-$B$3,"0")&amp;" d","🟢 OK"))))</f>
        <v/>
      </c>
      <c r="H17" s="52">
        <f>IF('Staff Directory'!$O15="","",'Staff Directory'!$O15)</f>
        <v/>
      </c>
      <c r="I17" s="46">
        <f>IF($H17="","",IF($H17-$B$3&lt;0,"❌ OVERDUE BY "&amp;TEXT($B$3-$H17,"0")&amp;" d",IF($H17-$B$3&lt;=$B$4,"🔴 "&amp;TEXT($H17-$B$3,"0")&amp;" d",IF($H17-$B$3&lt;=$B$5,"🟡 "&amp;TEXT($H17-$B$3,"0")&amp;" d","🟢 OK"))))</f>
        <v/>
      </c>
    </row>
    <row r="18">
      <c r="A18" s="43">
        <f>IF('Staff Directory'!$A16="","",'Staff Directory'!$A16)</f>
        <v/>
      </c>
      <c r="B18" s="51">
        <f>IF('Staff Directory'!$L16="","",'Staff Directory'!$L16)</f>
        <v/>
      </c>
      <c r="C18" s="44">
        <f>IF($B18="","",IF($B18-$B$3&lt;0,"❌ OVERDUE BY "&amp;TEXT($B$3-$B18,"0")&amp;" d",IF($B18-$B$3&lt;=$B$4,"🔴 "&amp;TEXT($B18-$B$3,"0")&amp;" d",IF($B18-$B$3&lt;=$B$5,"🟡 "&amp;TEXT($B18-$B$3,"0")&amp;" d","🟢 OK"))))</f>
        <v/>
      </c>
      <c r="D18" s="51">
        <f>IF('Staff Directory'!$M16="","",'Staff Directory'!$M16)</f>
        <v/>
      </c>
      <c r="E18" s="44">
        <f>IF($D18="","",IF($D18-$B$3&lt;0,"❌ OVERDUE BY "&amp;TEXT($B$3-$D18,"0")&amp;" d",IF($D18-$B$3&lt;=$B$4,"🔴 "&amp;TEXT($D18-$B$3,"0")&amp;" d",IF($D18-$B$3&lt;=$B$5,"🟡 "&amp;TEXT($D18-$B$3,"0")&amp;" d","🟢 OK"))))</f>
        <v/>
      </c>
      <c r="F18" s="52">
        <f>IF('Staff Directory'!$N16="","",'Staff Directory'!$N16)</f>
        <v/>
      </c>
      <c r="G18" s="46">
        <f>IF($F18="","",IF($F18-$B$3&lt;0,"❌ OVERDUE BY "&amp;TEXT($B$3-$F18,"0")&amp;" d",IF($F18-$B$3&lt;=$B$4,"🔴 "&amp;TEXT($F18-$B$3,"0")&amp;" d",IF($F18-$B$3&lt;=$B$5,"🟡 "&amp;TEXT($F18-$B$3,"0")&amp;" d","🟢 OK"))))</f>
        <v/>
      </c>
      <c r="H18" s="52">
        <f>IF('Staff Directory'!$O16="","",'Staff Directory'!$O16)</f>
        <v/>
      </c>
      <c r="I18" s="46">
        <f>IF($H18="","",IF($H18-$B$3&lt;0,"❌ OVERDUE BY "&amp;TEXT($B$3-$H18,"0")&amp;" d",IF($H18-$B$3&lt;=$B$4,"🔴 "&amp;TEXT($H18-$B$3,"0")&amp;" d",IF($H18-$B$3&lt;=$B$5,"🟡 "&amp;TEXT($H18-$B$3,"0")&amp;" d","🟢 OK"))))</f>
        <v/>
      </c>
    </row>
    <row r="19">
      <c r="A19" s="43">
        <f>IF('Staff Directory'!$A17="","",'Staff Directory'!$A17)</f>
        <v/>
      </c>
      <c r="B19" s="51">
        <f>IF('Staff Directory'!$L17="","",'Staff Directory'!$L17)</f>
        <v/>
      </c>
      <c r="C19" s="44">
        <f>IF($B19="","",IF($B19-$B$3&lt;0,"❌ OVERDUE BY "&amp;TEXT($B$3-$B19,"0")&amp;" d",IF($B19-$B$3&lt;=$B$4,"🔴 "&amp;TEXT($B19-$B$3,"0")&amp;" d",IF($B19-$B$3&lt;=$B$5,"🟡 "&amp;TEXT($B19-$B$3,"0")&amp;" d","🟢 OK"))))</f>
        <v/>
      </c>
      <c r="D19" s="51">
        <f>IF('Staff Directory'!$M17="","",'Staff Directory'!$M17)</f>
        <v/>
      </c>
      <c r="E19" s="44">
        <f>IF($D19="","",IF($D19-$B$3&lt;0,"❌ OVERDUE BY "&amp;TEXT($B$3-$D19,"0")&amp;" d",IF($D19-$B$3&lt;=$B$4,"🔴 "&amp;TEXT($D19-$B$3,"0")&amp;" d",IF($D19-$B$3&lt;=$B$5,"🟡 "&amp;TEXT($D19-$B$3,"0")&amp;" d","🟢 OK"))))</f>
        <v/>
      </c>
      <c r="F19" s="52">
        <f>IF('Staff Directory'!$N17="","",'Staff Directory'!$N17)</f>
        <v/>
      </c>
      <c r="G19" s="46">
        <f>IF($F19="","",IF($F19-$B$3&lt;0,"❌ OVERDUE BY "&amp;TEXT($B$3-$F19,"0")&amp;" d",IF($F19-$B$3&lt;=$B$4,"🔴 "&amp;TEXT($F19-$B$3,"0")&amp;" d",IF($F19-$B$3&lt;=$B$5,"🟡 "&amp;TEXT($F19-$B$3,"0")&amp;" d","🟢 OK"))))</f>
        <v/>
      </c>
      <c r="H19" s="52">
        <f>IF('Staff Directory'!$O17="","",'Staff Directory'!$O17)</f>
        <v/>
      </c>
      <c r="I19" s="46">
        <f>IF($H19="","",IF($H19-$B$3&lt;0,"❌ OVERDUE BY "&amp;TEXT($B$3-$H19,"0")&amp;" d",IF($H19-$B$3&lt;=$B$4,"🔴 "&amp;TEXT($H19-$B$3,"0")&amp;" d",IF($H19-$B$3&lt;=$B$5,"🟡 "&amp;TEXT($H19-$B$3,"0")&amp;" d","🟢 OK"))))</f>
        <v/>
      </c>
    </row>
    <row r="20">
      <c r="A20" s="43">
        <f>IF('Staff Directory'!$A18="","",'Staff Directory'!$A18)</f>
        <v/>
      </c>
      <c r="B20" s="51">
        <f>IF('Staff Directory'!$L18="","",'Staff Directory'!$L18)</f>
        <v/>
      </c>
      <c r="C20" s="44">
        <f>IF($B20="","",IF($B20-$B$3&lt;0,"❌ OVERDUE BY "&amp;TEXT($B$3-$B20,"0")&amp;" d",IF($B20-$B$3&lt;=$B$4,"🔴 "&amp;TEXT($B20-$B$3,"0")&amp;" d",IF($B20-$B$3&lt;=$B$5,"🟡 "&amp;TEXT($B20-$B$3,"0")&amp;" d","🟢 OK"))))</f>
        <v/>
      </c>
      <c r="D20" s="51">
        <f>IF('Staff Directory'!$M18="","",'Staff Directory'!$M18)</f>
        <v/>
      </c>
      <c r="E20" s="44">
        <f>IF($D20="","",IF($D20-$B$3&lt;0,"❌ OVERDUE BY "&amp;TEXT($B$3-$D20,"0")&amp;" d",IF($D20-$B$3&lt;=$B$4,"🔴 "&amp;TEXT($D20-$B$3,"0")&amp;" d",IF($D20-$B$3&lt;=$B$5,"🟡 "&amp;TEXT($D20-$B$3,"0")&amp;" d","🟢 OK"))))</f>
        <v/>
      </c>
      <c r="F20" s="52">
        <f>IF('Staff Directory'!$N18="","",'Staff Directory'!$N18)</f>
        <v/>
      </c>
      <c r="G20" s="46">
        <f>IF($F20="","",IF($F20-$B$3&lt;0,"❌ OVERDUE BY "&amp;TEXT($B$3-$F20,"0")&amp;" d",IF($F20-$B$3&lt;=$B$4,"🔴 "&amp;TEXT($F20-$B$3,"0")&amp;" d",IF($F20-$B$3&lt;=$B$5,"🟡 "&amp;TEXT($F20-$B$3,"0")&amp;" d","🟢 OK"))))</f>
        <v/>
      </c>
      <c r="H20" s="52">
        <f>IF('Staff Directory'!$O18="","",'Staff Directory'!$O18)</f>
        <v/>
      </c>
      <c r="I20" s="46">
        <f>IF($H20="","",IF($H20-$B$3&lt;0,"❌ OVERDUE BY "&amp;TEXT($B$3-$H20,"0")&amp;" d",IF($H20-$B$3&lt;=$B$4,"🔴 "&amp;TEXT($H20-$B$3,"0")&amp;" d",IF($H20-$B$3&lt;=$B$5,"🟡 "&amp;TEXT($H20-$B$3,"0")&amp;" d","🟢 OK"))))</f>
        <v/>
      </c>
    </row>
    <row r="21">
      <c r="A21" s="43">
        <f>IF('Staff Directory'!$A19="","",'Staff Directory'!$A19)</f>
        <v/>
      </c>
      <c r="B21" s="51">
        <f>IF('Staff Directory'!$L19="","",'Staff Directory'!$L19)</f>
        <v/>
      </c>
      <c r="C21" s="44">
        <f>IF($B21="","",IF($B21-$B$3&lt;0,"❌ OVERDUE BY "&amp;TEXT($B$3-$B21,"0")&amp;" d",IF($B21-$B$3&lt;=$B$4,"🔴 "&amp;TEXT($B21-$B$3,"0")&amp;" d",IF($B21-$B$3&lt;=$B$5,"🟡 "&amp;TEXT($B21-$B$3,"0")&amp;" d","🟢 OK"))))</f>
        <v/>
      </c>
      <c r="D21" s="51">
        <f>IF('Staff Directory'!$M19="","",'Staff Directory'!$M19)</f>
        <v/>
      </c>
      <c r="E21" s="44">
        <f>IF($D21="","",IF($D21-$B$3&lt;0,"❌ OVERDUE BY "&amp;TEXT($B$3-$D21,"0")&amp;" d",IF($D21-$B$3&lt;=$B$4,"🔴 "&amp;TEXT($D21-$B$3,"0")&amp;" d",IF($D21-$B$3&lt;=$B$5,"🟡 "&amp;TEXT($D21-$B$3,"0")&amp;" d","🟢 OK"))))</f>
        <v/>
      </c>
      <c r="F21" s="52">
        <f>IF('Staff Directory'!$N19="","",'Staff Directory'!$N19)</f>
        <v/>
      </c>
      <c r="G21" s="46">
        <f>IF($F21="","",IF($F21-$B$3&lt;0,"❌ OVERDUE BY "&amp;TEXT($B$3-$F21,"0")&amp;" d",IF($F21-$B$3&lt;=$B$4,"🔴 "&amp;TEXT($F21-$B$3,"0")&amp;" d",IF($F21-$B$3&lt;=$B$5,"🟡 "&amp;TEXT($F21-$B$3,"0")&amp;" d","🟢 OK"))))</f>
        <v/>
      </c>
      <c r="H21" s="52">
        <f>IF('Staff Directory'!$O19="","",'Staff Directory'!$O19)</f>
        <v/>
      </c>
      <c r="I21" s="46">
        <f>IF($H21="","",IF($H21-$B$3&lt;0,"❌ OVERDUE BY "&amp;TEXT($B$3-$H21,"0")&amp;" d",IF($H21-$B$3&lt;=$B$4,"🔴 "&amp;TEXT($H21-$B$3,"0")&amp;" d",IF($H21-$B$3&lt;=$B$5,"🟡 "&amp;TEXT($H21-$B$3,"0")&amp;" d","🟢 OK"))))</f>
        <v/>
      </c>
    </row>
    <row r="22">
      <c r="A22" s="26">
        <f>IF('Staff Directory'!$A20="","",'Staff Directory'!$A20)</f>
        <v/>
      </c>
      <c r="B22" s="53">
        <f>IF('Staff Directory'!$L20="","",'Staff Directory'!$L20)</f>
        <v/>
      </c>
      <c r="C22" s="48">
        <f>IF($B22="","",IF($B22-$B$3&lt;0,"❌ OVERDUE BY "&amp;TEXT($B$3-$B22,"0")&amp;" d",IF($B22-$B$3&lt;=$B$4,"🔴 "&amp;TEXT($B22-$B$3,"0")&amp;" d",IF($B22-$B$3&lt;=$B$5,"🟡 "&amp;TEXT($B22-$B$3,"0")&amp;" d","🟢 OK"))))</f>
        <v/>
      </c>
      <c r="D22" s="53">
        <f>IF('Staff Directory'!$M20="","",'Staff Directory'!$M20)</f>
        <v/>
      </c>
      <c r="E22" s="48">
        <f>IF($D22="","",IF($D22-$B$3&lt;0,"❌ OVERDUE BY "&amp;TEXT($B$3-$D22,"0")&amp;" d",IF($D22-$B$3&lt;=$B$4,"🔴 "&amp;TEXT($D22-$B$3,"0")&amp;" d",IF($D22-$B$3&lt;=$B$5,"🟡 "&amp;TEXT($D22-$B$3,"0")&amp;" d","🟢 OK"))))</f>
        <v/>
      </c>
      <c r="F22" s="52">
        <f>IF('Staff Directory'!$N20="","",'Staff Directory'!$N20)</f>
        <v/>
      </c>
      <c r="G22" s="46">
        <f>IF($F22="","",IF($F22-$B$3&lt;0,"❌ OVERDUE BY "&amp;TEXT($B$3-$F22,"0")&amp;" d",IF($F22-$B$3&lt;=$B$4,"🔴 "&amp;TEXT($F22-$B$3,"0")&amp;" d",IF($F22-$B$3&lt;=$B$5,"🟡 "&amp;TEXT($F22-$B$3,"0")&amp;" d","🟢 OK"))))</f>
        <v/>
      </c>
      <c r="H22" s="52">
        <f>IF('Staff Directory'!$O20="","",'Staff Directory'!$O20)</f>
        <v/>
      </c>
      <c r="I22" s="46">
        <f>IF($H22="","",IF($H22-$B$3&lt;0,"❌ OVERDUE BY "&amp;TEXT($B$3-$H22,"0")&amp;" d",IF($H22-$B$3&lt;=$B$4,"🔴 "&amp;TEXT($H22-$B$3,"0")&amp;" d",IF($H22-$B$3&lt;=$B$5,"🟡 "&amp;TEXT($H22-$B$3,"0")&amp;" d","🟢 OK"))))</f>
        <v/>
      </c>
    </row>
    <row r="23">
      <c r="A23" s="26">
        <f>IF('Staff Directory'!$A21="","",'Staff Directory'!$A21)</f>
        <v/>
      </c>
      <c r="B23" s="53">
        <f>IF('Staff Directory'!$L21="","",'Staff Directory'!$L21)</f>
        <v/>
      </c>
      <c r="C23" s="48">
        <f>IF($B23="","",IF($B23-$B$3&lt;0,"❌ OVERDUE BY "&amp;TEXT($B$3-$B23,"0")&amp;" d",IF($B23-$B$3&lt;=$B$4,"🔴 "&amp;TEXT($B23-$B$3,"0")&amp;" d",IF($B23-$B$3&lt;=$B$5,"🟡 "&amp;TEXT($B23-$B$3,"0")&amp;" d","🟢 OK"))))</f>
        <v/>
      </c>
      <c r="D23" s="53">
        <f>IF('Staff Directory'!$M21="","",'Staff Directory'!$M21)</f>
        <v/>
      </c>
      <c r="E23" s="48">
        <f>IF($D23="","",IF($D23-$B$3&lt;0,"❌ OVERDUE BY "&amp;TEXT($B$3-$D23,"0")&amp;" d",IF($D23-$B$3&lt;=$B$4,"🔴 "&amp;TEXT($D23-$B$3,"0")&amp;" d",IF($D23-$B$3&lt;=$B$5,"🟡 "&amp;TEXT($D23-$B$3,"0")&amp;" d","🟢 OK"))))</f>
        <v/>
      </c>
      <c r="F23" s="52">
        <f>IF('Staff Directory'!$N21="","",'Staff Directory'!$N21)</f>
        <v/>
      </c>
      <c r="G23" s="46">
        <f>IF($F23="","",IF($F23-$B$3&lt;0,"❌ OVERDUE BY "&amp;TEXT($B$3-$F23,"0")&amp;" d",IF($F23-$B$3&lt;=$B$4,"🔴 "&amp;TEXT($F23-$B$3,"0")&amp;" d",IF($F23-$B$3&lt;=$B$5,"🟡 "&amp;TEXT($F23-$B$3,"0")&amp;" d","🟢 OK"))))</f>
        <v/>
      </c>
      <c r="H23" s="52">
        <f>IF('Staff Directory'!$O21="","",'Staff Directory'!$O21)</f>
        <v/>
      </c>
      <c r="I23" s="46">
        <f>IF($H23="","",IF($H23-$B$3&lt;0,"❌ OVERDUE BY "&amp;TEXT($B$3-$H23,"0")&amp;" d",IF($H23-$B$3&lt;=$B$4,"🔴 "&amp;TEXT($H23-$B$3,"0")&amp;" d",IF($H23-$B$3&lt;=$B$5,"🟡 "&amp;TEXT($H23-$B$3,"0")&amp;" d","🟢 OK"))))</f>
        <v/>
      </c>
    </row>
    <row r="24">
      <c r="A24" s="26">
        <f>IF('Staff Directory'!$A22="","",'Staff Directory'!$A22)</f>
        <v/>
      </c>
      <c r="B24" s="53">
        <f>IF('Staff Directory'!$L22="","",'Staff Directory'!$L22)</f>
        <v/>
      </c>
      <c r="C24" s="48">
        <f>IF($B24="","",IF($B24-$B$3&lt;0,"❌ OVERDUE BY "&amp;TEXT($B$3-$B24,"0")&amp;" d",IF($B24-$B$3&lt;=$B$4,"🔴 "&amp;TEXT($B24-$B$3,"0")&amp;" d",IF($B24-$B$3&lt;=$B$5,"🟡 "&amp;TEXT($B24-$B$3,"0")&amp;" d","🟢 OK"))))</f>
        <v/>
      </c>
      <c r="D24" s="53">
        <f>IF('Staff Directory'!$M22="","",'Staff Directory'!$M22)</f>
        <v/>
      </c>
      <c r="E24" s="48">
        <f>IF($D24="","",IF($D24-$B$3&lt;0,"❌ OVERDUE BY "&amp;TEXT($B$3-$D24,"0")&amp;" d",IF($D24-$B$3&lt;=$B$4,"🔴 "&amp;TEXT($D24-$B$3,"0")&amp;" d",IF($D24-$B$3&lt;=$B$5,"🟡 "&amp;TEXT($D24-$B$3,"0")&amp;" d","🟢 OK"))))</f>
        <v/>
      </c>
      <c r="F24" s="52">
        <f>IF('Staff Directory'!$N22="","",'Staff Directory'!$N22)</f>
        <v/>
      </c>
      <c r="G24" s="46">
        <f>IF($F24="","",IF($F24-$B$3&lt;0,"❌ OVERDUE BY "&amp;TEXT($B$3-$F24,"0")&amp;" d",IF($F24-$B$3&lt;=$B$4,"🔴 "&amp;TEXT($F24-$B$3,"0")&amp;" d",IF($F24-$B$3&lt;=$B$5,"🟡 "&amp;TEXT($F24-$B$3,"0")&amp;" d","🟢 OK"))))</f>
        <v/>
      </c>
      <c r="H24" s="52">
        <f>IF('Staff Directory'!$O22="","",'Staff Directory'!$O22)</f>
        <v/>
      </c>
      <c r="I24" s="46">
        <f>IF($H24="","",IF($H24-$B$3&lt;0,"❌ OVERDUE BY "&amp;TEXT($B$3-$H24,"0")&amp;" d",IF($H24-$B$3&lt;=$B$4,"🔴 "&amp;TEXT($H24-$B$3,"0")&amp;" d",IF($H24-$B$3&lt;=$B$5,"🟡 "&amp;TEXT($H24-$B$3,"0")&amp;" d","🟢 OK"))))</f>
        <v/>
      </c>
    </row>
    <row r="25">
      <c r="A25" s="43">
        <f>IF('Staff Directory'!$A23="","",'Staff Directory'!$A23)</f>
        <v/>
      </c>
      <c r="B25" s="51">
        <f>IF('Staff Directory'!$L23="","",'Staff Directory'!$L23)</f>
        <v/>
      </c>
      <c r="C25" s="44">
        <f>IF($B25="","",IF($B25-$B$3&lt;0,"❌ OVERDUE BY "&amp;TEXT($B$3-$B25,"0")&amp;" d",IF($B25-$B$3&lt;=$B$4,"🔴 "&amp;TEXT($B25-$B$3,"0")&amp;" d",IF($B25-$B$3&lt;=$B$5,"🟡 "&amp;TEXT($B25-$B$3,"0")&amp;" d","🟢 OK"))))</f>
        <v/>
      </c>
      <c r="D25" s="51">
        <f>IF('Staff Directory'!$M23="","",'Staff Directory'!$M23)</f>
        <v/>
      </c>
      <c r="E25" s="44">
        <f>IF($D25="","",IF($D25-$B$3&lt;0,"❌ OVERDUE BY "&amp;TEXT($B$3-$D25,"0")&amp;" d",IF($D25-$B$3&lt;=$B$4,"🔴 "&amp;TEXT($D25-$B$3,"0")&amp;" d",IF($D25-$B$3&lt;=$B$5,"🟡 "&amp;TEXT($D25-$B$3,"0")&amp;" d","🟢 OK"))))</f>
        <v/>
      </c>
      <c r="F25" s="52">
        <f>IF('Staff Directory'!$N23="","",'Staff Directory'!$N23)</f>
        <v/>
      </c>
      <c r="G25" s="46">
        <f>IF($F25="","",IF($F25-$B$3&lt;0,"❌ OVERDUE BY "&amp;TEXT($B$3-$F25,"0")&amp;" d",IF($F25-$B$3&lt;=$B$4,"🔴 "&amp;TEXT($F25-$B$3,"0")&amp;" d",IF($F25-$B$3&lt;=$B$5,"🟡 "&amp;TEXT($F25-$B$3,"0")&amp;" d","🟢 OK"))))</f>
        <v/>
      </c>
      <c r="H25" s="52">
        <f>IF('Staff Directory'!$O23="","",'Staff Directory'!$O23)</f>
        <v/>
      </c>
      <c r="I25" s="46">
        <f>IF($H25="","",IF($H25-$B$3&lt;0,"❌ OVERDUE BY "&amp;TEXT($B$3-$H25,"0")&amp;" d",IF($H25-$B$3&lt;=$B$4,"🔴 "&amp;TEXT($H25-$B$3,"0")&amp;" d",IF($H25-$B$3&lt;=$B$5,"🟡 "&amp;TEXT($H25-$B$3,"0")&amp;" d","🟢 OK"))))</f>
        <v/>
      </c>
    </row>
    <row r="26">
      <c r="A26" s="43">
        <f>IF('Staff Directory'!$A24="","",'Staff Directory'!$A24)</f>
        <v/>
      </c>
      <c r="B26" s="51">
        <f>IF('Staff Directory'!$L24="","",'Staff Directory'!$L24)</f>
        <v/>
      </c>
      <c r="C26" s="44">
        <f>IF($B26="","",IF($B26-$B$3&lt;0,"❌ OVERDUE BY "&amp;TEXT($B$3-$B26,"0")&amp;" d",IF($B26-$B$3&lt;=$B$4,"🔴 "&amp;TEXT($B26-$B$3,"0")&amp;" d",IF($B26-$B$3&lt;=$B$5,"🟡 "&amp;TEXT($B26-$B$3,"0")&amp;" d","🟢 OK"))))</f>
        <v/>
      </c>
      <c r="D26" s="51">
        <f>IF('Staff Directory'!$M24="","",'Staff Directory'!$M24)</f>
        <v/>
      </c>
      <c r="E26" s="44">
        <f>IF($D26="","",IF($D26-$B$3&lt;0,"❌ OVERDUE BY "&amp;TEXT($B$3-$D26,"0")&amp;" d",IF($D26-$B$3&lt;=$B$4,"🔴 "&amp;TEXT($D26-$B$3,"0")&amp;" d",IF($D26-$B$3&lt;=$B$5,"🟡 "&amp;TEXT($D26-$B$3,"0")&amp;" d","🟢 OK"))))</f>
        <v/>
      </c>
      <c r="F26" s="52">
        <f>IF('Staff Directory'!$N24="","",'Staff Directory'!$N24)</f>
        <v/>
      </c>
      <c r="G26" s="46">
        <f>IF($F26="","",IF($F26-$B$3&lt;0,"❌ OVERDUE BY "&amp;TEXT($B$3-$F26,"0")&amp;" d",IF($F26-$B$3&lt;=$B$4,"🔴 "&amp;TEXT($F26-$B$3,"0")&amp;" d",IF($F26-$B$3&lt;=$B$5,"🟡 "&amp;TEXT($F26-$B$3,"0")&amp;" d","🟢 OK"))))</f>
        <v/>
      </c>
      <c r="H26" s="52">
        <f>IF('Staff Directory'!$O24="","",'Staff Directory'!$O24)</f>
        <v/>
      </c>
      <c r="I26" s="46">
        <f>IF($H26="","",IF($H26-$B$3&lt;0,"❌ OVERDUE BY "&amp;TEXT($B$3-$H26,"0")&amp;" d",IF($H26-$B$3&lt;=$B$4,"🔴 "&amp;TEXT($H26-$B$3,"0")&amp;" d",IF($H26-$B$3&lt;=$B$5,"🟡 "&amp;TEXT($H26-$B$3,"0")&amp;" d","🟢 OK"))))</f>
        <v/>
      </c>
    </row>
    <row r="27">
      <c r="A27" s="43">
        <f>IF('Staff Directory'!$A25="","",'Staff Directory'!$A25)</f>
        <v/>
      </c>
      <c r="B27" s="51">
        <f>IF('Staff Directory'!$L25="","",'Staff Directory'!$L25)</f>
        <v/>
      </c>
      <c r="C27" s="44">
        <f>IF($B27="","",IF($B27-$B$3&lt;0,"❌ OVERDUE BY "&amp;TEXT($B$3-$B27,"0")&amp;" d",IF($B27-$B$3&lt;=$B$4,"🔴 "&amp;TEXT($B27-$B$3,"0")&amp;" d",IF($B27-$B$3&lt;=$B$5,"🟡 "&amp;TEXT($B27-$B$3,"0")&amp;" d","🟢 OK"))))</f>
        <v/>
      </c>
      <c r="D27" s="51">
        <f>IF('Staff Directory'!$M25="","",'Staff Directory'!$M25)</f>
        <v/>
      </c>
      <c r="E27" s="44">
        <f>IF($D27="","",IF($D27-$B$3&lt;0,"❌ OVERDUE BY "&amp;TEXT($B$3-$D27,"0")&amp;" d",IF($D27-$B$3&lt;=$B$4,"🔴 "&amp;TEXT($D27-$B$3,"0")&amp;" d",IF($D27-$B$3&lt;=$B$5,"🟡 "&amp;TEXT($D27-$B$3,"0")&amp;" d","🟢 OK"))))</f>
        <v/>
      </c>
      <c r="F27" s="52">
        <f>IF('Staff Directory'!$N25="","",'Staff Directory'!$N25)</f>
        <v/>
      </c>
      <c r="G27" s="46">
        <f>IF($F27="","",IF($F27-$B$3&lt;0,"❌ OVERDUE BY "&amp;TEXT($B$3-$F27,"0")&amp;" d",IF($F27-$B$3&lt;=$B$4,"🔴 "&amp;TEXT($F27-$B$3,"0")&amp;" d",IF($F27-$B$3&lt;=$B$5,"🟡 "&amp;TEXT($F27-$B$3,"0")&amp;" d","🟢 OK"))))</f>
        <v/>
      </c>
      <c r="H27" s="52">
        <f>IF('Staff Directory'!$O25="","",'Staff Directory'!$O25)</f>
        <v/>
      </c>
      <c r="I27" s="46">
        <f>IF($H27="","",IF($H27-$B$3&lt;0,"❌ OVERDUE BY "&amp;TEXT($B$3-$H27,"0")&amp;" d",IF($H27-$B$3&lt;=$B$4,"🔴 "&amp;TEXT($H27-$B$3,"0")&amp;" d",IF($H27-$B$3&lt;=$B$5,"🟡 "&amp;TEXT($H27-$B$3,"0")&amp;" d","🟢 OK"))))</f>
        <v/>
      </c>
    </row>
    <row r="28">
      <c r="A28" s="43">
        <f>IF('Staff Directory'!$A26="","",'Staff Directory'!$A26)</f>
        <v/>
      </c>
      <c r="B28" s="51">
        <f>IF('Staff Directory'!$L26="","",'Staff Directory'!$L26)</f>
        <v/>
      </c>
      <c r="C28" s="44">
        <f>IF($B28="","",IF($B28-$B$3&lt;0,"❌ OVERDUE BY "&amp;TEXT($B$3-$B28,"0")&amp;" d",IF($B28-$B$3&lt;=$B$4,"🔴 "&amp;TEXT($B28-$B$3,"0")&amp;" d",IF($B28-$B$3&lt;=$B$5,"🟡 "&amp;TEXT($B28-$B$3,"0")&amp;" d","🟢 OK"))))</f>
        <v/>
      </c>
      <c r="D28" s="51">
        <f>IF('Staff Directory'!$M26="","",'Staff Directory'!$M26)</f>
        <v/>
      </c>
      <c r="E28" s="44">
        <f>IF($D28="","",IF($D28-$B$3&lt;0,"❌ OVERDUE BY "&amp;TEXT($B$3-$D28,"0")&amp;" d",IF($D28-$B$3&lt;=$B$4,"🔴 "&amp;TEXT($D28-$B$3,"0")&amp;" d",IF($D28-$B$3&lt;=$B$5,"🟡 "&amp;TEXT($D28-$B$3,"0")&amp;" d","🟢 OK"))))</f>
        <v/>
      </c>
      <c r="F28" s="52">
        <f>IF('Staff Directory'!$N26="","",'Staff Directory'!$N26)</f>
        <v/>
      </c>
      <c r="G28" s="46">
        <f>IF($F28="","",IF($F28-$B$3&lt;0,"❌ OVERDUE BY "&amp;TEXT($B$3-$F28,"0")&amp;" d",IF($F28-$B$3&lt;=$B$4,"🔴 "&amp;TEXT($F28-$B$3,"0")&amp;" d",IF($F28-$B$3&lt;=$B$5,"🟡 "&amp;TEXT($F28-$B$3,"0")&amp;" d","🟢 OK"))))</f>
        <v/>
      </c>
      <c r="H28" s="52">
        <f>IF('Staff Directory'!$O26="","",'Staff Directory'!$O26)</f>
        <v/>
      </c>
      <c r="I28" s="46">
        <f>IF($H28="","",IF($H28-$B$3&lt;0,"❌ OVERDUE BY "&amp;TEXT($B$3-$H28,"0")&amp;" d",IF($H28-$B$3&lt;=$B$4,"🔴 "&amp;TEXT($H28-$B$3,"0")&amp;" d",IF($H28-$B$3&lt;=$B$5,"🟡 "&amp;TEXT($H28-$B$3,"0")&amp;" d","🟢 OK"))))</f>
        <v/>
      </c>
    </row>
    <row r="29">
      <c r="A29" s="43">
        <f>IF('Staff Directory'!$A27="","",'Staff Directory'!$A27)</f>
        <v/>
      </c>
      <c r="B29" s="51">
        <f>IF('Staff Directory'!$L27="","",'Staff Directory'!$L27)</f>
        <v/>
      </c>
      <c r="C29" s="44">
        <f>IF($B29="","",IF($B29-$B$3&lt;0,"❌ OVERDUE BY "&amp;TEXT($B$3-$B29,"0")&amp;" d",IF($B29-$B$3&lt;=$B$4,"🔴 "&amp;TEXT($B29-$B$3,"0")&amp;" d",IF($B29-$B$3&lt;=$B$5,"🟡 "&amp;TEXT($B29-$B$3,"0")&amp;" d","🟢 OK"))))</f>
        <v/>
      </c>
      <c r="D29" s="51">
        <f>IF('Staff Directory'!$M27="","",'Staff Directory'!$M27)</f>
        <v/>
      </c>
      <c r="E29" s="44">
        <f>IF($D29="","",IF($D29-$B$3&lt;0,"❌ OVERDUE BY "&amp;TEXT($B$3-$D29,"0")&amp;" d",IF($D29-$B$3&lt;=$B$4,"🔴 "&amp;TEXT($D29-$B$3,"0")&amp;" d",IF($D29-$B$3&lt;=$B$5,"🟡 "&amp;TEXT($D29-$B$3,"0")&amp;" d","🟢 OK"))))</f>
        <v/>
      </c>
      <c r="F29" s="52">
        <f>IF('Staff Directory'!$N27="","",'Staff Directory'!$N27)</f>
        <v/>
      </c>
      <c r="G29" s="46">
        <f>IF($F29="","",IF($F29-$B$3&lt;0,"❌ OVERDUE BY "&amp;TEXT($B$3-$F29,"0")&amp;" d",IF($F29-$B$3&lt;=$B$4,"🔴 "&amp;TEXT($F29-$B$3,"0")&amp;" d",IF($F29-$B$3&lt;=$B$5,"🟡 "&amp;TEXT($F29-$B$3,"0")&amp;" d","🟢 OK"))))</f>
        <v/>
      </c>
      <c r="H29" s="52">
        <f>IF('Staff Directory'!$O27="","",'Staff Directory'!$O27)</f>
        <v/>
      </c>
      <c r="I29" s="46">
        <f>IF($H29="","",IF($H29-$B$3&lt;0,"❌ OVERDUE BY "&amp;TEXT($B$3-$H29,"0")&amp;" d",IF($H29-$B$3&lt;=$B$4,"🔴 "&amp;TEXT($H29-$B$3,"0")&amp;" d",IF($H29-$B$3&lt;=$B$5,"🟡 "&amp;TEXT($H29-$B$3,"0")&amp;" d","🟢 OK"))))</f>
        <v/>
      </c>
    </row>
    <row r="30">
      <c r="A30" s="43">
        <f>IF('Staff Directory'!$A28="","",'Staff Directory'!$A28)</f>
        <v/>
      </c>
      <c r="B30" s="51">
        <f>IF('Staff Directory'!$L28="","",'Staff Directory'!$L28)</f>
        <v/>
      </c>
      <c r="C30" s="44">
        <f>IF($B30="","",IF($B30-$B$3&lt;0,"❌ OVERDUE BY "&amp;TEXT($B$3-$B30,"0")&amp;" d",IF($B30-$B$3&lt;=$B$4,"🔴 "&amp;TEXT($B30-$B$3,"0")&amp;" d",IF($B30-$B$3&lt;=$B$5,"🟡 "&amp;TEXT($B30-$B$3,"0")&amp;" d","🟢 OK"))))</f>
        <v/>
      </c>
      <c r="D30" s="51">
        <f>IF('Staff Directory'!$M28="","",'Staff Directory'!$M28)</f>
        <v/>
      </c>
      <c r="E30" s="44">
        <f>IF($D30="","",IF($D30-$B$3&lt;0,"❌ OVERDUE BY "&amp;TEXT($B$3-$D30,"0")&amp;" d",IF($D30-$B$3&lt;=$B$4,"🔴 "&amp;TEXT($D30-$B$3,"0")&amp;" d",IF($D30-$B$3&lt;=$B$5,"🟡 "&amp;TEXT($D30-$B$3,"0")&amp;" d","🟢 OK"))))</f>
        <v/>
      </c>
      <c r="F30" s="52">
        <f>IF('Staff Directory'!$N28="","",'Staff Directory'!$N28)</f>
        <v/>
      </c>
      <c r="G30" s="46">
        <f>IF($F30="","",IF($F30-$B$3&lt;0,"❌ OVERDUE BY "&amp;TEXT($B$3-$F30,"0")&amp;" d",IF($F30-$B$3&lt;=$B$4,"🔴 "&amp;TEXT($F30-$B$3,"0")&amp;" d",IF($F30-$B$3&lt;=$B$5,"🟡 "&amp;TEXT($F30-$B$3,"0")&amp;" d","🟢 OK"))))</f>
        <v/>
      </c>
      <c r="H30" s="52">
        <f>IF('Staff Directory'!$O28="","",'Staff Directory'!$O28)</f>
        <v/>
      </c>
      <c r="I30" s="46">
        <f>IF($H30="","",IF($H30-$B$3&lt;0,"❌ OVERDUE BY "&amp;TEXT($B$3-$H30,"0")&amp;" d",IF($H30-$B$3&lt;=$B$4,"🔴 "&amp;TEXT($H30-$B$3,"0")&amp;" d",IF($H30-$B$3&lt;=$B$5,"🟡 "&amp;TEXT($H30-$B$3,"0")&amp;" d","🟢 OK"))))</f>
        <v/>
      </c>
    </row>
    <row r="31">
      <c r="A31" s="43">
        <f>IF('Staff Directory'!$A29="","",'Staff Directory'!$A29)</f>
        <v/>
      </c>
      <c r="B31" s="51">
        <f>IF('Staff Directory'!$L29="","",'Staff Directory'!$L29)</f>
        <v/>
      </c>
      <c r="C31" s="44">
        <f>IF($B31="","",IF($B31-$B$3&lt;0,"❌ OVERDUE BY "&amp;TEXT($B$3-$B31,"0")&amp;" d",IF($B31-$B$3&lt;=$B$4,"🔴 "&amp;TEXT($B31-$B$3,"0")&amp;" d",IF($B31-$B$3&lt;=$B$5,"🟡 "&amp;TEXT($B31-$B$3,"0")&amp;" d","🟢 OK"))))</f>
        <v/>
      </c>
      <c r="D31" s="51">
        <f>IF('Staff Directory'!$M29="","",'Staff Directory'!$M29)</f>
        <v/>
      </c>
      <c r="E31" s="44">
        <f>IF($D31="","",IF($D31-$B$3&lt;0,"❌ OVERDUE BY "&amp;TEXT($B$3-$D31,"0")&amp;" d",IF($D31-$B$3&lt;=$B$4,"🔴 "&amp;TEXT($D31-$B$3,"0")&amp;" d",IF($D31-$B$3&lt;=$B$5,"🟡 "&amp;TEXT($D31-$B$3,"0")&amp;" d","🟢 OK"))))</f>
        <v/>
      </c>
      <c r="F31" s="52">
        <f>IF('Staff Directory'!$N29="","",'Staff Directory'!$N29)</f>
        <v/>
      </c>
      <c r="G31" s="46">
        <f>IF($F31="","",IF($F31-$B$3&lt;0,"❌ OVERDUE BY "&amp;TEXT($B$3-$F31,"0")&amp;" d",IF($F31-$B$3&lt;=$B$4,"🔴 "&amp;TEXT($F31-$B$3,"0")&amp;" d",IF($F31-$B$3&lt;=$B$5,"🟡 "&amp;TEXT($F31-$B$3,"0")&amp;" d","🟢 OK"))))</f>
        <v/>
      </c>
      <c r="H31" s="52">
        <f>IF('Staff Directory'!$O29="","",'Staff Directory'!$O29)</f>
        <v/>
      </c>
      <c r="I31" s="46">
        <f>IF($H31="","",IF($H31-$B$3&lt;0,"❌ OVERDUE BY "&amp;TEXT($B$3-$H31,"0")&amp;" d",IF($H31-$B$3&lt;=$B$4,"🔴 "&amp;TEXT($H31-$B$3,"0")&amp;" d",IF($H31-$B$3&lt;=$B$5,"🟡 "&amp;TEXT($H31-$B$3,"0")&amp;" d","🟢 OK"))))</f>
        <v/>
      </c>
    </row>
    <row r="32">
      <c r="A32" s="43">
        <f>IF('Staff Directory'!$A30="","",'Staff Directory'!$A30)</f>
        <v/>
      </c>
      <c r="B32" s="51">
        <f>IF('Staff Directory'!$L30="","",'Staff Directory'!$L30)</f>
        <v/>
      </c>
      <c r="C32" s="44">
        <f>IF($B32="","",IF($B32-$B$3&lt;0,"❌ OVERDUE BY "&amp;TEXT($B$3-$B32,"0")&amp;" d",IF($B32-$B$3&lt;=$B$4,"🔴 "&amp;TEXT($B32-$B$3,"0")&amp;" d",IF($B32-$B$3&lt;=$B$5,"🟡 "&amp;TEXT($B32-$B$3,"0")&amp;" d","🟢 OK"))))</f>
        <v/>
      </c>
      <c r="D32" s="51">
        <f>IF('Staff Directory'!$M30="","",'Staff Directory'!$M30)</f>
        <v/>
      </c>
      <c r="E32" s="44">
        <f>IF($D32="","",IF($D32-$B$3&lt;0,"❌ OVERDUE BY "&amp;TEXT($B$3-$D32,"0")&amp;" d",IF($D32-$B$3&lt;=$B$4,"🔴 "&amp;TEXT($D32-$B$3,"0")&amp;" d",IF($D32-$B$3&lt;=$B$5,"🟡 "&amp;TEXT($D32-$B$3,"0")&amp;" d","🟢 OK"))))</f>
        <v/>
      </c>
      <c r="F32" s="52">
        <f>IF('Staff Directory'!$N30="","",'Staff Directory'!$N30)</f>
        <v/>
      </c>
      <c r="G32" s="46">
        <f>IF($F32="","",IF($F32-$B$3&lt;0,"❌ OVERDUE BY "&amp;TEXT($B$3-$F32,"0")&amp;" d",IF($F32-$B$3&lt;=$B$4,"🔴 "&amp;TEXT($F32-$B$3,"0")&amp;" d",IF($F32-$B$3&lt;=$B$5,"🟡 "&amp;TEXT($F32-$B$3,"0")&amp;" d","🟢 OK"))))</f>
        <v/>
      </c>
      <c r="H32" s="52">
        <f>IF('Staff Directory'!$O30="","",'Staff Directory'!$O30)</f>
        <v/>
      </c>
      <c r="I32" s="46">
        <f>IF($H32="","",IF($H32-$B$3&lt;0,"❌ OVERDUE BY "&amp;TEXT($B$3-$H32,"0")&amp;" d",IF($H32-$B$3&lt;=$B$4,"🔴 "&amp;TEXT($H32-$B$3,"0")&amp;" d",IF($H32-$B$3&lt;=$B$5,"🟡 "&amp;TEXT($H32-$B$3,"0")&amp;" d","🟢 OK"))))</f>
        <v/>
      </c>
    </row>
    <row r="33">
      <c r="A33" s="43">
        <f>IF('Staff Directory'!$A31="","",'Staff Directory'!$A31)</f>
        <v/>
      </c>
      <c r="B33" s="51">
        <f>IF('Staff Directory'!$L31="","",'Staff Directory'!$L31)</f>
        <v/>
      </c>
      <c r="C33" s="44">
        <f>IF($B33="","",IF($B33-$B$3&lt;0,"❌ OVERDUE BY "&amp;TEXT($B$3-$B33,"0")&amp;" d",IF($B33-$B$3&lt;=$B$4,"🔴 "&amp;TEXT($B33-$B$3,"0")&amp;" d",IF($B33-$B$3&lt;=$B$5,"🟡 "&amp;TEXT($B33-$B$3,"0")&amp;" d","🟢 OK"))))</f>
        <v/>
      </c>
      <c r="D33" s="51">
        <f>IF('Staff Directory'!$M31="","",'Staff Directory'!$M31)</f>
        <v/>
      </c>
      <c r="E33" s="44">
        <f>IF($D33="","",IF($D33-$B$3&lt;0,"❌ OVERDUE BY "&amp;TEXT($B$3-$D33,"0")&amp;" d",IF($D33-$B$3&lt;=$B$4,"🔴 "&amp;TEXT($D33-$B$3,"0")&amp;" d",IF($D33-$B$3&lt;=$B$5,"🟡 "&amp;TEXT($D33-$B$3,"0")&amp;" d","🟢 OK"))))</f>
        <v/>
      </c>
      <c r="F33" s="52">
        <f>IF('Staff Directory'!$N31="","",'Staff Directory'!$N31)</f>
        <v/>
      </c>
      <c r="G33" s="46">
        <f>IF($F33="","",IF($F33-$B$3&lt;0,"❌ OVERDUE BY "&amp;TEXT($B$3-$F33,"0")&amp;" d",IF($F33-$B$3&lt;=$B$4,"🔴 "&amp;TEXT($F33-$B$3,"0")&amp;" d",IF($F33-$B$3&lt;=$B$5,"🟡 "&amp;TEXT($F33-$B$3,"0")&amp;" d","🟢 OK"))))</f>
        <v/>
      </c>
      <c r="H33" s="52">
        <f>IF('Staff Directory'!$O31="","",'Staff Directory'!$O31)</f>
        <v/>
      </c>
      <c r="I33" s="46">
        <f>IF($H33="","",IF($H33-$B$3&lt;0,"❌ OVERDUE BY "&amp;TEXT($B$3-$H33,"0")&amp;" d",IF($H33-$B$3&lt;=$B$4,"🔴 "&amp;TEXT($H33-$B$3,"0")&amp;" d",IF($H33-$B$3&lt;=$B$5,"🟡 "&amp;TEXT($H33-$B$3,"0")&amp;" d","🟢 OK"))))</f>
        <v/>
      </c>
    </row>
    <row r="34">
      <c r="A34" s="43">
        <f>IF('Staff Directory'!$A32="","",'Staff Directory'!$A32)</f>
        <v/>
      </c>
      <c r="B34" s="51">
        <f>IF('Staff Directory'!$L32="","",'Staff Directory'!$L32)</f>
        <v/>
      </c>
      <c r="C34" s="44">
        <f>IF($B34="","",IF($B34-$B$3&lt;0,"❌ OVERDUE BY "&amp;TEXT($B$3-$B34,"0")&amp;" d",IF($B34-$B$3&lt;=$B$4,"🔴 "&amp;TEXT($B34-$B$3,"0")&amp;" d",IF($B34-$B$3&lt;=$B$5,"🟡 "&amp;TEXT($B34-$B$3,"0")&amp;" d","🟢 OK"))))</f>
        <v/>
      </c>
      <c r="D34" s="51">
        <f>IF('Staff Directory'!$M32="","",'Staff Directory'!$M32)</f>
        <v/>
      </c>
      <c r="E34" s="44">
        <f>IF($D34="","",IF($D34-$B$3&lt;0,"❌ OVERDUE BY "&amp;TEXT($B$3-$D34,"0")&amp;" d",IF($D34-$B$3&lt;=$B$4,"🔴 "&amp;TEXT($D34-$B$3,"0")&amp;" d",IF($D34-$B$3&lt;=$B$5,"🟡 "&amp;TEXT($D34-$B$3,"0")&amp;" d","🟢 OK"))))</f>
        <v/>
      </c>
      <c r="F34" s="52">
        <f>IF('Staff Directory'!$N32="","",'Staff Directory'!$N32)</f>
        <v/>
      </c>
      <c r="G34" s="46">
        <f>IF($F34="","",IF($F34-$B$3&lt;0,"❌ OVERDUE BY "&amp;TEXT($B$3-$F34,"0")&amp;" d",IF($F34-$B$3&lt;=$B$4,"🔴 "&amp;TEXT($F34-$B$3,"0")&amp;" d",IF($F34-$B$3&lt;=$B$5,"🟡 "&amp;TEXT($F34-$B$3,"0")&amp;" d","🟢 OK"))))</f>
        <v/>
      </c>
      <c r="H34" s="52">
        <f>IF('Staff Directory'!$O32="","",'Staff Directory'!$O32)</f>
        <v/>
      </c>
      <c r="I34" s="46">
        <f>IF($H34="","",IF($H34-$B$3&lt;0,"❌ OVERDUE BY "&amp;TEXT($B$3-$H34,"0")&amp;" d",IF($H34-$B$3&lt;=$B$4,"🔴 "&amp;TEXT($H34-$B$3,"0")&amp;" d",IF($H34-$B$3&lt;=$B$5,"🟡 "&amp;TEXT($H34-$B$3,"0")&amp;" d","🟢 OK"))))</f>
        <v/>
      </c>
    </row>
    <row r="35">
      <c r="A35" s="43">
        <f>IF('Staff Directory'!$A33="","",'Staff Directory'!$A33)</f>
        <v/>
      </c>
      <c r="B35" s="51">
        <f>IF('Staff Directory'!$L33="","",'Staff Directory'!$L33)</f>
        <v/>
      </c>
      <c r="C35" s="44">
        <f>IF($B35="","",IF($B35-$B$3&lt;0,"❌ OVERDUE BY "&amp;TEXT($B$3-$B35,"0")&amp;" d",IF($B35-$B$3&lt;=$B$4,"🔴 "&amp;TEXT($B35-$B$3,"0")&amp;" d",IF($B35-$B$3&lt;=$B$5,"🟡 "&amp;TEXT($B35-$B$3,"0")&amp;" d","🟢 OK"))))</f>
        <v/>
      </c>
      <c r="D35" s="51">
        <f>IF('Staff Directory'!$M33="","",'Staff Directory'!$M33)</f>
        <v/>
      </c>
      <c r="E35" s="44">
        <f>IF($D35="","",IF($D35-$B$3&lt;0,"❌ OVERDUE BY "&amp;TEXT($B$3-$D35,"0")&amp;" d",IF($D35-$B$3&lt;=$B$4,"🔴 "&amp;TEXT($D35-$B$3,"0")&amp;" d",IF($D35-$B$3&lt;=$B$5,"🟡 "&amp;TEXT($D35-$B$3,"0")&amp;" d","🟢 OK"))))</f>
        <v/>
      </c>
      <c r="F35" s="52">
        <f>IF('Staff Directory'!$N33="","",'Staff Directory'!$N33)</f>
        <v/>
      </c>
      <c r="G35" s="46">
        <f>IF($F35="","",IF($F35-$B$3&lt;0,"❌ OVERDUE BY "&amp;TEXT($B$3-$F35,"0")&amp;" d",IF($F35-$B$3&lt;=$B$4,"🔴 "&amp;TEXT($F35-$B$3,"0")&amp;" d",IF($F35-$B$3&lt;=$B$5,"🟡 "&amp;TEXT($F35-$B$3,"0")&amp;" d","🟢 OK"))))</f>
        <v/>
      </c>
      <c r="H35" s="52">
        <f>IF('Staff Directory'!$O33="","",'Staff Directory'!$O33)</f>
        <v/>
      </c>
      <c r="I35" s="46">
        <f>IF($H35="","",IF($H35-$B$3&lt;0,"❌ OVERDUE BY "&amp;TEXT($B$3-$H35,"0")&amp;" d",IF($H35-$B$3&lt;=$B$4,"🔴 "&amp;TEXT($H35-$B$3,"0")&amp;" d",IF($H35-$B$3&lt;=$B$5,"🟡 "&amp;TEXT($H35-$B$3,"0")&amp;" d","🟢 OK"))))</f>
        <v/>
      </c>
    </row>
    <row r="36">
      <c r="A36" s="26">
        <f>IF('Staff Directory'!$A34="","",'Staff Directory'!$A34)</f>
        <v/>
      </c>
      <c r="B36" s="53">
        <f>IF('Staff Directory'!$L34="","",'Staff Directory'!$L34)</f>
        <v/>
      </c>
      <c r="C36" s="48">
        <f>IF($B36="","",IF($B36-$B$3&lt;0,"❌ OVERDUE BY "&amp;TEXT($B$3-$B36,"0")&amp;" d",IF($B36-$B$3&lt;=$B$4,"🔴 "&amp;TEXT($B36-$B$3,"0")&amp;" d",IF($B36-$B$3&lt;=$B$5,"🟡 "&amp;TEXT($B36-$B$3,"0")&amp;" d","🟢 OK"))))</f>
        <v/>
      </c>
      <c r="D36" s="53">
        <f>IF('Staff Directory'!$M34="","",'Staff Directory'!$M34)</f>
        <v/>
      </c>
      <c r="E36" s="48">
        <f>IF($D36="","",IF($D36-$B$3&lt;0,"❌ OVERDUE BY "&amp;TEXT($B$3-$D36,"0")&amp;" d",IF($D36-$B$3&lt;=$B$4,"🔴 "&amp;TEXT($D36-$B$3,"0")&amp;" d",IF($D36-$B$3&lt;=$B$5,"🟡 "&amp;TEXT($D36-$B$3,"0")&amp;" d","🟢 OK"))))</f>
        <v/>
      </c>
      <c r="F36" s="52">
        <f>IF('Staff Directory'!$N34="","",'Staff Directory'!$N34)</f>
        <v/>
      </c>
      <c r="G36" s="46">
        <f>IF($F36="","",IF($F36-$B$3&lt;0,"❌ OVERDUE BY "&amp;TEXT($B$3-$F36,"0")&amp;" d",IF($F36-$B$3&lt;=$B$4,"🔴 "&amp;TEXT($F36-$B$3,"0")&amp;" d",IF($F36-$B$3&lt;=$B$5,"🟡 "&amp;TEXT($F36-$B$3,"0")&amp;" d","🟢 OK"))))</f>
        <v/>
      </c>
      <c r="H36" s="52">
        <f>IF('Staff Directory'!$O34="","",'Staff Directory'!$O34)</f>
        <v/>
      </c>
      <c r="I36" s="46">
        <f>IF($H36="","",IF($H36-$B$3&lt;0,"❌ OVERDUE BY "&amp;TEXT($B$3-$H36,"0")&amp;" d",IF($H36-$B$3&lt;=$B$4,"🔴 "&amp;TEXT($H36-$B$3,"0")&amp;" d",IF($H36-$B$3&lt;=$B$5,"🟡 "&amp;TEXT($H36-$B$3,"0")&amp;" d","🟢 OK"))))</f>
        <v/>
      </c>
    </row>
    <row r="37">
      <c r="A37" s="26" t="n"/>
      <c r="B37" s="26" t="n"/>
      <c r="C37" s="26" t="n"/>
      <c r="D37" s="26" t="n"/>
      <c r="E37" s="26" t="n"/>
    </row>
    <row r="38" ht="30" customHeight="1">
      <c r="A38" s="37" t="inlineStr">
        <is>
          <t>▸ This tab is NOT typed into: the four dates come from the "Staff Directory" tab (columns L, M, N and O) for the 30 directory rows. If an employee does not appear, a date is missing there.</t>
        </is>
      </c>
    </row>
    <row r="39" ht="30" customHeight="1">
      <c r="A39" s="37" t="inlineStr">
        <is>
          <t>▸ The only editable cells are the two thresholds above (green cells). The three counters on the right count the alerts across the four columns at once.</t>
        </is>
      </c>
    </row>
    <row r="40" ht="30" customHeight="1">
      <c r="A40" s="37" t="inlineStr">
        <is>
          <t>▸ For seasonal and temporary staff, enter the end date so the alert reminds you in time to extend, rehire or close out the final paycheck (final pay rules vary by state).</t>
        </is>
      </c>
    </row>
    <row r="41" ht="30" customHeight="1">
      <c r="A41" s="37" t="inlineStr">
        <is>
          <t>▸ "Today's date" (B3) is =TODAY() and Excel recalculates it every time you open the file. In the PREVIEW on a phone or in Google Drive, which does not recalculate, you will see the date you downloaded the kit and the traffic lights of THAT day: open it in Excel or LibreOffice before trusting the alerts.</t>
        </is>
      </c>
    </row>
    <row r="43">
      <c r="A43" s="38"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7">
    <mergeCell ref="A43:I43"/>
    <mergeCell ref="A41:I41"/>
    <mergeCell ref="A2:I2"/>
    <mergeCell ref="A1:I1"/>
    <mergeCell ref="A40:I40"/>
    <mergeCell ref="A39:I39"/>
    <mergeCell ref="A38:I38"/>
  </mergeCells>
  <conditionalFormatting sqref="C7:C36">
    <cfRule type="containsText" priority="1" operator="containsText" dxfId="0" stopIfTrue="1" text="OVERDUE">
      <formula>NOT(ISERROR(SEARCH("OVERDUE",C7)))</formula>
    </cfRule>
    <cfRule type="containsText" priority="2" operator="containsText" dxfId="0" stopIfTrue="1" text="URGENT">
      <formula>NOT(ISERROR(SEARCH("URGENT",C7)))</formula>
    </cfRule>
    <cfRule type="containsText" priority="3" operator="containsText" dxfId="0" stopIfTrue="1" text="🔴">
      <formula>NOT(ISERROR(SEARCH("🔴",C7)))</formula>
    </cfRule>
    <cfRule type="containsText" priority="4" operator="containsText" dxfId="1" stopIfTrue="1" text="🟡">
      <formula>NOT(ISERROR(SEARCH("🟡",C7)))</formula>
    </cfRule>
    <cfRule type="containsText" priority="5" operator="containsText" dxfId="1" stopIfTrue="1" text="SOON">
      <formula>NOT(ISERROR(SEARCH("SOON",C7)))</formula>
    </cfRule>
    <cfRule type="containsText" priority="6" operator="containsText" dxfId="2" stopIfTrue="1" text="🟢">
      <formula>NOT(ISERROR(SEARCH("🟢",C7)))</formula>
    </cfRule>
    <cfRule type="containsText" priority="7" operator="containsText" dxfId="2" stopIfTrue="1" text="OK">
      <formula>NOT(ISERROR(SEARCH("OK",C7)))</formula>
    </cfRule>
  </conditionalFormatting>
  <conditionalFormatting sqref="E7:E36">
    <cfRule type="containsText" priority="8" operator="containsText" dxfId="0" stopIfTrue="1" text="OVERDUE">
      <formula>NOT(ISERROR(SEARCH("OVERDUE",E7)))</formula>
    </cfRule>
    <cfRule type="containsText" priority="9" operator="containsText" dxfId="0" stopIfTrue="1" text="URGENT">
      <formula>NOT(ISERROR(SEARCH("URGENT",E7)))</formula>
    </cfRule>
    <cfRule type="containsText" priority="10" operator="containsText" dxfId="0" stopIfTrue="1" text="🔴">
      <formula>NOT(ISERROR(SEARCH("🔴",E7)))</formula>
    </cfRule>
    <cfRule type="containsText" priority="11" operator="containsText" dxfId="1" stopIfTrue="1" text="🟡">
      <formula>NOT(ISERROR(SEARCH("🟡",E7)))</formula>
    </cfRule>
    <cfRule type="containsText" priority="12" operator="containsText" dxfId="1" stopIfTrue="1" text="SOON">
      <formula>NOT(ISERROR(SEARCH("SOON",E7)))</formula>
    </cfRule>
    <cfRule type="containsText" priority="13" operator="containsText" dxfId="2" stopIfTrue="1" text="🟢">
      <formula>NOT(ISERROR(SEARCH("🟢",E7)))</formula>
    </cfRule>
    <cfRule type="containsText" priority="14" operator="containsText" dxfId="2" stopIfTrue="1" text="OK">
      <formula>NOT(ISERROR(SEARCH("OK",E7)))</formula>
    </cfRule>
  </conditionalFormatting>
  <conditionalFormatting sqref="G7:G36">
    <cfRule type="containsText" priority="15" operator="containsText" dxfId="0" stopIfTrue="1" text="OVERDUE">
      <formula>NOT(ISERROR(SEARCH("OVERDUE",G7)))</formula>
    </cfRule>
    <cfRule type="containsText" priority="16" operator="containsText" dxfId="0" stopIfTrue="1" text="URGENT">
      <formula>NOT(ISERROR(SEARCH("URGENT",G7)))</formula>
    </cfRule>
    <cfRule type="containsText" priority="17" operator="containsText" dxfId="0" stopIfTrue="1" text="🔴">
      <formula>NOT(ISERROR(SEARCH("🔴",G7)))</formula>
    </cfRule>
    <cfRule type="containsText" priority="18" operator="containsText" dxfId="1" stopIfTrue="1" text="🟡">
      <formula>NOT(ISERROR(SEARCH("🟡",G7)))</formula>
    </cfRule>
    <cfRule type="containsText" priority="19" operator="containsText" dxfId="1" stopIfTrue="1" text="SOON">
      <formula>NOT(ISERROR(SEARCH("SOON",G7)))</formula>
    </cfRule>
    <cfRule type="containsText" priority="20" operator="containsText" dxfId="2" stopIfTrue="1" text="🟢">
      <formula>NOT(ISERROR(SEARCH("🟢",G7)))</formula>
    </cfRule>
    <cfRule type="containsText" priority="21" operator="containsText" dxfId="2" stopIfTrue="1" text="OK">
      <formula>NOT(ISERROR(SEARCH("OK",G7)))</formula>
    </cfRule>
  </conditionalFormatting>
  <conditionalFormatting sqref="I7:I36">
    <cfRule type="containsText" priority="22" operator="containsText" dxfId="0" stopIfTrue="1" text="OVERDUE">
      <formula>NOT(ISERROR(SEARCH("OVERDUE",I7)))</formula>
    </cfRule>
    <cfRule type="containsText" priority="23" operator="containsText" dxfId="0" stopIfTrue="1" text="URGENT">
      <formula>NOT(ISERROR(SEARCH("URGENT",I7)))</formula>
    </cfRule>
    <cfRule type="containsText" priority="24" operator="containsText" dxfId="0" stopIfTrue="1" text="🔴">
      <formula>NOT(ISERROR(SEARCH("🔴",I7)))</formula>
    </cfRule>
    <cfRule type="containsText" priority="25" operator="containsText" dxfId="1" stopIfTrue="1" text="🟡">
      <formula>NOT(ISERROR(SEARCH("🟡",I7)))</formula>
    </cfRule>
    <cfRule type="containsText" priority="26" operator="containsText" dxfId="1" stopIfTrue="1" text="SOON">
      <formula>NOT(ISERROR(SEARCH("SOON",I7)))</formula>
    </cfRule>
    <cfRule type="containsText" priority="27" operator="containsText" dxfId="2" stopIfTrue="1" text="🟢">
      <formula>NOT(ISERROR(SEARCH("🟢",I7)))</formula>
    </cfRule>
    <cfRule type="containsText" priority="28" operator="containsText" dxfId="2" stopIfTrue="1" text="OK">
      <formula>NOT(ISERROR(SEARCH("OK",I7)))</formula>
    </cfRule>
  </conditionalFormatting>
  <dataValidations count="3">
    <dataValidation sqref="B3" showDropDown="0" showInputMessage="1" showErrorMessage="0" allowBlank="0" promptTitle="Updates when opened" prompt="This cell is =TODAY(). Excel recalculates it when the file opens. A phone or Drive PREVIEW does not recalculate: you will see the download date and that date's traffic lights. Open it in Excel or LibreOffice before trusting the alerts."/>
    <dataValidation sqref="B4" showDropDown="0" showInputMessage="1" showErrorMessage="0" allowBlank="0" promptTitle="Red threshold (days)" prompt="From here on the expiry is urgent. Thirty days is reasonable for a seasonal or temporary end date and more than enough to renew a food handler card or an alcohol server certificate."/>
    <dataValidation sqref="B5" showDropDown="0" showInputMessage="1" showErrorMessage="0" allowBlank="0" promptTitle="Amber threshold (days)" prompt="How far ahead you want to find out. Raise it if the training for a card or certificate is run by a third party and takes a while to give you a date."/>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Employee Directory &amp; Expiry Tracker</dc:title>
  <dc:description xmlns:dc="http://purl.org/dc/elements/1.1/">aichef.pro/en/digital-products/restaurant-schedule-templates</dc:description>
  <dc:subject xmlns:dc="http://purl.org/dc/elements/1.1/">Restaurant Staff Scheduling Kit Pro · v2.0</dc:subject>
  <dcterms:created xmlns:dcterms="http://purl.org/dc/terms/" xmlns:xsi="http://www.w3.org/2001/XMLSchema-instance" xsi:type="dcterms:W3CDTF">2026-03-23T19:17:39Z</dcterms:created>
  <dcterms:modified xmlns:dcterms="http://purl.org/dc/terms/" xmlns:xsi="http://www.w3.org/2001/XMLSchema-instance" xsi:type="dcterms:W3CDTF">2026-10-03T15:46:25Z</dcterms:modified>
  <cp:lastModifiedBy>AI Chef Pro</cp:lastModifiedBy>
  <cp:category>AI Chef Pro · Digital products</cp:category>
  <cp:keywords>restaurant schedule template, staff rota, AI Chef Pro</cp:keywords>
</cp:coreProperties>
</file>