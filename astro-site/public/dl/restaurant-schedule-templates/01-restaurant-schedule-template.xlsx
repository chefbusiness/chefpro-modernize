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hifts" sheetId="2" state="visible" r:id="rId2"/>
    <sheet xmlns:r="http://schemas.openxmlformats.org/officeDocument/2006/relationships" name="Weekly Schedule" sheetId="3" state="visible" r:id="rId3"/>
    <sheet xmlns:r="http://schemas.openxmlformats.org/officeDocument/2006/relationships" name="Monthly Schedule" sheetId="4" state="visible" r:id="rId4"/>
  </sheets>
  <definedNames>
    <definedName name="_xlnm.Print_Area" localSheetId="0">'Instructions'!$A$1:$B$27</definedName>
    <definedName name="_xlnm.Print_Area" localSheetId="1">'Shifts'!$A$1:$F$15</definedName>
    <definedName name="_xlnm.Print_Titles" localSheetId="2">'Weekly Schedule'!$5:$5,'Weekly Schedule'!$A:$A</definedName>
    <definedName name="_xlnm.Print_Area" localSheetId="2">'Weekly Schedule'!$A$1:$AR$38</definedName>
    <definedName name="_xlnm.Print_Titles" localSheetId="3">'Monthly Schedule'!$1:$2,'Monthly Schedule'!$A:$A</definedName>
    <definedName name="_xlnm.Print_Area" localSheetId="3">'Monthly Schedule'!$A$1:$J$202</definedName>
  </definedNames>
  <calcPr calcId="124519" fullCalcOnLoad="1"/>
</workbook>
</file>

<file path=xl/styles.xml><?xml version="1.0" encoding="utf-8"?>
<styleSheet xmlns="http://schemas.openxmlformats.org/spreadsheetml/2006/main">
  <numFmts count="1">
    <numFmt numFmtId="164" formatCode="h:mm AM/PM;;"/>
  </numFmts>
  <fonts count="21">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sz val="9"/>
    </font>
    <font>
      <name val="Calibri"/>
      <b val="1"/>
      <color rgb="00FFFFFF"/>
      <sz val="11"/>
    </font>
    <font>
      <name val="Calibri"/>
      <sz val="11"/>
    </font>
    <font>
      <name val="Calibri"/>
      <b val="1"/>
      <color rgb="001565C0"/>
      <sz val="11"/>
    </font>
    <font>
      <name val="Calibri"/>
      <b val="1"/>
      <sz val="11"/>
    </font>
    <font>
      <name val="Calibri"/>
      <color rgb="00999999"/>
      <sz val="9"/>
    </font>
    <font>
      <name val="Calibri"/>
      <b val="1"/>
      <color rgb="00FFD700"/>
      <sz val="12"/>
    </font>
    <font>
      <b val="1"/>
      <sz val="13"/>
    </font>
    <font>
      <b val="1"/>
    </font>
    <font>
      <i val="1"/>
      <color rgb="00666666"/>
      <sz val="9"/>
    </font>
    <font>
      <b val="1"/>
      <color rgb="00FFFFFF"/>
      <sz val="10"/>
    </font>
    <font>
      <i val="1"/>
      <color rgb="00999999"/>
      <sz val="8"/>
    </font>
    <font>
      <color rgb="00666666"/>
      <sz val="9"/>
    </font>
    <font>
      <b val="1"/>
      <sz val="11"/>
    </font>
    <font>
      <b val="1"/>
      <sz val="9"/>
    </font>
  </fonts>
  <fills count="20">
    <fill>
      <patternFill/>
    </fill>
    <fill>
      <patternFill patternType="gray125"/>
    </fill>
    <fill>
      <patternFill patternType="solid">
        <fgColor rgb="00FFF9C4"/>
        <bgColor rgb="00FFF9C4"/>
      </patternFill>
    </fill>
    <fill>
      <patternFill patternType="solid">
        <fgColor rgb="00BBDEFB"/>
        <bgColor rgb="00BBDEFB"/>
      </patternFill>
    </fill>
    <fill>
      <patternFill patternType="solid">
        <fgColor rgb="00E1BEE7"/>
        <bgColor rgb="00E1BEE7"/>
      </patternFill>
    </fill>
    <fill>
      <patternFill patternType="solid">
        <fgColor rgb="00FFE0B2"/>
        <bgColor rgb="00FFE0B2"/>
      </patternFill>
    </fill>
    <fill>
      <patternFill patternType="solid">
        <fgColor rgb="00C8E6C9"/>
        <bgColor rgb="00C8E6C9"/>
      </patternFill>
    </fill>
    <fill>
      <patternFill patternType="solid">
        <fgColor rgb="002D2D2D"/>
        <bgColor rgb="002D2D2D"/>
      </patternFill>
    </fill>
    <fill>
      <patternFill patternType="solid">
        <fgColor rgb="00E8F5E9"/>
        <bgColor rgb="00E8F5E9"/>
      </patternFill>
    </fill>
    <fill>
      <patternFill patternType="solid">
        <fgColor rgb="00E8F5E9"/>
      </patternFill>
    </fill>
    <fill>
      <patternFill patternType="solid">
        <fgColor rgb="002D2D2D"/>
      </patternFill>
    </fill>
    <fill>
      <patternFill patternType="solid">
        <fgColor rgb="00FFF9C4"/>
      </patternFill>
    </fill>
    <fill>
      <patternFill patternType="solid">
        <fgColor rgb="00B2EBF2"/>
      </patternFill>
    </fill>
    <fill>
      <patternFill patternType="solid">
        <fgColor rgb="00E1BEE7"/>
      </patternFill>
    </fill>
    <fill>
      <patternFill patternType="solid">
        <fgColor rgb="00FFE0B2"/>
      </patternFill>
    </fill>
    <fill>
      <patternFill patternType="solid">
        <fgColor rgb="00FFCDD2"/>
      </patternFill>
    </fill>
    <fill>
      <patternFill patternType="solid">
        <fgColor rgb="00C8E6C9"/>
      </patternFill>
    </fill>
    <fill>
      <patternFill patternType="solid">
        <fgColor rgb="00BBDEFB"/>
      </patternFill>
    </fill>
    <fill>
      <patternFill patternType="solid">
        <fgColor rgb="00FFC7CE"/>
      </patternFill>
    </fill>
    <fill>
      <patternFill patternType="solid">
        <fgColor rgb="00EEEEEE"/>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1" pivotButton="0" quotePrefix="0" xfId="0"/>
    <xf numFmtId="0" fontId="8" fillId="8" borderId="1" applyAlignment="1" pivotButton="0" quotePrefix="0" xfId="0">
      <alignment horizontal="center" vertical="center" wrapText="1"/>
    </xf>
    <xf numFmtId="0" fontId="9"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10" fillId="0" borderId="1" pivotButton="0" quotePrefix="0" xfId="0"/>
    <xf numFmtId="0" fontId="11" fillId="0" borderId="0" pivotButton="0" quotePrefix="0" xfId="0"/>
    <xf numFmtId="0" fontId="12" fillId="0" borderId="0" pivotButton="0" quotePrefix="0" xfId="0"/>
    <xf numFmtId="0" fontId="0" fillId="8"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center" wrapText="1"/>
    </xf>
    <xf numFmtId="1" fontId="0" fillId="9" borderId="0" applyProtection="1" pivotButton="0" quotePrefix="0" xfId="0">
      <protection locked="0" hidden="0"/>
    </xf>
    <xf numFmtId="0" fontId="15" fillId="0" borderId="0" pivotButton="0" quotePrefix="0" xfId="0"/>
    <xf numFmtId="0" fontId="16" fillId="10" borderId="0" applyAlignment="1" pivotButton="0" quotePrefix="0" xfId="0">
      <alignment horizontal="center" vertical="center" wrapText="1"/>
    </xf>
    <xf numFmtId="0" fontId="14" fillId="11" borderId="0" applyAlignment="1" pivotButton="0" quotePrefix="0" xfId="0">
      <alignment horizontal="center" vertical="center"/>
    </xf>
    <xf numFmtId="0" fontId="0" fillId="9" borderId="0" applyProtection="1" pivotButton="0" quotePrefix="0" xfId="0">
      <protection locked="0" hidden="0"/>
    </xf>
    <xf numFmtId="2" fontId="0" fillId="9" borderId="0" applyAlignment="1" applyProtection="1" pivotButton="0" quotePrefix="0" xfId="0">
      <alignment horizontal="center" vertical="center"/>
      <protection locked="0" hidden="0"/>
    </xf>
    <xf numFmtId="2" fontId="0" fillId="0" borderId="0" applyAlignment="1" pivotButton="0" quotePrefix="0" xfId="0">
      <alignment horizontal="center" vertical="center"/>
    </xf>
    <xf numFmtId="0" fontId="14" fillId="12" borderId="0" applyAlignment="1" pivotButton="0" quotePrefix="0" xfId="0">
      <alignment horizontal="center" vertical="center"/>
    </xf>
    <xf numFmtId="0" fontId="14" fillId="13" borderId="0" applyAlignment="1" pivotButton="0" quotePrefix="0" xfId="0">
      <alignment horizontal="center" vertical="center"/>
    </xf>
    <xf numFmtId="0" fontId="14" fillId="14" borderId="0" applyAlignment="1" pivotButton="0" quotePrefix="0" xfId="0">
      <alignment horizontal="center" vertical="center"/>
    </xf>
    <xf numFmtId="0" fontId="14" fillId="15" borderId="0" applyAlignment="1" pivotButton="0" quotePrefix="0" xfId="0">
      <alignment horizontal="center" vertical="center"/>
    </xf>
    <xf numFmtId="0" fontId="14" fillId="16" borderId="0" applyAlignment="1" pivotButton="0" quotePrefix="0" xfId="0">
      <alignment horizontal="center" vertical="center"/>
    </xf>
    <xf numFmtId="0" fontId="14" fillId="17" borderId="0" applyAlignment="1" pivotButton="0" quotePrefix="0" xfId="0">
      <alignment horizontal="center" vertical="center"/>
    </xf>
    <xf numFmtId="0" fontId="14" fillId="18" borderId="0" applyAlignment="1" pivotButton="0" quotePrefix="0" xfId="0">
      <alignment horizontal="center" vertical="center"/>
    </xf>
    <xf numFmtId="0" fontId="0" fillId="0" borderId="0" applyAlignment="1" pivotButton="0" quotePrefix="0" xfId="0">
      <alignment vertical="top" wrapText="1"/>
    </xf>
    <xf numFmtId="0" fontId="20" fillId="11" borderId="0" applyAlignment="1" pivotButton="0" quotePrefix="0" xfId="0">
      <alignment horizontal="center"/>
    </xf>
    <xf numFmtId="0" fontId="20" fillId="12" borderId="0" applyAlignment="1" pivotButton="0" quotePrefix="0" xfId="0">
      <alignment horizontal="center"/>
    </xf>
    <xf numFmtId="0" fontId="20" fillId="13" borderId="0" applyAlignment="1" pivotButton="0" quotePrefix="0" xfId="0">
      <alignment horizontal="center"/>
    </xf>
    <xf numFmtId="0" fontId="20" fillId="14" borderId="0" applyAlignment="1" pivotButton="0" quotePrefix="0" xfId="0">
      <alignment horizontal="center"/>
    </xf>
    <xf numFmtId="0" fontId="20" fillId="15" borderId="0" applyAlignment="1" pivotButton="0" quotePrefix="0" xfId="0">
      <alignment horizontal="center"/>
    </xf>
    <xf numFmtId="0" fontId="20" fillId="16" borderId="0" applyAlignment="1" pivotButton="0" quotePrefix="0" xfId="0">
      <alignment horizontal="center"/>
    </xf>
    <xf numFmtId="0" fontId="20" fillId="17" borderId="0" applyAlignment="1" pivotButton="0" quotePrefix="0" xfId="0">
      <alignment horizontal="center"/>
    </xf>
    <xf numFmtId="0" fontId="20" fillId="18" borderId="0" applyAlignment="1" pivotButton="0" quotePrefix="0" xfId="0">
      <alignment horizontal="center"/>
    </xf>
    <xf numFmtId="0" fontId="17" fillId="0" borderId="0" pivotButton="0" quotePrefix="0" xfId="0"/>
    <xf numFmtId="0" fontId="16" fillId="10" borderId="1" applyAlignment="1" pivotButton="0" quotePrefix="0" xfId="0">
      <alignment horizontal="center" vertical="center" wrapText="1"/>
    </xf>
    <xf numFmtId="0" fontId="8" fillId="8" borderId="1" applyProtection="1" pivotButton="0" quotePrefix="0" xfId="0">
      <protection locked="0" hidden="0"/>
    </xf>
    <xf numFmtId="0" fontId="8" fillId="8" borderId="1" applyAlignment="1" applyProtection="1" pivotButton="0" quotePrefix="0" xfId="0">
      <alignment horizontal="center" vertical="center" wrapText="1"/>
      <protection locked="0" hidden="0"/>
    </xf>
    <xf numFmtId="2" fontId="9" fillId="0" borderId="1" applyAlignment="1" pivotButton="0" quotePrefix="0" xfId="0">
      <alignment horizontal="center" vertical="center" wrapText="1"/>
    </xf>
    <xf numFmtId="2" fontId="8" fillId="9" borderId="1" applyAlignment="1" applyProtection="1" pivotButton="0" quotePrefix="0" xfId="0">
      <alignment horizontal="center" vertical="center"/>
      <protection locked="0" hidden="0"/>
    </xf>
    <xf numFmtId="0" fontId="0" fillId="9" borderId="0" applyAlignment="1" applyProtection="1" pivotButton="0" quotePrefix="0" xfId="0">
      <alignment horizontal="center" vertical="center"/>
      <protection locked="0" hidden="0"/>
    </xf>
    <xf numFmtId="0" fontId="0" fillId="0" borderId="0" applyAlignment="1" pivotButton="0" quotePrefix="0" xfId="0">
      <alignment vertical="center" wrapText="1"/>
    </xf>
    <xf numFmtId="0" fontId="14" fillId="0" borderId="0" applyAlignment="1" pivotButton="0" quotePrefix="0" xfId="0">
      <alignment horizontal="right"/>
    </xf>
    <xf numFmtId="0" fontId="18" fillId="0" borderId="0" pivotButton="0" quotePrefix="0" xfId="0"/>
    <xf numFmtId="0" fontId="19" fillId="0" borderId="0" pivotButton="0" quotePrefix="0" xfId="0"/>
    <xf numFmtId="2" fontId="0" fillId="0" borderId="0" pivotButton="0" quotePrefix="0" xfId="0"/>
    <xf numFmtId="0" fontId="19" fillId="19" borderId="0" applyAlignment="1" pivotButton="0" quotePrefix="0" xfId="0">
      <alignment horizontal="left" vertical="center"/>
    </xf>
    <xf numFmtId="0" fontId="14" fillId="19" borderId="0" pivotButton="0" quotePrefix="0" xfId="0"/>
    <xf numFmtId="2" fontId="14" fillId="19" borderId="0" pivotButton="0" quotePrefix="0" xfId="0"/>
    <xf numFmtId="164" fontId="0" fillId="9" borderId="0" applyAlignment="1" applyProtection="1" pivotButton="0" quotePrefix="0" xfId="0">
      <alignment horizontal="center" vertical="center"/>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7"/>
  <sheetViews>
    <sheetView workbookViewId="0">
      <selection activeCell="A1" sqref="A1"/>
    </sheetView>
  </sheetViews>
  <sheetFormatPr baseColWidth="8" defaultRowHeight="15"/>
  <cols>
    <col width="3" customWidth="1" min="1" max="1"/>
    <col width="80" customWidth="1" min="2" max="2"/>
  </cols>
  <sheetData>
    <row r="2">
      <c r="B2" s="1" t="inlineStr">
        <is>
          <t>01 · Restaurant Schedule Template: Weekly &amp; Monthly Staff Rota</t>
        </is>
      </c>
    </row>
    <row r="4">
      <c r="B4" s="21" t="inlineStr">
        <is>
          <t>How to use this template:</t>
        </is>
      </c>
    </row>
    <row r="5">
      <c r="B5" s="22" t="inlineStr">
        <is>
          <t>▸ Type your team's names ONCE, in column A of the "Weekly Schedule": the "Monthly Schedule" pulls them in automatically, so there is no typing them five times.</t>
        </is>
      </c>
    </row>
    <row r="6">
      <c r="B6" s="22" t="inlineStr">
        <is>
          <t>▸ Assign shifts by code. Shift codes: AM=AM shift · PM=PM shift · N=Night · SP=Split · DBL=Double · OFF=Day off · V=Vacation/PTO · S=Sick.</t>
        </is>
      </c>
    </row>
    <row r="7">
      <c r="B7" s="22" t="inlineStr">
        <is>
          <t>▸ The hours are NOT written inside the formula: they come from the "Shifts" sheet. If your AM shift starts at 8:00 AM, change it there and the whole kit recalculates: the "Hours" column of that sheet is a formula (end − start − break), not a number you have to fix by hand.</t>
        </is>
      </c>
    </row>
    <row r="8">
      <c r="B8" s="22" t="inlineStr">
        <is>
          <t>▸ Each code has its own color in row 3 of the grid: it is the same legend in the weekly and the monthly schedule.</t>
        </is>
      </c>
    </row>
    <row r="9">
      <c r="B9" s="22" t="inlineStr">
        <is>
          <t>▸ The "Monthly Schedule" sheet repeats the grid for five weeks (31-day months do not fit in four), inherits the names from the "Weekly Schedule", adds up each employee's total for the month and shows the weekly average, which is what you compare with their scheduled hours when you spread hours unevenly.</t>
        </is>
      </c>
    </row>
    <row r="10">
      <c r="B10" s="2" t="n"/>
    </row>
    <row r="11">
      <c r="B11" s="21" t="inlineStr">
        <is>
          <t>The 4 schedule alerts (columns K to N):</t>
        </is>
      </c>
    </row>
    <row r="12">
      <c r="B12" s="22" t="inlineStr">
        <is>
          <t>▸ K · Rest between shifts: compares the END time of each day with the START time of the next, counting the shift that crosses midnight. It fires below 10 h (the "clopening" rule of the Fair Workweek laws; UK: 11 h, Working Time Regulations reg. 10). The threshold is cell Shifts!B3.</t>
        </is>
      </c>
    </row>
    <row r="13">
      <c r="B13" s="22" t="inlineStr">
        <is>
          <t>▸ L · Weekly day off: federal law sets no mandatory day off. With zero days off in the week the alert is red; with one, amber (six days on: a 7th day in a row is premium pay in California, Labor Code §§551-552). UK: 24 h off per week (WTR reg. 11).</t>
        </is>
      </c>
    </row>
    <row r="14">
      <c r="B14" s="22" t="inlineStr">
        <is>
          <t>▸ M · Weekly hours: compares with the maximum in column J (green, 40 by default, the FLSA overtime threshold), not with a fixed 40: for a part-timer, type their scheduled hours and the alerts fire at 20.</t>
        </is>
      </c>
    </row>
    <row r="15">
      <c r="B15" s="22" t="inlineStr">
        <is>
          <t>▸ N · Long shift: federal law sets no daily maximum for adults, so this is the kit's own rule: it fires above 10 h (threshold in Shifts!B2). It is the one that catches the double shift.</t>
        </is>
      </c>
    </row>
    <row r="16">
      <c r="B16" s="22" t="inlineStr">
        <is>
          <t>▸ O and P · Minors: type Y in column O (the alert in file 07 (Employee Directory &amp; Expiry Tracker) tells you as soon as you enter the date of birth). With Y, alert N drops to 8 h and P fires if you give them a NIGHT (N) or DOUBLE (DBL) shift. Child labor rules apply (29 CFR 570): under 16, 8 h on a non-school day and nothing after 7 PM (9 PM from June 1 to Labor Day); 16-17, no hazardous machines such as meat slicers and dough mixers. UK: young workers, 8 h a day, 40 h a week, no night work.</t>
        </is>
      </c>
    </row>
    <row r="17">
      <c r="B17" s="3" t="n"/>
    </row>
    <row r="18">
      <c r="B18" s="21" t="inlineStr">
        <is>
          <t>The shift table lives in the "Shifts" sheet:</t>
        </is>
      </c>
    </row>
    <row r="19">
      <c r="B19" s="22" t="inlineStr">
        <is>
          <t>▸ Each code has its start time, its end time and its BREAK; the effective hours calculate themselves. Type times as clock times: 7:00 AM or 3:30 PM.</t>
        </is>
      </c>
    </row>
    <row r="20">
      <c r="B20" s="22" t="inlineStr">
        <is>
          <t>▸ The SPLIT (SP) is 9 effective hours between 10:00 AM and 11:00 PM (13 h end to end minus a 4 h break); the DOUBLE (DBL) is 16 h and exists so the long-shift alert has something to catch.</t>
        </is>
      </c>
    </row>
    <row r="21">
      <c r="B21" s="22" t="inlineStr">
        <is>
          <t>▸ V (vacation / PTO) and S (sick) are marked here with the same letters as in file 05 (PTO &amp; Vacation Planner) and count 0 h. Holiday (H) and other leave (L) exist only in 05: in this schedule a day off is OFF.</t>
        </is>
      </c>
    </row>
    <row r="22">
      <c r="B22" s="22" t="inlineStr">
        <is>
          <t>▸ A letter that is not in the table counts 0 h: that is why the shift cells have a drop-down.</t>
        </is>
      </c>
    </row>
    <row r="23">
      <c r="B23" s="22" t="inlineStr">
        <is>
          <t>▸ Columns R to AR are HIDDEN: they are the helper calculation (hours, start time, end time and the 6 transitions between shifts). Unhide them if you want to audit an alert.</t>
        </is>
      </c>
    </row>
    <row r="25">
      <c r="B25" s="21" t="inlineStr">
        <is>
          <t>To edit a locked cell: Review → Unprotect Sheet (no password). Green cells are already editable without unprotecting anything.</t>
        </is>
      </c>
    </row>
    <row r="26">
      <c r="B26" s="21" t="inlineStr">
        <is>
          <t>Designed by John Guerrero — chef and restaurant consultant since 2010, in professional kitchens since age 17 · johnguerrero.es</t>
        </is>
      </c>
    </row>
    <row r="27">
      <c r="B27" s="21" t="inlineStr">
        <is>
          <t>Version 2.0 · October 2026 · aichef.pro/en/digital-products/restaurant-schedule-templates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5"/>
  <sheetViews>
    <sheetView workbookViewId="0">
      <selection activeCell="A1" sqref="A1"/>
    </sheetView>
  </sheetViews>
  <sheetFormatPr baseColWidth="8" defaultRowHeight="15"/>
  <cols>
    <col width="30" customWidth="1" min="1" max="1"/>
    <col width="34" customWidth="1" min="2" max="2"/>
    <col width="14" customWidth="1" min="3" max="3"/>
    <col width="14" customWidth="1" min="4" max="4"/>
    <col width="10" customWidth="1" min="5" max="5"/>
    <col width="12" customWidth="1" min="6" max="6"/>
  </cols>
  <sheetData>
    <row r="1" ht="22" customHeight="1">
      <c r="A1" s="23" t="inlineStr">
        <is>
          <t>Shifts &amp; limits: edit them here, they apply to the whole kit</t>
        </is>
      </c>
    </row>
    <row r="2" ht="30" customHeight="1">
      <c r="A2" s="24" t="inlineStr">
        <is>
          <t>Long-shift alert after (h):</t>
        </is>
      </c>
      <c r="B2" s="25" t="n">
        <v>10</v>
      </c>
      <c r="C2" s="26" t="inlineStr">
        <is>
          <t>Kit rule (no federal daily cap)</t>
        </is>
      </c>
    </row>
    <row r="3" ht="30" customHeight="1">
      <c r="A3" s="24" t="inlineStr">
        <is>
          <t>Minimum rest between shifts (h):</t>
        </is>
      </c>
      <c r="B3" s="25" t="n">
        <v>10</v>
      </c>
      <c r="C3" s="26" t="inlineStr">
        <is>
          <t>Fair Workweek "clopening" rule</t>
        </is>
      </c>
    </row>
    <row r="4" ht="30" customHeight="1">
      <c r="A4" s="27" t="inlineStr">
        <is>
          <t>Code</t>
        </is>
      </c>
      <c r="B4" s="27" t="inlineStr">
        <is>
          <t>Description</t>
        </is>
      </c>
      <c r="C4" s="27" t="inlineStr">
        <is>
          <t>Start time</t>
        </is>
      </c>
      <c r="D4" s="27" t="inlineStr">
        <is>
          <t>End time</t>
        </is>
      </c>
      <c r="E4" s="27" t="inlineStr">
        <is>
          <t>Hours</t>
        </is>
      </c>
      <c r="F4" s="27" t="inlineStr">
        <is>
          <t>Break (h)</t>
        </is>
      </c>
    </row>
    <row r="5">
      <c r="A5" s="28" t="inlineStr">
        <is>
          <t>AM</t>
        </is>
      </c>
      <c r="B5" s="29" t="inlineStr">
        <is>
          <t>AM shift</t>
        </is>
      </c>
      <c r="C5" s="63" t="n">
        <v>0.2916666666666667</v>
      </c>
      <c r="D5" s="63" t="n">
        <v>0.625</v>
      </c>
      <c r="E5" s="31">
        <f>IF(OR($C5="",$D5=""),"",ROUND(MOD($D5-$C5,1)*24-IF($F5="",0,$F5),2))</f>
        <v>8.0</v>
      </c>
      <c r="F5" s="30" t="n">
        <v>0</v>
      </c>
    </row>
    <row r="6">
      <c r="A6" s="32" t="inlineStr">
        <is>
          <t>PM</t>
        </is>
      </c>
      <c r="B6" s="29" t="inlineStr">
        <is>
          <t>PM shift</t>
        </is>
      </c>
      <c r="C6" s="63" t="n">
        <v>0.625</v>
      </c>
      <c r="D6" s="63" t="n">
        <v>0.9583333333333334</v>
      </c>
      <c r="E6" s="31">
        <f>IF(OR($C6="",$D6=""),"",ROUND(MOD($D6-$C6,1)*24-IF($F6="",0,$F6),2))</f>
        <v>8.0</v>
      </c>
      <c r="F6" s="30" t="n">
        <v>0</v>
      </c>
    </row>
    <row r="7">
      <c r="A7" s="33" t="inlineStr">
        <is>
          <t>N</t>
        </is>
      </c>
      <c r="B7" s="29" t="inlineStr">
        <is>
          <t>Night / overnight</t>
        </is>
      </c>
      <c r="C7" s="63" t="n">
        <v>0.9583333333333334</v>
      </c>
      <c r="D7" s="63" t="n">
        <v>0.2916666666666667</v>
      </c>
      <c r="E7" s="31">
        <f>IF(OR($C7="",$D7=""),"",ROUND(MOD($D7-$C7,1)*24-IF($F7="",0,$F7),2))</f>
        <v>8.0</v>
      </c>
      <c r="F7" s="30" t="n">
        <v>0</v>
      </c>
    </row>
    <row r="8">
      <c r="A8" s="34" t="inlineStr">
        <is>
          <t>SP</t>
        </is>
      </c>
      <c r="B8" s="29" t="inlineStr">
        <is>
          <t>Split shift</t>
        </is>
      </c>
      <c r="C8" s="63" t="n">
        <v>0.4166666666666667</v>
      </c>
      <c r="D8" s="63" t="n">
        <v>0.9583333333333334</v>
      </c>
      <c r="E8" s="31">
        <f>IF(OR($C8="",$D8=""),"",ROUND(MOD($D8-$C8,1)*24-IF($F8="",0,$F8),2))</f>
        <v>9.0</v>
      </c>
      <c r="F8" s="30" t="n">
        <v>4</v>
      </c>
    </row>
    <row r="9">
      <c r="A9" s="35" t="inlineStr">
        <is>
          <t>DBL</t>
        </is>
      </c>
      <c r="B9" s="29" t="inlineStr">
        <is>
          <t>Double</t>
        </is>
      </c>
      <c r="C9" s="63" t="n">
        <v>0.2916666666666667</v>
      </c>
      <c r="D9" s="63" t="n">
        <v>0.9583333333333334</v>
      </c>
      <c r="E9" s="31">
        <f>IF(OR($C9="",$D9=""),"",ROUND(MOD($D9-$C9,1)*24-IF($F9="",0,$F9),2))</f>
        <v>16.0</v>
      </c>
      <c r="F9" s="30" t="n">
        <v>0</v>
      </c>
    </row>
    <row r="10">
      <c r="A10" s="36" t="inlineStr">
        <is>
          <t>OFF</t>
        </is>
      </c>
      <c r="B10" s="29" t="inlineStr">
        <is>
          <t>Day off</t>
        </is>
      </c>
      <c r="C10" s="63" t="n">
        <v>0</v>
      </c>
      <c r="D10" s="63" t="n">
        <v>0</v>
      </c>
      <c r="E10" s="31">
        <f>IF(OR($C10="",$D10=""),"",ROUND(MOD($D10-$C10,1)*24-IF($F10="",0,$F10),2))</f>
        <v>0.0</v>
      </c>
      <c r="F10" s="30" t="n">
        <v>0</v>
      </c>
    </row>
    <row r="11">
      <c r="A11" s="37" t="inlineStr">
        <is>
          <t>V</t>
        </is>
      </c>
      <c r="B11" s="29" t="inlineStr">
        <is>
          <t>Vacation / PTO</t>
        </is>
      </c>
      <c r="C11" s="63" t="n">
        <v>0</v>
      </c>
      <c r="D11" s="63" t="n">
        <v>0</v>
      </c>
      <c r="E11" s="31">
        <f>IF(OR($C11="",$D11=""),"",ROUND(MOD($D11-$C11,1)*24-IF($F11="",0,$F11),2))</f>
        <v>0.0</v>
      </c>
      <c r="F11" s="30" t="n">
        <v>0</v>
      </c>
    </row>
    <row r="12">
      <c r="A12" s="38" t="inlineStr">
        <is>
          <t>S</t>
        </is>
      </c>
      <c r="B12" s="29" t="inlineStr">
        <is>
          <t>Sick</t>
        </is>
      </c>
      <c r="C12" s="63" t="n">
        <v>0</v>
      </c>
      <c r="D12" s="63" t="n">
        <v>0</v>
      </c>
      <c r="E12" s="31">
        <f>IF(OR($C12="",$D12=""),"",ROUND(MOD($D12-$C12,1)*24-IF($F12="",0,$F12),2))</f>
        <v>0.0</v>
      </c>
      <c r="F12" s="30" t="n">
        <v>0</v>
      </c>
    </row>
    <row r="13" ht="32" customHeight="1">
      <c r="B13" s="39" t="inlineStr">
        <is>
          <t>The SPLIT shift runs 10:00 AM-3:00 PM and 7:00 PM-11:00 PM: 13 h end to end and 9 effective hours, because it carries a 4 h BREAK. The "Hours" column is no longer typed: it comes from end − start minus the break, so changing a time really recalculates the schedule and the alerts. Start and end times are also what measure the rest between shifts.</t>
        </is>
      </c>
    </row>
    <row r="14" ht="32" customHeight="1">
      <c r="B14" s="39" t="inlineStr">
        <is>
          <t>The DOUBLE (DBL) is the 16 h shift that triggers the long-shift alert. It exists so you can MARK it and make the alert fire, not to plan it.</t>
        </is>
      </c>
    </row>
    <row r="15" ht="32" customHeight="1">
      <c r="B15" s="39" t="inlineStr">
        <is>
          <t>Type times as clock times: 7:00 AM or 3:30 PM. Column A is not editable: those 8 codes are the ones in the schedule drop-down and in the calendar of file 05 (PTO &amp; Vacation Planner).</t>
        </is>
      </c>
    </row>
  </sheetData>
  <sheetProtection selectLockedCells="0" selectUnlockedCells="0" sheet="1" objects="0" insertRows="1" insertHyperlinks="1" autoFilter="0" scenarios="0" formatColumns="0" deleteColumns="1" insertColumns="1" pivotTables="1" deleteRows="1" formatCells="1" formatRows="0" sort="0"/>
  <mergeCells count="4">
    <mergeCell ref="B15:F15"/>
    <mergeCell ref="A1:F1"/>
    <mergeCell ref="B13:F13"/>
    <mergeCell ref="B14:F14"/>
  </mergeCells>
  <dataValidations count="3">
    <dataValidation sqref="B2" showDropDown="0" showInputMessage="1" showErrorMessage="0" allowBlank="0" promptTitle="kitgp-v2 · max_shift_hours" prompt="Kit rule: federal law (FLSA) sets no daily maximum for adults. The alert fires above this many hours. Keep the rest between shifts either way."/>
    <dataValidation sqref="B3" showDropDown="0" showInputMessage="1" showErrorMessage="0" allowBlank="0" promptTitle="kitgp-v2 · min_rest_hours" prompt="Fair Workweek &quot;clopening&quot; rule: 10 hours between shifts (NYC fast food 11 h; UK 11 h under the Working Time Regulations). Type the rule that applies to you."/>
    <dataValidation sqref="C5:D12" showDropDown="0" showInputMessage="1" showErrorMessage="1" allowBlank="1" error="Type a time like 7:00 AM or 3:30 PM (not a plain 7)." prompt="Type a time like 7:00 AM or 3:30 PM (not a plain 7)." type="time" errorStyle="stop" operator="between">
      <formula1>0</formula1>
      <formula2>0.999305555555556</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1565C0"/>
    <outlinePr summaryBelow="1" summaryRight="1"/>
    <pageSetUpPr fitToPage="1"/>
  </sheetPr>
  <dimension ref="A1:AR3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3" customWidth="1" min="9" max="9"/>
    <col width="15" customWidth="1" min="10" max="10"/>
    <col width="20" customWidth="1" min="11" max="11"/>
    <col width="26" customWidth="1" min="12" max="12"/>
    <col width="18" customWidth="1" min="13" max="13"/>
    <col width="22" customWidth="1" min="14" max="14"/>
    <col width="18" customWidth="1" min="15" max="15"/>
    <col width="34" customWidth="1" min="16" max="16"/>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c r="A1" s="4" t="inlineStr">
        <is>
          <t>Shift Schedule — Week of ___/___/___ to ___/___/___</t>
        </is>
      </c>
    </row>
    <row r="2">
      <c r="A2" s="5" t="inlineStr">
        <is>
          <t>AI Chef Pro · aichef.pro — Restaurant Staff Scheduling Kit Pro</t>
        </is>
      </c>
    </row>
    <row r="3">
      <c r="B3" s="40" t="inlineStr">
        <is>
          <t>AM=AM shift</t>
        </is>
      </c>
      <c r="C3" s="41" t="inlineStr">
        <is>
          <t>PM=PM shift</t>
        </is>
      </c>
      <c r="D3" s="42" t="inlineStr">
        <is>
          <t>N=Night</t>
        </is>
      </c>
      <c r="E3" s="43" t="inlineStr">
        <is>
          <t>SP=Split</t>
        </is>
      </c>
      <c r="F3" s="44" t="inlineStr">
        <is>
          <t>DBL=Double</t>
        </is>
      </c>
      <c r="G3" s="45" t="inlineStr">
        <is>
          <t>OFF=Day off</t>
        </is>
      </c>
      <c r="H3" s="46" t="inlineStr">
        <is>
          <t>V=Vacation/PTO</t>
        </is>
      </c>
      <c r="I3" s="47" t="inlineStr">
        <is>
          <t>S=Sick</t>
        </is>
      </c>
    </row>
    <row r="4">
      <c r="R4" s="48" t="inlineStr">
        <is>
          <t>HELPER — do not edit · hours per day</t>
        </is>
      </c>
      <c r="Y4" s="48" t="inlineStr">
        <is>
          <t>start time</t>
        </is>
      </c>
      <c r="AF4" s="48" t="inlineStr">
        <is>
          <t>end time</t>
        </is>
      </c>
      <c r="AM4" s="48" t="inlineStr">
        <is>
          <t>rest between shifts (h)</t>
        </is>
      </c>
    </row>
    <row r="5" ht="30" customHeight="1">
      <c r="A5" s="49" t="inlineStr">
        <is>
          <t>Employee</t>
        </is>
      </c>
      <c r="B5" s="49" t="inlineStr">
        <is>
          <t>Monday</t>
        </is>
      </c>
      <c r="C5" s="49" t="inlineStr">
        <is>
          <t>Tuesday</t>
        </is>
      </c>
      <c r="D5" s="49" t="inlineStr">
        <is>
          <t>Wednesday</t>
        </is>
      </c>
      <c r="E5" s="49" t="inlineStr">
        <is>
          <t>Thursday</t>
        </is>
      </c>
      <c r="F5" s="49" t="inlineStr">
        <is>
          <t>Friday</t>
        </is>
      </c>
      <c r="G5" s="49" t="inlineStr">
        <is>
          <t>Saturday</t>
        </is>
      </c>
      <c r="H5" s="49" t="inlineStr">
        <is>
          <t>Sunday</t>
        </is>
      </c>
      <c r="I5" s="49" t="inlineStr">
        <is>
          <t>Total Hours</t>
        </is>
      </c>
      <c r="J5" s="49" t="inlineStr">
        <is>
          <t>Max hours/week (OT after 40)</t>
        </is>
      </c>
      <c r="K5" s="27" t="inlineStr">
        <is>
          <t>Rest between shifts</t>
        </is>
      </c>
      <c r="L5" s="27" t="inlineStr">
        <is>
          <t>Weekly day off</t>
        </is>
      </c>
      <c r="M5" s="27" t="inlineStr">
        <is>
          <t>Weekly hours</t>
        </is>
      </c>
      <c r="N5" s="27" t="inlineStr">
        <is>
          <t>Long shift</t>
        </is>
      </c>
      <c r="O5" s="27" t="inlineStr">
        <is>
          <t>Minor (under 18) Y/N</t>
        </is>
      </c>
      <c r="P5" s="27" t="inlineStr">
        <is>
          <t>Minor alert</t>
        </is>
      </c>
    </row>
    <row r="6">
      <c r="A6" s="50" t="n"/>
      <c r="B6" s="51" t="n"/>
      <c r="C6" s="51" t="n"/>
      <c r="D6" s="51" t="n"/>
      <c r="E6" s="51" t="n"/>
      <c r="F6" s="51" t="n"/>
      <c r="G6" s="51" t="n"/>
      <c r="H6" s="51" t="n"/>
      <c r="I6" s="52">
        <f>IF(COUNT($R6:$X6)=0,"",ROUND(SUM($R6:$X6),2))</f>
        <v/>
      </c>
      <c r="J6" s="53" t="n">
        <v>40</v>
      </c>
      <c r="K6">
        <f>IF(OR(IF($AM6="",Shifts!$B$3,$AM6)&lt;Shifts!$B$3,IF($AN6="",Shifts!$B$3,$AN6)&lt;Shifts!$B$3,IF($AO6="",Shifts!$B$3,$AO6)&lt;Shifts!$B$3,IF($AP6="",Shifts!$B$3,$AP6)&lt;Shifts!$B$3,IF($AQ6="",Shifts!$B$3,$AQ6)&lt;Shifts!$B$3,IF($AR6="",Shifts!$B$3,$AR6)&lt;Shifts!$B$3),"⛔ &lt;"&amp;Shifts!$B$3&amp;" h","")</f>
        <v/>
      </c>
      <c r="L6">
        <f>IF(7-(IF($R6="",0,IF($R6&gt;0,1,0))+IF($S6="",0,IF($S6&gt;0,1,0))+IF($T6="",0,IF($T6&gt;0,1,0))+IF($U6="",0,IF($U6&gt;0,1,0))+IF($V6="",0,IF($V6&gt;0,1,0))+IF($W6="",0,IF($W6&gt;0,1,0))+IF($X6="",0,IF($X6&gt;0,1,0)))=0,"⛔ 0 days off",IF(7-(IF($R6="",0,IF($R6&gt;0,1,0))+IF($S6="",0,IF($S6&gt;0,1,0))+IF($T6="",0,IF($T6&gt;0,1,0))+IF($U6="",0,IF($U6&gt;0,1,0))+IF($V6="",0,IF($V6&gt;0,1,0))+IF($W6="",0,IF($W6&gt;0,1,0))+IF($X6="",0,IF($X6&gt;0,1,0)))=1,"⚠ 6 days on: a 7th day in a row is premium pay in CA",""))</f>
        <v/>
      </c>
      <c r="M6">
        <f>IF(OR($I6="",$J6=""),"",IF($I6&gt;$J6,"⛔ +"&amp;TEXT($I6-$J6,"0")&amp;" h",""))</f>
        <v/>
      </c>
      <c r="N6">
        <f>IF($O6="Y",IF(OR(IF($R6="",0,$R6)&gt;8,IF($S6="",0,$S6)&gt;8,IF($T6="",0,$T6)&gt;8,IF($U6="",0,$U6)&gt;8,IF($V6="",0,$V6)&gt;8,IF($W6="",0,$W6)&gt;8,IF($X6="",0,$X6)&gt;8),"⛔ shift &gt; 8 h (MINOR)",""),IF(OR(IF($R6="",0,$R6)&gt;Shifts!$B$2,IF($S6="",0,$S6)&gt;Shifts!$B$2,IF($T6="",0,$T6)&gt;Shifts!$B$2,IF($U6="",0,$U6)&gt;Shifts!$B$2,IF($V6="",0,$V6)&gt;Shifts!$B$2,IF($W6="",0,$W6)&gt;Shifts!$B$2,IF($X6="",0,$X6)&gt;Shifts!$B$2),"⛔ shift &gt; "&amp;Shifts!$B$2&amp;" h",""))</f>
        <v/>
      </c>
      <c r="O6" s="54" t="n"/>
      <c r="P6" s="55">
        <f>IF($O6&lt;&gt;"Y","",IF(OR($B6="N",$B6="DBL",$C6="N",$C6="DBL",$D6="N",$D6="DBL",$E6="N",$E6="DBL",$F6="N",$F6="DBL",$G6="N",$G6="DBL",$H6="N",$H6="DBL"),"⛔ MINOR: no night or double shifts (29 CFR 570.35)","⚠ minor: check federal and state hour limits"))</f>
        <v/>
      </c>
      <c r="R6">
        <f>IF($B6="","",IFERROR(VLOOKUP($B6,Shifts!$A$5:$E$12,5,FALSE),0))</f>
        <v/>
      </c>
      <c r="S6">
        <f>IF($C6="","",IFERROR(VLOOKUP($C6,Shifts!$A$5:$E$12,5,FALSE),0))</f>
        <v/>
      </c>
      <c r="T6">
        <f>IF($D6="","",IFERROR(VLOOKUP($D6,Shifts!$A$5:$E$12,5,FALSE),0))</f>
        <v/>
      </c>
      <c r="U6">
        <f>IF($E6="","",IFERROR(VLOOKUP($E6,Shifts!$A$5:$E$12,5,FALSE),0))</f>
        <v/>
      </c>
      <c r="V6">
        <f>IF($F6="","",IFERROR(VLOOKUP($F6,Shifts!$A$5:$E$12,5,FALSE),0))</f>
        <v/>
      </c>
      <c r="W6">
        <f>IF($G6="","",IFERROR(VLOOKUP($G6,Shifts!$A$5:$E$12,5,FALSE),0))</f>
        <v/>
      </c>
      <c r="X6">
        <f>IF($H6="","",IFERROR(VLOOKUP($H6,Shifts!$A$5:$E$12,5,FALSE),0))</f>
        <v/>
      </c>
      <c r="Y6">
        <f>IF($B6="","",IFERROR(VLOOKUP($B6,Shifts!$A$5:$E$12,3,FALSE),0))</f>
        <v/>
      </c>
      <c r="Z6">
        <f>IF($C6="","",IFERROR(VLOOKUP($C6,Shifts!$A$5:$E$12,3,FALSE),0))</f>
        <v/>
      </c>
      <c r="AA6">
        <f>IF($D6="","",IFERROR(VLOOKUP($D6,Shifts!$A$5:$E$12,3,FALSE),0))</f>
        <v/>
      </c>
      <c r="AB6">
        <f>IF($E6="","",IFERROR(VLOOKUP($E6,Shifts!$A$5:$E$12,3,FALSE),0))</f>
        <v/>
      </c>
      <c r="AC6">
        <f>IF($F6="","",IFERROR(VLOOKUP($F6,Shifts!$A$5:$E$12,3,FALSE),0))</f>
        <v/>
      </c>
      <c r="AD6">
        <f>IF($G6="","",IFERROR(VLOOKUP($G6,Shifts!$A$5:$E$12,3,FALSE),0))</f>
        <v/>
      </c>
      <c r="AE6">
        <f>IF($H6="","",IFERROR(VLOOKUP($H6,Shifts!$A$5:$E$12,3,FALSE),0))</f>
        <v/>
      </c>
      <c r="AF6">
        <f>IF($B6="","",IFERROR(VLOOKUP($B6,Shifts!$A$5:$E$12,4,FALSE),0))</f>
        <v/>
      </c>
      <c r="AG6">
        <f>IF($C6="","",IFERROR(VLOOKUP($C6,Shifts!$A$5:$E$12,4,FALSE),0))</f>
        <v/>
      </c>
      <c r="AH6">
        <f>IF($D6="","",IFERROR(VLOOKUP($D6,Shifts!$A$5:$E$12,4,FALSE),0))</f>
        <v/>
      </c>
      <c r="AI6">
        <f>IF($E6="","",IFERROR(VLOOKUP($E6,Shifts!$A$5:$E$12,4,FALSE),0))</f>
        <v/>
      </c>
      <c r="AJ6">
        <f>IF($F6="","",IFERROR(VLOOKUP($F6,Shifts!$A$5:$E$12,4,FALSE),0))</f>
        <v/>
      </c>
      <c r="AK6">
        <f>IF($G6="","",IFERROR(VLOOKUP($G6,Shifts!$A$5:$E$12,4,FALSE),0))</f>
        <v/>
      </c>
      <c r="AL6">
        <f>IF($H6="","",IFERROR(VLOOKUP($H6,Shifts!$A$5:$E$12,4,FALSE),0))</f>
        <v/>
      </c>
      <c r="AM6">
        <f>IF(OR($R6="",$S6="",$R6=0,$S6=0),"",ROUND(IF($AF6&lt;=$Y6,$Z6-$AF6,1-$AF6+$Z6)*24,2))</f>
        <v/>
      </c>
      <c r="AN6">
        <f>IF(OR($S6="",$T6="",$S6=0,$T6=0),"",ROUND(IF($AG6&lt;=$Z6,$AA6-$AG6,1-$AG6+$AA6)*24,2))</f>
        <v/>
      </c>
      <c r="AO6">
        <f>IF(OR($T6="",$U6="",$T6=0,$U6=0),"",ROUND(IF($AH6&lt;=$AA6,$AB6-$AH6,1-$AH6+$AB6)*24,2))</f>
        <v/>
      </c>
      <c r="AP6">
        <f>IF(OR($U6="",$V6="",$U6=0,$V6=0),"",ROUND(IF($AI6&lt;=$AB6,$AC6-$AI6,1-$AI6+$AC6)*24,2))</f>
        <v/>
      </c>
      <c r="AQ6">
        <f>IF(OR($V6="",$W6="",$V6=0,$W6=0),"",ROUND(IF($AJ6&lt;=$AC6,$AD6-$AJ6,1-$AJ6+$AD6)*24,2))</f>
        <v/>
      </c>
      <c r="AR6">
        <f>IF(OR($W6="",$X6="",$W6=0,$X6=0),"",ROUND(IF($AK6&lt;=$AD6,$AE6-$AK6,1-$AK6+$AE6)*24,2))</f>
        <v/>
      </c>
    </row>
    <row r="7">
      <c r="A7" s="50" t="n"/>
      <c r="B7" s="51" t="n"/>
      <c r="C7" s="51" t="n"/>
      <c r="D7" s="51" t="n"/>
      <c r="E7" s="51" t="n"/>
      <c r="F7" s="51" t="n"/>
      <c r="G7" s="51" t="n"/>
      <c r="H7" s="51" t="n"/>
      <c r="I7" s="52">
        <f>IF(COUNT($R7:$X7)=0,"",ROUND(SUM($R7:$X7),2))</f>
        <v/>
      </c>
      <c r="J7" s="53" t="n">
        <v>40</v>
      </c>
      <c r="K7">
        <f>IF(OR(IF($AM7="",Shifts!$B$3,$AM7)&lt;Shifts!$B$3,IF($AN7="",Shifts!$B$3,$AN7)&lt;Shifts!$B$3,IF($AO7="",Shifts!$B$3,$AO7)&lt;Shifts!$B$3,IF($AP7="",Shifts!$B$3,$AP7)&lt;Shifts!$B$3,IF($AQ7="",Shifts!$B$3,$AQ7)&lt;Shifts!$B$3,IF($AR7="",Shifts!$B$3,$AR7)&lt;Shifts!$B$3),"⛔ &lt;"&amp;Shifts!$B$3&amp;" h","")</f>
        <v/>
      </c>
      <c r="L7">
        <f>IF(7-(IF($R7="",0,IF($R7&gt;0,1,0))+IF($S7="",0,IF($S7&gt;0,1,0))+IF($T7="",0,IF($T7&gt;0,1,0))+IF($U7="",0,IF($U7&gt;0,1,0))+IF($V7="",0,IF($V7&gt;0,1,0))+IF($W7="",0,IF($W7&gt;0,1,0))+IF($X7="",0,IF($X7&gt;0,1,0)))=0,"⛔ 0 days off",IF(7-(IF($R7="",0,IF($R7&gt;0,1,0))+IF($S7="",0,IF($S7&gt;0,1,0))+IF($T7="",0,IF($T7&gt;0,1,0))+IF($U7="",0,IF($U7&gt;0,1,0))+IF($V7="",0,IF($V7&gt;0,1,0))+IF($W7="",0,IF($W7&gt;0,1,0))+IF($X7="",0,IF($X7&gt;0,1,0)))=1,"⚠ 6 days on: a 7th day in a row is premium pay in CA",""))</f>
        <v/>
      </c>
      <c r="M7">
        <f>IF(OR($I7="",$J7=""),"",IF($I7&gt;$J7,"⛔ +"&amp;TEXT($I7-$J7,"0")&amp;" h",""))</f>
        <v/>
      </c>
      <c r="N7">
        <f>IF($O7="Y",IF(OR(IF($R7="",0,$R7)&gt;8,IF($S7="",0,$S7)&gt;8,IF($T7="",0,$T7)&gt;8,IF($U7="",0,$U7)&gt;8,IF($V7="",0,$V7)&gt;8,IF($W7="",0,$W7)&gt;8,IF($X7="",0,$X7)&gt;8),"⛔ shift &gt; 8 h (MINOR)",""),IF(OR(IF($R7="",0,$R7)&gt;Shifts!$B$2,IF($S7="",0,$S7)&gt;Shifts!$B$2,IF($T7="",0,$T7)&gt;Shifts!$B$2,IF($U7="",0,$U7)&gt;Shifts!$B$2,IF($V7="",0,$V7)&gt;Shifts!$B$2,IF($W7="",0,$W7)&gt;Shifts!$B$2,IF($X7="",0,$X7)&gt;Shifts!$B$2),"⛔ shift &gt; "&amp;Shifts!$B$2&amp;" h",""))</f>
        <v/>
      </c>
      <c r="O7" s="54" t="n"/>
      <c r="P7" s="55">
        <f>IF($O7&lt;&gt;"Y","",IF(OR($B7="N",$B7="DBL",$C7="N",$C7="DBL",$D7="N",$D7="DBL",$E7="N",$E7="DBL",$F7="N",$F7="DBL",$G7="N",$G7="DBL",$H7="N",$H7="DBL"),"⛔ MINOR: no night or double shifts (29 CFR 570.35)","⚠ minor: check federal and state hour limits"))</f>
        <v/>
      </c>
      <c r="R7">
        <f>IF($B7="","",IFERROR(VLOOKUP($B7,Shifts!$A$5:$E$12,5,FALSE),0))</f>
        <v/>
      </c>
      <c r="S7">
        <f>IF($C7="","",IFERROR(VLOOKUP($C7,Shifts!$A$5:$E$12,5,FALSE),0))</f>
        <v/>
      </c>
      <c r="T7">
        <f>IF($D7="","",IFERROR(VLOOKUP($D7,Shifts!$A$5:$E$12,5,FALSE),0))</f>
        <v/>
      </c>
      <c r="U7">
        <f>IF($E7="","",IFERROR(VLOOKUP($E7,Shifts!$A$5:$E$12,5,FALSE),0))</f>
        <v/>
      </c>
      <c r="V7">
        <f>IF($F7="","",IFERROR(VLOOKUP($F7,Shifts!$A$5:$E$12,5,FALSE),0))</f>
        <v/>
      </c>
      <c r="W7">
        <f>IF($G7="","",IFERROR(VLOOKUP($G7,Shifts!$A$5:$E$12,5,FALSE),0))</f>
        <v/>
      </c>
      <c r="X7">
        <f>IF($H7="","",IFERROR(VLOOKUP($H7,Shifts!$A$5:$E$12,5,FALSE),0))</f>
        <v/>
      </c>
      <c r="Y7">
        <f>IF($B7="","",IFERROR(VLOOKUP($B7,Shifts!$A$5:$E$12,3,FALSE),0))</f>
        <v/>
      </c>
      <c r="Z7">
        <f>IF($C7="","",IFERROR(VLOOKUP($C7,Shifts!$A$5:$E$12,3,FALSE),0))</f>
        <v/>
      </c>
      <c r="AA7">
        <f>IF($D7="","",IFERROR(VLOOKUP($D7,Shifts!$A$5:$E$12,3,FALSE),0))</f>
        <v/>
      </c>
      <c r="AB7">
        <f>IF($E7="","",IFERROR(VLOOKUP($E7,Shifts!$A$5:$E$12,3,FALSE),0))</f>
        <v/>
      </c>
      <c r="AC7">
        <f>IF($F7="","",IFERROR(VLOOKUP($F7,Shifts!$A$5:$E$12,3,FALSE),0))</f>
        <v/>
      </c>
      <c r="AD7">
        <f>IF($G7="","",IFERROR(VLOOKUP($G7,Shifts!$A$5:$E$12,3,FALSE),0))</f>
        <v/>
      </c>
      <c r="AE7">
        <f>IF($H7="","",IFERROR(VLOOKUP($H7,Shifts!$A$5:$E$12,3,FALSE),0))</f>
        <v/>
      </c>
      <c r="AF7">
        <f>IF($B7="","",IFERROR(VLOOKUP($B7,Shifts!$A$5:$E$12,4,FALSE),0))</f>
        <v/>
      </c>
      <c r="AG7">
        <f>IF($C7="","",IFERROR(VLOOKUP($C7,Shifts!$A$5:$E$12,4,FALSE),0))</f>
        <v/>
      </c>
      <c r="AH7">
        <f>IF($D7="","",IFERROR(VLOOKUP($D7,Shifts!$A$5:$E$12,4,FALSE),0))</f>
        <v/>
      </c>
      <c r="AI7">
        <f>IF($E7="","",IFERROR(VLOOKUP($E7,Shifts!$A$5:$E$12,4,FALSE),0))</f>
        <v/>
      </c>
      <c r="AJ7">
        <f>IF($F7="","",IFERROR(VLOOKUP($F7,Shifts!$A$5:$E$12,4,FALSE),0))</f>
        <v/>
      </c>
      <c r="AK7">
        <f>IF($G7="","",IFERROR(VLOOKUP($G7,Shifts!$A$5:$E$12,4,FALSE),0))</f>
        <v/>
      </c>
      <c r="AL7">
        <f>IF($H7="","",IFERROR(VLOOKUP($H7,Shifts!$A$5:$E$12,4,FALSE),0))</f>
        <v/>
      </c>
      <c r="AM7">
        <f>IF(OR($R7="",$S7="",$R7=0,$S7=0),"",ROUND(IF($AF7&lt;=$Y7,$Z7-$AF7,1-$AF7+$Z7)*24,2))</f>
        <v/>
      </c>
      <c r="AN7">
        <f>IF(OR($S7="",$T7="",$S7=0,$T7=0),"",ROUND(IF($AG7&lt;=$Z7,$AA7-$AG7,1-$AG7+$AA7)*24,2))</f>
        <v/>
      </c>
      <c r="AO7">
        <f>IF(OR($T7="",$U7="",$T7=0,$U7=0),"",ROUND(IF($AH7&lt;=$AA7,$AB7-$AH7,1-$AH7+$AB7)*24,2))</f>
        <v/>
      </c>
      <c r="AP7">
        <f>IF(OR($U7="",$V7="",$U7=0,$V7=0),"",ROUND(IF($AI7&lt;=$AB7,$AC7-$AI7,1-$AI7+$AC7)*24,2))</f>
        <v/>
      </c>
      <c r="AQ7">
        <f>IF(OR($V7="",$W7="",$V7=0,$W7=0),"",ROUND(IF($AJ7&lt;=$AC7,$AD7-$AJ7,1-$AJ7+$AD7)*24,2))</f>
        <v/>
      </c>
      <c r="AR7">
        <f>IF(OR($W7="",$X7="",$W7=0,$X7=0),"",ROUND(IF($AK7&lt;=$AD7,$AE7-$AK7,1-$AK7+$AE7)*24,2))</f>
        <v/>
      </c>
    </row>
    <row r="8">
      <c r="A8" s="50" t="n"/>
      <c r="B8" s="51" t="n"/>
      <c r="C8" s="51" t="n"/>
      <c r="D8" s="51" t="n"/>
      <c r="E8" s="51" t="n"/>
      <c r="F8" s="51" t="n"/>
      <c r="G8" s="51" t="n"/>
      <c r="H8" s="51" t="n"/>
      <c r="I8" s="52">
        <f>IF(COUNT($R8:$X8)=0,"",ROUND(SUM($R8:$X8),2))</f>
        <v/>
      </c>
      <c r="J8" s="53" t="n">
        <v>40</v>
      </c>
      <c r="K8">
        <f>IF(OR(IF($AM8="",Shifts!$B$3,$AM8)&lt;Shifts!$B$3,IF($AN8="",Shifts!$B$3,$AN8)&lt;Shifts!$B$3,IF($AO8="",Shifts!$B$3,$AO8)&lt;Shifts!$B$3,IF($AP8="",Shifts!$B$3,$AP8)&lt;Shifts!$B$3,IF($AQ8="",Shifts!$B$3,$AQ8)&lt;Shifts!$B$3,IF($AR8="",Shifts!$B$3,$AR8)&lt;Shifts!$B$3),"⛔ &lt;"&amp;Shifts!$B$3&amp;" h","")</f>
        <v/>
      </c>
      <c r="L8">
        <f>IF(7-(IF($R8="",0,IF($R8&gt;0,1,0))+IF($S8="",0,IF($S8&gt;0,1,0))+IF($T8="",0,IF($T8&gt;0,1,0))+IF($U8="",0,IF($U8&gt;0,1,0))+IF($V8="",0,IF($V8&gt;0,1,0))+IF($W8="",0,IF($W8&gt;0,1,0))+IF($X8="",0,IF($X8&gt;0,1,0)))=0,"⛔ 0 days off",IF(7-(IF($R8="",0,IF($R8&gt;0,1,0))+IF($S8="",0,IF($S8&gt;0,1,0))+IF($T8="",0,IF($T8&gt;0,1,0))+IF($U8="",0,IF($U8&gt;0,1,0))+IF($V8="",0,IF($V8&gt;0,1,0))+IF($W8="",0,IF($W8&gt;0,1,0))+IF($X8="",0,IF($X8&gt;0,1,0)))=1,"⚠ 6 days on: a 7th day in a row is premium pay in CA",""))</f>
        <v/>
      </c>
      <c r="M8">
        <f>IF(OR($I8="",$J8=""),"",IF($I8&gt;$J8,"⛔ +"&amp;TEXT($I8-$J8,"0")&amp;" h",""))</f>
        <v/>
      </c>
      <c r="N8">
        <f>IF($O8="Y",IF(OR(IF($R8="",0,$R8)&gt;8,IF($S8="",0,$S8)&gt;8,IF($T8="",0,$T8)&gt;8,IF($U8="",0,$U8)&gt;8,IF($V8="",0,$V8)&gt;8,IF($W8="",0,$W8)&gt;8,IF($X8="",0,$X8)&gt;8),"⛔ shift &gt; 8 h (MINOR)",""),IF(OR(IF($R8="",0,$R8)&gt;Shifts!$B$2,IF($S8="",0,$S8)&gt;Shifts!$B$2,IF($T8="",0,$T8)&gt;Shifts!$B$2,IF($U8="",0,$U8)&gt;Shifts!$B$2,IF($V8="",0,$V8)&gt;Shifts!$B$2,IF($W8="",0,$W8)&gt;Shifts!$B$2,IF($X8="",0,$X8)&gt;Shifts!$B$2),"⛔ shift &gt; "&amp;Shifts!$B$2&amp;" h",""))</f>
        <v/>
      </c>
      <c r="O8" s="54" t="n"/>
      <c r="P8" s="55">
        <f>IF($O8&lt;&gt;"Y","",IF(OR($B8="N",$B8="DBL",$C8="N",$C8="DBL",$D8="N",$D8="DBL",$E8="N",$E8="DBL",$F8="N",$F8="DBL",$G8="N",$G8="DBL",$H8="N",$H8="DBL"),"⛔ MINOR: no night or double shifts (29 CFR 570.35)","⚠ minor: check federal and state hour limits"))</f>
        <v/>
      </c>
      <c r="R8">
        <f>IF($B8="","",IFERROR(VLOOKUP($B8,Shifts!$A$5:$E$12,5,FALSE),0))</f>
        <v/>
      </c>
      <c r="S8">
        <f>IF($C8="","",IFERROR(VLOOKUP($C8,Shifts!$A$5:$E$12,5,FALSE),0))</f>
        <v/>
      </c>
      <c r="T8">
        <f>IF($D8="","",IFERROR(VLOOKUP($D8,Shifts!$A$5:$E$12,5,FALSE),0))</f>
        <v/>
      </c>
      <c r="U8">
        <f>IF($E8="","",IFERROR(VLOOKUP($E8,Shifts!$A$5:$E$12,5,FALSE),0))</f>
        <v/>
      </c>
      <c r="V8">
        <f>IF($F8="","",IFERROR(VLOOKUP($F8,Shifts!$A$5:$E$12,5,FALSE),0))</f>
        <v/>
      </c>
      <c r="W8">
        <f>IF($G8="","",IFERROR(VLOOKUP($G8,Shifts!$A$5:$E$12,5,FALSE),0))</f>
        <v/>
      </c>
      <c r="X8">
        <f>IF($H8="","",IFERROR(VLOOKUP($H8,Shifts!$A$5:$E$12,5,FALSE),0))</f>
        <v/>
      </c>
      <c r="Y8">
        <f>IF($B8="","",IFERROR(VLOOKUP($B8,Shifts!$A$5:$E$12,3,FALSE),0))</f>
        <v/>
      </c>
      <c r="Z8">
        <f>IF($C8="","",IFERROR(VLOOKUP($C8,Shifts!$A$5:$E$12,3,FALSE),0))</f>
        <v/>
      </c>
      <c r="AA8">
        <f>IF($D8="","",IFERROR(VLOOKUP($D8,Shifts!$A$5:$E$12,3,FALSE),0))</f>
        <v/>
      </c>
      <c r="AB8">
        <f>IF($E8="","",IFERROR(VLOOKUP($E8,Shifts!$A$5:$E$12,3,FALSE),0))</f>
        <v/>
      </c>
      <c r="AC8">
        <f>IF($F8="","",IFERROR(VLOOKUP($F8,Shifts!$A$5:$E$12,3,FALSE),0))</f>
        <v/>
      </c>
      <c r="AD8">
        <f>IF($G8="","",IFERROR(VLOOKUP($G8,Shifts!$A$5:$E$12,3,FALSE),0))</f>
        <v/>
      </c>
      <c r="AE8">
        <f>IF($H8="","",IFERROR(VLOOKUP($H8,Shifts!$A$5:$E$12,3,FALSE),0))</f>
        <v/>
      </c>
      <c r="AF8">
        <f>IF($B8="","",IFERROR(VLOOKUP($B8,Shifts!$A$5:$E$12,4,FALSE),0))</f>
        <v/>
      </c>
      <c r="AG8">
        <f>IF($C8="","",IFERROR(VLOOKUP($C8,Shifts!$A$5:$E$12,4,FALSE),0))</f>
        <v/>
      </c>
      <c r="AH8">
        <f>IF($D8="","",IFERROR(VLOOKUP($D8,Shifts!$A$5:$E$12,4,FALSE),0))</f>
        <v/>
      </c>
      <c r="AI8">
        <f>IF($E8="","",IFERROR(VLOOKUP($E8,Shifts!$A$5:$E$12,4,FALSE),0))</f>
        <v/>
      </c>
      <c r="AJ8">
        <f>IF($F8="","",IFERROR(VLOOKUP($F8,Shifts!$A$5:$E$12,4,FALSE),0))</f>
        <v/>
      </c>
      <c r="AK8">
        <f>IF($G8="","",IFERROR(VLOOKUP($G8,Shifts!$A$5:$E$12,4,FALSE),0))</f>
        <v/>
      </c>
      <c r="AL8">
        <f>IF($H8="","",IFERROR(VLOOKUP($H8,Shifts!$A$5:$E$12,4,FALSE),0))</f>
        <v/>
      </c>
      <c r="AM8">
        <f>IF(OR($R8="",$S8="",$R8=0,$S8=0),"",ROUND(IF($AF8&lt;=$Y8,$Z8-$AF8,1-$AF8+$Z8)*24,2))</f>
        <v/>
      </c>
      <c r="AN8">
        <f>IF(OR($S8="",$T8="",$S8=0,$T8=0),"",ROUND(IF($AG8&lt;=$Z8,$AA8-$AG8,1-$AG8+$AA8)*24,2))</f>
        <v/>
      </c>
      <c r="AO8">
        <f>IF(OR($T8="",$U8="",$T8=0,$U8=0),"",ROUND(IF($AH8&lt;=$AA8,$AB8-$AH8,1-$AH8+$AB8)*24,2))</f>
        <v/>
      </c>
      <c r="AP8">
        <f>IF(OR($U8="",$V8="",$U8=0,$V8=0),"",ROUND(IF($AI8&lt;=$AB8,$AC8-$AI8,1-$AI8+$AC8)*24,2))</f>
        <v/>
      </c>
      <c r="AQ8">
        <f>IF(OR($V8="",$W8="",$V8=0,$W8=0),"",ROUND(IF($AJ8&lt;=$AC8,$AD8-$AJ8,1-$AJ8+$AD8)*24,2))</f>
        <v/>
      </c>
      <c r="AR8">
        <f>IF(OR($W8="",$X8="",$W8=0,$X8=0),"",ROUND(IF($AK8&lt;=$AD8,$AE8-$AK8,1-$AK8+$AE8)*24,2))</f>
        <v/>
      </c>
    </row>
    <row r="9">
      <c r="A9" s="50" t="n"/>
      <c r="B9" s="51" t="n"/>
      <c r="C9" s="51" t="n"/>
      <c r="D9" s="51" t="n"/>
      <c r="E9" s="51" t="n"/>
      <c r="F9" s="51" t="n"/>
      <c r="G9" s="51" t="n"/>
      <c r="H9" s="51" t="n"/>
      <c r="I9" s="52">
        <f>IF(COUNT($R9:$X9)=0,"",ROUND(SUM($R9:$X9),2))</f>
        <v/>
      </c>
      <c r="J9" s="53" t="n">
        <v>40</v>
      </c>
      <c r="K9">
        <f>IF(OR(IF($AM9="",Shifts!$B$3,$AM9)&lt;Shifts!$B$3,IF($AN9="",Shifts!$B$3,$AN9)&lt;Shifts!$B$3,IF($AO9="",Shifts!$B$3,$AO9)&lt;Shifts!$B$3,IF($AP9="",Shifts!$B$3,$AP9)&lt;Shifts!$B$3,IF($AQ9="",Shifts!$B$3,$AQ9)&lt;Shifts!$B$3,IF($AR9="",Shifts!$B$3,$AR9)&lt;Shifts!$B$3),"⛔ &lt;"&amp;Shifts!$B$3&amp;" h","")</f>
        <v/>
      </c>
      <c r="L9">
        <f>IF(7-(IF($R9="",0,IF($R9&gt;0,1,0))+IF($S9="",0,IF($S9&gt;0,1,0))+IF($T9="",0,IF($T9&gt;0,1,0))+IF($U9="",0,IF($U9&gt;0,1,0))+IF($V9="",0,IF($V9&gt;0,1,0))+IF($W9="",0,IF($W9&gt;0,1,0))+IF($X9="",0,IF($X9&gt;0,1,0)))=0,"⛔ 0 days off",IF(7-(IF($R9="",0,IF($R9&gt;0,1,0))+IF($S9="",0,IF($S9&gt;0,1,0))+IF($T9="",0,IF($T9&gt;0,1,0))+IF($U9="",0,IF($U9&gt;0,1,0))+IF($V9="",0,IF($V9&gt;0,1,0))+IF($W9="",0,IF($W9&gt;0,1,0))+IF($X9="",0,IF($X9&gt;0,1,0)))=1,"⚠ 6 days on: a 7th day in a row is premium pay in CA",""))</f>
        <v/>
      </c>
      <c r="M9">
        <f>IF(OR($I9="",$J9=""),"",IF($I9&gt;$J9,"⛔ +"&amp;TEXT($I9-$J9,"0")&amp;" h",""))</f>
        <v/>
      </c>
      <c r="N9">
        <f>IF($O9="Y",IF(OR(IF($R9="",0,$R9)&gt;8,IF($S9="",0,$S9)&gt;8,IF($T9="",0,$T9)&gt;8,IF($U9="",0,$U9)&gt;8,IF($V9="",0,$V9)&gt;8,IF($W9="",0,$W9)&gt;8,IF($X9="",0,$X9)&gt;8),"⛔ shift &gt; 8 h (MINOR)",""),IF(OR(IF($R9="",0,$R9)&gt;Shifts!$B$2,IF($S9="",0,$S9)&gt;Shifts!$B$2,IF($T9="",0,$T9)&gt;Shifts!$B$2,IF($U9="",0,$U9)&gt;Shifts!$B$2,IF($V9="",0,$V9)&gt;Shifts!$B$2,IF($W9="",0,$W9)&gt;Shifts!$B$2,IF($X9="",0,$X9)&gt;Shifts!$B$2),"⛔ shift &gt; "&amp;Shifts!$B$2&amp;" h",""))</f>
        <v/>
      </c>
      <c r="O9" s="54" t="n"/>
      <c r="P9" s="55">
        <f>IF($O9&lt;&gt;"Y","",IF(OR($B9="N",$B9="DBL",$C9="N",$C9="DBL",$D9="N",$D9="DBL",$E9="N",$E9="DBL",$F9="N",$F9="DBL",$G9="N",$G9="DBL",$H9="N",$H9="DBL"),"⛔ MINOR: no night or double shifts (29 CFR 570.35)","⚠ minor: check federal and state hour limits"))</f>
        <v/>
      </c>
      <c r="R9">
        <f>IF($B9="","",IFERROR(VLOOKUP($B9,Shifts!$A$5:$E$12,5,FALSE),0))</f>
        <v/>
      </c>
      <c r="S9">
        <f>IF($C9="","",IFERROR(VLOOKUP($C9,Shifts!$A$5:$E$12,5,FALSE),0))</f>
        <v/>
      </c>
      <c r="T9">
        <f>IF($D9="","",IFERROR(VLOOKUP($D9,Shifts!$A$5:$E$12,5,FALSE),0))</f>
        <v/>
      </c>
      <c r="U9">
        <f>IF($E9="","",IFERROR(VLOOKUP($E9,Shifts!$A$5:$E$12,5,FALSE),0))</f>
        <v/>
      </c>
      <c r="V9">
        <f>IF($F9="","",IFERROR(VLOOKUP($F9,Shifts!$A$5:$E$12,5,FALSE),0))</f>
        <v/>
      </c>
      <c r="W9">
        <f>IF($G9="","",IFERROR(VLOOKUP($G9,Shifts!$A$5:$E$12,5,FALSE),0))</f>
        <v/>
      </c>
      <c r="X9">
        <f>IF($H9="","",IFERROR(VLOOKUP($H9,Shifts!$A$5:$E$12,5,FALSE),0))</f>
        <v/>
      </c>
      <c r="Y9">
        <f>IF($B9="","",IFERROR(VLOOKUP($B9,Shifts!$A$5:$E$12,3,FALSE),0))</f>
        <v/>
      </c>
      <c r="Z9">
        <f>IF($C9="","",IFERROR(VLOOKUP($C9,Shifts!$A$5:$E$12,3,FALSE),0))</f>
        <v/>
      </c>
      <c r="AA9">
        <f>IF($D9="","",IFERROR(VLOOKUP($D9,Shifts!$A$5:$E$12,3,FALSE),0))</f>
        <v/>
      </c>
      <c r="AB9">
        <f>IF($E9="","",IFERROR(VLOOKUP($E9,Shifts!$A$5:$E$12,3,FALSE),0))</f>
        <v/>
      </c>
      <c r="AC9">
        <f>IF($F9="","",IFERROR(VLOOKUP($F9,Shifts!$A$5:$E$12,3,FALSE),0))</f>
        <v/>
      </c>
      <c r="AD9">
        <f>IF($G9="","",IFERROR(VLOOKUP($G9,Shifts!$A$5:$E$12,3,FALSE),0))</f>
        <v/>
      </c>
      <c r="AE9">
        <f>IF($H9="","",IFERROR(VLOOKUP($H9,Shifts!$A$5:$E$12,3,FALSE),0))</f>
        <v/>
      </c>
      <c r="AF9">
        <f>IF($B9="","",IFERROR(VLOOKUP($B9,Shifts!$A$5:$E$12,4,FALSE),0))</f>
        <v/>
      </c>
      <c r="AG9">
        <f>IF($C9="","",IFERROR(VLOOKUP($C9,Shifts!$A$5:$E$12,4,FALSE),0))</f>
        <v/>
      </c>
      <c r="AH9">
        <f>IF($D9="","",IFERROR(VLOOKUP($D9,Shifts!$A$5:$E$12,4,FALSE),0))</f>
        <v/>
      </c>
      <c r="AI9">
        <f>IF($E9="","",IFERROR(VLOOKUP($E9,Shifts!$A$5:$E$12,4,FALSE),0))</f>
        <v/>
      </c>
      <c r="AJ9">
        <f>IF($F9="","",IFERROR(VLOOKUP($F9,Shifts!$A$5:$E$12,4,FALSE),0))</f>
        <v/>
      </c>
      <c r="AK9">
        <f>IF($G9="","",IFERROR(VLOOKUP($G9,Shifts!$A$5:$E$12,4,FALSE),0))</f>
        <v/>
      </c>
      <c r="AL9">
        <f>IF($H9="","",IFERROR(VLOOKUP($H9,Shifts!$A$5:$E$12,4,FALSE),0))</f>
        <v/>
      </c>
      <c r="AM9">
        <f>IF(OR($R9="",$S9="",$R9=0,$S9=0),"",ROUND(IF($AF9&lt;=$Y9,$Z9-$AF9,1-$AF9+$Z9)*24,2))</f>
        <v/>
      </c>
      <c r="AN9">
        <f>IF(OR($S9="",$T9="",$S9=0,$T9=0),"",ROUND(IF($AG9&lt;=$Z9,$AA9-$AG9,1-$AG9+$AA9)*24,2))</f>
        <v/>
      </c>
      <c r="AO9">
        <f>IF(OR($T9="",$U9="",$T9=0,$U9=0),"",ROUND(IF($AH9&lt;=$AA9,$AB9-$AH9,1-$AH9+$AB9)*24,2))</f>
        <v/>
      </c>
      <c r="AP9">
        <f>IF(OR($U9="",$V9="",$U9=0,$V9=0),"",ROUND(IF($AI9&lt;=$AB9,$AC9-$AI9,1-$AI9+$AC9)*24,2))</f>
        <v/>
      </c>
      <c r="AQ9">
        <f>IF(OR($V9="",$W9="",$V9=0,$W9=0),"",ROUND(IF($AJ9&lt;=$AC9,$AD9-$AJ9,1-$AJ9+$AD9)*24,2))</f>
        <v/>
      </c>
      <c r="AR9">
        <f>IF(OR($W9="",$X9="",$W9=0,$X9=0),"",ROUND(IF($AK9&lt;=$AD9,$AE9-$AK9,1-$AK9+$AE9)*24,2))</f>
        <v/>
      </c>
    </row>
    <row r="10">
      <c r="A10" s="50" t="n"/>
      <c r="B10" s="51" t="n"/>
      <c r="C10" s="51" t="n"/>
      <c r="D10" s="51" t="n"/>
      <c r="E10" s="51" t="n"/>
      <c r="F10" s="51" t="n"/>
      <c r="G10" s="51" t="n"/>
      <c r="H10" s="51" t="n"/>
      <c r="I10" s="52">
        <f>IF(COUNT($R10:$X10)=0,"",ROUND(SUM($R10:$X10),2))</f>
        <v/>
      </c>
      <c r="J10" s="53" t="n">
        <v>40</v>
      </c>
      <c r="K10">
        <f>IF(OR(IF($AM10="",Shifts!$B$3,$AM10)&lt;Shifts!$B$3,IF($AN10="",Shifts!$B$3,$AN10)&lt;Shifts!$B$3,IF($AO10="",Shifts!$B$3,$AO10)&lt;Shifts!$B$3,IF($AP10="",Shifts!$B$3,$AP10)&lt;Shifts!$B$3,IF($AQ10="",Shifts!$B$3,$AQ10)&lt;Shifts!$B$3,IF($AR10="",Shifts!$B$3,$AR10)&lt;Shifts!$B$3),"⛔ &lt;"&amp;Shifts!$B$3&amp;" h","")</f>
        <v/>
      </c>
      <c r="L10">
        <f>IF(7-(IF($R10="",0,IF($R10&gt;0,1,0))+IF($S10="",0,IF($S10&gt;0,1,0))+IF($T10="",0,IF($T10&gt;0,1,0))+IF($U10="",0,IF($U10&gt;0,1,0))+IF($V10="",0,IF($V10&gt;0,1,0))+IF($W10="",0,IF($W10&gt;0,1,0))+IF($X10="",0,IF($X10&gt;0,1,0)))=0,"⛔ 0 days off",IF(7-(IF($R10="",0,IF($R10&gt;0,1,0))+IF($S10="",0,IF($S10&gt;0,1,0))+IF($T10="",0,IF($T10&gt;0,1,0))+IF($U10="",0,IF($U10&gt;0,1,0))+IF($V10="",0,IF($V10&gt;0,1,0))+IF($W10="",0,IF($W10&gt;0,1,0))+IF($X10="",0,IF($X10&gt;0,1,0)))=1,"⚠ 6 days on: a 7th day in a row is premium pay in CA",""))</f>
        <v/>
      </c>
      <c r="M10">
        <f>IF(OR($I10="",$J10=""),"",IF($I10&gt;$J10,"⛔ +"&amp;TEXT($I10-$J10,"0")&amp;" h",""))</f>
        <v/>
      </c>
      <c r="N10">
        <f>IF($O10="Y",IF(OR(IF($R10="",0,$R10)&gt;8,IF($S10="",0,$S10)&gt;8,IF($T10="",0,$T10)&gt;8,IF($U10="",0,$U10)&gt;8,IF($V10="",0,$V10)&gt;8,IF($W10="",0,$W10)&gt;8,IF($X10="",0,$X10)&gt;8),"⛔ shift &gt; 8 h (MINOR)",""),IF(OR(IF($R10="",0,$R10)&gt;Shifts!$B$2,IF($S10="",0,$S10)&gt;Shifts!$B$2,IF($T10="",0,$T10)&gt;Shifts!$B$2,IF($U10="",0,$U10)&gt;Shifts!$B$2,IF($V10="",0,$V10)&gt;Shifts!$B$2,IF($W10="",0,$W10)&gt;Shifts!$B$2,IF($X10="",0,$X10)&gt;Shifts!$B$2),"⛔ shift &gt; "&amp;Shifts!$B$2&amp;" h",""))</f>
        <v/>
      </c>
      <c r="O10" s="54" t="n"/>
      <c r="P10" s="55">
        <f>IF($O10&lt;&gt;"Y","",IF(OR($B10="N",$B10="DBL",$C10="N",$C10="DBL",$D10="N",$D10="DBL",$E10="N",$E10="DBL",$F10="N",$F10="DBL",$G10="N",$G10="DBL",$H10="N",$H10="DBL"),"⛔ MINOR: no night or double shifts (29 CFR 570.35)","⚠ minor: check federal and state hour limits"))</f>
        <v/>
      </c>
      <c r="R10">
        <f>IF($B10="","",IFERROR(VLOOKUP($B10,Shifts!$A$5:$E$12,5,FALSE),0))</f>
        <v/>
      </c>
      <c r="S10">
        <f>IF($C10="","",IFERROR(VLOOKUP($C10,Shifts!$A$5:$E$12,5,FALSE),0))</f>
        <v/>
      </c>
      <c r="T10">
        <f>IF($D10="","",IFERROR(VLOOKUP($D10,Shifts!$A$5:$E$12,5,FALSE),0))</f>
        <v/>
      </c>
      <c r="U10">
        <f>IF($E10="","",IFERROR(VLOOKUP($E10,Shifts!$A$5:$E$12,5,FALSE),0))</f>
        <v/>
      </c>
      <c r="V10">
        <f>IF($F10="","",IFERROR(VLOOKUP($F10,Shifts!$A$5:$E$12,5,FALSE),0))</f>
        <v/>
      </c>
      <c r="W10">
        <f>IF($G10="","",IFERROR(VLOOKUP($G10,Shifts!$A$5:$E$12,5,FALSE),0))</f>
        <v/>
      </c>
      <c r="X10">
        <f>IF($H10="","",IFERROR(VLOOKUP($H10,Shifts!$A$5:$E$12,5,FALSE),0))</f>
        <v/>
      </c>
      <c r="Y10">
        <f>IF($B10="","",IFERROR(VLOOKUP($B10,Shifts!$A$5:$E$12,3,FALSE),0))</f>
        <v/>
      </c>
      <c r="Z10">
        <f>IF($C10="","",IFERROR(VLOOKUP($C10,Shifts!$A$5:$E$12,3,FALSE),0))</f>
        <v/>
      </c>
      <c r="AA10">
        <f>IF($D10="","",IFERROR(VLOOKUP($D10,Shifts!$A$5:$E$12,3,FALSE),0))</f>
        <v/>
      </c>
      <c r="AB10">
        <f>IF($E10="","",IFERROR(VLOOKUP($E10,Shifts!$A$5:$E$12,3,FALSE),0))</f>
        <v/>
      </c>
      <c r="AC10">
        <f>IF($F10="","",IFERROR(VLOOKUP($F10,Shifts!$A$5:$E$12,3,FALSE),0))</f>
        <v/>
      </c>
      <c r="AD10">
        <f>IF($G10="","",IFERROR(VLOOKUP($G10,Shifts!$A$5:$E$12,3,FALSE),0))</f>
        <v/>
      </c>
      <c r="AE10">
        <f>IF($H10="","",IFERROR(VLOOKUP($H10,Shifts!$A$5:$E$12,3,FALSE),0))</f>
        <v/>
      </c>
      <c r="AF10">
        <f>IF($B10="","",IFERROR(VLOOKUP($B10,Shifts!$A$5:$E$12,4,FALSE),0))</f>
        <v/>
      </c>
      <c r="AG10">
        <f>IF($C10="","",IFERROR(VLOOKUP($C10,Shifts!$A$5:$E$12,4,FALSE),0))</f>
        <v/>
      </c>
      <c r="AH10">
        <f>IF($D10="","",IFERROR(VLOOKUP($D10,Shifts!$A$5:$E$12,4,FALSE),0))</f>
        <v/>
      </c>
      <c r="AI10">
        <f>IF($E10="","",IFERROR(VLOOKUP($E10,Shifts!$A$5:$E$12,4,FALSE),0))</f>
        <v/>
      </c>
      <c r="AJ10">
        <f>IF($F10="","",IFERROR(VLOOKUP($F10,Shifts!$A$5:$E$12,4,FALSE),0))</f>
        <v/>
      </c>
      <c r="AK10">
        <f>IF($G10="","",IFERROR(VLOOKUP($G10,Shifts!$A$5:$E$12,4,FALSE),0))</f>
        <v/>
      </c>
      <c r="AL10">
        <f>IF($H10="","",IFERROR(VLOOKUP($H10,Shifts!$A$5:$E$12,4,FALSE),0))</f>
        <v/>
      </c>
      <c r="AM10">
        <f>IF(OR($R10="",$S10="",$R10=0,$S10=0),"",ROUND(IF($AF10&lt;=$Y10,$Z10-$AF10,1-$AF10+$Z10)*24,2))</f>
        <v/>
      </c>
      <c r="AN10">
        <f>IF(OR($S10="",$T10="",$S10=0,$T10=0),"",ROUND(IF($AG10&lt;=$Z10,$AA10-$AG10,1-$AG10+$AA10)*24,2))</f>
        <v/>
      </c>
      <c r="AO10">
        <f>IF(OR($T10="",$U10="",$T10=0,$U10=0),"",ROUND(IF($AH10&lt;=$AA10,$AB10-$AH10,1-$AH10+$AB10)*24,2))</f>
        <v/>
      </c>
      <c r="AP10">
        <f>IF(OR($U10="",$V10="",$U10=0,$V10=0),"",ROUND(IF($AI10&lt;=$AB10,$AC10-$AI10,1-$AI10+$AC10)*24,2))</f>
        <v/>
      </c>
      <c r="AQ10">
        <f>IF(OR($V10="",$W10="",$V10=0,$W10=0),"",ROUND(IF($AJ10&lt;=$AC10,$AD10-$AJ10,1-$AJ10+$AD10)*24,2))</f>
        <v/>
      </c>
      <c r="AR10">
        <f>IF(OR($W10="",$X10="",$W10=0,$X10=0),"",ROUND(IF($AK10&lt;=$AD10,$AE10-$AK10,1-$AK10+$AE10)*24,2))</f>
        <v/>
      </c>
    </row>
    <row r="11">
      <c r="A11" s="50" t="n"/>
      <c r="B11" s="51" t="n"/>
      <c r="C11" s="51" t="n"/>
      <c r="D11" s="51" t="n"/>
      <c r="E11" s="51" t="n"/>
      <c r="F11" s="51" t="n"/>
      <c r="G11" s="51" t="n"/>
      <c r="H11" s="51" t="n"/>
      <c r="I11" s="52">
        <f>IF(COUNT($R11:$X11)=0,"",ROUND(SUM($R11:$X11),2))</f>
        <v/>
      </c>
      <c r="J11" s="53" t="n">
        <v>40</v>
      </c>
      <c r="K11">
        <f>IF(OR(IF($AM11="",Shifts!$B$3,$AM11)&lt;Shifts!$B$3,IF($AN11="",Shifts!$B$3,$AN11)&lt;Shifts!$B$3,IF($AO11="",Shifts!$B$3,$AO11)&lt;Shifts!$B$3,IF($AP11="",Shifts!$B$3,$AP11)&lt;Shifts!$B$3,IF($AQ11="",Shifts!$B$3,$AQ11)&lt;Shifts!$B$3,IF($AR11="",Shifts!$B$3,$AR11)&lt;Shifts!$B$3),"⛔ &lt;"&amp;Shifts!$B$3&amp;" h","")</f>
        <v/>
      </c>
      <c r="L11">
        <f>IF(7-(IF($R11="",0,IF($R11&gt;0,1,0))+IF($S11="",0,IF($S11&gt;0,1,0))+IF($T11="",0,IF($T11&gt;0,1,0))+IF($U11="",0,IF($U11&gt;0,1,0))+IF($V11="",0,IF($V11&gt;0,1,0))+IF($W11="",0,IF($W11&gt;0,1,0))+IF($X11="",0,IF($X11&gt;0,1,0)))=0,"⛔ 0 days off",IF(7-(IF($R11="",0,IF($R11&gt;0,1,0))+IF($S11="",0,IF($S11&gt;0,1,0))+IF($T11="",0,IF($T11&gt;0,1,0))+IF($U11="",0,IF($U11&gt;0,1,0))+IF($V11="",0,IF($V11&gt;0,1,0))+IF($W11="",0,IF($W11&gt;0,1,0))+IF($X11="",0,IF($X11&gt;0,1,0)))=1,"⚠ 6 days on: a 7th day in a row is premium pay in CA",""))</f>
        <v/>
      </c>
      <c r="M11">
        <f>IF(OR($I11="",$J11=""),"",IF($I11&gt;$J11,"⛔ +"&amp;TEXT($I11-$J11,"0")&amp;" h",""))</f>
        <v/>
      </c>
      <c r="N11">
        <f>IF($O11="Y",IF(OR(IF($R11="",0,$R11)&gt;8,IF($S11="",0,$S11)&gt;8,IF($T11="",0,$T11)&gt;8,IF($U11="",0,$U11)&gt;8,IF($V11="",0,$V11)&gt;8,IF($W11="",0,$W11)&gt;8,IF($X11="",0,$X11)&gt;8),"⛔ shift &gt; 8 h (MINOR)",""),IF(OR(IF($R11="",0,$R11)&gt;Shifts!$B$2,IF($S11="",0,$S11)&gt;Shifts!$B$2,IF($T11="",0,$T11)&gt;Shifts!$B$2,IF($U11="",0,$U11)&gt;Shifts!$B$2,IF($V11="",0,$V11)&gt;Shifts!$B$2,IF($W11="",0,$W11)&gt;Shifts!$B$2,IF($X11="",0,$X11)&gt;Shifts!$B$2),"⛔ shift &gt; "&amp;Shifts!$B$2&amp;" h",""))</f>
        <v/>
      </c>
      <c r="O11" s="54" t="n"/>
      <c r="P11" s="55">
        <f>IF($O11&lt;&gt;"Y","",IF(OR($B11="N",$B11="DBL",$C11="N",$C11="DBL",$D11="N",$D11="DBL",$E11="N",$E11="DBL",$F11="N",$F11="DBL",$G11="N",$G11="DBL",$H11="N",$H11="DBL"),"⛔ MINOR: no night or double shifts (29 CFR 570.35)","⚠ minor: check federal and state hour limits"))</f>
        <v/>
      </c>
      <c r="R11">
        <f>IF($B11="","",IFERROR(VLOOKUP($B11,Shifts!$A$5:$E$12,5,FALSE),0))</f>
        <v/>
      </c>
      <c r="S11">
        <f>IF($C11="","",IFERROR(VLOOKUP($C11,Shifts!$A$5:$E$12,5,FALSE),0))</f>
        <v/>
      </c>
      <c r="T11">
        <f>IF($D11="","",IFERROR(VLOOKUP($D11,Shifts!$A$5:$E$12,5,FALSE),0))</f>
        <v/>
      </c>
      <c r="U11">
        <f>IF($E11="","",IFERROR(VLOOKUP($E11,Shifts!$A$5:$E$12,5,FALSE),0))</f>
        <v/>
      </c>
      <c r="V11">
        <f>IF($F11="","",IFERROR(VLOOKUP($F11,Shifts!$A$5:$E$12,5,FALSE),0))</f>
        <v/>
      </c>
      <c r="W11">
        <f>IF($G11="","",IFERROR(VLOOKUP($G11,Shifts!$A$5:$E$12,5,FALSE),0))</f>
        <v/>
      </c>
      <c r="X11">
        <f>IF($H11="","",IFERROR(VLOOKUP($H11,Shifts!$A$5:$E$12,5,FALSE),0))</f>
        <v/>
      </c>
      <c r="Y11">
        <f>IF($B11="","",IFERROR(VLOOKUP($B11,Shifts!$A$5:$E$12,3,FALSE),0))</f>
        <v/>
      </c>
      <c r="Z11">
        <f>IF($C11="","",IFERROR(VLOOKUP($C11,Shifts!$A$5:$E$12,3,FALSE),0))</f>
        <v/>
      </c>
      <c r="AA11">
        <f>IF($D11="","",IFERROR(VLOOKUP($D11,Shifts!$A$5:$E$12,3,FALSE),0))</f>
        <v/>
      </c>
      <c r="AB11">
        <f>IF($E11="","",IFERROR(VLOOKUP($E11,Shifts!$A$5:$E$12,3,FALSE),0))</f>
        <v/>
      </c>
      <c r="AC11">
        <f>IF($F11="","",IFERROR(VLOOKUP($F11,Shifts!$A$5:$E$12,3,FALSE),0))</f>
        <v/>
      </c>
      <c r="AD11">
        <f>IF($G11="","",IFERROR(VLOOKUP($G11,Shifts!$A$5:$E$12,3,FALSE),0))</f>
        <v/>
      </c>
      <c r="AE11">
        <f>IF($H11="","",IFERROR(VLOOKUP($H11,Shifts!$A$5:$E$12,3,FALSE),0))</f>
        <v/>
      </c>
      <c r="AF11">
        <f>IF($B11="","",IFERROR(VLOOKUP($B11,Shifts!$A$5:$E$12,4,FALSE),0))</f>
        <v/>
      </c>
      <c r="AG11">
        <f>IF($C11="","",IFERROR(VLOOKUP($C11,Shifts!$A$5:$E$12,4,FALSE),0))</f>
        <v/>
      </c>
      <c r="AH11">
        <f>IF($D11="","",IFERROR(VLOOKUP($D11,Shifts!$A$5:$E$12,4,FALSE),0))</f>
        <v/>
      </c>
      <c r="AI11">
        <f>IF($E11="","",IFERROR(VLOOKUP($E11,Shifts!$A$5:$E$12,4,FALSE),0))</f>
        <v/>
      </c>
      <c r="AJ11">
        <f>IF($F11="","",IFERROR(VLOOKUP($F11,Shifts!$A$5:$E$12,4,FALSE),0))</f>
        <v/>
      </c>
      <c r="AK11">
        <f>IF($G11="","",IFERROR(VLOOKUP($G11,Shifts!$A$5:$E$12,4,FALSE),0))</f>
        <v/>
      </c>
      <c r="AL11">
        <f>IF($H11="","",IFERROR(VLOOKUP($H11,Shifts!$A$5:$E$12,4,FALSE),0))</f>
        <v/>
      </c>
      <c r="AM11">
        <f>IF(OR($R11="",$S11="",$R11=0,$S11=0),"",ROUND(IF($AF11&lt;=$Y11,$Z11-$AF11,1-$AF11+$Z11)*24,2))</f>
        <v/>
      </c>
      <c r="AN11">
        <f>IF(OR($S11="",$T11="",$S11=0,$T11=0),"",ROUND(IF($AG11&lt;=$Z11,$AA11-$AG11,1-$AG11+$AA11)*24,2))</f>
        <v/>
      </c>
      <c r="AO11">
        <f>IF(OR($T11="",$U11="",$T11=0,$U11=0),"",ROUND(IF($AH11&lt;=$AA11,$AB11-$AH11,1-$AH11+$AB11)*24,2))</f>
        <v/>
      </c>
      <c r="AP11">
        <f>IF(OR($U11="",$V11="",$U11=0,$V11=0),"",ROUND(IF($AI11&lt;=$AB11,$AC11-$AI11,1-$AI11+$AC11)*24,2))</f>
        <v/>
      </c>
      <c r="AQ11">
        <f>IF(OR($V11="",$W11="",$V11=0,$W11=0),"",ROUND(IF($AJ11&lt;=$AC11,$AD11-$AJ11,1-$AJ11+$AD11)*24,2))</f>
        <v/>
      </c>
      <c r="AR11">
        <f>IF(OR($W11="",$X11="",$W11=0,$X11=0),"",ROUND(IF($AK11&lt;=$AD11,$AE11-$AK11,1-$AK11+$AE11)*24,2))</f>
        <v/>
      </c>
    </row>
    <row r="12">
      <c r="A12" s="50" t="n"/>
      <c r="B12" s="51" t="n"/>
      <c r="C12" s="51" t="n"/>
      <c r="D12" s="51" t="n"/>
      <c r="E12" s="51" t="n"/>
      <c r="F12" s="51" t="n"/>
      <c r="G12" s="51" t="n"/>
      <c r="H12" s="51" t="n"/>
      <c r="I12" s="52">
        <f>IF(COUNT($R12:$X12)=0,"",ROUND(SUM($R12:$X12),2))</f>
        <v/>
      </c>
      <c r="J12" s="53" t="n">
        <v>40</v>
      </c>
      <c r="K12">
        <f>IF(OR(IF($AM12="",Shifts!$B$3,$AM12)&lt;Shifts!$B$3,IF($AN12="",Shifts!$B$3,$AN12)&lt;Shifts!$B$3,IF($AO12="",Shifts!$B$3,$AO12)&lt;Shifts!$B$3,IF($AP12="",Shifts!$B$3,$AP12)&lt;Shifts!$B$3,IF($AQ12="",Shifts!$B$3,$AQ12)&lt;Shifts!$B$3,IF($AR12="",Shifts!$B$3,$AR12)&lt;Shifts!$B$3),"⛔ &lt;"&amp;Shifts!$B$3&amp;" h","")</f>
        <v/>
      </c>
      <c r="L12">
        <f>IF(7-(IF($R12="",0,IF($R12&gt;0,1,0))+IF($S12="",0,IF($S12&gt;0,1,0))+IF($T12="",0,IF($T12&gt;0,1,0))+IF($U12="",0,IF($U12&gt;0,1,0))+IF($V12="",0,IF($V12&gt;0,1,0))+IF($W12="",0,IF($W12&gt;0,1,0))+IF($X12="",0,IF($X12&gt;0,1,0)))=0,"⛔ 0 days off",IF(7-(IF($R12="",0,IF($R12&gt;0,1,0))+IF($S12="",0,IF($S12&gt;0,1,0))+IF($T12="",0,IF($T12&gt;0,1,0))+IF($U12="",0,IF($U12&gt;0,1,0))+IF($V12="",0,IF($V12&gt;0,1,0))+IF($W12="",0,IF($W12&gt;0,1,0))+IF($X12="",0,IF($X12&gt;0,1,0)))=1,"⚠ 6 days on: a 7th day in a row is premium pay in CA",""))</f>
        <v/>
      </c>
      <c r="M12">
        <f>IF(OR($I12="",$J12=""),"",IF($I12&gt;$J12,"⛔ +"&amp;TEXT($I12-$J12,"0")&amp;" h",""))</f>
        <v/>
      </c>
      <c r="N12">
        <f>IF($O12="Y",IF(OR(IF($R12="",0,$R12)&gt;8,IF($S12="",0,$S12)&gt;8,IF($T12="",0,$T12)&gt;8,IF($U12="",0,$U12)&gt;8,IF($V12="",0,$V12)&gt;8,IF($W12="",0,$W12)&gt;8,IF($X12="",0,$X12)&gt;8),"⛔ shift &gt; 8 h (MINOR)",""),IF(OR(IF($R12="",0,$R12)&gt;Shifts!$B$2,IF($S12="",0,$S12)&gt;Shifts!$B$2,IF($T12="",0,$T12)&gt;Shifts!$B$2,IF($U12="",0,$U12)&gt;Shifts!$B$2,IF($V12="",0,$V12)&gt;Shifts!$B$2,IF($W12="",0,$W12)&gt;Shifts!$B$2,IF($X12="",0,$X12)&gt;Shifts!$B$2),"⛔ shift &gt; "&amp;Shifts!$B$2&amp;" h",""))</f>
        <v/>
      </c>
      <c r="O12" s="54" t="n"/>
      <c r="P12" s="55">
        <f>IF($O12&lt;&gt;"Y","",IF(OR($B12="N",$B12="DBL",$C12="N",$C12="DBL",$D12="N",$D12="DBL",$E12="N",$E12="DBL",$F12="N",$F12="DBL",$G12="N",$G12="DBL",$H12="N",$H12="DBL"),"⛔ MINOR: no night or double shifts (29 CFR 570.35)","⚠ minor: check federal and state hour limits"))</f>
        <v/>
      </c>
      <c r="R12">
        <f>IF($B12="","",IFERROR(VLOOKUP($B12,Shifts!$A$5:$E$12,5,FALSE),0))</f>
        <v/>
      </c>
      <c r="S12">
        <f>IF($C12="","",IFERROR(VLOOKUP($C12,Shifts!$A$5:$E$12,5,FALSE),0))</f>
        <v/>
      </c>
      <c r="T12">
        <f>IF($D12="","",IFERROR(VLOOKUP($D12,Shifts!$A$5:$E$12,5,FALSE),0))</f>
        <v/>
      </c>
      <c r="U12">
        <f>IF($E12="","",IFERROR(VLOOKUP($E12,Shifts!$A$5:$E$12,5,FALSE),0))</f>
        <v/>
      </c>
      <c r="V12">
        <f>IF($F12="","",IFERROR(VLOOKUP($F12,Shifts!$A$5:$E$12,5,FALSE),0))</f>
        <v/>
      </c>
      <c r="W12">
        <f>IF($G12="","",IFERROR(VLOOKUP($G12,Shifts!$A$5:$E$12,5,FALSE),0))</f>
        <v/>
      </c>
      <c r="X12">
        <f>IF($H12="","",IFERROR(VLOOKUP($H12,Shifts!$A$5:$E$12,5,FALSE),0))</f>
        <v/>
      </c>
      <c r="Y12">
        <f>IF($B12="","",IFERROR(VLOOKUP($B12,Shifts!$A$5:$E$12,3,FALSE),0))</f>
        <v/>
      </c>
      <c r="Z12">
        <f>IF($C12="","",IFERROR(VLOOKUP($C12,Shifts!$A$5:$E$12,3,FALSE),0))</f>
        <v/>
      </c>
      <c r="AA12">
        <f>IF($D12="","",IFERROR(VLOOKUP($D12,Shifts!$A$5:$E$12,3,FALSE),0))</f>
        <v/>
      </c>
      <c r="AB12">
        <f>IF($E12="","",IFERROR(VLOOKUP($E12,Shifts!$A$5:$E$12,3,FALSE),0))</f>
        <v/>
      </c>
      <c r="AC12">
        <f>IF($F12="","",IFERROR(VLOOKUP($F12,Shifts!$A$5:$E$12,3,FALSE),0))</f>
        <v/>
      </c>
      <c r="AD12">
        <f>IF($G12="","",IFERROR(VLOOKUP($G12,Shifts!$A$5:$E$12,3,FALSE),0))</f>
        <v/>
      </c>
      <c r="AE12">
        <f>IF($H12="","",IFERROR(VLOOKUP($H12,Shifts!$A$5:$E$12,3,FALSE),0))</f>
        <v/>
      </c>
      <c r="AF12">
        <f>IF($B12="","",IFERROR(VLOOKUP($B12,Shifts!$A$5:$E$12,4,FALSE),0))</f>
        <v/>
      </c>
      <c r="AG12">
        <f>IF($C12="","",IFERROR(VLOOKUP($C12,Shifts!$A$5:$E$12,4,FALSE),0))</f>
        <v/>
      </c>
      <c r="AH12">
        <f>IF($D12="","",IFERROR(VLOOKUP($D12,Shifts!$A$5:$E$12,4,FALSE),0))</f>
        <v/>
      </c>
      <c r="AI12">
        <f>IF($E12="","",IFERROR(VLOOKUP($E12,Shifts!$A$5:$E$12,4,FALSE),0))</f>
        <v/>
      </c>
      <c r="AJ12">
        <f>IF($F12="","",IFERROR(VLOOKUP($F12,Shifts!$A$5:$E$12,4,FALSE),0))</f>
        <v/>
      </c>
      <c r="AK12">
        <f>IF($G12="","",IFERROR(VLOOKUP($G12,Shifts!$A$5:$E$12,4,FALSE),0))</f>
        <v/>
      </c>
      <c r="AL12">
        <f>IF($H12="","",IFERROR(VLOOKUP($H12,Shifts!$A$5:$E$12,4,FALSE),0))</f>
        <v/>
      </c>
      <c r="AM12">
        <f>IF(OR($R12="",$S12="",$R12=0,$S12=0),"",ROUND(IF($AF12&lt;=$Y12,$Z12-$AF12,1-$AF12+$Z12)*24,2))</f>
        <v/>
      </c>
      <c r="AN12">
        <f>IF(OR($S12="",$T12="",$S12=0,$T12=0),"",ROUND(IF($AG12&lt;=$Z12,$AA12-$AG12,1-$AG12+$AA12)*24,2))</f>
        <v/>
      </c>
      <c r="AO12">
        <f>IF(OR($T12="",$U12="",$T12=0,$U12=0),"",ROUND(IF($AH12&lt;=$AA12,$AB12-$AH12,1-$AH12+$AB12)*24,2))</f>
        <v/>
      </c>
      <c r="AP12">
        <f>IF(OR($U12="",$V12="",$U12=0,$V12=0),"",ROUND(IF($AI12&lt;=$AB12,$AC12-$AI12,1-$AI12+$AC12)*24,2))</f>
        <v/>
      </c>
      <c r="AQ12">
        <f>IF(OR($V12="",$W12="",$V12=0,$W12=0),"",ROUND(IF($AJ12&lt;=$AC12,$AD12-$AJ12,1-$AJ12+$AD12)*24,2))</f>
        <v/>
      </c>
      <c r="AR12">
        <f>IF(OR($W12="",$X12="",$W12=0,$X12=0),"",ROUND(IF($AK12&lt;=$AD12,$AE12-$AK12,1-$AK12+$AE12)*24,2))</f>
        <v/>
      </c>
    </row>
    <row r="13">
      <c r="A13" s="50" t="n"/>
      <c r="B13" s="51" t="n"/>
      <c r="C13" s="51" t="n"/>
      <c r="D13" s="51" t="n"/>
      <c r="E13" s="51" t="n"/>
      <c r="F13" s="51" t="n"/>
      <c r="G13" s="51" t="n"/>
      <c r="H13" s="51" t="n"/>
      <c r="I13" s="52">
        <f>IF(COUNT($R13:$X13)=0,"",ROUND(SUM($R13:$X13),2))</f>
        <v/>
      </c>
      <c r="J13" s="53" t="n">
        <v>40</v>
      </c>
      <c r="K13">
        <f>IF(OR(IF($AM13="",Shifts!$B$3,$AM13)&lt;Shifts!$B$3,IF($AN13="",Shifts!$B$3,$AN13)&lt;Shifts!$B$3,IF($AO13="",Shifts!$B$3,$AO13)&lt;Shifts!$B$3,IF($AP13="",Shifts!$B$3,$AP13)&lt;Shifts!$B$3,IF($AQ13="",Shifts!$B$3,$AQ13)&lt;Shifts!$B$3,IF($AR13="",Shifts!$B$3,$AR13)&lt;Shifts!$B$3),"⛔ &lt;"&amp;Shifts!$B$3&amp;" h","")</f>
        <v/>
      </c>
      <c r="L13">
        <f>IF(7-(IF($R13="",0,IF($R13&gt;0,1,0))+IF($S13="",0,IF($S13&gt;0,1,0))+IF($T13="",0,IF($T13&gt;0,1,0))+IF($U13="",0,IF($U13&gt;0,1,0))+IF($V13="",0,IF($V13&gt;0,1,0))+IF($W13="",0,IF($W13&gt;0,1,0))+IF($X13="",0,IF($X13&gt;0,1,0)))=0,"⛔ 0 days off",IF(7-(IF($R13="",0,IF($R13&gt;0,1,0))+IF($S13="",0,IF($S13&gt;0,1,0))+IF($T13="",0,IF($T13&gt;0,1,0))+IF($U13="",0,IF($U13&gt;0,1,0))+IF($V13="",0,IF($V13&gt;0,1,0))+IF($W13="",0,IF($W13&gt;0,1,0))+IF($X13="",0,IF($X13&gt;0,1,0)))=1,"⚠ 6 days on: a 7th day in a row is premium pay in CA",""))</f>
        <v/>
      </c>
      <c r="M13">
        <f>IF(OR($I13="",$J13=""),"",IF($I13&gt;$J13,"⛔ +"&amp;TEXT($I13-$J13,"0")&amp;" h",""))</f>
        <v/>
      </c>
      <c r="N13">
        <f>IF($O13="Y",IF(OR(IF($R13="",0,$R13)&gt;8,IF($S13="",0,$S13)&gt;8,IF($T13="",0,$T13)&gt;8,IF($U13="",0,$U13)&gt;8,IF($V13="",0,$V13)&gt;8,IF($W13="",0,$W13)&gt;8,IF($X13="",0,$X13)&gt;8),"⛔ shift &gt; 8 h (MINOR)",""),IF(OR(IF($R13="",0,$R13)&gt;Shifts!$B$2,IF($S13="",0,$S13)&gt;Shifts!$B$2,IF($T13="",0,$T13)&gt;Shifts!$B$2,IF($U13="",0,$U13)&gt;Shifts!$B$2,IF($V13="",0,$V13)&gt;Shifts!$B$2,IF($W13="",0,$W13)&gt;Shifts!$B$2,IF($X13="",0,$X13)&gt;Shifts!$B$2),"⛔ shift &gt; "&amp;Shifts!$B$2&amp;" h",""))</f>
        <v/>
      </c>
      <c r="O13" s="54" t="n"/>
      <c r="P13" s="55">
        <f>IF($O13&lt;&gt;"Y","",IF(OR($B13="N",$B13="DBL",$C13="N",$C13="DBL",$D13="N",$D13="DBL",$E13="N",$E13="DBL",$F13="N",$F13="DBL",$G13="N",$G13="DBL",$H13="N",$H13="DBL"),"⛔ MINOR: no night or double shifts (29 CFR 570.35)","⚠ minor: check federal and state hour limits"))</f>
        <v/>
      </c>
      <c r="R13">
        <f>IF($B13="","",IFERROR(VLOOKUP($B13,Shifts!$A$5:$E$12,5,FALSE),0))</f>
        <v/>
      </c>
      <c r="S13">
        <f>IF($C13="","",IFERROR(VLOOKUP($C13,Shifts!$A$5:$E$12,5,FALSE),0))</f>
        <v/>
      </c>
      <c r="T13">
        <f>IF($D13="","",IFERROR(VLOOKUP($D13,Shifts!$A$5:$E$12,5,FALSE),0))</f>
        <v/>
      </c>
      <c r="U13">
        <f>IF($E13="","",IFERROR(VLOOKUP($E13,Shifts!$A$5:$E$12,5,FALSE),0))</f>
        <v/>
      </c>
      <c r="V13">
        <f>IF($F13="","",IFERROR(VLOOKUP($F13,Shifts!$A$5:$E$12,5,FALSE),0))</f>
        <v/>
      </c>
      <c r="W13">
        <f>IF($G13="","",IFERROR(VLOOKUP($G13,Shifts!$A$5:$E$12,5,FALSE),0))</f>
        <v/>
      </c>
      <c r="X13">
        <f>IF($H13="","",IFERROR(VLOOKUP($H13,Shifts!$A$5:$E$12,5,FALSE),0))</f>
        <v/>
      </c>
      <c r="Y13">
        <f>IF($B13="","",IFERROR(VLOOKUP($B13,Shifts!$A$5:$E$12,3,FALSE),0))</f>
        <v/>
      </c>
      <c r="Z13">
        <f>IF($C13="","",IFERROR(VLOOKUP($C13,Shifts!$A$5:$E$12,3,FALSE),0))</f>
        <v/>
      </c>
      <c r="AA13">
        <f>IF($D13="","",IFERROR(VLOOKUP($D13,Shifts!$A$5:$E$12,3,FALSE),0))</f>
        <v/>
      </c>
      <c r="AB13">
        <f>IF($E13="","",IFERROR(VLOOKUP($E13,Shifts!$A$5:$E$12,3,FALSE),0))</f>
        <v/>
      </c>
      <c r="AC13">
        <f>IF($F13="","",IFERROR(VLOOKUP($F13,Shifts!$A$5:$E$12,3,FALSE),0))</f>
        <v/>
      </c>
      <c r="AD13">
        <f>IF($G13="","",IFERROR(VLOOKUP($G13,Shifts!$A$5:$E$12,3,FALSE),0))</f>
        <v/>
      </c>
      <c r="AE13">
        <f>IF($H13="","",IFERROR(VLOOKUP($H13,Shifts!$A$5:$E$12,3,FALSE),0))</f>
        <v/>
      </c>
      <c r="AF13">
        <f>IF($B13="","",IFERROR(VLOOKUP($B13,Shifts!$A$5:$E$12,4,FALSE),0))</f>
        <v/>
      </c>
      <c r="AG13">
        <f>IF($C13="","",IFERROR(VLOOKUP($C13,Shifts!$A$5:$E$12,4,FALSE),0))</f>
        <v/>
      </c>
      <c r="AH13">
        <f>IF($D13="","",IFERROR(VLOOKUP($D13,Shifts!$A$5:$E$12,4,FALSE),0))</f>
        <v/>
      </c>
      <c r="AI13">
        <f>IF($E13="","",IFERROR(VLOOKUP($E13,Shifts!$A$5:$E$12,4,FALSE),0))</f>
        <v/>
      </c>
      <c r="AJ13">
        <f>IF($F13="","",IFERROR(VLOOKUP($F13,Shifts!$A$5:$E$12,4,FALSE),0))</f>
        <v/>
      </c>
      <c r="AK13">
        <f>IF($G13="","",IFERROR(VLOOKUP($G13,Shifts!$A$5:$E$12,4,FALSE),0))</f>
        <v/>
      </c>
      <c r="AL13">
        <f>IF($H13="","",IFERROR(VLOOKUP($H13,Shifts!$A$5:$E$12,4,FALSE),0))</f>
        <v/>
      </c>
      <c r="AM13">
        <f>IF(OR($R13="",$S13="",$R13=0,$S13=0),"",ROUND(IF($AF13&lt;=$Y13,$Z13-$AF13,1-$AF13+$Z13)*24,2))</f>
        <v/>
      </c>
      <c r="AN13">
        <f>IF(OR($S13="",$T13="",$S13=0,$T13=0),"",ROUND(IF($AG13&lt;=$Z13,$AA13-$AG13,1-$AG13+$AA13)*24,2))</f>
        <v/>
      </c>
      <c r="AO13">
        <f>IF(OR($T13="",$U13="",$T13=0,$U13=0),"",ROUND(IF($AH13&lt;=$AA13,$AB13-$AH13,1-$AH13+$AB13)*24,2))</f>
        <v/>
      </c>
      <c r="AP13">
        <f>IF(OR($U13="",$V13="",$U13=0,$V13=0),"",ROUND(IF($AI13&lt;=$AB13,$AC13-$AI13,1-$AI13+$AC13)*24,2))</f>
        <v/>
      </c>
      <c r="AQ13">
        <f>IF(OR($V13="",$W13="",$V13=0,$W13=0),"",ROUND(IF($AJ13&lt;=$AC13,$AD13-$AJ13,1-$AJ13+$AD13)*24,2))</f>
        <v/>
      </c>
      <c r="AR13">
        <f>IF(OR($W13="",$X13="",$W13=0,$X13=0),"",ROUND(IF($AK13&lt;=$AD13,$AE13-$AK13,1-$AK13+$AE13)*24,2))</f>
        <v/>
      </c>
    </row>
    <row r="14">
      <c r="A14" s="50" t="n"/>
      <c r="B14" s="51" t="n"/>
      <c r="C14" s="51" t="n"/>
      <c r="D14" s="51" t="n"/>
      <c r="E14" s="51" t="n"/>
      <c r="F14" s="51" t="n"/>
      <c r="G14" s="51" t="n"/>
      <c r="H14" s="51" t="n"/>
      <c r="I14" s="52">
        <f>IF(COUNT($R14:$X14)=0,"",ROUND(SUM($R14:$X14),2))</f>
        <v/>
      </c>
      <c r="J14" s="53" t="n">
        <v>40</v>
      </c>
      <c r="K14">
        <f>IF(OR(IF($AM14="",Shifts!$B$3,$AM14)&lt;Shifts!$B$3,IF($AN14="",Shifts!$B$3,$AN14)&lt;Shifts!$B$3,IF($AO14="",Shifts!$B$3,$AO14)&lt;Shifts!$B$3,IF($AP14="",Shifts!$B$3,$AP14)&lt;Shifts!$B$3,IF($AQ14="",Shifts!$B$3,$AQ14)&lt;Shifts!$B$3,IF($AR14="",Shifts!$B$3,$AR14)&lt;Shifts!$B$3),"⛔ &lt;"&amp;Shifts!$B$3&amp;" h","")</f>
        <v/>
      </c>
      <c r="L14">
        <f>IF(7-(IF($R14="",0,IF($R14&gt;0,1,0))+IF($S14="",0,IF($S14&gt;0,1,0))+IF($T14="",0,IF($T14&gt;0,1,0))+IF($U14="",0,IF($U14&gt;0,1,0))+IF($V14="",0,IF($V14&gt;0,1,0))+IF($W14="",0,IF($W14&gt;0,1,0))+IF($X14="",0,IF($X14&gt;0,1,0)))=0,"⛔ 0 days off",IF(7-(IF($R14="",0,IF($R14&gt;0,1,0))+IF($S14="",0,IF($S14&gt;0,1,0))+IF($T14="",0,IF($T14&gt;0,1,0))+IF($U14="",0,IF($U14&gt;0,1,0))+IF($V14="",0,IF($V14&gt;0,1,0))+IF($W14="",0,IF($W14&gt;0,1,0))+IF($X14="",0,IF($X14&gt;0,1,0)))=1,"⚠ 6 days on: a 7th day in a row is premium pay in CA",""))</f>
        <v/>
      </c>
      <c r="M14">
        <f>IF(OR($I14="",$J14=""),"",IF($I14&gt;$J14,"⛔ +"&amp;TEXT($I14-$J14,"0")&amp;" h",""))</f>
        <v/>
      </c>
      <c r="N14">
        <f>IF($O14="Y",IF(OR(IF($R14="",0,$R14)&gt;8,IF($S14="",0,$S14)&gt;8,IF($T14="",0,$T14)&gt;8,IF($U14="",0,$U14)&gt;8,IF($V14="",0,$V14)&gt;8,IF($W14="",0,$W14)&gt;8,IF($X14="",0,$X14)&gt;8),"⛔ shift &gt; 8 h (MINOR)",""),IF(OR(IF($R14="",0,$R14)&gt;Shifts!$B$2,IF($S14="",0,$S14)&gt;Shifts!$B$2,IF($T14="",0,$T14)&gt;Shifts!$B$2,IF($U14="",0,$U14)&gt;Shifts!$B$2,IF($V14="",0,$V14)&gt;Shifts!$B$2,IF($W14="",0,$W14)&gt;Shifts!$B$2,IF($X14="",0,$X14)&gt;Shifts!$B$2),"⛔ shift &gt; "&amp;Shifts!$B$2&amp;" h",""))</f>
        <v/>
      </c>
      <c r="O14" s="54" t="n"/>
      <c r="P14" s="55">
        <f>IF($O14&lt;&gt;"Y","",IF(OR($B14="N",$B14="DBL",$C14="N",$C14="DBL",$D14="N",$D14="DBL",$E14="N",$E14="DBL",$F14="N",$F14="DBL",$G14="N",$G14="DBL",$H14="N",$H14="DBL"),"⛔ MINOR: no night or double shifts (29 CFR 570.35)","⚠ minor: check federal and state hour limits"))</f>
        <v/>
      </c>
      <c r="R14">
        <f>IF($B14="","",IFERROR(VLOOKUP($B14,Shifts!$A$5:$E$12,5,FALSE),0))</f>
        <v/>
      </c>
      <c r="S14">
        <f>IF($C14="","",IFERROR(VLOOKUP($C14,Shifts!$A$5:$E$12,5,FALSE),0))</f>
        <v/>
      </c>
      <c r="T14">
        <f>IF($D14="","",IFERROR(VLOOKUP($D14,Shifts!$A$5:$E$12,5,FALSE),0))</f>
        <v/>
      </c>
      <c r="U14">
        <f>IF($E14="","",IFERROR(VLOOKUP($E14,Shifts!$A$5:$E$12,5,FALSE),0))</f>
        <v/>
      </c>
      <c r="V14">
        <f>IF($F14="","",IFERROR(VLOOKUP($F14,Shifts!$A$5:$E$12,5,FALSE),0))</f>
        <v/>
      </c>
      <c r="W14">
        <f>IF($G14="","",IFERROR(VLOOKUP($G14,Shifts!$A$5:$E$12,5,FALSE),0))</f>
        <v/>
      </c>
      <c r="X14">
        <f>IF($H14="","",IFERROR(VLOOKUP($H14,Shifts!$A$5:$E$12,5,FALSE),0))</f>
        <v/>
      </c>
      <c r="Y14">
        <f>IF($B14="","",IFERROR(VLOOKUP($B14,Shifts!$A$5:$E$12,3,FALSE),0))</f>
        <v/>
      </c>
      <c r="Z14">
        <f>IF($C14="","",IFERROR(VLOOKUP($C14,Shifts!$A$5:$E$12,3,FALSE),0))</f>
        <v/>
      </c>
      <c r="AA14">
        <f>IF($D14="","",IFERROR(VLOOKUP($D14,Shifts!$A$5:$E$12,3,FALSE),0))</f>
        <v/>
      </c>
      <c r="AB14">
        <f>IF($E14="","",IFERROR(VLOOKUP($E14,Shifts!$A$5:$E$12,3,FALSE),0))</f>
        <v/>
      </c>
      <c r="AC14">
        <f>IF($F14="","",IFERROR(VLOOKUP($F14,Shifts!$A$5:$E$12,3,FALSE),0))</f>
        <v/>
      </c>
      <c r="AD14">
        <f>IF($G14="","",IFERROR(VLOOKUP($G14,Shifts!$A$5:$E$12,3,FALSE),0))</f>
        <v/>
      </c>
      <c r="AE14">
        <f>IF($H14="","",IFERROR(VLOOKUP($H14,Shifts!$A$5:$E$12,3,FALSE),0))</f>
        <v/>
      </c>
      <c r="AF14">
        <f>IF($B14="","",IFERROR(VLOOKUP($B14,Shifts!$A$5:$E$12,4,FALSE),0))</f>
        <v/>
      </c>
      <c r="AG14">
        <f>IF($C14="","",IFERROR(VLOOKUP($C14,Shifts!$A$5:$E$12,4,FALSE),0))</f>
        <v/>
      </c>
      <c r="AH14">
        <f>IF($D14="","",IFERROR(VLOOKUP($D14,Shifts!$A$5:$E$12,4,FALSE),0))</f>
        <v/>
      </c>
      <c r="AI14">
        <f>IF($E14="","",IFERROR(VLOOKUP($E14,Shifts!$A$5:$E$12,4,FALSE),0))</f>
        <v/>
      </c>
      <c r="AJ14">
        <f>IF($F14="","",IFERROR(VLOOKUP($F14,Shifts!$A$5:$E$12,4,FALSE),0))</f>
        <v/>
      </c>
      <c r="AK14">
        <f>IF($G14="","",IFERROR(VLOOKUP($G14,Shifts!$A$5:$E$12,4,FALSE),0))</f>
        <v/>
      </c>
      <c r="AL14">
        <f>IF($H14="","",IFERROR(VLOOKUP($H14,Shifts!$A$5:$E$12,4,FALSE),0))</f>
        <v/>
      </c>
      <c r="AM14">
        <f>IF(OR($R14="",$S14="",$R14=0,$S14=0),"",ROUND(IF($AF14&lt;=$Y14,$Z14-$AF14,1-$AF14+$Z14)*24,2))</f>
        <v/>
      </c>
      <c r="AN14">
        <f>IF(OR($S14="",$T14="",$S14=0,$T14=0),"",ROUND(IF($AG14&lt;=$Z14,$AA14-$AG14,1-$AG14+$AA14)*24,2))</f>
        <v/>
      </c>
      <c r="AO14">
        <f>IF(OR($T14="",$U14="",$T14=0,$U14=0),"",ROUND(IF($AH14&lt;=$AA14,$AB14-$AH14,1-$AH14+$AB14)*24,2))</f>
        <v/>
      </c>
      <c r="AP14">
        <f>IF(OR($U14="",$V14="",$U14=0,$V14=0),"",ROUND(IF($AI14&lt;=$AB14,$AC14-$AI14,1-$AI14+$AC14)*24,2))</f>
        <v/>
      </c>
      <c r="AQ14">
        <f>IF(OR($V14="",$W14="",$V14=0,$W14=0),"",ROUND(IF($AJ14&lt;=$AC14,$AD14-$AJ14,1-$AJ14+$AD14)*24,2))</f>
        <v/>
      </c>
      <c r="AR14">
        <f>IF(OR($W14="",$X14="",$W14=0,$X14=0),"",ROUND(IF($AK14&lt;=$AD14,$AE14-$AK14,1-$AK14+$AE14)*24,2))</f>
        <v/>
      </c>
    </row>
    <row r="15">
      <c r="A15" s="50" t="n"/>
      <c r="B15" s="51" t="n"/>
      <c r="C15" s="51" t="n"/>
      <c r="D15" s="51" t="n"/>
      <c r="E15" s="51" t="n"/>
      <c r="F15" s="51" t="n"/>
      <c r="G15" s="51" t="n"/>
      <c r="H15" s="51" t="n"/>
      <c r="I15" s="52">
        <f>IF(COUNT($R15:$X15)=0,"",ROUND(SUM($R15:$X15),2))</f>
        <v/>
      </c>
      <c r="J15" s="53" t="n">
        <v>40</v>
      </c>
      <c r="K15">
        <f>IF(OR(IF($AM15="",Shifts!$B$3,$AM15)&lt;Shifts!$B$3,IF($AN15="",Shifts!$B$3,$AN15)&lt;Shifts!$B$3,IF($AO15="",Shifts!$B$3,$AO15)&lt;Shifts!$B$3,IF($AP15="",Shifts!$B$3,$AP15)&lt;Shifts!$B$3,IF($AQ15="",Shifts!$B$3,$AQ15)&lt;Shifts!$B$3,IF($AR15="",Shifts!$B$3,$AR15)&lt;Shifts!$B$3),"⛔ &lt;"&amp;Shifts!$B$3&amp;" h","")</f>
        <v/>
      </c>
      <c r="L15">
        <f>IF(7-(IF($R15="",0,IF($R15&gt;0,1,0))+IF($S15="",0,IF($S15&gt;0,1,0))+IF($T15="",0,IF($T15&gt;0,1,0))+IF($U15="",0,IF($U15&gt;0,1,0))+IF($V15="",0,IF($V15&gt;0,1,0))+IF($W15="",0,IF($W15&gt;0,1,0))+IF($X15="",0,IF($X15&gt;0,1,0)))=0,"⛔ 0 days off",IF(7-(IF($R15="",0,IF($R15&gt;0,1,0))+IF($S15="",0,IF($S15&gt;0,1,0))+IF($T15="",0,IF($T15&gt;0,1,0))+IF($U15="",0,IF($U15&gt;0,1,0))+IF($V15="",0,IF($V15&gt;0,1,0))+IF($W15="",0,IF($W15&gt;0,1,0))+IF($X15="",0,IF($X15&gt;0,1,0)))=1,"⚠ 6 days on: a 7th day in a row is premium pay in CA",""))</f>
        <v/>
      </c>
      <c r="M15">
        <f>IF(OR($I15="",$J15=""),"",IF($I15&gt;$J15,"⛔ +"&amp;TEXT($I15-$J15,"0")&amp;" h",""))</f>
        <v/>
      </c>
      <c r="N15">
        <f>IF($O15="Y",IF(OR(IF($R15="",0,$R15)&gt;8,IF($S15="",0,$S15)&gt;8,IF($T15="",0,$T15)&gt;8,IF($U15="",0,$U15)&gt;8,IF($V15="",0,$V15)&gt;8,IF($W15="",0,$W15)&gt;8,IF($X15="",0,$X15)&gt;8),"⛔ shift &gt; 8 h (MINOR)",""),IF(OR(IF($R15="",0,$R15)&gt;Shifts!$B$2,IF($S15="",0,$S15)&gt;Shifts!$B$2,IF($T15="",0,$T15)&gt;Shifts!$B$2,IF($U15="",0,$U15)&gt;Shifts!$B$2,IF($V15="",0,$V15)&gt;Shifts!$B$2,IF($W15="",0,$W15)&gt;Shifts!$B$2,IF($X15="",0,$X15)&gt;Shifts!$B$2),"⛔ shift &gt; "&amp;Shifts!$B$2&amp;" h",""))</f>
        <v/>
      </c>
      <c r="O15" s="54" t="n"/>
      <c r="P15" s="55">
        <f>IF($O15&lt;&gt;"Y","",IF(OR($B15="N",$B15="DBL",$C15="N",$C15="DBL",$D15="N",$D15="DBL",$E15="N",$E15="DBL",$F15="N",$F15="DBL",$G15="N",$G15="DBL",$H15="N",$H15="DBL"),"⛔ MINOR: no night or double shifts (29 CFR 570.35)","⚠ minor: check federal and state hour limits"))</f>
        <v/>
      </c>
      <c r="R15">
        <f>IF($B15="","",IFERROR(VLOOKUP($B15,Shifts!$A$5:$E$12,5,FALSE),0))</f>
        <v/>
      </c>
      <c r="S15">
        <f>IF($C15="","",IFERROR(VLOOKUP($C15,Shifts!$A$5:$E$12,5,FALSE),0))</f>
        <v/>
      </c>
      <c r="T15">
        <f>IF($D15="","",IFERROR(VLOOKUP($D15,Shifts!$A$5:$E$12,5,FALSE),0))</f>
        <v/>
      </c>
      <c r="U15">
        <f>IF($E15="","",IFERROR(VLOOKUP($E15,Shifts!$A$5:$E$12,5,FALSE),0))</f>
        <v/>
      </c>
      <c r="V15">
        <f>IF($F15="","",IFERROR(VLOOKUP($F15,Shifts!$A$5:$E$12,5,FALSE),0))</f>
        <v/>
      </c>
      <c r="W15">
        <f>IF($G15="","",IFERROR(VLOOKUP($G15,Shifts!$A$5:$E$12,5,FALSE),0))</f>
        <v/>
      </c>
      <c r="X15">
        <f>IF($H15="","",IFERROR(VLOOKUP($H15,Shifts!$A$5:$E$12,5,FALSE),0))</f>
        <v/>
      </c>
      <c r="Y15">
        <f>IF($B15="","",IFERROR(VLOOKUP($B15,Shifts!$A$5:$E$12,3,FALSE),0))</f>
        <v/>
      </c>
      <c r="Z15">
        <f>IF($C15="","",IFERROR(VLOOKUP($C15,Shifts!$A$5:$E$12,3,FALSE),0))</f>
        <v/>
      </c>
      <c r="AA15">
        <f>IF($D15="","",IFERROR(VLOOKUP($D15,Shifts!$A$5:$E$12,3,FALSE),0))</f>
        <v/>
      </c>
      <c r="AB15">
        <f>IF($E15="","",IFERROR(VLOOKUP($E15,Shifts!$A$5:$E$12,3,FALSE),0))</f>
        <v/>
      </c>
      <c r="AC15">
        <f>IF($F15="","",IFERROR(VLOOKUP($F15,Shifts!$A$5:$E$12,3,FALSE),0))</f>
        <v/>
      </c>
      <c r="AD15">
        <f>IF($G15="","",IFERROR(VLOOKUP($G15,Shifts!$A$5:$E$12,3,FALSE),0))</f>
        <v/>
      </c>
      <c r="AE15">
        <f>IF($H15="","",IFERROR(VLOOKUP($H15,Shifts!$A$5:$E$12,3,FALSE),0))</f>
        <v/>
      </c>
      <c r="AF15">
        <f>IF($B15="","",IFERROR(VLOOKUP($B15,Shifts!$A$5:$E$12,4,FALSE),0))</f>
        <v/>
      </c>
      <c r="AG15">
        <f>IF($C15="","",IFERROR(VLOOKUP($C15,Shifts!$A$5:$E$12,4,FALSE),0))</f>
        <v/>
      </c>
      <c r="AH15">
        <f>IF($D15="","",IFERROR(VLOOKUP($D15,Shifts!$A$5:$E$12,4,FALSE),0))</f>
        <v/>
      </c>
      <c r="AI15">
        <f>IF($E15="","",IFERROR(VLOOKUP($E15,Shifts!$A$5:$E$12,4,FALSE),0))</f>
        <v/>
      </c>
      <c r="AJ15">
        <f>IF($F15="","",IFERROR(VLOOKUP($F15,Shifts!$A$5:$E$12,4,FALSE),0))</f>
        <v/>
      </c>
      <c r="AK15">
        <f>IF($G15="","",IFERROR(VLOOKUP($G15,Shifts!$A$5:$E$12,4,FALSE),0))</f>
        <v/>
      </c>
      <c r="AL15">
        <f>IF($H15="","",IFERROR(VLOOKUP($H15,Shifts!$A$5:$E$12,4,FALSE),0))</f>
        <v/>
      </c>
      <c r="AM15">
        <f>IF(OR($R15="",$S15="",$R15=0,$S15=0),"",ROUND(IF($AF15&lt;=$Y15,$Z15-$AF15,1-$AF15+$Z15)*24,2))</f>
        <v/>
      </c>
      <c r="AN15">
        <f>IF(OR($S15="",$T15="",$S15=0,$T15=0),"",ROUND(IF($AG15&lt;=$Z15,$AA15-$AG15,1-$AG15+$AA15)*24,2))</f>
        <v/>
      </c>
      <c r="AO15">
        <f>IF(OR($T15="",$U15="",$T15=0,$U15=0),"",ROUND(IF($AH15&lt;=$AA15,$AB15-$AH15,1-$AH15+$AB15)*24,2))</f>
        <v/>
      </c>
      <c r="AP15">
        <f>IF(OR($U15="",$V15="",$U15=0,$V15=0),"",ROUND(IF($AI15&lt;=$AB15,$AC15-$AI15,1-$AI15+$AC15)*24,2))</f>
        <v/>
      </c>
      <c r="AQ15">
        <f>IF(OR($V15="",$W15="",$V15=0,$W15=0),"",ROUND(IF($AJ15&lt;=$AC15,$AD15-$AJ15,1-$AJ15+$AD15)*24,2))</f>
        <v/>
      </c>
      <c r="AR15">
        <f>IF(OR($W15="",$X15="",$W15=0,$X15=0),"",ROUND(IF($AK15&lt;=$AD15,$AE15-$AK15,1-$AK15+$AE15)*24,2))</f>
        <v/>
      </c>
    </row>
    <row r="16">
      <c r="A16" s="50" t="n"/>
      <c r="B16" s="51" t="n"/>
      <c r="C16" s="51" t="n"/>
      <c r="D16" s="51" t="n"/>
      <c r="E16" s="51" t="n"/>
      <c r="F16" s="51" t="n"/>
      <c r="G16" s="51" t="n"/>
      <c r="H16" s="51" t="n"/>
      <c r="I16" s="52">
        <f>IF(COUNT($R16:$X16)=0,"",ROUND(SUM($R16:$X16),2))</f>
        <v/>
      </c>
      <c r="J16" s="53" t="n">
        <v>40</v>
      </c>
      <c r="K16">
        <f>IF(OR(IF($AM16="",Shifts!$B$3,$AM16)&lt;Shifts!$B$3,IF($AN16="",Shifts!$B$3,$AN16)&lt;Shifts!$B$3,IF($AO16="",Shifts!$B$3,$AO16)&lt;Shifts!$B$3,IF($AP16="",Shifts!$B$3,$AP16)&lt;Shifts!$B$3,IF($AQ16="",Shifts!$B$3,$AQ16)&lt;Shifts!$B$3,IF($AR16="",Shifts!$B$3,$AR16)&lt;Shifts!$B$3),"⛔ &lt;"&amp;Shifts!$B$3&amp;" h","")</f>
        <v/>
      </c>
      <c r="L16">
        <f>IF(7-(IF($R16="",0,IF($R16&gt;0,1,0))+IF($S16="",0,IF($S16&gt;0,1,0))+IF($T16="",0,IF($T16&gt;0,1,0))+IF($U16="",0,IF($U16&gt;0,1,0))+IF($V16="",0,IF($V16&gt;0,1,0))+IF($W16="",0,IF($W16&gt;0,1,0))+IF($X16="",0,IF($X16&gt;0,1,0)))=0,"⛔ 0 days off",IF(7-(IF($R16="",0,IF($R16&gt;0,1,0))+IF($S16="",0,IF($S16&gt;0,1,0))+IF($T16="",0,IF($T16&gt;0,1,0))+IF($U16="",0,IF($U16&gt;0,1,0))+IF($V16="",0,IF($V16&gt;0,1,0))+IF($W16="",0,IF($W16&gt;0,1,0))+IF($X16="",0,IF($X16&gt;0,1,0)))=1,"⚠ 6 days on: a 7th day in a row is premium pay in CA",""))</f>
        <v/>
      </c>
      <c r="M16">
        <f>IF(OR($I16="",$J16=""),"",IF($I16&gt;$J16,"⛔ +"&amp;TEXT($I16-$J16,"0")&amp;" h",""))</f>
        <v/>
      </c>
      <c r="N16">
        <f>IF($O16="Y",IF(OR(IF($R16="",0,$R16)&gt;8,IF($S16="",0,$S16)&gt;8,IF($T16="",0,$T16)&gt;8,IF($U16="",0,$U16)&gt;8,IF($V16="",0,$V16)&gt;8,IF($W16="",0,$W16)&gt;8,IF($X16="",0,$X16)&gt;8),"⛔ shift &gt; 8 h (MINOR)",""),IF(OR(IF($R16="",0,$R16)&gt;Shifts!$B$2,IF($S16="",0,$S16)&gt;Shifts!$B$2,IF($T16="",0,$T16)&gt;Shifts!$B$2,IF($U16="",0,$U16)&gt;Shifts!$B$2,IF($V16="",0,$V16)&gt;Shifts!$B$2,IF($W16="",0,$W16)&gt;Shifts!$B$2,IF($X16="",0,$X16)&gt;Shifts!$B$2),"⛔ shift &gt; "&amp;Shifts!$B$2&amp;" h",""))</f>
        <v/>
      </c>
      <c r="O16" s="54" t="n"/>
      <c r="P16" s="55">
        <f>IF($O16&lt;&gt;"Y","",IF(OR($B16="N",$B16="DBL",$C16="N",$C16="DBL",$D16="N",$D16="DBL",$E16="N",$E16="DBL",$F16="N",$F16="DBL",$G16="N",$G16="DBL",$H16="N",$H16="DBL"),"⛔ MINOR: no night or double shifts (29 CFR 570.35)","⚠ minor: check federal and state hour limits"))</f>
        <v/>
      </c>
      <c r="R16">
        <f>IF($B16="","",IFERROR(VLOOKUP($B16,Shifts!$A$5:$E$12,5,FALSE),0))</f>
        <v/>
      </c>
      <c r="S16">
        <f>IF($C16="","",IFERROR(VLOOKUP($C16,Shifts!$A$5:$E$12,5,FALSE),0))</f>
        <v/>
      </c>
      <c r="T16">
        <f>IF($D16="","",IFERROR(VLOOKUP($D16,Shifts!$A$5:$E$12,5,FALSE),0))</f>
        <v/>
      </c>
      <c r="U16">
        <f>IF($E16="","",IFERROR(VLOOKUP($E16,Shifts!$A$5:$E$12,5,FALSE),0))</f>
        <v/>
      </c>
      <c r="V16">
        <f>IF($F16="","",IFERROR(VLOOKUP($F16,Shifts!$A$5:$E$12,5,FALSE),0))</f>
        <v/>
      </c>
      <c r="W16">
        <f>IF($G16="","",IFERROR(VLOOKUP($G16,Shifts!$A$5:$E$12,5,FALSE),0))</f>
        <v/>
      </c>
      <c r="X16">
        <f>IF($H16="","",IFERROR(VLOOKUP($H16,Shifts!$A$5:$E$12,5,FALSE),0))</f>
        <v/>
      </c>
      <c r="Y16">
        <f>IF($B16="","",IFERROR(VLOOKUP($B16,Shifts!$A$5:$E$12,3,FALSE),0))</f>
        <v/>
      </c>
      <c r="Z16">
        <f>IF($C16="","",IFERROR(VLOOKUP($C16,Shifts!$A$5:$E$12,3,FALSE),0))</f>
        <v/>
      </c>
      <c r="AA16">
        <f>IF($D16="","",IFERROR(VLOOKUP($D16,Shifts!$A$5:$E$12,3,FALSE),0))</f>
        <v/>
      </c>
      <c r="AB16">
        <f>IF($E16="","",IFERROR(VLOOKUP($E16,Shifts!$A$5:$E$12,3,FALSE),0))</f>
        <v/>
      </c>
      <c r="AC16">
        <f>IF($F16="","",IFERROR(VLOOKUP($F16,Shifts!$A$5:$E$12,3,FALSE),0))</f>
        <v/>
      </c>
      <c r="AD16">
        <f>IF($G16="","",IFERROR(VLOOKUP($G16,Shifts!$A$5:$E$12,3,FALSE),0))</f>
        <v/>
      </c>
      <c r="AE16">
        <f>IF($H16="","",IFERROR(VLOOKUP($H16,Shifts!$A$5:$E$12,3,FALSE),0))</f>
        <v/>
      </c>
      <c r="AF16">
        <f>IF($B16="","",IFERROR(VLOOKUP($B16,Shifts!$A$5:$E$12,4,FALSE),0))</f>
        <v/>
      </c>
      <c r="AG16">
        <f>IF($C16="","",IFERROR(VLOOKUP($C16,Shifts!$A$5:$E$12,4,FALSE),0))</f>
        <v/>
      </c>
      <c r="AH16">
        <f>IF($D16="","",IFERROR(VLOOKUP($D16,Shifts!$A$5:$E$12,4,FALSE),0))</f>
        <v/>
      </c>
      <c r="AI16">
        <f>IF($E16="","",IFERROR(VLOOKUP($E16,Shifts!$A$5:$E$12,4,FALSE),0))</f>
        <v/>
      </c>
      <c r="AJ16">
        <f>IF($F16="","",IFERROR(VLOOKUP($F16,Shifts!$A$5:$E$12,4,FALSE),0))</f>
        <v/>
      </c>
      <c r="AK16">
        <f>IF($G16="","",IFERROR(VLOOKUP($G16,Shifts!$A$5:$E$12,4,FALSE),0))</f>
        <v/>
      </c>
      <c r="AL16">
        <f>IF($H16="","",IFERROR(VLOOKUP($H16,Shifts!$A$5:$E$12,4,FALSE),0))</f>
        <v/>
      </c>
      <c r="AM16">
        <f>IF(OR($R16="",$S16="",$R16=0,$S16=0),"",ROUND(IF($AF16&lt;=$Y16,$Z16-$AF16,1-$AF16+$Z16)*24,2))</f>
        <v/>
      </c>
      <c r="AN16">
        <f>IF(OR($S16="",$T16="",$S16=0,$T16=0),"",ROUND(IF($AG16&lt;=$Z16,$AA16-$AG16,1-$AG16+$AA16)*24,2))</f>
        <v/>
      </c>
      <c r="AO16">
        <f>IF(OR($T16="",$U16="",$T16=0,$U16=0),"",ROUND(IF($AH16&lt;=$AA16,$AB16-$AH16,1-$AH16+$AB16)*24,2))</f>
        <v/>
      </c>
      <c r="AP16">
        <f>IF(OR($U16="",$V16="",$U16=0,$V16=0),"",ROUND(IF($AI16&lt;=$AB16,$AC16-$AI16,1-$AI16+$AC16)*24,2))</f>
        <v/>
      </c>
      <c r="AQ16">
        <f>IF(OR($V16="",$W16="",$V16=0,$W16=0),"",ROUND(IF($AJ16&lt;=$AC16,$AD16-$AJ16,1-$AJ16+$AD16)*24,2))</f>
        <v/>
      </c>
      <c r="AR16">
        <f>IF(OR($W16="",$X16="",$W16=0,$X16=0),"",ROUND(IF($AK16&lt;=$AD16,$AE16-$AK16,1-$AK16+$AE16)*24,2))</f>
        <v/>
      </c>
    </row>
    <row r="17">
      <c r="A17" s="50" t="n"/>
      <c r="B17" s="51" t="n"/>
      <c r="C17" s="51" t="n"/>
      <c r="D17" s="51" t="n"/>
      <c r="E17" s="51" t="n"/>
      <c r="F17" s="51" t="n"/>
      <c r="G17" s="51" t="n"/>
      <c r="H17" s="51" t="n"/>
      <c r="I17" s="52">
        <f>IF(COUNT($R17:$X17)=0,"",ROUND(SUM($R17:$X17),2))</f>
        <v/>
      </c>
      <c r="J17" s="53" t="n">
        <v>40</v>
      </c>
      <c r="K17">
        <f>IF(OR(IF($AM17="",Shifts!$B$3,$AM17)&lt;Shifts!$B$3,IF($AN17="",Shifts!$B$3,$AN17)&lt;Shifts!$B$3,IF($AO17="",Shifts!$B$3,$AO17)&lt;Shifts!$B$3,IF($AP17="",Shifts!$B$3,$AP17)&lt;Shifts!$B$3,IF($AQ17="",Shifts!$B$3,$AQ17)&lt;Shifts!$B$3,IF($AR17="",Shifts!$B$3,$AR17)&lt;Shifts!$B$3),"⛔ &lt;"&amp;Shifts!$B$3&amp;" h","")</f>
        <v/>
      </c>
      <c r="L17">
        <f>IF(7-(IF($R17="",0,IF($R17&gt;0,1,0))+IF($S17="",0,IF($S17&gt;0,1,0))+IF($T17="",0,IF($T17&gt;0,1,0))+IF($U17="",0,IF($U17&gt;0,1,0))+IF($V17="",0,IF($V17&gt;0,1,0))+IF($W17="",0,IF($W17&gt;0,1,0))+IF($X17="",0,IF($X17&gt;0,1,0)))=0,"⛔ 0 days off",IF(7-(IF($R17="",0,IF($R17&gt;0,1,0))+IF($S17="",0,IF($S17&gt;0,1,0))+IF($T17="",0,IF($T17&gt;0,1,0))+IF($U17="",0,IF($U17&gt;0,1,0))+IF($V17="",0,IF($V17&gt;0,1,0))+IF($W17="",0,IF($W17&gt;0,1,0))+IF($X17="",0,IF($X17&gt;0,1,0)))=1,"⚠ 6 days on: a 7th day in a row is premium pay in CA",""))</f>
        <v/>
      </c>
      <c r="M17">
        <f>IF(OR($I17="",$J17=""),"",IF($I17&gt;$J17,"⛔ +"&amp;TEXT($I17-$J17,"0")&amp;" h",""))</f>
        <v/>
      </c>
      <c r="N17">
        <f>IF($O17="Y",IF(OR(IF($R17="",0,$R17)&gt;8,IF($S17="",0,$S17)&gt;8,IF($T17="",0,$T17)&gt;8,IF($U17="",0,$U17)&gt;8,IF($V17="",0,$V17)&gt;8,IF($W17="",0,$W17)&gt;8,IF($X17="",0,$X17)&gt;8),"⛔ shift &gt; 8 h (MINOR)",""),IF(OR(IF($R17="",0,$R17)&gt;Shifts!$B$2,IF($S17="",0,$S17)&gt;Shifts!$B$2,IF($T17="",0,$T17)&gt;Shifts!$B$2,IF($U17="",0,$U17)&gt;Shifts!$B$2,IF($V17="",0,$V17)&gt;Shifts!$B$2,IF($W17="",0,$W17)&gt;Shifts!$B$2,IF($X17="",0,$X17)&gt;Shifts!$B$2),"⛔ shift &gt; "&amp;Shifts!$B$2&amp;" h",""))</f>
        <v/>
      </c>
      <c r="O17" s="54" t="n"/>
      <c r="P17" s="55">
        <f>IF($O17&lt;&gt;"Y","",IF(OR($B17="N",$B17="DBL",$C17="N",$C17="DBL",$D17="N",$D17="DBL",$E17="N",$E17="DBL",$F17="N",$F17="DBL",$G17="N",$G17="DBL",$H17="N",$H17="DBL"),"⛔ MINOR: no night or double shifts (29 CFR 570.35)","⚠ minor: check federal and state hour limits"))</f>
        <v/>
      </c>
      <c r="R17">
        <f>IF($B17="","",IFERROR(VLOOKUP($B17,Shifts!$A$5:$E$12,5,FALSE),0))</f>
        <v/>
      </c>
      <c r="S17">
        <f>IF($C17="","",IFERROR(VLOOKUP($C17,Shifts!$A$5:$E$12,5,FALSE),0))</f>
        <v/>
      </c>
      <c r="T17">
        <f>IF($D17="","",IFERROR(VLOOKUP($D17,Shifts!$A$5:$E$12,5,FALSE),0))</f>
        <v/>
      </c>
      <c r="U17">
        <f>IF($E17="","",IFERROR(VLOOKUP($E17,Shifts!$A$5:$E$12,5,FALSE),0))</f>
        <v/>
      </c>
      <c r="V17">
        <f>IF($F17="","",IFERROR(VLOOKUP($F17,Shifts!$A$5:$E$12,5,FALSE),0))</f>
        <v/>
      </c>
      <c r="W17">
        <f>IF($G17="","",IFERROR(VLOOKUP($G17,Shifts!$A$5:$E$12,5,FALSE),0))</f>
        <v/>
      </c>
      <c r="X17">
        <f>IF($H17="","",IFERROR(VLOOKUP($H17,Shifts!$A$5:$E$12,5,FALSE),0))</f>
        <v/>
      </c>
      <c r="Y17">
        <f>IF($B17="","",IFERROR(VLOOKUP($B17,Shifts!$A$5:$E$12,3,FALSE),0))</f>
        <v/>
      </c>
      <c r="Z17">
        <f>IF($C17="","",IFERROR(VLOOKUP($C17,Shifts!$A$5:$E$12,3,FALSE),0))</f>
        <v/>
      </c>
      <c r="AA17">
        <f>IF($D17="","",IFERROR(VLOOKUP($D17,Shifts!$A$5:$E$12,3,FALSE),0))</f>
        <v/>
      </c>
      <c r="AB17">
        <f>IF($E17="","",IFERROR(VLOOKUP($E17,Shifts!$A$5:$E$12,3,FALSE),0))</f>
        <v/>
      </c>
      <c r="AC17">
        <f>IF($F17="","",IFERROR(VLOOKUP($F17,Shifts!$A$5:$E$12,3,FALSE),0))</f>
        <v/>
      </c>
      <c r="AD17">
        <f>IF($G17="","",IFERROR(VLOOKUP($G17,Shifts!$A$5:$E$12,3,FALSE),0))</f>
        <v/>
      </c>
      <c r="AE17">
        <f>IF($H17="","",IFERROR(VLOOKUP($H17,Shifts!$A$5:$E$12,3,FALSE),0))</f>
        <v/>
      </c>
      <c r="AF17">
        <f>IF($B17="","",IFERROR(VLOOKUP($B17,Shifts!$A$5:$E$12,4,FALSE),0))</f>
        <v/>
      </c>
      <c r="AG17">
        <f>IF($C17="","",IFERROR(VLOOKUP($C17,Shifts!$A$5:$E$12,4,FALSE),0))</f>
        <v/>
      </c>
      <c r="AH17">
        <f>IF($D17="","",IFERROR(VLOOKUP($D17,Shifts!$A$5:$E$12,4,FALSE),0))</f>
        <v/>
      </c>
      <c r="AI17">
        <f>IF($E17="","",IFERROR(VLOOKUP($E17,Shifts!$A$5:$E$12,4,FALSE),0))</f>
        <v/>
      </c>
      <c r="AJ17">
        <f>IF($F17="","",IFERROR(VLOOKUP($F17,Shifts!$A$5:$E$12,4,FALSE),0))</f>
        <v/>
      </c>
      <c r="AK17">
        <f>IF($G17="","",IFERROR(VLOOKUP($G17,Shifts!$A$5:$E$12,4,FALSE),0))</f>
        <v/>
      </c>
      <c r="AL17">
        <f>IF($H17="","",IFERROR(VLOOKUP($H17,Shifts!$A$5:$E$12,4,FALSE),0))</f>
        <v/>
      </c>
      <c r="AM17">
        <f>IF(OR($R17="",$S17="",$R17=0,$S17=0),"",ROUND(IF($AF17&lt;=$Y17,$Z17-$AF17,1-$AF17+$Z17)*24,2))</f>
        <v/>
      </c>
      <c r="AN17">
        <f>IF(OR($S17="",$T17="",$S17=0,$T17=0),"",ROUND(IF($AG17&lt;=$Z17,$AA17-$AG17,1-$AG17+$AA17)*24,2))</f>
        <v/>
      </c>
      <c r="AO17">
        <f>IF(OR($T17="",$U17="",$T17=0,$U17=0),"",ROUND(IF($AH17&lt;=$AA17,$AB17-$AH17,1-$AH17+$AB17)*24,2))</f>
        <v/>
      </c>
      <c r="AP17">
        <f>IF(OR($U17="",$V17="",$U17=0,$V17=0),"",ROUND(IF($AI17&lt;=$AB17,$AC17-$AI17,1-$AI17+$AC17)*24,2))</f>
        <v/>
      </c>
      <c r="AQ17">
        <f>IF(OR($V17="",$W17="",$V17=0,$W17=0),"",ROUND(IF($AJ17&lt;=$AC17,$AD17-$AJ17,1-$AJ17+$AD17)*24,2))</f>
        <v/>
      </c>
      <c r="AR17">
        <f>IF(OR($W17="",$X17="",$W17=0,$X17=0),"",ROUND(IF($AK17&lt;=$AD17,$AE17-$AK17,1-$AK17+$AE17)*24,2))</f>
        <v/>
      </c>
    </row>
    <row r="18">
      <c r="A18" s="50" t="n"/>
      <c r="B18" s="51" t="n"/>
      <c r="C18" s="51" t="n"/>
      <c r="D18" s="51" t="n"/>
      <c r="E18" s="51" t="n"/>
      <c r="F18" s="51" t="n"/>
      <c r="G18" s="51" t="n"/>
      <c r="H18" s="51" t="n"/>
      <c r="I18" s="52">
        <f>IF(COUNT($R18:$X18)=0,"",ROUND(SUM($R18:$X18),2))</f>
        <v/>
      </c>
      <c r="J18" s="53" t="n">
        <v>40</v>
      </c>
      <c r="K18">
        <f>IF(OR(IF($AM18="",Shifts!$B$3,$AM18)&lt;Shifts!$B$3,IF($AN18="",Shifts!$B$3,$AN18)&lt;Shifts!$B$3,IF($AO18="",Shifts!$B$3,$AO18)&lt;Shifts!$B$3,IF($AP18="",Shifts!$B$3,$AP18)&lt;Shifts!$B$3,IF($AQ18="",Shifts!$B$3,$AQ18)&lt;Shifts!$B$3,IF($AR18="",Shifts!$B$3,$AR18)&lt;Shifts!$B$3),"⛔ &lt;"&amp;Shifts!$B$3&amp;" h","")</f>
        <v/>
      </c>
      <c r="L18">
        <f>IF(7-(IF($R18="",0,IF($R18&gt;0,1,0))+IF($S18="",0,IF($S18&gt;0,1,0))+IF($T18="",0,IF($T18&gt;0,1,0))+IF($U18="",0,IF($U18&gt;0,1,0))+IF($V18="",0,IF($V18&gt;0,1,0))+IF($W18="",0,IF($W18&gt;0,1,0))+IF($X18="",0,IF($X18&gt;0,1,0)))=0,"⛔ 0 days off",IF(7-(IF($R18="",0,IF($R18&gt;0,1,0))+IF($S18="",0,IF($S18&gt;0,1,0))+IF($T18="",0,IF($T18&gt;0,1,0))+IF($U18="",0,IF($U18&gt;0,1,0))+IF($V18="",0,IF($V18&gt;0,1,0))+IF($W18="",0,IF($W18&gt;0,1,0))+IF($X18="",0,IF($X18&gt;0,1,0)))=1,"⚠ 6 days on: a 7th day in a row is premium pay in CA",""))</f>
        <v/>
      </c>
      <c r="M18">
        <f>IF(OR($I18="",$J18=""),"",IF($I18&gt;$J18,"⛔ +"&amp;TEXT($I18-$J18,"0")&amp;" h",""))</f>
        <v/>
      </c>
      <c r="N18">
        <f>IF($O18="Y",IF(OR(IF($R18="",0,$R18)&gt;8,IF($S18="",0,$S18)&gt;8,IF($T18="",0,$T18)&gt;8,IF($U18="",0,$U18)&gt;8,IF($V18="",0,$V18)&gt;8,IF($W18="",0,$W18)&gt;8,IF($X18="",0,$X18)&gt;8),"⛔ shift &gt; 8 h (MINOR)",""),IF(OR(IF($R18="",0,$R18)&gt;Shifts!$B$2,IF($S18="",0,$S18)&gt;Shifts!$B$2,IF($T18="",0,$T18)&gt;Shifts!$B$2,IF($U18="",0,$U18)&gt;Shifts!$B$2,IF($V18="",0,$V18)&gt;Shifts!$B$2,IF($W18="",0,$W18)&gt;Shifts!$B$2,IF($X18="",0,$X18)&gt;Shifts!$B$2),"⛔ shift &gt; "&amp;Shifts!$B$2&amp;" h",""))</f>
        <v/>
      </c>
      <c r="O18" s="54" t="n"/>
      <c r="P18" s="55">
        <f>IF($O18&lt;&gt;"Y","",IF(OR($B18="N",$B18="DBL",$C18="N",$C18="DBL",$D18="N",$D18="DBL",$E18="N",$E18="DBL",$F18="N",$F18="DBL",$G18="N",$G18="DBL",$H18="N",$H18="DBL"),"⛔ MINOR: no night or double shifts (29 CFR 570.35)","⚠ minor: check federal and state hour limits"))</f>
        <v/>
      </c>
      <c r="R18">
        <f>IF($B18="","",IFERROR(VLOOKUP($B18,Shifts!$A$5:$E$12,5,FALSE),0))</f>
        <v/>
      </c>
      <c r="S18">
        <f>IF($C18="","",IFERROR(VLOOKUP($C18,Shifts!$A$5:$E$12,5,FALSE),0))</f>
        <v/>
      </c>
      <c r="T18">
        <f>IF($D18="","",IFERROR(VLOOKUP($D18,Shifts!$A$5:$E$12,5,FALSE),0))</f>
        <v/>
      </c>
      <c r="U18">
        <f>IF($E18="","",IFERROR(VLOOKUP($E18,Shifts!$A$5:$E$12,5,FALSE),0))</f>
        <v/>
      </c>
      <c r="V18">
        <f>IF($F18="","",IFERROR(VLOOKUP($F18,Shifts!$A$5:$E$12,5,FALSE),0))</f>
        <v/>
      </c>
      <c r="W18">
        <f>IF($G18="","",IFERROR(VLOOKUP($G18,Shifts!$A$5:$E$12,5,FALSE),0))</f>
        <v/>
      </c>
      <c r="X18">
        <f>IF($H18="","",IFERROR(VLOOKUP($H18,Shifts!$A$5:$E$12,5,FALSE),0))</f>
        <v/>
      </c>
      <c r="Y18">
        <f>IF($B18="","",IFERROR(VLOOKUP($B18,Shifts!$A$5:$E$12,3,FALSE),0))</f>
        <v/>
      </c>
      <c r="Z18">
        <f>IF($C18="","",IFERROR(VLOOKUP($C18,Shifts!$A$5:$E$12,3,FALSE),0))</f>
        <v/>
      </c>
      <c r="AA18">
        <f>IF($D18="","",IFERROR(VLOOKUP($D18,Shifts!$A$5:$E$12,3,FALSE),0))</f>
        <v/>
      </c>
      <c r="AB18">
        <f>IF($E18="","",IFERROR(VLOOKUP($E18,Shifts!$A$5:$E$12,3,FALSE),0))</f>
        <v/>
      </c>
      <c r="AC18">
        <f>IF($F18="","",IFERROR(VLOOKUP($F18,Shifts!$A$5:$E$12,3,FALSE),0))</f>
        <v/>
      </c>
      <c r="AD18">
        <f>IF($G18="","",IFERROR(VLOOKUP($G18,Shifts!$A$5:$E$12,3,FALSE),0))</f>
        <v/>
      </c>
      <c r="AE18">
        <f>IF($H18="","",IFERROR(VLOOKUP($H18,Shifts!$A$5:$E$12,3,FALSE),0))</f>
        <v/>
      </c>
      <c r="AF18">
        <f>IF($B18="","",IFERROR(VLOOKUP($B18,Shifts!$A$5:$E$12,4,FALSE),0))</f>
        <v/>
      </c>
      <c r="AG18">
        <f>IF($C18="","",IFERROR(VLOOKUP($C18,Shifts!$A$5:$E$12,4,FALSE),0))</f>
        <v/>
      </c>
      <c r="AH18">
        <f>IF($D18="","",IFERROR(VLOOKUP($D18,Shifts!$A$5:$E$12,4,FALSE),0))</f>
        <v/>
      </c>
      <c r="AI18">
        <f>IF($E18="","",IFERROR(VLOOKUP($E18,Shifts!$A$5:$E$12,4,FALSE),0))</f>
        <v/>
      </c>
      <c r="AJ18">
        <f>IF($F18="","",IFERROR(VLOOKUP($F18,Shifts!$A$5:$E$12,4,FALSE),0))</f>
        <v/>
      </c>
      <c r="AK18">
        <f>IF($G18="","",IFERROR(VLOOKUP($G18,Shifts!$A$5:$E$12,4,FALSE),0))</f>
        <v/>
      </c>
      <c r="AL18">
        <f>IF($H18="","",IFERROR(VLOOKUP($H18,Shifts!$A$5:$E$12,4,FALSE),0))</f>
        <v/>
      </c>
      <c r="AM18">
        <f>IF(OR($R18="",$S18="",$R18=0,$S18=0),"",ROUND(IF($AF18&lt;=$Y18,$Z18-$AF18,1-$AF18+$Z18)*24,2))</f>
        <v/>
      </c>
      <c r="AN18">
        <f>IF(OR($S18="",$T18="",$S18=0,$T18=0),"",ROUND(IF($AG18&lt;=$Z18,$AA18-$AG18,1-$AG18+$AA18)*24,2))</f>
        <v/>
      </c>
      <c r="AO18">
        <f>IF(OR($T18="",$U18="",$T18=0,$U18=0),"",ROUND(IF($AH18&lt;=$AA18,$AB18-$AH18,1-$AH18+$AB18)*24,2))</f>
        <v/>
      </c>
      <c r="AP18">
        <f>IF(OR($U18="",$V18="",$U18=0,$V18=0),"",ROUND(IF($AI18&lt;=$AB18,$AC18-$AI18,1-$AI18+$AC18)*24,2))</f>
        <v/>
      </c>
      <c r="AQ18">
        <f>IF(OR($V18="",$W18="",$V18=0,$W18=0),"",ROUND(IF($AJ18&lt;=$AC18,$AD18-$AJ18,1-$AJ18+$AD18)*24,2))</f>
        <v/>
      </c>
      <c r="AR18">
        <f>IF(OR($W18="",$X18="",$W18=0,$X18=0),"",ROUND(IF($AK18&lt;=$AD18,$AE18-$AK18,1-$AK18+$AE18)*24,2))</f>
        <v/>
      </c>
    </row>
    <row r="19">
      <c r="A19" s="50" t="n"/>
      <c r="B19" s="51" t="n"/>
      <c r="C19" s="51" t="n"/>
      <c r="D19" s="51" t="n"/>
      <c r="E19" s="51" t="n"/>
      <c r="F19" s="51" t="n"/>
      <c r="G19" s="51" t="n"/>
      <c r="H19" s="51" t="n"/>
      <c r="I19" s="52">
        <f>IF(COUNT($R19:$X19)=0,"",ROUND(SUM($R19:$X19),2))</f>
        <v/>
      </c>
      <c r="J19" s="53" t="n">
        <v>40</v>
      </c>
      <c r="K19">
        <f>IF(OR(IF($AM19="",Shifts!$B$3,$AM19)&lt;Shifts!$B$3,IF($AN19="",Shifts!$B$3,$AN19)&lt;Shifts!$B$3,IF($AO19="",Shifts!$B$3,$AO19)&lt;Shifts!$B$3,IF($AP19="",Shifts!$B$3,$AP19)&lt;Shifts!$B$3,IF($AQ19="",Shifts!$B$3,$AQ19)&lt;Shifts!$B$3,IF($AR19="",Shifts!$B$3,$AR19)&lt;Shifts!$B$3),"⛔ &lt;"&amp;Shifts!$B$3&amp;" h","")</f>
        <v/>
      </c>
      <c r="L19">
        <f>IF(7-(IF($R19="",0,IF($R19&gt;0,1,0))+IF($S19="",0,IF($S19&gt;0,1,0))+IF($T19="",0,IF($T19&gt;0,1,0))+IF($U19="",0,IF($U19&gt;0,1,0))+IF($V19="",0,IF($V19&gt;0,1,0))+IF($W19="",0,IF($W19&gt;0,1,0))+IF($X19="",0,IF($X19&gt;0,1,0)))=0,"⛔ 0 days off",IF(7-(IF($R19="",0,IF($R19&gt;0,1,0))+IF($S19="",0,IF($S19&gt;0,1,0))+IF($T19="",0,IF($T19&gt;0,1,0))+IF($U19="",0,IF($U19&gt;0,1,0))+IF($V19="",0,IF($V19&gt;0,1,0))+IF($W19="",0,IF($W19&gt;0,1,0))+IF($X19="",0,IF($X19&gt;0,1,0)))=1,"⚠ 6 days on: a 7th day in a row is premium pay in CA",""))</f>
        <v/>
      </c>
      <c r="M19">
        <f>IF(OR($I19="",$J19=""),"",IF($I19&gt;$J19,"⛔ +"&amp;TEXT($I19-$J19,"0")&amp;" h",""))</f>
        <v/>
      </c>
      <c r="N19">
        <f>IF($O19="Y",IF(OR(IF($R19="",0,$R19)&gt;8,IF($S19="",0,$S19)&gt;8,IF($T19="",0,$T19)&gt;8,IF($U19="",0,$U19)&gt;8,IF($V19="",0,$V19)&gt;8,IF($W19="",0,$W19)&gt;8,IF($X19="",0,$X19)&gt;8),"⛔ shift &gt; 8 h (MINOR)",""),IF(OR(IF($R19="",0,$R19)&gt;Shifts!$B$2,IF($S19="",0,$S19)&gt;Shifts!$B$2,IF($T19="",0,$T19)&gt;Shifts!$B$2,IF($U19="",0,$U19)&gt;Shifts!$B$2,IF($V19="",0,$V19)&gt;Shifts!$B$2,IF($W19="",0,$W19)&gt;Shifts!$B$2,IF($X19="",0,$X19)&gt;Shifts!$B$2),"⛔ shift &gt; "&amp;Shifts!$B$2&amp;" h",""))</f>
        <v/>
      </c>
      <c r="O19" s="54" t="n"/>
      <c r="P19" s="55">
        <f>IF($O19&lt;&gt;"Y","",IF(OR($B19="N",$B19="DBL",$C19="N",$C19="DBL",$D19="N",$D19="DBL",$E19="N",$E19="DBL",$F19="N",$F19="DBL",$G19="N",$G19="DBL",$H19="N",$H19="DBL"),"⛔ MINOR: no night or double shifts (29 CFR 570.35)","⚠ minor: check federal and state hour limits"))</f>
        <v/>
      </c>
      <c r="R19">
        <f>IF($B19="","",IFERROR(VLOOKUP($B19,Shifts!$A$5:$E$12,5,FALSE),0))</f>
        <v/>
      </c>
      <c r="S19">
        <f>IF($C19="","",IFERROR(VLOOKUP($C19,Shifts!$A$5:$E$12,5,FALSE),0))</f>
        <v/>
      </c>
      <c r="T19">
        <f>IF($D19="","",IFERROR(VLOOKUP($D19,Shifts!$A$5:$E$12,5,FALSE),0))</f>
        <v/>
      </c>
      <c r="U19">
        <f>IF($E19="","",IFERROR(VLOOKUP($E19,Shifts!$A$5:$E$12,5,FALSE),0))</f>
        <v/>
      </c>
      <c r="V19">
        <f>IF($F19="","",IFERROR(VLOOKUP($F19,Shifts!$A$5:$E$12,5,FALSE),0))</f>
        <v/>
      </c>
      <c r="W19">
        <f>IF($G19="","",IFERROR(VLOOKUP($G19,Shifts!$A$5:$E$12,5,FALSE),0))</f>
        <v/>
      </c>
      <c r="X19">
        <f>IF($H19="","",IFERROR(VLOOKUP($H19,Shifts!$A$5:$E$12,5,FALSE),0))</f>
        <v/>
      </c>
      <c r="Y19">
        <f>IF($B19="","",IFERROR(VLOOKUP($B19,Shifts!$A$5:$E$12,3,FALSE),0))</f>
        <v/>
      </c>
      <c r="Z19">
        <f>IF($C19="","",IFERROR(VLOOKUP($C19,Shifts!$A$5:$E$12,3,FALSE),0))</f>
        <v/>
      </c>
      <c r="AA19">
        <f>IF($D19="","",IFERROR(VLOOKUP($D19,Shifts!$A$5:$E$12,3,FALSE),0))</f>
        <v/>
      </c>
      <c r="AB19">
        <f>IF($E19="","",IFERROR(VLOOKUP($E19,Shifts!$A$5:$E$12,3,FALSE),0))</f>
        <v/>
      </c>
      <c r="AC19">
        <f>IF($F19="","",IFERROR(VLOOKUP($F19,Shifts!$A$5:$E$12,3,FALSE),0))</f>
        <v/>
      </c>
      <c r="AD19">
        <f>IF($G19="","",IFERROR(VLOOKUP($G19,Shifts!$A$5:$E$12,3,FALSE),0))</f>
        <v/>
      </c>
      <c r="AE19">
        <f>IF($H19="","",IFERROR(VLOOKUP($H19,Shifts!$A$5:$E$12,3,FALSE),0))</f>
        <v/>
      </c>
      <c r="AF19">
        <f>IF($B19="","",IFERROR(VLOOKUP($B19,Shifts!$A$5:$E$12,4,FALSE),0))</f>
        <v/>
      </c>
      <c r="AG19">
        <f>IF($C19="","",IFERROR(VLOOKUP($C19,Shifts!$A$5:$E$12,4,FALSE),0))</f>
        <v/>
      </c>
      <c r="AH19">
        <f>IF($D19="","",IFERROR(VLOOKUP($D19,Shifts!$A$5:$E$12,4,FALSE),0))</f>
        <v/>
      </c>
      <c r="AI19">
        <f>IF($E19="","",IFERROR(VLOOKUP($E19,Shifts!$A$5:$E$12,4,FALSE),0))</f>
        <v/>
      </c>
      <c r="AJ19">
        <f>IF($F19="","",IFERROR(VLOOKUP($F19,Shifts!$A$5:$E$12,4,FALSE),0))</f>
        <v/>
      </c>
      <c r="AK19">
        <f>IF($G19="","",IFERROR(VLOOKUP($G19,Shifts!$A$5:$E$12,4,FALSE),0))</f>
        <v/>
      </c>
      <c r="AL19">
        <f>IF($H19="","",IFERROR(VLOOKUP($H19,Shifts!$A$5:$E$12,4,FALSE),0))</f>
        <v/>
      </c>
      <c r="AM19">
        <f>IF(OR($R19="",$S19="",$R19=0,$S19=0),"",ROUND(IF($AF19&lt;=$Y19,$Z19-$AF19,1-$AF19+$Z19)*24,2))</f>
        <v/>
      </c>
      <c r="AN19">
        <f>IF(OR($S19="",$T19="",$S19=0,$T19=0),"",ROUND(IF($AG19&lt;=$Z19,$AA19-$AG19,1-$AG19+$AA19)*24,2))</f>
        <v/>
      </c>
      <c r="AO19">
        <f>IF(OR($T19="",$U19="",$T19=0,$U19=0),"",ROUND(IF($AH19&lt;=$AA19,$AB19-$AH19,1-$AH19+$AB19)*24,2))</f>
        <v/>
      </c>
      <c r="AP19">
        <f>IF(OR($U19="",$V19="",$U19=0,$V19=0),"",ROUND(IF($AI19&lt;=$AB19,$AC19-$AI19,1-$AI19+$AC19)*24,2))</f>
        <v/>
      </c>
      <c r="AQ19">
        <f>IF(OR($V19="",$W19="",$V19=0,$W19=0),"",ROUND(IF($AJ19&lt;=$AC19,$AD19-$AJ19,1-$AJ19+$AD19)*24,2))</f>
        <v/>
      </c>
      <c r="AR19">
        <f>IF(OR($W19="",$X19="",$W19=0,$X19=0),"",ROUND(IF($AK19&lt;=$AD19,$AE19-$AK19,1-$AK19+$AE19)*24,2))</f>
        <v/>
      </c>
    </row>
    <row r="20">
      <c r="A20" s="50" t="n"/>
      <c r="B20" s="51" t="n"/>
      <c r="C20" s="51" t="n"/>
      <c r="D20" s="51" t="n"/>
      <c r="E20" s="51" t="n"/>
      <c r="F20" s="51" t="n"/>
      <c r="G20" s="51" t="n"/>
      <c r="H20" s="51" t="n"/>
      <c r="I20" s="52">
        <f>IF(COUNT($R20:$X20)=0,"",ROUND(SUM($R20:$X20),2))</f>
        <v/>
      </c>
      <c r="J20" s="53" t="n">
        <v>40</v>
      </c>
      <c r="K20">
        <f>IF(OR(IF($AM20="",Shifts!$B$3,$AM20)&lt;Shifts!$B$3,IF($AN20="",Shifts!$B$3,$AN20)&lt;Shifts!$B$3,IF($AO20="",Shifts!$B$3,$AO20)&lt;Shifts!$B$3,IF($AP20="",Shifts!$B$3,$AP20)&lt;Shifts!$B$3,IF($AQ20="",Shifts!$B$3,$AQ20)&lt;Shifts!$B$3,IF($AR20="",Shifts!$B$3,$AR20)&lt;Shifts!$B$3),"⛔ &lt;"&amp;Shifts!$B$3&amp;" h","")</f>
        <v/>
      </c>
      <c r="L20">
        <f>IF(7-(IF($R20="",0,IF($R20&gt;0,1,0))+IF($S20="",0,IF($S20&gt;0,1,0))+IF($T20="",0,IF($T20&gt;0,1,0))+IF($U20="",0,IF($U20&gt;0,1,0))+IF($V20="",0,IF($V20&gt;0,1,0))+IF($W20="",0,IF($W20&gt;0,1,0))+IF($X20="",0,IF($X20&gt;0,1,0)))=0,"⛔ 0 days off",IF(7-(IF($R20="",0,IF($R20&gt;0,1,0))+IF($S20="",0,IF($S20&gt;0,1,0))+IF($T20="",0,IF($T20&gt;0,1,0))+IF($U20="",0,IF($U20&gt;0,1,0))+IF($V20="",0,IF($V20&gt;0,1,0))+IF($W20="",0,IF($W20&gt;0,1,0))+IF($X20="",0,IF($X20&gt;0,1,0)))=1,"⚠ 6 days on: a 7th day in a row is premium pay in CA",""))</f>
        <v/>
      </c>
      <c r="M20">
        <f>IF(OR($I20="",$J20=""),"",IF($I20&gt;$J20,"⛔ +"&amp;TEXT($I20-$J20,"0")&amp;" h",""))</f>
        <v/>
      </c>
      <c r="N20">
        <f>IF($O20="Y",IF(OR(IF($R20="",0,$R20)&gt;8,IF($S20="",0,$S20)&gt;8,IF($T20="",0,$T20)&gt;8,IF($U20="",0,$U20)&gt;8,IF($V20="",0,$V20)&gt;8,IF($W20="",0,$W20)&gt;8,IF($X20="",0,$X20)&gt;8),"⛔ shift &gt; 8 h (MINOR)",""),IF(OR(IF($R20="",0,$R20)&gt;Shifts!$B$2,IF($S20="",0,$S20)&gt;Shifts!$B$2,IF($T20="",0,$T20)&gt;Shifts!$B$2,IF($U20="",0,$U20)&gt;Shifts!$B$2,IF($V20="",0,$V20)&gt;Shifts!$B$2,IF($W20="",0,$W20)&gt;Shifts!$B$2,IF($X20="",0,$X20)&gt;Shifts!$B$2),"⛔ shift &gt; "&amp;Shifts!$B$2&amp;" h",""))</f>
        <v/>
      </c>
      <c r="O20" s="54" t="n"/>
      <c r="P20" s="55">
        <f>IF($O20&lt;&gt;"Y","",IF(OR($B20="N",$B20="DBL",$C20="N",$C20="DBL",$D20="N",$D20="DBL",$E20="N",$E20="DBL",$F20="N",$F20="DBL",$G20="N",$G20="DBL",$H20="N",$H20="DBL"),"⛔ MINOR: no night or double shifts (29 CFR 570.35)","⚠ minor: check federal and state hour limits"))</f>
        <v/>
      </c>
      <c r="R20">
        <f>IF($B20="","",IFERROR(VLOOKUP($B20,Shifts!$A$5:$E$12,5,FALSE),0))</f>
        <v/>
      </c>
      <c r="S20">
        <f>IF($C20="","",IFERROR(VLOOKUP($C20,Shifts!$A$5:$E$12,5,FALSE),0))</f>
        <v/>
      </c>
      <c r="T20">
        <f>IF($D20="","",IFERROR(VLOOKUP($D20,Shifts!$A$5:$E$12,5,FALSE),0))</f>
        <v/>
      </c>
      <c r="U20">
        <f>IF($E20="","",IFERROR(VLOOKUP($E20,Shifts!$A$5:$E$12,5,FALSE),0))</f>
        <v/>
      </c>
      <c r="V20">
        <f>IF($F20="","",IFERROR(VLOOKUP($F20,Shifts!$A$5:$E$12,5,FALSE),0))</f>
        <v/>
      </c>
      <c r="W20">
        <f>IF($G20="","",IFERROR(VLOOKUP($G20,Shifts!$A$5:$E$12,5,FALSE),0))</f>
        <v/>
      </c>
      <c r="X20">
        <f>IF($H20="","",IFERROR(VLOOKUP($H20,Shifts!$A$5:$E$12,5,FALSE),0))</f>
        <v/>
      </c>
      <c r="Y20">
        <f>IF($B20="","",IFERROR(VLOOKUP($B20,Shifts!$A$5:$E$12,3,FALSE),0))</f>
        <v/>
      </c>
      <c r="Z20">
        <f>IF($C20="","",IFERROR(VLOOKUP($C20,Shifts!$A$5:$E$12,3,FALSE),0))</f>
        <v/>
      </c>
      <c r="AA20">
        <f>IF($D20="","",IFERROR(VLOOKUP($D20,Shifts!$A$5:$E$12,3,FALSE),0))</f>
        <v/>
      </c>
      <c r="AB20">
        <f>IF($E20="","",IFERROR(VLOOKUP($E20,Shifts!$A$5:$E$12,3,FALSE),0))</f>
        <v/>
      </c>
      <c r="AC20">
        <f>IF($F20="","",IFERROR(VLOOKUP($F20,Shifts!$A$5:$E$12,3,FALSE),0))</f>
        <v/>
      </c>
      <c r="AD20">
        <f>IF($G20="","",IFERROR(VLOOKUP($G20,Shifts!$A$5:$E$12,3,FALSE),0))</f>
        <v/>
      </c>
      <c r="AE20">
        <f>IF($H20="","",IFERROR(VLOOKUP($H20,Shifts!$A$5:$E$12,3,FALSE),0))</f>
        <v/>
      </c>
      <c r="AF20">
        <f>IF($B20="","",IFERROR(VLOOKUP($B20,Shifts!$A$5:$E$12,4,FALSE),0))</f>
        <v/>
      </c>
      <c r="AG20">
        <f>IF($C20="","",IFERROR(VLOOKUP($C20,Shifts!$A$5:$E$12,4,FALSE),0))</f>
        <v/>
      </c>
      <c r="AH20">
        <f>IF($D20="","",IFERROR(VLOOKUP($D20,Shifts!$A$5:$E$12,4,FALSE),0))</f>
        <v/>
      </c>
      <c r="AI20">
        <f>IF($E20="","",IFERROR(VLOOKUP($E20,Shifts!$A$5:$E$12,4,FALSE),0))</f>
        <v/>
      </c>
      <c r="AJ20">
        <f>IF($F20="","",IFERROR(VLOOKUP($F20,Shifts!$A$5:$E$12,4,FALSE),0))</f>
        <v/>
      </c>
      <c r="AK20">
        <f>IF($G20="","",IFERROR(VLOOKUP($G20,Shifts!$A$5:$E$12,4,FALSE),0))</f>
        <v/>
      </c>
      <c r="AL20">
        <f>IF($H20="","",IFERROR(VLOOKUP($H20,Shifts!$A$5:$E$12,4,FALSE),0))</f>
        <v/>
      </c>
      <c r="AM20">
        <f>IF(OR($R20="",$S20="",$R20=0,$S20=0),"",ROUND(IF($AF20&lt;=$Y20,$Z20-$AF20,1-$AF20+$Z20)*24,2))</f>
        <v/>
      </c>
      <c r="AN20">
        <f>IF(OR($S20="",$T20="",$S20=0,$T20=0),"",ROUND(IF($AG20&lt;=$Z20,$AA20-$AG20,1-$AG20+$AA20)*24,2))</f>
        <v/>
      </c>
      <c r="AO20">
        <f>IF(OR($T20="",$U20="",$T20=0,$U20=0),"",ROUND(IF($AH20&lt;=$AA20,$AB20-$AH20,1-$AH20+$AB20)*24,2))</f>
        <v/>
      </c>
      <c r="AP20">
        <f>IF(OR($U20="",$V20="",$U20=0,$V20=0),"",ROUND(IF($AI20&lt;=$AB20,$AC20-$AI20,1-$AI20+$AC20)*24,2))</f>
        <v/>
      </c>
      <c r="AQ20">
        <f>IF(OR($V20="",$W20="",$V20=0,$W20=0),"",ROUND(IF($AJ20&lt;=$AC20,$AD20-$AJ20,1-$AJ20+$AD20)*24,2))</f>
        <v/>
      </c>
      <c r="AR20">
        <f>IF(OR($W20="",$X20="",$W20=0,$X20=0),"",ROUND(IF($AK20&lt;=$AD20,$AE20-$AK20,1-$AK20+$AE20)*24,2))</f>
        <v/>
      </c>
    </row>
    <row r="21">
      <c r="A21" s="50" t="n"/>
      <c r="B21" s="51" t="n"/>
      <c r="C21" s="51" t="n"/>
      <c r="D21" s="51" t="n"/>
      <c r="E21" s="51" t="n"/>
      <c r="F21" s="51" t="n"/>
      <c r="G21" s="51" t="n"/>
      <c r="H21" s="51" t="n"/>
      <c r="I21" s="52">
        <f>IF(COUNT($R21:$X21)=0,"",ROUND(SUM($R21:$X21),2))</f>
        <v/>
      </c>
      <c r="J21" s="53" t="n">
        <v>40</v>
      </c>
      <c r="K21">
        <f>IF(OR(IF($AM21="",Shifts!$B$3,$AM21)&lt;Shifts!$B$3,IF($AN21="",Shifts!$B$3,$AN21)&lt;Shifts!$B$3,IF($AO21="",Shifts!$B$3,$AO21)&lt;Shifts!$B$3,IF($AP21="",Shifts!$B$3,$AP21)&lt;Shifts!$B$3,IF($AQ21="",Shifts!$B$3,$AQ21)&lt;Shifts!$B$3,IF($AR21="",Shifts!$B$3,$AR21)&lt;Shifts!$B$3),"⛔ &lt;"&amp;Shifts!$B$3&amp;" h","")</f>
        <v/>
      </c>
      <c r="L21">
        <f>IF(7-(IF($R21="",0,IF($R21&gt;0,1,0))+IF($S21="",0,IF($S21&gt;0,1,0))+IF($T21="",0,IF($T21&gt;0,1,0))+IF($U21="",0,IF($U21&gt;0,1,0))+IF($V21="",0,IF($V21&gt;0,1,0))+IF($W21="",0,IF($W21&gt;0,1,0))+IF($X21="",0,IF($X21&gt;0,1,0)))=0,"⛔ 0 days off",IF(7-(IF($R21="",0,IF($R21&gt;0,1,0))+IF($S21="",0,IF($S21&gt;0,1,0))+IF($T21="",0,IF($T21&gt;0,1,0))+IF($U21="",0,IF($U21&gt;0,1,0))+IF($V21="",0,IF($V21&gt;0,1,0))+IF($W21="",0,IF($W21&gt;0,1,0))+IF($X21="",0,IF($X21&gt;0,1,0)))=1,"⚠ 6 days on: a 7th day in a row is premium pay in CA",""))</f>
        <v/>
      </c>
      <c r="M21">
        <f>IF(OR($I21="",$J21=""),"",IF($I21&gt;$J21,"⛔ +"&amp;TEXT($I21-$J21,"0")&amp;" h",""))</f>
        <v/>
      </c>
      <c r="N21">
        <f>IF($O21="Y",IF(OR(IF($R21="",0,$R21)&gt;8,IF($S21="",0,$S21)&gt;8,IF($T21="",0,$T21)&gt;8,IF($U21="",0,$U21)&gt;8,IF($V21="",0,$V21)&gt;8,IF($W21="",0,$W21)&gt;8,IF($X21="",0,$X21)&gt;8),"⛔ shift &gt; 8 h (MINOR)",""),IF(OR(IF($R21="",0,$R21)&gt;Shifts!$B$2,IF($S21="",0,$S21)&gt;Shifts!$B$2,IF($T21="",0,$T21)&gt;Shifts!$B$2,IF($U21="",0,$U21)&gt;Shifts!$B$2,IF($V21="",0,$V21)&gt;Shifts!$B$2,IF($W21="",0,$W21)&gt;Shifts!$B$2,IF($X21="",0,$X21)&gt;Shifts!$B$2),"⛔ shift &gt; "&amp;Shifts!$B$2&amp;" h",""))</f>
        <v/>
      </c>
      <c r="O21" s="54" t="n"/>
      <c r="P21" s="55">
        <f>IF($O21&lt;&gt;"Y","",IF(OR($B21="N",$B21="DBL",$C21="N",$C21="DBL",$D21="N",$D21="DBL",$E21="N",$E21="DBL",$F21="N",$F21="DBL",$G21="N",$G21="DBL",$H21="N",$H21="DBL"),"⛔ MINOR: no night or double shifts (29 CFR 570.35)","⚠ minor: check federal and state hour limits"))</f>
        <v/>
      </c>
      <c r="R21">
        <f>IF($B21="","",IFERROR(VLOOKUP($B21,Shifts!$A$5:$E$12,5,FALSE),0))</f>
        <v/>
      </c>
      <c r="S21">
        <f>IF($C21="","",IFERROR(VLOOKUP($C21,Shifts!$A$5:$E$12,5,FALSE),0))</f>
        <v/>
      </c>
      <c r="T21">
        <f>IF($D21="","",IFERROR(VLOOKUP($D21,Shifts!$A$5:$E$12,5,FALSE),0))</f>
        <v/>
      </c>
      <c r="U21">
        <f>IF($E21="","",IFERROR(VLOOKUP($E21,Shifts!$A$5:$E$12,5,FALSE),0))</f>
        <v/>
      </c>
      <c r="V21">
        <f>IF($F21="","",IFERROR(VLOOKUP($F21,Shifts!$A$5:$E$12,5,FALSE),0))</f>
        <v/>
      </c>
      <c r="W21">
        <f>IF($G21="","",IFERROR(VLOOKUP($G21,Shifts!$A$5:$E$12,5,FALSE),0))</f>
        <v/>
      </c>
      <c r="X21">
        <f>IF($H21="","",IFERROR(VLOOKUP($H21,Shifts!$A$5:$E$12,5,FALSE),0))</f>
        <v/>
      </c>
      <c r="Y21">
        <f>IF($B21="","",IFERROR(VLOOKUP($B21,Shifts!$A$5:$E$12,3,FALSE),0))</f>
        <v/>
      </c>
      <c r="Z21">
        <f>IF($C21="","",IFERROR(VLOOKUP($C21,Shifts!$A$5:$E$12,3,FALSE),0))</f>
        <v/>
      </c>
      <c r="AA21">
        <f>IF($D21="","",IFERROR(VLOOKUP($D21,Shifts!$A$5:$E$12,3,FALSE),0))</f>
        <v/>
      </c>
      <c r="AB21">
        <f>IF($E21="","",IFERROR(VLOOKUP($E21,Shifts!$A$5:$E$12,3,FALSE),0))</f>
        <v/>
      </c>
      <c r="AC21">
        <f>IF($F21="","",IFERROR(VLOOKUP($F21,Shifts!$A$5:$E$12,3,FALSE),0))</f>
        <v/>
      </c>
      <c r="AD21">
        <f>IF($G21="","",IFERROR(VLOOKUP($G21,Shifts!$A$5:$E$12,3,FALSE),0))</f>
        <v/>
      </c>
      <c r="AE21">
        <f>IF($H21="","",IFERROR(VLOOKUP($H21,Shifts!$A$5:$E$12,3,FALSE),0))</f>
        <v/>
      </c>
      <c r="AF21">
        <f>IF($B21="","",IFERROR(VLOOKUP($B21,Shifts!$A$5:$E$12,4,FALSE),0))</f>
        <v/>
      </c>
      <c r="AG21">
        <f>IF($C21="","",IFERROR(VLOOKUP($C21,Shifts!$A$5:$E$12,4,FALSE),0))</f>
        <v/>
      </c>
      <c r="AH21">
        <f>IF($D21="","",IFERROR(VLOOKUP($D21,Shifts!$A$5:$E$12,4,FALSE),0))</f>
        <v/>
      </c>
      <c r="AI21">
        <f>IF($E21="","",IFERROR(VLOOKUP($E21,Shifts!$A$5:$E$12,4,FALSE),0))</f>
        <v/>
      </c>
      <c r="AJ21">
        <f>IF($F21="","",IFERROR(VLOOKUP($F21,Shifts!$A$5:$E$12,4,FALSE),0))</f>
        <v/>
      </c>
      <c r="AK21">
        <f>IF($G21="","",IFERROR(VLOOKUP($G21,Shifts!$A$5:$E$12,4,FALSE),0))</f>
        <v/>
      </c>
      <c r="AL21">
        <f>IF($H21="","",IFERROR(VLOOKUP($H21,Shifts!$A$5:$E$12,4,FALSE),0))</f>
        <v/>
      </c>
      <c r="AM21">
        <f>IF(OR($R21="",$S21="",$R21=0,$S21=0),"",ROUND(IF($AF21&lt;=$Y21,$Z21-$AF21,1-$AF21+$Z21)*24,2))</f>
        <v/>
      </c>
      <c r="AN21">
        <f>IF(OR($S21="",$T21="",$S21=0,$T21=0),"",ROUND(IF($AG21&lt;=$Z21,$AA21-$AG21,1-$AG21+$AA21)*24,2))</f>
        <v/>
      </c>
      <c r="AO21">
        <f>IF(OR($T21="",$U21="",$T21=0,$U21=0),"",ROUND(IF($AH21&lt;=$AA21,$AB21-$AH21,1-$AH21+$AB21)*24,2))</f>
        <v/>
      </c>
      <c r="AP21">
        <f>IF(OR($U21="",$V21="",$U21=0,$V21=0),"",ROUND(IF($AI21&lt;=$AB21,$AC21-$AI21,1-$AI21+$AC21)*24,2))</f>
        <v/>
      </c>
      <c r="AQ21">
        <f>IF(OR($V21="",$W21="",$V21=0,$W21=0),"",ROUND(IF($AJ21&lt;=$AC21,$AD21-$AJ21,1-$AJ21+$AD21)*24,2))</f>
        <v/>
      </c>
      <c r="AR21">
        <f>IF(OR($W21="",$X21="",$W21=0,$X21=0),"",ROUND(IF($AK21&lt;=$AD21,$AE21-$AK21,1-$AK21+$AE21)*24,2))</f>
        <v/>
      </c>
    </row>
    <row r="22">
      <c r="A22" s="50" t="n"/>
      <c r="B22" s="51" t="n"/>
      <c r="C22" s="51" t="n"/>
      <c r="D22" s="51" t="n"/>
      <c r="E22" s="51" t="n"/>
      <c r="F22" s="51" t="n"/>
      <c r="G22" s="51" t="n"/>
      <c r="H22" s="51" t="n"/>
      <c r="I22" s="52">
        <f>IF(COUNT($R22:$X22)=0,"",ROUND(SUM($R22:$X22),2))</f>
        <v/>
      </c>
      <c r="J22" s="53" t="n">
        <v>40</v>
      </c>
      <c r="K22">
        <f>IF(OR(IF($AM22="",Shifts!$B$3,$AM22)&lt;Shifts!$B$3,IF($AN22="",Shifts!$B$3,$AN22)&lt;Shifts!$B$3,IF($AO22="",Shifts!$B$3,$AO22)&lt;Shifts!$B$3,IF($AP22="",Shifts!$B$3,$AP22)&lt;Shifts!$B$3,IF($AQ22="",Shifts!$B$3,$AQ22)&lt;Shifts!$B$3,IF($AR22="",Shifts!$B$3,$AR22)&lt;Shifts!$B$3),"⛔ &lt;"&amp;Shifts!$B$3&amp;" h","")</f>
        <v/>
      </c>
      <c r="L22">
        <f>IF(7-(IF($R22="",0,IF($R22&gt;0,1,0))+IF($S22="",0,IF($S22&gt;0,1,0))+IF($T22="",0,IF($T22&gt;0,1,0))+IF($U22="",0,IF($U22&gt;0,1,0))+IF($V22="",0,IF($V22&gt;0,1,0))+IF($W22="",0,IF($W22&gt;0,1,0))+IF($X22="",0,IF($X22&gt;0,1,0)))=0,"⛔ 0 days off",IF(7-(IF($R22="",0,IF($R22&gt;0,1,0))+IF($S22="",0,IF($S22&gt;0,1,0))+IF($T22="",0,IF($T22&gt;0,1,0))+IF($U22="",0,IF($U22&gt;0,1,0))+IF($V22="",0,IF($V22&gt;0,1,0))+IF($W22="",0,IF($W22&gt;0,1,0))+IF($X22="",0,IF($X22&gt;0,1,0)))=1,"⚠ 6 days on: a 7th day in a row is premium pay in CA",""))</f>
        <v/>
      </c>
      <c r="M22">
        <f>IF(OR($I22="",$J22=""),"",IF($I22&gt;$J22,"⛔ +"&amp;TEXT($I22-$J22,"0")&amp;" h",""))</f>
        <v/>
      </c>
      <c r="N22">
        <f>IF($O22="Y",IF(OR(IF($R22="",0,$R22)&gt;8,IF($S22="",0,$S22)&gt;8,IF($T22="",0,$T22)&gt;8,IF($U22="",0,$U22)&gt;8,IF($V22="",0,$V22)&gt;8,IF($W22="",0,$W22)&gt;8,IF($X22="",0,$X22)&gt;8),"⛔ shift &gt; 8 h (MINOR)",""),IF(OR(IF($R22="",0,$R22)&gt;Shifts!$B$2,IF($S22="",0,$S22)&gt;Shifts!$B$2,IF($T22="",0,$T22)&gt;Shifts!$B$2,IF($U22="",0,$U22)&gt;Shifts!$B$2,IF($V22="",0,$V22)&gt;Shifts!$B$2,IF($W22="",0,$W22)&gt;Shifts!$B$2,IF($X22="",0,$X22)&gt;Shifts!$B$2),"⛔ shift &gt; "&amp;Shifts!$B$2&amp;" h",""))</f>
        <v/>
      </c>
      <c r="O22" s="54" t="n"/>
      <c r="P22" s="55">
        <f>IF($O22&lt;&gt;"Y","",IF(OR($B22="N",$B22="DBL",$C22="N",$C22="DBL",$D22="N",$D22="DBL",$E22="N",$E22="DBL",$F22="N",$F22="DBL",$G22="N",$G22="DBL",$H22="N",$H22="DBL"),"⛔ MINOR: no night or double shifts (29 CFR 570.35)","⚠ minor: check federal and state hour limits"))</f>
        <v/>
      </c>
      <c r="R22">
        <f>IF($B22="","",IFERROR(VLOOKUP($B22,Shifts!$A$5:$E$12,5,FALSE),0))</f>
        <v/>
      </c>
      <c r="S22">
        <f>IF($C22="","",IFERROR(VLOOKUP($C22,Shifts!$A$5:$E$12,5,FALSE),0))</f>
        <v/>
      </c>
      <c r="T22">
        <f>IF($D22="","",IFERROR(VLOOKUP($D22,Shifts!$A$5:$E$12,5,FALSE),0))</f>
        <v/>
      </c>
      <c r="U22">
        <f>IF($E22="","",IFERROR(VLOOKUP($E22,Shifts!$A$5:$E$12,5,FALSE),0))</f>
        <v/>
      </c>
      <c r="V22">
        <f>IF($F22="","",IFERROR(VLOOKUP($F22,Shifts!$A$5:$E$12,5,FALSE),0))</f>
        <v/>
      </c>
      <c r="W22">
        <f>IF($G22="","",IFERROR(VLOOKUP($G22,Shifts!$A$5:$E$12,5,FALSE),0))</f>
        <v/>
      </c>
      <c r="X22">
        <f>IF($H22="","",IFERROR(VLOOKUP($H22,Shifts!$A$5:$E$12,5,FALSE),0))</f>
        <v/>
      </c>
      <c r="Y22">
        <f>IF($B22="","",IFERROR(VLOOKUP($B22,Shifts!$A$5:$E$12,3,FALSE),0))</f>
        <v/>
      </c>
      <c r="Z22">
        <f>IF($C22="","",IFERROR(VLOOKUP($C22,Shifts!$A$5:$E$12,3,FALSE),0))</f>
        <v/>
      </c>
      <c r="AA22">
        <f>IF($D22="","",IFERROR(VLOOKUP($D22,Shifts!$A$5:$E$12,3,FALSE),0))</f>
        <v/>
      </c>
      <c r="AB22">
        <f>IF($E22="","",IFERROR(VLOOKUP($E22,Shifts!$A$5:$E$12,3,FALSE),0))</f>
        <v/>
      </c>
      <c r="AC22">
        <f>IF($F22="","",IFERROR(VLOOKUP($F22,Shifts!$A$5:$E$12,3,FALSE),0))</f>
        <v/>
      </c>
      <c r="AD22">
        <f>IF($G22="","",IFERROR(VLOOKUP($G22,Shifts!$A$5:$E$12,3,FALSE),0))</f>
        <v/>
      </c>
      <c r="AE22">
        <f>IF($H22="","",IFERROR(VLOOKUP($H22,Shifts!$A$5:$E$12,3,FALSE),0))</f>
        <v/>
      </c>
      <c r="AF22">
        <f>IF($B22="","",IFERROR(VLOOKUP($B22,Shifts!$A$5:$E$12,4,FALSE),0))</f>
        <v/>
      </c>
      <c r="AG22">
        <f>IF($C22="","",IFERROR(VLOOKUP($C22,Shifts!$A$5:$E$12,4,FALSE),0))</f>
        <v/>
      </c>
      <c r="AH22">
        <f>IF($D22="","",IFERROR(VLOOKUP($D22,Shifts!$A$5:$E$12,4,FALSE),0))</f>
        <v/>
      </c>
      <c r="AI22">
        <f>IF($E22="","",IFERROR(VLOOKUP($E22,Shifts!$A$5:$E$12,4,FALSE),0))</f>
        <v/>
      </c>
      <c r="AJ22">
        <f>IF($F22="","",IFERROR(VLOOKUP($F22,Shifts!$A$5:$E$12,4,FALSE),0))</f>
        <v/>
      </c>
      <c r="AK22">
        <f>IF($G22="","",IFERROR(VLOOKUP($G22,Shifts!$A$5:$E$12,4,FALSE),0))</f>
        <v/>
      </c>
      <c r="AL22">
        <f>IF($H22="","",IFERROR(VLOOKUP($H22,Shifts!$A$5:$E$12,4,FALSE),0))</f>
        <v/>
      </c>
      <c r="AM22">
        <f>IF(OR($R22="",$S22="",$R22=0,$S22=0),"",ROUND(IF($AF22&lt;=$Y22,$Z22-$AF22,1-$AF22+$Z22)*24,2))</f>
        <v/>
      </c>
      <c r="AN22">
        <f>IF(OR($S22="",$T22="",$S22=0,$T22=0),"",ROUND(IF($AG22&lt;=$Z22,$AA22-$AG22,1-$AG22+$AA22)*24,2))</f>
        <v/>
      </c>
      <c r="AO22">
        <f>IF(OR($T22="",$U22="",$T22=0,$U22=0),"",ROUND(IF($AH22&lt;=$AA22,$AB22-$AH22,1-$AH22+$AB22)*24,2))</f>
        <v/>
      </c>
      <c r="AP22">
        <f>IF(OR($U22="",$V22="",$U22=0,$V22=0),"",ROUND(IF($AI22&lt;=$AB22,$AC22-$AI22,1-$AI22+$AC22)*24,2))</f>
        <v/>
      </c>
      <c r="AQ22">
        <f>IF(OR($V22="",$W22="",$V22=0,$W22=0),"",ROUND(IF($AJ22&lt;=$AC22,$AD22-$AJ22,1-$AJ22+$AD22)*24,2))</f>
        <v/>
      </c>
      <c r="AR22">
        <f>IF(OR($W22="",$X22="",$W22=0,$X22=0),"",ROUND(IF($AK22&lt;=$AD22,$AE22-$AK22,1-$AK22+$AE22)*24,2))</f>
        <v/>
      </c>
    </row>
    <row r="23">
      <c r="A23" s="50" t="n"/>
      <c r="B23" s="51" t="n"/>
      <c r="C23" s="51" t="n"/>
      <c r="D23" s="51" t="n"/>
      <c r="E23" s="51" t="n"/>
      <c r="F23" s="51" t="n"/>
      <c r="G23" s="51" t="n"/>
      <c r="H23" s="51" t="n"/>
      <c r="I23" s="52">
        <f>IF(COUNT($R23:$X23)=0,"",ROUND(SUM($R23:$X23),2))</f>
        <v/>
      </c>
      <c r="J23" s="53" t="n">
        <v>40</v>
      </c>
      <c r="K23">
        <f>IF(OR(IF($AM23="",Shifts!$B$3,$AM23)&lt;Shifts!$B$3,IF($AN23="",Shifts!$B$3,$AN23)&lt;Shifts!$B$3,IF($AO23="",Shifts!$B$3,$AO23)&lt;Shifts!$B$3,IF($AP23="",Shifts!$B$3,$AP23)&lt;Shifts!$B$3,IF($AQ23="",Shifts!$B$3,$AQ23)&lt;Shifts!$B$3,IF($AR23="",Shifts!$B$3,$AR23)&lt;Shifts!$B$3),"⛔ &lt;"&amp;Shifts!$B$3&amp;" h","")</f>
        <v/>
      </c>
      <c r="L23">
        <f>IF(7-(IF($R23="",0,IF($R23&gt;0,1,0))+IF($S23="",0,IF($S23&gt;0,1,0))+IF($T23="",0,IF($T23&gt;0,1,0))+IF($U23="",0,IF($U23&gt;0,1,0))+IF($V23="",0,IF($V23&gt;0,1,0))+IF($W23="",0,IF($W23&gt;0,1,0))+IF($X23="",0,IF($X23&gt;0,1,0)))=0,"⛔ 0 days off",IF(7-(IF($R23="",0,IF($R23&gt;0,1,0))+IF($S23="",0,IF($S23&gt;0,1,0))+IF($T23="",0,IF($T23&gt;0,1,0))+IF($U23="",0,IF($U23&gt;0,1,0))+IF($V23="",0,IF($V23&gt;0,1,0))+IF($W23="",0,IF($W23&gt;0,1,0))+IF($X23="",0,IF($X23&gt;0,1,0)))=1,"⚠ 6 days on: a 7th day in a row is premium pay in CA",""))</f>
        <v/>
      </c>
      <c r="M23">
        <f>IF(OR($I23="",$J23=""),"",IF($I23&gt;$J23,"⛔ +"&amp;TEXT($I23-$J23,"0")&amp;" h",""))</f>
        <v/>
      </c>
      <c r="N23">
        <f>IF($O23="Y",IF(OR(IF($R23="",0,$R23)&gt;8,IF($S23="",0,$S23)&gt;8,IF($T23="",0,$T23)&gt;8,IF($U23="",0,$U23)&gt;8,IF($V23="",0,$V23)&gt;8,IF($W23="",0,$W23)&gt;8,IF($X23="",0,$X23)&gt;8),"⛔ shift &gt; 8 h (MINOR)",""),IF(OR(IF($R23="",0,$R23)&gt;Shifts!$B$2,IF($S23="",0,$S23)&gt;Shifts!$B$2,IF($T23="",0,$T23)&gt;Shifts!$B$2,IF($U23="",0,$U23)&gt;Shifts!$B$2,IF($V23="",0,$V23)&gt;Shifts!$B$2,IF($W23="",0,$W23)&gt;Shifts!$B$2,IF($X23="",0,$X23)&gt;Shifts!$B$2),"⛔ shift &gt; "&amp;Shifts!$B$2&amp;" h",""))</f>
        <v/>
      </c>
      <c r="O23" s="54" t="n"/>
      <c r="P23" s="55">
        <f>IF($O23&lt;&gt;"Y","",IF(OR($B23="N",$B23="DBL",$C23="N",$C23="DBL",$D23="N",$D23="DBL",$E23="N",$E23="DBL",$F23="N",$F23="DBL",$G23="N",$G23="DBL",$H23="N",$H23="DBL"),"⛔ MINOR: no night or double shifts (29 CFR 570.35)","⚠ minor: check federal and state hour limits"))</f>
        <v/>
      </c>
      <c r="R23">
        <f>IF($B23="","",IFERROR(VLOOKUP($B23,Shifts!$A$5:$E$12,5,FALSE),0))</f>
        <v/>
      </c>
      <c r="S23">
        <f>IF($C23="","",IFERROR(VLOOKUP($C23,Shifts!$A$5:$E$12,5,FALSE),0))</f>
        <v/>
      </c>
      <c r="T23">
        <f>IF($D23="","",IFERROR(VLOOKUP($D23,Shifts!$A$5:$E$12,5,FALSE),0))</f>
        <v/>
      </c>
      <c r="U23">
        <f>IF($E23="","",IFERROR(VLOOKUP($E23,Shifts!$A$5:$E$12,5,FALSE),0))</f>
        <v/>
      </c>
      <c r="V23">
        <f>IF($F23="","",IFERROR(VLOOKUP($F23,Shifts!$A$5:$E$12,5,FALSE),0))</f>
        <v/>
      </c>
      <c r="W23">
        <f>IF($G23="","",IFERROR(VLOOKUP($G23,Shifts!$A$5:$E$12,5,FALSE),0))</f>
        <v/>
      </c>
      <c r="X23">
        <f>IF($H23="","",IFERROR(VLOOKUP($H23,Shifts!$A$5:$E$12,5,FALSE),0))</f>
        <v/>
      </c>
      <c r="Y23">
        <f>IF($B23="","",IFERROR(VLOOKUP($B23,Shifts!$A$5:$E$12,3,FALSE),0))</f>
        <v/>
      </c>
      <c r="Z23">
        <f>IF($C23="","",IFERROR(VLOOKUP($C23,Shifts!$A$5:$E$12,3,FALSE),0))</f>
        <v/>
      </c>
      <c r="AA23">
        <f>IF($D23="","",IFERROR(VLOOKUP($D23,Shifts!$A$5:$E$12,3,FALSE),0))</f>
        <v/>
      </c>
      <c r="AB23">
        <f>IF($E23="","",IFERROR(VLOOKUP($E23,Shifts!$A$5:$E$12,3,FALSE),0))</f>
        <v/>
      </c>
      <c r="AC23">
        <f>IF($F23="","",IFERROR(VLOOKUP($F23,Shifts!$A$5:$E$12,3,FALSE),0))</f>
        <v/>
      </c>
      <c r="AD23">
        <f>IF($G23="","",IFERROR(VLOOKUP($G23,Shifts!$A$5:$E$12,3,FALSE),0))</f>
        <v/>
      </c>
      <c r="AE23">
        <f>IF($H23="","",IFERROR(VLOOKUP($H23,Shifts!$A$5:$E$12,3,FALSE),0))</f>
        <v/>
      </c>
      <c r="AF23">
        <f>IF($B23="","",IFERROR(VLOOKUP($B23,Shifts!$A$5:$E$12,4,FALSE),0))</f>
        <v/>
      </c>
      <c r="AG23">
        <f>IF($C23="","",IFERROR(VLOOKUP($C23,Shifts!$A$5:$E$12,4,FALSE),0))</f>
        <v/>
      </c>
      <c r="AH23">
        <f>IF($D23="","",IFERROR(VLOOKUP($D23,Shifts!$A$5:$E$12,4,FALSE),0))</f>
        <v/>
      </c>
      <c r="AI23">
        <f>IF($E23="","",IFERROR(VLOOKUP($E23,Shifts!$A$5:$E$12,4,FALSE),0))</f>
        <v/>
      </c>
      <c r="AJ23">
        <f>IF($F23="","",IFERROR(VLOOKUP($F23,Shifts!$A$5:$E$12,4,FALSE),0))</f>
        <v/>
      </c>
      <c r="AK23">
        <f>IF($G23="","",IFERROR(VLOOKUP($G23,Shifts!$A$5:$E$12,4,FALSE),0))</f>
        <v/>
      </c>
      <c r="AL23">
        <f>IF($H23="","",IFERROR(VLOOKUP($H23,Shifts!$A$5:$E$12,4,FALSE),0))</f>
        <v/>
      </c>
      <c r="AM23">
        <f>IF(OR($R23="",$S23="",$R23=0,$S23=0),"",ROUND(IF($AF23&lt;=$Y23,$Z23-$AF23,1-$AF23+$Z23)*24,2))</f>
        <v/>
      </c>
      <c r="AN23">
        <f>IF(OR($S23="",$T23="",$S23=0,$T23=0),"",ROUND(IF($AG23&lt;=$Z23,$AA23-$AG23,1-$AG23+$AA23)*24,2))</f>
        <v/>
      </c>
      <c r="AO23">
        <f>IF(OR($T23="",$U23="",$T23=0,$U23=0),"",ROUND(IF($AH23&lt;=$AA23,$AB23-$AH23,1-$AH23+$AB23)*24,2))</f>
        <v/>
      </c>
      <c r="AP23">
        <f>IF(OR($U23="",$V23="",$U23=0,$V23=0),"",ROUND(IF($AI23&lt;=$AB23,$AC23-$AI23,1-$AI23+$AC23)*24,2))</f>
        <v/>
      </c>
      <c r="AQ23">
        <f>IF(OR($V23="",$W23="",$V23=0,$W23=0),"",ROUND(IF($AJ23&lt;=$AC23,$AD23-$AJ23,1-$AJ23+$AD23)*24,2))</f>
        <v/>
      </c>
      <c r="AR23">
        <f>IF(OR($W23="",$X23="",$W23=0,$X23=0),"",ROUND(IF($AK23&lt;=$AD23,$AE23-$AK23,1-$AK23+$AE23)*24,2))</f>
        <v/>
      </c>
    </row>
    <row r="24">
      <c r="A24" s="50" t="n"/>
      <c r="B24" s="51" t="n"/>
      <c r="C24" s="51" t="n"/>
      <c r="D24" s="51" t="n"/>
      <c r="E24" s="51" t="n"/>
      <c r="F24" s="51" t="n"/>
      <c r="G24" s="51" t="n"/>
      <c r="H24" s="51" t="n"/>
      <c r="I24" s="52">
        <f>IF(COUNT($R24:$X24)=0,"",ROUND(SUM($R24:$X24),2))</f>
        <v/>
      </c>
      <c r="J24" s="53" t="n">
        <v>40</v>
      </c>
      <c r="K24">
        <f>IF(OR(IF($AM24="",Shifts!$B$3,$AM24)&lt;Shifts!$B$3,IF($AN24="",Shifts!$B$3,$AN24)&lt;Shifts!$B$3,IF($AO24="",Shifts!$B$3,$AO24)&lt;Shifts!$B$3,IF($AP24="",Shifts!$B$3,$AP24)&lt;Shifts!$B$3,IF($AQ24="",Shifts!$B$3,$AQ24)&lt;Shifts!$B$3,IF($AR24="",Shifts!$B$3,$AR24)&lt;Shifts!$B$3),"⛔ &lt;"&amp;Shifts!$B$3&amp;" h","")</f>
        <v/>
      </c>
      <c r="L24">
        <f>IF(7-(IF($R24="",0,IF($R24&gt;0,1,0))+IF($S24="",0,IF($S24&gt;0,1,0))+IF($T24="",0,IF($T24&gt;0,1,0))+IF($U24="",0,IF($U24&gt;0,1,0))+IF($V24="",0,IF($V24&gt;0,1,0))+IF($W24="",0,IF($W24&gt;0,1,0))+IF($X24="",0,IF($X24&gt;0,1,0)))=0,"⛔ 0 days off",IF(7-(IF($R24="",0,IF($R24&gt;0,1,0))+IF($S24="",0,IF($S24&gt;0,1,0))+IF($T24="",0,IF($T24&gt;0,1,0))+IF($U24="",0,IF($U24&gt;0,1,0))+IF($V24="",0,IF($V24&gt;0,1,0))+IF($W24="",0,IF($W24&gt;0,1,0))+IF($X24="",0,IF($X24&gt;0,1,0)))=1,"⚠ 6 days on: a 7th day in a row is premium pay in CA",""))</f>
        <v/>
      </c>
      <c r="M24">
        <f>IF(OR($I24="",$J24=""),"",IF($I24&gt;$J24,"⛔ +"&amp;TEXT($I24-$J24,"0")&amp;" h",""))</f>
        <v/>
      </c>
      <c r="N24">
        <f>IF($O24="Y",IF(OR(IF($R24="",0,$R24)&gt;8,IF($S24="",0,$S24)&gt;8,IF($T24="",0,$T24)&gt;8,IF($U24="",0,$U24)&gt;8,IF($V24="",0,$V24)&gt;8,IF($W24="",0,$W24)&gt;8,IF($X24="",0,$X24)&gt;8),"⛔ shift &gt; 8 h (MINOR)",""),IF(OR(IF($R24="",0,$R24)&gt;Shifts!$B$2,IF($S24="",0,$S24)&gt;Shifts!$B$2,IF($T24="",0,$T24)&gt;Shifts!$B$2,IF($U24="",0,$U24)&gt;Shifts!$B$2,IF($V24="",0,$V24)&gt;Shifts!$B$2,IF($W24="",0,$W24)&gt;Shifts!$B$2,IF($X24="",0,$X24)&gt;Shifts!$B$2),"⛔ shift &gt; "&amp;Shifts!$B$2&amp;" h",""))</f>
        <v/>
      </c>
      <c r="O24" s="54" t="n"/>
      <c r="P24" s="55">
        <f>IF($O24&lt;&gt;"Y","",IF(OR($B24="N",$B24="DBL",$C24="N",$C24="DBL",$D24="N",$D24="DBL",$E24="N",$E24="DBL",$F24="N",$F24="DBL",$G24="N",$G24="DBL",$H24="N",$H24="DBL"),"⛔ MINOR: no night or double shifts (29 CFR 570.35)","⚠ minor: check federal and state hour limits"))</f>
        <v/>
      </c>
      <c r="R24">
        <f>IF($B24="","",IFERROR(VLOOKUP($B24,Shifts!$A$5:$E$12,5,FALSE),0))</f>
        <v/>
      </c>
      <c r="S24">
        <f>IF($C24="","",IFERROR(VLOOKUP($C24,Shifts!$A$5:$E$12,5,FALSE),0))</f>
        <v/>
      </c>
      <c r="T24">
        <f>IF($D24="","",IFERROR(VLOOKUP($D24,Shifts!$A$5:$E$12,5,FALSE),0))</f>
        <v/>
      </c>
      <c r="U24">
        <f>IF($E24="","",IFERROR(VLOOKUP($E24,Shifts!$A$5:$E$12,5,FALSE),0))</f>
        <v/>
      </c>
      <c r="V24">
        <f>IF($F24="","",IFERROR(VLOOKUP($F24,Shifts!$A$5:$E$12,5,FALSE),0))</f>
        <v/>
      </c>
      <c r="W24">
        <f>IF($G24="","",IFERROR(VLOOKUP($G24,Shifts!$A$5:$E$12,5,FALSE),0))</f>
        <v/>
      </c>
      <c r="X24">
        <f>IF($H24="","",IFERROR(VLOOKUP($H24,Shifts!$A$5:$E$12,5,FALSE),0))</f>
        <v/>
      </c>
      <c r="Y24">
        <f>IF($B24="","",IFERROR(VLOOKUP($B24,Shifts!$A$5:$E$12,3,FALSE),0))</f>
        <v/>
      </c>
      <c r="Z24">
        <f>IF($C24="","",IFERROR(VLOOKUP($C24,Shifts!$A$5:$E$12,3,FALSE),0))</f>
        <v/>
      </c>
      <c r="AA24">
        <f>IF($D24="","",IFERROR(VLOOKUP($D24,Shifts!$A$5:$E$12,3,FALSE),0))</f>
        <v/>
      </c>
      <c r="AB24">
        <f>IF($E24="","",IFERROR(VLOOKUP($E24,Shifts!$A$5:$E$12,3,FALSE),0))</f>
        <v/>
      </c>
      <c r="AC24">
        <f>IF($F24="","",IFERROR(VLOOKUP($F24,Shifts!$A$5:$E$12,3,FALSE),0))</f>
        <v/>
      </c>
      <c r="AD24">
        <f>IF($G24="","",IFERROR(VLOOKUP($G24,Shifts!$A$5:$E$12,3,FALSE),0))</f>
        <v/>
      </c>
      <c r="AE24">
        <f>IF($H24="","",IFERROR(VLOOKUP($H24,Shifts!$A$5:$E$12,3,FALSE),0))</f>
        <v/>
      </c>
      <c r="AF24">
        <f>IF($B24="","",IFERROR(VLOOKUP($B24,Shifts!$A$5:$E$12,4,FALSE),0))</f>
        <v/>
      </c>
      <c r="AG24">
        <f>IF($C24="","",IFERROR(VLOOKUP($C24,Shifts!$A$5:$E$12,4,FALSE),0))</f>
        <v/>
      </c>
      <c r="AH24">
        <f>IF($D24="","",IFERROR(VLOOKUP($D24,Shifts!$A$5:$E$12,4,FALSE),0))</f>
        <v/>
      </c>
      <c r="AI24">
        <f>IF($E24="","",IFERROR(VLOOKUP($E24,Shifts!$A$5:$E$12,4,FALSE),0))</f>
        <v/>
      </c>
      <c r="AJ24">
        <f>IF($F24="","",IFERROR(VLOOKUP($F24,Shifts!$A$5:$E$12,4,FALSE),0))</f>
        <v/>
      </c>
      <c r="AK24">
        <f>IF($G24="","",IFERROR(VLOOKUP($G24,Shifts!$A$5:$E$12,4,FALSE),0))</f>
        <v/>
      </c>
      <c r="AL24">
        <f>IF($H24="","",IFERROR(VLOOKUP($H24,Shifts!$A$5:$E$12,4,FALSE),0))</f>
        <v/>
      </c>
      <c r="AM24">
        <f>IF(OR($R24="",$S24="",$R24=0,$S24=0),"",ROUND(IF($AF24&lt;=$Y24,$Z24-$AF24,1-$AF24+$Z24)*24,2))</f>
        <v/>
      </c>
      <c r="AN24">
        <f>IF(OR($S24="",$T24="",$S24=0,$T24=0),"",ROUND(IF($AG24&lt;=$Z24,$AA24-$AG24,1-$AG24+$AA24)*24,2))</f>
        <v/>
      </c>
      <c r="AO24">
        <f>IF(OR($T24="",$U24="",$T24=0,$U24=0),"",ROUND(IF($AH24&lt;=$AA24,$AB24-$AH24,1-$AH24+$AB24)*24,2))</f>
        <v/>
      </c>
      <c r="AP24">
        <f>IF(OR($U24="",$V24="",$U24=0,$V24=0),"",ROUND(IF($AI24&lt;=$AB24,$AC24-$AI24,1-$AI24+$AC24)*24,2))</f>
        <v/>
      </c>
      <c r="AQ24">
        <f>IF(OR($V24="",$W24="",$V24=0,$W24=0),"",ROUND(IF($AJ24&lt;=$AC24,$AD24-$AJ24,1-$AJ24+$AD24)*24,2))</f>
        <v/>
      </c>
      <c r="AR24">
        <f>IF(OR($W24="",$X24="",$W24=0,$X24=0),"",ROUND(IF($AK24&lt;=$AD24,$AE24-$AK24,1-$AK24+$AE24)*24,2))</f>
        <v/>
      </c>
    </row>
    <row r="25">
      <c r="A25" s="50" t="n"/>
      <c r="B25" s="51" t="n"/>
      <c r="C25" s="51" t="n"/>
      <c r="D25" s="51" t="n"/>
      <c r="E25" s="51" t="n"/>
      <c r="F25" s="51" t="n"/>
      <c r="G25" s="51" t="n"/>
      <c r="H25" s="51" t="n"/>
      <c r="I25" s="52">
        <f>IF(COUNT($R25:$X25)=0,"",ROUND(SUM($R25:$X25),2))</f>
        <v/>
      </c>
      <c r="J25" s="53" t="n">
        <v>40</v>
      </c>
      <c r="K25">
        <f>IF(OR(IF($AM25="",Shifts!$B$3,$AM25)&lt;Shifts!$B$3,IF($AN25="",Shifts!$B$3,$AN25)&lt;Shifts!$B$3,IF($AO25="",Shifts!$B$3,$AO25)&lt;Shifts!$B$3,IF($AP25="",Shifts!$B$3,$AP25)&lt;Shifts!$B$3,IF($AQ25="",Shifts!$B$3,$AQ25)&lt;Shifts!$B$3,IF($AR25="",Shifts!$B$3,$AR25)&lt;Shifts!$B$3),"⛔ &lt;"&amp;Shifts!$B$3&amp;" h","")</f>
        <v/>
      </c>
      <c r="L25">
        <f>IF(7-(IF($R25="",0,IF($R25&gt;0,1,0))+IF($S25="",0,IF($S25&gt;0,1,0))+IF($T25="",0,IF($T25&gt;0,1,0))+IF($U25="",0,IF($U25&gt;0,1,0))+IF($V25="",0,IF($V25&gt;0,1,0))+IF($W25="",0,IF($W25&gt;0,1,0))+IF($X25="",0,IF($X25&gt;0,1,0)))=0,"⛔ 0 days off",IF(7-(IF($R25="",0,IF($R25&gt;0,1,0))+IF($S25="",0,IF($S25&gt;0,1,0))+IF($T25="",0,IF($T25&gt;0,1,0))+IF($U25="",0,IF($U25&gt;0,1,0))+IF($V25="",0,IF($V25&gt;0,1,0))+IF($W25="",0,IF($W25&gt;0,1,0))+IF($X25="",0,IF($X25&gt;0,1,0)))=1,"⚠ 6 days on: a 7th day in a row is premium pay in CA",""))</f>
        <v/>
      </c>
      <c r="M25">
        <f>IF(OR($I25="",$J25=""),"",IF($I25&gt;$J25,"⛔ +"&amp;TEXT($I25-$J25,"0")&amp;" h",""))</f>
        <v/>
      </c>
      <c r="N25">
        <f>IF($O25="Y",IF(OR(IF($R25="",0,$R25)&gt;8,IF($S25="",0,$S25)&gt;8,IF($T25="",0,$T25)&gt;8,IF($U25="",0,$U25)&gt;8,IF($V25="",0,$V25)&gt;8,IF($W25="",0,$W25)&gt;8,IF($X25="",0,$X25)&gt;8),"⛔ shift &gt; 8 h (MINOR)",""),IF(OR(IF($R25="",0,$R25)&gt;Shifts!$B$2,IF($S25="",0,$S25)&gt;Shifts!$B$2,IF($T25="",0,$T25)&gt;Shifts!$B$2,IF($U25="",0,$U25)&gt;Shifts!$B$2,IF($V25="",0,$V25)&gt;Shifts!$B$2,IF($W25="",0,$W25)&gt;Shifts!$B$2,IF($X25="",0,$X25)&gt;Shifts!$B$2),"⛔ shift &gt; "&amp;Shifts!$B$2&amp;" h",""))</f>
        <v/>
      </c>
      <c r="O25" s="54" t="n"/>
      <c r="P25" s="55">
        <f>IF($O25&lt;&gt;"Y","",IF(OR($B25="N",$B25="DBL",$C25="N",$C25="DBL",$D25="N",$D25="DBL",$E25="N",$E25="DBL",$F25="N",$F25="DBL",$G25="N",$G25="DBL",$H25="N",$H25="DBL"),"⛔ MINOR: no night or double shifts (29 CFR 570.35)","⚠ minor: check federal and state hour limits"))</f>
        <v/>
      </c>
      <c r="R25">
        <f>IF($B25="","",IFERROR(VLOOKUP($B25,Shifts!$A$5:$E$12,5,FALSE),0))</f>
        <v/>
      </c>
      <c r="S25">
        <f>IF($C25="","",IFERROR(VLOOKUP($C25,Shifts!$A$5:$E$12,5,FALSE),0))</f>
        <v/>
      </c>
      <c r="T25">
        <f>IF($D25="","",IFERROR(VLOOKUP($D25,Shifts!$A$5:$E$12,5,FALSE),0))</f>
        <v/>
      </c>
      <c r="U25">
        <f>IF($E25="","",IFERROR(VLOOKUP($E25,Shifts!$A$5:$E$12,5,FALSE),0))</f>
        <v/>
      </c>
      <c r="V25">
        <f>IF($F25="","",IFERROR(VLOOKUP($F25,Shifts!$A$5:$E$12,5,FALSE),0))</f>
        <v/>
      </c>
      <c r="W25">
        <f>IF($G25="","",IFERROR(VLOOKUP($G25,Shifts!$A$5:$E$12,5,FALSE),0))</f>
        <v/>
      </c>
      <c r="X25">
        <f>IF($H25="","",IFERROR(VLOOKUP($H25,Shifts!$A$5:$E$12,5,FALSE),0))</f>
        <v/>
      </c>
      <c r="Y25">
        <f>IF($B25="","",IFERROR(VLOOKUP($B25,Shifts!$A$5:$E$12,3,FALSE),0))</f>
        <v/>
      </c>
      <c r="Z25">
        <f>IF($C25="","",IFERROR(VLOOKUP($C25,Shifts!$A$5:$E$12,3,FALSE),0))</f>
        <v/>
      </c>
      <c r="AA25">
        <f>IF($D25="","",IFERROR(VLOOKUP($D25,Shifts!$A$5:$E$12,3,FALSE),0))</f>
        <v/>
      </c>
      <c r="AB25">
        <f>IF($E25="","",IFERROR(VLOOKUP($E25,Shifts!$A$5:$E$12,3,FALSE),0))</f>
        <v/>
      </c>
      <c r="AC25">
        <f>IF($F25="","",IFERROR(VLOOKUP($F25,Shifts!$A$5:$E$12,3,FALSE),0))</f>
        <v/>
      </c>
      <c r="AD25">
        <f>IF($G25="","",IFERROR(VLOOKUP($G25,Shifts!$A$5:$E$12,3,FALSE),0))</f>
        <v/>
      </c>
      <c r="AE25">
        <f>IF($H25="","",IFERROR(VLOOKUP($H25,Shifts!$A$5:$E$12,3,FALSE),0))</f>
        <v/>
      </c>
      <c r="AF25">
        <f>IF($B25="","",IFERROR(VLOOKUP($B25,Shifts!$A$5:$E$12,4,FALSE),0))</f>
        <v/>
      </c>
      <c r="AG25">
        <f>IF($C25="","",IFERROR(VLOOKUP($C25,Shifts!$A$5:$E$12,4,FALSE),0))</f>
        <v/>
      </c>
      <c r="AH25">
        <f>IF($D25="","",IFERROR(VLOOKUP($D25,Shifts!$A$5:$E$12,4,FALSE),0))</f>
        <v/>
      </c>
      <c r="AI25">
        <f>IF($E25="","",IFERROR(VLOOKUP($E25,Shifts!$A$5:$E$12,4,FALSE),0))</f>
        <v/>
      </c>
      <c r="AJ25">
        <f>IF($F25="","",IFERROR(VLOOKUP($F25,Shifts!$A$5:$E$12,4,FALSE),0))</f>
        <v/>
      </c>
      <c r="AK25">
        <f>IF($G25="","",IFERROR(VLOOKUP($G25,Shifts!$A$5:$E$12,4,FALSE),0))</f>
        <v/>
      </c>
      <c r="AL25">
        <f>IF($H25="","",IFERROR(VLOOKUP($H25,Shifts!$A$5:$E$12,4,FALSE),0))</f>
        <v/>
      </c>
      <c r="AM25">
        <f>IF(OR($R25="",$S25="",$R25=0,$S25=0),"",ROUND(IF($AF25&lt;=$Y25,$Z25-$AF25,1-$AF25+$Z25)*24,2))</f>
        <v/>
      </c>
      <c r="AN25">
        <f>IF(OR($S25="",$T25="",$S25=0,$T25=0),"",ROUND(IF($AG25&lt;=$Z25,$AA25-$AG25,1-$AG25+$AA25)*24,2))</f>
        <v/>
      </c>
      <c r="AO25">
        <f>IF(OR($T25="",$U25="",$T25=0,$U25=0),"",ROUND(IF($AH25&lt;=$AA25,$AB25-$AH25,1-$AH25+$AB25)*24,2))</f>
        <v/>
      </c>
      <c r="AP25">
        <f>IF(OR($U25="",$V25="",$U25=0,$V25=0),"",ROUND(IF($AI25&lt;=$AB25,$AC25-$AI25,1-$AI25+$AC25)*24,2))</f>
        <v/>
      </c>
      <c r="AQ25">
        <f>IF(OR($V25="",$W25="",$V25=0,$W25=0),"",ROUND(IF($AJ25&lt;=$AC25,$AD25-$AJ25,1-$AJ25+$AD25)*24,2))</f>
        <v/>
      </c>
      <c r="AR25">
        <f>IF(OR($W25="",$X25="",$W25=0,$X25=0),"",ROUND(IF($AK25&lt;=$AD25,$AE25-$AK25,1-$AK25+$AE25)*24,2))</f>
        <v/>
      </c>
    </row>
    <row r="26">
      <c r="A26" s="50" t="n"/>
      <c r="B26" s="51" t="n"/>
      <c r="C26" s="51" t="n"/>
      <c r="D26" s="51" t="n"/>
      <c r="E26" s="51" t="n"/>
      <c r="F26" s="51" t="n"/>
      <c r="G26" s="51" t="n"/>
      <c r="H26" s="51" t="n"/>
      <c r="I26" s="52">
        <f>IF(COUNT($R26:$X26)=0,"",ROUND(SUM($R26:$X26),2))</f>
        <v/>
      </c>
      <c r="J26" s="53" t="n">
        <v>40</v>
      </c>
      <c r="K26">
        <f>IF(OR(IF($AM26="",Shifts!$B$3,$AM26)&lt;Shifts!$B$3,IF($AN26="",Shifts!$B$3,$AN26)&lt;Shifts!$B$3,IF($AO26="",Shifts!$B$3,$AO26)&lt;Shifts!$B$3,IF($AP26="",Shifts!$B$3,$AP26)&lt;Shifts!$B$3,IF($AQ26="",Shifts!$B$3,$AQ26)&lt;Shifts!$B$3,IF($AR26="",Shifts!$B$3,$AR26)&lt;Shifts!$B$3),"⛔ &lt;"&amp;Shifts!$B$3&amp;" h","")</f>
        <v/>
      </c>
      <c r="L26">
        <f>IF(7-(IF($R26="",0,IF($R26&gt;0,1,0))+IF($S26="",0,IF($S26&gt;0,1,0))+IF($T26="",0,IF($T26&gt;0,1,0))+IF($U26="",0,IF($U26&gt;0,1,0))+IF($V26="",0,IF($V26&gt;0,1,0))+IF($W26="",0,IF($W26&gt;0,1,0))+IF($X26="",0,IF($X26&gt;0,1,0)))=0,"⛔ 0 days off",IF(7-(IF($R26="",0,IF($R26&gt;0,1,0))+IF($S26="",0,IF($S26&gt;0,1,0))+IF($T26="",0,IF($T26&gt;0,1,0))+IF($U26="",0,IF($U26&gt;0,1,0))+IF($V26="",0,IF($V26&gt;0,1,0))+IF($W26="",0,IF($W26&gt;0,1,0))+IF($X26="",0,IF($X26&gt;0,1,0)))=1,"⚠ 6 days on: a 7th day in a row is premium pay in CA",""))</f>
        <v/>
      </c>
      <c r="M26">
        <f>IF(OR($I26="",$J26=""),"",IF($I26&gt;$J26,"⛔ +"&amp;TEXT($I26-$J26,"0")&amp;" h",""))</f>
        <v/>
      </c>
      <c r="N26">
        <f>IF($O26="Y",IF(OR(IF($R26="",0,$R26)&gt;8,IF($S26="",0,$S26)&gt;8,IF($T26="",0,$T26)&gt;8,IF($U26="",0,$U26)&gt;8,IF($V26="",0,$V26)&gt;8,IF($W26="",0,$W26)&gt;8,IF($X26="",0,$X26)&gt;8),"⛔ shift &gt; 8 h (MINOR)",""),IF(OR(IF($R26="",0,$R26)&gt;Shifts!$B$2,IF($S26="",0,$S26)&gt;Shifts!$B$2,IF($T26="",0,$T26)&gt;Shifts!$B$2,IF($U26="",0,$U26)&gt;Shifts!$B$2,IF($V26="",0,$V26)&gt;Shifts!$B$2,IF($W26="",0,$W26)&gt;Shifts!$B$2,IF($X26="",0,$X26)&gt;Shifts!$B$2),"⛔ shift &gt; "&amp;Shifts!$B$2&amp;" h",""))</f>
        <v/>
      </c>
      <c r="O26" s="54" t="n"/>
      <c r="P26" s="55">
        <f>IF($O26&lt;&gt;"Y","",IF(OR($B26="N",$B26="DBL",$C26="N",$C26="DBL",$D26="N",$D26="DBL",$E26="N",$E26="DBL",$F26="N",$F26="DBL",$G26="N",$G26="DBL",$H26="N",$H26="DBL"),"⛔ MINOR: no night or double shifts (29 CFR 570.35)","⚠ minor: check federal and state hour limits"))</f>
        <v/>
      </c>
      <c r="R26">
        <f>IF($B26="","",IFERROR(VLOOKUP($B26,Shifts!$A$5:$E$12,5,FALSE),0))</f>
        <v/>
      </c>
      <c r="S26">
        <f>IF($C26="","",IFERROR(VLOOKUP($C26,Shifts!$A$5:$E$12,5,FALSE),0))</f>
        <v/>
      </c>
      <c r="T26">
        <f>IF($D26="","",IFERROR(VLOOKUP($D26,Shifts!$A$5:$E$12,5,FALSE),0))</f>
        <v/>
      </c>
      <c r="U26">
        <f>IF($E26="","",IFERROR(VLOOKUP($E26,Shifts!$A$5:$E$12,5,FALSE),0))</f>
        <v/>
      </c>
      <c r="V26">
        <f>IF($F26="","",IFERROR(VLOOKUP($F26,Shifts!$A$5:$E$12,5,FALSE),0))</f>
        <v/>
      </c>
      <c r="W26">
        <f>IF($G26="","",IFERROR(VLOOKUP($G26,Shifts!$A$5:$E$12,5,FALSE),0))</f>
        <v/>
      </c>
      <c r="X26">
        <f>IF($H26="","",IFERROR(VLOOKUP($H26,Shifts!$A$5:$E$12,5,FALSE),0))</f>
        <v/>
      </c>
      <c r="Y26">
        <f>IF($B26="","",IFERROR(VLOOKUP($B26,Shifts!$A$5:$E$12,3,FALSE),0))</f>
        <v/>
      </c>
      <c r="Z26">
        <f>IF($C26="","",IFERROR(VLOOKUP($C26,Shifts!$A$5:$E$12,3,FALSE),0))</f>
        <v/>
      </c>
      <c r="AA26">
        <f>IF($D26="","",IFERROR(VLOOKUP($D26,Shifts!$A$5:$E$12,3,FALSE),0))</f>
        <v/>
      </c>
      <c r="AB26">
        <f>IF($E26="","",IFERROR(VLOOKUP($E26,Shifts!$A$5:$E$12,3,FALSE),0))</f>
        <v/>
      </c>
      <c r="AC26">
        <f>IF($F26="","",IFERROR(VLOOKUP($F26,Shifts!$A$5:$E$12,3,FALSE),0))</f>
        <v/>
      </c>
      <c r="AD26">
        <f>IF($G26="","",IFERROR(VLOOKUP($G26,Shifts!$A$5:$E$12,3,FALSE),0))</f>
        <v/>
      </c>
      <c r="AE26">
        <f>IF($H26="","",IFERROR(VLOOKUP($H26,Shifts!$A$5:$E$12,3,FALSE),0))</f>
        <v/>
      </c>
      <c r="AF26">
        <f>IF($B26="","",IFERROR(VLOOKUP($B26,Shifts!$A$5:$E$12,4,FALSE),0))</f>
        <v/>
      </c>
      <c r="AG26">
        <f>IF($C26="","",IFERROR(VLOOKUP($C26,Shifts!$A$5:$E$12,4,FALSE),0))</f>
        <v/>
      </c>
      <c r="AH26">
        <f>IF($D26="","",IFERROR(VLOOKUP($D26,Shifts!$A$5:$E$12,4,FALSE),0))</f>
        <v/>
      </c>
      <c r="AI26">
        <f>IF($E26="","",IFERROR(VLOOKUP($E26,Shifts!$A$5:$E$12,4,FALSE),0))</f>
        <v/>
      </c>
      <c r="AJ26">
        <f>IF($F26="","",IFERROR(VLOOKUP($F26,Shifts!$A$5:$E$12,4,FALSE),0))</f>
        <v/>
      </c>
      <c r="AK26">
        <f>IF($G26="","",IFERROR(VLOOKUP($G26,Shifts!$A$5:$E$12,4,FALSE),0))</f>
        <v/>
      </c>
      <c r="AL26">
        <f>IF($H26="","",IFERROR(VLOOKUP($H26,Shifts!$A$5:$E$12,4,FALSE),0))</f>
        <v/>
      </c>
      <c r="AM26">
        <f>IF(OR($R26="",$S26="",$R26=0,$S26=0),"",ROUND(IF($AF26&lt;=$Y26,$Z26-$AF26,1-$AF26+$Z26)*24,2))</f>
        <v/>
      </c>
      <c r="AN26">
        <f>IF(OR($S26="",$T26="",$S26=0,$T26=0),"",ROUND(IF($AG26&lt;=$Z26,$AA26-$AG26,1-$AG26+$AA26)*24,2))</f>
        <v/>
      </c>
      <c r="AO26">
        <f>IF(OR($T26="",$U26="",$T26=0,$U26=0),"",ROUND(IF($AH26&lt;=$AA26,$AB26-$AH26,1-$AH26+$AB26)*24,2))</f>
        <v/>
      </c>
      <c r="AP26">
        <f>IF(OR($U26="",$V26="",$U26=0,$V26=0),"",ROUND(IF($AI26&lt;=$AB26,$AC26-$AI26,1-$AI26+$AC26)*24,2))</f>
        <v/>
      </c>
      <c r="AQ26">
        <f>IF(OR($V26="",$W26="",$V26=0,$W26=0),"",ROUND(IF($AJ26&lt;=$AC26,$AD26-$AJ26,1-$AJ26+$AD26)*24,2))</f>
        <v/>
      </c>
      <c r="AR26">
        <f>IF(OR($W26="",$X26="",$W26=0,$X26=0),"",ROUND(IF($AK26&lt;=$AD26,$AE26-$AK26,1-$AK26+$AE26)*24,2))</f>
        <v/>
      </c>
    </row>
    <row r="27">
      <c r="A27" s="50" t="n"/>
      <c r="B27" s="51" t="n"/>
      <c r="C27" s="51" t="n"/>
      <c r="D27" s="51" t="n"/>
      <c r="E27" s="51" t="n"/>
      <c r="F27" s="51" t="n"/>
      <c r="G27" s="51" t="n"/>
      <c r="H27" s="51" t="n"/>
      <c r="I27" s="52">
        <f>IF(COUNT($R27:$X27)=0,"",ROUND(SUM($R27:$X27),2))</f>
        <v/>
      </c>
      <c r="J27" s="53" t="n">
        <v>40</v>
      </c>
      <c r="K27">
        <f>IF(OR(IF($AM27="",Shifts!$B$3,$AM27)&lt;Shifts!$B$3,IF($AN27="",Shifts!$B$3,$AN27)&lt;Shifts!$B$3,IF($AO27="",Shifts!$B$3,$AO27)&lt;Shifts!$B$3,IF($AP27="",Shifts!$B$3,$AP27)&lt;Shifts!$B$3,IF($AQ27="",Shifts!$B$3,$AQ27)&lt;Shifts!$B$3,IF($AR27="",Shifts!$B$3,$AR27)&lt;Shifts!$B$3),"⛔ &lt;"&amp;Shifts!$B$3&amp;" h","")</f>
        <v/>
      </c>
      <c r="L27">
        <f>IF(7-(IF($R27="",0,IF($R27&gt;0,1,0))+IF($S27="",0,IF($S27&gt;0,1,0))+IF($T27="",0,IF($T27&gt;0,1,0))+IF($U27="",0,IF($U27&gt;0,1,0))+IF($V27="",0,IF($V27&gt;0,1,0))+IF($W27="",0,IF($W27&gt;0,1,0))+IF($X27="",0,IF($X27&gt;0,1,0)))=0,"⛔ 0 days off",IF(7-(IF($R27="",0,IF($R27&gt;0,1,0))+IF($S27="",0,IF($S27&gt;0,1,0))+IF($T27="",0,IF($T27&gt;0,1,0))+IF($U27="",0,IF($U27&gt;0,1,0))+IF($V27="",0,IF($V27&gt;0,1,0))+IF($W27="",0,IF($W27&gt;0,1,0))+IF($X27="",0,IF($X27&gt;0,1,0)))=1,"⚠ 6 days on: a 7th day in a row is premium pay in CA",""))</f>
        <v/>
      </c>
      <c r="M27">
        <f>IF(OR($I27="",$J27=""),"",IF($I27&gt;$J27,"⛔ +"&amp;TEXT($I27-$J27,"0")&amp;" h",""))</f>
        <v/>
      </c>
      <c r="N27">
        <f>IF($O27="Y",IF(OR(IF($R27="",0,$R27)&gt;8,IF($S27="",0,$S27)&gt;8,IF($T27="",0,$T27)&gt;8,IF($U27="",0,$U27)&gt;8,IF($V27="",0,$V27)&gt;8,IF($W27="",0,$W27)&gt;8,IF($X27="",0,$X27)&gt;8),"⛔ shift &gt; 8 h (MINOR)",""),IF(OR(IF($R27="",0,$R27)&gt;Shifts!$B$2,IF($S27="",0,$S27)&gt;Shifts!$B$2,IF($T27="",0,$T27)&gt;Shifts!$B$2,IF($U27="",0,$U27)&gt;Shifts!$B$2,IF($V27="",0,$V27)&gt;Shifts!$B$2,IF($W27="",0,$W27)&gt;Shifts!$B$2,IF($X27="",0,$X27)&gt;Shifts!$B$2),"⛔ shift &gt; "&amp;Shifts!$B$2&amp;" h",""))</f>
        <v/>
      </c>
      <c r="O27" s="54" t="n"/>
      <c r="P27" s="55">
        <f>IF($O27&lt;&gt;"Y","",IF(OR($B27="N",$B27="DBL",$C27="N",$C27="DBL",$D27="N",$D27="DBL",$E27="N",$E27="DBL",$F27="N",$F27="DBL",$G27="N",$G27="DBL",$H27="N",$H27="DBL"),"⛔ MINOR: no night or double shifts (29 CFR 570.35)","⚠ minor: check federal and state hour limits"))</f>
        <v/>
      </c>
      <c r="R27">
        <f>IF($B27="","",IFERROR(VLOOKUP($B27,Shifts!$A$5:$E$12,5,FALSE),0))</f>
        <v/>
      </c>
      <c r="S27">
        <f>IF($C27="","",IFERROR(VLOOKUP($C27,Shifts!$A$5:$E$12,5,FALSE),0))</f>
        <v/>
      </c>
      <c r="T27">
        <f>IF($D27="","",IFERROR(VLOOKUP($D27,Shifts!$A$5:$E$12,5,FALSE),0))</f>
        <v/>
      </c>
      <c r="U27">
        <f>IF($E27="","",IFERROR(VLOOKUP($E27,Shifts!$A$5:$E$12,5,FALSE),0))</f>
        <v/>
      </c>
      <c r="V27">
        <f>IF($F27="","",IFERROR(VLOOKUP($F27,Shifts!$A$5:$E$12,5,FALSE),0))</f>
        <v/>
      </c>
      <c r="W27">
        <f>IF($G27="","",IFERROR(VLOOKUP($G27,Shifts!$A$5:$E$12,5,FALSE),0))</f>
        <v/>
      </c>
      <c r="X27">
        <f>IF($H27="","",IFERROR(VLOOKUP($H27,Shifts!$A$5:$E$12,5,FALSE),0))</f>
        <v/>
      </c>
      <c r="Y27">
        <f>IF($B27="","",IFERROR(VLOOKUP($B27,Shifts!$A$5:$E$12,3,FALSE),0))</f>
        <v/>
      </c>
      <c r="Z27">
        <f>IF($C27="","",IFERROR(VLOOKUP($C27,Shifts!$A$5:$E$12,3,FALSE),0))</f>
        <v/>
      </c>
      <c r="AA27">
        <f>IF($D27="","",IFERROR(VLOOKUP($D27,Shifts!$A$5:$E$12,3,FALSE),0))</f>
        <v/>
      </c>
      <c r="AB27">
        <f>IF($E27="","",IFERROR(VLOOKUP($E27,Shifts!$A$5:$E$12,3,FALSE),0))</f>
        <v/>
      </c>
      <c r="AC27">
        <f>IF($F27="","",IFERROR(VLOOKUP($F27,Shifts!$A$5:$E$12,3,FALSE),0))</f>
        <v/>
      </c>
      <c r="AD27">
        <f>IF($G27="","",IFERROR(VLOOKUP($G27,Shifts!$A$5:$E$12,3,FALSE),0))</f>
        <v/>
      </c>
      <c r="AE27">
        <f>IF($H27="","",IFERROR(VLOOKUP($H27,Shifts!$A$5:$E$12,3,FALSE),0))</f>
        <v/>
      </c>
      <c r="AF27">
        <f>IF($B27="","",IFERROR(VLOOKUP($B27,Shifts!$A$5:$E$12,4,FALSE),0))</f>
        <v/>
      </c>
      <c r="AG27">
        <f>IF($C27="","",IFERROR(VLOOKUP($C27,Shifts!$A$5:$E$12,4,FALSE),0))</f>
        <v/>
      </c>
      <c r="AH27">
        <f>IF($D27="","",IFERROR(VLOOKUP($D27,Shifts!$A$5:$E$12,4,FALSE),0))</f>
        <v/>
      </c>
      <c r="AI27">
        <f>IF($E27="","",IFERROR(VLOOKUP($E27,Shifts!$A$5:$E$12,4,FALSE),0))</f>
        <v/>
      </c>
      <c r="AJ27">
        <f>IF($F27="","",IFERROR(VLOOKUP($F27,Shifts!$A$5:$E$12,4,FALSE),0))</f>
        <v/>
      </c>
      <c r="AK27">
        <f>IF($G27="","",IFERROR(VLOOKUP($G27,Shifts!$A$5:$E$12,4,FALSE),0))</f>
        <v/>
      </c>
      <c r="AL27">
        <f>IF($H27="","",IFERROR(VLOOKUP($H27,Shifts!$A$5:$E$12,4,FALSE),0))</f>
        <v/>
      </c>
      <c r="AM27">
        <f>IF(OR($R27="",$S27="",$R27=0,$S27=0),"",ROUND(IF($AF27&lt;=$Y27,$Z27-$AF27,1-$AF27+$Z27)*24,2))</f>
        <v/>
      </c>
      <c r="AN27">
        <f>IF(OR($S27="",$T27="",$S27=0,$T27=0),"",ROUND(IF($AG27&lt;=$Z27,$AA27-$AG27,1-$AG27+$AA27)*24,2))</f>
        <v/>
      </c>
      <c r="AO27">
        <f>IF(OR($T27="",$U27="",$T27=0,$U27=0),"",ROUND(IF($AH27&lt;=$AA27,$AB27-$AH27,1-$AH27+$AB27)*24,2))</f>
        <v/>
      </c>
      <c r="AP27">
        <f>IF(OR($U27="",$V27="",$U27=0,$V27=0),"",ROUND(IF($AI27&lt;=$AB27,$AC27-$AI27,1-$AI27+$AC27)*24,2))</f>
        <v/>
      </c>
      <c r="AQ27">
        <f>IF(OR($V27="",$W27="",$V27=0,$W27=0),"",ROUND(IF($AJ27&lt;=$AC27,$AD27-$AJ27,1-$AJ27+$AD27)*24,2))</f>
        <v/>
      </c>
      <c r="AR27">
        <f>IF(OR($W27="",$X27="",$W27=0,$X27=0),"",ROUND(IF($AK27&lt;=$AD27,$AE27-$AK27,1-$AK27+$AE27)*24,2))</f>
        <v/>
      </c>
    </row>
    <row r="28">
      <c r="A28" s="50" t="n"/>
      <c r="B28" s="51" t="n"/>
      <c r="C28" s="51" t="n"/>
      <c r="D28" s="51" t="n"/>
      <c r="E28" s="51" t="n"/>
      <c r="F28" s="51" t="n"/>
      <c r="G28" s="51" t="n"/>
      <c r="H28" s="51" t="n"/>
      <c r="I28" s="52">
        <f>IF(COUNT($R28:$X28)=0,"",ROUND(SUM($R28:$X28),2))</f>
        <v/>
      </c>
      <c r="J28" s="53" t="n">
        <v>40</v>
      </c>
      <c r="K28">
        <f>IF(OR(IF($AM28="",Shifts!$B$3,$AM28)&lt;Shifts!$B$3,IF($AN28="",Shifts!$B$3,$AN28)&lt;Shifts!$B$3,IF($AO28="",Shifts!$B$3,$AO28)&lt;Shifts!$B$3,IF($AP28="",Shifts!$B$3,$AP28)&lt;Shifts!$B$3,IF($AQ28="",Shifts!$B$3,$AQ28)&lt;Shifts!$B$3,IF($AR28="",Shifts!$B$3,$AR28)&lt;Shifts!$B$3),"⛔ &lt;"&amp;Shifts!$B$3&amp;" h","")</f>
        <v/>
      </c>
      <c r="L28">
        <f>IF(7-(IF($R28="",0,IF($R28&gt;0,1,0))+IF($S28="",0,IF($S28&gt;0,1,0))+IF($T28="",0,IF($T28&gt;0,1,0))+IF($U28="",0,IF($U28&gt;0,1,0))+IF($V28="",0,IF($V28&gt;0,1,0))+IF($W28="",0,IF($W28&gt;0,1,0))+IF($X28="",0,IF($X28&gt;0,1,0)))=0,"⛔ 0 days off",IF(7-(IF($R28="",0,IF($R28&gt;0,1,0))+IF($S28="",0,IF($S28&gt;0,1,0))+IF($T28="",0,IF($T28&gt;0,1,0))+IF($U28="",0,IF($U28&gt;0,1,0))+IF($V28="",0,IF($V28&gt;0,1,0))+IF($W28="",0,IF($W28&gt;0,1,0))+IF($X28="",0,IF($X28&gt;0,1,0)))=1,"⚠ 6 days on: a 7th day in a row is premium pay in CA",""))</f>
        <v/>
      </c>
      <c r="M28">
        <f>IF(OR($I28="",$J28=""),"",IF($I28&gt;$J28,"⛔ +"&amp;TEXT($I28-$J28,"0")&amp;" h",""))</f>
        <v/>
      </c>
      <c r="N28">
        <f>IF($O28="Y",IF(OR(IF($R28="",0,$R28)&gt;8,IF($S28="",0,$S28)&gt;8,IF($T28="",0,$T28)&gt;8,IF($U28="",0,$U28)&gt;8,IF($V28="",0,$V28)&gt;8,IF($W28="",0,$W28)&gt;8,IF($X28="",0,$X28)&gt;8),"⛔ shift &gt; 8 h (MINOR)",""),IF(OR(IF($R28="",0,$R28)&gt;Shifts!$B$2,IF($S28="",0,$S28)&gt;Shifts!$B$2,IF($T28="",0,$T28)&gt;Shifts!$B$2,IF($U28="",0,$U28)&gt;Shifts!$B$2,IF($V28="",0,$V28)&gt;Shifts!$B$2,IF($W28="",0,$W28)&gt;Shifts!$B$2,IF($X28="",0,$X28)&gt;Shifts!$B$2),"⛔ shift &gt; "&amp;Shifts!$B$2&amp;" h",""))</f>
        <v/>
      </c>
      <c r="O28" s="54" t="n"/>
      <c r="P28" s="55">
        <f>IF($O28&lt;&gt;"Y","",IF(OR($B28="N",$B28="DBL",$C28="N",$C28="DBL",$D28="N",$D28="DBL",$E28="N",$E28="DBL",$F28="N",$F28="DBL",$G28="N",$G28="DBL",$H28="N",$H28="DBL"),"⛔ MINOR: no night or double shifts (29 CFR 570.35)","⚠ minor: check federal and state hour limits"))</f>
        <v/>
      </c>
      <c r="R28">
        <f>IF($B28="","",IFERROR(VLOOKUP($B28,Shifts!$A$5:$E$12,5,FALSE),0))</f>
        <v/>
      </c>
      <c r="S28">
        <f>IF($C28="","",IFERROR(VLOOKUP($C28,Shifts!$A$5:$E$12,5,FALSE),0))</f>
        <v/>
      </c>
      <c r="T28">
        <f>IF($D28="","",IFERROR(VLOOKUP($D28,Shifts!$A$5:$E$12,5,FALSE),0))</f>
        <v/>
      </c>
      <c r="U28">
        <f>IF($E28="","",IFERROR(VLOOKUP($E28,Shifts!$A$5:$E$12,5,FALSE),0))</f>
        <v/>
      </c>
      <c r="V28">
        <f>IF($F28="","",IFERROR(VLOOKUP($F28,Shifts!$A$5:$E$12,5,FALSE),0))</f>
        <v/>
      </c>
      <c r="W28">
        <f>IF($G28="","",IFERROR(VLOOKUP($G28,Shifts!$A$5:$E$12,5,FALSE),0))</f>
        <v/>
      </c>
      <c r="X28">
        <f>IF($H28="","",IFERROR(VLOOKUP($H28,Shifts!$A$5:$E$12,5,FALSE),0))</f>
        <v/>
      </c>
      <c r="Y28">
        <f>IF($B28="","",IFERROR(VLOOKUP($B28,Shifts!$A$5:$E$12,3,FALSE),0))</f>
        <v/>
      </c>
      <c r="Z28">
        <f>IF($C28="","",IFERROR(VLOOKUP($C28,Shifts!$A$5:$E$12,3,FALSE),0))</f>
        <v/>
      </c>
      <c r="AA28">
        <f>IF($D28="","",IFERROR(VLOOKUP($D28,Shifts!$A$5:$E$12,3,FALSE),0))</f>
        <v/>
      </c>
      <c r="AB28">
        <f>IF($E28="","",IFERROR(VLOOKUP($E28,Shifts!$A$5:$E$12,3,FALSE),0))</f>
        <v/>
      </c>
      <c r="AC28">
        <f>IF($F28="","",IFERROR(VLOOKUP($F28,Shifts!$A$5:$E$12,3,FALSE),0))</f>
        <v/>
      </c>
      <c r="AD28">
        <f>IF($G28="","",IFERROR(VLOOKUP($G28,Shifts!$A$5:$E$12,3,FALSE),0))</f>
        <v/>
      </c>
      <c r="AE28">
        <f>IF($H28="","",IFERROR(VLOOKUP($H28,Shifts!$A$5:$E$12,3,FALSE),0))</f>
        <v/>
      </c>
      <c r="AF28">
        <f>IF($B28="","",IFERROR(VLOOKUP($B28,Shifts!$A$5:$E$12,4,FALSE),0))</f>
        <v/>
      </c>
      <c r="AG28">
        <f>IF($C28="","",IFERROR(VLOOKUP($C28,Shifts!$A$5:$E$12,4,FALSE),0))</f>
        <v/>
      </c>
      <c r="AH28">
        <f>IF($D28="","",IFERROR(VLOOKUP($D28,Shifts!$A$5:$E$12,4,FALSE),0))</f>
        <v/>
      </c>
      <c r="AI28">
        <f>IF($E28="","",IFERROR(VLOOKUP($E28,Shifts!$A$5:$E$12,4,FALSE),0))</f>
        <v/>
      </c>
      <c r="AJ28">
        <f>IF($F28="","",IFERROR(VLOOKUP($F28,Shifts!$A$5:$E$12,4,FALSE),0))</f>
        <v/>
      </c>
      <c r="AK28">
        <f>IF($G28="","",IFERROR(VLOOKUP($G28,Shifts!$A$5:$E$12,4,FALSE),0))</f>
        <v/>
      </c>
      <c r="AL28">
        <f>IF($H28="","",IFERROR(VLOOKUP($H28,Shifts!$A$5:$E$12,4,FALSE),0))</f>
        <v/>
      </c>
      <c r="AM28">
        <f>IF(OR($R28="",$S28="",$R28=0,$S28=0),"",ROUND(IF($AF28&lt;=$Y28,$Z28-$AF28,1-$AF28+$Z28)*24,2))</f>
        <v/>
      </c>
      <c r="AN28">
        <f>IF(OR($S28="",$T28="",$S28=0,$T28=0),"",ROUND(IF($AG28&lt;=$Z28,$AA28-$AG28,1-$AG28+$AA28)*24,2))</f>
        <v/>
      </c>
      <c r="AO28">
        <f>IF(OR($T28="",$U28="",$T28=0,$U28=0),"",ROUND(IF($AH28&lt;=$AA28,$AB28-$AH28,1-$AH28+$AB28)*24,2))</f>
        <v/>
      </c>
      <c r="AP28">
        <f>IF(OR($U28="",$V28="",$U28=0,$V28=0),"",ROUND(IF($AI28&lt;=$AB28,$AC28-$AI28,1-$AI28+$AC28)*24,2))</f>
        <v/>
      </c>
      <c r="AQ28">
        <f>IF(OR($V28="",$W28="",$V28=0,$W28=0),"",ROUND(IF($AJ28&lt;=$AC28,$AD28-$AJ28,1-$AJ28+$AD28)*24,2))</f>
        <v/>
      </c>
      <c r="AR28">
        <f>IF(OR($W28="",$X28="",$W28=0,$X28=0),"",ROUND(IF($AK28&lt;=$AD28,$AE28-$AK28,1-$AK28+$AE28)*24,2))</f>
        <v/>
      </c>
    </row>
    <row r="29">
      <c r="A29" s="50" t="n"/>
      <c r="B29" s="51" t="n"/>
      <c r="C29" s="51" t="n"/>
      <c r="D29" s="51" t="n"/>
      <c r="E29" s="51" t="n"/>
      <c r="F29" s="51" t="n"/>
      <c r="G29" s="51" t="n"/>
      <c r="H29" s="51" t="n"/>
      <c r="I29" s="52">
        <f>IF(COUNT($R29:$X29)=0,"",ROUND(SUM($R29:$X29),2))</f>
        <v/>
      </c>
      <c r="J29" s="53" t="n">
        <v>40</v>
      </c>
      <c r="K29">
        <f>IF(OR(IF($AM29="",Shifts!$B$3,$AM29)&lt;Shifts!$B$3,IF($AN29="",Shifts!$B$3,$AN29)&lt;Shifts!$B$3,IF($AO29="",Shifts!$B$3,$AO29)&lt;Shifts!$B$3,IF($AP29="",Shifts!$B$3,$AP29)&lt;Shifts!$B$3,IF($AQ29="",Shifts!$B$3,$AQ29)&lt;Shifts!$B$3,IF($AR29="",Shifts!$B$3,$AR29)&lt;Shifts!$B$3),"⛔ &lt;"&amp;Shifts!$B$3&amp;" h","")</f>
        <v/>
      </c>
      <c r="L29">
        <f>IF(7-(IF($R29="",0,IF($R29&gt;0,1,0))+IF($S29="",0,IF($S29&gt;0,1,0))+IF($T29="",0,IF($T29&gt;0,1,0))+IF($U29="",0,IF($U29&gt;0,1,0))+IF($V29="",0,IF($V29&gt;0,1,0))+IF($W29="",0,IF($W29&gt;0,1,0))+IF($X29="",0,IF($X29&gt;0,1,0)))=0,"⛔ 0 days off",IF(7-(IF($R29="",0,IF($R29&gt;0,1,0))+IF($S29="",0,IF($S29&gt;0,1,0))+IF($T29="",0,IF($T29&gt;0,1,0))+IF($U29="",0,IF($U29&gt;0,1,0))+IF($V29="",0,IF($V29&gt;0,1,0))+IF($W29="",0,IF($W29&gt;0,1,0))+IF($X29="",0,IF($X29&gt;0,1,0)))=1,"⚠ 6 days on: a 7th day in a row is premium pay in CA",""))</f>
        <v/>
      </c>
      <c r="M29">
        <f>IF(OR($I29="",$J29=""),"",IF($I29&gt;$J29,"⛔ +"&amp;TEXT($I29-$J29,"0")&amp;" h",""))</f>
        <v/>
      </c>
      <c r="N29">
        <f>IF($O29="Y",IF(OR(IF($R29="",0,$R29)&gt;8,IF($S29="",0,$S29)&gt;8,IF($T29="",0,$T29)&gt;8,IF($U29="",0,$U29)&gt;8,IF($V29="",0,$V29)&gt;8,IF($W29="",0,$W29)&gt;8,IF($X29="",0,$X29)&gt;8),"⛔ shift &gt; 8 h (MINOR)",""),IF(OR(IF($R29="",0,$R29)&gt;Shifts!$B$2,IF($S29="",0,$S29)&gt;Shifts!$B$2,IF($T29="",0,$T29)&gt;Shifts!$B$2,IF($U29="",0,$U29)&gt;Shifts!$B$2,IF($V29="",0,$V29)&gt;Shifts!$B$2,IF($W29="",0,$W29)&gt;Shifts!$B$2,IF($X29="",0,$X29)&gt;Shifts!$B$2),"⛔ shift &gt; "&amp;Shifts!$B$2&amp;" h",""))</f>
        <v/>
      </c>
      <c r="O29" s="54" t="n"/>
      <c r="P29" s="55">
        <f>IF($O29&lt;&gt;"Y","",IF(OR($B29="N",$B29="DBL",$C29="N",$C29="DBL",$D29="N",$D29="DBL",$E29="N",$E29="DBL",$F29="N",$F29="DBL",$G29="N",$G29="DBL",$H29="N",$H29="DBL"),"⛔ MINOR: no night or double shifts (29 CFR 570.35)","⚠ minor: check federal and state hour limits"))</f>
        <v/>
      </c>
      <c r="R29">
        <f>IF($B29="","",IFERROR(VLOOKUP($B29,Shifts!$A$5:$E$12,5,FALSE),0))</f>
        <v/>
      </c>
      <c r="S29">
        <f>IF($C29="","",IFERROR(VLOOKUP($C29,Shifts!$A$5:$E$12,5,FALSE),0))</f>
        <v/>
      </c>
      <c r="T29">
        <f>IF($D29="","",IFERROR(VLOOKUP($D29,Shifts!$A$5:$E$12,5,FALSE),0))</f>
        <v/>
      </c>
      <c r="U29">
        <f>IF($E29="","",IFERROR(VLOOKUP($E29,Shifts!$A$5:$E$12,5,FALSE),0))</f>
        <v/>
      </c>
      <c r="V29">
        <f>IF($F29="","",IFERROR(VLOOKUP($F29,Shifts!$A$5:$E$12,5,FALSE),0))</f>
        <v/>
      </c>
      <c r="W29">
        <f>IF($G29="","",IFERROR(VLOOKUP($G29,Shifts!$A$5:$E$12,5,FALSE),0))</f>
        <v/>
      </c>
      <c r="X29">
        <f>IF($H29="","",IFERROR(VLOOKUP($H29,Shifts!$A$5:$E$12,5,FALSE),0))</f>
        <v/>
      </c>
      <c r="Y29">
        <f>IF($B29="","",IFERROR(VLOOKUP($B29,Shifts!$A$5:$E$12,3,FALSE),0))</f>
        <v/>
      </c>
      <c r="Z29">
        <f>IF($C29="","",IFERROR(VLOOKUP($C29,Shifts!$A$5:$E$12,3,FALSE),0))</f>
        <v/>
      </c>
      <c r="AA29">
        <f>IF($D29="","",IFERROR(VLOOKUP($D29,Shifts!$A$5:$E$12,3,FALSE),0))</f>
        <v/>
      </c>
      <c r="AB29">
        <f>IF($E29="","",IFERROR(VLOOKUP($E29,Shifts!$A$5:$E$12,3,FALSE),0))</f>
        <v/>
      </c>
      <c r="AC29">
        <f>IF($F29="","",IFERROR(VLOOKUP($F29,Shifts!$A$5:$E$12,3,FALSE),0))</f>
        <v/>
      </c>
      <c r="AD29">
        <f>IF($G29="","",IFERROR(VLOOKUP($G29,Shifts!$A$5:$E$12,3,FALSE),0))</f>
        <v/>
      </c>
      <c r="AE29">
        <f>IF($H29="","",IFERROR(VLOOKUP($H29,Shifts!$A$5:$E$12,3,FALSE),0))</f>
        <v/>
      </c>
      <c r="AF29">
        <f>IF($B29="","",IFERROR(VLOOKUP($B29,Shifts!$A$5:$E$12,4,FALSE),0))</f>
        <v/>
      </c>
      <c r="AG29">
        <f>IF($C29="","",IFERROR(VLOOKUP($C29,Shifts!$A$5:$E$12,4,FALSE),0))</f>
        <v/>
      </c>
      <c r="AH29">
        <f>IF($D29="","",IFERROR(VLOOKUP($D29,Shifts!$A$5:$E$12,4,FALSE),0))</f>
        <v/>
      </c>
      <c r="AI29">
        <f>IF($E29="","",IFERROR(VLOOKUP($E29,Shifts!$A$5:$E$12,4,FALSE),0))</f>
        <v/>
      </c>
      <c r="AJ29">
        <f>IF($F29="","",IFERROR(VLOOKUP($F29,Shifts!$A$5:$E$12,4,FALSE),0))</f>
        <v/>
      </c>
      <c r="AK29">
        <f>IF($G29="","",IFERROR(VLOOKUP($G29,Shifts!$A$5:$E$12,4,FALSE),0))</f>
        <v/>
      </c>
      <c r="AL29">
        <f>IF($H29="","",IFERROR(VLOOKUP($H29,Shifts!$A$5:$E$12,4,FALSE),0))</f>
        <v/>
      </c>
      <c r="AM29">
        <f>IF(OR($R29="",$S29="",$R29=0,$S29=0),"",ROUND(IF($AF29&lt;=$Y29,$Z29-$AF29,1-$AF29+$Z29)*24,2))</f>
        <v/>
      </c>
      <c r="AN29">
        <f>IF(OR($S29="",$T29="",$S29=0,$T29=0),"",ROUND(IF($AG29&lt;=$Z29,$AA29-$AG29,1-$AG29+$AA29)*24,2))</f>
        <v/>
      </c>
      <c r="AO29">
        <f>IF(OR($T29="",$U29="",$T29=0,$U29=0),"",ROUND(IF($AH29&lt;=$AA29,$AB29-$AH29,1-$AH29+$AB29)*24,2))</f>
        <v/>
      </c>
      <c r="AP29">
        <f>IF(OR($U29="",$V29="",$U29=0,$V29=0),"",ROUND(IF($AI29&lt;=$AB29,$AC29-$AI29,1-$AI29+$AC29)*24,2))</f>
        <v/>
      </c>
      <c r="AQ29">
        <f>IF(OR($V29="",$W29="",$V29=0,$W29=0),"",ROUND(IF($AJ29&lt;=$AC29,$AD29-$AJ29,1-$AJ29+$AD29)*24,2))</f>
        <v/>
      </c>
      <c r="AR29">
        <f>IF(OR($W29="",$X29="",$W29=0,$X29=0),"",ROUND(IF($AK29&lt;=$AD29,$AE29-$AK29,1-$AK29+$AE29)*24,2))</f>
        <v/>
      </c>
    </row>
    <row r="30">
      <c r="A30" s="50" t="n"/>
      <c r="B30" s="51" t="n"/>
      <c r="C30" s="51" t="n"/>
      <c r="D30" s="51" t="n"/>
      <c r="E30" s="51" t="n"/>
      <c r="F30" s="51" t="n"/>
      <c r="G30" s="51" t="n"/>
      <c r="H30" s="51" t="n"/>
      <c r="I30" s="52">
        <f>IF(COUNT($R30:$X30)=0,"",ROUND(SUM($R30:$X30),2))</f>
        <v/>
      </c>
      <c r="J30" s="53" t="n">
        <v>40</v>
      </c>
      <c r="K30">
        <f>IF(OR(IF($AM30="",Shifts!$B$3,$AM30)&lt;Shifts!$B$3,IF($AN30="",Shifts!$B$3,$AN30)&lt;Shifts!$B$3,IF($AO30="",Shifts!$B$3,$AO30)&lt;Shifts!$B$3,IF($AP30="",Shifts!$B$3,$AP30)&lt;Shifts!$B$3,IF($AQ30="",Shifts!$B$3,$AQ30)&lt;Shifts!$B$3,IF($AR30="",Shifts!$B$3,$AR30)&lt;Shifts!$B$3),"⛔ &lt;"&amp;Shifts!$B$3&amp;" h","")</f>
        <v/>
      </c>
      <c r="L30">
        <f>IF(7-(IF($R30="",0,IF($R30&gt;0,1,0))+IF($S30="",0,IF($S30&gt;0,1,0))+IF($T30="",0,IF($T30&gt;0,1,0))+IF($U30="",0,IF($U30&gt;0,1,0))+IF($V30="",0,IF($V30&gt;0,1,0))+IF($W30="",0,IF($W30&gt;0,1,0))+IF($X30="",0,IF($X30&gt;0,1,0)))=0,"⛔ 0 days off",IF(7-(IF($R30="",0,IF($R30&gt;0,1,0))+IF($S30="",0,IF($S30&gt;0,1,0))+IF($T30="",0,IF($T30&gt;0,1,0))+IF($U30="",0,IF($U30&gt;0,1,0))+IF($V30="",0,IF($V30&gt;0,1,0))+IF($W30="",0,IF($W30&gt;0,1,0))+IF($X30="",0,IF($X30&gt;0,1,0)))=1,"⚠ 6 days on: a 7th day in a row is premium pay in CA",""))</f>
        <v/>
      </c>
      <c r="M30">
        <f>IF(OR($I30="",$J30=""),"",IF($I30&gt;$J30,"⛔ +"&amp;TEXT($I30-$J30,"0")&amp;" h",""))</f>
        <v/>
      </c>
      <c r="N30">
        <f>IF($O30="Y",IF(OR(IF($R30="",0,$R30)&gt;8,IF($S30="",0,$S30)&gt;8,IF($T30="",0,$T30)&gt;8,IF($U30="",0,$U30)&gt;8,IF($V30="",0,$V30)&gt;8,IF($W30="",0,$W30)&gt;8,IF($X30="",0,$X30)&gt;8),"⛔ shift &gt; 8 h (MINOR)",""),IF(OR(IF($R30="",0,$R30)&gt;Shifts!$B$2,IF($S30="",0,$S30)&gt;Shifts!$B$2,IF($T30="",0,$T30)&gt;Shifts!$B$2,IF($U30="",0,$U30)&gt;Shifts!$B$2,IF($V30="",0,$V30)&gt;Shifts!$B$2,IF($W30="",0,$W30)&gt;Shifts!$B$2,IF($X30="",0,$X30)&gt;Shifts!$B$2),"⛔ shift &gt; "&amp;Shifts!$B$2&amp;" h",""))</f>
        <v/>
      </c>
      <c r="O30" s="54" t="n"/>
      <c r="P30" s="55">
        <f>IF($O30&lt;&gt;"Y","",IF(OR($B30="N",$B30="DBL",$C30="N",$C30="DBL",$D30="N",$D30="DBL",$E30="N",$E30="DBL",$F30="N",$F30="DBL",$G30="N",$G30="DBL",$H30="N",$H30="DBL"),"⛔ MINOR: no night or double shifts (29 CFR 570.35)","⚠ minor: check federal and state hour limits"))</f>
        <v/>
      </c>
      <c r="R30">
        <f>IF($B30="","",IFERROR(VLOOKUP($B30,Shifts!$A$5:$E$12,5,FALSE),0))</f>
        <v/>
      </c>
      <c r="S30">
        <f>IF($C30="","",IFERROR(VLOOKUP($C30,Shifts!$A$5:$E$12,5,FALSE),0))</f>
        <v/>
      </c>
      <c r="T30">
        <f>IF($D30="","",IFERROR(VLOOKUP($D30,Shifts!$A$5:$E$12,5,FALSE),0))</f>
        <v/>
      </c>
      <c r="U30">
        <f>IF($E30="","",IFERROR(VLOOKUP($E30,Shifts!$A$5:$E$12,5,FALSE),0))</f>
        <v/>
      </c>
      <c r="V30">
        <f>IF($F30="","",IFERROR(VLOOKUP($F30,Shifts!$A$5:$E$12,5,FALSE),0))</f>
        <v/>
      </c>
      <c r="W30">
        <f>IF($G30="","",IFERROR(VLOOKUP($G30,Shifts!$A$5:$E$12,5,FALSE),0))</f>
        <v/>
      </c>
      <c r="X30">
        <f>IF($H30="","",IFERROR(VLOOKUP($H30,Shifts!$A$5:$E$12,5,FALSE),0))</f>
        <v/>
      </c>
      <c r="Y30">
        <f>IF($B30="","",IFERROR(VLOOKUP($B30,Shifts!$A$5:$E$12,3,FALSE),0))</f>
        <v/>
      </c>
      <c r="Z30">
        <f>IF($C30="","",IFERROR(VLOOKUP($C30,Shifts!$A$5:$E$12,3,FALSE),0))</f>
        <v/>
      </c>
      <c r="AA30">
        <f>IF($D30="","",IFERROR(VLOOKUP($D30,Shifts!$A$5:$E$12,3,FALSE),0))</f>
        <v/>
      </c>
      <c r="AB30">
        <f>IF($E30="","",IFERROR(VLOOKUP($E30,Shifts!$A$5:$E$12,3,FALSE),0))</f>
        <v/>
      </c>
      <c r="AC30">
        <f>IF($F30="","",IFERROR(VLOOKUP($F30,Shifts!$A$5:$E$12,3,FALSE),0))</f>
        <v/>
      </c>
      <c r="AD30">
        <f>IF($G30="","",IFERROR(VLOOKUP($G30,Shifts!$A$5:$E$12,3,FALSE),0))</f>
        <v/>
      </c>
      <c r="AE30">
        <f>IF($H30="","",IFERROR(VLOOKUP($H30,Shifts!$A$5:$E$12,3,FALSE),0))</f>
        <v/>
      </c>
      <c r="AF30">
        <f>IF($B30="","",IFERROR(VLOOKUP($B30,Shifts!$A$5:$E$12,4,FALSE),0))</f>
        <v/>
      </c>
      <c r="AG30">
        <f>IF($C30="","",IFERROR(VLOOKUP($C30,Shifts!$A$5:$E$12,4,FALSE),0))</f>
        <v/>
      </c>
      <c r="AH30">
        <f>IF($D30="","",IFERROR(VLOOKUP($D30,Shifts!$A$5:$E$12,4,FALSE),0))</f>
        <v/>
      </c>
      <c r="AI30">
        <f>IF($E30="","",IFERROR(VLOOKUP($E30,Shifts!$A$5:$E$12,4,FALSE),0))</f>
        <v/>
      </c>
      <c r="AJ30">
        <f>IF($F30="","",IFERROR(VLOOKUP($F30,Shifts!$A$5:$E$12,4,FALSE),0))</f>
        <v/>
      </c>
      <c r="AK30">
        <f>IF($G30="","",IFERROR(VLOOKUP($G30,Shifts!$A$5:$E$12,4,FALSE),0))</f>
        <v/>
      </c>
      <c r="AL30">
        <f>IF($H30="","",IFERROR(VLOOKUP($H30,Shifts!$A$5:$E$12,4,FALSE),0))</f>
        <v/>
      </c>
      <c r="AM30">
        <f>IF(OR($R30="",$S30="",$R30=0,$S30=0),"",ROUND(IF($AF30&lt;=$Y30,$Z30-$AF30,1-$AF30+$Z30)*24,2))</f>
        <v/>
      </c>
      <c r="AN30">
        <f>IF(OR($S30="",$T30="",$S30=0,$T30=0),"",ROUND(IF($AG30&lt;=$Z30,$AA30-$AG30,1-$AG30+$AA30)*24,2))</f>
        <v/>
      </c>
      <c r="AO30">
        <f>IF(OR($T30="",$U30="",$T30=0,$U30=0),"",ROUND(IF($AH30&lt;=$AA30,$AB30-$AH30,1-$AH30+$AB30)*24,2))</f>
        <v/>
      </c>
      <c r="AP30">
        <f>IF(OR($U30="",$V30="",$U30=0,$V30=0),"",ROUND(IF($AI30&lt;=$AB30,$AC30-$AI30,1-$AI30+$AC30)*24,2))</f>
        <v/>
      </c>
      <c r="AQ30">
        <f>IF(OR($V30="",$W30="",$V30=0,$W30=0),"",ROUND(IF($AJ30&lt;=$AC30,$AD30-$AJ30,1-$AJ30+$AD30)*24,2))</f>
        <v/>
      </c>
      <c r="AR30">
        <f>IF(OR($W30="",$X30="",$W30=0,$X30=0),"",ROUND(IF($AK30&lt;=$AD30,$AE30-$AK30,1-$AK30+$AE30)*24,2))</f>
        <v/>
      </c>
    </row>
    <row r="31">
      <c r="A31" s="50" t="n"/>
      <c r="B31" s="51" t="n"/>
      <c r="C31" s="51" t="n"/>
      <c r="D31" s="51" t="n"/>
      <c r="E31" s="51" t="n"/>
      <c r="F31" s="51" t="n"/>
      <c r="G31" s="51" t="n"/>
      <c r="H31" s="51" t="n"/>
      <c r="I31" s="52">
        <f>IF(COUNT($R31:$X31)=0,"",ROUND(SUM($R31:$X31),2))</f>
        <v/>
      </c>
      <c r="J31" s="53" t="n">
        <v>40</v>
      </c>
      <c r="K31">
        <f>IF(OR(IF($AM31="",Shifts!$B$3,$AM31)&lt;Shifts!$B$3,IF($AN31="",Shifts!$B$3,$AN31)&lt;Shifts!$B$3,IF($AO31="",Shifts!$B$3,$AO31)&lt;Shifts!$B$3,IF($AP31="",Shifts!$B$3,$AP31)&lt;Shifts!$B$3,IF($AQ31="",Shifts!$B$3,$AQ31)&lt;Shifts!$B$3,IF($AR31="",Shifts!$B$3,$AR31)&lt;Shifts!$B$3),"⛔ &lt;"&amp;Shifts!$B$3&amp;" h","")</f>
        <v/>
      </c>
      <c r="L31">
        <f>IF(7-(IF($R31="",0,IF($R31&gt;0,1,0))+IF($S31="",0,IF($S31&gt;0,1,0))+IF($T31="",0,IF($T31&gt;0,1,0))+IF($U31="",0,IF($U31&gt;0,1,0))+IF($V31="",0,IF($V31&gt;0,1,0))+IF($W31="",0,IF($W31&gt;0,1,0))+IF($X31="",0,IF($X31&gt;0,1,0)))=0,"⛔ 0 days off",IF(7-(IF($R31="",0,IF($R31&gt;0,1,0))+IF($S31="",0,IF($S31&gt;0,1,0))+IF($T31="",0,IF($T31&gt;0,1,0))+IF($U31="",0,IF($U31&gt;0,1,0))+IF($V31="",0,IF($V31&gt;0,1,0))+IF($W31="",0,IF($W31&gt;0,1,0))+IF($X31="",0,IF($X31&gt;0,1,0)))=1,"⚠ 6 days on: a 7th day in a row is premium pay in CA",""))</f>
        <v/>
      </c>
      <c r="M31">
        <f>IF(OR($I31="",$J31=""),"",IF($I31&gt;$J31,"⛔ +"&amp;TEXT($I31-$J31,"0")&amp;" h",""))</f>
        <v/>
      </c>
      <c r="N31">
        <f>IF($O31="Y",IF(OR(IF($R31="",0,$R31)&gt;8,IF($S31="",0,$S31)&gt;8,IF($T31="",0,$T31)&gt;8,IF($U31="",0,$U31)&gt;8,IF($V31="",0,$V31)&gt;8,IF($W31="",0,$W31)&gt;8,IF($X31="",0,$X31)&gt;8),"⛔ shift &gt; 8 h (MINOR)",""),IF(OR(IF($R31="",0,$R31)&gt;Shifts!$B$2,IF($S31="",0,$S31)&gt;Shifts!$B$2,IF($T31="",0,$T31)&gt;Shifts!$B$2,IF($U31="",0,$U31)&gt;Shifts!$B$2,IF($V31="",0,$V31)&gt;Shifts!$B$2,IF($W31="",0,$W31)&gt;Shifts!$B$2,IF($X31="",0,$X31)&gt;Shifts!$B$2),"⛔ shift &gt; "&amp;Shifts!$B$2&amp;" h",""))</f>
        <v/>
      </c>
      <c r="O31" s="54" t="n"/>
      <c r="P31" s="55">
        <f>IF($O31&lt;&gt;"Y","",IF(OR($B31="N",$B31="DBL",$C31="N",$C31="DBL",$D31="N",$D31="DBL",$E31="N",$E31="DBL",$F31="N",$F31="DBL",$G31="N",$G31="DBL",$H31="N",$H31="DBL"),"⛔ MINOR: no night or double shifts (29 CFR 570.35)","⚠ minor: check federal and state hour limits"))</f>
        <v/>
      </c>
      <c r="R31">
        <f>IF($B31="","",IFERROR(VLOOKUP($B31,Shifts!$A$5:$E$12,5,FALSE),0))</f>
        <v/>
      </c>
      <c r="S31">
        <f>IF($C31="","",IFERROR(VLOOKUP($C31,Shifts!$A$5:$E$12,5,FALSE),0))</f>
        <v/>
      </c>
      <c r="T31">
        <f>IF($D31="","",IFERROR(VLOOKUP($D31,Shifts!$A$5:$E$12,5,FALSE),0))</f>
        <v/>
      </c>
      <c r="U31">
        <f>IF($E31="","",IFERROR(VLOOKUP($E31,Shifts!$A$5:$E$12,5,FALSE),0))</f>
        <v/>
      </c>
      <c r="V31">
        <f>IF($F31="","",IFERROR(VLOOKUP($F31,Shifts!$A$5:$E$12,5,FALSE),0))</f>
        <v/>
      </c>
      <c r="W31">
        <f>IF($G31="","",IFERROR(VLOOKUP($G31,Shifts!$A$5:$E$12,5,FALSE),0))</f>
        <v/>
      </c>
      <c r="X31">
        <f>IF($H31="","",IFERROR(VLOOKUP($H31,Shifts!$A$5:$E$12,5,FALSE),0))</f>
        <v/>
      </c>
      <c r="Y31">
        <f>IF($B31="","",IFERROR(VLOOKUP($B31,Shifts!$A$5:$E$12,3,FALSE),0))</f>
        <v/>
      </c>
      <c r="Z31">
        <f>IF($C31="","",IFERROR(VLOOKUP($C31,Shifts!$A$5:$E$12,3,FALSE),0))</f>
        <v/>
      </c>
      <c r="AA31">
        <f>IF($D31="","",IFERROR(VLOOKUP($D31,Shifts!$A$5:$E$12,3,FALSE),0))</f>
        <v/>
      </c>
      <c r="AB31">
        <f>IF($E31="","",IFERROR(VLOOKUP($E31,Shifts!$A$5:$E$12,3,FALSE),0))</f>
        <v/>
      </c>
      <c r="AC31">
        <f>IF($F31="","",IFERROR(VLOOKUP($F31,Shifts!$A$5:$E$12,3,FALSE),0))</f>
        <v/>
      </c>
      <c r="AD31">
        <f>IF($G31="","",IFERROR(VLOOKUP($G31,Shifts!$A$5:$E$12,3,FALSE),0))</f>
        <v/>
      </c>
      <c r="AE31">
        <f>IF($H31="","",IFERROR(VLOOKUP($H31,Shifts!$A$5:$E$12,3,FALSE),0))</f>
        <v/>
      </c>
      <c r="AF31">
        <f>IF($B31="","",IFERROR(VLOOKUP($B31,Shifts!$A$5:$E$12,4,FALSE),0))</f>
        <v/>
      </c>
      <c r="AG31">
        <f>IF($C31="","",IFERROR(VLOOKUP($C31,Shifts!$A$5:$E$12,4,FALSE),0))</f>
        <v/>
      </c>
      <c r="AH31">
        <f>IF($D31="","",IFERROR(VLOOKUP($D31,Shifts!$A$5:$E$12,4,FALSE),0))</f>
        <v/>
      </c>
      <c r="AI31">
        <f>IF($E31="","",IFERROR(VLOOKUP($E31,Shifts!$A$5:$E$12,4,FALSE),0))</f>
        <v/>
      </c>
      <c r="AJ31">
        <f>IF($F31="","",IFERROR(VLOOKUP($F31,Shifts!$A$5:$E$12,4,FALSE),0))</f>
        <v/>
      </c>
      <c r="AK31">
        <f>IF($G31="","",IFERROR(VLOOKUP($G31,Shifts!$A$5:$E$12,4,FALSE),0))</f>
        <v/>
      </c>
      <c r="AL31">
        <f>IF($H31="","",IFERROR(VLOOKUP($H31,Shifts!$A$5:$E$12,4,FALSE),0))</f>
        <v/>
      </c>
      <c r="AM31">
        <f>IF(OR($R31="",$S31="",$R31=0,$S31=0),"",ROUND(IF($AF31&lt;=$Y31,$Z31-$AF31,1-$AF31+$Z31)*24,2))</f>
        <v/>
      </c>
      <c r="AN31">
        <f>IF(OR($S31="",$T31="",$S31=0,$T31=0),"",ROUND(IF($AG31&lt;=$Z31,$AA31-$AG31,1-$AG31+$AA31)*24,2))</f>
        <v/>
      </c>
      <c r="AO31">
        <f>IF(OR($T31="",$U31="",$T31=0,$U31=0),"",ROUND(IF($AH31&lt;=$AA31,$AB31-$AH31,1-$AH31+$AB31)*24,2))</f>
        <v/>
      </c>
      <c r="AP31">
        <f>IF(OR($U31="",$V31="",$U31=0,$V31=0),"",ROUND(IF($AI31&lt;=$AB31,$AC31-$AI31,1-$AI31+$AC31)*24,2))</f>
        <v/>
      </c>
      <c r="AQ31">
        <f>IF(OR($V31="",$W31="",$V31=0,$W31=0),"",ROUND(IF($AJ31&lt;=$AC31,$AD31-$AJ31,1-$AJ31+$AD31)*24,2))</f>
        <v/>
      </c>
      <c r="AR31">
        <f>IF(OR($W31="",$X31="",$W31=0,$X31=0),"",ROUND(IF($AK31&lt;=$AD31,$AE31-$AK31,1-$AK31+$AE31)*24,2))</f>
        <v/>
      </c>
    </row>
    <row r="32">
      <c r="A32" s="50" t="n"/>
      <c r="B32" s="51" t="n"/>
      <c r="C32" s="51" t="n"/>
      <c r="D32" s="51" t="n"/>
      <c r="E32" s="51" t="n"/>
      <c r="F32" s="51" t="n"/>
      <c r="G32" s="51" t="n"/>
      <c r="H32" s="51" t="n"/>
      <c r="I32" s="52">
        <f>IF(COUNT($R32:$X32)=0,"",ROUND(SUM($R32:$X32),2))</f>
        <v/>
      </c>
      <c r="J32" s="53" t="n">
        <v>40</v>
      </c>
      <c r="K32">
        <f>IF(OR(IF($AM32="",Shifts!$B$3,$AM32)&lt;Shifts!$B$3,IF($AN32="",Shifts!$B$3,$AN32)&lt;Shifts!$B$3,IF($AO32="",Shifts!$B$3,$AO32)&lt;Shifts!$B$3,IF($AP32="",Shifts!$B$3,$AP32)&lt;Shifts!$B$3,IF($AQ32="",Shifts!$B$3,$AQ32)&lt;Shifts!$B$3,IF($AR32="",Shifts!$B$3,$AR32)&lt;Shifts!$B$3),"⛔ &lt;"&amp;Shifts!$B$3&amp;" h","")</f>
        <v/>
      </c>
      <c r="L32">
        <f>IF(7-(IF($R32="",0,IF($R32&gt;0,1,0))+IF($S32="",0,IF($S32&gt;0,1,0))+IF($T32="",0,IF($T32&gt;0,1,0))+IF($U32="",0,IF($U32&gt;0,1,0))+IF($V32="",0,IF($V32&gt;0,1,0))+IF($W32="",0,IF($W32&gt;0,1,0))+IF($X32="",0,IF($X32&gt;0,1,0)))=0,"⛔ 0 days off",IF(7-(IF($R32="",0,IF($R32&gt;0,1,0))+IF($S32="",0,IF($S32&gt;0,1,0))+IF($T32="",0,IF($T32&gt;0,1,0))+IF($U32="",0,IF($U32&gt;0,1,0))+IF($V32="",0,IF($V32&gt;0,1,0))+IF($W32="",0,IF($W32&gt;0,1,0))+IF($X32="",0,IF($X32&gt;0,1,0)))=1,"⚠ 6 days on: a 7th day in a row is premium pay in CA",""))</f>
        <v/>
      </c>
      <c r="M32">
        <f>IF(OR($I32="",$J32=""),"",IF($I32&gt;$J32,"⛔ +"&amp;TEXT($I32-$J32,"0")&amp;" h",""))</f>
        <v/>
      </c>
      <c r="N32">
        <f>IF($O32="Y",IF(OR(IF($R32="",0,$R32)&gt;8,IF($S32="",0,$S32)&gt;8,IF($T32="",0,$T32)&gt;8,IF($U32="",0,$U32)&gt;8,IF($V32="",0,$V32)&gt;8,IF($W32="",0,$W32)&gt;8,IF($X32="",0,$X32)&gt;8),"⛔ shift &gt; 8 h (MINOR)",""),IF(OR(IF($R32="",0,$R32)&gt;Shifts!$B$2,IF($S32="",0,$S32)&gt;Shifts!$B$2,IF($T32="",0,$T32)&gt;Shifts!$B$2,IF($U32="",0,$U32)&gt;Shifts!$B$2,IF($V32="",0,$V32)&gt;Shifts!$B$2,IF($W32="",0,$W32)&gt;Shifts!$B$2,IF($X32="",0,$X32)&gt;Shifts!$B$2),"⛔ shift &gt; "&amp;Shifts!$B$2&amp;" h",""))</f>
        <v/>
      </c>
      <c r="O32" s="54" t="n"/>
      <c r="P32" s="55">
        <f>IF($O32&lt;&gt;"Y","",IF(OR($B32="N",$B32="DBL",$C32="N",$C32="DBL",$D32="N",$D32="DBL",$E32="N",$E32="DBL",$F32="N",$F32="DBL",$G32="N",$G32="DBL",$H32="N",$H32="DBL"),"⛔ MINOR: no night or double shifts (29 CFR 570.35)","⚠ minor: check federal and state hour limits"))</f>
        <v/>
      </c>
      <c r="R32">
        <f>IF($B32="","",IFERROR(VLOOKUP($B32,Shifts!$A$5:$E$12,5,FALSE),0))</f>
        <v/>
      </c>
      <c r="S32">
        <f>IF($C32="","",IFERROR(VLOOKUP($C32,Shifts!$A$5:$E$12,5,FALSE),0))</f>
        <v/>
      </c>
      <c r="T32">
        <f>IF($D32="","",IFERROR(VLOOKUP($D32,Shifts!$A$5:$E$12,5,FALSE),0))</f>
        <v/>
      </c>
      <c r="U32">
        <f>IF($E32="","",IFERROR(VLOOKUP($E32,Shifts!$A$5:$E$12,5,FALSE),0))</f>
        <v/>
      </c>
      <c r="V32">
        <f>IF($F32="","",IFERROR(VLOOKUP($F32,Shifts!$A$5:$E$12,5,FALSE),0))</f>
        <v/>
      </c>
      <c r="W32">
        <f>IF($G32="","",IFERROR(VLOOKUP($G32,Shifts!$A$5:$E$12,5,FALSE),0))</f>
        <v/>
      </c>
      <c r="X32">
        <f>IF($H32="","",IFERROR(VLOOKUP($H32,Shifts!$A$5:$E$12,5,FALSE),0))</f>
        <v/>
      </c>
      <c r="Y32">
        <f>IF($B32="","",IFERROR(VLOOKUP($B32,Shifts!$A$5:$E$12,3,FALSE),0))</f>
        <v/>
      </c>
      <c r="Z32">
        <f>IF($C32="","",IFERROR(VLOOKUP($C32,Shifts!$A$5:$E$12,3,FALSE),0))</f>
        <v/>
      </c>
      <c r="AA32">
        <f>IF($D32="","",IFERROR(VLOOKUP($D32,Shifts!$A$5:$E$12,3,FALSE),0))</f>
        <v/>
      </c>
      <c r="AB32">
        <f>IF($E32="","",IFERROR(VLOOKUP($E32,Shifts!$A$5:$E$12,3,FALSE),0))</f>
        <v/>
      </c>
      <c r="AC32">
        <f>IF($F32="","",IFERROR(VLOOKUP($F32,Shifts!$A$5:$E$12,3,FALSE),0))</f>
        <v/>
      </c>
      <c r="AD32">
        <f>IF($G32="","",IFERROR(VLOOKUP($G32,Shifts!$A$5:$E$12,3,FALSE),0))</f>
        <v/>
      </c>
      <c r="AE32">
        <f>IF($H32="","",IFERROR(VLOOKUP($H32,Shifts!$A$5:$E$12,3,FALSE),0))</f>
        <v/>
      </c>
      <c r="AF32">
        <f>IF($B32="","",IFERROR(VLOOKUP($B32,Shifts!$A$5:$E$12,4,FALSE),0))</f>
        <v/>
      </c>
      <c r="AG32">
        <f>IF($C32="","",IFERROR(VLOOKUP($C32,Shifts!$A$5:$E$12,4,FALSE),0))</f>
        <v/>
      </c>
      <c r="AH32">
        <f>IF($D32="","",IFERROR(VLOOKUP($D32,Shifts!$A$5:$E$12,4,FALSE),0))</f>
        <v/>
      </c>
      <c r="AI32">
        <f>IF($E32="","",IFERROR(VLOOKUP($E32,Shifts!$A$5:$E$12,4,FALSE),0))</f>
        <v/>
      </c>
      <c r="AJ32">
        <f>IF($F32="","",IFERROR(VLOOKUP($F32,Shifts!$A$5:$E$12,4,FALSE),0))</f>
        <v/>
      </c>
      <c r="AK32">
        <f>IF($G32="","",IFERROR(VLOOKUP($G32,Shifts!$A$5:$E$12,4,FALSE),0))</f>
        <v/>
      </c>
      <c r="AL32">
        <f>IF($H32="","",IFERROR(VLOOKUP($H32,Shifts!$A$5:$E$12,4,FALSE),0))</f>
        <v/>
      </c>
      <c r="AM32">
        <f>IF(OR($R32="",$S32="",$R32=0,$S32=0),"",ROUND(IF($AF32&lt;=$Y32,$Z32-$AF32,1-$AF32+$Z32)*24,2))</f>
        <v/>
      </c>
      <c r="AN32">
        <f>IF(OR($S32="",$T32="",$S32=0,$T32=0),"",ROUND(IF($AG32&lt;=$Z32,$AA32-$AG32,1-$AG32+$AA32)*24,2))</f>
        <v/>
      </c>
      <c r="AO32">
        <f>IF(OR($T32="",$U32="",$T32=0,$U32=0),"",ROUND(IF($AH32&lt;=$AA32,$AB32-$AH32,1-$AH32+$AB32)*24,2))</f>
        <v/>
      </c>
      <c r="AP32">
        <f>IF(OR($U32="",$V32="",$U32=0,$V32=0),"",ROUND(IF($AI32&lt;=$AB32,$AC32-$AI32,1-$AI32+$AC32)*24,2))</f>
        <v/>
      </c>
      <c r="AQ32">
        <f>IF(OR($V32="",$W32="",$V32=0,$W32=0),"",ROUND(IF($AJ32&lt;=$AC32,$AD32-$AJ32,1-$AJ32+$AD32)*24,2))</f>
        <v/>
      </c>
      <c r="AR32">
        <f>IF(OR($W32="",$X32="",$W32=0,$X32=0),"",ROUND(IF($AK32&lt;=$AD32,$AE32-$AK32,1-$AK32+$AE32)*24,2))</f>
        <v/>
      </c>
    </row>
    <row r="33">
      <c r="A33" s="50" t="n"/>
      <c r="B33" s="51" t="n"/>
      <c r="C33" s="51" t="n"/>
      <c r="D33" s="51" t="n"/>
      <c r="E33" s="51" t="n"/>
      <c r="F33" s="51" t="n"/>
      <c r="G33" s="51" t="n"/>
      <c r="H33" s="51" t="n"/>
      <c r="I33" s="52">
        <f>IF(COUNT($R33:$X33)=0,"",ROUND(SUM($R33:$X33),2))</f>
        <v/>
      </c>
      <c r="J33" s="53" t="n">
        <v>40</v>
      </c>
      <c r="K33">
        <f>IF(OR(IF($AM33="",Shifts!$B$3,$AM33)&lt;Shifts!$B$3,IF($AN33="",Shifts!$B$3,$AN33)&lt;Shifts!$B$3,IF($AO33="",Shifts!$B$3,$AO33)&lt;Shifts!$B$3,IF($AP33="",Shifts!$B$3,$AP33)&lt;Shifts!$B$3,IF($AQ33="",Shifts!$B$3,$AQ33)&lt;Shifts!$B$3,IF($AR33="",Shifts!$B$3,$AR33)&lt;Shifts!$B$3),"⛔ &lt;"&amp;Shifts!$B$3&amp;" h","")</f>
        <v/>
      </c>
      <c r="L33">
        <f>IF(7-(IF($R33="",0,IF($R33&gt;0,1,0))+IF($S33="",0,IF($S33&gt;0,1,0))+IF($T33="",0,IF($T33&gt;0,1,0))+IF($U33="",0,IF($U33&gt;0,1,0))+IF($V33="",0,IF($V33&gt;0,1,0))+IF($W33="",0,IF($W33&gt;0,1,0))+IF($X33="",0,IF($X33&gt;0,1,0)))=0,"⛔ 0 days off",IF(7-(IF($R33="",0,IF($R33&gt;0,1,0))+IF($S33="",0,IF($S33&gt;0,1,0))+IF($T33="",0,IF($T33&gt;0,1,0))+IF($U33="",0,IF($U33&gt;0,1,0))+IF($V33="",0,IF($V33&gt;0,1,0))+IF($W33="",0,IF($W33&gt;0,1,0))+IF($X33="",0,IF($X33&gt;0,1,0)))=1,"⚠ 6 days on: a 7th day in a row is premium pay in CA",""))</f>
        <v/>
      </c>
      <c r="M33">
        <f>IF(OR($I33="",$J33=""),"",IF($I33&gt;$J33,"⛔ +"&amp;TEXT($I33-$J33,"0")&amp;" h",""))</f>
        <v/>
      </c>
      <c r="N33">
        <f>IF($O33="Y",IF(OR(IF($R33="",0,$R33)&gt;8,IF($S33="",0,$S33)&gt;8,IF($T33="",0,$T33)&gt;8,IF($U33="",0,$U33)&gt;8,IF($V33="",0,$V33)&gt;8,IF($W33="",0,$W33)&gt;8,IF($X33="",0,$X33)&gt;8),"⛔ shift &gt; 8 h (MINOR)",""),IF(OR(IF($R33="",0,$R33)&gt;Shifts!$B$2,IF($S33="",0,$S33)&gt;Shifts!$B$2,IF($T33="",0,$T33)&gt;Shifts!$B$2,IF($U33="",0,$U33)&gt;Shifts!$B$2,IF($V33="",0,$V33)&gt;Shifts!$B$2,IF($W33="",0,$W33)&gt;Shifts!$B$2,IF($X33="",0,$X33)&gt;Shifts!$B$2),"⛔ shift &gt; "&amp;Shifts!$B$2&amp;" h",""))</f>
        <v/>
      </c>
      <c r="O33" s="54" t="n"/>
      <c r="P33" s="55">
        <f>IF($O33&lt;&gt;"Y","",IF(OR($B33="N",$B33="DBL",$C33="N",$C33="DBL",$D33="N",$D33="DBL",$E33="N",$E33="DBL",$F33="N",$F33="DBL",$G33="N",$G33="DBL",$H33="N",$H33="DBL"),"⛔ MINOR: no night or double shifts (29 CFR 570.35)","⚠ minor: check federal and state hour limits"))</f>
        <v/>
      </c>
      <c r="R33">
        <f>IF($B33="","",IFERROR(VLOOKUP($B33,Shifts!$A$5:$E$12,5,FALSE),0))</f>
        <v/>
      </c>
      <c r="S33">
        <f>IF($C33="","",IFERROR(VLOOKUP($C33,Shifts!$A$5:$E$12,5,FALSE),0))</f>
        <v/>
      </c>
      <c r="T33">
        <f>IF($D33="","",IFERROR(VLOOKUP($D33,Shifts!$A$5:$E$12,5,FALSE),0))</f>
        <v/>
      </c>
      <c r="U33">
        <f>IF($E33="","",IFERROR(VLOOKUP($E33,Shifts!$A$5:$E$12,5,FALSE),0))</f>
        <v/>
      </c>
      <c r="V33">
        <f>IF($F33="","",IFERROR(VLOOKUP($F33,Shifts!$A$5:$E$12,5,FALSE),0))</f>
        <v/>
      </c>
      <c r="W33">
        <f>IF($G33="","",IFERROR(VLOOKUP($G33,Shifts!$A$5:$E$12,5,FALSE),0))</f>
        <v/>
      </c>
      <c r="X33">
        <f>IF($H33="","",IFERROR(VLOOKUP($H33,Shifts!$A$5:$E$12,5,FALSE),0))</f>
        <v/>
      </c>
      <c r="Y33">
        <f>IF($B33="","",IFERROR(VLOOKUP($B33,Shifts!$A$5:$E$12,3,FALSE),0))</f>
        <v/>
      </c>
      <c r="Z33">
        <f>IF($C33="","",IFERROR(VLOOKUP($C33,Shifts!$A$5:$E$12,3,FALSE),0))</f>
        <v/>
      </c>
      <c r="AA33">
        <f>IF($D33="","",IFERROR(VLOOKUP($D33,Shifts!$A$5:$E$12,3,FALSE),0))</f>
        <v/>
      </c>
      <c r="AB33">
        <f>IF($E33="","",IFERROR(VLOOKUP($E33,Shifts!$A$5:$E$12,3,FALSE),0))</f>
        <v/>
      </c>
      <c r="AC33">
        <f>IF($F33="","",IFERROR(VLOOKUP($F33,Shifts!$A$5:$E$12,3,FALSE),0))</f>
        <v/>
      </c>
      <c r="AD33">
        <f>IF($G33="","",IFERROR(VLOOKUP($G33,Shifts!$A$5:$E$12,3,FALSE),0))</f>
        <v/>
      </c>
      <c r="AE33">
        <f>IF($H33="","",IFERROR(VLOOKUP($H33,Shifts!$A$5:$E$12,3,FALSE),0))</f>
        <v/>
      </c>
      <c r="AF33">
        <f>IF($B33="","",IFERROR(VLOOKUP($B33,Shifts!$A$5:$E$12,4,FALSE),0))</f>
        <v/>
      </c>
      <c r="AG33">
        <f>IF($C33="","",IFERROR(VLOOKUP($C33,Shifts!$A$5:$E$12,4,FALSE),0))</f>
        <v/>
      </c>
      <c r="AH33">
        <f>IF($D33="","",IFERROR(VLOOKUP($D33,Shifts!$A$5:$E$12,4,FALSE),0))</f>
        <v/>
      </c>
      <c r="AI33">
        <f>IF($E33="","",IFERROR(VLOOKUP($E33,Shifts!$A$5:$E$12,4,FALSE),0))</f>
        <v/>
      </c>
      <c r="AJ33">
        <f>IF($F33="","",IFERROR(VLOOKUP($F33,Shifts!$A$5:$E$12,4,FALSE),0))</f>
        <v/>
      </c>
      <c r="AK33">
        <f>IF($G33="","",IFERROR(VLOOKUP($G33,Shifts!$A$5:$E$12,4,FALSE),0))</f>
        <v/>
      </c>
      <c r="AL33">
        <f>IF($H33="","",IFERROR(VLOOKUP($H33,Shifts!$A$5:$E$12,4,FALSE),0))</f>
        <v/>
      </c>
      <c r="AM33">
        <f>IF(OR($R33="",$S33="",$R33=0,$S33=0),"",ROUND(IF($AF33&lt;=$Y33,$Z33-$AF33,1-$AF33+$Z33)*24,2))</f>
        <v/>
      </c>
      <c r="AN33">
        <f>IF(OR($S33="",$T33="",$S33=0,$T33=0),"",ROUND(IF($AG33&lt;=$Z33,$AA33-$AG33,1-$AG33+$AA33)*24,2))</f>
        <v/>
      </c>
      <c r="AO33">
        <f>IF(OR($T33="",$U33="",$T33=0,$U33=0),"",ROUND(IF($AH33&lt;=$AA33,$AB33-$AH33,1-$AH33+$AB33)*24,2))</f>
        <v/>
      </c>
      <c r="AP33">
        <f>IF(OR($U33="",$V33="",$U33=0,$V33=0),"",ROUND(IF($AI33&lt;=$AB33,$AC33-$AI33,1-$AI33+$AC33)*24,2))</f>
        <v/>
      </c>
      <c r="AQ33">
        <f>IF(OR($V33="",$W33="",$V33=0,$W33=0),"",ROUND(IF($AJ33&lt;=$AC33,$AD33-$AJ33,1-$AJ33+$AD33)*24,2))</f>
        <v/>
      </c>
      <c r="AR33">
        <f>IF(OR($W33="",$X33="",$W33=0,$X33=0),"",ROUND(IF($AK33&lt;=$AD33,$AE33-$AK33,1-$AK33+$AE33)*24,2))</f>
        <v/>
      </c>
    </row>
    <row r="34">
      <c r="A34" s="50" t="n"/>
      <c r="B34" s="51" t="n"/>
      <c r="C34" s="51" t="n"/>
      <c r="D34" s="51" t="n"/>
      <c r="E34" s="51" t="n"/>
      <c r="F34" s="51" t="n"/>
      <c r="G34" s="51" t="n"/>
      <c r="H34" s="51" t="n"/>
      <c r="I34" s="52">
        <f>IF(COUNT($R34:$X34)=0,"",ROUND(SUM($R34:$X34),2))</f>
        <v/>
      </c>
      <c r="J34" s="53" t="n">
        <v>40</v>
      </c>
      <c r="K34">
        <f>IF(OR(IF($AM34="",Shifts!$B$3,$AM34)&lt;Shifts!$B$3,IF($AN34="",Shifts!$B$3,$AN34)&lt;Shifts!$B$3,IF($AO34="",Shifts!$B$3,$AO34)&lt;Shifts!$B$3,IF($AP34="",Shifts!$B$3,$AP34)&lt;Shifts!$B$3,IF($AQ34="",Shifts!$B$3,$AQ34)&lt;Shifts!$B$3,IF($AR34="",Shifts!$B$3,$AR34)&lt;Shifts!$B$3),"⛔ &lt;"&amp;Shifts!$B$3&amp;" h","")</f>
        <v/>
      </c>
      <c r="L34">
        <f>IF(7-(IF($R34="",0,IF($R34&gt;0,1,0))+IF($S34="",0,IF($S34&gt;0,1,0))+IF($T34="",0,IF($T34&gt;0,1,0))+IF($U34="",0,IF($U34&gt;0,1,0))+IF($V34="",0,IF($V34&gt;0,1,0))+IF($W34="",0,IF($W34&gt;0,1,0))+IF($X34="",0,IF($X34&gt;0,1,0)))=0,"⛔ 0 days off",IF(7-(IF($R34="",0,IF($R34&gt;0,1,0))+IF($S34="",0,IF($S34&gt;0,1,0))+IF($T34="",0,IF($T34&gt;0,1,0))+IF($U34="",0,IF($U34&gt;0,1,0))+IF($V34="",0,IF($V34&gt;0,1,0))+IF($W34="",0,IF($W34&gt;0,1,0))+IF($X34="",0,IF($X34&gt;0,1,0)))=1,"⚠ 6 days on: a 7th day in a row is premium pay in CA",""))</f>
        <v/>
      </c>
      <c r="M34">
        <f>IF(OR($I34="",$J34=""),"",IF($I34&gt;$J34,"⛔ +"&amp;TEXT($I34-$J34,"0")&amp;" h",""))</f>
        <v/>
      </c>
      <c r="N34">
        <f>IF($O34="Y",IF(OR(IF($R34="",0,$R34)&gt;8,IF($S34="",0,$S34)&gt;8,IF($T34="",0,$T34)&gt;8,IF($U34="",0,$U34)&gt;8,IF($V34="",0,$V34)&gt;8,IF($W34="",0,$W34)&gt;8,IF($X34="",0,$X34)&gt;8),"⛔ shift &gt; 8 h (MINOR)",""),IF(OR(IF($R34="",0,$R34)&gt;Shifts!$B$2,IF($S34="",0,$S34)&gt;Shifts!$B$2,IF($T34="",0,$T34)&gt;Shifts!$B$2,IF($U34="",0,$U34)&gt;Shifts!$B$2,IF($V34="",0,$V34)&gt;Shifts!$B$2,IF($W34="",0,$W34)&gt;Shifts!$B$2,IF($X34="",0,$X34)&gt;Shifts!$B$2),"⛔ shift &gt; "&amp;Shifts!$B$2&amp;" h",""))</f>
        <v/>
      </c>
      <c r="O34" s="54" t="n"/>
      <c r="P34" s="55">
        <f>IF($O34&lt;&gt;"Y","",IF(OR($B34="N",$B34="DBL",$C34="N",$C34="DBL",$D34="N",$D34="DBL",$E34="N",$E34="DBL",$F34="N",$F34="DBL",$G34="N",$G34="DBL",$H34="N",$H34="DBL"),"⛔ MINOR: no night or double shifts (29 CFR 570.35)","⚠ minor: check federal and state hour limits"))</f>
        <v/>
      </c>
      <c r="R34">
        <f>IF($B34="","",IFERROR(VLOOKUP($B34,Shifts!$A$5:$E$12,5,FALSE),0))</f>
        <v/>
      </c>
      <c r="S34">
        <f>IF($C34="","",IFERROR(VLOOKUP($C34,Shifts!$A$5:$E$12,5,FALSE),0))</f>
        <v/>
      </c>
      <c r="T34">
        <f>IF($D34="","",IFERROR(VLOOKUP($D34,Shifts!$A$5:$E$12,5,FALSE),0))</f>
        <v/>
      </c>
      <c r="U34">
        <f>IF($E34="","",IFERROR(VLOOKUP($E34,Shifts!$A$5:$E$12,5,FALSE),0))</f>
        <v/>
      </c>
      <c r="V34">
        <f>IF($F34="","",IFERROR(VLOOKUP($F34,Shifts!$A$5:$E$12,5,FALSE),0))</f>
        <v/>
      </c>
      <c r="W34">
        <f>IF($G34="","",IFERROR(VLOOKUP($G34,Shifts!$A$5:$E$12,5,FALSE),0))</f>
        <v/>
      </c>
      <c r="X34">
        <f>IF($H34="","",IFERROR(VLOOKUP($H34,Shifts!$A$5:$E$12,5,FALSE),0))</f>
        <v/>
      </c>
      <c r="Y34">
        <f>IF($B34="","",IFERROR(VLOOKUP($B34,Shifts!$A$5:$E$12,3,FALSE),0))</f>
        <v/>
      </c>
      <c r="Z34">
        <f>IF($C34="","",IFERROR(VLOOKUP($C34,Shifts!$A$5:$E$12,3,FALSE),0))</f>
        <v/>
      </c>
      <c r="AA34">
        <f>IF($D34="","",IFERROR(VLOOKUP($D34,Shifts!$A$5:$E$12,3,FALSE),0))</f>
        <v/>
      </c>
      <c r="AB34">
        <f>IF($E34="","",IFERROR(VLOOKUP($E34,Shifts!$A$5:$E$12,3,FALSE),0))</f>
        <v/>
      </c>
      <c r="AC34">
        <f>IF($F34="","",IFERROR(VLOOKUP($F34,Shifts!$A$5:$E$12,3,FALSE),0))</f>
        <v/>
      </c>
      <c r="AD34">
        <f>IF($G34="","",IFERROR(VLOOKUP($G34,Shifts!$A$5:$E$12,3,FALSE),0))</f>
        <v/>
      </c>
      <c r="AE34">
        <f>IF($H34="","",IFERROR(VLOOKUP($H34,Shifts!$A$5:$E$12,3,FALSE),0))</f>
        <v/>
      </c>
      <c r="AF34">
        <f>IF($B34="","",IFERROR(VLOOKUP($B34,Shifts!$A$5:$E$12,4,FALSE),0))</f>
        <v/>
      </c>
      <c r="AG34">
        <f>IF($C34="","",IFERROR(VLOOKUP($C34,Shifts!$A$5:$E$12,4,FALSE),0))</f>
        <v/>
      </c>
      <c r="AH34">
        <f>IF($D34="","",IFERROR(VLOOKUP($D34,Shifts!$A$5:$E$12,4,FALSE),0))</f>
        <v/>
      </c>
      <c r="AI34">
        <f>IF($E34="","",IFERROR(VLOOKUP($E34,Shifts!$A$5:$E$12,4,FALSE),0))</f>
        <v/>
      </c>
      <c r="AJ34">
        <f>IF($F34="","",IFERROR(VLOOKUP($F34,Shifts!$A$5:$E$12,4,FALSE),0))</f>
        <v/>
      </c>
      <c r="AK34">
        <f>IF($G34="","",IFERROR(VLOOKUP($G34,Shifts!$A$5:$E$12,4,FALSE),0))</f>
        <v/>
      </c>
      <c r="AL34">
        <f>IF($H34="","",IFERROR(VLOOKUP($H34,Shifts!$A$5:$E$12,4,FALSE),0))</f>
        <v/>
      </c>
      <c r="AM34">
        <f>IF(OR($R34="",$S34="",$R34=0,$S34=0),"",ROUND(IF($AF34&lt;=$Y34,$Z34-$AF34,1-$AF34+$Z34)*24,2))</f>
        <v/>
      </c>
      <c r="AN34">
        <f>IF(OR($S34="",$T34="",$S34=0,$T34=0),"",ROUND(IF($AG34&lt;=$Z34,$AA34-$AG34,1-$AG34+$AA34)*24,2))</f>
        <v/>
      </c>
      <c r="AO34">
        <f>IF(OR($T34="",$U34="",$T34=0,$U34=0),"",ROUND(IF($AH34&lt;=$AA34,$AB34-$AH34,1-$AH34+$AB34)*24,2))</f>
        <v/>
      </c>
      <c r="AP34">
        <f>IF(OR($U34="",$V34="",$U34=0,$V34=0),"",ROUND(IF($AI34&lt;=$AB34,$AC34-$AI34,1-$AI34+$AC34)*24,2))</f>
        <v/>
      </c>
      <c r="AQ34">
        <f>IF(OR($V34="",$W34="",$V34=0,$W34=0),"",ROUND(IF($AJ34&lt;=$AC34,$AD34-$AJ34,1-$AJ34+$AD34)*24,2))</f>
        <v/>
      </c>
      <c r="AR34">
        <f>IF(OR($W34="",$X34="",$W34=0,$X34=0),"",ROUND(IF($AK34&lt;=$AD34,$AE34-$AK34,1-$AK34+$AE34)*24,2))</f>
        <v/>
      </c>
    </row>
    <row r="35">
      <c r="A35" s="50" t="n"/>
      <c r="B35" s="51" t="n"/>
      <c r="C35" s="51" t="n"/>
      <c r="D35" s="51" t="n"/>
      <c r="E35" s="51" t="n"/>
      <c r="F35" s="51" t="n"/>
      <c r="G35" s="51" t="n"/>
      <c r="H35" s="51" t="n"/>
      <c r="I35" s="52">
        <f>IF(COUNT($R35:$X35)=0,"",ROUND(SUM($R35:$X35),2))</f>
        <v/>
      </c>
      <c r="J35" s="53" t="n">
        <v>40</v>
      </c>
      <c r="K35">
        <f>IF(OR(IF($AM35="",Shifts!$B$3,$AM35)&lt;Shifts!$B$3,IF($AN35="",Shifts!$B$3,$AN35)&lt;Shifts!$B$3,IF($AO35="",Shifts!$B$3,$AO35)&lt;Shifts!$B$3,IF($AP35="",Shifts!$B$3,$AP35)&lt;Shifts!$B$3,IF($AQ35="",Shifts!$B$3,$AQ35)&lt;Shifts!$B$3,IF($AR35="",Shifts!$B$3,$AR35)&lt;Shifts!$B$3),"⛔ &lt;"&amp;Shifts!$B$3&amp;" h","")</f>
        <v/>
      </c>
      <c r="L35">
        <f>IF(7-(IF($R35="",0,IF($R35&gt;0,1,0))+IF($S35="",0,IF($S35&gt;0,1,0))+IF($T35="",0,IF($T35&gt;0,1,0))+IF($U35="",0,IF($U35&gt;0,1,0))+IF($V35="",0,IF($V35&gt;0,1,0))+IF($W35="",0,IF($W35&gt;0,1,0))+IF($X35="",0,IF($X35&gt;0,1,0)))=0,"⛔ 0 days off",IF(7-(IF($R35="",0,IF($R35&gt;0,1,0))+IF($S35="",0,IF($S35&gt;0,1,0))+IF($T35="",0,IF($T35&gt;0,1,0))+IF($U35="",0,IF($U35&gt;0,1,0))+IF($V35="",0,IF($V35&gt;0,1,0))+IF($W35="",0,IF($W35&gt;0,1,0))+IF($X35="",0,IF($X35&gt;0,1,0)))=1,"⚠ 6 days on: a 7th day in a row is premium pay in CA",""))</f>
        <v/>
      </c>
      <c r="M35">
        <f>IF(OR($I35="",$J35=""),"",IF($I35&gt;$J35,"⛔ +"&amp;TEXT($I35-$J35,"0")&amp;" h",""))</f>
        <v/>
      </c>
      <c r="N35">
        <f>IF($O35="Y",IF(OR(IF($R35="",0,$R35)&gt;8,IF($S35="",0,$S35)&gt;8,IF($T35="",0,$T35)&gt;8,IF($U35="",0,$U35)&gt;8,IF($V35="",0,$V35)&gt;8,IF($W35="",0,$W35)&gt;8,IF($X35="",0,$X35)&gt;8),"⛔ shift &gt; 8 h (MINOR)",""),IF(OR(IF($R35="",0,$R35)&gt;Shifts!$B$2,IF($S35="",0,$S35)&gt;Shifts!$B$2,IF($T35="",0,$T35)&gt;Shifts!$B$2,IF($U35="",0,$U35)&gt;Shifts!$B$2,IF($V35="",0,$V35)&gt;Shifts!$B$2,IF($W35="",0,$W35)&gt;Shifts!$B$2,IF($X35="",0,$X35)&gt;Shifts!$B$2),"⛔ shift &gt; "&amp;Shifts!$B$2&amp;" h",""))</f>
        <v/>
      </c>
      <c r="O35" s="54" t="n"/>
      <c r="P35" s="55">
        <f>IF($O35&lt;&gt;"Y","",IF(OR($B35="N",$B35="DBL",$C35="N",$C35="DBL",$D35="N",$D35="DBL",$E35="N",$E35="DBL",$F35="N",$F35="DBL",$G35="N",$G35="DBL",$H35="N",$H35="DBL"),"⛔ MINOR: no night or double shifts (29 CFR 570.35)","⚠ minor: check federal and state hour limits"))</f>
        <v/>
      </c>
      <c r="R35">
        <f>IF($B35="","",IFERROR(VLOOKUP($B35,Shifts!$A$5:$E$12,5,FALSE),0))</f>
        <v/>
      </c>
      <c r="S35">
        <f>IF($C35="","",IFERROR(VLOOKUP($C35,Shifts!$A$5:$E$12,5,FALSE),0))</f>
        <v/>
      </c>
      <c r="T35">
        <f>IF($D35="","",IFERROR(VLOOKUP($D35,Shifts!$A$5:$E$12,5,FALSE),0))</f>
        <v/>
      </c>
      <c r="U35">
        <f>IF($E35="","",IFERROR(VLOOKUP($E35,Shifts!$A$5:$E$12,5,FALSE),0))</f>
        <v/>
      </c>
      <c r="V35">
        <f>IF($F35="","",IFERROR(VLOOKUP($F35,Shifts!$A$5:$E$12,5,FALSE),0))</f>
        <v/>
      </c>
      <c r="W35">
        <f>IF($G35="","",IFERROR(VLOOKUP($G35,Shifts!$A$5:$E$12,5,FALSE),0))</f>
        <v/>
      </c>
      <c r="X35">
        <f>IF($H35="","",IFERROR(VLOOKUP($H35,Shifts!$A$5:$E$12,5,FALSE),0))</f>
        <v/>
      </c>
      <c r="Y35">
        <f>IF($B35="","",IFERROR(VLOOKUP($B35,Shifts!$A$5:$E$12,3,FALSE),0))</f>
        <v/>
      </c>
      <c r="Z35">
        <f>IF($C35="","",IFERROR(VLOOKUP($C35,Shifts!$A$5:$E$12,3,FALSE),0))</f>
        <v/>
      </c>
      <c r="AA35">
        <f>IF($D35="","",IFERROR(VLOOKUP($D35,Shifts!$A$5:$E$12,3,FALSE),0))</f>
        <v/>
      </c>
      <c r="AB35">
        <f>IF($E35="","",IFERROR(VLOOKUP($E35,Shifts!$A$5:$E$12,3,FALSE),0))</f>
        <v/>
      </c>
      <c r="AC35">
        <f>IF($F35="","",IFERROR(VLOOKUP($F35,Shifts!$A$5:$E$12,3,FALSE),0))</f>
        <v/>
      </c>
      <c r="AD35">
        <f>IF($G35="","",IFERROR(VLOOKUP($G35,Shifts!$A$5:$E$12,3,FALSE),0))</f>
        <v/>
      </c>
      <c r="AE35">
        <f>IF($H35="","",IFERROR(VLOOKUP($H35,Shifts!$A$5:$E$12,3,FALSE),0))</f>
        <v/>
      </c>
      <c r="AF35">
        <f>IF($B35="","",IFERROR(VLOOKUP($B35,Shifts!$A$5:$E$12,4,FALSE),0))</f>
        <v/>
      </c>
      <c r="AG35">
        <f>IF($C35="","",IFERROR(VLOOKUP($C35,Shifts!$A$5:$E$12,4,FALSE),0))</f>
        <v/>
      </c>
      <c r="AH35">
        <f>IF($D35="","",IFERROR(VLOOKUP($D35,Shifts!$A$5:$E$12,4,FALSE),0))</f>
        <v/>
      </c>
      <c r="AI35">
        <f>IF($E35="","",IFERROR(VLOOKUP($E35,Shifts!$A$5:$E$12,4,FALSE),0))</f>
        <v/>
      </c>
      <c r="AJ35">
        <f>IF($F35="","",IFERROR(VLOOKUP($F35,Shifts!$A$5:$E$12,4,FALSE),0))</f>
        <v/>
      </c>
      <c r="AK35">
        <f>IF($G35="","",IFERROR(VLOOKUP($G35,Shifts!$A$5:$E$12,4,FALSE),0))</f>
        <v/>
      </c>
      <c r="AL35">
        <f>IF($H35="","",IFERROR(VLOOKUP($H35,Shifts!$A$5:$E$12,4,FALSE),0))</f>
        <v/>
      </c>
      <c r="AM35">
        <f>IF(OR($R35="",$S35="",$R35=0,$S35=0),"",ROUND(IF($AF35&lt;=$Y35,$Z35-$AF35,1-$AF35+$Z35)*24,2))</f>
        <v/>
      </c>
      <c r="AN35">
        <f>IF(OR($S35="",$T35="",$S35=0,$T35=0),"",ROUND(IF($AG35&lt;=$Z35,$AA35-$AG35,1-$AG35+$AA35)*24,2))</f>
        <v/>
      </c>
      <c r="AO35">
        <f>IF(OR($T35="",$U35="",$T35=0,$U35=0),"",ROUND(IF($AH35&lt;=$AA35,$AB35-$AH35,1-$AH35+$AB35)*24,2))</f>
        <v/>
      </c>
      <c r="AP35">
        <f>IF(OR($U35="",$V35="",$U35=0,$V35=0),"",ROUND(IF($AI35&lt;=$AB35,$AC35-$AI35,1-$AI35+$AC35)*24,2))</f>
        <v/>
      </c>
      <c r="AQ35">
        <f>IF(OR($V35="",$W35="",$V35=0,$W35=0),"",ROUND(IF($AJ35&lt;=$AC35,$AD35-$AJ35,1-$AJ35+$AD35)*24,2))</f>
        <v/>
      </c>
      <c r="AR35">
        <f>IF(OR($W35="",$X35="",$W35=0,$X35=0),"",ROUND(IF($AK35&lt;=$AD35,$AE35-$AK35,1-$AK35+$AE35)*24,2))</f>
        <v/>
      </c>
    </row>
    <row r="36">
      <c r="A36" s="16" t="inlineStr">
        <is>
          <t>TOTAL TEAM HOURS</t>
        </is>
      </c>
      <c r="I36" s="52">
        <f>IF(COUNT($I$6:$I$35)=0,"",ROUND(SUM($I$6:$I$35),2))</f>
        <v/>
      </c>
      <c r="J36" s="56" t="inlineStr">
        <is>
          <t>Average per employee →</t>
        </is>
      </c>
      <c r="K36">
        <f>IF(COUNT($I$6:$I$35)=0,"",ROUND(AVERAGE($I$6:$I$35),2))</f>
        <v/>
      </c>
    </row>
    <row r="38">
      <c r="A38" s="17"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J1"/>
    <mergeCell ref="A38:J38"/>
    <mergeCell ref="A2:J2"/>
  </mergeCells>
  <conditionalFormatting sqref="P6:P35">
    <cfRule type="containsText" priority="1" operator="containsText" dxfId="0" stopIfTrue="1" text="⛔">
      <formula>NOT(ISERROR(SEARCH("⛔",P6)))</formula>
    </cfRule>
    <cfRule type="containsText" priority="2" operator="containsText" dxfId="0" stopIfTrue="1" text="EXCESS">
      <formula>NOT(ISERROR(SEARCH("EXCESS",P6)))</formula>
    </cfRule>
    <cfRule type="containsText" priority="3" operator="containsText" dxfId="1" stopIfTrue="1" text="⚠">
      <formula>NOT(ISERROR(SEARCH("⚠",P6)))</formula>
    </cfRule>
    <cfRule type="containsText" priority="4" operator="containsText" dxfId="2" stopIfTrue="1" text="OK">
      <formula>NOT(ISERROR(SEARCH("OK",P6)))</formula>
    </cfRule>
  </conditionalFormatting>
  <conditionalFormatting sqref="K6:K35">
    <cfRule type="containsText" priority="5" operator="containsText" dxfId="0" stopIfTrue="1" text="⛔">
      <formula>NOT(ISERROR(SEARCH("⛔",K6)))</formula>
    </cfRule>
    <cfRule type="containsText" priority="6" operator="containsText" dxfId="0" stopIfTrue="1" text="EXCESS">
      <formula>NOT(ISERROR(SEARCH("EXCESS",K6)))</formula>
    </cfRule>
    <cfRule type="containsText" priority="7" operator="containsText" dxfId="1" stopIfTrue="1" text="⚠">
      <formula>NOT(ISERROR(SEARCH("⚠",K6)))</formula>
    </cfRule>
    <cfRule type="containsText" priority="8" operator="containsText" dxfId="2" stopIfTrue="1" text="OK">
      <formula>NOT(ISERROR(SEARCH("OK",K6)))</formula>
    </cfRule>
  </conditionalFormatting>
  <conditionalFormatting sqref="L6:L35">
    <cfRule type="containsText" priority="9" operator="containsText" dxfId="0" stopIfTrue="1" text="⛔">
      <formula>NOT(ISERROR(SEARCH("⛔",L6)))</formula>
    </cfRule>
    <cfRule type="containsText" priority="10" operator="containsText" dxfId="0" stopIfTrue="1" text="EXCESS">
      <formula>NOT(ISERROR(SEARCH("EXCESS",L6)))</formula>
    </cfRule>
    <cfRule type="containsText" priority="11" operator="containsText" dxfId="1" stopIfTrue="1" text="⚠">
      <formula>NOT(ISERROR(SEARCH("⚠",L6)))</formula>
    </cfRule>
    <cfRule type="containsText" priority="12" operator="containsText" dxfId="2" stopIfTrue="1" text="OK">
      <formula>NOT(ISERROR(SEARCH("OK",L6)))</formula>
    </cfRule>
  </conditionalFormatting>
  <conditionalFormatting sqref="M6:M35">
    <cfRule type="containsText" priority="13" operator="containsText" dxfId="0" stopIfTrue="1" text="⛔">
      <formula>NOT(ISERROR(SEARCH("⛔",M6)))</formula>
    </cfRule>
    <cfRule type="containsText" priority="14" operator="containsText" dxfId="0" stopIfTrue="1" text="EXCESS">
      <formula>NOT(ISERROR(SEARCH("EXCESS",M6)))</formula>
    </cfRule>
    <cfRule type="containsText" priority="15" operator="containsText" dxfId="1" stopIfTrue="1" text="⚠">
      <formula>NOT(ISERROR(SEARCH("⚠",M6)))</formula>
    </cfRule>
    <cfRule type="containsText" priority="16" operator="containsText" dxfId="2" stopIfTrue="1" text="OK">
      <formula>NOT(ISERROR(SEARCH("OK",M6)))</formula>
    </cfRule>
  </conditionalFormatting>
  <conditionalFormatting sqref="N6:N35">
    <cfRule type="containsText" priority="17" operator="containsText" dxfId="0" stopIfTrue="1" text="⛔">
      <formula>NOT(ISERROR(SEARCH("⛔",N6)))</formula>
    </cfRule>
    <cfRule type="containsText" priority="18" operator="containsText" dxfId="0" stopIfTrue="1" text="EXCESS">
      <formula>NOT(ISERROR(SEARCH("EXCESS",N6)))</formula>
    </cfRule>
    <cfRule type="containsText" priority="19" operator="containsText" dxfId="1" stopIfTrue="1" text="⚠">
      <formula>NOT(ISERROR(SEARCH("⚠",N6)))</formula>
    </cfRule>
    <cfRule type="containsText" priority="20" operator="containsText" dxfId="2" stopIfTrue="1" text="OK">
      <formula>NOT(ISERROR(SEARCH("OK",N6)))</formula>
    </cfRule>
  </conditionalFormatting>
  <dataValidations count="2">
    <dataValidation sqref="O6:O35" showDropDown="0" showInputMessage="1" showErrorMessage="1" allowBlank="1" errorTitle="Invalid value" error="Type Y or N." promptTitle="grupoA-v2 · Invalid value" prompt="Type Y if this person is UNDER 18. File 07 flags it in its &quot;Alert&quot; column once you enter the date of birth. With Y, the long-shift alert drops to 8 h and fires on a night (N) or double (DBL) shift: child labor rules, 29 CFR 570." type="list" errorStyle="stop">
      <formula1>"Y,N"</formula1>
    </dataValidation>
    <dataValidation sqref="B6:H35" showDropDown="0" showInputMessage="1" showErrorMessage="1" allowBlank="1" errorTitle="Invalid shift code" error="Use one of the 8 kit codes. They are the same in the weekly and the monthly schedule, and the hours and alerts come from them: an invented code counts 0 h without warning." promptTitle="kitgp-v2 · Invalid shift code" prompt="Shift codes: AM=AM shift · PM=PM shift · N=Night · SP=Split · DBL=Double · OFF=Day off · V=Vacation/PTO · S=Sick." type="list" errorStyle="stop">
      <formula1>"AM,PM,N,SP,DBL,OFF,V,S"</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202"/>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3" customWidth="1" min="9" max="9"/>
    <col width="26" customWidth="1" min="10" max="10"/>
  </cols>
  <sheetData>
    <row r="1">
      <c r="A1" s="23" t="inlineStr">
        <is>
          <t>Monthly Schedule — Month: _______________</t>
        </is>
      </c>
    </row>
    <row r="2">
      <c r="A2" s="57" t="inlineStr">
        <is>
          <t>AI Chef Pro · aichef.pro — Restaurant Staff Scheduling Kit Pro</t>
        </is>
      </c>
    </row>
    <row r="3">
      <c r="A3" s="58" t="inlineStr">
        <is>
          <t>WEEK 1</t>
        </is>
      </c>
      <c r="B3" s="40" t="inlineStr">
        <is>
          <t>AM=AM shift</t>
        </is>
      </c>
      <c r="C3" s="41" t="inlineStr">
        <is>
          <t>PM=PM shift</t>
        </is>
      </c>
      <c r="D3" s="42" t="inlineStr">
        <is>
          <t>N=Night</t>
        </is>
      </c>
      <c r="E3" s="43" t="inlineStr">
        <is>
          <t>SP=Split</t>
        </is>
      </c>
      <c r="F3" s="44" t="inlineStr">
        <is>
          <t>DBL=Double</t>
        </is>
      </c>
      <c r="G3" s="45" t="inlineStr">
        <is>
          <t>OFF=Day off</t>
        </is>
      </c>
      <c r="H3" s="46" t="inlineStr">
        <is>
          <t>V=Vacation/PTO</t>
        </is>
      </c>
      <c r="I3" s="47" t="inlineStr">
        <is>
          <t>S=Sick</t>
        </is>
      </c>
    </row>
    <row r="4" ht="30" customHeight="1">
      <c r="A4" s="27" t="inlineStr">
        <is>
          <t>Employee</t>
        </is>
      </c>
      <c r="B4" s="27" t="inlineStr">
        <is>
          <t>Monday</t>
        </is>
      </c>
      <c r="C4" s="27" t="inlineStr">
        <is>
          <t>Tuesday</t>
        </is>
      </c>
      <c r="D4" s="27" t="inlineStr">
        <is>
          <t>Wednesday</t>
        </is>
      </c>
      <c r="E4" s="27" t="inlineStr">
        <is>
          <t>Thursday</t>
        </is>
      </c>
      <c r="F4" s="27" t="inlineStr">
        <is>
          <t>Friday</t>
        </is>
      </c>
      <c r="G4" s="27" t="inlineStr">
        <is>
          <t>Saturday</t>
        </is>
      </c>
      <c r="H4" s="27" t="inlineStr">
        <is>
          <t>Sunday</t>
        </is>
      </c>
      <c r="I4" s="27" t="inlineStr">
        <is>
          <t>Total Hours</t>
        </is>
      </c>
      <c r="J4" s="27" t="inlineStr">
        <is>
          <t>Weekly alert</t>
        </is>
      </c>
    </row>
    <row r="5">
      <c r="A5">
        <f>IF('Weekly Schedule'!$A6="","",'Weekly Schedule'!$A6)</f>
        <v/>
      </c>
      <c r="B5" s="54" t="n"/>
      <c r="C5" s="54" t="n"/>
      <c r="D5" s="54" t="n"/>
      <c r="E5" s="54" t="n"/>
      <c r="F5" s="54" t="n"/>
      <c r="G5" s="54" t="n"/>
      <c r="H5" s="54" t="n"/>
      <c r="I5" s="59">
        <f>IF($A5="","",ROUND(IFERROR(VLOOKUP($B5,Shifts!$A$5:$E$12,5,FALSE),0)+IFERROR(VLOOKUP($C5,Shifts!$A$5:$E$12,5,FALSE),0)+IFERROR(VLOOKUP($D5,Shifts!$A$5:$E$12,5,FALSE),0)+IFERROR(VLOOKUP($E5,Shifts!$A$5:$E$12,5,FALSE),0)+IFERROR(VLOOKUP($F5,Shifts!$A$5:$E$12,5,FALSE),0)+IFERROR(VLOOKUP($G5,Shifts!$A$5:$E$12,5,FALSE),0)+IFERROR(VLOOKUP($H5,Shifts!$A$5:$E$12,5,FALSE),0),2))</f>
        <v/>
      </c>
      <c r="J5">
        <f>IF($A5="","",IF($I5&gt;'Weekly Schedule'!$J6,"⛔ +"&amp;TEXT($I5-'Weekly Schedule'!$J6,"0")&amp;" h",""))</f>
        <v/>
      </c>
    </row>
    <row r="6">
      <c r="A6">
        <f>IF('Weekly Schedule'!$A7="","",'Weekly Schedule'!$A7)</f>
        <v/>
      </c>
      <c r="B6" s="54" t="n"/>
      <c r="C6" s="54" t="n"/>
      <c r="D6" s="54" t="n"/>
      <c r="E6" s="54" t="n"/>
      <c r="F6" s="54" t="n"/>
      <c r="G6" s="54" t="n"/>
      <c r="H6" s="54" t="n"/>
      <c r="I6" s="59">
        <f>IF($A6="","",ROUND(IFERROR(VLOOKUP($B6,Shifts!$A$5:$E$12,5,FALSE),0)+IFERROR(VLOOKUP($C6,Shifts!$A$5:$E$12,5,FALSE),0)+IFERROR(VLOOKUP($D6,Shifts!$A$5:$E$12,5,FALSE),0)+IFERROR(VLOOKUP($E6,Shifts!$A$5:$E$12,5,FALSE),0)+IFERROR(VLOOKUP($F6,Shifts!$A$5:$E$12,5,FALSE),0)+IFERROR(VLOOKUP($G6,Shifts!$A$5:$E$12,5,FALSE),0)+IFERROR(VLOOKUP($H6,Shifts!$A$5:$E$12,5,FALSE),0),2))</f>
        <v/>
      </c>
      <c r="J6">
        <f>IF($A6="","",IF($I6&gt;'Weekly Schedule'!$J7,"⛔ +"&amp;TEXT($I6-'Weekly Schedule'!$J7,"0")&amp;" h",""))</f>
        <v/>
      </c>
    </row>
    <row r="7">
      <c r="A7">
        <f>IF('Weekly Schedule'!$A8="","",'Weekly Schedule'!$A8)</f>
        <v/>
      </c>
      <c r="B7" s="54" t="n"/>
      <c r="C7" s="54" t="n"/>
      <c r="D7" s="54" t="n"/>
      <c r="E7" s="54" t="n"/>
      <c r="F7" s="54" t="n"/>
      <c r="G7" s="54" t="n"/>
      <c r="H7" s="54" t="n"/>
      <c r="I7" s="59">
        <f>IF($A7="","",ROUND(IFERROR(VLOOKUP($B7,Shifts!$A$5:$E$12,5,FALSE),0)+IFERROR(VLOOKUP($C7,Shifts!$A$5:$E$12,5,FALSE),0)+IFERROR(VLOOKUP($D7,Shifts!$A$5:$E$12,5,FALSE),0)+IFERROR(VLOOKUP($E7,Shifts!$A$5:$E$12,5,FALSE),0)+IFERROR(VLOOKUP($F7,Shifts!$A$5:$E$12,5,FALSE),0)+IFERROR(VLOOKUP($G7,Shifts!$A$5:$E$12,5,FALSE),0)+IFERROR(VLOOKUP($H7,Shifts!$A$5:$E$12,5,FALSE),0),2))</f>
        <v/>
      </c>
      <c r="J7">
        <f>IF($A7="","",IF($I7&gt;'Weekly Schedule'!$J8,"⛔ +"&amp;TEXT($I7-'Weekly Schedule'!$J8,"0")&amp;" h",""))</f>
        <v/>
      </c>
    </row>
    <row r="8">
      <c r="A8">
        <f>IF('Weekly Schedule'!$A9="","",'Weekly Schedule'!$A9)</f>
        <v/>
      </c>
      <c r="B8" s="54" t="n"/>
      <c r="C8" s="54" t="n"/>
      <c r="D8" s="54" t="n"/>
      <c r="E8" s="54" t="n"/>
      <c r="F8" s="54" t="n"/>
      <c r="G8" s="54" t="n"/>
      <c r="H8" s="54" t="n"/>
      <c r="I8" s="59">
        <f>IF($A8="","",ROUND(IFERROR(VLOOKUP($B8,Shifts!$A$5:$E$12,5,FALSE),0)+IFERROR(VLOOKUP($C8,Shifts!$A$5:$E$12,5,FALSE),0)+IFERROR(VLOOKUP($D8,Shifts!$A$5:$E$12,5,FALSE),0)+IFERROR(VLOOKUP($E8,Shifts!$A$5:$E$12,5,FALSE),0)+IFERROR(VLOOKUP($F8,Shifts!$A$5:$E$12,5,FALSE),0)+IFERROR(VLOOKUP($G8,Shifts!$A$5:$E$12,5,FALSE),0)+IFERROR(VLOOKUP($H8,Shifts!$A$5:$E$12,5,FALSE),0),2))</f>
        <v/>
      </c>
      <c r="J8">
        <f>IF($A8="","",IF($I8&gt;'Weekly Schedule'!$J9,"⛔ +"&amp;TEXT($I8-'Weekly Schedule'!$J9,"0")&amp;" h",""))</f>
        <v/>
      </c>
    </row>
    <row r="9">
      <c r="A9">
        <f>IF('Weekly Schedule'!$A10="","",'Weekly Schedule'!$A10)</f>
        <v/>
      </c>
      <c r="B9" s="54" t="n"/>
      <c r="C9" s="54" t="n"/>
      <c r="D9" s="54" t="n"/>
      <c r="E9" s="54" t="n"/>
      <c r="F9" s="54" t="n"/>
      <c r="G9" s="54" t="n"/>
      <c r="H9" s="54" t="n"/>
      <c r="I9" s="59">
        <f>IF($A9="","",ROUND(IFERROR(VLOOKUP($B9,Shifts!$A$5:$E$12,5,FALSE),0)+IFERROR(VLOOKUP($C9,Shifts!$A$5:$E$12,5,FALSE),0)+IFERROR(VLOOKUP($D9,Shifts!$A$5:$E$12,5,FALSE),0)+IFERROR(VLOOKUP($E9,Shifts!$A$5:$E$12,5,FALSE),0)+IFERROR(VLOOKUP($F9,Shifts!$A$5:$E$12,5,FALSE),0)+IFERROR(VLOOKUP($G9,Shifts!$A$5:$E$12,5,FALSE),0)+IFERROR(VLOOKUP($H9,Shifts!$A$5:$E$12,5,FALSE),0),2))</f>
        <v/>
      </c>
      <c r="J9">
        <f>IF($A9="","",IF($I9&gt;'Weekly Schedule'!$J10,"⛔ +"&amp;TEXT($I9-'Weekly Schedule'!$J10,"0")&amp;" h",""))</f>
        <v/>
      </c>
    </row>
    <row r="10">
      <c r="A10">
        <f>IF('Weekly Schedule'!$A11="","",'Weekly Schedule'!$A11)</f>
        <v/>
      </c>
      <c r="B10" s="54" t="n"/>
      <c r="C10" s="54" t="n"/>
      <c r="D10" s="54" t="n"/>
      <c r="E10" s="54" t="n"/>
      <c r="F10" s="54" t="n"/>
      <c r="G10" s="54" t="n"/>
      <c r="H10" s="54" t="n"/>
      <c r="I10" s="59">
        <f>IF($A10="","",ROUND(IFERROR(VLOOKUP($B10,Shifts!$A$5:$E$12,5,FALSE),0)+IFERROR(VLOOKUP($C10,Shifts!$A$5:$E$12,5,FALSE),0)+IFERROR(VLOOKUP($D10,Shifts!$A$5:$E$12,5,FALSE),0)+IFERROR(VLOOKUP($E10,Shifts!$A$5:$E$12,5,FALSE),0)+IFERROR(VLOOKUP($F10,Shifts!$A$5:$E$12,5,FALSE),0)+IFERROR(VLOOKUP($G10,Shifts!$A$5:$E$12,5,FALSE),0)+IFERROR(VLOOKUP($H10,Shifts!$A$5:$E$12,5,FALSE),0),2))</f>
        <v/>
      </c>
      <c r="J10">
        <f>IF($A10="","",IF($I10&gt;'Weekly Schedule'!$J11,"⛔ +"&amp;TEXT($I10-'Weekly Schedule'!$J11,"0")&amp;" h",""))</f>
        <v/>
      </c>
    </row>
    <row r="11">
      <c r="A11">
        <f>IF('Weekly Schedule'!$A12="","",'Weekly Schedule'!$A12)</f>
        <v/>
      </c>
      <c r="B11" s="54" t="n"/>
      <c r="C11" s="54" t="n"/>
      <c r="D11" s="54" t="n"/>
      <c r="E11" s="54" t="n"/>
      <c r="F11" s="54" t="n"/>
      <c r="G11" s="54" t="n"/>
      <c r="H11" s="54" t="n"/>
      <c r="I11" s="59">
        <f>IF($A11="","",ROUND(IFERROR(VLOOKUP($B11,Shifts!$A$5:$E$12,5,FALSE),0)+IFERROR(VLOOKUP($C11,Shifts!$A$5:$E$12,5,FALSE),0)+IFERROR(VLOOKUP($D11,Shifts!$A$5:$E$12,5,FALSE),0)+IFERROR(VLOOKUP($E11,Shifts!$A$5:$E$12,5,FALSE),0)+IFERROR(VLOOKUP($F11,Shifts!$A$5:$E$12,5,FALSE),0)+IFERROR(VLOOKUP($G11,Shifts!$A$5:$E$12,5,FALSE),0)+IFERROR(VLOOKUP($H11,Shifts!$A$5:$E$12,5,FALSE),0),2))</f>
        <v/>
      </c>
      <c r="J11">
        <f>IF($A11="","",IF($I11&gt;'Weekly Schedule'!$J12,"⛔ +"&amp;TEXT($I11-'Weekly Schedule'!$J12,"0")&amp;" h",""))</f>
        <v/>
      </c>
    </row>
    <row r="12">
      <c r="A12">
        <f>IF('Weekly Schedule'!$A13="","",'Weekly Schedule'!$A13)</f>
        <v/>
      </c>
      <c r="B12" s="54" t="n"/>
      <c r="C12" s="54" t="n"/>
      <c r="D12" s="54" t="n"/>
      <c r="E12" s="54" t="n"/>
      <c r="F12" s="54" t="n"/>
      <c r="G12" s="54" t="n"/>
      <c r="H12" s="54" t="n"/>
      <c r="I12" s="59">
        <f>IF($A12="","",ROUND(IFERROR(VLOOKUP($B12,Shifts!$A$5:$E$12,5,FALSE),0)+IFERROR(VLOOKUP($C12,Shifts!$A$5:$E$12,5,FALSE),0)+IFERROR(VLOOKUP($D12,Shifts!$A$5:$E$12,5,FALSE),0)+IFERROR(VLOOKUP($E12,Shifts!$A$5:$E$12,5,FALSE),0)+IFERROR(VLOOKUP($F12,Shifts!$A$5:$E$12,5,FALSE),0)+IFERROR(VLOOKUP($G12,Shifts!$A$5:$E$12,5,FALSE),0)+IFERROR(VLOOKUP($H12,Shifts!$A$5:$E$12,5,FALSE),0),2))</f>
        <v/>
      </c>
      <c r="J12">
        <f>IF($A12="","",IF($I12&gt;'Weekly Schedule'!$J13,"⛔ +"&amp;TEXT($I12-'Weekly Schedule'!$J13,"0")&amp;" h",""))</f>
        <v/>
      </c>
    </row>
    <row r="13">
      <c r="A13">
        <f>IF('Weekly Schedule'!$A14="","",'Weekly Schedule'!$A14)</f>
        <v/>
      </c>
      <c r="B13" s="54" t="n"/>
      <c r="C13" s="54" t="n"/>
      <c r="D13" s="54" t="n"/>
      <c r="E13" s="54" t="n"/>
      <c r="F13" s="54" t="n"/>
      <c r="G13" s="54" t="n"/>
      <c r="H13" s="54" t="n"/>
      <c r="I13" s="59">
        <f>IF($A13="","",ROUND(IFERROR(VLOOKUP($B13,Shifts!$A$5:$E$12,5,FALSE),0)+IFERROR(VLOOKUP($C13,Shifts!$A$5:$E$12,5,FALSE),0)+IFERROR(VLOOKUP($D13,Shifts!$A$5:$E$12,5,FALSE),0)+IFERROR(VLOOKUP($E13,Shifts!$A$5:$E$12,5,FALSE),0)+IFERROR(VLOOKUP($F13,Shifts!$A$5:$E$12,5,FALSE),0)+IFERROR(VLOOKUP($G13,Shifts!$A$5:$E$12,5,FALSE),0)+IFERROR(VLOOKUP($H13,Shifts!$A$5:$E$12,5,FALSE),0),2))</f>
        <v/>
      </c>
      <c r="J13">
        <f>IF($A13="","",IF($I13&gt;'Weekly Schedule'!$J14,"⛔ +"&amp;TEXT($I13-'Weekly Schedule'!$J14,"0")&amp;" h",""))</f>
        <v/>
      </c>
    </row>
    <row r="14">
      <c r="A14">
        <f>IF('Weekly Schedule'!$A15="","",'Weekly Schedule'!$A15)</f>
        <v/>
      </c>
      <c r="B14" s="54" t="n"/>
      <c r="C14" s="54" t="n"/>
      <c r="D14" s="54" t="n"/>
      <c r="E14" s="54" t="n"/>
      <c r="F14" s="54" t="n"/>
      <c r="G14" s="54" t="n"/>
      <c r="H14" s="54" t="n"/>
      <c r="I14" s="59">
        <f>IF($A14="","",ROUND(IFERROR(VLOOKUP($B14,Shifts!$A$5:$E$12,5,FALSE),0)+IFERROR(VLOOKUP($C14,Shifts!$A$5:$E$12,5,FALSE),0)+IFERROR(VLOOKUP($D14,Shifts!$A$5:$E$12,5,FALSE),0)+IFERROR(VLOOKUP($E14,Shifts!$A$5:$E$12,5,FALSE),0)+IFERROR(VLOOKUP($F14,Shifts!$A$5:$E$12,5,FALSE),0)+IFERROR(VLOOKUP($G14,Shifts!$A$5:$E$12,5,FALSE),0)+IFERROR(VLOOKUP($H14,Shifts!$A$5:$E$12,5,FALSE),0),2))</f>
        <v/>
      </c>
      <c r="J14">
        <f>IF($A14="","",IF($I14&gt;'Weekly Schedule'!$J15,"⛔ +"&amp;TEXT($I14-'Weekly Schedule'!$J15,"0")&amp;" h",""))</f>
        <v/>
      </c>
    </row>
    <row r="15">
      <c r="A15">
        <f>IF('Weekly Schedule'!$A16="","",'Weekly Schedule'!$A16)</f>
        <v/>
      </c>
      <c r="B15" s="54" t="n"/>
      <c r="C15" s="54" t="n"/>
      <c r="D15" s="54" t="n"/>
      <c r="E15" s="54" t="n"/>
      <c r="F15" s="54" t="n"/>
      <c r="G15" s="54" t="n"/>
      <c r="H15" s="54" t="n"/>
      <c r="I15" s="59">
        <f>IF($A15="","",ROUND(IFERROR(VLOOKUP($B15,Shifts!$A$5:$E$12,5,FALSE),0)+IFERROR(VLOOKUP($C15,Shifts!$A$5:$E$12,5,FALSE),0)+IFERROR(VLOOKUP($D15,Shifts!$A$5:$E$12,5,FALSE),0)+IFERROR(VLOOKUP($E15,Shifts!$A$5:$E$12,5,FALSE),0)+IFERROR(VLOOKUP($F15,Shifts!$A$5:$E$12,5,FALSE),0)+IFERROR(VLOOKUP($G15,Shifts!$A$5:$E$12,5,FALSE),0)+IFERROR(VLOOKUP($H15,Shifts!$A$5:$E$12,5,FALSE),0),2))</f>
        <v/>
      </c>
      <c r="J15">
        <f>IF($A15="","",IF($I15&gt;'Weekly Schedule'!$J16,"⛔ +"&amp;TEXT($I15-'Weekly Schedule'!$J16,"0")&amp;" h",""))</f>
        <v/>
      </c>
    </row>
    <row r="16">
      <c r="A16">
        <f>IF('Weekly Schedule'!$A17="","",'Weekly Schedule'!$A17)</f>
        <v/>
      </c>
      <c r="B16" s="54" t="n"/>
      <c r="C16" s="54" t="n"/>
      <c r="D16" s="54" t="n"/>
      <c r="E16" s="54" t="n"/>
      <c r="F16" s="54" t="n"/>
      <c r="G16" s="54" t="n"/>
      <c r="H16" s="54" t="n"/>
      <c r="I16" s="59">
        <f>IF($A16="","",ROUND(IFERROR(VLOOKUP($B16,Shifts!$A$5:$E$12,5,FALSE),0)+IFERROR(VLOOKUP($C16,Shifts!$A$5:$E$12,5,FALSE),0)+IFERROR(VLOOKUP($D16,Shifts!$A$5:$E$12,5,FALSE),0)+IFERROR(VLOOKUP($E16,Shifts!$A$5:$E$12,5,FALSE),0)+IFERROR(VLOOKUP($F16,Shifts!$A$5:$E$12,5,FALSE),0)+IFERROR(VLOOKUP($G16,Shifts!$A$5:$E$12,5,FALSE),0)+IFERROR(VLOOKUP($H16,Shifts!$A$5:$E$12,5,FALSE),0),2))</f>
        <v/>
      </c>
      <c r="J16">
        <f>IF($A16="","",IF($I16&gt;'Weekly Schedule'!$J17,"⛔ +"&amp;TEXT($I16-'Weekly Schedule'!$J17,"0")&amp;" h",""))</f>
        <v/>
      </c>
    </row>
    <row r="17">
      <c r="A17">
        <f>IF('Weekly Schedule'!$A18="","",'Weekly Schedule'!$A18)</f>
        <v/>
      </c>
      <c r="B17" s="54" t="n"/>
      <c r="C17" s="54" t="n"/>
      <c r="D17" s="54" t="n"/>
      <c r="E17" s="54" t="n"/>
      <c r="F17" s="54" t="n"/>
      <c r="G17" s="54" t="n"/>
      <c r="H17" s="54" t="n"/>
      <c r="I17" s="59">
        <f>IF($A17="","",ROUND(IFERROR(VLOOKUP($B17,Shifts!$A$5:$E$12,5,FALSE),0)+IFERROR(VLOOKUP($C17,Shifts!$A$5:$E$12,5,FALSE),0)+IFERROR(VLOOKUP($D17,Shifts!$A$5:$E$12,5,FALSE),0)+IFERROR(VLOOKUP($E17,Shifts!$A$5:$E$12,5,FALSE),0)+IFERROR(VLOOKUP($F17,Shifts!$A$5:$E$12,5,FALSE),0)+IFERROR(VLOOKUP($G17,Shifts!$A$5:$E$12,5,FALSE),0)+IFERROR(VLOOKUP($H17,Shifts!$A$5:$E$12,5,FALSE),0),2))</f>
        <v/>
      </c>
      <c r="J17">
        <f>IF($A17="","",IF($I17&gt;'Weekly Schedule'!$J18,"⛔ +"&amp;TEXT($I17-'Weekly Schedule'!$J18,"0")&amp;" h",""))</f>
        <v/>
      </c>
    </row>
    <row r="18">
      <c r="A18">
        <f>IF('Weekly Schedule'!$A19="","",'Weekly Schedule'!$A19)</f>
        <v/>
      </c>
      <c r="B18" s="54" t="n"/>
      <c r="C18" s="54" t="n"/>
      <c r="D18" s="54" t="n"/>
      <c r="E18" s="54" t="n"/>
      <c r="F18" s="54" t="n"/>
      <c r="G18" s="54" t="n"/>
      <c r="H18" s="54" t="n"/>
      <c r="I18" s="59">
        <f>IF($A18="","",ROUND(IFERROR(VLOOKUP($B18,Shifts!$A$5:$E$12,5,FALSE),0)+IFERROR(VLOOKUP($C18,Shifts!$A$5:$E$12,5,FALSE),0)+IFERROR(VLOOKUP($D18,Shifts!$A$5:$E$12,5,FALSE),0)+IFERROR(VLOOKUP($E18,Shifts!$A$5:$E$12,5,FALSE),0)+IFERROR(VLOOKUP($F18,Shifts!$A$5:$E$12,5,FALSE),0)+IFERROR(VLOOKUP($G18,Shifts!$A$5:$E$12,5,FALSE),0)+IFERROR(VLOOKUP($H18,Shifts!$A$5:$E$12,5,FALSE),0),2))</f>
        <v/>
      </c>
      <c r="J18">
        <f>IF($A18="","",IF($I18&gt;'Weekly Schedule'!$J19,"⛔ +"&amp;TEXT($I18-'Weekly Schedule'!$J19,"0")&amp;" h",""))</f>
        <v/>
      </c>
    </row>
    <row r="19">
      <c r="A19">
        <f>IF('Weekly Schedule'!$A20="","",'Weekly Schedule'!$A20)</f>
        <v/>
      </c>
      <c r="B19" s="54" t="n"/>
      <c r="C19" s="54" t="n"/>
      <c r="D19" s="54" t="n"/>
      <c r="E19" s="54" t="n"/>
      <c r="F19" s="54" t="n"/>
      <c r="G19" s="54" t="n"/>
      <c r="H19" s="54" t="n"/>
      <c r="I19" s="59">
        <f>IF($A19="","",ROUND(IFERROR(VLOOKUP($B19,Shifts!$A$5:$E$12,5,FALSE),0)+IFERROR(VLOOKUP($C19,Shifts!$A$5:$E$12,5,FALSE),0)+IFERROR(VLOOKUP($D19,Shifts!$A$5:$E$12,5,FALSE),0)+IFERROR(VLOOKUP($E19,Shifts!$A$5:$E$12,5,FALSE),0)+IFERROR(VLOOKUP($F19,Shifts!$A$5:$E$12,5,FALSE),0)+IFERROR(VLOOKUP($G19,Shifts!$A$5:$E$12,5,FALSE),0)+IFERROR(VLOOKUP($H19,Shifts!$A$5:$E$12,5,FALSE),0),2))</f>
        <v/>
      </c>
      <c r="J19">
        <f>IF($A19="","",IF($I19&gt;'Weekly Schedule'!$J20,"⛔ +"&amp;TEXT($I19-'Weekly Schedule'!$J20,"0")&amp;" h",""))</f>
        <v/>
      </c>
    </row>
    <row r="20">
      <c r="A20">
        <f>IF('Weekly Schedule'!$A21="","",'Weekly Schedule'!$A21)</f>
        <v/>
      </c>
      <c r="B20" s="54" t="n"/>
      <c r="C20" s="54" t="n"/>
      <c r="D20" s="54" t="n"/>
      <c r="E20" s="54" t="n"/>
      <c r="F20" s="54" t="n"/>
      <c r="G20" s="54" t="n"/>
      <c r="H20" s="54" t="n"/>
      <c r="I20" s="59">
        <f>IF($A20="","",ROUND(IFERROR(VLOOKUP($B20,Shifts!$A$5:$E$12,5,FALSE),0)+IFERROR(VLOOKUP($C20,Shifts!$A$5:$E$12,5,FALSE),0)+IFERROR(VLOOKUP($D20,Shifts!$A$5:$E$12,5,FALSE),0)+IFERROR(VLOOKUP($E20,Shifts!$A$5:$E$12,5,FALSE),0)+IFERROR(VLOOKUP($F20,Shifts!$A$5:$E$12,5,FALSE),0)+IFERROR(VLOOKUP($G20,Shifts!$A$5:$E$12,5,FALSE),0)+IFERROR(VLOOKUP($H20,Shifts!$A$5:$E$12,5,FALSE),0),2))</f>
        <v/>
      </c>
      <c r="J20">
        <f>IF($A20="","",IF($I20&gt;'Weekly Schedule'!$J21,"⛔ +"&amp;TEXT($I20-'Weekly Schedule'!$J21,"0")&amp;" h",""))</f>
        <v/>
      </c>
    </row>
    <row r="21">
      <c r="A21">
        <f>IF('Weekly Schedule'!$A22="","",'Weekly Schedule'!$A22)</f>
        <v/>
      </c>
      <c r="B21" s="54" t="n"/>
      <c r="C21" s="54" t="n"/>
      <c r="D21" s="54" t="n"/>
      <c r="E21" s="54" t="n"/>
      <c r="F21" s="54" t="n"/>
      <c r="G21" s="54" t="n"/>
      <c r="H21" s="54" t="n"/>
      <c r="I21" s="59">
        <f>IF($A21="","",ROUND(IFERROR(VLOOKUP($B21,Shifts!$A$5:$E$12,5,FALSE),0)+IFERROR(VLOOKUP($C21,Shifts!$A$5:$E$12,5,FALSE),0)+IFERROR(VLOOKUP($D21,Shifts!$A$5:$E$12,5,FALSE),0)+IFERROR(VLOOKUP($E21,Shifts!$A$5:$E$12,5,FALSE),0)+IFERROR(VLOOKUP($F21,Shifts!$A$5:$E$12,5,FALSE),0)+IFERROR(VLOOKUP($G21,Shifts!$A$5:$E$12,5,FALSE),0)+IFERROR(VLOOKUP($H21,Shifts!$A$5:$E$12,5,FALSE),0),2))</f>
        <v/>
      </c>
      <c r="J21">
        <f>IF($A21="","",IF($I21&gt;'Weekly Schedule'!$J22,"⛔ +"&amp;TEXT($I21-'Weekly Schedule'!$J22,"0")&amp;" h",""))</f>
        <v/>
      </c>
    </row>
    <row r="22">
      <c r="A22">
        <f>IF('Weekly Schedule'!$A23="","",'Weekly Schedule'!$A23)</f>
        <v/>
      </c>
      <c r="B22" s="54" t="n"/>
      <c r="C22" s="54" t="n"/>
      <c r="D22" s="54" t="n"/>
      <c r="E22" s="54" t="n"/>
      <c r="F22" s="54" t="n"/>
      <c r="G22" s="54" t="n"/>
      <c r="H22" s="54" t="n"/>
      <c r="I22" s="59">
        <f>IF($A22="","",ROUND(IFERROR(VLOOKUP($B22,Shifts!$A$5:$E$12,5,FALSE),0)+IFERROR(VLOOKUP($C22,Shifts!$A$5:$E$12,5,FALSE),0)+IFERROR(VLOOKUP($D22,Shifts!$A$5:$E$12,5,FALSE),0)+IFERROR(VLOOKUP($E22,Shifts!$A$5:$E$12,5,FALSE),0)+IFERROR(VLOOKUP($F22,Shifts!$A$5:$E$12,5,FALSE),0)+IFERROR(VLOOKUP($G22,Shifts!$A$5:$E$12,5,FALSE),0)+IFERROR(VLOOKUP($H22,Shifts!$A$5:$E$12,5,FALSE),0),2))</f>
        <v/>
      </c>
      <c r="J22">
        <f>IF($A22="","",IF($I22&gt;'Weekly Schedule'!$J23,"⛔ +"&amp;TEXT($I22-'Weekly Schedule'!$J23,"0")&amp;" h",""))</f>
        <v/>
      </c>
    </row>
    <row r="23">
      <c r="A23">
        <f>IF('Weekly Schedule'!$A24="","",'Weekly Schedule'!$A24)</f>
        <v/>
      </c>
      <c r="B23" s="54" t="n"/>
      <c r="C23" s="54" t="n"/>
      <c r="D23" s="54" t="n"/>
      <c r="E23" s="54" t="n"/>
      <c r="F23" s="54" t="n"/>
      <c r="G23" s="54" t="n"/>
      <c r="H23" s="54" t="n"/>
      <c r="I23" s="59">
        <f>IF($A23="","",ROUND(IFERROR(VLOOKUP($B23,Shifts!$A$5:$E$12,5,FALSE),0)+IFERROR(VLOOKUP($C23,Shifts!$A$5:$E$12,5,FALSE),0)+IFERROR(VLOOKUP($D23,Shifts!$A$5:$E$12,5,FALSE),0)+IFERROR(VLOOKUP($E23,Shifts!$A$5:$E$12,5,FALSE),0)+IFERROR(VLOOKUP($F23,Shifts!$A$5:$E$12,5,FALSE),0)+IFERROR(VLOOKUP($G23,Shifts!$A$5:$E$12,5,FALSE),0)+IFERROR(VLOOKUP($H23,Shifts!$A$5:$E$12,5,FALSE),0),2))</f>
        <v/>
      </c>
      <c r="J23">
        <f>IF($A23="","",IF($I23&gt;'Weekly Schedule'!$J24,"⛔ +"&amp;TEXT($I23-'Weekly Schedule'!$J24,"0")&amp;" h",""))</f>
        <v/>
      </c>
    </row>
    <row r="24">
      <c r="A24">
        <f>IF('Weekly Schedule'!$A25="","",'Weekly Schedule'!$A25)</f>
        <v/>
      </c>
      <c r="B24" s="54" t="n"/>
      <c r="C24" s="54" t="n"/>
      <c r="D24" s="54" t="n"/>
      <c r="E24" s="54" t="n"/>
      <c r="F24" s="54" t="n"/>
      <c r="G24" s="54" t="n"/>
      <c r="H24" s="54" t="n"/>
      <c r="I24" s="59">
        <f>IF($A24="","",ROUND(IFERROR(VLOOKUP($B24,Shifts!$A$5:$E$12,5,FALSE),0)+IFERROR(VLOOKUP($C24,Shifts!$A$5:$E$12,5,FALSE),0)+IFERROR(VLOOKUP($D24,Shifts!$A$5:$E$12,5,FALSE),0)+IFERROR(VLOOKUP($E24,Shifts!$A$5:$E$12,5,FALSE),0)+IFERROR(VLOOKUP($F24,Shifts!$A$5:$E$12,5,FALSE),0)+IFERROR(VLOOKUP($G24,Shifts!$A$5:$E$12,5,FALSE),0)+IFERROR(VLOOKUP($H24,Shifts!$A$5:$E$12,5,FALSE),0),2))</f>
        <v/>
      </c>
      <c r="J24">
        <f>IF($A24="","",IF($I24&gt;'Weekly Schedule'!$J25,"⛔ +"&amp;TEXT($I24-'Weekly Schedule'!$J25,"0")&amp;" h",""))</f>
        <v/>
      </c>
    </row>
    <row r="25">
      <c r="A25">
        <f>IF('Weekly Schedule'!$A26="","",'Weekly Schedule'!$A26)</f>
        <v/>
      </c>
      <c r="B25" s="54" t="n"/>
      <c r="C25" s="54" t="n"/>
      <c r="D25" s="54" t="n"/>
      <c r="E25" s="54" t="n"/>
      <c r="F25" s="54" t="n"/>
      <c r="G25" s="54" t="n"/>
      <c r="H25" s="54" t="n"/>
      <c r="I25" s="59">
        <f>IF($A25="","",ROUND(IFERROR(VLOOKUP($B25,Shifts!$A$5:$E$12,5,FALSE),0)+IFERROR(VLOOKUP($C25,Shifts!$A$5:$E$12,5,FALSE),0)+IFERROR(VLOOKUP($D25,Shifts!$A$5:$E$12,5,FALSE),0)+IFERROR(VLOOKUP($E25,Shifts!$A$5:$E$12,5,FALSE),0)+IFERROR(VLOOKUP($F25,Shifts!$A$5:$E$12,5,FALSE),0)+IFERROR(VLOOKUP($G25,Shifts!$A$5:$E$12,5,FALSE),0)+IFERROR(VLOOKUP($H25,Shifts!$A$5:$E$12,5,FALSE),0),2))</f>
        <v/>
      </c>
      <c r="J25">
        <f>IF($A25="","",IF($I25&gt;'Weekly Schedule'!$J26,"⛔ +"&amp;TEXT($I25-'Weekly Schedule'!$J26,"0")&amp;" h",""))</f>
        <v/>
      </c>
    </row>
    <row r="26">
      <c r="A26">
        <f>IF('Weekly Schedule'!$A27="","",'Weekly Schedule'!$A27)</f>
        <v/>
      </c>
      <c r="B26" s="54" t="n"/>
      <c r="C26" s="54" t="n"/>
      <c r="D26" s="54" t="n"/>
      <c r="E26" s="54" t="n"/>
      <c r="F26" s="54" t="n"/>
      <c r="G26" s="54" t="n"/>
      <c r="H26" s="54" t="n"/>
      <c r="I26" s="59">
        <f>IF($A26="","",ROUND(IFERROR(VLOOKUP($B26,Shifts!$A$5:$E$12,5,FALSE),0)+IFERROR(VLOOKUP($C26,Shifts!$A$5:$E$12,5,FALSE),0)+IFERROR(VLOOKUP($D26,Shifts!$A$5:$E$12,5,FALSE),0)+IFERROR(VLOOKUP($E26,Shifts!$A$5:$E$12,5,FALSE),0)+IFERROR(VLOOKUP($F26,Shifts!$A$5:$E$12,5,FALSE),0)+IFERROR(VLOOKUP($G26,Shifts!$A$5:$E$12,5,FALSE),0)+IFERROR(VLOOKUP($H26,Shifts!$A$5:$E$12,5,FALSE),0),2))</f>
        <v/>
      </c>
      <c r="J26">
        <f>IF($A26="","",IF($I26&gt;'Weekly Schedule'!$J27,"⛔ +"&amp;TEXT($I26-'Weekly Schedule'!$J27,"0")&amp;" h",""))</f>
        <v/>
      </c>
    </row>
    <row r="27">
      <c r="A27">
        <f>IF('Weekly Schedule'!$A28="","",'Weekly Schedule'!$A28)</f>
        <v/>
      </c>
      <c r="B27" s="54" t="n"/>
      <c r="C27" s="54" t="n"/>
      <c r="D27" s="54" t="n"/>
      <c r="E27" s="54" t="n"/>
      <c r="F27" s="54" t="n"/>
      <c r="G27" s="54" t="n"/>
      <c r="H27" s="54" t="n"/>
      <c r="I27" s="59">
        <f>IF($A27="","",ROUND(IFERROR(VLOOKUP($B27,Shifts!$A$5:$E$12,5,FALSE),0)+IFERROR(VLOOKUP($C27,Shifts!$A$5:$E$12,5,FALSE),0)+IFERROR(VLOOKUP($D27,Shifts!$A$5:$E$12,5,FALSE),0)+IFERROR(VLOOKUP($E27,Shifts!$A$5:$E$12,5,FALSE),0)+IFERROR(VLOOKUP($F27,Shifts!$A$5:$E$12,5,FALSE),0)+IFERROR(VLOOKUP($G27,Shifts!$A$5:$E$12,5,FALSE),0)+IFERROR(VLOOKUP($H27,Shifts!$A$5:$E$12,5,FALSE),0),2))</f>
        <v/>
      </c>
      <c r="J27">
        <f>IF($A27="","",IF($I27&gt;'Weekly Schedule'!$J28,"⛔ +"&amp;TEXT($I27-'Weekly Schedule'!$J28,"0")&amp;" h",""))</f>
        <v/>
      </c>
    </row>
    <row r="28">
      <c r="A28">
        <f>IF('Weekly Schedule'!$A29="","",'Weekly Schedule'!$A29)</f>
        <v/>
      </c>
      <c r="B28" s="54" t="n"/>
      <c r="C28" s="54" t="n"/>
      <c r="D28" s="54" t="n"/>
      <c r="E28" s="54" t="n"/>
      <c r="F28" s="54" t="n"/>
      <c r="G28" s="54" t="n"/>
      <c r="H28" s="54" t="n"/>
      <c r="I28" s="59">
        <f>IF($A28="","",ROUND(IFERROR(VLOOKUP($B28,Shifts!$A$5:$E$12,5,FALSE),0)+IFERROR(VLOOKUP($C28,Shifts!$A$5:$E$12,5,FALSE),0)+IFERROR(VLOOKUP($D28,Shifts!$A$5:$E$12,5,FALSE),0)+IFERROR(VLOOKUP($E28,Shifts!$A$5:$E$12,5,FALSE),0)+IFERROR(VLOOKUP($F28,Shifts!$A$5:$E$12,5,FALSE),0)+IFERROR(VLOOKUP($G28,Shifts!$A$5:$E$12,5,FALSE),0)+IFERROR(VLOOKUP($H28,Shifts!$A$5:$E$12,5,FALSE),0),2))</f>
        <v/>
      </c>
      <c r="J28">
        <f>IF($A28="","",IF($I28&gt;'Weekly Schedule'!$J29,"⛔ +"&amp;TEXT($I28-'Weekly Schedule'!$J29,"0")&amp;" h",""))</f>
        <v/>
      </c>
    </row>
    <row r="29">
      <c r="A29">
        <f>IF('Weekly Schedule'!$A30="","",'Weekly Schedule'!$A30)</f>
        <v/>
      </c>
      <c r="B29" s="54" t="n"/>
      <c r="C29" s="54" t="n"/>
      <c r="D29" s="54" t="n"/>
      <c r="E29" s="54" t="n"/>
      <c r="F29" s="54" t="n"/>
      <c r="G29" s="54" t="n"/>
      <c r="H29" s="54" t="n"/>
      <c r="I29" s="59">
        <f>IF($A29="","",ROUND(IFERROR(VLOOKUP($B29,Shifts!$A$5:$E$12,5,FALSE),0)+IFERROR(VLOOKUP($C29,Shifts!$A$5:$E$12,5,FALSE),0)+IFERROR(VLOOKUP($D29,Shifts!$A$5:$E$12,5,FALSE),0)+IFERROR(VLOOKUP($E29,Shifts!$A$5:$E$12,5,FALSE),0)+IFERROR(VLOOKUP($F29,Shifts!$A$5:$E$12,5,FALSE),0)+IFERROR(VLOOKUP($G29,Shifts!$A$5:$E$12,5,FALSE),0)+IFERROR(VLOOKUP($H29,Shifts!$A$5:$E$12,5,FALSE),0),2))</f>
        <v/>
      </c>
      <c r="J29">
        <f>IF($A29="","",IF($I29&gt;'Weekly Schedule'!$J30,"⛔ +"&amp;TEXT($I29-'Weekly Schedule'!$J30,"0")&amp;" h",""))</f>
        <v/>
      </c>
    </row>
    <row r="30">
      <c r="A30">
        <f>IF('Weekly Schedule'!$A31="","",'Weekly Schedule'!$A31)</f>
        <v/>
      </c>
      <c r="B30" s="54" t="n"/>
      <c r="C30" s="54" t="n"/>
      <c r="D30" s="54" t="n"/>
      <c r="E30" s="54" t="n"/>
      <c r="F30" s="54" t="n"/>
      <c r="G30" s="54" t="n"/>
      <c r="H30" s="54" t="n"/>
      <c r="I30" s="59">
        <f>IF($A30="","",ROUND(IFERROR(VLOOKUP($B30,Shifts!$A$5:$E$12,5,FALSE),0)+IFERROR(VLOOKUP($C30,Shifts!$A$5:$E$12,5,FALSE),0)+IFERROR(VLOOKUP($D30,Shifts!$A$5:$E$12,5,FALSE),0)+IFERROR(VLOOKUP($E30,Shifts!$A$5:$E$12,5,FALSE),0)+IFERROR(VLOOKUP($F30,Shifts!$A$5:$E$12,5,FALSE),0)+IFERROR(VLOOKUP($G30,Shifts!$A$5:$E$12,5,FALSE),0)+IFERROR(VLOOKUP($H30,Shifts!$A$5:$E$12,5,FALSE),0),2))</f>
        <v/>
      </c>
      <c r="J30">
        <f>IF($A30="","",IF($I30&gt;'Weekly Schedule'!$J31,"⛔ +"&amp;TEXT($I30-'Weekly Schedule'!$J31,"0")&amp;" h",""))</f>
        <v/>
      </c>
    </row>
    <row r="31">
      <c r="A31">
        <f>IF('Weekly Schedule'!$A32="","",'Weekly Schedule'!$A32)</f>
        <v/>
      </c>
      <c r="B31" s="54" t="n"/>
      <c r="C31" s="54" t="n"/>
      <c r="D31" s="54" t="n"/>
      <c r="E31" s="54" t="n"/>
      <c r="F31" s="54" t="n"/>
      <c r="G31" s="54" t="n"/>
      <c r="H31" s="54" t="n"/>
      <c r="I31" s="59">
        <f>IF($A31="","",ROUND(IFERROR(VLOOKUP($B31,Shifts!$A$5:$E$12,5,FALSE),0)+IFERROR(VLOOKUP($C31,Shifts!$A$5:$E$12,5,FALSE),0)+IFERROR(VLOOKUP($D31,Shifts!$A$5:$E$12,5,FALSE),0)+IFERROR(VLOOKUP($E31,Shifts!$A$5:$E$12,5,FALSE),0)+IFERROR(VLOOKUP($F31,Shifts!$A$5:$E$12,5,FALSE),0)+IFERROR(VLOOKUP($G31,Shifts!$A$5:$E$12,5,FALSE),0)+IFERROR(VLOOKUP($H31,Shifts!$A$5:$E$12,5,FALSE),0),2))</f>
        <v/>
      </c>
      <c r="J31">
        <f>IF($A31="","",IF($I31&gt;'Weekly Schedule'!$J32,"⛔ +"&amp;TEXT($I31-'Weekly Schedule'!$J32,"0")&amp;" h",""))</f>
        <v/>
      </c>
    </row>
    <row r="32">
      <c r="A32">
        <f>IF('Weekly Schedule'!$A33="","",'Weekly Schedule'!$A33)</f>
        <v/>
      </c>
      <c r="B32" s="54" t="n"/>
      <c r="C32" s="54" t="n"/>
      <c r="D32" s="54" t="n"/>
      <c r="E32" s="54" t="n"/>
      <c r="F32" s="54" t="n"/>
      <c r="G32" s="54" t="n"/>
      <c r="H32" s="54" t="n"/>
      <c r="I32" s="59">
        <f>IF($A32="","",ROUND(IFERROR(VLOOKUP($B32,Shifts!$A$5:$E$12,5,FALSE),0)+IFERROR(VLOOKUP($C32,Shifts!$A$5:$E$12,5,FALSE),0)+IFERROR(VLOOKUP($D32,Shifts!$A$5:$E$12,5,FALSE),0)+IFERROR(VLOOKUP($E32,Shifts!$A$5:$E$12,5,FALSE),0)+IFERROR(VLOOKUP($F32,Shifts!$A$5:$E$12,5,FALSE),0)+IFERROR(VLOOKUP($G32,Shifts!$A$5:$E$12,5,FALSE),0)+IFERROR(VLOOKUP($H32,Shifts!$A$5:$E$12,5,FALSE),0),2))</f>
        <v/>
      </c>
      <c r="J32">
        <f>IF($A32="","",IF($I32&gt;'Weekly Schedule'!$J33,"⛔ +"&amp;TEXT($I32-'Weekly Schedule'!$J33,"0")&amp;" h",""))</f>
        <v/>
      </c>
    </row>
    <row r="33">
      <c r="A33">
        <f>IF('Weekly Schedule'!$A34="","",'Weekly Schedule'!$A34)</f>
        <v/>
      </c>
      <c r="B33" s="54" t="n"/>
      <c r="C33" s="54" t="n"/>
      <c r="D33" s="54" t="n"/>
      <c r="E33" s="54" t="n"/>
      <c r="F33" s="54" t="n"/>
      <c r="G33" s="54" t="n"/>
      <c r="H33" s="54" t="n"/>
      <c r="I33" s="59">
        <f>IF($A33="","",ROUND(IFERROR(VLOOKUP($B33,Shifts!$A$5:$E$12,5,FALSE),0)+IFERROR(VLOOKUP($C33,Shifts!$A$5:$E$12,5,FALSE),0)+IFERROR(VLOOKUP($D33,Shifts!$A$5:$E$12,5,FALSE),0)+IFERROR(VLOOKUP($E33,Shifts!$A$5:$E$12,5,FALSE),0)+IFERROR(VLOOKUP($F33,Shifts!$A$5:$E$12,5,FALSE),0)+IFERROR(VLOOKUP($G33,Shifts!$A$5:$E$12,5,FALSE),0)+IFERROR(VLOOKUP($H33,Shifts!$A$5:$E$12,5,FALSE),0),2))</f>
        <v/>
      </c>
      <c r="J33">
        <f>IF($A33="","",IF($I33&gt;'Weekly Schedule'!$J34,"⛔ +"&amp;TEXT($I33-'Weekly Schedule'!$J34,"0")&amp;" h",""))</f>
        <v/>
      </c>
    </row>
    <row r="34">
      <c r="A34">
        <f>IF('Weekly Schedule'!$A35="","",'Weekly Schedule'!$A35)</f>
        <v/>
      </c>
      <c r="B34" s="54" t="n"/>
      <c r="C34" s="54" t="n"/>
      <c r="D34" s="54" t="n"/>
      <c r="E34" s="54" t="n"/>
      <c r="F34" s="54" t="n"/>
      <c r="G34" s="54" t="n"/>
      <c r="H34" s="54" t="n"/>
      <c r="I34" s="59">
        <f>IF($A34="","",ROUND(IFERROR(VLOOKUP($B34,Shifts!$A$5:$E$12,5,FALSE),0)+IFERROR(VLOOKUP($C34,Shifts!$A$5:$E$12,5,FALSE),0)+IFERROR(VLOOKUP($D34,Shifts!$A$5:$E$12,5,FALSE),0)+IFERROR(VLOOKUP($E34,Shifts!$A$5:$E$12,5,FALSE),0)+IFERROR(VLOOKUP($F34,Shifts!$A$5:$E$12,5,FALSE),0)+IFERROR(VLOOKUP($G34,Shifts!$A$5:$E$12,5,FALSE),0)+IFERROR(VLOOKUP($H34,Shifts!$A$5:$E$12,5,FALSE),0),2))</f>
        <v/>
      </c>
      <c r="J34">
        <f>IF($A34="","",IF($I34&gt;'Weekly Schedule'!$J35,"⛔ +"&amp;TEXT($I34-'Weekly Schedule'!$J35,"0")&amp;" h",""))</f>
        <v/>
      </c>
    </row>
    <row r="35">
      <c r="I35" s="59" t="n"/>
    </row>
    <row r="36" ht="20" customHeight="1">
      <c r="A36" s="60" t="inlineStr">
        <is>
          <t>WEEK 2</t>
        </is>
      </c>
    </row>
    <row r="37" ht="30" customHeight="1">
      <c r="A37" s="27" t="inlineStr">
        <is>
          <t>Employee</t>
        </is>
      </c>
      <c r="B37" s="27" t="inlineStr">
        <is>
          <t>Monday</t>
        </is>
      </c>
      <c r="C37" s="27" t="inlineStr">
        <is>
          <t>Tuesday</t>
        </is>
      </c>
      <c r="D37" s="27" t="inlineStr">
        <is>
          <t>Wednesday</t>
        </is>
      </c>
      <c r="E37" s="27" t="inlineStr">
        <is>
          <t>Thursday</t>
        </is>
      </c>
      <c r="F37" s="27" t="inlineStr">
        <is>
          <t>Friday</t>
        </is>
      </c>
      <c r="G37" s="27" t="inlineStr">
        <is>
          <t>Saturday</t>
        </is>
      </c>
      <c r="H37" s="27" t="inlineStr">
        <is>
          <t>Sunday</t>
        </is>
      </c>
      <c r="I37" s="27" t="inlineStr">
        <is>
          <t>Total Hours</t>
        </is>
      </c>
      <c r="J37" s="27" t="inlineStr">
        <is>
          <t>Weekly alert</t>
        </is>
      </c>
    </row>
    <row r="38">
      <c r="A38">
        <f>IF('Weekly Schedule'!$A6="","",'Weekly Schedule'!$A6)</f>
        <v/>
      </c>
      <c r="B38" s="54" t="n"/>
      <c r="C38" s="54" t="n"/>
      <c r="D38" s="54" t="n"/>
      <c r="E38" s="54" t="n"/>
      <c r="F38" s="54" t="n"/>
      <c r="G38" s="54" t="n"/>
      <c r="H38" s="54" t="n"/>
      <c r="I38" s="59">
        <f>IF($A38="","",ROUND(IFERROR(VLOOKUP($B38,Shifts!$A$5:$E$12,5,FALSE),0)+IFERROR(VLOOKUP($C38,Shifts!$A$5:$E$12,5,FALSE),0)+IFERROR(VLOOKUP($D38,Shifts!$A$5:$E$12,5,FALSE),0)+IFERROR(VLOOKUP($E38,Shifts!$A$5:$E$12,5,FALSE),0)+IFERROR(VLOOKUP($F38,Shifts!$A$5:$E$12,5,FALSE),0)+IFERROR(VLOOKUP($G38,Shifts!$A$5:$E$12,5,FALSE),0)+IFERROR(VLOOKUP($H38,Shifts!$A$5:$E$12,5,FALSE),0),2))</f>
        <v/>
      </c>
      <c r="J38">
        <f>IF($A38="","",IF($I38&gt;'Weekly Schedule'!$J6,"⛔ +"&amp;TEXT($I38-'Weekly Schedule'!$J6,"0")&amp;" h",""))</f>
        <v/>
      </c>
    </row>
    <row r="39">
      <c r="A39">
        <f>IF('Weekly Schedule'!$A7="","",'Weekly Schedule'!$A7)</f>
        <v/>
      </c>
      <c r="B39" s="54" t="n"/>
      <c r="C39" s="54" t="n"/>
      <c r="D39" s="54" t="n"/>
      <c r="E39" s="54" t="n"/>
      <c r="F39" s="54" t="n"/>
      <c r="G39" s="54" t="n"/>
      <c r="H39" s="54" t="n"/>
      <c r="I39" s="59">
        <f>IF($A39="","",ROUND(IFERROR(VLOOKUP($B39,Shifts!$A$5:$E$12,5,FALSE),0)+IFERROR(VLOOKUP($C39,Shifts!$A$5:$E$12,5,FALSE),0)+IFERROR(VLOOKUP($D39,Shifts!$A$5:$E$12,5,FALSE),0)+IFERROR(VLOOKUP($E39,Shifts!$A$5:$E$12,5,FALSE),0)+IFERROR(VLOOKUP($F39,Shifts!$A$5:$E$12,5,FALSE),0)+IFERROR(VLOOKUP($G39,Shifts!$A$5:$E$12,5,FALSE),0)+IFERROR(VLOOKUP($H39,Shifts!$A$5:$E$12,5,FALSE),0),2))</f>
        <v/>
      </c>
      <c r="J39">
        <f>IF($A39="","",IF($I39&gt;'Weekly Schedule'!$J7,"⛔ +"&amp;TEXT($I39-'Weekly Schedule'!$J7,"0")&amp;" h",""))</f>
        <v/>
      </c>
    </row>
    <row r="40">
      <c r="A40">
        <f>IF('Weekly Schedule'!$A8="","",'Weekly Schedule'!$A8)</f>
        <v/>
      </c>
      <c r="B40" s="54" t="n"/>
      <c r="C40" s="54" t="n"/>
      <c r="D40" s="54" t="n"/>
      <c r="E40" s="54" t="n"/>
      <c r="F40" s="54" t="n"/>
      <c r="G40" s="54" t="n"/>
      <c r="H40" s="54" t="n"/>
      <c r="I40" s="59">
        <f>IF($A40="","",ROUND(IFERROR(VLOOKUP($B40,Shifts!$A$5:$E$12,5,FALSE),0)+IFERROR(VLOOKUP($C40,Shifts!$A$5:$E$12,5,FALSE),0)+IFERROR(VLOOKUP($D40,Shifts!$A$5:$E$12,5,FALSE),0)+IFERROR(VLOOKUP($E40,Shifts!$A$5:$E$12,5,FALSE),0)+IFERROR(VLOOKUP($F40,Shifts!$A$5:$E$12,5,FALSE),0)+IFERROR(VLOOKUP($G40,Shifts!$A$5:$E$12,5,FALSE),0)+IFERROR(VLOOKUP($H40,Shifts!$A$5:$E$12,5,FALSE),0),2))</f>
        <v/>
      </c>
      <c r="J40">
        <f>IF($A40="","",IF($I40&gt;'Weekly Schedule'!$J8,"⛔ +"&amp;TEXT($I40-'Weekly Schedule'!$J8,"0")&amp;" h",""))</f>
        <v/>
      </c>
    </row>
    <row r="41">
      <c r="A41">
        <f>IF('Weekly Schedule'!$A9="","",'Weekly Schedule'!$A9)</f>
        <v/>
      </c>
      <c r="B41" s="54" t="n"/>
      <c r="C41" s="54" t="n"/>
      <c r="D41" s="54" t="n"/>
      <c r="E41" s="54" t="n"/>
      <c r="F41" s="54" t="n"/>
      <c r="G41" s="54" t="n"/>
      <c r="H41" s="54" t="n"/>
      <c r="I41" s="59">
        <f>IF($A41="","",ROUND(IFERROR(VLOOKUP($B41,Shifts!$A$5:$E$12,5,FALSE),0)+IFERROR(VLOOKUP($C41,Shifts!$A$5:$E$12,5,FALSE),0)+IFERROR(VLOOKUP($D41,Shifts!$A$5:$E$12,5,FALSE),0)+IFERROR(VLOOKUP($E41,Shifts!$A$5:$E$12,5,FALSE),0)+IFERROR(VLOOKUP($F41,Shifts!$A$5:$E$12,5,FALSE),0)+IFERROR(VLOOKUP($G41,Shifts!$A$5:$E$12,5,FALSE),0)+IFERROR(VLOOKUP($H41,Shifts!$A$5:$E$12,5,FALSE),0),2))</f>
        <v/>
      </c>
      <c r="J41">
        <f>IF($A41="","",IF($I41&gt;'Weekly Schedule'!$J9,"⛔ +"&amp;TEXT($I41-'Weekly Schedule'!$J9,"0")&amp;" h",""))</f>
        <v/>
      </c>
    </row>
    <row r="42">
      <c r="A42">
        <f>IF('Weekly Schedule'!$A10="","",'Weekly Schedule'!$A10)</f>
        <v/>
      </c>
      <c r="B42" s="54" t="n"/>
      <c r="C42" s="54" t="n"/>
      <c r="D42" s="54" t="n"/>
      <c r="E42" s="54" t="n"/>
      <c r="F42" s="54" t="n"/>
      <c r="G42" s="54" t="n"/>
      <c r="H42" s="54" t="n"/>
      <c r="I42" s="59">
        <f>IF($A42="","",ROUND(IFERROR(VLOOKUP($B42,Shifts!$A$5:$E$12,5,FALSE),0)+IFERROR(VLOOKUP($C42,Shifts!$A$5:$E$12,5,FALSE),0)+IFERROR(VLOOKUP($D42,Shifts!$A$5:$E$12,5,FALSE),0)+IFERROR(VLOOKUP($E42,Shifts!$A$5:$E$12,5,FALSE),0)+IFERROR(VLOOKUP($F42,Shifts!$A$5:$E$12,5,FALSE),0)+IFERROR(VLOOKUP($G42,Shifts!$A$5:$E$12,5,FALSE),0)+IFERROR(VLOOKUP($H42,Shifts!$A$5:$E$12,5,FALSE),0),2))</f>
        <v/>
      </c>
      <c r="J42">
        <f>IF($A42="","",IF($I42&gt;'Weekly Schedule'!$J10,"⛔ +"&amp;TEXT($I42-'Weekly Schedule'!$J10,"0")&amp;" h",""))</f>
        <v/>
      </c>
    </row>
    <row r="43">
      <c r="A43">
        <f>IF('Weekly Schedule'!$A11="","",'Weekly Schedule'!$A11)</f>
        <v/>
      </c>
      <c r="B43" s="54" t="n"/>
      <c r="C43" s="54" t="n"/>
      <c r="D43" s="54" t="n"/>
      <c r="E43" s="54" t="n"/>
      <c r="F43" s="54" t="n"/>
      <c r="G43" s="54" t="n"/>
      <c r="H43" s="54" t="n"/>
      <c r="I43" s="59">
        <f>IF($A43="","",ROUND(IFERROR(VLOOKUP($B43,Shifts!$A$5:$E$12,5,FALSE),0)+IFERROR(VLOOKUP($C43,Shifts!$A$5:$E$12,5,FALSE),0)+IFERROR(VLOOKUP($D43,Shifts!$A$5:$E$12,5,FALSE),0)+IFERROR(VLOOKUP($E43,Shifts!$A$5:$E$12,5,FALSE),0)+IFERROR(VLOOKUP($F43,Shifts!$A$5:$E$12,5,FALSE),0)+IFERROR(VLOOKUP($G43,Shifts!$A$5:$E$12,5,FALSE),0)+IFERROR(VLOOKUP($H43,Shifts!$A$5:$E$12,5,FALSE),0),2))</f>
        <v/>
      </c>
      <c r="J43">
        <f>IF($A43="","",IF($I43&gt;'Weekly Schedule'!$J11,"⛔ +"&amp;TEXT($I43-'Weekly Schedule'!$J11,"0")&amp;" h",""))</f>
        <v/>
      </c>
    </row>
    <row r="44">
      <c r="A44">
        <f>IF('Weekly Schedule'!$A12="","",'Weekly Schedule'!$A12)</f>
        <v/>
      </c>
      <c r="B44" s="54" t="n"/>
      <c r="C44" s="54" t="n"/>
      <c r="D44" s="54" t="n"/>
      <c r="E44" s="54" t="n"/>
      <c r="F44" s="54" t="n"/>
      <c r="G44" s="54" t="n"/>
      <c r="H44" s="54" t="n"/>
      <c r="I44" s="59">
        <f>IF($A44="","",ROUND(IFERROR(VLOOKUP($B44,Shifts!$A$5:$E$12,5,FALSE),0)+IFERROR(VLOOKUP($C44,Shifts!$A$5:$E$12,5,FALSE),0)+IFERROR(VLOOKUP($D44,Shifts!$A$5:$E$12,5,FALSE),0)+IFERROR(VLOOKUP($E44,Shifts!$A$5:$E$12,5,FALSE),0)+IFERROR(VLOOKUP($F44,Shifts!$A$5:$E$12,5,FALSE),0)+IFERROR(VLOOKUP($G44,Shifts!$A$5:$E$12,5,FALSE),0)+IFERROR(VLOOKUP($H44,Shifts!$A$5:$E$12,5,FALSE),0),2))</f>
        <v/>
      </c>
      <c r="J44">
        <f>IF($A44="","",IF($I44&gt;'Weekly Schedule'!$J12,"⛔ +"&amp;TEXT($I44-'Weekly Schedule'!$J12,"0")&amp;" h",""))</f>
        <v/>
      </c>
    </row>
    <row r="45">
      <c r="A45">
        <f>IF('Weekly Schedule'!$A13="","",'Weekly Schedule'!$A13)</f>
        <v/>
      </c>
      <c r="B45" s="54" t="n"/>
      <c r="C45" s="54" t="n"/>
      <c r="D45" s="54" t="n"/>
      <c r="E45" s="54" t="n"/>
      <c r="F45" s="54" t="n"/>
      <c r="G45" s="54" t="n"/>
      <c r="H45" s="54" t="n"/>
      <c r="I45" s="59">
        <f>IF($A45="","",ROUND(IFERROR(VLOOKUP($B45,Shifts!$A$5:$E$12,5,FALSE),0)+IFERROR(VLOOKUP($C45,Shifts!$A$5:$E$12,5,FALSE),0)+IFERROR(VLOOKUP($D45,Shifts!$A$5:$E$12,5,FALSE),0)+IFERROR(VLOOKUP($E45,Shifts!$A$5:$E$12,5,FALSE),0)+IFERROR(VLOOKUP($F45,Shifts!$A$5:$E$12,5,FALSE),0)+IFERROR(VLOOKUP($G45,Shifts!$A$5:$E$12,5,FALSE),0)+IFERROR(VLOOKUP($H45,Shifts!$A$5:$E$12,5,FALSE),0),2))</f>
        <v/>
      </c>
      <c r="J45">
        <f>IF($A45="","",IF($I45&gt;'Weekly Schedule'!$J13,"⛔ +"&amp;TEXT($I45-'Weekly Schedule'!$J13,"0")&amp;" h",""))</f>
        <v/>
      </c>
    </row>
    <row r="46">
      <c r="A46">
        <f>IF('Weekly Schedule'!$A14="","",'Weekly Schedule'!$A14)</f>
        <v/>
      </c>
      <c r="B46" s="54" t="n"/>
      <c r="C46" s="54" t="n"/>
      <c r="D46" s="54" t="n"/>
      <c r="E46" s="54" t="n"/>
      <c r="F46" s="54" t="n"/>
      <c r="G46" s="54" t="n"/>
      <c r="H46" s="54" t="n"/>
      <c r="I46" s="59">
        <f>IF($A46="","",ROUND(IFERROR(VLOOKUP($B46,Shifts!$A$5:$E$12,5,FALSE),0)+IFERROR(VLOOKUP($C46,Shifts!$A$5:$E$12,5,FALSE),0)+IFERROR(VLOOKUP($D46,Shifts!$A$5:$E$12,5,FALSE),0)+IFERROR(VLOOKUP($E46,Shifts!$A$5:$E$12,5,FALSE),0)+IFERROR(VLOOKUP($F46,Shifts!$A$5:$E$12,5,FALSE),0)+IFERROR(VLOOKUP($G46,Shifts!$A$5:$E$12,5,FALSE),0)+IFERROR(VLOOKUP($H46,Shifts!$A$5:$E$12,5,FALSE),0),2))</f>
        <v/>
      </c>
      <c r="J46">
        <f>IF($A46="","",IF($I46&gt;'Weekly Schedule'!$J14,"⛔ +"&amp;TEXT($I46-'Weekly Schedule'!$J14,"0")&amp;" h",""))</f>
        <v/>
      </c>
    </row>
    <row r="47">
      <c r="A47">
        <f>IF('Weekly Schedule'!$A15="","",'Weekly Schedule'!$A15)</f>
        <v/>
      </c>
      <c r="B47" s="54" t="n"/>
      <c r="C47" s="54" t="n"/>
      <c r="D47" s="54" t="n"/>
      <c r="E47" s="54" t="n"/>
      <c r="F47" s="54" t="n"/>
      <c r="G47" s="54" t="n"/>
      <c r="H47" s="54" t="n"/>
      <c r="I47" s="59">
        <f>IF($A47="","",ROUND(IFERROR(VLOOKUP($B47,Shifts!$A$5:$E$12,5,FALSE),0)+IFERROR(VLOOKUP($C47,Shifts!$A$5:$E$12,5,FALSE),0)+IFERROR(VLOOKUP($D47,Shifts!$A$5:$E$12,5,FALSE),0)+IFERROR(VLOOKUP($E47,Shifts!$A$5:$E$12,5,FALSE),0)+IFERROR(VLOOKUP($F47,Shifts!$A$5:$E$12,5,FALSE),0)+IFERROR(VLOOKUP($G47,Shifts!$A$5:$E$12,5,FALSE),0)+IFERROR(VLOOKUP($H47,Shifts!$A$5:$E$12,5,FALSE),0),2))</f>
        <v/>
      </c>
      <c r="J47">
        <f>IF($A47="","",IF($I47&gt;'Weekly Schedule'!$J15,"⛔ +"&amp;TEXT($I47-'Weekly Schedule'!$J15,"0")&amp;" h",""))</f>
        <v/>
      </c>
    </row>
    <row r="48">
      <c r="A48">
        <f>IF('Weekly Schedule'!$A16="","",'Weekly Schedule'!$A16)</f>
        <v/>
      </c>
      <c r="B48" s="54" t="n"/>
      <c r="C48" s="54" t="n"/>
      <c r="D48" s="54" t="n"/>
      <c r="E48" s="54" t="n"/>
      <c r="F48" s="54" t="n"/>
      <c r="G48" s="54" t="n"/>
      <c r="H48" s="54" t="n"/>
      <c r="I48" s="59">
        <f>IF($A48="","",ROUND(IFERROR(VLOOKUP($B48,Shifts!$A$5:$E$12,5,FALSE),0)+IFERROR(VLOOKUP($C48,Shifts!$A$5:$E$12,5,FALSE),0)+IFERROR(VLOOKUP($D48,Shifts!$A$5:$E$12,5,FALSE),0)+IFERROR(VLOOKUP($E48,Shifts!$A$5:$E$12,5,FALSE),0)+IFERROR(VLOOKUP($F48,Shifts!$A$5:$E$12,5,FALSE),0)+IFERROR(VLOOKUP($G48,Shifts!$A$5:$E$12,5,FALSE),0)+IFERROR(VLOOKUP($H48,Shifts!$A$5:$E$12,5,FALSE),0),2))</f>
        <v/>
      </c>
      <c r="J48">
        <f>IF($A48="","",IF($I48&gt;'Weekly Schedule'!$J16,"⛔ +"&amp;TEXT($I48-'Weekly Schedule'!$J16,"0")&amp;" h",""))</f>
        <v/>
      </c>
    </row>
    <row r="49">
      <c r="A49">
        <f>IF('Weekly Schedule'!$A17="","",'Weekly Schedule'!$A17)</f>
        <v/>
      </c>
      <c r="B49" s="54" t="n"/>
      <c r="C49" s="54" t="n"/>
      <c r="D49" s="54" t="n"/>
      <c r="E49" s="54" t="n"/>
      <c r="F49" s="54" t="n"/>
      <c r="G49" s="54" t="n"/>
      <c r="H49" s="54" t="n"/>
      <c r="I49" s="59">
        <f>IF($A49="","",ROUND(IFERROR(VLOOKUP($B49,Shifts!$A$5:$E$12,5,FALSE),0)+IFERROR(VLOOKUP($C49,Shifts!$A$5:$E$12,5,FALSE),0)+IFERROR(VLOOKUP($D49,Shifts!$A$5:$E$12,5,FALSE),0)+IFERROR(VLOOKUP($E49,Shifts!$A$5:$E$12,5,FALSE),0)+IFERROR(VLOOKUP($F49,Shifts!$A$5:$E$12,5,FALSE),0)+IFERROR(VLOOKUP($G49,Shifts!$A$5:$E$12,5,FALSE),0)+IFERROR(VLOOKUP($H49,Shifts!$A$5:$E$12,5,FALSE),0),2))</f>
        <v/>
      </c>
      <c r="J49">
        <f>IF($A49="","",IF($I49&gt;'Weekly Schedule'!$J17,"⛔ +"&amp;TEXT($I49-'Weekly Schedule'!$J17,"0")&amp;" h",""))</f>
        <v/>
      </c>
    </row>
    <row r="50">
      <c r="A50">
        <f>IF('Weekly Schedule'!$A18="","",'Weekly Schedule'!$A18)</f>
        <v/>
      </c>
      <c r="B50" s="54" t="n"/>
      <c r="C50" s="54" t="n"/>
      <c r="D50" s="54" t="n"/>
      <c r="E50" s="54" t="n"/>
      <c r="F50" s="54" t="n"/>
      <c r="G50" s="54" t="n"/>
      <c r="H50" s="54" t="n"/>
      <c r="I50" s="59">
        <f>IF($A50="","",ROUND(IFERROR(VLOOKUP($B50,Shifts!$A$5:$E$12,5,FALSE),0)+IFERROR(VLOOKUP($C50,Shifts!$A$5:$E$12,5,FALSE),0)+IFERROR(VLOOKUP($D50,Shifts!$A$5:$E$12,5,FALSE),0)+IFERROR(VLOOKUP($E50,Shifts!$A$5:$E$12,5,FALSE),0)+IFERROR(VLOOKUP($F50,Shifts!$A$5:$E$12,5,FALSE),0)+IFERROR(VLOOKUP($G50,Shifts!$A$5:$E$12,5,FALSE),0)+IFERROR(VLOOKUP($H50,Shifts!$A$5:$E$12,5,FALSE),0),2))</f>
        <v/>
      </c>
      <c r="J50">
        <f>IF($A50="","",IF($I50&gt;'Weekly Schedule'!$J18,"⛔ +"&amp;TEXT($I50-'Weekly Schedule'!$J18,"0")&amp;" h",""))</f>
        <v/>
      </c>
    </row>
    <row r="51">
      <c r="A51">
        <f>IF('Weekly Schedule'!$A19="","",'Weekly Schedule'!$A19)</f>
        <v/>
      </c>
      <c r="B51" s="54" t="n"/>
      <c r="C51" s="54" t="n"/>
      <c r="D51" s="54" t="n"/>
      <c r="E51" s="54" t="n"/>
      <c r="F51" s="54" t="n"/>
      <c r="G51" s="54" t="n"/>
      <c r="H51" s="54" t="n"/>
      <c r="I51" s="59">
        <f>IF($A51="","",ROUND(IFERROR(VLOOKUP($B51,Shifts!$A$5:$E$12,5,FALSE),0)+IFERROR(VLOOKUP($C51,Shifts!$A$5:$E$12,5,FALSE),0)+IFERROR(VLOOKUP($D51,Shifts!$A$5:$E$12,5,FALSE),0)+IFERROR(VLOOKUP($E51,Shifts!$A$5:$E$12,5,FALSE),0)+IFERROR(VLOOKUP($F51,Shifts!$A$5:$E$12,5,FALSE),0)+IFERROR(VLOOKUP($G51,Shifts!$A$5:$E$12,5,FALSE),0)+IFERROR(VLOOKUP($H51,Shifts!$A$5:$E$12,5,FALSE),0),2))</f>
        <v/>
      </c>
      <c r="J51">
        <f>IF($A51="","",IF($I51&gt;'Weekly Schedule'!$J19,"⛔ +"&amp;TEXT($I51-'Weekly Schedule'!$J19,"0")&amp;" h",""))</f>
        <v/>
      </c>
    </row>
    <row r="52">
      <c r="A52">
        <f>IF('Weekly Schedule'!$A20="","",'Weekly Schedule'!$A20)</f>
        <v/>
      </c>
      <c r="B52" s="54" t="n"/>
      <c r="C52" s="54" t="n"/>
      <c r="D52" s="54" t="n"/>
      <c r="E52" s="54" t="n"/>
      <c r="F52" s="54" t="n"/>
      <c r="G52" s="54" t="n"/>
      <c r="H52" s="54" t="n"/>
      <c r="I52" s="59">
        <f>IF($A52="","",ROUND(IFERROR(VLOOKUP($B52,Shifts!$A$5:$E$12,5,FALSE),0)+IFERROR(VLOOKUP($C52,Shifts!$A$5:$E$12,5,FALSE),0)+IFERROR(VLOOKUP($D52,Shifts!$A$5:$E$12,5,FALSE),0)+IFERROR(VLOOKUP($E52,Shifts!$A$5:$E$12,5,FALSE),0)+IFERROR(VLOOKUP($F52,Shifts!$A$5:$E$12,5,FALSE),0)+IFERROR(VLOOKUP($G52,Shifts!$A$5:$E$12,5,FALSE),0)+IFERROR(VLOOKUP($H52,Shifts!$A$5:$E$12,5,FALSE),0),2))</f>
        <v/>
      </c>
      <c r="J52">
        <f>IF($A52="","",IF($I52&gt;'Weekly Schedule'!$J20,"⛔ +"&amp;TEXT($I52-'Weekly Schedule'!$J20,"0")&amp;" h",""))</f>
        <v/>
      </c>
    </row>
    <row r="53">
      <c r="A53">
        <f>IF('Weekly Schedule'!$A21="","",'Weekly Schedule'!$A21)</f>
        <v/>
      </c>
      <c r="B53" s="54" t="n"/>
      <c r="C53" s="54" t="n"/>
      <c r="D53" s="54" t="n"/>
      <c r="E53" s="54" t="n"/>
      <c r="F53" s="54" t="n"/>
      <c r="G53" s="54" t="n"/>
      <c r="H53" s="54" t="n"/>
      <c r="I53" s="59">
        <f>IF($A53="","",ROUND(IFERROR(VLOOKUP($B53,Shifts!$A$5:$E$12,5,FALSE),0)+IFERROR(VLOOKUP($C53,Shifts!$A$5:$E$12,5,FALSE),0)+IFERROR(VLOOKUP($D53,Shifts!$A$5:$E$12,5,FALSE),0)+IFERROR(VLOOKUP($E53,Shifts!$A$5:$E$12,5,FALSE),0)+IFERROR(VLOOKUP($F53,Shifts!$A$5:$E$12,5,FALSE),0)+IFERROR(VLOOKUP($G53,Shifts!$A$5:$E$12,5,FALSE),0)+IFERROR(VLOOKUP($H53,Shifts!$A$5:$E$12,5,FALSE),0),2))</f>
        <v/>
      </c>
      <c r="J53">
        <f>IF($A53="","",IF($I53&gt;'Weekly Schedule'!$J21,"⛔ +"&amp;TEXT($I53-'Weekly Schedule'!$J21,"0")&amp;" h",""))</f>
        <v/>
      </c>
    </row>
    <row r="54">
      <c r="A54">
        <f>IF('Weekly Schedule'!$A22="","",'Weekly Schedule'!$A22)</f>
        <v/>
      </c>
      <c r="B54" s="54" t="n"/>
      <c r="C54" s="54" t="n"/>
      <c r="D54" s="54" t="n"/>
      <c r="E54" s="54" t="n"/>
      <c r="F54" s="54" t="n"/>
      <c r="G54" s="54" t="n"/>
      <c r="H54" s="54" t="n"/>
      <c r="I54" s="59">
        <f>IF($A54="","",ROUND(IFERROR(VLOOKUP($B54,Shifts!$A$5:$E$12,5,FALSE),0)+IFERROR(VLOOKUP($C54,Shifts!$A$5:$E$12,5,FALSE),0)+IFERROR(VLOOKUP($D54,Shifts!$A$5:$E$12,5,FALSE),0)+IFERROR(VLOOKUP($E54,Shifts!$A$5:$E$12,5,FALSE),0)+IFERROR(VLOOKUP($F54,Shifts!$A$5:$E$12,5,FALSE),0)+IFERROR(VLOOKUP($G54,Shifts!$A$5:$E$12,5,FALSE),0)+IFERROR(VLOOKUP($H54,Shifts!$A$5:$E$12,5,FALSE),0),2))</f>
        <v/>
      </c>
      <c r="J54">
        <f>IF($A54="","",IF($I54&gt;'Weekly Schedule'!$J22,"⛔ +"&amp;TEXT($I54-'Weekly Schedule'!$J22,"0")&amp;" h",""))</f>
        <v/>
      </c>
    </row>
    <row r="55">
      <c r="A55">
        <f>IF('Weekly Schedule'!$A23="","",'Weekly Schedule'!$A23)</f>
        <v/>
      </c>
      <c r="B55" s="54" t="n"/>
      <c r="C55" s="54" t="n"/>
      <c r="D55" s="54" t="n"/>
      <c r="E55" s="54" t="n"/>
      <c r="F55" s="54" t="n"/>
      <c r="G55" s="54" t="n"/>
      <c r="H55" s="54" t="n"/>
      <c r="I55" s="59">
        <f>IF($A55="","",ROUND(IFERROR(VLOOKUP($B55,Shifts!$A$5:$E$12,5,FALSE),0)+IFERROR(VLOOKUP($C55,Shifts!$A$5:$E$12,5,FALSE),0)+IFERROR(VLOOKUP($D55,Shifts!$A$5:$E$12,5,FALSE),0)+IFERROR(VLOOKUP($E55,Shifts!$A$5:$E$12,5,FALSE),0)+IFERROR(VLOOKUP($F55,Shifts!$A$5:$E$12,5,FALSE),0)+IFERROR(VLOOKUP($G55,Shifts!$A$5:$E$12,5,FALSE),0)+IFERROR(VLOOKUP($H55,Shifts!$A$5:$E$12,5,FALSE),0),2))</f>
        <v/>
      </c>
      <c r="J55">
        <f>IF($A55="","",IF($I55&gt;'Weekly Schedule'!$J23,"⛔ +"&amp;TEXT($I55-'Weekly Schedule'!$J23,"0")&amp;" h",""))</f>
        <v/>
      </c>
    </row>
    <row r="56">
      <c r="A56">
        <f>IF('Weekly Schedule'!$A24="","",'Weekly Schedule'!$A24)</f>
        <v/>
      </c>
      <c r="B56" s="54" t="n"/>
      <c r="C56" s="54" t="n"/>
      <c r="D56" s="54" t="n"/>
      <c r="E56" s="54" t="n"/>
      <c r="F56" s="54" t="n"/>
      <c r="G56" s="54" t="n"/>
      <c r="H56" s="54" t="n"/>
      <c r="I56" s="59">
        <f>IF($A56="","",ROUND(IFERROR(VLOOKUP($B56,Shifts!$A$5:$E$12,5,FALSE),0)+IFERROR(VLOOKUP($C56,Shifts!$A$5:$E$12,5,FALSE),0)+IFERROR(VLOOKUP($D56,Shifts!$A$5:$E$12,5,FALSE),0)+IFERROR(VLOOKUP($E56,Shifts!$A$5:$E$12,5,FALSE),0)+IFERROR(VLOOKUP($F56,Shifts!$A$5:$E$12,5,FALSE),0)+IFERROR(VLOOKUP($G56,Shifts!$A$5:$E$12,5,FALSE),0)+IFERROR(VLOOKUP($H56,Shifts!$A$5:$E$12,5,FALSE),0),2))</f>
        <v/>
      </c>
      <c r="J56">
        <f>IF($A56="","",IF($I56&gt;'Weekly Schedule'!$J24,"⛔ +"&amp;TEXT($I56-'Weekly Schedule'!$J24,"0")&amp;" h",""))</f>
        <v/>
      </c>
    </row>
    <row r="57">
      <c r="A57">
        <f>IF('Weekly Schedule'!$A25="","",'Weekly Schedule'!$A25)</f>
        <v/>
      </c>
      <c r="B57" s="54" t="n"/>
      <c r="C57" s="54" t="n"/>
      <c r="D57" s="54" t="n"/>
      <c r="E57" s="54" t="n"/>
      <c r="F57" s="54" t="n"/>
      <c r="G57" s="54" t="n"/>
      <c r="H57" s="54" t="n"/>
      <c r="I57" s="59">
        <f>IF($A57="","",ROUND(IFERROR(VLOOKUP($B57,Shifts!$A$5:$E$12,5,FALSE),0)+IFERROR(VLOOKUP($C57,Shifts!$A$5:$E$12,5,FALSE),0)+IFERROR(VLOOKUP($D57,Shifts!$A$5:$E$12,5,FALSE),0)+IFERROR(VLOOKUP($E57,Shifts!$A$5:$E$12,5,FALSE),0)+IFERROR(VLOOKUP($F57,Shifts!$A$5:$E$12,5,FALSE),0)+IFERROR(VLOOKUP($G57,Shifts!$A$5:$E$12,5,FALSE),0)+IFERROR(VLOOKUP($H57,Shifts!$A$5:$E$12,5,FALSE),0),2))</f>
        <v/>
      </c>
      <c r="J57">
        <f>IF($A57="","",IF($I57&gt;'Weekly Schedule'!$J25,"⛔ +"&amp;TEXT($I57-'Weekly Schedule'!$J25,"0")&amp;" h",""))</f>
        <v/>
      </c>
    </row>
    <row r="58">
      <c r="A58">
        <f>IF('Weekly Schedule'!$A26="","",'Weekly Schedule'!$A26)</f>
        <v/>
      </c>
      <c r="B58" s="54" t="n"/>
      <c r="C58" s="54" t="n"/>
      <c r="D58" s="54" t="n"/>
      <c r="E58" s="54" t="n"/>
      <c r="F58" s="54" t="n"/>
      <c r="G58" s="54" t="n"/>
      <c r="H58" s="54" t="n"/>
      <c r="I58" s="59">
        <f>IF($A58="","",ROUND(IFERROR(VLOOKUP($B58,Shifts!$A$5:$E$12,5,FALSE),0)+IFERROR(VLOOKUP($C58,Shifts!$A$5:$E$12,5,FALSE),0)+IFERROR(VLOOKUP($D58,Shifts!$A$5:$E$12,5,FALSE),0)+IFERROR(VLOOKUP($E58,Shifts!$A$5:$E$12,5,FALSE),0)+IFERROR(VLOOKUP($F58,Shifts!$A$5:$E$12,5,FALSE),0)+IFERROR(VLOOKUP($G58,Shifts!$A$5:$E$12,5,FALSE),0)+IFERROR(VLOOKUP($H58,Shifts!$A$5:$E$12,5,FALSE),0),2))</f>
        <v/>
      </c>
      <c r="J58">
        <f>IF($A58="","",IF($I58&gt;'Weekly Schedule'!$J26,"⛔ +"&amp;TEXT($I58-'Weekly Schedule'!$J26,"0")&amp;" h",""))</f>
        <v/>
      </c>
    </row>
    <row r="59">
      <c r="A59">
        <f>IF('Weekly Schedule'!$A27="","",'Weekly Schedule'!$A27)</f>
        <v/>
      </c>
      <c r="B59" s="54" t="n"/>
      <c r="C59" s="54" t="n"/>
      <c r="D59" s="54" t="n"/>
      <c r="E59" s="54" t="n"/>
      <c r="F59" s="54" t="n"/>
      <c r="G59" s="54" t="n"/>
      <c r="H59" s="54" t="n"/>
      <c r="I59" s="59">
        <f>IF($A59="","",ROUND(IFERROR(VLOOKUP($B59,Shifts!$A$5:$E$12,5,FALSE),0)+IFERROR(VLOOKUP($C59,Shifts!$A$5:$E$12,5,FALSE),0)+IFERROR(VLOOKUP($D59,Shifts!$A$5:$E$12,5,FALSE),0)+IFERROR(VLOOKUP($E59,Shifts!$A$5:$E$12,5,FALSE),0)+IFERROR(VLOOKUP($F59,Shifts!$A$5:$E$12,5,FALSE),0)+IFERROR(VLOOKUP($G59,Shifts!$A$5:$E$12,5,FALSE),0)+IFERROR(VLOOKUP($H59,Shifts!$A$5:$E$12,5,FALSE),0),2))</f>
        <v/>
      </c>
      <c r="J59">
        <f>IF($A59="","",IF($I59&gt;'Weekly Schedule'!$J27,"⛔ +"&amp;TEXT($I59-'Weekly Schedule'!$J27,"0")&amp;" h",""))</f>
        <v/>
      </c>
    </row>
    <row r="60">
      <c r="A60">
        <f>IF('Weekly Schedule'!$A28="","",'Weekly Schedule'!$A28)</f>
        <v/>
      </c>
      <c r="B60" s="54" t="n"/>
      <c r="C60" s="54" t="n"/>
      <c r="D60" s="54" t="n"/>
      <c r="E60" s="54" t="n"/>
      <c r="F60" s="54" t="n"/>
      <c r="G60" s="54" t="n"/>
      <c r="H60" s="54" t="n"/>
      <c r="I60" s="59">
        <f>IF($A60="","",ROUND(IFERROR(VLOOKUP($B60,Shifts!$A$5:$E$12,5,FALSE),0)+IFERROR(VLOOKUP($C60,Shifts!$A$5:$E$12,5,FALSE),0)+IFERROR(VLOOKUP($D60,Shifts!$A$5:$E$12,5,FALSE),0)+IFERROR(VLOOKUP($E60,Shifts!$A$5:$E$12,5,FALSE),0)+IFERROR(VLOOKUP($F60,Shifts!$A$5:$E$12,5,FALSE),0)+IFERROR(VLOOKUP($G60,Shifts!$A$5:$E$12,5,FALSE),0)+IFERROR(VLOOKUP($H60,Shifts!$A$5:$E$12,5,FALSE),0),2))</f>
        <v/>
      </c>
      <c r="J60">
        <f>IF($A60="","",IF($I60&gt;'Weekly Schedule'!$J28,"⛔ +"&amp;TEXT($I60-'Weekly Schedule'!$J28,"0")&amp;" h",""))</f>
        <v/>
      </c>
    </row>
    <row r="61">
      <c r="A61">
        <f>IF('Weekly Schedule'!$A29="","",'Weekly Schedule'!$A29)</f>
        <v/>
      </c>
      <c r="B61" s="54" t="n"/>
      <c r="C61" s="54" t="n"/>
      <c r="D61" s="54" t="n"/>
      <c r="E61" s="54" t="n"/>
      <c r="F61" s="54" t="n"/>
      <c r="G61" s="54" t="n"/>
      <c r="H61" s="54" t="n"/>
      <c r="I61" s="59">
        <f>IF($A61="","",ROUND(IFERROR(VLOOKUP($B61,Shifts!$A$5:$E$12,5,FALSE),0)+IFERROR(VLOOKUP($C61,Shifts!$A$5:$E$12,5,FALSE),0)+IFERROR(VLOOKUP($D61,Shifts!$A$5:$E$12,5,FALSE),0)+IFERROR(VLOOKUP($E61,Shifts!$A$5:$E$12,5,FALSE),0)+IFERROR(VLOOKUP($F61,Shifts!$A$5:$E$12,5,FALSE),0)+IFERROR(VLOOKUP($G61,Shifts!$A$5:$E$12,5,FALSE),0)+IFERROR(VLOOKUP($H61,Shifts!$A$5:$E$12,5,FALSE),0),2))</f>
        <v/>
      </c>
      <c r="J61">
        <f>IF($A61="","",IF($I61&gt;'Weekly Schedule'!$J29,"⛔ +"&amp;TEXT($I61-'Weekly Schedule'!$J29,"0")&amp;" h",""))</f>
        <v/>
      </c>
    </row>
    <row r="62">
      <c r="A62">
        <f>IF('Weekly Schedule'!$A30="","",'Weekly Schedule'!$A30)</f>
        <v/>
      </c>
      <c r="B62" s="54" t="n"/>
      <c r="C62" s="54" t="n"/>
      <c r="D62" s="54" t="n"/>
      <c r="E62" s="54" t="n"/>
      <c r="F62" s="54" t="n"/>
      <c r="G62" s="54" t="n"/>
      <c r="H62" s="54" t="n"/>
      <c r="I62" s="59">
        <f>IF($A62="","",ROUND(IFERROR(VLOOKUP($B62,Shifts!$A$5:$E$12,5,FALSE),0)+IFERROR(VLOOKUP($C62,Shifts!$A$5:$E$12,5,FALSE),0)+IFERROR(VLOOKUP($D62,Shifts!$A$5:$E$12,5,FALSE),0)+IFERROR(VLOOKUP($E62,Shifts!$A$5:$E$12,5,FALSE),0)+IFERROR(VLOOKUP($F62,Shifts!$A$5:$E$12,5,FALSE),0)+IFERROR(VLOOKUP($G62,Shifts!$A$5:$E$12,5,FALSE),0)+IFERROR(VLOOKUP($H62,Shifts!$A$5:$E$12,5,FALSE),0),2))</f>
        <v/>
      </c>
      <c r="J62">
        <f>IF($A62="","",IF($I62&gt;'Weekly Schedule'!$J30,"⛔ +"&amp;TEXT($I62-'Weekly Schedule'!$J30,"0")&amp;" h",""))</f>
        <v/>
      </c>
    </row>
    <row r="63">
      <c r="A63">
        <f>IF('Weekly Schedule'!$A31="","",'Weekly Schedule'!$A31)</f>
        <v/>
      </c>
      <c r="B63" s="54" t="n"/>
      <c r="C63" s="54" t="n"/>
      <c r="D63" s="54" t="n"/>
      <c r="E63" s="54" t="n"/>
      <c r="F63" s="54" t="n"/>
      <c r="G63" s="54" t="n"/>
      <c r="H63" s="54" t="n"/>
      <c r="I63" s="59">
        <f>IF($A63="","",ROUND(IFERROR(VLOOKUP($B63,Shifts!$A$5:$E$12,5,FALSE),0)+IFERROR(VLOOKUP($C63,Shifts!$A$5:$E$12,5,FALSE),0)+IFERROR(VLOOKUP($D63,Shifts!$A$5:$E$12,5,FALSE),0)+IFERROR(VLOOKUP($E63,Shifts!$A$5:$E$12,5,FALSE),0)+IFERROR(VLOOKUP($F63,Shifts!$A$5:$E$12,5,FALSE),0)+IFERROR(VLOOKUP($G63,Shifts!$A$5:$E$12,5,FALSE),0)+IFERROR(VLOOKUP($H63,Shifts!$A$5:$E$12,5,FALSE),0),2))</f>
        <v/>
      </c>
      <c r="J63">
        <f>IF($A63="","",IF($I63&gt;'Weekly Schedule'!$J31,"⛔ +"&amp;TEXT($I63-'Weekly Schedule'!$J31,"0")&amp;" h",""))</f>
        <v/>
      </c>
    </row>
    <row r="64">
      <c r="A64">
        <f>IF('Weekly Schedule'!$A32="","",'Weekly Schedule'!$A32)</f>
        <v/>
      </c>
      <c r="B64" s="54" t="n"/>
      <c r="C64" s="54" t="n"/>
      <c r="D64" s="54" t="n"/>
      <c r="E64" s="54" t="n"/>
      <c r="F64" s="54" t="n"/>
      <c r="G64" s="54" t="n"/>
      <c r="H64" s="54" t="n"/>
      <c r="I64" s="59">
        <f>IF($A64="","",ROUND(IFERROR(VLOOKUP($B64,Shifts!$A$5:$E$12,5,FALSE),0)+IFERROR(VLOOKUP($C64,Shifts!$A$5:$E$12,5,FALSE),0)+IFERROR(VLOOKUP($D64,Shifts!$A$5:$E$12,5,FALSE),0)+IFERROR(VLOOKUP($E64,Shifts!$A$5:$E$12,5,FALSE),0)+IFERROR(VLOOKUP($F64,Shifts!$A$5:$E$12,5,FALSE),0)+IFERROR(VLOOKUP($G64,Shifts!$A$5:$E$12,5,FALSE),0)+IFERROR(VLOOKUP($H64,Shifts!$A$5:$E$12,5,FALSE),0),2))</f>
        <v/>
      </c>
      <c r="J64">
        <f>IF($A64="","",IF($I64&gt;'Weekly Schedule'!$J32,"⛔ +"&amp;TEXT($I64-'Weekly Schedule'!$J32,"0")&amp;" h",""))</f>
        <v/>
      </c>
    </row>
    <row r="65">
      <c r="A65">
        <f>IF('Weekly Schedule'!$A33="","",'Weekly Schedule'!$A33)</f>
        <v/>
      </c>
      <c r="B65" s="54" t="n"/>
      <c r="C65" s="54" t="n"/>
      <c r="D65" s="54" t="n"/>
      <c r="E65" s="54" t="n"/>
      <c r="F65" s="54" t="n"/>
      <c r="G65" s="54" t="n"/>
      <c r="H65" s="54" t="n"/>
      <c r="I65" s="59">
        <f>IF($A65="","",ROUND(IFERROR(VLOOKUP($B65,Shifts!$A$5:$E$12,5,FALSE),0)+IFERROR(VLOOKUP($C65,Shifts!$A$5:$E$12,5,FALSE),0)+IFERROR(VLOOKUP($D65,Shifts!$A$5:$E$12,5,FALSE),0)+IFERROR(VLOOKUP($E65,Shifts!$A$5:$E$12,5,FALSE),0)+IFERROR(VLOOKUP($F65,Shifts!$A$5:$E$12,5,FALSE),0)+IFERROR(VLOOKUP($G65,Shifts!$A$5:$E$12,5,FALSE),0)+IFERROR(VLOOKUP($H65,Shifts!$A$5:$E$12,5,FALSE),0),2))</f>
        <v/>
      </c>
      <c r="J65">
        <f>IF($A65="","",IF($I65&gt;'Weekly Schedule'!$J33,"⛔ +"&amp;TEXT($I65-'Weekly Schedule'!$J33,"0")&amp;" h",""))</f>
        <v/>
      </c>
    </row>
    <row r="66">
      <c r="A66">
        <f>IF('Weekly Schedule'!$A34="","",'Weekly Schedule'!$A34)</f>
        <v/>
      </c>
      <c r="B66" s="54" t="n"/>
      <c r="C66" s="54" t="n"/>
      <c r="D66" s="54" t="n"/>
      <c r="E66" s="54" t="n"/>
      <c r="F66" s="54" t="n"/>
      <c r="G66" s="54" t="n"/>
      <c r="H66" s="54" t="n"/>
      <c r="I66" s="59">
        <f>IF($A66="","",ROUND(IFERROR(VLOOKUP($B66,Shifts!$A$5:$E$12,5,FALSE),0)+IFERROR(VLOOKUP($C66,Shifts!$A$5:$E$12,5,FALSE),0)+IFERROR(VLOOKUP($D66,Shifts!$A$5:$E$12,5,FALSE),0)+IFERROR(VLOOKUP($E66,Shifts!$A$5:$E$12,5,FALSE),0)+IFERROR(VLOOKUP($F66,Shifts!$A$5:$E$12,5,FALSE),0)+IFERROR(VLOOKUP($G66,Shifts!$A$5:$E$12,5,FALSE),0)+IFERROR(VLOOKUP($H66,Shifts!$A$5:$E$12,5,FALSE),0),2))</f>
        <v/>
      </c>
      <c r="J66">
        <f>IF($A66="","",IF($I66&gt;'Weekly Schedule'!$J34,"⛔ +"&amp;TEXT($I66-'Weekly Schedule'!$J34,"0")&amp;" h",""))</f>
        <v/>
      </c>
    </row>
    <row r="67">
      <c r="A67">
        <f>IF('Weekly Schedule'!$A35="","",'Weekly Schedule'!$A35)</f>
        <v/>
      </c>
      <c r="B67" s="54" t="n"/>
      <c r="C67" s="54" t="n"/>
      <c r="D67" s="54" t="n"/>
      <c r="E67" s="54" t="n"/>
      <c r="F67" s="54" t="n"/>
      <c r="G67" s="54" t="n"/>
      <c r="H67" s="54" t="n"/>
      <c r="I67" s="59">
        <f>IF($A67="","",ROUND(IFERROR(VLOOKUP($B67,Shifts!$A$5:$E$12,5,FALSE),0)+IFERROR(VLOOKUP($C67,Shifts!$A$5:$E$12,5,FALSE),0)+IFERROR(VLOOKUP($D67,Shifts!$A$5:$E$12,5,FALSE),0)+IFERROR(VLOOKUP($E67,Shifts!$A$5:$E$12,5,FALSE),0)+IFERROR(VLOOKUP($F67,Shifts!$A$5:$E$12,5,FALSE),0)+IFERROR(VLOOKUP($G67,Shifts!$A$5:$E$12,5,FALSE),0)+IFERROR(VLOOKUP($H67,Shifts!$A$5:$E$12,5,FALSE),0),2))</f>
        <v/>
      </c>
      <c r="J67">
        <f>IF($A67="","",IF($I67&gt;'Weekly Schedule'!$J35,"⛔ +"&amp;TEXT($I67-'Weekly Schedule'!$J35,"0")&amp;" h",""))</f>
        <v/>
      </c>
    </row>
    <row r="68">
      <c r="I68" s="59" t="n"/>
    </row>
    <row r="69" ht="20" customHeight="1">
      <c r="A69" s="60" t="inlineStr">
        <is>
          <t>WEEK 3</t>
        </is>
      </c>
    </row>
    <row r="70" ht="30" customHeight="1">
      <c r="A70" s="27" t="inlineStr">
        <is>
          <t>Employee</t>
        </is>
      </c>
      <c r="B70" s="27" t="inlineStr">
        <is>
          <t>Monday</t>
        </is>
      </c>
      <c r="C70" s="27" t="inlineStr">
        <is>
          <t>Tuesday</t>
        </is>
      </c>
      <c r="D70" s="27" t="inlineStr">
        <is>
          <t>Wednesday</t>
        </is>
      </c>
      <c r="E70" s="27" t="inlineStr">
        <is>
          <t>Thursday</t>
        </is>
      </c>
      <c r="F70" s="27" t="inlineStr">
        <is>
          <t>Friday</t>
        </is>
      </c>
      <c r="G70" s="27" t="inlineStr">
        <is>
          <t>Saturday</t>
        </is>
      </c>
      <c r="H70" s="27" t="inlineStr">
        <is>
          <t>Sunday</t>
        </is>
      </c>
      <c r="I70" s="27" t="inlineStr">
        <is>
          <t>Total Hours</t>
        </is>
      </c>
      <c r="J70" s="27" t="inlineStr">
        <is>
          <t>Weekly alert</t>
        </is>
      </c>
    </row>
    <row r="71">
      <c r="A71">
        <f>IF('Weekly Schedule'!$A6="","",'Weekly Schedule'!$A6)</f>
        <v/>
      </c>
      <c r="B71" s="54" t="n"/>
      <c r="C71" s="54" t="n"/>
      <c r="D71" s="54" t="n"/>
      <c r="E71" s="54" t="n"/>
      <c r="F71" s="54" t="n"/>
      <c r="G71" s="54" t="n"/>
      <c r="H71" s="54" t="n"/>
      <c r="I71" s="59">
        <f>IF($A71="","",ROUND(IFERROR(VLOOKUP($B71,Shifts!$A$5:$E$12,5,FALSE),0)+IFERROR(VLOOKUP($C71,Shifts!$A$5:$E$12,5,FALSE),0)+IFERROR(VLOOKUP($D71,Shifts!$A$5:$E$12,5,FALSE),0)+IFERROR(VLOOKUP($E71,Shifts!$A$5:$E$12,5,FALSE),0)+IFERROR(VLOOKUP($F71,Shifts!$A$5:$E$12,5,FALSE),0)+IFERROR(VLOOKUP($G71,Shifts!$A$5:$E$12,5,FALSE),0)+IFERROR(VLOOKUP($H71,Shifts!$A$5:$E$12,5,FALSE),0),2))</f>
        <v/>
      </c>
      <c r="J71">
        <f>IF($A71="","",IF($I71&gt;'Weekly Schedule'!$J6,"⛔ +"&amp;TEXT($I71-'Weekly Schedule'!$J6,"0")&amp;" h",""))</f>
        <v/>
      </c>
    </row>
    <row r="72">
      <c r="A72">
        <f>IF('Weekly Schedule'!$A7="","",'Weekly Schedule'!$A7)</f>
        <v/>
      </c>
      <c r="B72" s="54" t="n"/>
      <c r="C72" s="54" t="n"/>
      <c r="D72" s="54" t="n"/>
      <c r="E72" s="54" t="n"/>
      <c r="F72" s="54" t="n"/>
      <c r="G72" s="54" t="n"/>
      <c r="H72" s="54" t="n"/>
      <c r="I72" s="59">
        <f>IF($A72="","",ROUND(IFERROR(VLOOKUP($B72,Shifts!$A$5:$E$12,5,FALSE),0)+IFERROR(VLOOKUP($C72,Shifts!$A$5:$E$12,5,FALSE),0)+IFERROR(VLOOKUP($D72,Shifts!$A$5:$E$12,5,FALSE),0)+IFERROR(VLOOKUP($E72,Shifts!$A$5:$E$12,5,FALSE),0)+IFERROR(VLOOKUP($F72,Shifts!$A$5:$E$12,5,FALSE),0)+IFERROR(VLOOKUP($G72,Shifts!$A$5:$E$12,5,FALSE),0)+IFERROR(VLOOKUP($H72,Shifts!$A$5:$E$12,5,FALSE),0),2))</f>
        <v/>
      </c>
      <c r="J72">
        <f>IF($A72="","",IF($I72&gt;'Weekly Schedule'!$J7,"⛔ +"&amp;TEXT($I72-'Weekly Schedule'!$J7,"0")&amp;" h",""))</f>
        <v/>
      </c>
    </row>
    <row r="73">
      <c r="A73">
        <f>IF('Weekly Schedule'!$A8="","",'Weekly Schedule'!$A8)</f>
        <v/>
      </c>
      <c r="B73" s="54" t="n"/>
      <c r="C73" s="54" t="n"/>
      <c r="D73" s="54" t="n"/>
      <c r="E73" s="54" t="n"/>
      <c r="F73" s="54" t="n"/>
      <c r="G73" s="54" t="n"/>
      <c r="H73" s="54" t="n"/>
      <c r="I73" s="59">
        <f>IF($A73="","",ROUND(IFERROR(VLOOKUP($B73,Shifts!$A$5:$E$12,5,FALSE),0)+IFERROR(VLOOKUP($C73,Shifts!$A$5:$E$12,5,FALSE),0)+IFERROR(VLOOKUP($D73,Shifts!$A$5:$E$12,5,FALSE),0)+IFERROR(VLOOKUP($E73,Shifts!$A$5:$E$12,5,FALSE),0)+IFERROR(VLOOKUP($F73,Shifts!$A$5:$E$12,5,FALSE),0)+IFERROR(VLOOKUP($G73,Shifts!$A$5:$E$12,5,FALSE),0)+IFERROR(VLOOKUP($H73,Shifts!$A$5:$E$12,5,FALSE),0),2))</f>
        <v/>
      </c>
      <c r="J73">
        <f>IF($A73="","",IF($I73&gt;'Weekly Schedule'!$J8,"⛔ +"&amp;TEXT($I73-'Weekly Schedule'!$J8,"0")&amp;" h",""))</f>
        <v/>
      </c>
    </row>
    <row r="74">
      <c r="A74">
        <f>IF('Weekly Schedule'!$A9="","",'Weekly Schedule'!$A9)</f>
        <v/>
      </c>
      <c r="B74" s="54" t="n"/>
      <c r="C74" s="54" t="n"/>
      <c r="D74" s="54" t="n"/>
      <c r="E74" s="54" t="n"/>
      <c r="F74" s="54" t="n"/>
      <c r="G74" s="54" t="n"/>
      <c r="H74" s="54" t="n"/>
      <c r="I74" s="59">
        <f>IF($A74="","",ROUND(IFERROR(VLOOKUP($B74,Shifts!$A$5:$E$12,5,FALSE),0)+IFERROR(VLOOKUP($C74,Shifts!$A$5:$E$12,5,FALSE),0)+IFERROR(VLOOKUP($D74,Shifts!$A$5:$E$12,5,FALSE),0)+IFERROR(VLOOKUP($E74,Shifts!$A$5:$E$12,5,FALSE),0)+IFERROR(VLOOKUP($F74,Shifts!$A$5:$E$12,5,FALSE),0)+IFERROR(VLOOKUP($G74,Shifts!$A$5:$E$12,5,FALSE),0)+IFERROR(VLOOKUP($H74,Shifts!$A$5:$E$12,5,FALSE),0),2))</f>
        <v/>
      </c>
      <c r="J74">
        <f>IF($A74="","",IF($I74&gt;'Weekly Schedule'!$J9,"⛔ +"&amp;TEXT($I74-'Weekly Schedule'!$J9,"0")&amp;" h",""))</f>
        <v/>
      </c>
    </row>
    <row r="75">
      <c r="A75">
        <f>IF('Weekly Schedule'!$A10="","",'Weekly Schedule'!$A10)</f>
        <v/>
      </c>
      <c r="B75" s="54" t="n"/>
      <c r="C75" s="54" t="n"/>
      <c r="D75" s="54" t="n"/>
      <c r="E75" s="54" t="n"/>
      <c r="F75" s="54" t="n"/>
      <c r="G75" s="54" t="n"/>
      <c r="H75" s="54" t="n"/>
      <c r="I75" s="59">
        <f>IF($A75="","",ROUND(IFERROR(VLOOKUP($B75,Shifts!$A$5:$E$12,5,FALSE),0)+IFERROR(VLOOKUP($C75,Shifts!$A$5:$E$12,5,FALSE),0)+IFERROR(VLOOKUP($D75,Shifts!$A$5:$E$12,5,FALSE),0)+IFERROR(VLOOKUP($E75,Shifts!$A$5:$E$12,5,FALSE),0)+IFERROR(VLOOKUP($F75,Shifts!$A$5:$E$12,5,FALSE),0)+IFERROR(VLOOKUP($G75,Shifts!$A$5:$E$12,5,FALSE),0)+IFERROR(VLOOKUP($H75,Shifts!$A$5:$E$12,5,FALSE),0),2))</f>
        <v/>
      </c>
      <c r="J75">
        <f>IF($A75="","",IF($I75&gt;'Weekly Schedule'!$J10,"⛔ +"&amp;TEXT($I75-'Weekly Schedule'!$J10,"0")&amp;" h",""))</f>
        <v/>
      </c>
    </row>
    <row r="76">
      <c r="A76">
        <f>IF('Weekly Schedule'!$A11="","",'Weekly Schedule'!$A11)</f>
        <v/>
      </c>
      <c r="B76" s="54" t="n"/>
      <c r="C76" s="54" t="n"/>
      <c r="D76" s="54" t="n"/>
      <c r="E76" s="54" t="n"/>
      <c r="F76" s="54" t="n"/>
      <c r="G76" s="54" t="n"/>
      <c r="H76" s="54" t="n"/>
      <c r="I76" s="59">
        <f>IF($A76="","",ROUND(IFERROR(VLOOKUP($B76,Shifts!$A$5:$E$12,5,FALSE),0)+IFERROR(VLOOKUP($C76,Shifts!$A$5:$E$12,5,FALSE),0)+IFERROR(VLOOKUP($D76,Shifts!$A$5:$E$12,5,FALSE),0)+IFERROR(VLOOKUP($E76,Shifts!$A$5:$E$12,5,FALSE),0)+IFERROR(VLOOKUP($F76,Shifts!$A$5:$E$12,5,FALSE),0)+IFERROR(VLOOKUP($G76,Shifts!$A$5:$E$12,5,FALSE),0)+IFERROR(VLOOKUP($H76,Shifts!$A$5:$E$12,5,FALSE),0),2))</f>
        <v/>
      </c>
      <c r="J76">
        <f>IF($A76="","",IF($I76&gt;'Weekly Schedule'!$J11,"⛔ +"&amp;TEXT($I76-'Weekly Schedule'!$J11,"0")&amp;" h",""))</f>
        <v/>
      </c>
    </row>
    <row r="77">
      <c r="A77">
        <f>IF('Weekly Schedule'!$A12="","",'Weekly Schedule'!$A12)</f>
        <v/>
      </c>
      <c r="B77" s="54" t="n"/>
      <c r="C77" s="54" t="n"/>
      <c r="D77" s="54" t="n"/>
      <c r="E77" s="54" t="n"/>
      <c r="F77" s="54" t="n"/>
      <c r="G77" s="54" t="n"/>
      <c r="H77" s="54" t="n"/>
      <c r="I77" s="59">
        <f>IF($A77="","",ROUND(IFERROR(VLOOKUP($B77,Shifts!$A$5:$E$12,5,FALSE),0)+IFERROR(VLOOKUP($C77,Shifts!$A$5:$E$12,5,FALSE),0)+IFERROR(VLOOKUP($D77,Shifts!$A$5:$E$12,5,FALSE),0)+IFERROR(VLOOKUP($E77,Shifts!$A$5:$E$12,5,FALSE),0)+IFERROR(VLOOKUP($F77,Shifts!$A$5:$E$12,5,FALSE),0)+IFERROR(VLOOKUP($G77,Shifts!$A$5:$E$12,5,FALSE),0)+IFERROR(VLOOKUP($H77,Shifts!$A$5:$E$12,5,FALSE),0),2))</f>
        <v/>
      </c>
      <c r="J77">
        <f>IF($A77="","",IF($I77&gt;'Weekly Schedule'!$J12,"⛔ +"&amp;TEXT($I77-'Weekly Schedule'!$J12,"0")&amp;" h",""))</f>
        <v/>
      </c>
    </row>
    <row r="78">
      <c r="A78">
        <f>IF('Weekly Schedule'!$A13="","",'Weekly Schedule'!$A13)</f>
        <v/>
      </c>
      <c r="B78" s="54" t="n"/>
      <c r="C78" s="54" t="n"/>
      <c r="D78" s="54" t="n"/>
      <c r="E78" s="54" t="n"/>
      <c r="F78" s="54" t="n"/>
      <c r="G78" s="54" t="n"/>
      <c r="H78" s="54" t="n"/>
      <c r="I78" s="59">
        <f>IF($A78="","",ROUND(IFERROR(VLOOKUP($B78,Shifts!$A$5:$E$12,5,FALSE),0)+IFERROR(VLOOKUP($C78,Shifts!$A$5:$E$12,5,FALSE),0)+IFERROR(VLOOKUP($D78,Shifts!$A$5:$E$12,5,FALSE),0)+IFERROR(VLOOKUP($E78,Shifts!$A$5:$E$12,5,FALSE),0)+IFERROR(VLOOKUP($F78,Shifts!$A$5:$E$12,5,FALSE),0)+IFERROR(VLOOKUP($G78,Shifts!$A$5:$E$12,5,FALSE),0)+IFERROR(VLOOKUP($H78,Shifts!$A$5:$E$12,5,FALSE),0),2))</f>
        <v/>
      </c>
      <c r="J78">
        <f>IF($A78="","",IF($I78&gt;'Weekly Schedule'!$J13,"⛔ +"&amp;TEXT($I78-'Weekly Schedule'!$J13,"0")&amp;" h",""))</f>
        <v/>
      </c>
    </row>
    <row r="79">
      <c r="A79">
        <f>IF('Weekly Schedule'!$A14="","",'Weekly Schedule'!$A14)</f>
        <v/>
      </c>
      <c r="B79" s="54" t="n"/>
      <c r="C79" s="54" t="n"/>
      <c r="D79" s="54" t="n"/>
      <c r="E79" s="54" t="n"/>
      <c r="F79" s="54" t="n"/>
      <c r="G79" s="54" t="n"/>
      <c r="H79" s="54" t="n"/>
      <c r="I79" s="59">
        <f>IF($A79="","",ROUND(IFERROR(VLOOKUP($B79,Shifts!$A$5:$E$12,5,FALSE),0)+IFERROR(VLOOKUP($C79,Shifts!$A$5:$E$12,5,FALSE),0)+IFERROR(VLOOKUP($D79,Shifts!$A$5:$E$12,5,FALSE),0)+IFERROR(VLOOKUP($E79,Shifts!$A$5:$E$12,5,FALSE),0)+IFERROR(VLOOKUP($F79,Shifts!$A$5:$E$12,5,FALSE),0)+IFERROR(VLOOKUP($G79,Shifts!$A$5:$E$12,5,FALSE),0)+IFERROR(VLOOKUP($H79,Shifts!$A$5:$E$12,5,FALSE),0),2))</f>
        <v/>
      </c>
      <c r="J79">
        <f>IF($A79="","",IF($I79&gt;'Weekly Schedule'!$J14,"⛔ +"&amp;TEXT($I79-'Weekly Schedule'!$J14,"0")&amp;" h",""))</f>
        <v/>
      </c>
    </row>
    <row r="80">
      <c r="A80">
        <f>IF('Weekly Schedule'!$A15="","",'Weekly Schedule'!$A15)</f>
        <v/>
      </c>
      <c r="B80" s="54" t="n"/>
      <c r="C80" s="54" t="n"/>
      <c r="D80" s="54" t="n"/>
      <c r="E80" s="54" t="n"/>
      <c r="F80" s="54" t="n"/>
      <c r="G80" s="54" t="n"/>
      <c r="H80" s="54" t="n"/>
      <c r="I80" s="59">
        <f>IF($A80="","",ROUND(IFERROR(VLOOKUP($B80,Shifts!$A$5:$E$12,5,FALSE),0)+IFERROR(VLOOKUP($C80,Shifts!$A$5:$E$12,5,FALSE),0)+IFERROR(VLOOKUP($D80,Shifts!$A$5:$E$12,5,FALSE),0)+IFERROR(VLOOKUP($E80,Shifts!$A$5:$E$12,5,FALSE),0)+IFERROR(VLOOKUP($F80,Shifts!$A$5:$E$12,5,FALSE),0)+IFERROR(VLOOKUP($G80,Shifts!$A$5:$E$12,5,FALSE),0)+IFERROR(VLOOKUP($H80,Shifts!$A$5:$E$12,5,FALSE),0),2))</f>
        <v/>
      </c>
      <c r="J80">
        <f>IF($A80="","",IF($I80&gt;'Weekly Schedule'!$J15,"⛔ +"&amp;TEXT($I80-'Weekly Schedule'!$J15,"0")&amp;" h",""))</f>
        <v/>
      </c>
    </row>
    <row r="81">
      <c r="A81">
        <f>IF('Weekly Schedule'!$A16="","",'Weekly Schedule'!$A16)</f>
        <v/>
      </c>
      <c r="B81" s="54" t="n"/>
      <c r="C81" s="54" t="n"/>
      <c r="D81" s="54" t="n"/>
      <c r="E81" s="54" t="n"/>
      <c r="F81" s="54" t="n"/>
      <c r="G81" s="54" t="n"/>
      <c r="H81" s="54" t="n"/>
      <c r="I81" s="59">
        <f>IF($A81="","",ROUND(IFERROR(VLOOKUP($B81,Shifts!$A$5:$E$12,5,FALSE),0)+IFERROR(VLOOKUP($C81,Shifts!$A$5:$E$12,5,FALSE),0)+IFERROR(VLOOKUP($D81,Shifts!$A$5:$E$12,5,FALSE),0)+IFERROR(VLOOKUP($E81,Shifts!$A$5:$E$12,5,FALSE),0)+IFERROR(VLOOKUP($F81,Shifts!$A$5:$E$12,5,FALSE),0)+IFERROR(VLOOKUP($G81,Shifts!$A$5:$E$12,5,FALSE),0)+IFERROR(VLOOKUP($H81,Shifts!$A$5:$E$12,5,FALSE),0),2))</f>
        <v/>
      </c>
      <c r="J81">
        <f>IF($A81="","",IF($I81&gt;'Weekly Schedule'!$J16,"⛔ +"&amp;TEXT($I81-'Weekly Schedule'!$J16,"0")&amp;" h",""))</f>
        <v/>
      </c>
    </row>
    <row r="82">
      <c r="A82">
        <f>IF('Weekly Schedule'!$A17="","",'Weekly Schedule'!$A17)</f>
        <v/>
      </c>
      <c r="B82" s="54" t="n"/>
      <c r="C82" s="54" t="n"/>
      <c r="D82" s="54" t="n"/>
      <c r="E82" s="54" t="n"/>
      <c r="F82" s="54" t="n"/>
      <c r="G82" s="54" t="n"/>
      <c r="H82" s="54" t="n"/>
      <c r="I82" s="59">
        <f>IF($A82="","",ROUND(IFERROR(VLOOKUP($B82,Shifts!$A$5:$E$12,5,FALSE),0)+IFERROR(VLOOKUP($C82,Shifts!$A$5:$E$12,5,FALSE),0)+IFERROR(VLOOKUP($D82,Shifts!$A$5:$E$12,5,FALSE),0)+IFERROR(VLOOKUP($E82,Shifts!$A$5:$E$12,5,FALSE),0)+IFERROR(VLOOKUP($F82,Shifts!$A$5:$E$12,5,FALSE),0)+IFERROR(VLOOKUP($G82,Shifts!$A$5:$E$12,5,FALSE),0)+IFERROR(VLOOKUP($H82,Shifts!$A$5:$E$12,5,FALSE),0),2))</f>
        <v/>
      </c>
      <c r="J82">
        <f>IF($A82="","",IF($I82&gt;'Weekly Schedule'!$J17,"⛔ +"&amp;TEXT($I82-'Weekly Schedule'!$J17,"0")&amp;" h",""))</f>
        <v/>
      </c>
    </row>
    <row r="83">
      <c r="A83">
        <f>IF('Weekly Schedule'!$A18="","",'Weekly Schedule'!$A18)</f>
        <v/>
      </c>
      <c r="B83" s="54" t="n"/>
      <c r="C83" s="54" t="n"/>
      <c r="D83" s="54" t="n"/>
      <c r="E83" s="54" t="n"/>
      <c r="F83" s="54" t="n"/>
      <c r="G83" s="54" t="n"/>
      <c r="H83" s="54" t="n"/>
      <c r="I83" s="59">
        <f>IF($A83="","",ROUND(IFERROR(VLOOKUP($B83,Shifts!$A$5:$E$12,5,FALSE),0)+IFERROR(VLOOKUP($C83,Shifts!$A$5:$E$12,5,FALSE),0)+IFERROR(VLOOKUP($D83,Shifts!$A$5:$E$12,5,FALSE),0)+IFERROR(VLOOKUP($E83,Shifts!$A$5:$E$12,5,FALSE),0)+IFERROR(VLOOKUP($F83,Shifts!$A$5:$E$12,5,FALSE),0)+IFERROR(VLOOKUP($G83,Shifts!$A$5:$E$12,5,FALSE),0)+IFERROR(VLOOKUP($H83,Shifts!$A$5:$E$12,5,FALSE),0),2))</f>
        <v/>
      </c>
      <c r="J83">
        <f>IF($A83="","",IF($I83&gt;'Weekly Schedule'!$J18,"⛔ +"&amp;TEXT($I83-'Weekly Schedule'!$J18,"0")&amp;" h",""))</f>
        <v/>
      </c>
    </row>
    <row r="84">
      <c r="A84">
        <f>IF('Weekly Schedule'!$A19="","",'Weekly Schedule'!$A19)</f>
        <v/>
      </c>
      <c r="B84" s="54" t="n"/>
      <c r="C84" s="54" t="n"/>
      <c r="D84" s="54" t="n"/>
      <c r="E84" s="54" t="n"/>
      <c r="F84" s="54" t="n"/>
      <c r="G84" s="54" t="n"/>
      <c r="H84" s="54" t="n"/>
      <c r="I84" s="59">
        <f>IF($A84="","",ROUND(IFERROR(VLOOKUP($B84,Shifts!$A$5:$E$12,5,FALSE),0)+IFERROR(VLOOKUP($C84,Shifts!$A$5:$E$12,5,FALSE),0)+IFERROR(VLOOKUP($D84,Shifts!$A$5:$E$12,5,FALSE),0)+IFERROR(VLOOKUP($E84,Shifts!$A$5:$E$12,5,FALSE),0)+IFERROR(VLOOKUP($F84,Shifts!$A$5:$E$12,5,FALSE),0)+IFERROR(VLOOKUP($G84,Shifts!$A$5:$E$12,5,FALSE),0)+IFERROR(VLOOKUP($H84,Shifts!$A$5:$E$12,5,FALSE),0),2))</f>
        <v/>
      </c>
      <c r="J84">
        <f>IF($A84="","",IF($I84&gt;'Weekly Schedule'!$J19,"⛔ +"&amp;TEXT($I84-'Weekly Schedule'!$J19,"0")&amp;" h",""))</f>
        <v/>
      </c>
    </row>
    <row r="85">
      <c r="A85">
        <f>IF('Weekly Schedule'!$A20="","",'Weekly Schedule'!$A20)</f>
        <v/>
      </c>
      <c r="B85" s="54" t="n"/>
      <c r="C85" s="54" t="n"/>
      <c r="D85" s="54" t="n"/>
      <c r="E85" s="54" t="n"/>
      <c r="F85" s="54" t="n"/>
      <c r="G85" s="54" t="n"/>
      <c r="H85" s="54" t="n"/>
      <c r="I85" s="59">
        <f>IF($A85="","",ROUND(IFERROR(VLOOKUP($B85,Shifts!$A$5:$E$12,5,FALSE),0)+IFERROR(VLOOKUP($C85,Shifts!$A$5:$E$12,5,FALSE),0)+IFERROR(VLOOKUP($D85,Shifts!$A$5:$E$12,5,FALSE),0)+IFERROR(VLOOKUP($E85,Shifts!$A$5:$E$12,5,FALSE),0)+IFERROR(VLOOKUP($F85,Shifts!$A$5:$E$12,5,FALSE),0)+IFERROR(VLOOKUP($G85,Shifts!$A$5:$E$12,5,FALSE),0)+IFERROR(VLOOKUP($H85,Shifts!$A$5:$E$12,5,FALSE),0),2))</f>
        <v/>
      </c>
      <c r="J85">
        <f>IF($A85="","",IF($I85&gt;'Weekly Schedule'!$J20,"⛔ +"&amp;TEXT($I85-'Weekly Schedule'!$J20,"0")&amp;" h",""))</f>
        <v/>
      </c>
    </row>
    <row r="86">
      <c r="A86">
        <f>IF('Weekly Schedule'!$A21="","",'Weekly Schedule'!$A21)</f>
        <v/>
      </c>
      <c r="B86" s="54" t="n"/>
      <c r="C86" s="54" t="n"/>
      <c r="D86" s="54" t="n"/>
      <c r="E86" s="54" t="n"/>
      <c r="F86" s="54" t="n"/>
      <c r="G86" s="54" t="n"/>
      <c r="H86" s="54" t="n"/>
      <c r="I86" s="59">
        <f>IF($A86="","",ROUND(IFERROR(VLOOKUP($B86,Shifts!$A$5:$E$12,5,FALSE),0)+IFERROR(VLOOKUP($C86,Shifts!$A$5:$E$12,5,FALSE),0)+IFERROR(VLOOKUP($D86,Shifts!$A$5:$E$12,5,FALSE),0)+IFERROR(VLOOKUP($E86,Shifts!$A$5:$E$12,5,FALSE),0)+IFERROR(VLOOKUP($F86,Shifts!$A$5:$E$12,5,FALSE),0)+IFERROR(VLOOKUP($G86,Shifts!$A$5:$E$12,5,FALSE),0)+IFERROR(VLOOKUP($H86,Shifts!$A$5:$E$12,5,FALSE),0),2))</f>
        <v/>
      </c>
      <c r="J86">
        <f>IF($A86="","",IF($I86&gt;'Weekly Schedule'!$J21,"⛔ +"&amp;TEXT($I86-'Weekly Schedule'!$J21,"0")&amp;" h",""))</f>
        <v/>
      </c>
    </row>
    <row r="87">
      <c r="A87">
        <f>IF('Weekly Schedule'!$A22="","",'Weekly Schedule'!$A22)</f>
        <v/>
      </c>
      <c r="B87" s="54" t="n"/>
      <c r="C87" s="54" t="n"/>
      <c r="D87" s="54" t="n"/>
      <c r="E87" s="54" t="n"/>
      <c r="F87" s="54" t="n"/>
      <c r="G87" s="54" t="n"/>
      <c r="H87" s="54" t="n"/>
      <c r="I87" s="59">
        <f>IF($A87="","",ROUND(IFERROR(VLOOKUP($B87,Shifts!$A$5:$E$12,5,FALSE),0)+IFERROR(VLOOKUP($C87,Shifts!$A$5:$E$12,5,FALSE),0)+IFERROR(VLOOKUP($D87,Shifts!$A$5:$E$12,5,FALSE),0)+IFERROR(VLOOKUP($E87,Shifts!$A$5:$E$12,5,FALSE),0)+IFERROR(VLOOKUP($F87,Shifts!$A$5:$E$12,5,FALSE),0)+IFERROR(VLOOKUP($G87,Shifts!$A$5:$E$12,5,FALSE),0)+IFERROR(VLOOKUP($H87,Shifts!$A$5:$E$12,5,FALSE),0),2))</f>
        <v/>
      </c>
      <c r="J87">
        <f>IF($A87="","",IF($I87&gt;'Weekly Schedule'!$J22,"⛔ +"&amp;TEXT($I87-'Weekly Schedule'!$J22,"0")&amp;" h",""))</f>
        <v/>
      </c>
    </row>
    <row r="88">
      <c r="A88">
        <f>IF('Weekly Schedule'!$A23="","",'Weekly Schedule'!$A23)</f>
        <v/>
      </c>
      <c r="B88" s="54" t="n"/>
      <c r="C88" s="54" t="n"/>
      <c r="D88" s="54" t="n"/>
      <c r="E88" s="54" t="n"/>
      <c r="F88" s="54" t="n"/>
      <c r="G88" s="54" t="n"/>
      <c r="H88" s="54" t="n"/>
      <c r="I88" s="59">
        <f>IF($A88="","",ROUND(IFERROR(VLOOKUP($B88,Shifts!$A$5:$E$12,5,FALSE),0)+IFERROR(VLOOKUP($C88,Shifts!$A$5:$E$12,5,FALSE),0)+IFERROR(VLOOKUP($D88,Shifts!$A$5:$E$12,5,FALSE),0)+IFERROR(VLOOKUP($E88,Shifts!$A$5:$E$12,5,FALSE),0)+IFERROR(VLOOKUP($F88,Shifts!$A$5:$E$12,5,FALSE),0)+IFERROR(VLOOKUP($G88,Shifts!$A$5:$E$12,5,FALSE),0)+IFERROR(VLOOKUP($H88,Shifts!$A$5:$E$12,5,FALSE),0),2))</f>
        <v/>
      </c>
      <c r="J88">
        <f>IF($A88="","",IF($I88&gt;'Weekly Schedule'!$J23,"⛔ +"&amp;TEXT($I88-'Weekly Schedule'!$J23,"0")&amp;" h",""))</f>
        <v/>
      </c>
    </row>
    <row r="89">
      <c r="A89">
        <f>IF('Weekly Schedule'!$A24="","",'Weekly Schedule'!$A24)</f>
        <v/>
      </c>
      <c r="B89" s="54" t="n"/>
      <c r="C89" s="54" t="n"/>
      <c r="D89" s="54" t="n"/>
      <c r="E89" s="54" t="n"/>
      <c r="F89" s="54" t="n"/>
      <c r="G89" s="54" t="n"/>
      <c r="H89" s="54" t="n"/>
      <c r="I89" s="59">
        <f>IF($A89="","",ROUND(IFERROR(VLOOKUP($B89,Shifts!$A$5:$E$12,5,FALSE),0)+IFERROR(VLOOKUP($C89,Shifts!$A$5:$E$12,5,FALSE),0)+IFERROR(VLOOKUP($D89,Shifts!$A$5:$E$12,5,FALSE),0)+IFERROR(VLOOKUP($E89,Shifts!$A$5:$E$12,5,FALSE),0)+IFERROR(VLOOKUP($F89,Shifts!$A$5:$E$12,5,FALSE),0)+IFERROR(VLOOKUP($G89,Shifts!$A$5:$E$12,5,FALSE),0)+IFERROR(VLOOKUP($H89,Shifts!$A$5:$E$12,5,FALSE),0),2))</f>
        <v/>
      </c>
      <c r="J89">
        <f>IF($A89="","",IF($I89&gt;'Weekly Schedule'!$J24,"⛔ +"&amp;TEXT($I89-'Weekly Schedule'!$J24,"0")&amp;" h",""))</f>
        <v/>
      </c>
    </row>
    <row r="90">
      <c r="A90">
        <f>IF('Weekly Schedule'!$A25="","",'Weekly Schedule'!$A25)</f>
        <v/>
      </c>
      <c r="B90" s="54" t="n"/>
      <c r="C90" s="54" t="n"/>
      <c r="D90" s="54" t="n"/>
      <c r="E90" s="54" t="n"/>
      <c r="F90" s="54" t="n"/>
      <c r="G90" s="54" t="n"/>
      <c r="H90" s="54" t="n"/>
      <c r="I90" s="59">
        <f>IF($A90="","",ROUND(IFERROR(VLOOKUP($B90,Shifts!$A$5:$E$12,5,FALSE),0)+IFERROR(VLOOKUP($C90,Shifts!$A$5:$E$12,5,FALSE),0)+IFERROR(VLOOKUP($D90,Shifts!$A$5:$E$12,5,FALSE),0)+IFERROR(VLOOKUP($E90,Shifts!$A$5:$E$12,5,FALSE),0)+IFERROR(VLOOKUP($F90,Shifts!$A$5:$E$12,5,FALSE),0)+IFERROR(VLOOKUP($G90,Shifts!$A$5:$E$12,5,FALSE),0)+IFERROR(VLOOKUP($H90,Shifts!$A$5:$E$12,5,FALSE),0),2))</f>
        <v/>
      </c>
      <c r="J90">
        <f>IF($A90="","",IF($I90&gt;'Weekly Schedule'!$J25,"⛔ +"&amp;TEXT($I90-'Weekly Schedule'!$J25,"0")&amp;" h",""))</f>
        <v/>
      </c>
    </row>
    <row r="91">
      <c r="A91">
        <f>IF('Weekly Schedule'!$A26="","",'Weekly Schedule'!$A26)</f>
        <v/>
      </c>
      <c r="B91" s="54" t="n"/>
      <c r="C91" s="54" t="n"/>
      <c r="D91" s="54" t="n"/>
      <c r="E91" s="54" t="n"/>
      <c r="F91" s="54" t="n"/>
      <c r="G91" s="54" t="n"/>
      <c r="H91" s="54" t="n"/>
      <c r="I91" s="59">
        <f>IF($A91="","",ROUND(IFERROR(VLOOKUP($B91,Shifts!$A$5:$E$12,5,FALSE),0)+IFERROR(VLOOKUP($C91,Shifts!$A$5:$E$12,5,FALSE),0)+IFERROR(VLOOKUP($D91,Shifts!$A$5:$E$12,5,FALSE),0)+IFERROR(VLOOKUP($E91,Shifts!$A$5:$E$12,5,FALSE),0)+IFERROR(VLOOKUP($F91,Shifts!$A$5:$E$12,5,FALSE),0)+IFERROR(VLOOKUP($G91,Shifts!$A$5:$E$12,5,FALSE),0)+IFERROR(VLOOKUP($H91,Shifts!$A$5:$E$12,5,FALSE),0),2))</f>
        <v/>
      </c>
      <c r="J91">
        <f>IF($A91="","",IF($I91&gt;'Weekly Schedule'!$J26,"⛔ +"&amp;TEXT($I91-'Weekly Schedule'!$J26,"0")&amp;" h",""))</f>
        <v/>
      </c>
    </row>
    <row r="92">
      <c r="A92">
        <f>IF('Weekly Schedule'!$A27="","",'Weekly Schedule'!$A27)</f>
        <v/>
      </c>
      <c r="B92" s="54" t="n"/>
      <c r="C92" s="54" t="n"/>
      <c r="D92" s="54" t="n"/>
      <c r="E92" s="54" t="n"/>
      <c r="F92" s="54" t="n"/>
      <c r="G92" s="54" t="n"/>
      <c r="H92" s="54" t="n"/>
      <c r="I92" s="59">
        <f>IF($A92="","",ROUND(IFERROR(VLOOKUP($B92,Shifts!$A$5:$E$12,5,FALSE),0)+IFERROR(VLOOKUP($C92,Shifts!$A$5:$E$12,5,FALSE),0)+IFERROR(VLOOKUP($D92,Shifts!$A$5:$E$12,5,FALSE),0)+IFERROR(VLOOKUP($E92,Shifts!$A$5:$E$12,5,FALSE),0)+IFERROR(VLOOKUP($F92,Shifts!$A$5:$E$12,5,FALSE),0)+IFERROR(VLOOKUP($G92,Shifts!$A$5:$E$12,5,FALSE),0)+IFERROR(VLOOKUP($H92,Shifts!$A$5:$E$12,5,FALSE),0),2))</f>
        <v/>
      </c>
      <c r="J92">
        <f>IF($A92="","",IF($I92&gt;'Weekly Schedule'!$J27,"⛔ +"&amp;TEXT($I92-'Weekly Schedule'!$J27,"0")&amp;" h",""))</f>
        <v/>
      </c>
    </row>
    <row r="93">
      <c r="A93">
        <f>IF('Weekly Schedule'!$A28="","",'Weekly Schedule'!$A28)</f>
        <v/>
      </c>
      <c r="B93" s="54" t="n"/>
      <c r="C93" s="54" t="n"/>
      <c r="D93" s="54" t="n"/>
      <c r="E93" s="54" t="n"/>
      <c r="F93" s="54" t="n"/>
      <c r="G93" s="54" t="n"/>
      <c r="H93" s="54" t="n"/>
      <c r="I93" s="59">
        <f>IF($A93="","",ROUND(IFERROR(VLOOKUP($B93,Shifts!$A$5:$E$12,5,FALSE),0)+IFERROR(VLOOKUP($C93,Shifts!$A$5:$E$12,5,FALSE),0)+IFERROR(VLOOKUP($D93,Shifts!$A$5:$E$12,5,FALSE),0)+IFERROR(VLOOKUP($E93,Shifts!$A$5:$E$12,5,FALSE),0)+IFERROR(VLOOKUP($F93,Shifts!$A$5:$E$12,5,FALSE),0)+IFERROR(VLOOKUP($G93,Shifts!$A$5:$E$12,5,FALSE),0)+IFERROR(VLOOKUP($H93,Shifts!$A$5:$E$12,5,FALSE),0),2))</f>
        <v/>
      </c>
      <c r="J93">
        <f>IF($A93="","",IF($I93&gt;'Weekly Schedule'!$J28,"⛔ +"&amp;TEXT($I93-'Weekly Schedule'!$J28,"0")&amp;" h",""))</f>
        <v/>
      </c>
    </row>
    <row r="94">
      <c r="A94">
        <f>IF('Weekly Schedule'!$A29="","",'Weekly Schedule'!$A29)</f>
        <v/>
      </c>
      <c r="B94" s="54" t="n"/>
      <c r="C94" s="54" t="n"/>
      <c r="D94" s="54" t="n"/>
      <c r="E94" s="54" t="n"/>
      <c r="F94" s="54" t="n"/>
      <c r="G94" s="54" t="n"/>
      <c r="H94" s="54" t="n"/>
      <c r="I94" s="59">
        <f>IF($A94="","",ROUND(IFERROR(VLOOKUP($B94,Shifts!$A$5:$E$12,5,FALSE),0)+IFERROR(VLOOKUP($C94,Shifts!$A$5:$E$12,5,FALSE),0)+IFERROR(VLOOKUP($D94,Shifts!$A$5:$E$12,5,FALSE),0)+IFERROR(VLOOKUP($E94,Shifts!$A$5:$E$12,5,FALSE),0)+IFERROR(VLOOKUP($F94,Shifts!$A$5:$E$12,5,FALSE),0)+IFERROR(VLOOKUP($G94,Shifts!$A$5:$E$12,5,FALSE),0)+IFERROR(VLOOKUP($H94,Shifts!$A$5:$E$12,5,FALSE),0),2))</f>
        <v/>
      </c>
      <c r="J94">
        <f>IF($A94="","",IF($I94&gt;'Weekly Schedule'!$J29,"⛔ +"&amp;TEXT($I94-'Weekly Schedule'!$J29,"0")&amp;" h",""))</f>
        <v/>
      </c>
    </row>
    <row r="95">
      <c r="A95">
        <f>IF('Weekly Schedule'!$A30="","",'Weekly Schedule'!$A30)</f>
        <v/>
      </c>
      <c r="B95" s="54" t="n"/>
      <c r="C95" s="54" t="n"/>
      <c r="D95" s="54" t="n"/>
      <c r="E95" s="54" t="n"/>
      <c r="F95" s="54" t="n"/>
      <c r="G95" s="54" t="n"/>
      <c r="H95" s="54" t="n"/>
      <c r="I95" s="59">
        <f>IF($A95="","",ROUND(IFERROR(VLOOKUP($B95,Shifts!$A$5:$E$12,5,FALSE),0)+IFERROR(VLOOKUP($C95,Shifts!$A$5:$E$12,5,FALSE),0)+IFERROR(VLOOKUP($D95,Shifts!$A$5:$E$12,5,FALSE),0)+IFERROR(VLOOKUP($E95,Shifts!$A$5:$E$12,5,FALSE),0)+IFERROR(VLOOKUP($F95,Shifts!$A$5:$E$12,5,FALSE),0)+IFERROR(VLOOKUP($G95,Shifts!$A$5:$E$12,5,FALSE),0)+IFERROR(VLOOKUP($H95,Shifts!$A$5:$E$12,5,FALSE),0),2))</f>
        <v/>
      </c>
      <c r="J95">
        <f>IF($A95="","",IF($I95&gt;'Weekly Schedule'!$J30,"⛔ +"&amp;TEXT($I95-'Weekly Schedule'!$J30,"0")&amp;" h",""))</f>
        <v/>
      </c>
    </row>
    <row r="96">
      <c r="A96">
        <f>IF('Weekly Schedule'!$A31="","",'Weekly Schedule'!$A31)</f>
        <v/>
      </c>
      <c r="B96" s="54" t="n"/>
      <c r="C96" s="54" t="n"/>
      <c r="D96" s="54" t="n"/>
      <c r="E96" s="54" t="n"/>
      <c r="F96" s="54" t="n"/>
      <c r="G96" s="54" t="n"/>
      <c r="H96" s="54" t="n"/>
      <c r="I96" s="59">
        <f>IF($A96="","",ROUND(IFERROR(VLOOKUP($B96,Shifts!$A$5:$E$12,5,FALSE),0)+IFERROR(VLOOKUP($C96,Shifts!$A$5:$E$12,5,FALSE),0)+IFERROR(VLOOKUP($D96,Shifts!$A$5:$E$12,5,FALSE),0)+IFERROR(VLOOKUP($E96,Shifts!$A$5:$E$12,5,FALSE),0)+IFERROR(VLOOKUP($F96,Shifts!$A$5:$E$12,5,FALSE),0)+IFERROR(VLOOKUP($G96,Shifts!$A$5:$E$12,5,FALSE),0)+IFERROR(VLOOKUP($H96,Shifts!$A$5:$E$12,5,FALSE),0),2))</f>
        <v/>
      </c>
      <c r="J96">
        <f>IF($A96="","",IF($I96&gt;'Weekly Schedule'!$J31,"⛔ +"&amp;TEXT($I96-'Weekly Schedule'!$J31,"0")&amp;" h",""))</f>
        <v/>
      </c>
    </row>
    <row r="97">
      <c r="A97">
        <f>IF('Weekly Schedule'!$A32="","",'Weekly Schedule'!$A32)</f>
        <v/>
      </c>
      <c r="B97" s="54" t="n"/>
      <c r="C97" s="54" t="n"/>
      <c r="D97" s="54" t="n"/>
      <c r="E97" s="54" t="n"/>
      <c r="F97" s="54" t="n"/>
      <c r="G97" s="54" t="n"/>
      <c r="H97" s="54" t="n"/>
      <c r="I97" s="59">
        <f>IF($A97="","",ROUND(IFERROR(VLOOKUP($B97,Shifts!$A$5:$E$12,5,FALSE),0)+IFERROR(VLOOKUP($C97,Shifts!$A$5:$E$12,5,FALSE),0)+IFERROR(VLOOKUP($D97,Shifts!$A$5:$E$12,5,FALSE),0)+IFERROR(VLOOKUP($E97,Shifts!$A$5:$E$12,5,FALSE),0)+IFERROR(VLOOKUP($F97,Shifts!$A$5:$E$12,5,FALSE),0)+IFERROR(VLOOKUP($G97,Shifts!$A$5:$E$12,5,FALSE),0)+IFERROR(VLOOKUP($H97,Shifts!$A$5:$E$12,5,FALSE),0),2))</f>
        <v/>
      </c>
      <c r="J97">
        <f>IF($A97="","",IF($I97&gt;'Weekly Schedule'!$J32,"⛔ +"&amp;TEXT($I97-'Weekly Schedule'!$J32,"0")&amp;" h",""))</f>
        <v/>
      </c>
    </row>
    <row r="98">
      <c r="A98">
        <f>IF('Weekly Schedule'!$A33="","",'Weekly Schedule'!$A33)</f>
        <v/>
      </c>
      <c r="B98" s="54" t="n"/>
      <c r="C98" s="54" t="n"/>
      <c r="D98" s="54" t="n"/>
      <c r="E98" s="54" t="n"/>
      <c r="F98" s="54" t="n"/>
      <c r="G98" s="54" t="n"/>
      <c r="H98" s="54" t="n"/>
      <c r="I98" s="59">
        <f>IF($A98="","",ROUND(IFERROR(VLOOKUP($B98,Shifts!$A$5:$E$12,5,FALSE),0)+IFERROR(VLOOKUP($C98,Shifts!$A$5:$E$12,5,FALSE),0)+IFERROR(VLOOKUP($D98,Shifts!$A$5:$E$12,5,FALSE),0)+IFERROR(VLOOKUP($E98,Shifts!$A$5:$E$12,5,FALSE),0)+IFERROR(VLOOKUP($F98,Shifts!$A$5:$E$12,5,FALSE),0)+IFERROR(VLOOKUP($G98,Shifts!$A$5:$E$12,5,FALSE),0)+IFERROR(VLOOKUP($H98,Shifts!$A$5:$E$12,5,FALSE),0),2))</f>
        <v/>
      </c>
      <c r="J98">
        <f>IF($A98="","",IF($I98&gt;'Weekly Schedule'!$J33,"⛔ +"&amp;TEXT($I98-'Weekly Schedule'!$J33,"0")&amp;" h",""))</f>
        <v/>
      </c>
    </row>
    <row r="99">
      <c r="A99">
        <f>IF('Weekly Schedule'!$A34="","",'Weekly Schedule'!$A34)</f>
        <v/>
      </c>
      <c r="B99" s="54" t="n"/>
      <c r="C99" s="54" t="n"/>
      <c r="D99" s="54" t="n"/>
      <c r="E99" s="54" t="n"/>
      <c r="F99" s="54" t="n"/>
      <c r="G99" s="54" t="n"/>
      <c r="H99" s="54" t="n"/>
      <c r="I99" s="59">
        <f>IF($A99="","",ROUND(IFERROR(VLOOKUP($B99,Shifts!$A$5:$E$12,5,FALSE),0)+IFERROR(VLOOKUP($C99,Shifts!$A$5:$E$12,5,FALSE),0)+IFERROR(VLOOKUP($D99,Shifts!$A$5:$E$12,5,FALSE),0)+IFERROR(VLOOKUP($E99,Shifts!$A$5:$E$12,5,FALSE),0)+IFERROR(VLOOKUP($F99,Shifts!$A$5:$E$12,5,FALSE),0)+IFERROR(VLOOKUP($G99,Shifts!$A$5:$E$12,5,FALSE),0)+IFERROR(VLOOKUP($H99,Shifts!$A$5:$E$12,5,FALSE),0),2))</f>
        <v/>
      </c>
      <c r="J99">
        <f>IF($A99="","",IF($I99&gt;'Weekly Schedule'!$J34,"⛔ +"&amp;TEXT($I99-'Weekly Schedule'!$J34,"0")&amp;" h",""))</f>
        <v/>
      </c>
    </row>
    <row r="100">
      <c r="A100">
        <f>IF('Weekly Schedule'!$A35="","",'Weekly Schedule'!$A35)</f>
        <v/>
      </c>
      <c r="B100" s="54" t="n"/>
      <c r="C100" s="54" t="n"/>
      <c r="D100" s="54" t="n"/>
      <c r="E100" s="54" t="n"/>
      <c r="F100" s="54" t="n"/>
      <c r="G100" s="54" t="n"/>
      <c r="H100" s="54" t="n"/>
      <c r="I100" s="59">
        <f>IF($A100="","",ROUND(IFERROR(VLOOKUP($B100,Shifts!$A$5:$E$12,5,FALSE),0)+IFERROR(VLOOKUP($C100,Shifts!$A$5:$E$12,5,FALSE),0)+IFERROR(VLOOKUP($D100,Shifts!$A$5:$E$12,5,FALSE),0)+IFERROR(VLOOKUP($E100,Shifts!$A$5:$E$12,5,FALSE),0)+IFERROR(VLOOKUP($F100,Shifts!$A$5:$E$12,5,FALSE),0)+IFERROR(VLOOKUP($G100,Shifts!$A$5:$E$12,5,FALSE),0)+IFERROR(VLOOKUP($H100,Shifts!$A$5:$E$12,5,FALSE),0),2))</f>
        <v/>
      </c>
      <c r="J100">
        <f>IF($A100="","",IF($I100&gt;'Weekly Schedule'!$J35,"⛔ +"&amp;TEXT($I100-'Weekly Schedule'!$J35,"0")&amp;" h",""))</f>
        <v/>
      </c>
    </row>
    <row r="101">
      <c r="I101" s="59" t="n"/>
    </row>
    <row r="102" ht="20" customHeight="1">
      <c r="A102" s="60" t="inlineStr">
        <is>
          <t>WEEK 4</t>
        </is>
      </c>
    </row>
    <row r="103" ht="30" customHeight="1">
      <c r="A103" s="27" t="inlineStr">
        <is>
          <t>Employee</t>
        </is>
      </c>
      <c r="B103" s="27" t="inlineStr">
        <is>
          <t>Monday</t>
        </is>
      </c>
      <c r="C103" s="27" t="inlineStr">
        <is>
          <t>Tuesday</t>
        </is>
      </c>
      <c r="D103" s="27" t="inlineStr">
        <is>
          <t>Wednesday</t>
        </is>
      </c>
      <c r="E103" s="27" t="inlineStr">
        <is>
          <t>Thursday</t>
        </is>
      </c>
      <c r="F103" s="27" t="inlineStr">
        <is>
          <t>Friday</t>
        </is>
      </c>
      <c r="G103" s="27" t="inlineStr">
        <is>
          <t>Saturday</t>
        </is>
      </c>
      <c r="H103" s="27" t="inlineStr">
        <is>
          <t>Sunday</t>
        </is>
      </c>
      <c r="I103" s="27" t="inlineStr">
        <is>
          <t>Total Hours</t>
        </is>
      </c>
      <c r="J103" s="27" t="inlineStr">
        <is>
          <t>Weekly alert</t>
        </is>
      </c>
    </row>
    <row r="104">
      <c r="A104">
        <f>IF('Weekly Schedule'!$A6="","",'Weekly Schedule'!$A6)</f>
        <v/>
      </c>
      <c r="B104" s="54" t="n"/>
      <c r="C104" s="54" t="n"/>
      <c r="D104" s="54" t="n"/>
      <c r="E104" s="54" t="n"/>
      <c r="F104" s="54" t="n"/>
      <c r="G104" s="54" t="n"/>
      <c r="H104" s="54" t="n"/>
      <c r="I104" s="59">
        <f>IF($A104="","",ROUND(IFERROR(VLOOKUP($B104,Shifts!$A$5:$E$12,5,FALSE),0)+IFERROR(VLOOKUP($C104,Shifts!$A$5:$E$12,5,FALSE),0)+IFERROR(VLOOKUP($D104,Shifts!$A$5:$E$12,5,FALSE),0)+IFERROR(VLOOKUP($E104,Shifts!$A$5:$E$12,5,FALSE),0)+IFERROR(VLOOKUP($F104,Shifts!$A$5:$E$12,5,FALSE),0)+IFERROR(VLOOKUP($G104,Shifts!$A$5:$E$12,5,FALSE),0)+IFERROR(VLOOKUP($H104,Shifts!$A$5:$E$12,5,FALSE),0),2))</f>
        <v/>
      </c>
      <c r="J104">
        <f>IF($A104="","",IF($I104&gt;'Weekly Schedule'!$J6,"⛔ +"&amp;TEXT($I104-'Weekly Schedule'!$J6,"0")&amp;" h",""))</f>
        <v/>
      </c>
    </row>
    <row r="105">
      <c r="A105">
        <f>IF('Weekly Schedule'!$A7="","",'Weekly Schedule'!$A7)</f>
        <v/>
      </c>
      <c r="B105" s="54" t="n"/>
      <c r="C105" s="54" t="n"/>
      <c r="D105" s="54" t="n"/>
      <c r="E105" s="54" t="n"/>
      <c r="F105" s="54" t="n"/>
      <c r="G105" s="54" t="n"/>
      <c r="H105" s="54" t="n"/>
      <c r="I105" s="59">
        <f>IF($A105="","",ROUND(IFERROR(VLOOKUP($B105,Shifts!$A$5:$E$12,5,FALSE),0)+IFERROR(VLOOKUP($C105,Shifts!$A$5:$E$12,5,FALSE),0)+IFERROR(VLOOKUP($D105,Shifts!$A$5:$E$12,5,FALSE),0)+IFERROR(VLOOKUP($E105,Shifts!$A$5:$E$12,5,FALSE),0)+IFERROR(VLOOKUP($F105,Shifts!$A$5:$E$12,5,FALSE),0)+IFERROR(VLOOKUP($G105,Shifts!$A$5:$E$12,5,FALSE),0)+IFERROR(VLOOKUP($H105,Shifts!$A$5:$E$12,5,FALSE),0),2))</f>
        <v/>
      </c>
      <c r="J105">
        <f>IF($A105="","",IF($I105&gt;'Weekly Schedule'!$J7,"⛔ +"&amp;TEXT($I105-'Weekly Schedule'!$J7,"0")&amp;" h",""))</f>
        <v/>
      </c>
    </row>
    <row r="106">
      <c r="A106">
        <f>IF('Weekly Schedule'!$A8="","",'Weekly Schedule'!$A8)</f>
        <v/>
      </c>
      <c r="B106" s="54" t="n"/>
      <c r="C106" s="54" t="n"/>
      <c r="D106" s="54" t="n"/>
      <c r="E106" s="54" t="n"/>
      <c r="F106" s="54" t="n"/>
      <c r="G106" s="54" t="n"/>
      <c r="H106" s="54" t="n"/>
      <c r="I106" s="59">
        <f>IF($A106="","",ROUND(IFERROR(VLOOKUP($B106,Shifts!$A$5:$E$12,5,FALSE),0)+IFERROR(VLOOKUP($C106,Shifts!$A$5:$E$12,5,FALSE),0)+IFERROR(VLOOKUP($D106,Shifts!$A$5:$E$12,5,FALSE),0)+IFERROR(VLOOKUP($E106,Shifts!$A$5:$E$12,5,FALSE),0)+IFERROR(VLOOKUP($F106,Shifts!$A$5:$E$12,5,FALSE),0)+IFERROR(VLOOKUP($G106,Shifts!$A$5:$E$12,5,FALSE),0)+IFERROR(VLOOKUP($H106,Shifts!$A$5:$E$12,5,FALSE),0),2))</f>
        <v/>
      </c>
      <c r="J106">
        <f>IF($A106="","",IF($I106&gt;'Weekly Schedule'!$J8,"⛔ +"&amp;TEXT($I106-'Weekly Schedule'!$J8,"0")&amp;" h",""))</f>
        <v/>
      </c>
    </row>
    <row r="107">
      <c r="A107">
        <f>IF('Weekly Schedule'!$A9="","",'Weekly Schedule'!$A9)</f>
        <v/>
      </c>
      <c r="B107" s="54" t="n"/>
      <c r="C107" s="54" t="n"/>
      <c r="D107" s="54" t="n"/>
      <c r="E107" s="54" t="n"/>
      <c r="F107" s="54" t="n"/>
      <c r="G107" s="54" t="n"/>
      <c r="H107" s="54" t="n"/>
      <c r="I107" s="59">
        <f>IF($A107="","",ROUND(IFERROR(VLOOKUP($B107,Shifts!$A$5:$E$12,5,FALSE),0)+IFERROR(VLOOKUP($C107,Shifts!$A$5:$E$12,5,FALSE),0)+IFERROR(VLOOKUP($D107,Shifts!$A$5:$E$12,5,FALSE),0)+IFERROR(VLOOKUP($E107,Shifts!$A$5:$E$12,5,FALSE),0)+IFERROR(VLOOKUP($F107,Shifts!$A$5:$E$12,5,FALSE),0)+IFERROR(VLOOKUP($G107,Shifts!$A$5:$E$12,5,FALSE),0)+IFERROR(VLOOKUP($H107,Shifts!$A$5:$E$12,5,FALSE),0),2))</f>
        <v/>
      </c>
      <c r="J107">
        <f>IF($A107="","",IF($I107&gt;'Weekly Schedule'!$J9,"⛔ +"&amp;TEXT($I107-'Weekly Schedule'!$J9,"0")&amp;" h",""))</f>
        <v/>
      </c>
    </row>
    <row r="108">
      <c r="A108">
        <f>IF('Weekly Schedule'!$A10="","",'Weekly Schedule'!$A10)</f>
        <v/>
      </c>
      <c r="B108" s="54" t="n"/>
      <c r="C108" s="54" t="n"/>
      <c r="D108" s="54" t="n"/>
      <c r="E108" s="54" t="n"/>
      <c r="F108" s="54" t="n"/>
      <c r="G108" s="54" t="n"/>
      <c r="H108" s="54" t="n"/>
      <c r="I108" s="59">
        <f>IF($A108="","",ROUND(IFERROR(VLOOKUP($B108,Shifts!$A$5:$E$12,5,FALSE),0)+IFERROR(VLOOKUP($C108,Shifts!$A$5:$E$12,5,FALSE),0)+IFERROR(VLOOKUP($D108,Shifts!$A$5:$E$12,5,FALSE),0)+IFERROR(VLOOKUP($E108,Shifts!$A$5:$E$12,5,FALSE),0)+IFERROR(VLOOKUP($F108,Shifts!$A$5:$E$12,5,FALSE),0)+IFERROR(VLOOKUP($G108,Shifts!$A$5:$E$12,5,FALSE),0)+IFERROR(VLOOKUP($H108,Shifts!$A$5:$E$12,5,FALSE),0),2))</f>
        <v/>
      </c>
      <c r="J108">
        <f>IF($A108="","",IF($I108&gt;'Weekly Schedule'!$J10,"⛔ +"&amp;TEXT($I108-'Weekly Schedule'!$J10,"0")&amp;" h",""))</f>
        <v/>
      </c>
    </row>
    <row r="109">
      <c r="A109">
        <f>IF('Weekly Schedule'!$A11="","",'Weekly Schedule'!$A11)</f>
        <v/>
      </c>
      <c r="B109" s="54" t="n"/>
      <c r="C109" s="54" t="n"/>
      <c r="D109" s="54" t="n"/>
      <c r="E109" s="54" t="n"/>
      <c r="F109" s="54" t="n"/>
      <c r="G109" s="54" t="n"/>
      <c r="H109" s="54" t="n"/>
      <c r="I109" s="59">
        <f>IF($A109="","",ROUND(IFERROR(VLOOKUP($B109,Shifts!$A$5:$E$12,5,FALSE),0)+IFERROR(VLOOKUP($C109,Shifts!$A$5:$E$12,5,FALSE),0)+IFERROR(VLOOKUP($D109,Shifts!$A$5:$E$12,5,FALSE),0)+IFERROR(VLOOKUP($E109,Shifts!$A$5:$E$12,5,FALSE),0)+IFERROR(VLOOKUP($F109,Shifts!$A$5:$E$12,5,FALSE),0)+IFERROR(VLOOKUP($G109,Shifts!$A$5:$E$12,5,FALSE),0)+IFERROR(VLOOKUP($H109,Shifts!$A$5:$E$12,5,FALSE),0),2))</f>
        <v/>
      </c>
      <c r="J109">
        <f>IF($A109="","",IF($I109&gt;'Weekly Schedule'!$J11,"⛔ +"&amp;TEXT($I109-'Weekly Schedule'!$J11,"0")&amp;" h",""))</f>
        <v/>
      </c>
    </row>
    <row r="110">
      <c r="A110">
        <f>IF('Weekly Schedule'!$A12="","",'Weekly Schedule'!$A12)</f>
        <v/>
      </c>
      <c r="B110" s="54" t="n"/>
      <c r="C110" s="54" t="n"/>
      <c r="D110" s="54" t="n"/>
      <c r="E110" s="54" t="n"/>
      <c r="F110" s="54" t="n"/>
      <c r="G110" s="54" t="n"/>
      <c r="H110" s="54" t="n"/>
      <c r="I110" s="59">
        <f>IF($A110="","",ROUND(IFERROR(VLOOKUP($B110,Shifts!$A$5:$E$12,5,FALSE),0)+IFERROR(VLOOKUP($C110,Shifts!$A$5:$E$12,5,FALSE),0)+IFERROR(VLOOKUP($D110,Shifts!$A$5:$E$12,5,FALSE),0)+IFERROR(VLOOKUP($E110,Shifts!$A$5:$E$12,5,FALSE),0)+IFERROR(VLOOKUP($F110,Shifts!$A$5:$E$12,5,FALSE),0)+IFERROR(VLOOKUP($G110,Shifts!$A$5:$E$12,5,FALSE),0)+IFERROR(VLOOKUP($H110,Shifts!$A$5:$E$12,5,FALSE),0),2))</f>
        <v/>
      </c>
      <c r="J110">
        <f>IF($A110="","",IF($I110&gt;'Weekly Schedule'!$J12,"⛔ +"&amp;TEXT($I110-'Weekly Schedule'!$J12,"0")&amp;" h",""))</f>
        <v/>
      </c>
    </row>
    <row r="111">
      <c r="A111">
        <f>IF('Weekly Schedule'!$A13="","",'Weekly Schedule'!$A13)</f>
        <v/>
      </c>
      <c r="B111" s="54" t="n"/>
      <c r="C111" s="54" t="n"/>
      <c r="D111" s="54" t="n"/>
      <c r="E111" s="54" t="n"/>
      <c r="F111" s="54" t="n"/>
      <c r="G111" s="54" t="n"/>
      <c r="H111" s="54" t="n"/>
      <c r="I111" s="59">
        <f>IF($A111="","",ROUND(IFERROR(VLOOKUP($B111,Shifts!$A$5:$E$12,5,FALSE),0)+IFERROR(VLOOKUP($C111,Shifts!$A$5:$E$12,5,FALSE),0)+IFERROR(VLOOKUP($D111,Shifts!$A$5:$E$12,5,FALSE),0)+IFERROR(VLOOKUP($E111,Shifts!$A$5:$E$12,5,FALSE),0)+IFERROR(VLOOKUP($F111,Shifts!$A$5:$E$12,5,FALSE),0)+IFERROR(VLOOKUP($G111,Shifts!$A$5:$E$12,5,FALSE),0)+IFERROR(VLOOKUP($H111,Shifts!$A$5:$E$12,5,FALSE),0),2))</f>
        <v/>
      </c>
      <c r="J111">
        <f>IF($A111="","",IF($I111&gt;'Weekly Schedule'!$J13,"⛔ +"&amp;TEXT($I111-'Weekly Schedule'!$J13,"0")&amp;" h",""))</f>
        <v/>
      </c>
    </row>
    <row r="112">
      <c r="A112">
        <f>IF('Weekly Schedule'!$A14="","",'Weekly Schedule'!$A14)</f>
        <v/>
      </c>
      <c r="B112" s="54" t="n"/>
      <c r="C112" s="54" t="n"/>
      <c r="D112" s="54" t="n"/>
      <c r="E112" s="54" t="n"/>
      <c r="F112" s="54" t="n"/>
      <c r="G112" s="54" t="n"/>
      <c r="H112" s="54" t="n"/>
      <c r="I112" s="59">
        <f>IF($A112="","",ROUND(IFERROR(VLOOKUP($B112,Shifts!$A$5:$E$12,5,FALSE),0)+IFERROR(VLOOKUP($C112,Shifts!$A$5:$E$12,5,FALSE),0)+IFERROR(VLOOKUP($D112,Shifts!$A$5:$E$12,5,FALSE),0)+IFERROR(VLOOKUP($E112,Shifts!$A$5:$E$12,5,FALSE),0)+IFERROR(VLOOKUP($F112,Shifts!$A$5:$E$12,5,FALSE),0)+IFERROR(VLOOKUP($G112,Shifts!$A$5:$E$12,5,FALSE),0)+IFERROR(VLOOKUP($H112,Shifts!$A$5:$E$12,5,FALSE),0),2))</f>
        <v/>
      </c>
      <c r="J112">
        <f>IF($A112="","",IF($I112&gt;'Weekly Schedule'!$J14,"⛔ +"&amp;TEXT($I112-'Weekly Schedule'!$J14,"0")&amp;" h",""))</f>
        <v/>
      </c>
    </row>
    <row r="113">
      <c r="A113">
        <f>IF('Weekly Schedule'!$A15="","",'Weekly Schedule'!$A15)</f>
        <v/>
      </c>
      <c r="B113" s="54" t="n"/>
      <c r="C113" s="54" t="n"/>
      <c r="D113" s="54" t="n"/>
      <c r="E113" s="54" t="n"/>
      <c r="F113" s="54" t="n"/>
      <c r="G113" s="54" t="n"/>
      <c r="H113" s="54" t="n"/>
      <c r="I113" s="59">
        <f>IF($A113="","",ROUND(IFERROR(VLOOKUP($B113,Shifts!$A$5:$E$12,5,FALSE),0)+IFERROR(VLOOKUP($C113,Shifts!$A$5:$E$12,5,FALSE),0)+IFERROR(VLOOKUP($D113,Shifts!$A$5:$E$12,5,FALSE),0)+IFERROR(VLOOKUP($E113,Shifts!$A$5:$E$12,5,FALSE),0)+IFERROR(VLOOKUP($F113,Shifts!$A$5:$E$12,5,FALSE),0)+IFERROR(VLOOKUP($G113,Shifts!$A$5:$E$12,5,FALSE),0)+IFERROR(VLOOKUP($H113,Shifts!$A$5:$E$12,5,FALSE),0),2))</f>
        <v/>
      </c>
      <c r="J113">
        <f>IF($A113="","",IF($I113&gt;'Weekly Schedule'!$J15,"⛔ +"&amp;TEXT($I113-'Weekly Schedule'!$J15,"0")&amp;" h",""))</f>
        <v/>
      </c>
    </row>
    <row r="114">
      <c r="A114">
        <f>IF('Weekly Schedule'!$A16="","",'Weekly Schedule'!$A16)</f>
        <v/>
      </c>
      <c r="B114" s="54" t="n"/>
      <c r="C114" s="54" t="n"/>
      <c r="D114" s="54" t="n"/>
      <c r="E114" s="54" t="n"/>
      <c r="F114" s="54" t="n"/>
      <c r="G114" s="54" t="n"/>
      <c r="H114" s="54" t="n"/>
      <c r="I114" s="59">
        <f>IF($A114="","",ROUND(IFERROR(VLOOKUP($B114,Shifts!$A$5:$E$12,5,FALSE),0)+IFERROR(VLOOKUP($C114,Shifts!$A$5:$E$12,5,FALSE),0)+IFERROR(VLOOKUP($D114,Shifts!$A$5:$E$12,5,FALSE),0)+IFERROR(VLOOKUP($E114,Shifts!$A$5:$E$12,5,FALSE),0)+IFERROR(VLOOKUP($F114,Shifts!$A$5:$E$12,5,FALSE),0)+IFERROR(VLOOKUP($G114,Shifts!$A$5:$E$12,5,FALSE),0)+IFERROR(VLOOKUP($H114,Shifts!$A$5:$E$12,5,FALSE),0),2))</f>
        <v/>
      </c>
      <c r="J114">
        <f>IF($A114="","",IF($I114&gt;'Weekly Schedule'!$J16,"⛔ +"&amp;TEXT($I114-'Weekly Schedule'!$J16,"0")&amp;" h",""))</f>
        <v/>
      </c>
    </row>
    <row r="115">
      <c r="A115">
        <f>IF('Weekly Schedule'!$A17="","",'Weekly Schedule'!$A17)</f>
        <v/>
      </c>
      <c r="B115" s="54" t="n"/>
      <c r="C115" s="54" t="n"/>
      <c r="D115" s="54" t="n"/>
      <c r="E115" s="54" t="n"/>
      <c r="F115" s="54" t="n"/>
      <c r="G115" s="54" t="n"/>
      <c r="H115" s="54" t="n"/>
      <c r="I115" s="59">
        <f>IF($A115="","",ROUND(IFERROR(VLOOKUP($B115,Shifts!$A$5:$E$12,5,FALSE),0)+IFERROR(VLOOKUP($C115,Shifts!$A$5:$E$12,5,FALSE),0)+IFERROR(VLOOKUP($D115,Shifts!$A$5:$E$12,5,FALSE),0)+IFERROR(VLOOKUP($E115,Shifts!$A$5:$E$12,5,FALSE),0)+IFERROR(VLOOKUP($F115,Shifts!$A$5:$E$12,5,FALSE),0)+IFERROR(VLOOKUP($G115,Shifts!$A$5:$E$12,5,FALSE),0)+IFERROR(VLOOKUP($H115,Shifts!$A$5:$E$12,5,FALSE),0),2))</f>
        <v/>
      </c>
      <c r="J115">
        <f>IF($A115="","",IF($I115&gt;'Weekly Schedule'!$J17,"⛔ +"&amp;TEXT($I115-'Weekly Schedule'!$J17,"0")&amp;" h",""))</f>
        <v/>
      </c>
    </row>
    <row r="116">
      <c r="A116">
        <f>IF('Weekly Schedule'!$A18="","",'Weekly Schedule'!$A18)</f>
        <v/>
      </c>
      <c r="B116" s="54" t="n"/>
      <c r="C116" s="54" t="n"/>
      <c r="D116" s="54" t="n"/>
      <c r="E116" s="54" t="n"/>
      <c r="F116" s="54" t="n"/>
      <c r="G116" s="54" t="n"/>
      <c r="H116" s="54" t="n"/>
      <c r="I116" s="59">
        <f>IF($A116="","",ROUND(IFERROR(VLOOKUP($B116,Shifts!$A$5:$E$12,5,FALSE),0)+IFERROR(VLOOKUP($C116,Shifts!$A$5:$E$12,5,FALSE),0)+IFERROR(VLOOKUP($D116,Shifts!$A$5:$E$12,5,FALSE),0)+IFERROR(VLOOKUP($E116,Shifts!$A$5:$E$12,5,FALSE),0)+IFERROR(VLOOKUP($F116,Shifts!$A$5:$E$12,5,FALSE),0)+IFERROR(VLOOKUP($G116,Shifts!$A$5:$E$12,5,FALSE),0)+IFERROR(VLOOKUP($H116,Shifts!$A$5:$E$12,5,FALSE),0),2))</f>
        <v/>
      </c>
      <c r="J116">
        <f>IF($A116="","",IF($I116&gt;'Weekly Schedule'!$J18,"⛔ +"&amp;TEXT($I116-'Weekly Schedule'!$J18,"0")&amp;" h",""))</f>
        <v/>
      </c>
    </row>
    <row r="117">
      <c r="A117">
        <f>IF('Weekly Schedule'!$A19="","",'Weekly Schedule'!$A19)</f>
        <v/>
      </c>
      <c r="B117" s="54" t="n"/>
      <c r="C117" s="54" t="n"/>
      <c r="D117" s="54" t="n"/>
      <c r="E117" s="54" t="n"/>
      <c r="F117" s="54" t="n"/>
      <c r="G117" s="54" t="n"/>
      <c r="H117" s="54" t="n"/>
      <c r="I117" s="59">
        <f>IF($A117="","",ROUND(IFERROR(VLOOKUP($B117,Shifts!$A$5:$E$12,5,FALSE),0)+IFERROR(VLOOKUP($C117,Shifts!$A$5:$E$12,5,FALSE),0)+IFERROR(VLOOKUP($D117,Shifts!$A$5:$E$12,5,FALSE),0)+IFERROR(VLOOKUP($E117,Shifts!$A$5:$E$12,5,FALSE),0)+IFERROR(VLOOKUP($F117,Shifts!$A$5:$E$12,5,FALSE),0)+IFERROR(VLOOKUP($G117,Shifts!$A$5:$E$12,5,FALSE),0)+IFERROR(VLOOKUP($H117,Shifts!$A$5:$E$12,5,FALSE),0),2))</f>
        <v/>
      </c>
      <c r="J117">
        <f>IF($A117="","",IF($I117&gt;'Weekly Schedule'!$J19,"⛔ +"&amp;TEXT($I117-'Weekly Schedule'!$J19,"0")&amp;" h",""))</f>
        <v/>
      </c>
    </row>
    <row r="118">
      <c r="A118">
        <f>IF('Weekly Schedule'!$A20="","",'Weekly Schedule'!$A20)</f>
        <v/>
      </c>
      <c r="B118" s="54" t="n"/>
      <c r="C118" s="54" t="n"/>
      <c r="D118" s="54" t="n"/>
      <c r="E118" s="54" t="n"/>
      <c r="F118" s="54" t="n"/>
      <c r="G118" s="54" t="n"/>
      <c r="H118" s="54" t="n"/>
      <c r="I118" s="59">
        <f>IF($A118="","",ROUND(IFERROR(VLOOKUP($B118,Shifts!$A$5:$E$12,5,FALSE),0)+IFERROR(VLOOKUP($C118,Shifts!$A$5:$E$12,5,FALSE),0)+IFERROR(VLOOKUP($D118,Shifts!$A$5:$E$12,5,FALSE),0)+IFERROR(VLOOKUP($E118,Shifts!$A$5:$E$12,5,FALSE),0)+IFERROR(VLOOKUP($F118,Shifts!$A$5:$E$12,5,FALSE),0)+IFERROR(VLOOKUP($G118,Shifts!$A$5:$E$12,5,FALSE),0)+IFERROR(VLOOKUP($H118,Shifts!$A$5:$E$12,5,FALSE),0),2))</f>
        <v/>
      </c>
      <c r="J118">
        <f>IF($A118="","",IF($I118&gt;'Weekly Schedule'!$J20,"⛔ +"&amp;TEXT($I118-'Weekly Schedule'!$J20,"0")&amp;" h",""))</f>
        <v/>
      </c>
    </row>
    <row r="119">
      <c r="A119">
        <f>IF('Weekly Schedule'!$A21="","",'Weekly Schedule'!$A21)</f>
        <v/>
      </c>
      <c r="B119" s="54" t="n"/>
      <c r="C119" s="54" t="n"/>
      <c r="D119" s="54" t="n"/>
      <c r="E119" s="54" t="n"/>
      <c r="F119" s="54" t="n"/>
      <c r="G119" s="54" t="n"/>
      <c r="H119" s="54" t="n"/>
      <c r="I119" s="59">
        <f>IF($A119="","",ROUND(IFERROR(VLOOKUP($B119,Shifts!$A$5:$E$12,5,FALSE),0)+IFERROR(VLOOKUP($C119,Shifts!$A$5:$E$12,5,FALSE),0)+IFERROR(VLOOKUP($D119,Shifts!$A$5:$E$12,5,FALSE),0)+IFERROR(VLOOKUP($E119,Shifts!$A$5:$E$12,5,FALSE),0)+IFERROR(VLOOKUP($F119,Shifts!$A$5:$E$12,5,FALSE),0)+IFERROR(VLOOKUP($G119,Shifts!$A$5:$E$12,5,FALSE),0)+IFERROR(VLOOKUP($H119,Shifts!$A$5:$E$12,5,FALSE),0),2))</f>
        <v/>
      </c>
      <c r="J119">
        <f>IF($A119="","",IF($I119&gt;'Weekly Schedule'!$J21,"⛔ +"&amp;TEXT($I119-'Weekly Schedule'!$J21,"0")&amp;" h",""))</f>
        <v/>
      </c>
    </row>
    <row r="120">
      <c r="A120">
        <f>IF('Weekly Schedule'!$A22="","",'Weekly Schedule'!$A22)</f>
        <v/>
      </c>
      <c r="B120" s="54" t="n"/>
      <c r="C120" s="54" t="n"/>
      <c r="D120" s="54" t="n"/>
      <c r="E120" s="54" t="n"/>
      <c r="F120" s="54" t="n"/>
      <c r="G120" s="54" t="n"/>
      <c r="H120" s="54" t="n"/>
      <c r="I120" s="59">
        <f>IF($A120="","",ROUND(IFERROR(VLOOKUP($B120,Shifts!$A$5:$E$12,5,FALSE),0)+IFERROR(VLOOKUP($C120,Shifts!$A$5:$E$12,5,FALSE),0)+IFERROR(VLOOKUP($D120,Shifts!$A$5:$E$12,5,FALSE),0)+IFERROR(VLOOKUP($E120,Shifts!$A$5:$E$12,5,FALSE),0)+IFERROR(VLOOKUP($F120,Shifts!$A$5:$E$12,5,FALSE),0)+IFERROR(VLOOKUP($G120,Shifts!$A$5:$E$12,5,FALSE),0)+IFERROR(VLOOKUP($H120,Shifts!$A$5:$E$12,5,FALSE),0),2))</f>
        <v/>
      </c>
      <c r="J120">
        <f>IF($A120="","",IF($I120&gt;'Weekly Schedule'!$J22,"⛔ +"&amp;TEXT($I120-'Weekly Schedule'!$J22,"0")&amp;" h",""))</f>
        <v/>
      </c>
    </row>
    <row r="121">
      <c r="A121">
        <f>IF('Weekly Schedule'!$A23="","",'Weekly Schedule'!$A23)</f>
        <v/>
      </c>
      <c r="B121" s="54" t="n"/>
      <c r="C121" s="54" t="n"/>
      <c r="D121" s="54" t="n"/>
      <c r="E121" s="54" t="n"/>
      <c r="F121" s="54" t="n"/>
      <c r="G121" s="54" t="n"/>
      <c r="H121" s="54" t="n"/>
      <c r="I121" s="59">
        <f>IF($A121="","",ROUND(IFERROR(VLOOKUP($B121,Shifts!$A$5:$E$12,5,FALSE),0)+IFERROR(VLOOKUP($C121,Shifts!$A$5:$E$12,5,FALSE),0)+IFERROR(VLOOKUP($D121,Shifts!$A$5:$E$12,5,FALSE),0)+IFERROR(VLOOKUP($E121,Shifts!$A$5:$E$12,5,FALSE),0)+IFERROR(VLOOKUP($F121,Shifts!$A$5:$E$12,5,FALSE),0)+IFERROR(VLOOKUP($G121,Shifts!$A$5:$E$12,5,FALSE),0)+IFERROR(VLOOKUP($H121,Shifts!$A$5:$E$12,5,FALSE),0),2))</f>
        <v/>
      </c>
      <c r="J121">
        <f>IF($A121="","",IF($I121&gt;'Weekly Schedule'!$J23,"⛔ +"&amp;TEXT($I121-'Weekly Schedule'!$J23,"0")&amp;" h",""))</f>
        <v/>
      </c>
    </row>
    <row r="122">
      <c r="A122">
        <f>IF('Weekly Schedule'!$A24="","",'Weekly Schedule'!$A24)</f>
        <v/>
      </c>
      <c r="B122" s="54" t="n"/>
      <c r="C122" s="54" t="n"/>
      <c r="D122" s="54" t="n"/>
      <c r="E122" s="54" t="n"/>
      <c r="F122" s="54" t="n"/>
      <c r="G122" s="54" t="n"/>
      <c r="H122" s="54" t="n"/>
      <c r="I122" s="59">
        <f>IF($A122="","",ROUND(IFERROR(VLOOKUP($B122,Shifts!$A$5:$E$12,5,FALSE),0)+IFERROR(VLOOKUP($C122,Shifts!$A$5:$E$12,5,FALSE),0)+IFERROR(VLOOKUP($D122,Shifts!$A$5:$E$12,5,FALSE),0)+IFERROR(VLOOKUP($E122,Shifts!$A$5:$E$12,5,FALSE),0)+IFERROR(VLOOKUP($F122,Shifts!$A$5:$E$12,5,FALSE),0)+IFERROR(VLOOKUP($G122,Shifts!$A$5:$E$12,5,FALSE),0)+IFERROR(VLOOKUP($H122,Shifts!$A$5:$E$12,5,FALSE),0),2))</f>
        <v/>
      </c>
      <c r="J122">
        <f>IF($A122="","",IF($I122&gt;'Weekly Schedule'!$J24,"⛔ +"&amp;TEXT($I122-'Weekly Schedule'!$J24,"0")&amp;" h",""))</f>
        <v/>
      </c>
    </row>
    <row r="123">
      <c r="A123">
        <f>IF('Weekly Schedule'!$A25="","",'Weekly Schedule'!$A25)</f>
        <v/>
      </c>
      <c r="B123" s="54" t="n"/>
      <c r="C123" s="54" t="n"/>
      <c r="D123" s="54" t="n"/>
      <c r="E123" s="54" t="n"/>
      <c r="F123" s="54" t="n"/>
      <c r="G123" s="54" t="n"/>
      <c r="H123" s="54" t="n"/>
      <c r="I123" s="59">
        <f>IF($A123="","",ROUND(IFERROR(VLOOKUP($B123,Shifts!$A$5:$E$12,5,FALSE),0)+IFERROR(VLOOKUP($C123,Shifts!$A$5:$E$12,5,FALSE),0)+IFERROR(VLOOKUP($D123,Shifts!$A$5:$E$12,5,FALSE),0)+IFERROR(VLOOKUP($E123,Shifts!$A$5:$E$12,5,FALSE),0)+IFERROR(VLOOKUP($F123,Shifts!$A$5:$E$12,5,FALSE),0)+IFERROR(VLOOKUP($G123,Shifts!$A$5:$E$12,5,FALSE),0)+IFERROR(VLOOKUP($H123,Shifts!$A$5:$E$12,5,FALSE),0),2))</f>
        <v/>
      </c>
      <c r="J123">
        <f>IF($A123="","",IF($I123&gt;'Weekly Schedule'!$J25,"⛔ +"&amp;TEXT($I123-'Weekly Schedule'!$J25,"0")&amp;" h",""))</f>
        <v/>
      </c>
    </row>
    <row r="124">
      <c r="A124">
        <f>IF('Weekly Schedule'!$A26="","",'Weekly Schedule'!$A26)</f>
        <v/>
      </c>
      <c r="B124" s="54" t="n"/>
      <c r="C124" s="54" t="n"/>
      <c r="D124" s="54" t="n"/>
      <c r="E124" s="54" t="n"/>
      <c r="F124" s="54" t="n"/>
      <c r="G124" s="54" t="n"/>
      <c r="H124" s="54" t="n"/>
      <c r="I124" s="59">
        <f>IF($A124="","",ROUND(IFERROR(VLOOKUP($B124,Shifts!$A$5:$E$12,5,FALSE),0)+IFERROR(VLOOKUP($C124,Shifts!$A$5:$E$12,5,FALSE),0)+IFERROR(VLOOKUP($D124,Shifts!$A$5:$E$12,5,FALSE),0)+IFERROR(VLOOKUP($E124,Shifts!$A$5:$E$12,5,FALSE),0)+IFERROR(VLOOKUP($F124,Shifts!$A$5:$E$12,5,FALSE),0)+IFERROR(VLOOKUP($G124,Shifts!$A$5:$E$12,5,FALSE),0)+IFERROR(VLOOKUP($H124,Shifts!$A$5:$E$12,5,FALSE),0),2))</f>
        <v/>
      </c>
      <c r="J124">
        <f>IF($A124="","",IF($I124&gt;'Weekly Schedule'!$J26,"⛔ +"&amp;TEXT($I124-'Weekly Schedule'!$J26,"0")&amp;" h",""))</f>
        <v/>
      </c>
    </row>
    <row r="125">
      <c r="A125">
        <f>IF('Weekly Schedule'!$A27="","",'Weekly Schedule'!$A27)</f>
        <v/>
      </c>
      <c r="B125" s="54" t="n"/>
      <c r="C125" s="54" t="n"/>
      <c r="D125" s="54" t="n"/>
      <c r="E125" s="54" t="n"/>
      <c r="F125" s="54" t="n"/>
      <c r="G125" s="54" t="n"/>
      <c r="H125" s="54" t="n"/>
      <c r="I125" s="59">
        <f>IF($A125="","",ROUND(IFERROR(VLOOKUP($B125,Shifts!$A$5:$E$12,5,FALSE),0)+IFERROR(VLOOKUP($C125,Shifts!$A$5:$E$12,5,FALSE),0)+IFERROR(VLOOKUP($D125,Shifts!$A$5:$E$12,5,FALSE),0)+IFERROR(VLOOKUP($E125,Shifts!$A$5:$E$12,5,FALSE),0)+IFERROR(VLOOKUP($F125,Shifts!$A$5:$E$12,5,FALSE),0)+IFERROR(VLOOKUP($G125,Shifts!$A$5:$E$12,5,FALSE),0)+IFERROR(VLOOKUP($H125,Shifts!$A$5:$E$12,5,FALSE),0),2))</f>
        <v/>
      </c>
      <c r="J125">
        <f>IF($A125="","",IF($I125&gt;'Weekly Schedule'!$J27,"⛔ +"&amp;TEXT($I125-'Weekly Schedule'!$J27,"0")&amp;" h",""))</f>
        <v/>
      </c>
    </row>
    <row r="126">
      <c r="A126">
        <f>IF('Weekly Schedule'!$A28="","",'Weekly Schedule'!$A28)</f>
        <v/>
      </c>
      <c r="B126" s="54" t="n"/>
      <c r="C126" s="54" t="n"/>
      <c r="D126" s="54" t="n"/>
      <c r="E126" s="54" t="n"/>
      <c r="F126" s="54" t="n"/>
      <c r="G126" s="54" t="n"/>
      <c r="H126" s="54" t="n"/>
      <c r="I126" s="59">
        <f>IF($A126="","",ROUND(IFERROR(VLOOKUP($B126,Shifts!$A$5:$E$12,5,FALSE),0)+IFERROR(VLOOKUP($C126,Shifts!$A$5:$E$12,5,FALSE),0)+IFERROR(VLOOKUP($D126,Shifts!$A$5:$E$12,5,FALSE),0)+IFERROR(VLOOKUP($E126,Shifts!$A$5:$E$12,5,FALSE),0)+IFERROR(VLOOKUP($F126,Shifts!$A$5:$E$12,5,FALSE),0)+IFERROR(VLOOKUP($G126,Shifts!$A$5:$E$12,5,FALSE),0)+IFERROR(VLOOKUP($H126,Shifts!$A$5:$E$12,5,FALSE),0),2))</f>
        <v/>
      </c>
      <c r="J126">
        <f>IF($A126="","",IF($I126&gt;'Weekly Schedule'!$J28,"⛔ +"&amp;TEXT($I126-'Weekly Schedule'!$J28,"0")&amp;" h",""))</f>
        <v/>
      </c>
    </row>
    <row r="127">
      <c r="A127">
        <f>IF('Weekly Schedule'!$A29="","",'Weekly Schedule'!$A29)</f>
        <v/>
      </c>
      <c r="B127" s="54" t="n"/>
      <c r="C127" s="54" t="n"/>
      <c r="D127" s="54" t="n"/>
      <c r="E127" s="54" t="n"/>
      <c r="F127" s="54" t="n"/>
      <c r="G127" s="54" t="n"/>
      <c r="H127" s="54" t="n"/>
      <c r="I127" s="59">
        <f>IF($A127="","",ROUND(IFERROR(VLOOKUP($B127,Shifts!$A$5:$E$12,5,FALSE),0)+IFERROR(VLOOKUP($C127,Shifts!$A$5:$E$12,5,FALSE),0)+IFERROR(VLOOKUP($D127,Shifts!$A$5:$E$12,5,FALSE),0)+IFERROR(VLOOKUP($E127,Shifts!$A$5:$E$12,5,FALSE),0)+IFERROR(VLOOKUP($F127,Shifts!$A$5:$E$12,5,FALSE),0)+IFERROR(VLOOKUP($G127,Shifts!$A$5:$E$12,5,FALSE),0)+IFERROR(VLOOKUP($H127,Shifts!$A$5:$E$12,5,FALSE),0),2))</f>
        <v/>
      </c>
      <c r="J127">
        <f>IF($A127="","",IF($I127&gt;'Weekly Schedule'!$J29,"⛔ +"&amp;TEXT($I127-'Weekly Schedule'!$J29,"0")&amp;" h",""))</f>
        <v/>
      </c>
    </row>
    <row r="128">
      <c r="A128">
        <f>IF('Weekly Schedule'!$A30="","",'Weekly Schedule'!$A30)</f>
        <v/>
      </c>
      <c r="B128" s="54" t="n"/>
      <c r="C128" s="54" t="n"/>
      <c r="D128" s="54" t="n"/>
      <c r="E128" s="54" t="n"/>
      <c r="F128" s="54" t="n"/>
      <c r="G128" s="54" t="n"/>
      <c r="H128" s="54" t="n"/>
      <c r="I128" s="59">
        <f>IF($A128="","",ROUND(IFERROR(VLOOKUP($B128,Shifts!$A$5:$E$12,5,FALSE),0)+IFERROR(VLOOKUP($C128,Shifts!$A$5:$E$12,5,FALSE),0)+IFERROR(VLOOKUP($D128,Shifts!$A$5:$E$12,5,FALSE),0)+IFERROR(VLOOKUP($E128,Shifts!$A$5:$E$12,5,FALSE),0)+IFERROR(VLOOKUP($F128,Shifts!$A$5:$E$12,5,FALSE),0)+IFERROR(VLOOKUP($G128,Shifts!$A$5:$E$12,5,FALSE),0)+IFERROR(VLOOKUP($H128,Shifts!$A$5:$E$12,5,FALSE),0),2))</f>
        <v/>
      </c>
      <c r="J128">
        <f>IF($A128="","",IF($I128&gt;'Weekly Schedule'!$J30,"⛔ +"&amp;TEXT($I128-'Weekly Schedule'!$J30,"0")&amp;" h",""))</f>
        <v/>
      </c>
    </row>
    <row r="129">
      <c r="A129">
        <f>IF('Weekly Schedule'!$A31="","",'Weekly Schedule'!$A31)</f>
        <v/>
      </c>
      <c r="B129" s="54" t="n"/>
      <c r="C129" s="54" t="n"/>
      <c r="D129" s="54" t="n"/>
      <c r="E129" s="54" t="n"/>
      <c r="F129" s="54" t="n"/>
      <c r="G129" s="54" t="n"/>
      <c r="H129" s="54" t="n"/>
      <c r="I129" s="59">
        <f>IF($A129="","",ROUND(IFERROR(VLOOKUP($B129,Shifts!$A$5:$E$12,5,FALSE),0)+IFERROR(VLOOKUP($C129,Shifts!$A$5:$E$12,5,FALSE),0)+IFERROR(VLOOKUP($D129,Shifts!$A$5:$E$12,5,FALSE),0)+IFERROR(VLOOKUP($E129,Shifts!$A$5:$E$12,5,FALSE),0)+IFERROR(VLOOKUP($F129,Shifts!$A$5:$E$12,5,FALSE),0)+IFERROR(VLOOKUP($G129,Shifts!$A$5:$E$12,5,FALSE),0)+IFERROR(VLOOKUP($H129,Shifts!$A$5:$E$12,5,FALSE),0),2))</f>
        <v/>
      </c>
      <c r="J129">
        <f>IF($A129="","",IF($I129&gt;'Weekly Schedule'!$J31,"⛔ +"&amp;TEXT($I129-'Weekly Schedule'!$J31,"0")&amp;" h",""))</f>
        <v/>
      </c>
    </row>
    <row r="130">
      <c r="A130">
        <f>IF('Weekly Schedule'!$A32="","",'Weekly Schedule'!$A32)</f>
        <v/>
      </c>
      <c r="B130" s="54" t="n"/>
      <c r="C130" s="54" t="n"/>
      <c r="D130" s="54" t="n"/>
      <c r="E130" s="54" t="n"/>
      <c r="F130" s="54" t="n"/>
      <c r="G130" s="54" t="n"/>
      <c r="H130" s="54" t="n"/>
      <c r="I130" s="59">
        <f>IF($A130="","",ROUND(IFERROR(VLOOKUP($B130,Shifts!$A$5:$E$12,5,FALSE),0)+IFERROR(VLOOKUP($C130,Shifts!$A$5:$E$12,5,FALSE),0)+IFERROR(VLOOKUP($D130,Shifts!$A$5:$E$12,5,FALSE),0)+IFERROR(VLOOKUP($E130,Shifts!$A$5:$E$12,5,FALSE),0)+IFERROR(VLOOKUP($F130,Shifts!$A$5:$E$12,5,FALSE),0)+IFERROR(VLOOKUP($G130,Shifts!$A$5:$E$12,5,FALSE),0)+IFERROR(VLOOKUP($H130,Shifts!$A$5:$E$12,5,FALSE),0),2))</f>
        <v/>
      </c>
      <c r="J130">
        <f>IF($A130="","",IF($I130&gt;'Weekly Schedule'!$J32,"⛔ +"&amp;TEXT($I130-'Weekly Schedule'!$J32,"0")&amp;" h",""))</f>
        <v/>
      </c>
    </row>
    <row r="131">
      <c r="A131">
        <f>IF('Weekly Schedule'!$A33="","",'Weekly Schedule'!$A33)</f>
        <v/>
      </c>
      <c r="B131" s="54" t="n"/>
      <c r="C131" s="54" t="n"/>
      <c r="D131" s="54" t="n"/>
      <c r="E131" s="54" t="n"/>
      <c r="F131" s="54" t="n"/>
      <c r="G131" s="54" t="n"/>
      <c r="H131" s="54" t="n"/>
      <c r="I131" s="59">
        <f>IF($A131="","",ROUND(IFERROR(VLOOKUP($B131,Shifts!$A$5:$E$12,5,FALSE),0)+IFERROR(VLOOKUP($C131,Shifts!$A$5:$E$12,5,FALSE),0)+IFERROR(VLOOKUP($D131,Shifts!$A$5:$E$12,5,FALSE),0)+IFERROR(VLOOKUP($E131,Shifts!$A$5:$E$12,5,FALSE),0)+IFERROR(VLOOKUP($F131,Shifts!$A$5:$E$12,5,FALSE),0)+IFERROR(VLOOKUP($G131,Shifts!$A$5:$E$12,5,FALSE),0)+IFERROR(VLOOKUP($H131,Shifts!$A$5:$E$12,5,FALSE),0),2))</f>
        <v/>
      </c>
      <c r="J131">
        <f>IF($A131="","",IF($I131&gt;'Weekly Schedule'!$J33,"⛔ +"&amp;TEXT($I131-'Weekly Schedule'!$J33,"0")&amp;" h",""))</f>
        <v/>
      </c>
    </row>
    <row r="132">
      <c r="A132">
        <f>IF('Weekly Schedule'!$A34="","",'Weekly Schedule'!$A34)</f>
        <v/>
      </c>
      <c r="B132" s="54" t="n"/>
      <c r="C132" s="54" t="n"/>
      <c r="D132" s="54" t="n"/>
      <c r="E132" s="54" t="n"/>
      <c r="F132" s="54" t="n"/>
      <c r="G132" s="54" t="n"/>
      <c r="H132" s="54" t="n"/>
      <c r="I132" s="59">
        <f>IF($A132="","",ROUND(IFERROR(VLOOKUP($B132,Shifts!$A$5:$E$12,5,FALSE),0)+IFERROR(VLOOKUP($C132,Shifts!$A$5:$E$12,5,FALSE),0)+IFERROR(VLOOKUP($D132,Shifts!$A$5:$E$12,5,FALSE),0)+IFERROR(VLOOKUP($E132,Shifts!$A$5:$E$12,5,FALSE),0)+IFERROR(VLOOKUP($F132,Shifts!$A$5:$E$12,5,FALSE),0)+IFERROR(VLOOKUP($G132,Shifts!$A$5:$E$12,5,FALSE),0)+IFERROR(VLOOKUP($H132,Shifts!$A$5:$E$12,5,FALSE),0),2))</f>
        <v/>
      </c>
      <c r="J132">
        <f>IF($A132="","",IF($I132&gt;'Weekly Schedule'!$J34,"⛔ +"&amp;TEXT($I132-'Weekly Schedule'!$J34,"0")&amp;" h",""))</f>
        <v/>
      </c>
    </row>
    <row r="133">
      <c r="A133">
        <f>IF('Weekly Schedule'!$A35="","",'Weekly Schedule'!$A35)</f>
        <v/>
      </c>
      <c r="B133" s="54" t="n"/>
      <c r="C133" s="54" t="n"/>
      <c r="D133" s="54" t="n"/>
      <c r="E133" s="54" t="n"/>
      <c r="F133" s="54" t="n"/>
      <c r="G133" s="54" t="n"/>
      <c r="H133" s="54" t="n"/>
      <c r="I133" s="59">
        <f>IF($A133="","",ROUND(IFERROR(VLOOKUP($B133,Shifts!$A$5:$E$12,5,FALSE),0)+IFERROR(VLOOKUP($C133,Shifts!$A$5:$E$12,5,FALSE),0)+IFERROR(VLOOKUP($D133,Shifts!$A$5:$E$12,5,FALSE),0)+IFERROR(VLOOKUP($E133,Shifts!$A$5:$E$12,5,FALSE),0)+IFERROR(VLOOKUP($F133,Shifts!$A$5:$E$12,5,FALSE),0)+IFERROR(VLOOKUP($G133,Shifts!$A$5:$E$12,5,FALSE),0)+IFERROR(VLOOKUP($H133,Shifts!$A$5:$E$12,5,FALSE),0),2))</f>
        <v/>
      </c>
      <c r="J133">
        <f>IF($A133="","",IF($I133&gt;'Weekly Schedule'!$J35,"⛔ +"&amp;TEXT($I133-'Weekly Schedule'!$J35,"0")&amp;" h",""))</f>
        <v/>
      </c>
    </row>
    <row r="134">
      <c r="I134" s="59" t="n"/>
    </row>
    <row r="135" ht="20" customHeight="1">
      <c r="A135" s="60" t="inlineStr">
        <is>
          <t>WEEK 5</t>
        </is>
      </c>
    </row>
    <row r="136" ht="30" customHeight="1">
      <c r="A136" s="27" t="inlineStr">
        <is>
          <t>Employee</t>
        </is>
      </c>
      <c r="B136" s="27" t="inlineStr">
        <is>
          <t>Monday</t>
        </is>
      </c>
      <c r="C136" s="27" t="inlineStr">
        <is>
          <t>Tuesday</t>
        </is>
      </c>
      <c r="D136" s="27" t="inlineStr">
        <is>
          <t>Wednesday</t>
        </is>
      </c>
      <c r="E136" s="27" t="inlineStr">
        <is>
          <t>Thursday</t>
        </is>
      </c>
      <c r="F136" s="27" t="inlineStr">
        <is>
          <t>Friday</t>
        </is>
      </c>
      <c r="G136" s="27" t="inlineStr">
        <is>
          <t>Saturday</t>
        </is>
      </c>
      <c r="H136" s="27" t="inlineStr">
        <is>
          <t>Sunday</t>
        </is>
      </c>
      <c r="I136" s="27" t="inlineStr">
        <is>
          <t>Total Hours</t>
        </is>
      </c>
      <c r="J136" s="27" t="inlineStr">
        <is>
          <t>Weekly alert</t>
        </is>
      </c>
    </row>
    <row r="137">
      <c r="A137">
        <f>IF('Weekly Schedule'!$A6="","",'Weekly Schedule'!$A6)</f>
        <v/>
      </c>
      <c r="B137" s="54" t="n"/>
      <c r="C137" s="54" t="n"/>
      <c r="D137" s="54" t="n"/>
      <c r="E137" s="54" t="n"/>
      <c r="F137" s="54" t="n"/>
      <c r="G137" s="54" t="n"/>
      <c r="H137" s="54" t="n"/>
      <c r="I137" s="59">
        <f>IF($A137="","",ROUND(IFERROR(VLOOKUP($B137,Shifts!$A$5:$E$12,5,FALSE),0)+IFERROR(VLOOKUP($C137,Shifts!$A$5:$E$12,5,FALSE),0)+IFERROR(VLOOKUP($D137,Shifts!$A$5:$E$12,5,FALSE),0)+IFERROR(VLOOKUP($E137,Shifts!$A$5:$E$12,5,FALSE),0)+IFERROR(VLOOKUP($F137,Shifts!$A$5:$E$12,5,FALSE),0)+IFERROR(VLOOKUP($G137,Shifts!$A$5:$E$12,5,FALSE),0)+IFERROR(VLOOKUP($H137,Shifts!$A$5:$E$12,5,FALSE),0),2))</f>
        <v/>
      </c>
      <c r="J137">
        <f>IF($A137="","",IF($I137&gt;'Weekly Schedule'!$J6,"⛔ +"&amp;TEXT($I137-'Weekly Schedule'!$J6,"0")&amp;" h",""))</f>
        <v/>
      </c>
    </row>
    <row r="138">
      <c r="A138">
        <f>IF('Weekly Schedule'!$A7="","",'Weekly Schedule'!$A7)</f>
        <v/>
      </c>
      <c r="B138" s="54" t="n"/>
      <c r="C138" s="54" t="n"/>
      <c r="D138" s="54" t="n"/>
      <c r="E138" s="54" t="n"/>
      <c r="F138" s="54" t="n"/>
      <c r="G138" s="54" t="n"/>
      <c r="H138" s="54" t="n"/>
      <c r="I138" s="59">
        <f>IF($A138="","",ROUND(IFERROR(VLOOKUP($B138,Shifts!$A$5:$E$12,5,FALSE),0)+IFERROR(VLOOKUP($C138,Shifts!$A$5:$E$12,5,FALSE),0)+IFERROR(VLOOKUP($D138,Shifts!$A$5:$E$12,5,FALSE),0)+IFERROR(VLOOKUP($E138,Shifts!$A$5:$E$12,5,FALSE),0)+IFERROR(VLOOKUP($F138,Shifts!$A$5:$E$12,5,FALSE),0)+IFERROR(VLOOKUP($G138,Shifts!$A$5:$E$12,5,FALSE),0)+IFERROR(VLOOKUP($H138,Shifts!$A$5:$E$12,5,FALSE),0),2))</f>
        <v/>
      </c>
      <c r="J138">
        <f>IF($A138="","",IF($I138&gt;'Weekly Schedule'!$J7,"⛔ +"&amp;TEXT($I138-'Weekly Schedule'!$J7,"0")&amp;" h",""))</f>
        <v/>
      </c>
    </row>
    <row r="139">
      <c r="A139">
        <f>IF('Weekly Schedule'!$A8="","",'Weekly Schedule'!$A8)</f>
        <v/>
      </c>
      <c r="B139" s="54" t="n"/>
      <c r="C139" s="54" t="n"/>
      <c r="D139" s="54" t="n"/>
      <c r="E139" s="54" t="n"/>
      <c r="F139" s="54" t="n"/>
      <c r="G139" s="54" t="n"/>
      <c r="H139" s="54" t="n"/>
      <c r="I139" s="59">
        <f>IF($A139="","",ROUND(IFERROR(VLOOKUP($B139,Shifts!$A$5:$E$12,5,FALSE),0)+IFERROR(VLOOKUP($C139,Shifts!$A$5:$E$12,5,FALSE),0)+IFERROR(VLOOKUP($D139,Shifts!$A$5:$E$12,5,FALSE),0)+IFERROR(VLOOKUP($E139,Shifts!$A$5:$E$12,5,FALSE),0)+IFERROR(VLOOKUP($F139,Shifts!$A$5:$E$12,5,FALSE),0)+IFERROR(VLOOKUP($G139,Shifts!$A$5:$E$12,5,FALSE),0)+IFERROR(VLOOKUP($H139,Shifts!$A$5:$E$12,5,FALSE),0),2))</f>
        <v/>
      </c>
      <c r="J139">
        <f>IF($A139="","",IF($I139&gt;'Weekly Schedule'!$J8,"⛔ +"&amp;TEXT($I139-'Weekly Schedule'!$J8,"0")&amp;" h",""))</f>
        <v/>
      </c>
    </row>
    <row r="140">
      <c r="A140">
        <f>IF('Weekly Schedule'!$A9="","",'Weekly Schedule'!$A9)</f>
        <v/>
      </c>
      <c r="B140" s="54" t="n"/>
      <c r="C140" s="54" t="n"/>
      <c r="D140" s="54" t="n"/>
      <c r="E140" s="54" t="n"/>
      <c r="F140" s="54" t="n"/>
      <c r="G140" s="54" t="n"/>
      <c r="H140" s="54" t="n"/>
      <c r="I140" s="59">
        <f>IF($A140="","",ROUND(IFERROR(VLOOKUP($B140,Shifts!$A$5:$E$12,5,FALSE),0)+IFERROR(VLOOKUP($C140,Shifts!$A$5:$E$12,5,FALSE),0)+IFERROR(VLOOKUP($D140,Shifts!$A$5:$E$12,5,FALSE),0)+IFERROR(VLOOKUP($E140,Shifts!$A$5:$E$12,5,FALSE),0)+IFERROR(VLOOKUP($F140,Shifts!$A$5:$E$12,5,FALSE),0)+IFERROR(VLOOKUP($G140,Shifts!$A$5:$E$12,5,FALSE),0)+IFERROR(VLOOKUP($H140,Shifts!$A$5:$E$12,5,FALSE),0),2))</f>
        <v/>
      </c>
      <c r="J140">
        <f>IF($A140="","",IF($I140&gt;'Weekly Schedule'!$J9,"⛔ +"&amp;TEXT($I140-'Weekly Schedule'!$J9,"0")&amp;" h",""))</f>
        <v/>
      </c>
    </row>
    <row r="141">
      <c r="A141">
        <f>IF('Weekly Schedule'!$A10="","",'Weekly Schedule'!$A10)</f>
        <v/>
      </c>
      <c r="B141" s="54" t="n"/>
      <c r="C141" s="54" t="n"/>
      <c r="D141" s="54" t="n"/>
      <c r="E141" s="54" t="n"/>
      <c r="F141" s="54" t="n"/>
      <c r="G141" s="54" t="n"/>
      <c r="H141" s="54" t="n"/>
      <c r="I141" s="59">
        <f>IF($A141="","",ROUND(IFERROR(VLOOKUP($B141,Shifts!$A$5:$E$12,5,FALSE),0)+IFERROR(VLOOKUP($C141,Shifts!$A$5:$E$12,5,FALSE),0)+IFERROR(VLOOKUP($D141,Shifts!$A$5:$E$12,5,FALSE),0)+IFERROR(VLOOKUP($E141,Shifts!$A$5:$E$12,5,FALSE),0)+IFERROR(VLOOKUP($F141,Shifts!$A$5:$E$12,5,FALSE),0)+IFERROR(VLOOKUP($G141,Shifts!$A$5:$E$12,5,FALSE),0)+IFERROR(VLOOKUP($H141,Shifts!$A$5:$E$12,5,FALSE),0),2))</f>
        <v/>
      </c>
      <c r="J141">
        <f>IF($A141="","",IF($I141&gt;'Weekly Schedule'!$J10,"⛔ +"&amp;TEXT($I141-'Weekly Schedule'!$J10,"0")&amp;" h",""))</f>
        <v/>
      </c>
    </row>
    <row r="142">
      <c r="A142">
        <f>IF('Weekly Schedule'!$A11="","",'Weekly Schedule'!$A11)</f>
        <v/>
      </c>
      <c r="B142" s="54" t="n"/>
      <c r="C142" s="54" t="n"/>
      <c r="D142" s="54" t="n"/>
      <c r="E142" s="54" t="n"/>
      <c r="F142" s="54" t="n"/>
      <c r="G142" s="54" t="n"/>
      <c r="H142" s="54" t="n"/>
      <c r="I142" s="59">
        <f>IF($A142="","",ROUND(IFERROR(VLOOKUP($B142,Shifts!$A$5:$E$12,5,FALSE),0)+IFERROR(VLOOKUP($C142,Shifts!$A$5:$E$12,5,FALSE),0)+IFERROR(VLOOKUP($D142,Shifts!$A$5:$E$12,5,FALSE),0)+IFERROR(VLOOKUP($E142,Shifts!$A$5:$E$12,5,FALSE),0)+IFERROR(VLOOKUP($F142,Shifts!$A$5:$E$12,5,FALSE),0)+IFERROR(VLOOKUP($G142,Shifts!$A$5:$E$12,5,FALSE),0)+IFERROR(VLOOKUP($H142,Shifts!$A$5:$E$12,5,FALSE),0),2))</f>
        <v/>
      </c>
      <c r="J142">
        <f>IF($A142="","",IF($I142&gt;'Weekly Schedule'!$J11,"⛔ +"&amp;TEXT($I142-'Weekly Schedule'!$J11,"0")&amp;" h",""))</f>
        <v/>
      </c>
    </row>
    <row r="143">
      <c r="A143">
        <f>IF('Weekly Schedule'!$A12="","",'Weekly Schedule'!$A12)</f>
        <v/>
      </c>
      <c r="B143" s="54" t="n"/>
      <c r="C143" s="54" t="n"/>
      <c r="D143" s="54" t="n"/>
      <c r="E143" s="54" t="n"/>
      <c r="F143" s="54" t="n"/>
      <c r="G143" s="54" t="n"/>
      <c r="H143" s="54" t="n"/>
      <c r="I143" s="59">
        <f>IF($A143="","",ROUND(IFERROR(VLOOKUP($B143,Shifts!$A$5:$E$12,5,FALSE),0)+IFERROR(VLOOKUP($C143,Shifts!$A$5:$E$12,5,FALSE),0)+IFERROR(VLOOKUP($D143,Shifts!$A$5:$E$12,5,FALSE),0)+IFERROR(VLOOKUP($E143,Shifts!$A$5:$E$12,5,FALSE),0)+IFERROR(VLOOKUP($F143,Shifts!$A$5:$E$12,5,FALSE),0)+IFERROR(VLOOKUP($G143,Shifts!$A$5:$E$12,5,FALSE),0)+IFERROR(VLOOKUP($H143,Shifts!$A$5:$E$12,5,FALSE),0),2))</f>
        <v/>
      </c>
      <c r="J143">
        <f>IF($A143="","",IF($I143&gt;'Weekly Schedule'!$J12,"⛔ +"&amp;TEXT($I143-'Weekly Schedule'!$J12,"0")&amp;" h",""))</f>
        <v/>
      </c>
    </row>
    <row r="144">
      <c r="A144">
        <f>IF('Weekly Schedule'!$A13="","",'Weekly Schedule'!$A13)</f>
        <v/>
      </c>
      <c r="B144" s="54" t="n"/>
      <c r="C144" s="54" t="n"/>
      <c r="D144" s="54" t="n"/>
      <c r="E144" s="54" t="n"/>
      <c r="F144" s="54" t="n"/>
      <c r="G144" s="54" t="n"/>
      <c r="H144" s="54" t="n"/>
      <c r="I144" s="59">
        <f>IF($A144="","",ROUND(IFERROR(VLOOKUP($B144,Shifts!$A$5:$E$12,5,FALSE),0)+IFERROR(VLOOKUP($C144,Shifts!$A$5:$E$12,5,FALSE),0)+IFERROR(VLOOKUP($D144,Shifts!$A$5:$E$12,5,FALSE),0)+IFERROR(VLOOKUP($E144,Shifts!$A$5:$E$12,5,FALSE),0)+IFERROR(VLOOKUP($F144,Shifts!$A$5:$E$12,5,FALSE),0)+IFERROR(VLOOKUP($G144,Shifts!$A$5:$E$12,5,FALSE),0)+IFERROR(VLOOKUP($H144,Shifts!$A$5:$E$12,5,FALSE),0),2))</f>
        <v/>
      </c>
      <c r="J144">
        <f>IF($A144="","",IF($I144&gt;'Weekly Schedule'!$J13,"⛔ +"&amp;TEXT($I144-'Weekly Schedule'!$J13,"0")&amp;" h",""))</f>
        <v/>
      </c>
    </row>
    <row r="145">
      <c r="A145">
        <f>IF('Weekly Schedule'!$A14="","",'Weekly Schedule'!$A14)</f>
        <v/>
      </c>
      <c r="B145" s="54" t="n"/>
      <c r="C145" s="54" t="n"/>
      <c r="D145" s="54" t="n"/>
      <c r="E145" s="54" t="n"/>
      <c r="F145" s="54" t="n"/>
      <c r="G145" s="54" t="n"/>
      <c r="H145" s="54" t="n"/>
      <c r="I145" s="59">
        <f>IF($A145="","",ROUND(IFERROR(VLOOKUP($B145,Shifts!$A$5:$E$12,5,FALSE),0)+IFERROR(VLOOKUP($C145,Shifts!$A$5:$E$12,5,FALSE),0)+IFERROR(VLOOKUP($D145,Shifts!$A$5:$E$12,5,FALSE),0)+IFERROR(VLOOKUP($E145,Shifts!$A$5:$E$12,5,FALSE),0)+IFERROR(VLOOKUP($F145,Shifts!$A$5:$E$12,5,FALSE),0)+IFERROR(VLOOKUP($G145,Shifts!$A$5:$E$12,5,FALSE),0)+IFERROR(VLOOKUP($H145,Shifts!$A$5:$E$12,5,FALSE),0),2))</f>
        <v/>
      </c>
      <c r="J145">
        <f>IF($A145="","",IF($I145&gt;'Weekly Schedule'!$J14,"⛔ +"&amp;TEXT($I145-'Weekly Schedule'!$J14,"0")&amp;" h",""))</f>
        <v/>
      </c>
    </row>
    <row r="146">
      <c r="A146">
        <f>IF('Weekly Schedule'!$A15="","",'Weekly Schedule'!$A15)</f>
        <v/>
      </c>
      <c r="B146" s="54" t="n"/>
      <c r="C146" s="54" t="n"/>
      <c r="D146" s="54" t="n"/>
      <c r="E146" s="54" t="n"/>
      <c r="F146" s="54" t="n"/>
      <c r="G146" s="54" t="n"/>
      <c r="H146" s="54" t="n"/>
      <c r="I146" s="59">
        <f>IF($A146="","",ROUND(IFERROR(VLOOKUP($B146,Shifts!$A$5:$E$12,5,FALSE),0)+IFERROR(VLOOKUP($C146,Shifts!$A$5:$E$12,5,FALSE),0)+IFERROR(VLOOKUP($D146,Shifts!$A$5:$E$12,5,FALSE),0)+IFERROR(VLOOKUP($E146,Shifts!$A$5:$E$12,5,FALSE),0)+IFERROR(VLOOKUP($F146,Shifts!$A$5:$E$12,5,FALSE),0)+IFERROR(VLOOKUP($G146,Shifts!$A$5:$E$12,5,FALSE),0)+IFERROR(VLOOKUP($H146,Shifts!$A$5:$E$12,5,FALSE),0),2))</f>
        <v/>
      </c>
      <c r="J146">
        <f>IF($A146="","",IF($I146&gt;'Weekly Schedule'!$J15,"⛔ +"&amp;TEXT($I146-'Weekly Schedule'!$J15,"0")&amp;" h",""))</f>
        <v/>
      </c>
    </row>
    <row r="147">
      <c r="A147">
        <f>IF('Weekly Schedule'!$A16="","",'Weekly Schedule'!$A16)</f>
        <v/>
      </c>
      <c r="B147" s="54" t="n"/>
      <c r="C147" s="54" t="n"/>
      <c r="D147" s="54" t="n"/>
      <c r="E147" s="54" t="n"/>
      <c r="F147" s="54" t="n"/>
      <c r="G147" s="54" t="n"/>
      <c r="H147" s="54" t="n"/>
      <c r="I147" s="59">
        <f>IF($A147="","",ROUND(IFERROR(VLOOKUP($B147,Shifts!$A$5:$E$12,5,FALSE),0)+IFERROR(VLOOKUP($C147,Shifts!$A$5:$E$12,5,FALSE),0)+IFERROR(VLOOKUP($D147,Shifts!$A$5:$E$12,5,FALSE),0)+IFERROR(VLOOKUP($E147,Shifts!$A$5:$E$12,5,FALSE),0)+IFERROR(VLOOKUP($F147,Shifts!$A$5:$E$12,5,FALSE),0)+IFERROR(VLOOKUP($G147,Shifts!$A$5:$E$12,5,FALSE),0)+IFERROR(VLOOKUP($H147,Shifts!$A$5:$E$12,5,FALSE),0),2))</f>
        <v/>
      </c>
      <c r="J147">
        <f>IF($A147="","",IF($I147&gt;'Weekly Schedule'!$J16,"⛔ +"&amp;TEXT($I147-'Weekly Schedule'!$J16,"0")&amp;" h",""))</f>
        <v/>
      </c>
    </row>
    <row r="148">
      <c r="A148">
        <f>IF('Weekly Schedule'!$A17="","",'Weekly Schedule'!$A17)</f>
        <v/>
      </c>
      <c r="B148" s="54" t="n"/>
      <c r="C148" s="54" t="n"/>
      <c r="D148" s="54" t="n"/>
      <c r="E148" s="54" t="n"/>
      <c r="F148" s="54" t="n"/>
      <c r="G148" s="54" t="n"/>
      <c r="H148" s="54" t="n"/>
      <c r="I148" s="59">
        <f>IF($A148="","",ROUND(IFERROR(VLOOKUP($B148,Shifts!$A$5:$E$12,5,FALSE),0)+IFERROR(VLOOKUP($C148,Shifts!$A$5:$E$12,5,FALSE),0)+IFERROR(VLOOKUP($D148,Shifts!$A$5:$E$12,5,FALSE),0)+IFERROR(VLOOKUP($E148,Shifts!$A$5:$E$12,5,FALSE),0)+IFERROR(VLOOKUP($F148,Shifts!$A$5:$E$12,5,FALSE),0)+IFERROR(VLOOKUP($G148,Shifts!$A$5:$E$12,5,FALSE),0)+IFERROR(VLOOKUP($H148,Shifts!$A$5:$E$12,5,FALSE),0),2))</f>
        <v/>
      </c>
      <c r="J148">
        <f>IF($A148="","",IF($I148&gt;'Weekly Schedule'!$J17,"⛔ +"&amp;TEXT($I148-'Weekly Schedule'!$J17,"0")&amp;" h",""))</f>
        <v/>
      </c>
    </row>
    <row r="149">
      <c r="A149">
        <f>IF('Weekly Schedule'!$A18="","",'Weekly Schedule'!$A18)</f>
        <v/>
      </c>
      <c r="B149" s="54" t="n"/>
      <c r="C149" s="54" t="n"/>
      <c r="D149" s="54" t="n"/>
      <c r="E149" s="54" t="n"/>
      <c r="F149" s="54" t="n"/>
      <c r="G149" s="54" t="n"/>
      <c r="H149" s="54" t="n"/>
      <c r="I149" s="59">
        <f>IF($A149="","",ROUND(IFERROR(VLOOKUP($B149,Shifts!$A$5:$E$12,5,FALSE),0)+IFERROR(VLOOKUP($C149,Shifts!$A$5:$E$12,5,FALSE),0)+IFERROR(VLOOKUP($D149,Shifts!$A$5:$E$12,5,FALSE),0)+IFERROR(VLOOKUP($E149,Shifts!$A$5:$E$12,5,FALSE),0)+IFERROR(VLOOKUP($F149,Shifts!$A$5:$E$12,5,FALSE),0)+IFERROR(VLOOKUP($G149,Shifts!$A$5:$E$12,5,FALSE),0)+IFERROR(VLOOKUP($H149,Shifts!$A$5:$E$12,5,FALSE),0),2))</f>
        <v/>
      </c>
      <c r="J149">
        <f>IF($A149="","",IF($I149&gt;'Weekly Schedule'!$J18,"⛔ +"&amp;TEXT($I149-'Weekly Schedule'!$J18,"0")&amp;" h",""))</f>
        <v/>
      </c>
    </row>
    <row r="150">
      <c r="A150">
        <f>IF('Weekly Schedule'!$A19="","",'Weekly Schedule'!$A19)</f>
        <v/>
      </c>
      <c r="B150" s="54" t="n"/>
      <c r="C150" s="54" t="n"/>
      <c r="D150" s="54" t="n"/>
      <c r="E150" s="54" t="n"/>
      <c r="F150" s="54" t="n"/>
      <c r="G150" s="54" t="n"/>
      <c r="H150" s="54" t="n"/>
      <c r="I150" s="59">
        <f>IF($A150="","",ROUND(IFERROR(VLOOKUP($B150,Shifts!$A$5:$E$12,5,FALSE),0)+IFERROR(VLOOKUP($C150,Shifts!$A$5:$E$12,5,FALSE),0)+IFERROR(VLOOKUP($D150,Shifts!$A$5:$E$12,5,FALSE),0)+IFERROR(VLOOKUP($E150,Shifts!$A$5:$E$12,5,FALSE),0)+IFERROR(VLOOKUP($F150,Shifts!$A$5:$E$12,5,FALSE),0)+IFERROR(VLOOKUP($G150,Shifts!$A$5:$E$12,5,FALSE),0)+IFERROR(VLOOKUP($H150,Shifts!$A$5:$E$12,5,FALSE),0),2))</f>
        <v/>
      </c>
      <c r="J150">
        <f>IF($A150="","",IF($I150&gt;'Weekly Schedule'!$J19,"⛔ +"&amp;TEXT($I150-'Weekly Schedule'!$J19,"0")&amp;" h",""))</f>
        <v/>
      </c>
    </row>
    <row r="151">
      <c r="A151">
        <f>IF('Weekly Schedule'!$A20="","",'Weekly Schedule'!$A20)</f>
        <v/>
      </c>
      <c r="B151" s="54" t="n"/>
      <c r="C151" s="54" t="n"/>
      <c r="D151" s="54" t="n"/>
      <c r="E151" s="54" t="n"/>
      <c r="F151" s="54" t="n"/>
      <c r="G151" s="54" t="n"/>
      <c r="H151" s="54" t="n"/>
      <c r="I151" s="59">
        <f>IF($A151="","",ROUND(IFERROR(VLOOKUP($B151,Shifts!$A$5:$E$12,5,FALSE),0)+IFERROR(VLOOKUP($C151,Shifts!$A$5:$E$12,5,FALSE),0)+IFERROR(VLOOKUP($D151,Shifts!$A$5:$E$12,5,FALSE),0)+IFERROR(VLOOKUP($E151,Shifts!$A$5:$E$12,5,FALSE),0)+IFERROR(VLOOKUP($F151,Shifts!$A$5:$E$12,5,FALSE),0)+IFERROR(VLOOKUP($G151,Shifts!$A$5:$E$12,5,FALSE),0)+IFERROR(VLOOKUP($H151,Shifts!$A$5:$E$12,5,FALSE),0),2))</f>
        <v/>
      </c>
      <c r="J151">
        <f>IF($A151="","",IF($I151&gt;'Weekly Schedule'!$J20,"⛔ +"&amp;TEXT($I151-'Weekly Schedule'!$J20,"0")&amp;" h",""))</f>
        <v/>
      </c>
    </row>
    <row r="152">
      <c r="A152">
        <f>IF('Weekly Schedule'!$A21="","",'Weekly Schedule'!$A21)</f>
        <v/>
      </c>
      <c r="B152" s="54" t="n"/>
      <c r="C152" s="54" t="n"/>
      <c r="D152" s="54" t="n"/>
      <c r="E152" s="54" t="n"/>
      <c r="F152" s="54" t="n"/>
      <c r="G152" s="54" t="n"/>
      <c r="H152" s="54" t="n"/>
      <c r="I152" s="59">
        <f>IF($A152="","",ROUND(IFERROR(VLOOKUP($B152,Shifts!$A$5:$E$12,5,FALSE),0)+IFERROR(VLOOKUP($C152,Shifts!$A$5:$E$12,5,FALSE),0)+IFERROR(VLOOKUP($D152,Shifts!$A$5:$E$12,5,FALSE),0)+IFERROR(VLOOKUP($E152,Shifts!$A$5:$E$12,5,FALSE),0)+IFERROR(VLOOKUP($F152,Shifts!$A$5:$E$12,5,FALSE),0)+IFERROR(VLOOKUP($G152,Shifts!$A$5:$E$12,5,FALSE),0)+IFERROR(VLOOKUP($H152,Shifts!$A$5:$E$12,5,FALSE),0),2))</f>
        <v/>
      </c>
      <c r="J152">
        <f>IF($A152="","",IF($I152&gt;'Weekly Schedule'!$J21,"⛔ +"&amp;TEXT($I152-'Weekly Schedule'!$J21,"0")&amp;" h",""))</f>
        <v/>
      </c>
    </row>
    <row r="153">
      <c r="A153">
        <f>IF('Weekly Schedule'!$A22="","",'Weekly Schedule'!$A22)</f>
        <v/>
      </c>
      <c r="B153" s="54" t="n"/>
      <c r="C153" s="54" t="n"/>
      <c r="D153" s="54" t="n"/>
      <c r="E153" s="54" t="n"/>
      <c r="F153" s="54" t="n"/>
      <c r="G153" s="54" t="n"/>
      <c r="H153" s="54" t="n"/>
      <c r="I153" s="59">
        <f>IF($A153="","",ROUND(IFERROR(VLOOKUP($B153,Shifts!$A$5:$E$12,5,FALSE),0)+IFERROR(VLOOKUP($C153,Shifts!$A$5:$E$12,5,FALSE),0)+IFERROR(VLOOKUP($D153,Shifts!$A$5:$E$12,5,FALSE),0)+IFERROR(VLOOKUP($E153,Shifts!$A$5:$E$12,5,FALSE),0)+IFERROR(VLOOKUP($F153,Shifts!$A$5:$E$12,5,FALSE),0)+IFERROR(VLOOKUP($G153,Shifts!$A$5:$E$12,5,FALSE),0)+IFERROR(VLOOKUP($H153,Shifts!$A$5:$E$12,5,FALSE),0),2))</f>
        <v/>
      </c>
      <c r="J153">
        <f>IF($A153="","",IF($I153&gt;'Weekly Schedule'!$J22,"⛔ +"&amp;TEXT($I153-'Weekly Schedule'!$J22,"0")&amp;" h",""))</f>
        <v/>
      </c>
    </row>
    <row r="154">
      <c r="A154">
        <f>IF('Weekly Schedule'!$A23="","",'Weekly Schedule'!$A23)</f>
        <v/>
      </c>
      <c r="B154" s="54" t="n"/>
      <c r="C154" s="54" t="n"/>
      <c r="D154" s="54" t="n"/>
      <c r="E154" s="54" t="n"/>
      <c r="F154" s="54" t="n"/>
      <c r="G154" s="54" t="n"/>
      <c r="H154" s="54" t="n"/>
      <c r="I154" s="59">
        <f>IF($A154="","",ROUND(IFERROR(VLOOKUP($B154,Shifts!$A$5:$E$12,5,FALSE),0)+IFERROR(VLOOKUP($C154,Shifts!$A$5:$E$12,5,FALSE),0)+IFERROR(VLOOKUP($D154,Shifts!$A$5:$E$12,5,FALSE),0)+IFERROR(VLOOKUP($E154,Shifts!$A$5:$E$12,5,FALSE),0)+IFERROR(VLOOKUP($F154,Shifts!$A$5:$E$12,5,FALSE),0)+IFERROR(VLOOKUP($G154,Shifts!$A$5:$E$12,5,FALSE),0)+IFERROR(VLOOKUP($H154,Shifts!$A$5:$E$12,5,FALSE),0),2))</f>
        <v/>
      </c>
      <c r="J154">
        <f>IF($A154="","",IF($I154&gt;'Weekly Schedule'!$J23,"⛔ +"&amp;TEXT($I154-'Weekly Schedule'!$J23,"0")&amp;" h",""))</f>
        <v/>
      </c>
    </row>
    <row r="155">
      <c r="A155">
        <f>IF('Weekly Schedule'!$A24="","",'Weekly Schedule'!$A24)</f>
        <v/>
      </c>
      <c r="B155" s="54" t="n"/>
      <c r="C155" s="54" t="n"/>
      <c r="D155" s="54" t="n"/>
      <c r="E155" s="54" t="n"/>
      <c r="F155" s="54" t="n"/>
      <c r="G155" s="54" t="n"/>
      <c r="H155" s="54" t="n"/>
      <c r="I155" s="59">
        <f>IF($A155="","",ROUND(IFERROR(VLOOKUP($B155,Shifts!$A$5:$E$12,5,FALSE),0)+IFERROR(VLOOKUP($C155,Shifts!$A$5:$E$12,5,FALSE),0)+IFERROR(VLOOKUP($D155,Shifts!$A$5:$E$12,5,FALSE),0)+IFERROR(VLOOKUP($E155,Shifts!$A$5:$E$12,5,FALSE),0)+IFERROR(VLOOKUP($F155,Shifts!$A$5:$E$12,5,FALSE),0)+IFERROR(VLOOKUP($G155,Shifts!$A$5:$E$12,5,FALSE),0)+IFERROR(VLOOKUP($H155,Shifts!$A$5:$E$12,5,FALSE),0),2))</f>
        <v/>
      </c>
      <c r="J155">
        <f>IF($A155="","",IF($I155&gt;'Weekly Schedule'!$J24,"⛔ +"&amp;TEXT($I155-'Weekly Schedule'!$J24,"0")&amp;" h",""))</f>
        <v/>
      </c>
    </row>
    <row r="156">
      <c r="A156">
        <f>IF('Weekly Schedule'!$A25="","",'Weekly Schedule'!$A25)</f>
        <v/>
      </c>
      <c r="B156" s="54" t="n"/>
      <c r="C156" s="54" t="n"/>
      <c r="D156" s="54" t="n"/>
      <c r="E156" s="54" t="n"/>
      <c r="F156" s="54" t="n"/>
      <c r="G156" s="54" t="n"/>
      <c r="H156" s="54" t="n"/>
      <c r="I156" s="59">
        <f>IF($A156="","",ROUND(IFERROR(VLOOKUP($B156,Shifts!$A$5:$E$12,5,FALSE),0)+IFERROR(VLOOKUP($C156,Shifts!$A$5:$E$12,5,FALSE),0)+IFERROR(VLOOKUP($D156,Shifts!$A$5:$E$12,5,FALSE),0)+IFERROR(VLOOKUP($E156,Shifts!$A$5:$E$12,5,FALSE),0)+IFERROR(VLOOKUP($F156,Shifts!$A$5:$E$12,5,FALSE),0)+IFERROR(VLOOKUP($G156,Shifts!$A$5:$E$12,5,FALSE),0)+IFERROR(VLOOKUP($H156,Shifts!$A$5:$E$12,5,FALSE),0),2))</f>
        <v/>
      </c>
      <c r="J156">
        <f>IF($A156="","",IF($I156&gt;'Weekly Schedule'!$J25,"⛔ +"&amp;TEXT($I156-'Weekly Schedule'!$J25,"0")&amp;" h",""))</f>
        <v/>
      </c>
    </row>
    <row r="157">
      <c r="A157">
        <f>IF('Weekly Schedule'!$A26="","",'Weekly Schedule'!$A26)</f>
        <v/>
      </c>
      <c r="B157" s="54" t="n"/>
      <c r="C157" s="54" t="n"/>
      <c r="D157" s="54" t="n"/>
      <c r="E157" s="54" t="n"/>
      <c r="F157" s="54" t="n"/>
      <c r="G157" s="54" t="n"/>
      <c r="H157" s="54" t="n"/>
      <c r="I157" s="59">
        <f>IF($A157="","",ROUND(IFERROR(VLOOKUP($B157,Shifts!$A$5:$E$12,5,FALSE),0)+IFERROR(VLOOKUP($C157,Shifts!$A$5:$E$12,5,FALSE),0)+IFERROR(VLOOKUP($D157,Shifts!$A$5:$E$12,5,FALSE),0)+IFERROR(VLOOKUP($E157,Shifts!$A$5:$E$12,5,FALSE),0)+IFERROR(VLOOKUP($F157,Shifts!$A$5:$E$12,5,FALSE),0)+IFERROR(VLOOKUP($G157,Shifts!$A$5:$E$12,5,FALSE),0)+IFERROR(VLOOKUP($H157,Shifts!$A$5:$E$12,5,FALSE),0),2))</f>
        <v/>
      </c>
      <c r="J157">
        <f>IF($A157="","",IF($I157&gt;'Weekly Schedule'!$J26,"⛔ +"&amp;TEXT($I157-'Weekly Schedule'!$J26,"0")&amp;" h",""))</f>
        <v/>
      </c>
    </row>
    <row r="158">
      <c r="A158">
        <f>IF('Weekly Schedule'!$A27="","",'Weekly Schedule'!$A27)</f>
        <v/>
      </c>
      <c r="B158" s="54" t="n"/>
      <c r="C158" s="54" t="n"/>
      <c r="D158" s="54" t="n"/>
      <c r="E158" s="54" t="n"/>
      <c r="F158" s="54" t="n"/>
      <c r="G158" s="54" t="n"/>
      <c r="H158" s="54" t="n"/>
      <c r="I158" s="59">
        <f>IF($A158="","",ROUND(IFERROR(VLOOKUP($B158,Shifts!$A$5:$E$12,5,FALSE),0)+IFERROR(VLOOKUP($C158,Shifts!$A$5:$E$12,5,FALSE),0)+IFERROR(VLOOKUP($D158,Shifts!$A$5:$E$12,5,FALSE),0)+IFERROR(VLOOKUP($E158,Shifts!$A$5:$E$12,5,FALSE),0)+IFERROR(VLOOKUP($F158,Shifts!$A$5:$E$12,5,FALSE),0)+IFERROR(VLOOKUP($G158,Shifts!$A$5:$E$12,5,FALSE),0)+IFERROR(VLOOKUP($H158,Shifts!$A$5:$E$12,5,FALSE),0),2))</f>
        <v/>
      </c>
      <c r="J158">
        <f>IF($A158="","",IF($I158&gt;'Weekly Schedule'!$J27,"⛔ +"&amp;TEXT($I158-'Weekly Schedule'!$J27,"0")&amp;" h",""))</f>
        <v/>
      </c>
    </row>
    <row r="159">
      <c r="A159">
        <f>IF('Weekly Schedule'!$A28="","",'Weekly Schedule'!$A28)</f>
        <v/>
      </c>
      <c r="B159" s="54" t="n"/>
      <c r="C159" s="54" t="n"/>
      <c r="D159" s="54" t="n"/>
      <c r="E159" s="54" t="n"/>
      <c r="F159" s="54" t="n"/>
      <c r="G159" s="54" t="n"/>
      <c r="H159" s="54" t="n"/>
      <c r="I159" s="59">
        <f>IF($A159="","",ROUND(IFERROR(VLOOKUP($B159,Shifts!$A$5:$E$12,5,FALSE),0)+IFERROR(VLOOKUP($C159,Shifts!$A$5:$E$12,5,FALSE),0)+IFERROR(VLOOKUP($D159,Shifts!$A$5:$E$12,5,FALSE),0)+IFERROR(VLOOKUP($E159,Shifts!$A$5:$E$12,5,FALSE),0)+IFERROR(VLOOKUP($F159,Shifts!$A$5:$E$12,5,FALSE),0)+IFERROR(VLOOKUP($G159,Shifts!$A$5:$E$12,5,FALSE),0)+IFERROR(VLOOKUP($H159,Shifts!$A$5:$E$12,5,FALSE),0),2))</f>
        <v/>
      </c>
      <c r="J159">
        <f>IF($A159="","",IF($I159&gt;'Weekly Schedule'!$J28,"⛔ +"&amp;TEXT($I159-'Weekly Schedule'!$J28,"0")&amp;" h",""))</f>
        <v/>
      </c>
    </row>
    <row r="160">
      <c r="A160">
        <f>IF('Weekly Schedule'!$A29="","",'Weekly Schedule'!$A29)</f>
        <v/>
      </c>
      <c r="B160" s="54" t="n"/>
      <c r="C160" s="54" t="n"/>
      <c r="D160" s="54" t="n"/>
      <c r="E160" s="54" t="n"/>
      <c r="F160" s="54" t="n"/>
      <c r="G160" s="54" t="n"/>
      <c r="H160" s="54" t="n"/>
      <c r="I160" s="59">
        <f>IF($A160="","",ROUND(IFERROR(VLOOKUP($B160,Shifts!$A$5:$E$12,5,FALSE),0)+IFERROR(VLOOKUP($C160,Shifts!$A$5:$E$12,5,FALSE),0)+IFERROR(VLOOKUP($D160,Shifts!$A$5:$E$12,5,FALSE),0)+IFERROR(VLOOKUP($E160,Shifts!$A$5:$E$12,5,FALSE),0)+IFERROR(VLOOKUP($F160,Shifts!$A$5:$E$12,5,FALSE),0)+IFERROR(VLOOKUP($G160,Shifts!$A$5:$E$12,5,FALSE),0)+IFERROR(VLOOKUP($H160,Shifts!$A$5:$E$12,5,FALSE),0),2))</f>
        <v/>
      </c>
      <c r="J160">
        <f>IF($A160="","",IF($I160&gt;'Weekly Schedule'!$J29,"⛔ +"&amp;TEXT($I160-'Weekly Schedule'!$J29,"0")&amp;" h",""))</f>
        <v/>
      </c>
    </row>
    <row r="161">
      <c r="A161">
        <f>IF('Weekly Schedule'!$A30="","",'Weekly Schedule'!$A30)</f>
        <v/>
      </c>
      <c r="B161" s="54" t="n"/>
      <c r="C161" s="54" t="n"/>
      <c r="D161" s="54" t="n"/>
      <c r="E161" s="54" t="n"/>
      <c r="F161" s="54" t="n"/>
      <c r="G161" s="54" t="n"/>
      <c r="H161" s="54" t="n"/>
      <c r="I161" s="59">
        <f>IF($A161="","",ROUND(IFERROR(VLOOKUP($B161,Shifts!$A$5:$E$12,5,FALSE),0)+IFERROR(VLOOKUP($C161,Shifts!$A$5:$E$12,5,FALSE),0)+IFERROR(VLOOKUP($D161,Shifts!$A$5:$E$12,5,FALSE),0)+IFERROR(VLOOKUP($E161,Shifts!$A$5:$E$12,5,FALSE),0)+IFERROR(VLOOKUP($F161,Shifts!$A$5:$E$12,5,FALSE),0)+IFERROR(VLOOKUP($G161,Shifts!$A$5:$E$12,5,FALSE),0)+IFERROR(VLOOKUP($H161,Shifts!$A$5:$E$12,5,FALSE),0),2))</f>
        <v/>
      </c>
      <c r="J161">
        <f>IF($A161="","",IF($I161&gt;'Weekly Schedule'!$J30,"⛔ +"&amp;TEXT($I161-'Weekly Schedule'!$J30,"0")&amp;" h",""))</f>
        <v/>
      </c>
    </row>
    <row r="162">
      <c r="A162">
        <f>IF('Weekly Schedule'!$A31="","",'Weekly Schedule'!$A31)</f>
        <v/>
      </c>
      <c r="B162" s="54" t="n"/>
      <c r="C162" s="54" t="n"/>
      <c r="D162" s="54" t="n"/>
      <c r="E162" s="54" t="n"/>
      <c r="F162" s="54" t="n"/>
      <c r="G162" s="54" t="n"/>
      <c r="H162" s="54" t="n"/>
      <c r="I162" s="59">
        <f>IF($A162="","",ROUND(IFERROR(VLOOKUP($B162,Shifts!$A$5:$E$12,5,FALSE),0)+IFERROR(VLOOKUP($C162,Shifts!$A$5:$E$12,5,FALSE),0)+IFERROR(VLOOKUP($D162,Shifts!$A$5:$E$12,5,FALSE),0)+IFERROR(VLOOKUP($E162,Shifts!$A$5:$E$12,5,FALSE),0)+IFERROR(VLOOKUP($F162,Shifts!$A$5:$E$12,5,FALSE),0)+IFERROR(VLOOKUP($G162,Shifts!$A$5:$E$12,5,FALSE),0)+IFERROR(VLOOKUP($H162,Shifts!$A$5:$E$12,5,FALSE),0),2))</f>
        <v/>
      </c>
      <c r="J162">
        <f>IF($A162="","",IF($I162&gt;'Weekly Schedule'!$J31,"⛔ +"&amp;TEXT($I162-'Weekly Schedule'!$J31,"0")&amp;" h",""))</f>
        <v/>
      </c>
    </row>
    <row r="163">
      <c r="A163">
        <f>IF('Weekly Schedule'!$A32="","",'Weekly Schedule'!$A32)</f>
        <v/>
      </c>
      <c r="B163" s="54" t="n"/>
      <c r="C163" s="54" t="n"/>
      <c r="D163" s="54" t="n"/>
      <c r="E163" s="54" t="n"/>
      <c r="F163" s="54" t="n"/>
      <c r="G163" s="54" t="n"/>
      <c r="H163" s="54" t="n"/>
      <c r="I163" s="59">
        <f>IF($A163="","",ROUND(IFERROR(VLOOKUP($B163,Shifts!$A$5:$E$12,5,FALSE),0)+IFERROR(VLOOKUP($C163,Shifts!$A$5:$E$12,5,FALSE),0)+IFERROR(VLOOKUP($D163,Shifts!$A$5:$E$12,5,FALSE),0)+IFERROR(VLOOKUP($E163,Shifts!$A$5:$E$12,5,FALSE),0)+IFERROR(VLOOKUP($F163,Shifts!$A$5:$E$12,5,FALSE),0)+IFERROR(VLOOKUP($G163,Shifts!$A$5:$E$12,5,FALSE),0)+IFERROR(VLOOKUP($H163,Shifts!$A$5:$E$12,5,FALSE),0),2))</f>
        <v/>
      </c>
      <c r="J163">
        <f>IF($A163="","",IF($I163&gt;'Weekly Schedule'!$J32,"⛔ +"&amp;TEXT($I163-'Weekly Schedule'!$J32,"0")&amp;" h",""))</f>
        <v/>
      </c>
    </row>
    <row r="164">
      <c r="A164">
        <f>IF('Weekly Schedule'!$A33="","",'Weekly Schedule'!$A33)</f>
        <v/>
      </c>
      <c r="B164" s="54" t="n"/>
      <c r="C164" s="54" t="n"/>
      <c r="D164" s="54" t="n"/>
      <c r="E164" s="54" t="n"/>
      <c r="F164" s="54" t="n"/>
      <c r="G164" s="54" t="n"/>
      <c r="H164" s="54" t="n"/>
      <c r="I164" s="59">
        <f>IF($A164="","",ROUND(IFERROR(VLOOKUP($B164,Shifts!$A$5:$E$12,5,FALSE),0)+IFERROR(VLOOKUP($C164,Shifts!$A$5:$E$12,5,FALSE),0)+IFERROR(VLOOKUP($D164,Shifts!$A$5:$E$12,5,FALSE),0)+IFERROR(VLOOKUP($E164,Shifts!$A$5:$E$12,5,FALSE),0)+IFERROR(VLOOKUP($F164,Shifts!$A$5:$E$12,5,FALSE),0)+IFERROR(VLOOKUP($G164,Shifts!$A$5:$E$12,5,FALSE),0)+IFERROR(VLOOKUP($H164,Shifts!$A$5:$E$12,5,FALSE),0),2))</f>
        <v/>
      </c>
      <c r="J164">
        <f>IF($A164="","",IF($I164&gt;'Weekly Schedule'!$J33,"⛔ +"&amp;TEXT($I164-'Weekly Schedule'!$J33,"0")&amp;" h",""))</f>
        <v/>
      </c>
    </row>
    <row r="165">
      <c r="A165">
        <f>IF('Weekly Schedule'!$A34="","",'Weekly Schedule'!$A34)</f>
        <v/>
      </c>
      <c r="B165" s="54" t="n"/>
      <c r="C165" s="54" t="n"/>
      <c r="D165" s="54" t="n"/>
      <c r="E165" s="54" t="n"/>
      <c r="F165" s="54" t="n"/>
      <c r="G165" s="54" t="n"/>
      <c r="H165" s="54" t="n"/>
      <c r="I165" s="59">
        <f>IF($A165="","",ROUND(IFERROR(VLOOKUP($B165,Shifts!$A$5:$E$12,5,FALSE),0)+IFERROR(VLOOKUP($C165,Shifts!$A$5:$E$12,5,FALSE),0)+IFERROR(VLOOKUP($D165,Shifts!$A$5:$E$12,5,FALSE),0)+IFERROR(VLOOKUP($E165,Shifts!$A$5:$E$12,5,FALSE),0)+IFERROR(VLOOKUP($F165,Shifts!$A$5:$E$12,5,FALSE),0)+IFERROR(VLOOKUP($G165,Shifts!$A$5:$E$12,5,FALSE),0)+IFERROR(VLOOKUP($H165,Shifts!$A$5:$E$12,5,FALSE),0),2))</f>
        <v/>
      </c>
      <c r="J165">
        <f>IF($A165="","",IF($I165&gt;'Weekly Schedule'!$J34,"⛔ +"&amp;TEXT($I165-'Weekly Schedule'!$J34,"0")&amp;" h",""))</f>
        <v/>
      </c>
    </row>
    <row r="166">
      <c r="A166">
        <f>IF('Weekly Schedule'!$A35="","",'Weekly Schedule'!$A35)</f>
        <v/>
      </c>
      <c r="B166" s="54" t="n"/>
      <c r="C166" s="54" t="n"/>
      <c r="D166" s="54" t="n"/>
      <c r="E166" s="54" t="n"/>
      <c r="F166" s="54" t="n"/>
      <c r="G166" s="54" t="n"/>
      <c r="H166" s="54" t="n"/>
      <c r="I166" s="59">
        <f>IF($A166="","",ROUND(IFERROR(VLOOKUP($B166,Shifts!$A$5:$E$12,5,FALSE),0)+IFERROR(VLOOKUP($C166,Shifts!$A$5:$E$12,5,FALSE),0)+IFERROR(VLOOKUP($D166,Shifts!$A$5:$E$12,5,FALSE),0)+IFERROR(VLOOKUP($E166,Shifts!$A$5:$E$12,5,FALSE),0)+IFERROR(VLOOKUP($F166,Shifts!$A$5:$E$12,5,FALSE),0)+IFERROR(VLOOKUP($G166,Shifts!$A$5:$E$12,5,FALSE),0)+IFERROR(VLOOKUP($H166,Shifts!$A$5:$E$12,5,FALSE),0),2))</f>
        <v/>
      </c>
      <c r="J166">
        <f>IF($A166="","",IF($I166&gt;'Weekly Schedule'!$J35,"⛔ +"&amp;TEXT($I166-'Weekly Schedule'!$J35,"0")&amp;" h",""))</f>
        <v/>
      </c>
    </row>
    <row r="167">
      <c r="I167" s="59" t="n"/>
    </row>
    <row r="168" ht="20" customHeight="1">
      <c r="A168" s="60" t="inlineStr">
        <is>
          <t>MONTHLY TOTAL PER EMPLOYEE</t>
        </is>
      </c>
    </row>
    <row r="169" ht="30" customHeight="1">
      <c r="A169" s="27" t="inlineStr">
        <is>
          <t>Employee</t>
        </is>
      </c>
      <c r="B169" s="27" t="inlineStr">
        <is>
          <t>Week 1</t>
        </is>
      </c>
      <c r="C169" s="27" t="inlineStr">
        <is>
          <t>Week 2</t>
        </is>
      </c>
      <c r="D169" s="27" t="inlineStr">
        <is>
          <t>Week 3</t>
        </is>
      </c>
      <c r="E169" s="27" t="inlineStr">
        <is>
          <t>Week 4</t>
        </is>
      </c>
      <c r="F169" s="27" t="inlineStr">
        <is>
          <t>Week 5</t>
        </is>
      </c>
      <c r="G169" s="27" t="inlineStr">
        <is>
          <t>Month total</t>
        </is>
      </c>
      <c r="H169" s="27" t="inlineStr">
        <is>
          <t>Weekly average</t>
        </is>
      </c>
      <c r="I169" s="27" t="inlineStr">
        <is>
          <t>Max hours/week (OT after 40)</t>
        </is>
      </c>
      <c r="J169" s="27" t="inlineStr">
        <is>
          <t>Average-hours alert</t>
        </is>
      </c>
    </row>
    <row r="170">
      <c r="A170">
        <f>IF('Weekly Schedule'!$A6="","",'Weekly Schedule'!$A6)</f>
        <v/>
      </c>
      <c r="B170">
        <f>IF($A170="","",$I5)</f>
        <v/>
      </c>
      <c r="C170">
        <f>IF($A170="","",$I38)</f>
        <v/>
      </c>
      <c r="D170">
        <f>IF($A170="","",$I71)</f>
        <v/>
      </c>
      <c r="E170">
        <f>IF($A170="","",$I104)</f>
        <v/>
      </c>
      <c r="F170">
        <f>IF($A170="","",$I137)</f>
        <v/>
      </c>
      <c r="G170">
        <f>IF($A170="","",ROUND(SUM($B170:$F170),2))</f>
        <v/>
      </c>
      <c r="H170">
        <f>IF(COUNT($B170:$F170)=0,"",ROUND(AVERAGE($B170:$F170),2))</f>
        <v/>
      </c>
      <c r="I170" s="59">
        <f>IF('Weekly Schedule'!$A6="","",'Weekly Schedule'!$J6)</f>
        <v/>
      </c>
      <c r="J170">
        <f>IF(OR($H170="",$I170=""),"",IF($H170&gt;$I170,"⛔ avg +"&amp;TEXT($H170-$I170,"0")&amp;" h/week",""))</f>
        <v/>
      </c>
    </row>
    <row r="171">
      <c r="A171">
        <f>IF('Weekly Schedule'!$A7="","",'Weekly Schedule'!$A7)</f>
        <v/>
      </c>
      <c r="B171">
        <f>IF($A171="","",$I6)</f>
        <v/>
      </c>
      <c r="C171">
        <f>IF($A171="","",$I39)</f>
        <v/>
      </c>
      <c r="D171">
        <f>IF($A171="","",$I72)</f>
        <v/>
      </c>
      <c r="E171">
        <f>IF($A171="","",$I105)</f>
        <v/>
      </c>
      <c r="F171">
        <f>IF($A171="","",$I138)</f>
        <v/>
      </c>
      <c r="G171">
        <f>IF($A171="","",ROUND(SUM($B171:$F171),2))</f>
        <v/>
      </c>
      <c r="H171">
        <f>IF(COUNT($B171:$F171)=0,"",ROUND(AVERAGE($B171:$F171),2))</f>
        <v/>
      </c>
      <c r="I171" s="59">
        <f>IF('Weekly Schedule'!$A7="","",'Weekly Schedule'!$J7)</f>
        <v/>
      </c>
      <c r="J171">
        <f>IF(OR($H171="",$I171=""),"",IF($H171&gt;$I171,"⛔ avg +"&amp;TEXT($H171-$I171,"0")&amp;" h/week",""))</f>
        <v/>
      </c>
    </row>
    <row r="172">
      <c r="A172">
        <f>IF('Weekly Schedule'!$A8="","",'Weekly Schedule'!$A8)</f>
        <v/>
      </c>
      <c r="B172">
        <f>IF($A172="","",$I7)</f>
        <v/>
      </c>
      <c r="C172">
        <f>IF($A172="","",$I40)</f>
        <v/>
      </c>
      <c r="D172">
        <f>IF($A172="","",$I73)</f>
        <v/>
      </c>
      <c r="E172">
        <f>IF($A172="","",$I106)</f>
        <v/>
      </c>
      <c r="F172">
        <f>IF($A172="","",$I139)</f>
        <v/>
      </c>
      <c r="G172">
        <f>IF($A172="","",ROUND(SUM($B172:$F172),2))</f>
        <v/>
      </c>
      <c r="H172">
        <f>IF(COUNT($B172:$F172)=0,"",ROUND(AVERAGE($B172:$F172),2))</f>
        <v/>
      </c>
      <c r="I172" s="59">
        <f>IF('Weekly Schedule'!$A8="","",'Weekly Schedule'!$J8)</f>
        <v/>
      </c>
      <c r="J172">
        <f>IF(OR($H172="",$I172=""),"",IF($H172&gt;$I172,"⛔ avg +"&amp;TEXT($H172-$I172,"0")&amp;" h/week",""))</f>
        <v/>
      </c>
    </row>
    <row r="173">
      <c r="A173">
        <f>IF('Weekly Schedule'!$A9="","",'Weekly Schedule'!$A9)</f>
        <v/>
      </c>
      <c r="B173">
        <f>IF($A173="","",$I8)</f>
        <v/>
      </c>
      <c r="C173">
        <f>IF($A173="","",$I41)</f>
        <v/>
      </c>
      <c r="D173">
        <f>IF($A173="","",$I74)</f>
        <v/>
      </c>
      <c r="E173">
        <f>IF($A173="","",$I107)</f>
        <v/>
      </c>
      <c r="F173">
        <f>IF($A173="","",$I140)</f>
        <v/>
      </c>
      <c r="G173">
        <f>IF($A173="","",ROUND(SUM($B173:$F173),2))</f>
        <v/>
      </c>
      <c r="H173">
        <f>IF(COUNT($B173:$F173)=0,"",ROUND(AVERAGE($B173:$F173),2))</f>
        <v/>
      </c>
      <c r="I173" s="59">
        <f>IF('Weekly Schedule'!$A9="","",'Weekly Schedule'!$J9)</f>
        <v/>
      </c>
      <c r="J173">
        <f>IF(OR($H173="",$I173=""),"",IF($H173&gt;$I173,"⛔ avg +"&amp;TEXT($H173-$I173,"0")&amp;" h/week",""))</f>
        <v/>
      </c>
    </row>
    <row r="174">
      <c r="A174">
        <f>IF('Weekly Schedule'!$A10="","",'Weekly Schedule'!$A10)</f>
        <v/>
      </c>
      <c r="B174">
        <f>IF($A174="","",$I9)</f>
        <v/>
      </c>
      <c r="C174">
        <f>IF($A174="","",$I42)</f>
        <v/>
      </c>
      <c r="D174">
        <f>IF($A174="","",$I75)</f>
        <v/>
      </c>
      <c r="E174">
        <f>IF($A174="","",$I108)</f>
        <v/>
      </c>
      <c r="F174">
        <f>IF($A174="","",$I141)</f>
        <v/>
      </c>
      <c r="G174">
        <f>IF($A174="","",ROUND(SUM($B174:$F174),2))</f>
        <v/>
      </c>
      <c r="H174">
        <f>IF(COUNT($B174:$F174)=0,"",ROUND(AVERAGE($B174:$F174),2))</f>
        <v/>
      </c>
      <c r="I174" s="59">
        <f>IF('Weekly Schedule'!$A10="","",'Weekly Schedule'!$J10)</f>
        <v/>
      </c>
      <c r="J174">
        <f>IF(OR($H174="",$I174=""),"",IF($H174&gt;$I174,"⛔ avg +"&amp;TEXT($H174-$I174,"0")&amp;" h/week",""))</f>
        <v/>
      </c>
    </row>
    <row r="175">
      <c r="A175">
        <f>IF('Weekly Schedule'!$A11="","",'Weekly Schedule'!$A11)</f>
        <v/>
      </c>
      <c r="B175">
        <f>IF($A175="","",$I10)</f>
        <v/>
      </c>
      <c r="C175">
        <f>IF($A175="","",$I43)</f>
        <v/>
      </c>
      <c r="D175">
        <f>IF($A175="","",$I76)</f>
        <v/>
      </c>
      <c r="E175">
        <f>IF($A175="","",$I109)</f>
        <v/>
      </c>
      <c r="F175">
        <f>IF($A175="","",$I142)</f>
        <v/>
      </c>
      <c r="G175">
        <f>IF($A175="","",ROUND(SUM($B175:$F175),2))</f>
        <v/>
      </c>
      <c r="H175">
        <f>IF(COUNT($B175:$F175)=0,"",ROUND(AVERAGE($B175:$F175),2))</f>
        <v/>
      </c>
      <c r="I175" s="59">
        <f>IF('Weekly Schedule'!$A11="","",'Weekly Schedule'!$J11)</f>
        <v/>
      </c>
      <c r="J175">
        <f>IF(OR($H175="",$I175=""),"",IF($H175&gt;$I175,"⛔ avg +"&amp;TEXT($H175-$I175,"0")&amp;" h/week",""))</f>
        <v/>
      </c>
    </row>
    <row r="176">
      <c r="A176">
        <f>IF('Weekly Schedule'!$A12="","",'Weekly Schedule'!$A12)</f>
        <v/>
      </c>
      <c r="B176">
        <f>IF($A176="","",$I11)</f>
        <v/>
      </c>
      <c r="C176">
        <f>IF($A176="","",$I44)</f>
        <v/>
      </c>
      <c r="D176">
        <f>IF($A176="","",$I77)</f>
        <v/>
      </c>
      <c r="E176">
        <f>IF($A176="","",$I110)</f>
        <v/>
      </c>
      <c r="F176">
        <f>IF($A176="","",$I143)</f>
        <v/>
      </c>
      <c r="G176">
        <f>IF($A176="","",ROUND(SUM($B176:$F176),2))</f>
        <v/>
      </c>
      <c r="H176">
        <f>IF(COUNT($B176:$F176)=0,"",ROUND(AVERAGE($B176:$F176),2))</f>
        <v/>
      </c>
      <c r="I176" s="59">
        <f>IF('Weekly Schedule'!$A12="","",'Weekly Schedule'!$J12)</f>
        <v/>
      </c>
      <c r="J176">
        <f>IF(OR($H176="",$I176=""),"",IF($H176&gt;$I176,"⛔ avg +"&amp;TEXT($H176-$I176,"0")&amp;" h/week",""))</f>
        <v/>
      </c>
    </row>
    <row r="177">
      <c r="A177">
        <f>IF('Weekly Schedule'!$A13="","",'Weekly Schedule'!$A13)</f>
        <v/>
      </c>
      <c r="B177">
        <f>IF($A177="","",$I12)</f>
        <v/>
      </c>
      <c r="C177">
        <f>IF($A177="","",$I45)</f>
        <v/>
      </c>
      <c r="D177">
        <f>IF($A177="","",$I78)</f>
        <v/>
      </c>
      <c r="E177">
        <f>IF($A177="","",$I111)</f>
        <v/>
      </c>
      <c r="F177">
        <f>IF($A177="","",$I144)</f>
        <v/>
      </c>
      <c r="G177">
        <f>IF($A177="","",ROUND(SUM($B177:$F177),2))</f>
        <v/>
      </c>
      <c r="H177">
        <f>IF(COUNT($B177:$F177)=0,"",ROUND(AVERAGE($B177:$F177),2))</f>
        <v/>
      </c>
      <c r="I177" s="59">
        <f>IF('Weekly Schedule'!$A13="","",'Weekly Schedule'!$J13)</f>
        <v/>
      </c>
      <c r="J177">
        <f>IF(OR($H177="",$I177=""),"",IF($H177&gt;$I177,"⛔ avg +"&amp;TEXT($H177-$I177,"0")&amp;" h/week",""))</f>
        <v/>
      </c>
    </row>
    <row r="178">
      <c r="A178">
        <f>IF('Weekly Schedule'!$A14="","",'Weekly Schedule'!$A14)</f>
        <v/>
      </c>
      <c r="B178">
        <f>IF($A178="","",$I13)</f>
        <v/>
      </c>
      <c r="C178">
        <f>IF($A178="","",$I46)</f>
        <v/>
      </c>
      <c r="D178">
        <f>IF($A178="","",$I79)</f>
        <v/>
      </c>
      <c r="E178">
        <f>IF($A178="","",$I112)</f>
        <v/>
      </c>
      <c r="F178">
        <f>IF($A178="","",$I145)</f>
        <v/>
      </c>
      <c r="G178">
        <f>IF($A178="","",ROUND(SUM($B178:$F178),2))</f>
        <v/>
      </c>
      <c r="H178">
        <f>IF(COUNT($B178:$F178)=0,"",ROUND(AVERAGE($B178:$F178),2))</f>
        <v/>
      </c>
      <c r="I178" s="59">
        <f>IF('Weekly Schedule'!$A14="","",'Weekly Schedule'!$J14)</f>
        <v/>
      </c>
      <c r="J178">
        <f>IF(OR($H178="",$I178=""),"",IF($H178&gt;$I178,"⛔ avg +"&amp;TEXT($H178-$I178,"0")&amp;" h/week",""))</f>
        <v/>
      </c>
    </row>
    <row r="179">
      <c r="A179">
        <f>IF('Weekly Schedule'!$A15="","",'Weekly Schedule'!$A15)</f>
        <v/>
      </c>
      <c r="B179">
        <f>IF($A179="","",$I14)</f>
        <v/>
      </c>
      <c r="C179">
        <f>IF($A179="","",$I47)</f>
        <v/>
      </c>
      <c r="D179">
        <f>IF($A179="","",$I80)</f>
        <v/>
      </c>
      <c r="E179">
        <f>IF($A179="","",$I113)</f>
        <v/>
      </c>
      <c r="F179">
        <f>IF($A179="","",$I146)</f>
        <v/>
      </c>
      <c r="G179">
        <f>IF($A179="","",ROUND(SUM($B179:$F179),2))</f>
        <v/>
      </c>
      <c r="H179">
        <f>IF(COUNT($B179:$F179)=0,"",ROUND(AVERAGE($B179:$F179),2))</f>
        <v/>
      </c>
      <c r="I179" s="59">
        <f>IF('Weekly Schedule'!$A15="","",'Weekly Schedule'!$J15)</f>
        <v/>
      </c>
      <c r="J179">
        <f>IF(OR($H179="",$I179=""),"",IF($H179&gt;$I179,"⛔ avg +"&amp;TEXT($H179-$I179,"0")&amp;" h/week",""))</f>
        <v/>
      </c>
    </row>
    <row r="180">
      <c r="A180">
        <f>IF('Weekly Schedule'!$A16="","",'Weekly Schedule'!$A16)</f>
        <v/>
      </c>
      <c r="B180">
        <f>IF($A180="","",$I15)</f>
        <v/>
      </c>
      <c r="C180">
        <f>IF($A180="","",$I48)</f>
        <v/>
      </c>
      <c r="D180">
        <f>IF($A180="","",$I81)</f>
        <v/>
      </c>
      <c r="E180">
        <f>IF($A180="","",$I114)</f>
        <v/>
      </c>
      <c r="F180">
        <f>IF($A180="","",$I147)</f>
        <v/>
      </c>
      <c r="G180">
        <f>IF($A180="","",ROUND(SUM($B180:$F180),2))</f>
        <v/>
      </c>
      <c r="H180">
        <f>IF(COUNT($B180:$F180)=0,"",ROUND(AVERAGE($B180:$F180),2))</f>
        <v/>
      </c>
      <c r="I180" s="59">
        <f>IF('Weekly Schedule'!$A16="","",'Weekly Schedule'!$J16)</f>
        <v/>
      </c>
      <c r="J180">
        <f>IF(OR($H180="",$I180=""),"",IF($H180&gt;$I180,"⛔ avg +"&amp;TEXT($H180-$I180,"0")&amp;" h/week",""))</f>
        <v/>
      </c>
    </row>
    <row r="181">
      <c r="A181">
        <f>IF('Weekly Schedule'!$A17="","",'Weekly Schedule'!$A17)</f>
        <v/>
      </c>
      <c r="B181">
        <f>IF($A181="","",$I16)</f>
        <v/>
      </c>
      <c r="C181">
        <f>IF($A181="","",$I49)</f>
        <v/>
      </c>
      <c r="D181">
        <f>IF($A181="","",$I82)</f>
        <v/>
      </c>
      <c r="E181">
        <f>IF($A181="","",$I115)</f>
        <v/>
      </c>
      <c r="F181">
        <f>IF($A181="","",$I148)</f>
        <v/>
      </c>
      <c r="G181">
        <f>IF($A181="","",ROUND(SUM($B181:$F181),2))</f>
        <v/>
      </c>
      <c r="H181">
        <f>IF(COUNT($B181:$F181)=0,"",ROUND(AVERAGE($B181:$F181),2))</f>
        <v/>
      </c>
      <c r="I181" s="59">
        <f>IF('Weekly Schedule'!$A17="","",'Weekly Schedule'!$J17)</f>
        <v/>
      </c>
      <c r="J181">
        <f>IF(OR($H181="",$I181=""),"",IF($H181&gt;$I181,"⛔ avg +"&amp;TEXT($H181-$I181,"0")&amp;" h/week",""))</f>
        <v/>
      </c>
    </row>
    <row r="182">
      <c r="A182">
        <f>IF('Weekly Schedule'!$A18="","",'Weekly Schedule'!$A18)</f>
        <v/>
      </c>
      <c r="B182">
        <f>IF($A182="","",$I17)</f>
        <v/>
      </c>
      <c r="C182">
        <f>IF($A182="","",$I50)</f>
        <v/>
      </c>
      <c r="D182">
        <f>IF($A182="","",$I83)</f>
        <v/>
      </c>
      <c r="E182">
        <f>IF($A182="","",$I116)</f>
        <v/>
      </c>
      <c r="F182">
        <f>IF($A182="","",$I149)</f>
        <v/>
      </c>
      <c r="G182">
        <f>IF($A182="","",ROUND(SUM($B182:$F182),2))</f>
        <v/>
      </c>
      <c r="H182">
        <f>IF(COUNT($B182:$F182)=0,"",ROUND(AVERAGE($B182:$F182),2))</f>
        <v/>
      </c>
      <c r="I182" s="59">
        <f>IF('Weekly Schedule'!$A18="","",'Weekly Schedule'!$J18)</f>
        <v/>
      </c>
      <c r="J182">
        <f>IF(OR($H182="",$I182=""),"",IF($H182&gt;$I182,"⛔ avg +"&amp;TEXT($H182-$I182,"0")&amp;" h/week",""))</f>
        <v/>
      </c>
    </row>
    <row r="183">
      <c r="A183">
        <f>IF('Weekly Schedule'!$A19="","",'Weekly Schedule'!$A19)</f>
        <v/>
      </c>
      <c r="B183">
        <f>IF($A183="","",$I18)</f>
        <v/>
      </c>
      <c r="C183">
        <f>IF($A183="","",$I51)</f>
        <v/>
      </c>
      <c r="D183">
        <f>IF($A183="","",$I84)</f>
        <v/>
      </c>
      <c r="E183">
        <f>IF($A183="","",$I117)</f>
        <v/>
      </c>
      <c r="F183">
        <f>IF($A183="","",$I150)</f>
        <v/>
      </c>
      <c r="G183">
        <f>IF($A183="","",ROUND(SUM($B183:$F183),2))</f>
        <v/>
      </c>
      <c r="H183">
        <f>IF(COUNT($B183:$F183)=0,"",ROUND(AVERAGE($B183:$F183),2))</f>
        <v/>
      </c>
      <c r="I183" s="59">
        <f>IF('Weekly Schedule'!$A19="","",'Weekly Schedule'!$J19)</f>
        <v/>
      </c>
      <c r="J183">
        <f>IF(OR($H183="",$I183=""),"",IF($H183&gt;$I183,"⛔ avg +"&amp;TEXT($H183-$I183,"0")&amp;" h/week",""))</f>
        <v/>
      </c>
    </row>
    <row r="184">
      <c r="A184">
        <f>IF('Weekly Schedule'!$A20="","",'Weekly Schedule'!$A20)</f>
        <v/>
      </c>
      <c r="B184">
        <f>IF($A184="","",$I19)</f>
        <v/>
      </c>
      <c r="C184">
        <f>IF($A184="","",$I52)</f>
        <v/>
      </c>
      <c r="D184">
        <f>IF($A184="","",$I85)</f>
        <v/>
      </c>
      <c r="E184">
        <f>IF($A184="","",$I118)</f>
        <v/>
      </c>
      <c r="F184">
        <f>IF($A184="","",$I151)</f>
        <v/>
      </c>
      <c r="G184">
        <f>IF($A184="","",ROUND(SUM($B184:$F184),2))</f>
        <v/>
      </c>
      <c r="H184">
        <f>IF(COUNT($B184:$F184)=0,"",ROUND(AVERAGE($B184:$F184),2))</f>
        <v/>
      </c>
      <c r="I184" s="59">
        <f>IF('Weekly Schedule'!$A20="","",'Weekly Schedule'!$J20)</f>
        <v/>
      </c>
      <c r="J184">
        <f>IF(OR($H184="",$I184=""),"",IF($H184&gt;$I184,"⛔ avg +"&amp;TEXT($H184-$I184,"0")&amp;" h/week",""))</f>
        <v/>
      </c>
    </row>
    <row r="185">
      <c r="A185">
        <f>IF('Weekly Schedule'!$A21="","",'Weekly Schedule'!$A21)</f>
        <v/>
      </c>
      <c r="B185">
        <f>IF($A185="","",$I20)</f>
        <v/>
      </c>
      <c r="C185">
        <f>IF($A185="","",$I53)</f>
        <v/>
      </c>
      <c r="D185">
        <f>IF($A185="","",$I86)</f>
        <v/>
      </c>
      <c r="E185">
        <f>IF($A185="","",$I119)</f>
        <v/>
      </c>
      <c r="F185">
        <f>IF($A185="","",$I152)</f>
        <v/>
      </c>
      <c r="G185">
        <f>IF($A185="","",ROUND(SUM($B185:$F185),2))</f>
        <v/>
      </c>
      <c r="H185">
        <f>IF(COUNT($B185:$F185)=0,"",ROUND(AVERAGE($B185:$F185),2))</f>
        <v/>
      </c>
      <c r="I185" s="59">
        <f>IF('Weekly Schedule'!$A21="","",'Weekly Schedule'!$J21)</f>
        <v/>
      </c>
      <c r="J185">
        <f>IF(OR($H185="",$I185=""),"",IF($H185&gt;$I185,"⛔ avg +"&amp;TEXT($H185-$I185,"0")&amp;" h/week",""))</f>
        <v/>
      </c>
    </row>
    <row r="186">
      <c r="A186">
        <f>IF('Weekly Schedule'!$A22="","",'Weekly Schedule'!$A22)</f>
        <v/>
      </c>
      <c r="B186">
        <f>IF($A186="","",$I21)</f>
        <v/>
      </c>
      <c r="C186">
        <f>IF($A186="","",$I54)</f>
        <v/>
      </c>
      <c r="D186">
        <f>IF($A186="","",$I87)</f>
        <v/>
      </c>
      <c r="E186">
        <f>IF($A186="","",$I120)</f>
        <v/>
      </c>
      <c r="F186">
        <f>IF($A186="","",$I153)</f>
        <v/>
      </c>
      <c r="G186">
        <f>IF($A186="","",ROUND(SUM($B186:$F186),2))</f>
        <v/>
      </c>
      <c r="H186">
        <f>IF(COUNT($B186:$F186)=0,"",ROUND(AVERAGE($B186:$F186),2))</f>
        <v/>
      </c>
      <c r="I186" s="59">
        <f>IF('Weekly Schedule'!$A22="","",'Weekly Schedule'!$J22)</f>
        <v/>
      </c>
      <c r="J186">
        <f>IF(OR($H186="",$I186=""),"",IF($H186&gt;$I186,"⛔ avg +"&amp;TEXT($H186-$I186,"0")&amp;" h/week",""))</f>
        <v/>
      </c>
    </row>
    <row r="187">
      <c r="A187">
        <f>IF('Weekly Schedule'!$A23="","",'Weekly Schedule'!$A23)</f>
        <v/>
      </c>
      <c r="B187">
        <f>IF($A187="","",$I22)</f>
        <v/>
      </c>
      <c r="C187">
        <f>IF($A187="","",$I55)</f>
        <v/>
      </c>
      <c r="D187">
        <f>IF($A187="","",$I88)</f>
        <v/>
      </c>
      <c r="E187">
        <f>IF($A187="","",$I121)</f>
        <v/>
      </c>
      <c r="F187">
        <f>IF($A187="","",$I154)</f>
        <v/>
      </c>
      <c r="G187">
        <f>IF($A187="","",ROUND(SUM($B187:$F187),2))</f>
        <v/>
      </c>
      <c r="H187">
        <f>IF(COUNT($B187:$F187)=0,"",ROUND(AVERAGE($B187:$F187),2))</f>
        <v/>
      </c>
      <c r="I187" s="59">
        <f>IF('Weekly Schedule'!$A23="","",'Weekly Schedule'!$J23)</f>
        <v/>
      </c>
      <c r="J187">
        <f>IF(OR($H187="",$I187=""),"",IF($H187&gt;$I187,"⛔ avg +"&amp;TEXT($H187-$I187,"0")&amp;" h/week",""))</f>
        <v/>
      </c>
    </row>
    <row r="188">
      <c r="A188">
        <f>IF('Weekly Schedule'!$A24="","",'Weekly Schedule'!$A24)</f>
        <v/>
      </c>
      <c r="B188">
        <f>IF($A188="","",$I23)</f>
        <v/>
      </c>
      <c r="C188">
        <f>IF($A188="","",$I56)</f>
        <v/>
      </c>
      <c r="D188">
        <f>IF($A188="","",$I89)</f>
        <v/>
      </c>
      <c r="E188">
        <f>IF($A188="","",$I122)</f>
        <v/>
      </c>
      <c r="F188">
        <f>IF($A188="","",$I155)</f>
        <v/>
      </c>
      <c r="G188">
        <f>IF($A188="","",ROUND(SUM($B188:$F188),2))</f>
        <v/>
      </c>
      <c r="H188">
        <f>IF(COUNT($B188:$F188)=0,"",ROUND(AVERAGE($B188:$F188),2))</f>
        <v/>
      </c>
      <c r="I188" s="59">
        <f>IF('Weekly Schedule'!$A24="","",'Weekly Schedule'!$J24)</f>
        <v/>
      </c>
      <c r="J188">
        <f>IF(OR($H188="",$I188=""),"",IF($H188&gt;$I188,"⛔ avg +"&amp;TEXT($H188-$I188,"0")&amp;" h/week",""))</f>
        <v/>
      </c>
    </row>
    <row r="189">
      <c r="A189">
        <f>IF('Weekly Schedule'!$A25="","",'Weekly Schedule'!$A25)</f>
        <v/>
      </c>
      <c r="B189">
        <f>IF($A189="","",$I24)</f>
        <v/>
      </c>
      <c r="C189">
        <f>IF($A189="","",$I57)</f>
        <v/>
      </c>
      <c r="D189">
        <f>IF($A189="","",$I90)</f>
        <v/>
      </c>
      <c r="E189">
        <f>IF($A189="","",$I123)</f>
        <v/>
      </c>
      <c r="F189">
        <f>IF($A189="","",$I156)</f>
        <v/>
      </c>
      <c r="G189">
        <f>IF($A189="","",ROUND(SUM($B189:$F189),2))</f>
        <v/>
      </c>
      <c r="H189">
        <f>IF(COUNT($B189:$F189)=0,"",ROUND(AVERAGE($B189:$F189),2))</f>
        <v/>
      </c>
      <c r="I189" s="59">
        <f>IF('Weekly Schedule'!$A25="","",'Weekly Schedule'!$J25)</f>
        <v/>
      </c>
      <c r="J189">
        <f>IF(OR($H189="",$I189=""),"",IF($H189&gt;$I189,"⛔ avg +"&amp;TEXT($H189-$I189,"0")&amp;" h/week",""))</f>
        <v/>
      </c>
    </row>
    <row r="190">
      <c r="A190">
        <f>IF('Weekly Schedule'!$A26="","",'Weekly Schedule'!$A26)</f>
        <v/>
      </c>
      <c r="B190">
        <f>IF($A190="","",$I25)</f>
        <v/>
      </c>
      <c r="C190">
        <f>IF($A190="","",$I58)</f>
        <v/>
      </c>
      <c r="D190">
        <f>IF($A190="","",$I91)</f>
        <v/>
      </c>
      <c r="E190">
        <f>IF($A190="","",$I124)</f>
        <v/>
      </c>
      <c r="F190">
        <f>IF($A190="","",$I157)</f>
        <v/>
      </c>
      <c r="G190">
        <f>IF($A190="","",ROUND(SUM($B190:$F190),2))</f>
        <v/>
      </c>
      <c r="H190">
        <f>IF(COUNT($B190:$F190)=0,"",ROUND(AVERAGE($B190:$F190),2))</f>
        <v/>
      </c>
      <c r="I190" s="59">
        <f>IF('Weekly Schedule'!$A26="","",'Weekly Schedule'!$J26)</f>
        <v/>
      </c>
      <c r="J190">
        <f>IF(OR($H190="",$I190=""),"",IF($H190&gt;$I190,"⛔ avg +"&amp;TEXT($H190-$I190,"0")&amp;" h/week",""))</f>
        <v/>
      </c>
    </row>
    <row r="191">
      <c r="A191">
        <f>IF('Weekly Schedule'!$A27="","",'Weekly Schedule'!$A27)</f>
        <v/>
      </c>
      <c r="B191">
        <f>IF($A191="","",$I26)</f>
        <v/>
      </c>
      <c r="C191">
        <f>IF($A191="","",$I59)</f>
        <v/>
      </c>
      <c r="D191">
        <f>IF($A191="","",$I92)</f>
        <v/>
      </c>
      <c r="E191">
        <f>IF($A191="","",$I125)</f>
        <v/>
      </c>
      <c r="F191">
        <f>IF($A191="","",$I158)</f>
        <v/>
      </c>
      <c r="G191">
        <f>IF($A191="","",ROUND(SUM($B191:$F191),2))</f>
        <v/>
      </c>
      <c r="H191">
        <f>IF(COUNT($B191:$F191)=0,"",ROUND(AVERAGE($B191:$F191),2))</f>
        <v/>
      </c>
      <c r="I191" s="59">
        <f>IF('Weekly Schedule'!$A27="","",'Weekly Schedule'!$J27)</f>
        <v/>
      </c>
      <c r="J191">
        <f>IF(OR($H191="",$I191=""),"",IF($H191&gt;$I191,"⛔ avg +"&amp;TEXT($H191-$I191,"0")&amp;" h/week",""))</f>
        <v/>
      </c>
    </row>
    <row r="192">
      <c r="A192">
        <f>IF('Weekly Schedule'!$A28="","",'Weekly Schedule'!$A28)</f>
        <v/>
      </c>
      <c r="B192">
        <f>IF($A192="","",$I27)</f>
        <v/>
      </c>
      <c r="C192">
        <f>IF($A192="","",$I60)</f>
        <v/>
      </c>
      <c r="D192">
        <f>IF($A192="","",$I93)</f>
        <v/>
      </c>
      <c r="E192">
        <f>IF($A192="","",$I126)</f>
        <v/>
      </c>
      <c r="F192">
        <f>IF($A192="","",$I159)</f>
        <v/>
      </c>
      <c r="G192">
        <f>IF($A192="","",ROUND(SUM($B192:$F192),2))</f>
        <v/>
      </c>
      <c r="H192">
        <f>IF(COUNT($B192:$F192)=0,"",ROUND(AVERAGE($B192:$F192),2))</f>
        <v/>
      </c>
      <c r="I192" s="59">
        <f>IF('Weekly Schedule'!$A28="","",'Weekly Schedule'!$J28)</f>
        <v/>
      </c>
      <c r="J192">
        <f>IF(OR($H192="",$I192=""),"",IF($H192&gt;$I192,"⛔ avg +"&amp;TEXT($H192-$I192,"0")&amp;" h/week",""))</f>
        <v/>
      </c>
    </row>
    <row r="193">
      <c r="A193">
        <f>IF('Weekly Schedule'!$A29="","",'Weekly Schedule'!$A29)</f>
        <v/>
      </c>
      <c r="B193">
        <f>IF($A193="","",$I28)</f>
        <v/>
      </c>
      <c r="C193">
        <f>IF($A193="","",$I61)</f>
        <v/>
      </c>
      <c r="D193">
        <f>IF($A193="","",$I94)</f>
        <v/>
      </c>
      <c r="E193">
        <f>IF($A193="","",$I127)</f>
        <v/>
      </c>
      <c r="F193">
        <f>IF($A193="","",$I160)</f>
        <v/>
      </c>
      <c r="G193">
        <f>IF($A193="","",ROUND(SUM($B193:$F193),2))</f>
        <v/>
      </c>
      <c r="H193">
        <f>IF(COUNT($B193:$F193)=0,"",ROUND(AVERAGE($B193:$F193),2))</f>
        <v/>
      </c>
      <c r="I193" s="59">
        <f>IF('Weekly Schedule'!$A29="","",'Weekly Schedule'!$J29)</f>
        <v/>
      </c>
      <c r="J193">
        <f>IF(OR($H193="",$I193=""),"",IF($H193&gt;$I193,"⛔ avg +"&amp;TEXT($H193-$I193,"0")&amp;" h/week",""))</f>
        <v/>
      </c>
    </row>
    <row r="194">
      <c r="A194">
        <f>IF('Weekly Schedule'!$A30="","",'Weekly Schedule'!$A30)</f>
        <v/>
      </c>
      <c r="B194">
        <f>IF($A194="","",$I29)</f>
        <v/>
      </c>
      <c r="C194">
        <f>IF($A194="","",$I62)</f>
        <v/>
      </c>
      <c r="D194">
        <f>IF($A194="","",$I95)</f>
        <v/>
      </c>
      <c r="E194">
        <f>IF($A194="","",$I128)</f>
        <v/>
      </c>
      <c r="F194">
        <f>IF($A194="","",$I161)</f>
        <v/>
      </c>
      <c r="G194">
        <f>IF($A194="","",ROUND(SUM($B194:$F194),2))</f>
        <v/>
      </c>
      <c r="H194">
        <f>IF(COUNT($B194:$F194)=0,"",ROUND(AVERAGE($B194:$F194),2))</f>
        <v/>
      </c>
      <c r="I194" s="59">
        <f>IF('Weekly Schedule'!$A30="","",'Weekly Schedule'!$J30)</f>
        <v/>
      </c>
      <c r="J194">
        <f>IF(OR($H194="",$I194=""),"",IF($H194&gt;$I194,"⛔ avg +"&amp;TEXT($H194-$I194,"0")&amp;" h/week",""))</f>
        <v/>
      </c>
    </row>
    <row r="195">
      <c r="A195">
        <f>IF('Weekly Schedule'!$A31="","",'Weekly Schedule'!$A31)</f>
        <v/>
      </c>
      <c r="B195">
        <f>IF($A195="","",$I30)</f>
        <v/>
      </c>
      <c r="C195">
        <f>IF($A195="","",$I63)</f>
        <v/>
      </c>
      <c r="D195">
        <f>IF($A195="","",$I96)</f>
        <v/>
      </c>
      <c r="E195">
        <f>IF($A195="","",$I129)</f>
        <v/>
      </c>
      <c r="F195">
        <f>IF($A195="","",$I162)</f>
        <v/>
      </c>
      <c r="G195">
        <f>IF($A195="","",ROUND(SUM($B195:$F195),2))</f>
        <v/>
      </c>
      <c r="H195">
        <f>IF(COUNT($B195:$F195)=0,"",ROUND(AVERAGE($B195:$F195),2))</f>
        <v/>
      </c>
      <c r="I195" s="59">
        <f>IF('Weekly Schedule'!$A31="","",'Weekly Schedule'!$J31)</f>
        <v/>
      </c>
      <c r="J195">
        <f>IF(OR($H195="",$I195=""),"",IF($H195&gt;$I195,"⛔ avg +"&amp;TEXT($H195-$I195,"0")&amp;" h/week",""))</f>
        <v/>
      </c>
    </row>
    <row r="196">
      <c r="A196">
        <f>IF('Weekly Schedule'!$A32="","",'Weekly Schedule'!$A32)</f>
        <v/>
      </c>
      <c r="B196">
        <f>IF($A196="","",$I31)</f>
        <v/>
      </c>
      <c r="C196">
        <f>IF($A196="","",$I64)</f>
        <v/>
      </c>
      <c r="D196">
        <f>IF($A196="","",$I97)</f>
        <v/>
      </c>
      <c r="E196">
        <f>IF($A196="","",$I130)</f>
        <v/>
      </c>
      <c r="F196">
        <f>IF($A196="","",$I163)</f>
        <v/>
      </c>
      <c r="G196">
        <f>IF($A196="","",ROUND(SUM($B196:$F196),2))</f>
        <v/>
      </c>
      <c r="H196">
        <f>IF(COUNT($B196:$F196)=0,"",ROUND(AVERAGE($B196:$F196),2))</f>
        <v/>
      </c>
      <c r="I196" s="59">
        <f>IF('Weekly Schedule'!$A32="","",'Weekly Schedule'!$J32)</f>
        <v/>
      </c>
      <c r="J196">
        <f>IF(OR($H196="",$I196=""),"",IF($H196&gt;$I196,"⛔ avg +"&amp;TEXT($H196-$I196,"0")&amp;" h/week",""))</f>
        <v/>
      </c>
    </row>
    <row r="197">
      <c r="A197">
        <f>IF('Weekly Schedule'!$A33="","",'Weekly Schedule'!$A33)</f>
        <v/>
      </c>
      <c r="B197">
        <f>IF($A197="","",$I32)</f>
        <v/>
      </c>
      <c r="C197">
        <f>IF($A197="","",$I65)</f>
        <v/>
      </c>
      <c r="D197">
        <f>IF($A197="","",$I98)</f>
        <v/>
      </c>
      <c r="E197">
        <f>IF($A197="","",$I131)</f>
        <v/>
      </c>
      <c r="F197">
        <f>IF($A197="","",$I164)</f>
        <v/>
      </c>
      <c r="G197">
        <f>IF($A197="","",ROUND(SUM($B197:$F197),2))</f>
        <v/>
      </c>
      <c r="H197">
        <f>IF(COUNT($B197:$F197)=0,"",ROUND(AVERAGE($B197:$F197),2))</f>
        <v/>
      </c>
      <c r="I197" s="59">
        <f>IF('Weekly Schedule'!$A33="","",'Weekly Schedule'!$J33)</f>
        <v/>
      </c>
      <c r="J197">
        <f>IF(OR($H197="",$I197=""),"",IF($H197&gt;$I197,"⛔ avg +"&amp;TEXT($H197-$I197,"0")&amp;" h/week",""))</f>
        <v/>
      </c>
    </row>
    <row r="198">
      <c r="A198">
        <f>IF('Weekly Schedule'!$A34="","",'Weekly Schedule'!$A34)</f>
        <v/>
      </c>
      <c r="B198">
        <f>IF($A198="","",$I33)</f>
        <v/>
      </c>
      <c r="C198">
        <f>IF($A198="","",$I66)</f>
        <v/>
      </c>
      <c r="D198">
        <f>IF($A198="","",$I99)</f>
        <v/>
      </c>
      <c r="E198">
        <f>IF($A198="","",$I132)</f>
        <v/>
      </c>
      <c r="F198">
        <f>IF($A198="","",$I165)</f>
        <v/>
      </c>
      <c r="G198">
        <f>IF($A198="","",ROUND(SUM($B198:$F198),2))</f>
        <v/>
      </c>
      <c r="H198">
        <f>IF(COUNT($B198:$F198)=0,"",ROUND(AVERAGE($B198:$F198),2))</f>
        <v/>
      </c>
      <c r="I198" s="59">
        <f>IF('Weekly Schedule'!$A34="","",'Weekly Schedule'!$J34)</f>
        <v/>
      </c>
      <c r="J198">
        <f>IF(OR($H198="",$I198=""),"",IF($H198&gt;$I198,"⛔ avg +"&amp;TEXT($H198-$I198,"0")&amp;" h/week",""))</f>
        <v/>
      </c>
    </row>
    <row r="199">
      <c r="A199">
        <f>IF('Weekly Schedule'!$A35="","",'Weekly Schedule'!$A35)</f>
        <v/>
      </c>
      <c r="B199">
        <f>IF($A199="","",$I34)</f>
        <v/>
      </c>
      <c r="C199">
        <f>IF($A199="","",$I67)</f>
        <v/>
      </c>
      <c r="D199">
        <f>IF($A199="","",$I100)</f>
        <v/>
      </c>
      <c r="E199">
        <f>IF($A199="","",$I133)</f>
        <v/>
      </c>
      <c r="F199">
        <f>IF($A199="","",$I166)</f>
        <v/>
      </c>
      <c r="G199">
        <f>IF($A199="","",ROUND(SUM($B199:$F199),2))</f>
        <v/>
      </c>
      <c r="H199">
        <f>IF(COUNT($B199:$F199)=0,"",ROUND(AVERAGE($B199:$F199),2))</f>
        <v/>
      </c>
      <c r="I199" s="59">
        <f>IF('Weekly Schedule'!$A35="","",'Weekly Schedule'!$J35)</f>
        <v/>
      </c>
      <c r="J199">
        <f>IF(OR($H199="",$I199=""),"",IF($H199&gt;$I199,"⛔ avg +"&amp;TEXT($H199-$I199,"0")&amp;" h/week",""))</f>
        <v/>
      </c>
    </row>
    <row r="200">
      <c r="A200" s="61" t="inlineStr">
        <is>
          <t>TEAM AVERAGE</t>
        </is>
      </c>
      <c r="B200" s="61">
        <f>IF(COUNT($B$170:$B$199)=0,"",ROUND(AVERAGE($B$170:$B$199),2))</f>
        <v/>
      </c>
      <c r="C200" s="61">
        <f>IF(COUNT($C$170:$C$199)=0,"",ROUND(AVERAGE($C$170:$C$199),2))</f>
        <v/>
      </c>
      <c r="D200" s="61">
        <f>IF(COUNT($D$170:$D$199)=0,"",ROUND(AVERAGE($D$170:$D$199),2))</f>
        <v/>
      </c>
      <c r="E200" s="61">
        <f>IF(COUNT($E$170:$E$199)=0,"",ROUND(AVERAGE($E$170:$E$199),2))</f>
        <v/>
      </c>
      <c r="F200" s="61">
        <f>IF(COUNT($F$170:$F$199)=0,"",ROUND(AVERAGE($F$170:$F$199),2))</f>
        <v/>
      </c>
      <c r="G200" s="61">
        <f>IF(COUNT($G$170:$G$199)=0,"",ROUND(AVERAGE($G$170:$G$199),2))</f>
        <v/>
      </c>
      <c r="H200" s="61">
        <f>IF(COUNT($H$170:$H$199)=0,"",ROUND(AVERAGE($H$170:$H$199),2))</f>
        <v/>
      </c>
      <c r="I200" s="62" t="n"/>
      <c r="J200" s="61" t="n"/>
    </row>
    <row r="202">
      <c r="A202" s="57"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8">
    <mergeCell ref="A102:J102"/>
    <mergeCell ref="A1:J1"/>
    <mergeCell ref="A36:J36"/>
    <mergeCell ref="A202:J202"/>
    <mergeCell ref="A168:J168"/>
    <mergeCell ref="A135:J135"/>
    <mergeCell ref="A69:J69"/>
    <mergeCell ref="A2:J2"/>
  </mergeCells>
  <conditionalFormatting sqref="J5:J34">
    <cfRule type="containsText" priority="1" operator="containsText" dxfId="0" stopIfTrue="1" text="⛔">
      <formula>NOT(ISERROR(SEARCH("⛔",J5)))</formula>
    </cfRule>
    <cfRule type="containsText" priority="2" operator="containsText" dxfId="0" stopIfTrue="1" text="EXCESS">
      <formula>NOT(ISERROR(SEARCH("EXCESS",J5)))</formula>
    </cfRule>
    <cfRule type="containsText" priority="3" operator="containsText" dxfId="1" stopIfTrue="1" text="⚠">
      <formula>NOT(ISERROR(SEARCH("⚠",J5)))</formula>
    </cfRule>
    <cfRule type="containsText" priority="4" operator="containsText" dxfId="2" stopIfTrue="1" text="OK">
      <formula>NOT(ISERROR(SEARCH("OK",J5)))</formula>
    </cfRule>
  </conditionalFormatting>
  <conditionalFormatting sqref="J38:J67">
    <cfRule type="containsText" priority="5" operator="containsText" dxfId="0" stopIfTrue="1" text="⛔">
      <formula>NOT(ISERROR(SEARCH("⛔",J38)))</formula>
    </cfRule>
    <cfRule type="containsText" priority="6" operator="containsText" dxfId="0" stopIfTrue="1" text="EXCESS">
      <formula>NOT(ISERROR(SEARCH("EXCESS",J38)))</formula>
    </cfRule>
    <cfRule type="containsText" priority="7" operator="containsText" dxfId="1" stopIfTrue="1" text="⚠">
      <formula>NOT(ISERROR(SEARCH("⚠",J38)))</formula>
    </cfRule>
    <cfRule type="containsText" priority="8" operator="containsText" dxfId="2" stopIfTrue="1" text="OK">
      <formula>NOT(ISERROR(SEARCH("OK",J38)))</formula>
    </cfRule>
  </conditionalFormatting>
  <conditionalFormatting sqref="J71:J100">
    <cfRule type="containsText" priority="9" operator="containsText" dxfId="0" stopIfTrue="1" text="⛔">
      <formula>NOT(ISERROR(SEARCH("⛔",J71)))</formula>
    </cfRule>
    <cfRule type="containsText" priority="10" operator="containsText" dxfId="0" stopIfTrue="1" text="EXCESS">
      <formula>NOT(ISERROR(SEARCH("EXCESS",J71)))</formula>
    </cfRule>
    <cfRule type="containsText" priority="11" operator="containsText" dxfId="1" stopIfTrue="1" text="⚠">
      <formula>NOT(ISERROR(SEARCH("⚠",J71)))</formula>
    </cfRule>
    <cfRule type="containsText" priority="12" operator="containsText" dxfId="2" stopIfTrue="1" text="OK">
      <formula>NOT(ISERROR(SEARCH("OK",J71)))</formula>
    </cfRule>
  </conditionalFormatting>
  <conditionalFormatting sqref="J104:J133">
    <cfRule type="containsText" priority="13" operator="containsText" dxfId="0" stopIfTrue="1" text="⛔">
      <formula>NOT(ISERROR(SEARCH("⛔",J104)))</formula>
    </cfRule>
    <cfRule type="containsText" priority="14" operator="containsText" dxfId="0" stopIfTrue="1" text="EXCESS">
      <formula>NOT(ISERROR(SEARCH("EXCESS",J104)))</formula>
    </cfRule>
    <cfRule type="containsText" priority="15" operator="containsText" dxfId="1" stopIfTrue="1" text="⚠">
      <formula>NOT(ISERROR(SEARCH("⚠",J104)))</formula>
    </cfRule>
    <cfRule type="containsText" priority="16" operator="containsText" dxfId="2" stopIfTrue="1" text="OK">
      <formula>NOT(ISERROR(SEARCH("OK",J104)))</formula>
    </cfRule>
  </conditionalFormatting>
  <conditionalFormatting sqref="J137:J166">
    <cfRule type="containsText" priority="17" operator="containsText" dxfId="0" stopIfTrue="1" text="⛔">
      <formula>NOT(ISERROR(SEARCH("⛔",J137)))</formula>
    </cfRule>
    <cfRule type="containsText" priority="18" operator="containsText" dxfId="0" stopIfTrue="1" text="EXCESS">
      <formula>NOT(ISERROR(SEARCH("EXCESS",J137)))</formula>
    </cfRule>
    <cfRule type="containsText" priority="19" operator="containsText" dxfId="1" stopIfTrue="1" text="⚠">
      <formula>NOT(ISERROR(SEARCH("⚠",J137)))</formula>
    </cfRule>
    <cfRule type="containsText" priority="20" operator="containsText" dxfId="2" stopIfTrue="1" text="OK">
      <formula>NOT(ISERROR(SEARCH("OK",J137)))</formula>
    </cfRule>
  </conditionalFormatting>
  <conditionalFormatting sqref="J170:J199">
    <cfRule type="containsText" priority="21" operator="containsText" dxfId="0" stopIfTrue="1" text="⛔">
      <formula>NOT(ISERROR(SEARCH("⛔",J170)))</formula>
    </cfRule>
    <cfRule type="containsText" priority="22" operator="containsText" dxfId="0" stopIfTrue="1" text="EXCESS">
      <formula>NOT(ISERROR(SEARCH("EXCESS",J170)))</formula>
    </cfRule>
    <cfRule type="containsText" priority="23" operator="containsText" dxfId="1" stopIfTrue="1" text="⚠">
      <formula>NOT(ISERROR(SEARCH("⚠",J170)))</formula>
    </cfRule>
    <cfRule type="containsText" priority="24" operator="containsText" dxfId="2" stopIfTrue="1" text="OK">
      <formula>NOT(ISERROR(SEARCH("OK",J170)))</formula>
    </cfRule>
  </conditionalFormatting>
  <dataValidations count="5">
    <dataValidation sqref="B5:H34" showDropDown="0" showInputMessage="1" showErrorMessage="1" allowBlank="1" errorTitle="Invalid shift code" error="Use one of the 8 kit codes: they are the same as in the &quot;Weekly Schedule&quot;, and the hours and alerts come from them." promptTitle="grupoA-v2 · Invalid shift code" prompt="Shift codes: AM=AM shift · PM=PM shift · N=Night · SP=Split · DBL=Double · OFF=Day off · V=Vacation/PTO · S=Sick." type="list" errorStyle="stop">
      <formula1>"AM,PM,N,SP,DBL,OFF,V,S"</formula1>
    </dataValidation>
    <dataValidation sqref="B38:H67" showDropDown="0" showInputMessage="1" showErrorMessage="1" allowBlank="1" errorTitle="Invalid shift code" error="Use one of the 8 kit codes: they are the same as in the &quot;Weekly Schedule&quot;, and the hours and alerts come from them." promptTitle="grupoA-v2 · Invalid shift code" prompt="Shift codes: AM=AM shift · PM=PM shift · N=Night · SP=Split · DBL=Double · OFF=Day off · V=Vacation/PTO · S=Sick." type="list" errorStyle="stop">
      <formula1>"AM,PM,N,SP,DBL,OFF,V,S"</formula1>
    </dataValidation>
    <dataValidation sqref="B71:H100" showDropDown="0" showInputMessage="1" showErrorMessage="1" allowBlank="1" errorTitle="Invalid shift code" error="Use one of the 8 kit codes: they are the same as in the &quot;Weekly Schedule&quot;, and the hours and alerts come from them." promptTitle="grupoA-v2 · Invalid shift code" prompt="Shift codes: AM=AM shift · PM=PM shift · N=Night · SP=Split · DBL=Double · OFF=Day off · V=Vacation/PTO · S=Sick." type="list" errorStyle="stop">
      <formula1>"AM,PM,N,SP,DBL,OFF,V,S"</formula1>
    </dataValidation>
    <dataValidation sqref="B104:H133" showDropDown="0" showInputMessage="1" showErrorMessage="1" allowBlank="1" errorTitle="Invalid shift code" error="Use one of the 8 kit codes: they are the same as in the &quot;Weekly Schedule&quot;, and the hours and alerts come from them." promptTitle="grupoA-v2 · Invalid shift code" prompt="Shift codes: AM=AM shift · PM=PM shift · N=Night · SP=Split · DBL=Double · OFF=Day off · V=Vacation/PTO · S=Sick." type="list" errorStyle="stop">
      <formula1>"AM,PM,N,SP,DBL,OFF,V,S"</formula1>
    </dataValidation>
    <dataValidation sqref="B137:H166" showDropDown="0" showInputMessage="1" showErrorMessage="1" allowBlank="1" errorTitle="Invalid shift code" error="Use one of the 8 kit codes: they are the same as in the &quot;Weekly Schedule&quot;, and the hours and alerts come from them." promptTitle="grupoA-v2 · Invalid shift code" prompt="Shift codes: AM=AM shift · PM=PM shift · N=Night · SP=Split · DBL=Double · OFF=Day off · V=Vacation/PTO · S=Sick." type="list" errorStyle="stop">
      <formula1>"AM,PM,N,SP,DBL,OFF,V,S"</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rowBreaks count="5" manualBreakCount="5">
    <brk id="35" min="0" max="16383" man="1"/>
    <brk id="68" min="0" max="16383" man="1"/>
    <brk id="101" min="0" max="16383" man="1"/>
    <brk id="134" min="0" max="16383" man="1"/>
    <brk id="16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Restaurant Schedule Template: Weekly &amp; Monthly Staff Rota</dc:title>
  <dc:description xmlns:dc="http://purl.org/dc/elements/1.1/">aichef.pro/en/digital-products/restaurant-schedule-templates</dc:description>
  <dc:subject xmlns:dc="http://purl.org/dc/elements/1.1/">Restaurant Staff Scheduling Kit Pro · v2.0</dc:subject>
  <dcterms:created xmlns:dcterms="http://purl.org/dc/terms/" xmlns:xsi="http://www.w3.org/2001/XMLSchema-instance" xsi:type="dcterms:W3CDTF">2026-03-23T19:17:38Z</dcterms:created>
  <dcterms:modified xmlns:dcterms="http://purl.org/dc/terms/" xmlns:xsi="http://www.w3.org/2001/XMLSchema-instance" xsi:type="dcterms:W3CDTF">2026-10-03T15:13:42Z</dcterms:modified>
  <cp:lastModifiedBy>AI Chef Pro</cp:lastModifiedBy>
  <cp:category>AI Chef Pro · Digital products</cp:category>
  <cp:keywords>restaurant schedule template, staff rota, AI Chef Pro</cp:keywords>
</cp:coreProperties>
</file>