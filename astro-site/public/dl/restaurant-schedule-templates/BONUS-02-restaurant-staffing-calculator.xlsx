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taffing Calculator" sheetId="2" state="visible" r:id="rId2"/>
    <sheet xmlns:r="http://schemas.openxmlformats.org/officeDocument/2006/relationships" name="Ratios by Concept" sheetId="3" state="visible" r:id="rId3"/>
  </sheets>
  <definedNames>
    <definedName name="_xlnm.Print_Area" localSheetId="0">'Instructions'!$A$1:$B$27</definedName>
    <definedName name="_xlnm.Print_Area" localSheetId="1">'Staffing Calculator'!$A$1:$E$55</definedName>
    <definedName name="_xlnm.Print_Titles" localSheetId="2">'Ratios by Concept'!$4:$4</definedName>
    <definedName name="_xlnm.Print_Area" localSheetId="2">'Ratios by Concept'!$A$1:$J$23</definedName>
  </definedNames>
  <calcPr calcId="124519" fullCalcOnLoad="1"/>
</workbook>
</file>

<file path=xl/styles.xml><?xml version="1.0" encoding="utf-8"?>
<styleSheet xmlns="http://schemas.openxmlformats.org/spreadsheetml/2006/main">
  <numFmts count="3">
    <numFmt numFmtId="164" formatCode="#,##0.00"/>
    <numFmt numFmtId="165" formatCode="#,##0.00;@"/>
    <numFmt numFmtId="166" formatCode="0.0%"/>
  </numFmts>
  <fonts count="24">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D700"/>
      <sz val="12"/>
    </font>
    <font>
      <name val="Calibri"/>
      <b val="1"/>
      <sz val="11"/>
    </font>
    <font>
      <name val="Calibri"/>
      <sz val="11"/>
    </font>
    <font>
      <name val="Calibri"/>
      <b val="1"/>
      <color rgb="001565C0"/>
      <sz val="11"/>
    </font>
    <font>
      <name val="Calibri"/>
      <color rgb="00999999"/>
      <sz val="9"/>
    </font>
    <font>
      <name val="Calibri"/>
      <b val="1"/>
      <color rgb="00FFFFFF"/>
      <sz val="11"/>
    </font>
    <font>
      <name val="Calibri"/>
      <color rgb="00555555"/>
      <sz val="10"/>
    </font>
    <font/>
    <font>
      <b val="1"/>
      <sz val="14"/>
    </font>
    <font>
      <color rgb="00666666"/>
      <sz val="9"/>
    </font>
    <font>
      <b val="1"/>
      <color rgb="00FFFFFF"/>
      <sz val="10"/>
    </font>
    <font>
      <i val="1"/>
      <sz val="9"/>
    </font>
    <font>
      <color rgb="00888888"/>
      <sz val="8"/>
    </font>
    <font>
      <b val="1"/>
      <sz val="11"/>
    </font>
    <font>
      <i val="1"/>
      <color rgb="00666666"/>
      <sz val="9"/>
    </font>
    <font>
      <b val="1"/>
      <sz val="10"/>
    </font>
    <font>
      <b val="1"/>
    </font>
    <font>
      <b val="1"/>
      <sz val="13"/>
    </font>
  </fonts>
  <fills count="7">
    <fill>
      <patternFill/>
    </fill>
    <fill>
      <patternFill patternType="gray125"/>
    </fill>
    <fill>
      <patternFill patternType="solid">
        <fgColor rgb="00E8F5E9"/>
        <bgColor rgb="00E8F5E9"/>
      </patternFill>
    </fill>
    <fill>
      <patternFill patternType="solid">
        <fgColor rgb="002D2D2D"/>
        <bgColor rgb="002D2D2D"/>
      </patternFill>
    </fill>
    <fill>
      <patternFill patternType="solid">
        <fgColor rgb="002D2D2D"/>
      </patternFill>
    </fill>
    <fill>
      <patternFill patternType="solid">
        <fgColor rgb="00E8F5E9"/>
      </patternFill>
    </fill>
    <fill>
      <patternFill patternType="solid">
        <fgColor rgb="00ECEFF1"/>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6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1" pivotButton="0" quotePrefix="0" xfId="0"/>
    <xf numFmtId="0" fontId="8" fillId="2" borderId="1" applyAlignment="1" pivotButton="0" quotePrefix="0" xfId="0">
      <alignment horizontal="center" vertical="center" wrapText="1"/>
    </xf>
    <xf numFmtId="0" fontId="9" fillId="0" borderId="1" applyAlignment="1" pivotButton="0" quotePrefix="0" xfId="0">
      <alignment horizontal="center" vertical="center" wrapText="1"/>
    </xf>
    <xf numFmtId="164" fontId="9" fillId="0" borderId="1" pivotButton="0" quotePrefix="0" xfId="0"/>
    <xf numFmtId="0" fontId="0" fillId="2" borderId="1" applyAlignment="1" pivotButton="0" quotePrefix="0" xfId="0">
      <alignment horizontal="center" vertical="center" wrapText="1"/>
    </xf>
    <xf numFmtId="0" fontId="9" fillId="0" borderId="1" pivotButton="0" quotePrefix="0" xfId="0"/>
    <xf numFmtId="0" fontId="10" fillId="0" borderId="0" pivotButton="0" quotePrefix="0" xfId="0"/>
    <xf numFmtId="0" fontId="11" fillId="3"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horizontal="center" vertical="center" wrapText="1"/>
    </xf>
    <xf numFmtId="0" fontId="12" fillId="0" borderId="0" pivotButton="0" quotePrefix="0" xfId="0"/>
    <xf numFmtId="0" fontId="23" fillId="0" borderId="0" applyAlignment="1" pivotButton="0" quotePrefix="0" xfId="0">
      <alignment vertical="top" wrapText="1"/>
    </xf>
    <xf numFmtId="0" fontId="13" fillId="0" borderId="0" applyAlignment="1" pivotButton="0" quotePrefix="0" xfId="0">
      <alignment vertical="top" wrapText="1"/>
    </xf>
    <xf numFmtId="0" fontId="0" fillId="0" borderId="0" applyAlignment="1" pivotButton="0" quotePrefix="0" xfId="0">
      <alignment vertical="top" wrapText="1"/>
    </xf>
    <xf numFmtId="0" fontId="14" fillId="0" borderId="0" pivotButton="0" quotePrefix="0" xfId="0"/>
    <xf numFmtId="0" fontId="15" fillId="0" borderId="0" pivotButton="0" quotePrefix="0" xfId="0"/>
    <xf numFmtId="0" fontId="13" fillId="0" borderId="0" pivotButton="0" quotePrefix="0" xfId="0"/>
    <xf numFmtId="0" fontId="19" fillId="6" borderId="0" pivotButton="0" quotePrefix="0" xfId="0"/>
    <xf numFmtId="0" fontId="13" fillId="6" borderId="0" pivotButton="0" quotePrefix="0" xfId="0"/>
    <xf numFmtId="0" fontId="0" fillId="6" borderId="0" pivotButton="0" quotePrefix="0" xfId="0"/>
    <xf numFmtId="0" fontId="13" fillId="0" borderId="1" pivotButton="0" quotePrefix="0" xfId="0"/>
    <xf numFmtId="1" fontId="13" fillId="5" borderId="1" applyProtection="1" pivotButton="0" quotePrefix="0" xfId="0">
      <protection locked="0" hidden="0"/>
    </xf>
    <xf numFmtId="0" fontId="13" fillId="5" borderId="1" applyProtection="1" pivotButton="0" quotePrefix="0" xfId="0">
      <protection locked="0" hidden="0"/>
    </xf>
    <xf numFmtId="165" fontId="13" fillId="5" borderId="1" applyProtection="1" pivotButton="0" quotePrefix="0" xfId="0">
      <protection locked="0" hidden="0"/>
    </xf>
    <xf numFmtId="1" fontId="13" fillId="5" borderId="0" applyProtection="1" pivotButton="0" quotePrefix="0" xfId="0">
      <protection locked="0" hidden="0"/>
    </xf>
    <xf numFmtId="166" fontId="13" fillId="5" borderId="0" applyProtection="1" pivotButton="0" quotePrefix="0" xfId="0">
      <protection locked="0" hidden="0"/>
    </xf>
    <xf numFmtId="2" fontId="13" fillId="5" borderId="1" applyProtection="1" pivotButton="0" quotePrefix="0" xfId="0">
      <protection locked="0" hidden="0"/>
    </xf>
    <xf numFmtId="165" fontId="13" fillId="5" borderId="0" applyProtection="1" pivotButton="0" quotePrefix="0" xfId="0">
      <protection locked="0" hidden="0"/>
    </xf>
    <xf numFmtId="0" fontId="19" fillId="6" borderId="1" pivotButton="0" quotePrefix="0" xfId="0"/>
    <xf numFmtId="0" fontId="13" fillId="6" borderId="1" pivotButton="0" quotePrefix="0" xfId="0"/>
    <xf numFmtId="1" fontId="13" fillId="0" borderId="1" pivotButton="0" quotePrefix="0" xfId="0"/>
    <xf numFmtId="0" fontId="20" fillId="0" borderId="0" pivotButton="0" quotePrefix="0" xfId="0"/>
    <xf numFmtId="1" fontId="13" fillId="0" borderId="0" pivotButton="0" quotePrefix="0" xfId="0"/>
    <xf numFmtId="0" fontId="21" fillId="0" borderId="0" applyAlignment="1" pivotButton="0" quotePrefix="0" xfId="0">
      <alignment horizontal="center" vertical="center"/>
    </xf>
    <xf numFmtId="1" fontId="0" fillId="0" borderId="0" pivotButton="0" quotePrefix="0" xfId="0"/>
    <xf numFmtId="0" fontId="19" fillId="0" borderId="1" pivotButton="0" quotePrefix="0" xfId="0"/>
    <xf numFmtId="1" fontId="22" fillId="0" borderId="1" pivotButton="0" quotePrefix="0" xfId="0"/>
    <xf numFmtId="0" fontId="15" fillId="0" borderId="1" applyAlignment="1" pivotButton="0" quotePrefix="0" xfId="0">
      <alignment horizontal="center" vertical="center"/>
    </xf>
    <xf numFmtId="0" fontId="15" fillId="0" borderId="0" applyAlignment="1" pivotButton="0" quotePrefix="0" xfId="0">
      <alignment horizontal="center" vertical="center"/>
    </xf>
    <xf numFmtId="0" fontId="19" fillId="0" borderId="0" pivotButton="0" quotePrefix="0" xfId="0"/>
    <xf numFmtId="1" fontId="22" fillId="0" borderId="0" pivotButton="0" quotePrefix="0" xfId="0"/>
    <xf numFmtId="165" fontId="0" fillId="0" borderId="0" pivotButton="0" quotePrefix="0" xfId="0"/>
    <xf numFmtId="166" fontId="22" fillId="0" borderId="0" pivotButton="0" quotePrefix="0" xfId="0"/>
    <xf numFmtId="166" fontId="0" fillId="0" borderId="0" pivotButton="0" quotePrefix="0" xfId="0"/>
    <xf numFmtId="0" fontId="0" fillId="0" borderId="0" applyAlignment="1" pivotButton="0" quotePrefix="0" xfId="0">
      <alignment vertical="center"/>
    </xf>
    <xf numFmtId="1" fontId="0" fillId="5" borderId="0" applyProtection="1" pivotButton="0" quotePrefix="0" xfId="0">
      <protection locked="0" hidden="0"/>
    </xf>
    <xf numFmtId="0" fontId="17" fillId="0" borderId="0" applyAlignment="1" pivotButton="0" quotePrefix="0" xfId="0">
      <alignment vertical="top" wrapText="1"/>
    </xf>
    <xf numFmtId="0" fontId="18" fillId="0" borderId="0" applyAlignment="1" pivotButton="0" quotePrefix="0" xfId="0">
      <alignment horizontal="center"/>
    </xf>
    <xf numFmtId="0" fontId="16" fillId="4" borderId="1" applyAlignment="1" pivotButton="0" quotePrefix="0" xfId="0">
      <alignment horizontal="center" vertical="center" wrapText="1"/>
    </xf>
    <xf numFmtId="0" fontId="16" fillId="4" borderId="0" applyAlignment="1" pivotButton="0" quotePrefix="0" xfId="0">
      <alignment horizontal="center" vertical="center" wrapText="1"/>
    </xf>
    <xf numFmtId="0" fontId="13" fillId="0" borderId="1" applyAlignment="1" pivotButton="0" quotePrefix="0" xfId="0">
      <alignment vertical="center"/>
    </xf>
    <xf numFmtId="0" fontId="13" fillId="0" borderId="1" applyAlignment="1" pivotButton="0" quotePrefix="0" xfId="0">
      <alignment horizontal="center" vertical="center"/>
    </xf>
    <xf numFmtId="1" fontId="13" fillId="5" borderId="1" applyAlignment="1" applyProtection="1" pivotButton="0" quotePrefix="0" xfId="0">
      <alignment horizontal="center" vertical="center"/>
      <protection locked="0" hidden="0"/>
    </xf>
    <xf numFmtId="1" fontId="0" fillId="5"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166" fontId="0" fillId="5" borderId="0" applyAlignment="1" applyProtection="1" pivotButton="0" quotePrefix="0" xfId="0">
      <alignment horizontal="center" vertical="center"/>
      <protection locked="0" hidden="0"/>
    </xf>
    <xf numFmtId="0" fontId="13" fillId="0" borderId="1" applyAlignment="1" pivotButton="0" quotePrefix="0" xfId="0">
      <alignment wrapText="1"/>
    </xf>
    <xf numFmtId="4" fontId="13" fillId="5" borderId="1" applyProtection="1" pivotButton="0" quotePrefix="0" xfId="0">
      <protection locked="0" hidden="0"/>
    </xf>
    <xf numFmtId="4" fontId="13" fillId="5" borderId="0" applyProtection="1" pivotButton="0" quotePrefix="0" xfId="0">
      <protection locked="0" hidden="0"/>
    </xf>
    <xf numFmtId="4" fontId="0" fillId="0" borderId="0" pivotButton="0" quotePrefix="0" xfId="0"/>
  </cellXfs>
  <cellStyles count="1">
    <cellStyle name="Normal" xfId="0" builtinId="0" hidden="0"/>
  </cellStyles>
  <dxfs count="3">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27"/>
  <sheetViews>
    <sheetView workbookViewId="0">
      <selection activeCell="A1" sqref="A1"/>
    </sheetView>
  </sheetViews>
  <sheetFormatPr baseColWidth="8" defaultRowHeight="15"/>
  <cols>
    <col width="3" customWidth="1" min="1" max="1"/>
    <col width="80" customWidth="1" min="2" max="2"/>
  </cols>
  <sheetData>
    <row r="2">
      <c r="B2" s="18" t="inlineStr">
        <is>
          <t>BONUS: Restaurant Staffing Calculator</t>
        </is>
      </c>
    </row>
    <row r="4">
      <c r="B4" s="19" t="inlineStr">
        <is>
          <t>How to use this template:</t>
        </is>
      </c>
    </row>
    <row r="5">
      <c r="B5" s="19" t="inlineStr">
        <is>
          <t>▸ Enter your business data in the green cells of the "Staffing Calculator" tab. Everything else is formulas.</t>
        </is>
      </c>
    </row>
    <row r="6">
      <c r="B6" s="19" t="inlineStr">
        <is>
          <t>▸ The concept is a drop-down with the ten formats on the "Ratios by Concept" tab: it supplies the three ratios and the two traffic-light thresholds.</t>
        </is>
      </c>
    </row>
    <row r="7">
      <c r="B7" s="19" t="inlineStr">
        <is>
          <t>▸ Compare the result with your current staff in the block at the end to spot overstaffing or understaffing.</t>
        </is>
      </c>
    </row>
    <row r="8">
      <c r="B8" s="3" t="n"/>
    </row>
    <row r="9">
      <c r="B9" s="19" t="inlineStr">
        <is>
          <t>The calculation chain, in one line:</t>
        </is>
      </c>
    </row>
    <row r="10">
      <c r="B10" s="19" t="inlineStr">
        <is>
          <t>▸ Covers per day ÷ services = covers per SERVICE → ÷ each position's ratio = staff per service → × services = person-services per day → × paid hours per service × days open = hours per week → ÷ full-time hours per week × coverage factor = FTE.</t>
        </is>
      </c>
    </row>
    <row r="11">
      <c r="B11" s="19" t="inlineStr">
        <is>
          <t>▸ With the sample data (80 covers, 2 services, casual dining): 40 covers per service, 5 people per service, 10 person-services per day, 240 h a week and 7 full-time people.</t>
        </is>
      </c>
    </row>
    <row r="12">
      <c r="B12" s="19" t="inlineStr">
        <is>
          <t>▸ FTE means full-time contracts, not people per shift. In front of house, 2 are on at the same time.</t>
        </is>
      </c>
    </row>
    <row r="13">
      <c r="B13" s="3" t="n"/>
    </row>
    <row r="14">
      <c r="B14" s="19" t="inlineStr">
        <is>
          <t>Why you enter the average check:</t>
        </is>
      </c>
    </row>
    <row r="15">
      <c r="B15" s="19" t="inlineStr">
        <is>
          <t>▸ Without it, the calculator can tell you to hire nineteen people without anything warning you that they eat up the whole till. With it, the sheet estimates your sales and puts the labor cost % next to the target for your concept.</t>
        </is>
      </c>
    </row>
    <row r="16">
      <c r="B16" s="19" t="inlineStr">
        <is>
          <t>▸ With the sample data: 72,800 in sales per month, 23,356.67 in labor cost and a ratio of 32.1%, within the 28-33% range of casual dining (verdict: EXCELLENT, below the 33% target).</t>
        </is>
      </c>
    </row>
    <row r="17">
      <c r="B17" s="3" t="n"/>
    </row>
    <row r="18">
      <c r="B18" s="19" t="inlineStr">
        <is>
          <t>The peak day:</t>
        </is>
      </c>
    </row>
    <row r="19">
      <c r="B19" s="19" t="inlineStr">
        <is>
          <t>▸ "PEAK-day covers" is your busiest day (Friday or Saturday, almost always). The sheet calculates the staffing for THAT day and gives you the boost over a normal day: it is what you add on that day, not for the whole week, and it is not added to the fixed headcount.</t>
        </is>
      </c>
    </row>
    <row r="20">
      <c r="B20" s="3" t="n"/>
    </row>
    <row r="21">
      <c r="B21" s="19" t="inlineStr">
        <is>
          <t>What this sheet is NOT:</t>
        </is>
      </c>
    </row>
    <row r="22">
      <c r="B22" s="19" t="inlineStr">
        <is>
          <t>▸ It is not your payroll cost: it starts from one average salary and one employer payroll tax rate for the whole team. The real cost, contract by contract, comes from the "Payroll" tab of file 03 "Restaurant Labor Cost Calculator" — a different workbook, not a tab of this one.</t>
        </is>
      </c>
    </row>
    <row r="23">
      <c r="B23" s="19" t="inlineStr">
        <is>
          <t>▸ The ratios are guidelines and editable: if your menu is more labor-intensive or your service more demanding, lower the covers per line cook or per server in the green cells of "Ratios by Concept" and the calculator picks it up on its own.</t>
        </is>
      </c>
    </row>
    <row r="25">
      <c r="B25" s="20" t="inlineStr">
        <is>
          <t>To edit a locked cell: Review → Unprotect Sheet (no password). Green cells are already editable without unprotecting anything.</t>
        </is>
      </c>
    </row>
    <row r="26">
      <c r="B26" s="20" t="inlineStr">
        <is>
          <t>Designed by John Guerrero — chef and restaurant consultant since 2010, in professional kitchens since age 17 · johnguerrero.es</t>
        </is>
      </c>
    </row>
    <row r="27">
      <c r="B27" s="20" t="inlineStr">
        <is>
          <t>Version 2.0 · October 2026 · aichef.pro/en/digital-products/restaurant-schedule-templates · info@aichef.pro</t>
        </is>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E65100"/>
    <outlinePr summaryBelow="1" summaryRight="1"/>
    <pageSetUpPr fitToPage="1"/>
  </sheetPr>
  <dimension ref="A1:E55"/>
  <sheetViews>
    <sheetView workbookViewId="0">
      <pane ySplit="4" topLeftCell="A5" activePane="bottomLeft" state="frozen"/>
      <selection pane="bottomLeft" activeCell="A1" sqref="A1"/>
    </sheetView>
  </sheetViews>
  <sheetFormatPr baseColWidth="8" defaultRowHeight="15"/>
  <cols>
    <col width="46" customWidth="1" min="1" max="1"/>
    <col width="16" customWidth="1" min="2" max="2"/>
    <col width="26" customWidth="1" min="3" max="3"/>
    <col width="14" customWidth="1" min="4" max="4"/>
    <col width="18" customWidth="1" min="5" max="5"/>
  </cols>
  <sheetData>
    <row r="1">
      <c r="A1" s="21" t="inlineStr">
        <is>
          <t>Optimal Staffing Calculator</t>
        </is>
      </c>
    </row>
    <row r="2">
      <c r="A2" s="22" t="inlineStr">
        <is>
          <t>AI Chef Pro · aichef.pro — Restaurant Staff Scheduling Kit Pro</t>
        </is>
      </c>
    </row>
    <row r="3">
      <c r="A3" s="23" t="n"/>
      <c r="B3" s="23" t="n"/>
    </row>
    <row r="4">
      <c r="A4" s="24" t="inlineStr">
        <is>
          <t>YOUR BUSINESS DATA — edit only the green cells</t>
        </is>
      </c>
      <c r="B4" s="25" t="n"/>
      <c r="C4" s="26" t="n"/>
      <c r="D4" s="26" t="n"/>
      <c r="E4" s="26" t="n"/>
    </row>
    <row r="5">
      <c r="A5" s="27" t="inlineStr">
        <is>
          <t>Expected covers / day:</t>
        </is>
      </c>
      <c r="B5" s="28" t="n">
        <v>80</v>
      </c>
    </row>
    <row r="6">
      <c r="A6" s="27" t="inlineStr">
        <is>
          <t>Services per day (lunch + dinner):</t>
        </is>
      </c>
      <c r="B6" s="28" t="n">
        <v>2</v>
      </c>
    </row>
    <row r="7">
      <c r="A7" s="27" t="inlineStr">
        <is>
          <t>Days open / week:</t>
        </is>
      </c>
      <c r="B7" s="28" t="n">
        <v>6</v>
      </c>
    </row>
    <row r="8">
      <c r="A8" s="27" t="inlineStr">
        <is>
          <t>Concept:</t>
        </is>
      </c>
      <c r="B8" s="29" t="inlineStr">
        <is>
          <t>Casual dining</t>
        </is>
      </c>
    </row>
    <row r="9" ht="30" customHeight="1">
      <c r="A9" s="63" t="inlineStr">
        <is>
          <t>Average gross pay per pay period (team member, full-time):</t>
        </is>
      </c>
      <c r="B9" s="64" t="n">
        <v>1400</v>
      </c>
    </row>
    <row r="10">
      <c r="A10" s="23" t="inlineStr">
        <is>
          <t>Pay periods per year:</t>
        </is>
      </c>
      <c r="B10" s="31" t="n">
        <v>26</v>
      </c>
    </row>
    <row r="11">
      <c r="A11" s="23" t="inlineStr">
        <is>
          <t>Employer payroll taxes &amp; insurance (%):</t>
        </is>
      </c>
      <c r="B11" s="32" t="n">
        <v>0.1</v>
      </c>
    </row>
    <row r="12" ht="30" customHeight="1">
      <c r="A12" s="63" t="inlineStr">
        <is>
          <t>Paid hours per person per service (the full shift is these hours × the number of services):</t>
        </is>
      </c>
      <c r="B12" s="28" t="n">
        <v>4</v>
      </c>
    </row>
    <row r="13">
      <c r="A13" s="27" t="inlineStr">
        <is>
          <t>Full-time hours (h/week):</t>
        </is>
      </c>
      <c r="B13" s="28" t="n">
        <v>40</v>
      </c>
    </row>
    <row r="14">
      <c r="A14" s="27" t="inlineStr">
        <is>
          <t>Coverage factor (PTO, sick leave and days off):</t>
        </is>
      </c>
      <c r="B14" s="33" t="n">
        <v>1.15</v>
      </c>
    </row>
    <row r="15">
      <c r="A15" s="23" t="inlineStr">
        <is>
          <t>Average check per cover, before sales tax:</t>
        </is>
      </c>
      <c r="B15" s="65" t="n">
        <v>35</v>
      </c>
    </row>
    <row r="16">
      <c r="A16" s="23" t="inlineStr">
        <is>
          <t>PEAK-day covers:</t>
        </is>
      </c>
      <c r="B16" s="31" t="n">
        <v>120</v>
      </c>
    </row>
    <row r="17">
      <c r="A17" s="27" t="n"/>
      <c r="B17" s="27" t="n"/>
    </row>
    <row r="18">
      <c r="A18" s="35" t="inlineStr">
        <is>
          <t>RATIOS APPLIED — they come from the "Ratios by Concept" tab</t>
        </is>
      </c>
      <c r="B18" s="36" t="n"/>
      <c r="C18" s="26" t="n"/>
      <c r="D18" s="26" t="n"/>
      <c r="E18" s="26" t="n"/>
    </row>
    <row r="19">
      <c r="A19" s="27" t="inlineStr">
        <is>
          <t>Covers per line cook per service:</t>
        </is>
      </c>
      <c r="B19" s="37">
        <f>IFERROR(VLOOKUP($B$8,'Ratios by Concept'!$A$5:$J$14,5,FALSE),0)</f>
        <v>25.0</v>
      </c>
      <c r="C19" s="38" t="inlineStr">
        <is>
          <t>← 0 = that concept has no such position</t>
        </is>
      </c>
    </row>
    <row r="20">
      <c r="A20" s="27" t="inlineStr">
        <is>
          <t>Covers per server per service:</t>
        </is>
      </c>
      <c r="B20" s="37">
        <f>IFERROR(VLOOKUP($B$8,'Ratios by Concept'!$A$5:$J$14,6,FALSE),0)</f>
        <v>22.0</v>
      </c>
    </row>
    <row r="21">
      <c r="A21" s="27" t="inlineStr">
        <is>
          <t>Covers per bartender per service:</t>
        </is>
      </c>
      <c r="B21" s="37">
        <f>IFERROR(VLOOKUP($B$8,'Ratios by Concept'!$A$5:$J$14,7,FALSE),0)</f>
        <v>80.0</v>
      </c>
    </row>
    <row r="22">
      <c r="A22" s="27" t="n"/>
      <c r="B22" s="27" t="n"/>
    </row>
    <row r="23">
      <c r="A23" s="35" t="inlineStr">
        <is>
          <t>FROM COVERS TO STAFFING</t>
        </is>
      </c>
      <c r="B23" s="36" t="n"/>
      <c r="C23" s="26" t="n"/>
      <c r="D23" s="26" t="n"/>
      <c r="E23" s="26" t="n"/>
    </row>
    <row r="24">
      <c r="A24" s="23" t="inlineStr">
        <is>
          <t>Covers per SERVICE:</t>
        </is>
      </c>
      <c r="B24" s="39">
        <f>IFERROR(IF(OR($B$5="",$B$6="",$B$6=0),"",ROUND($B$5/$B$6,0)),"")</f>
        <v>40.0</v>
      </c>
      <c r="C24" s="38" t="inlineStr">
        <is>
          <t>← this is the figure that sizes the shift, not the day's total</t>
        </is>
      </c>
    </row>
    <row r="25">
      <c r="A25" s="23" t="n"/>
      <c r="B25" s="40" t="inlineStr">
        <is>
          <t>Kitchen</t>
        </is>
      </c>
      <c r="C25" s="40" t="inlineStr">
        <is>
          <t>FOH</t>
        </is>
      </c>
      <c r="D25" s="40" t="inlineStr">
        <is>
          <t>Bar</t>
        </is>
      </c>
      <c r="E25" s="40" t="inlineStr">
        <is>
          <t>Total / service</t>
        </is>
      </c>
    </row>
    <row r="26">
      <c r="A26" s="27" t="inlineStr">
        <is>
          <t>Staff per SERVICE:</t>
        </is>
      </c>
      <c r="B26" s="37">
        <f>IFERROR(IF(OR($B$24="",$B$19="",$B$19=0),0,CEILING($B$24/$B$19,1)),0)</f>
        <v>2.0</v>
      </c>
      <c r="C26" s="41">
        <f>IFERROR(IF(OR($B$24="",$B$20="",$B$20=0),0,CEILING($B$24/$B$20,1)),0)</f>
        <v>2.0</v>
      </c>
      <c r="D26" s="41">
        <f>IFERROR(IF(OR($B$24="",$B$21="",$B$21=0),0,CEILING($B$24/$B$21,1)),0)</f>
        <v>1.0</v>
      </c>
      <c r="E26" s="41">
        <f>IF($B$24="","",$B$26+$C$26+$D$26)</f>
        <v>5.0</v>
      </c>
    </row>
    <row r="27">
      <c r="A27" s="27" t="inlineStr">
        <is>
          <t>Staff shifts per day (people × services):</t>
        </is>
      </c>
      <c r="B27" s="37">
        <f>IF(OR($E$26="",$B$6=""),"",$E$26*$B$6)</f>
        <v>10.0</v>
      </c>
    </row>
    <row r="28">
      <c r="A28" s="27" t="inlineStr">
        <is>
          <t>Staff hours needed / week:</t>
        </is>
      </c>
      <c r="B28" s="37">
        <f>IF(OR($B$27="",$B$12="",$B$7=""),"",$B$27*$B$12*$B$7)</f>
        <v>240.0</v>
      </c>
    </row>
    <row r="29">
      <c r="A29" s="42" t="inlineStr">
        <is>
          <t>Staff needed (FTE):</t>
        </is>
      </c>
      <c r="B29" s="43">
        <f>IFERROR(IF(OR($B$28="",$B$13="",$B$13=0),"",CEILING($B$28/$B$13*$B$14,1)),"")</f>
        <v>7.0</v>
      </c>
    </row>
    <row r="30">
      <c r="A30" s="23" t="n"/>
      <c r="B30" s="23" t="n"/>
    </row>
    <row r="31">
      <c r="A31" s="24" t="inlineStr">
        <is>
          <t>PEAK-DAY BOOST</t>
        </is>
      </c>
      <c r="B31" s="25" t="n"/>
      <c r="C31" s="26" t="n"/>
      <c r="D31" s="26" t="n"/>
      <c r="E31" s="26" t="n"/>
    </row>
    <row r="32">
      <c r="A32" s="27" t="inlineStr">
        <is>
          <t>Covers per service on the peak day:</t>
        </is>
      </c>
      <c r="B32" s="37">
        <f>IFERROR(IF(OR($B$16="",$B$6="",$B$6=0),"",ROUND($B$16/$B$6,0)),"")</f>
        <v>60.0</v>
      </c>
    </row>
    <row r="33">
      <c r="A33" s="27" t="n"/>
      <c r="B33" s="44" t="inlineStr">
        <is>
          <t>Kitchen</t>
        </is>
      </c>
      <c r="C33" s="45" t="inlineStr">
        <is>
          <t>FOH</t>
        </is>
      </c>
      <c r="D33" s="45" t="inlineStr">
        <is>
          <t>Bar</t>
        </is>
      </c>
      <c r="E33" s="45" t="inlineStr">
        <is>
          <t>Total / service</t>
        </is>
      </c>
    </row>
    <row r="34">
      <c r="A34" s="27" t="inlineStr">
        <is>
          <t>Staff per service that day:</t>
        </is>
      </c>
      <c r="B34" s="37">
        <f>IFERROR(IF(OR($B$32="",$B$19="",$B$19=0),0,CEILING($B$32/$B$19,1)),0)</f>
        <v>3.0</v>
      </c>
      <c r="C34" s="41">
        <f>IFERROR(IF(OR($B$32="",$B$20="",$B$20=0),0,CEILING($B$32/$B$20,1)),0)</f>
        <v>3.0</v>
      </c>
      <c r="D34" s="41">
        <f>IFERROR(IF(OR($B$32="",$B$21="",$B$21=0),0,CEILING($B$32/$B$21,1)),0)</f>
        <v>1.0</v>
      </c>
      <c r="E34" s="41">
        <f>IF($B$32="","",$B$34+$C$34+$D$34)</f>
        <v>7.0</v>
      </c>
    </row>
    <row r="35">
      <c r="A35" s="46" t="inlineStr">
        <is>
          <t>BOOST over a normal day (people per service):</t>
        </is>
      </c>
      <c r="B35" s="47">
        <f>IF(OR($E$34="",$E$26=""),"",MAX(0,$E$34-$E$26))</f>
        <v>2.0</v>
      </c>
      <c r="C35" s="38" t="inlineStr">
        <is>
          <t>← a boost for THAT day, not fixed headcount</t>
        </is>
      </c>
    </row>
    <row r="36">
      <c r="A36" s="23" t="n"/>
      <c r="B36" s="23" t="n"/>
    </row>
    <row r="37">
      <c r="A37" s="24" t="inlineStr">
        <is>
          <t>LABOR COST AND CHECK AGAINST SALES</t>
        </is>
      </c>
      <c r="B37" s="25" t="n"/>
      <c r="C37" s="26" t="n"/>
      <c r="D37" s="26" t="n"/>
      <c r="E37" s="26" t="n"/>
    </row>
    <row r="38">
      <c r="A38" t="inlineStr">
        <is>
          <t>Estimated team labor cost (per month):</t>
        </is>
      </c>
      <c r="B38" s="66">
        <f>IFERROR(IF(OR($B$29="",$B$9="",$B$10=""),"",ROUND($B$29*$B$9*$B$10/12*(1+$B$11),2)),"")</f>
        <v>23356.67</v>
      </c>
    </row>
    <row r="39">
      <c r="A39" t="inlineStr">
        <is>
          <t>Estimated labor cost (per year):</t>
        </is>
      </c>
      <c r="B39" s="66">
        <f>IF($B$38="","",ROUND($B$38*12,2))</f>
        <v>280280.04</v>
      </c>
      <c r="C39" s="38" t="inlineStr">
        <is>
          <t>← twelve months of the monthly cost, which already uses your pay periods per year</t>
        </is>
      </c>
    </row>
    <row r="40">
      <c r="A40" t="inlineStr">
        <is>
          <t>Estimated sales for the month:</t>
        </is>
      </c>
      <c r="B40" s="66">
        <f>IFERROR(IF(OR($B$5="",$B$15="",$B$7=""),"",ROUND($B$5*$B$15*$B$7*52/12,2)),"")</f>
        <v>72800.0</v>
      </c>
    </row>
    <row r="41">
      <c r="A41" s="46" t="inlineStr">
        <is>
          <t>LABOR COST RATIO:</t>
        </is>
      </c>
      <c r="B41" s="49">
        <f>IFERROR(IF(OR($B$38="",$B$40="",$B$40=0),"",ROUND($B$38/$B$40,4)),"")</f>
        <v>0.3208</v>
      </c>
      <c r="C41" t="inlineStr">
        <is>
          <t>Target ratio for your concept:</t>
        </is>
      </c>
      <c r="D41" s="50">
        <f>IFERROR(VLOOKUP($B$8,'Ratios by Concept'!$A$5:$J$14,9,FALSE),0.33)</f>
        <v>0.33</v>
      </c>
    </row>
    <row r="42">
      <c r="C42" t="inlineStr">
        <is>
          <t>Maximum acceptable for your concept:</t>
        </is>
      </c>
      <c r="D42" s="50">
        <f>IFERROR(VLOOKUP($B$8,'Ratios by Concept'!$A$5:$J$14,10,FALSE),0.35)</f>
        <v>0.35</v>
      </c>
    </row>
    <row r="43">
      <c r="A43" s="46" t="inlineStr">
        <is>
          <t>Traffic light:</t>
        </is>
      </c>
      <c r="B43" s="51" t="str">
        <f>IF($B$41="","— enter your average check and pick your concept",IF($B$41&lt;$D$41,"🟢 EXCELLENT (below your target)",IF($B$41&lt;=$D$42,"🟡 WATCH (at the limit)","🔴 CORRECTIVE ACTION")))</f>
        <v>🟢 EXCELLENT (below your target)</v>
      </c>
    </row>
    <row r="45">
      <c r="A45" s="24" t="inlineStr">
        <is>
          <t>COMPARISON WITH YOUR CURRENT STAFF</t>
        </is>
      </c>
      <c r="B45" s="26" t="n"/>
      <c r="C45" s="26" t="n"/>
      <c r="D45" s="26" t="n"/>
      <c r="E45" s="26" t="n"/>
    </row>
    <row r="46">
      <c r="A46" t="inlineStr">
        <is>
          <t>Current staff (full-time people):</t>
        </is>
      </c>
      <c r="B46" s="52" t="n"/>
    </row>
    <row r="47">
      <c r="A47" t="inlineStr">
        <is>
          <t>Difference:</t>
        </is>
      </c>
      <c r="B47" s="41">
        <f>IF(OR($B$46="",$B$29=""),"",$B$46-$B$29)</f>
        <v/>
      </c>
    </row>
    <row r="48">
      <c r="A48" t="inlineStr">
        <is>
          <t>Diagnosis:</t>
        </is>
      </c>
      <c r="B48" s="51">
        <f>IF($B$47="","",IF($B$47&gt;1,"⚠ OVERSTAFFED (+"&amp;TEXT($B$47,"0")&amp;")",IF($B$47&lt;-1,"🔴 UNDERSTAFFED ("&amp;TEXT($B$47,"0")&amp;")","✓ RIGHT-SIZED")))</f>
        <v/>
      </c>
    </row>
    <row r="50" ht="46" customHeight="1">
      <c r="A50" s="53" t="inlineStr">
        <is>
          <t>▸ FTE = full-time people, not people per shift. And a PERSON-SERVICE is not a person: it is one person in ONE service. With the sample data that is 5 people per service and 2 services a day = 10 person-services, which are those SAME 5 people working an 8 h shift (4 paid hours per service × 2): 5 × 8 h × 6 days = 240 h a week = seven 40 h contracts with the 15% coverage for days off, vacation / PTO and sick leave already built in. It matches the "Shifts" tab of file 01 "Restaurant Schedule Template": AM, PM and N are 8 h; the split is 9.</t>
        </is>
      </c>
    </row>
    <row r="51" ht="42" customHeight="1">
      <c r="A51" s="53" t="inlineStr">
        <is>
          <t>▸ The "Staffing Forecast" tab of file 03 "Restaurant Labor Cost Calculator" does this same calculation and with the default values returns the same number. If you change the CONCEPT here, that tab does not find out: its three ratios are constants for Casual dining. Then copy B19, B20 and B21 of this calculator to B7, B8 and B9 of "Staffing Forecast" and they will match again.</t>
        </is>
      </c>
    </row>
    <row r="52" ht="30" customHeight="1">
      <c r="A52" s="53" t="inlineStr">
        <is>
          <t>▸ The peak-day boost is EXTRA staff for that day (extra shifts, on-call or seasonal staff), not fixed headcount: that is why it is not added to the FTE.</t>
        </is>
      </c>
    </row>
    <row r="53" ht="30" customHeight="1">
      <c r="A53" s="53" t="inlineStr">
        <is>
          <t>▸ The cost is an estimate, not your payroll: it starts from one average gross pay and one employer payroll tax rate for the whole team. The real cost, contract by contract, comes from the "Payroll" tab of file 03 "Restaurant Labor Cost Calculator".</t>
        </is>
      </c>
    </row>
    <row r="55">
      <c r="A55" s="54" t="inlineStr">
        <is>
          <t>© 2026 AI Chef Pro · aichef.pro</t>
        </is>
      </c>
    </row>
  </sheetData>
  <sheetProtection selectLockedCells="0" selectUnlockedCells="0" sheet="1" objects="0" insertRows="1" insertHyperlinks="1" autoFilter="0" scenarios="0" formatColumns="0" deleteColumns="1" insertColumns="1" pivotTables="1" deleteRows="1" formatCells="1" formatRows="0" sort="0"/>
  <mergeCells count="9">
    <mergeCell ref="A53:E53"/>
    <mergeCell ref="A55:E55"/>
    <mergeCell ref="A50:E50"/>
    <mergeCell ref="A2:E2"/>
    <mergeCell ref="B43:E43"/>
    <mergeCell ref="A52:E52"/>
    <mergeCell ref="B48:E48"/>
    <mergeCell ref="A51:E51"/>
    <mergeCell ref="A1:E1"/>
  </mergeCells>
  <conditionalFormatting sqref="B43">
    <cfRule type="containsText" priority="1" operator="containsText" dxfId="0" stopIfTrue="1" text="CORRECTIVE ACTION">
      <formula>NOT(ISERROR(SEARCH("CORRECTIVE ACTION",B43)))</formula>
    </cfRule>
    <cfRule type="containsText" priority="2" operator="containsText" dxfId="1" stopIfTrue="1" text="WATCH">
      <formula>NOT(ISERROR(SEARCH("WATCH",B43)))</formula>
    </cfRule>
    <cfRule type="containsText" priority="3" operator="containsText" dxfId="2" stopIfTrue="1" text="EXCELLENT">
      <formula>NOT(ISERROR(SEARCH("EXCELLENT",B43)))</formula>
    </cfRule>
  </conditionalFormatting>
  <conditionalFormatting sqref="B48">
    <cfRule type="containsText" priority="4" operator="containsText" dxfId="0" stopIfTrue="1" text="UNDERSTAFFED">
      <formula>NOT(ISERROR(SEARCH("UNDERSTAFFED",B48)))</formula>
    </cfRule>
    <cfRule type="containsText" priority="5" operator="containsText" dxfId="1" stopIfTrue="1" text="OVERSTAFFED">
      <formula>NOT(ISERROR(SEARCH("OVERSTAFFED",B48)))</formula>
    </cfRule>
    <cfRule type="containsText" priority="6" operator="containsText" dxfId="2" stopIfTrue="1" text="RIGHT-SIZED">
      <formula>NOT(ISERROR(SEARCH("RIGHT-SIZED",B48)))</formula>
    </cfRule>
  </conditionalFormatting>
  <dataValidations count="11">
    <dataValidation sqref="B7" showDropDown="0" showInputMessage="1" showErrorMessage="0" allowBlank="0" promptTitle="Days open per week" prompt="It feeds the calculation through the weekly hours: opening 7 days instead of 6 raises the staff you need, not just the shift."/>
    <dataValidation sqref="B9" showDropDown="0" showInputMessage="1" showErrorMessage="0" allowBlank="0" promptTitle="Avg gross pay per period" prompt="The average GROSS PAY per pay period of a full-time employee, not their cost: employer payroll taxes &amp; insurance are added two rows below. For the real cost of YOUR team use the &quot;Payroll&quot; tab of file 03 &quot;Restaurant Labor Cost Calculator&quot;."/>
    <dataValidation sqref="B11" showDropDown="0" showInputMessage="1" showErrorMessage="0" allowBlank="0" promptTitle="Employer taxes &amp; insurance" prompt="Adjust to your state, insurer and unemployment rate. Estimate: about 10% = FICA 7.65% + FUTA/SUTA + workers' comp. UK: employer NI 15% above 5,000 a year + about 3% pension."/>
    <dataValidation sqref="B12" showDropDown="0" showInputMessage="1" showErrorMessage="0" allowBlank="0" promptTitle="Hours per service" prompt="The hours EACH person costs you per service, setup and close included. With 2 services a day, 4 h each make the 8 h shift of the &quot;Shifts&quot; tab of file 01. Raise it if services run long or you set up and close outside the shift."/>
    <dataValidation sqref="B13" showDropDown="0" showInputMessage="1" showErrorMessage="0" allowBlank="0" promptTitle="Full-time hours per week" prompt="Hours of a full-time contract (40 by default). Staff needed (FTE) = weekly hours needed ÷ these hours × the coverage factor."/>
    <dataValidation sqref="B14" showDropDown="0" showInputMessage="1" showErrorMessage="0" allowBlank="0" promptTitle="Coverage factor" prompt="An extra 15% on top of the WHOLE team (kitchen, FOH and bar) to cover days off, vacation / PTO and sick leave. In high season raise it to 1.20."/>
    <dataValidation sqref="B15" showDropDown="0" showInputMessage="1" showErrorMessage="0" allowBlank="0" promptTitle="Avg check before tax" prompt="It is only used to check the result against your sales: without it the calculator can tell you to hire nineteen people without anything warning you that they eat up 100% of the till."/>
    <dataValidation sqref="B16" showDropDown="0" showInputMessage="1" showErrorMessage="0" allowBlank="0" promptTitle="Peak-day covers" prompt="The busiest day of your week (Friday or Saturday, almost always). It drives the boost per service, which is what you add on that day, not for the whole week."/>
    <dataValidation sqref="B6" showDropDown="0" showInputMessage="1" showErrorMessage="1" allowBlank="1" errorTitle="Invalid services per day" error="Pick 1, 2 or 3." promptTitle="Services per day" prompt="One (lunch only or dinner only), two (lunch and dinner) or three (breakfast, lunch and dinner). It splits the day's covers between services, and the service is what gets sized." type="list" errorStyle="stop">
      <formula1>"1,2,3"</formula1>
    </dataValidation>
    <dataValidation sqref="B8" showDropDown="0" showInputMessage="1" showErrorMessage="1" allowBlank="1" errorTitle="Invalid concept" error="Pick one of the ten concepts on the &quot;Ratios by Concept&quot; tab." promptTitle="Restaurant concept" prompt="The three ratios on &quot;Ratios by Concept&quot; and the two labor-cost traffic-light thresholds are looked up from here (VLOOKUP). The list holds exactly the ten concepts so that no other value can silently return the wrong ratios." type="list" errorStyle="stop">
      <formula1>"Casual dining,Fine dining,Fast casual / QSR,Café / brunch,Bar / cocktail bar,Pizzeria,Ghost kitchen / delivery,Hotel restaurant,Catering &amp; events,Ice cream shop / bakery"</formula1>
    </dataValidation>
    <dataValidation sqref="B10" showDropDown="0" showInputMessage="1" showErrorMessage="1" allowBlank="1" errorTitle="Invalid pay periods" error="Pick 52, 26, 24 or 12." promptTitle="Pay periods per year" prompt="52 = weekly, 26 = every two weeks (biweekly, the US norm), 24 = twice a month, 12 = monthly. The annual cost is driven by THIS cell, so it is never silently multiplied by a fixed number." type="list" errorStyle="stop">
      <formula1>"52,26,24,12"</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tabColor rgb="00BF360C"/>
    <outlinePr summaryBelow="1" summaryRight="1"/>
    <pageSetUpPr fitToPage="1"/>
  </sheetPr>
  <dimension ref="A1:J23"/>
  <sheetViews>
    <sheetView workbookViewId="0">
      <pane ySplit="4" topLeftCell="A5" activePane="bottomLeft" state="frozen"/>
      <selection pane="bottomLeft" activeCell="A1" sqref="A1"/>
    </sheetView>
  </sheetViews>
  <sheetFormatPr baseColWidth="8" defaultRowHeight="15"/>
  <cols>
    <col width="28" customWidth="1" min="1" max="1"/>
    <col width="15" customWidth="1" min="2" max="2"/>
    <col width="15" customWidth="1" min="3" max="3"/>
    <col width="15" customWidth="1" min="4" max="4"/>
    <col width="15" customWidth="1" min="5" max="5"/>
    <col width="15" customWidth="1" min="6" max="6"/>
    <col width="15" customWidth="1" min="7" max="7"/>
    <col width="16" customWidth="1" min="8" max="8"/>
    <col width="15" customWidth="1" min="9" max="9"/>
    <col width="15" customWidth="1" min="10" max="10"/>
  </cols>
  <sheetData>
    <row r="1">
      <c r="A1" s="21" t="inlineStr">
        <is>
          <t>Staffing Ratios by Concept</t>
        </is>
      </c>
    </row>
    <row r="2">
      <c r="A2" s="22" t="inlineStr">
        <is>
          <t>AI Chef Pro · aichef.pro — Restaurant Staff Scheduling Kit Pro</t>
        </is>
      </c>
    </row>
    <row r="3">
      <c r="A3" s="23" t="n"/>
      <c r="B3" s="23" t="n"/>
      <c r="C3" s="23" t="n"/>
      <c r="D3" s="23" t="n"/>
      <c r="E3" s="23" t="n"/>
    </row>
    <row r="4" ht="30" customHeight="1">
      <c r="A4" s="55" t="inlineStr">
        <is>
          <t>Concept</t>
        </is>
      </c>
      <c r="B4" s="55" t="inlineStr">
        <is>
          <t>Covers/cook per service (range)</t>
        </is>
      </c>
      <c r="C4" s="55" t="inlineStr">
        <is>
          <t>Covers/server per service (range)</t>
        </is>
      </c>
      <c r="D4" s="55" t="inlineStr">
        <is>
          <t>Covers/bartender per service (range)</t>
        </is>
      </c>
      <c r="E4" s="55" t="inlineStr">
        <is>
          <t>Kitchen: covers (no.)</t>
        </is>
      </c>
      <c r="F4" s="56" t="inlineStr">
        <is>
          <t>FOH: covers (no.)</t>
        </is>
      </c>
      <c r="G4" s="56" t="inlineStr">
        <is>
          <t>Bar: covers (no.)</t>
        </is>
      </c>
      <c r="H4" s="56" t="inlineStr">
        <is>
          <t>Labor Cost Ratio</t>
        </is>
      </c>
      <c r="I4" s="56" t="inlineStr">
        <is>
          <t>Target % (number)</t>
        </is>
      </c>
      <c r="J4" s="56" t="inlineStr">
        <is>
          <t>Acceptable % (number)</t>
        </is>
      </c>
    </row>
    <row r="5">
      <c r="A5" s="57" t="inlineStr">
        <is>
          <t>Casual dining</t>
        </is>
      </c>
      <c r="B5" s="58" t="inlineStr">
        <is>
          <t>22-28</t>
        </is>
      </c>
      <c r="C5" s="58" t="inlineStr">
        <is>
          <t>20-25</t>
        </is>
      </c>
      <c r="D5" s="58" t="inlineStr">
        <is>
          <t>70-90</t>
        </is>
      </c>
      <c r="E5" s="59" t="n">
        <v>25</v>
      </c>
      <c r="F5" s="60" t="n">
        <v>22</v>
      </c>
      <c r="G5" s="60" t="n">
        <v>80</v>
      </c>
      <c r="H5" s="61" t="inlineStr">
        <is>
          <t>28-33%</t>
        </is>
      </c>
      <c r="I5" s="62" t="n">
        <v>0.33</v>
      </c>
      <c r="J5" s="62" t="n">
        <v>0.35</v>
      </c>
    </row>
    <row r="6">
      <c r="A6" s="57" t="inlineStr">
        <is>
          <t>Fine dining</t>
        </is>
      </c>
      <c r="B6" s="58" t="inlineStr">
        <is>
          <t>10-14</t>
        </is>
      </c>
      <c r="C6" s="58" t="inlineStr">
        <is>
          <t>8-12</t>
        </is>
      </c>
      <c r="D6" s="58" t="inlineStr">
        <is>
          <t>35-45</t>
        </is>
      </c>
      <c r="E6" s="59" t="n">
        <v>12</v>
      </c>
      <c r="F6" s="60" t="n">
        <v>10</v>
      </c>
      <c r="G6" s="60" t="n">
        <v>40</v>
      </c>
      <c r="H6" s="61" t="inlineStr">
        <is>
          <t>35-40%</t>
        </is>
      </c>
      <c r="I6" s="62" t="n">
        <v>0.4</v>
      </c>
      <c r="J6" s="62" t="n">
        <v>0.42</v>
      </c>
    </row>
    <row r="7">
      <c r="A7" s="57" t="inlineStr">
        <is>
          <t>Fast casual / QSR</t>
        </is>
      </c>
      <c r="B7" s="58" t="inlineStr">
        <is>
          <t>40-50</t>
        </is>
      </c>
      <c r="C7" s="58" t="inlineStr">
        <is>
          <t>35-45</t>
        </is>
      </c>
      <c r="D7" s="58" t="inlineStr">
        <is>
          <t>90-110</t>
        </is>
      </c>
      <c r="E7" s="59" t="n">
        <v>45</v>
      </c>
      <c r="F7" s="60" t="n">
        <v>40</v>
      </c>
      <c r="G7" s="60" t="n">
        <v>100</v>
      </c>
      <c r="H7" s="61" t="inlineStr">
        <is>
          <t>25-28%</t>
        </is>
      </c>
      <c r="I7" s="62" t="n">
        <v>0.28</v>
      </c>
      <c r="J7" s="62" t="n">
        <v>0.3</v>
      </c>
    </row>
    <row r="8">
      <c r="A8" s="57" t="inlineStr">
        <is>
          <t>Café / brunch</t>
        </is>
      </c>
      <c r="B8" s="58" t="inlineStr">
        <is>
          <t>30-40</t>
        </is>
      </c>
      <c r="C8" s="58" t="inlineStr">
        <is>
          <t>25-35</t>
        </is>
      </c>
      <c r="D8" s="58" t="inlineStr">
        <is>
          <t>50-70</t>
        </is>
      </c>
      <c r="E8" s="59" t="n">
        <v>35</v>
      </c>
      <c r="F8" s="60" t="n">
        <v>30</v>
      </c>
      <c r="G8" s="60" t="n">
        <v>60</v>
      </c>
      <c r="H8" s="61" t="inlineStr">
        <is>
          <t>28-32%</t>
        </is>
      </c>
      <c r="I8" s="62" t="n">
        <v>0.32</v>
      </c>
      <c r="J8" s="62" t="n">
        <v>0.35</v>
      </c>
    </row>
    <row r="9">
      <c r="A9" s="57" t="inlineStr">
        <is>
          <t>Bar / cocktail bar</t>
        </is>
      </c>
      <c r="B9" s="58" t="inlineStr">
        <is>
          <t>—</t>
        </is>
      </c>
      <c r="C9" s="58" t="inlineStr">
        <is>
          <t>25-35</t>
        </is>
      </c>
      <c r="D9" s="58" t="inlineStr">
        <is>
          <t>30-40</t>
        </is>
      </c>
      <c r="E9" s="59" t="n">
        <v>0</v>
      </c>
      <c r="F9" s="60" t="n">
        <v>30</v>
      </c>
      <c r="G9" s="60" t="n">
        <v>35</v>
      </c>
      <c r="H9" s="61" t="inlineStr">
        <is>
          <t>25-30%</t>
        </is>
      </c>
      <c r="I9" s="62" t="n">
        <v>0.3</v>
      </c>
      <c r="J9" s="62" t="n">
        <v>0.33</v>
      </c>
    </row>
    <row r="10">
      <c r="A10" s="57" t="inlineStr">
        <is>
          <t>Pizzeria</t>
        </is>
      </c>
      <c r="B10" s="58" t="inlineStr">
        <is>
          <t>26-34</t>
        </is>
      </c>
      <c r="C10" s="58" t="inlineStr">
        <is>
          <t>22-28</t>
        </is>
      </c>
      <c r="D10" s="58" t="inlineStr">
        <is>
          <t>80-100</t>
        </is>
      </c>
      <c r="E10" s="59" t="n">
        <v>30</v>
      </c>
      <c r="F10" s="60" t="n">
        <v>25</v>
      </c>
      <c r="G10" s="60" t="n">
        <v>90</v>
      </c>
      <c r="H10" s="61" t="inlineStr">
        <is>
          <t>26-30%</t>
        </is>
      </c>
      <c r="I10" s="62" t="n">
        <v>0.3</v>
      </c>
      <c r="J10" s="62" t="n">
        <v>0.32</v>
      </c>
    </row>
    <row r="11">
      <c r="A11" s="57" t="inlineStr">
        <is>
          <t>Ghost kitchen / delivery</t>
        </is>
      </c>
      <c r="B11" s="58" t="inlineStr">
        <is>
          <t>35-45</t>
        </is>
      </c>
      <c r="C11" s="58" t="inlineStr">
        <is>
          <t>—</t>
        </is>
      </c>
      <c r="D11" s="58" t="inlineStr">
        <is>
          <t>—</t>
        </is>
      </c>
      <c r="E11" s="59" t="n">
        <v>40</v>
      </c>
      <c r="F11" s="60" t="n">
        <v>0</v>
      </c>
      <c r="G11" s="60" t="n">
        <v>0</v>
      </c>
      <c r="H11" s="61" t="inlineStr">
        <is>
          <t>22-28%</t>
        </is>
      </c>
      <c r="I11" s="62" t="n">
        <v>0.28</v>
      </c>
      <c r="J11" s="62" t="n">
        <v>0.3</v>
      </c>
    </row>
    <row r="12">
      <c r="A12" s="57" t="inlineStr">
        <is>
          <t>Hotel restaurant</t>
        </is>
      </c>
      <c r="B12" s="58" t="inlineStr">
        <is>
          <t>18-24</t>
        </is>
      </c>
      <c r="C12" s="58" t="inlineStr">
        <is>
          <t>12-18</t>
        </is>
      </c>
      <c r="D12" s="58" t="inlineStr">
        <is>
          <t>45-55</t>
        </is>
      </c>
      <c r="E12" s="59" t="n">
        <v>20</v>
      </c>
      <c r="F12" s="60" t="n">
        <v>15</v>
      </c>
      <c r="G12" s="60" t="n">
        <v>50</v>
      </c>
      <c r="H12" s="61" t="inlineStr">
        <is>
          <t>35-42%</t>
        </is>
      </c>
      <c r="I12" s="62" t="n">
        <v>0.42</v>
      </c>
      <c r="J12" s="62" t="n">
        <v>0.44</v>
      </c>
    </row>
    <row r="13">
      <c r="A13" s="57" t="inlineStr">
        <is>
          <t>Catering &amp; events</t>
        </is>
      </c>
      <c r="B13" s="58" t="inlineStr">
        <is>
          <t>20-25</t>
        </is>
      </c>
      <c r="C13" s="58" t="inlineStr">
        <is>
          <t>12-18</t>
        </is>
      </c>
      <c r="D13" s="58" t="inlineStr">
        <is>
          <t>50-70</t>
        </is>
      </c>
      <c r="E13" s="59" t="n">
        <v>22</v>
      </c>
      <c r="F13" s="60" t="n">
        <v>15</v>
      </c>
      <c r="G13" s="60" t="n">
        <v>60</v>
      </c>
      <c r="H13" s="61" t="inlineStr">
        <is>
          <t>30-35%</t>
        </is>
      </c>
      <c r="I13" s="62" t="n">
        <v>0.35</v>
      </c>
      <c r="J13" s="62" t="n">
        <v>0.38</v>
      </c>
    </row>
    <row r="14">
      <c r="A14" s="57" t="inlineStr">
        <is>
          <t>Ice cream shop / bakery</t>
        </is>
      </c>
      <c r="B14" s="58" t="inlineStr">
        <is>
          <t>35-45</t>
        </is>
      </c>
      <c r="C14" s="58" t="inlineStr">
        <is>
          <t>25-35</t>
        </is>
      </c>
      <c r="D14" s="58" t="inlineStr">
        <is>
          <t>—</t>
        </is>
      </c>
      <c r="E14" s="59" t="n">
        <v>40</v>
      </c>
      <c r="F14" s="60" t="n">
        <v>30</v>
      </c>
      <c r="G14" s="60" t="n">
        <v>0</v>
      </c>
      <c r="H14" s="61" t="inlineStr">
        <is>
          <t>25-30%</t>
        </is>
      </c>
      <c r="I14" s="62" t="n">
        <v>0.3</v>
      </c>
      <c r="J14" s="62" t="n">
        <v>0.32</v>
      </c>
    </row>
    <row r="15">
      <c r="A15" s="23" t="n"/>
      <c r="B15" s="23" t="n"/>
      <c r="C15" s="23" t="n"/>
      <c r="D15" s="23" t="n"/>
      <c r="E15" s="23" t="n"/>
    </row>
    <row r="16" ht="30" customHeight="1">
      <c r="A16" s="53" t="inlineStr">
        <is>
          <t>▸ The three numbers are COVERS PER EMPLOYEE PER SERVICE, not per day: 80 covers a day over two services is 40 per service, and those 40 are what the shift is sized with.</t>
        </is>
      </c>
    </row>
    <row r="17" ht="30" customHeight="1">
      <c r="A17" s="53" t="inlineStr">
        <is>
          <t>▸ A 0 means that concept has no such position: a ghost kitchen has no dining room and a cocktail bar has no full-menu kitchen. The calculator does not ask for staff where the ratio is 0.</t>
        </is>
      </c>
    </row>
    <row r="18" ht="30" customHeight="1">
      <c r="A18" s="53" t="inlineStr">
        <is>
          <t>▸ The numeric columns are the ones the calculator reads via VLOOKUP; the ranges beside them are guidelines — adjust them to your menu, your service and your standards.</t>
        </is>
      </c>
    </row>
    <row r="19" ht="15" customHeight="1">
      <c r="A19" s="53" t="inlineStr">
        <is>
          <t>▸ In high season lower the ratio (more staff per cover) or raise the calculator's coverage factor to 1.20.</t>
        </is>
      </c>
    </row>
    <row r="20" ht="30" customHeight="1">
      <c r="A20" s="53" t="inlineStr">
        <is>
          <t>▸ "Target %" and "Acceptable %" are the same thresholds the traffic light in file 03 "Restaurant Labor Cost Calculator" uses for all ten concepts: the two files cannot contradict each other on the same ratio.</t>
        </is>
      </c>
    </row>
    <row r="21" ht="30" customHeight="1">
      <c r="A21" s="53" t="inlineStr">
        <is>
          <t>▸ The labor cost ratio includes employer payroll taxes &amp; insurance, which in the calculator is a green cell (10% by default), not a hidden rate buried in the formula.</t>
        </is>
      </c>
    </row>
    <row r="22">
      <c r="A22" s="23" t="n"/>
      <c r="B22" s="23" t="n"/>
      <c r="C22" s="23" t="n"/>
      <c r="D22" s="23" t="n"/>
      <c r="E22" s="23" t="n"/>
    </row>
    <row r="23">
      <c r="A23" s="54" t="inlineStr">
        <is>
          <t>© 2026 AI Chef Pro · aichef.pro</t>
        </is>
      </c>
    </row>
  </sheetData>
  <sheetProtection selectLockedCells="0" selectUnlockedCells="0" sheet="1" objects="0" insertRows="1" insertHyperlinks="1" autoFilter="0" scenarios="0" formatColumns="0" deleteColumns="1" insertColumns="1" pivotTables="1" deleteRows="1" formatCells="1" formatRows="0" sort="0"/>
  <mergeCells count="9">
    <mergeCell ref="A1:J1"/>
    <mergeCell ref="A23:J23"/>
    <mergeCell ref="A17:J17"/>
    <mergeCell ref="A18:J18"/>
    <mergeCell ref="A2:J2"/>
    <mergeCell ref="A21:J21"/>
    <mergeCell ref="A20:J20"/>
    <mergeCell ref="A16:J16"/>
    <mergeCell ref="A19:J19"/>
  </mergeCell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BONUS: Restaurant Staffing Calculator</dc:title>
  <dc:description xmlns:dc="http://purl.org/dc/elements/1.1/">aichef.pro/en/digital-products/restaurant-schedule-templates</dc:description>
  <dc:subject xmlns:dc="http://purl.org/dc/elements/1.1/">Restaurant Staff Scheduling Kit Pro · v2.0</dc:subject>
  <dcterms:created xmlns:dcterms="http://purl.org/dc/terms/" xmlns:xsi="http://www.w3.org/2001/XMLSchema-instance" xsi:type="dcterms:W3CDTF">2026-03-23T19:17:40Z</dcterms:created>
  <dcterms:modified xmlns:dcterms="http://purl.org/dc/terms/" xmlns:xsi="http://www.w3.org/2001/XMLSchema-instance" xsi:type="dcterms:W3CDTF">2026-10-03T15:46:25Z</dcterms:modified>
  <cp:lastModifiedBy>AI Chef Pro</cp:lastModifiedBy>
  <cp:category>AI Chef Pro · Digital products</cp:category>
  <cp:keywords>restaurant schedule template, staff rota, AI Chef Pro</cp:keywords>
</cp:coreProperties>
</file>