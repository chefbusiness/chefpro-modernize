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ual Calendar" sheetId="2" state="visible" r:id="rId2"/>
    <sheet xmlns:r="http://schemas.openxmlformats.org/officeDocument/2006/relationships" name="PTO Requests" sheetId="3" state="visible" r:id="rId3"/>
    <sheet xmlns:r="http://schemas.openxmlformats.org/officeDocument/2006/relationships" name="PTO Balance" sheetId="4" state="visible" r:id="rId4"/>
    <sheet xmlns:r="http://schemas.openxmlformats.org/officeDocument/2006/relationships" name="Coverage" sheetId="5" state="visible" r:id="rId5"/>
  </sheets>
  <definedNames>
    <definedName name="_xlnm.Print_Area" localSheetId="0">'Instructions'!$A$1:$B$36</definedName>
    <definedName name="_xlnm.Print_Titles" localSheetId="1">'Annual Calendar'!$4:$5,'Annual Calendar'!$A:$A</definedName>
    <definedName name="_xlnm.Print_Area" localSheetId="1">'Annual Calendar'!$A$1:$BC$42</definedName>
    <definedName name="_xlnm.Print_Titles" localSheetId="2">'PTO Requests'!$4:$4</definedName>
    <definedName name="_xlnm.Print_Area" localSheetId="2">'PTO Requests'!$A$1:$H$158</definedName>
    <definedName name="_xlnm.Print_Area" localSheetId="3">'PTO Balance'!$A$1:$I$39</definedName>
    <definedName name="_xlnm.Print_Titles" localSheetId="4">'Coverage'!$5:$5</definedName>
    <definedName name="_xlnm.Print_Area" localSheetId="4">'Coverage'!$A$1:$G$52</definedName>
  </definedNames>
  <calcPr calcId="124519" fullCalcOnLoad="1"/>
</workbook>
</file>

<file path=xl/styles.xml><?xml version="1.0" encoding="utf-8"?>
<styleSheet xmlns="http://schemas.openxmlformats.org/spreadsheetml/2006/main">
  <numFmts count="5">
    <numFmt numFmtId="164" formatCode="#,##0.00"/>
    <numFmt numFmtId="165" formatCode="m/d;@"/>
    <numFmt numFmtId="166" formatCode="m/d/yyyy"/>
    <numFmt numFmtId="167" formatCode="0.0"/>
    <numFmt numFmtId="168" formatCode="m/d"/>
  </numFmts>
  <fonts count="24">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sz val="9"/>
    </font>
    <font>
      <name val="Calibri"/>
      <b val="1"/>
      <color rgb="00FFFFFF"/>
      <sz val="11"/>
    </font>
    <font>
      <name val="Calibri"/>
      <sz val="11"/>
    </font>
    <font>
      <name val="Calibri"/>
      <b val="1"/>
      <color rgb="001565C0"/>
      <sz val="11"/>
    </font>
    <font>
      <name val="Calibri"/>
      <color rgb="00999999"/>
      <sz val="9"/>
    </font>
    <font>
      <name val="Calibri"/>
      <b val="1"/>
      <color rgb="00FFD700"/>
      <sz val="12"/>
    </font>
    <font>
      <b val="1"/>
      <sz val="14"/>
    </font>
    <font>
      <b val="1"/>
      <sz val="9"/>
    </font>
    <font>
      <b val="1"/>
      <color rgb="00FFFFFF"/>
      <sz val="8"/>
    </font>
    <font>
      <sz val="8"/>
    </font>
    <font>
      <sz val="7"/>
    </font>
    <font>
      <color rgb="00888888"/>
      <sz val="8"/>
    </font>
    <font>
      <b val="1"/>
    </font>
    <font>
      <i val="1"/>
      <color rgb="00666666"/>
      <sz val="9"/>
    </font>
    <font>
      <i val="1"/>
      <sz val="9"/>
    </font>
    <font>
      <b val="1"/>
      <color rgb="00FFFFFF"/>
      <sz val="10"/>
    </font>
    <font>
      <b val="1"/>
      <sz val="11"/>
    </font>
    <font>
      <b val="1"/>
      <sz val="13"/>
    </font>
  </fonts>
  <fills count="15">
    <fill>
      <patternFill/>
    </fill>
    <fill>
      <patternFill patternType="gray125"/>
    </fill>
    <fill>
      <patternFill patternType="solid">
        <fgColor rgb="0090CAF9"/>
        <bgColor rgb="0090CAF9"/>
      </patternFill>
    </fill>
    <fill>
      <patternFill patternType="solid">
        <fgColor rgb="00EF9A9A"/>
        <bgColor rgb="00EF9A9A"/>
      </patternFill>
    </fill>
    <fill>
      <patternFill patternType="solid">
        <fgColor rgb="00A5D6A7"/>
        <bgColor rgb="00A5D6A7"/>
      </patternFill>
    </fill>
    <fill>
      <patternFill patternType="solid">
        <fgColor rgb="00FFCC80"/>
        <bgColor rgb="00FFCC80"/>
      </patternFill>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
      <patternFill patternType="solid">
        <fgColor rgb="00ECEFF1"/>
      </patternFill>
    </fill>
    <fill>
      <patternFill patternType="solid">
        <fgColor rgb="00BBDEFB"/>
      </patternFill>
    </fill>
    <fill>
      <patternFill patternType="solid">
        <fgColor rgb="00FFC7CE"/>
      </patternFill>
    </fill>
    <fill>
      <patternFill patternType="solid">
        <fgColor rgb="00C8E6C9"/>
      </patternFill>
    </fill>
    <fill>
      <patternFill patternType="solid">
        <fgColor rgb="00FFE0B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6" fillId="3" borderId="0" pivotButton="0" quotePrefix="0" xfId="0"/>
    <xf numFmtId="0" fontId="6" fillId="4" borderId="0" pivotButton="0" quotePrefix="0" xfId="0"/>
    <xf numFmtId="0" fontId="6" fillId="5" borderId="0" pivotButton="0" quotePrefix="0" xfId="0"/>
    <xf numFmtId="0" fontId="7" fillId="6" borderId="1" applyAlignment="1" pivotButton="0" quotePrefix="0" xfId="0">
      <alignment horizontal="center" vertical="center" wrapText="1"/>
    </xf>
    <xf numFmtId="0" fontId="8" fillId="7" borderId="1" pivotButton="0" quotePrefix="0" xfId="0"/>
    <xf numFmtId="0" fontId="0" fillId="7"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164" fontId="8" fillId="7" borderId="1" pivotButton="0" quotePrefix="0" xfId="0"/>
    <xf numFmtId="0" fontId="11" fillId="0" borderId="0" pivotButton="0" quotePrefix="0" xfId="0"/>
    <xf numFmtId="0" fontId="8" fillId="0" borderId="1" pivotButton="0" quotePrefix="0" xfId="0"/>
    <xf numFmtId="0" fontId="23"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2" fillId="0" borderId="0" pivotButton="0" quotePrefix="0" xfId="0"/>
    <xf numFmtId="0" fontId="13" fillId="0" borderId="0" pivotButton="0" quotePrefix="0" xfId="0"/>
    <xf numFmtId="0" fontId="13" fillId="11" borderId="0" applyAlignment="1" pivotButton="0" quotePrefix="0" xfId="0">
      <alignment horizontal="center"/>
    </xf>
    <xf numFmtId="0" fontId="13" fillId="12" borderId="0" applyAlignment="1" pivotButton="0" quotePrefix="0" xfId="0">
      <alignment horizontal="center"/>
    </xf>
    <xf numFmtId="0" fontId="13" fillId="13" borderId="0" applyAlignment="1" pivotButton="0" quotePrefix="0" xfId="0">
      <alignment horizontal="center"/>
    </xf>
    <xf numFmtId="0" fontId="13" fillId="14" borderId="0" applyAlignment="1" pivotButton="0" quotePrefix="0" xfId="0">
      <alignment horizontal="center"/>
    </xf>
    <xf numFmtId="0" fontId="14" fillId="8" borderId="0" applyAlignment="1" pivotButton="0" quotePrefix="0" xfId="0">
      <alignment horizontal="center"/>
    </xf>
    <xf numFmtId="0" fontId="13" fillId="0" borderId="0" applyAlignment="1" pivotButton="0" quotePrefix="0" xfId="0">
      <alignment horizontal="right"/>
    </xf>
    <xf numFmtId="165" fontId="15" fillId="9" borderId="0" applyAlignment="1" applyProtection="1" pivotButton="0" quotePrefix="0" xfId="0">
      <alignment horizontal="center"/>
      <protection locked="0" hidden="0"/>
    </xf>
    <xf numFmtId="165" fontId="15" fillId="0" borderId="0" applyAlignment="1" pivotButton="0" quotePrefix="0" xfId="0">
      <alignment horizontal="center"/>
    </xf>
    <xf numFmtId="0" fontId="13" fillId="0" borderId="0" applyAlignment="1" pivotButton="0" quotePrefix="0" xfId="0">
      <alignment horizontal="center" wrapText="1"/>
    </xf>
    <xf numFmtId="0" fontId="0" fillId="9" borderId="0" applyProtection="1" pivotButton="0" quotePrefix="0" xfId="0">
      <protection locked="0" hidden="0"/>
    </xf>
    <xf numFmtId="0" fontId="15" fillId="9" borderId="0" applyAlignment="1" applyProtection="1" pivotButton="0" quotePrefix="0" xfId="0">
      <alignment horizontal="center"/>
      <protection locked="0" hidden="0"/>
    </xf>
    <xf numFmtId="1" fontId="0" fillId="0" borderId="0" pivotButton="0" quotePrefix="0" xfId="0"/>
    <xf numFmtId="0" fontId="16" fillId="9" borderId="0" applyAlignment="1" applyProtection="1" pivotButton="0" quotePrefix="0" xfId="0">
      <alignment horizontal="center" textRotation="90"/>
      <protection locked="0" hidden="0"/>
    </xf>
    <xf numFmtId="0" fontId="15" fillId="0" borderId="0" applyAlignment="1" pivotButton="0" quotePrefix="0" xfId="0">
      <alignment horizontal="center"/>
    </xf>
    <xf numFmtId="0" fontId="16" fillId="0" borderId="0" pivotButton="0" quotePrefix="0" xfId="0"/>
    <xf numFmtId="0" fontId="17" fillId="0" borderId="0" pivotButton="0" quotePrefix="0" xfId="0"/>
    <xf numFmtId="0" fontId="21" fillId="8" borderId="1" applyAlignment="1" pivotButton="0" quotePrefix="0" xfId="0">
      <alignment horizontal="center" vertical="center" wrapText="1"/>
    </xf>
    <xf numFmtId="0" fontId="21" fillId="8" borderId="0" applyAlignment="1" pivotButton="0" quotePrefix="0" xfId="0">
      <alignment horizontal="center" vertical="center" wrapText="1"/>
    </xf>
    <xf numFmtId="0" fontId="8" fillId="9" borderId="1" applyProtection="1" pivotButton="0" quotePrefix="0" xfId="0">
      <protection locked="0" hidden="0"/>
    </xf>
    <xf numFmtId="166" fontId="8" fillId="9" borderId="1" applyProtection="1" pivotButton="0" quotePrefix="0" xfId="0">
      <protection locked="0" hidden="0"/>
    </xf>
    <xf numFmtId="1" fontId="9" fillId="0" borderId="1" applyAlignment="1" pivotButton="0" quotePrefix="0" xfId="0">
      <alignment horizontal="center" vertical="center" wrapText="1"/>
    </xf>
    <xf numFmtId="167" fontId="0" fillId="0" borderId="1" applyAlignment="1" pivotButton="0" quotePrefix="0" xfId="0">
      <alignment horizontal="center" vertical="center" wrapText="1"/>
    </xf>
    <xf numFmtId="167" fontId="9" fillId="0" borderId="1" applyAlignment="1" pivotButton="0" quotePrefix="0" xfId="0">
      <alignment horizontal="center" vertical="center" wrapText="1"/>
    </xf>
    <xf numFmtId="0" fontId="0" fillId="9" borderId="1" applyAlignment="1" applyProtection="1" pivotButton="0" quotePrefix="0" xfId="0">
      <alignment horizontal="center" vertical="center" wrapText="1"/>
      <protection locked="0" hidden="0"/>
    </xf>
    <xf numFmtId="166" fontId="0" fillId="9" borderId="0" applyProtection="1" pivotButton="0" quotePrefix="0" xfId="0">
      <protection locked="0" hidden="0"/>
    </xf>
    <xf numFmtId="167" fontId="0" fillId="0" borderId="0" pivotButton="0" quotePrefix="0" xfId="0"/>
    <xf numFmtId="0" fontId="10" fillId="9" borderId="0" applyProtection="1" pivotButton="0" quotePrefix="0" xfId="0">
      <protection locked="0" hidden="0"/>
    </xf>
    <xf numFmtId="0" fontId="20" fillId="0" borderId="0" applyAlignment="1" pivotButton="0" quotePrefix="0" xfId="0">
      <alignment vertical="top" wrapText="1"/>
    </xf>
    <xf numFmtId="1" fontId="0" fillId="9" borderId="0" applyProtection="1" pivotButton="0" quotePrefix="0" xfId="0">
      <protection locked="0" hidden="0"/>
    </xf>
    <xf numFmtId="0" fontId="18" fillId="0" borderId="0" pivotButton="0" quotePrefix="0" xfId="0"/>
    <xf numFmtId="166" fontId="0" fillId="0" borderId="0" pivotButton="0" quotePrefix="0" xfId="0"/>
    <xf numFmtId="0" fontId="19" fillId="0" borderId="0" pivotButton="0" quotePrefix="0" xfId="0"/>
    <xf numFmtId="0" fontId="22" fillId="10" borderId="0" pivotButton="0" quotePrefix="0" xfId="0"/>
    <xf numFmtId="0" fontId="0" fillId="10" borderId="0" pivotButton="0" quotePrefix="0" xfId="0"/>
    <xf numFmtId="1" fontId="0" fillId="0" borderId="1" applyAlignment="1" pivotButton="0" quotePrefix="0" xfId="0">
      <alignment horizontal="center" vertical="center" wrapText="1"/>
    </xf>
    <xf numFmtId="1" fontId="0" fillId="7" borderId="1" applyAlignment="1" applyProtection="1" pivotButton="0" quotePrefix="0" xfId="0">
      <alignment horizontal="center" vertical="center" wrapText="1"/>
      <protection locked="0" hidden="0"/>
    </xf>
    <xf numFmtId="0" fontId="8" fillId="7" borderId="1" applyProtection="1" pivotButton="0" quotePrefix="0" xfId="0">
      <protection locked="0" hidden="0"/>
    </xf>
    <xf numFmtId="168" fontId="15" fillId="9" borderId="0" applyAlignment="1" applyProtection="1" pivotButton="0" quotePrefix="0" xfId="0">
      <alignment horizontal="center"/>
      <protection locked="0" hidden="0"/>
    </xf>
    <xf numFmtId="168" fontId="15" fillId="0" borderId="0" applyAlignment="1" pivotButton="0" quotePrefix="0" xfId="0">
      <alignment horizontal="center"/>
    </xf>
    <xf numFmtId="14" fontId="8" fillId="9" borderId="1" applyProtection="1" pivotButton="0" quotePrefix="0" xfId="0">
      <protection locked="0" hidden="0"/>
    </xf>
    <xf numFmtId="167" fontId="0" fillId="0" borderId="1" applyAlignment="1" pivotButton="0" quotePrefix="0" xfId="0">
      <alignment horizontal="center" vertical="center" wrapText="1"/>
    </xf>
    <xf numFmtId="167" fontId="9" fillId="0" borderId="1" applyAlignment="1" pivotButton="0" quotePrefix="0" xfId="0">
      <alignment horizontal="center" vertical="center" wrapText="1"/>
    </xf>
    <xf numFmtId="14" fontId="0" fillId="9" borderId="0" applyProtection="1" pivotButton="0" quotePrefix="0" xfId="0">
      <protection locked="0" hidden="0"/>
    </xf>
    <xf numFmtId="167" fontId="0" fillId="0" borderId="0" pivotButton="0" quotePrefix="0" xfId="0"/>
    <xf numFmtId="14" fontId="0" fillId="0" borderId="0" pivotButton="0" quotePrefix="0" xfId="0"/>
  </cellXfs>
  <cellStyles count="1">
    <cellStyle name="Normal" xfId="0" builtinId="0" hidden="0"/>
  </cellStyles>
  <dxfs count="6">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E65100"/>
      </font>
      <fill>
        <patternFill patternType="solid">
          <fgColor rgb="00FFE0B2"/>
          <bgColor rgb="00FFE0B2"/>
        </patternFill>
      </fill>
    </dxf>
    <dxf>
      <font>
        <b val="1"/>
        <color rgb="000D47A1"/>
      </font>
      <fill>
        <patternFill patternType="solid">
          <fgColor rgb="00BBDEFB"/>
          <bgColor rgb="00BBDEFB"/>
        </patternFill>
      </fill>
    </dxf>
    <dxf>
      <font>
        <b val="1"/>
        <color rgb="00006100"/>
      </font>
      <fill>
        <patternFill patternType="solid">
          <fgColor rgb="00C6EFCE"/>
          <bgColor rgb="00C6EFCE"/>
        </patternFill>
      </fill>
    </dxf>
    <dxf>
      <font>
        <b val="1"/>
        <color rgb="00424242"/>
      </font>
      <fill>
        <patternFill patternType="solid">
          <fgColor rgb="00F5F5F5"/>
          <b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6"/>
  <sheetViews>
    <sheetView workbookViewId="0">
      <selection activeCell="A1" sqref="A1"/>
    </sheetView>
  </sheetViews>
  <sheetFormatPr baseColWidth="8" defaultRowHeight="15"/>
  <cols>
    <col width="3" customWidth="1" min="1" max="1"/>
    <col width="80" customWidth="1" min="2" max="2"/>
  </cols>
  <sheetData>
    <row r="2">
      <c r="B2" s="18" t="inlineStr">
        <is>
          <t>05 · PTO &amp; Vacation Planner</t>
        </is>
      </c>
    </row>
    <row r="4">
      <c r="B4" s="19" t="inlineStr">
        <is>
          <t>How to use this template:</t>
        </is>
      </c>
    </row>
    <row r="5">
      <c r="B5" s="20" t="inlineStr">
        <is>
          <t>▸ Type the names once, in column A of the "Annual Calendar". The other tabs read them from there.</t>
        </is>
      </c>
    </row>
    <row r="6">
      <c r="B6" s="20" t="inlineStr">
        <is>
          <t>▸ The grid is by WEEK, not by month: row 4 numbers the 53 weeks of the year and row 5 shows the first day (Sunday) of each one. Change the Sunday of week 1 (green cell B5) and the other 52 recalculate on their own — and with them the year in the title and the two dates on the "PTO Balance" tab. The file comes set up for the year 2027: if you are planning another, change that cell and the whole workbook moves.</t>
        </is>
      </c>
    </row>
    <row r="7">
      <c r="B7" s="20" t="inlineStr">
        <is>
          <t>▸ Absence codes: V=Vacation/PTO · S=Sick · H=Holiday · L=Other leave. They are single letters on purpose: the columns are narrow. In the schedule (file 01 (Restaurant Schedule Template: Weekly &amp; Monthly Staff Rota)) a day off is OFF.</t>
        </is>
      </c>
    </row>
    <row r="8">
      <c r="B8" s="20" t="inlineStr">
        <is>
          <t>▸ Log each request in "PTO Requests" with its start and end dates. Days are counted AUTOMATICALLY and the sheet warns you if the dates are reversed. That tab is indexed by REQUEST, not by person: it holds 150 requests, about five per employee, because nobody takes all their days in one go.</t>
        </is>
      </c>
    </row>
    <row r="9">
      <c r="B9" s="21" t="inlineStr">
        <is>
          <t>▸ The real balance lives in "PTO Balance": annual entitlement, days taken, pending and what each person has left. It also subtracts pending requests, so you do not approve the same days twice. And it only counts THIS year's requests, so the same workbook works for several years without two years of PTO coming off the same entitlement.</t>
        </is>
      </c>
    </row>
    <row r="10">
      <c r="B10" s="19" t="inlineStr">
        <is>
          <t>▸ Also fill in the "Separation / end date" of anyone who will not reach year-end: the entitlement is prorated at BOTH ends, and that number is what goes into the final paycheck (some states require accrued PTO to be paid out; California does, Labor Code §227.3). A seasonal worker from January to June earns 7 days, not 14.</t>
        </is>
      </c>
    </row>
    <row r="11">
      <c r="B11" s="20" t="inlineStr">
        <is>
          <t>▸ In "Coverage" you set the minimum staff per shift, the maximum absences you can handle at once and your own maximum for high season. With that, the "Coverage (alert)" row of the calendar warns you week by week: it first checks whether you exceed the maximum, and high season makes the warning stronger rather than replacing it.</t>
        </is>
      </c>
    </row>
    <row r="12">
      <c r="B12" s="20" t="inlineStr">
        <is>
          <t>▸ The absence row of the calendar is the HIGHER of two counts: what you marked by hand in the grid (V, S and L — paid leave has to be covered too) and what comes automatically from APPROVED requests. Whether you work from the grid or from the requests, coverage knows.</t>
        </is>
      </c>
    </row>
    <row r="13">
      <c r="B13" s="3" t="n"/>
    </row>
    <row r="14">
      <c r="B14" s="20" t="inlineStr">
        <is>
          <t>Why the calendar counts weeks, not months:</t>
        </is>
      </c>
    </row>
    <row r="15">
      <c r="B15" s="21" t="inlineStr">
        <is>
          <t>▸ A calendar with one box per MONTH would show someone who takes all of August as 1 day used and 13 left. Here the "Days Used" column adds up the DAYS of that person's approved requests: the grid lets you SEE the year at a glance, and the requests are the source of the count.</t>
        </is>
      </c>
    </row>
    <row r="16">
      <c r="B16" s="2" t="n"/>
    </row>
    <row r="17">
      <c r="B17" s="20" t="inlineStr">
        <is>
          <t>US and UK rules:</t>
        </is>
      </c>
    </row>
    <row r="18">
      <c r="B18" s="21" t="inlineStr">
        <is>
          <t>▸ Federal law does not require paid vacation. The PTO entitlement is ONE green cell ("PTO Balance", B2), set to 14 calendar days (two weeks) as the kit's default: type your own policy. If it is counted in workdays, type that number and count only workdays in the requests. UK: 5.6 weeks of statutory holiday (39 calendar days; gov.uk/holiday-entitlement-rights).</t>
        </is>
      </c>
    </row>
    <row r="19">
      <c r="B19" s="20" t="inlineStr">
        <is>
          <t>▸ Federal law sets no notice period for requesting or approving PTO: set your own rule and put it in your employee handbook.</t>
        </is>
      </c>
    </row>
    <row r="20">
      <c r="B20" s="21" t="inlineStr">
        <is>
          <t>▸ Whether unused PTO is paid out when someone leaves depends on your state and on your written policy (California requires it).</t>
        </is>
      </c>
    </row>
    <row r="22">
      <c r="B22" s="21" t="inlineStr">
        <is>
          <t>Note: state and local law, your contracts and your handbook can improve any of these numbers.</t>
        </is>
      </c>
    </row>
    <row r="34">
      <c r="B34" s="21" t="inlineStr">
        <is>
          <t>To edit a locked cell: Review → Unprotect Sheet (no password). Green cells are already editable without unprotecting anything.</t>
        </is>
      </c>
    </row>
    <row r="35">
      <c r="B35" s="21" t="inlineStr">
        <is>
          <t>Designed by John Guerrero — chef and restaurant consultant since 2010, in professional kitchens since age 17 · johnguerrero.es</t>
        </is>
      </c>
    </row>
    <row r="36">
      <c r="B36" s="21" t="inlineStr">
        <is>
          <t>Version 2.0 · October 2026 · aichef.pro/en/digital-products/restaurant-schedule-templates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C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11" customWidth="1" min="55" max="55"/>
  </cols>
  <sheetData>
    <row r="1">
      <c r="A1" s="22" t="str">
        <f>"PTO &amp; Vacation Calendar — Year "&amp;TEXT(YEAR($B$5),"0")</f>
        <v>PTO &amp; Vacation Calendar — Year 2027</v>
      </c>
    </row>
    <row r="2">
      <c r="A2" t="inlineStr">
        <is>
          <t>AI Chef Pro · aichef.pro — Restaurant Staff Scheduling Kit Pro</t>
        </is>
      </c>
    </row>
    <row r="3">
      <c r="A3" s="23" t="inlineStr">
        <is>
          <t>Codes:</t>
        </is>
      </c>
      <c r="B3" s="24" t="inlineStr">
        <is>
          <t>V=Vacation/PTO</t>
        </is>
      </c>
      <c r="C3" s="25" t="inlineStr">
        <is>
          <t>S=Sick</t>
        </is>
      </c>
      <c r="D3" s="26" t="inlineStr">
        <is>
          <t>H=Holiday</t>
        </is>
      </c>
      <c r="E3" s="27" t="inlineStr">
        <is>
          <t>L=Other leave</t>
        </is>
      </c>
    </row>
    <row r="4">
      <c r="A4" s="23" t="inlineStr">
        <is>
          <t>Week #</t>
        </is>
      </c>
      <c r="B4" s="28" t="n">
        <v>1</v>
      </c>
      <c r="C4" s="28" t="n">
        <v>2</v>
      </c>
      <c r="D4" s="28" t="n">
        <v>3</v>
      </c>
      <c r="E4" s="28" t="n">
        <v>4</v>
      </c>
      <c r="F4" s="28" t="n">
        <v>5</v>
      </c>
      <c r="G4" s="28" t="n">
        <v>6</v>
      </c>
      <c r="H4" s="28" t="n">
        <v>7</v>
      </c>
      <c r="I4" s="28" t="n">
        <v>8</v>
      </c>
      <c r="J4" s="28" t="n">
        <v>9</v>
      </c>
      <c r="K4" s="28" t="n">
        <v>10</v>
      </c>
      <c r="L4" s="28" t="n">
        <v>11</v>
      </c>
      <c r="M4" s="28" t="n">
        <v>12</v>
      </c>
      <c r="N4" s="28" t="n">
        <v>13</v>
      </c>
      <c r="O4" s="28" t="n">
        <v>14</v>
      </c>
      <c r="P4" s="28" t="n">
        <v>15</v>
      </c>
      <c r="Q4" s="28" t="n">
        <v>16</v>
      </c>
      <c r="R4" s="28" t="n">
        <v>17</v>
      </c>
      <c r="S4" s="28" t="n">
        <v>18</v>
      </c>
      <c r="T4" s="28" t="n">
        <v>19</v>
      </c>
      <c r="U4" s="28" t="n">
        <v>20</v>
      </c>
      <c r="V4" s="28" t="n">
        <v>21</v>
      </c>
      <c r="W4" s="28" t="n">
        <v>22</v>
      </c>
      <c r="X4" s="28" t="n">
        <v>23</v>
      </c>
      <c r="Y4" s="28" t="n">
        <v>24</v>
      </c>
      <c r="Z4" s="28" t="n">
        <v>25</v>
      </c>
      <c r="AA4" s="28" t="n">
        <v>26</v>
      </c>
      <c r="AB4" s="28" t="n">
        <v>27</v>
      </c>
      <c r="AC4" s="28" t="n">
        <v>28</v>
      </c>
      <c r="AD4" s="28" t="n">
        <v>29</v>
      </c>
      <c r="AE4" s="28" t="n">
        <v>30</v>
      </c>
      <c r="AF4" s="28" t="n">
        <v>31</v>
      </c>
      <c r="AG4" s="28" t="n">
        <v>32</v>
      </c>
      <c r="AH4" s="28" t="n">
        <v>33</v>
      </c>
      <c r="AI4" s="28" t="n">
        <v>34</v>
      </c>
      <c r="AJ4" s="28" t="n">
        <v>35</v>
      </c>
      <c r="AK4" s="28" t="n">
        <v>36</v>
      </c>
      <c r="AL4" s="28" t="n">
        <v>37</v>
      </c>
      <c r="AM4" s="28" t="n">
        <v>38</v>
      </c>
      <c r="AN4" s="28" t="n">
        <v>39</v>
      </c>
      <c r="AO4" s="28" t="n">
        <v>40</v>
      </c>
      <c r="AP4" s="28" t="n">
        <v>41</v>
      </c>
      <c r="AQ4" s="28" t="n">
        <v>42</v>
      </c>
      <c r="AR4" s="28" t="n">
        <v>43</v>
      </c>
      <c r="AS4" s="28" t="n">
        <v>44</v>
      </c>
      <c r="AT4" s="28" t="n">
        <v>45</v>
      </c>
      <c r="AU4" s="28" t="n">
        <v>46</v>
      </c>
      <c r="AV4" s="28" t="n">
        <v>47</v>
      </c>
      <c r="AW4" s="28" t="n">
        <v>48</v>
      </c>
      <c r="AX4" s="28" t="n">
        <v>49</v>
      </c>
      <c r="AY4" s="28" t="n">
        <v>50</v>
      </c>
      <c r="AZ4" s="28" t="n">
        <v>51</v>
      </c>
      <c r="BA4" s="28" t="n">
        <v>52</v>
      </c>
      <c r="BB4" s="28" t="n">
        <v>53</v>
      </c>
    </row>
    <row r="5">
      <c r="A5" s="29" t="inlineStr">
        <is>
          <t>Week 1 starts on (Sunday) →</t>
        </is>
      </c>
      <c r="B5" s="61" t="n">
        <v>46390</v>
      </c>
      <c r="C5" s="62">
        <f>B5+7</f>
        <v>46397.0</v>
      </c>
      <c r="D5" s="62">
        <f>C5+7</f>
        <v>46404.0</v>
      </c>
      <c r="E5" s="62">
        <f>D5+7</f>
        <v>46411.0</v>
      </c>
      <c r="F5" s="62">
        <f>E5+7</f>
        <v>46418.0</v>
      </c>
      <c r="G5" s="62">
        <f>F5+7</f>
        <v>46425.0</v>
      </c>
      <c r="H5" s="62">
        <f>G5+7</f>
        <v>46432.0</v>
      </c>
      <c r="I5" s="62">
        <f>H5+7</f>
        <v>46439.0</v>
      </c>
      <c r="J5" s="62">
        <f>I5+7</f>
        <v>46446.0</v>
      </c>
      <c r="K5" s="62">
        <f>J5+7</f>
        <v>46453.0</v>
      </c>
      <c r="L5" s="62">
        <f>K5+7</f>
        <v>46460.0</v>
      </c>
      <c r="M5" s="62">
        <f>L5+7</f>
        <v>46467.0</v>
      </c>
      <c r="N5" s="62">
        <f>M5+7</f>
        <v>46474.0</v>
      </c>
      <c r="O5" s="62">
        <f>N5+7</f>
        <v>46481.0</v>
      </c>
      <c r="P5" s="62">
        <f>O5+7</f>
        <v>46488.0</v>
      </c>
      <c r="Q5" s="62">
        <f>P5+7</f>
        <v>46495.0</v>
      </c>
      <c r="R5" s="62">
        <f>Q5+7</f>
        <v>46502.0</v>
      </c>
      <c r="S5" s="62">
        <f>R5+7</f>
        <v>46509.0</v>
      </c>
      <c r="T5" s="62">
        <f>S5+7</f>
        <v>46516.0</v>
      </c>
      <c r="U5" s="62">
        <f>T5+7</f>
        <v>46523.0</v>
      </c>
      <c r="V5" s="62">
        <f>U5+7</f>
        <v>46530.0</v>
      </c>
      <c r="W5" s="62">
        <f>V5+7</f>
        <v>46537.0</v>
      </c>
      <c r="X5" s="62">
        <f>W5+7</f>
        <v>46544.0</v>
      </c>
      <c r="Y5" s="62">
        <f>X5+7</f>
        <v>46551.0</v>
      </c>
      <c r="Z5" s="62">
        <f>Y5+7</f>
        <v>46558.0</v>
      </c>
      <c r="AA5" s="62">
        <f>Z5+7</f>
        <v>46565.0</v>
      </c>
      <c r="AB5" s="62">
        <f>AA5+7</f>
        <v>46572.0</v>
      </c>
      <c r="AC5" s="62">
        <f>AB5+7</f>
        <v>46579.0</v>
      </c>
      <c r="AD5" s="62">
        <f>AC5+7</f>
        <v>46586.0</v>
      </c>
      <c r="AE5" s="62">
        <f>AD5+7</f>
        <v>46593.0</v>
      </c>
      <c r="AF5" s="62">
        <f>AE5+7</f>
        <v>46600.0</v>
      </c>
      <c r="AG5" s="62">
        <f>AF5+7</f>
        <v>46607.0</v>
      </c>
      <c r="AH5" s="62">
        <f>AG5+7</f>
        <v>46614.0</v>
      </c>
      <c r="AI5" s="62">
        <f>AH5+7</f>
        <v>46621.0</v>
      </c>
      <c r="AJ5" s="62">
        <f>AI5+7</f>
        <v>46628.0</v>
      </c>
      <c r="AK5" s="62">
        <f>AJ5+7</f>
        <v>46635.0</v>
      </c>
      <c r="AL5" s="62">
        <f>AK5+7</f>
        <v>46642.0</v>
      </c>
      <c r="AM5" s="62">
        <f>AL5+7</f>
        <v>46649.0</v>
      </c>
      <c r="AN5" s="62">
        <f>AM5+7</f>
        <v>46656.0</v>
      </c>
      <c r="AO5" s="62">
        <f>AN5+7</f>
        <v>46663.0</v>
      </c>
      <c r="AP5" s="62">
        <f>AO5+7</f>
        <v>46670.0</v>
      </c>
      <c r="AQ5" s="62">
        <f>AP5+7</f>
        <v>46677.0</v>
      </c>
      <c r="AR5" s="62">
        <f>AQ5+7</f>
        <v>46684.0</v>
      </c>
      <c r="AS5" s="62">
        <f>AR5+7</f>
        <v>46691.0</v>
      </c>
      <c r="AT5" s="62">
        <f>AS5+7</f>
        <v>46698.0</v>
      </c>
      <c r="AU5" s="62">
        <f>AT5+7</f>
        <v>46705.0</v>
      </c>
      <c r="AV5" s="62">
        <f>AU5+7</f>
        <v>46712.0</v>
      </c>
      <c r="AW5" s="62">
        <f>AV5+7</f>
        <v>46719.0</v>
      </c>
      <c r="AX5" s="62">
        <f>AW5+7</f>
        <v>46726.0</v>
      </c>
      <c r="AY5" s="62">
        <f>AX5+7</f>
        <v>46733.0</v>
      </c>
      <c r="AZ5" s="62">
        <f>AY5+7</f>
        <v>46740.0</v>
      </c>
      <c r="BA5" s="62">
        <f>AZ5+7</f>
        <v>46747.0</v>
      </c>
      <c r="BB5" s="62">
        <f>BA5+7</f>
        <v>46754.0</v>
      </c>
      <c r="BC5" s="32" t="inlineStr">
        <is>
          <t>Days Used</t>
        </is>
      </c>
    </row>
    <row r="6">
      <c r="A6" s="33" t="n"/>
      <c r="B6" s="34" t="n"/>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4" t="n"/>
      <c r="AR6" s="34" t="n"/>
      <c r="AS6" s="34" t="n"/>
      <c r="AT6" s="34" t="n"/>
      <c r="AU6" s="34" t="n"/>
      <c r="AV6" s="34" t="n"/>
      <c r="AW6" s="34" t="n"/>
      <c r="AX6" s="34" t="n"/>
      <c r="AY6" s="34" t="n"/>
      <c r="AZ6" s="34" t="n"/>
      <c r="BA6" s="34" t="n"/>
      <c r="BB6" s="34" t="n"/>
      <c r="BC6" s="35">
        <f>IF($A6="","",SUMIFS('PTO Requests'!$D$5:$D$154,'PTO Requests'!$A$5:$A$154,$A6&amp;"",'PTO Requests'!$G$5:$G$154,"Approved",'PTO Requests'!$B$5:$B$154,"&gt;="&amp;'PTO Balance'!$E$2,'PTO Requests'!$B$5:$B$154,"&lt;="&amp;'PTO Balance'!$G$2))</f>
        <v/>
      </c>
    </row>
    <row r="7">
      <c r="A7" s="33" t="n"/>
      <c r="B7" s="34" t="n"/>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c r="AE7" s="34" t="n"/>
      <c r="AF7" s="34" t="n"/>
      <c r="AG7" s="34" t="n"/>
      <c r="AH7" s="34" t="n"/>
      <c r="AI7" s="34" t="n"/>
      <c r="AJ7" s="34" t="n"/>
      <c r="AK7" s="34" t="n"/>
      <c r="AL7" s="34" t="n"/>
      <c r="AM7" s="34" t="n"/>
      <c r="AN7" s="34" t="n"/>
      <c r="AO7" s="34" t="n"/>
      <c r="AP7" s="34" t="n"/>
      <c r="AQ7" s="34" t="n"/>
      <c r="AR7" s="34" t="n"/>
      <c r="AS7" s="34" t="n"/>
      <c r="AT7" s="34" t="n"/>
      <c r="AU7" s="34" t="n"/>
      <c r="AV7" s="34" t="n"/>
      <c r="AW7" s="34" t="n"/>
      <c r="AX7" s="34" t="n"/>
      <c r="AY7" s="34" t="n"/>
      <c r="AZ7" s="34" t="n"/>
      <c r="BA7" s="34" t="n"/>
      <c r="BB7" s="34" t="n"/>
      <c r="BC7" s="35">
        <f>IF($A7="","",SUMIFS('PTO Requests'!$D$5:$D$154,'PTO Requests'!$A$5:$A$154,$A7&amp;"",'PTO Requests'!$G$5:$G$154,"Approved",'PTO Requests'!$B$5:$B$154,"&gt;="&amp;'PTO Balance'!$E$2,'PTO Requests'!$B$5:$B$154,"&lt;="&amp;'PTO Balance'!$G$2))</f>
        <v/>
      </c>
    </row>
    <row r="8">
      <c r="A8" s="33" t="n"/>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c r="AE8" s="34" t="n"/>
      <c r="AF8" s="34" t="n"/>
      <c r="AG8" s="34" t="n"/>
      <c r="AH8" s="34" t="n"/>
      <c r="AI8" s="34" t="n"/>
      <c r="AJ8" s="34" t="n"/>
      <c r="AK8" s="34" t="n"/>
      <c r="AL8" s="34" t="n"/>
      <c r="AM8" s="34" t="n"/>
      <c r="AN8" s="34" t="n"/>
      <c r="AO8" s="34" t="n"/>
      <c r="AP8" s="34" t="n"/>
      <c r="AQ8" s="34" t="n"/>
      <c r="AR8" s="34" t="n"/>
      <c r="AS8" s="34" t="n"/>
      <c r="AT8" s="34" t="n"/>
      <c r="AU8" s="34" t="n"/>
      <c r="AV8" s="34" t="n"/>
      <c r="AW8" s="34" t="n"/>
      <c r="AX8" s="34" t="n"/>
      <c r="AY8" s="34" t="n"/>
      <c r="AZ8" s="34" t="n"/>
      <c r="BA8" s="34" t="n"/>
      <c r="BB8" s="34" t="n"/>
      <c r="BC8" s="35">
        <f>IF($A8="","",SUMIFS('PTO Requests'!$D$5:$D$154,'PTO Requests'!$A$5:$A$154,$A8&amp;"",'PTO Requests'!$G$5:$G$154,"Approved",'PTO Requests'!$B$5:$B$154,"&gt;="&amp;'PTO Balance'!$E$2,'PTO Requests'!$B$5:$B$154,"&lt;="&amp;'PTO Balance'!$G$2))</f>
        <v/>
      </c>
    </row>
    <row r="9">
      <c r="A9" s="33" t="n"/>
      <c r="B9" s="34" t="n"/>
      <c r="C9" s="34" t="n"/>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c r="AE9" s="34" t="n"/>
      <c r="AF9" s="34" t="n"/>
      <c r="AG9" s="34" t="n"/>
      <c r="AH9" s="34" t="n"/>
      <c r="AI9" s="34" t="n"/>
      <c r="AJ9" s="34" t="n"/>
      <c r="AK9" s="34" t="n"/>
      <c r="AL9" s="34" t="n"/>
      <c r="AM9" s="34" t="n"/>
      <c r="AN9" s="34" t="n"/>
      <c r="AO9" s="34" t="n"/>
      <c r="AP9" s="34" t="n"/>
      <c r="AQ9" s="34" t="n"/>
      <c r="AR9" s="34" t="n"/>
      <c r="AS9" s="34" t="n"/>
      <c r="AT9" s="34" t="n"/>
      <c r="AU9" s="34" t="n"/>
      <c r="AV9" s="34" t="n"/>
      <c r="AW9" s="34" t="n"/>
      <c r="AX9" s="34" t="n"/>
      <c r="AY9" s="34" t="n"/>
      <c r="AZ9" s="34" t="n"/>
      <c r="BA9" s="34" t="n"/>
      <c r="BB9" s="34" t="n"/>
      <c r="BC9" s="35">
        <f>IF($A9="","",SUMIFS('PTO Requests'!$D$5:$D$154,'PTO Requests'!$A$5:$A$154,$A9&amp;"",'PTO Requests'!$G$5:$G$154,"Approved",'PTO Requests'!$B$5:$B$154,"&gt;="&amp;'PTO Balance'!$E$2,'PTO Requests'!$B$5:$B$154,"&lt;="&amp;'PTO Balance'!$G$2))</f>
        <v/>
      </c>
    </row>
    <row r="10">
      <c r="A10" s="33" t="n"/>
      <c r="B10" s="34" t="n"/>
      <c r="C10" s="34" t="n"/>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c r="AE10" s="34" t="n"/>
      <c r="AF10" s="34" t="n"/>
      <c r="AG10" s="34" t="n"/>
      <c r="AH10" s="34" t="n"/>
      <c r="AI10" s="34" t="n"/>
      <c r="AJ10" s="34" t="n"/>
      <c r="AK10" s="34" t="n"/>
      <c r="AL10" s="34" t="n"/>
      <c r="AM10" s="34" t="n"/>
      <c r="AN10" s="34" t="n"/>
      <c r="AO10" s="34" t="n"/>
      <c r="AP10" s="34" t="n"/>
      <c r="AQ10" s="34" t="n"/>
      <c r="AR10" s="34" t="n"/>
      <c r="AS10" s="34" t="n"/>
      <c r="AT10" s="34" t="n"/>
      <c r="AU10" s="34" t="n"/>
      <c r="AV10" s="34" t="n"/>
      <c r="AW10" s="34" t="n"/>
      <c r="AX10" s="34" t="n"/>
      <c r="AY10" s="34" t="n"/>
      <c r="AZ10" s="34" t="n"/>
      <c r="BA10" s="34" t="n"/>
      <c r="BB10" s="34" t="n"/>
      <c r="BC10" s="35">
        <f>IF($A10="","",SUMIFS('PTO Requests'!$D$5:$D$154,'PTO Requests'!$A$5:$A$154,$A10&amp;"",'PTO Requests'!$G$5:$G$154,"Approved",'PTO Requests'!$B$5:$B$154,"&gt;="&amp;'PTO Balance'!$E$2,'PTO Requests'!$B$5:$B$154,"&lt;="&amp;'PTO Balance'!$G$2))</f>
        <v/>
      </c>
    </row>
    <row r="11">
      <c r="A11" s="33" t="n"/>
      <c r="B11" s="34" t="n"/>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c r="AA11" s="34" t="n"/>
      <c r="AB11" s="34" t="n"/>
      <c r="AC11" s="34" t="n"/>
      <c r="AD11" s="34" t="n"/>
      <c r="AE11" s="34" t="n"/>
      <c r="AF11" s="34" t="n"/>
      <c r="AG11" s="34" t="n"/>
      <c r="AH11" s="34" t="n"/>
      <c r="AI11" s="34" t="n"/>
      <c r="AJ11" s="34" t="n"/>
      <c r="AK11" s="34" t="n"/>
      <c r="AL11" s="34" t="n"/>
      <c r="AM11" s="34" t="n"/>
      <c r="AN11" s="34" t="n"/>
      <c r="AO11" s="34" t="n"/>
      <c r="AP11" s="34" t="n"/>
      <c r="AQ11" s="34" t="n"/>
      <c r="AR11" s="34" t="n"/>
      <c r="AS11" s="34" t="n"/>
      <c r="AT11" s="34" t="n"/>
      <c r="AU11" s="34" t="n"/>
      <c r="AV11" s="34" t="n"/>
      <c r="AW11" s="34" t="n"/>
      <c r="AX11" s="34" t="n"/>
      <c r="AY11" s="34" t="n"/>
      <c r="AZ11" s="34" t="n"/>
      <c r="BA11" s="34" t="n"/>
      <c r="BB11" s="34" t="n"/>
      <c r="BC11" s="35">
        <f>IF($A11="","",SUMIFS('PTO Requests'!$D$5:$D$154,'PTO Requests'!$A$5:$A$154,$A11&amp;"",'PTO Requests'!$G$5:$G$154,"Approved",'PTO Requests'!$B$5:$B$154,"&gt;="&amp;'PTO Balance'!$E$2,'PTO Requests'!$B$5:$B$154,"&lt;="&amp;'PTO Balance'!$G$2))</f>
        <v/>
      </c>
    </row>
    <row r="12">
      <c r="A12" s="33" t="n"/>
      <c r="B12" s="34" t="n"/>
      <c r="C12" s="34" t="n"/>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c r="AE12" s="34" t="n"/>
      <c r="AF12" s="34" t="n"/>
      <c r="AG12" s="34" t="n"/>
      <c r="AH12" s="34" t="n"/>
      <c r="AI12" s="34" t="n"/>
      <c r="AJ12" s="34" t="n"/>
      <c r="AK12" s="34" t="n"/>
      <c r="AL12" s="34" t="n"/>
      <c r="AM12" s="34" t="n"/>
      <c r="AN12" s="34" t="n"/>
      <c r="AO12" s="34" t="n"/>
      <c r="AP12" s="34" t="n"/>
      <c r="AQ12" s="34" t="n"/>
      <c r="AR12" s="34" t="n"/>
      <c r="AS12" s="34" t="n"/>
      <c r="AT12" s="34" t="n"/>
      <c r="AU12" s="34" t="n"/>
      <c r="AV12" s="34" t="n"/>
      <c r="AW12" s="34" t="n"/>
      <c r="AX12" s="34" t="n"/>
      <c r="AY12" s="34" t="n"/>
      <c r="AZ12" s="34" t="n"/>
      <c r="BA12" s="34" t="n"/>
      <c r="BB12" s="34" t="n"/>
      <c r="BC12" s="35">
        <f>IF($A12="","",SUMIFS('PTO Requests'!$D$5:$D$154,'PTO Requests'!$A$5:$A$154,$A12&amp;"",'PTO Requests'!$G$5:$G$154,"Approved",'PTO Requests'!$B$5:$B$154,"&gt;="&amp;'PTO Balance'!$E$2,'PTO Requests'!$B$5:$B$154,"&lt;="&amp;'PTO Balance'!$G$2))</f>
        <v/>
      </c>
    </row>
    <row r="13">
      <c r="A13" s="33" t="n"/>
      <c r="B13" s="34" t="n"/>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4" t="n"/>
      <c r="AD13" s="34" t="n"/>
      <c r="AE13" s="34" t="n"/>
      <c r="AF13" s="34" t="n"/>
      <c r="AG13" s="34" t="n"/>
      <c r="AH13" s="34" t="n"/>
      <c r="AI13" s="34" t="n"/>
      <c r="AJ13" s="34" t="n"/>
      <c r="AK13" s="34" t="n"/>
      <c r="AL13" s="34" t="n"/>
      <c r="AM13" s="34" t="n"/>
      <c r="AN13" s="34" t="n"/>
      <c r="AO13" s="34" t="n"/>
      <c r="AP13" s="34" t="n"/>
      <c r="AQ13" s="34" t="n"/>
      <c r="AR13" s="34" t="n"/>
      <c r="AS13" s="34" t="n"/>
      <c r="AT13" s="34" t="n"/>
      <c r="AU13" s="34" t="n"/>
      <c r="AV13" s="34" t="n"/>
      <c r="AW13" s="34" t="n"/>
      <c r="AX13" s="34" t="n"/>
      <c r="AY13" s="34" t="n"/>
      <c r="AZ13" s="34" t="n"/>
      <c r="BA13" s="34" t="n"/>
      <c r="BB13" s="34" t="n"/>
      <c r="BC13" s="35">
        <f>IF($A13="","",SUMIFS('PTO Requests'!$D$5:$D$154,'PTO Requests'!$A$5:$A$154,$A13&amp;"",'PTO Requests'!$G$5:$G$154,"Approved",'PTO Requests'!$B$5:$B$154,"&gt;="&amp;'PTO Balance'!$E$2,'PTO Requests'!$B$5:$B$154,"&lt;="&amp;'PTO Balance'!$G$2))</f>
        <v/>
      </c>
    </row>
    <row r="14">
      <c r="A14" s="33" t="n"/>
      <c r="B14" s="34" t="n"/>
      <c r="C14" s="34" t="n"/>
      <c r="D14" s="34" t="n"/>
      <c r="E14" s="34" t="n"/>
      <c r="F14" s="34" t="n"/>
      <c r="G14" s="34" t="n"/>
      <c r="H14" s="34" t="n"/>
      <c r="I14" s="34" t="n"/>
      <c r="J14" s="34" t="n"/>
      <c r="K14" s="34" t="n"/>
      <c r="L14" s="34" t="n"/>
      <c r="M14" s="34" t="n"/>
      <c r="N14" s="34" t="n"/>
      <c r="O14" s="34" t="n"/>
      <c r="P14" s="34" t="n"/>
      <c r="Q14" s="34" t="n"/>
      <c r="R14" s="34" t="n"/>
      <c r="S14" s="34" t="n"/>
      <c r="T14" s="34" t="n"/>
      <c r="U14" s="34" t="n"/>
      <c r="V14" s="34" t="n"/>
      <c r="W14" s="34" t="n"/>
      <c r="X14" s="34" t="n"/>
      <c r="Y14" s="34" t="n"/>
      <c r="Z14" s="34" t="n"/>
      <c r="AA14" s="34" t="n"/>
      <c r="AB14" s="34" t="n"/>
      <c r="AC14" s="34" t="n"/>
      <c r="AD14" s="34" t="n"/>
      <c r="AE14" s="34" t="n"/>
      <c r="AF14" s="34" t="n"/>
      <c r="AG14" s="34" t="n"/>
      <c r="AH14" s="34" t="n"/>
      <c r="AI14" s="34" t="n"/>
      <c r="AJ14" s="34" t="n"/>
      <c r="AK14" s="34" t="n"/>
      <c r="AL14" s="34" t="n"/>
      <c r="AM14" s="34" t="n"/>
      <c r="AN14" s="34" t="n"/>
      <c r="AO14" s="34" t="n"/>
      <c r="AP14" s="34" t="n"/>
      <c r="AQ14" s="34" t="n"/>
      <c r="AR14" s="34" t="n"/>
      <c r="AS14" s="34" t="n"/>
      <c r="AT14" s="34" t="n"/>
      <c r="AU14" s="34" t="n"/>
      <c r="AV14" s="34" t="n"/>
      <c r="AW14" s="34" t="n"/>
      <c r="AX14" s="34" t="n"/>
      <c r="AY14" s="34" t="n"/>
      <c r="AZ14" s="34" t="n"/>
      <c r="BA14" s="34" t="n"/>
      <c r="BB14" s="34" t="n"/>
      <c r="BC14" s="35">
        <f>IF($A14="","",SUMIFS('PTO Requests'!$D$5:$D$154,'PTO Requests'!$A$5:$A$154,$A14&amp;"",'PTO Requests'!$G$5:$G$154,"Approved",'PTO Requests'!$B$5:$B$154,"&gt;="&amp;'PTO Balance'!$E$2,'PTO Requests'!$B$5:$B$154,"&lt;="&amp;'PTO Balance'!$G$2))</f>
        <v/>
      </c>
    </row>
    <row r="15">
      <c r="A15" s="33" t="n"/>
      <c r="B15" s="34" t="n"/>
      <c r="C15" s="34" t="n"/>
      <c r="D15" s="34" t="n"/>
      <c r="E15" s="34" t="n"/>
      <c r="F15" s="34" t="n"/>
      <c r="G15" s="34" t="n"/>
      <c r="H15" s="34" t="n"/>
      <c r="I15" s="34" t="n"/>
      <c r="J15" s="34" t="n"/>
      <c r="K15" s="34" t="n"/>
      <c r="L15" s="34" t="n"/>
      <c r="M15" s="34" t="n"/>
      <c r="N15" s="34" t="n"/>
      <c r="O15" s="34" t="n"/>
      <c r="P15" s="34" t="n"/>
      <c r="Q15" s="34" t="n"/>
      <c r="R15" s="34" t="n"/>
      <c r="S15" s="34" t="n"/>
      <c r="T15" s="34" t="n"/>
      <c r="U15" s="34" t="n"/>
      <c r="V15" s="34" t="n"/>
      <c r="W15" s="34" t="n"/>
      <c r="X15" s="34" t="n"/>
      <c r="Y15" s="34" t="n"/>
      <c r="Z15" s="34" t="n"/>
      <c r="AA15" s="34" t="n"/>
      <c r="AB15" s="34" t="n"/>
      <c r="AC15" s="34" t="n"/>
      <c r="AD15" s="34" t="n"/>
      <c r="AE15" s="34" t="n"/>
      <c r="AF15" s="34" t="n"/>
      <c r="AG15" s="34" t="n"/>
      <c r="AH15" s="34" t="n"/>
      <c r="AI15" s="34" t="n"/>
      <c r="AJ15" s="34" t="n"/>
      <c r="AK15" s="34" t="n"/>
      <c r="AL15" s="34" t="n"/>
      <c r="AM15" s="34" t="n"/>
      <c r="AN15" s="34" t="n"/>
      <c r="AO15" s="34" t="n"/>
      <c r="AP15" s="34" t="n"/>
      <c r="AQ15" s="34" t="n"/>
      <c r="AR15" s="34" t="n"/>
      <c r="AS15" s="34" t="n"/>
      <c r="AT15" s="34" t="n"/>
      <c r="AU15" s="34" t="n"/>
      <c r="AV15" s="34" t="n"/>
      <c r="AW15" s="34" t="n"/>
      <c r="AX15" s="34" t="n"/>
      <c r="AY15" s="34" t="n"/>
      <c r="AZ15" s="34" t="n"/>
      <c r="BA15" s="34" t="n"/>
      <c r="BB15" s="34" t="n"/>
      <c r="BC15" s="35">
        <f>IF($A15="","",SUMIFS('PTO Requests'!$D$5:$D$154,'PTO Requests'!$A$5:$A$154,$A15&amp;"",'PTO Requests'!$G$5:$G$154,"Approved",'PTO Requests'!$B$5:$B$154,"&gt;="&amp;'PTO Balance'!$E$2,'PTO Requests'!$B$5:$B$154,"&lt;="&amp;'PTO Balance'!$G$2))</f>
        <v/>
      </c>
    </row>
    <row r="16">
      <c r="A16" s="33" t="n"/>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4" t="n"/>
      <c r="AD16" s="34" t="n"/>
      <c r="AE16" s="34" t="n"/>
      <c r="AF16" s="34" t="n"/>
      <c r="AG16" s="34" t="n"/>
      <c r="AH16" s="34" t="n"/>
      <c r="AI16" s="34" t="n"/>
      <c r="AJ16" s="34" t="n"/>
      <c r="AK16" s="34" t="n"/>
      <c r="AL16" s="34" t="n"/>
      <c r="AM16" s="34" t="n"/>
      <c r="AN16" s="34" t="n"/>
      <c r="AO16" s="34" t="n"/>
      <c r="AP16" s="34" t="n"/>
      <c r="AQ16" s="34" t="n"/>
      <c r="AR16" s="34" t="n"/>
      <c r="AS16" s="34" t="n"/>
      <c r="AT16" s="34" t="n"/>
      <c r="AU16" s="34" t="n"/>
      <c r="AV16" s="34" t="n"/>
      <c r="AW16" s="34" t="n"/>
      <c r="AX16" s="34" t="n"/>
      <c r="AY16" s="34" t="n"/>
      <c r="AZ16" s="34" t="n"/>
      <c r="BA16" s="34" t="n"/>
      <c r="BB16" s="34" t="n"/>
      <c r="BC16" s="35">
        <f>IF($A16="","",SUMIFS('PTO Requests'!$D$5:$D$154,'PTO Requests'!$A$5:$A$154,$A16&amp;"",'PTO Requests'!$G$5:$G$154,"Approved",'PTO Requests'!$B$5:$B$154,"&gt;="&amp;'PTO Balance'!$E$2,'PTO Requests'!$B$5:$B$154,"&lt;="&amp;'PTO Balance'!$G$2))</f>
        <v/>
      </c>
    </row>
    <row r="17">
      <c r="A17" s="33" t="n"/>
      <c r="B17" s="34" t="n"/>
      <c r="C17" s="34" t="n"/>
      <c r="D17" s="34" t="n"/>
      <c r="E17" s="34" t="n"/>
      <c r="F17" s="34" t="n"/>
      <c r="G17" s="34" t="n"/>
      <c r="H17" s="34" t="n"/>
      <c r="I17" s="34" t="n"/>
      <c r="J17" s="34" t="n"/>
      <c r="K17" s="34" t="n"/>
      <c r="L17" s="34" t="n"/>
      <c r="M17" s="34" t="n"/>
      <c r="N17" s="34" t="n"/>
      <c r="O17" s="34" t="n"/>
      <c r="P17" s="34" t="n"/>
      <c r="Q17" s="34" t="n"/>
      <c r="R17" s="34" t="n"/>
      <c r="S17" s="34" t="n"/>
      <c r="T17" s="34" t="n"/>
      <c r="U17" s="34" t="n"/>
      <c r="V17" s="34" t="n"/>
      <c r="W17" s="34" t="n"/>
      <c r="X17" s="34" t="n"/>
      <c r="Y17" s="34" t="n"/>
      <c r="Z17" s="34" t="n"/>
      <c r="AA17" s="34" t="n"/>
      <c r="AB17" s="34" t="n"/>
      <c r="AC17" s="34" t="n"/>
      <c r="AD17" s="34" t="n"/>
      <c r="AE17" s="34" t="n"/>
      <c r="AF17" s="34" t="n"/>
      <c r="AG17" s="34" t="n"/>
      <c r="AH17" s="34" t="n"/>
      <c r="AI17" s="34" t="n"/>
      <c r="AJ17" s="34" t="n"/>
      <c r="AK17" s="34" t="n"/>
      <c r="AL17" s="34" t="n"/>
      <c r="AM17" s="34" t="n"/>
      <c r="AN17" s="34" t="n"/>
      <c r="AO17" s="34" t="n"/>
      <c r="AP17" s="34" t="n"/>
      <c r="AQ17" s="34" t="n"/>
      <c r="AR17" s="34" t="n"/>
      <c r="AS17" s="34" t="n"/>
      <c r="AT17" s="34" t="n"/>
      <c r="AU17" s="34" t="n"/>
      <c r="AV17" s="34" t="n"/>
      <c r="AW17" s="34" t="n"/>
      <c r="AX17" s="34" t="n"/>
      <c r="AY17" s="34" t="n"/>
      <c r="AZ17" s="34" t="n"/>
      <c r="BA17" s="34" t="n"/>
      <c r="BB17" s="34" t="n"/>
      <c r="BC17" s="35">
        <f>IF($A17="","",SUMIFS('PTO Requests'!$D$5:$D$154,'PTO Requests'!$A$5:$A$154,$A17&amp;"",'PTO Requests'!$G$5:$G$154,"Approved",'PTO Requests'!$B$5:$B$154,"&gt;="&amp;'PTO Balance'!$E$2,'PTO Requests'!$B$5:$B$154,"&lt;="&amp;'PTO Balance'!$G$2))</f>
        <v/>
      </c>
    </row>
    <row r="18">
      <c r="A18" s="33" t="n"/>
      <c r="B18" s="34" t="n"/>
      <c r="C18" s="34"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c r="Z18" s="34" t="n"/>
      <c r="AA18" s="34" t="n"/>
      <c r="AB18" s="34" t="n"/>
      <c r="AC18" s="34" t="n"/>
      <c r="AD18" s="34" t="n"/>
      <c r="AE18" s="34" t="n"/>
      <c r="AF18" s="34" t="n"/>
      <c r="AG18" s="34" t="n"/>
      <c r="AH18" s="34" t="n"/>
      <c r="AI18" s="34" t="n"/>
      <c r="AJ18" s="34" t="n"/>
      <c r="AK18" s="34" t="n"/>
      <c r="AL18" s="34" t="n"/>
      <c r="AM18" s="34" t="n"/>
      <c r="AN18" s="34" t="n"/>
      <c r="AO18" s="34" t="n"/>
      <c r="AP18" s="34" t="n"/>
      <c r="AQ18" s="34" t="n"/>
      <c r="AR18" s="34" t="n"/>
      <c r="AS18" s="34" t="n"/>
      <c r="AT18" s="34" t="n"/>
      <c r="AU18" s="34" t="n"/>
      <c r="AV18" s="34" t="n"/>
      <c r="AW18" s="34" t="n"/>
      <c r="AX18" s="34" t="n"/>
      <c r="AY18" s="34" t="n"/>
      <c r="AZ18" s="34" t="n"/>
      <c r="BA18" s="34" t="n"/>
      <c r="BB18" s="34" t="n"/>
      <c r="BC18" s="35">
        <f>IF($A18="","",SUMIFS('PTO Requests'!$D$5:$D$154,'PTO Requests'!$A$5:$A$154,$A18&amp;"",'PTO Requests'!$G$5:$G$154,"Approved",'PTO Requests'!$B$5:$B$154,"&gt;="&amp;'PTO Balance'!$E$2,'PTO Requests'!$B$5:$B$154,"&lt;="&amp;'PTO Balance'!$G$2))</f>
        <v/>
      </c>
    </row>
    <row r="19">
      <c r="A19" s="33" t="n"/>
      <c r="B19" s="34" t="n"/>
      <c r="C19" s="34" t="n"/>
      <c r="D19" s="34" t="n"/>
      <c r="E19" s="34" t="n"/>
      <c r="F19" s="34" t="n"/>
      <c r="G19" s="34" t="n"/>
      <c r="H19" s="34" t="n"/>
      <c r="I19" s="34" t="n"/>
      <c r="J19" s="34" t="n"/>
      <c r="K19" s="34" t="n"/>
      <c r="L19" s="34" t="n"/>
      <c r="M19" s="34" t="n"/>
      <c r="N19" s="34" t="n"/>
      <c r="O19" s="34" t="n"/>
      <c r="P19" s="34" t="n"/>
      <c r="Q19" s="34" t="n"/>
      <c r="R19" s="34" t="n"/>
      <c r="S19" s="34" t="n"/>
      <c r="T19" s="34" t="n"/>
      <c r="U19" s="34" t="n"/>
      <c r="V19" s="34" t="n"/>
      <c r="W19" s="34" t="n"/>
      <c r="X19" s="34" t="n"/>
      <c r="Y19" s="34" t="n"/>
      <c r="Z19" s="34" t="n"/>
      <c r="AA19" s="34" t="n"/>
      <c r="AB19" s="34" t="n"/>
      <c r="AC19" s="34" t="n"/>
      <c r="AD19" s="34" t="n"/>
      <c r="AE19" s="34" t="n"/>
      <c r="AF19" s="34" t="n"/>
      <c r="AG19" s="34" t="n"/>
      <c r="AH19" s="34" t="n"/>
      <c r="AI19" s="34" t="n"/>
      <c r="AJ19" s="34" t="n"/>
      <c r="AK19" s="34" t="n"/>
      <c r="AL19" s="34" t="n"/>
      <c r="AM19" s="34" t="n"/>
      <c r="AN19" s="34" t="n"/>
      <c r="AO19" s="34" t="n"/>
      <c r="AP19" s="34" t="n"/>
      <c r="AQ19" s="34" t="n"/>
      <c r="AR19" s="34" t="n"/>
      <c r="AS19" s="34" t="n"/>
      <c r="AT19" s="34" t="n"/>
      <c r="AU19" s="34" t="n"/>
      <c r="AV19" s="34" t="n"/>
      <c r="AW19" s="34" t="n"/>
      <c r="AX19" s="34" t="n"/>
      <c r="AY19" s="34" t="n"/>
      <c r="AZ19" s="34" t="n"/>
      <c r="BA19" s="34" t="n"/>
      <c r="BB19" s="34" t="n"/>
      <c r="BC19" s="35">
        <f>IF($A19="","",SUMIFS('PTO Requests'!$D$5:$D$154,'PTO Requests'!$A$5:$A$154,$A19&amp;"",'PTO Requests'!$G$5:$G$154,"Approved",'PTO Requests'!$B$5:$B$154,"&gt;="&amp;'PTO Balance'!$E$2,'PTO Requests'!$B$5:$B$154,"&lt;="&amp;'PTO Balance'!$G$2))</f>
        <v/>
      </c>
    </row>
    <row r="20">
      <c r="A20" s="33" t="n"/>
      <c r="B20" s="34" t="n"/>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34" t="n"/>
      <c r="AA20" s="34" t="n"/>
      <c r="AB20" s="34" t="n"/>
      <c r="AC20" s="34" t="n"/>
      <c r="AD20" s="34" t="n"/>
      <c r="AE20" s="34" t="n"/>
      <c r="AF20" s="34" t="n"/>
      <c r="AG20" s="34" t="n"/>
      <c r="AH20" s="34" t="n"/>
      <c r="AI20" s="34" t="n"/>
      <c r="AJ20" s="34" t="n"/>
      <c r="AK20" s="34" t="n"/>
      <c r="AL20" s="34" t="n"/>
      <c r="AM20" s="34" t="n"/>
      <c r="AN20" s="34" t="n"/>
      <c r="AO20" s="34" t="n"/>
      <c r="AP20" s="34" t="n"/>
      <c r="AQ20" s="34" t="n"/>
      <c r="AR20" s="34" t="n"/>
      <c r="AS20" s="34" t="n"/>
      <c r="AT20" s="34" t="n"/>
      <c r="AU20" s="34" t="n"/>
      <c r="AV20" s="34" t="n"/>
      <c r="AW20" s="34" t="n"/>
      <c r="AX20" s="34" t="n"/>
      <c r="AY20" s="34" t="n"/>
      <c r="AZ20" s="34" t="n"/>
      <c r="BA20" s="34" t="n"/>
      <c r="BB20" s="34" t="n"/>
      <c r="BC20" s="35">
        <f>IF($A20="","",SUMIFS('PTO Requests'!$D$5:$D$154,'PTO Requests'!$A$5:$A$154,$A20&amp;"",'PTO Requests'!$G$5:$G$154,"Approved",'PTO Requests'!$B$5:$B$154,"&gt;="&amp;'PTO Balance'!$E$2,'PTO Requests'!$B$5:$B$154,"&lt;="&amp;'PTO Balance'!$G$2))</f>
        <v/>
      </c>
    </row>
    <row r="21">
      <c r="A21" s="33" t="n"/>
      <c r="B21" s="34" t="n"/>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4" t="n"/>
      <c r="AD21" s="34" t="n"/>
      <c r="AE21" s="34" t="n"/>
      <c r="AF21" s="34" t="n"/>
      <c r="AG21" s="34" t="n"/>
      <c r="AH21" s="34" t="n"/>
      <c r="AI21" s="34" t="n"/>
      <c r="AJ21" s="34" t="n"/>
      <c r="AK21" s="34" t="n"/>
      <c r="AL21" s="34" t="n"/>
      <c r="AM21" s="34" t="n"/>
      <c r="AN21" s="34" t="n"/>
      <c r="AO21" s="34" t="n"/>
      <c r="AP21" s="34" t="n"/>
      <c r="AQ21" s="34" t="n"/>
      <c r="AR21" s="34" t="n"/>
      <c r="AS21" s="34" t="n"/>
      <c r="AT21" s="34" t="n"/>
      <c r="AU21" s="34" t="n"/>
      <c r="AV21" s="34" t="n"/>
      <c r="AW21" s="34" t="n"/>
      <c r="AX21" s="34" t="n"/>
      <c r="AY21" s="34" t="n"/>
      <c r="AZ21" s="34" t="n"/>
      <c r="BA21" s="34" t="n"/>
      <c r="BB21" s="34" t="n"/>
      <c r="BC21" s="35">
        <f>IF($A21="","",SUMIFS('PTO Requests'!$D$5:$D$154,'PTO Requests'!$A$5:$A$154,$A21&amp;"",'PTO Requests'!$G$5:$G$154,"Approved",'PTO Requests'!$B$5:$B$154,"&gt;="&amp;'PTO Balance'!$E$2,'PTO Requests'!$B$5:$B$154,"&lt;="&amp;'PTO Balance'!$G$2))</f>
        <v/>
      </c>
    </row>
    <row r="22">
      <c r="A22" s="33" t="n"/>
      <c r="B22" s="34" t="n"/>
      <c r="C22" s="34" t="n"/>
      <c r="D22" s="34" t="n"/>
      <c r="E22" s="34" t="n"/>
      <c r="F22" s="34" t="n"/>
      <c r="G22" s="34" t="n"/>
      <c r="H22" s="34" t="n"/>
      <c r="I22" s="34" t="n"/>
      <c r="J22" s="34" t="n"/>
      <c r="K22" s="34" t="n"/>
      <c r="L22" s="34" t="n"/>
      <c r="M22" s="34" t="n"/>
      <c r="N22" s="34" t="n"/>
      <c r="O22" s="34" t="n"/>
      <c r="P22" s="34" t="n"/>
      <c r="Q22" s="34" t="n"/>
      <c r="R22" s="34" t="n"/>
      <c r="S22" s="34" t="n"/>
      <c r="T22" s="34" t="n"/>
      <c r="U22" s="34" t="n"/>
      <c r="V22" s="34" t="n"/>
      <c r="W22" s="34" t="n"/>
      <c r="X22" s="34" t="n"/>
      <c r="Y22" s="34" t="n"/>
      <c r="Z22" s="34" t="n"/>
      <c r="AA22" s="34" t="n"/>
      <c r="AB22" s="34" t="n"/>
      <c r="AC22" s="34" t="n"/>
      <c r="AD22" s="34" t="n"/>
      <c r="AE22" s="34" t="n"/>
      <c r="AF22" s="34" t="n"/>
      <c r="AG22" s="34" t="n"/>
      <c r="AH22" s="34" t="n"/>
      <c r="AI22" s="34" t="n"/>
      <c r="AJ22" s="34" t="n"/>
      <c r="AK22" s="34" t="n"/>
      <c r="AL22" s="34" t="n"/>
      <c r="AM22" s="34" t="n"/>
      <c r="AN22" s="34" t="n"/>
      <c r="AO22" s="34" t="n"/>
      <c r="AP22" s="34" t="n"/>
      <c r="AQ22" s="34" t="n"/>
      <c r="AR22" s="34" t="n"/>
      <c r="AS22" s="34" t="n"/>
      <c r="AT22" s="34" t="n"/>
      <c r="AU22" s="34" t="n"/>
      <c r="AV22" s="34" t="n"/>
      <c r="AW22" s="34" t="n"/>
      <c r="AX22" s="34" t="n"/>
      <c r="AY22" s="34" t="n"/>
      <c r="AZ22" s="34" t="n"/>
      <c r="BA22" s="34" t="n"/>
      <c r="BB22" s="34" t="n"/>
      <c r="BC22" s="35">
        <f>IF($A22="","",SUMIFS('PTO Requests'!$D$5:$D$154,'PTO Requests'!$A$5:$A$154,$A22&amp;"",'PTO Requests'!$G$5:$G$154,"Approved",'PTO Requests'!$B$5:$B$154,"&gt;="&amp;'PTO Balance'!$E$2,'PTO Requests'!$B$5:$B$154,"&lt;="&amp;'PTO Balance'!$G$2))</f>
        <v/>
      </c>
    </row>
    <row r="23">
      <c r="A23" s="33" t="n"/>
      <c r="B23" s="34" t="n"/>
      <c r="C23" s="34" t="n"/>
      <c r="D23" s="34" t="n"/>
      <c r="E23" s="34" t="n"/>
      <c r="F23" s="34" t="n"/>
      <c r="G23" s="34" t="n"/>
      <c r="H23" s="34" t="n"/>
      <c r="I23" s="34" t="n"/>
      <c r="J23" s="34" t="n"/>
      <c r="K23" s="34" t="n"/>
      <c r="L23" s="34" t="n"/>
      <c r="M23" s="34" t="n"/>
      <c r="N23" s="34" t="n"/>
      <c r="O23" s="34" t="n"/>
      <c r="P23" s="34" t="n"/>
      <c r="Q23" s="34" t="n"/>
      <c r="R23" s="34" t="n"/>
      <c r="S23" s="34" t="n"/>
      <c r="T23" s="34" t="n"/>
      <c r="U23" s="34" t="n"/>
      <c r="V23" s="34" t="n"/>
      <c r="W23" s="34" t="n"/>
      <c r="X23" s="34" t="n"/>
      <c r="Y23" s="34" t="n"/>
      <c r="Z23" s="34" t="n"/>
      <c r="AA23" s="34" t="n"/>
      <c r="AB23" s="34" t="n"/>
      <c r="AC23" s="34" t="n"/>
      <c r="AD23" s="34" t="n"/>
      <c r="AE23" s="34" t="n"/>
      <c r="AF23" s="34" t="n"/>
      <c r="AG23" s="34" t="n"/>
      <c r="AH23" s="34" t="n"/>
      <c r="AI23" s="34" t="n"/>
      <c r="AJ23" s="34" t="n"/>
      <c r="AK23" s="34" t="n"/>
      <c r="AL23" s="34" t="n"/>
      <c r="AM23" s="34" t="n"/>
      <c r="AN23" s="34" t="n"/>
      <c r="AO23" s="34" t="n"/>
      <c r="AP23" s="34" t="n"/>
      <c r="AQ23" s="34" t="n"/>
      <c r="AR23" s="34" t="n"/>
      <c r="AS23" s="34" t="n"/>
      <c r="AT23" s="34" t="n"/>
      <c r="AU23" s="34" t="n"/>
      <c r="AV23" s="34" t="n"/>
      <c r="AW23" s="34" t="n"/>
      <c r="AX23" s="34" t="n"/>
      <c r="AY23" s="34" t="n"/>
      <c r="AZ23" s="34" t="n"/>
      <c r="BA23" s="34" t="n"/>
      <c r="BB23" s="34" t="n"/>
      <c r="BC23" s="35">
        <f>IF($A23="","",SUMIFS('PTO Requests'!$D$5:$D$154,'PTO Requests'!$A$5:$A$154,$A23&amp;"",'PTO Requests'!$G$5:$G$154,"Approved",'PTO Requests'!$B$5:$B$154,"&gt;="&amp;'PTO Balance'!$E$2,'PTO Requests'!$B$5:$B$154,"&lt;="&amp;'PTO Balance'!$G$2))</f>
        <v/>
      </c>
    </row>
    <row r="24">
      <c r="A24" s="33" t="n"/>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c r="V24" s="34" t="n"/>
      <c r="W24" s="34" t="n"/>
      <c r="X24" s="34" t="n"/>
      <c r="Y24" s="34" t="n"/>
      <c r="Z24" s="34" t="n"/>
      <c r="AA24" s="34" t="n"/>
      <c r="AB24" s="34" t="n"/>
      <c r="AC24" s="34" t="n"/>
      <c r="AD24" s="34" t="n"/>
      <c r="AE24" s="34" t="n"/>
      <c r="AF24" s="34" t="n"/>
      <c r="AG24" s="34" t="n"/>
      <c r="AH24" s="34" t="n"/>
      <c r="AI24" s="34" t="n"/>
      <c r="AJ24" s="34" t="n"/>
      <c r="AK24" s="34" t="n"/>
      <c r="AL24" s="34" t="n"/>
      <c r="AM24" s="34" t="n"/>
      <c r="AN24" s="34" t="n"/>
      <c r="AO24" s="34" t="n"/>
      <c r="AP24" s="34" t="n"/>
      <c r="AQ24" s="34" t="n"/>
      <c r="AR24" s="34" t="n"/>
      <c r="AS24" s="34" t="n"/>
      <c r="AT24" s="34" t="n"/>
      <c r="AU24" s="34" t="n"/>
      <c r="AV24" s="34" t="n"/>
      <c r="AW24" s="34" t="n"/>
      <c r="AX24" s="34" t="n"/>
      <c r="AY24" s="34" t="n"/>
      <c r="AZ24" s="34" t="n"/>
      <c r="BA24" s="34" t="n"/>
      <c r="BB24" s="34" t="n"/>
      <c r="BC24" s="35">
        <f>IF($A24="","",SUMIFS('PTO Requests'!$D$5:$D$154,'PTO Requests'!$A$5:$A$154,$A24&amp;"",'PTO Requests'!$G$5:$G$154,"Approved",'PTO Requests'!$B$5:$B$154,"&gt;="&amp;'PTO Balance'!$E$2,'PTO Requests'!$B$5:$B$154,"&lt;="&amp;'PTO Balance'!$G$2))</f>
        <v/>
      </c>
    </row>
    <row r="25">
      <c r="A25" s="33" t="n"/>
      <c r="B25" s="34" t="n"/>
      <c r="C25" s="34" t="n"/>
      <c r="D25" s="34" t="n"/>
      <c r="E25" s="34" t="n"/>
      <c r="F25" s="34" t="n"/>
      <c r="G25" s="34" t="n"/>
      <c r="H25" s="34" t="n"/>
      <c r="I25" s="34" t="n"/>
      <c r="J25" s="34" t="n"/>
      <c r="K25" s="34" t="n"/>
      <c r="L25" s="34" t="n"/>
      <c r="M25" s="34" t="n"/>
      <c r="N25" s="34" t="n"/>
      <c r="O25" s="34" t="n"/>
      <c r="P25" s="34" t="n"/>
      <c r="Q25" s="34" t="n"/>
      <c r="R25" s="34" t="n"/>
      <c r="S25" s="34" t="n"/>
      <c r="T25" s="34" t="n"/>
      <c r="U25" s="34" t="n"/>
      <c r="V25" s="34" t="n"/>
      <c r="W25" s="34" t="n"/>
      <c r="X25" s="34" t="n"/>
      <c r="Y25" s="34" t="n"/>
      <c r="Z25" s="34" t="n"/>
      <c r="AA25" s="34" t="n"/>
      <c r="AB25" s="34" t="n"/>
      <c r="AC25" s="34" t="n"/>
      <c r="AD25" s="34" t="n"/>
      <c r="AE25" s="34" t="n"/>
      <c r="AF25" s="34" t="n"/>
      <c r="AG25" s="34" t="n"/>
      <c r="AH25" s="34" t="n"/>
      <c r="AI25" s="34" t="n"/>
      <c r="AJ25" s="34" t="n"/>
      <c r="AK25" s="34" t="n"/>
      <c r="AL25" s="34" t="n"/>
      <c r="AM25" s="34" t="n"/>
      <c r="AN25" s="34" t="n"/>
      <c r="AO25" s="34" t="n"/>
      <c r="AP25" s="34" t="n"/>
      <c r="AQ25" s="34" t="n"/>
      <c r="AR25" s="34" t="n"/>
      <c r="AS25" s="34" t="n"/>
      <c r="AT25" s="34" t="n"/>
      <c r="AU25" s="34" t="n"/>
      <c r="AV25" s="34" t="n"/>
      <c r="AW25" s="34" t="n"/>
      <c r="AX25" s="34" t="n"/>
      <c r="AY25" s="34" t="n"/>
      <c r="AZ25" s="34" t="n"/>
      <c r="BA25" s="34" t="n"/>
      <c r="BB25" s="34" t="n"/>
      <c r="BC25" s="35">
        <f>IF($A25="","",SUMIFS('PTO Requests'!$D$5:$D$154,'PTO Requests'!$A$5:$A$154,$A25&amp;"",'PTO Requests'!$G$5:$G$154,"Approved",'PTO Requests'!$B$5:$B$154,"&gt;="&amp;'PTO Balance'!$E$2,'PTO Requests'!$B$5:$B$154,"&lt;="&amp;'PTO Balance'!$G$2))</f>
        <v/>
      </c>
    </row>
    <row r="26">
      <c r="A26" s="33" t="n"/>
      <c r="B26" s="34" t="n"/>
      <c r="C26" s="34"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4" t="n"/>
      <c r="AO26" s="34" t="n"/>
      <c r="AP26" s="34" t="n"/>
      <c r="AQ26" s="34" t="n"/>
      <c r="AR26" s="34" t="n"/>
      <c r="AS26" s="34" t="n"/>
      <c r="AT26" s="34" t="n"/>
      <c r="AU26" s="34" t="n"/>
      <c r="AV26" s="34" t="n"/>
      <c r="AW26" s="34" t="n"/>
      <c r="AX26" s="34" t="n"/>
      <c r="AY26" s="34" t="n"/>
      <c r="AZ26" s="34" t="n"/>
      <c r="BA26" s="34" t="n"/>
      <c r="BB26" s="34" t="n"/>
      <c r="BC26" s="35">
        <f>IF($A26="","",SUMIFS('PTO Requests'!$D$5:$D$154,'PTO Requests'!$A$5:$A$154,$A26&amp;"",'PTO Requests'!$G$5:$G$154,"Approved",'PTO Requests'!$B$5:$B$154,"&gt;="&amp;'PTO Balance'!$E$2,'PTO Requests'!$B$5:$B$154,"&lt;="&amp;'PTO Balance'!$G$2))</f>
        <v/>
      </c>
    </row>
    <row r="27">
      <c r="A27" s="33" t="n"/>
      <c r="B27" s="34" t="n"/>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c r="AA27" s="34" t="n"/>
      <c r="AB27" s="34" t="n"/>
      <c r="AC27" s="34" t="n"/>
      <c r="AD27" s="34" t="n"/>
      <c r="AE27" s="34" t="n"/>
      <c r="AF27" s="34" t="n"/>
      <c r="AG27" s="34" t="n"/>
      <c r="AH27" s="34" t="n"/>
      <c r="AI27" s="34" t="n"/>
      <c r="AJ27" s="34" t="n"/>
      <c r="AK27" s="34" t="n"/>
      <c r="AL27" s="34" t="n"/>
      <c r="AM27" s="34" t="n"/>
      <c r="AN27" s="34" t="n"/>
      <c r="AO27" s="34" t="n"/>
      <c r="AP27" s="34" t="n"/>
      <c r="AQ27" s="34" t="n"/>
      <c r="AR27" s="34" t="n"/>
      <c r="AS27" s="34" t="n"/>
      <c r="AT27" s="34" t="n"/>
      <c r="AU27" s="34" t="n"/>
      <c r="AV27" s="34" t="n"/>
      <c r="AW27" s="34" t="n"/>
      <c r="AX27" s="34" t="n"/>
      <c r="AY27" s="34" t="n"/>
      <c r="AZ27" s="34" t="n"/>
      <c r="BA27" s="34" t="n"/>
      <c r="BB27" s="34" t="n"/>
      <c r="BC27" s="35">
        <f>IF($A27="","",SUMIFS('PTO Requests'!$D$5:$D$154,'PTO Requests'!$A$5:$A$154,$A27&amp;"",'PTO Requests'!$G$5:$G$154,"Approved",'PTO Requests'!$B$5:$B$154,"&gt;="&amp;'PTO Balance'!$E$2,'PTO Requests'!$B$5:$B$154,"&lt;="&amp;'PTO Balance'!$G$2))</f>
        <v/>
      </c>
    </row>
    <row r="28">
      <c r="A28" s="33" t="n"/>
      <c r="B28" s="34" t="n"/>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4" t="n"/>
      <c r="AD28" s="34" t="n"/>
      <c r="AE28" s="34" t="n"/>
      <c r="AF28" s="34" t="n"/>
      <c r="AG28" s="34" t="n"/>
      <c r="AH28" s="34" t="n"/>
      <c r="AI28" s="34" t="n"/>
      <c r="AJ28" s="34" t="n"/>
      <c r="AK28" s="34" t="n"/>
      <c r="AL28" s="34" t="n"/>
      <c r="AM28" s="34" t="n"/>
      <c r="AN28" s="34" t="n"/>
      <c r="AO28" s="34" t="n"/>
      <c r="AP28" s="34" t="n"/>
      <c r="AQ28" s="34" t="n"/>
      <c r="AR28" s="34" t="n"/>
      <c r="AS28" s="34" t="n"/>
      <c r="AT28" s="34" t="n"/>
      <c r="AU28" s="34" t="n"/>
      <c r="AV28" s="34" t="n"/>
      <c r="AW28" s="34" t="n"/>
      <c r="AX28" s="34" t="n"/>
      <c r="AY28" s="34" t="n"/>
      <c r="AZ28" s="34" t="n"/>
      <c r="BA28" s="34" t="n"/>
      <c r="BB28" s="34" t="n"/>
      <c r="BC28" s="35">
        <f>IF($A28="","",SUMIFS('PTO Requests'!$D$5:$D$154,'PTO Requests'!$A$5:$A$154,$A28&amp;"",'PTO Requests'!$G$5:$G$154,"Approved",'PTO Requests'!$B$5:$B$154,"&gt;="&amp;'PTO Balance'!$E$2,'PTO Requests'!$B$5:$B$154,"&lt;="&amp;'PTO Balance'!$G$2))</f>
        <v/>
      </c>
    </row>
    <row r="29">
      <c r="A29" s="33" t="n"/>
      <c r="B29" s="34" t="n"/>
      <c r="C29" s="34" t="n"/>
      <c r="D29" s="34" t="n"/>
      <c r="E29" s="34" t="n"/>
      <c r="F29" s="34" t="n"/>
      <c r="G29" s="34" t="n"/>
      <c r="H29" s="34" t="n"/>
      <c r="I29" s="34" t="n"/>
      <c r="J29" s="34" t="n"/>
      <c r="K29" s="34" t="n"/>
      <c r="L29" s="34" t="n"/>
      <c r="M29" s="34" t="n"/>
      <c r="N29" s="34" t="n"/>
      <c r="O29" s="34" t="n"/>
      <c r="P29" s="34" t="n"/>
      <c r="Q29" s="34" t="n"/>
      <c r="R29" s="34" t="n"/>
      <c r="S29" s="34" t="n"/>
      <c r="T29" s="34" t="n"/>
      <c r="U29" s="34" t="n"/>
      <c r="V29" s="34" t="n"/>
      <c r="W29" s="34" t="n"/>
      <c r="X29" s="34" t="n"/>
      <c r="Y29" s="34" t="n"/>
      <c r="Z29" s="34" t="n"/>
      <c r="AA29" s="34" t="n"/>
      <c r="AB29" s="34" t="n"/>
      <c r="AC29" s="34" t="n"/>
      <c r="AD29" s="34" t="n"/>
      <c r="AE29" s="34" t="n"/>
      <c r="AF29" s="34" t="n"/>
      <c r="AG29" s="34" t="n"/>
      <c r="AH29" s="34" t="n"/>
      <c r="AI29" s="34" t="n"/>
      <c r="AJ29" s="34" t="n"/>
      <c r="AK29" s="34" t="n"/>
      <c r="AL29" s="34" t="n"/>
      <c r="AM29" s="34" t="n"/>
      <c r="AN29" s="34" t="n"/>
      <c r="AO29" s="34" t="n"/>
      <c r="AP29" s="34" t="n"/>
      <c r="AQ29" s="34" t="n"/>
      <c r="AR29" s="34" t="n"/>
      <c r="AS29" s="34" t="n"/>
      <c r="AT29" s="34" t="n"/>
      <c r="AU29" s="34" t="n"/>
      <c r="AV29" s="34" t="n"/>
      <c r="AW29" s="34" t="n"/>
      <c r="AX29" s="34" t="n"/>
      <c r="AY29" s="34" t="n"/>
      <c r="AZ29" s="34" t="n"/>
      <c r="BA29" s="34" t="n"/>
      <c r="BB29" s="34" t="n"/>
      <c r="BC29" s="35">
        <f>IF($A29="","",SUMIFS('PTO Requests'!$D$5:$D$154,'PTO Requests'!$A$5:$A$154,$A29&amp;"",'PTO Requests'!$G$5:$G$154,"Approved",'PTO Requests'!$B$5:$B$154,"&gt;="&amp;'PTO Balance'!$E$2,'PTO Requests'!$B$5:$B$154,"&lt;="&amp;'PTO Balance'!$G$2))</f>
        <v/>
      </c>
    </row>
    <row r="30">
      <c r="A30" s="33" t="n"/>
      <c r="B30" s="34" t="n"/>
      <c r="C30" s="34" t="n"/>
      <c r="D30" s="34" t="n"/>
      <c r="E30" s="34" t="n"/>
      <c r="F30" s="34" t="n"/>
      <c r="G30" s="34" t="n"/>
      <c r="H30" s="34" t="n"/>
      <c r="I30" s="34" t="n"/>
      <c r="J30" s="34" t="n"/>
      <c r="K30" s="34" t="n"/>
      <c r="L30" s="34" t="n"/>
      <c r="M30" s="34" t="n"/>
      <c r="N30" s="34" t="n"/>
      <c r="O30" s="34" t="n"/>
      <c r="P30" s="34" t="n"/>
      <c r="Q30" s="34" t="n"/>
      <c r="R30" s="34" t="n"/>
      <c r="S30" s="34" t="n"/>
      <c r="T30" s="34" t="n"/>
      <c r="U30" s="34" t="n"/>
      <c r="V30" s="34" t="n"/>
      <c r="W30" s="34" t="n"/>
      <c r="X30" s="34" t="n"/>
      <c r="Y30" s="34" t="n"/>
      <c r="Z30" s="34" t="n"/>
      <c r="AA30" s="34" t="n"/>
      <c r="AB30" s="34" t="n"/>
      <c r="AC30" s="34" t="n"/>
      <c r="AD30" s="34" t="n"/>
      <c r="AE30" s="34" t="n"/>
      <c r="AF30" s="34" t="n"/>
      <c r="AG30" s="34" t="n"/>
      <c r="AH30" s="34" t="n"/>
      <c r="AI30" s="34" t="n"/>
      <c r="AJ30" s="34" t="n"/>
      <c r="AK30" s="34" t="n"/>
      <c r="AL30" s="34" t="n"/>
      <c r="AM30" s="34" t="n"/>
      <c r="AN30" s="34" t="n"/>
      <c r="AO30" s="34" t="n"/>
      <c r="AP30" s="34" t="n"/>
      <c r="AQ30" s="34" t="n"/>
      <c r="AR30" s="34" t="n"/>
      <c r="AS30" s="34" t="n"/>
      <c r="AT30" s="34" t="n"/>
      <c r="AU30" s="34" t="n"/>
      <c r="AV30" s="34" t="n"/>
      <c r="AW30" s="34" t="n"/>
      <c r="AX30" s="34" t="n"/>
      <c r="AY30" s="34" t="n"/>
      <c r="AZ30" s="34" t="n"/>
      <c r="BA30" s="34" t="n"/>
      <c r="BB30" s="34" t="n"/>
      <c r="BC30" s="35">
        <f>IF($A30="","",SUMIFS('PTO Requests'!$D$5:$D$154,'PTO Requests'!$A$5:$A$154,$A30&amp;"",'PTO Requests'!$G$5:$G$154,"Approved",'PTO Requests'!$B$5:$B$154,"&gt;="&amp;'PTO Balance'!$E$2,'PTO Requests'!$B$5:$B$154,"&lt;="&amp;'PTO Balance'!$G$2))</f>
        <v/>
      </c>
    </row>
    <row r="31">
      <c r="A31" s="33" t="n"/>
      <c r="B31" s="34" t="n"/>
      <c r="C31" s="34" t="n"/>
      <c r="D31" s="34" t="n"/>
      <c r="E31" s="34" t="n"/>
      <c r="F31" s="34" t="n"/>
      <c r="G31" s="34" t="n"/>
      <c r="H31" s="34" t="n"/>
      <c r="I31" s="34" t="n"/>
      <c r="J31" s="34" t="n"/>
      <c r="K31" s="34" t="n"/>
      <c r="L31" s="34" t="n"/>
      <c r="M31" s="34" t="n"/>
      <c r="N31" s="34" t="n"/>
      <c r="O31" s="34" t="n"/>
      <c r="P31" s="34" t="n"/>
      <c r="Q31" s="34" t="n"/>
      <c r="R31" s="34" t="n"/>
      <c r="S31" s="34" t="n"/>
      <c r="T31" s="34" t="n"/>
      <c r="U31" s="34" t="n"/>
      <c r="V31" s="34" t="n"/>
      <c r="W31" s="34" t="n"/>
      <c r="X31" s="34" t="n"/>
      <c r="Y31" s="34" t="n"/>
      <c r="Z31" s="34" t="n"/>
      <c r="AA31" s="34" t="n"/>
      <c r="AB31" s="34" t="n"/>
      <c r="AC31" s="34" t="n"/>
      <c r="AD31" s="34" t="n"/>
      <c r="AE31" s="34" t="n"/>
      <c r="AF31" s="34" t="n"/>
      <c r="AG31" s="34" t="n"/>
      <c r="AH31" s="34" t="n"/>
      <c r="AI31" s="34" t="n"/>
      <c r="AJ31" s="34" t="n"/>
      <c r="AK31" s="34" t="n"/>
      <c r="AL31" s="34" t="n"/>
      <c r="AM31" s="34" t="n"/>
      <c r="AN31" s="34" t="n"/>
      <c r="AO31" s="34" t="n"/>
      <c r="AP31" s="34" t="n"/>
      <c r="AQ31" s="34" t="n"/>
      <c r="AR31" s="34" t="n"/>
      <c r="AS31" s="34" t="n"/>
      <c r="AT31" s="34" t="n"/>
      <c r="AU31" s="34" t="n"/>
      <c r="AV31" s="34" t="n"/>
      <c r="AW31" s="34" t="n"/>
      <c r="AX31" s="34" t="n"/>
      <c r="AY31" s="34" t="n"/>
      <c r="AZ31" s="34" t="n"/>
      <c r="BA31" s="34" t="n"/>
      <c r="BB31" s="34" t="n"/>
      <c r="BC31" s="35">
        <f>IF($A31="","",SUMIFS('PTO Requests'!$D$5:$D$154,'PTO Requests'!$A$5:$A$154,$A31&amp;"",'PTO Requests'!$G$5:$G$154,"Approved",'PTO Requests'!$B$5:$B$154,"&gt;="&amp;'PTO Balance'!$E$2,'PTO Requests'!$B$5:$B$154,"&lt;="&amp;'PTO Balance'!$G$2))</f>
        <v/>
      </c>
    </row>
    <row r="32">
      <c r="A32" s="33" t="n"/>
      <c r="B32" s="34" t="n"/>
      <c r="C32" s="34" t="n"/>
      <c r="D32" s="34" t="n"/>
      <c r="E32" s="34" t="n"/>
      <c r="F32" s="34" t="n"/>
      <c r="G32" s="34" t="n"/>
      <c r="H32" s="34" t="n"/>
      <c r="I32" s="34" t="n"/>
      <c r="J32" s="34" t="n"/>
      <c r="K32" s="34" t="n"/>
      <c r="L32" s="34" t="n"/>
      <c r="M32" s="34" t="n"/>
      <c r="N32" s="34" t="n"/>
      <c r="O32" s="34" t="n"/>
      <c r="P32" s="34" t="n"/>
      <c r="Q32" s="34" t="n"/>
      <c r="R32" s="34" t="n"/>
      <c r="S32" s="34" t="n"/>
      <c r="T32" s="34" t="n"/>
      <c r="U32" s="34" t="n"/>
      <c r="V32" s="34" t="n"/>
      <c r="W32" s="34" t="n"/>
      <c r="X32" s="34" t="n"/>
      <c r="Y32" s="34" t="n"/>
      <c r="Z32" s="34" t="n"/>
      <c r="AA32" s="34" t="n"/>
      <c r="AB32" s="34" t="n"/>
      <c r="AC32" s="34" t="n"/>
      <c r="AD32" s="34" t="n"/>
      <c r="AE32" s="34" t="n"/>
      <c r="AF32" s="34" t="n"/>
      <c r="AG32" s="34" t="n"/>
      <c r="AH32" s="34" t="n"/>
      <c r="AI32" s="34" t="n"/>
      <c r="AJ32" s="34" t="n"/>
      <c r="AK32" s="34" t="n"/>
      <c r="AL32" s="34" t="n"/>
      <c r="AM32" s="34" t="n"/>
      <c r="AN32" s="34" t="n"/>
      <c r="AO32" s="34" t="n"/>
      <c r="AP32" s="34" t="n"/>
      <c r="AQ32" s="34" t="n"/>
      <c r="AR32" s="34" t="n"/>
      <c r="AS32" s="34" t="n"/>
      <c r="AT32" s="34" t="n"/>
      <c r="AU32" s="34" t="n"/>
      <c r="AV32" s="34" t="n"/>
      <c r="AW32" s="34" t="n"/>
      <c r="AX32" s="34" t="n"/>
      <c r="AY32" s="34" t="n"/>
      <c r="AZ32" s="34" t="n"/>
      <c r="BA32" s="34" t="n"/>
      <c r="BB32" s="34" t="n"/>
      <c r="BC32" s="35">
        <f>IF($A32="","",SUMIFS('PTO Requests'!$D$5:$D$154,'PTO Requests'!$A$5:$A$154,$A32&amp;"",'PTO Requests'!$G$5:$G$154,"Approved",'PTO Requests'!$B$5:$B$154,"&gt;="&amp;'PTO Balance'!$E$2,'PTO Requests'!$B$5:$B$154,"&lt;="&amp;'PTO Balance'!$G$2))</f>
        <v/>
      </c>
    </row>
    <row r="33">
      <c r="A33" s="33" t="n"/>
      <c r="B33" s="34" t="n"/>
      <c r="C33" s="34" t="n"/>
      <c r="D33" s="34" t="n"/>
      <c r="E33" s="34" t="n"/>
      <c r="F33" s="34" t="n"/>
      <c r="G33" s="34" t="n"/>
      <c r="H33" s="34" t="n"/>
      <c r="I33" s="34" t="n"/>
      <c r="J33" s="34" t="n"/>
      <c r="K33" s="34" t="n"/>
      <c r="L33" s="34" t="n"/>
      <c r="M33" s="34" t="n"/>
      <c r="N33" s="34" t="n"/>
      <c r="O33" s="34" t="n"/>
      <c r="P33" s="34" t="n"/>
      <c r="Q33" s="34" t="n"/>
      <c r="R33" s="34" t="n"/>
      <c r="S33" s="34" t="n"/>
      <c r="T33" s="34" t="n"/>
      <c r="U33" s="34" t="n"/>
      <c r="V33" s="34" t="n"/>
      <c r="W33" s="34" t="n"/>
      <c r="X33" s="34" t="n"/>
      <c r="Y33" s="34" t="n"/>
      <c r="Z33" s="34" t="n"/>
      <c r="AA33" s="34" t="n"/>
      <c r="AB33" s="34" t="n"/>
      <c r="AC33" s="34" t="n"/>
      <c r="AD33" s="34" t="n"/>
      <c r="AE33" s="34" t="n"/>
      <c r="AF33" s="34" t="n"/>
      <c r="AG33" s="34" t="n"/>
      <c r="AH33" s="34" t="n"/>
      <c r="AI33" s="34" t="n"/>
      <c r="AJ33" s="34" t="n"/>
      <c r="AK33" s="34" t="n"/>
      <c r="AL33" s="34" t="n"/>
      <c r="AM33" s="34" t="n"/>
      <c r="AN33" s="34" t="n"/>
      <c r="AO33" s="34" t="n"/>
      <c r="AP33" s="34" t="n"/>
      <c r="AQ33" s="34" t="n"/>
      <c r="AR33" s="34" t="n"/>
      <c r="AS33" s="34" t="n"/>
      <c r="AT33" s="34" t="n"/>
      <c r="AU33" s="34" t="n"/>
      <c r="AV33" s="34" t="n"/>
      <c r="AW33" s="34" t="n"/>
      <c r="AX33" s="34" t="n"/>
      <c r="AY33" s="34" t="n"/>
      <c r="AZ33" s="34" t="n"/>
      <c r="BA33" s="34" t="n"/>
      <c r="BB33" s="34" t="n"/>
      <c r="BC33" s="35">
        <f>IF($A33="","",SUMIFS('PTO Requests'!$D$5:$D$154,'PTO Requests'!$A$5:$A$154,$A33&amp;"",'PTO Requests'!$G$5:$G$154,"Approved",'PTO Requests'!$B$5:$B$154,"&gt;="&amp;'PTO Balance'!$E$2,'PTO Requests'!$B$5:$B$154,"&lt;="&amp;'PTO Balance'!$G$2))</f>
        <v/>
      </c>
    </row>
    <row r="34">
      <c r="A34" s="33" t="n"/>
      <c r="B34" s="34" t="n"/>
      <c r="C34" s="34" t="n"/>
      <c r="D34" s="34" t="n"/>
      <c r="E34" s="34" t="n"/>
      <c r="F34" s="34" t="n"/>
      <c r="G34" s="34" t="n"/>
      <c r="H34" s="34" t="n"/>
      <c r="I34" s="34" t="n"/>
      <c r="J34" s="34" t="n"/>
      <c r="K34" s="34" t="n"/>
      <c r="L34" s="34" t="n"/>
      <c r="M34" s="34" t="n"/>
      <c r="N34" s="34" t="n"/>
      <c r="O34" s="34" t="n"/>
      <c r="P34" s="34" t="n"/>
      <c r="Q34" s="34" t="n"/>
      <c r="R34" s="34" t="n"/>
      <c r="S34" s="34" t="n"/>
      <c r="T34" s="34" t="n"/>
      <c r="U34" s="34" t="n"/>
      <c r="V34" s="34" t="n"/>
      <c r="W34" s="34" t="n"/>
      <c r="X34" s="34" t="n"/>
      <c r="Y34" s="34" t="n"/>
      <c r="Z34" s="34" t="n"/>
      <c r="AA34" s="34" t="n"/>
      <c r="AB34" s="34" t="n"/>
      <c r="AC34" s="34" t="n"/>
      <c r="AD34" s="34" t="n"/>
      <c r="AE34" s="34" t="n"/>
      <c r="AF34" s="34" t="n"/>
      <c r="AG34" s="34" t="n"/>
      <c r="AH34" s="34" t="n"/>
      <c r="AI34" s="34" t="n"/>
      <c r="AJ34" s="34" t="n"/>
      <c r="AK34" s="34" t="n"/>
      <c r="AL34" s="34" t="n"/>
      <c r="AM34" s="34" t="n"/>
      <c r="AN34" s="34" t="n"/>
      <c r="AO34" s="34" t="n"/>
      <c r="AP34" s="34" t="n"/>
      <c r="AQ34" s="34" t="n"/>
      <c r="AR34" s="34" t="n"/>
      <c r="AS34" s="34" t="n"/>
      <c r="AT34" s="34" t="n"/>
      <c r="AU34" s="34" t="n"/>
      <c r="AV34" s="34" t="n"/>
      <c r="AW34" s="34" t="n"/>
      <c r="AX34" s="34" t="n"/>
      <c r="AY34" s="34" t="n"/>
      <c r="AZ34" s="34" t="n"/>
      <c r="BA34" s="34" t="n"/>
      <c r="BB34" s="34" t="n"/>
      <c r="BC34" s="35">
        <f>IF($A34="","",SUMIFS('PTO Requests'!$D$5:$D$154,'PTO Requests'!$A$5:$A$154,$A34&amp;"",'PTO Requests'!$G$5:$G$154,"Approved",'PTO Requests'!$B$5:$B$154,"&gt;="&amp;'PTO Balance'!$E$2,'PTO Requests'!$B$5:$B$154,"&lt;="&amp;'PTO Balance'!$G$2))</f>
        <v/>
      </c>
    </row>
    <row r="35">
      <c r="A35" s="33" t="n"/>
      <c r="B35" s="34" t="n"/>
      <c r="C35" s="34" t="n"/>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c r="AA35" s="34" t="n"/>
      <c r="AB35" s="34" t="n"/>
      <c r="AC35" s="34" t="n"/>
      <c r="AD35" s="34" t="n"/>
      <c r="AE35" s="34" t="n"/>
      <c r="AF35" s="34" t="n"/>
      <c r="AG35" s="34" t="n"/>
      <c r="AH35" s="34" t="n"/>
      <c r="AI35" s="34" t="n"/>
      <c r="AJ35" s="34" t="n"/>
      <c r="AK35" s="34" t="n"/>
      <c r="AL35" s="34" t="n"/>
      <c r="AM35" s="34" t="n"/>
      <c r="AN35" s="34" t="n"/>
      <c r="AO35" s="34" t="n"/>
      <c r="AP35" s="34" t="n"/>
      <c r="AQ35" s="34" t="n"/>
      <c r="AR35" s="34" t="n"/>
      <c r="AS35" s="34" t="n"/>
      <c r="AT35" s="34" t="n"/>
      <c r="AU35" s="34" t="n"/>
      <c r="AV35" s="34" t="n"/>
      <c r="AW35" s="34" t="n"/>
      <c r="AX35" s="34" t="n"/>
      <c r="AY35" s="34" t="n"/>
      <c r="AZ35" s="34" t="n"/>
      <c r="BA35" s="34" t="n"/>
      <c r="BB35" s="34" t="n"/>
      <c r="BC35" s="35">
        <f>IF($A35="","",SUMIFS('PTO Requests'!$D$5:$D$154,'PTO Requests'!$A$5:$A$154,$A35&amp;"",'PTO Requests'!$G$5:$G$154,"Approved",'PTO Requests'!$B$5:$B$154,"&gt;="&amp;'PTO Balance'!$E$2,'PTO Requests'!$B$5:$B$154,"&lt;="&amp;'PTO Balance'!$G$2))</f>
        <v/>
      </c>
    </row>
    <row r="36" ht="42" customHeight="1">
      <c r="A36" s="23" t="inlineStr">
        <is>
          <t>Season (High / Normal)</t>
        </is>
      </c>
      <c r="B36" s="36" t="inlineStr">
        <is>
          <t>Normal</t>
        </is>
      </c>
      <c r="C36" s="36" t="inlineStr">
        <is>
          <t>Normal</t>
        </is>
      </c>
      <c r="D36" s="36" t="inlineStr">
        <is>
          <t>Normal</t>
        </is>
      </c>
      <c r="E36" s="36" t="inlineStr">
        <is>
          <t>Normal</t>
        </is>
      </c>
      <c r="F36" s="36" t="inlineStr">
        <is>
          <t>Normal</t>
        </is>
      </c>
      <c r="G36" s="36" t="inlineStr">
        <is>
          <t>Normal</t>
        </is>
      </c>
      <c r="H36" s="36" t="inlineStr">
        <is>
          <t>Normal</t>
        </is>
      </c>
      <c r="I36" s="36" t="inlineStr">
        <is>
          <t>Normal</t>
        </is>
      </c>
      <c r="J36" s="36" t="inlineStr">
        <is>
          <t>Normal</t>
        </is>
      </c>
      <c r="K36" s="36" t="inlineStr">
        <is>
          <t>Normal</t>
        </is>
      </c>
      <c r="L36" s="36" t="inlineStr">
        <is>
          <t>Normal</t>
        </is>
      </c>
      <c r="M36" s="36" t="inlineStr">
        <is>
          <t>Normal</t>
        </is>
      </c>
      <c r="N36" s="36" t="inlineStr">
        <is>
          <t>Normal</t>
        </is>
      </c>
      <c r="O36" s="36" t="inlineStr">
        <is>
          <t>Normal</t>
        </is>
      </c>
      <c r="P36" s="36" t="inlineStr">
        <is>
          <t>Normal</t>
        </is>
      </c>
      <c r="Q36" s="36" t="inlineStr">
        <is>
          <t>Normal</t>
        </is>
      </c>
      <c r="R36" s="36" t="inlineStr">
        <is>
          <t>Normal</t>
        </is>
      </c>
      <c r="S36" s="36" t="inlineStr">
        <is>
          <t>Normal</t>
        </is>
      </c>
      <c r="T36" s="36" t="inlineStr">
        <is>
          <t>Normal</t>
        </is>
      </c>
      <c r="U36" s="36" t="inlineStr">
        <is>
          <t>Normal</t>
        </is>
      </c>
      <c r="V36" s="36" t="inlineStr">
        <is>
          <t>Normal</t>
        </is>
      </c>
      <c r="W36" s="36" t="inlineStr">
        <is>
          <t>Normal</t>
        </is>
      </c>
      <c r="X36" s="36" t="inlineStr">
        <is>
          <t>Normal</t>
        </is>
      </c>
      <c r="Y36" s="36" t="inlineStr">
        <is>
          <t>Normal</t>
        </is>
      </c>
      <c r="Z36" s="36" t="inlineStr">
        <is>
          <t>Normal</t>
        </is>
      </c>
      <c r="AA36" s="36" t="inlineStr">
        <is>
          <t>Normal</t>
        </is>
      </c>
      <c r="AB36" s="36" t="inlineStr">
        <is>
          <t>High</t>
        </is>
      </c>
      <c r="AC36" s="36" t="inlineStr">
        <is>
          <t>High</t>
        </is>
      </c>
      <c r="AD36" s="36" t="inlineStr">
        <is>
          <t>High</t>
        </is>
      </c>
      <c r="AE36" s="36" t="inlineStr">
        <is>
          <t>High</t>
        </is>
      </c>
      <c r="AF36" s="36" t="inlineStr">
        <is>
          <t>High</t>
        </is>
      </c>
      <c r="AG36" s="36" t="inlineStr">
        <is>
          <t>High</t>
        </is>
      </c>
      <c r="AH36" s="36" t="inlineStr">
        <is>
          <t>High</t>
        </is>
      </c>
      <c r="AI36" s="36" t="inlineStr">
        <is>
          <t>High</t>
        </is>
      </c>
      <c r="AJ36" s="36" t="inlineStr">
        <is>
          <t>High</t>
        </is>
      </c>
      <c r="AK36" s="36" t="inlineStr">
        <is>
          <t>Normal</t>
        </is>
      </c>
      <c r="AL36" s="36" t="inlineStr">
        <is>
          <t>Normal</t>
        </is>
      </c>
      <c r="AM36" s="36" t="inlineStr">
        <is>
          <t>Normal</t>
        </is>
      </c>
      <c r="AN36" s="36" t="inlineStr">
        <is>
          <t>Normal</t>
        </is>
      </c>
      <c r="AO36" s="36" t="inlineStr">
        <is>
          <t>Normal</t>
        </is>
      </c>
      <c r="AP36" s="36" t="inlineStr">
        <is>
          <t>Normal</t>
        </is>
      </c>
      <c r="AQ36" s="36" t="inlineStr">
        <is>
          <t>Normal</t>
        </is>
      </c>
      <c r="AR36" s="36" t="inlineStr">
        <is>
          <t>Normal</t>
        </is>
      </c>
      <c r="AS36" s="36" t="inlineStr">
        <is>
          <t>Normal</t>
        </is>
      </c>
      <c r="AT36" s="36" t="inlineStr">
        <is>
          <t>Normal</t>
        </is>
      </c>
      <c r="AU36" s="36" t="inlineStr">
        <is>
          <t>Normal</t>
        </is>
      </c>
      <c r="AV36" s="36" t="inlineStr">
        <is>
          <t>Normal</t>
        </is>
      </c>
      <c r="AW36" s="36" t="inlineStr">
        <is>
          <t>Normal</t>
        </is>
      </c>
      <c r="AX36" s="36" t="inlineStr">
        <is>
          <t>Normal</t>
        </is>
      </c>
      <c r="AY36" s="36" t="inlineStr">
        <is>
          <t>Normal</t>
        </is>
      </c>
      <c r="AZ36" s="36" t="inlineStr">
        <is>
          <t>High</t>
        </is>
      </c>
      <c r="BA36" s="36" t="inlineStr">
        <is>
          <t>High</t>
        </is>
      </c>
      <c r="BB36" s="36" t="inlineStr">
        <is>
          <t>Normal</t>
        </is>
      </c>
    </row>
    <row r="37">
      <c r="A37" s="23" t="inlineStr">
        <is>
          <t>Absences marked in the grid (V, S, L)</t>
        </is>
      </c>
      <c r="B37" s="37">
        <f>COUNTIF(B$6:B$35,"V")+COUNTIF(B$6:B$35,"S")+COUNTIF(B$6:B$35,"L")</f>
        <v>0.0</v>
      </c>
      <c r="C37" s="37">
        <f>COUNTIF(C$6:C$35,"V")+COUNTIF(C$6:C$35,"S")+COUNTIF(C$6:C$35,"L")</f>
        <v>0.0</v>
      </c>
      <c r="D37" s="37">
        <f>COUNTIF(D$6:D$35,"V")+COUNTIF(D$6:D$35,"S")+COUNTIF(D$6:D$35,"L")</f>
        <v>0.0</v>
      </c>
      <c r="E37" s="37">
        <f>COUNTIF(E$6:E$35,"V")+COUNTIF(E$6:E$35,"S")+COUNTIF(E$6:E$35,"L")</f>
        <v>0.0</v>
      </c>
      <c r="F37" s="37">
        <f>COUNTIF(F$6:F$35,"V")+COUNTIF(F$6:F$35,"S")+COUNTIF(F$6:F$35,"L")</f>
        <v>0.0</v>
      </c>
      <c r="G37" s="37">
        <f>COUNTIF(G$6:G$35,"V")+COUNTIF(G$6:G$35,"S")+COUNTIF(G$6:G$35,"L")</f>
        <v>0.0</v>
      </c>
      <c r="H37" s="37">
        <f>COUNTIF(H$6:H$35,"V")+COUNTIF(H$6:H$35,"S")+COUNTIF(H$6:H$35,"L")</f>
        <v>0.0</v>
      </c>
      <c r="I37" s="37">
        <f>COUNTIF(I$6:I$35,"V")+COUNTIF(I$6:I$35,"S")+COUNTIF(I$6:I$35,"L")</f>
        <v>0.0</v>
      </c>
      <c r="J37" s="37">
        <f>COUNTIF(J$6:J$35,"V")+COUNTIF(J$6:J$35,"S")+COUNTIF(J$6:J$35,"L")</f>
        <v>0.0</v>
      </c>
      <c r="K37" s="37">
        <f>COUNTIF(K$6:K$35,"V")+COUNTIF(K$6:K$35,"S")+COUNTIF(K$6:K$35,"L")</f>
        <v>0.0</v>
      </c>
      <c r="L37" s="37">
        <f>COUNTIF(L$6:L$35,"V")+COUNTIF(L$6:L$35,"S")+COUNTIF(L$6:L$35,"L")</f>
        <v>0.0</v>
      </c>
      <c r="M37" s="37">
        <f>COUNTIF(M$6:M$35,"V")+COUNTIF(M$6:M$35,"S")+COUNTIF(M$6:M$35,"L")</f>
        <v>0.0</v>
      </c>
      <c r="N37" s="37">
        <f>COUNTIF(N$6:N$35,"V")+COUNTIF(N$6:N$35,"S")+COUNTIF(N$6:N$35,"L")</f>
        <v>0.0</v>
      </c>
      <c r="O37" s="37">
        <f>COUNTIF(O$6:O$35,"V")+COUNTIF(O$6:O$35,"S")+COUNTIF(O$6:O$35,"L")</f>
        <v>0.0</v>
      </c>
      <c r="P37" s="37">
        <f>COUNTIF(P$6:P$35,"V")+COUNTIF(P$6:P$35,"S")+COUNTIF(P$6:P$35,"L")</f>
        <v>0.0</v>
      </c>
      <c r="Q37" s="37">
        <f>COUNTIF(Q$6:Q$35,"V")+COUNTIF(Q$6:Q$35,"S")+COUNTIF(Q$6:Q$35,"L")</f>
        <v>0.0</v>
      </c>
      <c r="R37" s="37">
        <f>COUNTIF(R$6:R$35,"V")+COUNTIF(R$6:R$35,"S")+COUNTIF(R$6:R$35,"L")</f>
        <v>0.0</v>
      </c>
      <c r="S37" s="37">
        <f>COUNTIF(S$6:S$35,"V")+COUNTIF(S$6:S$35,"S")+COUNTIF(S$6:S$35,"L")</f>
        <v>0.0</v>
      </c>
      <c r="T37" s="37">
        <f>COUNTIF(T$6:T$35,"V")+COUNTIF(T$6:T$35,"S")+COUNTIF(T$6:T$35,"L")</f>
        <v>0.0</v>
      </c>
      <c r="U37" s="37">
        <f>COUNTIF(U$6:U$35,"V")+COUNTIF(U$6:U$35,"S")+COUNTIF(U$6:U$35,"L")</f>
        <v>0.0</v>
      </c>
      <c r="V37" s="37">
        <f>COUNTIF(V$6:V$35,"V")+COUNTIF(V$6:V$35,"S")+COUNTIF(V$6:V$35,"L")</f>
        <v>0.0</v>
      </c>
      <c r="W37" s="37">
        <f>COUNTIF(W$6:W$35,"V")+COUNTIF(W$6:W$35,"S")+COUNTIF(W$6:W$35,"L")</f>
        <v>0.0</v>
      </c>
      <c r="X37" s="37">
        <f>COUNTIF(X$6:X$35,"V")+COUNTIF(X$6:X$35,"S")+COUNTIF(X$6:X$35,"L")</f>
        <v>0.0</v>
      </c>
      <c r="Y37" s="37">
        <f>COUNTIF(Y$6:Y$35,"V")+COUNTIF(Y$6:Y$35,"S")+COUNTIF(Y$6:Y$35,"L")</f>
        <v>0.0</v>
      </c>
      <c r="Z37" s="37">
        <f>COUNTIF(Z$6:Z$35,"V")+COUNTIF(Z$6:Z$35,"S")+COUNTIF(Z$6:Z$35,"L")</f>
        <v>0.0</v>
      </c>
      <c r="AA37" s="37">
        <f>COUNTIF(AA$6:AA$35,"V")+COUNTIF(AA$6:AA$35,"S")+COUNTIF(AA$6:AA$35,"L")</f>
        <v>0.0</v>
      </c>
      <c r="AB37" s="37">
        <f>COUNTIF(AB$6:AB$35,"V")+COUNTIF(AB$6:AB$35,"S")+COUNTIF(AB$6:AB$35,"L")</f>
        <v>0.0</v>
      </c>
      <c r="AC37" s="37">
        <f>COUNTIF(AC$6:AC$35,"V")+COUNTIF(AC$6:AC$35,"S")+COUNTIF(AC$6:AC$35,"L")</f>
        <v>0.0</v>
      </c>
      <c r="AD37" s="37">
        <f>COUNTIF(AD$6:AD$35,"V")+COUNTIF(AD$6:AD$35,"S")+COUNTIF(AD$6:AD$35,"L")</f>
        <v>0.0</v>
      </c>
      <c r="AE37" s="37">
        <f>COUNTIF(AE$6:AE$35,"V")+COUNTIF(AE$6:AE$35,"S")+COUNTIF(AE$6:AE$35,"L")</f>
        <v>0.0</v>
      </c>
      <c r="AF37" s="37">
        <f>COUNTIF(AF$6:AF$35,"V")+COUNTIF(AF$6:AF$35,"S")+COUNTIF(AF$6:AF$35,"L")</f>
        <v>0.0</v>
      </c>
      <c r="AG37" s="37">
        <f>COUNTIF(AG$6:AG$35,"V")+COUNTIF(AG$6:AG$35,"S")+COUNTIF(AG$6:AG$35,"L")</f>
        <v>0.0</v>
      </c>
      <c r="AH37" s="37">
        <f>COUNTIF(AH$6:AH$35,"V")+COUNTIF(AH$6:AH$35,"S")+COUNTIF(AH$6:AH$35,"L")</f>
        <v>0.0</v>
      </c>
      <c r="AI37" s="37">
        <f>COUNTIF(AI$6:AI$35,"V")+COUNTIF(AI$6:AI$35,"S")+COUNTIF(AI$6:AI$35,"L")</f>
        <v>0.0</v>
      </c>
      <c r="AJ37" s="37">
        <f>COUNTIF(AJ$6:AJ$35,"V")+COUNTIF(AJ$6:AJ$35,"S")+COUNTIF(AJ$6:AJ$35,"L")</f>
        <v>0.0</v>
      </c>
      <c r="AK37" s="37">
        <f>COUNTIF(AK$6:AK$35,"V")+COUNTIF(AK$6:AK$35,"S")+COUNTIF(AK$6:AK$35,"L")</f>
        <v>0.0</v>
      </c>
      <c r="AL37" s="37">
        <f>COUNTIF(AL$6:AL$35,"V")+COUNTIF(AL$6:AL$35,"S")+COUNTIF(AL$6:AL$35,"L")</f>
        <v>0.0</v>
      </c>
      <c r="AM37" s="37">
        <f>COUNTIF(AM$6:AM$35,"V")+COUNTIF(AM$6:AM$35,"S")+COUNTIF(AM$6:AM$35,"L")</f>
        <v>0.0</v>
      </c>
      <c r="AN37" s="37">
        <f>COUNTIF(AN$6:AN$35,"V")+COUNTIF(AN$6:AN$35,"S")+COUNTIF(AN$6:AN$35,"L")</f>
        <v>0.0</v>
      </c>
      <c r="AO37" s="37">
        <f>COUNTIF(AO$6:AO$35,"V")+COUNTIF(AO$6:AO$35,"S")+COUNTIF(AO$6:AO$35,"L")</f>
        <v>0.0</v>
      </c>
      <c r="AP37" s="37">
        <f>COUNTIF(AP$6:AP$35,"V")+COUNTIF(AP$6:AP$35,"S")+COUNTIF(AP$6:AP$35,"L")</f>
        <v>0.0</v>
      </c>
      <c r="AQ37" s="37">
        <f>COUNTIF(AQ$6:AQ$35,"V")+COUNTIF(AQ$6:AQ$35,"S")+COUNTIF(AQ$6:AQ$35,"L")</f>
        <v>0.0</v>
      </c>
      <c r="AR37" s="37">
        <f>COUNTIF(AR$6:AR$35,"V")+COUNTIF(AR$6:AR$35,"S")+COUNTIF(AR$6:AR$35,"L")</f>
        <v>0.0</v>
      </c>
      <c r="AS37" s="37">
        <f>COUNTIF(AS$6:AS$35,"V")+COUNTIF(AS$6:AS$35,"S")+COUNTIF(AS$6:AS$35,"L")</f>
        <v>0.0</v>
      </c>
      <c r="AT37" s="37">
        <f>COUNTIF(AT$6:AT$35,"V")+COUNTIF(AT$6:AT$35,"S")+COUNTIF(AT$6:AT$35,"L")</f>
        <v>0.0</v>
      </c>
      <c r="AU37" s="37">
        <f>COUNTIF(AU$6:AU$35,"V")+COUNTIF(AU$6:AU$35,"S")+COUNTIF(AU$6:AU$35,"L")</f>
        <v>0.0</v>
      </c>
      <c r="AV37" s="37">
        <f>COUNTIF(AV$6:AV$35,"V")+COUNTIF(AV$6:AV$35,"S")+COUNTIF(AV$6:AV$35,"L")</f>
        <v>0.0</v>
      </c>
      <c r="AW37" s="37">
        <f>COUNTIF(AW$6:AW$35,"V")+COUNTIF(AW$6:AW$35,"S")+COUNTIF(AW$6:AW$35,"L")</f>
        <v>0.0</v>
      </c>
      <c r="AX37" s="37">
        <f>COUNTIF(AX$6:AX$35,"V")+COUNTIF(AX$6:AX$35,"S")+COUNTIF(AX$6:AX$35,"L")</f>
        <v>0.0</v>
      </c>
      <c r="AY37" s="37">
        <f>COUNTIF(AY$6:AY$35,"V")+COUNTIF(AY$6:AY$35,"S")+COUNTIF(AY$6:AY$35,"L")</f>
        <v>0.0</v>
      </c>
      <c r="AZ37" s="37">
        <f>COUNTIF(AZ$6:AZ$35,"V")+COUNTIF(AZ$6:AZ$35,"S")+COUNTIF(AZ$6:AZ$35,"L")</f>
        <v>0.0</v>
      </c>
      <c r="BA37" s="37">
        <f>COUNTIF(BA$6:BA$35,"V")+COUNTIF(BA$6:BA$35,"S")+COUNTIF(BA$6:BA$35,"L")</f>
        <v>0.0</v>
      </c>
      <c r="BB37" s="37">
        <f>COUNTIF(BB$6:BB$35,"V")+COUNTIF(BB$6:BB$35,"S")+COUNTIF(BB$6:BB$35,"L")</f>
        <v>0.0</v>
      </c>
    </row>
    <row r="38">
      <c r="A38" s="23" t="inlineStr">
        <is>
          <t>Absences from APPROVED requests</t>
        </is>
      </c>
      <c r="B38" s="37">
        <f>SUMPRODUCT(('PTO Requests'!$A$5:$A$154&lt;&gt;"")*('PTO Requests'!$G$5:$G$154="Approved")*('PTO Requests'!$B$5:$B$154&lt;=B$5+6)*('PTO Requests'!$C$5:$C$154&gt;=B$5))</f>
        <v>0.0</v>
      </c>
      <c r="C38" s="37">
        <f>SUMPRODUCT(('PTO Requests'!$A$5:$A$154&lt;&gt;"")*('PTO Requests'!$G$5:$G$154="Approved")*('PTO Requests'!$B$5:$B$154&lt;=C$5+6)*('PTO Requests'!$C$5:$C$154&gt;=C$5))</f>
        <v>0.0</v>
      </c>
      <c r="D38" s="37">
        <f>SUMPRODUCT(('PTO Requests'!$A$5:$A$154&lt;&gt;"")*('PTO Requests'!$G$5:$G$154="Approved")*('PTO Requests'!$B$5:$B$154&lt;=D$5+6)*('PTO Requests'!$C$5:$C$154&gt;=D$5))</f>
        <v>0.0</v>
      </c>
      <c r="E38" s="37">
        <f>SUMPRODUCT(('PTO Requests'!$A$5:$A$154&lt;&gt;"")*('PTO Requests'!$G$5:$G$154="Approved")*('PTO Requests'!$B$5:$B$154&lt;=E$5+6)*('PTO Requests'!$C$5:$C$154&gt;=E$5))</f>
        <v>0.0</v>
      </c>
      <c r="F38" s="37">
        <f>SUMPRODUCT(('PTO Requests'!$A$5:$A$154&lt;&gt;"")*('PTO Requests'!$G$5:$G$154="Approved")*('PTO Requests'!$B$5:$B$154&lt;=F$5+6)*('PTO Requests'!$C$5:$C$154&gt;=F$5))</f>
        <v>0.0</v>
      </c>
      <c r="G38" s="37">
        <f>SUMPRODUCT(('PTO Requests'!$A$5:$A$154&lt;&gt;"")*('PTO Requests'!$G$5:$G$154="Approved")*('PTO Requests'!$B$5:$B$154&lt;=G$5+6)*('PTO Requests'!$C$5:$C$154&gt;=G$5))</f>
        <v>0.0</v>
      </c>
      <c r="H38" s="37">
        <f>SUMPRODUCT(('PTO Requests'!$A$5:$A$154&lt;&gt;"")*('PTO Requests'!$G$5:$G$154="Approved")*('PTO Requests'!$B$5:$B$154&lt;=H$5+6)*('PTO Requests'!$C$5:$C$154&gt;=H$5))</f>
        <v>0.0</v>
      </c>
      <c r="I38" s="37">
        <f>SUMPRODUCT(('PTO Requests'!$A$5:$A$154&lt;&gt;"")*('PTO Requests'!$G$5:$G$154="Approved")*('PTO Requests'!$B$5:$B$154&lt;=I$5+6)*('PTO Requests'!$C$5:$C$154&gt;=I$5))</f>
        <v>0.0</v>
      </c>
      <c r="J38" s="37">
        <f>SUMPRODUCT(('PTO Requests'!$A$5:$A$154&lt;&gt;"")*('PTO Requests'!$G$5:$G$154="Approved")*('PTO Requests'!$B$5:$B$154&lt;=J$5+6)*('PTO Requests'!$C$5:$C$154&gt;=J$5))</f>
        <v>0.0</v>
      </c>
      <c r="K38" s="37">
        <f>SUMPRODUCT(('PTO Requests'!$A$5:$A$154&lt;&gt;"")*('PTO Requests'!$G$5:$G$154="Approved")*('PTO Requests'!$B$5:$B$154&lt;=K$5+6)*('PTO Requests'!$C$5:$C$154&gt;=K$5))</f>
        <v>0.0</v>
      </c>
      <c r="L38" s="37">
        <f>SUMPRODUCT(('PTO Requests'!$A$5:$A$154&lt;&gt;"")*('PTO Requests'!$G$5:$G$154="Approved")*('PTO Requests'!$B$5:$B$154&lt;=L$5+6)*('PTO Requests'!$C$5:$C$154&gt;=L$5))</f>
        <v>0.0</v>
      </c>
      <c r="M38" s="37">
        <f>SUMPRODUCT(('PTO Requests'!$A$5:$A$154&lt;&gt;"")*('PTO Requests'!$G$5:$G$154="Approved")*('PTO Requests'!$B$5:$B$154&lt;=M$5+6)*('PTO Requests'!$C$5:$C$154&gt;=M$5))</f>
        <v>0.0</v>
      </c>
      <c r="N38" s="37">
        <f>SUMPRODUCT(('PTO Requests'!$A$5:$A$154&lt;&gt;"")*('PTO Requests'!$G$5:$G$154="Approved")*('PTO Requests'!$B$5:$B$154&lt;=N$5+6)*('PTO Requests'!$C$5:$C$154&gt;=N$5))</f>
        <v>0.0</v>
      </c>
      <c r="O38" s="37">
        <f>SUMPRODUCT(('PTO Requests'!$A$5:$A$154&lt;&gt;"")*('PTO Requests'!$G$5:$G$154="Approved")*('PTO Requests'!$B$5:$B$154&lt;=O$5+6)*('PTO Requests'!$C$5:$C$154&gt;=O$5))</f>
        <v>0.0</v>
      </c>
      <c r="P38" s="37">
        <f>SUMPRODUCT(('PTO Requests'!$A$5:$A$154&lt;&gt;"")*('PTO Requests'!$G$5:$G$154="Approved")*('PTO Requests'!$B$5:$B$154&lt;=P$5+6)*('PTO Requests'!$C$5:$C$154&gt;=P$5))</f>
        <v>0.0</v>
      </c>
      <c r="Q38" s="37">
        <f>SUMPRODUCT(('PTO Requests'!$A$5:$A$154&lt;&gt;"")*('PTO Requests'!$G$5:$G$154="Approved")*('PTO Requests'!$B$5:$B$154&lt;=Q$5+6)*('PTO Requests'!$C$5:$C$154&gt;=Q$5))</f>
        <v>0.0</v>
      </c>
      <c r="R38" s="37">
        <f>SUMPRODUCT(('PTO Requests'!$A$5:$A$154&lt;&gt;"")*('PTO Requests'!$G$5:$G$154="Approved")*('PTO Requests'!$B$5:$B$154&lt;=R$5+6)*('PTO Requests'!$C$5:$C$154&gt;=R$5))</f>
        <v>0.0</v>
      </c>
      <c r="S38" s="37">
        <f>SUMPRODUCT(('PTO Requests'!$A$5:$A$154&lt;&gt;"")*('PTO Requests'!$G$5:$G$154="Approved")*('PTO Requests'!$B$5:$B$154&lt;=S$5+6)*('PTO Requests'!$C$5:$C$154&gt;=S$5))</f>
        <v>0.0</v>
      </c>
      <c r="T38" s="37">
        <f>SUMPRODUCT(('PTO Requests'!$A$5:$A$154&lt;&gt;"")*('PTO Requests'!$G$5:$G$154="Approved")*('PTO Requests'!$B$5:$B$154&lt;=T$5+6)*('PTO Requests'!$C$5:$C$154&gt;=T$5))</f>
        <v>0.0</v>
      </c>
      <c r="U38" s="37">
        <f>SUMPRODUCT(('PTO Requests'!$A$5:$A$154&lt;&gt;"")*('PTO Requests'!$G$5:$G$154="Approved")*('PTO Requests'!$B$5:$B$154&lt;=U$5+6)*('PTO Requests'!$C$5:$C$154&gt;=U$5))</f>
        <v>0.0</v>
      </c>
      <c r="V38" s="37">
        <f>SUMPRODUCT(('PTO Requests'!$A$5:$A$154&lt;&gt;"")*('PTO Requests'!$G$5:$G$154="Approved")*('PTO Requests'!$B$5:$B$154&lt;=V$5+6)*('PTO Requests'!$C$5:$C$154&gt;=V$5))</f>
        <v>0.0</v>
      </c>
      <c r="W38" s="37">
        <f>SUMPRODUCT(('PTO Requests'!$A$5:$A$154&lt;&gt;"")*('PTO Requests'!$G$5:$G$154="Approved")*('PTO Requests'!$B$5:$B$154&lt;=W$5+6)*('PTO Requests'!$C$5:$C$154&gt;=W$5))</f>
        <v>0.0</v>
      </c>
      <c r="X38" s="37">
        <f>SUMPRODUCT(('PTO Requests'!$A$5:$A$154&lt;&gt;"")*('PTO Requests'!$G$5:$G$154="Approved")*('PTO Requests'!$B$5:$B$154&lt;=X$5+6)*('PTO Requests'!$C$5:$C$154&gt;=X$5))</f>
        <v>0.0</v>
      </c>
      <c r="Y38" s="37">
        <f>SUMPRODUCT(('PTO Requests'!$A$5:$A$154&lt;&gt;"")*('PTO Requests'!$G$5:$G$154="Approved")*('PTO Requests'!$B$5:$B$154&lt;=Y$5+6)*('PTO Requests'!$C$5:$C$154&gt;=Y$5))</f>
        <v>0.0</v>
      </c>
      <c r="Z38" s="37">
        <f>SUMPRODUCT(('PTO Requests'!$A$5:$A$154&lt;&gt;"")*('PTO Requests'!$G$5:$G$154="Approved")*('PTO Requests'!$B$5:$B$154&lt;=Z$5+6)*('PTO Requests'!$C$5:$C$154&gt;=Z$5))</f>
        <v>0.0</v>
      </c>
      <c r="AA38" s="37">
        <f>SUMPRODUCT(('PTO Requests'!$A$5:$A$154&lt;&gt;"")*('PTO Requests'!$G$5:$G$154="Approved")*('PTO Requests'!$B$5:$B$154&lt;=AA$5+6)*('PTO Requests'!$C$5:$C$154&gt;=AA$5))</f>
        <v>0.0</v>
      </c>
      <c r="AB38" s="37">
        <f>SUMPRODUCT(('PTO Requests'!$A$5:$A$154&lt;&gt;"")*('PTO Requests'!$G$5:$G$154="Approved")*('PTO Requests'!$B$5:$B$154&lt;=AB$5+6)*('PTO Requests'!$C$5:$C$154&gt;=AB$5))</f>
        <v>0.0</v>
      </c>
      <c r="AC38" s="37">
        <f>SUMPRODUCT(('PTO Requests'!$A$5:$A$154&lt;&gt;"")*('PTO Requests'!$G$5:$G$154="Approved")*('PTO Requests'!$B$5:$B$154&lt;=AC$5+6)*('PTO Requests'!$C$5:$C$154&gt;=AC$5))</f>
        <v>0.0</v>
      </c>
      <c r="AD38" s="37">
        <f>SUMPRODUCT(('PTO Requests'!$A$5:$A$154&lt;&gt;"")*('PTO Requests'!$G$5:$G$154="Approved")*('PTO Requests'!$B$5:$B$154&lt;=AD$5+6)*('PTO Requests'!$C$5:$C$154&gt;=AD$5))</f>
        <v>0.0</v>
      </c>
      <c r="AE38" s="37">
        <f>SUMPRODUCT(('PTO Requests'!$A$5:$A$154&lt;&gt;"")*('PTO Requests'!$G$5:$G$154="Approved")*('PTO Requests'!$B$5:$B$154&lt;=AE$5+6)*('PTO Requests'!$C$5:$C$154&gt;=AE$5))</f>
        <v>0.0</v>
      </c>
      <c r="AF38" s="37">
        <f>SUMPRODUCT(('PTO Requests'!$A$5:$A$154&lt;&gt;"")*('PTO Requests'!$G$5:$G$154="Approved")*('PTO Requests'!$B$5:$B$154&lt;=AF$5+6)*('PTO Requests'!$C$5:$C$154&gt;=AF$5))</f>
        <v>0.0</v>
      </c>
      <c r="AG38" s="37">
        <f>SUMPRODUCT(('PTO Requests'!$A$5:$A$154&lt;&gt;"")*('PTO Requests'!$G$5:$G$154="Approved")*('PTO Requests'!$B$5:$B$154&lt;=AG$5+6)*('PTO Requests'!$C$5:$C$154&gt;=AG$5))</f>
        <v>0.0</v>
      </c>
      <c r="AH38" s="37">
        <f>SUMPRODUCT(('PTO Requests'!$A$5:$A$154&lt;&gt;"")*('PTO Requests'!$G$5:$G$154="Approved")*('PTO Requests'!$B$5:$B$154&lt;=AH$5+6)*('PTO Requests'!$C$5:$C$154&gt;=AH$5))</f>
        <v>0.0</v>
      </c>
      <c r="AI38" s="37">
        <f>SUMPRODUCT(('PTO Requests'!$A$5:$A$154&lt;&gt;"")*('PTO Requests'!$G$5:$G$154="Approved")*('PTO Requests'!$B$5:$B$154&lt;=AI$5+6)*('PTO Requests'!$C$5:$C$154&gt;=AI$5))</f>
        <v>0.0</v>
      </c>
      <c r="AJ38" s="37">
        <f>SUMPRODUCT(('PTO Requests'!$A$5:$A$154&lt;&gt;"")*('PTO Requests'!$G$5:$G$154="Approved")*('PTO Requests'!$B$5:$B$154&lt;=AJ$5+6)*('PTO Requests'!$C$5:$C$154&gt;=AJ$5))</f>
        <v>0.0</v>
      </c>
      <c r="AK38" s="37">
        <f>SUMPRODUCT(('PTO Requests'!$A$5:$A$154&lt;&gt;"")*('PTO Requests'!$G$5:$G$154="Approved")*('PTO Requests'!$B$5:$B$154&lt;=AK$5+6)*('PTO Requests'!$C$5:$C$154&gt;=AK$5))</f>
        <v>0.0</v>
      </c>
      <c r="AL38" s="37">
        <f>SUMPRODUCT(('PTO Requests'!$A$5:$A$154&lt;&gt;"")*('PTO Requests'!$G$5:$G$154="Approved")*('PTO Requests'!$B$5:$B$154&lt;=AL$5+6)*('PTO Requests'!$C$5:$C$154&gt;=AL$5))</f>
        <v>0.0</v>
      </c>
      <c r="AM38" s="37">
        <f>SUMPRODUCT(('PTO Requests'!$A$5:$A$154&lt;&gt;"")*('PTO Requests'!$G$5:$G$154="Approved")*('PTO Requests'!$B$5:$B$154&lt;=AM$5+6)*('PTO Requests'!$C$5:$C$154&gt;=AM$5))</f>
        <v>0.0</v>
      </c>
      <c r="AN38" s="37">
        <f>SUMPRODUCT(('PTO Requests'!$A$5:$A$154&lt;&gt;"")*('PTO Requests'!$G$5:$G$154="Approved")*('PTO Requests'!$B$5:$B$154&lt;=AN$5+6)*('PTO Requests'!$C$5:$C$154&gt;=AN$5))</f>
        <v>0.0</v>
      </c>
      <c r="AO38" s="37">
        <f>SUMPRODUCT(('PTO Requests'!$A$5:$A$154&lt;&gt;"")*('PTO Requests'!$G$5:$G$154="Approved")*('PTO Requests'!$B$5:$B$154&lt;=AO$5+6)*('PTO Requests'!$C$5:$C$154&gt;=AO$5))</f>
        <v>0.0</v>
      </c>
      <c r="AP38" s="37">
        <f>SUMPRODUCT(('PTO Requests'!$A$5:$A$154&lt;&gt;"")*('PTO Requests'!$G$5:$G$154="Approved")*('PTO Requests'!$B$5:$B$154&lt;=AP$5+6)*('PTO Requests'!$C$5:$C$154&gt;=AP$5))</f>
        <v>0.0</v>
      </c>
      <c r="AQ38" s="37">
        <f>SUMPRODUCT(('PTO Requests'!$A$5:$A$154&lt;&gt;"")*('PTO Requests'!$G$5:$G$154="Approved")*('PTO Requests'!$B$5:$B$154&lt;=AQ$5+6)*('PTO Requests'!$C$5:$C$154&gt;=AQ$5))</f>
        <v>0.0</v>
      </c>
      <c r="AR38" s="37">
        <f>SUMPRODUCT(('PTO Requests'!$A$5:$A$154&lt;&gt;"")*('PTO Requests'!$G$5:$G$154="Approved")*('PTO Requests'!$B$5:$B$154&lt;=AR$5+6)*('PTO Requests'!$C$5:$C$154&gt;=AR$5))</f>
        <v>0.0</v>
      </c>
      <c r="AS38" s="37">
        <f>SUMPRODUCT(('PTO Requests'!$A$5:$A$154&lt;&gt;"")*('PTO Requests'!$G$5:$G$154="Approved")*('PTO Requests'!$B$5:$B$154&lt;=AS$5+6)*('PTO Requests'!$C$5:$C$154&gt;=AS$5))</f>
        <v>0.0</v>
      </c>
      <c r="AT38" s="37">
        <f>SUMPRODUCT(('PTO Requests'!$A$5:$A$154&lt;&gt;"")*('PTO Requests'!$G$5:$G$154="Approved")*('PTO Requests'!$B$5:$B$154&lt;=AT$5+6)*('PTO Requests'!$C$5:$C$154&gt;=AT$5))</f>
        <v>0.0</v>
      </c>
      <c r="AU38" s="37">
        <f>SUMPRODUCT(('PTO Requests'!$A$5:$A$154&lt;&gt;"")*('PTO Requests'!$G$5:$G$154="Approved")*('PTO Requests'!$B$5:$B$154&lt;=AU$5+6)*('PTO Requests'!$C$5:$C$154&gt;=AU$5))</f>
        <v>0.0</v>
      </c>
      <c r="AV38" s="37">
        <f>SUMPRODUCT(('PTO Requests'!$A$5:$A$154&lt;&gt;"")*('PTO Requests'!$G$5:$G$154="Approved")*('PTO Requests'!$B$5:$B$154&lt;=AV$5+6)*('PTO Requests'!$C$5:$C$154&gt;=AV$5))</f>
        <v>0.0</v>
      </c>
      <c r="AW38" s="37">
        <f>SUMPRODUCT(('PTO Requests'!$A$5:$A$154&lt;&gt;"")*('PTO Requests'!$G$5:$G$154="Approved")*('PTO Requests'!$B$5:$B$154&lt;=AW$5+6)*('PTO Requests'!$C$5:$C$154&gt;=AW$5))</f>
        <v>0.0</v>
      </c>
      <c r="AX38" s="37">
        <f>SUMPRODUCT(('PTO Requests'!$A$5:$A$154&lt;&gt;"")*('PTO Requests'!$G$5:$G$154="Approved")*('PTO Requests'!$B$5:$B$154&lt;=AX$5+6)*('PTO Requests'!$C$5:$C$154&gt;=AX$5))</f>
        <v>0.0</v>
      </c>
      <c r="AY38" s="37">
        <f>SUMPRODUCT(('PTO Requests'!$A$5:$A$154&lt;&gt;"")*('PTO Requests'!$G$5:$G$154="Approved")*('PTO Requests'!$B$5:$B$154&lt;=AY$5+6)*('PTO Requests'!$C$5:$C$154&gt;=AY$5))</f>
        <v>0.0</v>
      </c>
      <c r="AZ38" s="37">
        <f>SUMPRODUCT(('PTO Requests'!$A$5:$A$154&lt;&gt;"")*('PTO Requests'!$G$5:$G$154="Approved")*('PTO Requests'!$B$5:$B$154&lt;=AZ$5+6)*('PTO Requests'!$C$5:$C$154&gt;=AZ$5))</f>
        <v>0.0</v>
      </c>
      <c r="BA38" s="37">
        <f>SUMPRODUCT(('PTO Requests'!$A$5:$A$154&lt;&gt;"")*('PTO Requests'!$G$5:$G$154="Approved")*('PTO Requests'!$B$5:$B$154&lt;=BA$5+6)*('PTO Requests'!$C$5:$C$154&gt;=BA$5))</f>
        <v>0.0</v>
      </c>
      <c r="BB38" s="37">
        <f>SUMPRODUCT(('PTO Requests'!$A$5:$A$154&lt;&gt;"")*('PTO Requests'!$G$5:$G$154="Approved")*('PTO Requests'!$B$5:$B$154&lt;=BB$5+6)*('PTO Requests'!$C$5:$C$154&gt;=BB$5))</f>
        <v>0.0</v>
      </c>
    </row>
    <row r="39">
      <c r="A39" s="23" t="inlineStr">
        <is>
          <t>Absences in the week (the higher of the two)</t>
        </is>
      </c>
      <c r="B39" s="37">
        <f>IF(B$37&gt;B$38,B$37,B$38)</f>
        <v>0.0</v>
      </c>
      <c r="C39" s="37">
        <f>IF(C$37&gt;C$38,C$37,C$38)</f>
        <v>0.0</v>
      </c>
      <c r="D39" s="37">
        <f>IF(D$37&gt;D$38,D$37,D$38)</f>
        <v>0.0</v>
      </c>
      <c r="E39" s="37">
        <f>IF(E$37&gt;E$38,E$37,E$38)</f>
        <v>0.0</v>
      </c>
      <c r="F39" s="37">
        <f>IF(F$37&gt;F$38,F$37,F$38)</f>
        <v>0.0</v>
      </c>
      <c r="G39" s="37">
        <f>IF(G$37&gt;G$38,G$37,G$38)</f>
        <v>0.0</v>
      </c>
      <c r="H39" s="37">
        <f>IF(H$37&gt;H$38,H$37,H$38)</f>
        <v>0.0</v>
      </c>
      <c r="I39" s="37">
        <f>IF(I$37&gt;I$38,I$37,I$38)</f>
        <v>0.0</v>
      </c>
      <c r="J39" s="37">
        <f>IF(J$37&gt;J$38,J$37,J$38)</f>
        <v>0.0</v>
      </c>
      <c r="K39" s="37">
        <f>IF(K$37&gt;K$38,K$37,K$38)</f>
        <v>0.0</v>
      </c>
      <c r="L39" s="37">
        <f>IF(L$37&gt;L$38,L$37,L$38)</f>
        <v>0.0</v>
      </c>
      <c r="M39" s="37">
        <f>IF(M$37&gt;M$38,M$37,M$38)</f>
        <v>0.0</v>
      </c>
      <c r="N39" s="37">
        <f>IF(N$37&gt;N$38,N$37,N$38)</f>
        <v>0.0</v>
      </c>
      <c r="O39" s="37">
        <f>IF(O$37&gt;O$38,O$37,O$38)</f>
        <v>0.0</v>
      </c>
      <c r="P39" s="37">
        <f>IF(P$37&gt;P$38,P$37,P$38)</f>
        <v>0.0</v>
      </c>
      <c r="Q39" s="37">
        <f>IF(Q$37&gt;Q$38,Q$37,Q$38)</f>
        <v>0.0</v>
      </c>
      <c r="R39" s="37">
        <f>IF(R$37&gt;R$38,R$37,R$38)</f>
        <v>0.0</v>
      </c>
      <c r="S39" s="37">
        <f>IF(S$37&gt;S$38,S$37,S$38)</f>
        <v>0.0</v>
      </c>
      <c r="T39" s="37">
        <f>IF(T$37&gt;T$38,T$37,T$38)</f>
        <v>0.0</v>
      </c>
      <c r="U39" s="37">
        <f>IF(U$37&gt;U$38,U$37,U$38)</f>
        <v>0.0</v>
      </c>
      <c r="V39" s="37">
        <f>IF(V$37&gt;V$38,V$37,V$38)</f>
        <v>0.0</v>
      </c>
      <c r="W39" s="37">
        <f>IF(W$37&gt;W$38,W$37,W$38)</f>
        <v>0.0</v>
      </c>
      <c r="X39" s="37">
        <f>IF(X$37&gt;X$38,X$37,X$38)</f>
        <v>0.0</v>
      </c>
      <c r="Y39" s="37">
        <f>IF(Y$37&gt;Y$38,Y$37,Y$38)</f>
        <v>0.0</v>
      </c>
      <c r="Z39" s="37">
        <f>IF(Z$37&gt;Z$38,Z$37,Z$38)</f>
        <v>0.0</v>
      </c>
      <c r="AA39" s="37">
        <f>IF(AA$37&gt;AA$38,AA$37,AA$38)</f>
        <v>0.0</v>
      </c>
      <c r="AB39" s="37">
        <f>IF(AB$37&gt;AB$38,AB$37,AB$38)</f>
        <v>0.0</v>
      </c>
      <c r="AC39" s="37">
        <f>IF(AC$37&gt;AC$38,AC$37,AC$38)</f>
        <v>0.0</v>
      </c>
      <c r="AD39" s="37">
        <f>IF(AD$37&gt;AD$38,AD$37,AD$38)</f>
        <v>0.0</v>
      </c>
      <c r="AE39" s="37">
        <f>IF(AE$37&gt;AE$38,AE$37,AE$38)</f>
        <v>0.0</v>
      </c>
      <c r="AF39" s="37">
        <f>IF(AF$37&gt;AF$38,AF$37,AF$38)</f>
        <v>0.0</v>
      </c>
      <c r="AG39" s="37">
        <f>IF(AG$37&gt;AG$38,AG$37,AG$38)</f>
        <v>0.0</v>
      </c>
      <c r="AH39" s="37">
        <f>IF(AH$37&gt;AH$38,AH$37,AH$38)</f>
        <v>0.0</v>
      </c>
      <c r="AI39" s="37">
        <f>IF(AI$37&gt;AI$38,AI$37,AI$38)</f>
        <v>0.0</v>
      </c>
      <c r="AJ39" s="37">
        <f>IF(AJ$37&gt;AJ$38,AJ$37,AJ$38)</f>
        <v>0.0</v>
      </c>
      <c r="AK39" s="37">
        <f>IF(AK$37&gt;AK$38,AK$37,AK$38)</f>
        <v>0.0</v>
      </c>
      <c r="AL39" s="37">
        <f>IF(AL$37&gt;AL$38,AL$37,AL$38)</f>
        <v>0.0</v>
      </c>
      <c r="AM39" s="37">
        <f>IF(AM$37&gt;AM$38,AM$37,AM$38)</f>
        <v>0.0</v>
      </c>
      <c r="AN39" s="37">
        <f>IF(AN$37&gt;AN$38,AN$37,AN$38)</f>
        <v>0.0</v>
      </c>
      <c r="AO39" s="37">
        <f>IF(AO$37&gt;AO$38,AO$37,AO$38)</f>
        <v>0.0</v>
      </c>
      <c r="AP39" s="37">
        <f>IF(AP$37&gt;AP$38,AP$37,AP$38)</f>
        <v>0.0</v>
      </c>
      <c r="AQ39" s="37">
        <f>IF(AQ$37&gt;AQ$38,AQ$37,AQ$38)</f>
        <v>0.0</v>
      </c>
      <c r="AR39" s="37">
        <f>IF(AR$37&gt;AR$38,AR$37,AR$38)</f>
        <v>0.0</v>
      </c>
      <c r="AS39" s="37">
        <f>IF(AS$37&gt;AS$38,AS$37,AS$38)</f>
        <v>0.0</v>
      </c>
      <c r="AT39" s="37">
        <f>IF(AT$37&gt;AT$38,AT$37,AT$38)</f>
        <v>0.0</v>
      </c>
      <c r="AU39" s="37">
        <f>IF(AU$37&gt;AU$38,AU$37,AU$38)</f>
        <v>0.0</v>
      </c>
      <c r="AV39" s="37">
        <f>IF(AV$37&gt;AV$38,AV$37,AV$38)</f>
        <v>0.0</v>
      </c>
      <c r="AW39" s="37">
        <f>IF(AW$37&gt;AW$38,AW$37,AW$38)</f>
        <v>0.0</v>
      </c>
      <c r="AX39" s="37">
        <f>IF(AX$37&gt;AX$38,AX$37,AX$38)</f>
        <v>0.0</v>
      </c>
      <c r="AY39" s="37">
        <f>IF(AY$37&gt;AY$38,AY$37,AY$38)</f>
        <v>0.0</v>
      </c>
      <c r="AZ39" s="37">
        <f>IF(AZ$37&gt;AZ$38,AZ$37,AZ$38)</f>
        <v>0.0</v>
      </c>
      <c r="BA39" s="37">
        <f>IF(BA$37&gt;BA$38,BA$37,BA$38)</f>
        <v>0.0</v>
      </c>
      <c r="BB39" s="37">
        <f>IF(BB$37&gt;BB$38,BB$37,BB$38)</f>
        <v>0.0</v>
      </c>
    </row>
    <row r="40">
      <c r="A40" s="23" t="inlineStr">
        <is>
          <t>Coverage (alert)</t>
        </is>
      </c>
      <c r="B40" s="38">
        <f>IF(B$39=0,"",IF(B$39&gt;Coverage!$B$3,IF(B$36="High","⛔ EXCESS in HIGH SEASON","⚠ EXCESS"),IF(AND(B$36="High",B$39&gt;Coverage!$D$3),"⛔ HIGH SEASON","")))</f>
        <v/>
      </c>
      <c r="C40" s="38">
        <f>IF(C$39=0,"",IF(C$39&gt;Coverage!$B$3,IF(C$36="High","⛔ EXCESS in HIGH SEASON","⚠ EXCESS"),IF(AND(C$36="High",C$39&gt;Coverage!$D$3),"⛔ HIGH SEASON","")))</f>
        <v/>
      </c>
      <c r="D40" s="38">
        <f>IF(D$39=0,"",IF(D$39&gt;Coverage!$B$3,IF(D$36="High","⛔ EXCESS in HIGH SEASON","⚠ EXCESS"),IF(AND(D$36="High",D$39&gt;Coverage!$D$3),"⛔ HIGH SEASON","")))</f>
        <v/>
      </c>
      <c r="E40" s="38">
        <f>IF(E$39=0,"",IF(E$39&gt;Coverage!$B$3,IF(E$36="High","⛔ EXCESS in HIGH SEASON","⚠ EXCESS"),IF(AND(E$36="High",E$39&gt;Coverage!$D$3),"⛔ HIGH SEASON","")))</f>
        <v/>
      </c>
      <c r="F40" s="38">
        <f>IF(F$39=0,"",IF(F$39&gt;Coverage!$B$3,IF(F$36="High","⛔ EXCESS in HIGH SEASON","⚠ EXCESS"),IF(AND(F$36="High",F$39&gt;Coverage!$D$3),"⛔ HIGH SEASON","")))</f>
        <v/>
      </c>
      <c r="G40" s="38">
        <f>IF(G$39=0,"",IF(G$39&gt;Coverage!$B$3,IF(G$36="High","⛔ EXCESS in HIGH SEASON","⚠ EXCESS"),IF(AND(G$36="High",G$39&gt;Coverage!$D$3),"⛔ HIGH SEASON","")))</f>
        <v/>
      </c>
      <c r="H40" s="38">
        <f>IF(H$39=0,"",IF(H$39&gt;Coverage!$B$3,IF(H$36="High","⛔ EXCESS in HIGH SEASON","⚠ EXCESS"),IF(AND(H$36="High",H$39&gt;Coverage!$D$3),"⛔ HIGH SEASON","")))</f>
        <v/>
      </c>
      <c r="I40" s="38">
        <f>IF(I$39=0,"",IF(I$39&gt;Coverage!$B$3,IF(I$36="High","⛔ EXCESS in HIGH SEASON","⚠ EXCESS"),IF(AND(I$36="High",I$39&gt;Coverage!$D$3),"⛔ HIGH SEASON","")))</f>
        <v/>
      </c>
      <c r="J40" s="38">
        <f>IF(J$39=0,"",IF(J$39&gt;Coverage!$B$3,IF(J$36="High","⛔ EXCESS in HIGH SEASON","⚠ EXCESS"),IF(AND(J$36="High",J$39&gt;Coverage!$D$3),"⛔ HIGH SEASON","")))</f>
        <v/>
      </c>
      <c r="K40" s="38">
        <f>IF(K$39=0,"",IF(K$39&gt;Coverage!$B$3,IF(K$36="High","⛔ EXCESS in HIGH SEASON","⚠ EXCESS"),IF(AND(K$36="High",K$39&gt;Coverage!$D$3),"⛔ HIGH SEASON","")))</f>
        <v/>
      </c>
      <c r="L40" s="38">
        <f>IF(L$39=0,"",IF(L$39&gt;Coverage!$B$3,IF(L$36="High","⛔ EXCESS in HIGH SEASON","⚠ EXCESS"),IF(AND(L$36="High",L$39&gt;Coverage!$D$3),"⛔ HIGH SEASON","")))</f>
        <v/>
      </c>
      <c r="M40" s="38">
        <f>IF(M$39=0,"",IF(M$39&gt;Coverage!$B$3,IF(M$36="High","⛔ EXCESS in HIGH SEASON","⚠ EXCESS"),IF(AND(M$36="High",M$39&gt;Coverage!$D$3),"⛔ HIGH SEASON","")))</f>
        <v/>
      </c>
      <c r="N40" s="38">
        <f>IF(N$39=0,"",IF(N$39&gt;Coverage!$B$3,IF(N$36="High","⛔ EXCESS in HIGH SEASON","⚠ EXCESS"),IF(AND(N$36="High",N$39&gt;Coverage!$D$3),"⛔ HIGH SEASON","")))</f>
        <v/>
      </c>
      <c r="O40" s="38">
        <f>IF(O$39=0,"",IF(O$39&gt;Coverage!$B$3,IF(O$36="High","⛔ EXCESS in HIGH SEASON","⚠ EXCESS"),IF(AND(O$36="High",O$39&gt;Coverage!$D$3),"⛔ HIGH SEASON","")))</f>
        <v/>
      </c>
      <c r="P40" s="38">
        <f>IF(P$39=0,"",IF(P$39&gt;Coverage!$B$3,IF(P$36="High","⛔ EXCESS in HIGH SEASON","⚠ EXCESS"),IF(AND(P$36="High",P$39&gt;Coverage!$D$3),"⛔ HIGH SEASON","")))</f>
        <v/>
      </c>
      <c r="Q40" s="38">
        <f>IF(Q$39=0,"",IF(Q$39&gt;Coverage!$B$3,IF(Q$36="High","⛔ EXCESS in HIGH SEASON","⚠ EXCESS"),IF(AND(Q$36="High",Q$39&gt;Coverage!$D$3),"⛔ HIGH SEASON","")))</f>
        <v/>
      </c>
      <c r="R40" s="38">
        <f>IF(R$39=0,"",IF(R$39&gt;Coverage!$B$3,IF(R$36="High","⛔ EXCESS in HIGH SEASON","⚠ EXCESS"),IF(AND(R$36="High",R$39&gt;Coverage!$D$3),"⛔ HIGH SEASON","")))</f>
        <v/>
      </c>
      <c r="S40" s="38">
        <f>IF(S$39=0,"",IF(S$39&gt;Coverage!$B$3,IF(S$36="High","⛔ EXCESS in HIGH SEASON","⚠ EXCESS"),IF(AND(S$36="High",S$39&gt;Coverage!$D$3),"⛔ HIGH SEASON","")))</f>
        <v/>
      </c>
      <c r="T40" s="38">
        <f>IF(T$39=0,"",IF(T$39&gt;Coverage!$B$3,IF(T$36="High","⛔ EXCESS in HIGH SEASON","⚠ EXCESS"),IF(AND(T$36="High",T$39&gt;Coverage!$D$3),"⛔ HIGH SEASON","")))</f>
        <v/>
      </c>
      <c r="U40" s="38">
        <f>IF(U$39=0,"",IF(U$39&gt;Coverage!$B$3,IF(U$36="High","⛔ EXCESS in HIGH SEASON","⚠ EXCESS"),IF(AND(U$36="High",U$39&gt;Coverage!$D$3),"⛔ HIGH SEASON","")))</f>
        <v/>
      </c>
      <c r="V40" s="38">
        <f>IF(V$39=0,"",IF(V$39&gt;Coverage!$B$3,IF(V$36="High","⛔ EXCESS in HIGH SEASON","⚠ EXCESS"),IF(AND(V$36="High",V$39&gt;Coverage!$D$3),"⛔ HIGH SEASON","")))</f>
        <v/>
      </c>
      <c r="W40" s="38">
        <f>IF(W$39=0,"",IF(W$39&gt;Coverage!$B$3,IF(W$36="High","⛔ EXCESS in HIGH SEASON","⚠ EXCESS"),IF(AND(W$36="High",W$39&gt;Coverage!$D$3),"⛔ HIGH SEASON","")))</f>
        <v/>
      </c>
      <c r="X40" s="38">
        <f>IF(X$39=0,"",IF(X$39&gt;Coverage!$B$3,IF(X$36="High","⛔ EXCESS in HIGH SEASON","⚠ EXCESS"),IF(AND(X$36="High",X$39&gt;Coverage!$D$3),"⛔ HIGH SEASON","")))</f>
        <v/>
      </c>
      <c r="Y40" s="38">
        <f>IF(Y$39=0,"",IF(Y$39&gt;Coverage!$B$3,IF(Y$36="High","⛔ EXCESS in HIGH SEASON","⚠ EXCESS"),IF(AND(Y$36="High",Y$39&gt;Coverage!$D$3),"⛔ HIGH SEASON","")))</f>
        <v/>
      </c>
      <c r="Z40" s="38">
        <f>IF(Z$39=0,"",IF(Z$39&gt;Coverage!$B$3,IF(Z$36="High","⛔ EXCESS in HIGH SEASON","⚠ EXCESS"),IF(AND(Z$36="High",Z$39&gt;Coverage!$D$3),"⛔ HIGH SEASON","")))</f>
        <v/>
      </c>
      <c r="AA40" s="38">
        <f>IF(AA$39=0,"",IF(AA$39&gt;Coverage!$B$3,IF(AA$36="High","⛔ EXCESS in HIGH SEASON","⚠ EXCESS"),IF(AND(AA$36="High",AA$39&gt;Coverage!$D$3),"⛔ HIGH SEASON","")))</f>
        <v/>
      </c>
      <c r="AB40" s="38">
        <f>IF(AB$39=0,"",IF(AB$39&gt;Coverage!$B$3,IF(AB$36="High","⛔ EXCESS in HIGH SEASON","⚠ EXCESS"),IF(AND(AB$36="High",AB$39&gt;Coverage!$D$3),"⛔ HIGH SEASON","")))</f>
        <v/>
      </c>
      <c r="AC40" s="38">
        <f>IF(AC$39=0,"",IF(AC$39&gt;Coverage!$B$3,IF(AC$36="High","⛔ EXCESS in HIGH SEASON","⚠ EXCESS"),IF(AND(AC$36="High",AC$39&gt;Coverage!$D$3),"⛔ HIGH SEASON","")))</f>
        <v/>
      </c>
      <c r="AD40" s="38">
        <f>IF(AD$39=0,"",IF(AD$39&gt;Coverage!$B$3,IF(AD$36="High","⛔ EXCESS in HIGH SEASON","⚠ EXCESS"),IF(AND(AD$36="High",AD$39&gt;Coverage!$D$3),"⛔ HIGH SEASON","")))</f>
        <v/>
      </c>
      <c r="AE40" s="38">
        <f>IF(AE$39=0,"",IF(AE$39&gt;Coverage!$B$3,IF(AE$36="High","⛔ EXCESS in HIGH SEASON","⚠ EXCESS"),IF(AND(AE$36="High",AE$39&gt;Coverage!$D$3),"⛔ HIGH SEASON","")))</f>
        <v/>
      </c>
      <c r="AF40" s="38">
        <f>IF(AF$39=0,"",IF(AF$39&gt;Coverage!$B$3,IF(AF$36="High","⛔ EXCESS in HIGH SEASON","⚠ EXCESS"),IF(AND(AF$36="High",AF$39&gt;Coverage!$D$3),"⛔ HIGH SEASON","")))</f>
        <v/>
      </c>
      <c r="AG40" s="38">
        <f>IF(AG$39=0,"",IF(AG$39&gt;Coverage!$B$3,IF(AG$36="High","⛔ EXCESS in HIGH SEASON","⚠ EXCESS"),IF(AND(AG$36="High",AG$39&gt;Coverage!$D$3),"⛔ HIGH SEASON","")))</f>
        <v/>
      </c>
      <c r="AH40" s="38">
        <f>IF(AH$39=0,"",IF(AH$39&gt;Coverage!$B$3,IF(AH$36="High","⛔ EXCESS in HIGH SEASON","⚠ EXCESS"),IF(AND(AH$36="High",AH$39&gt;Coverage!$D$3),"⛔ HIGH SEASON","")))</f>
        <v/>
      </c>
      <c r="AI40" s="38">
        <f>IF(AI$39=0,"",IF(AI$39&gt;Coverage!$B$3,IF(AI$36="High","⛔ EXCESS in HIGH SEASON","⚠ EXCESS"),IF(AND(AI$36="High",AI$39&gt;Coverage!$D$3),"⛔ HIGH SEASON","")))</f>
        <v/>
      </c>
      <c r="AJ40" s="38">
        <f>IF(AJ$39=0,"",IF(AJ$39&gt;Coverage!$B$3,IF(AJ$36="High","⛔ EXCESS in HIGH SEASON","⚠ EXCESS"),IF(AND(AJ$36="High",AJ$39&gt;Coverage!$D$3),"⛔ HIGH SEASON","")))</f>
        <v/>
      </c>
      <c r="AK40" s="38">
        <f>IF(AK$39=0,"",IF(AK$39&gt;Coverage!$B$3,IF(AK$36="High","⛔ EXCESS in HIGH SEASON","⚠ EXCESS"),IF(AND(AK$36="High",AK$39&gt;Coverage!$D$3),"⛔ HIGH SEASON","")))</f>
        <v/>
      </c>
      <c r="AL40" s="38">
        <f>IF(AL$39=0,"",IF(AL$39&gt;Coverage!$B$3,IF(AL$36="High","⛔ EXCESS in HIGH SEASON","⚠ EXCESS"),IF(AND(AL$36="High",AL$39&gt;Coverage!$D$3),"⛔ HIGH SEASON","")))</f>
        <v/>
      </c>
      <c r="AM40" s="38">
        <f>IF(AM$39=0,"",IF(AM$39&gt;Coverage!$B$3,IF(AM$36="High","⛔ EXCESS in HIGH SEASON","⚠ EXCESS"),IF(AND(AM$36="High",AM$39&gt;Coverage!$D$3),"⛔ HIGH SEASON","")))</f>
        <v/>
      </c>
      <c r="AN40" s="38">
        <f>IF(AN$39=0,"",IF(AN$39&gt;Coverage!$B$3,IF(AN$36="High","⛔ EXCESS in HIGH SEASON","⚠ EXCESS"),IF(AND(AN$36="High",AN$39&gt;Coverage!$D$3),"⛔ HIGH SEASON","")))</f>
        <v/>
      </c>
      <c r="AO40" s="38">
        <f>IF(AO$39=0,"",IF(AO$39&gt;Coverage!$B$3,IF(AO$36="High","⛔ EXCESS in HIGH SEASON","⚠ EXCESS"),IF(AND(AO$36="High",AO$39&gt;Coverage!$D$3),"⛔ HIGH SEASON","")))</f>
        <v/>
      </c>
      <c r="AP40" s="38">
        <f>IF(AP$39=0,"",IF(AP$39&gt;Coverage!$B$3,IF(AP$36="High","⛔ EXCESS in HIGH SEASON","⚠ EXCESS"),IF(AND(AP$36="High",AP$39&gt;Coverage!$D$3),"⛔ HIGH SEASON","")))</f>
        <v/>
      </c>
      <c r="AQ40" s="38">
        <f>IF(AQ$39=0,"",IF(AQ$39&gt;Coverage!$B$3,IF(AQ$36="High","⛔ EXCESS in HIGH SEASON","⚠ EXCESS"),IF(AND(AQ$36="High",AQ$39&gt;Coverage!$D$3),"⛔ HIGH SEASON","")))</f>
        <v/>
      </c>
      <c r="AR40" s="38">
        <f>IF(AR$39=0,"",IF(AR$39&gt;Coverage!$B$3,IF(AR$36="High","⛔ EXCESS in HIGH SEASON","⚠ EXCESS"),IF(AND(AR$36="High",AR$39&gt;Coverage!$D$3),"⛔ HIGH SEASON","")))</f>
        <v/>
      </c>
      <c r="AS40" s="38">
        <f>IF(AS$39=0,"",IF(AS$39&gt;Coverage!$B$3,IF(AS$36="High","⛔ EXCESS in HIGH SEASON","⚠ EXCESS"),IF(AND(AS$36="High",AS$39&gt;Coverage!$D$3),"⛔ HIGH SEASON","")))</f>
        <v/>
      </c>
      <c r="AT40" s="38">
        <f>IF(AT$39=0,"",IF(AT$39&gt;Coverage!$B$3,IF(AT$36="High","⛔ EXCESS in HIGH SEASON","⚠ EXCESS"),IF(AND(AT$36="High",AT$39&gt;Coverage!$D$3),"⛔ HIGH SEASON","")))</f>
        <v/>
      </c>
      <c r="AU40" s="38">
        <f>IF(AU$39=0,"",IF(AU$39&gt;Coverage!$B$3,IF(AU$36="High","⛔ EXCESS in HIGH SEASON","⚠ EXCESS"),IF(AND(AU$36="High",AU$39&gt;Coverage!$D$3),"⛔ HIGH SEASON","")))</f>
        <v/>
      </c>
      <c r="AV40" s="38">
        <f>IF(AV$39=0,"",IF(AV$39&gt;Coverage!$B$3,IF(AV$36="High","⛔ EXCESS in HIGH SEASON","⚠ EXCESS"),IF(AND(AV$36="High",AV$39&gt;Coverage!$D$3),"⛔ HIGH SEASON","")))</f>
        <v/>
      </c>
      <c r="AW40" s="38">
        <f>IF(AW$39=0,"",IF(AW$39&gt;Coverage!$B$3,IF(AW$36="High","⛔ EXCESS in HIGH SEASON","⚠ EXCESS"),IF(AND(AW$36="High",AW$39&gt;Coverage!$D$3),"⛔ HIGH SEASON","")))</f>
        <v/>
      </c>
      <c r="AX40" s="38">
        <f>IF(AX$39=0,"",IF(AX$39&gt;Coverage!$B$3,IF(AX$36="High","⛔ EXCESS in HIGH SEASON","⚠ EXCESS"),IF(AND(AX$36="High",AX$39&gt;Coverage!$D$3),"⛔ HIGH SEASON","")))</f>
        <v/>
      </c>
      <c r="AY40" s="38">
        <f>IF(AY$39=0,"",IF(AY$39&gt;Coverage!$B$3,IF(AY$36="High","⛔ EXCESS in HIGH SEASON","⚠ EXCESS"),IF(AND(AY$36="High",AY$39&gt;Coverage!$D$3),"⛔ HIGH SEASON","")))</f>
        <v/>
      </c>
      <c r="AZ40" s="38">
        <f>IF(AZ$39=0,"",IF(AZ$39&gt;Coverage!$B$3,IF(AZ$36="High","⛔ EXCESS in HIGH SEASON","⚠ EXCESS"),IF(AND(AZ$36="High",AZ$39&gt;Coverage!$D$3),"⛔ HIGH SEASON","")))</f>
        <v/>
      </c>
      <c r="BA40" s="38">
        <f>IF(BA$39=0,"",IF(BA$39&gt;Coverage!$B$3,IF(BA$36="High","⛔ EXCESS in HIGH SEASON","⚠ EXCESS"),IF(AND(BA$36="High",BA$39&gt;Coverage!$D$3),"⛔ HIGH SEASON","")))</f>
        <v/>
      </c>
      <c r="BB40" s="38">
        <f>IF(BB$39=0,"",IF(BB$39&gt;Coverage!$B$3,IF(BB$36="High","⛔ EXCESS in HIGH SEASON","⚠ EXCESS"),IF(AND(BB$36="High",BB$39&gt;Coverage!$D$3),"⛔ HIGH SEASON","")))</f>
        <v/>
      </c>
    </row>
    <row r="42">
      <c r="A42" s="39"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BC1"/>
    <mergeCell ref="A42:BC42"/>
    <mergeCell ref="A2:BC2"/>
  </mergeCells>
  <conditionalFormatting sqref="B40:BB40">
    <cfRule type="containsText" priority="1" operator="containsText" dxfId="0" stopIfTrue="1" text="HIGH SEASON">
      <formula>NOT(ISERROR(SEARCH("HIGH SEASON",B40)))</formula>
    </cfRule>
    <cfRule type="containsText" priority="2" operator="containsText" dxfId="1" stopIfTrue="1" text="EXCESS">
      <formula>NOT(ISERROR(SEARCH("EXCESS",B40)))</formula>
    </cfRule>
  </conditionalFormatting>
  <conditionalFormatting sqref="B6:BB35">
    <cfRule type="containsText" priority="3" operator="containsText" dxfId="2" stopIfTrue="1" text="L">
      <formula>NOT(ISERROR(SEARCH("L",B6)))</formula>
    </cfRule>
    <cfRule type="containsText" priority="4" operator="containsText" dxfId="3" stopIfTrue="1" text="V">
      <formula>NOT(ISERROR(SEARCH("V",B6)))</formula>
    </cfRule>
    <cfRule type="containsText" priority="5" operator="containsText" dxfId="0" stopIfTrue="1" text="S">
      <formula>NOT(ISERROR(SEARCH("S",B6)))</formula>
    </cfRule>
    <cfRule type="containsText" priority="6" operator="containsText" dxfId="4" stopIfTrue="1" text="H">
      <formula>NOT(ISERROR(SEARCH("H",B6)))</formula>
    </cfRule>
    <cfRule type="expression" priority="7" dxfId="5" stopIfTrue="0">
      <formula>ISODD(MONTH(B$5))</formula>
    </cfRule>
  </conditionalFormatting>
  <dataValidations count="3">
    <dataValidation sqref="B5" showDropDown="0" showInputMessage="1" showErrorMessage="1" allowBlank="1" errorTitle="Invalid date" error="Type a valid date (the Sunday you want the year to start on)." promptTitle="Anchor · Invalid date" prompt="Sunday of WEEK 1 — change it each year and the 52 remaining dates recalculate on their own (each one is the previous + 7). It also drives the year in the title, the balance closing date and the gray band that separates the months." type="custom" errorStyle="stop">
      <formula1>B5&gt;36526</formula1>
    </dataValidation>
    <dataValidation sqref="B36:BB36" showDropDown="0" showInputMessage="1" showErrorMessage="1" allowBlank="1" errorTitle="Invalid season" error="Only High or Normal is accepted." promptTitle="Season · Invalid season" prompt="Type &quot;High&quot; in your peak-demand weeks. An absence in a high-season week lights up red even if it does not exceed the maximum of simultaneous absences." type="custom" errorStyle="stop">
      <formula1>OR(B36="High",B36="Normal")</formula1>
    </dataValidation>
    <dataValidation sqref="B6:BB35" showDropDown="0" showInputMessage="1" showErrorMessage="1" allowBlank="1" errorTitle="Invalid absence code" error="Use V, S, H or L. They are single letters because the columns are narrow; in the schedule (file 01 (Restaurant Schedule Template: Weekly &amp; Monthly Staff Rota)) a day off is OFF." promptTitle="kitgp-v2 · Invalid absence code" prompt="Absence codes: V=Vacation/PTO · S=Sick · H=Holiday · L=Other leave." type="list" errorStyle="stop">
      <formula1>"V,S,H,L,"</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0D47A1"/>
    <outlinePr summaryBelow="1" summaryRight="1"/>
    <pageSetUpPr fitToPage="1"/>
  </sheetPr>
  <dimension ref="A1:H158"/>
  <sheetViews>
    <sheetView workbookViewId="0">
      <pane ySplit="4" topLeftCell="A5" activePane="bottomLeft" state="frozen"/>
      <selection pane="bottomLeft" activeCell="A1" sqref="A1"/>
    </sheetView>
  </sheetViews>
  <sheetFormatPr baseColWidth="8" defaultRowHeight="15"/>
  <cols>
    <col width="24" customWidth="1" min="1" max="1"/>
    <col width="14" customWidth="1" min="2" max="2"/>
    <col width="14" customWidth="1" min="3" max="3"/>
    <col width="16" customWidth="1" min="4" max="4"/>
    <col width="14" customWidth="1" min="5" max="5"/>
    <col width="12" customWidth="1" min="6" max="6"/>
    <col width="14" customWidth="1" min="7" max="7"/>
    <col width="30" customWidth="1" min="8" max="8"/>
  </cols>
  <sheetData>
    <row r="1">
      <c r="A1" s="4" t="inlineStr">
        <is>
          <t>PTO &amp; Vacation Requests</t>
        </is>
      </c>
    </row>
    <row r="2">
      <c r="A2" s="5" t="inlineStr">
        <is>
          <t>AI Chef Pro · aichef.pro — Restaurant Staff Scheduling Kit Pro</t>
        </is>
      </c>
    </row>
    <row r="4">
      <c r="A4" s="40" t="inlineStr">
        <is>
          <t>Employee</t>
        </is>
      </c>
      <c r="B4" s="40" t="inlineStr">
        <is>
          <t>Start date</t>
        </is>
      </c>
      <c r="C4" s="40" t="inlineStr">
        <is>
          <t>End date</t>
        </is>
      </c>
      <c r="D4" s="40" t="inlineStr">
        <is>
          <t>Days requested</t>
        </is>
      </c>
      <c r="E4" s="40" t="inlineStr">
        <is>
          <t>Already taken</t>
        </is>
      </c>
      <c r="F4" s="40" t="inlineStr">
        <is>
          <t>Days left</t>
        </is>
      </c>
      <c r="G4" s="40" t="inlineStr">
        <is>
          <t>Status</t>
        </is>
      </c>
      <c r="H4" s="41" t="inlineStr">
        <is>
          <t>Alert</t>
        </is>
      </c>
    </row>
    <row r="5">
      <c r="A5" s="42" t="n"/>
      <c r="B5" s="63" t="n"/>
      <c r="C5" s="63" t="n"/>
      <c r="D5" s="44">
        <f>IF(OR($B5="",$C5=""),"",IF($C5&lt;$B5,"⚠ dates reversed",$C5-$B5+1))</f>
        <v/>
      </c>
      <c r="E5" s="64">
        <f>IFERROR(IF($A5="","",INDEX('PTO Balance'!$F$5:$F$34,MATCH($A5,'PTO Balance'!$A$5:$A$34,0))),"")</f>
        <v/>
      </c>
      <c r="F5" s="65">
        <f>IFERROR(IF($A5="","",INDEX('PTO Balance'!$H$5:$H$34,MATCH($A5,'PTO Balance'!$A$5:$A$34,0))),"")</f>
        <v/>
      </c>
      <c r="G5" s="47" t="n"/>
      <c r="H5">
        <f>IF($A5="","",IF(COUNTIF('Annual Calendar'!$A$6:$A$35,$A5&amp;"")=0,"⚠ name not in the calendar",""))</f>
        <v/>
      </c>
    </row>
    <row r="6">
      <c r="A6" s="42" t="n"/>
      <c r="B6" s="63" t="n"/>
      <c r="C6" s="63" t="n"/>
      <c r="D6" s="44">
        <f>IF(OR($B6="",$C6=""),"",IF($C6&lt;$B6,"⚠ dates reversed",$C6-$B6+1))</f>
        <v/>
      </c>
      <c r="E6" s="64">
        <f>IFERROR(IF($A6="","",INDEX('PTO Balance'!$F$5:$F$34,MATCH($A6,'PTO Balance'!$A$5:$A$34,0))),"")</f>
        <v/>
      </c>
      <c r="F6" s="65">
        <f>IFERROR(IF($A6="","",INDEX('PTO Balance'!$H$5:$H$34,MATCH($A6,'PTO Balance'!$A$5:$A$34,0))),"")</f>
        <v/>
      </c>
      <c r="G6" s="47" t="n"/>
      <c r="H6">
        <f>IF($A6="","",IF(COUNTIF('Annual Calendar'!$A$6:$A$35,$A6&amp;"")=0,"⚠ name not in the calendar",""))</f>
        <v/>
      </c>
    </row>
    <row r="7">
      <c r="A7" s="42" t="n"/>
      <c r="B7" s="63" t="n"/>
      <c r="C7" s="63" t="n"/>
      <c r="D7" s="44">
        <f>IF(OR($B7="",$C7=""),"",IF($C7&lt;$B7,"⚠ dates reversed",$C7-$B7+1))</f>
        <v/>
      </c>
      <c r="E7" s="64">
        <f>IFERROR(IF($A7="","",INDEX('PTO Balance'!$F$5:$F$34,MATCH($A7,'PTO Balance'!$A$5:$A$34,0))),"")</f>
        <v/>
      </c>
      <c r="F7" s="65">
        <f>IFERROR(IF($A7="","",INDEX('PTO Balance'!$H$5:$H$34,MATCH($A7,'PTO Balance'!$A$5:$A$34,0))),"")</f>
        <v/>
      </c>
      <c r="G7" s="47" t="n"/>
      <c r="H7">
        <f>IF($A7="","",IF(COUNTIF('Annual Calendar'!$A$6:$A$35,$A7&amp;"")=0,"⚠ name not in the calendar",""))</f>
        <v/>
      </c>
    </row>
    <row r="8">
      <c r="A8" s="42" t="n"/>
      <c r="B8" s="63" t="n"/>
      <c r="C8" s="63" t="n"/>
      <c r="D8" s="44">
        <f>IF(OR($B8="",$C8=""),"",IF($C8&lt;$B8,"⚠ dates reversed",$C8-$B8+1))</f>
        <v/>
      </c>
      <c r="E8" s="64">
        <f>IFERROR(IF($A8="","",INDEX('PTO Balance'!$F$5:$F$34,MATCH($A8,'PTO Balance'!$A$5:$A$34,0))),"")</f>
        <v/>
      </c>
      <c r="F8" s="65">
        <f>IFERROR(IF($A8="","",INDEX('PTO Balance'!$H$5:$H$34,MATCH($A8,'PTO Balance'!$A$5:$A$34,0))),"")</f>
        <v/>
      </c>
      <c r="G8" s="47" t="n"/>
      <c r="H8">
        <f>IF($A8="","",IF(COUNTIF('Annual Calendar'!$A$6:$A$35,$A8&amp;"")=0,"⚠ name not in the calendar",""))</f>
        <v/>
      </c>
    </row>
    <row r="9">
      <c r="A9" s="42" t="n"/>
      <c r="B9" s="63" t="n"/>
      <c r="C9" s="63" t="n"/>
      <c r="D9" s="44">
        <f>IF(OR($B9="",$C9=""),"",IF($C9&lt;$B9,"⚠ dates reversed",$C9-$B9+1))</f>
        <v/>
      </c>
      <c r="E9" s="64">
        <f>IFERROR(IF($A9="","",INDEX('PTO Balance'!$F$5:$F$34,MATCH($A9,'PTO Balance'!$A$5:$A$34,0))),"")</f>
        <v/>
      </c>
      <c r="F9" s="65">
        <f>IFERROR(IF($A9="","",INDEX('PTO Balance'!$H$5:$H$34,MATCH($A9,'PTO Balance'!$A$5:$A$34,0))),"")</f>
        <v/>
      </c>
      <c r="G9" s="47" t="n"/>
      <c r="H9">
        <f>IF($A9="","",IF(COUNTIF('Annual Calendar'!$A$6:$A$35,$A9&amp;"")=0,"⚠ name not in the calendar",""))</f>
        <v/>
      </c>
    </row>
    <row r="10">
      <c r="A10" s="42" t="n"/>
      <c r="B10" s="63" t="n"/>
      <c r="C10" s="63" t="n"/>
      <c r="D10" s="44">
        <f>IF(OR($B10="",$C10=""),"",IF($C10&lt;$B10,"⚠ dates reversed",$C10-$B10+1))</f>
        <v/>
      </c>
      <c r="E10" s="64">
        <f>IFERROR(IF($A10="","",INDEX('PTO Balance'!$F$5:$F$34,MATCH($A10,'PTO Balance'!$A$5:$A$34,0))),"")</f>
        <v/>
      </c>
      <c r="F10" s="65">
        <f>IFERROR(IF($A10="","",INDEX('PTO Balance'!$H$5:$H$34,MATCH($A10,'PTO Balance'!$A$5:$A$34,0))),"")</f>
        <v/>
      </c>
      <c r="G10" s="47" t="n"/>
      <c r="H10">
        <f>IF($A10="","",IF(COUNTIF('Annual Calendar'!$A$6:$A$35,$A10&amp;"")=0,"⚠ name not in the calendar",""))</f>
        <v/>
      </c>
    </row>
    <row r="11">
      <c r="A11" s="42" t="n"/>
      <c r="B11" s="63" t="n"/>
      <c r="C11" s="63" t="n"/>
      <c r="D11" s="44">
        <f>IF(OR($B11="",$C11=""),"",IF($C11&lt;$B11,"⚠ dates reversed",$C11-$B11+1))</f>
        <v/>
      </c>
      <c r="E11" s="64">
        <f>IFERROR(IF($A11="","",INDEX('PTO Balance'!$F$5:$F$34,MATCH($A11,'PTO Balance'!$A$5:$A$34,0))),"")</f>
        <v/>
      </c>
      <c r="F11" s="65">
        <f>IFERROR(IF($A11="","",INDEX('PTO Balance'!$H$5:$H$34,MATCH($A11,'PTO Balance'!$A$5:$A$34,0))),"")</f>
        <v/>
      </c>
      <c r="G11" s="47" t="n"/>
      <c r="H11">
        <f>IF($A11="","",IF(COUNTIF('Annual Calendar'!$A$6:$A$35,$A11&amp;"")=0,"⚠ name not in the calendar",""))</f>
        <v/>
      </c>
    </row>
    <row r="12">
      <c r="A12" s="42" t="n"/>
      <c r="B12" s="63" t="n"/>
      <c r="C12" s="63" t="n"/>
      <c r="D12" s="44">
        <f>IF(OR($B12="",$C12=""),"",IF($C12&lt;$B12,"⚠ dates reversed",$C12-$B12+1))</f>
        <v/>
      </c>
      <c r="E12" s="64">
        <f>IFERROR(IF($A12="","",INDEX('PTO Balance'!$F$5:$F$34,MATCH($A12,'PTO Balance'!$A$5:$A$34,0))),"")</f>
        <v/>
      </c>
      <c r="F12" s="65">
        <f>IFERROR(IF($A12="","",INDEX('PTO Balance'!$H$5:$H$34,MATCH($A12,'PTO Balance'!$A$5:$A$34,0))),"")</f>
        <v/>
      </c>
      <c r="G12" s="47" t="n"/>
      <c r="H12">
        <f>IF($A12="","",IF(COUNTIF('Annual Calendar'!$A$6:$A$35,$A12&amp;"")=0,"⚠ name not in the calendar",""))</f>
        <v/>
      </c>
    </row>
    <row r="13">
      <c r="A13" s="42" t="n"/>
      <c r="B13" s="63" t="n"/>
      <c r="C13" s="63" t="n"/>
      <c r="D13" s="44">
        <f>IF(OR($B13="",$C13=""),"",IF($C13&lt;$B13,"⚠ dates reversed",$C13-$B13+1))</f>
        <v/>
      </c>
      <c r="E13" s="64">
        <f>IFERROR(IF($A13="","",INDEX('PTO Balance'!$F$5:$F$34,MATCH($A13,'PTO Balance'!$A$5:$A$34,0))),"")</f>
        <v/>
      </c>
      <c r="F13" s="65">
        <f>IFERROR(IF($A13="","",INDEX('PTO Balance'!$H$5:$H$34,MATCH($A13,'PTO Balance'!$A$5:$A$34,0))),"")</f>
        <v/>
      </c>
      <c r="G13" s="47" t="n"/>
      <c r="H13">
        <f>IF($A13="","",IF(COUNTIF('Annual Calendar'!$A$6:$A$35,$A13&amp;"")=0,"⚠ name not in the calendar",""))</f>
        <v/>
      </c>
    </row>
    <row r="14">
      <c r="A14" s="42" t="n"/>
      <c r="B14" s="63" t="n"/>
      <c r="C14" s="63" t="n"/>
      <c r="D14" s="44">
        <f>IF(OR($B14="",$C14=""),"",IF($C14&lt;$B14,"⚠ dates reversed",$C14-$B14+1))</f>
        <v/>
      </c>
      <c r="E14" s="64">
        <f>IFERROR(IF($A14="","",INDEX('PTO Balance'!$F$5:$F$34,MATCH($A14,'PTO Balance'!$A$5:$A$34,0))),"")</f>
        <v/>
      </c>
      <c r="F14" s="65">
        <f>IFERROR(IF($A14="","",INDEX('PTO Balance'!$H$5:$H$34,MATCH($A14,'PTO Balance'!$A$5:$A$34,0))),"")</f>
        <v/>
      </c>
      <c r="G14" s="47" t="n"/>
      <c r="H14">
        <f>IF($A14="","",IF(COUNTIF('Annual Calendar'!$A$6:$A$35,$A14&amp;"")=0,"⚠ name not in the calendar",""))</f>
        <v/>
      </c>
    </row>
    <row r="15">
      <c r="A15" s="42" t="n"/>
      <c r="B15" s="63" t="n"/>
      <c r="C15" s="63" t="n"/>
      <c r="D15" s="44">
        <f>IF(OR($B15="",$C15=""),"",IF($C15&lt;$B15,"⚠ dates reversed",$C15-$B15+1))</f>
        <v/>
      </c>
      <c r="E15" s="64">
        <f>IFERROR(IF($A15="","",INDEX('PTO Balance'!$F$5:$F$34,MATCH($A15,'PTO Balance'!$A$5:$A$34,0))),"")</f>
        <v/>
      </c>
      <c r="F15" s="65">
        <f>IFERROR(IF($A15="","",INDEX('PTO Balance'!$H$5:$H$34,MATCH($A15,'PTO Balance'!$A$5:$A$34,0))),"")</f>
        <v/>
      </c>
      <c r="G15" s="47" t="n"/>
      <c r="H15">
        <f>IF($A15="","",IF(COUNTIF('Annual Calendar'!$A$6:$A$35,$A15&amp;"")=0,"⚠ name not in the calendar",""))</f>
        <v/>
      </c>
    </row>
    <row r="16">
      <c r="A16" s="42" t="n"/>
      <c r="B16" s="63" t="n"/>
      <c r="C16" s="63" t="n"/>
      <c r="D16" s="44">
        <f>IF(OR($B16="",$C16=""),"",IF($C16&lt;$B16,"⚠ dates reversed",$C16-$B16+1))</f>
        <v/>
      </c>
      <c r="E16" s="64">
        <f>IFERROR(IF($A16="","",INDEX('PTO Balance'!$F$5:$F$34,MATCH($A16,'PTO Balance'!$A$5:$A$34,0))),"")</f>
        <v/>
      </c>
      <c r="F16" s="65">
        <f>IFERROR(IF($A16="","",INDEX('PTO Balance'!$H$5:$H$34,MATCH($A16,'PTO Balance'!$A$5:$A$34,0))),"")</f>
        <v/>
      </c>
      <c r="G16" s="47" t="n"/>
      <c r="H16">
        <f>IF($A16="","",IF(COUNTIF('Annual Calendar'!$A$6:$A$35,$A16&amp;"")=0,"⚠ name not in the calendar",""))</f>
        <v/>
      </c>
    </row>
    <row r="17">
      <c r="A17" s="42" t="n"/>
      <c r="B17" s="63" t="n"/>
      <c r="C17" s="63" t="n"/>
      <c r="D17" s="44">
        <f>IF(OR($B17="",$C17=""),"",IF($C17&lt;$B17,"⚠ dates reversed",$C17-$B17+1))</f>
        <v/>
      </c>
      <c r="E17" s="64">
        <f>IFERROR(IF($A17="","",INDEX('PTO Balance'!$F$5:$F$34,MATCH($A17,'PTO Balance'!$A$5:$A$34,0))),"")</f>
        <v/>
      </c>
      <c r="F17" s="65">
        <f>IFERROR(IF($A17="","",INDEX('PTO Balance'!$H$5:$H$34,MATCH($A17,'PTO Balance'!$A$5:$A$34,0))),"")</f>
        <v/>
      </c>
      <c r="G17" s="47" t="n"/>
      <c r="H17">
        <f>IF($A17="","",IF(COUNTIF('Annual Calendar'!$A$6:$A$35,$A17&amp;"")=0,"⚠ name not in the calendar",""))</f>
        <v/>
      </c>
    </row>
    <row r="18">
      <c r="A18" s="42" t="n"/>
      <c r="B18" s="63" t="n"/>
      <c r="C18" s="63" t="n"/>
      <c r="D18" s="44">
        <f>IF(OR($B18="",$C18=""),"",IF($C18&lt;$B18,"⚠ dates reversed",$C18-$B18+1))</f>
        <v/>
      </c>
      <c r="E18" s="64">
        <f>IFERROR(IF($A18="","",INDEX('PTO Balance'!$F$5:$F$34,MATCH($A18,'PTO Balance'!$A$5:$A$34,0))),"")</f>
        <v/>
      </c>
      <c r="F18" s="65">
        <f>IFERROR(IF($A18="","",INDEX('PTO Balance'!$H$5:$H$34,MATCH($A18,'PTO Balance'!$A$5:$A$34,0))),"")</f>
        <v/>
      </c>
      <c r="G18" s="47" t="n"/>
      <c r="H18">
        <f>IF($A18="","",IF(COUNTIF('Annual Calendar'!$A$6:$A$35,$A18&amp;"")=0,"⚠ name not in the calendar",""))</f>
        <v/>
      </c>
    </row>
    <row r="19">
      <c r="A19" s="42" t="n"/>
      <c r="B19" s="63" t="n"/>
      <c r="C19" s="63" t="n"/>
      <c r="D19" s="44">
        <f>IF(OR($B19="",$C19=""),"",IF($C19&lt;$B19,"⚠ dates reversed",$C19-$B19+1))</f>
        <v/>
      </c>
      <c r="E19" s="64">
        <f>IFERROR(IF($A19="","",INDEX('PTO Balance'!$F$5:$F$34,MATCH($A19,'PTO Balance'!$A$5:$A$34,0))),"")</f>
        <v/>
      </c>
      <c r="F19" s="65">
        <f>IFERROR(IF($A19="","",INDEX('PTO Balance'!$H$5:$H$34,MATCH($A19,'PTO Balance'!$A$5:$A$34,0))),"")</f>
        <v/>
      </c>
      <c r="G19" s="47" t="n"/>
      <c r="H19">
        <f>IF($A19="","",IF(COUNTIF('Annual Calendar'!$A$6:$A$35,$A19&amp;"")=0,"⚠ name not in the calendar",""))</f>
        <v/>
      </c>
    </row>
    <row r="20">
      <c r="A20" s="42" t="n"/>
      <c r="B20" s="63" t="n"/>
      <c r="C20" s="63" t="n"/>
      <c r="D20" s="44">
        <f>IF(OR($B20="",$C20=""),"",IF($C20&lt;$B20,"⚠ dates reversed",$C20-$B20+1))</f>
        <v/>
      </c>
      <c r="E20" s="64">
        <f>IFERROR(IF($A20="","",INDEX('PTO Balance'!$F$5:$F$34,MATCH($A20,'PTO Balance'!$A$5:$A$34,0))),"")</f>
        <v/>
      </c>
      <c r="F20" s="65">
        <f>IFERROR(IF($A20="","",INDEX('PTO Balance'!$H$5:$H$34,MATCH($A20,'PTO Balance'!$A$5:$A$34,0))),"")</f>
        <v/>
      </c>
      <c r="G20" s="47" t="n"/>
      <c r="H20">
        <f>IF($A20="","",IF(COUNTIF('Annual Calendar'!$A$6:$A$35,$A20&amp;"")=0,"⚠ name not in the calendar",""))</f>
        <v/>
      </c>
    </row>
    <row r="21">
      <c r="A21" s="42" t="n"/>
      <c r="B21" s="63" t="n"/>
      <c r="C21" s="63" t="n"/>
      <c r="D21" s="44">
        <f>IF(OR($B21="",$C21=""),"",IF($C21&lt;$B21,"⚠ dates reversed",$C21-$B21+1))</f>
        <v/>
      </c>
      <c r="E21" s="64">
        <f>IFERROR(IF($A21="","",INDEX('PTO Balance'!$F$5:$F$34,MATCH($A21,'PTO Balance'!$A$5:$A$34,0))),"")</f>
        <v/>
      </c>
      <c r="F21" s="65">
        <f>IFERROR(IF($A21="","",INDEX('PTO Balance'!$H$5:$H$34,MATCH($A21,'PTO Balance'!$A$5:$A$34,0))),"")</f>
        <v/>
      </c>
      <c r="G21" s="47" t="n"/>
      <c r="H21">
        <f>IF($A21="","",IF(COUNTIF('Annual Calendar'!$A$6:$A$35,$A21&amp;"")=0,"⚠ name not in the calendar",""))</f>
        <v/>
      </c>
    </row>
    <row r="22">
      <c r="A22" s="42" t="n"/>
      <c r="B22" s="63" t="n"/>
      <c r="C22" s="63" t="n"/>
      <c r="D22" s="44">
        <f>IF(OR($B22="",$C22=""),"",IF($C22&lt;$B22,"⚠ dates reversed",$C22-$B22+1))</f>
        <v/>
      </c>
      <c r="E22" s="64">
        <f>IFERROR(IF($A22="","",INDEX('PTO Balance'!$F$5:$F$34,MATCH($A22,'PTO Balance'!$A$5:$A$34,0))),"")</f>
        <v/>
      </c>
      <c r="F22" s="65">
        <f>IFERROR(IF($A22="","",INDEX('PTO Balance'!$H$5:$H$34,MATCH($A22,'PTO Balance'!$A$5:$A$34,0))),"")</f>
        <v/>
      </c>
      <c r="G22" s="47" t="n"/>
      <c r="H22">
        <f>IF($A22="","",IF(COUNTIF('Annual Calendar'!$A$6:$A$35,$A22&amp;"")=0,"⚠ name not in the calendar",""))</f>
        <v/>
      </c>
    </row>
    <row r="23">
      <c r="A23" s="42" t="n"/>
      <c r="B23" s="63" t="n"/>
      <c r="C23" s="63" t="n"/>
      <c r="D23" s="44">
        <f>IF(OR($B23="",$C23=""),"",IF($C23&lt;$B23,"⚠ dates reversed",$C23-$B23+1))</f>
        <v/>
      </c>
      <c r="E23" s="64">
        <f>IFERROR(IF($A23="","",INDEX('PTO Balance'!$F$5:$F$34,MATCH($A23,'PTO Balance'!$A$5:$A$34,0))),"")</f>
        <v/>
      </c>
      <c r="F23" s="65">
        <f>IFERROR(IF($A23="","",INDEX('PTO Balance'!$H$5:$H$34,MATCH($A23,'PTO Balance'!$A$5:$A$34,0))),"")</f>
        <v/>
      </c>
      <c r="G23" s="47" t="n"/>
      <c r="H23">
        <f>IF($A23="","",IF(COUNTIF('Annual Calendar'!$A$6:$A$35,$A23&amp;"")=0,"⚠ name not in the calendar",""))</f>
        <v/>
      </c>
    </row>
    <row r="24">
      <c r="A24" s="42" t="n"/>
      <c r="B24" s="63" t="n"/>
      <c r="C24" s="63" t="n"/>
      <c r="D24" s="44">
        <f>IF(OR($B24="",$C24=""),"",IF($C24&lt;$B24,"⚠ dates reversed",$C24-$B24+1))</f>
        <v/>
      </c>
      <c r="E24" s="64">
        <f>IFERROR(IF($A24="","",INDEX('PTO Balance'!$F$5:$F$34,MATCH($A24,'PTO Balance'!$A$5:$A$34,0))),"")</f>
        <v/>
      </c>
      <c r="F24" s="65">
        <f>IFERROR(IF($A24="","",INDEX('PTO Balance'!$H$5:$H$34,MATCH($A24,'PTO Balance'!$A$5:$A$34,0))),"")</f>
        <v/>
      </c>
      <c r="G24" s="47" t="n"/>
      <c r="H24">
        <f>IF($A24="","",IF(COUNTIF('Annual Calendar'!$A$6:$A$35,$A24&amp;"")=0,"⚠ name not in the calendar",""))</f>
        <v/>
      </c>
    </row>
    <row r="25">
      <c r="A25" s="42" t="n"/>
      <c r="B25" s="63" t="n"/>
      <c r="C25" s="63" t="n"/>
      <c r="D25" s="44">
        <f>IF(OR($B25="",$C25=""),"",IF($C25&lt;$B25,"⚠ dates reversed",$C25-$B25+1))</f>
        <v/>
      </c>
      <c r="E25" s="64">
        <f>IFERROR(IF($A25="","",INDEX('PTO Balance'!$F$5:$F$34,MATCH($A25,'PTO Balance'!$A$5:$A$34,0))),"")</f>
        <v/>
      </c>
      <c r="F25" s="65">
        <f>IFERROR(IF($A25="","",INDEX('PTO Balance'!$H$5:$H$34,MATCH($A25,'PTO Balance'!$A$5:$A$34,0))),"")</f>
        <v/>
      </c>
      <c r="G25" s="47" t="n"/>
      <c r="H25">
        <f>IF($A25="","",IF(COUNTIF('Annual Calendar'!$A$6:$A$35,$A25&amp;"")=0,"⚠ name not in the calendar",""))</f>
        <v/>
      </c>
    </row>
    <row r="26">
      <c r="A26" s="42" t="n"/>
      <c r="B26" s="63" t="n"/>
      <c r="C26" s="63" t="n"/>
      <c r="D26" s="44">
        <f>IF(OR($B26="",$C26=""),"",IF($C26&lt;$B26,"⚠ dates reversed",$C26-$B26+1))</f>
        <v/>
      </c>
      <c r="E26" s="64">
        <f>IFERROR(IF($A26="","",INDEX('PTO Balance'!$F$5:$F$34,MATCH($A26,'PTO Balance'!$A$5:$A$34,0))),"")</f>
        <v/>
      </c>
      <c r="F26" s="65">
        <f>IFERROR(IF($A26="","",INDEX('PTO Balance'!$H$5:$H$34,MATCH($A26,'PTO Balance'!$A$5:$A$34,0))),"")</f>
        <v/>
      </c>
      <c r="G26" s="47" t="n"/>
      <c r="H26">
        <f>IF($A26="","",IF(COUNTIF('Annual Calendar'!$A$6:$A$35,$A26&amp;"")=0,"⚠ name not in the calendar",""))</f>
        <v/>
      </c>
    </row>
    <row r="27">
      <c r="A27" s="42" t="n"/>
      <c r="B27" s="63" t="n"/>
      <c r="C27" s="63" t="n"/>
      <c r="D27" s="44">
        <f>IF(OR($B27="",$C27=""),"",IF($C27&lt;$B27,"⚠ dates reversed",$C27-$B27+1))</f>
        <v/>
      </c>
      <c r="E27" s="64">
        <f>IFERROR(IF($A27="","",INDEX('PTO Balance'!$F$5:$F$34,MATCH($A27,'PTO Balance'!$A$5:$A$34,0))),"")</f>
        <v/>
      </c>
      <c r="F27" s="65">
        <f>IFERROR(IF($A27="","",INDEX('PTO Balance'!$H$5:$H$34,MATCH($A27,'PTO Balance'!$A$5:$A$34,0))),"")</f>
        <v/>
      </c>
      <c r="G27" s="47" t="n"/>
      <c r="H27">
        <f>IF($A27="","",IF(COUNTIF('Annual Calendar'!$A$6:$A$35,$A27&amp;"")=0,"⚠ name not in the calendar",""))</f>
        <v/>
      </c>
    </row>
    <row r="28">
      <c r="A28" s="42" t="n"/>
      <c r="B28" s="63" t="n"/>
      <c r="C28" s="63" t="n"/>
      <c r="D28" s="44">
        <f>IF(OR($B28="",$C28=""),"",IF($C28&lt;$B28,"⚠ dates reversed",$C28-$B28+1))</f>
        <v/>
      </c>
      <c r="E28" s="64">
        <f>IFERROR(IF($A28="","",INDEX('PTO Balance'!$F$5:$F$34,MATCH($A28,'PTO Balance'!$A$5:$A$34,0))),"")</f>
        <v/>
      </c>
      <c r="F28" s="65">
        <f>IFERROR(IF($A28="","",INDEX('PTO Balance'!$H$5:$H$34,MATCH($A28,'PTO Balance'!$A$5:$A$34,0))),"")</f>
        <v/>
      </c>
      <c r="G28" s="47" t="n"/>
      <c r="H28">
        <f>IF($A28="","",IF(COUNTIF('Annual Calendar'!$A$6:$A$35,$A28&amp;"")=0,"⚠ name not in the calendar",""))</f>
        <v/>
      </c>
    </row>
    <row r="29">
      <c r="A29" s="42" t="n"/>
      <c r="B29" s="63" t="n"/>
      <c r="C29" s="63" t="n"/>
      <c r="D29" s="44">
        <f>IF(OR($B29="",$C29=""),"",IF($C29&lt;$B29,"⚠ dates reversed",$C29-$B29+1))</f>
        <v/>
      </c>
      <c r="E29" s="64">
        <f>IFERROR(IF($A29="","",INDEX('PTO Balance'!$F$5:$F$34,MATCH($A29,'PTO Balance'!$A$5:$A$34,0))),"")</f>
        <v/>
      </c>
      <c r="F29" s="65">
        <f>IFERROR(IF($A29="","",INDEX('PTO Balance'!$H$5:$H$34,MATCH($A29,'PTO Balance'!$A$5:$A$34,0))),"")</f>
        <v/>
      </c>
      <c r="G29" s="47" t="n"/>
      <c r="H29">
        <f>IF($A29="","",IF(COUNTIF('Annual Calendar'!$A$6:$A$35,$A29&amp;"")=0,"⚠ name not in the calendar",""))</f>
        <v/>
      </c>
    </row>
    <row r="30">
      <c r="A30" s="42" t="n"/>
      <c r="B30" s="63" t="n"/>
      <c r="C30" s="63" t="n"/>
      <c r="D30" s="44">
        <f>IF(OR($B30="",$C30=""),"",IF($C30&lt;$B30,"⚠ dates reversed",$C30-$B30+1))</f>
        <v/>
      </c>
      <c r="E30" s="64">
        <f>IFERROR(IF($A30="","",INDEX('PTO Balance'!$F$5:$F$34,MATCH($A30,'PTO Balance'!$A$5:$A$34,0))),"")</f>
        <v/>
      </c>
      <c r="F30" s="65">
        <f>IFERROR(IF($A30="","",INDEX('PTO Balance'!$H$5:$H$34,MATCH($A30,'PTO Balance'!$A$5:$A$34,0))),"")</f>
        <v/>
      </c>
      <c r="G30" s="47" t="n"/>
      <c r="H30">
        <f>IF($A30="","",IF(COUNTIF('Annual Calendar'!$A$6:$A$35,$A30&amp;"")=0,"⚠ name not in the calendar",""))</f>
        <v/>
      </c>
    </row>
    <row r="31">
      <c r="A31" s="42" t="n"/>
      <c r="B31" s="63" t="n"/>
      <c r="C31" s="63" t="n"/>
      <c r="D31" s="44">
        <f>IF(OR($B31="",$C31=""),"",IF($C31&lt;$B31,"⚠ dates reversed",$C31-$B31+1))</f>
        <v/>
      </c>
      <c r="E31" s="64">
        <f>IFERROR(IF($A31="","",INDEX('PTO Balance'!$F$5:$F$34,MATCH($A31,'PTO Balance'!$A$5:$A$34,0))),"")</f>
        <v/>
      </c>
      <c r="F31" s="65">
        <f>IFERROR(IF($A31="","",INDEX('PTO Balance'!$H$5:$H$34,MATCH($A31,'PTO Balance'!$A$5:$A$34,0))),"")</f>
        <v/>
      </c>
      <c r="G31" s="47" t="n"/>
      <c r="H31">
        <f>IF($A31="","",IF(COUNTIF('Annual Calendar'!$A$6:$A$35,$A31&amp;"")=0,"⚠ name not in the calendar",""))</f>
        <v/>
      </c>
    </row>
    <row r="32">
      <c r="A32" s="42" t="n"/>
      <c r="B32" s="63" t="n"/>
      <c r="C32" s="63" t="n"/>
      <c r="D32" s="44">
        <f>IF(OR($B32="",$C32=""),"",IF($C32&lt;$B32,"⚠ dates reversed",$C32-$B32+1))</f>
        <v/>
      </c>
      <c r="E32" s="64">
        <f>IFERROR(IF($A32="","",INDEX('PTO Balance'!$F$5:$F$34,MATCH($A32,'PTO Balance'!$A$5:$A$34,0))),"")</f>
        <v/>
      </c>
      <c r="F32" s="65">
        <f>IFERROR(IF($A32="","",INDEX('PTO Balance'!$H$5:$H$34,MATCH($A32,'PTO Balance'!$A$5:$A$34,0))),"")</f>
        <v/>
      </c>
      <c r="G32" s="47" t="n"/>
      <c r="H32">
        <f>IF($A32="","",IF(COUNTIF('Annual Calendar'!$A$6:$A$35,$A32&amp;"")=0,"⚠ name not in the calendar",""))</f>
        <v/>
      </c>
    </row>
    <row r="33">
      <c r="A33" s="42" t="n"/>
      <c r="B33" s="63" t="n"/>
      <c r="C33" s="63" t="n"/>
      <c r="D33" s="44">
        <f>IF(OR($B33="",$C33=""),"",IF($C33&lt;$B33,"⚠ dates reversed",$C33-$B33+1))</f>
        <v/>
      </c>
      <c r="E33" s="64">
        <f>IFERROR(IF($A33="","",INDEX('PTO Balance'!$F$5:$F$34,MATCH($A33,'PTO Balance'!$A$5:$A$34,0))),"")</f>
        <v/>
      </c>
      <c r="F33" s="65">
        <f>IFERROR(IF($A33="","",INDEX('PTO Balance'!$H$5:$H$34,MATCH($A33,'PTO Balance'!$A$5:$A$34,0))),"")</f>
        <v/>
      </c>
      <c r="G33" s="47" t="n"/>
      <c r="H33">
        <f>IF($A33="","",IF(COUNTIF('Annual Calendar'!$A$6:$A$35,$A33&amp;"")=0,"⚠ name not in the calendar",""))</f>
        <v/>
      </c>
    </row>
    <row r="34">
      <c r="A34" s="42" t="n"/>
      <c r="B34" s="63" t="n"/>
      <c r="C34" s="63" t="n"/>
      <c r="D34" s="44">
        <f>IF(OR($B34="",$C34=""),"",IF($C34&lt;$B34,"⚠ dates reversed",$C34-$B34+1))</f>
        <v/>
      </c>
      <c r="E34" s="64">
        <f>IFERROR(IF($A34="","",INDEX('PTO Balance'!$F$5:$F$34,MATCH($A34,'PTO Balance'!$A$5:$A$34,0))),"")</f>
        <v/>
      </c>
      <c r="F34" s="65">
        <f>IFERROR(IF($A34="","",INDEX('PTO Balance'!$H$5:$H$34,MATCH($A34,'PTO Balance'!$A$5:$A$34,0))),"")</f>
        <v/>
      </c>
      <c r="G34" s="47" t="n"/>
      <c r="H34">
        <f>IF($A34="","",IF(COUNTIF('Annual Calendar'!$A$6:$A$35,$A34&amp;"")=0,"⚠ name not in the calendar",""))</f>
        <v/>
      </c>
    </row>
    <row r="35">
      <c r="A35" s="33" t="n"/>
      <c r="B35" s="66" t="n"/>
      <c r="C35" s="66" t="n"/>
      <c r="D35" s="35">
        <f>IF(OR($B35="",$C35=""),"",IF($C35&lt;$B35,"⚠ dates reversed",$C35-$B35+1))</f>
        <v/>
      </c>
      <c r="E35" s="67">
        <f>IFERROR(IF($A35="","",INDEX('PTO Balance'!$F$5:$F$34,MATCH($A35,'PTO Balance'!$A$5:$A$34,0))),"")</f>
        <v/>
      </c>
      <c r="F35" s="67">
        <f>IFERROR(IF($A35="","",INDEX('PTO Balance'!$H$5:$H$34,MATCH($A35,'PTO Balance'!$A$5:$A$34,0))),"")</f>
        <v/>
      </c>
      <c r="G35" s="33" t="n"/>
      <c r="H35">
        <f>IF($A35="","",IF(COUNTIF('Annual Calendar'!$A$6:$A$35,$A35&amp;"")=0,"⚠ name not in the calendar",""))</f>
        <v/>
      </c>
    </row>
    <row r="36">
      <c r="A36" s="50" t="n"/>
      <c r="B36" s="66" t="n"/>
      <c r="C36" s="66" t="n"/>
      <c r="D36" s="35">
        <f>IF(OR($B36="",$C36=""),"",IF($C36&lt;$B36,"⚠ dates reversed",$C36-$B36+1))</f>
        <v/>
      </c>
      <c r="E36" s="67">
        <f>IFERROR(IF($A36="","",INDEX('PTO Balance'!$F$5:$F$34,MATCH($A36,'PTO Balance'!$A$5:$A$34,0))),"")</f>
        <v/>
      </c>
      <c r="F36" s="67">
        <f>IFERROR(IF($A36="","",INDEX('PTO Balance'!$H$5:$H$34,MATCH($A36,'PTO Balance'!$A$5:$A$34,0))),"")</f>
        <v/>
      </c>
      <c r="G36" s="33" t="n"/>
      <c r="H36">
        <f>IF($A36="","",IF(COUNTIF('Annual Calendar'!$A$6:$A$35,$A36&amp;"")=0,"⚠ name not in the calendar",""))</f>
        <v/>
      </c>
    </row>
    <row r="37">
      <c r="A37" s="33" t="n"/>
      <c r="B37" s="66" t="n"/>
      <c r="C37" s="66" t="n"/>
      <c r="D37" s="35">
        <f>IF(OR($B37="",$C37=""),"",IF($C37&lt;$B37,"⚠ dates reversed",$C37-$B37+1))</f>
        <v/>
      </c>
      <c r="E37" s="67">
        <f>IFERROR(IF($A37="","",INDEX('PTO Balance'!$F$5:$F$34,MATCH($A37,'PTO Balance'!$A$5:$A$34,0))),"")</f>
        <v/>
      </c>
      <c r="F37" s="67">
        <f>IFERROR(IF($A37="","",INDEX('PTO Balance'!$H$5:$H$34,MATCH($A37,'PTO Balance'!$A$5:$A$34,0))),"")</f>
        <v/>
      </c>
      <c r="G37" s="33" t="n"/>
      <c r="H37">
        <f>IF($A37="","",IF(COUNTIF('Annual Calendar'!$A$6:$A$35,$A37&amp;"")=0,"⚠ name not in the calendar",""))</f>
        <v/>
      </c>
    </row>
    <row r="38">
      <c r="A38" s="33" t="n"/>
      <c r="B38" s="66" t="n"/>
      <c r="C38" s="66" t="n"/>
      <c r="D38" s="35">
        <f>IF(OR($B38="",$C38=""),"",IF($C38&lt;$B38,"⚠ dates reversed",$C38-$B38+1))</f>
        <v/>
      </c>
      <c r="E38" s="67">
        <f>IFERROR(IF($A38="","",INDEX('PTO Balance'!$F$5:$F$34,MATCH($A38,'PTO Balance'!$A$5:$A$34,0))),"")</f>
        <v/>
      </c>
      <c r="F38" s="67">
        <f>IFERROR(IF($A38="","",INDEX('PTO Balance'!$H$5:$H$34,MATCH($A38,'PTO Balance'!$A$5:$A$34,0))),"")</f>
        <v/>
      </c>
      <c r="G38" s="33" t="n"/>
      <c r="H38">
        <f>IF($A38="","",IF(COUNTIF('Annual Calendar'!$A$6:$A$35,$A38&amp;"")=0,"⚠ name not in the calendar",""))</f>
        <v/>
      </c>
    </row>
    <row r="39">
      <c r="A39" s="33" t="n"/>
      <c r="B39" s="66" t="n"/>
      <c r="C39" s="66" t="n"/>
      <c r="D39" s="35">
        <f>IF(OR($B39="",$C39=""),"",IF($C39&lt;$B39,"⚠ dates reversed",$C39-$B39+1))</f>
        <v/>
      </c>
      <c r="E39" s="67">
        <f>IFERROR(IF($A39="","",INDEX('PTO Balance'!$F$5:$F$34,MATCH($A39,'PTO Balance'!$A$5:$A$34,0))),"")</f>
        <v/>
      </c>
      <c r="F39" s="67">
        <f>IFERROR(IF($A39="","",INDEX('PTO Balance'!$H$5:$H$34,MATCH($A39,'PTO Balance'!$A$5:$A$34,0))),"")</f>
        <v/>
      </c>
      <c r="G39" s="33" t="n"/>
      <c r="H39">
        <f>IF($A39="","",IF(COUNTIF('Annual Calendar'!$A$6:$A$35,$A39&amp;"")=0,"⚠ name not in the calendar",""))</f>
        <v/>
      </c>
    </row>
    <row r="40">
      <c r="A40" s="33" t="n"/>
      <c r="B40" s="66" t="n"/>
      <c r="C40" s="66" t="n"/>
      <c r="D40" s="35">
        <f>IF(OR($B40="",$C40=""),"",IF($C40&lt;$B40,"⚠ dates reversed",$C40-$B40+1))</f>
        <v/>
      </c>
      <c r="E40" s="67">
        <f>IFERROR(IF($A40="","",INDEX('PTO Balance'!$F$5:$F$34,MATCH($A40,'PTO Balance'!$A$5:$A$34,0))),"")</f>
        <v/>
      </c>
      <c r="F40" s="67">
        <f>IFERROR(IF($A40="","",INDEX('PTO Balance'!$H$5:$H$34,MATCH($A40,'PTO Balance'!$A$5:$A$34,0))),"")</f>
        <v/>
      </c>
      <c r="G40" s="33" t="n"/>
      <c r="H40">
        <f>IF($A40="","",IF(COUNTIF('Annual Calendar'!$A$6:$A$35,$A40&amp;"")=0,"⚠ name not in the calendar",""))</f>
        <v/>
      </c>
    </row>
    <row r="41">
      <c r="A41" s="33" t="n"/>
      <c r="B41" s="66" t="n"/>
      <c r="C41" s="66" t="n"/>
      <c r="D41" s="35">
        <f>IF(OR($B41="",$C41=""),"",IF($C41&lt;$B41,"⚠ dates reversed",$C41-$B41+1))</f>
        <v/>
      </c>
      <c r="E41" s="67">
        <f>IFERROR(IF($A41="","",INDEX('PTO Balance'!$F$5:$F$34,MATCH($A41,'PTO Balance'!$A$5:$A$34,0))),"")</f>
        <v/>
      </c>
      <c r="F41" s="67">
        <f>IFERROR(IF($A41="","",INDEX('PTO Balance'!$H$5:$H$34,MATCH($A41,'PTO Balance'!$A$5:$A$34,0))),"")</f>
        <v/>
      </c>
      <c r="G41" s="33" t="n"/>
      <c r="H41">
        <f>IF($A41="","",IF(COUNTIF('Annual Calendar'!$A$6:$A$35,$A41&amp;"")=0,"⚠ name not in the calendar",""))</f>
        <v/>
      </c>
    </row>
    <row r="42">
      <c r="A42" s="33" t="n"/>
      <c r="B42" s="66" t="n"/>
      <c r="C42" s="66" t="n"/>
      <c r="D42" s="35">
        <f>IF(OR($B42="",$C42=""),"",IF($C42&lt;$B42,"⚠ dates reversed",$C42-$B42+1))</f>
        <v/>
      </c>
      <c r="E42" s="67">
        <f>IFERROR(IF($A42="","",INDEX('PTO Balance'!$F$5:$F$34,MATCH($A42,'PTO Balance'!$A$5:$A$34,0))),"")</f>
        <v/>
      </c>
      <c r="F42" s="67">
        <f>IFERROR(IF($A42="","",INDEX('PTO Balance'!$H$5:$H$34,MATCH($A42,'PTO Balance'!$A$5:$A$34,0))),"")</f>
        <v/>
      </c>
      <c r="G42" s="33" t="n"/>
      <c r="H42">
        <f>IF($A42="","",IF(COUNTIF('Annual Calendar'!$A$6:$A$35,$A42&amp;"")=0,"⚠ name not in the calendar",""))</f>
        <v/>
      </c>
    </row>
    <row r="43">
      <c r="A43" s="33" t="n"/>
      <c r="B43" s="66" t="n"/>
      <c r="C43" s="66" t="n"/>
      <c r="D43" s="35">
        <f>IF(OR($B43="",$C43=""),"",IF($C43&lt;$B43,"⚠ dates reversed",$C43-$B43+1))</f>
        <v/>
      </c>
      <c r="E43" s="67">
        <f>IFERROR(IF($A43="","",INDEX('PTO Balance'!$F$5:$F$34,MATCH($A43,'PTO Balance'!$A$5:$A$34,0))),"")</f>
        <v/>
      </c>
      <c r="F43" s="67">
        <f>IFERROR(IF($A43="","",INDEX('PTO Balance'!$H$5:$H$34,MATCH($A43,'PTO Balance'!$A$5:$A$34,0))),"")</f>
        <v/>
      </c>
      <c r="G43" s="33" t="n"/>
      <c r="H43">
        <f>IF($A43="","",IF(COUNTIF('Annual Calendar'!$A$6:$A$35,$A43&amp;"")=0,"⚠ name not in the calendar",""))</f>
        <v/>
      </c>
    </row>
    <row r="44">
      <c r="A44" s="33" t="n"/>
      <c r="B44" s="66" t="n"/>
      <c r="C44" s="66" t="n"/>
      <c r="D44" s="35">
        <f>IF(OR($B44="",$C44=""),"",IF($C44&lt;$B44,"⚠ dates reversed",$C44-$B44+1))</f>
        <v/>
      </c>
      <c r="E44" s="67">
        <f>IFERROR(IF($A44="","",INDEX('PTO Balance'!$F$5:$F$34,MATCH($A44,'PTO Balance'!$A$5:$A$34,0))),"")</f>
        <v/>
      </c>
      <c r="F44" s="67">
        <f>IFERROR(IF($A44="","",INDEX('PTO Balance'!$H$5:$H$34,MATCH($A44,'PTO Balance'!$A$5:$A$34,0))),"")</f>
        <v/>
      </c>
      <c r="G44" s="33" t="n"/>
      <c r="H44">
        <f>IF($A44="","",IF(COUNTIF('Annual Calendar'!$A$6:$A$35,$A44&amp;"")=0,"⚠ name not in the calendar",""))</f>
        <v/>
      </c>
    </row>
    <row r="45">
      <c r="A45" s="33" t="n"/>
      <c r="B45" s="66" t="n"/>
      <c r="C45" s="66" t="n"/>
      <c r="D45" s="35">
        <f>IF(OR($B45="",$C45=""),"",IF($C45&lt;$B45,"⚠ dates reversed",$C45-$B45+1))</f>
        <v/>
      </c>
      <c r="E45" s="67">
        <f>IFERROR(IF($A45="","",INDEX('PTO Balance'!$F$5:$F$34,MATCH($A45,'PTO Balance'!$A$5:$A$34,0))),"")</f>
        <v/>
      </c>
      <c r="F45" s="67">
        <f>IFERROR(IF($A45="","",INDEX('PTO Balance'!$H$5:$H$34,MATCH($A45,'PTO Balance'!$A$5:$A$34,0))),"")</f>
        <v/>
      </c>
      <c r="G45" s="33" t="n"/>
      <c r="H45">
        <f>IF($A45="","",IF(COUNTIF('Annual Calendar'!$A$6:$A$35,$A45&amp;"")=0,"⚠ name not in the calendar",""))</f>
        <v/>
      </c>
    </row>
    <row r="46">
      <c r="A46" s="33" t="n"/>
      <c r="B46" s="66" t="n"/>
      <c r="C46" s="66" t="n"/>
      <c r="D46" s="35">
        <f>IF(OR($B46="",$C46=""),"",IF($C46&lt;$B46,"⚠ dates reversed",$C46-$B46+1))</f>
        <v/>
      </c>
      <c r="E46" s="67">
        <f>IFERROR(IF($A46="","",INDEX('PTO Balance'!$F$5:$F$34,MATCH($A46,'PTO Balance'!$A$5:$A$34,0))),"")</f>
        <v/>
      </c>
      <c r="F46" s="67">
        <f>IFERROR(IF($A46="","",INDEX('PTO Balance'!$H$5:$H$34,MATCH($A46,'PTO Balance'!$A$5:$A$34,0))),"")</f>
        <v/>
      </c>
      <c r="G46" s="33" t="n"/>
      <c r="H46">
        <f>IF($A46="","",IF(COUNTIF('Annual Calendar'!$A$6:$A$35,$A46&amp;"")=0,"⚠ name not in the calendar",""))</f>
        <v/>
      </c>
    </row>
    <row r="47">
      <c r="A47" s="33" t="n"/>
      <c r="B47" s="66" t="n"/>
      <c r="C47" s="66" t="n"/>
      <c r="D47" s="35">
        <f>IF(OR($B47="",$C47=""),"",IF($C47&lt;$B47,"⚠ dates reversed",$C47-$B47+1))</f>
        <v/>
      </c>
      <c r="E47" s="67">
        <f>IFERROR(IF($A47="","",INDEX('PTO Balance'!$F$5:$F$34,MATCH($A47,'PTO Balance'!$A$5:$A$34,0))),"")</f>
        <v/>
      </c>
      <c r="F47" s="67">
        <f>IFERROR(IF($A47="","",INDEX('PTO Balance'!$H$5:$H$34,MATCH($A47,'PTO Balance'!$A$5:$A$34,0))),"")</f>
        <v/>
      </c>
      <c r="G47" s="33" t="n"/>
      <c r="H47">
        <f>IF($A47="","",IF(COUNTIF('Annual Calendar'!$A$6:$A$35,$A47&amp;"")=0,"⚠ name not in the calendar",""))</f>
        <v/>
      </c>
    </row>
    <row r="48">
      <c r="A48" s="33" t="n"/>
      <c r="B48" s="66" t="n"/>
      <c r="C48" s="66" t="n"/>
      <c r="D48" s="35">
        <f>IF(OR($B48="",$C48=""),"",IF($C48&lt;$B48,"⚠ dates reversed",$C48-$B48+1))</f>
        <v/>
      </c>
      <c r="E48" s="67">
        <f>IFERROR(IF($A48="","",INDEX('PTO Balance'!$F$5:$F$34,MATCH($A48,'PTO Balance'!$A$5:$A$34,0))),"")</f>
        <v/>
      </c>
      <c r="F48" s="67">
        <f>IFERROR(IF($A48="","",INDEX('PTO Balance'!$H$5:$H$34,MATCH($A48,'PTO Balance'!$A$5:$A$34,0))),"")</f>
        <v/>
      </c>
      <c r="G48" s="33" t="n"/>
      <c r="H48">
        <f>IF($A48="","",IF(COUNTIF('Annual Calendar'!$A$6:$A$35,$A48&amp;"")=0,"⚠ name not in the calendar",""))</f>
        <v/>
      </c>
    </row>
    <row r="49">
      <c r="A49" s="33" t="n"/>
      <c r="B49" s="66" t="n"/>
      <c r="C49" s="66" t="n"/>
      <c r="D49" s="35">
        <f>IF(OR($B49="",$C49=""),"",IF($C49&lt;$B49,"⚠ dates reversed",$C49-$B49+1))</f>
        <v/>
      </c>
      <c r="E49" s="67">
        <f>IFERROR(IF($A49="","",INDEX('PTO Balance'!$F$5:$F$34,MATCH($A49,'PTO Balance'!$A$5:$A$34,0))),"")</f>
        <v/>
      </c>
      <c r="F49" s="67">
        <f>IFERROR(IF($A49="","",INDEX('PTO Balance'!$H$5:$H$34,MATCH($A49,'PTO Balance'!$A$5:$A$34,0))),"")</f>
        <v/>
      </c>
      <c r="G49" s="33" t="n"/>
      <c r="H49">
        <f>IF($A49="","",IF(COUNTIF('Annual Calendar'!$A$6:$A$35,$A49&amp;"")=0,"⚠ name not in the calendar",""))</f>
        <v/>
      </c>
    </row>
    <row r="50">
      <c r="A50" s="33" t="n"/>
      <c r="B50" s="66" t="n"/>
      <c r="C50" s="66" t="n"/>
      <c r="D50" s="35">
        <f>IF(OR($B50="",$C50=""),"",IF($C50&lt;$B50,"⚠ dates reversed",$C50-$B50+1))</f>
        <v/>
      </c>
      <c r="E50" s="67">
        <f>IFERROR(IF($A50="","",INDEX('PTO Balance'!$F$5:$F$34,MATCH($A50,'PTO Balance'!$A$5:$A$34,0))),"")</f>
        <v/>
      </c>
      <c r="F50" s="67">
        <f>IFERROR(IF($A50="","",INDEX('PTO Balance'!$H$5:$H$34,MATCH($A50,'PTO Balance'!$A$5:$A$34,0))),"")</f>
        <v/>
      </c>
      <c r="G50" s="33" t="n"/>
      <c r="H50">
        <f>IF($A50="","",IF(COUNTIF('Annual Calendar'!$A$6:$A$35,$A50&amp;"")=0,"⚠ name not in the calendar",""))</f>
        <v/>
      </c>
    </row>
    <row r="51">
      <c r="A51" s="33" t="n"/>
      <c r="B51" s="66" t="n"/>
      <c r="C51" s="66" t="n"/>
      <c r="D51" s="35">
        <f>IF(OR($B51="",$C51=""),"",IF($C51&lt;$B51,"⚠ dates reversed",$C51-$B51+1))</f>
        <v/>
      </c>
      <c r="E51" s="67">
        <f>IFERROR(IF($A51="","",INDEX('PTO Balance'!$F$5:$F$34,MATCH($A51,'PTO Balance'!$A$5:$A$34,0))),"")</f>
        <v/>
      </c>
      <c r="F51" s="67">
        <f>IFERROR(IF($A51="","",INDEX('PTO Balance'!$H$5:$H$34,MATCH($A51,'PTO Balance'!$A$5:$A$34,0))),"")</f>
        <v/>
      </c>
      <c r="G51" s="33" t="n"/>
      <c r="H51">
        <f>IF($A51="","",IF(COUNTIF('Annual Calendar'!$A$6:$A$35,$A51&amp;"")=0,"⚠ name not in the calendar",""))</f>
        <v/>
      </c>
    </row>
    <row r="52">
      <c r="A52" s="33" t="n"/>
      <c r="B52" s="66" t="n"/>
      <c r="C52" s="66" t="n"/>
      <c r="D52" s="35">
        <f>IF(OR($B52="",$C52=""),"",IF($C52&lt;$B52,"⚠ dates reversed",$C52-$B52+1))</f>
        <v/>
      </c>
      <c r="E52" s="67">
        <f>IFERROR(IF($A52="","",INDEX('PTO Balance'!$F$5:$F$34,MATCH($A52,'PTO Balance'!$A$5:$A$34,0))),"")</f>
        <v/>
      </c>
      <c r="F52" s="67">
        <f>IFERROR(IF($A52="","",INDEX('PTO Balance'!$H$5:$H$34,MATCH($A52,'PTO Balance'!$A$5:$A$34,0))),"")</f>
        <v/>
      </c>
      <c r="G52" s="33" t="n"/>
      <c r="H52">
        <f>IF($A52="","",IF(COUNTIF('Annual Calendar'!$A$6:$A$35,$A52&amp;"")=0,"⚠ name not in the calendar",""))</f>
        <v/>
      </c>
    </row>
    <row r="53">
      <c r="A53" s="33" t="n"/>
      <c r="B53" s="66" t="n"/>
      <c r="C53" s="66" t="n"/>
      <c r="D53" s="35">
        <f>IF(OR($B53="",$C53=""),"",IF($C53&lt;$B53,"⚠ dates reversed",$C53-$B53+1))</f>
        <v/>
      </c>
      <c r="E53" s="67">
        <f>IFERROR(IF($A53="","",INDEX('PTO Balance'!$F$5:$F$34,MATCH($A53,'PTO Balance'!$A$5:$A$34,0))),"")</f>
        <v/>
      </c>
      <c r="F53" s="67">
        <f>IFERROR(IF($A53="","",INDEX('PTO Balance'!$H$5:$H$34,MATCH($A53,'PTO Balance'!$A$5:$A$34,0))),"")</f>
        <v/>
      </c>
      <c r="G53" s="33" t="n"/>
      <c r="H53">
        <f>IF($A53="","",IF(COUNTIF('Annual Calendar'!$A$6:$A$35,$A53&amp;"")=0,"⚠ name not in the calendar",""))</f>
        <v/>
      </c>
    </row>
    <row r="54">
      <c r="A54" s="33" t="n"/>
      <c r="B54" s="66" t="n"/>
      <c r="C54" s="66" t="n"/>
      <c r="D54" s="35">
        <f>IF(OR($B54="",$C54=""),"",IF($C54&lt;$B54,"⚠ dates reversed",$C54-$B54+1))</f>
        <v/>
      </c>
      <c r="E54" s="67">
        <f>IFERROR(IF($A54="","",INDEX('PTO Balance'!$F$5:$F$34,MATCH($A54,'PTO Balance'!$A$5:$A$34,0))),"")</f>
        <v/>
      </c>
      <c r="F54" s="67">
        <f>IFERROR(IF($A54="","",INDEX('PTO Balance'!$H$5:$H$34,MATCH($A54,'PTO Balance'!$A$5:$A$34,0))),"")</f>
        <v/>
      </c>
      <c r="G54" s="33" t="n"/>
      <c r="H54">
        <f>IF($A54="","",IF(COUNTIF('Annual Calendar'!$A$6:$A$35,$A54&amp;"")=0,"⚠ name not in the calendar",""))</f>
        <v/>
      </c>
    </row>
    <row r="55">
      <c r="A55" s="33" t="n"/>
      <c r="B55" s="66" t="n"/>
      <c r="C55" s="66" t="n"/>
      <c r="D55" s="35">
        <f>IF(OR($B55="",$C55=""),"",IF($C55&lt;$B55,"⚠ dates reversed",$C55-$B55+1))</f>
        <v/>
      </c>
      <c r="E55" s="67">
        <f>IFERROR(IF($A55="","",INDEX('PTO Balance'!$F$5:$F$34,MATCH($A55,'PTO Balance'!$A$5:$A$34,0))),"")</f>
        <v/>
      </c>
      <c r="F55" s="67">
        <f>IFERROR(IF($A55="","",INDEX('PTO Balance'!$H$5:$H$34,MATCH($A55,'PTO Balance'!$A$5:$A$34,0))),"")</f>
        <v/>
      </c>
      <c r="G55" s="33" t="n"/>
      <c r="H55">
        <f>IF($A55="","",IF(COUNTIF('Annual Calendar'!$A$6:$A$35,$A55&amp;"")=0,"⚠ name not in the calendar",""))</f>
        <v/>
      </c>
    </row>
    <row r="56">
      <c r="A56" s="33" t="n"/>
      <c r="B56" s="66" t="n"/>
      <c r="C56" s="66" t="n"/>
      <c r="D56" s="35">
        <f>IF(OR($B56="",$C56=""),"",IF($C56&lt;$B56,"⚠ dates reversed",$C56-$B56+1))</f>
        <v/>
      </c>
      <c r="E56" s="67">
        <f>IFERROR(IF($A56="","",INDEX('PTO Balance'!$F$5:$F$34,MATCH($A56,'PTO Balance'!$A$5:$A$34,0))),"")</f>
        <v/>
      </c>
      <c r="F56" s="67">
        <f>IFERROR(IF($A56="","",INDEX('PTO Balance'!$H$5:$H$34,MATCH($A56,'PTO Balance'!$A$5:$A$34,0))),"")</f>
        <v/>
      </c>
      <c r="G56" s="33" t="n"/>
      <c r="H56">
        <f>IF($A56="","",IF(COUNTIF('Annual Calendar'!$A$6:$A$35,$A56&amp;"")=0,"⚠ name not in the calendar",""))</f>
        <v/>
      </c>
    </row>
    <row r="57">
      <c r="A57" s="33" t="n"/>
      <c r="B57" s="66" t="n"/>
      <c r="C57" s="66" t="n"/>
      <c r="D57" s="35">
        <f>IF(OR($B57="",$C57=""),"",IF($C57&lt;$B57,"⚠ dates reversed",$C57-$B57+1))</f>
        <v/>
      </c>
      <c r="E57" s="67">
        <f>IFERROR(IF($A57="","",INDEX('PTO Balance'!$F$5:$F$34,MATCH($A57,'PTO Balance'!$A$5:$A$34,0))),"")</f>
        <v/>
      </c>
      <c r="F57" s="67">
        <f>IFERROR(IF($A57="","",INDEX('PTO Balance'!$H$5:$H$34,MATCH($A57,'PTO Balance'!$A$5:$A$34,0))),"")</f>
        <v/>
      </c>
      <c r="G57" s="33" t="n"/>
      <c r="H57">
        <f>IF($A57="","",IF(COUNTIF('Annual Calendar'!$A$6:$A$35,$A57&amp;"")=0,"⚠ name not in the calendar",""))</f>
        <v/>
      </c>
    </row>
    <row r="58">
      <c r="A58" s="33" t="n"/>
      <c r="B58" s="66" t="n"/>
      <c r="C58" s="66" t="n"/>
      <c r="D58" s="35">
        <f>IF(OR($B58="",$C58=""),"",IF($C58&lt;$B58,"⚠ dates reversed",$C58-$B58+1))</f>
        <v/>
      </c>
      <c r="E58" s="67">
        <f>IFERROR(IF($A58="","",INDEX('PTO Balance'!$F$5:$F$34,MATCH($A58,'PTO Balance'!$A$5:$A$34,0))),"")</f>
        <v/>
      </c>
      <c r="F58" s="67">
        <f>IFERROR(IF($A58="","",INDEX('PTO Balance'!$H$5:$H$34,MATCH($A58,'PTO Balance'!$A$5:$A$34,0))),"")</f>
        <v/>
      </c>
      <c r="G58" s="33" t="n"/>
      <c r="H58">
        <f>IF($A58="","",IF(COUNTIF('Annual Calendar'!$A$6:$A$35,$A58&amp;"")=0,"⚠ name not in the calendar",""))</f>
        <v/>
      </c>
    </row>
    <row r="59">
      <c r="A59" s="33" t="n"/>
      <c r="B59" s="66" t="n"/>
      <c r="C59" s="66" t="n"/>
      <c r="D59" s="35">
        <f>IF(OR($B59="",$C59=""),"",IF($C59&lt;$B59,"⚠ dates reversed",$C59-$B59+1))</f>
        <v/>
      </c>
      <c r="E59" s="67">
        <f>IFERROR(IF($A59="","",INDEX('PTO Balance'!$F$5:$F$34,MATCH($A59,'PTO Balance'!$A$5:$A$34,0))),"")</f>
        <v/>
      </c>
      <c r="F59" s="67">
        <f>IFERROR(IF($A59="","",INDEX('PTO Balance'!$H$5:$H$34,MATCH($A59,'PTO Balance'!$A$5:$A$34,0))),"")</f>
        <v/>
      </c>
      <c r="G59" s="33" t="n"/>
      <c r="H59">
        <f>IF($A59="","",IF(COUNTIF('Annual Calendar'!$A$6:$A$35,$A59&amp;"")=0,"⚠ name not in the calendar",""))</f>
        <v/>
      </c>
    </row>
    <row r="60">
      <c r="A60" s="33" t="n"/>
      <c r="B60" s="66" t="n"/>
      <c r="C60" s="66" t="n"/>
      <c r="D60" s="35">
        <f>IF(OR($B60="",$C60=""),"",IF($C60&lt;$B60,"⚠ dates reversed",$C60-$B60+1))</f>
        <v/>
      </c>
      <c r="E60" s="67">
        <f>IFERROR(IF($A60="","",INDEX('PTO Balance'!$F$5:$F$34,MATCH($A60,'PTO Balance'!$A$5:$A$34,0))),"")</f>
        <v/>
      </c>
      <c r="F60" s="67">
        <f>IFERROR(IF($A60="","",INDEX('PTO Balance'!$H$5:$H$34,MATCH($A60,'PTO Balance'!$A$5:$A$34,0))),"")</f>
        <v/>
      </c>
      <c r="G60" s="33" t="n"/>
      <c r="H60">
        <f>IF($A60="","",IF(COUNTIF('Annual Calendar'!$A$6:$A$35,$A60&amp;"")=0,"⚠ name not in the calendar",""))</f>
        <v/>
      </c>
    </row>
    <row r="61">
      <c r="A61" s="33" t="n"/>
      <c r="B61" s="66" t="n"/>
      <c r="C61" s="66" t="n"/>
      <c r="D61" s="35">
        <f>IF(OR($B61="",$C61=""),"",IF($C61&lt;$B61,"⚠ dates reversed",$C61-$B61+1))</f>
        <v/>
      </c>
      <c r="E61" s="67">
        <f>IFERROR(IF($A61="","",INDEX('PTO Balance'!$F$5:$F$34,MATCH($A61,'PTO Balance'!$A$5:$A$34,0))),"")</f>
        <v/>
      </c>
      <c r="F61" s="67">
        <f>IFERROR(IF($A61="","",INDEX('PTO Balance'!$H$5:$H$34,MATCH($A61,'PTO Balance'!$A$5:$A$34,0))),"")</f>
        <v/>
      </c>
      <c r="G61" s="33" t="n"/>
      <c r="H61">
        <f>IF($A61="","",IF(COUNTIF('Annual Calendar'!$A$6:$A$35,$A61&amp;"")=0,"⚠ name not in the calendar",""))</f>
        <v/>
      </c>
    </row>
    <row r="62">
      <c r="A62" s="33" t="n"/>
      <c r="B62" s="66" t="n"/>
      <c r="C62" s="66" t="n"/>
      <c r="D62" s="35">
        <f>IF(OR($B62="",$C62=""),"",IF($C62&lt;$B62,"⚠ dates reversed",$C62-$B62+1))</f>
        <v/>
      </c>
      <c r="E62" s="67">
        <f>IFERROR(IF($A62="","",INDEX('PTO Balance'!$F$5:$F$34,MATCH($A62,'PTO Balance'!$A$5:$A$34,0))),"")</f>
        <v/>
      </c>
      <c r="F62" s="67">
        <f>IFERROR(IF($A62="","",INDEX('PTO Balance'!$H$5:$H$34,MATCH($A62,'PTO Balance'!$A$5:$A$34,0))),"")</f>
        <v/>
      </c>
      <c r="G62" s="33" t="n"/>
      <c r="H62">
        <f>IF($A62="","",IF(COUNTIF('Annual Calendar'!$A$6:$A$35,$A62&amp;"")=0,"⚠ name not in the calendar",""))</f>
        <v/>
      </c>
    </row>
    <row r="63">
      <c r="A63" s="33" t="n"/>
      <c r="B63" s="66" t="n"/>
      <c r="C63" s="66" t="n"/>
      <c r="D63" s="35">
        <f>IF(OR($B63="",$C63=""),"",IF($C63&lt;$B63,"⚠ dates reversed",$C63-$B63+1))</f>
        <v/>
      </c>
      <c r="E63" s="67">
        <f>IFERROR(IF($A63="","",INDEX('PTO Balance'!$F$5:$F$34,MATCH($A63,'PTO Balance'!$A$5:$A$34,0))),"")</f>
        <v/>
      </c>
      <c r="F63" s="67">
        <f>IFERROR(IF($A63="","",INDEX('PTO Balance'!$H$5:$H$34,MATCH($A63,'PTO Balance'!$A$5:$A$34,0))),"")</f>
        <v/>
      </c>
      <c r="G63" s="33" t="n"/>
      <c r="H63">
        <f>IF($A63="","",IF(COUNTIF('Annual Calendar'!$A$6:$A$35,$A63&amp;"")=0,"⚠ name not in the calendar",""))</f>
        <v/>
      </c>
    </row>
    <row r="64">
      <c r="A64" s="33" t="n"/>
      <c r="B64" s="66" t="n"/>
      <c r="C64" s="66" t="n"/>
      <c r="D64" s="35">
        <f>IF(OR($B64="",$C64=""),"",IF($C64&lt;$B64,"⚠ dates reversed",$C64-$B64+1))</f>
        <v/>
      </c>
      <c r="E64" s="67">
        <f>IFERROR(IF($A64="","",INDEX('PTO Balance'!$F$5:$F$34,MATCH($A64,'PTO Balance'!$A$5:$A$34,0))),"")</f>
        <v/>
      </c>
      <c r="F64" s="67">
        <f>IFERROR(IF($A64="","",INDEX('PTO Balance'!$H$5:$H$34,MATCH($A64,'PTO Balance'!$A$5:$A$34,0))),"")</f>
        <v/>
      </c>
      <c r="G64" s="33" t="n"/>
      <c r="H64">
        <f>IF($A64="","",IF(COUNTIF('Annual Calendar'!$A$6:$A$35,$A64&amp;"")=0,"⚠ name not in the calendar",""))</f>
        <v/>
      </c>
    </row>
    <row r="65">
      <c r="A65" s="33" t="n"/>
      <c r="B65" s="66" t="n"/>
      <c r="C65" s="66" t="n"/>
      <c r="D65" s="35">
        <f>IF(OR($B65="",$C65=""),"",IF($C65&lt;$B65,"⚠ dates reversed",$C65-$B65+1))</f>
        <v/>
      </c>
      <c r="E65" s="67">
        <f>IFERROR(IF($A65="","",INDEX('PTO Balance'!$F$5:$F$34,MATCH($A65,'PTO Balance'!$A$5:$A$34,0))),"")</f>
        <v/>
      </c>
      <c r="F65" s="67">
        <f>IFERROR(IF($A65="","",INDEX('PTO Balance'!$H$5:$H$34,MATCH($A65,'PTO Balance'!$A$5:$A$34,0))),"")</f>
        <v/>
      </c>
      <c r="G65" s="33" t="n"/>
      <c r="H65">
        <f>IF($A65="","",IF(COUNTIF('Annual Calendar'!$A$6:$A$35,$A65&amp;"")=0,"⚠ name not in the calendar",""))</f>
        <v/>
      </c>
    </row>
    <row r="66">
      <c r="A66" s="33" t="n"/>
      <c r="B66" s="66" t="n"/>
      <c r="C66" s="66" t="n"/>
      <c r="D66" s="35">
        <f>IF(OR($B66="",$C66=""),"",IF($C66&lt;$B66,"⚠ dates reversed",$C66-$B66+1))</f>
        <v/>
      </c>
      <c r="E66" s="67">
        <f>IFERROR(IF($A66="","",INDEX('PTO Balance'!$F$5:$F$34,MATCH($A66,'PTO Balance'!$A$5:$A$34,0))),"")</f>
        <v/>
      </c>
      <c r="F66" s="67">
        <f>IFERROR(IF($A66="","",INDEX('PTO Balance'!$H$5:$H$34,MATCH($A66,'PTO Balance'!$A$5:$A$34,0))),"")</f>
        <v/>
      </c>
      <c r="G66" s="33" t="n"/>
      <c r="H66">
        <f>IF($A66="","",IF(COUNTIF('Annual Calendar'!$A$6:$A$35,$A66&amp;"")=0,"⚠ name not in the calendar",""))</f>
        <v/>
      </c>
    </row>
    <row r="67">
      <c r="A67" s="33" t="n"/>
      <c r="B67" s="66" t="n"/>
      <c r="C67" s="66" t="n"/>
      <c r="D67" s="35">
        <f>IF(OR($B67="",$C67=""),"",IF($C67&lt;$B67,"⚠ dates reversed",$C67-$B67+1))</f>
        <v/>
      </c>
      <c r="E67" s="67">
        <f>IFERROR(IF($A67="","",INDEX('PTO Balance'!$F$5:$F$34,MATCH($A67,'PTO Balance'!$A$5:$A$34,0))),"")</f>
        <v/>
      </c>
      <c r="F67" s="67">
        <f>IFERROR(IF($A67="","",INDEX('PTO Balance'!$H$5:$H$34,MATCH($A67,'PTO Balance'!$A$5:$A$34,0))),"")</f>
        <v/>
      </c>
      <c r="G67" s="33" t="n"/>
      <c r="H67">
        <f>IF($A67="","",IF(COUNTIF('Annual Calendar'!$A$6:$A$35,$A67&amp;"")=0,"⚠ name not in the calendar",""))</f>
        <v/>
      </c>
    </row>
    <row r="68">
      <c r="A68" s="33" t="n"/>
      <c r="B68" s="66" t="n"/>
      <c r="C68" s="66" t="n"/>
      <c r="D68" s="35">
        <f>IF(OR($B68="",$C68=""),"",IF($C68&lt;$B68,"⚠ dates reversed",$C68-$B68+1))</f>
        <v/>
      </c>
      <c r="E68" s="67">
        <f>IFERROR(IF($A68="","",INDEX('PTO Balance'!$F$5:$F$34,MATCH($A68,'PTO Balance'!$A$5:$A$34,0))),"")</f>
        <v/>
      </c>
      <c r="F68" s="67">
        <f>IFERROR(IF($A68="","",INDEX('PTO Balance'!$H$5:$H$34,MATCH($A68,'PTO Balance'!$A$5:$A$34,0))),"")</f>
        <v/>
      </c>
      <c r="G68" s="33" t="n"/>
      <c r="H68">
        <f>IF($A68="","",IF(COUNTIF('Annual Calendar'!$A$6:$A$35,$A68&amp;"")=0,"⚠ name not in the calendar",""))</f>
        <v/>
      </c>
    </row>
    <row r="69">
      <c r="A69" s="33" t="n"/>
      <c r="B69" s="66" t="n"/>
      <c r="C69" s="66" t="n"/>
      <c r="D69" s="35">
        <f>IF(OR($B69="",$C69=""),"",IF($C69&lt;$B69,"⚠ dates reversed",$C69-$B69+1))</f>
        <v/>
      </c>
      <c r="E69" s="67">
        <f>IFERROR(IF($A69="","",INDEX('PTO Balance'!$F$5:$F$34,MATCH($A69,'PTO Balance'!$A$5:$A$34,0))),"")</f>
        <v/>
      </c>
      <c r="F69" s="67">
        <f>IFERROR(IF($A69="","",INDEX('PTO Balance'!$H$5:$H$34,MATCH($A69,'PTO Balance'!$A$5:$A$34,0))),"")</f>
        <v/>
      </c>
      <c r="G69" s="33" t="n"/>
      <c r="H69">
        <f>IF($A69="","",IF(COUNTIF('Annual Calendar'!$A$6:$A$35,$A69&amp;"")=0,"⚠ name not in the calendar",""))</f>
        <v/>
      </c>
    </row>
    <row r="70">
      <c r="A70" s="33" t="n"/>
      <c r="B70" s="66" t="n"/>
      <c r="C70" s="66" t="n"/>
      <c r="D70" s="35">
        <f>IF(OR($B70="",$C70=""),"",IF($C70&lt;$B70,"⚠ dates reversed",$C70-$B70+1))</f>
        <v/>
      </c>
      <c r="E70" s="67">
        <f>IFERROR(IF($A70="","",INDEX('PTO Balance'!$F$5:$F$34,MATCH($A70,'PTO Balance'!$A$5:$A$34,0))),"")</f>
        <v/>
      </c>
      <c r="F70" s="67">
        <f>IFERROR(IF($A70="","",INDEX('PTO Balance'!$H$5:$H$34,MATCH($A70,'PTO Balance'!$A$5:$A$34,0))),"")</f>
        <v/>
      </c>
      <c r="G70" s="33" t="n"/>
      <c r="H70">
        <f>IF($A70="","",IF(COUNTIF('Annual Calendar'!$A$6:$A$35,$A70&amp;"")=0,"⚠ name not in the calendar",""))</f>
        <v/>
      </c>
    </row>
    <row r="71">
      <c r="A71" s="33" t="n"/>
      <c r="B71" s="66" t="n"/>
      <c r="C71" s="66" t="n"/>
      <c r="D71" s="35">
        <f>IF(OR($B71="",$C71=""),"",IF($C71&lt;$B71,"⚠ dates reversed",$C71-$B71+1))</f>
        <v/>
      </c>
      <c r="E71" s="67">
        <f>IFERROR(IF($A71="","",INDEX('PTO Balance'!$F$5:$F$34,MATCH($A71,'PTO Balance'!$A$5:$A$34,0))),"")</f>
        <v/>
      </c>
      <c r="F71" s="67">
        <f>IFERROR(IF($A71="","",INDEX('PTO Balance'!$H$5:$H$34,MATCH($A71,'PTO Balance'!$A$5:$A$34,0))),"")</f>
        <v/>
      </c>
      <c r="G71" s="33" t="n"/>
      <c r="H71">
        <f>IF($A71="","",IF(COUNTIF('Annual Calendar'!$A$6:$A$35,$A71&amp;"")=0,"⚠ name not in the calendar",""))</f>
        <v/>
      </c>
    </row>
    <row r="72">
      <c r="A72" s="33" t="n"/>
      <c r="B72" s="66" t="n"/>
      <c r="C72" s="66" t="n"/>
      <c r="D72" s="35">
        <f>IF(OR($B72="",$C72=""),"",IF($C72&lt;$B72,"⚠ dates reversed",$C72-$B72+1))</f>
        <v/>
      </c>
      <c r="E72" s="67">
        <f>IFERROR(IF($A72="","",INDEX('PTO Balance'!$F$5:$F$34,MATCH($A72,'PTO Balance'!$A$5:$A$34,0))),"")</f>
        <v/>
      </c>
      <c r="F72" s="67">
        <f>IFERROR(IF($A72="","",INDEX('PTO Balance'!$H$5:$H$34,MATCH($A72,'PTO Balance'!$A$5:$A$34,0))),"")</f>
        <v/>
      </c>
      <c r="G72" s="33" t="n"/>
      <c r="H72">
        <f>IF($A72="","",IF(COUNTIF('Annual Calendar'!$A$6:$A$35,$A72&amp;"")=0,"⚠ name not in the calendar",""))</f>
        <v/>
      </c>
    </row>
    <row r="73">
      <c r="A73" s="33" t="n"/>
      <c r="B73" s="66" t="n"/>
      <c r="C73" s="66" t="n"/>
      <c r="D73" s="35">
        <f>IF(OR($B73="",$C73=""),"",IF($C73&lt;$B73,"⚠ dates reversed",$C73-$B73+1))</f>
        <v/>
      </c>
      <c r="E73" s="67">
        <f>IFERROR(IF($A73="","",INDEX('PTO Balance'!$F$5:$F$34,MATCH($A73,'PTO Balance'!$A$5:$A$34,0))),"")</f>
        <v/>
      </c>
      <c r="F73" s="67">
        <f>IFERROR(IF($A73="","",INDEX('PTO Balance'!$H$5:$H$34,MATCH($A73,'PTO Balance'!$A$5:$A$34,0))),"")</f>
        <v/>
      </c>
      <c r="G73" s="33" t="n"/>
      <c r="H73">
        <f>IF($A73="","",IF(COUNTIF('Annual Calendar'!$A$6:$A$35,$A73&amp;"")=0,"⚠ name not in the calendar",""))</f>
        <v/>
      </c>
    </row>
    <row r="74">
      <c r="A74" s="33" t="n"/>
      <c r="B74" s="66" t="n"/>
      <c r="C74" s="66" t="n"/>
      <c r="D74" s="35">
        <f>IF(OR($B74="",$C74=""),"",IF($C74&lt;$B74,"⚠ dates reversed",$C74-$B74+1))</f>
        <v/>
      </c>
      <c r="E74" s="67">
        <f>IFERROR(IF($A74="","",INDEX('PTO Balance'!$F$5:$F$34,MATCH($A74,'PTO Balance'!$A$5:$A$34,0))),"")</f>
        <v/>
      </c>
      <c r="F74" s="67">
        <f>IFERROR(IF($A74="","",INDEX('PTO Balance'!$H$5:$H$34,MATCH($A74,'PTO Balance'!$A$5:$A$34,0))),"")</f>
        <v/>
      </c>
      <c r="G74" s="33" t="n"/>
      <c r="H74">
        <f>IF($A74="","",IF(COUNTIF('Annual Calendar'!$A$6:$A$35,$A74&amp;"")=0,"⚠ name not in the calendar",""))</f>
        <v/>
      </c>
    </row>
    <row r="75">
      <c r="A75" s="33" t="n"/>
      <c r="B75" s="66" t="n"/>
      <c r="C75" s="66" t="n"/>
      <c r="D75" s="35">
        <f>IF(OR($B75="",$C75=""),"",IF($C75&lt;$B75,"⚠ dates reversed",$C75-$B75+1))</f>
        <v/>
      </c>
      <c r="E75" s="67">
        <f>IFERROR(IF($A75="","",INDEX('PTO Balance'!$F$5:$F$34,MATCH($A75,'PTO Balance'!$A$5:$A$34,0))),"")</f>
        <v/>
      </c>
      <c r="F75" s="67">
        <f>IFERROR(IF($A75="","",INDEX('PTO Balance'!$H$5:$H$34,MATCH($A75,'PTO Balance'!$A$5:$A$34,0))),"")</f>
        <v/>
      </c>
      <c r="G75" s="33" t="n"/>
      <c r="H75">
        <f>IF($A75="","",IF(COUNTIF('Annual Calendar'!$A$6:$A$35,$A75&amp;"")=0,"⚠ name not in the calendar",""))</f>
        <v/>
      </c>
    </row>
    <row r="76">
      <c r="A76" s="33" t="n"/>
      <c r="B76" s="66" t="n"/>
      <c r="C76" s="66" t="n"/>
      <c r="D76" s="35">
        <f>IF(OR($B76="",$C76=""),"",IF($C76&lt;$B76,"⚠ dates reversed",$C76-$B76+1))</f>
        <v/>
      </c>
      <c r="E76" s="67">
        <f>IFERROR(IF($A76="","",INDEX('PTO Balance'!$F$5:$F$34,MATCH($A76,'PTO Balance'!$A$5:$A$34,0))),"")</f>
        <v/>
      </c>
      <c r="F76" s="67">
        <f>IFERROR(IF($A76="","",INDEX('PTO Balance'!$H$5:$H$34,MATCH($A76,'PTO Balance'!$A$5:$A$34,0))),"")</f>
        <v/>
      </c>
      <c r="G76" s="33" t="n"/>
      <c r="H76">
        <f>IF($A76="","",IF(COUNTIF('Annual Calendar'!$A$6:$A$35,$A76&amp;"")=0,"⚠ name not in the calendar",""))</f>
        <v/>
      </c>
    </row>
    <row r="77">
      <c r="A77" s="33" t="n"/>
      <c r="B77" s="66" t="n"/>
      <c r="C77" s="66" t="n"/>
      <c r="D77" s="35">
        <f>IF(OR($B77="",$C77=""),"",IF($C77&lt;$B77,"⚠ dates reversed",$C77-$B77+1))</f>
        <v/>
      </c>
      <c r="E77" s="67">
        <f>IFERROR(IF($A77="","",INDEX('PTO Balance'!$F$5:$F$34,MATCH($A77,'PTO Balance'!$A$5:$A$34,0))),"")</f>
        <v/>
      </c>
      <c r="F77" s="67">
        <f>IFERROR(IF($A77="","",INDEX('PTO Balance'!$H$5:$H$34,MATCH($A77,'PTO Balance'!$A$5:$A$34,0))),"")</f>
        <v/>
      </c>
      <c r="G77" s="33" t="n"/>
      <c r="H77">
        <f>IF($A77="","",IF(COUNTIF('Annual Calendar'!$A$6:$A$35,$A77&amp;"")=0,"⚠ name not in the calendar",""))</f>
        <v/>
      </c>
    </row>
    <row r="78">
      <c r="A78" s="33" t="n"/>
      <c r="B78" s="66" t="n"/>
      <c r="C78" s="66" t="n"/>
      <c r="D78" s="35">
        <f>IF(OR($B78="",$C78=""),"",IF($C78&lt;$B78,"⚠ dates reversed",$C78-$B78+1))</f>
        <v/>
      </c>
      <c r="E78" s="67">
        <f>IFERROR(IF($A78="","",INDEX('PTO Balance'!$F$5:$F$34,MATCH($A78,'PTO Balance'!$A$5:$A$34,0))),"")</f>
        <v/>
      </c>
      <c r="F78" s="67">
        <f>IFERROR(IF($A78="","",INDEX('PTO Balance'!$H$5:$H$34,MATCH($A78,'PTO Balance'!$A$5:$A$34,0))),"")</f>
        <v/>
      </c>
      <c r="G78" s="33" t="n"/>
      <c r="H78">
        <f>IF($A78="","",IF(COUNTIF('Annual Calendar'!$A$6:$A$35,$A78&amp;"")=0,"⚠ name not in the calendar",""))</f>
        <v/>
      </c>
    </row>
    <row r="79">
      <c r="A79" s="33" t="n"/>
      <c r="B79" s="66" t="n"/>
      <c r="C79" s="66" t="n"/>
      <c r="D79" s="35">
        <f>IF(OR($B79="",$C79=""),"",IF($C79&lt;$B79,"⚠ dates reversed",$C79-$B79+1))</f>
        <v/>
      </c>
      <c r="E79" s="67">
        <f>IFERROR(IF($A79="","",INDEX('PTO Balance'!$F$5:$F$34,MATCH($A79,'PTO Balance'!$A$5:$A$34,0))),"")</f>
        <v/>
      </c>
      <c r="F79" s="67">
        <f>IFERROR(IF($A79="","",INDEX('PTO Balance'!$H$5:$H$34,MATCH($A79,'PTO Balance'!$A$5:$A$34,0))),"")</f>
        <v/>
      </c>
      <c r="G79" s="33" t="n"/>
      <c r="H79">
        <f>IF($A79="","",IF(COUNTIF('Annual Calendar'!$A$6:$A$35,$A79&amp;"")=0,"⚠ name not in the calendar",""))</f>
        <v/>
      </c>
    </row>
    <row r="80">
      <c r="A80" s="33" t="n"/>
      <c r="B80" s="66" t="n"/>
      <c r="C80" s="66" t="n"/>
      <c r="D80" s="35">
        <f>IF(OR($B80="",$C80=""),"",IF($C80&lt;$B80,"⚠ dates reversed",$C80-$B80+1))</f>
        <v/>
      </c>
      <c r="E80" s="67">
        <f>IFERROR(IF($A80="","",INDEX('PTO Balance'!$F$5:$F$34,MATCH($A80,'PTO Balance'!$A$5:$A$34,0))),"")</f>
        <v/>
      </c>
      <c r="F80" s="67">
        <f>IFERROR(IF($A80="","",INDEX('PTO Balance'!$H$5:$H$34,MATCH($A80,'PTO Balance'!$A$5:$A$34,0))),"")</f>
        <v/>
      </c>
      <c r="G80" s="33" t="n"/>
      <c r="H80">
        <f>IF($A80="","",IF(COUNTIF('Annual Calendar'!$A$6:$A$35,$A80&amp;"")=0,"⚠ name not in the calendar",""))</f>
        <v/>
      </c>
    </row>
    <row r="81">
      <c r="A81" s="33" t="n"/>
      <c r="B81" s="66" t="n"/>
      <c r="C81" s="66" t="n"/>
      <c r="D81" s="35">
        <f>IF(OR($B81="",$C81=""),"",IF($C81&lt;$B81,"⚠ dates reversed",$C81-$B81+1))</f>
        <v/>
      </c>
      <c r="E81" s="67">
        <f>IFERROR(IF($A81="","",INDEX('PTO Balance'!$F$5:$F$34,MATCH($A81,'PTO Balance'!$A$5:$A$34,0))),"")</f>
        <v/>
      </c>
      <c r="F81" s="67">
        <f>IFERROR(IF($A81="","",INDEX('PTO Balance'!$H$5:$H$34,MATCH($A81,'PTO Balance'!$A$5:$A$34,0))),"")</f>
        <v/>
      </c>
      <c r="G81" s="33" t="n"/>
      <c r="H81">
        <f>IF($A81="","",IF(COUNTIF('Annual Calendar'!$A$6:$A$35,$A81&amp;"")=0,"⚠ name not in the calendar",""))</f>
        <v/>
      </c>
    </row>
    <row r="82">
      <c r="A82" s="33" t="n"/>
      <c r="B82" s="66" t="n"/>
      <c r="C82" s="66" t="n"/>
      <c r="D82" s="35">
        <f>IF(OR($B82="",$C82=""),"",IF($C82&lt;$B82,"⚠ dates reversed",$C82-$B82+1))</f>
        <v/>
      </c>
      <c r="E82" s="67">
        <f>IFERROR(IF($A82="","",INDEX('PTO Balance'!$F$5:$F$34,MATCH($A82,'PTO Balance'!$A$5:$A$34,0))),"")</f>
        <v/>
      </c>
      <c r="F82" s="67">
        <f>IFERROR(IF($A82="","",INDEX('PTO Balance'!$H$5:$H$34,MATCH($A82,'PTO Balance'!$A$5:$A$34,0))),"")</f>
        <v/>
      </c>
      <c r="G82" s="33" t="n"/>
      <c r="H82">
        <f>IF($A82="","",IF(COUNTIF('Annual Calendar'!$A$6:$A$35,$A82&amp;"")=0,"⚠ name not in the calendar",""))</f>
        <v/>
      </c>
    </row>
    <row r="83">
      <c r="A83" s="33" t="n"/>
      <c r="B83" s="66" t="n"/>
      <c r="C83" s="66" t="n"/>
      <c r="D83" s="35">
        <f>IF(OR($B83="",$C83=""),"",IF($C83&lt;$B83,"⚠ dates reversed",$C83-$B83+1))</f>
        <v/>
      </c>
      <c r="E83" s="67">
        <f>IFERROR(IF($A83="","",INDEX('PTO Balance'!$F$5:$F$34,MATCH($A83,'PTO Balance'!$A$5:$A$34,0))),"")</f>
        <v/>
      </c>
      <c r="F83" s="67">
        <f>IFERROR(IF($A83="","",INDEX('PTO Balance'!$H$5:$H$34,MATCH($A83,'PTO Balance'!$A$5:$A$34,0))),"")</f>
        <v/>
      </c>
      <c r="G83" s="33" t="n"/>
      <c r="H83">
        <f>IF($A83="","",IF(COUNTIF('Annual Calendar'!$A$6:$A$35,$A83&amp;"")=0,"⚠ name not in the calendar",""))</f>
        <v/>
      </c>
    </row>
    <row r="84">
      <c r="A84" s="33" t="n"/>
      <c r="B84" s="66" t="n"/>
      <c r="C84" s="66" t="n"/>
      <c r="D84" s="35">
        <f>IF(OR($B84="",$C84=""),"",IF($C84&lt;$B84,"⚠ dates reversed",$C84-$B84+1))</f>
        <v/>
      </c>
      <c r="E84" s="67">
        <f>IFERROR(IF($A84="","",INDEX('PTO Balance'!$F$5:$F$34,MATCH($A84,'PTO Balance'!$A$5:$A$34,0))),"")</f>
        <v/>
      </c>
      <c r="F84" s="67">
        <f>IFERROR(IF($A84="","",INDEX('PTO Balance'!$H$5:$H$34,MATCH($A84,'PTO Balance'!$A$5:$A$34,0))),"")</f>
        <v/>
      </c>
      <c r="G84" s="33" t="n"/>
      <c r="H84">
        <f>IF($A84="","",IF(COUNTIF('Annual Calendar'!$A$6:$A$35,$A84&amp;"")=0,"⚠ name not in the calendar",""))</f>
        <v/>
      </c>
    </row>
    <row r="85">
      <c r="A85" s="33" t="n"/>
      <c r="B85" s="66" t="n"/>
      <c r="C85" s="66" t="n"/>
      <c r="D85" s="35">
        <f>IF(OR($B85="",$C85=""),"",IF($C85&lt;$B85,"⚠ dates reversed",$C85-$B85+1))</f>
        <v/>
      </c>
      <c r="E85" s="67">
        <f>IFERROR(IF($A85="","",INDEX('PTO Balance'!$F$5:$F$34,MATCH($A85,'PTO Balance'!$A$5:$A$34,0))),"")</f>
        <v/>
      </c>
      <c r="F85" s="67">
        <f>IFERROR(IF($A85="","",INDEX('PTO Balance'!$H$5:$H$34,MATCH($A85,'PTO Balance'!$A$5:$A$34,0))),"")</f>
        <v/>
      </c>
      <c r="G85" s="33" t="n"/>
      <c r="H85">
        <f>IF($A85="","",IF(COUNTIF('Annual Calendar'!$A$6:$A$35,$A85&amp;"")=0,"⚠ name not in the calendar",""))</f>
        <v/>
      </c>
    </row>
    <row r="86">
      <c r="A86" s="33" t="n"/>
      <c r="B86" s="66" t="n"/>
      <c r="C86" s="66" t="n"/>
      <c r="D86" s="35">
        <f>IF(OR($B86="",$C86=""),"",IF($C86&lt;$B86,"⚠ dates reversed",$C86-$B86+1))</f>
        <v/>
      </c>
      <c r="E86" s="67">
        <f>IFERROR(IF($A86="","",INDEX('PTO Balance'!$F$5:$F$34,MATCH($A86,'PTO Balance'!$A$5:$A$34,0))),"")</f>
        <v/>
      </c>
      <c r="F86" s="67">
        <f>IFERROR(IF($A86="","",INDEX('PTO Balance'!$H$5:$H$34,MATCH($A86,'PTO Balance'!$A$5:$A$34,0))),"")</f>
        <v/>
      </c>
      <c r="G86" s="33" t="n"/>
      <c r="H86">
        <f>IF($A86="","",IF(COUNTIF('Annual Calendar'!$A$6:$A$35,$A86&amp;"")=0,"⚠ name not in the calendar",""))</f>
        <v/>
      </c>
    </row>
    <row r="87">
      <c r="A87" s="33" t="n"/>
      <c r="B87" s="66" t="n"/>
      <c r="C87" s="66" t="n"/>
      <c r="D87" s="35">
        <f>IF(OR($B87="",$C87=""),"",IF($C87&lt;$B87,"⚠ dates reversed",$C87-$B87+1))</f>
        <v/>
      </c>
      <c r="E87" s="67">
        <f>IFERROR(IF($A87="","",INDEX('PTO Balance'!$F$5:$F$34,MATCH($A87,'PTO Balance'!$A$5:$A$34,0))),"")</f>
        <v/>
      </c>
      <c r="F87" s="67">
        <f>IFERROR(IF($A87="","",INDEX('PTO Balance'!$H$5:$H$34,MATCH($A87,'PTO Balance'!$A$5:$A$34,0))),"")</f>
        <v/>
      </c>
      <c r="G87" s="33" t="n"/>
      <c r="H87">
        <f>IF($A87="","",IF(COUNTIF('Annual Calendar'!$A$6:$A$35,$A87&amp;"")=0,"⚠ name not in the calendar",""))</f>
        <v/>
      </c>
    </row>
    <row r="88">
      <c r="A88" s="33" t="n"/>
      <c r="B88" s="66" t="n"/>
      <c r="C88" s="66" t="n"/>
      <c r="D88" s="35">
        <f>IF(OR($B88="",$C88=""),"",IF($C88&lt;$B88,"⚠ dates reversed",$C88-$B88+1))</f>
        <v/>
      </c>
      <c r="E88" s="67">
        <f>IFERROR(IF($A88="","",INDEX('PTO Balance'!$F$5:$F$34,MATCH($A88,'PTO Balance'!$A$5:$A$34,0))),"")</f>
        <v/>
      </c>
      <c r="F88" s="67">
        <f>IFERROR(IF($A88="","",INDEX('PTO Balance'!$H$5:$H$34,MATCH($A88,'PTO Balance'!$A$5:$A$34,0))),"")</f>
        <v/>
      </c>
      <c r="G88" s="33" t="n"/>
      <c r="H88">
        <f>IF($A88="","",IF(COUNTIF('Annual Calendar'!$A$6:$A$35,$A88&amp;"")=0,"⚠ name not in the calendar",""))</f>
        <v/>
      </c>
    </row>
    <row r="89">
      <c r="A89" s="33" t="n"/>
      <c r="B89" s="66" t="n"/>
      <c r="C89" s="66" t="n"/>
      <c r="D89" s="35">
        <f>IF(OR($B89="",$C89=""),"",IF($C89&lt;$B89,"⚠ dates reversed",$C89-$B89+1))</f>
        <v/>
      </c>
      <c r="E89" s="67">
        <f>IFERROR(IF($A89="","",INDEX('PTO Balance'!$F$5:$F$34,MATCH($A89,'PTO Balance'!$A$5:$A$34,0))),"")</f>
        <v/>
      </c>
      <c r="F89" s="67">
        <f>IFERROR(IF($A89="","",INDEX('PTO Balance'!$H$5:$H$34,MATCH($A89,'PTO Balance'!$A$5:$A$34,0))),"")</f>
        <v/>
      </c>
      <c r="G89" s="33" t="n"/>
      <c r="H89">
        <f>IF($A89="","",IF(COUNTIF('Annual Calendar'!$A$6:$A$35,$A89&amp;"")=0,"⚠ name not in the calendar",""))</f>
        <v/>
      </c>
    </row>
    <row r="90">
      <c r="A90" s="33" t="n"/>
      <c r="B90" s="66" t="n"/>
      <c r="C90" s="66" t="n"/>
      <c r="D90" s="35">
        <f>IF(OR($B90="",$C90=""),"",IF($C90&lt;$B90,"⚠ dates reversed",$C90-$B90+1))</f>
        <v/>
      </c>
      <c r="E90" s="67">
        <f>IFERROR(IF($A90="","",INDEX('PTO Balance'!$F$5:$F$34,MATCH($A90,'PTO Balance'!$A$5:$A$34,0))),"")</f>
        <v/>
      </c>
      <c r="F90" s="67">
        <f>IFERROR(IF($A90="","",INDEX('PTO Balance'!$H$5:$H$34,MATCH($A90,'PTO Balance'!$A$5:$A$34,0))),"")</f>
        <v/>
      </c>
      <c r="G90" s="33" t="n"/>
      <c r="H90">
        <f>IF($A90="","",IF(COUNTIF('Annual Calendar'!$A$6:$A$35,$A90&amp;"")=0,"⚠ name not in the calendar",""))</f>
        <v/>
      </c>
    </row>
    <row r="91">
      <c r="A91" s="33" t="n"/>
      <c r="B91" s="66" t="n"/>
      <c r="C91" s="66" t="n"/>
      <c r="D91" s="35">
        <f>IF(OR($B91="",$C91=""),"",IF($C91&lt;$B91,"⚠ dates reversed",$C91-$B91+1))</f>
        <v/>
      </c>
      <c r="E91" s="67">
        <f>IFERROR(IF($A91="","",INDEX('PTO Balance'!$F$5:$F$34,MATCH($A91,'PTO Balance'!$A$5:$A$34,0))),"")</f>
        <v/>
      </c>
      <c r="F91" s="67">
        <f>IFERROR(IF($A91="","",INDEX('PTO Balance'!$H$5:$H$34,MATCH($A91,'PTO Balance'!$A$5:$A$34,0))),"")</f>
        <v/>
      </c>
      <c r="G91" s="33" t="n"/>
      <c r="H91">
        <f>IF($A91="","",IF(COUNTIF('Annual Calendar'!$A$6:$A$35,$A91&amp;"")=0,"⚠ name not in the calendar",""))</f>
        <v/>
      </c>
    </row>
    <row r="92">
      <c r="A92" s="33" t="n"/>
      <c r="B92" s="66" t="n"/>
      <c r="C92" s="66" t="n"/>
      <c r="D92" s="35">
        <f>IF(OR($B92="",$C92=""),"",IF($C92&lt;$B92,"⚠ dates reversed",$C92-$B92+1))</f>
        <v/>
      </c>
      <c r="E92" s="67">
        <f>IFERROR(IF($A92="","",INDEX('PTO Balance'!$F$5:$F$34,MATCH($A92,'PTO Balance'!$A$5:$A$34,0))),"")</f>
        <v/>
      </c>
      <c r="F92" s="67">
        <f>IFERROR(IF($A92="","",INDEX('PTO Balance'!$H$5:$H$34,MATCH($A92,'PTO Balance'!$A$5:$A$34,0))),"")</f>
        <v/>
      </c>
      <c r="G92" s="33" t="n"/>
      <c r="H92">
        <f>IF($A92="","",IF(COUNTIF('Annual Calendar'!$A$6:$A$35,$A92&amp;"")=0,"⚠ name not in the calendar",""))</f>
        <v/>
      </c>
    </row>
    <row r="93">
      <c r="A93" s="33" t="n"/>
      <c r="B93" s="66" t="n"/>
      <c r="C93" s="66" t="n"/>
      <c r="D93" s="35">
        <f>IF(OR($B93="",$C93=""),"",IF($C93&lt;$B93,"⚠ dates reversed",$C93-$B93+1))</f>
        <v/>
      </c>
      <c r="E93" s="67">
        <f>IFERROR(IF($A93="","",INDEX('PTO Balance'!$F$5:$F$34,MATCH($A93,'PTO Balance'!$A$5:$A$34,0))),"")</f>
        <v/>
      </c>
      <c r="F93" s="67">
        <f>IFERROR(IF($A93="","",INDEX('PTO Balance'!$H$5:$H$34,MATCH($A93,'PTO Balance'!$A$5:$A$34,0))),"")</f>
        <v/>
      </c>
      <c r="G93" s="33" t="n"/>
      <c r="H93">
        <f>IF($A93="","",IF(COUNTIF('Annual Calendar'!$A$6:$A$35,$A93&amp;"")=0,"⚠ name not in the calendar",""))</f>
        <v/>
      </c>
    </row>
    <row r="94">
      <c r="A94" s="33" t="n"/>
      <c r="B94" s="66" t="n"/>
      <c r="C94" s="66" t="n"/>
      <c r="D94" s="35">
        <f>IF(OR($B94="",$C94=""),"",IF($C94&lt;$B94,"⚠ dates reversed",$C94-$B94+1))</f>
        <v/>
      </c>
      <c r="E94" s="67">
        <f>IFERROR(IF($A94="","",INDEX('PTO Balance'!$F$5:$F$34,MATCH($A94,'PTO Balance'!$A$5:$A$34,0))),"")</f>
        <v/>
      </c>
      <c r="F94" s="67">
        <f>IFERROR(IF($A94="","",INDEX('PTO Balance'!$H$5:$H$34,MATCH($A94,'PTO Balance'!$A$5:$A$34,0))),"")</f>
        <v/>
      </c>
      <c r="G94" s="33" t="n"/>
      <c r="H94">
        <f>IF($A94="","",IF(COUNTIF('Annual Calendar'!$A$6:$A$35,$A94&amp;"")=0,"⚠ name not in the calendar",""))</f>
        <v/>
      </c>
    </row>
    <row r="95">
      <c r="A95" s="33" t="n"/>
      <c r="B95" s="66" t="n"/>
      <c r="C95" s="66" t="n"/>
      <c r="D95" s="35">
        <f>IF(OR($B95="",$C95=""),"",IF($C95&lt;$B95,"⚠ dates reversed",$C95-$B95+1))</f>
        <v/>
      </c>
      <c r="E95" s="67">
        <f>IFERROR(IF($A95="","",INDEX('PTO Balance'!$F$5:$F$34,MATCH($A95,'PTO Balance'!$A$5:$A$34,0))),"")</f>
        <v/>
      </c>
      <c r="F95" s="67">
        <f>IFERROR(IF($A95="","",INDEX('PTO Balance'!$H$5:$H$34,MATCH($A95,'PTO Balance'!$A$5:$A$34,0))),"")</f>
        <v/>
      </c>
      <c r="G95" s="33" t="n"/>
      <c r="H95">
        <f>IF($A95="","",IF(COUNTIF('Annual Calendar'!$A$6:$A$35,$A95&amp;"")=0,"⚠ name not in the calendar",""))</f>
        <v/>
      </c>
    </row>
    <row r="96">
      <c r="A96" s="33" t="n"/>
      <c r="B96" s="66" t="n"/>
      <c r="C96" s="66" t="n"/>
      <c r="D96" s="35">
        <f>IF(OR($B96="",$C96=""),"",IF($C96&lt;$B96,"⚠ dates reversed",$C96-$B96+1))</f>
        <v/>
      </c>
      <c r="E96" s="67">
        <f>IFERROR(IF($A96="","",INDEX('PTO Balance'!$F$5:$F$34,MATCH($A96,'PTO Balance'!$A$5:$A$34,0))),"")</f>
        <v/>
      </c>
      <c r="F96" s="67">
        <f>IFERROR(IF($A96="","",INDEX('PTO Balance'!$H$5:$H$34,MATCH($A96,'PTO Balance'!$A$5:$A$34,0))),"")</f>
        <v/>
      </c>
      <c r="G96" s="33" t="n"/>
      <c r="H96">
        <f>IF($A96="","",IF(COUNTIF('Annual Calendar'!$A$6:$A$35,$A96&amp;"")=0,"⚠ name not in the calendar",""))</f>
        <v/>
      </c>
    </row>
    <row r="97">
      <c r="A97" s="33" t="n"/>
      <c r="B97" s="66" t="n"/>
      <c r="C97" s="66" t="n"/>
      <c r="D97" s="35">
        <f>IF(OR($B97="",$C97=""),"",IF($C97&lt;$B97,"⚠ dates reversed",$C97-$B97+1))</f>
        <v/>
      </c>
      <c r="E97" s="67">
        <f>IFERROR(IF($A97="","",INDEX('PTO Balance'!$F$5:$F$34,MATCH($A97,'PTO Balance'!$A$5:$A$34,0))),"")</f>
        <v/>
      </c>
      <c r="F97" s="67">
        <f>IFERROR(IF($A97="","",INDEX('PTO Balance'!$H$5:$H$34,MATCH($A97,'PTO Balance'!$A$5:$A$34,0))),"")</f>
        <v/>
      </c>
      <c r="G97" s="33" t="n"/>
      <c r="H97">
        <f>IF($A97="","",IF(COUNTIF('Annual Calendar'!$A$6:$A$35,$A97&amp;"")=0,"⚠ name not in the calendar",""))</f>
        <v/>
      </c>
    </row>
    <row r="98">
      <c r="A98" s="33" t="n"/>
      <c r="B98" s="66" t="n"/>
      <c r="C98" s="66" t="n"/>
      <c r="D98" s="35">
        <f>IF(OR($B98="",$C98=""),"",IF($C98&lt;$B98,"⚠ dates reversed",$C98-$B98+1))</f>
        <v/>
      </c>
      <c r="E98" s="67">
        <f>IFERROR(IF($A98="","",INDEX('PTO Balance'!$F$5:$F$34,MATCH($A98,'PTO Balance'!$A$5:$A$34,0))),"")</f>
        <v/>
      </c>
      <c r="F98" s="67">
        <f>IFERROR(IF($A98="","",INDEX('PTO Balance'!$H$5:$H$34,MATCH($A98,'PTO Balance'!$A$5:$A$34,0))),"")</f>
        <v/>
      </c>
      <c r="G98" s="33" t="n"/>
      <c r="H98">
        <f>IF($A98="","",IF(COUNTIF('Annual Calendar'!$A$6:$A$35,$A98&amp;"")=0,"⚠ name not in the calendar",""))</f>
        <v/>
      </c>
    </row>
    <row r="99">
      <c r="A99" s="33" t="n"/>
      <c r="B99" s="66" t="n"/>
      <c r="C99" s="66" t="n"/>
      <c r="D99" s="35">
        <f>IF(OR($B99="",$C99=""),"",IF($C99&lt;$B99,"⚠ dates reversed",$C99-$B99+1))</f>
        <v/>
      </c>
      <c r="E99" s="67">
        <f>IFERROR(IF($A99="","",INDEX('PTO Balance'!$F$5:$F$34,MATCH($A99,'PTO Balance'!$A$5:$A$34,0))),"")</f>
        <v/>
      </c>
      <c r="F99" s="67">
        <f>IFERROR(IF($A99="","",INDEX('PTO Balance'!$H$5:$H$34,MATCH($A99,'PTO Balance'!$A$5:$A$34,0))),"")</f>
        <v/>
      </c>
      <c r="G99" s="33" t="n"/>
      <c r="H99">
        <f>IF($A99="","",IF(COUNTIF('Annual Calendar'!$A$6:$A$35,$A99&amp;"")=0,"⚠ name not in the calendar",""))</f>
        <v/>
      </c>
    </row>
    <row r="100">
      <c r="A100" s="33" t="n"/>
      <c r="B100" s="66" t="n"/>
      <c r="C100" s="66" t="n"/>
      <c r="D100" s="35">
        <f>IF(OR($B100="",$C100=""),"",IF($C100&lt;$B100,"⚠ dates reversed",$C100-$B100+1))</f>
        <v/>
      </c>
      <c r="E100" s="67">
        <f>IFERROR(IF($A100="","",INDEX('PTO Balance'!$F$5:$F$34,MATCH($A100,'PTO Balance'!$A$5:$A$34,0))),"")</f>
        <v/>
      </c>
      <c r="F100" s="67">
        <f>IFERROR(IF($A100="","",INDEX('PTO Balance'!$H$5:$H$34,MATCH($A100,'PTO Balance'!$A$5:$A$34,0))),"")</f>
        <v/>
      </c>
      <c r="G100" s="33" t="n"/>
      <c r="H100">
        <f>IF($A100="","",IF(COUNTIF('Annual Calendar'!$A$6:$A$35,$A100&amp;"")=0,"⚠ name not in the calendar",""))</f>
        <v/>
      </c>
    </row>
    <row r="101">
      <c r="A101" s="33" t="n"/>
      <c r="B101" s="66" t="n"/>
      <c r="C101" s="66" t="n"/>
      <c r="D101" s="35">
        <f>IF(OR($B101="",$C101=""),"",IF($C101&lt;$B101,"⚠ dates reversed",$C101-$B101+1))</f>
        <v/>
      </c>
      <c r="E101" s="67">
        <f>IFERROR(IF($A101="","",INDEX('PTO Balance'!$F$5:$F$34,MATCH($A101,'PTO Balance'!$A$5:$A$34,0))),"")</f>
        <v/>
      </c>
      <c r="F101" s="67">
        <f>IFERROR(IF($A101="","",INDEX('PTO Balance'!$H$5:$H$34,MATCH($A101,'PTO Balance'!$A$5:$A$34,0))),"")</f>
        <v/>
      </c>
      <c r="G101" s="33" t="n"/>
      <c r="H101">
        <f>IF($A101="","",IF(COUNTIF('Annual Calendar'!$A$6:$A$35,$A101&amp;"")=0,"⚠ name not in the calendar",""))</f>
        <v/>
      </c>
    </row>
    <row r="102">
      <c r="A102" s="33" t="n"/>
      <c r="B102" s="66" t="n"/>
      <c r="C102" s="66" t="n"/>
      <c r="D102" s="35">
        <f>IF(OR($B102="",$C102=""),"",IF($C102&lt;$B102,"⚠ dates reversed",$C102-$B102+1))</f>
        <v/>
      </c>
      <c r="E102" s="67">
        <f>IFERROR(IF($A102="","",INDEX('PTO Balance'!$F$5:$F$34,MATCH($A102,'PTO Balance'!$A$5:$A$34,0))),"")</f>
        <v/>
      </c>
      <c r="F102" s="67">
        <f>IFERROR(IF($A102="","",INDEX('PTO Balance'!$H$5:$H$34,MATCH($A102,'PTO Balance'!$A$5:$A$34,0))),"")</f>
        <v/>
      </c>
      <c r="G102" s="33" t="n"/>
      <c r="H102">
        <f>IF($A102="","",IF(COUNTIF('Annual Calendar'!$A$6:$A$35,$A102&amp;"")=0,"⚠ name not in the calendar",""))</f>
        <v/>
      </c>
    </row>
    <row r="103">
      <c r="A103" s="33" t="n"/>
      <c r="B103" s="66" t="n"/>
      <c r="C103" s="66" t="n"/>
      <c r="D103" s="35">
        <f>IF(OR($B103="",$C103=""),"",IF($C103&lt;$B103,"⚠ dates reversed",$C103-$B103+1))</f>
        <v/>
      </c>
      <c r="E103" s="67">
        <f>IFERROR(IF($A103="","",INDEX('PTO Balance'!$F$5:$F$34,MATCH($A103,'PTO Balance'!$A$5:$A$34,0))),"")</f>
        <v/>
      </c>
      <c r="F103" s="67">
        <f>IFERROR(IF($A103="","",INDEX('PTO Balance'!$H$5:$H$34,MATCH($A103,'PTO Balance'!$A$5:$A$34,0))),"")</f>
        <v/>
      </c>
      <c r="G103" s="33" t="n"/>
      <c r="H103">
        <f>IF($A103="","",IF(COUNTIF('Annual Calendar'!$A$6:$A$35,$A103&amp;"")=0,"⚠ name not in the calendar",""))</f>
        <v/>
      </c>
    </row>
    <row r="104">
      <c r="A104" s="33" t="n"/>
      <c r="B104" s="66" t="n"/>
      <c r="C104" s="66" t="n"/>
      <c r="D104" s="35">
        <f>IF(OR($B104="",$C104=""),"",IF($C104&lt;$B104,"⚠ dates reversed",$C104-$B104+1))</f>
        <v/>
      </c>
      <c r="E104" s="67">
        <f>IFERROR(IF($A104="","",INDEX('PTO Balance'!$F$5:$F$34,MATCH($A104,'PTO Balance'!$A$5:$A$34,0))),"")</f>
        <v/>
      </c>
      <c r="F104" s="67">
        <f>IFERROR(IF($A104="","",INDEX('PTO Balance'!$H$5:$H$34,MATCH($A104,'PTO Balance'!$A$5:$A$34,0))),"")</f>
        <v/>
      </c>
      <c r="G104" s="33" t="n"/>
      <c r="H104">
        <f>IF($A104="","",IF(COUNTIF('Annual Calendar'!$A$6:$A$35,$A104&amp;"")=0,"⚠ name not in the calendar",""))</f>
        <v/>
      </c>
    </row>
    <row r="105">
      <c r="A105" s="33" t="n"/>
      <c r="B105" s="66" t="n"/>
      <c r="C105" s="66" t="n"/>
      <c r="D105" s="35">
        <f>IF(OR($B105="",$C105=""),"",IF($C105&lt;$B105,"⚠ dates reversed",$C105-$B105+1))</f>
        <v/>
      </c>
      <c r="E105" s="67">
        <f>IFERROR(IF($A105="","",INDEX('PTO Balance'!$F$5:$F$34,MATCH($A105,'PTO Balance'!$A$5:$A$34,0))),"")</f>
        <v/>
      </c>
      <c r="F105" s="67">
        <f>IFERROR(IF($A105="","",INDEX('PTO Balance'!$H$5:$H$34,MATCH($A105,'PTO Balance'!$A$5:$A$34,0))),"")</f>
        <v/>
      </c>
      <c r="G105" s="33" t="n"/>
      <c r="H105">
        <f>IF($A105="","",IF(COUNTIF('Annual Calendar'!$A$6:$A$35,$A105&amp;"")=0,"⚠ name not in the calendar",""))</f>
        <v/>
      </c>
    </row>
    <row r="106">
      <c r="A106" s="33" t="n"/>
      <c r="B106" s="66" t="n"/>
      <c r="C106" s="66" t="n"/>
      <c r="D106" s="35">
        <f>IF(OR($B106="",$C106=""),"",IF($C106&lt;$B106,"⚠ dates reversed",$C106-$B106+1))</f>
        <v/>
      </c>
      <c r="E106" s="67">
        <f>IFERROR(IF($A106="","",INDEX('PTO Balance'!$F$5:$F$34,MATCH($A106,'PTO Balance'!$A$5:$A$34,0))),"")</f>
        <v/>
      </c>
      <c r="F106" s="67">
        <f>IFERROR(IF($A106="","",INDEX('PTO Balance'!$H$5:$H$34,MATCH($A106,'PTO Balance'!$A$5:$A$34,0))),"")</f>
        <v/>
      </c>
      <c r="G106" s="33" t="n"/>
      <c r="H106">
        <f>IF($A106="","",IF(COUNTIF('Annual Calendar'!$A$6:$A$35,$A106&amp;"")=0,"⚠ name not in the calendar",""))</f>
        <v/>
      </c>
    </row>
    <row r="107">
      <c r="A107" s="33" t="n"/>
      <c r="B107" s="66" t="n"/>
      <c r="C107" s="66" t="n"/>
      <c r="D107" s="35">
        <f>IF(OR($B107="",$C107=""),"",IF($C107&lt;$B107,"⚠ dates reversed",$C107-$B107+1))</f>
        <v/>
      </c>
      <c r="E107" s="67">
        <f>IFERROR(IF($A107="","",INDEX('PTO Balance'!$F$5:$F$34,MATCH($A107,'PTO Balance'!$A$5:$A$34,0))),"")</f>
        <v/>
      </c>
      <c r="F107" s="67">
        <f>IFERROR(IF($A107="","",INDEX('PTO Balance'!$H$5:$H$34,MATCH($A107,'PTO Balance'!$A$5:$A$34,0))),"")</f>
        <v/>
      </c>
      <c r="G107" s="33" t="n"/>
      <c r="H107">
        <f>IF($A107="","",IF(COUNTIF('Annual Calendar'!$A$6:$A$35,$A107&amp;"")=0,"⚠ name not in the calendar",""))</f>
        <v/>
      </c>
    </row>
    <row r="108">
      <c r="A108" s="33" t="n"/>
      <c r="B108" s="66" t="n"/>
      <c r="C108" s="66" t="n"/>
      <c r="D108" s="35">
        <f>IF(OR($B108="",$C108=""),"",IF($C108&lt;$B108,"⚠ dates reversed",$C108-$B108+1))</f>
        <v/>
      </c>
      <c r="E108" s="67">
        <f>IFERROR(IF($A108="","",INDEX('PTO Balance'!$F$5:$F$34,MATCH($A108,'PTO Balance'!$A$5:$A$34,0))),"")</f>
        <v/>
      </c>
      <c r="F108" s="67">
        <f>IFERROR(IF($A108="","",INDEX('PTO Balance'!$H$5:$H$34,MATCH($A108,'PTO Balance'!$A$5:$A$34,0))),"")</f>
        <v/>
      </c>
      <c r="G108" s="33" t="n"/>
      <c r="H108">
        <f>IF($A108="","",IF(COUNTIF('Annual Calendar'!$A$6:$A$35,$A108&amp;"")=0,"⚠ name not in the calendar",""))</f>
        <v/>
      </c>
    </row>
    <row r="109">
      <c r="A109" s="33" t="n"/>
      <c r="B109" s="66" t="n"/>
      <c r="C109" s="66" t="n"/>
      <c r="D109" s="35">
        <f>IF(OR($B109="",$C109=""),"",IF($C109&lt;$B109,"⚠ dates reversed",$C109-$B109+1))</f>
        <v/>
      </c>
      <c r="E109" s="67">
        <f>IFERROR(IF($A109="","",INDEX('PTO Balance'!$F$5:$F$34,MATCH($A109,'PTO Balance'!$A$5:$A$34,0))),"")</f>
        <v/>
      </c>
      <c r="F109" s="67">
        <f>IFERROR(IF($A109="","",INDEX('PTO Balance'!$H$5:$H$34,MATCH($A109,'PTO Balance'!$A$5:$A$34,0))),"")</f>
        <v/>
      </c>
      <c r="G109" s="33" t="n"/>
      <c r="H109">
        <f>IF($A109="","",IF(COUNTIF('Annual Calendar'!$A$6:$A$35,$A109&amp;"")=0,"⚠ name not in the calendar",""))</f>
        <v/>
      </c>
    </row>
    <row r="110">
      <c r="A110" s="33" t="n"/>
      <c r="B110" s="66" t="n"/>
      <c r="C110" s="66" t="n"/>
      <c r="D110" s="35">
        <f>IF(OR($B110="",$C110=""),"",IF($C110&lt;$B110,"⚠ dates reversed",$C110-$B110+1))</f>
        <v/>
      </c>
      <c r="E110" s="67">
        <f>IFERROR(IF($A110="","",INDEX('PTO Balance'!$F$5:$F$34,MATCH($A110,'PTO Balance'!$A$5:$A$34,0))),"")</f>
        <v/>
      </c>
      <c r="F110" s="67">
        <f>IFERROR(IF($A110="","",INDEX('PTO Balance'!$H$5:$H$34,MATCH($A110,'PTO Balance'!$A$5:$A$34,0))),"")</f>
        <v/>
      </c>
      <c r="G110" s="33" t="n"/>
      <c r="H110">
        <f>IF($A110="","",IF(COUNTIF('Annual Calendar'!$A$6:$A$35,$A110&amp;"")=0,"⚠ name not in the calendar",""))</f>
        <v/>
      </c>
    </row>
    <row r="111">
      <c r="A111" s="33" t="n"/>
      <c r="B111" s="66" t="n"/>
      <c r="C111" s="66" t="n"/>
      <c r="D111" s="35">
        <f>IF(OR($B111="",$C111=""),"",IF($C111&lt;$B111,"⚠ dates reversed",$C111-$B111+1))</f>
        <v/>
      </c>
      <c r="E111" s="67">
        <f>IFERROR(IF($A111="","",INDEX('PTO Balance'!$F$5:$F$34,MATCH($A111,'PTO Balance'!$A$5:$A$34,0))),"")</f>
        <v/>
      </c>
      <c r="F111" s="67">
        <f>IFERROR(IF($A111="","",INDEX('PTO Balance'!$H$5:$H$34,MATCH($A111,'PTO Balance'!$A$5:$A$34,0))),"")</f>
        <v/>
      </c>
      <c r="G111" s="33" t="n"/>
      <c r="H111">
        <f>IF($A111="","",IF(COUNTIF('Annual Calendar'!$A$6:$A$35,$A111&amp;"")=0,"⚠ name not in the calendar",""))</f>
        <v/>
      </c>
    </row>
    <row r="112">
      <c r="A112" s="33" t="n"/>
      <c r="B112" s="66" t="n"/>
      <c r="C112" s="66" t="n"/>
      <c r="D112" s="35">
        <f>IF(OR($B112="",$C112=""),"",IF($C112&lt;$B112,"⚠ dates reversed",$C112-$B112+1))</f>
        <v/>
      </c>
      <c r="E112" s="67">
        <f>IFERROR(IF($A112="","",INDEX('PTO Balance'!$F$5:$F$34,MATCH($A112,'PTO Balance'!$A$5:$A$34,0))),"")</f>
        <v/>
      </c>
      <c r="F112" s="67">
        <f>IFERROR(IF($A112="","",INDEX('PTO Balance'!$H$5:$H$34,MATCH($A112,'PTO Balance'!$A$5:$A$34,0))),"")</f>
        <v/>
      </c>
      <c r="G112" s="33" t="n"/>
      <c r="H112">
        <f>IF($A112="","",IF(COUNTIF('Annual Calendar'!$A$6:$A$35,$A112&amp;"")=0,"⚠ name not in the calendar",""))</f>
        <v/>
      </c>
    </row>
    <row r="113">
      <c r="A113" s="33" t="n"/>
      <c r="B113" s="66" t="n"/>
      <c r="C113" s="66" t="n"/>
      <c r="D113" s="35">
        <f>IF(OR($B113="",$C113=""),"",IF($C113&lt;$B113,"⚠ dates reversed",$C113-$B113+1))</f>
        <v/>
      </c>
      <c r="E113" s="67">
        <f>IFERROR(IF($A113="","",INDEX('PTO Balance'!$F$5:$F$34,MATCH($A113,'PTO Balance'!$A$5:$A$34,0))),"")</f>
        <v/>
      </c>
      <c r="F113" s="67">
        <f>IFERROR(IF($A113="","",INDEX('PTO Balance'!$H$5:$H$34,MATCH($A113,'PTO Balance'!$A$5:$A$34,0))),"")</f>
        <v/>
      </c>
      <c r="G113" s="33" t="n"/>
      <c r="H113">
        <f>IF($A113="","",IF(COUNTIF('Annual Calendar'!$A$6:$A$35,$A113&amp;"")=0,"⚠ name not in the calendar",""))</f>
        <v/>
      </c>
    </row>
    <row r="114">
      <c r="A114" s="33" t="n"/>
      <c r="B114" s="66" t="n"/>
      <c r="C114" s="66" t="n"/>
      <c r="D114" s="35">
        <f>IF(OR($B114="",$C114=""),"",IF($C114&lt;$B114,"⚠ dates reversed",$C114-$B114+1))</f>
        <v/>
      </c>
      <c r="E114" s="67">
        <f>IFERROR(IF($A114="","",INDEX('PTO Balance'!$F$5:$F$34,MATCH($A114,'PTO Balance'!$A$5:$A$34,0))),"")</f>
        <v/>
      </c>
      <c r="F114" s="67">
        <f>IFERROR(IF($A114="","",INDEX('PTO Balance'!$H$5:$H$34,MATCH($A114,'PTO Balance'!$A$5:$A$34,0))),"")</f>
        <v/>
      </c>
      <c r="G114" s="33" t="n"/>
      <c r="H114">
        <f>IF($A114="","",IF(COUNTIF('Annual Calendar'!$A$6:$A$35,$A114&amp;"")=0,"⚠ name not in the calendar",""))</f>
        <v/>
      </c>
    </row>
    <row r="115">
      <c r="A115" s="33" t="n"/>
      <c r="B115" s="66" t="n"/>
      <c r="C115" s="66" t="n"/>
      <c r="D115" s="35">
        <f>IF(OR($B115="",$C115=""),"",IF($C115&lt;$B115,"⚠ dates reversed",$C115-$B115+1))</f>
        <v/>
      </c>
      <c r="E115" s="67">
        <f>IFERROR(IF($A115="","",INDEX('PTO Balance'!$F$5:$F$34,MATCH($A115,'PTO Balance'!$A$5:$A$34,0))),"")</f>
        <v/>
      </c>
      <c r="F115" s="67">
        <f>IFERROR(IF($A115="","",INDEX('PTO Balance'!$H$5:$H$34,MATCH($A115,'PTO Balance'!$A$5:$A$34,0))),"")</f>
        <v/>
      </c>
      <c r="G115" s="33" t="n"/>
      <c r="H115">
        <f>IF($A115="","",IF(COUNTIF('Annual Calendar'!$A$6:$A$35,$A115&amp;"")=0,"⚠ name not in the calendar",""))</f>
        <v/>
      </c>
    </row>
    <row r="116">
      <c r="A116" s="33" t="n"/>
      <c r="B116" s="66" t="n"/>
      <c r="C116" s="66" t="n"/>
      <c r="D116" s="35">
        <f>IF(OR($B116="",$C116=""),"",IF($C116&lt;$B116,"⚠ dates reversed",$C116-$B116+1))</f>
        <v/>
      </c>
      <c r="E116" s="67">
        <f>IFERROR(IF($A116="","",INDEX('PTO Balance'!$F$5:$F$34,MATCH($A116,'PTO Balance'!$A$5:$A$34,0))),"")</f>
        <v/>
      </c>
      <c r="F116" s="67">
        <f>IFERROR(IF($A116="","",INDEX('PTO Balance'!$H$5:$H$34,MATCH($A116,'PTO Balance'!$A$5:$A$34,0))),"")</f>
        <v/>
      </c>
      <c r="G116" s="33" t="n"/>
      <c r="H116">
        <f>IF($A116="","",IF(COUNTIF('Annual Calendar'!$A$6:$A$35,$A116&amp;"")=0,"⚠ name not in the calendar",""))</f>
        <v/>
      </c>
    </row>
    <row r="117">
      <c r="A117" s="33" t="n"/>
      <c r="B117" s="66" t="n"/>
      <c r="C117" s="66" t="n"/>
      <c r="D117" s="35">
        <f>IF(OR($B117="",$C117=""),"",IF($C117&lt;$B117,"⚠ dates reversed",$C117-$B117+1))</f>
        <v/>
      </c>
      <c r="E117" s="67">
        <f>IFERROR(IF($A117="","",INDEX('PTO Balance'!$F$5:$F$34,MATCH($A117,'PTO Balance'!$A$5:$A$34,0))),"")</f>
        <v/>
      </c>
      <c r="F117" s="67">
        <f>IFERROR(IF($A117="","",INDEX('PTO Balance'!$H$5:$H$34,MATCH($A117,'PTO Balance'!$A$5:$A$34,0))),"")</f>
        <v/>
      </c>
      <c r="G117" s="33" t="n"/>
      <c r="H117">
        <f>IF($A117="","",IF(COUNTIF('Annual Calendar'!$A$6:$A$35,$A117&amp;"")=0,"⚠ name not in the calendar",""))</f>
        <v/>
      </c>
    </row>
    <row r="118">
      <c r="A118" s="33" t="n"/>
      <c r="B118" s="66" t="n"/>
      <c r="C118" s="66" t="n"/>
      <c r="D118" s="35">
        <f>IF(OR($B118="",$C118=""),"",IF($C118&lt;$B118,"⚠ dates reversed",$C118-$B118+1))</f>
        <v/>
      </c>
      <c r="E118" s="67">
        <f>IFERROR(IF($A118="","",INDEX('PTO Balance'!$F$5:$F$34,MATCH($A118,'PTO Balance'!$A$5:$A$34,0))),"")</f>
        <v/>
      </c>
      <c r="F118" s="67">
        <f>IFERROR(IF($A118="","",INDEX('PTO Balance'!$H$5:$H$34,MATCH($A118,'PTO Balance'!$A$5:$A$34,0))),"")</f>
        <v/>
      </c>
      <c r="G118" s="33" t="n"/>
      <c r="H118">
        <f>IF($A118="","",IF(COUNTIF('Annual Calendar'!$A$6:$A$35,$A118&amp;"")=0,"⚠ name not in the calendar",""))</f>
        <v/>
      </c>
    </row>
    <row r="119">
      <c r="A119" s="33" t="n"/>
      <c r="B119" s="66" t="n"/>
      <c r="C119" s="66" t="n"/>
      <c r="D119" s="35">
        <f>IF(OR($B119="",$C119=""),"",IF($C119&lt;$B119,"⚠ dates reversed",$C119-$B119+1))</f>
        <v/>
      </c>
      <c r="E119" s="67">
        <f>IFERROR(IF($A119="","",INDEX('PTO Balance'!$F$5:$F$34,MATCH($A119,'PTO Balance'!$A$5:$A$34,0))),"")</f>
        <v/>
      </c>
      <c r="F119" s="67">
        <f>IFERROR(IF($A119="","",INDEX('PTO Balance'!$H$5:$H$34,MATCH($A119,'PTO Balance'!$A$5:$A$34,0))),"")</f>
        <v/>
      </c>
      <c r="G119" s="33" t="n"/>
      <c r="H119">
        <f>IF($A119="","",IF(COUNTIF('Annual Calendar'!$A$6:$A$35,$A119&amp;"")=0,"⚠ name not in the calendar",""))</f>
        <v/>
      </c>
    </row>
    <row r="120">
      <c r="A120" s="33" t="n"/>
      <c r="B120" s="66" t="n"/>
      <c r="C120" s="66" t="n"/>
      <c r="D120" s="35">
        <f>IF(OR($B120="",$C120=""),"",IF($C120&lt;$B120,"⚠ dates reversed",$C120-$B120+1))</f>
        <v/>
      </c>
      <c r="E120" s="67">
        <f>IFERROR(IF($A120="","",INDEX('PTO Balance'!$F$5:$F$34,MATCH($A120,'PTO Balance'!$A$5:$A$34,0))),"")</f>
        <v/>
      </c>
      <c r="F120" s="67">
        <f>IFERROR(IF($A120="","",INDEX('PTO Balance'!$H$5:$H$34,MATCH($A120,'PTO Balance'!$A$5:$A$34,0))),"")</f>
        <v/>
      </c>
      <c r="G120" s="33" t="n"/>
      <c r="H120">
        <f>IF($A120="","",IF(COUNTIF('Annual Calendar'!$A$6:$A$35,$A120&amp;"")=0,"⚠ name not in the calendar",""))</f>
        <v/>
      </c>
    </row>
    <row r="121">
      <c r="A121" s="33" t="n"/>
      <c r="B121" s="66" t="n"/>
      <c r="C121" s="66" t="n"/>
      <c r="D121" s="35">
        <f>IF(OR($B121="",$C121=""),"",IF($C121&lt;$B121,"⚠ dates reversed",$C121-$B121+1))</f>
        <v/>
      </c>
      <c r="E121" s="67">
        <f>IFERROR(IF($A121="","",INDEX('PTO Balance'!$F$5:$F$34,MATCH($A121,'PTO Balance'!$A$5:$A$34,0))),"")</f>
        <v/>
      </c>
      <c r="F121" s="67">
        <f>IFERROR(IF($A121="","",INDEX('PTO Balance'!$H$5:$H$34,MATCH($A121,'PTO Balance'!$A$5:$A$34,0))),"")</f>
        <v/>
      </c>
      <c r="G121" s="33" t="n"/>
      <c r="H121">
        <f>IF($A121="","",IF(COUNTIF('Annual Calendar'!$A$6:$A$35,$A121&amp;"")=0,"⚠ name not in the calendar",""))</f>
        <v/>
      </c>
    </row>
    <row r="122">
      <c r="A122" s="33" t="n"/>
      <c r="B122" s="66" t="n"/>
      <c r="C122" s="66" t="n"/>
      <c r="D122" s="35">
        <f>IF(OR($B122="",$C122=""),"",IF($C122&lt;$B122,"⚠ dates reversed",$C122-$B122+1))</f>
        <v/>
      </c>
      <c r="E122" s="67">
        <f>IFERROR(IF($A122="","",INDEX('PTO Balance'!$F$5:$F$34,MATCH($A122,'PTO Balance'!$A$5:$A$34,0))),"")</f>
        <v/>
      </c>
      <c r="F122" s="67">
        <f>IFERROR(IF($A122="","",INDEX('PTO Balance'!$H$5:$H$34,MATCH($A122,'PTO Balance'!$A$5:$A$34,0))),"")</f>
        <v/>
      </c>
      <c r="G122" s="33" t="n"/>
      <c r="H122">
        <f>IF($A122="","",IF(COUNTIF('Annual Calendar'!$A$6:$A$35,$A122&amp;"")=0,"⚠ name not in the calendar",""))</f>
        <v/>
      </c>
    </row>
    <row r="123">
      <c r="A123" s="33" t="n"/>
      <c r="B123" s="66" t="n"/>
      <c r="C123" s="66" t="n"/>
      <c r="D123" s="35">
        <f>IF(OR($B123="",$C123=""),"",IF($C123&lt;$B123,"⚠ dates reversed",$C123-$B123+1))</f>
        <v/>
      </c>
      <c r="E123" s="67">
        <f>IFERROR(IF($A123="","",INDEX('PTO Balance'!$F$5:$F$34,MATCH($A123,'PTO Balance'!$A$5:$A$34,0))),"")</f>
        <v/>
      </c>
      <c r="F123" s="67">
        <f>IFERROR(IF($A123="","",INDEX('PTO Balance'!$H$5:$H$34,MATCH($A123,'PTO Balance'!$A$5:$A$34,0))),"")</f>
        <v/>
      </c>
      <c r="G123" s="33" t="n"/>
      <c r="H123">
        <f>IF($A123="","",IF(COUNTIF('Annual Calendar'!$A$6:$A$35,$A123&amp;"")=0,"⚠ name not in the calendar",""))</f>
        <v/>
      </c>
    </row>
    <row r="124">
      <c r="A124" s="33" t="n"/>
      <c r="B124" s="66" t="n"/>
      <c r="C124" s="66" t="n"/>
      <c r="D124" s="35">
        <f>IF(OR($B124="",$C124=""),"",IF($C124&lt;$B124,"⚠ dates reversed",$C124-$B124+1))</f>
        <v/>
      </c>
      <c r="E124" s="67">
        <f>IFERROR(IF($A124="","",INDEX('PTO Balance'!$F$5:$F$34,MATCH($A124,'PTO Balance'!$A$5:$A$34,0))),"")</f>
        <v/>
      </c>
      <c r="F124" s="67">
        <f>IFERROR(IF($A124="","",INDEX('PTO Balance'!$H$5:$H$34,MATCH($A124,'PTO Balance'!$A$5:$A$34,0))),"")</f>
        <v/>
      </c>
      <c r="G124" s="33" t="n"/>
      <c r="H124">
        <f>IF($A124="","",IF(COUNTIF('Annual Calendar'!$A$6:$A$35,$A124&amp;"")=0,"⚠ name not in the calendar",""))</f>
        <v/>
      </c>
    </row>
    <row r="125">
      <c r="A125" s="33" t="n"/>
      <c r="B125" s="66" t="n"/>
      <c r="C125" s="66" t="n"/>
      <c r="D125" s="35">
        <f>IF(OR($B125="",$C125=""),"",IF($C125&lt;$B125,"⚠ dates reversed",$C125-$B125+1))</f>
        <v/>
      </c>
      <c r="E125" s="67">
        <f>IFERROR(IF($A125="","",INDEX('PTO Balance'!$F$5:$F$34,MATCH($A125,'PTO Balance'!$A$5:$A$34,0))),"")</f>
        <v/>
      </c>
      <c r="F125" s="67">
        <f>IFERROR(IF($A125="","",INDEX('PTO Balance'!$H$5:$H$34,MATCH($A125,'PTO Balance'!$A$5:$A$34,0))),"")</f>
        <v/>
      </c>
      <c r="G125" s="33" t="n"/>
      <c r="H125">
        <f>IF($A125="","",IF(COUNTIF('Annual Calendar'!$A$6:$A$35,$A125&amp;"")=0,"⚠ name not in the calendar",""))</f>
        <v/>
      </c>
    </row>
    <row r="126">
      <c r="A126" s="33" t="n"/>
      <c r="B126" s="66" t="n"/>
      <c r="C126" s="66" t="n"/>
      <c r="D126" s="35">
        <f>IF(OR($B126="",$C126=""),"",IF($C126&lt;$B126,"⚠ dates reversed",$C126-$B126+1))</f>
        <v/>
      </c>
      <c r="E126" s="67">
        <f>IFERROR(IF($A126="","",INDEX('PTO Balance'!$F$5:$F$34,MATCH($A126,'PTO Balance'!$A$5:$A$34,0))),"")</f>
        <v/>
      </c>
      <c r="F126" s="67">
        <f>IFERROR(IF($A126="","",INDEX('PTO Balance'!$H$5:$H$34,MATCH($A126,'PTO Balance'!$A$5:$A$34,0))),"")</f>
        <v/>
      </c>
      <c r="G126" s="33" t="n"/>
      <c r="H126">
        <f>IF($A126="","",IF(COUNTIF('Annual Calendar'!$A$6:$A$35,$A126&amp;"")=0,"⚠ name not in the calendar",""))</f>
        <v/>
      </c>
    </row>
    <row r="127">
      <c r="A127" s="33" t="n"/>
      <c r="B127" s="66" t="n"/>
      <c r="C127" s="66" t="n"/>
      <c r="D127" s="35">
        <f>IF(OR($B127="",$C127=""),"",IF($C127&lt;$B127,"⚠ dates reversed",$C127-$B127+1))</f>
        <v/>
      </c>
      <c r="E127" s="67">
        <f>IFERROR(IF($A127="","",INDEX('PTO Balance'!$F$5:$F$34,MATCH($A127,'PTO Balance'!$A$5:$A$34,0))),"")</f>
        <v/>
      </c>
      <c r="F127" s="67">
        <f>IFERROR(IF($A127="","",INDEX('PTO Balance'!$H$5:$H$34,MATCH($A127,'PTO Balance'!$A$5:$A$34,0))),"")</f>
        <v/>
      </c>
      <c r="G127" s="33" t="n"/>
      <c r="H127">
        <f>IF($A127="","",IF(COUNTIF('Annual Calendar'!$A$6:$A$35,$A127&amp;"")=0,"⚠ name not in the calendar",""))</f>
        <v/>
      </c>
    </row>
    <row r="128">
      <c r="A128" s="33" t="n"/>
      <c r="B128" s="66" t="n"/>
      <c r="C128" s="66" t="n"/>
      <c r="D128" s="35">
        <f>IF(OR($B128="",$C128=""),"",IF($C128&lt;$B128,"⚠ dates reversed",$C128-$B128+1))</f>
        <v/>
      </c>
      <c r="E128" s="67">
        <f>IFERROR(IF($A128="","",INDEX('PTO Balance'!$F$5:$F$34,MATCH($A128,'PTO Balance'!$A$5:$A$34,0))),"")</f>
        <v/>
      </c>
      <c r="F128" s="67">
        <f>IFERROR(IF($A128="","",INDEX('PTO Balance'!$H$5:$H$34,MATCH($A128,'PTO Balance'!$A$5:$A$34,0))),"")</f>
        <v/>
      </c>
      <c r="G128" s="33" t="n"/>
      <c r="H128">
        <f>IF($A128="","",IF(COUNTIF('Annual Calendar'!$A$6:$A$35,$A128&amp;"")=0,"⚠ name not in the calendar",""))</f>
        <v/>
      </c>
    </row>
    <row r="129">
      <c r="A129" s="33" t="n"/>
      <c r="B129" s="66" t="n"/>
      <c r="C129" s="66" t="n"/>
      <c r="D129" s="35">
        <f>IF(OR($B129="",$C129=""),"",IF($C129&lt;$B129,"⚠ dates reversed",$C129-$B129+1))</f>
        <v/>
      </c>
      <c r="E129" s="67">
        <f>IFERROR(IF($A129="","",INDEX('PTO Balance'!$F$5:$F$34,MATCH($A129,'PTO Balance'!$A$5:$A$34,0))),"")</f>
        <v/>
      </c>
      <c r="F129" s="67">
        <f>IFERROR(IF($A129="","",INDEX('PTO Balance'!$H$5:$H$34,MATCH($A129,'PTO Balance'!$A$5:$A$34,0))),"")</f>
        <v/>
      </c>
      <c r="G129" s="33" t="n"/>
      <c r="H129">
        <f>IF($A129="","",IF(COUNTIF('Annual Calendar'!$A$6:$A$35,$A129&amp;"")=0,"⚠ name not in the calendar",""))</f>
        <v/>
      </c>
    </row>
    <row r="130">
      <c r="A130" s="33" t="n"/>
      <c r="B130" s="66" t="n"/>
      <c r="C130" s="66" t="n"/>
      <c r="D130" s="35">
        <f>IF(OR($B130="",$C130=""),"",IF($C130&lt;$B130,"⚠ dates reversed",$C130-$B130+1))</f>
        <v/>
      </c>
      <c r="E130" s="67">
        <f>IFERROR(IF($A130="","",INDEX('PTO Balance'!$F$5:$F$34,MATCH($A130,'PTO Balance'!$A$5:$A$34,0))),"")</f>
        <v/>
      </c>
      <c r="F130" s="67">
        <f>IFERROR(IF($A130="","",INDEX('PTO Balance'!$H$5:$H$34,MATCH($A130,'PTO Balance'!$A$5:$A$34,0))),"")</f>
        <v/>
      </c>
      <c r="G130" s="33" t="n"/>
      <c r="H130">
        <f>IF($A130="","",IF(COUNTIF('Annual Calendar'!$A$6:$A$35,$A130&amp;"")=0,"⚠ name not in the calendar",""))</f>
        <v/>
      </c>
    </row>
    <row r="131">
      <c r="A131" s="33" t="n"/>
      <c r="B131" s="66" t="n"/>
      <c r="C131" s="66" t="n"/>
      <c r="D131" s="35">
        <f>IF(OR($B131="",$C131=""),"",IF($C131&lt;$B131,"⚠ dates reversed",$C131-$B131+1))</f>
        <v/>
      </c>
      <c r="E131" s="67">
        <f>IFERROR(IF($A131="","",INDEX('PTO Balance'!$F$5:$F$34,MATCH($A131,'PTO Balance'!$A$5:$A$34,0))),"")</f>
        <v/>
      </c>
      <c r="F131" s="67">
        <f>IFERROR(IF($A131="","",INDEX('PTO Balance'!$H$5:$H$34,MATCH($A131,'PTO Balance'!$A$5:$A$34,0))),"")</f>
        <v/>
      </c>
      <c r="G131" s="33" t="n"/>
      <c r="H131">
        <f>IF($A131="","",IF(COUNTIF('Annual Calendar'!$A$6:$A$35,$A131&amp;"")=0,"⚠ name not in the calendar",""))</f>
        <v/>
      </c>
    </row>
    <row r="132">
      <c r="A132" s="33" t="n"/>
      <c r="B132" s="66" t="n"/>
      <c r="C132" s="66" t="n"/>
      <c r="D132" s="35">
        <f>IF(OR($B132="",$C132=""),"",IF($C132&lt;$B132,"⚠ dates reversed",$C132-$B132+1))</f>
        <v/>
      </c>
      <c r="E132" s="67">
        <f>IFERROR(IF($A132="","",INDEX('PTO Balance'!$F$5:$F$34,MATCH($A132,'PTO Balance'!$A$5:$A$34,0))),"")</f>
        <v/>
      </c>
      <c r="F132" s="67">
        <f>IFERROR(IF($A132="","",INDEX('PTO Balance'!$H$5:$H$34,MATCH($A132,'PTO Balance'!$A$5:$A$34,0))),"")</f>
        <v/>
      </c>
      <c r="G132" s="33" t="n"/>
      <c r="H132">
        <f>IF($A132="","",IF(COUNTIF('Annual Calendar'!$A$6:$A$35,$A132&amp;"")=0,"⚠ name not in the calendar",""))</f>
        <v/>
      </c>
    </row>
    <row r="133">
      <c r="A133" s="33" t="n"/>
      <c r="B133" s="66" t="n"/>
      <c r="C133" s="66" t="n"/>
      <c r="D133" s="35">
        <f>IF(OR($B133="",$C133=""),"",IF($C133&lt;$B133,"⚠ dates reversed",$C133-$B133+1))</f>
        <v/>
      </c>
      <c r="E133" s="67">
        <f>IFERROR(IF($A133="","",INDEX('PTO Balance'!$F$5:$F$34,MATCH($A133,'PTO Balance'!$A$5:$A$34,0))),"")</f>
        <v/>
      </c>
      <c r="F133" s="67">
        <f>IFERROR(IF($A133="","",INDEX('PTO Balance'!$H$5:$H$34,MATCH($A133,'PTO Balance'!$A$5:$A$34,0))),"")</f>
        <v/>
      </c>
      <c r="G133" s="33" t="n"/>
      <c r="H133">
        <f>IF($A133="","",IF(COUNTIF('Annual Calendar'!$A$6:$A$35,$A133&amp;"")=0,"⚠ name not in the calendar",""))</f>
        <v/>
      </c>
    </row>
    <row r="134">
      <c r="A134" s="33" t="n"/>
      <c r="B134" s="66" t="n"/>
      <c r="C134" s="66" t="n"/>
      <c r="D134" s="35">
        <f>IF(OR($B134="",$C134=""),"",IF($C134&lt;$B134,"⚠ dates reversed",$C134-$B134+1))</f>
        <v/>
      </c>
      <c r="E134" s="67">
        <f>IFERROR(IF($A134="","",INDEX('PTO Balance'!$F$5:$F$34,MATCH($A134,'PTO Balance'!$A$5:$A$34,0))),"")</f>
        <v/>
      </c>
      <c r="F134" s="67">
        <f>IFERROR(IF($A134="","",INDEX('PTO Balance'!$H$5:$H$34,MATCH($A134,'PTO Balance'!$A$5:$A$34,0))),"")</f>
        <v/>
      </c>
      <c r="G134" s="33" t="n"/>
      <c r="H134">
        <f>IF($A134="","",IF(COUNTIF('Annual Calendar'!$A$6:$A$35,$A134&amp;"")=0,"⚠ name not in the calendar",""))</f>
        <v/>
      </c>
    </row>
    <row r="135">
      <c r="A135" s="33" t="n"/>
      <c r="B135" s="66" t="n"/>
      <c r="C135" s="66" t="n"/>
      <c r="D135" s="35">
        <f>IF(OR($B135="",$C135=""),"",IF($C135&lt;$B135,"⚠ dates reversed",$C135-$B135+1))</f>
        <v/>
      </c>
      <c r="E135" s="67">
        <f>IFERROR(IF($A135="","",INDEX('PTO Balance'!$F$5:$F$34,MATCH($A135,'PTO Balance'!$A$5:$A$34,0))),"")</f>
        <v/>
      </c>
      <c r="F135" s="67">
        <f>IFERROR(IF($A135="","",INDEX('PTO Balance'!$H$5:$H$34,MATCH($A135,'PTO Balance'!$A$5:$A$34,0))),"")</f>
        <v/>
      </c>
      <c r="G135" s="33" t="n"/>
      <c r="H135">
        <f>IF($A135="","",IF(COUNTIF('Annual Calendar'!$A$6:$A$35,$A135&amp;"")=0,"⚠ name not in the calendar",""))</f>
        <v/>
      </c>
    </row>
    <row r="136">
      <c r="A136" s="33" t="n"/>
      <c r="B136" s="66" t="n"/>
      <c r="C136" s="66" t="n"/>
      <c r="D136" s="35">
        <f>IF(OR($B136="",$C136=""),"",IF($C136&lt;$B136,"⚠ dates reversed",$C136-$B136+1))</f>
        <v/>
      </c>
      <c r="E136" s="67">
        <f>IFERROR(IF($A136="","",INDEX('PTO Balance'!$F$5:$F$34,MATCH($A136,'PTO Balance'!$A$5:$A$34,0))),"")</f>
        <v/>
      </c>
      <c r="F136" s="67">
        <f>IFERROR(IF($A136="","",INDEX('PTO Balance'!$H$5:$H$34,MATCH($A136,'PTO Balance'!$A$5:$A$34,0))),"")</f>
        <v/>
      </c>
      <c r="G136" s="33" t="n"/>
      <c r="H136">
        <f>IF($A136="","",IF(COUNTIF('Annual Calendar'!$A$6:$A$35,$A136&amp;"")=0,"⚠ name not in the calendar",""))</f>
        <v/>
      </c>
    </row>
    <row r="137">
      <c r="A137" s="33" t="n"/>
      <c r="B137" s="66" t="n"/>
      <c r="C137" s="66" t="n"/>
      <c r="D137" s="35">
        <f>IF(OR($B137="",$C137=""),"",IF($C137&lt;$B137,"⚠ dates reversed",$C137-$B137+1))</f>
        <v/>
      </c>
      <c r="E137" s="67">
        <f>IFERROR(IF($A137="","",INDEX('PTO Balance'!$F$5:$F$34,MATCH($A137,'PTO Balance'!$A$5:$A$34,0))),"")</f>
        <v/>
      </c>
      <c r="F137" s="67">
        <f>IFERROR(IF($A137="","",INDEX('PTO Balance'!$H$5:$H$34,MATCH($A137,'PTO Balance'!$A$5:$A$34,0))),"")</f>
        <v/>
      </c>
      <c r="G137" s="33" t="n"/>
      <c r="H137">
        <f>IF($A137="","",IF(COUNTIF('Annual Calendar'!$A$6:$A$35,$A137&amp;"")=0,"⚠ name not in the calendar",""))</f>
        <v/>
      </c>
    </row>
    <row r="138">
      <c r="A138" s="33" t="n"/>
      <c r="B138" s="66" t="n"/>
      <c r="C138" s="66" t="n"/>
      <c r="D138" s="35">
        <f>IF(OR($B138="",$C138=""),"",IF($C138&lt;$B138,"⚠ dates reversed",$C138-$B138+1))</f>
        <v/>
      </c>
      <c r="E138" s="67">
        <f>IFERROR(IF($A138="","",INDEX('PTO Balance'!$F$5:$F$34,MATCH($A138,'PTO Balance'!$A$5:$A$34,0))),"")</f>
        <v/>
      </c>
      <c r="F138" s="67">
        <f>IFERROR(IF($A138="","",INDEX('PTO Balance'!$H$5:$H$34,MATCH($A138,'PTO Balance'!$A$5:$A$34,0))),"")</f>
        <v/>
      </c>
      <c r="G138" s="33" t="n"/>
      <c r="H138">
        <f>IF($A138="","",IF(COUNTIF('Annual Calendar'!$A$6:$A$35,$A138&amp;"")=0,"⚠ name not in the calendar",""))</f>
        <v/>
      </c>
    </row>
    <row r="139">
      <c r="A139" s="33" t="n"/>
      <c r="B139" s="66" t="n"/>
      <c r="C139" s="66" t="n"/>
      <c r="D139" s="35">
        <f>IF(OR($B139="",$C139=""),"",IF($C139&lt;$B139,"⚠ dates reversed",$C139-$B139+1))</f>
        <v/>
      </c>
      <c r="E139" s="67">
        <f>IFERROR(IF($A139="","",INDEX('PTO Balance'!$F$5:$F$34,MATCH($A139,'PTO Balance'!$A$5:$A$34,0))),"")</f>
        <v/>
      </c>
      <c r="F139" s="67">
        <f>IFERROR(IF($A139="","",INDEX('PTO Balance'!$H$5:$H$34,MATCH($A139,'PTO Balance'!$A$5:$A$34,0))),"")</f>
        <v/>
      </c>
      <c r="G139" s="33" t="n"/>
      <c r="H139">
        <f>IF($A139="","",IF(COUNTIF('Annual Calendar'!$A$6:$A$35,$A139&amp;"")=0,"⚠ name not in the calendar",""))</f>
        <v/>
      </c>
    </row>
    <row r="140">
      <c r="A140" s="33" t="n"/>
      <c r="B140" s="66" t="n"/>
      <c r="C140" s="66" t="n"/>
      <c r="D140" s="35">
        <f>IF(OR($B140="",$C140=""),"",IF($C140&lt;$B140,"⚠ dates reversed",$C140-$B140+1))</f>
        <v/>
      </c>
      <c r="E140" s="67">
        <f>IFERROR(IF($A140="","",INDEX('PTO Balance'!$F$5:$F$34,MATCH($A140,'PTO Balance'!$A$5:$A$34,0))),"")</f>
        <v/>
      </c>
      <c r="F140" s="67">
        <f>IFERROR(IF($A140="","",INDEX('PTO Balance'!$H$5:$H$34,MATCH($A140,'PTO Balance'!$A$5:$A$34,0))),"")</f>
        <v/>
      </c>
      <c r="G140" s="33" t="n"/>
      <c r="H140">
        <f>IF($A140="","",IF(COUNTIF('Annual Calendar'!$A$6:$A$35,$A140&amp;"")=0,"⚠ name not in the calendar",""))</f>
        <v/>
      </c>
    </row>
    <row r="141">
      <c r="A141" s="33" t="n"/>
      <c r="B141" s="66" t="n"/>
      <c r="C141" s="66" t="n"/>
      <c r="D141" s="35">
        <f>IF(OR($B141="",$C141=""),"",IF($C141&lt;$B141,"⚠ dates reversed",$C141-$B141+1))</f>
        <v/>
      </c>
      <c r="E141" s="67">
        <f>IFERROR(IF($A141="","",INDEX('PTO Balance'!$F$5:$F$34,MATCH($A141,'PTO Balance'!$A$5:$A$34,0))),"")</f>
        <v/>
      </c>
      <c r="F141" s="67">
        <f>IFERROR(IF($A141="","",INDEX('PTO Balance'!$H$5:$H$34,MATCH($A141,'PTO Balance'!$A$5:$A$34,0))),"")</f>
        <v/>
      </c>
      <c r="G141" s="33" t="n"/>
      <c r="H141">
        <f>IF($A141="","",IF(COUNTIF('Annual Calendar'!$A$6:$A$35,$A141&amp;"")=0,"⚠ name not in the calendar",""))</f>
        <v/>
      </c>
    </row>
    <row r="142">
      <c r="A142" s="33" t="n"/>
      <c r="B142" s="66" t="n"/>
      <c r="C142" s="66" t="n"/>
      <c r="D142" s="35">
        <f>IF(OR($B142="",$C142=""),"",IF($C142&lt;$B142,"⚠ dates reversed",$C142-$B142+1))</f>
        <v/>
      </c>
      <c r="E142" s="67">
        <f>IFERROR(IF($A142="","",INDEX('PTO Balance'!$F$5:$F$34,MATCH($A142,'PTO Balance'!$A$5:$A$34,0))),"")</f>
        <v/>
      </c>
      <c r="F142" s="67">
        <f>IFERROR(IF($A142="","",INDEX('PTO Balance'!$H$5:$H$34,MATCH($A142,'PTO Balance'!$A$5:$A$34,0))),"")</f>
        <v/>
      </c>
      <c r="G142" s="33" t="n"/>
      <c r="H142">
        <f>IF($A142="","",IF(COUNTIF('Annual Calendar'!$A$6:$A$35,$A142&amp;"")=0,"⚠ name not in the calendar",""))</f>
        <v/>
      </c>
    </row>
    <row r="143">
      <c r="A143" s="33" t="n"/>
      <c r="B143" s="66" t="n"/>
      <c r="C143" s="66" t="n"/>
      <c r="D143" s="35">
        <f>IF(OR($B143="",$C143=""),"",IF($C143&lt;$B143,"⚠ dates reversed",$C143-$B143+1))</f>
        <v/>
      </c>
      <c r="E143" s="67">
        <f>IFERROR(IF($A143="","",INDEX('PTO Balance'!$F$5:$F$34,MATCH($A143,'PTO Balance'!$A$5:$A$34,0))),"")</f>
        <v/>
      </c>
      <c r="F143" s="67">
        <f>IFERROR(IF($A143="","",INDEX('PTO Balance'!$H$5:$H$34,MATCH($A143,'PTO Balance'!$A$5:$A$34,0))),"")</f>
        <v/>
      </c>
      <c r="G143" s="33" t="n"/>
      <c r="H143">
        <f>IF($A143="","",IF(COUNTIF('Annual Calendar'!$A$6:$A$35,$A143&amp;"")=0,"⚠ name not in the calendar",""))</f>
        <v/>
      </c>
    </row>
    <row r="144">
      <c r="A144" s="33" t="n"/>
      <c r="B144" s="66" t="n"/>
      <c r="C144" s="66" t="n"/>
      <c r="D144" s="35">
        <f>IF(OR($B144="",$C144=""),"",IF($C144&lt;$B144,"⚠ dates reversed",$C144-$B144+1))</f>
        <v/>
      </c>
      <c r="E144" s="67">
        <f>IFERROR(IF($A144="","",INDEX('PTO Balance'!$F$5:$F$34,MATCH($A144,'PTO Balance'!$A$5:$A$34,0))),"")</f>
        <v/>
      </c>
      <c r="F144" s="67">
        <f>IFERROR(IF($A144="","",INDEX('PTO Balance'!$H$5:$H$34,MATCH($A144,'PTO Balance'!$A$5:$A$34,0))),"")</f>
        <v/>
      </c>
      <c r="G144" s="33" t="n"/>
      <c r="H144">
        <f>IF($A144="","",IF(COUNTIF('Annual Calendar'!$A$6:$A$35,$A144&amp;"")=0,"⚠ name not in the calendar",""))</f>
        <v/>
      </c>
    </row>
    <row r="145">
      <c r="A145" s="33" t="n"/>
      <c r="B145" s="66" t="n"/>
      <c r="C145" s="66" t="n"/>
      <c r="D145" s="35">
        <f>IF(OR($B145="",$C145=""),"",IF($C145&lt;$B145,"⚠ dates reversed",$C145-$B145+1))</f>
        <v/>
      </c>
      <c r="E145" s="67">
        <f>IFERROR(IF($A145="","",INDEX('PTO Balance'!$F$5:$F$34,MATCH($A145,'PTO Balance'!$A$5:$A$34,0))),"")</f>
        <v/>
      </c>
      <c r="F145" s="67">
        <f>IFERROR(IF($A145="","",INDEX('PTO Balance'!$H$5:$H$34,MATCH($A145,'PTO Balance'!$A$5:$A$34,0))),"")</f>
        <v/>
      </c>
      <c r="G145" s="33" t="n"/>
      <c r="H145">
        <f>IF($A145="","",IF(COUNTIF('Annual Calendar'!$A$6:$A$35,$A145&amp;"")=0,"⚠ name not in the calendar",""))</f>
        <v/>
      </c>
    </row>
    <row r="146">
      <c r="A146" s="33" t="n"/>
      <c r="B146" s="66" t="n"/>
      <c r="C146" s="66" t="n"/>
      <c r="D146" s="35">
        <f>IF(OR($B146="",$C146=""),"",IF($C146&lt;$B146,"⚠ dates reversed",$C146-$B146+1))</f>
        <v/>
      </c>
      <c r="E146" s="67">
        <f>IFERROR(IF($A146="","",INDEX('PTO Balance'!$F$5:$F$34,MATCH($A146,'PTO Balance'!$A$5:$A$34,0))),"")</f>
        <v/>
      </c>
      <c r="F146" s="67">
        <f>IFERROR(IF($A146="","",INDEX('PTO Balance'!$H$5:$H$34,MATCH($A146,'PTO Balance'!$A$5:$A$34,0))),"")</f>
        <v/>
      </c>
      <c r="G146" s="33" t="n"/>
      <c r="H146">
        <f>IF($A146="","",IF(COUNTIF('Annual Calendar'!$A$6:$A$35,$A146&amp;"")=0,"⚠ name not in the calendar",""))</f>
        <v/>
      </c>
    </row>
    <row r="147">
      <c r="A147" s="33" t="n"/>
      <c r="B147" s="66" t="n"/>
      <c r="C147" s="66" t="n"/>
      <c r="D147" s="35">
        <f>IF(OR($B147="",$C147=""),"",IF($C147&lt;$B147,"⚠ dates reversed",$C147-$B147+1))</f>
        <v/>
      </c>
      <c r="E147" s="67">
        <f>IFERROR(IF($A147="","",INDEX('PTO Balance'!$F$5:$F$34,MATCH($A147,'PTO Balance'!$A$5:$A$34,0))),"")</f>
        <v/>
      </c>
      <c r="F147" s="67">
        <f>IFERROR(IF($A147="","",INDEX('PTO Balance'!$H$5:$H$34,MATCH($A147,'PTO Balance'!$A$5:$A$34,0))),"")</f>
        <v/>
      </c>
      <c r="G147" s="33" t="n"/>
      <c r="H147">
        <f>IF($A147="","",IF(COUNTIF('Annual Calendar'!$A$6:$A$35,$A147&amp;"")=0,"⚠ name not in the calendar",""))</f>
        <v/>
      </c>
    </row>
    <row r="148">
      <c r="A148" s="33" t="n"/>
      <c r="B148" s="66" t="n"/>
      <c r="C148" s="66" t="n"/>
      <c r="D148" s="35">
        <f>IF(OR($B148="",$C148=""),"",IF($C148&lt;$B148,"⚠ dates reversed",$C148-$B148+1))</f>
        <v/>
      </c>
      <c r="E148" s="67">
        <f>IFERROR(IF($A148="","",INDEX('PTO Balance'!$F$5:$F$34,MATCH($A148,'PTO Balance'!$A$5:$A$34,0))),"")</f>
        <v/>
      </c>
      <c r="F148" s="67">
        <f>IFERROR(IF($A148="","",INDEX('PTO Balance'!$H$5:$H$34,MATCH($A148,'PTO Balance'!$A$5:$A$34,0))),"")</f>
        <v/>
      </c>
      <c r="G148" s="33" t="n"/>
      <c r="H148">
        <f>IF($A148="","",IF(COUNTIF('Annual Calendar'!$A$6:$A$35,$A148&amp;"")=0,"⚠ name not in the calendar",""))</f>
        <v/>
      </c>
    </row>
    <row r="149">
      <c r="A149" s="33" t="n"/>
      <c r="B149" s="66" t="n"/>
      <c r="C149" s="66" t="n"/>
      <c r="D149" s="35">
        <f>IF(OR($B149="",$C149=""),"",IF($C149&lt;$B149,"⚠ dates reversed",$C149-$B149+1))</f>
        <v/>
      </c>
      <c r="E149" s="67">
        <f>IFERROR(IF($A149="","",INDEX('PTO Balance'!$F$5:$F$34,MATCH($A149,'PTO Balance'!$A$5:$A$34,0))),"")</f>
        <v/>
      </c>
      <c r="F149" s="67">
        <f>IFERROR(IF($A149="","",INDEX('PTO Balance'!$H$5:$H$34,MATCH($A149,'PTO Balance'!$A$5:$A$34,0))),"")</f>
        <v/>
      </c>
      <c r="G149" s="33" t="n"/>
      <c r="H149">
        <f>IF($A149="","",IF(COUNTIF('Annual Calendar'!$A$6:$A$35,$A149&amp;"")=0,"⚠ name not in the calendar",""))</f>
        <v/>
      </c>
    </row>
    <row r="150">
      <c r="A150" s="33" t="n"/>
      <c r="B150" s="66" t="n"/>
      <c r="C150" s="66" t="n"/>
      <c r="D150" s="35">
        <f>IF(OR($B150="",$C150=""),"",IF($C150&lt;$B150,"⚠ dates reversed",$C150-$B150+1))</f>
        <v/>
      </c>
      <c r="E150" s="67">
        <f>IFERROR(IF($A150="","",INDEX('PTO Balance'!$F$5:$F$34,MATCH($A150,'PTO Balance'!$A$5:$A$34,0))),"")</f>
        <v/>
      </c>
      <c r="F150" s="67">
        <f>IFERROR(IF($A150="","",INDEX('PTO Balance'!$H$5:$H$34,MATCH($A150,'PTO Balance'!$A$5:$A$34,0))),"")</f>
        <v/>
      </c>
      <c r="G150" s="33" t="n"/>
      <c r="H150">
        <f>IF($A150="","",IF(COUNTIF('Annual Calendar'!$A$6:$A$35,$A150&amp;"")=0,"⚠ name not in the calendar",""))</f>
        <v/>
      </c>
    </row>
    <row r="151">
      <c r="A151" s="33" t="n"/>
      <c r="B151" s="66" t="n"/>
      <c r="C151" s="66" t="n"/>
      <c r="D151" s="35">
        <f>IF(OR($B151="",$C151=""),"",IF($C151&lt;$B151,"⚠ dates reversed",$C151-$B151+1))</f>
        <v/>
      </c>
      <c r="E151" s="67">
        <f>IFERROR(IF($A151="","",INDEX('PTO Balance'!$F$5:$F$34,MATCH($A151,'PTO Balance'!$A$5:$A$34,0))),"")</f>
        <v/>
      </c>
      <c r="F151" s="67">
        <f>IFERROR(IF($A151="","",INDEX('PTO Balance'!$H$5:$H$34,MATCH($A151,'PTO Balance'!$A$5:$A$34,0))),"")</f>
        <v/>
      </c>
      <c r="G151" s="33" t="n"/>
      <c r="H151">
        <f>IF($A151="","",IF(COUNTIF('Annual Calendar'!$A$6:$A$35,$A151&amp;"")=0,"⚠ name not in the calendar",""))</f>
        <v/>
      </c>
    </row>
    <row r="152">
      <c r="A152" s="33" t="n"/>
      <c r="B152" s="66" t="n"/>
      <c r="C152" s="66" t="n"/>
      <c r="D152" s="35">
        <f>IF(OR($B152="",$C152=""),"",IF($C152&lt;$B152,"⚠ dates reversed",$C152-$B152+1))</f>
        <v/>
      </c>
      <c r="E152" s="67">
        <f>IFERROR(IF($A152="","",INDEX('PTO Balance'!$F$5:$F$34,MATCH($A152,'PTO Balance'!$A$5:$A$34,0))),"")</f>
        <v/>
      </c>
      <c r="F152" s="67">
        <f>IFERROR(IF($A152="","",INDEX('PTO Balance'!$H$5:$H$34,MATCH($A152,'PTO Balance'!$A$5:$A$34,0))),"")</f>
        <v/>
      </c>
      <c r="G152" s="33" t="n"/>
      <c r="H152">
        <f>IF($A152="","",IF(COUNTIF('Annual Calendar'!$A$6:$A$35,$A152&amp;"")=0,"⚠ name not in the calendar",""))</f>
        <v/>
      </c>
    </row>
    <row r="153">
      <c r="A153" s="33" t="n"/>
      <c r="B153" s="66" t="n"/>
      <c r="C153" s="66" t="n"/>
      <c r="D153" s="35">
        <f>IF(OR($B153="",$C153=""),"",IF($C153&lt;$B153,"⚠ dates reversed",$C153-$B153+1))</f>
        <v/>
      </c>
      <c r="E153" s="67">
        <f>IFERROR(IF($A153="","",INDEX('PTO Balance'!$F$5:$F$34,MATCH($A153,'PTO Balance'!$A$5:$A$34,0))),"")</f>
        <v/>
      </c>
      <c r="F153" s="67">
        <f>IFERROR(IF($A153="","",INDEX('PTO Balance'!$H$5:$H$34,MATCH($A153,'PTO Balance'!$A$5:$A$34,0))),"")</f>
        <v/>
      </c>
      <c r="G153" s="33" t="n"/>
      <c r="H153">
        <f>IF($A153="","",IF(COUNTIF('Annual Calendar'!$A$6:$A$35,$A153&amp;"")=0,"⚠ name not in the calendar",""))</f>
        <v/>
      </c>
    </row>
    <row r="154">
      <c r="A154" s="33" t="n"/>
      <c r="B154" s="66" t="n"/>
      <c r="C154" s="66" t="n"/>
      <c r="D154" s="35">
        <f>IF(OR($B154="",$C154=""),"",IF($C154&lt;$B154,"⚠ dates reversed",$C154-$B154+1))</f>
        <v/>
      </c>
      <c r="E154" s="67">
        <f>IFERROR(IF($A154="","",INDEX('PTO Balance'!$F$5:$F$34,MATCH($A154,'PTO Balance'!$A$5:$A$34,0))),"")</f>
        <v/>
      </c>
      <c r="F154" s="67">
        <f>IFERROR(IF($A154="","",INDEX('PTO Balance'!$H$5:$H$34,MATCH($A154,'PTO Balance'!$A$5:$A$34,0))),"")</f>
        <v/>
      </c>
      <c r="G154" s="33" t="n"/>
      <c r="H154">
        <f>IF($A154="","",IF(COUNTIF('Annual Calendar'!$A$6:$A$35,$A154&amp;"")=0,"⚠ name not in the calendar",""))</f>
        <v/>
      </c>
    </row>
    <row r="156" ht="30" customHeight="1">
      <c r="A156" s="51" t="inlineStr">
        <is>
          <t>▸ This tab is indexed by REQUEST, not by person: it holds 150 requests, about five per employee. Nobody takes all their days in one go — in restaurants they get split across summer, the holidays and the odd long weekend — and the balance is only accurate if ALL the periods are here.</t>
        </is>
      </c>
    </row>
    <row r="158">
      <c r="A158" s="39"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4">
    <mergeCell ref="A156:H156"/>
    <mergeCell ref="A158:H158"/>
    <mergeCell ref="A2:H2"/>
    <mergeCell ref="A1:H1"/>
  </mergeCells>
  <conditionalFormatting sqref="D5:D154">
    <cfRule type="containsText" priority="1" operator="containsText" dxfId="0" stopIfTrue="1" text="⛔">
      <formula>NOT(ISERROR(SEARCH("⛔",D5)))</formula>
    </cfRule>
    <cfRule type="containsText" priority="2" operator="containsText" dxfId="0" stopIfTrue="1" text="EXCESS">
      <formula>NOT(ISERROR(SEARCH("EXCESS",D5)))</formula>
    </cfRule>
    <cfRule type="containsText" priority="3" operator="containsText" dxfId="1" stopIfTrue="1" text="⚠">
      <formula>NOT(ISERROR(SEARCH("⚠",D5)))</formula>
    </cfRule>
    <cfRule type="containsText" priority="4" operator="containsText" dxfId="4" stopIfTrue="1" text="OK">
      <formula>NOT(ISERROR(SEARCH("OK",D5)))</formula>
    </cfRule>
  </conditionalFormatting>
  <conditionalFormatting sqref="H5:H154">
    <cfRule type="containsText" priority="5" operator="containsText" dxfId="0" stopIfTrue="1" text="⛔">
      <formula>NOT(ISERROR(SEARCH("⛔",H5)))</formula>
    </cfRule>
    <cfRule type="containsText" priority="6" operator="containsText" dxfId="0" stopIfTrue="1" text="EXCESS">
      <formula>NOT(ISERROR(SEARCH("EXCESS",H5)))</formula>
    </cfRule>
    <cfRule type="containsText" priority="7" operator="containsText" dxfId="1" stopIfTrue="1" text="⚠">
      <formula>NOT(ISERROR(SEARCH("⚠",H5)))</formula>
    </cfRule>
    <cfRule type="containsText" priority="8" operator="containsText" dxfId="4" stopIfTrue="1" text="OK">
      <formula>NOT(ISERROR(SEARCH("OK",H5)))</formula>
    </cfRule>
  </conditionalFormatting>
  <dataValidations count="1">
    <dataValidation sqref="G5:G154" showDropDown="0" showInputMessage="1" showErrorMessage="1" allowBlank="1" errorTitle="Invalid status" error="Pick a value from the list: the summary formulas look for this exact text." promptTitle="kitgp-v2 · Invalid status" prompt="The balance in &quot;PTO Balance&quot; only adds up the days of APPROVED requests, so the text has to come from this list." type="list" errorStyle="stop">
      <formula1>"Pending,Approved,Denied"</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39"/>
  <sheetViews>
    <sheetView workbookViewId="0">
      <pane ySplit="4" topLeftCell="A5" activePane="bottomLeft" state="frozen"/>
      <selection pane="bottomLeft" activeCell="A1" sqref="A1"/>
    </sheetView>
  </sheetViews>
  <sheetFormatPr baseColWidth="8" defaultRowHeight="15"/>
  <cols>
    <col width="24" customWidth="1" min="1" max="1"/>
    <col width="16" customWidth="1" min="2" max="2"/>
    <col width="22" customWidth="1" min="3" max="3"/>
    <col width="14" customWidth="1" min="4" max="4"/>
    <col width="16" customWidth="1" min="5" max="5"/>
    <col width="14" customWidth="1" min="6" max="6"/>
    <col width="14" customWidth="1" min="7" max="7"/>
    <col width="14" customWidth="1" min="8" max="8"/>
    <col width="34" customWidth="1" min="9" max="9"/>
  </cols>
  <sheetData>
    <row r="1">
      <c r="A1" s="22" t="inlineStr">
        <is>
          <t>PTO Balance by Employee</t>
        </is>
      </c>
    </row>
    <row r="2">
      <c r="A2" t="inlineStr">
        <is>
          <t>PTO days per year (calendar days):</t>
        </is>
      </c>
      <c r="B2" s="52" t="n">
        <v>14</v>
      </c>
      <c r="D2" s="53" t="inlineStr">
        <is>
          <t>Year start:</t>
        </is>
      </c>
      <c r="E2" s="68">
        <f>DATE(YEAR($G$2),1,1)</f>
        <v>46388.0</v>
      </c>
      <c r="F2" s="53" t="inlineStr">
        <is>
          <t>Year end date:</t>
        </is>
      </c>
      <c r="G2" s="68">
        <f>DATE(YEAR('Annual Calendar'!$B$5),12,31)</f>
        <v>46752.0</v>
      </c>
      <c r="H2" s="55" t="inlineStr">
        <is>
          <t>← they come from the Sunday of week 1 (Annual Calendar!B5): change it there and the whole year moves</t>
        </is>
      </c>
    </row>
    <row r="3" ht="28" customHeight="1">
      <c r="A3" s="51" t="inlineStr">
        <is>
          <t>▸ The names come from the Annual Calendar. Fill in the hire date (to prorate for anyone who joins mid-year), the end date if there is one (that number is what goes into the final paycheck) and, if someone has a different entitlement from the general one, their own days.</t>
        </is>
      </c>
    </row>
    <row r="4">
      <c r="A4" s="41" t="inlineStr">
        <is>
          <t>Employee</t>
        </is>
      </c>
      <c r="B4" s="41" t="inlineStr">
        <is>
          <t>Hire date</t>
        </is>
      </c>
      <c r="C4" s="41" t="inlineStr">
        <is>
          <t>Separation / end date</t>
        </is>
      </c>
      <c r="D4" s="41" t="inlineStr">
        <is>
          <t>Own days</t>
        </is>
      </c>
      <c r="E4" s="41" t="inlineStr">
        <is>
          <t>Annual entitlement</t>
        </is>
      </c>
      <c r="F4" s="41" t="inlineStr">
        <is>
          <t>Taken</t>
        </is>
      </c>
      <c r="G4" s="41" t="inlineStr">
        <is>
          <t>Pending</t>
        </is>
      </c>
      <c r="H4" s="41" t="inlineStr">
        <is>
          <t>Days left</t>
        </is>
      </c>
      <c r="I4" s="41" t="inlineStr">
        <is>
          <t>Alert</t>
        </is>
      </c>
    </row>
    <row r="5">
      <c r="A5">
        <f>IF('Annual Calendar'!$A6="","",'Annual Calendar'!$A6)</f>
        <v/>
      </c>
      <c r="B5" s="66" t="n"/>
      <c r="C5" s="66" t="n"/>
      <c r="D5" s="52" t="n"/>
      <c r="E5" s="67">
        <f>IFERROR(IF($A5="","",MAX(0,MIN(IF($D5="",$B$2,$D5),ROUND(IF($D5="",$B$2,$D5)*((IF($C5="",$G$2,MIN($C5,$G$2)))-(IF($B5="",$E$2,MAX($B5,$E$2)))+1)/($G$2-$E$2+1),1)))),"")</f>
        <v/>
      </c>
      <c r="F5" s="67">
        <f>IF($A5="","",SUMIFS('PTO Requests'!$D$5:$D$154,'PTO Requests'!$A$5:$A$154,$A5&amp;"",'PTO Requests'!$G$5:$G$154,"Approved",'PTO Requests'!$B$5:$B$154,"&gt;="&amp;'PTO Balance'!$E$2,'PTO Requests'!$B$5:$B$154,"&lt;="&amp;'PTO Balance'!$G$2))</f>
        <v/>
      </c>
      <c r="G5" s="67">
        <f>IF($A5="","",SUMIFS('PTO Requests'!$D$5:$D$154,'PTO Requests'!$A$5:$A$154,$A5&amp;"",'PTO Requests'!$G$5:$G$154,"Pending",'PTO Requests'!$B$5:$B$154,"&gt;="&amp;'PTO Balance'!$E$2,'PTO Requests'!$B$5:$B$154,"&lt;="&amp;'PTO Balance'!$G$2))</f>
        <v/>
      </c>
      <c r="H5" s="67">
        <f>IF($E5="","",ROUND($E5-$F5-$G5,1))</f>
        <v/>
      </c>
      <c r="I5">
        <f>IF($A5="","",IF(AND($B5&lt;&gt;"",$B5&gt;$G$2),"⚠ hire date is after year-end",IF(AND($C5&lt;&gt;"",$B5&lt;&gt;"",$C5&lt;$B5),"⚠ end date is before hire date",IF($H5&lt;0,"⛔ negative balance",IF($H5=0,"⚠ no days left","")))))</f>
        <v/>
      </c>
    </row>
    <row r="6">
      <c r="A6">
        <f>IF('Annual Calendar'!$A7="","",'Annual Calendar'!$A7)</f>
        <v/>
      </c>
      <c r="B6" s="66" t="n"/>
      <c r="C6" s="66" t="n"/>
      <c r="D6" s="52" t="n"/>
      <c r="E6" s="67">
        <f>IFERROR(IF($A6="","",MAX(0,MIN(IF($D6="",$B$2,$D6),ROUND(IF($D6="",$B$2,$D6)*((IF($C6="",$G$2,MIN($C6,$G$2)))-(IF($B6="",$E$2,MAX($B6,$E$2)))+1)/($G$2-$E$2+1),1)))),"")</f>
        <v/>
      </c>
      <c r="F6" s="67">
        <f>IF($A6="","",SUMIFS('PTO Requests'!$D$5:$D$154,'PTO Requests'!$A$5:$A$154,$A6&amp;"",'PTO Requests'!$G$5:$G$154,"Approved",'PTO Requests'!$B$5:$B$154,"&gt;="&amp;'PTO Balance'!$E$2,'PTO Requests'!$B$5:$B$154,"&lt;="&amp;'PTO Balance'!$G$2))</f>
        <v/>
      </c>
      <c r="G6" s="67">
        <f>IF($A6="","",SUMIFS('PTO Requests'!$D$5:$D$154,'PTO Requests'!$A$5:$A$154,$A6&amp;"",'PTO Requests'!$G$5:$G$154,"Pending",'PTO Requests'!$B$5:$B$154,"&gt;="&amp;'PTO Balance'!$E$2,'PTO Requests'!$B$5:$B$154,"&lt;="&amp;'PTO Balance'!$G$2))</f>
        <v/>
      </c>
      <c r="H6" s="67">
        <f>IF($E6="","",ROUND($E6-$F6-$G6,1))</f>
        <v/>
      </c>
      <c r="I6">
        <f>IF($A6="","",IF(AND($B6&lt;&gt;"",$B6&gt;$G$2),"⚠ hire date is after year-end",IF(AND($C6&lt;&gt;"",$B6&lt;&gt;"",$C6&lt;$B6),"⚠ end date is before hire date",IF($H6&lt;0,"⛔ negative balance",IF($H6=0,"⚠ no days left","")))))</f>
        <v/>
      </c>
    </row>
    <row r="7">
      <c r="A7">
        <f>IF('Annual Calendar'!$A8="","",'Annual Calendar'!$A8)</f>
        <v/>
      </c>
      <c r="B7" s="66" t="n"/>
      <c r="C7" s="66" t="n"/>
      <c r="D7" s="52" t="n"/>
      <c r="E7" s="67">
        <f>IFERROR(IF($A7="","",MAX(0,MIN(IF($D7="",$B$2,$D7),ROUND(IF($D7="",$B$2,$D7)*((IF($C7="",$G$2,MIN($C7,$G$2)))-(IF($B7="",$E$2,MAX($B7,$E$2)))+1)/($G$2-$E$2+1),1)))),"")</f>
        <v/>
      </c>
      <c r="F7" s="67">
        <f>IF($A7="","",SUMIFS('PTO Requests'!$D$5:$D$154,'PTO Requests'!$A$5:$A$154,$A7&amp;"",'PTO Requests'!$G$5:$G$154,"Approved",'PTO Requests'!$B$5:$B$154,"&gt;="&amp;'PTO Balance'!$E$2,'PTO Requests'!$B$5:$B$154,"&lt;="&amp;'PTO Balance'!$G$2))</f>
        <v/>
      </c>
      <c r="G7" s="67">
        <f>IF($A7="","",SUMIFS('PTO Requests'!$D$5:$D$154,'PTO Requests'!$A$5:$A$154,$A7&amp;"",'PTO Requests'!$G$5:$G$154,"Pending",'PTO Requests'!$B$5:$B$154,"&gt;="&amp;'PTO Balance'!$E$2,'PTO Requests'!$B$5:$B$154,"&lt;="&amp;'PTO Balance'!$G$2))</f>
        <v/>
      </c>
      <c r="H7" s="67">
        <f>IF($E7="","",ROUND($E7-$F7-$G7,1))</f>
        <v/>
      </c>
      <c r="I7">
        <f>IF($A7="","",IF(AND($B7&lt;&gt;"",$B7&gt;$G$2),"⚠ hire date is after year-end",IF(AND($C7&lt;&gt;"",$B7&lt;&gt;"",$C7&lt;$B7),"⚠ end date is before hire date",IF($H7&lt;0,"⛔ negative balance",IF($H7=0,"⚠ no days left","")))))</f>
        <v/>
      </c>
    </row>
    <row r="8">
      <c r="A8">
        <f>IF('Annual Calendar'!$A9="","",'Annual Calendar'!$A9)</f>
        <v/>
      </c>
      <c r="B8" s="66" t="n"/>
      <c r="C8" s="66" t="n"/>
      <c r="D8" s="52" t="n"/>
      <c r="E8" s="67">
        <f>IFERROR(IF($A8="","",MAX(0,MIN(IF($D8="",$B$2,$D8),ROUND(IF($D8="",$B$2,$D8)*((IF($C8="",$G$2,MIN($C8,$G$2)))-(IF($B8="",$E$2,MAX($B8,$E$2)))+1)/($G$2-$E$2+1),1)))),"")</f>
        <v/>
      </c>
      <c r="F8" s="67">
        <f>IF($A8="","",SUMIFS('PTO Requests'!$D$5:$D$154,'PTO Requests'!$A$5:$A$154,$A8&amp;"",'PTO Requests'!$G$5:$G$154,"Approved",'PTO Requests'!$B$5:$B$154,"&gt;="&amp;'PTO Balance'!$E$2,'PTO Requests'!$B$5:$B$154,"&lt;="&amp;'PTO Balance'!$G$2))</f>
        <v/>
      </c>
      <c r="G8" s="67">
        <f>IF($A8="","",SUMIFS('PTO Requests'!$D$5:$D$154,'PTO Requests'!$A$5:$A$154,$A8&amp;"",'PTO Requests'!$G$5:$G$154,"Pending",'PTO Requests'!$B$5:$B$154,"&gt;="&amp;'PTO Balance'!$E$2,'PTO Requests'!$B$5:$B$154,"&lt;="&amp;'PTO Balance'!$G$2))</f>
        <v/>
      </c>
      <c r="H8" s="67">
        <f>IF($E8="","",ROUND($E8-$F8-$G8,1))</f>
        <v/>
      </c>
      <c r="I8">
        <f>IF($A8="","",IF(AND($B8&lt;&gt;"",$B8&gt;$G$2),"⚠ hire date is after year-end",IF(AND($C8&lt;&gt;"",$B8&lt;&gt;"",$C8&lt;$B8),"⚠ end date is before hire date",IF($H8&lt;0,"⛔ negative balance",IF($H8=0,"⚠ no days left","")))))</f>
        <v/>
      </c>
    </row>
    <row r="9">
      <c r="A9">
        <f>IF('Annual Calendar'!$A10="","",'Annual Calendar'!$A10)</f>
        <v/>
      </c>
      <c r="B9" s="66" t="n"/>
      <c r="C9" s="66" t="n"/>
      <c r="D9" s="52" t="n"/>
      <c r="E9" s="67">
        <f>IFERROR(IF($A9="","",MAX(0,MIN(IF($D9="",$B$2,$D9),ROUND(IF($D9="",$B$2,$D9)*((IF($C9="",$G$2,MIN($C9,$G$2)))-(IF($B9="",$E$2,MAX($B9,$E$2)))+1)/($G$2-$E$2+1),1)))),"")</f>
        <v/>
      </c>
      <c r="F9" s="67">
        <f>IF($A9="","",SUMIFS('PTO Requests'!$D$5:$D$154,'PTO Requests'!$A$5:$A$154,$A9&amp;"",'PTO Requests'!$G$5:$G$154,"Approved",'PTO Requests'!$B$5:$B$154,"&gt;="&amp;'PTO Balance'!$E$2,'PTO Requests'!$B$5:$B$154,"&lt;="&amp;'PTO Balance'!$G$2))</f>
        <v/>
      </c>
      <c r="G9" s="67">
        <f>IF($A9="","",SUMIFS('PTO Requests'!$D$5:$D$154,'PTO Requests'!$A$5:$A$154,$A9&amp;"",'PTO Requests'!$G$5:$G$154,"Pending",'PTO Requests'!$B$5:$B$154,"&gt;="&amp;'PTO Balance'!$E$2,'PTO Requests'!$B$5:$B$154,"&lt;="&amp;'PTO Balance'!$G$2))</f>
        <v/>
      </c>
      <c r="H9" s="67">
        <f>IF($E9="","",ROUND($E9-$F9-$G9,1))</f>
        <v/>
      </c>
      <c r="I9">
        <f>IF($A9="","",IF(AND($B9&lt;&gt;"",$B9&gt;$G$2),"⚠ hire date is after year-end",IF(AND($C9&lt;&gt;"",$B9&lt;&gt;"",$C9&lt;$B9),"⚠ end date is before hire date",IF($H9&lt;0,"⛔ negative balance",IF($H9=0,"⚠ no days left","")))))</f>
        <v/>
      </c>
    </row>
    <row r="10">
      <c r="A10">
        <f>IF('Annual Calendar'!$A11="","",'Annual Calendar'!$A11)</f>
        <v/>
      </c>
      <c r="B10" s="66" t="n"/>
      <c r="C10" s="66" t="n"/>
      <c r="D10" s="52" t="n"/>
      <c r="E10" s="67">
        <f>IFERROR(IF($A10="","",MAX(0,MIN(IF($D10="",$B$2,$D10),ROUND(IF($D10="",$B$2,$D10)*((IF($C10="",$G$2,MIN($C10,$G$2)))-(IF($B10="",$E$2,MAX($B10,$E$2)))+1)/($G$2-$E$2+1),1)))),"")</f>
        <v/>
      </c>
      <c r="F10" s="67">
        <f>IF($A10="","",SUMIFS('PTO Requests'!$D$5:$D$154,'PTO Requests'!$A$5:$A$154,$A10&amp;"",'PTO Requests'!$G$5:$G$154,"Approved",'PTO Requests'!$B$5:$B$154,"&gt;="&amp;'PTO Balance'!$E$2,'PTO Requests'!$B$5:$B$154,"&lt;="&amp;'PTO Balance'!$G$2))</f>
        <v/>
      </c>
      <c r="G10" s="67">
        <f>IF($A10="","",SUMIFS('PTO Requests'!$D$5:$D$154,'PTO Requests'!$A$5:$A$154,$A10&amp;"",'PTO Requests'!$G$5:$G$154,"Pending",'PTO Requests'!$B$5:$B$154,"&gt;="&amp;'PTO Balance'!$E$2,'PTO Requests'!$B$5:$B$154,"&lt;="&amp;'PTO Balance'!$G$2))</f>
        <v/>
      </c>
      <c r="H10" s="67">
        <f>IF($E10="","",ROUND($E10-$F10-$G10,1))</f>
        <v/>
      </c>
      <c r="I10">
        <f>IF($A10="","",IF(AND($B10&lt;&gt;"",$B10&gt;$G$2),"⚠ hire date is after year-end",IF(AND($C10&lt;&gt;"",$B10&lt;&gt;"",$C10&lt;$B10),"⚠ end date is before hire date",IF($H10&lt;0,"⛔ negative balance",IF($H10=0,"⚠ no days left","")))))</f>
        <v/>
      </c>
    </row>
    <row r="11">
      <c r="A11">
        <f>IF('Annual Calendar'!$A12="","",'Annual Calendar'!$A12)</f>
        <v/>
      </c>
      <c r="B11" s="66" t="n"/>
      <c r="C11" s="66" t="n"/>
      <c r="D11" s="52" t="n"/>
      <c r="E11" s="67">
        <f>IFERROR(IF($A11="","",MAX(0,MIN(IF($D11="",$B$2,$D11),ROUND(IF($D11="",$B$2,$D11)*((IF($C11="",$G$2,MIN($C11,$G$2)))-(IF($B11="",$E$2,MAX($B11,$E$2)))+1)/($G$2-$E$2+1),1)))),"")</f>
        <v/>
      </c>
      <c r="F11" s="67">
        <f>IF($A11="","",SUMIFS('PTO Requests'!$D$5:$D$154,'PTO Requests'!$A$5:$A$154,$A11&amp;"",'PTO Requests'!$G$5:$G$154,"Approved",'PTO Requests'!$B$5:$B$154,"&gt;="&amp;'PTO Balance'!$E$2,'PTO Requests'!$B$5:$B$154,"&lt;="&amp;'PTO Balance'!$G$2))</f>
        <v/>
      </c>
      <c r="G11" s="67">
        <f>IF($A11="","",SUMIFS('PTO Requests'!$D$5:$D$154,'PTO Requests'!$A$5:$A$154,$A11&amp;"",'PTO Requests'!$G$5:$G$154,"Pending",'PTO Requests'!$B$5:$B$154,"&gt;="&amp;'PTO Balance'!$E$2,'PTO Requests'!$B$5:$B$154,"&lt;="&amp;'PTO Balance'!$G$2))</f>
        <v/>
      </c>
      <c r="H11" s="67">
        <f>IF($E11="","",ROUND($E11-$F11-$G11,1))</f>
        <v/>
      </c>
      <c r="I11">
        <f>IF($A11="","",IF(AND($B11&lt;&gt;"",$B11&gt;$G$2),"⚠ hire date is after year-end",IF(AND($C11&lt;&gt;"",$B11&lt;&gt;"",$C11&lt;$B11),"⚠ end date is before hire date",IF($H11&lt;0,"⛔ negative balance",IF($H11=0,"⚠ no days left","")))))</f>
        <v/>
      </c>
    </row>
    <row r="12">
      <c r="A12">
        <f>IF('Annual Calendar'!$A13="","",'Annual Calendar'!$A13)</f>
        <v/>
      </c>
      <c r="B12" s="66" t="n"/>
      <c r="C12" s="66" t="n"/>
      <c r="D12" s="52" t="n"/>
      <c r="E12" s="67">
        <f>IFERROR(IF($A12="","",MAX(0,MIN(IF($D12="",$B$2,$D12),ROUND(IF($D12="",$B$2,$D12)*((IF($C12="",$G$2,MIN($C12,$G$2)))-(IF($B12="",$E$2,MAX($B12,$E$2)))+1)/($G$2-$E$2+1),1)))),"")</f>
        <v/>
      </c>
      <c r="F12" s="67">
        <f>IF($A12="","",SUMIFS('PTO Requests'!$D$5:$D$154,'PTO Requests'!$A$5:$A$154,$A12&amp;"",'PTO Requests'!$G$5:$G$154,"Approved",'PTO Requests'!$B$5:$B$154,"&gt;="&amp;'PTO Balance'!$E$2,'PTO Requests'!$B$5:$B$154,"&lt;="&amp;'PTO Balance'!$G$2))</f>
        <v/>
      </c>
      <c r="G12" s="67">
        <f>IF($A12="","",SUMIFS('PTO Requests'!$D$5:$D$154,'PTO Requests'!$A$5:$A$154,$A12&amp;"",'PTO Requests'!$G$5:$G$154,"Pending",'PTO Requests'!$B$5:$B$154,"&gt;="&amp;'PTO Balance'!$E$2,'PTO Requests'!$B$5:$B$154,"&lt;="&amp;'PTO Balance'!$G$2))</f>
        <v/>
      </c>
      <c r="H12" s="67">
        <f>IF($E12="","",ROUND($E12-$F12-$G12,1))</f>
        <v/>
      </c>
      <c r="I12">
        <f>IF($A12="","",IF(AND($B12&lt;&gt;"",$B12&gt;$G$2),"⚠ hire date is after year-end",IF(AND($C12&lt;&gt;"",$B12&lt;&gt;"",$C12&lt;$B12),"⚠ end date is before hire date",IF($H12&lt;0,"⛔ negative balance",IF($H12=0,"⚠ no days left","")))))</f>
        <v/>
      </c>
    </row>
    <row r="13">
      <c r="A13">
        <f>IF('Annual Calendar'!$A14="","",'Annual Calendar'!$A14)</f>
        <v/>
      </c>
      <c r="B13" s="66" t="n"/>
      <c r="C13" s="66" t="n"/>
      <c r="D13" s="52" t="n"/>
      <c r="E13" s="67">
        <f>IFERROR(IF($A13="","",MAX(0,MIN(IF($D13="",$B$2,$D13),ROUND(IF($D13="",$B$2,$D13)*((IF($C13="",$G$2,MIN($C13,$G$2)))-(IF($B13="",$E$2,MAX($B13,$E$2)))+1)/($G$2-$E$2+1),1)))),"")</f>
        <v/>
      </c>
      <c r="F13" s="67">
        <f>IF($A13="","",SUMIFS('PTO Requests'!$D$5:$D$154,'PTO Requests'!$A$5:$A$154,$A13&amp;"",'PTO Requests'!$G$5:$G$154,"Approved",'PTO Requests'!$B$5:$B$154,"&gt;="&amp;'PTO Balance'!$E$2,'PTO Requests'!$B$5:$B$154,"&lt;="&amp;'PTO Balance'!$G$2))</f>
        <v/>
      </c>
      <c r="G13" s="67">
        <f>IF($A13="","",SUMIFS('PTO Requests'!$D$5:$D$154,'PTO Requests'!$A$5:$A$154,$A13&amp;"",'PTO Requests'!$G$5:$G$154,"Pending",'PTO Requests'!$B$5:$B$154,"&gt;="&amp;'PTO Balance'!$E$2,'PTO Requests'!$B$5:$B$154,"&lt;="&amp;'PTO Balance'!$G$2))</f>
        <v/>
      </c>
      <c r="H13" s="67">
        <f>IF($E13="","",ROUND($E13-$F13-$G13,1))</f>
        <v/>
      </c>
      <c r="I13">
        <f>IF($A13="","",IF(AND($B13&lt;&gt;"",$B13&gt;$G$2),"⚠ hire date is after year-end",IF(AND($C13&lt;&gt;"",$B13&lt;&gt;"",$C13&lt;$B13),"⚠ end date is before hire date",IF($H13&lt;0,"⛔ negative balance",IF($H13=0,"⚠ no days left","")))))</f>
        <v/>
      </c>
    </row>
    <row r="14">
      <c r="A14">
        <f>IF('Annual Calendar'!$A15="","",'Annual Calendar'!$A15)</f>
        <v/>
      </c>
      <c r="B14" s="66" t="n"/>
      <c r="C14" s="66" t="n"/>
      <c r="D14" s="52" t="n"/>
      <c r="E14" s="67">
        <f>IFERROR(IF($A14="","",MAX(0,MIN(IF($D14="",$B$2,$D14),ROUND(IF($D14="",$B$2,$D14)*((IF($C14="",$G$2,MIN($C14,$G$2)))-(IF($B14="",$E$2,MAX($B14,$E$2)))+1)/($G$2-$E$2+1),1)))),"")</f>
        <v/>
      </c>
      <c r="F14" s="67">
        <f>IF($A14="","",SUMIFS('PTO Requests'!$D$5:$D$154,'PTO Requests'!$A$5:$A$154,$A14&amp;"",'PTO Requests'!$G$5:$G$154,"Approved",'PTO Requests'!$B$5:$B$154,"&gt;="&amp;'PTO Balance'!$E$2,'PTO Requests'!$B$5:$B$154,"&lt;="&amp;'PTO Balance'!$G$2))</f>
        <v/>
      </c>
      <c r="G14" s="67">
        <f>IF($A14="","",SUMIFS('PTO Requests'!$D$5:$D$154,'PTO Requests'!$A$5:$A$154,$A14&amp;"",'PTO Requests'!$G$5:$G$154,"Pending",'PTO Requests'!$B$5:$B$154,"&gt;="&amp;'PTO Balance'!$E$2,'PTO Requests'!$B$5:$B$154,"&lt;="&amp;'PTO Balance'!$G$2))</f>
        <v/>
      </c>
      <c r="H14" s="67">
        <f>IF($E14="","",ROUND($E14-$F14-$G14,1))</f>
        <v/>
      </c>
      <c r="I14">
        <f>IF($A14="","",IF(AND($B14&lt;&gt;"",$B14&gt;$G$2),"⚠ hire date is after year-end",IF(AND($C14&lt;&gt;"",$B14&lt;&gt;"",$C14&lt;$B14),"⚠ end date is before hire date",IF($H14&lt;0,"⛔ negative balance",IF($H14=0,"⚠ no days left","")))))</f>
        <v/>
      </c>
    </row>
    <row r="15">
      <c r="A15">
        <f>IF('Annual Calendar'!$A16="","",'Annual Calendar'!$A16)</f>
        <v/>
      </c>
      <c r="B15" s="66" t="n"/>
      <c r="C15" s="66" t="n"/>
      <c r="D15" s="52" t="n"/>
      <c r="E15" s="67">
        <f>IFERROR(IF($A15="","",MAX(0,MIN(IF($D15="",$B$2,$D15),ROUND(IF($D15="",$B$2,$D15)*((IF($C15="",$G$2,MIN($C15,$G$2)))-(IF($B15="",$E$2,MAX($B15,$E$2)))+1)/($G$2-$E$2+1),1)))),"")</f>
        <v/>
      </c>
      <c r="F15" s="67">
        <f>IF($A15="","",SUMIFS('PTO Requests'!$D$5:$D$154,'PTO Requests'!$A$5:$A$154,$A15&amp;"",'PTO Requests'!$G$5:$G$154,"Approved",'PTO Requests'!$B$5:$B$154,"&gt;="&amp;'PTO Balance'!$E$2,'PTO Requests'!$B$5:$B$154,"&lt;="&amp;'PTO Balance'!$G$2))</f>
        <v/>
      </c>
      <c r="G15" s="67">
        <f>IF($A15="","",SUMIFS('PTO Requests'!$D$5:$D$154,'PTO Requests'!$A$5:$A$154,$A15&amp;"",'PTO Requests'!$G$5:$G$154,"Pending",'PTO Requests'!$B$5:$B$154,"&gt;="&amp;'PTO Balance'!$E$2,'PTO Requests'!$B$5:$B$154,"&lt;="&amp;'PTO Balance'!$G$2))</f>
        <v/>
      </c>
      <c r="H15" s="67">
        <f>IF($E15="","",ROUND($E15-$F15-$G15,1))</f>
        <v/>
      </c>
      <c r="I15">
        <f>IF($A15="","",IF(AND($B15&lt;&gt;"",$B15&gt;$G$2),"⚠ hire date is after year-end",IF(AND($C15&lt;&gt;"",$B15&lt;&gt;"",$C15&lt;$B15),"⚠ end date is before hire date",IF($H15&lt;0,"⛔ negative balance",IF($H15=0,"⚠ no days left","")))))</f>
        <v/>
      </c>
    </row>
    <row r="16">
      <c r="A16">
        <f>IF('Annual Calendar'!$A17="","",'Annual Calendar'!$A17)</f>
        <v/>
      </c>
      <c r="B16" s="66" t="n"/>
      <c r="C16" s="66" t="n"/>
      <c r="D16" s="52" t="n"/>
      <c r="E16" s="67">
        <f>IFERROR(IF($A16="","",MAX(0,MIN(IF($D16="",$B$2,$D16),ROUND(IF($D16="",$B$2,$D16)*((IF($C16="",$G$2,MIN($C16,$G$2)))-(IF($B16="",$E$2,MAX($B16,$E$2)))+1)/($G$2-$E$2+1),1)))),"")</f>
        <v/>
      </c>
      <c r="F16" s="67">
        <f>IF($A16="","",SUMIFS('PTO Requests'!$D$5:$D$154,'PTO Requests'!$A$5:$A$154,$A16&amp;"",'PTO Requests'!$G$5:$G$154,"Approved",'PTO Requests'!$B$5:$B$154,"&gt;="&amp;'PTO Balance'!$E$2,'PTO Requests'!$B$5:$B$154,"&lt;="&amp;'PTO Balance'!$G$2))</f>
        <v/>
      </c>
      <c r="G16" s="67">
        <f>IF($A16="","",SUMIFS('PTO Requests'!$D$5:$D$154,'PTO Requests'!$A$5:$A$154,$A16&amp;"",'PTO Requests'!$G$5:$G$154,"Pending",'PTO Requests'!$B$5:$B$154,"&gt;="&amp;'PTO Balance'!$E$2,'PTO Requests'!$B$5:$B$154,"&lt;="&amp;'PTO Balance'!$G$2))</f>
        <v/>
      </c>
      <c r="H16" s="67">
        <f>IF($E16="","",ROUND($E16-$F16-$G16,1))</f>
        <v/>
      </c>
      <c r="I16">
        <f>IF($A16="","",IF(AND($B16&lt;&gt;"",$B16&gt;$G$2),"⚠ hire date is after year-end",IF(AND($C16&lt;&gt;"",$B16&lt;&gt;"",$C16&lt;$B16),"⚠ end date is before hire date",IF($H16&lt;0,"⛔ negative balance",IF($H16=0,"⚠ no days left","")))))</f>
        <v/>
      </c>
    </row>
    <row r="17">
      <c r="A17">
        <f>IF('Annual Calendar'!$A18="","",'Annual Calendar'!$A18)</f>
        <v/>
      </c>
      <c r="B17" s="66" t="n"/>
      <c r="C17" s="66" t="n"/>
      <c r="D17" s="52" t="n"/>
      <c r="E17" s="67">
        <f>IFERROR(IF($A17="","",MAX(0,MIN(IF($D17="",$B$2,$D17),ROUND(IF($D17="",$B$2,$D17)*((IF($C17="",$G$2,MIN($C17,$G$2)))-(IF($B17="",$E$2,MAX($B17,$E$2)))+1)/($G$2-$E$2+1),1)))),"")</f>
        <v/>
      </c>
      <c r="F17" s="67">
        <f>IF($A17="","",SUMIFS('PTO Requests'!$D$5:$D$154,'PTO Requests'!$A$5:$A$154,$A17&amp;"",'PTO Requests'!$G$5:$G$154,"Approved",'PTO Requests'!$B$5:$B$154,"&gt;="&amp;'PTO Balance'!$E$2,'PTO Requests'!$B$5:$B$154,"&lt;="&amp;'PTO Balance'!$G$2))</f>
        <v/>
      </c>
      <c r="G17" s="67">
        <f>IF($A17="","",SUMIFS('PTO Requests'!$D$5:$D$154,'PTO Requests'!$A$5:$A$154,$A17&amp;"",'PTO Requests'!$G$5:$G$154,"Pending",'PTO Requests'!$B$5:$B$154,"&gt;="&amp;'PTO Balance'!$E$2,'PTO Requests'!$B$5:$B$154,"&lt;="&amp;'PTO Balance'!$G$2))</f>
        <v/>
      </c>
      <c r="H17" s="67">
        <f>IF($E17="","",ROUND($E17-$F17-$G17,1))</f>
        <v/>
      </c>
      <c r="I17">
        <f>IF($A17="","",IF(AND($B17&lt;&gt;"",$B17&gt;$G$2),"⚠ hire date is after year-end",IF(AND($C17&lt;&gt;"",$B17&lt;&gt;"",$C17&lt;$B17),"⚠ end date is before hire date",IF($H17&lt;0,"⛔ negative balance",IF($H17=0,"⚠ no days left","")))))</f>
        <v/>
      </c>
    </row>
    <row r="18">
      <c r="A18">
        <f>IF('Annual Calendar'!$A19="","",'Annual Calendar'!$A19)</f>
        <v/>
      </c>
      <c r="B18" s="66" t="n"/>
      <c r="C18" s="66" t="n"/>
      <c r="D18" s="52" t="n"/>
      <c r="E18" s="67">
        <f>IFERROR(IF($A18="","",MAX(0,MIN(IF($D18="",$B$2,$D18),ROUND(IF($D18="",$B$2,$D18)*((IF($C18="",$G$2,MIN($C18,$G$2)))-(IF($B18="",$E$2,MAX($B18,$E$2)))+1)/($G$2-$E$2+1),1)))),"")</f>
        <v/>
      </c>
      <c r="F18" s="67">
        <f>IF($A18="","",SUMIFS('PTO Requests'!$D$5:$D$154,'PTO Requests'!$A$5:$A$154,$A18&amp;"",'PTO Requests'!$G$5:$G$154,"Approved",'PTO Requests'!$B$5:$B$154,"&gt;="&amp;'PTO Balance'!$E$2,'PTO Requests'!$B$5:$B$154,"&lt;="&amp;'PTO Balance'!$G$2))</f>
        <v/>
      </c>
      <c r="G18" s="67">
        <f>IF($A18="","",SUMIFS('PTO Requests'!$D$5:$D$154,'PTO Requests'!$A$5:$A$154,$A18&amp;"",'PTO Requests'!$G$5:$G$154,"Pending",'PTO Requests'!$B$5:$B$154,"&gt;="&amp;'PTO Balance'!$E$2,'PTO Requests'!$B$5:$B$154,"&lt;="&amp;'PTO Balance'!$G$2))</f>
        <v/>
      </c>
      <c r="H18" s="67">
        <f>IF($E18="","",ROUND($E18-$F18-$G18,1))</f>
        <v/>
      </c>
      <c r="I18">
        <f>IF($A18="","",IF(AND($B18&lt;&gt;"",$B18&gt;$G$2),"⚠ hire date is after year-end",IF(AND($C18&lt;&gt;"",$B18&lt;&gt;"",$C18&lt;$B18),"⚠ end date is before hire date",IF($H18&lt;0,"⛔ negative balance",IF($H18=0,"⚠ no days left","")))))</f>
        <v/>
      </c>
    </row>
    <row r="19">
      <c r="A19">
        <f>IF('Annual Calendar'!$A20="","",'Annual Calendar'!$A20)</f>
        <v/>
      </c>
      <c r="B19" s="66" t="n"/>
      <c r="C19" s="66" t="n"/>
      <c r="D19" s="52" t="n"/>
      <c r="E19" s="67">
        <f>IFERROR(IF($A19="","",MAX(0,MIN(IF($D19="",$B$2,$D19),ROUND(IF($D19="",$B$2,$D19)*((IF($C19="",$G$2,MIN($C19,$G$2)))-(IF($B19="",$E$2,MAX($B19,$E$2)))+1)/($G$2-$E$2+1),1)))),"")</f>
        <v/>
      </c>
      <c r="F19" s="67">
        <f>IF($A19="","",SUMIFS('PTO Requests'!$D$5:$D$154,'PTO Requests'!$A$5:$A$154,$A19&amp;"",'PTO Requests'!$G$5:$G$154,"Approved",'PTO Requests'!$B$5:$B$154,"&gt;="&amp;'PTO Balance'!$E$2,'PTO Requests'!$B$5:$B$154,"&lt;="&amp;'PTO Balance'!$G$2))</f>
        <v/>
      </c>
      <c r="G19" s="67">
        <f>IF($A19="","",SUMIFS('PTO Requests'!$D$5:$D$154,'PTO Requests'!$A$5:$A$154,$A19&amp;"",'PTO Requests'!$G$5:$G$154,"Pending",'PTO Requests'!$B$5:$B$154,"&gt;="&amp;'PTO Balance'!$E$2,'PTO Requests'!$B$5:$B$154,"&lt;="&amp;'PTO Balance'!$G$2))</f>
        <v/>
      </c>
      <c r="H19" s="67">
        <f>IF($E19="","",ROUND($E19-$F19-$G19,1))</f>
        <v/>
      </c>
      <c r="I19">
        <f>IF($A19="","",IF(AND($B19&lt;&gt;"",$B19&gt;$G$2),"⚠ hire date is after year-end",IF(AND($C19&lt;&gt;"",$B19&lt;&gt;"",$C19&lt;$B19),"⚠ end date is before hire date",IF($H19&lt;0,"⛔ negative balance",IF($H19=0,"⚠ no days left","")))))</f>
        <v/>
      </c>
    </row>
    <row r="20">
      <c r="A20">
        <f>IF('Annual Calendar'!$A21="","",'Annual Calendar'!$A21)</f>
        <v/>
      </c>
      <c r="B20" s="66" t="n"/>
      <c r="C20" s="66" t="n"/>
      <c r="D20" s="52" t="n"/>
      <c r="E20" s="67">
        <f>IFERROR(IF($A20="","",MAX(0,MIN(IF($D20="",$B$2,$D20),ROUND(IF($D20="",$B$2,$D20)*((IF($C20="",$G$2,MIN($C20,$G$2)))-(IF($B20="",$E$2,MAX($B20,$E$2)))+1)/($G$2-$E$2+1),1)))),"")</f>
        <v/>
      </c>
      <c r="F20" s="67">
        <f>IF($A20="","",SUMIFS('PTO Requests'!$D$5:$D$154,'PTO Requests'!$A$5:$A$154,$A20&amp;"",'PTO Requests'!$G$5:$G$154,"Approved",'PTO Requests'!$B$5:$B$154,"&gt;="&amp;'PTO Balance'!$E$2,'PTO Requests'!$B$5:$B$154,"&lt;="&amp;'PTO Balance'!$G$2))</f>
        <v/>
      </c>
      <c r="G20" s="67">
        <f>IF($A20="","",SUMIFS('PTO Requests'!$D$5:$D$154,'PTO Requests'!$A$5:$A$154,$A20&amp;"",'PTO Requests'!$G$5:$G$154,"Pending",'PTO Requests'!$B$5:$B$154,"&gt;="&amp;'PTO Balance'!$E$2,'PTO Requests'!$B$5:$B$154,"&lt;="&amp;'PTO Balance'!$G$2))</f>
        <v/>
      </c>
      <c r="H20" s="67">
        <f>IF($E20="","",ROUND($E20-$F20-$G20,1))</f>
        <v/>
      </c>
      <c r="I20">
        <f>IF($A20="","",IF(AND($B20&lt;&gt;"",$B20&gt;$G$2),"⚠ hire date is after year-end",IF(AND($C20&lt;&gt;"",$B20&lt;&gt;"",$C20&lt;$B20),"⚠ end date is before hire date",IF($H20&lt;0,"⛔ negative balance",IF($H20=0,"⚠ no days left","")))))</f>
        <v/>
      </c>
    </row>
    <row r="21">
      <c r="A21">
        <f>IF('Annual Calendar'!$A22="","",'Annual Calendar'!$A22)</f>
        <v/>
      </c>
      <c r="B21" s="66" t="n"/>
      <c r="C21" s="66" t="n"/>
      <c r="D21" s="52" t="n"/>
      <c r="E21" s="67">
        <f>IFERROR(IF($A21="","",MAX(0,MIN(IF($D21="",$B$2,$D21),ROUND(IF($D21="",$B$2,$D21)*((IF($C21="",$G$2,MIN($C21,$G$2)))-(IF($B21="",$E$2,MAX($B21,$E$2)))+1)/($G$2-$E$2+1),1)))),"")</f>
        <v/>
      </c>
      <c r="F21" s="67">
        <f>IF($A21="","",SUMIFS('PTO Requests'!$D$5:$D$154,'PTO Requests'!$A$5:$A$154,$A21&amp;"",'PTO Requests'!$G$5:$G$154,"Approved",'PTO Requests'!$B$5:$B$154,"&gt;="&amp;'PTO Balance'!$E$2,'PTO Requests'!$B$5:$B$154,"&lt;="&amp;'PTO Balance'!$G$2))</f>
        <v/>
      </c>
      <c r="G21" s="67">
        <f>IF($A21="","",SUMIFS('PTO Requests'!$D$5:$D$154,'PTO Requests'!$A$5:$A$154,$A21&amp;"",'PTO Requests'!$G$5:$G$154,"Pending",'PTO Requests'!$B$5:$B$154,"&gt;="&amp;'PTO Balance'!$E$2,'PTO Requests'!$B$5:$B$154,"&lt;="&amp;'PTO Balance'!$G$2))</f>
        <v/>
      </c>
      <c r="H21" s="67">
        <f>IF($E21="","",ROUND($E21-$F21-$G21,1))</f>
        <v/>
      </c>
      <c r="I21">
        <f>IF($A21="","",IF(AND($B21&lt;&gt;"",$B21&gt;$G$2),"⚠ hire date is after year-end",IF(AND($C21&lt;&gt;"",$B21&lt;&gt;"",$C21&lt;$B21),"⚠ end date is before hire date",IF($H21&lt;0,"⛔ negative balance",IF($H21=0,"⚠ no days left","")))))</f>
        <v/>
      </c>
    </row>
    <row r="22">
      <c r="A22">
        <f>IF('Annual Calendar'!$A23="","",'Annual Calendar'!$A23)</f>
        <v/>
      </c>
      <c r="B22" s="66" t="n"/>
      <c r="C22" s="66" t="n"/>
      <c r="D22" s="52" t="n"/>
      <c r="E22" s="67">
        <f>IFERROR(IF($A22="","",MAX(0,MIN(IF($D22="",$B$2,$D22),ROUND(IF($D22="",$B$2,$D22)*((IF($C22="",$G$2,MIN($C22,$G$2)))-(IF($B22="",$E$2,MAX($B22,$E$2)))+1)/($G$2-$E$2+1),1)))),"")</f>
        <v/>
      </c>
      <c r="F22" s="67">
        <f>IF($A22="","",SUMIFS('PTO Requests'!$D$5:$D$154,'PTO Requests'!$A$5:$A$154,$A22&amp;"",'PTO Requests'!$G$5:$G$154,"Approved",'PTO Requests'!$B$5:$B$154,"&gt;="&amp;'PTO Balance'!$E$2,'PTO Requests'!$B$5:$B$154,"&lt;="&amp;'PTO Balance'!$G$2))</f>
        <v/>
      </c>
      <c r="G22" s="67">
        <f>IF($A22="","",SUMIFS('PTO Requests'!$D$5:$D$154,'PTO Requests'!$A$5:$A$154,$A22&amp;"",'PTO Requests'!$G$5:$G$154,"Pending",'PTO Requests'!$B$5:$B$154,"&gt;="&amp;'PTO Balance'!$E$2,'PTO Requests'!$B$5:$B$154,"&lt;="&amp;'PTO Balance'!$G$2))</f>
        <v/>
      </c>
      <c r="H22" s="67">
        <f>IF($E22="","",ROUND($E22-$F22-$G22,1))</f>
        <v/>
      </c>
      <c r="I22">
        <f>IF($A22="","",IF(AND($B22&lt;&gt;"",$B22&gt;$G$2),"⚠ hire date is after year-end",IF(AND($C22&lt;&gt;"",$B22&lt;&gt;"",$C22&lt;$B22),"⚠ end date is before hire date",IF($H22&lt;0,"⛔ negative balance",IF($H22=0,"⚠ no days left","")))))</f>
        <v/>
      </c>
    </row>
    <row r="23">
      <c r="A23">
        <f>IF('Annual Calendar'!$A24="","",'Annual Calendar'!$A24)</f>
        <v/>
      </c>
      <c r="B23" s="66" t="n"/>
      <c r="C23" s="66" t="n"/>
      <c r="D23" s="52" t="n"/>
      <c r="E23" s="67">
        <f>IFERROR(IF($A23="","",MAX(0,MIN(IF($D23="",$B$2,$D23),ROUND(IF($D23="",$B$2,$D23)*((IF($C23="",$G$2,MIN($C23,$G$2)))-(IF($B23="",$E$2,MAX($B23,$E$2)))+1)/($G$2-$E$2+1),1)))),"")</f>
        <v/>
      </c>
      <c r="F23" s="67">
        <f>IF($A23="","",SUMIFS('PTO Requests'!$D$5:$D$154,'PTO Requests'!$A$5:$A$154,$A23&amp;"",'PTO Requests'!$G$5:$G$154,"Approved",'PTO Requests'!$B$5:$B$154,"&gt;="&amp;'PTO Balance'!$E$2,'PTO Requests'!$B$5:$B$154,"&lt;="&amp;'PTO Balance'!$G$2))</f>
        <v/>
      </c>
      <c r="G23" s="67">
        <f>IF($A23="","",SUMIFS('PTO Requests'!$D$5:$D$154,'PTO Requests'!$A$5:$A$154,$A23&amp;"",'PTO Requests'!$G$5:$G$154,"Pending",'PTO Requests'!$B$5:$B$154,"&gt;="&amp;'PTO Balance'!$E$2,'PTO Requests'!$B$5:$B$154,"&lt;="&amp;'PTO Balance'!$G$2))</f>
        <v/>
      </c>
      <c r="H23" s="67">
        <f>IF($E23="","",ROUND($E23-$F23-$G23,1))</f>
        <v/>
      </c>
      <c r="I23">
        <f>IF($A23="","",IF(AND($B23&lt;&gt;"",$B23&gt;$G$2),"⚠ hire date is after year-end",IF(AND($C23&lt;&gt;"",$B23&lt;&gt;"",$C23&lt;$B23),"⚠ end date is before hire date",IF($H23&lt;0,"⛔ negative balance",IF($H23=0,"⚠ no days left","")))))</f>
        <v/>
      </c>
    </row>
    <row r="24">
      <c r="A24">
        <f>IF('Annual Calendar'!$A25="","",'Annual Calendar'!$A25)</f>
        <v/>
      </c>
      <c r="B24" s="66" t="n"/>
      <c r="C24" s="66" t="n"/>
      <c r="D24" s="52" t="n"/>
      <c r="E24" s="67">
        <f>IFERROR(IF($A24="","",MAX(0,MIN(IF($D24="",$B$2,$D24),ROUND(IF($D24="",$B$2,$D24)*((IF($C24="",$G$2,MIN($C24,$G$2)))-(IF($B24="",$E$2,MAX($B24,$E$2)))+1)/($G$2-$E$2+1),1)))),"")</f>
        <v/>
      </c>
      <c r="F24" s="67">
        <f>IF($A24="","",SUMIFS('PTO Requests'!$D$5:$D$154,'PTO Requests'!$A$5:$A$154,$A24&amp;"",'PTO Requests'!$G$5:$G$154,"Approved",'PTO Requests'!$B$5:$B$154,"&gt;="&amp;'PTO Balance'!$E$2,'PTO Requests'!$B$5:$B$154,"&lt;="&amp;'PTO Balance'!$G$2))</f>
        <v/>
      </c>
      <c r="G24" s="67">
        <f>IF($A24="","",SUMIFS('PTO Requests'!$D$5:$D$154,'PTO Requests'!$A$5:$A$154,$A24&amp;"",'PTO Requests'!$G$5:$G$154,"Pending",'PTO Requests'!$B$5:$B$154,"&gt;="&amp;'PTO Balance'!$E$2,'PTO Requests'!$B$5:$B$154,"&lt;="&amp;'PTO Balance'!$G$2))</f>
        <v/>
      </c>
      <c r="H24" s="67">
        <f>IF($E24="","",ROUND($E24-$F24-$G24,1))</f>
        <v/>
      </c>
      <c r="I24">
        <f>IF($A24="","",IF(AND($B24&lt;&gt;"",$B24&gt;$G$2),"⚠ hire date is after year-end",IF(AND($C24&lt;&gt;"",$B24&lt;&gt;"",$C24&lt;$B24),"⚠ end date is before hire date",IF($H24&lt;0,"⛔ negative balance",IF($H24=0,"⚠ no days left","")))))</f>
        <v/>
      </c>
    </row>
    <row r="25">
      <c r="A25">
        <f>IF('Annual Calendar'!$A26="","",'Annual Calendar'!$A26)</f>
        <v/>
      </c>
      <c r="B25" s="66" t="n"/>
      <c r="C25" s="66" t="n"/>
      <c r="D25" s="52" t="n"/>
      <c r="E25" s="67">
        <f>IFERROR(IF($A25="","",MAX(0,MIN(IF($D25="",$B$2,$D25),ROUND(IF($D25="",$B$2,$D25)*((IF($C25="",$G$2,MIN($C25,$G$2)))-(IF($B25="",$E$2,MAX($B25,$E$2)))+1)/($G$2-$E$2+1),1)))),"")</f>
        <v/>
      </c>
      <c r="F25" s="67">
        <f>IF($A25="","",SUMIFS('PTO Requests'!$D$5:$D$154,'PTO Requests'!$A$5:$A$154,$A25&amp;"",'PTO Requests'!$G$5:$G$154,"Approved",'PTO Requests'!$B$5:$B$154,"&gt;="&amp;'PTO Balance'!$E$2,'PTO Requests'!$B$5:$B$154,"&lt;="&amp;'PTO Balance'!$G$2))</f>
        <v/>
      </c>
      <c r="G25" s="67">
        <f>IF($A25="","",SUMIFS('PTO Requests'!$D$5:$D$154,'PTO Requests'!$A$5:$A$154,$A25&amp;"",'PTO Requests'!$G$5:$G$154,"Pending",'PTO Requests'!$B$5:$B$154,"&gt;="&amp;'PTO Balance'!$E$2,'PTO Requests'!$B$5:$B$154,"&lt;="&amp;'PTO Balance'!$G$2))</f>
        <v/>
      </c>
      <c r="H25" s="67">
        <f>IF($E25="","",ROUND($E25-$F25-$G25,1))</f>
        <v/>
      </c>
      <c r="I25">
        <f>IF($A25="","",IF(AND($B25&lt;&gt;"",$B25&gt;$G$2),"⚠ hire date is after year-end",IF(AND($C25&lt;&gt;"",$B25&lt;&gt;"",$C25&lt;$B25),"⚠ end date is before hire date",IF($H25&lt;0,"⛔ negative balance",IF($H25=0,"⚠ no days left","")))))</f>
        <v/>
      </c>
    </row>
    <row r="26">
      <c r="A26">
        <f>IF('Annual Calendar'!$A27="","",'Annual Calendar'!$A27)</f>
        <v/>
      </c>
      <c r="B26" s="66" t="n"/>
      <c r="C26" s="66" t="n"/>
      <c r="D26" s="52" t="n"/>
      <c r="E26" s="67">
        <f>IFERROR(IF($A26="","",MAX(0,MIN(IF($D26="",$B$2,$D26),ROUND(IF($D26="",$B$2,$D26)*((IF($C26="",$G$2,MIN($C26,$G$2)))-(IF($B26="",$E$2,MAX($B26,$E$2)))+1)/($G$2-$E$2+1),1)))),"")</f>
        <v/>
      </c>
      <c r="F26" s="67">
        <f>IF($A26="","",SUMIFS('PTO Requests'!$D$5:$D$154,'PTO Requests'!$A$5:$A$154,$A26&amp;"",'PTO Requests'!$G$5:$G$154,"Approved",'PTO Requests'!$B$5:$B$154,"&gt;="&amp;'PTO Balance'!$E$2,'PTO Requests'!$B$5:$B$154,"&lt;="&amp;'PTO Balance'!$G$2))</f>
        <v/>
      </c>
      <c r="G26" s="67">
        <f>IF($A26="","",SUMIFS('PTO Requests'!$D$5:$D$154,'PTO Requests'!$A$5:$A$154,$A26&amp;"",'PTO Requests'!$G$5:$G$154,"Pending",'PTO Requests'!$B$5:$B$154,"&gt;="&amp;'PTO Balance'!$E$2,'PTO Requests'!$B$5:$B$154,"&lt;="&amp;'PTO Balance'!$G$2))</f>
        <v/>
      </c>
      <c r="H26" s="67">
        <f>IF($E26="","",ROUND($E26-$F26-$G26,1))</f>
        <v/>
      </c>
      <c r="I26">
        <f>IF($A26="","",IF(AND($B26&lt;&gt;"",$B26&gt;$G$2),"⚠ hire date is after year-end",IF(AND($C26&lt;&gt;"",$B26&lt;&gt;"",$C26&lt;$B26),"⚠ end date is before hire date",IF($H26&lt;0,"⛔ negative balance",IF($H26=0,"⚠ no days left","")))))</f>
        <v/>
      </c>
    </row>
    <row r="27">
      <c r="A27">
        <f>IF('Annual Calendar'!$A28="","",'Annual Calendar'!$A28)</f>
        <v/>
      </c>
      <c r="B27" s="66" t="n"/>
      <c r="C27" s="66" t="n"/>
      <c r="D27" s="52" t="n"/>
      <c r="E27" s="67">
        <f>IFERROR(IF($A27="","",MAX(0,MIN(IF($D27="",$B$2,$D27),ROUND(IF($D27="",$B$2,$D27)*((IF($C27="",$G$2,MIN($C27,$G$2)))-(IF($B27="",$E$2,MAX($B27,$E$2)))+1)/($G$2-$E$2+1),1)))),"")</f>
        <v/>
      </c>
      <c r="F27" s="67">
        <f>IF($A27="","",SUMIFS('PTO Requests'!$D$5:$D$154,'PTO Requests'!$A$5:$A$154,$A27&amp;"",'PTO Requests'!$G$5:$G$154,"Approved",'PTO Requests'!$B$5:$B$154,"&gt;="&amp;'PTO Balance'!$E$2,'PTO Requests'!$B$5:$B$154,"&lt;="&amp;'PTO Balance'!$G$2))</f>
        <v/>
      </c>
      <c r="G27" s="67">
        <f>IF($A27="","",SUMIFS('PTO Requests'!$D$5:$D$154,'PTO Requests'!$A$5:$A$154,$A27&amp;"",'PTO Requests'!$G$5:$G$154,"Pending",'PTO Requests'!$B$5:$B$154,"&gt;="&amp;'PTO Balance'!$E$2,'PTO Requests'!$B$5:$B$154,"&lt;="&amp;'PTO Balance'!$G$2))</f>
        <v/>
      </c>
      <c r="H27" s="67">
        <f>IF($E27="","",ROUND($E27-$F27-$G27,1))</f>
        <v/>
      </c>
      <c r="I27">
        <f>IF($A27="","",IF(AND($B27&lt;&gt;"",$B27&gt;$G$2),"⚠ hire date is after year-end",IF(AND($C27&lt;&gt;"",$B27&lt;&gt;"",$C27&lt;$B27),"⚠ end date is before hire date",IF($H27&lt;0,"⛔ negative balance",IF($H27=0,"⚠ no days left","")))))</f>
        <v/>
      </c>
    </row>
    <row r="28">
      <c r="A28">
        <f>IF('Annual Calendar'!$A29="","",'Annual Calendar'!$A29)</f>
        <v/>
      </c>
      <c r="B28" s="66" t="n"/>
      <c r="C28" s="66" t="n"/>
      <c r="D28" s="52" t="n"/>
      <c r="E28" s="67">
        <f>IFERROR(IF($A28="","",MAX(0,MIN(IF($D28="",$B$2,$D28),ROUND(IF($D28="",$B$2,$D28)*((IF($C28="",$G$2,MIN($C28,$G$2)))-(IF($B28="",$E$2,MAX($B28,$E$2)))+1)/($G$2-$E$2+1),1)))),"")</f>
        <v/>
      </c>
      <c r="F28" s="67">
        <f>IF($A28="","",SUMIFS('PTO Requests'!$D$5:$D$154,'PTO Requests'!$A$5:$A$154,$A28&amp;"",'PTO Requests'!$G$5:$G$154,"Approved",'PTO Requests'!$B$5:$B$154,"&gt;="&amp;'PTO Balance'!$E$2,'PTO Requests'!$B$5:$B$154,"&lt;="&amp;'PTO Balance'!$G$2))</f>
        <v/>
      </c>
      <c r="G28" s="67">
        <f>IF($A28="","",SUMIFS('PTO Requests'!$D$5:$D$154,'PTO Requests'!$A$5:$A$154,$A28&amp;"",'PTO Requests'!$G$5:$G$154,"Pending",'PTO Requests'!$B$5:$B$154,"&gt;="&amp;'PTO Balance'!$E$2,'PTO Requests'!$B$5:$B$154,"&lt;="&amp;'PTO Balance'!$G$2))</f>
        <v/>
      </c>
      <c r="H28" s="67">
        <f>IF($E28="","",ROUND($E28-$F28-$G28,1))</f>
        <v/>
      </c>
      <c r="I28">
        <f>IF($A28="","",IF(AND($B28&lt;&gt;"",$B28&gt;$G$2),"⚠ hire date is after year-end",IF(AND($C28&lt;&gt;"",$B28&lt;&gt;"",$C28&lt;$B28),"⚠ end date is before hire date",IF($H28&lt;0,"⛔ negative balance",IF($H28=0,"⚠ no days left","")))))</f>
        <v/>
      </c>
    </row>
    <row r="29">
      <c r="A29">
        <f>IF('Annual Calendar'!$A30="","",'Annual Calendar'!$A30)</f>
        <v/>
      </c>
      <c r="B29" s="66" t="n"/>
      <c r="C29" s="66" t="n"/>
      <c r="D29" s="52" t="n"/>
      <c r="E29" s="67">
        <f>IFERROR(IF($A29="","",MAX(0,MIN(IF($D29="",$B$2,$D29),ROUND(IF($D29="",$B$2,$D29)*((IF($C29="",$G$2,MIN($C29,$G$2)))-(IF($B29="",$E$2,MAX($B29,$E$2)))+1)/($G$2-$E$2+1),1)))),"")</f>
        <v/>
      </c>
      <c r="F29" s="67">
        <f>IF($A29="","",SUMIFS('PTO Requests'!$D$5:$D$154,'PTO Requests'!$A$5:$A$154,$A29&amp;"",'PTO Requests'!$G$5:$G$154,"Approved",'PTO Requests'!$B$5:$B$154,"&gt;="&amp;'PTO Balance'!$E$2,'PTO Requests'!$B$5:$B$154,"&lt;="&amp;'PTO Balance'!$G$2))</f>
        <v/>
      </c>
      <c r="G29" s="67">
        <f>IF($A29="","",SUMIFS('PTO Requests'!$D$5:$D$154,'PTO Requests'!$A$5:$A$154,$A29&amp;"",'PTO Requests'!$G$5:$G$154,"Pending",'PTO Requests'!$B$5:$B$154,"&gt;="&amp;'PTO Balance'!$E$2,'PTO Requests'!$B$5:$B$154,"&lt;="&amp;'PTO Balance'!$G$2))</f>
        <v/>
      </c>
      <c r="H29" s="67">
        <f>IF($E29="","",ROUND($E29-$F29-$G29,1))</f>
        <v/>
      </c>
      <c r="I29">
        <f>IF($A29="","",IF(AND($B29&lt;&gt;"",$B29&gt;$G$2),"⚠ hire date is after year-end",IF(AND($C29&lt;&gt;"",$B29&lt;&gt;"",$C29&lt;$B29),"⚠ end date is before hire date",IF($H29&lt;0,"⛔ negative balance",IF($H29=0,"⚠ no days left","")))))</f>
        <v/>
      </c>
    </row>
    <row r="30">
      <c r="A30">
        <f>IF('Annual Calendar'!$A31="","",'Annual Calendar'!$A31)</f>
        <v/>
      </c>
      <c r="B30" s="66" t="n"/>
      <c r="C30" s="66" t="n"/>
      <c r="D30" s="52" t="n"/>
      <c r="E30" s="67">
        <f>IFERROR(IF($A30="","",MAX(0,MIN(IF($D30="",$B$2,$D30),ROUND(IF($D30="",$B$2,$D30)*((IF($C30="",$G$2,MIN($C30,$G$2)))-(IF($B30="",$E$2,MAX($B30,$E$2)))+1)/($G$2-$E$2+1),1)))),"")</f>
        <v/>
      </c>
      <c r="F30" s="67">
        <f>IF($A30="","",SUMIFS('PTO Requests'!$D$5:$D$154,'PTO Requests'!$A$5:$A$154,$A30&amp;"",'PTO Requests'!$G$5:$G$154,"Approved",'PTO Requests'!$B$5:$B$154,"&gt;="&amp;'PTO Balance'!$E$2,'PTO Requests'!$B$5:$B$154,"&lt;="&amp;'PTO Balance'!$G$2))</f>
        <v/>
      </c>
      <c r="G30" s="67">
        <f>IF($A30="","",SUMIFS('PTO Requests'!$D$5:$D$154,'PTO Requests'!$A$5:$A$154,$A30&amp;"",'PTO Requests'!$G$5:$G$154,"Pending",'PTO Requests'!$B$5:$B$154,"&gt;="&amp;'PTO Balance'!$E$2,'PTO Requests'!$B$5:$B$154,"&lt;="&amp;'PTO Balance'!$G$2))</f>
        <v/>
      </c>
      <c r="H30" s="67">
        <f>IF($E30="","",ROUND($E30-$F30-$G30,1))</f>
        <v/>
      </c>
      <c r="I30">
        <f>IF($A30="","",IF(AND($B30&lt;&gt;"",$B30&gt;$G$2),"⚠ hire date is after year-end",IF(AND($C30&lt;&gt;"",$B30&lt;&gt;"",$C30&lt;$B30),"⚠ end date is before hire date",IF($H30&lt;0,"⛔ negative balance",IF($H30=0,"⚠ no days left","")))))</f>
        <v/>
      </c>
    </row>
    <row r="31">
      <c r="A31">
        <f>IF('Annual Calendar'!$A32="","",'Annual Calendar'!$A32)</f>
        <v/>
      </c>
      <c r="B31" s="66" t="n"/>
      <c r="C31" s="66" t="n"/>
      <c r="D31" s="52" t="n"/>
      <c r="E31" s="67">
        <f>IFERROR(IF($A31="","",MAX(0,MIN(IF($D31="",$B$2,$D31),ROUND(IF($D31="",$B$2,$D31)*((IF($C31="",$G$2,MIN($C31,$G$2)))-(IF($B31="",$E$2,MAX($B31,$E$2)))+1)/($G$2-$E$2+1),1)))),"")</f>
        <v/>
      </c>
      <c r="F31" s="67">
        <f>IF($A31="","",SUMIFS('PTO Requests'!$D$5:$D$154,'PTO Requests'!$A$5:$A$154,$A31&amp;"",'PTO Requests'!$G$5:$G$154,"Approved",'PTO Requests'!$B$5:$B$154,"&gt;="&amp;'PTO Balance'!$E$2,'PTO Requests'!$B$5:$B$154,"&lt;="&amp;'PTO Balance'!$G$2))</f>
        <v/>
      </c>
      <c r="G31" s="67">
        <f>IF($A31="","",SUMIFS('PTO Requests'!$D$5:$D$154,'PTO Requests'!$A$5:$A$154,$A31&amp;"",'PTO Requests'!$G$5:$G$154,"Pending",'PTO Requests'!$B$5:$B$154,"&gt;="&amp;'PTO Balance'!$E$2,'PTO Requests'!$B$5:$B$154,"&lt;="&amp;'PTO Balance'!$G$2))</f>
        <v/>
      </c>
      <c r="H31" s="67">
        <f>IF($E31="","",ROUND($E31-$F31-$G31,1))</f>
        <v/>
      </c>
      <c r="I31">
        <f>IF($A31="","",IF(AND($B31&lt;&gt;"",$B31&gt;$G$2),"⚠ hire date is after year-end",IF(AND($C31&lt;&gt;"",$B31&lt;&gt;"",$C31&lt;$B31),"⚠ end date is before hire date",IF($H31&lt;0,"⛔ negative balance",IF($H31=0,"⚠ no days left","")))))</f>
        <v/>
      </c>
    </row>
    <row r="32">
      <c r="A32">
        <f>IF('Annual Calendar'!$A33="","",'Annual Calendar'!$A33)</f>
        <v/>
      </c>
      <c r="B32" s="66" t="n"/>
      <c r="C32" s="66" t="n"/>
      <c r="D32" s="52" t="n"/>
      <c r="E32" s="67">
        <f>IFERROR(IF($A32="","",MAX(0,MIN(IF($D32="",$B$2,$D32),ROUND(IF($D32="",$B$2,$D32)*((IF($C32="",$G$2,MIN($C32,$G$2)))-(IF($B32="",$E$2,MAX($B32,$E$2)))+1)/($G$2-$E$2+1),1)))),"")</f>
        <v/>
      </c>
      <c r="F32" s="67">
        <f>IF($A32="","",SUMIFS('PTO Requests'!$D$5:$D$154,'PTO Requests'!$A$5:$A$154,$A32&amp;"",'PTO Requests'!$G$5:$G$154,"Approved",'PTO Requests'!$B$5:$B$154,"&gt;="&amp;'PTO Balance'!$E$2,'PTO Requests'!$B$5:$B$154,"&lt;="&amp;'PTO Balance'!$G$2))</f>
        <v/>
      </c>
      <c r="G32" s="67">
        <f>IF($A32="","",SUMIFS('PTO Requests'!$D$5:$D$154,'PTO Requests'!$A$5:$A$154,$A32&amp;"",'PTO Requests'!$G$5:$G$154,"Pending",'PTO Requests'!$B$5:$B$154,"&gt;="&amp;'PTO Balance'!$E$2,'PTO Requests'!$B$5:$B$154,"&lt;="&amp;'PTO Balance'!$G$2))</f>
        <v/>
      </c>
      <c r="H32" s="67">
        <f>IF($E32="","",ROUND($E32-$F32-$G32,1))</f>
        <v/>
      </c>
      <c r="I32">
        <f>IF($A32="","",IF(AND($B32&lt;&gt;"",$B32&gt;$G$2),"⚠ hire date is after year-end",IF(AND($C32&lt;&gt;"",$B32&lt;&gt;"",$C32&lt;$B32),"⚠ end date is before hire date",IF($H32&lt;0,"⛔ negative balance",IF($H32=0,"⚠ no days left","")))))</f>
        <v/>
      </c>
    </row>
    <row r="33">
      <c r="A33">
        <f>IF('Annual Calendar'!$A34="","",'Annual Calendar'!$A34)</f>
        <v/>
      </c>
      <c r="B33" s="66" t="n"/>
      <c r="C33" s="66" t="n"/>
      <c r="D33" s="52" t="n"/>
      <c r="E33" s="67">
        <f>IFERROR(IF($A33="","",MAX(0,MIN(IF($D33="",$B$2,$D33),ROUND(IF($D33="",$B$2,$D33)*((IF($C33="",$G$2,MIN($C33,$G$2)))-(IF($B33="",$E$2,MAX($B33,$E$2)))+1)/($G$2-$E$2+1),1)))),"")</f>
        <v/>
      </c>
      <c r="F33" s="67">
        <f>IF($A33="","",SUMIFS('PTO Requests'!$D$5:$D$154,'PTO Requests'!$A$5:$A$154,$A33&amp;"",'PTO Requests'!$G$5:$G$154,"Approved",'PTO Requests'!$B$5:$B$154,"&gt;="&amp;'PTO Balance'!$E$2,'PTO Requests'!$B$5:$B$154,"&lt;="&amp;'PTO Balance'!$G$2))</f>
        <v/>
      </c>
      <c r="G33" s="67">
        <f>IF($A33="","",SUMIFS('PTO Requests'!$D$5:$D$154,'PTO Requests'!$A$5:$A$154,$A33&amp;"",'PTO Requests'!$G$5:$G$154,"Pending",'PTO Requests'!$B$5:$B$154,"&gt;="&amp;'PTO Balance'!$E$2,'PTO Requests'!$B$5:$B$154,"&lt;="&amp;'PTO Balance'!$G$2))</f>
        <v/>
      </c>
      <c r="H33" s="67">
        <f>IF($E33="","",ROUND($E33-$F33-$G33,1))</f>
        <v/>
      </c>
      <c r="I33">
        <f>IF($A33="","",IF(AND($B33&lt;&gt;"",$B33&gt;$G$2),"⚠ hire date is after year-end",IF(AND($C33&lt;&gt;"",$B33&lt;&gt;"",$C33&lt;$B33),"⚠ end date is before hire date",IF($H33&lt;0,"⛔ negative balance",IF($H33=0,"⚠ no days left","")))))</f>
        <v/>
      </c>
    </row>
    <row r="34">
      <c r="A34">
        <f>IF('Annual Calendar'!$A35="","",'Annual Calendar'!$A35)</f>
        <v/>
      </c>
      <c r="B34" s="66" t="n"/>
      <c r="C34" s="66" t="n"/>
      <c r="D34" s="52" t="n"/>
      <c r="E34" s="67">
        <f>IFERROR(IF($A34="","",MAX(0,MIN(IF($D34="",$B$2,$D34),ROUND(IF($D34="",$B$2,$D34)*((IF($C34="",$G$2,MIN($C34,$G$2)))-(IF($B34="",$E$2,MAX($B34,$E$2)))+1)/($G$2-$E$2+1),1)))),"")</f>
        <v/>
      </c>
      <c r="F34" s="67">
        <f>IF($A34="","",SUMIFS('PTO Requests'!$D$5:$D$154,'PTO Requests'!$A$5:$A$154,$A34&amp;"",'PTO Requests'!$G$5:$G$154,"Approved",'PTO Requests'!$B$5:$B$154,"&gt;="&amp;'PTO Balance'!$E$2,'PTO Requests'!$B$5:$B$154,"&lt;="&amp;'PTO Balance'!$G$2))</f>
        <v/>
      </c>
      <c r="G34" s="67">
        <f>IF($A34="","",SUMIFS('PTO Requests'!$D$5:$D$154,'PTO Requests'!$A$5:$A$154,$A34&amp;"",'PTO Requests'!$G$5:$G$154,"Pending",'PTO Requests'!$B$5:$B$154,"&gt;="&amp;'PTO Balance'!$E$2,'PTO Requests'!$B$5:$B$154,"&lt;="&amp;'PTO Balance'!$G$2))</f>
        <v/>
      </c>
      <c r="H34" s="67">
        <f>IF($E34="","",ROUND($E34-$F34-$G34,1))</f>
        <v/>
      </c>
      <c r="I34">
        <f>IF($A34="","",IF(AND($B34&lt;&gt;"",$B34&gt;$G$2),"⚠ hire date is after year-end",IF(AND($C34&lt;&gt;"",$B34&lt;&gt;"",$C34&lt;$B34),"⚠ end date is before hire date",IF($H34&lt;0,"⛔ negative balance",IF($H34=0,"⚠ no days left","")))))</f>
        <v/>
      </c>
    </row>
    <row r="36" ht="30" customHeight="1">
      <c r="A36" s="51" t="inlineStr">
        <is>
          <t>▸ "Days left" subtracts APPROVED and also PENDING requests: it is the balance you can commit today without approving the same days twice. And it only counts THIS year's requests (the dates above), so the same workbook works for several years without distorting the balance.</t>
        </is>
      </c>
    </row>
    <row r="37" ht="30" customHeight="1">
      <c r="A37" s="51" t="inlineStr">
        <is>
          <t>▸ Proration is linear over the days the person is on staff WITHIN the year: both the hire date and the end date count. A seasonal worker from January to June earns 7 days, not 14 — and that is the number that goes into the final paycheck. Your policy may count whole months: in that case type the days that apply in "Own days".</t>
        </is>
      </c>
    </row>
    <row r="39">
      <c r="A39" s="39"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5">
    <mergeCell ref="A37:I37"/>
    <mergeCell ref="A36:I36"/>
    <mergeCell ref="A1:I1"/>
    <mergeCell ref="A3:I3"/>
    <mergeCell ref="A39:I39"/>
  </mergeCells>
  <conditionalFormatting sqref="I5:I34">
    <cfRule type="containsText" priority="1" operator="containsText" dxfId="0" stopIfTrue="1" text="⛔">
      <formula>NOT(ISERROR(SEARCH("⛔",I5)))</formula>
    </cfRule>
    <cfRule type="containsText" priority="2" operator="containsText" dxfId="0" stopIfTrue="1" text="EXCESS">
      <formula>NOT(ISERROR(SEARCH("EXCESS",I5)))</formula>
    </cfRule>
    <cfRule type="containsText" priority="3" operator="containsText" dxfId="1" stopIfTrue="1" text="⚠">
      <formula>NOT(ISERROR(SEARCH("⚠",I5)))</formula>
    </cfRule>
    <cfRule type="containsText" priority="4" operator="containsText" dxfId="4" stopIfTrue="1" text="OK">
      <formula>NOT(ISERROR(SEARCH("OK",I5)))</formula>
    </cfRule>
  </conditionalFormatting>
  <dataValidations count="1">
    <dataValidation sqref="B2" showDropDown="0" showInputMessage="1" showErrorMessage="0" allowBlank="0" promptTitle="kitgp-v2 · pto_days" prompt="Federal law sets no PTO minimum: type your policy (default 14 calendar days = two weeks). If your policy is in workdays (10 for two weeks), type 10 and count only workdays in the requests. UK: 5.6 weeks (39 calendar days)."/>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4CAF50"/>
    <outlinePr summaryBelow="1" summaryRight="1"/>
    <pageSetUpPr fitToPage="1"/>
  </sheetPr>
  <dimension ref="A1:G52"/>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26" customWidth="1" min="3" max="3"/>
    <col width="12" customWidth="1" min="4" max="4"/>
    <col width="26" customWidth="1" min="5" max="5"/>
    <col width="16" customWidth="1" min="6" max="6"/>
    <col width="30" customWidth="1" min="7" max="7"/>
  </cols>
  <sheetData>
    <row r="1">
      <c r="A1" s="4" t="inlineStr">
        <is>
          <t>PTO Coverage Plan</t>
        </is>
      </c>
    </row>
    <row r="2">
      <c r="A2" s="5" t="inlineStr">
        <is>
          <t>AI Chef Pro · aichef.pro — Restaurant Staff Scheduling Kit Pro</t>
        </is>
      </c>
    </row>
    <row r="3">
      <c r="A3" t="inlineStr">
        <is>
          <t>Max simultaneous absences per week:</t>
        </is>
      </c>
      <c r="B3" s="52" t="n">
        <v>4</v>
      </c>
      <c r="C3" t="inlineStr">
        <is>
          <t>Max in HIGH SEASON:</t>
        </is>
      </c>
      <c r="D3" s="52" t="n">
        <v>1</v>
      </c>
    </row>
    <row r="4">
      <c r="A4" s="56" t="inlineStr">
        <is>
          <t>MINIMUM STAFF PER SHIFT</t>
        </is>
      </c>
      <c r="B4" s="57" t="n"/>
      <c r="C4" s="57" t="n"/>
      <c r="D4" s="57" t="n"/>
      <c r="E4" s="57" t="n"/>
      <c r="F4" s="57" t="n"/>
    </row>
    <row r="5">
      <c r="A5" s="40" t="inlineStr">
        <is>
          <t>Shift</t>
        </is>
      </c>
      <c r="B5" s="40" t="inlineStr">
        <is>
          <t>Minimum Staff</t>
        </is>
      </c>
      <c r="C5" s="40" t="inlineStr">
        <is>
          <t>Kitchen</t>
        </is>
      </c>
      <c r="D5" s="40" t="inlineStr">
        <is>
          <t>FOH</t>
        </is>
      </c>
      <c r="E5" s="40" t="inlineStr">
        <is>
          <t>Bar</t>
        </is>
      </c>
    </row>
    <row r="6">
      <c r="A6" s="17" t="inlineStr">
        <is>
          <t>AM · AM shift</t>
        </is>
      </c>
      <c r="B6" s="58">
        <f>IF(COUNT($C6:$E6)=0,"",$C6+$D6+$E6)</f>
        <v>4.0</v>
      </c>
      <c r="C6" s="59" t="n">
        <v>2</v>
      </c>
      <c r="D6" s="59" t="n">
        <v>2</v>
      </c>
      <c r="E6" s="59" t="n">
        <v>0</v>
      </c>
    </row>
    <row r="7">
      <c r="A7" s="17" t="inlineStr">
        <is>
          <t>PM · PM shift</t>
        </is>
      </c>
      <c r="B7" s="58">
        <f>IF(COUNT($C7:$E7)=0,"",$C7+$D7+$E7)</f>
        <v>5.0</v>
      </c>
      <c r="C7" s="59" t="n">
        <v>2</v>
      </c>
      <c r="D7" s="59" t="n">
        <v>2</v>
      </c>
      <c r="E7" s="59" t="n">
        <v>1</v>
      </c>
    </row>
    <row r="8">
      <c r="A8" s="17" t="inlineStr">
        <is>
          <t>N · Night (close)</t>
        </is>
      </c>
      <c r="B8" s="58">
        <f>IF(COUNT($C8:$E8)=0,"",$C8+$D8+$E8)</f>
        <v>2.0</v>
      </c>
      <c r="C8" s="59" t="n">
        <v>1</v>
      </c>
      <c r="D8" s="59" t="n">
        <v>1</v>
      </c>
      <c r="E8" s="59" t="n">
        <v>0</v>
      </c>
    </row>
    <row r="9" ht="42" customHeight="1">
      <c r="A9" s="51" t="inlineStr">
        <is>
          <t>▸ Above the maximum in B3 the "Coverage" row of the calendar turns amber; in high season the threshold is the one in D3. The minimums per shift are the ones file 03 (Restaurant Labor Cost Calculator (Payroll &amp; Labor %)) and BONUS-02 use for the default case (5 people per service): they are a starting point, adjust them to your menu. And they are not decorative: the last indicator below counts the weeks when available staff does not reach the most demanding shift.</t>
        </is>
      </c>
    </row>
    <row r="10">
      <c r="A10" s="56" t="inlineStr">
        <is>
          <t>COVERAGE: WHO COVERS FOR WHOM</t>
        </is>
      </c>
      <c r="B10" s="57" t="n"/>
      <c r="C10" s="57" t="n"/>
      <c r="D10" s="57" t="n"/>
      <c r="E10" s="57" t="n"/>
      <c r="F10" s="57" t="n"/>
    </row>
    <row r="11">
      <c r="A11" s="40" t="inlineStr">
        <is>
          <t>Absent Employee</t>
        </is>
      </c>
      <c r="B11" s="40" t="inlineStr">
        <is>
          <t>Position</t>
        </is>
      </c>
      <c r="C11" s="40" t="inlineStr">
        <is>
          <t>Cover 1</t>
        </is>
      </c>
      <c r="D11" s="40" t="inlineStr">
        <is>
          <t>Cover 2</t>
        </is>
      </c>
      <c r="E11" s="40" t="inlineStr">
        <is>
          <t>Notes</t>
        </is>
      </c>
      <c r="F11" s="41" t="inlineStr">
        <is>
          <t>Days pending</t>
        </is>
      </c>
      <c r="G11" s="41" t="inlineStr">
        <is>
          <t>Alert</t>
        </is>
      </c>
    </row>
    <row r="12">
      <c r="A12" s="60" t="n"/>
      <c r="B12" s="60" t="n"/>
      <c r="C12" s="60" t="n"/>
      <c r="D12" s="60" t="n"/>
      <c r="E12" s="60" t="n"/>
      <c r="F12" s="35">
        <f>IFERROR(IF($A12="","",INDEX('PTO Balance'!$H$5:$H$34,MATCH($A12,'PTO Balance'!$A$5:$A$34,0))),"")</f>
        <v/>
      </c>
      <c r="G12">
        <f>IF($A12="","",IF(COUNTIF('Annual Calendar'!$A$6:$A$35,$A12&amp;"")=0,"⚠ name not in the calendar",""))</f>
        <v/>
      </c>
    </row>
    <row r="13">
      <c r="A13" s="60" t="n"/>
      <c r="B13" s="60" t="n"/>
      <c r="C13" s="60" t="n"/>
      <c r="D13" s="60" t="n"/>
      <c r="E13" s="60" t="n"/>
      <c r="F13" s="35">
        <f>IFERROR(IF($A13="","",INDEX('PTO Balance'!$H$5:$H$34,MATCH($A13,'PTO Balance'!$A$5:$A$34,0))),"")</f>
        <v/>
      </c>
      <c r="G13">
        <f>IF($A13="","",IF(COUNTIF('Annual Calendar'!$A$6:$A$35,$A13&amp;"")=0,"⚠ name not in the calendar",""))</f>
        <v/>
      </c>
    </row>
    <row r="14">
      <c r="A14" s="60" t="n"/>
      <c r="B14" s="60" t="n"/>
      <c r="C14" s="60" t="n"/>
      <c r="D14" s="60" t="n"/>
      <c r="E14" s="60" t="n"/>
      <c r="F14" s="35">
        <f>IFERROR(IF($A14="","",INDEX('PTO Balance'!$H$5:$H$34,MATCH($A14,'PTO Balance'!$A$5:$A$34,0))),"")</f>
        <v/>
      </c>
      <c r="G14">
        <f>IF($A14="","",IF(COUNTIF('Annual Calendar'!$A$6:$A$35,$A14&amp;"")=0,"⚠ name not in the calendar",""))</f>
        <v/>
      </c>
    </row>
    <row r="15">
      <c r="A15" s="60" t="n"/>
      <c r="B15" s="60" t="n"/>
      <c r="C15" s="60" t="n"/>
      <c r="D15" s="60" t="n"/>
      <c r="E15" s="60" t="n"/>
      <c r="F15" s="35">
        <f>IFERROR(IF($A15="","",INDEX('PTO Balance'!$H$5:$H$34,MATCH($A15,'PTO Balance'!$A$5:$A$34,0))),"")</f>
        <v/>
      </c>
      <c r="G15">
        <f>IF($A15="","",IF(COUNTIF('Annual Calendar'!$A$6:$A$35,$A15&amp;"")=0,"⚠ name not in the calendar",""))</f>
        <v/>
      </c>
    </row>
    <row r="16">
      <c r="A16" s="60" t="n"/>
      <c r="B16" s="60" t="n"/>
      <c r="C16" s="60" t="n"/>
      <c r="D16" s="60" t="n"/>
      <c r="E16" s="60" t="n"/>
      <c r="F16" s="35">
        <f>IFERROR(IF($A16="","",INDEX('PTO Balance'!$H$5:$H$34,MATCH($A16,'PTO Balance'!$A$5:$A$34,0))),"")</f>
        <v/>
      </c>
      <c r="G16">
        <f>IF($A16="","",IF(COUNTIF('Annual Calendar'!$A$6:$A$35,$A16&amp;"")=0,"⚠ name not in the calendar",""))</f>
        <v/>
      </c>
    </row>
    <row r="17">
      <c r="A17" s="60" t="n"/>
      <c r="B17" s="60" t="n"/>
      <c r="C17" s="60" t="n"/>
      <c r="D17" s="60" t="n"/>
      <c r="E17" s="60" t="n"/>
      <c r="F17" s="35">
        <f>IFERROR(IF($A17="","",INDEX('PTO Balance'!$H$5:$H$34,MATCH($A17,'PTO Balance'!$A$5:$A$34,0))),"")</f>
        <v/>
      </c>
      <c r="G17">
        <f>IF($A17="","",IF(COUNTIF('Annual Calendar'!$A$6:$A$35,$A17&amp;"")=0,"⚠ name not in the calendar",""))</f>
        <v/>
      </c>
    </row>
    <row r="18">
      <c r="A18" s="60" t="n"/>
      <c r="B18" s="60" t="n"/>
      <c r="C18" s="60" t="n"/>
      <c r="D18" s="60" t="n"/>
      <c r="E18" s="60" t="n"/>
      <c r="F18" s="35">
        <f>IFERROR(IF($A18="","",INDEX('PTO Balance'!$H$5:$H$34,MATCH($A18,'PTO Balance'!$A$5:$A$34,0))),"")</f>
        <v/>
      </c>
      <c r="G18">
        <f>IF($A18="","",IF(COUNTIF('Annual Calendar'!$A$6:$A$35,$A18&amp;"")=0,"⚠ name not in the calendar",""))</f>
        <v/>
      </c>
    </row>
    <row r="19">
      <c r="A19" s="60" t="n"/>
      <c r="B19" s="60" t="n"/>
      <c r="C19" s="60" t="n"/>
      <c r="D19" s="60" t="n"/>
      <c r="E19" s="60" t="n"/>
      <c r="F19" s="35">
        <f>IFERROR(IF($A19="","",INDEX('PTO Balance'!$H$5:$H$34,MATCH($A19,'PTO Balance'!$A$5:$A$34,0))),"")</f>
        <v/>
      </c>
      <c r="G19">
        <f>IF($A19="","",IF(COUNTIF('Annual Calendar'!$A$6:$A$35,$A19&amp;"")=0,"⚠ name not in the calendar",""))</f>
        <v/>
      </c>
    </row>
    <row r="20">
      <c r="A20" s="60" t="n"/>
      <c r="B20" s="60" t="n"/>
      <c r="C20" s="60" t="n"/>
      <c r="D20" s="60" t="n"/>
      <c r="E20" s="60" t="n"/>
      <c r="F20" s="35">
        <f>IFERROR(IF($A20="","",INDEX('PTO Balance'!$H$5:$H$34,MATCH($A20,'PTO Balance'!$A$5:$A$34,0))),"")</f>
        <v/>
      </c>
      <c r="G20">
        <f>IF($A20="","",IF(COUNTIF('Annual Calendar'!$A$6:$A$35,$A20&amp;"")=0,"⚠ name not in the calendar",""))</f>
        <v/>
      </c>
    </row>
    <row r="21">
      <c r="A21" s="60" t="n"/>
      <c r="B21" s="60" t="n"/>
      <c r="C21" s="60" t="n"/>
      <c r="D21" s="60" t="n"/>
      <c r="E21" s="60" t="n"/>
      <c r="F21" s="35">
        <f>IFERROR(IF($A21="","",INDEX('PTO Balance'!$H$5:$H$34,MATCH($A21,'PTO Balance'!$A$5:$A$34,0))),"")</f>
        <v/>
      </c>
      <c r="G21">
        <f>IF($A21="","",IF(COUNTIF('Annual Calendar'!$A$6:$A$35,$A21&amp;"")=0,"⚠ name not in the calendar",""))</f>
        <v/>
      </c>
    </row>
    <row r="22">
      <c r="A22" s="60" t="n"/>
      <c r="B22" s="60" t="n"/>
      <c r="C22" s="60" t="n"/>
      <c r="D22" s="60" t="n"/>
      <c r="E22" s="60" t="n"/>
      <c r="F22" s="35">
        <f>IFERROR(IF($A22="","",INDEX('PTO Balance'!$H$5:$H$34,MATCH($A22,'PTO Balance'!$A$5:$A$34,0))),"")</f>
        <v/>
      </c>
      <c r="G22">
        <f>IF($A22="","",IF(COUNTIF('Annual Calendar'!$A$6:$A$35,$A22&amp;"")=0,"⚠ name not in the calendar",""))</f>
        <v/>
      </c>
    </row>
    <row r="23">
      <c r="A23" s="60" t="n"/>
      <c r="B23" s="60" t="n"/>
      <c r="C23" s="60" t="n"/>
      <c r="D23" s="60" t="n"/>
      <c r="E23" s="60" t="n"/>
      <c r="F23" s="35">
        <f>IFERROR(IF($A23="","",INDEX('PTO Balance'!$H$5:$H$34,MATCH($A23,'PTO Balance'!$A$5:$A$34,0))),"")</f>
        <v/>
      </c>
      <c r="G23">
        <f>IF($A23="","",IF(COUNTIF('Annual Calendar'!$A$6:$A$35,$A23&amp;"")=0,"⚠ name not in the calendar",""))</f>
        <v/>
      </c>
    </row>
    <row r="24">
      <c r="A24" s="60" t="n"/>
      <c r="B24" s="60" t="n"/>
      <c r="C24" s="60" t="n"/>
      <c r="D24" s="60" t="n"/>
      <c r="E24" s="60" t="n"/>
      <c r="F24" s="35">
        <f>IFERROR(IF($A24="","",INDEX('PTO Balance'!$H$5:$H$34,MATCH($A24,'PTO Balance'!$A$5:$A$34,0))),"")</f>
        <v/>
      </c>
      <c r="G24">
        <f>IF($A24="","",IF(COUNTIF('Annual Calendar'!$A$6:$A$35,$A24&amp;"")=0,"⚠ name not in the calendar",""))</f>
        <v/>
      </c>
    </row>
    <row r="25">
      <c r="A25" s="60" t="n"/>
      <c r="B25" s="60" t="n"/>
      <c r="C25" s="60" t="n"/>
      <c r="D25" s="60" t="n"/>
      <c r="E25" s="60" t="n"/>
      <c r="F25" s="35">
        <f>IFERROR(IF($A25="","",INDEX('PTO Balance'!$H$5:$H$34,MATCH($A25,'PTO Balance'!$A$5:$A$34,0))),"")</f>
        <v/>
      </c>
      <c r="G25">
        <f>IF($A25="","",IF(COUNTIF('Annual Calendar'!$A$6:$A$35,$A25&amp;"")=0,"⚠ name not in the calendar",""))</f>
        <v/>
      </c>
    </row>
    <row r="26">
      <c r="A26" s="60" t="n"/>
      <c r="B26" s="60" t="n"/>
      <c r="C26" s="60" t="n"/>
      <c r="D26" s="60" t="n"/>
      <c r="E26" s="60" t="n"/>
      <c r="F26" s="35">
        <f>IFERROR(IF($A26="","",INDEX('PTO Balance'!$H$5:$H$34,MATCH($A26,'PTO Balance'!$A$5:$A$34,0))),"")</f>
        <v/>
      </c>
      <c r="G26">
        <f>IF($A26="","",IF(COUNTIF('Annual Calendar'!$A$6:$A$35,$A26&amp;"")=0,"⚠ name not in the calendar",""))</f>
        <v/>
      </c>
    </row>
    <row r="27">
      <c r="A27" s="33" t="n"/>
      <c r="B27" s="33" t="n"/>
      <c r="C27" s="33" t="n"/>
      <c r="D27" s="33" t="n"/>
      <c r="E27" s="33" t="n"/>
      <c r="F27" s="35">
        <f>IFERROR(IF($A27="","",INDEX('PTO Balance'!$H$5:$H$34,MATCH($A27,'PTO Balance'!$A$5:$A$34,0))),"")</f>
        <v/>
      </c>
      <c r="G27">
        <f>IF($A27="","",IF(COUNTIF('Annual Calendar'!$A$6:$A$35,$A27&amp;"")=0,"⚠ name not in the calendar",""))</f>
        <v/>
      </c>
    </row>
    <row r="28">
      <c r="A28" s="33" t="n"/>
      <c r="B28" s="33" t="n"/>
      <c r="C28" s="33" t="n"/>
      <c r="D28" s="33" t="n"/>
      <c r="E28" s="33" t="n"/>
      <c r="F28" s="35">
        <f>IFERROR(IF($A28="","",INDEX('PTO Balance'!$H$5:$H$34,MATCH($A28,'PTO Balance'!$A$5:$A$34,0))),"")</f>
        <v/>
      </c>
      <c r="G28">
        <f>IF($A28="","",IF(COUNTIF('Annual Calendar'!$A$6:$A$35,$A28&amp;"")=0,"⚠ name not in the calendar",""))</f>
        <v/>
      </c>
    </row>
    <row r="29">
      <c r="A29" s="50" t="n"/>
      <c r="B29" s="33" t="n"/>
      <c r="C29" s="33" t="n"/>
      <c r="D29" s="33" t="n"/>
      <c r="E29" s="33" t="n"/>
      <c r="F29" s="35">
        <f>IFERROR(IF($A29="","",INDEX('PTO Balance'!$H$5:$H$34,MATCH($A29,'PTO Balance'!$A$5:$A$34,0))),"")</f>
        <v/>
      </c>
      <c r="G29">
        <f>IF($A29="","",IF(COUNTIF('Annual Calendar'!$A$6:$A$35,$A29&amp;"")=0,"⚠ name not in the calendar",""))</f>
        <v/>
      </c>
    </row>
    <row r="30">
      <c r="A30" s="33" t="n"/>
      <c r="B30" s="33" t="n"/>
      <c r="C30" s="33" t="n"/>
      <c r="D30" s="33" t="n"/>
      <c r="E30" s="33" t="n"/>
      <c r="F30" s="35">
        <f>IFERROR(IF($A30="","",INDEX('PTO Balance'!$H$5:$H$34,MATCH($A30,'PTO Balance'!$A$5:$A$34,0))),"")</f>
        <v/>
      </c>
      <c r="G30">
        <f>IF($A30="","",IF(COUNTIF('Annual Calendar'!$A$6:$A$35,$A30&amp;"")=0,"⚠ name not in the calendar",""))</f>
        <v/>
      </c>
    </row>
    <row r="31">
      <c r="A31" s="33" t="n"/>
      <c r="B31" s="33" t="n"/>
      <c r="C31" s="33" t="n"/>
      <c r="D31" s="33" t="n"/>
      <c r="E31" s="33" t="n"/>
      <c r="F31" s="35">
        <f>IFERROR(IF($A31="","",INDEX('PTO Balance'!$H$5:$H$34,MATCH($A31,'PTO Balance'!$A$5:$A$34,0))),"")</f>
        <v/>
      </c>
      <c r="G31">
        <f>IF($A31="","",IF(COUNTIF('Annual Calendar'!$A$6:$A$35,$A31&amp;"")=0,"⚠ name not in the calendar",""))</f>
        <v/>
      </c>
    </row>
    <row r="32">
      <c r="A32" s="33" t="n"/>
      <c r="B32" s="33" t="n"/>
      <c r="C32" s="33" t="n"/>
      <c r="D32" s="33" t="n"/>
      <c r="E32" s="33" t="n"/>
      <c r="F32" s="35">
        <f>IFERROR(IF($A32="","",INDEX('PTO Balance'!$H$5:$H$34,MATCH($A32,'PTO Balance'!$A$5:$A$34,0))),"")</f>
        <v/>
      </c>
      <c r="G32">
        <f>IF($A32="","",IF(COUNTIF('Annual Calendar'!$A$6:$A$35,$A32&amp;"")=0,"⚠ name not in the calendar",""))</f>
        <v/>
      </c>
    </row>
    <row r="33">
      <c r="A33" s="33" t="n"/>
      <c r="B33" s="33" t="n"/>
      <c r="C33" s="33" t="n"/>
      <c r="D33" s="33" t="n"/>
      <c r="E33" s="33" t="n"/>
      <c r="F33" s="35">
        <f>IFERROR(IF($A33="","",INDEX('PTO Balance'!$H$5:$H$34,MATCH($A33,'PTO Balance'!$A$5:$A$34,0))),"")</f>
        <v/>
      </c>
      <c r="G33">
        <f>IF($A33="","",IF(COUNTIF('Annual Calendar'!$A$6:$A$35,$A33&amp;"")=0,"⚠ name not in the calendar",""))</f>
        <v/>
      </c>
    </row>
    <row r="34">
      <c r="A34" s="33" t="n"/>
      <c r="B34" s="33" t="n"/>
      <c r="C34" s="33" t="n"/>
      <c r="D34" s="33" t="n"/>
      <c r="E34" s="33" t="n"/>
      <c r="F34" s="35">
        <f>IFERROR(IF($A34="","",INDEX('PTO Balance'!$H$5:$H$34,MATCH($A34,'PTO Balance'!$A$5:$A$34,0))),"")</f>
        <v/>
      </c>
      <c r="G34">
        <f>IF($A34="","",IF(COUNTIF('Annual Calendar'!$A$6:$A$35,$A34&amp;"")=0,"⚠ name not in the calendar",""))</f>
        <v/>
      </c>
    </row>
    <row r="35">
      <c r="A35" s="33" t="n"/>
      <c r="B35" s="33" t="n"/>
      <c r="C35" s="33" t="n"/>
      <c r="D35" s="33" t="n"/>
      <c r="E35" s="33" t="n"/>
      <c r="F35" s="35">
        <f>IFERROR(IF($A35="","",INDEX('PTO Balance'!$H$5:$H$34,MATCH($A35,'PTO Balance'!$A$5:$A$34,0))),"")</f>
        <v/>
      </c>
      <c r="G35">
        <f>IF($A35="","",IF(COUNTIF('Annual Calendar'!$A$6:$A$35,$A35&amp;"")=0,"⚠ name not in the calendar",""))</f>
        <v/>
      </c>
    </row>
    <row r="36">
      <c r="A36" s="33" t="n"/>
      <c r="B36" s="33" t="n"/>
      <c r="C36" s="33" t="n"/>
      <c r="D36" s="33" t="n"/>
      <c r="E36" s="33" t="n"/>
      <c r="F36" s="35">
        <f>IFERROR(IF($A36="","",INDEX('PTO Balance'!$H$5:$H$34,MATCH($A36,'PTO Balance'!$A$5:$A$34,0))),"")</f>
        <v/>
      </c>
      <c r="G36">
        <f>IF($A36="","",IF(COUNTIF('Annual Calendar'!$A$6:$A$35,$A36&amp;"")=0,"⚠ name not in the calendar",""))</f>
        <v/>
      </c>
    </row>
    <row r="37">
      <c r="A37" s="33" t="n"/>
      <c r="B37" s="33" t="n"/>
      <c r="C37" s="33" t="n"/>
      <c r="D37" s="33" t="n"/>
      <c r="E37" s="33" t="n"/>
      <c r="F37" s="35">
        <f>IFERROR(IF($A37="","",INDEX('PTO Balance'!$H$5:$H$34,MATCH($A37,'PTO Balance'!$A$5:$A$34,0))),"")</f>
        <v/>
      </c>
      <c r="G37">
        <f>IF($A37="","",IF(COUNTIF('Annual Calendar'!$A$6:$A$35,$A37&amp;"")=0,"⚠ name not in the calendar",""))</f>
        <v/>
      </c>
    </row>
    <row r="38">
      <c r="A38" s="33" t="n"/>
      <c r="B38" s="33" t="n"/>
      <c r="C38" s="33" t="n"/>
      <c r="D38" s="33" t="n"/>
      <c r="E38" s="33" t="n"/>
      <c r="F38" s="35">
        <f>IFERROR(IF($A38="","",INDEX('PTO Balance'!$H$5:$H$34,MATCH($A38,'PTO Balance'!$A$5:$A$34,0))),"")</f>
        <v/>
      </c>
      <c r="G38">
        <f>IF($A38="","",IF(COUNTIF('Annual Calendar'!$A$6:$A$35,$A38&amp;"")=0,"⚠ name not in the calendar",""))</f>
        <v/>
      </c>
    </row>
    <row r="39">
      <c r="A39" s="33" t="n"/>
      <c r="B39" s="33" t="n"/>
      <c r="C39" s="33" t="n"/>
      <c r="D39" s="33" t="n"/>
      <c r="E39" s="33" t="n"/>
      <c r="F39" s="35">
        <f>IFERROR(IF($A39="","",INDEX('PTO Balance'!$H$5:$H$34,MATCH($A39,'PTO Balance'!$A$5:$A$34,0))),"")</f>
        <v/>
      </c>
      <c r="G39">
        <f>IF($A39="","",IF(COUNTIF('Annual Calendar'!$A$6:$A$35,$A39&amp;"")=0,"⚠ name not in the calendar",""))</f>
        <v/>
      </c>
    </row>
    <row r="40">
      <c r="A40" s="33" t="n"/>
      <c r="B40" s="33" t="n"/>
      <c r="C40" s="33" t="n"/>
      <c r="D40" s="33" t="n"/>
      <c r="E40" s="33" t="n"/>
      <c r="F40" s="35">
        <f>IFERROR(IF($A40="","",INDEX('PTO Balance'!$H$5:$H$34,MATCH($A40,'PTO Balance'!$A$5:$A$34,0))),"")</f>
        <v/>
      </c>
      <c r="G40">
        <f>IF($A40="","",IF(COUNTIF('Annual Calendar'!$A$6:$A$35,$A40&amp;"")=0,"⚠ name not in the calendar",""))</f>
        <v/>
      </c>
    </row>
    <row r="41">
      <c r="A41" s="33" t="n"/>
      <c r="B41" s="33" t="n"/>
      <c r="C41" s="33" t="n"/>
      <c r="D41" s="33" t="n"/>
      <c r="E41" s="33" t="n"/>
      <c r="F41" s="35">
        <f>IFERROR(IF($A41="","",INDEX('PTO Balance'!$H$5:$H$34,MATCH($A41,'PTO Balance'!$A$5:$A$34,0))),"")</f>
        <v/>
      </c>
      <c r="G41">
        <f>IF($A41="","",IF(COUNTIF('Annual Calendar'!$A$6:$A$35,$A41&amp;"")=0,"⚠ name not in the calendar",""))</f>
        <v/>
      </c>
    </row>
    <row r="43">
      <c r="A43" s="56" t="inlineStr">
        <is>
          <t>COVERAGE INDICATORS</t>
        </is>
      </c>
      <c r="B43" s="57" t="n"/>
      <c r="C43" s="57" t="n"/>
      <c r="D43" s="57" t="n"/>
      <c r="E43" s="57" t="n"/>
      <c r="F43" s="57" t="n"/>
      <c r="G43" s="57" t="n"/>
    </row>
    <row r="44">
      <c r="A44" t="inlineStr">
        <is>
          <t>Total staff in the calendar:</t>
        </is>
      </c>
      <c r="B44" s="35">
        <f>COUNTIF('Annual Calendar'!$A$6:$A$35,"?*")</f>
        <v>0.0</v>
      </c>
    </row>
    <row r="45">
      <c r="A45" t="inlineStr">
        <is>
          <t>Peak simultaneous absences (worst week):</t>
        </is>
      </c>
      <c r="B45" s="35">
        <f>MAX('Annual Calendar'!$B$39:$BB$39)</f>
        <v>0.0</v>
      </c>
    </row>
    <row r="46">
      <c r="A46" t="inlineStr">
        <is>
          <t>Weeks above your maximum:</t>
        </is>
      </c>
      <c r="B46" s="35">
        <f>COUNTIF('Annual Calendar'!$B$39:$BB$39,"&gt;"&amp;$B$3)</f>
        <v>0.0</v>
      </c>
    </row>
    <row r="47">
      <c r="A47" t="inlineStr">
        <is>
          <t>High-season weeks with someone absent:</t>
        </is>
      </c>
      <c r="B47" s="35">
        <f>SUMPRODUCT(('Annual Calendar'!$B$36:$BB$36="High")*('Annual Calendar'!$B$39:$BB$39&gt;0))</f>
        <v>0.0</v>
      </c>
    </row>
    <row r="48">
      <c r="A48" t="inlineStr">
        <is>
          <t>Weeks when the most demanding shift is NOT covered (staff − absences &lt; minimum):</t>
        </is>
      </c>
      <c r="B48" s="35">
        <f>IF($B$44=0,"",SUMPRODUCT((($B$44-'Annual Calendar'!$B$39:$BB$39)&lt;MAX($B$6:$B$8))*1))</f>
        <v/>
      </c>
    </row>
    <row r="50" ht="34" customHeight="1">
      <c r="A50" s="51" t="inlineStr">
        <is>
          <t>▸ The indicators read the "Absences in the week" row of the Annual Calendar, which is the HIGHER of two counts: what you painted by hand in the grid (V, S and L) and what comes automatically from APPROVED requests. Whether you work from the grid or from the requests, coverage knows.</t>
        </is>
      </c>
    </row>
    <row r="52">
      <c r="A52" s="39"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5">
    <mergeCell ref="A1:G1"/>
    <mergeCell ref="A9:G9"/>
    <mergeCell ref="A50:G50"/>
    <mergeCell ref="A2:G2"/>
    <mergeCell ref="A52:G52"/>
  </mergeCells>
  <conditionalFormatting sqref="G12:G41">
    <cfRule type="containsText" priority="1" operator="containsText" dxfId="0" stopIfTrue="1" text="⛔">
      <formula>NOT(ISERROR(SEARCH("⛔",G12)))</formula>
    </cfRule>
    <cfRule type="containsText" priority="2" operator="containsText" dxfId="0" stopIfTrue="1" text="EXCESS">
      <formula>NOT(ISERROR(SEARCH("EXCESS",G12)))</formula>
    </cfRule>
    <cfRule type="containsText" priority="3" operator="containsText" dxfId="1" stopIfTrue="1" text="⚠">
      <formula>NOT(ISERROR(SEARCH("⚠",G12)))</formula>
    </cfRule>
    <cfRule type="containsText" priority="4" operator="containsText" dxfId="4" stopIfTrue="1" text="OK">
      <formula>NOT(ISERROR(SEARCH("OK",G12)))</formula>
    </cfRule>
  </conditionalFormatting>
  <dataValidations count="1">
    <dataValidation sqref="B12:B41" showDropDown="0" showInputMessage="1" showErrorMessage="1" allowBlank="1" errorTitle="Invalid position" error="Pick the position of the absent person." promptTitle="kitgp-v2b · Invalid position" prompt="The position decides who can cover whom: a busser cannot cover a head chef. If one is missing, unprotect the sheet and edit the list." type="list" errorStyle="stop">
      <formula1>"Head chef,Sous chef,Line cook,Prep cook,Pastry cook,Dishwasher,FOH manager,Server,Busser,Bartender,Sommelier,Host,Delivery driver,Shift manager"</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PTO &amp; Vacation Planner</dc:title>
  <dc:description xmlns:dc="http://purl.org/dc/elements/1.1/">aichef.pro/en/digital-products/restaurant-schedule-templates</dc:description>
  <dc:subject xmlns:dc="http://purl.org/dc/elements/1.1/">Restaurant Staff Scheduling Kit Pro · v2.0</dc:subject>
  <dcterms:created xmlns:dcterms="http://purl.org/dc/terms/" xmlns:xsi="http://www.w3.org/2001/XMLSchema-instance" xsi:type="dcterms:W3CDTF">2026-03-23T19:17:39Z</dcterms:created>
  <dcterms:modified xmlns:dcterms="http://purl.org/dc/terms/" xmlns:xsi="http://www.w3.org/2001/XMLSchema-instance" xsi:type="dcterms:W3CDTF">2026-10-03T15:13:42Z</dcterms:modified>
  <cp:lastModifiedBy>AI Chef Pro</cp:lastModifiedBy>
  <cp:category>AI Chef Pro · Digital products</cp:category>
  <cp:keywords>restaurant schedule template, staff rota, AI Chef Pro</cp:keywords>
</cp:coreProperties>
</file>