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 Caja" sheetId="2" state="visible" r:id="rId2"/>
    <sheet xmlns:r="http://schemas.openxmlformats.org/officeDocument/2006/relationships" name="Cierre de Caja" sheetId="3" state="visible" r:id="rId3"/>
    <sheet xmlns:r="http://schemas.openxmlformats.org/officeDocument/2006/relationships" name="Registro Mensual" sheetId="4" state="visible" r:id="rId4"/>
  </sheets>
  <definedNames>
    <definedName name="_xlnm.Print_Area" localSheetId="0">'Instrucciones'!$A$1:$A$20</definedName>
    <definedName name="_xlnm.Print_Titles" localSheetId="1">'Apertura de Caja'!$4:$4</definedName>
    <definedName name="_xlnm.Print_Area" localSheetId="1">'Apertura de Caja'!$A$1:$F$18</definedName>
    <definedName name="_xlnm.Print_Titles" localSheetId="2">'Cierre de Caja'!$4:$4</definedName>
    <definedName name="_xlnm.Print_Area" localSheetId="2">'Cierre de Caja'!$A$1:$F$48</definedName>
    <definedName name="_xlnm.Print_Titles" localSheetId="3">'Registro Mensual'!$4:$4</definedName>
    <definedName name="_xlnm.Print_Area" localSheetId="3">'Registro Mensual'!$A$1:$I$38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color rgb="001A1A1A"/>
      <sz val="13"/>
    </font>
    <font>
      <name val="Calibri"/>
      <b val="1"/>
      <color rgb="001A1A1A"/>
      <sz val="11"/>
    </font>
    <font>
      <name val="Calibri"/>
      <b val="1"/>
      <color rgb="00FFFFFF"/>
      <sz val="12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164" fontId="11" fillId="2" borderId="1" applyAlignment="1" pivotButton="0" quotePrefix="0" xfId="0">
      <alignment horizontal="right" vertical="center" wrapText="1"/>
    </xf>
    <xf numFmtId="0" fontId="6" fillId="3" borderId="1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right" vertical="center" wrapText="1"/>
    </xf>
    <xf numFmtId="164" fontId="7" fillId="2" borderId="1" applyAlignment="1" pivotButton="0" quotePrefix="0" xfId="0">
      <alignment horizontal="right" vertical="center" wrapText="1"/>
    </xf>
    <xf numFmtId="0" fontId="12" fillId="0" borderId="0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0"/>
  <sheetViews>
    <sheetView workbookViewId="0">
      <selection activeCell="A1" sqref="A1"/>
    </sheetView>
  </sheetViews>
  <sheetFormatPr baseColWidth="8" defaultRowHeight="18"/>
  <cols>
    <col width="80" customWidth="1" min="1" max="1"/>
  </cols>
  <sheetData>
    <row r="1" ht="40" customHeight="1">
      <c r="A1" s="1" t="inlineStr">
        <is>
          <t>AI Chef Pro — aichef.pro</t>
        </is>
      </c>
    </row>
    <row r="2" ht="30" customHeight="1">
      <c r="A2" s="2" t="inlineStr">
        <is>
          <t>Kit de Tareas — Hotel Completo</t>
        </is>
      </c>
    </row>
    <row r="3" ht="25" customHeight="1">
      <c r="A3" s="3" t="inlineStr">
        <is>
          <t>Checklist de Apertura y Cierre de Caja</t>
        </is>
      </c>
    </row>
    <row r="4"/>
    <row r="5" ht="35" customHeight="1">
      <c r="A5" s="4" t="inlineStr">
        <is>
          <t>📋 Instrucciones de Uso</t>
        </is>
      </c>
    </row>
    <row r="6" ht="22" customHeight="1">
      <c r="A6" s="5" t="inlineStr">
        <is>
          <t>1. Este archivo contiene checklists profesionales para la apertura y cierre de tu negocio.</t>
        </is>
      </c>
    </row>
    <row r="7" ht="22" customHeight="1">
      <c r="A7" s="5" t="inlineStr">
        <is>
          <t>2. Imprime las hojas que necesites o úsalas en formato digital (tablet/ordenador).</t>
        </is>
      </c>
    </row>
    <row r="8" ht="22" customHeight="1">
      <c r="A8" s="5" t="inlineStr">
        <is>
          <t>3. Cada checklist incluye columnas para marcar tareas completadas, responsable, hora y notas.</t>
        </is>
      </c>
    </row>
    <row r="9" ht="22" customHeight="1">
      <c r="A9" s="5" t="inlineStr">
        <is>
          <t>4. Personaliza las tareas según las necesidades específicas de tu establecimiento.</t>
        </is>
      </c>
    </row>
    <row r="10" ht="22" customHeight="1">
      <c r="A10" s="5" t="inlineStr">
        <is>
          <t>5. Añade o elimina filas según tu operativa diaria.</t>
        </is>
      </c>
    </row>
    <row r="11" ht="22" customHeight="1">
      <c r="A11" s="5" t="inlineStr">
        <is>
          <t>6. Usa la validación de datos en la columna '✓ Completada' para marcar el estado.</t>
        </is>
      </c>
    </row>
    <row r="12" ht="22" customHeight="1">
      <c r="A12" s="5" t="inlineStr">
        <is>
          <t>7. Rellena la firma y fecha cada día para mantener el control.</t>
        </is>
      </c>
    </row>
    <row r="13" ht="22" customHeight="1">
      <c r="A13" s="5" t="inlineStr"/>
    </row>
    <row r="14" ht="22" customHeight="1">
      <c r="A14" s="5" t="inlineStr">
        <is>
          <t>💡 Consejo: Plastifica una copia impresa y usa rotuladores borrables para reutilizarla cada día.</t>
        </is>
      </c>
    </row>
    <row r="15" ht="22" customHeight="1">
      <c r="A15" s="5" t="inlineStr"/>
    </row>
    <row r="16" ht="22" customHeight="1">
      <c r="A16" s="5" t="inlineStr">
        <is>
          <t>© AI Chef Pro — aichef.pro</t>
        </is>
      </c>
    </row>
    <row r="17" ht="22" customHeight="1">
      <c r="A17" s="5" t="inlineStr">
        <is>
          <t>Diseñado por John Guerrero — chef y consultor gastronómico desde 2010, en cocina desde los 17 años · johnguerrero.es</t>
        </is>
      </c>
    </row>
    <row r="18" ht="22" customHeight="1">
      <c r="A18" s="5" t="inlineStr">
        <is>
          <t>Contacto: info@aichef.pro</t>
        </is>
      </c>
    </row>
    <row r="19"/>
    <row r="20">
      <c r="A20" s="5" t="inlineStr">
        <is>
          <t>Versión 1.1 · agosto 2026 · aichef.pro/kit-tareas-hotel · info@aichef.pro</t>
        </is>
      </c>
    </row>
  </sheetData>
  <mergeCells count="1">
    <mergeCell ref="A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F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4" customWidth="1" min="4" max="4"/>
    <col width="12" customWidth="1" min="5" max="5"/>
    <col width="25" customWidth="1" min="6" max="6"/>
  </cols>
  <sheetData>
    <row r="1" ht="40" customHeight="1">
      <c r="A1" s="1" t="inlineStr">
        <is>
          <t>Apertura de Caja — Hotel Completo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✓ Completada</t>
        </is>
      </c>
      <c r="E4" s="7" t="inlineStr">
        <is>
          <t>Hora</t>
        </is>
      </c>
      <c r="F4" s="7" t="inlineStr">
        <is>
          <t>Notas</t>
        </is>
      </c>
    </row>
    <row r="5" ht="24" customHeight="1">
      <c r="A5" s="8" t="n">
        <v>1</v>
      </c>
      <c r="B5" s="9" t="inlineStr">
        <is>
          <t>Verificar fondo de caja del día anterior</t>
        </is>
      </c>
      <c r="C5" s="8" t="inlineStr"/>
      <c r="D5" s="8" t="inlineStr"/>
      <c r="E5" s="8" t="inlineStr"/>
      <c r="F5" s="8" t="inlineStr"/>
    </row>
    <row r="6" ht="24" customHeight="1">
      <c r="A6" s="10" t="n">
        <v>2</v>
      </c>
      <c r="B6" s="11" t="inlineStr">
        <is>
          <t>Contar fondo de caja inicial</t>
        </is>
      </c>
      <c r="C6" s="10" t="inlineStr"/>
      <c r="D6" s="10" t="inlineStr"/>
      <c r="E6" s="10" t="inlineStr"/>
      <c r="F6" s="10" t="inlineStr"/>
    </row>
    <row r="7" ht="24" customHeight="1">
      <c r="A7" s="8" t="n">
        <v>3</v>
      </c>
      <c r="B7" s="9" t="inlineStr">
        <is>
          <t>Registrar importe de fondo de caja en hoja</t>
        </is>
      </c>
      <c r="C7" s="8" t="inlineStr"/>
      <c r="D7" s="8" t="inlineStr"/>
      <c r="E7" s="8" t="inlineStr"/>
      <c r="F7" s="8" t="inlineStr"/>
    </row>
    <row r="8" ht="24" customHeight="1">
      <c r="A8" s="10" t="n">
        <v>4</v>
      </c>
      <c r="B8" s="11" t="inlineStr">
        <is>
          <t>Verificar cambio suficiente (monedas, billetes pequeños)</t>
        </is>
      </c>
      <c r="C8" s="10" t="inlineStr"/>
      <c r="D8" s="10" t="inlineStr"/>
      <c r="E8" s="10" t="inlineStr"/>
      <c r="F8" s="10" t="inlineStr"/>
    </row>
    <row r="9" ht="24" customHeight="1">
      <c r="A9" s="8" t="n">
        <v>5</v>
      </c>
      <c r="B9" s="9" t="inlineStr">
        <is>
          <t>Encender TPV / POS</t>
        </is>
      </c>
      <c r="C9" s="8" t="inlineStr"/>
      <c r="D9" s="8" t="inlineStr"/>
      <c r="E9" s="8" t="inlineStr"/>
      <c r="F9" s="8" t="inlineStr"/>
    </row>
    <row r="10" ht="24" customHeight="1">
      <c r="A10" s="10" t="n">
        <v>6</v>
      </c>
      <c r="B10" s="11" t="inlineStr">
        <is>
          <t>Imprimir X de apertura (informe de inicio)</t>
        </is>
      </c>
      <c r="C10" s="10" t="inlineStr"/>
      <c r="D10" s="10" t="inlineStr"/>
      <c r="E10" s="10" t="inlineStr"/>
      <c r="F10" s="10" t="inlineStr"/>
    </row>
    <row r="11" ht="24" customHeight="1">
      <c r="A11" s="8" t="n">
        <v>7</v>
      </c>
      <c r="B11" s="9" t="inlineStr">
        <is>
          <t>Comprobar rollo de papel de ticket</t>
        </is>
      </c>
      <c r="C11" s="8" t="inlineStr"/>
      <c r="D11" s="8" t="inlineStr"/>
      <c r="E11" s="8" t="inlineStr"/>
      <c r="F11" s="8" t="inlineStr"/>
    </row>
    <row r="12" ht="24" customHeight="1">
      <c r="A12" s="10" t="n">
        <v>8</v>
      </c>
      <c r="B12" s="11" t="inlineStr">
        <is>
          <t>Verificar datáfono operativo</t>
        </is>
      </c>
      <c r="C12" s="10" t="inlineStr"/>
      <c r="D12" s="10" t="inlineStr"/>
      <c r="E12" s="10" t="inlineStr"/>
      <c r="F12" s="10" t="inlineStr"/>
    </row>
    <row r="13" ht="24" customHeight="1">
      <c r="A13" s="8" t="n">
        <v>9</v>
      </c>
      <c r="B13" s="9" t="inlineStr">
        <is>
          <t>Verificar conexión de pasarela de pago</t>
        </is>
      </c>
      <c r="C13" s="8" t="inlineStr"/>
      <c r="D13" s="8" t="inlineStr"/>
      <c r="E13" s="8" t="inlineStr"/>
      <c r="F13" s="8" t="inlineStr"/>
    </row>
    <row r="14" ht="24" customHeight="1">
      <c r="A14" s="10" t="n">
        <v>10</v>
      </c>
      <c r="B14" s="11" t="inlineStr">
        <is>
          <t>Anotar incidencias del turno anterior</t>
        </is>
      </c>
      <c r="C14" s="10" t="inlineStr"/>
      <c r="D14" s="10" t="inlineStr"/>
      <c r="E14" s="10" t="inlineStr"/>
      <c r="F14" s="10" t="inlineStr"/>
    </row>
    <row r="15" ht="24" customHeight="1">
      <c r="A15" s="8" t="n">
        <v>11</v>
      </c>
      <c r="B15" s="9" t="inlineStr">
        <is>
          <t>Firma del responsable de apertura</t>
        </is>
      </c>
      <c r="C15" s="8" t="inlineStr"/>
      <c r="D15" s="8" t="inlineStr"/>
      <c r="E15" s="8" t="inlineStr"/>
      <c r="F15" s="8" t="inlineStr"/>
    </row>
    <row r="16">
      <c r="B16" s="25" t="inlineStr">
        <is>
          <t>Tareas completadas:</t>
        </is>
      </c>
      <c r="C16">
        <f>COUNTIF(D5:D15,"✓")</f>
        <v>0.0</v>
      </c>
      <c r="D16" t="inlineStr">
        <is>
          <t>de</t>
        </is>
      </c>
      <c r="E16">
        <f>COUNTIF(B5:B15,"?*")</f>
        <v>11.0</v>
      </c>
    </row>
    <row r="17" ht="30" customHeight="1">
      <c r="A17" s="6" t="inlineStr">
        <is>
          <t>Firma del responsable: _________________________     Hora: ________</t>
        </is>
      </c>
    </row>
    <row r="18">
      <c r="A18" s="12" t="inlineStr">
        <is>
          <t>© AI Chef Pro — aichef.pro</t>
        </is>
      </c>
    </row>
  </sheetData>
  <mergeCells count="5">
    <mergeCell ref="A18:F18"/>
    <mergeCell ref="A17:F17"/>
    <mergeCell ref="A2:C2"/>
    <mergeCell ref="A1:F1"/>
    <mergeCell ref="D2:F2"/>
  </mergeCells>
  <conditionalFormatting sqref="A5:F15">
    <cfRule type="expression" priority="1" dxfId="0">
      <formula>$D5="✓"</formula>
    </cfRule>
  </conditionalFormatting>
  <dataValidations count="1">
    <dataValidation sqref="D5 D6 D7 D8 D9 D10 D11 D12 D13 D14 D15" showDropDown="0" showInputMessage="0" showErrorMessage="0" allowBlank="1" errorTitle="Valor no válido" error="Selecciona ✓, ✗ o —" type="list">
      <formula1>"✓,✗,—"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F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4" customWidth="1" min="4" max="4"/>
    <col width="12" customWidth="1" min="5" max="5"/>
    <col width="25" customWidth="1" min="6" max="6"/>
  </cols>
  <sheetData>
    <row r="1" ht="40" customHeight="1">
      <c r="A1" s="1" t="inlineStr">
        <is>
          <t>Cierre de Caja — Hotel Completo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✓ Completada</t>
        </is>
      </c>
      <c r="E4" s="7" t="inlineStr">
        <is>
          <t>Hora</t>
        </is>
      </c>
      <c r="F4" s="7" t="inlineStr">
        <is>
          <t>Notas</t>
        </is>
      </c>
    </row>
    <row r="5" ht="24" customHeight="1">
      <c r="A5" s="8" t="n">
        <v>1</v>
      </c>
      <c r="B5" s="9" t="inlineStr">
        <is>
          <t>Imprimir Z de cierre (informe final del día)</t>
        </is>
      </c>
      <c r="C5" s="8" t="inlineStr"/>
      <c r="D5" s="8" t="inlineStr"/>
      <c r="E5" s="8" t="inlineStr"/>
      <c r="F5" s="8" t="inlineStr"/>
    </row>
    <row r="6" ht="24" customHeight="1">
      <c r="A6" s="10" t="n">
        <v>2</v>
      </c>
      <c r="B6" s="11" t="inlineStr">
        <is>
          <t>Recuento de efectivo por denominación (ver tabla inferior)</t>
        </is>
      </c>
      <c r="C6" s="10" t="inlineStr"/>
      <c r="D6" s="10" t="inlineStr"/>
      <c r="E6" s="10" t="inlineStr"/>
      <c r="F6" s="10" t="inlineStr"/>
    </row>
    <row r="7" ht="24" customHeight="1">
      <c r="A7" s="8" t="n">
        <v>3</v>
      </c>
      <c r="B7" s="9" t="inlineStr">
        <is>
          <t>Calcular total efectivo</t>
        </is>
      </c>
      <c r="C7" s="8" t="inlineStr"/>
      <c r="D7" s="8" t="inlineStr"/>
      <c r="E7" s="8" t="inlineStr"/>
      <c r="F7" s="8" t="inlineStr"/>
    </row>
    <row r="8" ht="24" customHeight="1">
      <c r="A8" s="10" t="n">
        <v>4</v>
      </c>
      <c r="B8" s="11" t="inlineStr">
        <is>
          <t>Anotar total tarjetas (Visa/Mastercard)</t>
        </is>
      </c>
      <c r="C8" s="10" t="inlineStr"/>
      <c r="D8" s="10" t="inlineStr"/>
      <c r="E8" s="10" t="inlineStr"/>
      <c r="F8" s="10" t="inlineStr"/>
    </row>
    <row r="9" ht="24" customHeight="1">
      <c r="A9" s="8" t="n">
        <v>5</v>
      </c>
      <c r="B9" s="9" t="inlineStr">
        <is>
          <t>Anotar otros medios (Bizum, vales, invitaciones)</t>
        </is>
      </c>
      <c r="C9" s="8" t="inlineStr"/>
      <c r="D9" s="8" t="inlineStr"/>
      <c r="E9" s="8" t="inlineStr"/>
      <c r="F9" s="8" t="inlineStr"/>
    </row>
    <row r="10" ht="24" customHeight="1">
      <c r="A10" s="10" t="n">
        <v>6</v>
      </c>
      <c r="B10" s="11" t="inlineStr">
        <is>
          <t>Total facturado = efectivo + tarjetas + otros</t>
        </is>
      </c>
      <c r="C10" s="10" t="inlineStr"/>
      <c r="D10" s="10" t="inlineStr"/>
      <c r="E10" s="10" t="inlineStr"/>
      <c r="F10" s="10" t="inlineStr"/>
    </row>
    <row r="11" ht="24" customHeight="1">
      <c r="A11" s="8" t="n">
        <v>7</v>
      </c>
      <c r="B11" s="9" t="inlineStr">
        <is>
          <t>Comparar con Z del TPV → calcular diferencia/descuadre</t>
        </is>
      </c>
      <c r="C11" s="8" t="inlineStr"/>
      <c r="D11" s="8" t="inlineStr"/>
      <c r="E11" s="8" t="inlineStr"/>
      <c r="F11" s="8" t="inlineStr"/>
    </row>
    <row r="12" ht="24" customHeight="1">
      <c r="A12" s="10" t="n">
        <v>8</v>
      </c>
      <c r="B12" s="11" t="inlineStr">
        <is>
          <t>Registrar devoluciones del día</t>
        </is>
      </c>
      <c r="C12" s="10" t="inlineStr"/>
      <c r="D12" s="10" t="inlineStr"/>
      <c r="E12" s="10" t="inlineStr"/>
      <c r="F12" s="10" t="inlineStr"/>
    </row>
    <row r="13" ht="24" customHeight="1">
      <c r="A13" s="8" t="n">
        <v>9</v>
      </c>
      <c r="B13" s="9" t="inlineStr">
        <is>
          <t>Registrar anulaciones del día</t>
        </is>
      </c>
      <c r="C13" s="8" t="inlineStr"/>
      <c r="D13" s="8" t="inlineStr"/>
      <c r="E13" s="8" t="inlineStr"/>
      <c r="F13" s="8" t="inlineStr"/>
    </row>
    <row r="14" ht="24" customHeight="1">
      <c r="A14" s="10" t="n">
        <v>10</v>
      </c>
      <c r="B14" s="11" t="inlineStr">
        <is>
          <t>Separar fondo de caja para mañana</t>
        </is>
      </c>
      <c r="C14" s="10" t="inlineStr"/>
      <c r="D14" s="10" t="inlineStr"/>
      <c r="E14" s="10" t="inlineStr"/>
      <c r="F14" s="10" t="inlineStr"/>
    </row>
    <row r="15" ht="24" customHeight="1">
      <c r="A15" s="8" t="n">
        <v>11</v>
      </c>
      <c r="B15" s="9" t="inlineStr">
        <is>
          <t>Preparar depósito bancario / guardar en caja fuerte</t>
        </is>
      </c>
      <c r="C15" s="8" t="inlineStr"/>
      <c r="D15" s="8" t="inlineStr"/>
      <c r="E15" s="8" t="inlineStr"/>
      <c r="F15" s="8" t="inlineStr"/>
    </row>
    <row r="16" ht="24" customHeight="1">
      <c r="A16" s="10" t="n">
        <v>12</v>
      </c>
      <c r="B16" s="11" t="inlineStr">
        <is>
          <t>Firma del responsable de cierre</t>
        </is>
      </c>
      <c r="C16" s="10" t="inlineStr"/>
      <c r="D16" s="10" t="inlineStr"/>
      <c r="E16" s="10" t="inlineStr"/>
      <c r="F16" s="10" t="inlineStr"/>
    </row>
    <row r="17">
      <c r="B17" s="25" t="inlineStr">
        <is>
          <t>Tareas completadas:</t>
        </is>
      </c>
      <c r="C17">
        <f>COUNTIF(D5:D16,"✓")</f>
        <v>0.0</v>
      </c>
      <c r="D17" t="inlineStr">
        <is>
          <t>de</t>
        </is>
      </c>
      <c r="E17">
        <f>COUNTIF(B5:B16,"?*")</f>
        <v>12.0</v>
      </c>
    </row>
    <row r="18" ht="32" customHeight="1">
      <c r="A18" s="13" t="inlineStr">
        <is>
          <t>💰 Recuento de Efectivo por Denominación</t>
        </is>
      </c>
    </row>
    <row r="19" ht="26" customHeight="1">
      <c r="A19" s="7" t="inlineStr">
        <is>
          <t>Denominación</t>
        </is>
      </c>
      <c r="B19" s="7" t="inlineStr">
        <is>
          <t>Cantidad</t>
        </is>
      </c>
      <c r="C19" s="7" t="inlineStr">
        <is>
          <t>Subtotal (€)</t>
        </is>
      </c>
    </row>
    <row r="20" ht="24" customHeight="1">
      <c r="A20" s="14" t="inlineStr">
        <is>
          <t>BILLETES</t>
        </is>
      </c>
      <c r="B20" s="26" t="n"/>
      <c r="C20" s="20" t="n"/>
    </row>
    <row r="21" ht="22" customHeight="1">
      <c r="A21" s="15" t="inlineStr">
        <is>
          <t>500 €</t>
        </is>
      </c>
      <c r="B21" s="8" t="n">
        <v>0</v>
      </c>
      <c r="C21" s="16">
        <f>B21*500</f>
        <v>0.0</v>
      </c>
    </row>
    <row r="22" ht="22" customHeight="1">
      <c r="A22" s="17" t="inlineStr">
        <is>
          <t>200 €</t>
        </is>
      </c>
      <c r="B22" s="10" t="n">
        <v>0</v>
      </c>
      <c r="C22" s="18">
        <f>B22*200</f>
        <v>0.0</v>
      </c>
    </row>
    <row r="23" ht="22" customHeight="1">
      <c r="A23" s="15" t="inlineStr">
        <is>
          <t>100 €</t>
        </is>
      </c>
      <c r="B23" s="8" t="n">
        <v>0</v>
      </c>
      <c r="C23" s="16">
        <f>B23*100</f>
        <v>0.0</v>
      </c>
    </row>
    <row r="24" ht="22" customHeight="1">
      <c r="A24" s="17" t="inlineStr">
        <is>
          <t>50 €</t>
        </is>
      </c>
      <c r="B24" s="10" t="n">
        <v>0</v>
      </c>
      <c r="C24" s="18">
        <f>B24*50</f>
        <v>0.0</v>
      </c>
    </row>
    <row r="25" ht="22" customHeight="1">
      <c r="A25" s="15" t="inlineStr">
        <is>
          <t>20 €</t>
        </is>
      </c>
      <c r="B25" s="8" t="n">
        <v>0</v>
      </c>
      <c r="C25" s="16">
        <f>B25*20</f>
        <v>0.0</v>
      </c>
    </row>
    <row r="26" ht="22" customHeight="1">
      <c r="A26" s="17" t="inlineStr">
        <is>
          <t>10 €</t>
        </is>
      </c>
      <c r="B26" s="10" t="n">
        <v>0</v>
      </c>
      <c r="C26" s="18">
        <f>B26*10</f>
        <v>0.0</v>
      </c>
    </row>
    <row r="27" ht="22" customHeight="1">
      <c r="A27" s="15" t="inlineStr">
        <is>
          <t>5 €</t>
        </is>
      </c>
      <c r="B27" s="8" t="n">
        <v>0</v>
      </c>
      <c r="C27" s="16">
        <f>B27*5</f>
        <v>0.0</v>
      </c>
    </row>
    <row r="28" ht="24" customHeight="1">
      <c r="A28" s="14" t="inlineStr">
        <is>
          <t>MONEDAS</t>
        </is>
      </c>
      <c r="B28" s="26" t="n"/>
      <c r="C28" s="20" t="n"/>
    </row>
    <row r="29" ht="22" customHeight="1">
      <c r="A29" s="15" t="inlineStr">
        <is>
          <t>2 €</t>
        </is>
      </c>
      <c r="B29" s="8" t="n">
        <v>0</v>
      </c>
      <c r="C29" s="16">
        <f>B29*2</f>
        <v>0.0</v>
      </c>
    </row>
    <row r="30" ht="22" customHeight="1">
      <c r="A30" s="17" t="inlineStr">
        <is>
          <t>1 €</t>
        </is>
      </c>
      <c r="B30" s="10" t="n">
        <v>0</v>
      </c>
      <c r="C30" s="18">
        <f>B30*1</f>
        <v>0.0</v>
      </c>
    </row>
    <row r="31" ht="22" customHeight="1">
      <c r="A31" s="15" t="inlineStr">
        <is>
          <t>0,50 €</t>
        </is>
      </c>
      <c r="B31" s="8" t="n">
        <v>0</v>
      </c>
      <c r="C31" s="16">
        <f>B31*0.5</f>
        <v>0.0</v>
      </c>
    </row>
    <row r="32" ht="22" customHeight="1">
      <c r="A32" s="17" t="inlineStr">
        <is>
          <t>0,20 €</t>
        </is>
      </c>
      <c r="B32" s="10" t="n">
        <v>0</v>
      </c>
      <c r="C32" s="18">
        <f>B32*0.2</f>
        <v>0.0</v>
      </c>
    </row>
    <row r="33" ht="22" customHeight="1">
      <c r="A33" s="15" t="inlineStr">
        <is>
          <t>0,10 €</t>
        </is>
      </c>
      <c r="B33" s="8" t="n">
        <v>0</v>
      </c>
      <c r="C33" s="16">
        <f>B33*0.1</f>
        <v>0.0</v>
      </c>
    </row>
    <row r="34" ht="22" customHeight="1">
      <c r="A34" s="17" t="inlineStr">
        <is>
          <t>0,05 €</t>
        </is>
      </c>
      <c r="B34" s="10" t="n">
        <v>0</v>
      </c>
      <c r="C34" s="18">
        <f>B34*0.05</f>
        <v>0.0</v>
      </c>
    </row>
    <row r="35" ht="22" customHeight="1">
      <c r="A35" s="15" t="inlineStr">
        <is>
          <t>0,01 €</t>
        </is>
      </c>
      <c r="B35" s="8" t="n">
        <v>0</v>
      </c>
      <c r="C35" s="16">
        <f>B35*0.01</f>
        <v>0.0</v>
      </c>
    </row>
    <row r="36" ht="28" customHeight="1">
      <c r="A36" s="19" t="inlineStr">
        <is>
          <t>TOTAL EFECTIVO</t>
        </is>
      </c>
      <c r="B36" s="20" t="n"/>
      <c r="C36" s="21">
        <f>SUM(C21:C35)</f>
        <v>0.0</v>
      </c>
    </row>
    <row r="37"/>
    <row r="38" ht="30" customHeight="1">
      <c r="A38" s="13" t="inlineStr">
        <is>
          <t>📊 Resumen de Cierre</t>
        </is>
      </c>
    </row>
    <row r="39" ht="26" customHeight="1">
      <c r="A39" s="7" t="inlineStr">
        <is>
          <t>Concepto</t>
        </is>
      </c>
      <c r="B39" s="7" t="inlineStr">
        <is>
          <t>Importe (€)</t>
        </is>
      </c>
    </row>
    <row r="40" ht="24" customHeight="1">
      <c r="A40" s="9" t="inlineStr">
        <is>
          <t>Total Efectivo</t>
        </is>
      </c>
      <c r="B40" s="16">
        <f>C36</f>
        <v>0.0</v>
      </c>
    </row>
    <row r="41" ht="24" customHeight="1">
      <c r="A41" s="11" t="inlineStr">
        <is>
          <t>Total Tarjetas (Visa/MC)</t>
        </is>
      </c>
      <c r="B41" s="18" t="n">
        <v>0</v>
      </c>
    </row>
    <row r="42" ht="24" customHeight="1">
      <c r="A42" s="9" t="inlineStr">
        <is>
          <t>Total Otros (Bizum, Vales)</t>
        </is>
      </c>
      <c r="B42" s="16" t="n">
        <v>0</v>
      </c>
    </row>
    <row r="43" ht="24" customHeight="1">
      <c r="A43" s="22" t="inlineStr">
        <is>
          <t>TOTAL FACTURADO</t>
        </is>
      </c>
      <c r="B43" s="23">
        <f>B40+B41+B42</f>
        <v>0.0</v>
      </c>
    </row>
    <row r="44" ht="24" customHeight="1">
      <c r="A44" s="9" t="inlineStr">
        <is>
          <t>Z del TPV</t>
        </is>
      </c>
      <c r="B44" s="16" t="n">
        <v>0</v>
      </c>
    </row>
    <row r="45" ht="24" customHeight="1">
      <c r="A45" s="22" t="inlineStr">
        <is>
          <t>DESCUADRE</t>
        </is>
      </c>
      <c r="B45" s="23">
        <f>B43-B44</f>
        <v>0.0</v>
      </c>
    </row>
    <row r="46"/>
    <row r="47" ht="30" customHeight="1">
      <c r="A47" s="6" t="inlineStr">
        <is>
          <t>Firma del responsable: _________________________     Hora: ________</t>
        </is>
      </c>
    </row>
    <row r="48">
      <c r="A48" s="12" t="inlineStr">
        <is>
          <t>© AI Chef Pro — aichef.pro</t>
        </is>
      </c>
    </row>
  </sheetData>
  <mergeCells count="10">
    <mergeCell ref="A48:F48"/>
    <mergeCell ref="A38:C38"/>
    <mergeCell ref="A18:F18"/>
    <mergeCell ref="A47:F47"/>
    <mergeCell ref="A2:C2"/>
    <mergeCell ref="A20:C20"/>
    <mergeCell ref="A36:B36"/>
    <mergeCell ref="A1:F1"/>
    <mergeCell ref="D2:F2"/>
    <mergeCell ref="A28:C28"/>
  </mergeCells>
  <conditionalFormatting sqref="A5:F16">
    <cfRule type="expression" priority="1" dxfId="0">
      <formula>$D5="✓"</formula>
    </cfRule>
  </conditionalFormatting>
  <dataValidations count="1">
    <dataValidation sqref="D5 D6 D7 D8 D9 D10 D11 D12 D13 D14 D15 D16" showDropDown="0" showInputMessage="0" showErrorMessage="0" allowBlank="1" errorTitle="Valor no válido" error="Selecciona ✓, ✗ o —" type="list">
      <formula1>"✓,✗,—"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I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14" customWidth="1" min="7" max="7"/>
    <col width="14" customWidth="1" min="8" max="8"/>
    <col width="16" customWidth="1" min="9" max="9"/>
  </cols>
  <sheetData>
    <row r="1" ht="40" customHeight="1">
      <c r="A1" s="1" t="inlineStr">
        <is>
          <t>Registro Mensual de Caja — Hotel Completo</t>
        </is>
      </c>
    </row>
    <row r="2" ht="28" customHeight="1">
      <c r="A2" s="6" t="inlineStr">
        <is>
          <t>Mes: ________________     Año: ________</t>
        </is>
      </c>
      <c r="F2" s="6" t="inlineStr">
        <is>
          <t>Responsable general: _________________________</t>
        </is>
      </c>
    </row>
    <row r="3" ht="8" customHeight="1"/>
    <row r="4" ht="28" customHeight="1">
      <c r="A4" s="7" t="inlineStr">
        <is>
          <t>Fecha</t>
        </is>
      </c>
      <c r="B4" s="7" t="inlineStr">
        <is>
          <t>Fondo Apertura</t>
        </is>
      </c>
      <c r="C4" s="7" t="inlineStr">
        <is>
          <t>Ventas Efectivo</t>
        </is>
      </c>
      <c r="D4" s="7" t="inlineStr">
        <is>
          <t>Ventas Tarjeta</t>
        </is>
      </c>
      <c r="E4" s="7" t="inlineStr">
        <is>
          <t>Ventas Otros</t>
        </is>
      </c>
      <c r="F4" s="7" t="inlineStr">
        <is>
          <t>Total Facturado</t>
        </is>
      </c>
      <c r="G4" s="7" t="inlineStr">
        <is>
          <t>Descuadre</t>
        </is>
      </c>
      <c r="H4" s="7" t="inlineStr">
        <is>
          <t>Depósito</t>
        </is>
      </c>
      <c r="I4" s="7" t="inlineStr">
        <is>
          <t>Responsable</t>
        </is>
      </c>
    </row>
    <row r="5" ht="22" customHeight="1">
      <c r="A5" s="15" t="n">
        <v>1</v>
      </c>
      <c r="B5" s="16" t="n">
        <v>0</v>
      </c>
      <c r="C5" s="16" t="n">
        <v>0</v>
      </c>
      <c r="D5" s="16" t="n">
        <v>0</v>
      </c>
      <c r="E5" s="16" t="n">
        <v>0</v>
      </c>
      <c r="F5" s="16">
        <f>C5+D5+E5</f>
        <v>0.0</v>
      </c>
      <c r="G5" s="16" t="inlineStr"/>
      <c r="H5" s="16" t="n">
        <v>0</v>
      </c>
      <c r="I5" s="8" t="inlineStr"/>
    </row>
    <row r="6" ht="22" customHeight="1">
      <c r="A6" s="17" t="n">
        <v>2</v>
      </c>
      <c r="B6" s="18" t="n">
        <v>0</v>
      </c>
      <c r="C6" s="18" t="n">
        <v>0</v>
      </c>
      <c r="D6" s="18" t="n">
        <v>0</v>
      </c>
      <c r="E6" s="18" t="n">
        <v>0</v>
      </c>
      <c r="F6" s="18">
        <f>C6+D6+E6</f>
        <v>0.0</v>
      </c>
      <c r="G6" s="18" t="inlineStr"/>
      <c r="H6" s="18" t="n">
        <v>0</v>
      </c>
      <c r="I6" s="10" t="inlineStr"/>
    </row>
    <row r="7" ht="22" customHeight="1">
      <c r="A7" s="15" t="n">
        <v>3</v>
      </c>
      <c r="B7" s="16" t="n">
        <v>0</v>
      </c>
      <c r="C7" s="16" t="n">
        <v>0</v>
      </c>
      <c r="D7" s="16" t="n">
        <v>0</v>
      </c>
      <c r="E7" s="16" t="n">
        <v>0</v>
      </c>
      <c r="F7" s="16">
        <f>C7+D7+E7</f>
        <v>0.0</v>
      </c>
      <c r="G7" s="16" t="inlineStr"/>
      <c r="H7" s="16" t="n">
        <v>0</v>
      </c>
      <c r="I7" s="8" t="inlineStr"/>
    </row>
    <row r="8" ht="22" customHeight="1">
      <c r="A8" s="17" t="n">
        <v>4</v>
      </c>
      <c r="B8" s="18" t="n">
        <v>0</v>
      </c>
      <c r="C8" s="18" t="n">
        <v>0</v>
      </c>
      <c r="D8" s="18" t="n">
        <v>0</v>
      </c>
      <c r="E8" s="18" t="n">
        <v>0</v>
      </c>
      <c r="F8" s="18">
        <f>C8+D8+E8</f>
        <v>0.0</v>
      </c>
      <c r="G8" s="18" t="inlineStr"/>
      <c r="H8" s="18" t="n">
        <v>0</v>
      </c>
      <c r="I8" s="10" t="inlineStr"/>
    </row>
    <row r="9" ht="22" customHeight="1">
      <c r="A9" s="15" t="n">
        <v>5</v>
      </c>
      <c r="B9" s="16" t="n">
        <v>0</v>
      </c>
      <c r="C9" s="16" t="n">
        <v>0</v>
      </c>
      <c r="D9" s="16" t="n">
        <v>0</v>
      </c>
      <c r="E9" s="16" t="n">
        <v>0</v>
      </c>
      <c r="F9" s="16">
        <f>C9+D9+E9</f>
        <v>0.0</v>
      </c>
      <c r="G9" s="16" t="inlineStr"/>
      <c r="H9" s="16" t="n">
        <v>0</v>
      </c>
      <c r="I9" s="8" t="inlineStr"/>
    </row>
    <row r="10" ht="22" customHeight="1">
      <c r="A10" s="17" t="n">
        <v>6</v>
      </c>
      <c r="B10" s="18" t="n">
        <v>0</v>
      </c>
      <c r="C10" s="18" t="n">
        <v>0</v>
      </c>
      <c r="D10" s="18" t="n">
        <v>0</v>
      </c>
      <c r="E10" s="18" t="n">
        <v>0</v>
      </c>
      <c r="F10" s="18">
        <f>C10+D10+E10</f>
        <v>0.0</v>
      </c>
      <c r="G10" s="18" t="inlineStr"/>
      <c r="H10" s="18" t="n">
        <v>0</v>
      </c>
      <c r="I10" s="10" t="inlineStr"/>
    </row>
    <row r="11" ht="22" customHeight="1">
      <c r="A11" s="15" t="n">
        <v>7</v>
      </c>
      <c r="B11" s="16" t="n">
        <v>0</v>
      </c>
      <c r="C11" s="16" t="n">
        <v>0</v>
      </c>
      <c r="D11" s="16" t="n">
        <v>0</v>
      </c>
      <c r="E11" s="16" t="n">
        <v>0</v>
      </c>
      <c r="F11" s="16">
        <f>C11+D11+E11</f>
        <v>0.0</v>
      </c>
      <c r="G11" s="16" t="inlineStr"/>
      <c r="H11" s="16" t="n">
        <v>0</v>
      </c>
      <c r="I11" s="8" t="inlineStr"/>
    </row>
    <row r="12" ht="22" customHeight="1">
      <c r="A12" s="17" t="n">
        <v>8</v>
      </c>
      <c r="B12" s="18" t="n">
        <v>0</v>
      </c>
      <c r="C12" s="18" t="n">
        <v>0</v>
      </c>
      <c r="D12" s="18" t="n">
        <v>0</v>
      </c>
      <c r="E12" s="18" t="n">
        <v>0</v>
      </c>
      <c r="F12" s="18">
        <f>C12+D12+E12</f>
        <v>0.0</v>
      </c>
      <c r="G12" s="18" t="inlineStr"/>
      <c r="H12" s="18" t="n">
        <v>0</v>
      </c>
      <c r="I12" s="10" t="inlineStr"/>
    </row>
    <row r="13" ht="22" customHeight="1">
      <c r="A13" s="15" t="n">
        <v>9</v>
      </c>
      <c r="B13" s="16" t="n">
        <v>0</v>
      </c>
      <c r="C13" s="16" t="n">
        <v>0</v>
      </c>
      <c r="D13" s="16" t="n">
        <v>0</v>
      </c>
      <c r="E13" s="16" t="n">
        <v>0</v>
      </c>
      <c r="F13" s="16">
        <f>C13+D13+E13</f>
        <v>0.0</v>
      </c>
      <c r="G13" s="16" t="inlineStr"/>
      <c r="H13" s="16" t="n">
        <v>0</v>
      </c>
      <c r="I13" s="8" t="inlineStr"/>
    </row>
    <row r="14" ht="22" customHeight="1">
      <c r="A14" s="17" t="n">
        <v>10</v>
      </c>
      <c r="B14" s="18" t="n">
        <v>0</v>
      </c>
      <c r="C14" s="18" t="n">
        <v>0</v>
      </c>
      <c r="D14" s="18" t="n">
        <v>0</v>
      </c>
      <c r="E14" s="18" t="n">
        <v>0</v>
      </c>
      <c r="F14" s="18">
        <f>C14+D14+E14</f>
        <v>0.0</v>
      </c>
      <c r="G14" s="18" t="inlineStr"/>
      <c r="H14" s="18" t="n">
        <v>0</v>
      </c>
      <c r="I14" s="10" t="inlineStr"/>
    </row>
    <row r="15" ht="22" customHeight="1">
      <c r="A15" s="15" t="n">
        <v>11</v>
      </c>
      <c r="B15" s="16" t="n">
        <v>0</v>
      </c>
      <c r="C15" s="16" t="n">
        <v>0</v>
      </c>
      <c r="D15" s="16" t="n">
        <v>0</v>
      </c>
      <c r="E15" s="16" t="n">
        <v>0</v>
      </c>
      <c r="F15" s="16">
        <f>C15+D15+E15</f>
        <v>0.0</v>
      </c>
      <c r="G15" s="16" t="inlineStr"/>
      <c r="H15" s="16" t="n">
        <v>0</v>
      </c>
      <c r="I15" s="8" t="inlineStr"/>
    </row>
    <row r="16" ht="22" customHeight="1">
      <c r="A16" s="17" t="n">
        <v>12</v>
      </c>
      <c r="B16" s="18" t="n">
        <v>0</v>
      </c>
      <c r="C16" s="18" t="n">
        <v>0</v>
      </c>
      <c r="D16" s="18" t="n">
        <v>0</v>
      </c>
      <c r="E16" s="18" t="n">
        <v>0</v>
      </c>
      <c r="F16" s="18">
        <f>C16+D16+E16</f>
        <v>0.0</v>
      </c>
      <c r="G16" s="18" t="inlineStr"/>
      <c r="H16" s="18" t="n">
        <v>0</v>
      </c>
      <c r="I16" s="10" t="inlineStr"/>
    </row>
    <row r="17" ht="22" customHeight="1">
      <c r="A17" s="15" t="n">
        <v>13</v>
      </c>
      <c r="B17" s="16" t="n">
        <v>0</v>
      </c>
      <c r="C17" s="16" t="n">
        <v>0</v>
      </c>
      <c r="D17" s="16" t="n">
        <v>0</v>
      </c>
      <c r="E17" s="16" t="n">
        <v>0</v>
      </c>
      <c r="F17" s="16">
        <f>C17+D17+E17</f>
        <v>0.0</v>
      </c>
      <c r="G17" s="16" t="inlineStr"/>
      <c r="H17" s="16" t="n">
        <v>0</v>
      </c>
      <c r="I17" s="8" t="inlineStr"/>
    </row>
    <row r="18" ht="22" customHeight="1">
      <c r="A18" s="17" t="n">
        <v>14</v>
      </c>
      <c r="B18" s="18" t="n">
        <v>0</v>
      </c>
      <c r="C18" s="18" t="n">
        <v>0</v>
      </c>
      <c r="D18" s="18" t="n">
        <v>0</v>
      </c>
      <c r="E18" s="18" t="n">
        <v>0</v>
      </c>
      <c r="F18" s="18">
        <f>C18+D18+E18</f>
        <v>0.0</v>
      </c>
      <c r="G18" s="18" t="inlineStr"/>
      <c r="H18" s="18" t="n">
        <v>0</v>
      </c>
      <c r="I18" s="10" t="inlineStr"/>
    </row>
    <row r="19" ht="22" customHeight="1">
      <c r="A19" s="15" t="n">
        <v>15</v>
      </c>
      <c r="B19" s="16" t="n">
        <v>0</v>
      </c>
      <c r="C19" s="16" t="n">
        <v>0</v>
      </c>
      <c r="D19" s="16" t="n">
        <v>0</v>
      </c>
      <c r="E19" s="16" t="n">
        <v>0</v>
      </c>
      <c r="F19" s="16">
        <f>C19+D19+E19</f>
        <v>0.0</v>
      </c>
      <c r="G19" s="16" t="inlineStr"/>
      <c r="H19" s="16" t="n">
        <v>0</v>
      </c>
      <c r="I19" s="8" t="inlineStr"/>
    </row>
    <row r="20" ht="22" customHeight="1">
      <c r="A20" s="17" t="n">
        <v>16</v>
      </c>
      <c r="B20" s="18" t="n">
        <v>0</v>
      </c>
      <c r="C20" s="18" t="n">
        <v>0</v>
      </c>
      <c r="D20" s="18" t="n">
        <v>0</v>
      </c>
      <c r="E20" s="18" t="n">
        <v>0</v>
      </c>
      <c r="F20" s="18">
        <f>C20+D20+E20</f>
        <v>0.0</v>
      </c>
      <c r="G20" s="18" t="inlineStr"/>
      <c r="H20" s="18" t="n">
        <v>0</v>
      </c>
      <c r="I20" s="10" t="inlineStr"/>
    </row>
    <row r="21" ht="22" customHeight="1">
      <c r="A21" s="15" t="n">
        <v>17</v>
      </c>
      <c r="B21" s="16" t="n">
        <v>0</v>
      </c>
      <c r="C21" s="16" t="n">
        <v>0</v>
      </c>
      <c r="D21" s="16" t="n">
        <v>0</v>
      </c>
      <c r="E21" s="16" t="n">
        <v>0</v>
      </c>
      <c r="F21" s="16">
        <f>C21+D21+E21</f>
        <v>0.0</v>
      </c>
      <c r="G21" s="16" t="inlineStr"/>
      <c r="H21" s="16" t="n">
        <v>0</v>
      </c>
      <c r="I21" s="8" t="inlineStr"/>
    </row>
    <row r="22" ht="22" customHeight="1">
      <c r="A22" s="17" t="n">
        <v>18</v>
      </c>
      <c r="B22" s="18" t="n">
        <v>0</v>
      </c>
      <c r="C22" s="18" t="n">
        <v>0</v>
      </c>
      <c r="D22" s="18" t="n">
        <v>0</v>
      </c>
      <c r="E22" s="18" t="n">
        <v>0</v>
      </c>
      <c r="F22" s="18">
        <f>C22+D22+E22</f>
        <v>0.0</v>
      </c>
      <c r="G22" s="18" t="inlineStr"/>
      <c r="H22" s="18" t="n">
        <v>0</v>
      </c>
      <c r="I22" s="10" t="inlineStr"/>
    </row>
    <row r="23" ht="22" customHeight="1">
      <c r="A23" s="15" t="n">
        <v>19</v>
      </c>
      <c r="B23" s="16" t="n">
        <v>0</v>
      </c>
      <c r="C23" s="16" t="n">
        <v>0</v>
      </c>
      <c r="D23" s="16" t="n">
        <v>0</v>
      </c>
      <c r="E23" s="16" t="n">
        <v>0</v>
      </c>
      <c r="F23" s="16">
        <f>C23+D23+E23</f>
        <v>0.0</v>
      </c>
      <c r="G23" s="16" t="inlineStr"/>
      <c r="H23" s="16" t="n">
        <v>0</v>
      </c>
      <c r="I23" s="8" t="inlineStr"/>
    </row>
    <row r="24" ht="22" customHeight="1">
      <c r="A24" s="17" t="n">
        <v>20</v>
      </c>
      <c r="B24" s="18" t="n">
        <v>0</v>
      </c>
      <c r="C24" s="18" t="n">
        <v>0</v>
      </c>
      <c r="D24" s="18" t="n">
        <v>0</v>
      </c>
      <c r="E24" s="18" t="n">
        <v>0</v>
      </c>
      <c r="F24" s="18">
        <f>C24+D24+E24</f>
        <v>0.0</v>
      </c>
      <c r="G24" s="18" t="inlineStr"/>
      <c r="H24" s="18" t="n">
        <v>0</v>
      </c>
      <c r="I24" s="10" t="inlineStr"/>
    </row>
    <row r="25" ht="22" customHeight="1">
      <c r="A25" s="15" t="n">
        <v>21</v>
      </c>
      <c r="B25" s="16" t="n">
        <v>0</v>
      </c>
      <c r="C25" s="16" t="n">
        <v>0</v>
      </c>
      <c r="D25" s="16" t="n">
        <v>0</v>
      </c>
      <c r="E25" s="16" t="n">
        <v>0</v>
      </c>
      <c r="F25" s="16">
        <f>C25+D25+E25</f>
        <v>0.0</v>
      </c>
      <c r="G25" s="16" t="inlineStr"/>
      <c r="H25" s="16" t="n">
        <v>0</v>
      </c>
      <c r="I25" s="8" t="inlineStr"/>
    </row>
    <row r="26" ht="22" customHeight="1">
      <c r="A26" s="17" t="n">
        <v>22</v>
      </c>
      <c r="B26" s="18" t="n">
        <v>0</v>
      </c>
      <c r="C26" s="18" t="n">
        <v>0</v>
      </c>
      <c r="D26" s="18" t="n">
        <v>0</v>
      </c>
      <c r="E26" s="18" t="n">
        <v>0</v>
      </c>
      <c r="F26" s="18">
        <f>C26+D26+E26</f>
        <v>0.0</v>
      </c>
      <c r="G26" s="18" t="inlineStr"/>
      <c r="H26" s="18" t="n">
        <v>0</v>
      </c>
      <c r="I26" s="10" t="inlineStr"/>
    </row>
    <row r="27" ht="22" customHeight="1">
      <c r="A27" s="15" t="n">
        <v>23</v>
      </c>
      <c r="B27" s="16" t="n">
        <v>0</v>
      </c>
      <c r="C27" s="16" t="n">
        <v>0</v>
      </c>
      <c r="D27" s="16" t="n">
        <v>0</v>
      </c>
      <c r="E27" s="16" t="n">
        <v>0</v>
      </c>
      <c r="F27" s="16">
        <f>C27+D27+E27</f>
        <v>0.0</v>
      </c>
      <c r="G27" s="16" t="inlineStr"/>
      <c r="H27" s="16" t="n">
        <v>0</v>
      </c>
      <c r="I27" s="8" t="inlineStr"/>
    </row>
    <row r="28" ht="22" customHeight="1">
      <c r="A28" s="17" t="n">
        <v>24</v>
      </c>
      <c r="B28" s="18" t="n">
        <v>0</v>
      </c>
      <c r="C28" s="18" t="n">
        <v>0</v>
      </c>
      <c r="D28" s="18" t="n">
        <v>0</v>
      </c>
      <c r="E28" s="18" t="n">
        <v>0</v>
      </c>
      <c r="F28" s="18">
        <f>C28+D28+E28</f>
        <v>0.0</v>
      </c>
      <c r="G28" s="18" t="inlineStr"/>
      <c r="H28" s="18" t="n">
        <v>0</v>
      </c>
      <c r="I28" s="10" t="inlineStr"/>
    </row>
    <row r="29" ht="22" customHeight="1">
      <c r="A29" s="15" t="n">
        <v>25</v>
      </c>
      <c r="B29" s="16" t="n">
        <v>0</v>
      </c>
      <c r="C29" s="16" t="n">
        <v>0</v>
      </c>
      <c r="D29" s="16" t="n">
        <v>0</v>
      </c>
      <c r="E29" s="16" t="n">
        <v>0</v>
      </c>
      <c r="F29" s="16">
        <f>C29+D29+E29</f>
        <v>0.0</v>
      </c>
      <c r="G29" s="16" t="inlineStr"/>
      <c r="H29" s="16" t="n">
        <v>0</v>
      </c>
      <c r="I29" s="8" t="inlineStr"/>
    </row>
    <row r="30" ht="22" customHeight="1">
      <c r="A30" s="17" t="n">
        <v>26</v>
      </c>
      <c r="B30" s="18" t="n">
        <v>0</v>
      </c>
      <c r="C30" s="18" t="n">
        <v>0</v>
      </c>
      <c r="D30" s="18" t="n">
        <v>0</v>
      </c>
      <c r="E30" s="18" t="n">
        <v>0</v>
      </c>
      <c r="F30" s="18">
        <f>C30+D30+E30</f>
        <v>0.0</v>
      </c>
      <c r="G30" s="18" t="inlineStr"/>
      <c r="H30" s="18" t="n">
        <v>0</v>
      </c>
      <c r="I30" s="10" t="inlineStr"/>
    </row>
    <row r="31" ht="22" customHeight="1">
      <c r="A31" s="15" t="n">
        <v>27</v>
      </c>
      <c r="B31" s="16" t="n">
        <v>0</v>
      </c>
      <c r="C31" s="16" t="n">
        <v>0</v>
      </c>
      <c r="D31" s="16" t="n">
        <v>0</v>
      </c>
      <c r="E31" s="16" t="n">
        <v>0</v>
      </c>
      <c r="F31" s="16">
        <f>C31+D31+E31</f>
        <v>0.0</v>
      </c>
      <c r="G31" s="16" t="inlineStr"/>
      <c r="H31" s="16" t="n">
        <v>0</v>
      </c>
      <c r="I31" s="8" t="inlineStr"/>
    </row>
    <row r="32" ht="22" customHeight="1">
      <c r="A32" s="17" t="n">
        <v>28</v>
      </c>
      <c r="B32" s="18" t="n">
        <v>0</v>
      </c>
      <c r="C32" s="18" t="n">
        <v>0</v>
      </c>
      <c r="D32" s="18" t="n">
        <v>0</v>
      </c>
      <c r="E32" s="18" t="n">
        <v>0</v>
      </c>
      <c r="F32" s="18">
        <f>C32+D32+E32</f>
        <v>0.0</v>
      </c>
      <c r="G32" s="18" t="inlineStr"/>
      <c r="H32" s="18" t="n">
        <v>0</v>
      </c>
      <c r="I32" s="10" t="inlineStr"/>
    </row>
    <row r="33" ht="22" customHeight="1">
      <c r="A33" s="15" t="n">
        <v>29</v>
      </c>
      <c r="B33" s="16" t="n">
        <v>0</v>
      </c>
      <c r="C33" s="16" t="n">
        <v>0</v>
      </c>
      <c r="D33" s="16" t="n">
        <v>0</v>
      </c>
      <c r="E33" s="16" t="n">
        <v>0</v>
      </c>
      <c r="F33" s="16">
        <f>C33+D33+E33</f>
        <v>0.0</v>
      </c>
      <c r="G33" s="16" t="inlineStr"/>
      <c r="H33" s="16" t="n">
        <v>0</v>
      </c>
      <c r="I33" s="8" t="inlineStr"/>
    </row>
    <row r="34" ht="22" customHeight="1">
      <c r="A34" s="17" t="n">
        <v>30</v>
      </c>
      <c r="B34" s="18" t="n">
        <v>0</v>
      </c>
      <c r="C34" s="18" t="n">
        <v>0</v>
      </c>
      <c r="D34" s="18" t="n">
        <v>0</v>
      </c>
      <c r="E34" s="18" t="n">
        <v>0</v>
      </c>
      <c r="F34" s="18">
        <f>C34+D34+E34</f>
        <v>0.0</v>
      </c>
      <c r="G34" s="18" t="inlineStr"/>
      <c r="H34" s="18" t="n">
        <v>0</v>
      </c>
      <c r="I34" s="10" t="inlineStr"/>
    </row>
    <row r="35" ht="22" customHeight="1">
      <c r="A35" s="15" t="n">
        <v>31</v>
      </c>
      <c r="B35" s="16" t="n">
        <v>0</v>
      </c>
      <c r="C35" s="16" t="n">
        <v>0</v>
      </c>
      <c r="D35" s="16" t="n">
        <v>0</v>
      </c>
      <c r="E35" s="16" t="n">
        <v>0</v>
      </c>
      <c r="F35" s="16">
        <f>C35+D35+E35</f>
        <v>0.0</v>
      </c>
      <c r="G35" s="16" t="inlineStr"/>
      <c r="H35" s="16" t="n">
        <v>0</v>
      </c>
      <c r="I35" s="8" t="inlineStr"/>
    </row>
    <row r="36" ht="28" customHeight="1">
      <c r="A36" s="19" t="inlineStr">
        <is>
          <t>TOTALES</t>
        </is>
      </c>
      <c r="B36" s="24">
        <f>SUM(B5:B35)</f>
        <v>0.0</v>
      </c>
      <c r="C36" s="24">
        <f>SUM(C5:C35)</f>
        <v>0.0</v>
      </c>
      <c r="D36" s="24">
        <f>SUM(D5:D35)</f>
        <v>0.0</v>
      </c>
      <c r="E36" s="24">
        <f>SUM(E5:E35)</f>
        <v>0.0</v>
      </c>
      <c r="F36" s="24">
        <f>SUM(F5:F35)</f>
        <v>0.0</v>
      </c>
      <c r="G36" s="24">
        <f>SUM(G5:G35)</f>
        <v>0.0</v>
      </c>
      <c r="H36" s="24">
        <f>SUM(H5:H35)</f>
        <v>0.0</v>
      </c>
      <c r="I36" s="19" t="inlineStr"/>
    </row>
    <row r="37"/>
    <row r="38">
      <c r="A38" s="12" t="inlineStr">
        <is>
          <t>© AI Chef Pro — aichef.pro</t>
        </is>
      </c>
    </row>
  </sheetData>
  <mergeCells count="4">
    <mergeCell ref="F2:I2"/>
    <mergeCell ref="A38:I38"/>
    <mergeCell ref="A1:I1"/>
    <mergeCell ref="A2:E2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Kit de Tareas — Hotel Completo · Kit de Tareas Recurrentes — 46 Checklists Operativos para Hotel Completo</dc:title>
  <dc:description xmlns:dc="http://purl.org/dc/elements/1.1/">aichef.pro/kit-tareas-hotel</dc:description>
  <dc:subject xmlns:dc="http://purl.org/dc/elements/1.1/">Kit de Tareas Recurrentes — 46 Checklists Operativos para Hotel Completo · v1.1</dc:subject>
  <dcterms:created xmlns:dcterms="http://purl.org/dc/terms/" xmlns:xsi="http://www.w3.org/2001/XMLSchema-instance" xsi:type="dcterms:W3CDTF">2026-04-05T14:07:32Z</dcterms:created>
  <dcterms:modified xmlns:dcterms="http://purl.org/dc/terms/" xmlns:xsi="http://www.w3.org/2001/XMLSchema-instance" xsi:type="dcterms:W3CDTF">2026-08-22T09:53:56Z</dcterms:modified>
  <cp:lastModifiedBy>AI Chef Pro</cp:lastModifiedBy>
  <cp:category>AI Chef Pro · Productos digitales</cp:category>
  <cp:keywords>kit tareas hotel, AI Chef Pro</cp:keywords>
</cp:coreProperties>
</file>