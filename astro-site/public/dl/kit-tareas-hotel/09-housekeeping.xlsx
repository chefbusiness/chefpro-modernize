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mpieza Checkout" sheetId="2" state="visible" r:id="rId2"/>
    <sheet xmlns:r="http://schemas.openxmlformats.org/officeDocument/2006/relationships" name="Limpieza Estancia" sheetId="3" state="visible" r:id="rId3"/>
    <sheet xmlns:r="http://schemas.openxmlformats.org/officeDocument/2006/relationships" name="Turndown Service" sheetId="4" state="visible" r:id="rId4"/>
    <sheet xmlns:r="http://schemas.openxmlformats.org/officeDocument/2006/relationships" name="Deep Cleaning" sheetId="5" state="visible" r:id="rId5"/>
    <sheet xmlns:r="http://schemas.openxmlformats.org/officeDocument/2006/relationships" name="Control Lencería" sheetId="6" state="visible" r:id="rId6"/>
  </sheets>
  <definedNames>
    <definedName name="_xlnm.Print_Titles" localSheetId="1">'Limpieza Checkout'!$5:$5</definedName>
    <definedName name="_xlnm.Print_Titles" localSheetId="2">'Limpieza Estancia'!$5:$5</definedName>
    <definedName name="_xlnm.Print_Titles" localSheetId="3">'Turndown Service'!$5:$5</definedName>
    <definedName name="_xlnm.Print_Titles" localSheetId="4">'Deep Cleaning'!$5:$5</definedName>
    <definedName name="_xlnm.Print_Titles" localSheetId="5">'Control Lencería'!$5:$5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09 · Housekeeping — 5 Protocolos de Limpieza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5 checklists: Checkout, Estancia, Turndown, Deep Cleaning, Lencería.</t>
        </is>
      </c>
    </row>
    <row r="6">
      <c r="B6" s="3" t="inlineStr">
        <is>
          <t>▸ Protocolo paso a paso para cada tipo de limpieza de habitación.</t>
        </is>
      </c>
    </row>
    <row r="7">
      <c r="B7" s="3" t="inlineStr">
        <is>
          <t>▸ Imprime y entrega a cada camarera de pisos.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a la categoría de tu hotel (3*, 4*, 5*).</t>
        </is>
      </c>
    </row>
    <row r="11">
      <c r="B11" s="3" t="inlineStr">
        <is>
          <t>▸ Añade estándares de marca/cadena si aplica.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Limpieza de Habitación — Checkout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Preparación y retirada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Llamar/tocar antes de entrar según protocolo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Retirar toda la ropa de cama: sábanas, fundas, almohadas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si hay objetos olvidados (debajo cama, armario, caja fuerte, baño)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Retirar basura de todas las papeleras y bolsas</t>
        </is>
      </c>
      <c r="C9" s="10" t="inlineStr">
        <is>
          <t>Housekeeping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Retirar amenities usados del baño y toallas sucias</t>
        </is>
      </c>
      <c r="C10" s="10" t="inlineStr">
        <is>
          <t>Housekeeping</t>
        </is>
      </c>
      <c r="D10" s="11" t="n"/>
      <c r="E10" s="12" t="n"/>
      <c r="F10" s="11" t="n"/>
      <c r="G10" s="13" t="n"/>
    </row>
    <row r="11"/>
    <row r="12">
      <c r="A12" s="6" t="inlineStr">
        <is>
          <t>Limpieza completa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Limpiar y desinfectar baño completo: sanitarios, ducha, grifería, espejo</t>
        </is>
      </c>
      <c r="C14" s="10" t="inlineStr">
        <is>
          <t>Housekeeping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Limpiar mobiliario: escritorio, mesillas, armario interior, minibar exterior</t>
        </is>
      </c>
      <c r="C15" s="10" t="inlineStr">
        <is>
          <t>Housekeeping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Colocar amenities nuevos: gel, champú, jabón, gorro, kit dental</t>
        </is>
      </c>
      <c r="C16" s="10" t="inlineStr">
        <is>
          <t>Housekeeping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Hacer cama completa: sábanas, funda nórdica, almohadas, colcha</t>
        </is>
      </c>
      <c r="C17" s="10" t="inlineStr">
        <is>
          <t>Housekeeping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Aspirar/fregar suelo completo incluyendo debajo de muebles</t>
        </is>
      </c>
      <c r="C18" s="10" t="inlineStr">
        <is>
          <t>Housekeeping</t>
        </is>
      </c>
      <c r="D18" s="11" t="n"/>
      <c r="E18" s="12" t="n"/>
      <c r="F18" s="11" t="n"/>
      <c r="G18" s="13" t="n"/>
    </row>
    <row r="19"/>
    <row r="20">
      <c r="A20" s="6" t="inlineStr">
        <is>
          <t>Verificación final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Verificar funcionamiento: luces, AC/calefacción, TV, teléfono</t>
        </is>
      </c>
      <c r="C22" s="10" t="inlineStr">
        <is>
          <t>Housekeeping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Verificar minibar: repuesto completo según par stock</t>
        </is>
      </c>
      <c r="C23" s="10" t="inlineStr">
        <is>
          <t>Housekeeping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Verificar perchas, albornoz, zapatillas, carta de servicios</t>
        </is>
      </c>
      <c r="C24" s="10" t="inlineStr">
        <is>
          <t>Housekeeping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Comprobar olor y ventilación de la habitación</t>
        </is>
      </c>
      <c r="C25" s="10" t="inlineStr">
        <is>
          <t>Housekeeping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Reportar habitación como limpia en PMS/app</t>
        </is>
      </c>
      <c r="C26" s="10" t="inlineStr">
        <is>
          <t>Housekeeping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Reportar cualquier desperfecto o avería a mantenimiento</t>
        </is>
      </c>
      <c r="C27" s="10" t="inlineStr">
        <is>
          <t>Housekeeping</t>
        </is>
      </c>
      <c r="D27" s="11" t="n"/>
      <c r="E27" s="12" t="n"/>
      <c r="F27" s="11" t="n"/>
      <c r="G27" s="13" t="n"/>
    </row>
    <row r="28">
      <c r="B28" s="16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4" t="inlineStr">
        <is>
          <t>Firma responsable: _________________  Fecha: ___/___/______</t>
        </is>
      </c>
    </row>
    <row r="30">
      <c r="A30" s="14" t="inlineStr">
        <is>
          <t>© 2026 AI Chef Pro · aichef.pro</t>
        </is>
      </c>
    </row>
  </sheetData>
  <mergeCells count="7">
    <mergeCell ref="A4:G4"/>
    <mergeCell ref="A12:G12"/>
    <mergeCell ref="A1:G1"/>
    <mergeCell ref="A20:G20"/>
    <mergeCell ref="A2:G2"/>
    <mergeCell ref="A30:G30"/>
    <mergeCell ref="A29:G29"/>
  </mergeCells>
  <conditionalFormatting sqref="A6:G27">
    <cfRule type="expression" priority="1" dxfId="0">
      <formula>$E6="✓"</formula>
    </cfRule>
  </conditionalFormatting>
  <dataValidations count="1">
    <dataValidation sqref="E6 E7 E8 E9 E10 E14 E15 E16 E17 E18 E22 E23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Limpieza de Habitación — Estancia (Ocupada)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Protocolo de entrada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Llamar a la puerta y esperar respuesta antes de entrar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Respetar cartel 'No molestar' y registrar para seguimiento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No mover objetos personales del huésped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/>
    <row r="10">
      <c r="A10" s="6" t="inlineStr">
        <is>
          <t>Limpieza de estancia</t>
        </is>
      </c>
    </row>
    <row r="11">
      <c r="A11" s="7" t="inlineStr">
        <is>
          <t>#</t>
        </is>
      </c>
      <c r="B11" s="7" t="inlineStr">
        <is>
          <t>Tarea</t>
        </is>
      </c>
      <c r="C11" s="7" t="inlineStr">
        <is>
          <t>Zona</t>
        </is>
      </c>
      <c r="D11" s="7" t="inlineStr">
        <is>
          <t>Responsable</t>
        </is>
      </c>
      <c r="E11" s="7" t="inlineStr">
        <is>
          <t>✓</t>
        </is>
      </c>
      <c r="F11" s="7" t="inlineStr">
        <is>
          <t>Hora</t>
        </is>
      </c>
      <c r="G11" s="7" t="inlineStr">
        <is>
          <t>Notas</t>
        </is>
      </c>
    </row>
    <row r="12">
      <c r="A12" s="8" t="n">
        <v>1</v>
      </c>
      <c r="B12" s="9" t="inlineStr">
        <is>
          <t>Hacer cama sin cambiar sábanas (excepto programa green/petición)</t>
        </is>
      </c>
      <c r="C12" s="10" t="inlineStr">
        <is>
          <t>Housekeeping</t>
        </is>
      </c>
      <c r="D12" s="11" t="n"/>
      <c r="E12" s="12" t="n"/>
      <c r="F12" s="11" t="n"/>
      <c r="G12" s="13" t="n"/>
    </row>
    <row r="13">
      <c r="A13" s="8" t="n">
        <v>2</v>
      </c>
      <c r="B13" s="9" t="inlineStr">
        <is>
          <t>Vaciar papeleras y retirar basura</t>
        </is>
      </c>
      <c r="C13" s="10" t="inlineStr">
        <is>
          <t>Housekeeping</t>
        </is>
      </c>
      <c r="D13" s="11" t="n"/>
      <c r="E13" s="12" t="n"/>
      <c r="F13" s="11" t="n"/>
      <c r="G13" s="13" t="n"/>
    </row>
    <row r="14">
      <c r="A14" s="8" t="n">
        <v>3</v>
      </c>
      <c r="B14" s="9" t="inlineStr">
        <is>
          <t>Limpiar baño: reponer toallas usadas, amenities, limpiar sanitarios</t>
        </is>
      </c>
      <c r="C14" s="10" t="inlineStr">
        <is>
          <t>Housekeeping</t>
        </is>
      </c>
      <c r="D14" s="11" t="n"/>
      <c r="E14" s="12" t="n"/>
      <c r="F14" s="11" t="n"/>
      <c r="G14" s="13" t="n"/>
    </row>
    <row r="15">
      <c r="A15" s="8" t="n">
        <v>4</v>
      </c>
      <c r="B15" s="9" t="inlineStr">
        <is>
          <t>Aspirar suelo y ordenar sin mover objetos personales</t>
        </is>
      </c>
      <c r="C15" s="10" t="inlineStr">
        <is>
          <t>Housekeeping</t>
        </is>
      </c>
      <c r="D15" s="11" t="n"/>
      <c r="E15" s="12" t="n"/>
      <c r="F15" s="11" t="n"/>
      <c r="G15" s="13" t="n"/>
    </row>
    <row r="16">
      <c r="A16" s="8" t="n">
        <v>5</v>
      </c>
      <c r="B16" s="9" t="inlineStr">
        <is>
          <t>Reponer amenities gastados: café, té, azúcar, agua de cortesía</t>
        </is>
      </c>
      <c r="C16" s="10" t="inlineStr">
        <is>
          <t>Housekeeping</t>
        </is>
      </c>
      <c r="D16" s="11" t="n"/>
      <c r="E16" s="12" t="n"/>
      <c r="F16" s="11" t="n"/>
      <c r="G16" s="13" t="n"/>
    </row>
    <row r="17">
      <c r="A17" s="8" t="n">
        <v>6</v>
      </c>
      <c r="B17" s="9" t="inlineStr">
        <is>
          <t>Reportar cualquier daño o necesidad de mantenimiento</t>
        </is>
      </c>
      <c r="C17" s="10" t="inlineStr">
        <is>
          <t>Housekeeping</t>
        </is>
      </c>
      <c r="D17" s="11" t="n"/>
      <c r="E17" s="12" t="n"/>
      <c r="F17" s="11" t="n"/>
      <c r="G17" s="13" t="n"/>
    </row>
    <row r="18">
      <c r="B18" s="16" t="inlineStr">
        <is>
          <t>Tareas completadas:</t>
        </is>
      </c>
      <c r="C18">
        <f>COUNTIFS(B6:B17,"?*",E6:E17,"✓")-COUNTIFS(B6:B17,"Tarea",E6:E17,"✓")</f>
        <v>0.0</v>
      </c>
      <c r="D18" t="inlineStr">
        <is>
          <t>de</t>
        </is>
      </c>
      <c r="E18">
        <f>COUNTIF(B6:B17,"?*")-COUNTIF(B6:B17,"Tarea")-COUNTIF(E6:E17,"N/A")</f>
        <v>9.0</v>
      </c>
    </row>
    <row r="19">
      <c r="A19" s="14" t="inlineStr">
        <is>
          <t>Firma responsable: _________________  Fecha: ___/___/______</t>
        </is>
      </c>
    </row>
    <row r="20">
      <c r="A20" s="14" t="inlineStr">
        <is>
          <t>© 2026 AI Chef Pro · aichef.pro</t>
        </is>
      </c>
    </row>
  </sheetData>
  <mergeCells count="6">
    <mergeCell ref="A4:G4"/>
    <mergeCell ref="A20:G20"/>
    <mergeCell ref="A1:G1"/>
    <mergeCell ref="A2:G2"/>
    <mergeCell ref="A19:G19"/>
    <mergeCell ref="A10:G10"/>
  </mergeCells>
  <conditionalFormatting sqref="A6:G17">
    <cfRule type="expression" priority="1" dxfId="0">
      <formula>$E6="✓"</formula>
    </cfRule>
  </conditionalFormatting>
  <dataValidations count="1">
    <dataValidation sqref="E6 E7 E8 E12 E13 E14 E15 E16 E1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Turndown Service — Servicio de Cobertura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Preparación de habitación para la noche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Retirar colcha y cojines decorativos, doblar y guardar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Abrir cama en ángulo (45°) y colocar zapatillas/albornoz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Colocar chocolate/bombón en la almohada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Cerrar cortinas y persianas</t>
        </is>
      </c>
      <c r="C9" s="10" t="inlineStr">
        <is>
          <t>Housekeeping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Encender luz de mesilla y apagar luces generales</t>
        </is>
      </c>
      <c r="C10" s="10" t="inlineStr">
        <is>
          <t>Housekeeping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Vaciar papeleras si están llenas</t>
        </is>
      </c>
      <c r="C11" s="10" t="inlineStr">
        <is>
          <t>Housekeeping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Reponer toallas de baño usadas y colocar alfombrilla</t>
        </is>
      </c>
      <c r="C12" s="10" t="inlineStr">
        <is>
          <t>Housekeeping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Ajustar AC a temperatura nocturna según estándar (20-22 °C)</t>
        </is>
      </c>
      <c r="C13" s="10" t="inlineStr">
        <is>
          <t>Housekeeping</t>
        </is>
      </c>
      <c r="D13" s="11" t="n"/>
      <c r="E13" s="12" t="n"/>
      <c r="F13" s="11" t="n"/>
      <c r="G13" s="13" t="n"/>
    </row>
    <row r="14">
      <c r="B14" s="16" t="inlineStr">
        <is>
          <t>Tareas completadas:</t>
        </is>
      </c>
      <c r="C14">
        <f>COUNTIFS(B6:B13,"?*",E6:E13,"✓")-COUNTIFS(B6:B13,"Tarea",E6:E13,"✓")</f>
        <v>0.0</v>
      </c>
      <c r="D14" t="inlineStr">
        <is>
          <t>de</t>
        </is>
      </c>
      <c r="E14">
        <f>COUNTIF(B6:B13,"?*")-COUNTIF(B6:B13,"Tarea")-COUNTIF(E6:E13,"N/A")</f>
        <v>8.0</v>
      </c>
    </row>
    <row r="15">
      <c r="A15" s="14" t="inlineStr">
        <is>
          <t>Firma responsable: _________________  Fecha: ___/___/______</t>
        </is>
      </c>
    </row>
    <row r="16">
      <c r="A16" s="14" t="inlineStr">
        <is>
          <t>© 2026 AI Chef Pro · aichef.pro</t>
        </is>
      </c>
    </row>
  </sheetData>
  <mergeCells count="5">
    <mergeCell ref="A4:G4"/>
    <mergeCell ref="A15:G15"/>
    <mergeCell ref="A1:G1"/>
    <mergeCell ref="A16:G16"/>
    <mergeCell ref="A2:G2"/>
  </mergeCells>
  <conditionalFormatting sqref="A6:G13">
    <cfRule type="expression" priority="1" dxfId="0">
      <formula>$E6="✓"</formula>
    </cfRule>
  </conditionalFormatting>
  <dataValidations count="1">
    <dataValidation sqref="E6 E7 E8 E9 E10 E11 E12 E1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Deep Cleaning — Limpieza Profunda Periódica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Limpieza profunda (trimestral o según rotación)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Mover todo el mobiliario y limpiar detrás y debajo</t>
        </is>
      </c>
      <c r="C6" s="10" t="inlineStr">
        <is>
          <t>Housekeeping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Limpiar rejillas de AC, extractores y conductos accesibles</t>
        </is>
      </c>
      <c r="C7" s="10" t="inlineStr">
        <is>
          <t>Housekeeping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Desmontar y limpiar cortinas (enviar a lavandería)</t>
        </is>
      </c>
      <c r="C8" s="10" t="inlineStr">
        <is>
          <t>Housekeeping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Desinfectar colchón con vapor y verificar estado</t>
        </is>
      </c>
      <c r="C9" s="10" t="inlineStr">
        <is>
          <t>Housekeeping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Limpiar cristales interiores y exteriores de ventanas</t>
        </is>
      </c>
      <c r="C10" s="10" t="inlineStr">
        <is>
          <t>Housekeeping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Descalcificar grifería, ducha y desagües del baño</t>
        </is>
      </c>
      <c r="C11" s="10" t="inlineStr">
        <is>
          <t>Housekeeping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Limpiar minibar por dentro: descongelar, desinfectar, secar</t>
        </is>
      </c>
      <c r="C12" s="10" t="inlineStr">
        <is>
          <t>Housekeeping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Pulir suelos duros (parqué, mármol) y lavar la moqueta con inyección-extracción, según material</t>
        </is>
      </c>
      <c r="C13" s="10" t="inlineStr">
        <is>
          <t>Housekeeping</t>
        </is>
      </c>
      <c r="D13" s="11" t="n"/>
      <c r="E13" s="12" t="n"/>
      <c r="F13" s="11" t="n"/>
      <c r="G13" s="13" t="n"/>
    </row>
    <row r="14">
      <c r="B14" s="16" t="inlineStr">
        <is>
          <t>Tareas completadas:</t>
        </is>
      </c>
      <c r="C14">
        <f>COUNTIFS(B6:B13,"?*",E6:E13,"✓")-COUNTIFS(B6:B13,"Tarea",E6:E13,"✓")</f>
        <v>0.0</v>
      </c>
      <c r="D14" t="inlineStr">
        <is>
          <t>de</t>
        </is>
      </c>
      <c r="E14">
        <f>COUNTIF(B6:B13,"?*")-COUNTIF(B6:B13,"Tarea")-COUNTIF(E6:E13,"N/A")</f>
        <v>8.0</v>
      </c>
    </row>
    <row r="15">
      <c r="A15" s="14" t="inlineStr">
        <is>
          <t>Firma responsable: _________________  Fecha: ___/___/______</t>
        </is>
      </c>
    </row>
    <row r="16">
      <c r="A16" s="14" t="inlineStr">
        <is>
          <t>© 2026 AI Chef Pro · aichef.pro</t>
        </is>
      </c>
    </row>
  </sheetData>
  <mergeCells count="5">
    <mergeCell ref="A4:G4"/>
    <mergeCell ref="A15:G15"/>
    <mergeCell ref="A1:G1"/>
    <mergeCell ref="A16:G16"/>
    <mergeCell ref="A2:G2"/>
  </mergeCells>
  <conditionalFormatting sqref="A6:G13">
    <cfRule type="expression" priority="1" dxfId="0">
      <formula>$E6="✓"</formula>
    </cfRule>
  </conditionalFormatting>
  <dataValidations count="1">
    <dataValidation sqref="E6 E7 E8 E9 E10 E11 E12 E1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Control de Lencería y Lavandería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Gestión diaria de lencería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Contar ropa sucia por tipo: sábanas, fundas, toallas, albornoces</t>
        </is>
      </c>
      <c r="C6" s="10" t="inlineStr">
        <is>
          <t>Lencería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Separar piezas manchadas o dañadas para tratamiento especial</t>
        </is>
      </c>
      <c r="C7" s="10" t="inlineStr">
        <is>
          <t>Lencería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Enviar a lavandería industrial con albarán de conteo</t>
        </is>
      </c>
      <c r="C8" s="10" t="inlineStr">
        <is>
          <t>Lencería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Recepcionar lencería limpia y verificar conteo vs. albarán</t>
        </is>
      </c>
      <c r="C9" s="10" t="inlineStr">
        <is>
          <t>Lencería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Almacenar por tipo y tamaño manteniendo par stock por planta</t>
        </is>
      </c>
      <c r="C10" s="10" t="inlineStr">
        <is>
          <t>Lencería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Reportar piezas deterioradas para reposición y baja de inventario</t>
        </is>
      </c>
      <c r="C11" s="10" t="inlineStr">
        <is>
          <t>Lencería</t>
        </is>
      </c>
      <c r="D11" s="11" t="n"/>
      <c r="E11" s="12" t="n"/>
      <c r="F11" s="11" t="n"/>
      <c r="G11" s="13" t="n"/>
    </row>
    <row r="12"/>
    <row r="13">
      <c r="A13" s="6" t="inlineStr">
        <is>
          <t>Control semanal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Inventario semanal completo por tipo de pieza</t>
        </is>
      </c>
      <c r="C15" s="10" t="inlineStr">
        <is>
          <t>Lencería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Verificar par stock mínimo (3 juegos por habitación)</t>
        </is>
      </c>
      <c r="C16" s="10" t="inlineStr">
        <is>
          <t>Lencería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Revisar calidad de lavado: manchas, olor, suavidad</t>
        </is>
      </c>
      <c r="C17" s="10" t="inlineStr">
        <is>
          <t>Lencería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Actualizar registro de bajas y necesidades de compra</t>
        </is>
      </c>
      <c r="C18" s="15" t="inlineStr">
        <is>
          <t>Admin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Coordinar con compras pedido de reposición si necesario</t>
        </is>
      </c>
      <c r="C19" s="15" t="inlineStr">
        <is>
          <t>Admin</t>
        </is>
      </c>
      <c r="D19" s="11" t="n"/>
      <c r="E19" s="12" t="n"/>
      <c r="F19" s="11" t="n"/>
      <c r="G19" s="13" t="n"/>
    </row>
    <row r="20">
      <c r="B20" s="16" t="inlineStr">
        <is>
          <t>Tareas completadas:</t>
        </is>
      </c>
      <c r="C20">
        <f>COUNTIFS(B6:B19,"?*",E6:E19,"✓")-COUNTIFS(B6:B19,"Tarea",E6:E19,"✓")</f>
        <v>0.0</v>
      </c>
      <c r="D20" t="inlineStr">
        <is>
          <t>de</t>
        </is>
      </c>
      <c r="E20">
        <f>COUNTIF(B6:B19,"?*")-COUNTIF(B6:B19,"Tarea")-COUNTIF(E6:E19,"N/A")</f>
        <v>11.0</v>
      </c>
    </row>
    <row r="21">
      <c r="A21" s="14" t="inlineStr">
        <is>
          <t>Firma responsable: _________________  Fecha: ___/___/______</t>
        </is>
      </c>
    </row>
    <row r="22">
      <c r="A22" s="14" t="inlineStr">
        <is>
          <t>© 2026 AI Chef Pro · aichef.pro</t>
        </is>
      </c>
    </row>
  </sheetData>
  <mergeCells count="6">
    <mergeCell ref="A4:G4"/>
    <mergeCell ref="A1:G1"/>
    <mergeCell ref="A13:G13"/>
    <mergeCell ref="A2:G2"/>
    <mergeCell ref="A21:G21"/>
    <mergeCell ref="A22:G22"/>
  </mergeCells>
  <conditionalFormatting sqref="A6:G19">
    <cfRule type="expression" priority="1" dxfId="0">
      <formula>$E6="✓"</formula>
    </cfRule>
  </conditionalFormatting>
  <dataValidations count="1">
    <dataValidation sqref="E6 E7 E8 E9 E10 E11 E15 E16 E17 E18 E1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09 · Housekeeping — 5 Protocolos de Limpieza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