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stado Normativo" sheetId="2" state="visible" r:id="rId2"/>
    <sheet xmlns:r="http://schemas.openxmlformats.org/officeDocument/2006/relationships" name="Calendario y Vencimientos" sheetId="3" state="visible" r:id="rId3"/>
    <sheet xmlns:r="http://schemas.openxmlformats.org/officeDocument/2006/relationships" name="Documentación Obligatoria" sheetId="4" state="visible" r:id="rId4"/>
    <sheet xmlns:r="http://schemas.openxmlformats.org/officeDocument/2006/relationships" name="Topes de Jornada" sheetId="5" state="visible" r:id="rId5"/>
    <sheet xmlns:r="http://schemas.openxmlformats.org/officeDocument/2006/relationships" name="Permisos y Cómputo" sheetId="6" state="visible" r:id="rId6"/>
    <sheet xmlns:r="http://schemas.openxmlformats.org/officeDocument/2006/relationships" name="Régimen Disciplinario ALEH"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7">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applyAlignment="1" pivotButton="0" quotePrefix="0" xfId="0">
      <alignment horizontal="general" vertical="top" wrapText="1"/>
    </xf>
    <xf numFmtId="165" fontId="0" fillId="2" borderId="0" applyProtection="1" pivotButton="0" quotePrefix="0" xfId="0">
      <protection locked="0" hidden="0"/>
    </xf>
    <xf numFmtId="0" fontId="6" fillId="3" borderId="0" applyAlignment="1" pivotButton="0" quotePrefix="0" xfId="0">
      <alignment horizontal="center" vertical="center" wrapText="1"/>
    </xf>
    <xf numFmtId="3" fontId="0" fillId="0" borderId="0" pivotButton="0" quotePrefix="0" xfId="0"/>
    <xf numFmtId="0" fontId="0" fillId="2" borderId="0" applyAlignment="1" applyProtection="1" pivotButton="0" quotePrefix="0" xfId="0">
      <alignment vertical="top" wrapText="1"/>
      <protection locked="0" hidden="0"/>
    </xf>
    <xf numFmtId="165" fontId="0"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165" fontId="1" fillId="0" borderId="0" pivotButton="0" quotePrefix="0" xfId="0"/>
    <xf numFmtId="3" fontId="0" fillId="2" borderId="0" applyProtection="1" pivotButton="0" quotePrefix="0" xfId="0">
      <protection locked="0" hidden="0"/>
    </xf>
    <xf numFmtId="165" fontId="0" fillId="2" borderId="0" applyAlignment="1" applyProtection="1" pivotButton="0" quotePrefix="0" xfId="0">
      <alignment vertical="top" wrapText="1"/>
      <protection locked="0" hidden="0"/>
    </xf>
    <xf numFmtId="3" fontId="0" fillId="2" borderId="0" applyAlignment="1" applyProtection="1" pivotButton="0" quotePrefix="0" xfId="0">
      <alignment vertical="top" wrapText="1"/>
      <protection locked="0" hidden="0"/>
    </xf>
    <xf numFmtId="3" fontId="0" fillId="0" borderId="0" applyAlignment="1" pivotButton="0" quotePrefix="0" xfId="0">
      <alignment vertical="top" wrapText="1"/>
    </xf>
    <xf numFmtId="0" fontId="1" fillId="4" borderId="0" pivotButton="0" quotePrefix="0" xfId="0"/>
    <xf numFmtId="3" fontId="1" fillId="4" borderId="0" pivotButton="0" quotePrefix="0" xfId="0"/>
    <xf numFmtId="166" fontId="1" fillId="0" borderId="0" pivotButton="0" quotePrefix="0" xfId="0"/>
    <xf numFmtId="166" fontId="0" fillId="2" borderId="0" applyProtection="1" pivotButton="0" quotePrefix="0" xfId="0">
      <protection locked="0" hidden="0"/>
    </xf>
    <xf numFmtId="166" fontId="1" fillId="4" borderId="0" pivotButton="0" quotePrefix="0" xfId="0"/>
    <xf numFmtId="0" fontId="1" fillId="0" borderId="0" applyAlignment="1" pivotButton="0" quotePrefix="0" xfId="0">
      <alignment vertical="top" wrapText="1"/>
    </xf>
    <xf numFmtId="167" fontId="1" fillId="0" borderId="0" pivotButton="0" quotePrefix="0" xfId="0"/>
    <xf numFmtId="166" fontId="0" fillId="0" borderId="0" pivotButton="0" quotePrefix="0" xfId="0"/>
    <xf numFmtId="3" fontId="1" fillId="0" borderId="0" pivotButton="0" quotePrefix="0" xfId="0"/>
  </cellXfs>
  <cellStyles count="1">
    <cellStyle name="Normal" xfId="0" builtinId="0" hidden="0"/>
  </cellStyles>
  <dxfs count="4">
    <dxf>
      <font>
        <b val="1"/>
        <color rgb="00595959"/>
      </font>
      <fill>
        <patternFill patternType="solid">
          <fgColor rgb="00F2F2F2"/>
          <bgColor rgb="00F2F2F2"/>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8" customWidth="1" min="1" max="1"/>
  </cols>
  <sheetData>
    <row r="1">
      <c r="A1" s="1" t="inlineStr">
        <is>
          <t>Calendario de Cumplimiento Legal</t>
        </is>
      </c>
    </row>
    <row r="2">
      <c r="A2" s="2" t="inlineStr">
        <is>
          <t>AI Chef Pro · aichef.pro — Manual del Manager de Restaurante</t>
        </is>
      </c>
    </row>
    <row r="3"/>
    <row r="4">
      <c r="A4" s="3" t="inlineStr">
        <is>
          <t>Instrucciones de uso</t>
        </is>
      </c>
    </row>
    <row r="5">
      <c r="A5" s="4" t="inlineStr">
        <is>
          <t>1. Empieza por «Estado Normativo»: siete normas que a día de hoy están EN MOVIMIENTO, con lo que obligan ahora mismo y lo que tienes que hacer tú. La fecha de corte de la revisión está en una celda verde: cuando la actualices, actualiza también la fila que haya cambiado.</t>
        </is>
      </c>
    </row>
    <row r="6">
      <c r="A6" s="4" t="inlineStr">
        <is>
          <t>2. En «Calendario y Vencimientos» escribe la fecha de tu ÚLTIMA actuación de cada punto y la periodicidad en meses. El libro calcula la próxima fecha, los días que quedan y el semáforo. Los umbrales de aviso (rojo y ámbar) son dos celdas verdes: pon los tuyos.</t>
        </is>
      </c>
    </row>
    <row r="7">
      <c r="A7" s="4" t="inlineStr">
        <is>
          <t>3. Mira la columna «¿Lo fija una norma estatal?» antes de contratar nada: sólo CUATRO familias de este calendario tienen la periodicidad fijada por una norma estatal. El resto es criterio de tu casa (o de tu seguro, o de tu plan de limpieza), y puedes cambiarlo.</t>
        </is>
      </c>
    </row>
    <row r="8">
      <c r="A8" s="4" t="inlineStr">
        <is>
          <t>4. «Documentación Obligatoria» son los doce documentos que un inspector puede pedirte y dónde tienen que estar. Marca «Sí» a medida que los localizas: el porcentaje completado se calcula solo.</t>
        </is>
      </c>
    </row>
    <row r="9">
      <c r="A9" s="4" t="inlineStr">
        <is>
          <t>5. «Topes de Jornada», «Permisos y Cómputo» y «Régimen Disciplinario ALEH» son hojas de CONSULTA: el dato, el artículo, la fuente y el enlace al BOE para que puedas comprobarlo tú. No se rellenan, se leen — salvo la pequeña calculadora de jornada y horas extra de la primera.</t>
        </is>
      </c>
    </row>
    <row r="10">
      <c r="A10" s="4" t="inlineStr">
        <is>
          <t>6. Si quieres ver el calendario «desde» otro día (para preparar una inspección, o para saber qué vencerá en Navidad), escribe esa fecha en la celda verde de simulación de «Calendario y Vencimientos». Déjala vacía y el libro vuelve a usar la fecha de hoy.</t>
        </is>
      </c>
    </row>
    <row r="11">
      <c r="A11" s="4" t="inlineStr">
        <is>
          <t>7. Lleva este libro a la reunión mensual con los vencimientos abiertos delante, y pasa lo que esté en rojo a la hoja «Actas y Acuerdos» del libro de reuniones: un vencimiento sin responsable y sin fecha no se resuelve.</t>
        </is>
      </c>
    </row>
    <row r="12"/>
    <row r="13">
      <c r="A13" s="5" t="inlineStr">
        <is>
          <t>Celdas verdes = campos editables</t>
        </is>
      </c>
    </row>
    <row r="14"/>
    <row r="15">
      <c r="A15" s="4" t="inlineStr">
        <is>
          <t>QUÉ FECHAS SON OBLIGACIÓN LEGAL Y CUÁLES NO. De los 18 puntos de control de este calendario, la periodicidad sólo la fija una norma estatal en CUATRO familias: el registro de jornada (que es diario), la inspección del ascensor, la revisión de la instalación de gas y los extintores (cuyos cuatro vencimientos son un mismo punto). Todo lo demás —control de plagas, limpieza de campana y conductos, verificación de termómetros, analítica de agua, formación de manipuladores y de prevención, revisión de la evaluación de riesgos, registro retributivo, plan de desperdicio, seguro— se vende muchas veces como «obligación legal cada X meses» y NO lo es: la ley te exige el RESULTADO (que el plan sea eficaz, que la medida sea fiable, que la formación esté acreditada), no el calendario. Las periodicidades sembradas ahí son criterio de la casa y son EDITABLES.</t>
        </is>
      </c>
    </row>
    <row r="16"/>
    <row r="17">
      <c r="A17" s="4" t="inlineStr">
        <is>
          <t>ESTE LIBRO NO SUSTITUYE A UN ASESOR LABORAL NI A UN SERVICIO DE PREVENCIÓN. Es un calendario y un cuadro de consulta con la fuente primaria al lado para que puedas comprobar cada dato tú mismo. Antes de tomar una decisión que afecte a una persona (un despido, una sanción, la denegación de un permiso), consulta con tu asesoría.</t>
        </is>
      </c>
    </row>
    <row r="18"/>
    <row r="19">
      <c r="A19" s="4" t="inlineStr">
        <is>
          <t>CADA FILA LEGAL TRAE SU FUENTE Y SU ENLACE. La columna «Verificación» dice «Verificado el 04-09-2026 · norma · URL». Esa es la fecha en la que se leyó el texto en el BOE. Si compras el manual dentro de un año, comprueba en «Estado Normativo» qué ha cambiado: las actualizaciones del producto van incluidas.</t>
        </is>
      </c>
    </row>
    <row r="20"/>
    <row r="21">
      <c r="A21" s="4" t="inlineStr">
        <is>
          <t>EL MARCO ES ESPAÑOL. Los topes de jornada, los permisos y el régimen disciplinario son los del Estatuto de los Trabajadores y del ALEH VI (acuerdo laboral estatal de hostelería). Si trabajas fuera de España, lo que te sirve es el MÉTODO y el calendario: todas las periodicidades, los umbrales y los valores son celdas editables.</t>
        </is>
      </c>
    </row>
    <row r="22"/>
    <row r="23">
      <c r="A23" s="4" t="inlineStr">
        <is>
          <t>EL CONVENIO PROVINCIAL MANDA EN LAS TABLAS SALARIALES, PERO NO EN TODO. El ALEH VI fija la clasificación profesional, el periodo de prueba, los contratos formativos y el régimen disciplinario, y el convenio provincial NO los puede modificar. Las tablas salariales sí son provinciales: se consultan en el buscador REGCON del Ministerio de Trabajo.</t>
        </is>
      </c>
    </row>
    <row r="24"/>
    <row r="25">
      <c r="A25" s="4" t="inlineStr">
        <is>
          <t>ESTE LIBRO NO CUBRE APPCC NI SEGURIDAD ALIMENTARIA. Los registros de temperaturas, la trazabilidad y los planes de prerrequisitos son otro producto (Pack APPCC): mezclarlos aquí daría una lista de comprobación que no sirve ni para una cosa ni para la otra. Lo que sí está aquí es CUÁNDO toca revisarlos y qué documentación tiene que estar en el local.</t>
        </is>
      </c>
    </row>
    <row r="26"/>
    <row r="27">
      <c r="A27" s="4" t="inlineStr">
        <is>
          <t>LOS DATOS SEMBRADOS SON UN EJEMPLO MODELADO (el restaurante «La Encina», el mismo del resto del pack). Bórralos y pon los tuyos: las fechas de tu última actuación son lo único que este libro no puede saber.</t>
        </is>
      </c>
    </row>
    <row r="28"/>
    <row r="29">
      <c r="A29" s="4" t="inlineStr">
        <is>
          <t>Para editar la estructura o una celda que no esté en verde, desprotege la hoja (sin contraseña).</t>
        </is>
      </c>
    </row>
    <row r="30">
      <c r="A30" s="4" t="inlineStr">
        <is>
          <t>Diseñado por John Guerrero — chef y consultor gastronómico desde 2010 · johnguerrero.es</t>
        </is>
      </c>
    </row>
    <row r="31">
      <c r="A31"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2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8" customWidth="1" min="3" max="3"/>
    <col width="58" customWidth="1" min="4" max="4"/>
    <col width="13" customWidth="1" min="5" max="5"/>
    <col width="34" customWidth="1" min="6" max="6"/>
    <col width="46" customWidth="1" min="7" max="7"/>
    <col width="8" customWidth="1" min="8" max="8"/>
    <col width="58" customWidth="1" min="9" max="9"/>
  </cols>
  <sheetData>
    <row r="1">
      <c r="A1" s="1" t="inlineStr">
        <is>
          <t>Estado normativo — las normas que se están moviendo</t>
        </is>
      </c>
    </row>
    <row r="2">
      <c r="A2" s="2" t="inlineStr">
        <is>
          <t>AI Chef Pro · aichef.pro — Manual del Manager de Restaurante</t>
        </is>
      </c>
    </row>
    <row r="3">
      <c r="C3" s="6" t="inlineStr">
        <is>
          <t>Siete normas en movimiento a la fecha de corte. Lo que importa no es lo que se ha anunciado: es lo que OBLIGA hoy.</t>
        </is>
      </c>
    </row>
    <row r="4"/>
    <row r="5">
      <c r="B5" t="inlineStr">
        <is>
          <t>Fecha de corte de la revisión normativa</t>
        </is>
      </c>
      <c r="C5" s="7" t="n">
        <v>46269</v>
      </c>
      <c r="D5" s="4" t="inlineStr">
        <is>
          <t>Es el día en que se leyó cada norma en el BOE. Cuando revises este cuadro, cambia esta fecha y la fila que haya cambiado.</t>
        </is>
      </c>
    </row>
    <row r="6"/>
    <row r="7" ht="42" customHeight="1">
      <c r="A7" s="8" t="inlineStr">
        <is>
          <t>#</t>
        </is>
      </c>
      <c r="B7" s="8" t="inlineStr">
        <is>
          <t>Norma</t>
        </is>
      </c>
      <c r="C7" s="8" t="inlineStr">
        <is>
          <t>Estado a la fecha de corte</t>
        </is>
      </c>
      <c r="D7" s="8" t="inlineStr">
        <is>
          <t>Qué obliga hoy y qué hace el manager</t>
        </is>
      </c>
      <c r="E7" s="8" t="inlineStr">
        <is>
          <t>Fecha de corte</t>
        </is>
      </c>
      <c r="F7" s="8" t="inlineStr">
        <is>
          <t>Fuente (norma)</t>
        </is>
      </c>
      <c r="G7" s="8" t="inlineStr">
        <is>
          <t>URL</t>
        </is>
      </c>
      <c r="H7" s="8" t="inlineStr">
        <is>
          <t>Ref.</t>
        </is>
      </c>
      <c r="I7" s="8" t="inlineStr">
        <is>
          <t>Verificación</t>
        </is>
      </c>
    </row>
    <row r="8" ht="58" customHeight="1">
      <c r="A8" s="9" t="n">
        <v>1</v>
      </c>
      <c r="B8" s="10" t="inlineStr">
        <is>
          <t>Registro horario digital</t>
        </is>
      </c>
      <c r="C8" s="10" t="inlineStr">
        <is>
          <t>En tramitación: el real decreto no está publicado en el BOE (dictamen desfavorable del Consejo de Estado de 23-03-2026)</t>
        </is>
      </c>
      <c r="D8" s="10" t="inlineStr">
        <is>
          <t>Sigue rigiendo el art. 34.9 ET: registro diario, 4 años de conservación, papel o Excel válidos</t>
        </is>
      </c>
      <c r="E8" s="11">
        <f>IFERROR(IF(OR($B8="",$C$5=""),"",$C$5),"")</f>
        <v>46269.0</v>
      </c>
      <c r="F8" s="12" t="inlineStr">
        <is>
          <t>Art. 34.9 ET, redacción del RDL 8/2019</t>
        </is>
      </c>
      <c r="G8" s="12" t="inlineStr">
        <is>
          <t>https://www.boe.es/buscar/act.php?id=BOE-A-2015-11430</t>
        </is>
      </c>
      <c r="H8" s="12" t="inlineStr">
        <is>
          <t>MM-02</t>
        </is>
      </c>
      <c r="I8" s="12" t="inlineStr">
        <is>
          <t>Verificado el 04-09-2026 · Art. 34.9 ET, redacción del RDL 8/2019 · https://www.boe.es/buscar/act.php?id=BOE-A-2015-11430</t>
        </is>
      </c>
    </row>
    <row r="9" ht="58" customHeight="1">
      <c r="A9" s="9" t="n">
        <v>2</v>
      </c>
      <c r="B9" s="10" t="inlineStr">
        <is>
          <t>Verifactu</t>
        </is>
      </c>
      <c r="C9" s="10" t="inlineStr">
        <is>
          <t>Aplazado por el RDL 15/2025: 1 de enero de 2027 para sociedades y 1 de julio de 2027 para el resto</t>
        </is>
      </c>
      <c r="D9" s="10" t="inlineStr">
        <is>
          <t>Pedir por escrito al proveedor del TPV la fecha de su versión adaptada</t>
        </is>
      </c>
      <c r="E9" s="11">
        <f>IFERROR(IF(OR($B9="",$C$5=""),"",$C$5),"")</f>
        <v>46269.0</v>
      </c>
      <c r="F9" s="12" t="inlineStr">
        <is>
          <t>Real Decreto-ley 15/2025, de 2 de diciembre, disposición final primera (modifica la disposición final cuarta del RD 1007/2023, de 5 de diciembre)</t>
        </is>
      </c>
      <c r="G9" s="12" t="inlineStr">
        <is>
          <t>https://www.boe.es/buscar/act.php?id=BOE-A-2025-24446</t>
        </is>
      </c>
      <c r="H9" s="12" t="inlineStr">
        <is>
          <t>MM-58</t>
        </is>
      </c>
      <c r="I9" s="12" t="inlineStr">
        <is>
          <t>Verificado el 04-09-2026 · Real Decreto-ley 15/2025, de 2 de diciembre, disposición final primera (modifica la disposición final cuarta del RD 1007/2023, de 5 de diciembre) · https://www.boe.es/buscar/act.php?id=BOE-A-2025-24446</t>
        </is>
      </c>
    </row>
    <row r="10" ht="58" customHeight="1">
      <c r="A10" s="9" t="n">
        <v>3</v>
      </c>
      <c r="B10" s="10" t="inlineStr">
        <is>
          <t>Factura electrónica B2B</t>
        </is>
      </c>
      <c r="C10" s="10" t="inlineStr">
        <is>
          <t>Reglamento aprobado (RD 238/2026) pero aún no exigible: cuenta 12 o 24 meses desde la orden ministerial</t>
        </is>
      </c>
      <c r="D10" s="10" t="inlineStr">
        <is>
          <t>Las facturas simplificadas quedan fuera SALVO las cualificadas, las que llevan NIF del cliente</t>
        </is>
      </c>
      <c r="E10" s="11">
        <f>IFERROR(IF(OR($B10="",$C$5=""),"",$C$5),"")</f>
        <v>46269.0</v>
      </c>
      <c r="F10" s="12" t="inlineStr">
        <is>
          <t>RD 1619/2012, arts. 4.1.a), 4.2.e) y 7.2, y art. 4.1 del RD 238/2026</t>
        </is>
      </c>
      <c r="G10" s="12" t="inlineStr">
        <is>
          <t>https://www.boe.es/buscar/act.php?id=BOE-A-2012-14696</t>
        </is>
      </c>
      <c r="H10" s="12" t="inlineStr">
        <is>
          <t>MM-39</t>
        </is>
      </c>
      <c r="I10" s="12" t="inlineStr">
        <is>
          <t>Verificado el 04-09-2026 · RD 1619/2012, arts. 4.1.a), 4.2.e) y 7.2, y art. 4.1 del RD 238/2026 · https://www.boe.es/buscar/act.php?id=BOE-A-2012-14696</t>
        </is>
      </c>
    </row>
    <row r="11" ht="58" customHeight="1">
      <c r="A11" s="9" t="n">
        <v>4</v>
      </c>
      <c r="B11" s="10" t="inlineStr">
        <is>
          <t>Prohibición de fumar en terrazas</t>
        </is>
      </c>
      <c r="C11" s="10" t="inlineStr">
        <is>
          <t>Proyecto de ley aprobado por el Consejo de Ministros el 21-07-2026: no está vigente</t>
        </is>
      </c>
      <c r="D11" s="10" t="inlineStr">
        <is>
          <t>Hoy lo que define una terraza legal es tener como máximo dos paredes (Ley 28/2005, art. 2.2)</t>
        </is>
      </c>
      <c r="E11" s="11">
        <f>IFERROR(IF(OR($B11="",$C$5=""),"",$C$5),"")</f>
        <v>46269.0</v>
      </c>
      <c r="F11" s="12" t="inlineStr">
        <is>
          <t>Ley 28/2005, de 26 de diciembre, de medidas sanitarias frente al tabaquismo, art. 2.2 (apartado añadido por el RDL 17/2017)</t>
        </is>
      </c>
      <c r="G11" s="12" t="inlineStr">
        <is>
          <t>https://www.boe.es/buscar/act.php?id=BOE-A-2005-21261</t>
        </is>
      </c>
      <c r="H11" s="12" t="inlineStr">
        <is>
          <t>MM-59</t>
        </is>
      </c>
      <c r="I11" s="12" t="inlineStr">
        <is>
          <t>Verificado el 04-09-2026 · Ley 28/2005, de 26 de diciembre, de medidas sanitarias frente al tabaquismo, art. 2.2 (apartado añadido por el RDL 17/2017) · https://www.boe.es/buscar/act.php?id=BOE-A-2005-21261</t>
        </is>
      </c>
    </row>
    <row r="12" ht="58" customHeight="1">
      <c r="A12" s="9" t="n">
        <v>5</v>
      </c>
      <c r="B12" s="10" t="inlineStr">
        <is>
          <t>Salario mínimo interprofesional 2026</t>
        </is>
      </c>
      <c r="C12" s="10" t="inlineStr">
        <is>
          <t>Vigente (RD 126/2026)</t>
        </is>
      </c>
      <c r="D12" s="10" t="inlineStr">
        <is>
          <t>Comprobar que ningún salario de la plantilla queda por debajo, también en las jornadas parciales</t>
        </is>
      </c>
      <c r="E12" s="11">
        <f>IFERROR(IF(OR($B12="",$C$5=""),"",$C$5),"")</f>
        <v>46269.0</v>
      </c>
      <c r="F12" s="12" t="inlineStr">
        <is>
          <t>Real Decreto 126/2026, de 18 de febrero</t>
        </is>
      </c>
      <c r="G12" s="12" t="inlineStr">
        <is>
          <t>https://www.boe.es/buscar/doc.php?id=BOE-A-2026-3815</t>
        </is>
      </c>
      <c r="H12" s="12" t="inlineStr">
        <is>
          <t>MM-16</t>
        </is>
      </c>
      <c r="I12" s="12" t="inlineStr">
        <is>
          <t>Verificado el 04-09-2026 · Real Decreto 126/2026, de 18 de febrero · https://www.boe.es/buscar/doc.php?id=BOE-A-2026-3815</t>
        </is>
      </c>
    </row>
    <row r="13" ht="58" customHeight="1">
      <c r="A13" s="9" t="n">
        <v>6</v>
      </c>
      <c r="B13" s="10" t="inlineStr">
        <is>
          <t>ALEH VI (acuerdo laboral estatal de hostelería)</t>
        </is>
      </c>
      <c r="C13" s="10" t="inlineStr">
        <is>
          <t>Modificado y publicado el 04-09-2026 (BOE-A-2026-18630); vigente hasta el 31-12-2030</t>
        </is>
      </c>
      <c r="D13" s="10" t="inlineStr">
        <is>
          <t>Aplicar la audiencia previa en el despido disciplinario y el nuevo régimen del registro de jornada, móvil y tabaco</t>
        </is>
      </c>
      <c r="E13" s="11">
        <f>IFERROR(IF(OR($B13="",$C$5=""),"",$C$5),"")</f>
        <v>46269.0</v>
      </c>
      <c r="F13" s="12" t="inlineStr">
        <is>
          <t>Art. 41.3 del ALEH VI, modificación publicada por Resolución de la DGT de 25-08-2026 (BOE-A-2026-18630)</t>
        </is>
      </c>
      <c r="G13" s="12" t="inlineStr">
        <is>
          <t>https://www.boe.es/diario_boe/txt.php?id=BOE-A-2026-18630</t>
        </is>
      </c>
      <c r="H13" s="12" t="inlineStr">
        <is>
          <t>MM-13</t>
        </is>
      </c>
      <c r="I13" s="12" t="inlineStr">
        <is>
          <t>Verificado el 04-09-2026 · Art. 41.3 del ALEH VI, modificación publicada por Resolución de la DGT de 25-08-2026 (BOE-A-2026-18630) · https://www.boe.es/diario_boe/txt.php?id=BOE-A-2026-18630</t>
        </is>
      </c>
    </row>
    <row r="14" ht="58" customHeight="1">
      <c r="A14" s="9" t="n">
        <v>7</v>
      </c>
      <c r="B14" s="10" t="inlineStr">
        <is>
          <t>Convenio provincial de hostelería de Girona</t>
        </is>
      </c>
      <c r="C14" s="10" t="inlineStr">
        <is>
          <t>Vigente; las tablas se consultan en REGCON</t>
        </is>
      </c>
      <c r="D14" s="10" t="inlineStr">
        <is>
          <t>El convenio provincial NO puede tocar clasificación profesional, periodo de prueba, contratos formativos ni régimen disciplinario</t>
        </is>
      </c>
      <c r="E14" s="11">
        <f>IFERROR(IF(OR($B14="",$C$5=""),"",$C$5),"")</f>
        <v>46269.0</v>
      </c>
      <c r="F14" s="12" t="inlineStr">
        <is>
          <t>Art. 21 ALEH VI y art. 14 ET</t>
        </is>
      </c>
      <c r="G14" s="12" t="inlineStr">
        <is>
          <t>https://www.boe.es/diario_boe/txt.php?id=BOE-A-2023-6344</t>
        </is>
      </c>
      <c r="H14" s="12" t="inlineStr">
        <is>
          <t>MM-11</t>
        </is>
      </c>
      <c r="I14" s="12" t="inlineStr">
        <is>
          <t>Verificado el 04-09-2026 · Art. 21 ALEH VI y art. 14 ET · https://www.boe.es/diario_boe/txt.php?id=BOE-A-2023-6344</t>
        </is>
      </c>
    </row>
    <row r="15" ht="58" customHeight="1">
      <c r="A15" s="9" t="n">
        <v>8</v>
      </c>
      <c r="B15" s="10" t="n"/>
      <c r="C15" s="10" t="n"/>
      <c r="D15" s="10" t="n"/>
      <c r="E15" s="11">
        <f>IFERROR(IF(OR($B15="",$C$5=""),"",$C$5),"")</f>
        <v/>
      </c>
      <c r="F15" s="12" t="n"/>
      <c r="G15" s="12" t="n"/>
      <c r="H15" s="12" t="n"/>
      <c r="I15" s="12" t="n"/>
    </row>
    <row r="16" ht="58" customHeight="1">
      <c r="A16" s="9" t="n">
        <v>9</v>
      </c>
      <c r="B16" s="10" t="n"/>
      <c r="C16" s="10" t="n"/>
      <c r="D16" s="10" t="n"/>
      <c r="E16" s="11">
        <f>IFERROR(IF(OR($B16="",$C$5=""),"",$C$5),"")</f>
        <v/>
      </c>
      <c r="F16" s="12" t="n"/>
      <c r="G16" s="12" t="n"/>
      <c r="H16" s="12" t="n"/>
      <c r="I16" s="12" t="n"/>
    </row>
    <row r="17" ht="58" customHeight="1">
      <c r="A17" s="9" t="n">
        <v>10</v>
      </c>
      <c r="B17" s="10" t="n"/>
      <c r="C17" s="10" t="n"/>
      <c r="D17" s="10" t="n"/>
      <c r="E17" s="11">
        <f>IFERROR(IF(OR($B17="",$C$5=""),"",$C$5),"")</f>
        <v/>
      </c>
      <c r="F17" s="12" t="n"/>
      <c r="G17" s="12" t="n"/>
      <c r="H17" s="12" t="n"/>
      <c r="I17" s="12" t="n"/>
    </row>
    <row r="18" ht="58" customHeight="1">
      <c r="A18" s="9" t="n">
        <v>11</v>
      </c>
      <c r="B18" s="10" t="n"/>
      <c r="C18" s="10" t="n"/>
      <c r="D18" s="10" t="n"/>
      <c r="E18" s="11">
        <f>IFERROR(IF(OR($B18="",$C$5=""),"",$C$5),"")</f>
        <v/>
      </c>
      <c r="F18" s="12" t="n"/>
      <c r="G18" s="12" t="n"/>
      <c r="H18" s="12" t="n"/>
      <c r="I18" s="12" t="n"/>
    </row>
    <row r="19"/>
    <row r="20">
      <c r="A20" s="13" t="inlineStr">
        <is>
          <t>RESUMEN — lo calcula el libro</t>
        </is>
      </c>
    </row>
    <row r="21">
      <c r="B21" t="inlineStr">
        <is>
          <t>Normas en seguimiento</t>
        </is>
      </c>
      <c r="C21" s="9">
        <f>COUNTIF($B$8:$B$18,"&lt;&gt;")</f>
        <v>7.0</v>
      </c>
    </row>
    <row r="22">
      <c r="B22" t="inlineStr">
        <is>
          <t>Normas con id de investigación citado</t>
        </is>
      </c>
      <c r="C22" s="9">
        <f>COUNTIF($H$8:$H$18,"&lt;&gt;")</f>
        <v>7.0</v>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C5"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51"/>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15" customWidth="1" min="3" max="3"/>
    <col width="12" customWidth="1" min="4" max="4"/>
    <col width="14" customWidth="1" min="5" max="5"/>
    <col width="14" customWidth="1" min="6" max="6"/>
    <col width="12" customWidth="1" min="7" max="7"/>
    <col width="16" customWidth="1" min="8" max="8"/>
    <col width="34" customWidth="1" min="9" max="9"/>
    <col width="46" customWidth="1" min="10" max="10"/>
    <col width="8" customWidth="1" min="11" max="11"/>
    <col width="54" customWidth="1" min="12" max="12"/>
    <col width="56" customWidth="1" min="13" max="13"/>
  </cols>
  <sheetData>
    <row r="1">
      <c r="A1" s="1" t="inlineStr">
        <is>
          <t>Calendario y vencimientos — qué toca, cuándo y quién lo manda</t>
        </is>
      </c>
    </row>
    <row r="2">
      <c r="A2" s="2" t="inlineStr">
        <is>
          <t>AI Chef Pro · aichef.pro — Manual del Manager de Restaurante</t>
        </is>
      </c>
    </row>
    <row r="3">
      <c r="F3" s="6" t="inlineStr">
        <is>
          <t>Los siete primeros puntos son los de periodicidad fijada por norma estatal (cuatro familias). Del octavo en adelante, la periodicidad la eliges tú.</t>
        </is>
      </c>
    </row>
    <row r="4">
      <c r="B4" t="inlineStr">
        <is>
          <t>Fecha para simular (déjala vacía y se usa la de hoy)</t>
        </is>
      </c>
      <c r="C4" s="7" t="n"/>
      <c r="D4" s="4" t="inlineStr">
        <is>
          <t>Escribe aquí una fecha para ver el calendario «desde» ese día. Vacía = hoy.</t>
        </is>
      </c>
    </row>
    <row r="5">
      <c r="B5" s="13" t="inlineStr">
        <is>
          <t>Hoy (fecha de referencia del calendario)</t>
        </is>
      </c>
      <c r="C5" s="14">
        <f>IFERROR(IF($C$4="",TODAY(),$C$4),"")</f>
        <v>46270.0</v>
      </c>
    </row>
    <row r="6">
      <c r="B6" t="inlineStr">
        <is>
          <t>Aviso ROJO — faltan menos de (días)</t>
        </is>
      </c>
      <c r="C6" s="15" t="n">
        <v>30</v>
      </c>
      <c r="D6" s="4" t="inlineStr">
        <is>
          <t>Los dos umbrales del semáforo. El texto de la columna «Estado» se escribe solo con el número que pongas aquí.</t>
        </is>
      </c>
    </row>
    <row r="7">
      <c r="B7" t="inlineStr">
        <is>
          <t>Aviso ÁMBAR — faltan menos de (días)</t>
        </is>
      </c>
      <c r="C7" s="15" t="n">
        <v>60</v>
      </c>
    </row>
    <row r="8"/>
    <row r="9" ht="42" customHeight="1">
      <c r="A9" s="8" t="inlineStr">
        <is>
          <t>#</t>
        </is>
      </c>
      <c r="B9" s="8" t="inlineStr">
        <is>
          <t>Punto de control</t>
        </is>
      </c>
      <c r="C9" s="8" t="inlineStr">
        <is>
          <t>Última actuación</t>
        </is>
      </c>
      <c r="D9" s="8" t="inlineStr">
        <is>
          <t>Periodicidad (meses)</t>
        </is>
      </c>
      <c r="E9" s="8" t="inlineStr">
        <is>
          <t>¿Lo fija una norma estatal?</t>
        </is>
      </c>
      <c r="F9" s="8" t="inlineStr">
        <is>
          <t>Próxima fecha</t>
        </is>
      </c>
      <c r="G9" s="8" t="inlineStr">
        <is>
          <t>Días hasta vencer</t>
        </is>
      </c>
      <c r="H9" s="8" t="inlineStr">
        <is>
          <t>Estado</t>
        </is>
      </c>
      <c r="I9" s="8" t="inlineStr">
        <is>
          <t>Fuente (norma)</t>
        </is>
      </c>
      <c r="J9" s="8" t="inlineStr">
        <is>
          <t>URL</t>
        </is>
      </c>
      <c r="K9" s="8" t="inlineStr">
        <is>
          <t>Ref.</t>
        </is>
      </c>
      <c r="L9" s="8" t="inlineStr">
        <is>
          <t>Verificación</t>
        </is>
      </c>
      <c r="M9" s="8" t="inlineStr">
        <is>
          <t>Nota</t>
        </is>
      </c>
    </row>
    <row r="10" ht="32" customHeight="1">
      <c r="A10" s="9" t="n">
        <v>1</v>
      </c>
      <c r="B10" s="10" t="inlineStr">
        <is>
          <t>Registro de jornada (diario) y conservación durante 4 años</t>
        </is>
      </c>
      <c r="C10" s="16" t="n">
        <v>46269</v>
      </c>
      <c r="D10" s="17" t="n">
        <v>0</v>
      </c>
      <c r="E10" s="10" t="inlineStr">
        <is>
          <t>Sí</t>
        </is>
      </c>
      <c r="F10" s="11">
        <f>IFERROR(IF(OR($C10="",$D10=""),"",IF($D10=0,"",EDATE($C10,$D10))),"")</f>
        <v/>
      </c>
      <c r="G10" s="18">
        <f>IFERROR(IF(OR($F10="",$C$5=""),"",$F10-$C$5),"")</f>
        <v/>
      </c>
      <c r="H10" s="12" t="str">
        <f>IFERROR(IF($B10="","",IF($D10=0,"No vence",IF($F10="","",IF($G10&lt;0,"VENCIDO",IF($G10&lt;=$C$6,"&lt; "&amp;TEXT($C$6,"0")&amp;" días",IF($G10&lt;=$C$7,"&lt; "&amp;TEXT($C$7,"0")&amp;" días","OK")))))),"")</f>
        <v>No vence</v>
      </c>
      <c r="I10" s="12" t="inlineStr">
        <is>
          <t>Art. 34.9 ET, redacción del RDL 8/2019</t>
        </is>
      </c>
      <c r="J10" s="12" t="inlineStr">
        <is>
          <t>https://www.boe.es/buscar/act.php?id=BOE-A-2015-11430</t>
        </is>
      </c>
      <c r="K10" s="12" t="inlineStr">
        <is>
          <t>MM-02</t>
        </is>
      </c>
      <c r="L10" s="12" t="inlineStr">
        <is>
          <t>Verificado el 04-09-2026 · Art. 34.9 ET, redacción del RDL 8/2019 · https://www.boe.es/buscar/act.php?id=BOE-A-2015-11430</t>
        </is>
      </c>
      <c r="M10" s="10" t="inlineStr">
        <is>
          <t>No vence: se hace cada día. Los 4 años de conservación los fija el art. 34.9 ET</t>
        </is>
      </c>
    </row>
    <row r="11" ht="32" customHeight="1">
      <c r="A11" s="9" t="n">
        <v>2</v>
      </c>
      <c r="B11" s="10" t="inlineStr">
        <is>
          <t>Inspección periódica del ascensor</t>
        </is>
      </c>
      <c r="C11" s="16" t="n">
        <v>45765</v>
      </c>
      <c r="D11" s="17" t="n">
        <v>24</v>
      </c>
      <c r="E11" s="10" t="inlineStr">
        <is>
          <t>Sí</t>
        </is>
      </c>
      <c r="F11" s="11">
        <f>IFERROR(IF(OR($C11="",$D11=""),"",IF($D11=0,"",EDATE($C11,$D11))),"")</f>
        <v>46495.0</v>
      </c>
      <c r="G11" s="18">
        <f>IFERROR(IF(OR($F11="",$C$5=""),"",$F11-$C$5),"")</f>
        <v>225.0</v>
      </c>
      <c r="H11" s="12" t="str">
        <f>IFERROR(IF($B11="","",IF($D11=0,"No vence",IF($F11="","",IF($G11&lt;0,"VENCIDO",IF($G11&lt;=$C$6,"&lt; "&amp;TEXT($C$6,"0")&amp;" días",IF($G11&lt;=$C$7,"&lt; "&amp;TEXT($C$7,"0")&amp;" días","OK")))))),"")</f>
        <v>OK</v>
      </c>
      <c r="I11" s="12" t="inlineStr">
        <is>
          <t>RD 88/2013, Instrucción Técnica Complementaria AEM 1 «Ascensores», apartado 11.2.1 (inspección periódica cada 2 años en edificios de uso industrial y lugares de pública concurrencia)</t>
        </is>
      </c>
      <c r="J11" s="12" t="inlineStr">
        <is>
          <t>https://www.boe.es/buscar/act.php?id=BOE-A-2013-1969</t>
        </is>
      </c>
      <c r="K11" s="12" t="inlineStr"/>
      <c r="L11" s="12" t="inlineStr">
        <is>
          <t>Verificado el 04-09-2026 · RD 88/2013, Instrucción Técnica Complementaria AEM 1 «Ascensores», apartado 11.2.1 (inspección periódica cada 2 años en edificios de uso industrial y lugares de pública concurrencia) · https://www.boe.es/buscar/act.php?id=BOE-A-2013-1969</t>
        </is>
      </c>
      <c r="M11" s="10" t="inlineStr">
        <is>
          <t>Local con ascensor de uso público</t>
        </is>
      </c>
    </row>
    <row r="12" ht="32" customHeight="1">
      <c r="A12" s="9" t="n">
        <v>3</v>
      </c>
      <c r="B12" s="10" t="inlineStr">
        <is>
          <t>Extintores: revisión trimestral por el titular</t>
        </is>
      </c>
      <c r="C12" s="16" t="n">
        <v>46204</v>
      </c>
      <c r="D12" s="17" t="n">
        <v>3</v>
      </c>
      <c r="E12" s="10" t="inlineStr">
        <is>
          <t>Sí</t>
        </is>
      </c>
      <c r="F12" s="11">
        <f>IFERROR(IF(OR($C12="",$D12=""),"",IF($D12=0,"",EDATE($C12,$D12))),"")</f>
        <v>46296.0</v>
      </c>
      <c r="G12" s="18">
        <f>IFERROR(IF(OR($F12="",$C$5=""),"",$F12-$C$5),"")</f>
        <v>26.0</v>
      </c>
      <c r="H12" s="12" t="str">
        <f>IFERROR(IF($B12="","",IF($D12=0,"No vence",IF($F12="","",IF($G12&lt;0,"VENCIDO",IF($G12&lt;=$C$6,"&lt; "&amp;TEXT($C$6,"0")&amp;" días",IF($G12&lt;=$C$7,"&lt; "&amp;TEXT($C$7,"0")&amp;" días","OK")))))),"")</f>
        <v>&lt; 30 días</v>
      </c>
      <c r="I12" s="12" t="inlineStr">
        <is>
          <t>RD 513/2017, Reglamento de instalaciones de protección contra incendios, Anexo II (revisión trimestral a cargo del titular de la instalación)</t>
        </is>
      </c>
      <c r="J12" s="12" t="inlineStr">
        <is>
          <t>https://www.boe.es/buscar/act.php?id=BOE-A-2017-6606</t>
        </is>
      </c>
      <c r="K12" s="12" t="inlineStr"/>
      <c r="L12" s="12" t="inlineStr">
        <is>
          <t>Verificado el 04-09-2026 · RD 513/2017, Reglamento de instalaciones de protección contra incendios, Anexo II (revisión trimestral a cargo del titular de la instalación) · https://www.boe.es/buscar/act.php?id=BOE-A-2017-6606</t>
        </is>
      </c>
      <c r="M12" s="10" t="inlineStr">
        <is>
          <t>La hace el propio establecimiento y se anota en la etiqueta</t>
        </is>
      </c>
    </row>
    <row r="13" ht="32" customHeight="1">
      <c r="A13" s="9" t="n">
        <v>4</v>
      </c>
      <c r="B13" s="10" t="inlineStr">
        <is>
          <t>Extintores: mantenimiento anual por empresa mantenedora</t>
        </is>
      </c>
      <c r="C13" s="16" t="n">
        <v>45973</v>
      </c>
      <c r="D13" s="17" t="n">
        <v>12</v>
      </c>
      <c r="E13" s="10" t="inlineStr">
        <is>
          <t>Sí</t>
        </is>
      </c>
      <c r="F13" s="11">
        <f>IFERROR(IF(OR($C13="",$D13=""),"",IF($D13=0,"",EDATE($C13,$D13))),"")</f>
        <v>46338.0</v>
      </c>
      <c r="G13" s="18">
        <f>IFERROR(IF(OR($F13="",$C$5=""),"",$F13-$C$5),"")</f>
        <v>68.0</v>
      </c>
      <c r="H13" s="12" t="str">
        <f>IFERROR(IF($B13="","",IF($D13=0,"No vence",IF($F13="","",IF($G13&lt;0,"VENCIDO",IF($G13&lt;=$C$6,"&lt; "&amp;TEXT($C$6,"0")&amp;" días",IF($G13&lt;=$C$7,"&lt; "&amp;TEXT($C$7,"0")&amp;" días","OK")))))),"")</f>
        <v>OK</v>
      </c>
      <c r="I13" s="12" t="inlineStr">
        <is>
          <t>RD 513/2017, Anexo II (mantenimiento anual a cargo de una empresa mantenedora autorizada)</t>
        </is>
      </c>
      <c r="J13" s="12" t="inlineStr">
        <is>
          <t>https://www.boe.es/buscar/act.php?id=BOE-A-2017-6606</t>
        </is>
      </c>
      <c r="K13" s="12" t="inlineStr"/>
      <c r="L13" s="12" t="inlineStr">
        <is>
          <t>Verificado el 04-09-2026 · RD 513/2017, Anexo II (mantenimiento anual a cargo de una empresa mantenedora autorizada) · https://www.boe.es/buscar/act.php?id=BOE-A-2017-6606</t>
        </is>
      </c>
      <c r="M13" s="10" t="inlineStr"/>
    </row>
    <row r="14" ht="32" customHeight="1">
      <c r="A14" s="9" t="n">
        <v>5</v>
      </c>
      <c r="B14" s="10" t="inlineStr">
        <is>
          <t>Extintores: retimbrado (prueba de presión)</t>
        </is>
      </c>
      <c r="C14" s="16" t="n">
        <v>44325</v>
      </c>
      <c r="D14" s="17" t="n">
        <v>60</v>
      </c>
      <c r="E14" s="10" t="inlineStr">
        <is>
          <t>Sí</t>
        </is>
      </c>
      <c r="F14" s="11">
        <f>IFERROR(IF(OR($C14="",$D14=""),"",IF($D14=0,"",EDATE($C14,$D14))),"")</f>
        <v>46151.0</v>
      </c>
      <c r="G14" s="18">
        <f>IFERROR(IF(OR($F14="",$C$5=""),"",$F14-$C$5),"")</f>
        <v>-119.0</v>
      </c>
      <c r="H14" s="12" t="str">
        <f>IFERROR(IF($B14="","",IF($D14=0,"No vence",IF($F14="","",IF($G14&lt;0,"VENCIDO",IF($G14&lt;=$C$6,"&lt; "&amp;TEXT($C$6,"0")&amp;" días",IF($G14&lt;=$C$7,"&lt; "&amp;TEXT($C$7,"0")&amp;" días","OK")))))),"")</f>
        <v>VENCIDO</v>
      </c>
      <c r="I14" s="12" t="inlineStr">
        <is>
          <t>RD 513/2017, Anexo II (prueba de presión / retimbrado cada 5 años)</t>
        </is>
      </c>
      <c r="J14" s="12" t="inlineStr">
        <is>
          <t>https://www.boe.es/buscar/act.php?id=BOE-A-2017-6606</t>
        </is>
      </c>
      <c r="K14" s="12" t="inlineStr"/>
      <c r="L14" s="12" t="inlineStr">
        <is>
          <t>Verificado el 04-09-2026 · RD 513/2017, Anexo II (prueba de presión / retimbrado cada 5 años) · https://www.boe.es/buscar/act.php?id=BOE-A-2017-6606</t>
        </is>
      </c>
      <c r="M14" s="10" t="inlineStr"/>
    </row>
    <row r="15" ht="32" customHeight="1">
      <c r="A15" s="9" t="n">
        <v>6</v>
      </c>
      <c r="B15" s="10" t="inlineStr">
        <is>
          <t>Extintores: retirada del servicio a los 20 años</t>
        </is>
      </c>
      <c r="C15" s="16" t="n">
        <v>40969</v>
      </c>
      <c r="D15" s="17" t="n">
        <v>240</v>
      </c>
      <c r="E15" s="10" t="inlineStr">
        <is>
          <t>Sí</t>
        </is>
      </c>
      <c r="F15" s="11">
        <f>IFERROR(IF(OR($C15="",$D15=""),"",IF($D15=0,"",EDATE($C15,$D15))),"")</f>
        <v>48274.0</v>
      </c>
      <c r="G15" s="18">
        <f>IFERROR(IF(OR($F15="",$C$5=""),"",$F15-$C$5),"")</f>
        <v>2004.0</v>
      </c>
      <c r="H15" s="12" t="str">
        <f>IFERROR(IF($B15="","",IF($D15=0,"No vence",IF($F15="","",IF($G15&lt;0,"VENCIDO",IF($G15&lt;=$C$6,"&lt; "&amp;TEXT($C$6,"0")&amp;" días",IF($G15&lt;=$C$7,"&lt; "&amp;TEXT($C$7,"0")&amp;" días","OK")))))),"")</f>
        <v>OK</v>
      </c>
      <c r="I15" s="12" t="inlineStr">
        <is>
          <t>RD 513/2017, Anexo I, art. 21 (vida útil máxima de 20 años desde la fecha de fabricación grabada en el aparato)</t>
        </is>
      </c>
      <c r="J15" s="12" t="inlineStr">
        <is>
          <t>https://www.boe.es/buscar/act.php?id=BOE-A-2017-6606</t>
        </is>
      </c>
      <c r="K15" s="12" t="inlineStr"/>
      <c r="L15" s="12" t="inlineStr">
        <is>
          <t>Verificado el 04-09-2026 · RD 513/2017, Anexo I, art. 21 (vida útil máxima de 20 años desde la fecha de fabricación grabada en el aparato) · https://www.boe.es/buscar/act.php?id=BOE-A-2017-6606</t>
        </is>
      </c>
      <c r="M15" s="10" t="inlineStr">
        <is>
          <t>Se cuenta desde la fecha de fabricación grabada en el aparato</t>
        </is>
      </c>
    </row>
    <row r="16" ht="32" customHeight="1">
      <c r="A16" s="9" t="n">
        <v>7</v>
      </c>
      <c r="B16" s="10" t="inlineStr">
        <is>
          <t>Revisión periódica de la instalación de gas</t>
        </is>
      </c>
      <c r="C16" s="16" t="n">
        <v>44854</v>
      </c>
      <c r="D16" s="17" t="n">
        <v>60</v>
      </c>
      <c r="E16" s="10" t="inlineStr">
        <is>
          <t>Sí</t>
        </is>
      </c>
      <c r="F16" s="11">
        <f>IFERROR(IF(OR($C16="",$D16=""),"",IF($D16=0,"",EDATE($C16,$D16))),"")</f>
        <v>46680.0</v>
      </c>
      <c r="G16" s="18">
        <f>IFERROR(IF(OR($F16="",$C$5=""),"",$F16-$C$5),"")</f>
        <v>410.0</v>
      </c>
      <c r="H16" s="12" t="str">
        <f>IFERROR(IF($B16="","",IF($D16=0,"No vence",IF($F16="","",IF($G16&lt;0,"VENCIDO",IF($G16&lt;=$C$6,"&lt; "&amp;TEXT($C$6,"0")&amp;" días",IF($G16&lt;=$C$7,"&lt; "&amp;TEXT($C$7,"0")&amp;" días","OK")))))),"")</f>
        <v>OK</v>
      </c>
      <c r="I16" s="12" t="inlineStr">
        <is>
          <t>RD 919/2006, Instrucción Técnica Complementaria ICG-07 (revisión periódica de instalaciones receptoras de gas)</t>
        </is>
      </c>
      <c r="J16" s="12" t="inlineStr">
        <is>
          <t>https://www.boe.es/buscar/act.php?id=BOE-A-2006-15345</t>
        </is>
      </c>
      <c r="K16" s="12" t="inlineStr"/>
      <c r="L16" s="12" t="inlineStr">
        <is>
          <t>Verificado el 04-09-2026 · RD 919/2006, Instrucción Técnica Complementaria ICG-07 (revisión periódica de instalaciones receptoras de gas) · https://www.boe.es/buscar/act.php?id=BOE-A-2006-15345</t>
        </is>
      </c>
      <c r="M16" s="10" t="inlineStr"/>
    </row>
    <row r="17" ht="32" customHeight="1">
      <c r="A17" s="9" t="n">
        <v>8</v>
      </c>
      <c r="B17" s="10" t="inlineStr">
        <is>
          <t>Control de plagas (desinsectación y desratización)</t>
        </is>
      </c>
      <c r="C17" s="16" t="n">
        <v>46188</v>
      </c>
      <c r="D17" s="17" t="n">
        <v>3</v>
      </c>
      <c r="E17" s="10" t="inlineStr">
        <is>
          <t>No</t>
        </is>
      </c>
      <c r="F17" s="11">
        <f>IFERROR(IF(OR($C17="",$D17=""),"",IF($D17=0,"",EDATE($C17,$D17))),"")</f>
        <v>46280.0</v>
      </c>
      <c r="G17" s="18">
        <f>IFERROR(IF(OR($F17="",$C$5=""),"",$F17-$C$5),"")</f>
        <v>10.0</v>
      </c>
      <c r="H17" s="12" t="str">
        <f>IFERROR(IF($B17="","",IF($D17=0,"No vence",IF($F17="","",IF($G17&lt;0,"VENCIDO",IF($G17&lt;=$C$6,"&lt; "&amp;TEXT($C$6,"0")&amp;" días",IF($G17&lt;=$C$7,"&lt; "&amp;TEXT($C$7,"0")&amp;" días","OK")))))),"")</f>
        <v>&lt; 30 días</v>
      </c>
      <c r="I17" s="12" t="inlineStr">
        <is>
          <t>Reglamento (CE) 852/2004, art. 5 y Anexo II Cap. XI bis; RD 1021/2022 art. 20</t>
        </is>
      </c>
      <c r="J17" s="12" t="inlineStr">
        <is>
          <t>https://eur-lex.europa.eu/legal-content/ES/TXT/HTML/?uri=CELEX:02004R0852-20210324</t>
        </is>
      </c>
      <c r="K17" s="12" t="inlineStr">
        <is>
          <t>MM-29</t>
        </is>
      </c>
      <c r="L17" s="12" t="inlineStr">
        <is>
          <t>Verificado el 04-09-2026 · Reglamento (CE) 852/2004, art. 5 y Anexo II Cap. XI bis; RD 1021/2022 art. 20 · https://eur-lex.europa.eu/legal-content/ES/TXT/HTML/?uri=CELEX:02004R0852-20210324</t>
        </is>
      </c>
      <c r="M17" s="10" t="inlineStr">
        <is>
          <t>La ley exige un plan de control de plagas EFICAZ dentro del APPCC, no una periodicidad. Los 3 meses son criterio de la casa</t>
        </is>
      </c>
    </row>
    <row r="18" ht="32" customHeight="1">
      <c r="A18" s="9" t="n">
        <v>9</v>
      </c>
      <c r="B18" s="10" t="inlineStr">
        <is>
          <t>Limpieza de campana y conductos de extracción</t>
        </is>
      </c>
      <c r="C18" s="16" t="n">
        <v>46091</v>
      </c>
      <c r="D18" s="17" t="n">
        <v>6</v>
      </c>
      <c r="E18" s="10" t="inlineStr">
        <is>
          <t>No</t>
        </is>
      </c>
      <c r="F18" s="11">
        <f>IFERROR(IF(OR($C18="",$D18=""),"",IF($D18=0,"",EDATE($C18,$D18))),"")</f>
        <v>46275.0</v>
      </c>
      <c r="G18" s="18">
        <f>IFERROR(IF(OR($F18="",$C$5=""),"",$F18-$C$5),"")</f>
        <v>5.0</v>
      </c>
      <c r="H18" s="12" t="str">
        <f>IFERROR(IF($B18="","",IF($D18=0,"No vence",IF($F18="","",IF($G18&lt;0,"VENCIDO",IF($G18&lt;=$C$6,"&lt; "&amp;TEXT($C$6,"0")&amp;" días",IF($G18&lt;=$C$7,"&lt; "&amp;TEXT($C$7,"0")&amp;" días","OK")))))),"")</f>
        <v>&lt; 30 días</v>
      </c>
      <c r="I18" s="12" t="inlineStr"/>
      <c r="J18" s="12" t="inlineStr"/>
      <c r="K18" s="12" t="inlineStr"/>
      <c r="L18" s="12" t="inlineStr"/>
      <c r="M18" s="10" t="inlineStr">
        <is>
          <t>Ninguna norma estatal dice cada cuánto. Lo marcan tu plan de limpieza y, en su caso, la póliza del seguro</t>
        </is>
      </c>
    </row>
    <row r="19" ht="32" customHeight="1">
      <c r="A19" s="9" t="n">
        <v>10</v>
      </c>
      <c r="B19" s="10" t="inlineStr">
        <is>
          <t>Verificación de termómetros y sondas</t>
        </is>
      </c>
      <c r="C19" s="16" t="n">
        <v>46042</v>
      </c>
      <c r="D19" s="17" t="n">
        <v>12</v>
      </c>
      <c r="E19" s="10" t="inlineStr">
        <is>
          <t>No</t>
        </is>
      </c>
      <c r="F19" s="11">
        <f>IFERROR(IF(OR($C19="",$D19=""),"",IF($D19=0,"",EDATE($C19,$D19))),"")</f>
        <v>46407.0</v>
      </c>
      <c r="G19" s="18">
        <f>IFERROR(IF(OR($F19="",$C$5=""),"",$F19-$C$5),"")</f>
        <v>137.0</v>
      </c>
      <c r="H19" s="12" t="str">
        <f>IFERROR(IF($B19="","",IF($D19=0,"No vence",IF($F19="","",IF($G19&lt;0,"VENCIDO",IF($G19&lt;=$C$6,"&lt; "&amp;TEXT($C$6,"0")&amp;" días",IF($G19&lt;=$C$7,"&lt; "&amp;TEXT($C$7,"0")&amp;" días","OK")))))),"")</f>
        <v>OK</v>
      </c>
      <c r="I19" s="12" t="inlineStr">
        <is>
          <t>RD 1086/2020 art. 30, redacción del RD 1021/2022</t>
        </is>
      </c>
      <c r="J19" s="12" t="inlineStr">
        <is>
          <t>https://www.boe.es/buscar/act.php?id=BOE-A-2020-15872</t>
        </is>
      </c>
      <c r="K19" s="12" t="inlineStr">
        <is>
          <t>MM-32</t>
        </is>
      </c>
      <c r="L19" s="12" t="inlineStr">
        <is>
          <t>Verificado el 04-09-2026 · RD 1086/2020 art. 30, redacción del RD 1021/2022 · https://www.boe.es/buscar/act.php?id=BOE-A-2020-15872</t>
        </is>
      </c>
      <c r="M19" s="10" t="inlineStr">
        <is>
          <t>El APPCC exige que la medida sea fiable; la periodicidad la fijas tú en el plan</t>
        </is>
      </c>
    </row>
    <row r="20" ht="32" customHeight="1">
      <c r="A20" s="9" t="n">
        <v>11</v>
      </c>
      <c r="B20" s="10" t="inlineStr">
        <is>
          <t>Analítica de agua (sólo con depósito o tratamiento propio)</t>
        </is>
      </c>
      <c r="C20" s="16" t="n">
        <v>46058</v>
      </c>
      <c r="D20" s="17" t="n">
        <v>12</v>
      </c>
      <c r="E20" s="10" t="inlineStr">
        <is>
          <t>No</t>
        </is>
      </c>
      <c r="F20" s="11">
        <f>IFERROR(IF(OR($C20="",$D20=""),"",IF($D20=0,"",EDATE($C20,$D20))),"")</f>
        <v>46423.0</v>
      </c>
      <c r="G20" s="18">
        <f>IFERROR(IF(OR($F20="",$C$5=""),"",$F20-$C$5),"")</f>
        <v>153.0</v>
      </c>
      <c r="H20" s="12" t="str">
        <f>IFERROR(IF($B20="","",IF($D20=0,"No vence",IF($F20="","",IF($G20&lt;0,"VENCIDO",IF($G20&lt;=$C$6,"&lt; "&amp;TEXT($C$6,"0")&amp;" días",IF($G20&lt;=$C$7,"&lt; "&amp;TEXT($C$7,"0")&amp;" días","OK")))))),"")</f>
        <v>OK</v>
      </c>
      <c r="I20" s="12" t="inlineStr"/>
      <c r="J20" s="12" t="inlineStr"/>
      <c r="K20" s="12" t="inlineStr"/>
      <c r="L20" s="12" t="inlineStr"/>
      <c r="M20" s="10" t="inlineStr">
        <is>
          <t>Si el local se abastece de la red municipal sin depósito intermedio, no aplica. Consulta a tu comunidad</t>
        </is>
      </c>
    </row>
    <row r="21" ht="32" customHeight="1">
      <c r="A21" s="9" t="n">
        <v>12</v>
      </c>
      <c r="B21" s="10" t="inlineStr">
        <is>
          <t>Formación de manipuladores de alimentos</t>
        </is>
      </c>
      <c r="C21" s="16" t="n">
        <v>45810</v>
      </c>
      <c r="D21" s="17" t="n">
        <v>24</v>
      </c>
      <c r="E21" s="10" t="inlineStr">
        <is>
          <t>No</t>
        </is>
      </c>
      <c r="F21" s="11">
        <f>IFERROR(IF(OR($C21="",$D21=""),"",IF($D21=0,"",EDATE($C21,$D21))),"")</f>
        <v>46540.0</v>
      </c>
      <c r="G21" s="18">
        <f>IFERROR(IF(OR($F21="",$C$5=""),"",$F21-$C$5),"")</f>
        <v>270.0</v>
      </c>
      <c r="H21" s="12" t="str">
        <f>IFERROR(IF($B21="","",IF($D21=0,"No vence",IF($F21="","",IF($G21&lt;0,"VENCIDO",IF($G21&lt;=$C$6,"&lt; "&amp;TEXT($C$6,"0")&amp;" días",IF($G21&lt;=$C$7,"&lt; "&amp;TEXT($C$7,"0")&amp;" días","OK")))))),"")</f>
        <v>OK</v>
      </c>
      <c r="I21" s="12" t="inlineStr">
        <is>
          <t>RD 202/2000, derogado por el RD 109/2010; Reg. 852/2004 Anexo II Cap. XII</t>
        </is>
      </c>
      <c r="J21" s="12" t="inlineStr">
        <is>
          <t>https://www.boe.es/buscar/act.php?id=BOE-A-2000-3761</t>
        </is>
      </c>
      <c r="K21" s="12" t="inlineStr">
        <is>
          <t>MM-30</t>
        </is>
      </c>
      <c r="L21" s="12" t="inlineStr">
        <is>
          <t>Verificado el 04-09-2026 · RD 202/2000, derogado por el RD 109/2010; Reg. 852/2004 Anexo II Cap. XII · https://www.boe.es/buscar/act.php?id=BOE-A-2000-3761</t>
        </is>
      </c>
      <c r="M21" s="10" t="inlineStr">
        <is>
          <t>No existe carné oficial desde 2010: la obligación es del titular, que debe garantizar y poder acreditar la formación</t>
        </is>
      </c>
    </row>
    <row r="22" ht="32" customHeight="1">
      <c r="A22" s="9" t="n">
        <v>13</v>
      </c>
      <c r="B22" s="10" t="inlineStr">
        <is>
          <t>Formación de PRL del puesto de trabajo</t>
        </is>
      </c>
      <c r="C22" s="16" t="n">
        <v>45930</v>
      </c>
      <c r="D22" s="17" t="n">
        <v>24</v>
      </c>
      <c r="E22" s="10" t="inlineStr">
        <is>
          <t>No</t>
        </is>
      </c>
      <c r="F22" s="11">
        <f>IFERROR(IF(OR($C22="",$D22=""),"",IF($D22=0,"",EDATE($C22,$D22))),"")</f>
        <v>46660.0</v>
      </c>
      <c r="G22" s="18">
        <f>IFERROR(IF(OR($F22="",$C$5=""),"",$F22-$C$5),"")</f>
        <v>390.0</v>
      </c>
      <c r="H22" s="12" t="str">
        <f>IFERROR(IF($B22="","",IF($D22=0,"No vence",IF($F22="","",IF($G22&lt;0,"VENCIDO",IF($G22&lt;=$C$6,"&lt; "&amp;TEXT($C$6,"0")&amp;" días",IF($G22&lt;=$C$7,"&lt; "&amp;TEXT($C$7,"0")&amp;" días","OK")))))),"")</f>
        <v>OK</v>
      </c>
      <c r="I22" s="12" t="inlineStr"/>
      <c r="J22" s="12" t="inlineStr"/>
      <c r="K22" s="12" t="inlineStr"/>
      <c r="L22" s="12" t="inlineStr"/>
      <c r="M22" s="10" t="inlineStr">
        <is>
          <t>La ley la exige al contratar y cuando cambien las funciones o los riesgos, no cada X meses</t>
        </is>
      </c>
    </row>
    <row r="23" ht="32" customHeight="1">
      <c r="A23" s="9" t="n">
        <v>14</v>
      </c>
      <c r="B23" s="10" t="inlineStr">
        <is>
          <t>Revisión de la evaluación de riesgos laborales</t>
        </is>
      </c>
      <c r="C23" s="16" t="n">
        <v>45611</v>
      </c>
      <c r="D23" s="17" t="n">
        <v>36</v>
      </c>
      <c r="E23" s="10" t="inlineStr">
        <is>
          <t>No</t>
        </is>
      </c>
      <c r="F23" s="11">
        <f>IFERROR(IF(OR($C23="",$D23=""),"",IF($D23=0,"",EDATE($C23,$D23))),"")</f>
        <v>46706.0</v>
      </c>
      <c r="G23" s="18">
        <f>IFERROR(IF(OR($F23="",$C$5=""),"",$F23-$C$5),"")</f>
        <v>436.0</v>
      </c>
      <c r="H23" s="12" t="str">
        <f>IFERROR(IF($B23="","",IF($D23=0,"No vence",IF($F23="","",IF($G23&lt;0,"VENCIDO",IF($G23&lt;=$C$6,"&lt; "&amp;TEXT($C$6,"0")&amp;" días",IF($G23&lt;=$C$7,"&lt; "&amp;TEXT($C$7,"0")&amp;" días","OK")))))),"")</f>
        <v>OK</v>
      </c>
      <c r="I23" s="12" t="inlineStr">
        <is>
          <t>Art. 40.1 y 40.2 LISOS (RDLeg 5/2000)</t>
        </is>
      </c>
      <c r="J23" s="12" t="inlineStr">
        <is>
          <t>https://www.boe.es/buscar/act.php?id=BOE-A-2000-15060</t>
        </is>
      </c>
      <c r="K23" s="12" t="inlineStr">
        <is>
          <t>MM-22</t>
        </is>
      </c>
      <c r="L23" s="12" t="inlineStr">
        <is>
          <t>Verificado el 04-09-2026 · Art. 40.1 y 40.2 LISOS (RDLeg 5/2000) · https://www.boe.es/buscar/act.php?id=BOE-A-2000-15060</t>
        </is>
      </c>
      <c r="M23" s="10" t="inlineStr">
        <is>
          <t>Se revisa cuando cambian las condiciones de trabajo o tras un daño a la salud</t>
        </is>
      </c>
    </row>
    <row r="24" ht="32" customHeight="1">
      <c r="A24" s="9" t="n">
        <v>15</v>
      </c>
      <c r="B24" s="10" t="inlineStr">
        <is>
          <t>Actualización del registro retributivo</t>
        </is>
      </c>
      <c r="C24" s="16" t="n">
        <v>46053</v>
      </c>
      <c r="D24" s="17" t="n">
        <v>12</v>
      </c>
      <c r="E24" s="10" t="inlineStr">
        <is>
          <t>No</t>
        </is>
      </c>
      <c r="F24" s="11">
        <f>IFERROR(IF(OR($C24="",$D24=""),"",IF($D24=0,"",EDATE($C24,$D24))),"")</f>
        <v>46418.0</v>
      </c>
      <c r="G24" s="18">
        <f>IFERROR(IF(OR($F24="",$C$5=""),"",$F24-$C$5),"")</f>
        <v>148.0</v>
      </c>
      <c r="H24" s="12" t="str">
        <f>IFERROR(IF($B24="","",IF($D24=0,"No vence",IF($F24="","",IF($G24&lt;0,"VENCIDO",IF($G24&lt;=$C$6,"&lt; "&amp;TEXT($C$6,"0")&amp;" días",IF($G24&lt;=$C$7,"&lt; "&amp;TEXT($C$7,"0")&amp;" días","OK")))))),"")</f>
        <v>OK</v>
      </c>
      <c r="I24" s="12" t="inlineStr">
        <is>
          <t>Art. 5 RD 902/2020</t>
        </is>
      </c>
      <c r="J24" s="12" t="inlineStr">
        <is>
          <t>https://www.boe.es/buscar/act.php?id=BOE-A-2020-12215</t>
        </is>
      </c>
      <c r="K24" s="12" t="inlineStr">
        <is>
          <t>MM-18</t>
        </is>
      </c>
      <c r="L24" s="12" t="inlineStr">
        <is>
          <t>Verificado el 04-09-2026 · Art. 5 RD 902/2020 · https://www.boe.es/buscar/act.php?id=BOE-A-2020-12215</t>
        </is>
      </c>
      <c r="M24" s="10" t="inlineStr">
        <is>
          <t>El registro es obligatorio siempre y su periodo de referencia es el año natural; lo que la norma no fija es una fecha de revisión</t>
        </is>
      </c>
    </row>
    <row r="25" ht="32" customHeight="1">
      <c r="A25" s="9" t="n">
        <v>16</v>
      </c>
      <c r="B25" s="10" t="inlineStr">
        <is>
          <t>Revisión del plan de prevención de pérdidas y desperdicio alimentario</t>
        </is>
      </c>
      <c r="C25" s="16" t="n">
        <v>46114</v>
      </c>
      <c r="D25" s="17" t="n">
        <v>12</v>
      </c>
      <c r="E25" s="10" t="inlineStr">
        <is>
          <t>No</t>
        </is>
      </c>
      <c r="F25" s="11">
        <f>IFERROR(IF(OR($C25="",$D25=""),"",IF($D25=0,"",EDATE($C25,$D25))),"")</f>
        <v>46479.0</v>
      </c>
      <c r="G25" s="18">
        <f>IFERROR(IF(OR($F25="",$C$5=""),"",$F25-$C$5),"")</f>
        <v>209.0</v>
      </c>
      <c r="H25" s="12" t="str">
        <f>IFERROR(IF($B25="","",IF($D25=0,"No vence",IF($F25="","",IF($G25&lt;0,"VENCIDO",IF($G25&lt;=$C$6,"&lt; "&amp;TEXT($C$6,"0")&amp;" días",IF($G25&lt;=$C$7,"&lt; "&amp;TEXT($C$7,"0")&amp;" días","OK")))))),"")</f>
        <v>OK</v>
      </c>
      <c r="I25" s="12" t="inlineStr">
        <is>
          <t>RD 1021/2022 art. 18.5 y Ley 1/2025 arts. 6, 8 y 21</t>
        </is>
      </c>
      <c r="J25" s="12" t="inlineStr">
        <is>
          <t>https://www.boe.es/eli/es/rd/2022/12/13/1021/con</t>
        </is>
      </c>
      <c r="K25" s="12" t="inlineStr">
        <is>
          <t>MM-36</t>
        </is>
      </c>
      <c r="L25" s="12" t="inlineStr">
        <is>
          <t>Verificado el 04-09-2026 · RD 1021/2022 art. 18.5 y Ley 1/2025 arts. 6, 8 y 21 · https://www.boe.es/eli/es/rd/2022/12/13/1021/con</t>
        </is>
      </c>
      <c r="M25" s="10" t="inlineStr">
        <is>
          <t>Obligatorio para quien no sea microempresa. La revisión anual es criterio de la casa</t>
        </is>
      </c>
    </row>
    <row r="26" ht="32" customHeight="1">
      <c r="A26" s="9" t="n">
        <v>17</v>
      </c>
      <c r="B26" s="10" t="inlineStr">
        <is>
          <t>Renovación del seguro de responsabilidad civil</t>
        </is>
      </c>
      <c r="C26" s="16" t="n">
        <v>46023</v>
      </c>
      <c r="D26" s="17" t="n">
        <v>12</v>
      </c>
      <c r="E26" s="10" t="inlineStr">
        <is>
          <t>No</t>
        </is>
      </c>
      <c r="F26" s="11">
        <f>IFERROR(IF(OR($C26="",$D26=""),"",IF($D26=0,"",EDATE($C26,$D26))),"")</f>
        <v>46388.0</v>
      </c>
      <c r="G26" s="18">
        <f>IFERROR(IF(OR($F26="",$C$5=""),"",$F26-$C$5),"")</f>
        <v>118.0</v>
      </c>
      <c r="H26" s="12" t="str">
        <f>IFERROR(IF($B26="","",IF($D26=0,"No vence",IF($F26="","",IF($G26&lt;0,"VENCIDO",IF($G26&lt;=$C$6,"&lt; "&amp;TEXT($C$6,"0")&amp;" días",IF($G26&lt;=$C$7,"&lt; "&amp;TEXT($C$7,"0")&amp;" días","OK")))))),"")</f>
        <v>OK</v>
      </c>
      <c r="I26" s="12" t="inlineStr"/>
      <c r="J26" s="12" t="inlineStr"/>
      <c r="K26" s="12" t="inlineStr"/>
      <c r="L26" s="12" t="inlineStr"/>
      <c r="M26" s="10" t="inlineStr">
        <is>
          <t>Obligación contractual; algunas comunidades lo exigen para la licencia de actividad</t>
        </is>
      </c>
    </row>
    <row r="27" ht="32" customHeight="1">
      <c r="A27" s="9" t="n">
        <v>18</v>
      </c>
      <c r="B27" s="10" t="inlineStr">
        <is>
          <t>Adaptación del TPV a Verifactu</t>
        </is>
      </c>
      <c r="C27" s="16" t="n">
        <v>46269</v>
      </c>
      <c r="D27" s="17" t="n">
        <v>0</v>
      </c>
      <c r="E27" s="10" t="inlineStr">
        <is>
          <t>No</t>
        </is>
      </c>
      <c r="F27" s="11">
        <f>IFERROR(IF(OR($C27="",$D27=""),"",IF($D27=0,"",EDATE($C27,$D27))),"")</f>
        <v/>
      </c>
      <c r="G27" s="18">
        <f>IFERROR(IF(OR($F27="",$C$5=""),"",$F27-$C$5),"")</f>
        <v/>
      </c>
      <c r="H27" s="12" t="str">
        <f>IFERROR(IF($B27="","",IF($D27=0,"No vence",IF($F27="","",IF($G27&lt;0,"VENCIDO",IF($G27&lt;=$C$6,"&lt; "&amp;TEXT($C$6,"0")&amp;" días",IF($G27&lt;=$C$7,"&lt; "&amp;TEXT($C$7,"0")&amp;" días","OK")))))),"")</f>
        <v>No vence</v>
      </c>
      <c r="I27" s="12" t="inlineStr"/>
      <c r="J27" s="12" t="inlineStr"/>
      <c r="K27" s="12" t="inlineStr"/>
      <c r="L27" s="12" t="inlineStr"/>
      <c r="M27" s="10" t="inlineStr">
        <is>
          <t>No es una periodicidad, es un hito con fecha: 1-01-2027 sociedades y 1-07-2027 el resto</t>
        </is>
      </c>
    </row>
    <row r="28" ht="32" customHeight="1">
      <c r="A28" s="9" t="n">
        <v>19</v>
      </c>
      <c r="B28" s="10" t="n"/>
      <c r="C28" s="16" t="n"/>
      <c r="D28" s="17" t="n"/>
      <c r="E28" s="10" t="n"/>
      <c r="F28" s="11">
        <f>IFERROR(IF(OR($C28="",$D28=""),"",IF($D28=0,"",EDATE($C28,$D28))),"")</f>
        <v/>
      </c>
      <c r="G28" s="18">
        <f>IFERROR(IF(OR($F28="",$C$5=""),"",$F28-$C$5),"")</f>
        <v/>
      </c>
      <c r="H28" s="12">
        <f>IFERROR(IF($B28="","",IF($D28=0,"No vence",IF($F28="","",IF($G28&lt;0,"VENCIDO",IF($G28&lt;=$C$6,"&lt; "&amp;TEXT($C$6,"0")&amp;" días",IF($G28&lt;=$C$7,"&lt; "&amp;TEXT($C$7,"0")&amp;" días","OK")))))),"")</f>
        <v/>
      </c>
      <c r="I28" s="12" t="n"/>
      <c r="J28" s="12" t="n"/>
      <c r="K28" s="12" t="n"/>
      <c r="L28" s="12" t="n"/>
      <c r="M28" s="10" t="n"/>
    </row>
    <row r="29" ht="32" customHeight="1">
      <c r="A29" s="9" t="n">
        <v>20</v>
      </c>
      <c r="B29" s="10" t="n"/>
      <c r="C29" s="16" t="n"/>
      <c r="D29" s="17" t="n"/>
      <c r="E29" s="10" t="n"/>
      <c r="F29" s="11">
        <f>IFERROR(IF(OR($C29="",$D29=""),"",IF($D29=0,"",EDATE($C29,$D29))),"")</f>
        <v/>
      </c>
      <c r="G29" s="18">
        <f>IFERROR(IF(OR($F29="",$C$5=""),"",$F29-$C$5),"")</f>
        <v/>
      </c>
      <c r="H29" s="12">
        <f>IFERROR(IF($B29="","",IF($D29=0,"No vence",IF($F29="","",IF($G29&lt;0,"VENCIDO",IF($G29&lt;=$C$6,"&lt; "&amp;TEXT($C$6,"0")&amp;" días",IF($G29&lt;=$C$7,"&lt; "&amp;TEXT($C$7,"0")&amp;" días","OK")))))),"")</f>
        <v/>
      </c>
      <c r="I29" s="12" t="n"/>
      <c r="J29" s="12" t="n"/>
      <c r="K29" s="12" t="n"/>
      <c r="L29" s="12" t="n"/>
      <c r="M29" s="10" t="n"/>
    </row>
    <row r="30" ht="32" customHeight="1">
      <c r="A30" s="9" t="n">
        <v>21</v>
      </c>
      <c r="B30" s="10" t="n"/>
      <c r="C30" s="16" t="n"/>
      <c r="D30" s="17" t="n"/>
      <c r="E30" s="10" t="n"/>
      <c r="F30" s="11">
        <f>IFERROR(IF(OR($C30="",$D30=""),"",IF($D30=0,"",EDATE($C30,$D30))),"")</f>
        <v/>
      </c>
      <c r="G30" s="18">
        <f>IFERROR(IF(OR($F30="",$C$5=""),"",$F30-$C$5),"")</f>
        <v/>
      </c>
      <c r="H30" s="12">
        <f>IFERROR(IF($B30="","",IF($D30=0,"No vence",IF($F30="","",IF($G30&lt;0,"VENCIDO",IF($G30&lt;=$C$6,"&lt; "&amp;TEXT($C$6,"0")&amp;" días",IF($G30&lt;=$C$7,"&lt; "&amp;TEXT($C$7,"0")&amp;" días","OK")))))),"")</f>
        <v/>
      </c>
      <c r="I30" s="12" t="n"/>
      <c r="J30" s="12" t="n"/>
      <c r="K30" s="12" t="n"/>
      <c r="L30" s="12" t="n"/>
      <c r="M30" s="10" t="n"/>
    </row>
    <row r="31" ht="32" customHeight="1">
      <c r="A31" s="9" t="n">
        <v>22</v>
      </c>
      <c r="B31" s="10" t="n"/>
      <c r="C31" s="16" t="n"/>
      <c r="D31" s="17" t="n"/>
      <c r="E31" s="10" t="n"/>
      <c r="F31" s="11">
        <f>IFERROR(IF(OR($C31="",$D31=""),"",IF($D31=0,"",EDATE($C31,$D31))),"")</f>
        <v/>
      </c>
      <c r="G31" s="18">
        <f>IFERROR(IF(OR($F31="",$C$5=""),"",$F31-$C$5),"")</f>
        <v/>
      </c>
      <c r="H31" s="12">
        <f>IFERROR(IF($B31="","",IF($D31=0,"No vence",IF($F31="","",IF($G31&lt;0,"VENCIDO",IF($G31&lt;=$C$6,"&lt; "&amp;TEXT($C$6,"0")&amp;" días",IF($G31&lt;=$C$7,"&lt; "&amp;TEXT($C$7,"0")&amp;" días","OK")))))),"")</f>
        <v/>
      </c>
      <c r="I31" s="12" t="n"/>
      <c r="J31" s="12" t="n"/>
      <c r="K31" s="12" t="n"/>
      <c r="L31" s="12" t="n"/>
      <c r="M31" s="10" t="n"/>
    </row>
    <row r="32" ht="32" customHeight="1">
      <c r="A32" s="9" t="n">
        <v>23</v>
      </c>
      <c r="B32" s="10" t="n"/>
      <c r="C32" s="16" t="n"/>
      <c r="D32" s="17" t="n"/>
      <c r="E32" s="10" t="n"/>
      <c r="F32" s="11">
        <f>IFERROR(IF(OR($C32="",$D32=""),"",IF($D32=0,"",EDATE($C32,$D32))),"")</f>
        <v/>
      </c>
      <c r="G32" s="18">
        <f>IFERROR(IF(OR($F32="",$C$5=""),"",$F32-$C$5),"")</f>
        <v/>
      </c>
      <c r="H32" s="12">
        <f>IFERROR(IF($B32="","",IF($D32=0,"No vence",IF($F32="","",IF($G32&lt;0,"VENCIDO",IF($G32&lt;=$C$6,"&lt; "&amp;TEXT($C$6,"0")&amp;" días",IF($G32&lt;=$C$7,"&lt; "&amp;TEXT($C$7,"0")&amp;" días","OK")))))),"")</f>
        <v/>
      </c>
      <c r="I32" s="12" t="n"/>
      <c r="J32" s="12" t="n"/>
      <c r="K32" s="12" t="n"/>
      <c r="L32" s="12" t="n"/>
      <c r="M32" s="10" t="n"/>
    </row>
    <row r="33" ht="32" customHeight="1">
      <c r="A33" s="9" t="n">
        <v>24</v>
      </c>
      <c r="B33" s="10" t="n"/>
      <c r="C33" s="16" t="n"/>
      <c r="D33" s="17" t="n"/>
      <c r="E33" s="10" t="n"/>
      <c r="F33" s="11">
        <f>IFERROR(IF(OR($C33="",$D33=""),"",IF($D33=0,"",EDATE($C33,$D33))),"")</f>
        <v/>
      </c>
      <c r="G33" s="18">
        <f>IFERROR(IF(OR($F33="",$C$5=""),"",$F33-$C$5),"")</f>
        <v/>
      </c>
      <c r="H33" s="12">
        <f>IFERROR(IF($B33="","",IF($D33=0,"No vence",IF($F33="","",IF($G33&lt;0,"VENCIDO",IF($G33&lt;=$C$6,"&lt; "&amp;TEXT($C$6,"0")&amp;" días",IF($G33&lt;=$C$7,"&lt; "&amp;TEXT($C$7,"0")&amp;" días","OK")))))),"")</f>
        <v/>
      </c>
      <c r="I33" s="12" t="n"/>
      <c r="J33" s="12" t="n"/>
      <c r="K33" s="12" t="n"/>
      <c r="L33" s="12" t="n"/>
      <c r="M33" s="10" t="n"/>
    </row>
    <row r="34" ht="32" customHeight="1">
      <c r="A34" s="9" t="n">
        <v>25</v>
      </c>
      <c r="B34" s="10" t="n"/>
      <c r="C34" s="16" t="n"/>
      <c r="D34" s="17" t="n"/>
      <c r="E34" s="10" t="n"/>
      <c r="F34" s="11">
        <f>IFERROR(IF(OR($C34="",$D34=""),"",IF($D34=0,"",EDATE($C34,$D34))),"")</f>
        <v/>
      </c>
      <c r="G34" s="18">
        <f>IFERROR(IF(OR($F34="",$C$5=""),"",$F34-$C$5),"")</f>
        <v/>
      </c>
      <c r="H34" s="12">
        <f>IFERROR(IF($B34="","",IF($D34=0,"No vence",IF($F34="","",IF($G34&lt;0,"VENCIDO",IF($G34&lt;=$C$6,"&lt; "&amp;TEXT($C$6,"0")&amp;" días",IF($G34&lt;=$C$7,"&lt; "&amp;TEXT($C$7,"0")&amp;" días","OK")))))),"")</f>
        <v/>
      </c>
      <c r="I34" s="12" t="n"/>
      <c r="J34" s="12" t="n"/>
      <c r="K34" s="12" t="n"/>
      <c r="L34" s="12" t="n"/>
      <c r="M34" s="10" t="n"/>
    </row>
    <row r="35" ht="32" customHeight="1">
      <c r="A35" s="9" t="n">
        <v>26</v>
      </c>
      <c r="B35" s="10" t="n"/>
      <c r="C35" s="16" t="n"/>
      <c r="D35" s="17" t="n"/>
      <c r="E35" s="10" t="n"/>
      <c r="F35" s="11">
        <f>IFERROR(IF(OR($C35="",$D35=""),"",IF($D35=0,"",EDATE($C35,$D35))),"")</f>
        <v/>
      </c>
      <c r="G35" s="18">
        <f>IFERROR(IF(OR($F35="",$C$5=""),"",$F35-$C$5),"")</f>
        <v/>
      </c>
      <c r="H35" s="12">
        <f>IFERROR(IF($B35="","",IF($D35=0,"No vence",IF($F35="","",IF($G35&lt;0,"VENCIDO",IF($G35&lt;=$C$6,"&lt; "&amp;TEXT($C$6,"0")&amp;" días",IF($G35&lt;=$C$7,"&lt; "&amp;TEXT($C$7,"0")&amp;" días","OK")))))),"")</f>
        <v/>
      </c>
      <c r="I35" s="12" t="n"/>
      <c r="J35" s="12" t="n"/>
      <c r="K35" s="12" t="n"/>
      <c r="L35" s="12" t="n"/>
      <c r="M35" s="10" t="n"/>
    </row>
    <row r="36"/>
    <row r="37">
      <c r="A37" s="13" t="inlineStr">
        <is>
          <t>RESUMEN — lo calcula el libro</t>
        </is>
      </c>
    </row>
    <row r="38">
      <c r="B38" t="inlineStr">
        <is>
          <t>Puntos de control registrados</t>
        </is>
      </c>
      <c r="D38" s="9">
        <f>COUNTIF($B$10:$B$35,"&lt;&gt;")</f>
        <v>18.0</v>
      </c>
    </row>
    <row r="39">
      <c r="B39" t="inlineStr">
        <is>
          <t>Puntos con periodicidad fijada por una norma estatal</t>
        </is>
      </c>
      <c r="D39" s="9">
        <f>COUNTIF($E$10:$E$35,"Sí")</f>
        <v>7.0</v>
      </c>
    </row>
    <row r="40">
      <c r="B40" t="inlineStr">
        <is>
          <t>Puntos cuya periodicidad es criterio de la casa</t>
        </is>
      </c>
      <c r="D40" s="9">
        <f>COUNTIF($E$10:$E$35,"No")</f>
        <v>11.0</v>
      </c>
    </row>
    <row r="41">
      <c r="B41" t="inlineStr">
        <is>
          <t>Puntos sin vencimiento periódico (obligación diaria o hito con fecha)</t>
        </is>
      </c>
      <c r="D41" s="9">
        <f>COUNTIF($H$10:$H$35,"No vence")</f>
        <v>2.0</v>
      </c>
    </row>
    <row r="42">
      <c r="B42" t="inlineStr">
        <is>
          <t>Puntos con vencimiento</t>
        </is>
      </c>
      <c r="D42" s="9">
        <f>IFERROR(IF($D$38="","",$D$38-$D$41),"")</f>
        <v>16.0</v>
      </c>
    </row>
    <row r="43">
      <c r="B43" s="19" t="inlineStr">
        <is>
          <t>PUNTOS VENCIDOS</t>
        </is>
      </c>
      <c r="D43" s="20">
        <f>COUNTIF($G$10:$G$35,"&lt;0")</f>
        <v>1.0</v>
      </c>
    </row>
    <row r="44">
      <c r="B44" t="inlineStr">
        <is>
          <t>En aviso ROJO (vencen dentro del umbral rojo)</t>
        </is>
      </c>
      <c r="D44" s="9">
        <f>COUNTIFS($G$10:$G$35,"&gt;="&amp;0,$G$10:$G$35,"&lt;="&amp;$C$6)</f>
        <v>3.0</v>
      </c>
    </row>
    <row r="45">
      <c r="B45" t="inlineStr">
        <is>
          <t>En aviso ÁMBAR (entre los dos umbrales)</t>
        </is>
      </c>
      <c r="D45" s="9">
        <f>COUNTIFS($G$10:$G$35,"&gt;"&amp;$C$6,$G$10:$G$35,"&lt;="&amp;$C$7)</f>
        <v>0.0</v>
      </c>
    </row>
    <row r="46">
      <c r="B46" t="inlineStr">
        <is>
          <t>En verde (OK)</t>
        </is>
      </c>
      <c r="D46" s="9">
        <f>COUNTIFS($G$10:$G$35,"&gt;"&amp;$C$7)</f>
        <v>12.0</v>
      </c>
    </row>
    <row r="47">
      <c r="B47" s="13" t="inlineStr">
        <is>
          <t>Puntos en verde (%)</t>
        </is>
      </c>
      <c r="D47" s="21">
        <f>IFERROR(IF($D$42=0,"",$D$46/$D$42),"")</f>
        <v>0.75</v>
      </c>
    </row>
    <row r="48"/>
    <row r="49">
      <c r="B49" t="inlineStr">
        <is>
          <t>Objetivo de puntos en verde (%)</t>
        </is>
      </c>
      <c r="D49" s="22" t="n">
        <v>0.9</v>
      </c>
      <c r="F49" s="4" t="inlineStr">
        <is>
          <t>Por debajo de este porcentaje, la celda «Puntos en verde (%)» se pone en rojo. Es tu listón, no una obligación legal.</t>
        </is>
      </c>
    </row>
    <row r="50"/>
    <row r="51" ht="30" customHeight="1">
      <c r="B51" s="6" t="inlineStr">
        <is>
          <t>Recordatorio: que un punto salga en verde significa que la fecha que TÚ has escrito todavía no ha vencido, no que la periodicidad sea obligatoria. Mira siempre la columna «¿Lo fija una norma estatal?» y la nota de la fila.</t>
        </is>
      </c>
    </row>
  </sheetData>
  <sheetProtection selectLockedCells="0" selectUnlockedCells="0" sheet="1" objects="0" insertRows="0" insertHyperlinks="1" autoFilter="1" scenarios="0" formatColumns="0" deleteColumns="1" insertColumns="1" pivotTables="1" deleteRows="1" formatCells="1" formatRows="0" sort="0"/>
  <conditionalFormatting sqref="H10:H35">
    <cfRule type="expression" priority="1" dxfId="0" stopIfTrue="1">
      <formula>=$H10="No vence"</formula>
    </cfRule>
    <cfRule type="expression" priority="2" dxfId="1" stopIfTrue="1">
      <formula>=AND(ISNUMBER($G10),$G10&lt;=$C$6)</formula>
    </cfRule>
    <cfRule type="expression" priority="3" dxfId="2" stopIfTrue="1">
      <formula>=AND(ISNUMBER($G10),$G10&lt;=$C$7)</formula>
    </cfRule>
    <cfRule type="expression" priority="4" dxfId="3" stopIfTrue="1">
      <formula>=ISNUMBER($G10)</formula>
    </cfRule>
  </conditionalFormatting>
  <conditionalFormatting sqref="G10:G35">
    <cfRule type="expression" priority="5" dxfId="1" stopIfTrue="1">
      <formula>=AND(ISNUMBER($G10),$G10&lt;0)</formula>
    </cfRule>
  </conditionalFormatting>
  <conditionalFormatting sqref="E10:E35">
    <cfRule type="cellIs" priority="6" operator="equal" dxfId="2" stopIfTrue="1">
      <formula>"Sí"</formula>
    </cfRule>
    <cfRule type="cellIs" priority="7" operator="equal" dxfId="0" stopIfTrue="1">
      <formula>"No"</formula>
    </cfRule>
  </conditionalFormatting>
  <conditionalFormatting sqref="D43">
    <cfRule type="expression" priority="8" dxfId="1" stopIfTrue="1">
      <formula>=AND(ISNUMBER($D$43),$D$43&gt;0)</formula>
    </cfRule>
  </conditionalFormatting>
  <conditionalFormatting sqref="D47">
    <cfRule type="expression" priority="9" dxfId="1" stopIfTrue="1">
      <formula>=AND(ISNUMBER($D$47),$D$47&lt;$D$49)</formula>
    </cfRule>
  </conditionalFormatting>
  <dataValidations count="6">
    <dataValidation sqref="C4" showDropDown="0" showInputMessage="0" showErrorMessage="1" allowBlank="1" errorTitle="Fecha no válida" error="Escribe una fecha (dd/mm/aaaa) entre 2020 y 2040." type="date" operator="between">
      <formula1>DATE(2020,1,1)</formula1>
      <formula2>DATE(2040,12,31)</formula2>
    </dataValidation>
    <dataValidation sqref="C6 C7" showDropDown="0" showInputMessage="0" showErrorMessage="1" allowBlank="1" errorTitle="Días de aviso" error="Escribe un número de días entre 1 y 365." type="decimal" operator="between">
      <formula1>1</formula1>
      <formula2>365</formula2>
    </dataValidation>
    <dataValidation sqref="E10 E11 E12 E13 E14 E15 E16 E17 E18 E19 E20 E21 E22 E23 E24 E25 E26 E27 E28 E29 E30 E31 E32 E33 E34 E35" showDropDown="0" showInputMessage="0" showErrorMessage="1" allowBlank="1" errorTitle="Sí o No" error="¿La periodicidad de este punto la fija una norma estatal? Elige Sí o No." type="list">
      <formula1>"Sí,No"</formula1>
    </dataValidation>
    <dataValidation sqref="C10 C11 C12 C13 C14 C15 C16 C17 C18 C19 C20 C21 C22 C23 C24 C25 C26 C27 C28 C29 C30 C31 C32 C33 C34 C35" showDropDown="0" showInputMessage="0" showErrorMessage="1" allowBlank="1" errorTitle="Fecha no válida" error="Escribe una fecha (dd/mm/aaaa) entre 2020 y 2040." type="date" operator="between">
      <formula1>DATE(2020,1,1)</formula1>
      <formula2>DATE(2040,12,31)</formula2>
    </dataValidation>
    <dataValidation sqref="D10 D11 D12 D13 D14 D15 D16 D17 D18 D19 D20 D21 D22 D23 D24 D25 D26 D27 D28 D29 D30 D31 D32 D33 D34 D35" showDropDown="0" showInputMessage="0" showErrorMessage="1" allowBlank="1" errorTitle="Periodicidad (meses)" error="Escribe cada cuántos MESES se repite. Escribe 0 si no es un vencimiento periódico (una obligación diaria o un hito con fecha fija)." type="decimal" operator="between">
      <formula1>0</formula1>
      <formula2>600</formula2>
    </dataValidation>
    <dataValidation sqref="D49" showDropDown="0" showInputMessage="1" showErrorMessage="1" allowBlank="1" errorTitle="Objetivo en verde" error="Escribe un porcentaje entre 0 y 1 (0,20 = 20 %)." promptTitle="Objetivo en verde" prompt="Se escribe en tanto por uno: 0,90 = 9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3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58" customWidth="1" min="2" max="2"/>
    <col width="50" customWidth="1" min="3" max="3"/>
    <col width="30" customWidth="1" min="4" max="4"/>
    <col width="15" customWidth="1" min="5" max="5"/>
    <col width="15" customWidth="1" min="6" max="6"/>
    <col width="44" customWidth="1" min="7" max="7"/>
  </cols>
  <sheetData>
    <row r="1">
      <c r="A1" s="1" t="inlineStr">
        <is>
          <t>Documentación obligatoria — qué tiene que estar y dónde</t>
        </is>
      </c>
    </row>
    <row r="2">
      <c r="A2" s="2" t="inlineStr">
        <is>
          <t>AI Chef Pro · aichef.pro — Manual del Manager de Restaurante</t>
        </is>
      </c>
    </row>
    <row r="3">
      <c r="C3" s="6" t="inlineStr">
        <is>
          <t>Doce documentos que una inspección puede pedirte. Marca «Sí» cuando lo tengas LOCALIZADO, no cuando creas que existe.</t>
        </is>
      </c>
    </row>
    <row r="4"/>
    <row r="5"/>
    <row r="6" ht="42" customHeight="1">
      <c r="A6" s="8" t="inlineStr">
        <is>
          <t>#</t>
        </is>
      </c>
      <c r="B6" s="8" t="inlineStr">
        <is>
          <t>Documento</t>
        </is>
      </c>
      <c r="C6" s="8" t="inlineStr">
        <is>
          <t>Dónde debe estar</t>
        </is>
      </c>
      <c r="D6" s="8" t="inlineStr">
        <is>
          <t>Quién lo pide</t>
        </is>
      </c>
      <c r="E6" s="8" t="inlineStr">
        <is>
          <t>¿Disponible en el local?</t>
        </is>
      </c>
      <c r="F6" s="8" t="inlineStr">
        <is>
          <t>Última comprobación</t>
        </is>
      </c>
      <c r="G6" s="8" t="inlineStr">
        <is>
          <t>Nota</t>
        </is>
      </c>
    </row>
    <row r="7" ht="32" customHeight="1">
      <c r="A7" s="9" t="n">
        <v>1</v>
      </c>
      <c r="B7" s="10" t="inlineStr">
        <is>
          <t>Hojas de reclamaciones y cartel anunciador</t>
        </is>
      </c>
      <c r="C7" s="10" t="inlineStr">
        <is>
          <t>En el local, a la vista y a disposición del cliente</t>
        </is>
      </c>
      <c r="D7" s="10" t="inlineStr">
        <is>
          <t>Inspección de consumo (autonómica)</t>
        </is>
      </c>
      <c r="E7" s="10" t="n"/>
      <c r="F7" s="16" t="n"/>
      <c r="G7" s="10" t="n"/>
    </row>
    <row r="8" ht="32" customHeight="1">
      <c r="A8" s="9" t="n">
        <v>2</v>
      </c>
      <c r="B8" s="10" t="inlineStr">
        <is>
          <t>Registro de jornada de los últimos 4 años</t>
        </is>
      </c>
      <c r="C8" s="10" t="inlineStr">
        <is>
          <t>En el centro de trabajo, accesible de forma inmediata</t>
        </is>
      </c>
      <c r="D8" s="10" t="inlineStr">
        <is>
          <t>Inspección de Trabajo</t>
        </is>
      </c>
      <c r="E8" s="10" t="n"/>
      <c r="F8" s="16" t="n"/>
      <c r="G8" s="10" t="n"/>
    </row>
    <row r="9" ht="32" customHeight="1">
      <c r="A9" s="9" t="n">
        <v>3</v>
      </c>
      <c r="B9" s="10" t="inlineStr">
        <is>
          <t>Contratos, altas en la Seguridad Social y nóminas</t>
        </is>
      </c>
      <c r="C9" s="10" t="inlineStr">
        <is>
          <t>En el centro de trabajo o accesibles en remoto</t>
        </is>
      </c>
      <c r="D9" s="10" t="inlineStr">
        <is>
          <t>Inspección de Trabajo</t>
        </is>
      </c>
      <c r="E9" s="10" t="n"/>
      <c r="F9" s="16" t="n"/>
      <c r="G9" s="10" t="n"/>
    </row>
    <row r="10" ht="32" customHeight="1">
      <c r="A10" s="9" t="n">
        <v>4</v>
      </c>
      <c r="B10" s="10" t="inlineStr">
        <is>
          <t>Plan de prevención, evaluación de riesgos y planificación preventiva</t>
        </is>
      </c>
      <c r="C10" s="10" t="inlineStr">
        <is>
          <t>En el centro de trabajo</t>
        </is>
      </c>
      <c r="D10" s="10" t="inlineStr">
        <is>
          <t>Inspección de Trabajo</t>
        </is>
      </c>
      <c r="E10" s="10" t="n"/>
      <c r="F10" s="16" t="n"/>
      <c r="G10" s="10" t="n"/>
    </row>
    <row r="11" ht="32" customHeight="1">
      <c r="A11" s="9" t="n">
        <v>5</v>
      </c>
      <c r="B11" s="10" t="inlineStr">
        <is>
          <t>Protocolo frente al acoso sexual y por razón de sexo</t>
        </is>
      </c>
      <c r="C11" s="10" t="inlineStr">
        <is>
          <t>Publicado y accesible a toda la plantilla</t>
        </is>
      </c>
      <c r="D11" s="10" t="inlineStr">
        <is>
          <t>Inspección de Trabajo</t>
        </is>
      </c>
      <c r="E11" s="10" t="n"/>
      <c r="F11" s="16" t="n"/>
      <c r="G11" s="10" t="n"/>
    </row>
    <row r="12" ht="32" customHeight="1">
      <c r="A12" s="9" t="n">
        <v>6</v>
      </c>
      <c r="B12" s="10" t="inlineStr">
        <is>
          <t>Registro retributivo</t>
        </is>
      </c>
      <c r="C12" s="10" t="inlineStr">
        <is>
          <t>En el centro de trabajo y a disposición de la representación legal</t>
        </is>
      </c>
      <c r="D12" s="10" t="inlineStr">
        <is>
          <t>Inspección de Trabajo</t>
        </is>
      </c>
      <c r="E12" s="10" t="n"/>
      <c r="F12" s="16" t="n"/>
      <c r="G12" s="10" t="n"/>
    </row>
    <row r="13" ht="32" customHeight="1">
      <c r="A13" s="9" t="n">
        <v>7</v>
      </c>
      <c r="B13" s="10" t="inlineStr">
        <is>
          <t>Política escrita de desconexión digital</t>
        </is>
      </c>
      <c r="C13" s="10" t="inlineStr">
        <is>
          <t>Accesible a toda la plantilla</t>
        </is>
      </c>
      <c r="D13" s="10" t="inlineStr">
        <is>
          <t>Inspección de Trabajo</t>
        </is>
      </c>
      <c r="E13" s="10" t="n"/>
      <c r="F13" s="16" t="n"/>
      <c r="G13" s="10" t="n"/>
    </row>
    <row r="14" ht="32" customHeight="1">
      <c r="A14" s="9" t="n">
        <v>8</v>
      </c>
      <c r="B14" s="10" t="inlineStr">
        <is>
          <t>Plan APPCC y sus registros</t>
        </is>
      </c>
      <c r="C14" s="10" t="inlineStr">
        <is>
          <t>En el local, a disposición del inspector</t>
        </is>
      </c>
      <c r="D14" s="10" t="inlineStr">
        <is>
          <t>Sanidad (autonómica)</t>
        </is>
      </c>
      <c r="E14" s="10" t="n"/>
      <c r="F14" s="16" t="n"/>
      <c r="G14" s="10" t="n"/>
    </row>
    <row r="15" ht="32" customHeight="1">
      <c r="A15" s="9" t="n">
        <v>9</v>
      </c>
      <c r="B15" s="10" t="inlineStr">
        <is>
          <t>Acreditación de la formación en manipulación de alimentos</t>
        </is>
      </c>
      <c r="C15" s="10" t="inlineStr">
        <is>
          <t>En el local, por cada persona</t>
        </is>
      </c>
      <c r="D15" s="10" t="inlineStr">
        <is>
          <t>Sanidad (autonómica)</t>
        </is>
      </c>
      <c r="E15" s="10" t="n"/>
      <c r="F15" s="16" t="n"/>
      <c r="G15" s="10" t="n"/>
    </row>
    <row r="16" ht="32" customHeight="1">
      <c r="A16" s="9" t="n">
        <v>10</v>
      </c>
      <c r="B16" s="10" t="inlineStr">
        <is>
          <t>Información escrita de alérgenos de todos los platos</t>
        </is>
      </c>
      <c r="C16" s="10" t="inlineStr">
        <is>
          <t>En el local, disponible para el cliente y para el personal de sala</t>
        </is>
      </c>
      <c r="D16" s="10" t="inlineStr">
        <is>
          <t>Sanidad y consumo</t>
        </is>
      </c>
      <c r="E16" s="10" t="n"/>
      <c r="F16" s="16" t="n"/>
      <c r="G16" s="10" t="n"/>
    </row>
    <row r="17" ht="32" customHeight="1">
      <c r="A17" s="9" t="n">
        <v>11</v>
      </c>
      <c r="B17" s="10" t="inlineStr">
        <is>
          <t>Albaranes de trazabilidad y justificante de congelación del pescado para consumo en crudo</t>
        </is>
      </c>
      <c r="C17" s="10" t="inlineStr">
        <is>
          <t>En el local, un paso atrás</t>
        </is>
      </c>
      <c r="D17" s="10" t="inlineStr">
        <is>
          <t>Sanidad (autonómica)</t>
        </is>
      </c>
      <c r="E17" s="10" t="n"/>
      <c r="F17" s="16" t="n"/>
      <c r="G17" s="10" t="n"/>
    </row>
    <row r="18" ht="32" customHeight="1">
      <c r="A18" s="9" t="n">
        <v>12</v>
      </c>
      <c r="B18" s="10" t="inlineStr">
        <is>
          <t>Comunicación o declaración responsable de inicio de actividad y licencia</t>
        </is>
      </c>
      <c r="C18" s="10" t="inlineStr">
        <is>
          <t>En el local</t>
        </is>
      </c>
      <c r="D18" s="10" t="inlineStr">
        <is>
          <t>Ayuntamiento y Sanidad</t>
        </is>
      </c>
      <c r="E18" s="10" t="n"/>
      <c r="F18" s="16" t="n"/>
      <c r="G18" s="10" t="n"/>
    </row>
    <row r="19" ht="32" customHeight="1">
      <c r="A19" s="9" t="n">
        <v>13</v>
      </c>
      <c r="B19" s="10" t="n"/>
      <c r="C19" s="10" t="n"/>
      <c r="D19" s="10" t="n"/>
      <c r="E19" s="10" t="n"/>
      <c r="F19" s="16" t="n"/>
      <c r="G19" s="10" t="n"/>
    </row>
    <row r="20" ht="32" customHeight="1">
      <c r="A20" s="9" t="n">
        <v>14</v>
      </c>
      <c r="B20" s="10" t="n"/>
      <c r="C20" s="10" t="n"/>
      <c r="D20" s="10" t="n"/>
      <c r="E20" s="10" t="n"/>
      <c r="F20" s="16" t="n"/>
      <c r="G20" s="10" t="n"/>
    </row>
    <row r="21" ht="32" customHeight="1">
      <c r="A21" s="9" t="n">
        <v>15</v>
      </c>
      <c r="B21" s="10" t="n"/>
      <c r="C21" s="10" t="n"/>
      <c r="D21" s="10" t="n"/>
      <c r="E21" s="10" t="n"/>
      <c r="F21" s="16" t="n"/>
      <c r="G21" s="10" t="n"/>
    </row>
    <row r="22" ht="32" customHeight="1">
      <c r="A22" s="9" t="n">
        <v>16</v>
      </c>
      <c r="B22" s="10" t="n"/>
      <c r="C22" s="10" t="n"/>
      <c r="D22" s="10" t="n"/>
      <c r="E22" s="10" t="n"/>
      <c r="F22" s="16" t="n"/>
      <c r="G22" s="10" t="n"/>
    </row>
    <row r="23"/>
    <row r="24">
      <c r="A24" s="13" t="inlineStr">
        <is>
          <t>RESUMEN — lo calcula el libro</t>
        </is>
      </c>
    </row>
    <row r="25">
      <c r="B25" t="inlineStr">
        <is>
          <t>Documentos registrados</t>
        </is>
      </c>
      <c r="D25" s="9">
        <f>COUNTIF($B$7:$B$22,"&lt;&gt;")</f>
        <v>12.0</v>
      </c>
    </row>
    <row r="26">
      <c r="B26" t="inlineStr">
        <is>
          <t>Disponibles en el local («Sí»)</t>
        </is>
      </c>
      <c r="D26" s="9">
        <f>COUNTIF($E$7:$E$22,"Sí")</f>
        <v>0.0</v>
      </c>
    </row>
    <row r="27">
      <c r="B27" t="inlineStr">
        <is>
          <t>En trámite</t>
        </is>
      </c>
      <c r="D27" s="9">
        <f>COUNTIF($E$7:$E$22,"En trámite")</f>
        <v>0.0</v>
      </c>
    </row>
    <row r="28">
      <c r="B28" t="inlineStr">
        <is>
          <t>Que faltan («No»)</t>
        </is>
      </c>
      <c r="D28" s="9">
        <f>COUNTIF($E$7:$E$22,"No")</f>
        <v>0.0</v>
      </c>
    </row>
    <row r="29">
      <c r="B29" t="inlineStr">
        <is>
          <t>Sin contestar</t>
        </is>
      </c>
      <c r="D29" s="9">
        <f>IFERROR(IF($D$25="","",$D$25-$D$26-$D$27-$D$28),"")</f>
        <v>12.0</v>
      </c>
    </row>
    <row r="30">
      <c r="B30" s="19" t="inlineStr">
        <is>
          <t>DOCUMENTACIÓN COMPLETADA (%)</t>
        </is>
      </c>
      <c r="D30" s="23">
        <f>IFERROR(IF($D$25=0,"",$D$26/$D$25),"")</f>
        <v>0.0</v>
      </c>
    </row>
    <row r="31"/>
    <row r="32">
      <c r="B32" s="6" t="inlineStr">
        <is>
          <t>La casilla se marca sola en «Sí» cuando lo has visto con tus ojos y sabes en qué carpeta está. «Creo que lo tiene la gestoría» es un «En trámite».</t>
        </is>
      </c>
    </row>
  </sheetData>
  <sheetProtection selectLockedCells="0" selectUnlockedCells="0" sheet="1" objects="0" insertRows="0" insertHyperlinks="1" autoFilter="1" scenarios="0" formatColumns="0" deleteColumns="1" insertColumns="1" pivotTables="1" deleteRows="1" formatCells="1" formatRows="0" sort="0"/>
  <conditionalFormatting sqref="E7:E22">
    <cfRule type="cellIs" priority="1" operator="equal" dxfId="3" stopIfTrue="1">
      <formula>"Sí"</formula>
    </cfRule>
    <cfRule type="cellIs" priority="2" operator="equal" dxfId="2" stopIfTrue="1">
      <formula>"En trámite"</formula>
    </cfRule>
    <cfRule type="cellIs" priority="3" operator="equal" dxfId="1" stopIfTrue="1">
      <formula>"No"</formula>
    </cfRule>
  </conditionalFormatting>
  <conditionalFormatting sqref="D30">
    <cfRule type="expression" priority="4" dxfId="1" stopIfTrue="1">
      <formula>=AND(ISNUMBER($D$30),$D$30&lt;1)</formula>
    </cfRule>
  </conditionalFormatting>
  <dataValidations count="2">
    <dataValidation sqref="E7 E8 E9 E10 E11 E12 E13 E14 E15 E16 E17 E18 E19 E20 E21 E22" showDropDown="0" showInputMessage="0" showErrorMessage="1" allowBlank="1" errorTitle="Disponibilidad" error="Elige Sí, No o En trámite." type="list">
      <formula1>"Sí,No,En trámite"</formula1>
    </dataValidation>
    <dataValidation sqref="F7 F8 F9 F10 F11 F12 F13 F14 F15 F16 F17 F18 F19 F20 F21 F22"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52" customWidth="1" min="3" max="3"/>
    <col width="20" customWidth="1" min="4" max="4"/>
    <col width="34" customWidth="1" min="5" max="5"/>
    <col width="46" customWidth="1" min="6" max="6"/>
    <col width="8" customWidth="1" min="7" max="7"/>
    <col width="56" customWidth="1" min="8" max="8"/>
    <col width="58" customWidth="1" min="9" max="9"/>
  </cols>
  <sheetData>
    <row r="1">
      <c r="A1" s="1" t="inlineStr">
        <is>
          <t>Topes de jornada — lo que la ley no te deja pasar</t>
        </is>
      </c>
    </row>
    <row r="2">
      <c r="A2" s="2" t="inlineStr">
        <is>
          <t>AI Chef Pro · aichef.pro — Manual del Manager de Restaurante</t>
        </is>
      </c>
    </row>
    <row r="3">
      <c r="C3" s="6" t="inlineStr">
        <is>
          <t>Hoja de consulta: el dato, el artículo, la fuente y el enlace al BOE. Debajo hay una calculadora pequeña con tus propias cifras.</t>
        </is>
      </c>
    </row>
    <row r="4"/>
    <row r="5" ht="42" customHeight="1">
      <c r="A5" s="8" t="inlineStr">
        <is>
          <t>#</t>
        </is>
      </c>
      <c r="B5" s="8" t="inlineStr">
        <is>
          <t>Concepto</t>
        </is>
      </c>
      <c r="C5" s="8" t="inlineStr">
        <is>
          <t>Valor</t>
        </is>
      </c>
      <c r="D5" s="8" t="inlineStr">
        <is>
          <t>Artículo</t>
        </is>
      </c>
      <c r="E5" s="8" t="inlineStr">
        <is>
          <t>Fuente (norma)</t>
        </is>
      </c>
      <c r="F5" s="8" t="inlineStr">
        <is>
          <t>URL</t>
        </is>
      </c>
      <c r="G5" s="8" t="inlineStr">
        <is>
          <t>Ref.</t>
        </is>
      </c>
      <c r="H5" s="8" t="inlineStr">
        <is>
          <t>Verificación</t>
        </is>
      </c>
      <c r="I5" s="8" t="inlineStr">
        <is>
          <t>Nota</t>
        </is>
      </c>
    </row>
    <row r="6" ht="44" customHeight="1">
      <c r="A6" s="9" t="n">
        <v>1</v>
      </c>
      <c r="B6" s="24" t="inlineStr">
        <is>
          <t>Jornada máxima</t>
        </is>
      </c>
      <c r="C6" s="12" t="inlineStr">
        <is>
          <t>40 h/semana de promedio en cómputo anual</t>
        </is>
      </c>
      <c r="D6" s="12" t="inlineStr">
        <is>
          <t>Art. 34.1 ET</t>
        </is>
      </c>
      <c r="E6" s="12" t="inlineStr">
        <is>
          <t>Art. 34.1 Estatuto de los Trabajadores (RDLeg 2/2015)</t>
        </is>
      </c>
      <c r="F6" s="12" t="inlineStr">
        <is>
          <t>https://www.boe.es/buscar/act.php?id=BOE-A-2015-11430</t>
        </is>
      </c>
      <c r="G6" s="12" t="inlineStr">
        <is>
          <t>MM-01</t>
        </is>
      </c>
      <c r="H6" s="12" t="inlineStr">
        <is>
          <t>Verificado el 04-09-2026 · Art. 34.1 Estatuto de los Trabajadores (RDLeg 2/2015) · https://www.boe.es/buscar/act.php?id=BOE-A-2015-11430</t>
        </is>
      </c>
      <c r="I6" s="12" t="inlineStr">
        <is>
          <t>La reducción a 37,5 horas NO está vigente: el Congreso la rechazó el 10 de septiembre de 2025 y devolvió el proyecto al Gobierno. Sigue el máximo de 40 horas semanales de promedio en cómputo anual.</t>
        </is>
      </c>
    </row>
    <row r="7" ht="44" customHeight="1">
      <c r="A7" s="9" t="n">
        <v>2</v>
      </c>
      <c r="B7" s="24" t="inlineStr">
        <is>
          <t>Jornada ordinaria diaria máxima</t>
        </is>
      </c>
      <c r="C7" s="12" t="inlineStr">
        <is>
          <t>9 h, salvo distribución irregular pactada</t>
        </is>
      </c>
      <c r="D7" s="12" t="inlineStr">
        <is>
          <t>Art. 34.3 ET</t>
        </is>
      </c>
      <c r="E7" s="12" t="inlineStr">
        <is>
          <t>Arts. 34.3 y 37.1 ET</t>
        </is>
      </c>
      <c r="F7" s="12" t="inlineStr">
        <is>
          <t>https://www.boe.es/buscar/act.php?id=BOE-A-2015-11430</t>
        </is>
      </c>
      <c r="G7" s="12" t="inlineStr">
        <is>
          <t>MM-03</t>
        </is>
      </c>
      <c r="H7" s="12" t="inlineStr">
        <is>
          <t>Verificado el 04-09-2026 · Arts. 34.3 y 37.1 ET · https://www.boe.es/buscar/act.php?id=BOE-A-2015-11430</t>
        </is>
      </c>
      <c r="I7" s="12" t="inlineStr">
        <is>
          <t>Se puede superar sólo con distribución irregular pactada en convenio o por acuerdo con la representación de la plantilla, respetando siempre las 12 horas de descanso entre jornadas.</t>
        </is>
      </c>
    </row>
    <row r="8" ht="44" customHeight="1">
      <c r="A8" s="9" t="n">
        <v>3</v>
      </c>
      <c r="B8" s="24" t="inlineStr">
        <is>
          <t>Descanso mínimo entre jornadas</t>
        </is>
      </c>
      <c r="C8" s="12" t="inlineStr">
        <is>
          <t>12 h</t>
        </is>
      </c>
      <c r="D8" s="12" t="inlineStr">
        <is>
          <t>Art. 34.3 ET</t>
        </is>
      </c>
      <c r="E8" s="12" t="inlineStr">
        <is>
          <t>Arts. 34.3 y 37.1 ET</t>
        </is>
      </c>
      <c r="F8" s="12" t="inlineStr">
        <is>
          <t>https://www.boe.es/buscar/act.php?id=BOE-A-2015-11430</t>
        </is>
      </c>
      <c r="G8" s="12" t="inlineStr">
        <is>
          <t>MM-03</t>
        </is>
      </c>
      <c r="H8" s="12" t="inlineStr">
        <is>
          <t>Verificado el 04-09-2026 · Arts. 34.3 y 37.1 ET · https://www.boe.es/buscar/act.php?id=BOE-A-2015-11430</t>
        </is>
      </c>
      <c r="I8" s="12" t="inlineStr">
        <is>
          <t>Doce horas entre el fin de una jornada y el inicio de la siguiente. Es el tope que más se rompe en hostelería con el cierre de noche y la apertura de la mañana siguiente.</t>
        </is>
      </c>
    </row>
    <row r="9" ht="44" customHeight="1">
      <c r="A9" s="9" t="n">
        <v>4</v>
      </c>
      <c r="B9" s="24" t="inlineStr">
        <is>
          <t>Descanso semanal</t>
        </is>
      </c>
      <c r="C9" s="12" t="inlineStr">
        <is>
          <t>1,5 días, acumulables en periodos de hasta 14 días</t>
        </is>
      </c>
      <c r="D9" s="12" t="inlineStr">
        <is>
          <t>Art. 37.1 ET</t>
        </is>
      </c>
      <c r="E9" s="12" t="inlineStr">
        <is>
          <t>Arts. 34.3 y 37.1 ET</t>
        </is>
      </c>
      <c r="F9" s="12" t="inlineStr">
        <is>
          <t>https://www.boe.es/buscar/act.php?id=BOE-A-2015-11430</t>
        </is>
      </c>
      <c r="G9" s="12" t="inlineStr">
        <is>
          <t>MM-03</t>
        </is>
      </c>
      <c r="H9" s="12" t="inlineStr">
        <is>
          <t>Verificado el 04-09-2026 · Arts. 34.3 y 37.1 ET · https://www.boe.es/buscar/act.php?id=BOE-A-2015-11430</t>
        </is>
      </c>
      <c r="I9" s="12" t="inlineStr">
        <is>
          <t>Día y medio ininterrumpido, acumulable en periodos de hasta 14 días.</t>
        </is>
      </c>
    </row>
    <row r="10" ht="44" customHeight="1">
      <c r="A10" s="9" t="n">
        <v>5</v>
      </c>
      <c r="B10" s="24" t="inlineStr">
        <is>
          <t>Descanso en jornada continuada de más de 6 h</t>
        </is>
      </c>
      <c r="C10" s="12" t="inlineStr">
        <is>
          <t>15 min; son tiempo de trabajo sólo si lo dice el convenio</t>
        </is>
      </c>
      <c r="D10" s="12" t="inlineStr">
        <is>
          <t>Art. 34.4 ET</t>
        </is>
      </c>
      <c r="E10" s="12" t="inlineStr">
        <is>
          <t>Art. 34.4 ET</t>
        </is>
      </c>
      <c r="F10" s="12" t="inlineStr">
        <is>
          <t>https://www.boe.es/buscar/act.php?id=BOE-A-2015-11430</t>
        </is>
      </c>
      <c r="G10" s="12" t="inlineStr">
        <is>
          <t>MM-04</t>
        </is>
      </c>
      <c r="H10" s="12" t="inlineStr">
        <is>
          <t>Verificado el 04-09-2026 · Art. 34.4 ET · https://www.boe.es/buscar/act.php?id=BOE-A-2015-11430</t>
        </is>
      </c>
      <c r="I10" s="12" t="inlineStr">
        <is>
          <t>Quince minutos de descanso, que sólo cuentan como tiempo de trabajo efectivo si así lo establece el convenio o el contrato.</t>
        </is>
      </c>
    </row>
    <row r="11" ht="44" customHeight="1">
      <c r="A11" s="9" t="n">
        <v>6</v>
      </c>
      <c r="B11" s="24" t="inlineStr">
        <is>
          <t>Horas extraordinarias</t>
        </is>
      </c>
      <c r="C11" s="12" t="inlineStr">
        <is>
          <t>80 h/año por persona, en proporción en la jornada parcial</t>
        </is>
      </c>
      <c r="D11" s="12" t="inlineStr">
        <is>
          <t>Art. 35.2 ET</t>
        </is>
      </c>
      <c r="E11" s="12" t="inlineStr">
        <is>
          <t>Art. 35.1 y 35.2 ET</t>
        </is>
      </c>
      <c r="F11" s="12" t="inlineStr">
        <is>
          <t>https://www.boe.es/buscar/act.php?id=BOE-A-2015-11430</t>
        </is>
      </c>
      <c r="G11" s="12" t="inlineStr">
        <is>
          <t>MM-05</t>
        </is>
      </c>
      <c r="H11" s="12" t="inlineStr">
        <is>
          <t>Verificado el 04-09-2026 · Art. 35.1 y 35.2 ET · https://www.boe.es/buscar/act.php?id=BOE-A-2015-11430</t>
        </is>
      </c>
      <c r="I11" s="12" t="inlineStr">
        <is>
          <t>Ochenta horas al año por persona, reducidas en proporción en las jornadas parciales. No cuentan para el tope las compensadas con descanso dentro de los cuatro meses siguientes.</t>
        </is>
      </c>
    </row>
    <row r="12" ht="44" customHeight="1">
      <c r="A12" s="9" t="n">
        <v>7</v>
      </c>
      <c r="B12" s="24" t="inlineStr">
        <is>
          <t>Horas complementarias pactadas</t>
        </is>
      </c>
      <c r="C12" s="12" t="inlineStr">
        <is>
          <t>30 % de las ordinarias, ampliable hasta el 60 % por convenio</t>
        </is>
      </c>
      <c r="D12" s="12" t="inlineStr">
        <is>
          <t>Art. 12.5 ET</t>
        </is>
      </c>
      <c r="E12" s="12" t="inlineStr">
        <is>
          <t>Art. 12.5 ET</t>
        </is>
      </c>
      <c r="F12" s="12" t="inlineStr">
        <is>
          <t>https://www.boe.es/buscar/act.php?id=BOE-A-2015-11430</t>
        </is>
      </c>
      <c r="G12" s="12" t="inlineStr">
        <is>
          <t>MM-06</t>
        </is>
      </c>
      <c r="H12" s="12" t="inlineStr">
        <is>
          <t>Verificado el 04-09-2026 · Art. 12.5 ET · https://www.boe.es/buscar/act.php?id=BOE-A-2015-11430</t>
        </is>
      </c>
      <c r="I12" s="12" t="inlineStr">
        <is>
          <t>Sólo caben con pacto específico POR ESCRITO y en contratos de al menos 10 horas semanales.</t>
        </is>
      </c>
    </row>
    <row r="13" ht="44" customHeight="1">
      <c r="A13" s="9" t="n">
        <v>8</v>
      </c>
      <c r="B13" s="24" t="inlineStr">
        <is>
          <t>Horas complementarias voluntarias</t>
        </is>
      </c>
      <c r="C13" s="12" t="inlineStr">
        <is>
          <t>15 % adicional</t>
        </is>
      </c>
      <c r="D13" s="12" t="inlineStr">
        <is>
          <t>Art. 12.5 ET</t>
        </is>
      </c>
      <c r="E13" s="12" t="inlineStr">
        <is>
          <t>Art. 12.5 ET</t>
        </is>
      </c>
      <c r="F13" s="12" t="inlineStr">
        <is>
          <t>https://www.boe.es/buscar/act.php?id=BOE-A-2015-11430</t>
        </is>
      </c>
      <c r="G13" s="12" t="inlineStr">
        <is>
          <t>MM-06</t>
        </is>
      </c>
      <c r="H13" s="12" t="inlineStr">
        <is>
          <t>Verificado el 04-09-2026 · Art. 12.5 ET · https://www.boe.es/buscar/act.php?id=BOE-A-2015-11430</t>
        </is>
      </c>
      <c r="I13" s="12" t="inlineStr">
        <is>
          <t>Un 15 % adicional, ampliable por convenio, que la persona trabajadora puede rechazar sin que ello sea causa de sanción.</t>
        </is>
      </c>
    </row>
    <row r="14" ht="44" customHeight="1">
      <c r="A14" s="9" t="n">
        <v>9</v>
      </c>
      <c r="B14" s="24" t="inlineStr">
        <is>
          <t>Registro de jornada</t>
        </is>
      </c>
      <c r="C14" s="12" t="inlineStr">
        <is>
          <t>Diario, con hora de inicio y de fin</t>
        </is>
      </c>
      <c r="D14" s="12" t="inlineStr">
        <is>
          <t>Art. 34.9 ET</t>
        </is>
      </c>
      <c r="E14" s="12" t="inlineStr">
        <is>
          <t>Art. 34.9 ET, redacción del RDL 8/2019</t>
        </is>
      </c>
      <c r="F14" s="12" t="inlineStr">
        <is>
          <t>https://www.boe.es/buscar/act.php?id=BOE-A-2015-11430</t>
        </is>
      </c>
      <c r="G14" s="12" t="inlineStr">
        <is>
          <t>MM-02</t>
        </is>
      </c>
      <c r="H14" s="12" t="inlineStr">
        <is>
          <t>Verificado el 04-09-2026 · Art. 34.9 ET, redacción del RDL 8/2019 · https://www.boe.es/buscar/act.php?id=BOE-A-2015-11430</t>
        </is>
      </c>
      <c r="I14" s="12" t="inlineStr">
        <is>
          <t>Registro DIARIO con hora de inicio y de fin de cada persona. El real decreto del registro digital sigue en tramitación: hoy el papel y una hoja de cálculo son válidos.</t>
        </is>
      </c>
    </row>
    <row r="15" ht="44" customHeight="1">
      <c r="A15" s="9" t="n">
        <v>10</v>
      </c>
      <c r="B15" s="24" t="inlineStr">
        <is>
          <t>Conservación del registro</t>
        </is>
      </c>
      <c r="C15" s="12" t="inlineStr">
        <is>
          <t>4 años</t>
        </is>
      </c>
      <c r="D15" s="12" t="inlineStr">
        <is>
          <t>Art. 34.9 ET</t>
        </is>
      </c>
      <c r="E15" s="12" t="inlineStr">
        <is>
          <t>Art. 34.9 ET, redacción del RDL 8/2019</t>
        </is>
      </c>
      <c r="F15" s="12" t="inlineStr">
        <is>
          <t>https://www.boe.es/buscar/act.php?id=BOE-A-2015-11430</t>
        </is>
      </c>
      <c r="G15" s="12" t="inlineStr">
        <is>
          <t>MM-02</t>
        </is>
      </c>
      <c r="H15" s="12" t="inlineStr">
        <is>
          <t>Verificado el 04-09-2026 · Art. 34.9 ET, redacción del RDL 8/2019 · https://www.boe.es/buscar/act.php?id=BOE-A-2015-11430</t>
        </is>
      </c>
      <c r="I15" s="12" t="inlineStr">
        <is>
          <t>Cuatro años, a disposición de la plantilla, de su representación y de la Inspección de Trabajo, en el propio centro de trabajo.</t>
        </is>
      </c>
    </row>
    <row r="16" ht="44" customHeight="1">
      <c r="A16" s="9" t="n">
        <v>11</v>
      </c>
      <c r="B16" s="24" t="inlineStr">
        <is>
          <t>Contrato a tiempo parcial sin registro</t>
        </is>
      </c>
      <c r="C16" s="12" t="inlineStr">
        <is>
          <t>Se presume celebrado a jornada completa</t>
        </is>
      </c>
      <c r="D16" s="12" t="inlineStr">
        <is>
          <t>Art. 12.4.c ET</t>
        </is>
      </c>
      <c r="E16" s="12" t="inlineStr">
        <is>
          <t>Art. 12.4.c) ET</t>
        </is>
      </c>
      <c r="F16" s="12" t="inlineStr">
        <is>
          <t>https://www.boe.es/buscar/act.php?id=BOE-A-2015-11430</t>
        </is>
      </c>
      <c r="G16" s="12" t="inlineStr">
        <is>
          <t>MM-07</t>
        </is>
      </c>
      <c r="H16" s="12" t="inlineStr">
        <is>
          <t>Verificado el 04-09-2026 · Art. 12.4.c) ET · https://www.boe.es/buscar/act.php?id=BOE-A-2015-11430</t>
        </is>
      </c>
      <c r="I16" s="12" t="inlineStr">
        <is>
          <t>Si no se lleva el registro diario del contrato a tiempo parcial, totalizado mensualmente y entregado con copia a la persona trabajadora, el contrato SE PRESUME celebrado a jornada completa.</t>
        </is>
      </c>
    </row>
    <row r="17"/>
    <row r="18">
      <c r="A18" s="13" t="inlineStr">
        <is>
          <t>CALCULADORA — con tus cifras, no con las nuestras</t>
        </is>
      </c>
    </row>
    <row r="19">
      <c r="B19" t="inlineStr">
        <is>
          <t>Jornada máxima legal de promedio en cómputo anual (h/semana)</t>
        </is>
      </c>
      <c r="D19" s="15" t="n">
        <v>40</v>
      </c>
      <c r="F19" s="4" t="inlineStr">
        <is>
          <t>Art. 34.1 ET. Es una celda editable porque fuera de España el máximo es otro; en España, hoy, son 40.</t>
        </is>
      </c>
    </row>
    <row r="20">
      <c r="B20" t="inlineStr">
        <is>
          <t>Horas semanales pactadas de promedio en tu casa</t>
        </is>
      </c>
      <c r="D20" s="15" t="n">
        <v>40</v>
      </c>
      <c r="F20" s="4" t="inlineStr">
        <is>
          <t>La jornada media que estás haciendo de verdad, no la del contrato.</t>
        </is>
      </c>
    </row>
    <row r="21">
      <c r="B21" s="13" t="inlineStr">
        <is>
          <t>Exceso sobre el máximo legal (h/semana)</t>
        </is>
      </c>
      <c r="D21" s="25">
        <f>IFERROR(IF(OR($D$20="",$D$19=""),"",$D$20-$D$19),"")</f>
        <v>0.0</v>
      </c>
    </row>
    <row r="22"/>
    <row r="23">
      <c r="B23" t="inlineStr">
        <is>
          <t>Tope legal de horas extraordinarias al año por persona (h)</t>
        </is>
      </c>
      <c r="D23" s="15" t="n">
        <v>80</v>
      </c>
      <c r="F23" s="4" t="inlineStr">
        <is>
          <t>Art. 35.2 ET. En las jornadas parciales se reduce en proporción: ajusta esta celda para esa persona.</t>
        </is>
      </c>
    </row>
    <row r="24">
      <c r="B24" t="inlineStr">
        <is>
          <t>Horas extraordinarias acumuladas este año por esa persona (h)</t>
        </is>
      </c>
      <c r="D24" s="15" t="n">
        <v>0</v>
      </c>
      <c r="F24" s="4" t="inlineStr">
        <is>
          <t>No cuentan las compensadas con descanso dentro de los cuatro meses siguientes a su realización.</t>
        </is>
      </c>
    </row>
    <row r="25">
      <c r="B25" s="13" t="inlineStr">
        <is>
          <t>Margen hasta el tope (h)</t>
        </is>
      </c>
      <c r="D25" s="25">
        <f>IFERROR(IF(OR($D$23="",$D$24=""),"",$D$23-$D$24),"")</f>
        <v>80.0</v>
      </c>
    </row>
    <row r="26">
      <c r="B26" t="inlineStr">
        <is>
          <t>Tope consumido (%)</t>
        </is>
      </c>
      <c r="D26" s="26">
        <f>IFERROR(IF(OR($D$24="",$D$23=0),"",$D$24/$D$23),"")</f>
        <v>0.0</v>
      </c>
    </row>
    <row r="27">
      <c r="B27" t="inlineStr">
        <is>
          <t>Avisar cuando se supere el (%) del tope</t>
        </is>
      </c>
      <c r="D27" s="22" t="n">
        <v>0.8</v>
      </c>
      <c r="F27" s="4" t="inlineStr">
        <is>
          <t>Por encima de este porcentaje la celda «Tope consumido (%)» se pone en rojo. Tu listón, no el de la ley.</t>
        </is>
      </c>
    </row>
    <row r="28"/>
    <row r="29" ht="30" customHeight="1">
      <c r="B29" s="6" t="inlineStr">
        <is>
          <t>Las horas extraordinarias son voluntarias salvo pacto o convenio, y en cualquier caso se pagan o se compensan con descanso. Lo que no existe es la hora que no se registra: sin registro, la Inspección presume la jornada completa.</t>
        </is>
      </c>
    </row>
  </sheetData>
  <sheetProtection selectLockedCells="0" selectUnlockedCells="0" sheet="1" objects="0" insertRows="0" insertHyperlinks="1" autoFilter="1" scenarios="0" formatColumns="0" deleteColumns="1" insertColumns="1" pivotTables="1" deleteRows="1" formatCells="1" formatRows="0" sort="0"/>
  <conditionalFormatting sqref="D21">
    <cfRule type="expression" priority="1" dxfId="1" stopIfTrue="1">
      <formula>=AND(ISNUMBER($D$21),$D$21&gt;0)</formula>
    </cfRule>
  </conditionalFormatting>
  <conditionalFormatting sqref="D25">
    <cfRule type="expression" priority="2" dxfId="1" stopIfTrue="1">
      <formula>=AND(ISNUMBER($D$25),$D$25&lt;0)</formula>
    </cfRule>
  </conditionalFormatting>
  <conditionalFormatting sqref="D26">
    <cfRule type="expression" priority="3" dxfId="1" stopIfTrue="1">
      <formula>=AND(ISNUMBER($D$26),$D$26&gt;=$D$27)</formula>
    </cfRule>
  </conditionalFormatting>
  <dataValidations count="3">
    <dataValidation sqref="D27" showDropDown="0" showInputMessage="1" showErrorMessage="1" allowBlank="1" errorTitle="Aviso del tope" error="Escribe un porcentaje entre 0 y 1 (0,20 = 20 %)." promptTitle="Aviso del tope" prompt="Se escribe en tanto por uno: 0,80 = 80 %." type="decimal" operator="between">
      <formula1>0</formula1>
      <formula2>1.0</formula2>
    </dataValidation>
    <dataValidation sqref="D19 D20" showDropDown="0" showInputMessage="0" showErrorMessage="1" allowBlank="1" errorTitle="Horas semanales" error="Escribe las horas semanales (0-80)." type="decimal" operator="between">
      <formula1>0</formula1>
      <formula2>80</formula2>
    </dataValidation>
    <dataValidation sqref="D23 D24" showDropDown="0" showInputMessage="0" showErrorMessage="1" allowBlank="1" errorTitle="Horas al año" error="Escribe las horas al año (0-2000)." type="decimal" operator="between">
      <formula1>0</formula1>
      <formula2>2000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50" customWidth="1" min="3" max="3"/>
    <col width="12" customWidth="1" min="4" max="4"/>
    <col width="46" customWidth="1" min="5" max="5"/>
    <col width="26" customWidth="1" min="6" max="6"/>
    <col width="40" customWidth="1" min="7" max="7"/>
    <col width="46" customWidth="1" min="8" max="8"/>
    <col width="8" customWidth="1" min="9" max="9"/>
    <col width="56" customWidth="1" min="10" max="10"/>
    <col width="60" customWidth="1" min="11" max="11"/>
  </cols>
  <sheetData>
    <row r="1">
      <c r="A1" s="1" t="inlineStr">
        <is>
          <t>Permisos y cómputo — qué se pide, cuánto dura y quién paga</t>
        </is>
      </c>
    </row>
    <row r="2">
      <c r="A2" s="2" t="inlineStr">
        <is>
          <t>AI Chef Pro · aichef.pro — Manual del Manager de Restaurante</t>
        </is>
      </c>
    </row>
    <row r="3">
      <c r="D3" s="6" t="inlineStr">
        <is>
          <t>OJO con el permiso parental: son DOS figuras distintas que se solapan casi punto por punto y sólo una se paga. Van en dos filas seguidas a propósito.</t>
        </is>
      </c>
    </row>
    <row r="4"/>
    <row r="5" ht="42" customHeight="1">
      <c r="A5" s="8" t="inlineStr">
        <is>
          <t>#</t>
        </is>
      </c>
      <c r="B5" s="8" t="inlineStr">
        <is>
          <t>Permiso o figura</t>
        </is>
      </c>
      <c r="C5" s="8" t="inlineStr">
        <is>
          <t>Duración o cómputo</t>
        </is>
      </c>
      <c r="D5" s="8" t="inlineStr">
        <is>
          <t>¿Retribuido?</t>
        </is>
      </c>
      <c r="E5" s="8" t="inlineStr">
        <is>
          <t>Quién lo pide y cómo</t>
        </is>
      </c>
      <c r="F5" s="8" t="inlineStr">
        <is>
          <t>Artículo</t>
        </is>
      </c>
      <c r="G5" s="8" t="inlineStr">
        <is>
          <t>Fuente (norma)</t>
        </is>
      </c>
      <c r="H5" s="8" t="inlineStr">
        <is>
          <t>URL</t>
        </is>
      </c>
      <c r="I5" s="8" t="inlineStr">
        <is>
          <t>Ref.</t>
        </is>
      </c>
      <c r="J5" s="8" t="inlineStr">
        <is>
          <t>Verificación</t>
        </is>
      </c>
      <c r="K5" s="8" t="inlineStr">
        <is>
          <t>Nota</t>
        </is>
      </c>
    </row>
    <row r="6" ht="62" customHeight="1">
      <c r="A6" s="9" t="n">
        <v>1</v>
      </c>
      <c r="B6" s="24" t="inlineStr">
        <is>
          <t>Vacaciones anuales</t>
        </is>
      </c>
      <c r="C6" s="12" t="inlineStr">
        <is>
          <t>30 días naturales, no sustituibles por dinero salvo extinción</t>
        </is>
      </c>
      <c r="D6" s="12" t="inlineStr">
        <is>
          <t>Sí</t>
        </is>
      </c>
      <c r="E6" s="12" t="inlineStr">
        <is>
          <t>La persona trabajadora; el calendario se fija de común acuerdo y se conoce con dos meses de antelación como mínimo</t>
        </is>
      </c>
      <c r="F6" s="12" t="inlineStr">
        <is>
          <t>Art. 38 ET</t>
        </is>
      </c>
      <c r="G6" s="12" t="inlineStr">
        <is>
          <t>Art. 38 ET</t>
        </is>
      </c>
      <c r="H6" s="12" t="inlineStr">
        <is>
          <t>https://www.boe.es/buscar/act.php?id=BOE-A-2015-11430</t>
        </is>
      </c>
      <c r="I6" s="12" t="inlineStr">
        <is>
          <t>MM-08</t>
        </is>
      </c>
      <c r="J6" s="12" t="inlineStr">
        <is>
          <t>Verificado el 04-09-2026 · Art. 38 ET · https://www.boe.es/buscar/act.php?id=BOE-A-2015-11430</t>
        </is>
      </c>
      <c r="K6" s="12" t="inlineStr">
        <is>
          <t>Mínimo 30 días naturales al año, retribuidas y NO sustituibles por dinero salvo extinción del contrato.</t>
        </is>
      </c>
    </row>
    <row r="7" ht="62" customHeight="1">
      <c r="A7" s="9" t="n">
        <v>2</v>
      </c>
      <c r="B7" s="24" t="inlineStr">
        <is>
          <t>Preaviso del calendario de vacaciones</t>
        </is>
      </c>
      <c r="C7" s="12" t="inlineStr">
        <is>
          <t>2 meses antes del disfrute</t>
        </is>
      </c>
      <c r="D7" s="12" t="inlineStr">
        <is>
          <t>No aplica</t>
        </is>
      </c>
      <c r="E7" s="12" t="inlineStr">
        <is>
          <t>La empresa: publica el calendario</t>
        </is>
      </c>
      <c r="F7" s="12" t="inlineStr">
        <is>
          <t>Art. 38.3 ET</t>
        </is>
      </c>
      <c r="G7" s="12" t="inlineStr">
        <is>
          <t>Art. 38 ET</t>
        </is>
      </c>
      <c r="H7" s="12" t="inlineStr">
        <is>
          <t>https://www.boe.es/buscar/act.php?id=BOE-A-2015-11430</t>
        </is>
      </c>
      <c r="I7" s="12" t="inlineStr">
        <is>
          <t>MM-08</t>
        </is>
      </c>
      <c r="J7" s="12" t="inlineStr">
        <is>
          <t>Verificado el 04-09-2026 · Art. 38 ET · https://www.boe.es/buscar/act.php?id=BOE-A-2015-11430</t>
        </is>
      </c>
      <c r="K7" s="12" t="inlineStr">
        <is>
          <t>No es un permiso: es la obligación de la empresa de que el calendario se conozca con dos meses de antelación.</t>
        </is>
      </c>
    </row>
    <row r="8" ht="62" customHeight="1">
      <c r="A8" s="9" t="n">
        <v>3</v>
      </c>
      <c r="B8" s="24" t="inlineStr">
        <is>
          <t>Fallecimiento de cónyuge, pareja de hecho o pariente hasta 2.º grado</t>
        </is>
      </c>
      <c r="C8" s="12" t="inlineStr">
        <is>
          <t>2 días, ampliables a 4 si hay desplazamiento</t>
        </is>
      </c>
      <c r="D8" s="12" t="inlineStr">
        <is>
          <t>Sí</t>
        </is>
      </c>
      <c r="E8" s="12" t="inlineStr">
        <is>
          <t>La persona trabajadora, avisando y justificándolo</t>
        </is>
      </c>
      <c r="F8" s="12" t="inlineStr">
        <is>
          <t>Art. 37.3.b ET</t>
        </is>
      </c>
      <c r="G8" s="12" t="inlineStr">
        <is>
          <t>Arts. 37.3.b), 37.3.b bis) y 37.9 ET</t>
        </is>
      </c>
      <c r="H8" s="12" t="inlineStr">
        <is>
          <t>https://www.boe.es/buscar/act.php?id=BOE-A-2015-11430</t>
        </is>
      </c>
      <c r="I8" s="12" t="inlineStr">
        <is>
          <t>MM-27</t>
        </is>
      </c>
      <c r="J8" s="12" t="inlineStr">
        <is>
          <t>Verificado el 04-09-2026 · Arts. 37.3.b), 37.3.b bis) y 37.9 ET · https://www.boe.es/buscar/act.php?id=BOE-A-2015-11430</t>
        </is>
      </c>
      <c r="K8" s="12" t="inlineStr">
        <is>
          <t>ERROR FRECUENTE: son 2 días, ampliables en 2 más si hay desplazamiento, NO 5. El RDL 5/2023 separó el fallecimiento del accidente o enfermedad grave, que sí son 5 días.</t>
        </is>
      </c>
    </row>
    <row r="9" ht="62" customHeight="1">
      <c r="A9" s="9" t="n">
        <v>4</v>
      </c>
      <c r="B9" s="24" t="inlineStr">
        <is>
          <t>Accidente o enfermedad graves, hospitalización o intervención que precise reposo</t>
        </is>
      </c>
      <c r="C9" s="12" t="inlineStr">
        <is>
          <t>5 días</t>
        </is>
      </c>
      <c r="D9" s="12" t="inlineStr">
        <is>
          <t>Sí</t>
        </is>
      </c>
      <c r="E9" s="12" t="inlineStr">
        <is>
          <t>La persona trabajadora, avisando y justificándolo</t>
        </is>
      </c>
      <c r="F9" s="12" t="inlineStr">
        <is>
          <t>Art. 37.3.b ET</t>
        </is>
      </c>
      <c r="G9" s="12" t="inlineStr">
        <is>
          <t>Arts. 37.3.b), 37.3.b bis) y 37.9 ET</t>
        </is>
      </c>
      <c r="H9" s="12" t="inlineStr">
        <is>
          <t>https://www.boe.es/buscar/act.php?id=BOE-A-2015-11430</t>
        </is>
      </c>
      <c r="I9" s="12" t="inlineStr">
        <is>
          <t>MM-27</t>
        </is>
      </c>
      <c r="J9" s="12" t="inlineStr">
        <is>
          <t>Verificado el 04-09-2026 · Arts. 37.3.b), 37.3.b bis) y 37.9 ET · https://www.boe.es/buscar/act.php?id=BOE-A-2015-11430</t>
        </is>
      </c>
      <c r="K9" s="12" t="inlineStr">
        <is>
          <t>Cinco días. Alcanzan a la pareja de hecho y a cualquier conviviente que requiera cuidado efectivo.</t>
        </is>
      </c>
    </row>
    <row r="10" ht="62" customHeight="1">
      <c r="A10" s="9" t="n">
        <v>5</v>
      </c>
      <c r="B10" s="24" t="inlineStr">
        <is>
          <t>Fuerza mayor familiar</t>
        </is>
      </c>
      <c r="C10" s="12" t="inlineStr">
        <is>
          <t>Hasta 4 días al año, computados POR HORAS</t>
        </is>
      </c>
      <c r="D10" s="12" t="inlineStr">
        <is>
          <t>Sí</t>
        </is>
      </c>
      <c r="E10" s="12" t="inlineStr">
        <is>
          <t>La persona trabajadora, avisando lo antes posible</t>
        </is>
      </c>
      <c r="F10" s="12" t="inlineStr">
        <is>
          <t>Art. 37.9 ET</t>
        </is>
      </c>
      <c r="G10" s="12" t="inlineStr">
        <is>
          <t>Arts. 37.3.b), 37.3.b bis) y 37.9 ET</t>
        </is>
      </c>
      <c r="H10" s="12" t="inlineStr">
        <is>
          <t>https://www.boe.es/buscar/act.php?id=BOE-A-2015-11430</t>
        </is>
      </c>
      <c r="I10" s="12" t="inlineStr">
        <is>
          <t>MM-27</t>
        </is>
      </c>
      <c r="J10" s="12" t="inlineStr">
        <is>
          <t>Verificado el 04-09-2026 · Arts. 37.3.b), 37.3.b bis) y 37.9 ET · https://www.boe.es/buscar/act.php?id=BOE-A-2015-11430</t>
        </is>
      </c>
      <c r="K10" s="12" t="inlineStr">
        <is>
          <t>Hasta 4 días al año medidos en HORAS de ausencia, no en días completos.</t>
        </is>
      </c>
    </row>
    <row r="11" ht="62" customHeight="1">
      <c r="A11" s="9" t="n">
        <v>6</v>
      </c>
      <c r="B11" s="24" t="inlineStr">
        <is>
          <t>Permiso parental hasta los 8 años</t>
        </is>
      </c>
      <c r="C11" s="12" t="inlineStr">
        <is>
          <t>8 semanas NO retribuidas</t>
        </is>
      </c>
      <c r="D11" s="12" t="inlineStr">
        <is>
          <t>No</t>
        </is>
      </c>
      <c r="E11" s="12" t="inlineStr">
        <is>
          <t>La persona trabajadora, con el preaviso que fije el convenio</t>
        </is>
      </c>
      <c r="F11" s="12" t="inlineStr">
        <is>
          <t>Art. 48 bis ET</t>
        </is>
      </c>
      <c r="G11" s="12" t="inlineStr">
        <is>
          <t>Arts. 48 bis, 48.4.c), 45.1.o) y 45.2 ET (redacción del RDL 9/2025) y art. 177 LGSS</t>
        </is>
      </c>
      <c r="H11" s="12" t="inlineStr">
        <is>
          <t>https://www.boe.es/buscar/act.php?id=BOE-A-2015-11430</t>
        </is>
      </c>
      <c r="I11" s="12" t="inlineStr">
        <is>
          <t>MM-26</t>
        </is>
      </c>
      <c r="J11" s="12" t="inlineStr">
        <is>
          <t>Verificado el 04-09-2026 · Arts. 48 bis, 48.4.c), 45.1.o) y 45.2 ET (redacción del RDL 9/2025) y art. 177 LGSS · https://www.boe.es/buscar/act.php?id=BOE-A-2015-11430</t>
        </is>
      </c>
      <c r="K11" s="12" t="inlineStr">
        <is>
          <t>Art. 48 bis ET: hasta 8 semanas, continuas o discontinuas, hasta que el menor cumple ocho años; derecho individual e intransferible y NO RETRIBUIDO, porque el art. 45.1.o) lo tipifica como causa de SUSPENSIÓN del contrato y el art. 45.2 exonera de las obligaciones recíprocas de trabajar y remunerar. Tampoco hay prestación de la Seguridad Social que lo cubra. NO es lo mismo que las dos semanas de la fila siguiente.</t>
        </is>
      </c>
    </row>
    <row r="12" ht="62" customHeight="1">
      <c r="A12" s="9" t="n">
        <v>7</v>
      </c>
      <c r="B12" s="24" t="inlineStr">
        <is>
          <t>Permiso parental retribuido hasta los 8 años</t>
        </is>
      </c>
      <c r="C12" s="12" t="inlineStr">
        <is>
          <t>2 semanas retribuidas</t>
        </is>
      </c>
      <c r="D12" s="12" t="inlineStr">
        <is>
          <t>Sí</t>
        </is>
      </c>
      <c r="E12" s="12" t="inlineStr">
        <is>
          <t>La persona trabajadora; la prestación se solicita a la Seguridad Social</t>
        </is>
      </c>
      <c r="F12" s="12" t="inlineStr">
        <is>
          <t>Art. 48.4.c ET (RDL 9/2025); prestación del art. 177 LGSS</t>
        </is>
      </c>
      <c r="G12" s="12" t="inlineStr">
        <is>
          <t>Arts. 48 bis, 48.4.c), 45.1.o) y 45.2 ET (redacción del RDL 9/2025) y art. 177 LGSS</t>
        </is>
      </c>
      <c r="H12" s="12" t="inlineStr">
        <is>
          <t>https://www.boe.es/buscar/act.php?id=BOE-A-2015-11430</t>
        </is>
      </c>
      <c r="I12" s="12" t="inlineStr">
        <is>
          <t>MM-26</t>
        </is>
      </c>
      <c r="J12" s="12" t="inlineStr">
        <is>
          <t>Verificado el 04-09-2026 · Arts. 48 bis, 48.4.c), 45.1.o) y 45.2 ET (redacción del RDL 9/2025) y art. 177 LGSS · https://www.boe.es/buscar/act.php?id=BOE-A-2015-11430</t>
        </is>
      </c>
      <c r="K12" s="12" t="inlineStr">
        <is>
          <t>Art. 48.4.c) ET: dos semanas, cuatro en monoparentalidad. Desde el RDL 9/2025 forman parte del permiso por nacimiento. También llegan hasta los ocho años y también son derecho individual e intransferible, pero SÍ ESTÁN RETRIBUIDAS: el art. 177 LGSS declara situación protegida los descansos de los apartados 4, 5 y 6 del art. 48 ET. Denegarlas o descontarlas confundiéndolas con el permiso parental del art. 48 bis es negar un derecho retribuido.</t>
        </is>
      </c>
    </row>
    <row r="13" ht="62" customHeight="1">
      <c r="A13" s="9" t="n">
        <v>8</v>
      </c>
      <c r="B13" s="24" t="inlineStr">
        <is>
          <t>Nacimiento y cuidado de menor</t>
        </is>
      </c>
      <c r="C13" s="12" t="inlineStr">
        <is>
          <t>19 semanas por progenitor (32 en monoparentalidad)</t>
        </is>
      </c>
      <c r="D13" s="12" t="inlineStr">
        <is>
          <t>Sí</t>
        </is>
      </c>
      <c r="E13" s="12" t="inlineStr">
        <is>
          <t>La persona trabajadora, con quince días de preaviso a la empresa</t>
        </is>
      </c>
      <c r="F13" s="12" t="inlineStr">
        <is>
          <t>Art. 48.4 ET (RDL 9/2025)</t>
        </is>
      </c>
      <c r="G13" s="12" t="inlineStr">
        <is>
          <t>Arts. 48.4 y 48.5 ET, redacción del art. 1 del RDL 9/2025, de 29 de julio</t>
        </is>
      </c>
      <c r="H13" s="12" t="inlineStr">
        <is>
          <t>https://www.boe.es/buscar/act.php?id=BOE-A-2015-11430</t>
        </is>
      </c>
      <c r="I13" s="12" t="inlineStr">
        <is>
          <t>MM-54</t>
        </is>
      </c>
      <c r="J13" s="12" t="inlineStr">
        <is>
          <t>Verificado el 04-09-2026 · Arts. 48.4 y 48.5 ET, redacción del art. 1 del RDL 9/2025, de 29 de julio · https://www.boe.es/buscar/act.php?id=BOE-A-2015-11430</t>
        </is>
      </c>
      <c r="K13" s="12" t="inlineStr">
        <is>
          <t>Diecinueve semanas por progenitor desde el RDL 9/2025 (32 en monoparentalidad), no 16: 6 obligatorias e ininterrumpidas tras el parto, 11 distribuibles hasta los doce meses y 2 para el cuidado del menor hasta los ocho años. En adopción, guarda con fines de adopción y acogimiento, también 19 semanas por persona adoptante.</t>
        </is>
      </c>
    </row>
    <row r="14" ht="62" customHeight="1">
      <c r="A14" s="9" t="n">
        <v>9</v>
      </c>
      <c r="B14" s="24" t="inlineStr">
        <is>
          <t>Guarda legal: reducción de jornada</t>
        </is>
      </c>
      <c r="C14" s="12" t="inlineStr">
        <is>
          <t>La concreción horaria la elige la persona trabajadora dentro de su jornada ordinaria</t>
        </is>
      </c>
      <c r="D14" s="12" t="inlineStr">
        <is>
          <t>No</t>
        </is>
      </c>
      <c r="E14" s="12" t="inlineStr">
        <is>
          <t>La persona trabajadora elige la concreción horaria dentro de su jornada ordinaria</t>
        </is>
      </c>
      <c r="F14" s="12" t="inlineStr">
        <is>
          <t>Art. 37.6 y 37.7 ET</t>
        </is>
      </c>
      <c r="G14" s="12" t="inlineStr">
        <is>
          <t>Art. 37.6 y 37.7 ET — Estatuto de los Trabajadores (RDLeg 2/2015)</t>
        </is>
      </c>
      <c r="H14" s="12" t="inlineStr">
        <is>
          <t>https://www.boe.es/buscar/act.php?id=BOE-A-2015-11430</t>
        </is>
      </c>
      <c r="I14" s="12" t="inlineStr"/>
      <c r="J14" s="12" t="inlineStr">
        <is>
          <t>Verificado el 04-09-2026 · Art. 37.6 y 37.7 ET — Estatuto de los Trabajadores (RDLeg 2/2015) · https://www.boe.es/buscar/act.php?id=BOE-A-2015-11430</t>
        </is>
      </c>
      <c r="K14" s="12" t="inlineStr">
        <is>
          <t>No es un permiso retribuido: es una reducción de jornada con reducción proporcional del salario. Quien elige el horario dentro de su jornada ordinaria es la persona trabajadora.</t>
        </is>
      </c>
    </row>
    <row r="15" ht="62" customHeight="1">
      <c r="A15" s="9" t="n">
        <v>10</v>
      </c>
      <c r="B15" s="24" t="inlineStr">
        <is>
          <t>Adaptación de jornada por conciliación</t>
        </is>
      </c>
      <c r="C15" s="12" t="inlineStr">
        <is>
          <t>Si la empresa no contesta en el plazo legal, se entiende CONCEDIDA</t>
        </is>
      </c>
      <c r="D15" s="12" t="inlineStr">
        <is>
          <t>No aplica</t>
        </is>
      </c>
      <c r="E15" s="12" t="inlineStr">
        <is>
          <t>La persona trabajadora, por escrito</t>
        </is>
      </c>
      <c r="F15" s="12" t="inlineStr">
        <is>
          <t>Art. 34.8 ET</t>
        </is>
      </c>
      <c r="G15" s="12" t="inlineStr">
        <is>
          <t>Art. 34.8 ET — Estatuto de los Trabajadores (RDLeg 2/2015)</t>
        </is>
      </c>
      <c r="H15" s="12" t="inlineStr">
        <is>
          <t>https://www.boe.es/buscar/act.php?id=BOE-A-2015-11430</t>
        </is>
      </c>
      <c r="I15" s="12" t="inlineStr"/>
      <c r="J15" s="12" t="inlineStr">
        <is>
          <t>Verificado el 04-09-2026 · Art. 34.8 ET — Estatuto de los Trabajadores (RDLeg 2/2015) · https://www.boe.es/buscar/act.php?id=BOE-A-2015-11430</t>
        </is>
      </c>
      <c r="K15" s="12" t="inlineStr">
        <is>
          <t>Si la empresa no contesta dentro del plazo legal, la adaptación se entiende CONCEDIDA. No confundir con la reducción por guarda legal: aquí no se reduce la jornada ni el salario, se cambia su distribución.</t>
        </is>
      </c>
    </row>
    <row r="16"/>
    <row r="17">
      <c r="A17" s="13" t="inlineStr">
        <is>
          <t>RESUMEN — lo calcula el libro</t>
        </is>
      </c>
    </row>
    <row r="18">
      <c r="B18" t="inlineStr">
        <is>
          <t>Figuras recogidas</t>
        </is>
      </c>
      <c r="D18" s="9">
        <f>COUNTIF($B$6:$B$15,"&lt;&gt;")</f>
        <v>10.0</v>
      </c>
    </row>
    <row r="19">
      <c r="B19" t="inlineStr">
        <is>
          <t>Retribuidas</t>
        </is>
      </c>
      <c r="D19" s="9">
        <f>COUNTIF($D$6:$D$15,"Sí")</f>
        <v>6.0</v>
      </c>
    </row>
    <row r="20">
      <c r="B20" t="inlineStr">
        <is>
          <t>No retribuidas</t>
        </is>
      </c>
      <c r="D20" s="9">
        <f>COUNTIF($D$6:$D$15,"No")</f>
        <v>2.0</v>
      </c>
    </row>
    <row r="21"/>
    <row r="22" ht="44" customHeight="1">
      <c r="B22" s="6" t="inlineStr">
        <is>
          <t>Los días de permiso del Estatuto son MÍNIMOS: tu convenio provincial puede mejorarlos, nunca empeorarlos. Y la duración de los permisos por fallecimiento y por enfermedad grave se cuenta en días hábiles o naturales según lo diga el convenio: compruébalo antes de descontar un día.</t>
        </is>
      </c>
    </row>
  </sheetData>
  <sheetProtection selectLockedCells="0" selectUnlockedCells="0" sheet="1" objects="0" insertRows="0" insertHyperlinks="1" autoFilter="1" scenarios="0" formatColumns="0" deleteColumns="1" insertColumns="1" pivotTables="1" deleteRows="1" formatCells="1" formatRows="0" sort="0"/>
  <conditionalFormatting sqref="D6:D15">
    <cfRule type="cellIs" priority="1" operator="equal" dxfId="3" stopIfTrue="1">
      <formula>"Sí"</formula>
    </cfRule>
    <cfRule type="cellIs" priority="2" operator="equal" dxfId="2" stopIfTrue="1">
      <formula>"No"</formula>
    </cfRule>
    <cfRule type="cellIs" priority="3" operator="equal" dxfId="0" stopIfTrue="1">
      <formula>"No aplica"</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5" customWidth="1" min="3" max="3"/>
    <col width="12" customWidth="1" min="4" max="4"/>
    <col width="44" customWidth="1" min="5" max="5"/>
    <col width="42" customWidth="1" min="6" max="6"/>
    <col width="32" customWidth="1" min="7" max="7"/>
    <col width="42" customWidth="1" min="8" max="8"/>
    <col width="46" customWidth="1" min="9" max="9"/>
    <col width="8" customWidth="1" min="10" max="10"/>
    <col width="56" customWidth="1" min="11" max="11"/>
    <col width="60" customWidth="1" min="12" max="12"/>
  </cols>
  <sheetData>
    <row r="1">
      <c r="A1" s="1" t="inlineStr">
        <is>
          <t>Régimen disciplinario del ALEH VI — qué es falta y qué no</t>
        </is>
      </c>
    </row>
    <row r="2">
      <c r="A2" s="2" t="inlineStr">
        <is>
          <t>AI Chef Pro · aichef.pro — Manual del Manager de Restaurante</t>
        </is>
      </c>
    </row>
    <row r="3">
      <c r="E3" s="6" t="inlineStr">
        <is>
          <t>Modificación del ALEH VI publicada el 04-09-2026 (BOE-A-2026-18630), vigente hasta el 31-12-2030. Este cuadro recoge la TIPIFICACIÓN de las faltas, no la graduación de la sanción.</t>
        </is>
      </c>
    </row>
    <row r="4"/>
    <row r="5" ht="42" customHeight="1">
      <c r="A5" s="8" t="inlineStr">
        <is>
          <t>#</t>
        </is>
      </c>
      <c r="B5" s="8" t="inlineStr">
        <is>
          <t>Falta o figura</t>
        </is>
      </c>
      <c r="C5" s="8" t="inlineStr">
        <is>
          <t>Tipo</t>
        </is>
      </c>
      <c r="D5" s="8" t="inlineStr">
        <is>
          <t>Gravedad</t>
        </is>
      </c>
      <c r="E5" s="8" t="inlineStr">
        <is>
          <t>Umbral o detalle</t>
        </is>
      </c>
      <c r="F5" s="8" t="inlineStr">
        <is>
          <t>Sanción posible (escala del ALEH VI)</t>
        </is>
      </c>
      <c r="G5" s="8" t="inlineStr">
        <is>
          <t>Artículo</t>
        </is>
      </c>
      <c r="H5" s="8" t="inlineStr">
        <is>
          <t>Fuente (norma)</t>
        </is>
      </c>
      <c r="I5" s="8" t="inlineStr">
        <is>
          <t>URL</t>
        </is>
      </c>
      <c r="J5" s="8" t="inlineStr">
        <is>
          <t>Ref.</t>
        </is>
      </c>
      <c r="K5" s="8" t="inlineStr">
        <is>
          <t>Verificación</t>
        </is>
      </c>
      <c r="L5" s="8" t="inlineStr">
        <is>
          <t>Nota</t>
        </is>
      </c>
    </row>
    <row r="6" ht="62" customHeight="1">
      <c r="A6" s="9" t="n">
        <v>1</v>
      </c>
      <c r="B6" s="24" t="inlineStr">
        <is>
          <t>Falta LEVE: no registrar la jornada</t>
        </is>
      </c>
      <c r="C6" s="12" t="inlineStr">
        <is>
          <t>Falta</t>
        </is>
      </c>
      <c r="D6" s="12" t="inlineStr">
        <is>
          <t>Leve</t>
        </is>
      </c>
      <c r="E6" s="12" t="inlineStr">
        <is>
          <t>2 incumplimientos en un mes</t>
        </is>
      </c>
      <c r="F6" s="12" t="inlineStr">
        <is>
          <t>Amonestación verbal o escrita</t>
        </is>
      </c>
      <c r="G6" s="12" t="inlineStr">
        <is>
          <t>Art. 38.10 ALEH VI (BOE-A-2026-18630)</t>
        </is>
      </c>
      <c r="H6" s="12" t="inlineStr">
        <is>
          <t>ALEH VI, modificación publicada por Resolución de la DGT de 25-08-2026 (BOE-A-2026-18630)</t>
        </is>
      </c>
      <c r="I6" s="12" t="inlineStr">
        <is>
          <t>https://www.boe.es/diario_boe/txt.php?id=BOE-A-2026-18630</t>
        </is>
      </c>
      <c r="J6" s="12" t="inlineStr"/>
      <c r="K6" s="12" t="inlineStr">
        <is>
          <t>Verificado el 04-09-2026 · ALEH VI, modificación publicada por Resolución de la DGT de 25-08-2026 (BOE-A-2026-18630) · https://www.boe.es/diario_boe/txt.php?id=BOE-A-2026-18630</t>
        </is>
      </c>
      <c r="L6" s="12" t="inlineStr">
        <is>
          <t>Novedad de la modificación del ALEH VI publicada el 04-09-2026: el incumplimiento del registro de jornada se tipifica por ESCALA. Dos incumplimientos en un mes son falta leve.</t>
        </is>
      </c>
    </row>
    <row r="7" ht="62" customHeight="1">
      <c r="A7" s="9" t="n">
        <v>2</v>
      </c>
      <c r="B7" s="24" t="inlineStr">
        <is>
          <t>Falta LEVE: uso no autorizado del móvil durante el servicio</t>
        </is>
      </c>
      <c r="C7" s="12" t="inlineStr">
        <is>
          <t>Falta</t>
        </is>
      </c>
      <c r="D7" s="12" t="inlineStr">
        <is>
          <t>Leve</t>
        </is>
      </c>
      <c r="E7" s="12" t="inlineStr"/>
      <c r="F7" s="12" t="inlineStr">
        <is>
          <t>Amonestación verbal o escrita</t>
        </is>
      </c>
      <c r="G7" s="12" t="inlineStr">
        <is>
          <t>Art. 38.12 ALEH VI</t>
        </is>
      </c>
      <c r="H7" s="12" t="inlineStr">
        <is>
          <t>ALEH VI, modificación publicada por Resolución de la DGT de 25-08-2026 (BOE-A-2026-18630)</t>
        </is>
      </c>
      <c r="I7" s="12" t="inlineStr">
        <is>
          <t>https://www.boe.es/diario_boe/txt.php?id=BOE-A-2026-18630</t>
        </is>
      </c>
      <c r="J7" s="12" t="inlineStr"/>
      <c r="K7" s="12" t="inlineStr">
        <is>
          <t>Verificado el 04-09-2026 · ALEH VI, modificación publicada por Resolución de la DGT de 25-08-2026 (BOE-A-2026-18630) · https://www.boe.es/diario_boe/txt.php?id=BOE-A-2026-18630</t>
        </is>
      </c>
      <c r="L7" s="12" t="inlineStr">
        <is>
          <t>Novedad de la modificación del 04-09-2026. Para poder sancionar hace falta que la norma de uso del móvil esté comunicada por escrito a la plantilla.</t>
        </is>
      </c>
    </row>
    <row r="8" ht="62" customHeight="1">
      <c r="A8" s="9" t="n">
        <v>3</v>
      </c>
      <c r="B8" s="24" t="inlineStr">
        <is>
          <t>Falta GRAVE: no registrar la jornada</t>
        </is>
      </c>
      <c r="C8" s="12" t="inlineStr">
        <is>
          <t>Falta</t>
        </is>
      </c>
      <c r="D8" s="12" t="inlineStr">
        <is>
          <t>Grave</t>
        </is>
      </c>
      <c r="E8" s="12" t="inlineStr">
        <is>
          <t>3 o 4 incumplimientos en un mes</t>
        </is>
      </c>
      <c r="F8" s="12" t="inlineStr">
        <is>
          <t>Suspensión de empleo y sueldo, según la escala de sanciones del ALEH VI</t>
        </is>
      </c>
      <c r="G8" s="12" t="inlineStr">
        <is>
          <t>Art. 39.21 ALEH VI</t>
        </is>
      </c>
      <c r="H8" s="12" t="inlineStr">
        <is>
          <t>ALEH VI, modificación publicada por Resolución de la DGT de 25-08-2026 (BOE-A-2026-18630)</t>
        </is>
      </c>
      <c r="I8" s="12" t="inlineStr">
        <is>
          <t>https://www.boe.es/diario_boe/txt.php?id=BOE-A-2026-18630</t>
        </is>
      </c>
      <c r="J8" s="12" t="inlineStr"/>
      <c r="K8" s="12" t="inlineStr">
        <is>
          <t>Verificado el 04-09-2026 · ALEH VI, modificación publicada por Resolución de la DGT de 25-08-2026 (BOE-A-2026-18630) · https://www.boe.es/diario_boe/txt.php?id=BOE-A-2026-18630</t>
        </is>
      </c>
      <c r="L8" s="12" t="inlineStr">
        <is>
          <t>Tres o cuatro incumplimientos en un mes. La escala sube desde la falta leve de dos.</t>
        </is>
      </c>
    </row>
    <row r="9" ht="62" customHeight="1">
      <c r="A9" s="9" t="n">
        <v>4</v>
      </c>
      <c r="B9" s="24" t="inlineStr">
        <is>
          <t>Falta GRAVE: fumar en zonas no permitidas</t>
        </is>
      </c>
      <c r="C9" s="12" t="inlineStr">
        <is>
          <t>Falta</t>
        </is>
      </c>
      <c r="D9" s="12" t="inlineStr">
        <is>
          <t>Grave</t>
        </is>
      </c>
      <c r="E9" s="12" t="inlineStr"/>
      <c r="F9" s="12" t="inlineStr">
        <is>
          <t>Suspensión de empleo y sueldo, según la escala de sanciones del ALEH VI</t>
        </is>
      </c>
      <c r="G9" s="12" t="inlineStr">
        <is>
          <t>Art. 39.20 ALEH VI</t>
        </is>
      </c>
      <c r="H9" s="12" t="inlineStr">
        <is>
          <t>ALEH VI, modificación publicada por Resolución de la DGT de 25-08-2026 (BOE-A-2026-18630)</t>
        </is>
      </c>
      <c r="I9" s="12" t="inlineStr">
        <is>
          <t>https://www.boe.es/diario_boe/txt.php?id=BOE-A-2026-18630</t>
        </is>
      </c>
      <c r="J9" s="12" t="inlineStr"/>
      <c r="K9" s="12" t="inlineStr">
        <is>
          <t>Verificado el 04-09-2026 · ALEH VI, modificación publicada por Resolución de la DGT de 25-08-2026 (BOE-A-2026-18630) · https://www.boe.es/diario_boe/txt.php?id=BOE-A-2026-18630</t>
        </is>
      </c>
      <c r="L9" s="12" t="inlineStr">
        <is>
          <t>Novedad de la modificación del 04-09-2026. Recuerda que una terraza es legalmente espacio al aire libre sólo si tiene como máximo dos paredes (Ley 28/2005, art. 2.2).</t>
        </is>
      </c>
    </row>
    <row r="10" ht="62" customHeight="1">
      <c r="A10" s="9" t="n">
        <v>5</v>
      </c>
      <c r="B10" s="24" t="inlineStr">
        <is>
          <t>Falta MUY GRAVE: no registrar la jornada</t>
        </is>
      </c>
      <c r="C10" s="12" t="inlineStr">
        <is>
          <t>Falta</t>
        </is>
      </c>
      <c r="D10" s="12" t="inlineStr">
        <is>
          <t>Muy grave</t>
        </is>
      </c>
      <c r="E10" s="12" t="inlineStr">
        <is>
          <t>5 o más incumplimientos en un mes</t>
        </is>
      </c>
      <c r="F10" s="12" t="inlineStr">
        <is>
          <t>Suspensión de empleo y sueldo o despido disciplinario, según la escala de sanciones del ALEH VI</t>
        </is>
      </c>
      <c r="G10" s="12" t="inlineStr">
        <is>
          <t>Art. 40.14 ALEH VI</t>
        </is>
      </c>
      <c r="H10" s="12" t="inlineStr">
        <is>
          <t>ALEH VI, modificación publicada por Resolución de la DGT de 25-08-2026 (BOE-A-2026-18630)</t>
        </is>
      </c>
      <c r="I10" s="12" t="inlineStr">
        <is>
          <t>https://www.boe.es/diario_boe/txt.php?id=BOE-A-2026-18630</t>
        </is>
      </c>
      <c r="J10" s="12" t="inlineStr"/>
      <c r="K10" s="12" t="inlineStr">
        <is>
          <t>Verificado el 04-09-2026 · ALEH VI, modificación publicada por Resolución de la DGT de 25-08-2026 (BOE-A-2026-18630) · https://www.boe.es/diario_boe/txt.php?id=BOE-A-2026-18630</t>
        </is>
      </c>
      <c r="L10" s="12" t="inlineStr">
        <is>
          <t>Cinco o más incumplimientos en un mes. Es el tramo más alto de la escala del registro de jornada.</t>
        </is>
      </c>
    </row>
    <row r="11" ht="62" customHeight="1">
      <c r="A11" s="9" t="n">
        <v>6</v>
      </c>
      <c r="B11" s="24" t="inlineStr">
        <is>
          <t>Audiencia previa al despido disciplinario</t>
        </is>
      </c>
      <c r="C11" s="12" t="inlineStr">
        <is>
          <t>Procedimiento</t>
        </is>
      </c>
      <c r="D11" s="12" t="inlineStr"/>
      <c r="E11" s="12" t="inlineStr">
        <is>
          <t>2 días para contestar; si se aparta del servicio, con permiso retribuido</t>
        </is>
      </c>
      <c r="F11" s="12" t="inlineStr"/>
      <c r="G11" s="12" t="inlineStr">
        <is>
          <t>Art. 41.3 ALEH VI, con su excepción, y remisión al art. 55.1 ET</t>
        </is>
      </c>
      <c r="H11" s="12" t="inlineStr">
        <is>
          <t>Art. 41.3 del ALEH VI, modificación publicada por Resolución de la DGT de 25-08-2026 (BOE-A-2026-18630)</t>
        </is>
      </c>
      <c r="I11" s="12" t="inlineStr">
        <is>
          <t>https://www.boe.es/diario_boe/txt.php?id=BOE-A-2026-18630</t>
        </is>
      </c>
      <c r="J11" s="12" t="inlineStr">
        <is>
          <t>MM-13</t>
        </is>
      </c>
      <c r="K11" s="12" t="inlineStr">
        <is>
          <t>Verificado el 04-09-2026 · Art. 41.3 del ALEH VI, modificación publicada por Resolución de la DGT de 25-08-2026 (BOE-A-2026-18630) · https://www.boe.es/diario_boe/txt.php?id=BOE-A-2026-18630</t>
        </is>
      </c>
      <c r="L11" s="12" t="inlineStr">
        <is>
          <t>En vigor desde el 4 de septiembre de 2026 y hasta el 31 de diciembre de 2030. Antes de entregar la carta hay que informar a la persona de los hechos que se le imputan y de su posible calificación jurídica, y darle 2 días para contestar. La norma trae una EXCEPCIÓN («a menos que no pueda pedirse razonablemente a la empresa que le conceda esta posibilidad») y una REMISIÓN: la audiencia previa NO sustituye al resto de obligaciones del art. 55.1 ET para representantes y afiliados, se SUMA a ellas. Si se aparta del servicio a la persona durante esos días, son permiso retribuido. Incorpora la STS 1250/2024, de 18 de noviembre, sobre el art. 7 del Convenio 158 OIT.</t>
        </is>
      </c>
    </row>
    <row r="12" ht="62" customHeight="1">
      <c r="A12" s="9" t="n">
        <v>7</v>
      </c>
      <c r="B12" s="24" t="inlineStr">
        <is>
          <t>Vigencia de la modificación del ALEH VI</t>
        </is>
      </c>
      <c r="C12" s="12" t="inlineStr">
        <is>
          <t>Vigencia</t>
        </is>
      </c>
      <c r="D12" s="12" t="inlineStr"/>
      <c r="E12" s="12" t="inlineStr">
        <is>
          <t>Del 04-09-2026 al 31-12-2030</t>
        </is>
      </c>
      <c r="F12" s="12" t="inlineStr"/>
      <c r="G12" s="12" t="inlineStr">
        <is>
          <t>BOE-A-2026-18630</t>
        </is>
      </c>
      <c r="H12" s="12" t="inlineStr">
        <is>
          <t>Art. 41.3 del ALEH VI, modificación publicada por Resolución de la DGT de 25-08-2026 (BOE-A-2026-18630)</t>
        </is>
      </c>
      <c r="I12" s="12" t="inlineStr">
        <is>
          <t>https://www.boe.es/diario_boe/txt.php?id=BOE-A-2026-18630</t>
        </is>
      </c>
      <c r="J12" s="12" t="inlineStr">
        <is>
          <t>MM-13</t>
        </is>
      </c>
      <c r="K12" s="12" t="inlineStr">
        <is>
          <t>Verificado el 04-09-2026 · Art. 41.3 del ALEH VI, modificación publicada por Resolución de la DGT de 25-08-2026 (BOE-A-2026-18630) · https://www.boe.es/diario_boe/txt.php?id=BOE-A-2026-18630</t>
        </is>
      </c>
      <c r="L12" s="12" t="inlineStr">
        <is>
          <t>La modificación se publicó en el BOE número 219, de 4 de septiembre de 2026, y su vigencia acordada llega hasta el 31 de diciembre de 2030. Antes de aplicar una sanción, comprueba que sigue vigente.</t>
        </is>
      </c>
    </row>
    <row r="13" ht="62" customHeight="1">
      <c r="A13" s="9" t="n">
        <v>8</v>
      </c>
      <c r="B13" s="24" t="inlineStr">
        <is>
          <t>Indemnización por despido objetivo</t>
        </is>
      </c>
      <c r="C13" s="12" t="inlineStr">
        <is>
          <t>Indemnización</t>
        </is>
      </c>
      <c r="D13" s="12" t="inlineStr"/>
      <c r="E13" s="12" t="inlineStr">
        <is>
          <t>20 días por año, tope de 12 mensualidades, a disposición con la carta</t>
        </is>
      </c>
      <c r="F13" s="12" t="inlineStr"/>
      <c r="G13" s="12" t="inlineStr">
        <is>
          <t>Art. 53 ET</t>
        </is>
      </c>
      <c r="H13" s="12" t="inlineStr">
        <is>
          <t>Arts. 53.1, 56.1 y DT 11ª ET</t>
        </is>
      </c>
      <c r="I13" s="12" t="inlineStr">
        <is>
          <t>https://www.boe.es/buscar/act.php?id=BOE-A-2015-11430</t>
        </is>
      </c>
      <c r="J13" s="12" t="inlineStr">
        <is>
          <t>MM-12</t>
        </is>
      </c>
      <c r="K13" s="12" t="inlineStr">
        <is>
          <t>Verificado el 04-09-2026 · Arts. 53.1, 56.1 y DT 11ª ET · https://www.boe.es/buscar/act.php?id=BOE-A-2015-11430</t>
        </is>
      </c>
      <c r="L13" s="12" t="inlineStr">
        <is>
          <t>Veinte días por año con tope de 12 mensualidades, puestos a disposición SIMULTÁNEAMENTE a la entrega de la carta y con preaviso de 15 días. No ponerla a disposición a la vez que la carta es el error que más despidos objetivos convierte en improcedentes.</t>
        </is>
      </c>
    </row>
    <row r="14" ht="62" customHeight="1">
      <c r="A14" s="9" t="n">
        <v>9</v>
      </c>
      <c r="B14" s="24" t="inlineStr">
        <is>
          <t>Indemnización por despido improcedente</t>
        </is>
      </c>
      <c r="C14" s="12" t="inlineStr">
        <is>
          <t>Indemnización</t>
        </is>
      </c>
      <c r="D14" s="12" t="inlineStr"/>
      <c r="E14" s="12" t="inlineStr">
        <is>
          <t>33 días por año, tope de 24 mensualidades</t>
        </is>
      </c>
      <c r="F14" s="12" t="inlineStr"/>
      <c r="G14" s="12" t="inlineStr">
        <is>
          <t>Art. 56 ET</t>
        </is>
      </c>
      <c r="H14" s="12" t="inlineStr">
        <is>
          <t>Arts. 53.1, 56.1 y DT 11ª ET</t>
        </is>
      </c>
      <c r="I14" s="12" t="inlineStr">
        <is>
          <t>https://www.boe.es/buscar/act.php?id=BOE-A-2015-11430</t>
        </is>
      </c>
      <c r="J14" s="12" t="inlineStr">
        <is>
          <t>MM-12</t>
        </is>
      </c>
      <c r="K14" s="12" t="inlineStr">
        <is>
          <t>Verificado el 04-09-2026 · Arts. 53.1, 56.1 y DT 11ª ET · https://www.boe.es/buscar/act.php?id=BOE-A-2015-11430</t>
        </is>
      </c>
      <c r="L14" s="12" t="inlineStr">
        <is>
          <t>Treinta y tres días por año con tope de 24 mensualidades. Los contratos anteriores al 12 de febrero de 2012 llevan 45 días por el tramo previo más 33 por el posterior, con tope de 720 días.</t>
        </is>
      </c>
    </row>
    <row r="15" ht="62" customHeight="1">
      <c r="A15" s="9" t="n">
        <v>10</v>
      </c>
      <c r="B15" s="24" t="inlineStr">
        <is>
          <t>Periodo de prueba en hostelería</t>
        </is>
      </c>
      <c r="C15" s="12" t="inlineStr">
        <is>
          <t>Contratación</t>
        </is>
      </c>
      <c r="D15" s="12" t="inlineStr"/>
      <c r="E15" s="12" t="inlineStr">
        <is>
          <t>90 / 60 / 45 días naturales según grupo; el convenio provincial no lo puede modificar</t>
        </is>
      </c>
      <c r="F15" s="12" t="inlineStr"/>
      <c r="G15" s="12" t="inlineStr">
        <is>
          <t>ALEH VI</t>
        </is>
      </c>
      <c r="H15" s="12" t="inlineStr">
        <is>
          <t>Art. 21 ALEH VI y art. 14 ET</t>
        </is>
      </c>
      <c r="I15" s="12" t="inlineStr">
        <is>
          <t>https://www.boe.es/diario_boe/txt.php?id=BOE-A-2023-6344</t>
        </is>
      </c>
      <c r="J15" s="12" t="inlineStr">
        <is>
          <t>MM-11</t>
        </is>
      </c>
      <c r="K15" s="12" t="inlineStr">
        <is>
          <t>Verificado el 04-09-2026 · Art. 21 ALEH VI y art. 14 ET · https://www.boe.es/diario_boe/txt.php?id=BOE-A-2023-6344</t>
        </is>
      </c>
      <c r="L15" s="12" t="inlineStr">
        <is>
          <t>Lo fija el ALEH estatal y el convenio provincial NO lo puede modificar. Indefinido: 90, 60 o 45 días naturales según grupo profesional; temporal de más de 3 meses: 75, 45 o 30; temporal de hasta 3 meses: 60, 30 o 15. Es NULO si la persona ya desempeñó las mismas funciones en la empresa.</t>
        </is>
      </c>
    </row>
    <row r="16"/>
    <row r="17">
      <c r="A17" s="13" t="inlineStr">
        <is>
          <t>RESUMEN Y VIGENCIA — lo calcula el libro</t>
        </is>
      </c>
    </row>
    <row r="18">
      <c r="B18" t="inlineStr">
        <is>
          <t>Filas del cuadro</t>
        </is>
      </c>
      <c r="E18" s="9">
        <f>COUNTIF($B$6:$B$15,"&lt;&gt;")</f>
        <v>10.0</v>
      </c>
    </row>
    <row r="19">
      <c r="B19" t="inlineStr">
        <is>
          <t>Faltas leves tipificadas</t>
        </is>
      </c>
      <c r="E19" s="9">
        <f>COUNTIF($D$6:$D$15,"Leve")</f>
        <v>2.0</v>
      </c>
    </row>
    <row r="20">
      <c r="B20" t="inlineStr">
        <is>
          <t>Faltas graves tipificadas</t>
        </is>
      </c>
      <c r="E20" s="9">
        <f>COUNTIF($D$6:$D$15,"Grave")</f>
        <v>2.0</v>
      </c>
    </row>
    <row r="21">
      <c r="B21" t="inlineStr">
        <is>
          <t>Faltas muy graves tipificadas</t>
        </is>
      </c>
      <c r="E21" s="9">
        <f>COUNTIF($D$6:$D$15,"Muy grave")</f>
        <v>1.0</v>
      </c>
    </row>
    <row r="22"/>
    <row r="23">
      <c r="B23" t="inlineStr">
        <is>
          <t>Vigencia de la modificación del ALEH VI: desde</t>
        </is>
      </c>
      <c r="E23" s="7" t="n">
        <v>46269</v>
      </c>
      <c r="G23" s="4" t="inlineStr">
        <is>
          <t>BOE-A-2026-18630, BOE número 219 de 4 de septiembre de 2026.</t>
        </is>
      </c>
    </row>
    <row r="24">
      <c r="B24" t="inlineStr">
        <is>
          <t>Vigencia de la modificación del ALEH VI: hasta</t>
        </is>
      </c>
      <c r="E24" s="7" t="n">
        <v>47848</v>
      </c>
      <c r="G24" s="4" t="inlineStr">
        <is>
          <t>Vigencia acordada del ALEH VI. Pasada esa fecha, comprueba el texto nuevo antes de aplicar nada de este cuadro.</t>
        </is>
      </c>
    </row>
    <row r="25">
      <c r="B25" s="13" t="inlineStr">
        <is>
          <t>Días de vigencia que quedan</t>
        </is>
      </c>
      <c r="E25" s="27">
        <f>IFERROR(IF(OR($E$24="",'Calendario y Vencimientos'!$C$5=""),"",$E$24-'Calendario y Vencimientos'!$C$5),"")</f>
        <v>1578.0</v>
      </c>
    </row>
    <row r="26"/>
    <row r="27" ht="44" customHeight="1">
      <c r="B27" s="6" t="inlineStr">
        <is>
          <t>La escala concreta de días de suspensión de empleo y sueldo la fija el capítulo de régimen disciplinario del ALEH VI y, en su caso, el convenio provincial. Antes de sancionar a nadie: audiencia previa, carta con los hechos y su calificación, y asesoría. Una sanción mal instruida se anula entera.</t>
        </is>
      </c>
    </row>
  </sheetData>
  <sheetProtection selectLockedCells="0" selectUnlockedCells="0" sheet="1" objects="0" insertRows="0" insertHyperlinks="1" autoFilter="1" scenarios="0" formatColumns="0" deleteColumns="1" insertColumns="1" pivotTables="1" deleteRows="1" formatCells="1" formatRows="0" sort="0"/>
  <conditionalFormatting sqref="D6:D15">
    <cfRule type="cellIs" priority="1" operator="equal" dxfId="1" stopIfTrue="1">
      <formula>"Muy grave"</formula>
    </cfRule>
    <cfRule type="cellIs" priority="2" operator="equal" dxfId="2" stopIfTrue="1">
      <formula>"Grave"</formula>
    </cfRule>
    <cfRule type="cellIs" priority="3" operator="equal" dxfId="0" stopIfTrue="1">
      <formula>"Leve"</formula>
    </cfRule>
  </conditionalFormatting>
  <conditionalFormatting sqref="E25">
    <cfRule type="expression" priority="4" dxfId="1" stopIfTrue="1">
      <formula>=AND(ISNUMBER($E$25),$E$25&lt;0)</formula>
    </cfRule>
  </conditionalFormatting>
  <dataValidations count="1">
    <dataValidation sqref="E23 E2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Calendario de Cumplimiento Legal</dc:title>
  <dc:subject xmlns:dc="http://purl.org/dc/elements/1.1/">Manual del Manager de Restaurante · v1.0 · septiembre 2026</dc:subject>
  <dcterms:created xmlns:dcterms="http://purl.org/dc/terms/" xmlns:xsi="http://www.w3.org/2001/XMLSchema-instance" xsi:type="dcterms:W3CDTF">2026-09-04T22:09:20Z</dcterms:created>
  <dcterms:modified xmlns:dcterms="http://purl.org/dc/terms/" xmlns:xsi="http://www.w3.org/2001/XMLSchema-instance" xsi:type="dcterms:W3CDTF">2026-09-04T22:09:21Z</dcterms:modified>
  <cp:lastModifiedBy>AI Chef Pro</cp:lastModifiedBy>
</cp:coreProperties>
</file>