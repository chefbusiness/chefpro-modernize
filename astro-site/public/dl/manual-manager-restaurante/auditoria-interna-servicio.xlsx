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uditoría" sheetId="2" state="visible" r:id="rId2"/>
    <sheet xmlns:r="http://schemas.openxmlformats.org/officeDocument/2006/relationships" name="Resumen por Área" sheetId="3" state="visible" r:id="rId3"/>
    <sheet xmlns:r="http://schemas.openxmlformats.org/officeDocument/2006/relationships" name="Histórico" sheetId="4" state="visible" r:id="rId4"/>
  </sheets>
  <definedNames>
    <definedName name="_xlnm.Print_Titles" localSheetId="1">'Auditoría'!$6:$6</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
  </numFmts>
  <fonts count="6">
    <font>
      <name val="Calibri"/>
      <family val="2"/>
      <color theme="1"/>
      <sz val="11"/>
      <scheme val="minor"/>
    </font>
    <font>
      <b val="1"/>
      <color theme="1"/>
      <sz val="11"/>
    </font>
    <font>
      <b val="1"/>
      <color rgb="00FFD700"/>
      <sz val="16"/>
    </font>
    <font>
      <color rgb="00888888"/>
      <sz val="10"/>
    </font>
    <font>
      <b val="1"/>
      <color rgb="00FFD700"/>
      <sz val="12"/>
    </font>
    <font>
      <b val="1"/>
      <color rgb="00FFFFFF"/>
    </font>
  </fonts>
  <fills count="6">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
      <patternFill patternType="solid">
        <fgColor rgb="00F2F2F2"/>
      </patternFill>
    </fill>
  </fills>
  <borders count="1">
    <border>
      <left/>
      <right/>
      <top/>
      <bottom/>
      <diagonal/>
    </border>
  </borders>
  <cellStyleXfs count="1">
    <xf numFmtId="0" fontId="0" fillId="0" borderId="0"/>
  </cellStyleXfs>
  <cellXfs count="22">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1" fillId="0" borderId="0" pivotButton="0" quotePrefix="0" xfId="0"/>
    <xf numFmtId="165" fontId="0" fillId="2" borderId="0" applyProtection="1" pivotButton="0" quotePrefix="0" xfId="0">
      <protection locked="0" hidden="0"/>
    </xf>
    <xf numFmtId="0" fontId="5" fillId="3" borderId="0" applyAlignment="1" pivotButton="0" quotePrefix="0" xfId="0">
      <alignment horizontal="center" vertical="center" wrapText="1"/>
    </xf>
    <xf numFmtId="3" fontId="0" fillId="0" borderId="0" pivotButton="0" quotePrefix="0" xfId="0"/>
    <xf numFmtId="0" fontId="0" fillId="2" borderId="0" applyAlignment="1" applyProtection="1" pivotButton="0" quotePrefix="0" xfId="0">
      <alignment horizontal="general" vertical="top" wrapText="1"/>
      <protection locked="0" hidden="0"/>
    </xf>
    <xf numFmtId="3" fontId="0" fillId="2" borderId="0" applyProtection="1" pivotButton="0" quotePrefix="0" xfId="0">
      <protection locked="0" hidden="0"/>
    </xf>
    <xf numFmtId="4" fontId="1" fillId="4" borderId="0" pivotButton="0" quotePrefix="0" xfId="0"/>
    <xf numFmtId="166" fontId="1" fillId="4" borderId="0" pivotButton="0" quotePrefix="0" xfId="0"/>
    <xf numFmtId="4" fontId="0" fillId="0" borderId="0" pivotButton="0" quotePrefix="0" xfId="0"/>
    <xf numFmtId="4" fontId="0" fillId="2" borderId="0" applyProtection="1" pivotButton="0" quotePrefix="0" xfId="0">
      <protection locked="0" hidden="0"/>
    </xf>
    <xf numFmtId="3" fontId="0" fillId="5" borderId="0" pivotButton="0" quotePrefix="0" xfId="0"/>
    <xf numFmtId="4" fontId="0" fillId="5" borderId="0" pivotButton="0" quotePrefix="0" xfId="0"/>
    <xf numFmtId="166" fontId="0" fillId="0" borderId="0" pivotButton="0" quotePrefix="0" xfId="0"/>
    <xf numFmtId="0" fontId="1" fillId="4" borderId="0" pivotButton="0" quotePrefix="0" xfId="0"/>
    <xf numFmtId="3" fontId="1" fillId="4" borderId="0" pivotButton="0" quotePrefix="0" xfId="0"/>
    <xf numFmtId="165" fontId="0" fillId="0" borderId="0" pivotButton="0" quotePrefix="0" xfId="0"/>
  </cellXfs>
  <cellStyles count="1">
    <cellStyle name="Normal" xfId="0" builtinId="0" hidden="0"/>
  </cellStyles>
  <dxfs count="4">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9C0006"/>
      </font>
      <fill>
        <patternFill patternType="solid">
          <fgColor rgb="00FFC7CE"/>
          <bgColor rgb="00FFC7CE"/>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Puntuación ponderada por área, visita a visita</a:t>
            </a:r>
          </a:p>
        </rich>
      </tx>
    </title>
    <plotArea>
      <lineChart>
        <grouping val="standard"/>
        <ser>
          <idx val="0"/>
          <order val="0"/>
          <tx>
            <strRef>
              <f>'Histórico'!F5</f>
            </strRef>
          </tx>
          <spPr>
            <a:ln xmlns:a="http://schemas.openxmlformats.org/drawingml/2006/main">
              <a:prstDash val="solid"/>
            </a:ln>
          </spPr>
          <marker>
            <symbol val="none"/>
            <spPr>
              <a:ln xmlns:a="http://schemas.openxmlformats.org/drawingml/2006/main">
                <a:prstDash val="solid"/>
              </a:ln>
            </spPr>
          </marker>
          <cat>
            <numRef>
              <f>'Histórico'!$A$6:$A$8</f>
            </numRef>
          </cat>
          <val>
            <numRef>
              <f>'Histórico'!$F$6:$F$8</f>
            </numRef>
          </val>
        </ser>
        <ser>
          <idx val="1"/>
          <order val="1"/>
          <tx>
            <strRef>
              <f>'Histórico'!G5</f>
            </strRef>
          </tx>
          <spPr>
            <a:ln xmlns:a="http://schemas.openxmlformats.org/drawingml/2006/main">
              <a:prstDash val="solid"/>
            </a:ln>
          </spPr>
          <marker>
            <symbol val="none"/>
            <spPr>
              <a:ln xmlns:a="http://schemas.openxmlformats.org/drawingml/2006/main">
                <a:prstDash val="solid"/>
              </a:ln>
            </spPr>
          </marker>
          <cat>
            <numRef>
              <f>'Histórico'!$A$6:$A$8</f>
            </numRef>
          </cat>
          <val>
            <numRef>
              <f>'Histórico'!$G$6:$G$8</f>
            </numRef>
          </val>
        </ser>
        <ser>
          <idx val="2"/>
          <order val="2"/>
          <tx>
            <strRef>
              <f>'Histórico'!H5</f>
            </strRef>
          </tx>
          <spPr>
            <a:ln xmlns:a="http://schemas.openxmlformats.org/drawingml/2006/main">
              <a:prstDash val="solid"/>
            </a:ln>
          </spPr>
          <marker>
            <symbol val="none"/>
            <spPr>
              <a:ln xmlns:a="http://schemas.openxmlformats.org/drawingml/2006/main">
                <a:prstDash val="solid"/>
              </a:ln>
            </spPr>
          </marker>
          <cat>
            <numRef>
              <f>'Histórico'!$A$6:$A$8</f>
            </numRef>
          </cat>
          <val>
            <numRef>
              <f>'Histórico'!$H$6:$H$8</f>
            </numRef>
          </val>
        </ser>
        <ser>
          <idx val="3"/>
          <order val="3"/>
          <tx>
            <strRef>
              <f>'Histórico'!I5</f>
            </strRef>
          </tx>
          <spPr>
            <a:ln xmlns:a="http://schemas.openxmlformats.org/drawingml/2006/main">
              <a:prstDash val="solid"/>
            </a:ln>
          </spPr>
          <marker>
            <symbol val="none"/>
            <spPr>
              <a:ln xmlns:a="http://schemas.openxmlformats.org/drawingml/2006/main">
                <a:prstDash val="solid"/>
              </a:ln>
            </spPr>
          </marker>
          <cat>
            <numRef>
              <f>'Histórico'!$A$6:$A$8</f>
            </numRef>
          </cat>
          <val>
            <numRef>
              <f>'Histórico'!$I$6:$I$8</f>
            </numRef>
          </val>
        </ser>
        <ser>
          <idx val="4"/>
          <order val="4"/>
          <tx>
            <strRef>
              <f>'Histórico'!J5</f>
            </strRef>
          </tx>
          <spPr>
            <a:ln xmlns:a="http://schemas.openxmlformats.org/drawingml/2006/main">
              <a:prstDash val="solid"/>
            </a:ln>
          </spPr>
          <marker>
            <symbol val="none"/>
            <spPr>
              <a:ln xmlns:a="http://schemas.openxmlformats.org/drawingml/2006/main">
                <a:prstDash val="solid"/>
              </a:ln>
            </spPr>
          </marker>
          <cat>
            <numRef>
              <f>'Histórico'!$A$6:$A$8</f>
            </numRef>
          </cat>
          <val>
            <numRef>
              <f>'Histórico'!$J$6:$J$8</f>
            </numRef>
          </val>
        </ser>
        <ser>
          <idx val="5"/>
          <order val="5"/>
          <tx>
            <strRef>
              <f>'Histórico'!K5</f>
            </strRef>
          </tx>
          <spPr>
            <a:ln xmlns:a="http://schemas.openxmlformats.org/drawingml/2006/main">
              <a:prstDash val="solid"/>
            </a:ln>
          </spPr>
          <marker>
            <symbol val="none"/>
            <spPr>
              <a:ln xmlns:a="http://schemas.openxmlformats.org/drawingml/2006/main">
                <a:prstDash val="solid"/>
              </a:ln>
            </spPr>
          </marker>
          <cat>
            <numRef>
              <f>'Histórico'!$A$6:$A$8</f>
            </numRef>
          </cat>
          <val>
            <numRef>
              <f>'Histórico'!$K$6:$K$8</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Visita</a:t>
                </a:r>
              </a:p>
            </rich>
          </tx>
        </title>
        <majorTickMark val="none"/>
        <minorTickMark val="none"/>
        <tickLblPos val="low"/>
        <crossAx val="100"/>
        <lblOffset val="100"/>
      </catAx>
      <valAx>
        <axId val="100"/>
        <scaling>
          <orientation val="minMax"/>
        </scaling>
        <delete val="0"/>
        <axPos val="l"/>
        <title>
          <tx>
            <rich>
              <a:bodyPr xmlns:a="http://schemas.openxmlformats.org/drawingml/2006/main"/>
              <a:p xmlns:a="http://schemas.openxmlformats.org/drawingml/2006/main">
                <a:pPr>
                  <a:defRPr/>
                </a:pPr>
                <a:r>
                  <a:t>Puntuación ponderada (0-5)</a:t>
                </a:r>
              </a:p>
            </rich>
          </tx>
        </title>
        <numFmt formatCode="#,##0.00"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Puntuación ponderada total del local</a:t>
            </a:r>
          </a:p>
        </rich>
      </tx>
    </title>
    <plotArea>
      <lineChart>
        <grouping val="standard"/>
        <ser>
          <idx val="0"/>
          <order val="0"/>
          <tx>
            <strRef>
              <f>'Histórico'!D5</f>
            </strRef>
          </tx>
          <spPr>
            <a:ln xmlns:a="http://schemas.openxmlformats.org/drawingml/2006/main">
              <a:prstDash val="solid"/>
            </a:ln>
          </spPr>
          <marker>
            <symbol val="none"/>
            <spPr>
              <a:ln xmlns:a="http://schemas.openxmlformats.org/drawingml/2006/main">
                <a:prstDash val="solid"/>
              </a:ln>
            </spPr>
          </marker>
          <cat>
            <numRef>
              <f>'Histórico'!$A$6:$A$8</f>
            </numRef>
          </cat>
          <val>
            <numRef>
              <f>'Histórico'!$D$6:$D$8</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Visita</a:t>
                </a:r>
              </a:p>
            </rich>
          </tx>
        </title>
        <majorTickMark val="none"/>
        <minorTickMark val="none"/>
        <tickLblPos val="low"/>
        <crossAx val="100"/>
        <lblOffset val="100"/>
      </catAx>
      <valAx>
        <axId val="100"/>
        <scaling>
          <orientation val="minMax"/>
        </scaling>
        <delete val="0"/>
        <axPos val="l"/>
        <title>
          <tx>
            <rich>
              <a:bodyPr xmlns:a="http://schemas.openxmlformats.org/drawingml/2006/main"/>
              <a:p xmlns:a="http://schemas.openxmlformats.org/drawingml/2006/main">
                <a:pPr>
                  <a:defRPr/>
                </a:pPr>
                <a:r>
                  <a:t>Puntuación ponderada (0-5)</a:t>
                </a:r>
              </a:p>
            </rich>
          </tx>
        </title>
        <numFmt formatCode="#,##0.0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19</row>
      <rowOff>0</rowOff>
    </from>
    <ext cx="936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39</row>
      <rowOff>0</rowOff>
    </from>
    <ext cx="936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34"/>
  <sheetViews>
    <sheetView workbookViewId="0">
      <selection activeCell="A1" sqref="A1"/>
    </sheetView>
  </sheetViews>
  <sheetFormatPr baseColWidth="8" defaultRowHeight="15"/>
  <cols>
    <col width="118" customWidth="1" min="1" max="1"/>
  </cols>
  <sheetData>
    <row r="1">
      <c r="A1" s="1" t="inlineStr">
        <is>
          <t>Auditoría Interna de Servicio</t>
        </is>
      </c>
    </row>
    <row r="2">
      <c r="A2" s="2" t="inlineStr">
        <is>
          <t>AI Chef Pro · aichef.pro — Manual del Manager de Restaurante</t>
        </is>
      </c>
    </row>
    <row r="3"/>
    <row r="4">
      <c r="A4" s="3" t="inlineStr">
        <is>
          <t>Instrucciones de uso</t>
        </is>
      </c>
    </row>
    <row r="5">
      <c r="A5" s="4" t="inlineStr">
        <is>
          <t>1. Imprime la hoja «Auditoría» o llévala en el móvil y recorre el local como si fueras un cliente: desde la reserva hasta la despedida en la puerta. Puntúa cada punto de 0 a 5 en la columna de la visita.</t>
        </is>
      </c>
    </row>
    <row r="6">
      <c r="A6" s="4" t="inlineStr">
        <is>
          <t>2. Escribe la observación al lado. Un 2 sin observación no sirve de nada dentro de un mes: nadie se acuerda de por qué era un 2.</t>
        </is>
      </c>
    </row>
    <row r="7">
      <c r="A7" s="4" t="inlineStr">
        <is>
          <t>3. Pon la fecha y quién audita en la cabecera de cada visita. Alterna visitas propias con alguna de cliente misterioso: uno ve lo que conoce, el otro ve lo que un cliente ve de verdad.</t>
        </is>
      </c>
    </row>
    <row r="8">
      <c r="A8" s="4" t="inlineStr">
        <is>
          <t>4. El peso de cada punto (1 a 3) es tuyo. Un aseo sucio no vale lo mismo que una planta seca, y por eso la puntuación es PONDERADA.</t>
        </is>
      </c>
    </row>
    <row r="9">
      <c r="A9" s="4" t="inlineStr">
        <is>
          <t>5. Si un punto no aplica en tu casa, deja la celda VACÍA: su peso sale del cálculo. Puntuar 0 es decir que se hace mal, no que no aplica.</t>
        </is>
      </c>
    </row>
    <row r="10">
      <c r="A10" s="4" t="inlineStr">
        <is>
          <t>6. Lee «Resumen por Área». Ahí está lo que la media global esconde: un área puede empeorar visita tras visita mientras el total sube.</t>
        </is>
      </c>
    </row>
    <row r="11">
      <c r="A11" s="4" t="inlineStr">
        <is>
          <t>7. «Histórico» pone las tres visitas una debajo de otra y las dibuja. Una auditoría suelta es una foto; tres seguidas son una tendencia, que es lo único que sirve para decidir.</t>
        </is>
      </c>
    </row>
    <row r="12">
      <c r="A12" s="4" t="inlineStr">
        <is>
          <t>8. Cada punto por debajo del umbral ámbar se convierte en una línea del plan de acción del libro de reuniones, con responsable y fecha. Auditar sin plan de acción es hacerse una lista de quejas a uno mismo.</t>
        </is>
      </c>
    </row>
    <row r="13"/>
    <row r="14">
      <c r="A14" s="5" t="inlineStr">
        <is>
          <t>Celdas verdes = campos editables</t>
        </is>
      </c>
    </row>
    <row r="15"/>
    <row r="16">
      <c r="A16" s="4" t="inlineStr">
        <is>
          <t>ESTE LIBRO EXCLUYE A PROPÓSITO EL APPCC Y LA SEGURIDAD ALIMENTARIA. Aquí no hay temperaturas de cámara, ni registros de recepción, ni trazabilidad, ni limpieza de superficies de manipulación. Eso es el PACK APPCC de AI Chef Pro, que trae sus registros, sus frecuencias y sus firmas. Mezclar las dos cosas produce una lista de comprobación que no vale ni para auditar el servicio ni para pasar una inspección de Sanidad.</t>
        </is>
      </c>
    </row>
    <row r="17"/>
    <row r="18">
      <c r="A18" s="4" t="inlineStr">
        <is>
          <t>Lo que sí mide esta hoja es la EXPERIENCIA y el estándar de marca: llegada y reserva, sala y ambiente, servicio y tiempos, producto y presentación, aseos y limpieza de cara al cliente, y marca y digital. Seis áreas, 60 puntos.</t>
        </is>
      </c>
    </row>
    <row r="19"/>
    <row r="20">
      <c r="A20" s="4" t="inlineStr">
        <is>
          <t>La limpieza que aparece aquí es la que ve el cliente (aseos, mantelería, cristalería, suelo de sala —salón, en el uso de otros países—). La limpieza de las superficies donde se manipula alimento es APPCC y no está en este libro.</t>
        </is>
      </c>
    </row>
    <row r="21"/>
    <row r="22">
      <c r="A22" s="4" t="inlineStr">
        <is>
          <t>Las tres visitas sembradas son un EJEMPLO del restaurante modelado del pack. Fíjate en lo que enseñan: el total mejora visita tras visita y, al mismo tiempo, «Aseos y limpieza» empeora. Esa es exactamente la razón de que exista la hoja «Resumen por Área».</t>
        </is>
      </c>
    </row>
    <row r="23"/>
    <row r="24">
      <c r="A24" s="4" t="inlineStr">
        <is>
          <t>La puntuación es PONDERADA por el peso de cada punto, y la media simple está al lado para contrastar. Cuando las dos se separan, es que estás fallando justo en lo que más pesa.</t>
        </is>
      </c>
    </row>
    <row r="25"/>
    <row r="26">
      <c r="A26" s="4" t="inlineStr">
        <is>
          <t>Los umbrales del semáforo y la tolerancia con la que se lee la tendencia están en celdas verdes al pie de la hoja «Auditoría». Cámbialos y todo el libro se recalcula.</t>
        </is>
      </c>
    </row>
    <row r="27"/>
    <row r="28">
      <c r="A28" s="4" t="inlineStr">
        <is>
          <t>Tres visitas caben en este libro. Para el trimestre siguiente, guarda una copia con otro nombre: así conservas el histórico sin machacarlo.</t>
        </is>
      </c>
    </row>
    <row r="29"/>
    <row r="30">
      <c r="A30" s="4" t="inlineStr">
        <is>
          <t>La columna «Área» no está en verde a propósito: es el criterio con el que el libro agrupa los 60 puntos y con el que rotula el histórico. Los puntos de control sí se editan uno a uno. Si necesitas otras áreas, desprotege las hojas y cámbialas en los tres sitios: «Auditoría», «Resumen por Área» y las cabeceras de «Histórico».</t>
        </is>
      </c>
    </row>
    <row r="31"/>
    <row r="32">
      <c r="A32" s="4" t="inlineStr">
        <is>
          <t>Para editar la estructura o una celda que no esté en verde: Revisar, Desproteger hoja (no tiene contraseña).</t>
        </is>
      </c>
    </row>
    <row r="33">
      <c r="A33" s="4" t="inlineStr">
        <is>
          <t>Diseñado por John Guerrero — chef y consultor gastronómico desde 2010 · johnguerrero.es</t>
        </is>
      </c>
    </row>
    <row r="34">
      <c r="A34" s="4" t="inlineStr">
        <is>
          <t>Versión 1.0 · septiembre 2026 · aichef.pro/manual-manager-restaurante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J80"/>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66" customWidth="1" min="3" max="3"/>
    <col width="9" customWidth="1" min="4" max="4"/>
    <col width="14" customWidth="1" min="5" max="5"/>
    <col width="30" customWidth="1" min="6" max="6"/>
    <col width="14" customWidth="1" min="7" max="7"/>
    <col width="30" customWidth="1" min="8" max="8"/>
    <col width="14" customWidth="1" min="9" max="9"/>
    <col width="30" customWidth="1" min="10" max="10"/>
  </cols>
  <sheetData>
    <row r="1">
      <c r="A1" s="1" t="inlineStr">
        <is>
          <t>Auditoría de servicio — 60 puntos, 6 áreas, 3 visitas</t>
        </is>
      </c>
    </row>
    <row r="2">
      <c r="A2" s="2" t="inlineStr">
        <is>
          <t>AI Chef Pro · aichef.pro — Manual del Manager de Restaurante</t>
        </is>
      </c>
    </row>
    <row r="3">
      <c r="C3" s="6" t="inlineStr">
        <is>
          <t>Fecha de la visita</t>
        </is>
      </c>
      <c r="E3" s="7" t="n">
        <v>46185</v>
      </c>
      <c r="G3" s="7" t="n">
        <v>46220</v>
      </c>
      <c r="I3" s="7" t="n">
        <v>46255</v>
      </c>
    </row>
    <row r="4">
      <c r="C4" s="6" t="inlineStr">
        <is>
          <t>Auditor</t>
        </is>
      </c>
      <c r="E4" s="5" t="inlineStr">
        <is>
          <t>P01 (visita propia)</t>
        </is>
      </c>
      <c r="G4" s="5" t="inlineStr">
        <is>
          <t>Cliente misterioso externo</t>
        </is>
      </c>
      <c r="I4" s="5" t="inlineStr">
        <is>
          <t>P01 (visita propia)</t>
        </is>
      </c>
    </row>
    <row r="5"/>
    <row r="6" ht="40" customHeight="1">
      <c r="A6" s="8" t="inlineStr">
        <is>
          <t>#</t>
        </is>
      </c>
      <c r="B6" s="8" t="inlineStr">
        <is>
          <t>Área</t>
        </is>
      </c>
      <c r="C6" s="8" t="inlineStr">
        <is>
          <t>Punto de control</t>
        </is>
      </c>
      <c r="D6" s="8" t="inlineStr">
        <is>
          <t>Peso (1-3)</t>
        </is>
      </c>
      <c r="E6" s="8" t="inlineStr">
        <is>
          <t>Visita 1: puntuación (0-5)</t>
        </is>
      </c>
      <c r="F6" s="8" t="inlineStr">
        <is>
          <t>Visita 1: observación</t>
        </is>
      </c>
      <c r="G6" s="8" t="inlineStr">
        <is>
          <t>Visita 2: puntuación (0-5)</t>
        </is>
      </c>
      <c r="H6" s="8" t="inlineStr">
        <is>
          <t>Visita 2: observación</t>
        </is>
      </c>
      <c r="I6" s="8" t="inlineStr">
        <is>
          <t>Visita 3: puntuación (0-5)</t>
        </is>
      </c>
      <c r="J6" s="8" t="inlineStr">
        <is>
          <t>Visita 3: observación</t>
        </is>
      </c>
    </row>
    <row r="7">
      <c r="A7" s="9" t="n">
        <v>1</v>
      </c>
      <c r="B7" t="inlineStr">
        <is>
          <t>Llegada y reserva</t>
        </is>
      </c>
      <c r="C7" s="10" t="inlineStr">
        <is>
          <t>La reserva telefónica se atiende antes de cuatro tonos</t>
        </is>
      </c>
      <c r="D7" s="11" t="n">
        <v>2</v>
      </c>
      <c r="E7" s="11" t="n">
        <v>4</v>
      </c>
      <c r="F7" s="5" t="n"/>
      <c r="G7" s="11" t="n">
        <v>5</v>
      </c>
      <c r="H7" s="5" t="n"/>
      <c r="I7" s="11" t="n">
        <v>5</v>
      </c>
      <c r="J7" s="5" t="n"/>
    </row>
    <row r="8">
      <c r="A8" s="9" t="n">
        <v>2</v>
      </c>
      <c r="B8" t="inlineStr">
        <is>
          <t>Llegada y reserva</t>
        </is>
      </c>
      <c r="C8" s="10" t="inlineStr">
        <is>
          <t>Se confirma nombre, hora, número de comensales y teléfono</t>
        </is>
      </c>
      <c r="D8" s="11" t="n">
        <v>2</v>
      </c>
      <c r="E8" s="11" t="n">
        <v>4</v>
      </c>
      <c r="F8" s="5" t="n"/>
      <c r="G8" s="11" t="n">
        <v>4</v>
      </c>
      <c r="H8" s="5" t="n"/>
      <c r="I8" s="11" t="n">
        <v>4</v>
      </c>
      <c r="J8" s="5" t="n"/>
    </row>
    <row r="9">
      <c r="A9" s="9" t="n">
        <v>3</v>
      </c>
      <c r="B9" t="inlineStr">
        <is>
          <t>Llegada y reserva</t>
        </is>
      </c>
      <c r="C9" s="10" t="inlineStr">
        <is>
          <t>Se pregunta por alergias e intolerancias al reservar</t>
        </is>
      </c>
      <c r="D9" s="11" t="n">
        <v>3</v>
      </c>
      <c r="E9" s="11" t="n">
        <v>3</v>
      </c>
      <c r="F9" s="5" t="n"/>
      <c r="G9" s="11" t="n">
        <v>3</v>
      </c>
      <c r="H9" s="5" t="n"/>
      <c r="I9" s="11" t="n">
        <v>3</v>
      </c>
      <c r="J9" s="5" t="n"/>
    </row>
    <row r="10">
      <c r="A10" s="9" t="n">
        <v>4</v>
      </c>
      <c r="B10" t="inlineStr">
        <is>
          <t>Llegada y reserva</t>
        </is>
      </c>
      <c r="C10" s="10" t="inlineStr">
        <is>
          <t>La reserva online se confirma por escrito el mismo día</t>
        </is>
      </c>
      <c r="D10" s="11" t="n">
        <v>2</v>
      </c>
      <c r="E10" s="11" t="n">
        <v>2</v>
      </c>
      <c r="F10" s="5" t="n"/>
      <c r="G10" s="11" t="n">
        <v>3</v>
      </c>
      <c r="H10" s="5" t="n"/>
      <c r="I10" s="11" t="n">
        <v>4</v>
      </c>
      <c r="J10" s="5" t="n"/>
    </row>
    <row r="11">
      <c r="A11" s="9" t="n">
        <v>5</v>
      </c>
      <c r="B11" t="inlineStr">
        <is>
          <t>Llegada y reserva</t>
        </is>
      </c>
      <c r="C11" s="10" t="inlineStr">
        <is>
          <t>Hay alguien recibiendo en la puerta al abrir el servicio</t>
        </is>
      </c>
      <c r="D11" s="11" t="n">
        <v>3</v>
      </c>
      <c r="E11" s="11" t="n">
        <v>3</v>
      </c>
      <c r="F11" s="5" t="n"/>
      <c r="G11" s="11" t="n">
        <v>4</v>
      </c>
      <c r="H11" s="5" t="n"/>
      <c r="I11" s="11" t="n">
        <v>5</v>
      </c>
      <c r="J11" s="5" t="n"/>
    </row>
    <row r="12">
      <c r="A12" s="9" t="n">
        <v>6</v>
      </c>
      <c r="B12" t="inlineStr">
        <is>
          <t>Llegada y reserva</t>
        </is>
      </c>
      <c r="C12" s="10" t="inlineStr">
        <is>
          <t>Se saluda y se acompaña a la mesa en menos de un minuto</t>
        </is>
      </c>
      <c r="D12" s="11" t="n">
        <v>3</v>
      </c>
      <c r="E12" s="11" t="n">
        <v>4</v>
      </c>
      <c r="F12" s="5" t="n"/>
      <c r="G12" s="11" t="n">
        <v>4</v>
      </c>
      <c r="H12" s="5" t="n"/>
      <c r="I12" s="11" t="n">
        <v>5</v>
      </c>
      <c r="J12" s="5" t="n"/>
    </row>
    <row r="13">
      <c r="A13" s="9" t="n">
        <v>7</v>
      </c>
      <c r="B13" t="inlineStr">
        <is>
          <t>Llegada y reserva</t>
        </is>
      </c>
      <c r="C13" s="10" t="inlineStr">
        <is>
          <t>La mesa está montada y limpia cuando llega el cliente</t>
        </is>
      </c>
      <c r="D13" s="11" t="n">
        <v>3</v>
      </c>
      <c r="E13" s="11" t="n">
        <v>3</v>
      </c>
      <c r="F13" s="5" t="n"/>
      <c r="G13" s="11" t="n">
        <v>4</v>
      </c>
      <c r="H13" s="5" t="n"/>
      <c r="I13" s="11" t="n">
        <v>3</v>
      </c>
      <c r="J13" s="5" t="n"/>
    </row>
    <row r="14">
      <c r="A14" s="9" t="n">
        <v>8</v>
      </c>
      <c r="B14" t="inlineStr">
        <is>
          <t>Llegada y reserva</t>
        </is>
      </c>
      <c r="C14" s="10" t="inlineStr">
        <is>
          <t>Se ofrece dónde dejar abrigos y bolsos</t>
        </is>
      </c>
      <c r="D14" s="11" t="n">
        <v>1</v>
      </c>
      <c r="E14" s="11" t="n">
        <v>2</v>
      </c>
      <c r="F14" s="5" t="n"/>
      <c r="G14" s="11" t="n">
        <v>3</v>
      </c>
      <c r="H14" s="5" t="n"/>
      <c r="I14" s="11" t="n">
        <v>3</v>
      </c>
      <c r="J14" s="5" t="n"/>
    </row>
    <row r="15">
      <c r="A15" s="9" t="n">
        <v>9</v>
      </c>
      <c r="B15" t="inlineStr">
        <is>
          <t>Llegada y reserva</t>
        </is>
      </c>
      <c r="C15" s="10" t="inlineStr">
        <is>
          <t>Si hay demora, se informa del tiempo real de espera</t>
        </is>
      </c>
      <c r="D15" s="11" t="n">
        <v>3</v>
      </c>
      <c r="E15" s="11" t="n">
        <v>3</v>
      </c>
      <c r="F15" s="5" t="n"/>
      <c r="G15" s="11" t="n">
        <v>3</v>
      </c>
      <c r="H15" s="5" t="n"/>
      <c r="I15" s="11" t="n">
        <v>4</v>
      </c>
      <c r="J15" s="5" t="n"/>
    </row>
    <row r="16">
      <c r="A16" s="9" t="n">
        <v>10</v>
      </c>
      <c r="B16" t="inlineStr">
        <is>
          <t>Llegada y reserva</t>
        </is>
      </c>
      <c r="C16" s="10" t="inlineStr">
        <is>
          <t>El acceso está libre de obstáculos y es practicable</t>
        </is>
      </c>
      <c r="D16" s="11" t="n">
        <v>2</v>
      </c>
      <c r="E16" s="11" t="n">
        <v>4</v>
      </c>
      <c r="F16" s="5" t="n"/>
      <c r="G16" s="11" t="n">
        <v>4</v>
      </c>
      <c r="H16" s="5" t="n"/>
      <c r="I16" s="11" t="n">
        <v>5</v>
      </c>
      <c r="J16" s="5" t="n"/>
    </row>
    <row r="17">
      <c r="A17" s="9" t="n">
        <v>11</v>
      </c>
      <c r="B17" t="inlineStr">
        <is>
          <t>Sala y ambiente</t>
        </is>
      </c>
      <c r="C17" s="10" t="inlineStr">
        <is>
          <t>Temperatura agradable en toda la sala, también junto a la puerta</t>
        </is>
      </c>
      <c r="D17" s="11" t="n">
        <v>2</v>
      </c>
      <c r="E17" s="11" t="n">
        <v>4</v>
      </c>
      <c r="F17" s="5" t="n"/>
      <c r="G17" s="11" t="n">
        <v>5</v>
      </c>
      <c r="H17" s="5" t="n"/>
      <c r="I17" s="11" t="n">
        <v>4</v>
      </c>
      <c r="J17" s="5" t="n"/>
    </row>
    <row r="18">
      <c r="A18" s="9" t="n">
        <v>12</v>
      </c>
      <c r="B18" t="inlineStr">
        <is>
          <t>Sala y ambiente</t>
        </is>
      </c>
      <c r="C18" s="10" t="inlineStr">
        <is>
          <t>Volumen de la música adecuado al turno</t>
        </is>
      </c>
      <c r="D18" s="11" t="n">
        <v>2</v>
      </c>
      <c r="E18" s="11" t="n">
        <v>4</v>
      </c>
      <c r="F18" s="5" t="n"/>
      <c r="G18" s="11" t="n">
        <v>3</v>
      </c>
      <c r="H18" s="5" t="n"/>
      <c r="I18" s="11" t="n">
        <v>3</v>
      </c>
      <c r="J18" s="5" t="n"/>
    </row>
    <row r="19">
      <c r="A19" s="9" t="n">
        <v>13</v>
      </c>
      <c r="B19" t="inlineStr">
        <is>
          <t>Sala y ambiente</t>
        </is>
      </c>
      <c r="C19" s="10" t="inlineStr">
        <is>
          <t>Iluminación correcta en mesas y zonas de paso</t>
        </is>
      </c>
      <c r="D19" s="11" t="n">
        <v>2</v>
      </c>
      <c r="E19" s="11" t="n">
        <v>3</v>
      </c>
      <c r="F19" s="5" t="n"/>
      <c r="G19" s="11" t="n">
        <v>3</v>
      </c>
      <c r="H19" s="5" t="n"/>
      <c r="I19" s="11" t="n">
        <v>4</v>
      </c>
      <c r="J19" s="5" t="n"/>
    </row>
    <row r="20">
      <c r="A20" s="9" t="n">
        <v>14</v>
      </c>
      <c r="B20" t="inlineStr">
        <is>
          <t>Sala y ambiente</t>
        </is>
      </c>
      <c r="C20" s="10" t="inlineStr">
        <is>
          <t>Mantelería y servilletas sin manchas ni roturas</t>
        </is>
      </c>
      <c r="D20" s="11" t="n">
        <v>3</v>
      </c>
      <c r="E20" s="11" t="n">
        <v>3</v>
      </c>
      <c r="F20" s="5" t="n"/>
      <c r="G20" s="11" t="n">
        <v>4</v>
      </c>
      <c r="H20" s="5" t="n"/>
      <c r="I20" s="11" t="n">
        <v>5</v>
      </c>
      <c r="J20" s="5" t="n"/>
    </row>
    <row r="21">
      <c r="A21" s="9" t="n">
        <v>15</v>
      </c>
      <c r="B21" t="inlineStr">
        <is>
          <t>Sala y ambiente</t>
        </is>
      </c>
      <c r="C21" s="10" t="inlineStr">
        <is>
          <t>Cristalería sin marcas de agua ni de cal</t>
        </is>
      </c>
      <c r="D21" s="11" t="n">
        <v>3</v>
      </c>
      <c r="E21" s="11" t="n">
        <v>4</v>
      </c>
      <c r="F21" s="5" t="n"/>
      <c r="G21" s="11" t="n">
        <v>5</v>
      </c>
      <c r="H21" s="5" t="n"/>
      <c r="I21" s="11" t="n">
        <v>5</v>
      </c>
      <c r="J21" s="5" t="n"/>
    </row>
    <row r="22">
      <c r="A22" s="9" t="n">
        <v>16</v>
      </c>
      <c r="B22" t="inlineStr">
        <is>
          <t>Sala y ambiente</t>
        </is>
      </c>
      <c r="C22" s="10" t="inlineStr">
        <is>
          <t>Cubertería pulida y completa en cada montaje</t>
        </is>
      </c>
      <c r="D22" s="11" t="n">
        <v>3</v>
      </c>
      <c r="E22" s="11" t="n">
        <v>4</v>
      </c>
      <c r="F22" s="5" t="n"/>
      <c r="G22" s="11" t="n">
        <v>4</v>
      </c>
      <c r="H22" s="5" t="n"/>
      <c r="I22" s="11" t="n">
        <v>4</v>
      </c>
      <c r="J22" s="5" t="n"/>
    </row>
    <row r="23">
      <c r="A23" s="9" t="n">
        <v>17</v>
      </c>
      <c r="B23" t="inlineStr">
        <is>
          <t>Sala y ambiente</t>
        </is>
      </c>
      <c r="C23" s="10" t="inlineStr">
        <is>
          <t>Cartas limpias, sin roturas y sin precios corregidos a mano</t>
        </is>
      </c>
      <c r="D23" s="11" t="n">
        <v>3</v>
      </c>
      <c r="E23" s="11" t="n">
        <v>3</v>
      </c>
      <c r="F23" s="5" t="n"/>
      <c r="G23" s="11" t="n">
        <v>3</v>
      </c>
      <c r="H23" s="5" t="n"/>
      <c r="I23" s="11" t="n">
        <v>3</v>
      </c>
      <c r="J23" s="5" t="n"/>
    </row>
    <row r="24">
      <c r="A24" s="9" t="n">
        <v>18</v>
      </c>
      <c r="B24" t="inlineStr">
        <is>
          <t>Sala y ambiente</t>
        </is>
      </c>
      <c r="C24" s="10" t="inlineStr">
        <is>
          <t>Sillas y mesas estables y sin desperfectos</t>
        </is>
      </c>
      <c r="D24" s="11" t="n">
        <v>2</v>
      </c>
      <c r="E24" s="11" t="n">
        <v>3</v>
      </c>
      <c r="F24" s="5" t="n"/>
      <c r="G24" s="11" t="n">
        <v>3</v>
      </c>
      <c r="H24" s="5" t="n"/>
      <c r="I24" s="11" t="n">
        <v>4</v>
      </c>
      <c r="J24" s="5" t="n"/>
    </row>
    <row r="25">
      <c r="A25" s="9" t="n">
        <v>19</v>
      </c>
      <c r="B25" t="inlineStr">
        <is>
          <t>Sala y ambiente</t>
        </is>
      </c>
      <c r="C25" s="10" t="inlineStr">
        <is>
          <t>Decoración y plantas en buen estado</t>
        </is>
      </c>
      <c r="D25" s="11" t="n">
        <v>1</v>
      </c>
      <c r="E25" s="11" t="n">
        <v>3</v>
      </c>
      <c r="F25" s="5" t="n"/>
      <c r="G25" s="11" t="n">
        <v>4</v>
      </c>
      <c r="H25" s="5" t="n"/>
      <c r="I25" s="11" t="n">
        <v>5</v>
      </c>
      <c r="J25" s="5" t="n"/>
    </row>
    <row r="26">
      <c r="A26" s="9" t="n">
        <v>20</v>
      </c>
      <c r="B26" t="inlineStr">
        <is>
          <t>Sala y ambiente</t>
        </is>
      </c>
      <c r="C26" s="10" t="inlineStr">
        <is>
          <t>Paso entre mesas suficiente para servir sin molestar</t>
        </is>
      </c>
      <c r="D26" s="11" t="n">
        <v>2</v>
      </c>
      <c r="E26" s="11" t="n">
        <v>4</v>
      </c>
      <c r="F26" s="5" t="n"/>
      <c r="G26" s="11" t="n">
        <v>5</v>
      </c>
      <c r="H26" s="5" t="n"/>
      <c r="I26" s="11" t="n">
        <v>5</v>
      </c>
      <c r="J26" s="5" t="n"/>
    </row>
    <row r="27">
      <c r="A27" s="9" t="n">
        <v>21</v>
      </c>
      <c r="B27" t="inlineStr">
        <is>
          <t>Servicio y tiempos</t>
        </is>
      </c>
      <c r="C27" s="10" t="inlineStr">
        <is>
          <t>Se toma la comanda de bebida en menos de tres minutos</t>
        </is>
      </c>
      <c r="D27" s="11" t="n">
        <v>3</v>
      </c>
      <c r="E27" s="11" t="n">
        <v>3</v>
      </c>
      <c r="F27" s="5" t="n"/>
      <c r="G27" s="11" t="n">
        <v>4</v>
      </c>
      <c r="H27" s="5" t="n"/>
      <c r="I27" s="11" t="n">
        <v>4</v>
      </c>
      <c r="J27" s="5" t="n"/>
    </row>
    <row r="28">
      <c r="A28" s="9" t="n">
        <v>22</v>
      </c>
      <c r="B28" t="inlineStr">
        <is>
          <t>Servicio y tiempos</t>
        </is>
      </c>
      <c r="C28" s="10" t="inlineStr">
        <is>
          <t>La primera bebida llega en menos de cinco minutos</t>
        </is>
      </c>
      <c r="D28" s="11" t="n">
        <v>3</v>
      </c>
      <c r="E28" s="11" t="n">
        <v>2</v>
      </c>
      <c r="F28" s="5" t="n"/>
      <c r="G28" s="11" t="n">
        <v>3</v>
      </c>
      <c r="H28" s="5" t="n"/>
      <c r="I28" s="11" t="n">
        <v>3</v>
      </c>
      <c r="J28" s="5" t="n"/>
    </row>
    <row r="29">
      <c r="A29" s="9" t="n">
        <v>23</v>
      </c>
      <c r="B29" t="inlineStr">
        <is>
          <t>Servicio y tiempos</t>
        </is>
      </c>
      <c r="C29" s="10" t="inlineStr">
        <is>
          <t>El personal conoce la carta y sabe recomendar</t>
        </is>
      </c>
      <c r="D29" s="11" t="n">
        <v>3</v>
      </c>
      <c r="E29" s="11" t="n">
        <v>2</v>
      </c>
      <c r="F29" s="5" t="n"/>
      <c r="G29" s="11" t="n">
        <v>3</v>
      </c>
      <c r="H29" s="5" t="n"/>
      <c r="I29" s="11" t="n">
        <v>4</v>
      </c>
      <c r="J29" s="5" t="n"/>
    </row>
    <row r="30">
      <c r="A30" s="9" t="n">
        <v>24</v>
      </c>
      <c r="B30" t="inlineStr">
        <is>
          <t>Servicio y tiempos</t>
        </is>
      </c>
      <c r="C30" s="10" t="inlineStr">
        <is>
          <t>El personal informa de los alérgenos sin remitir al cartel</t>
        </is>
      </c>
      <c r="D30" s="11" t="n">
        <v>3</v>
      </c>
      <c r="E30" s="11" t="n">
        <v>3</v>
      </c>
      <c r="F30" s="5" t="n"/>
      <c r="G30" s="11" t="n">
        <v>4</v>
      </c>
      <c r="H30" s="5" t="n"/>
      <c r="I30" s="11" t="n">
        <v>5</v>
      </c>
      <c r="J30" s="5" t="n"/>
    </row>
    <row r="31">
      <c r="A31" s="9" t="n">
        <v>25</v>
      </c>
      <c r="B31" t="inlineStr">
        <is>
          <t>Servicio y tiempos</t>
        </is>
      </c>
      <c r="C31" s="10" t="inlineStr">
        <is>
          <t>Los entrantes salen en menos de quince minutos</t>
        </is>
      </c>
      <c r="D31" s="11" t="n">
        <v>3</v>
      </c>
      <c r="E31" s="11" t="n">
        <v>4</v>
      </c>
      <c r="F31" s="5" t="n"/>
      <c r="G31" s="11" t="n">
        <v>4</v>
      </c>
      <c r="H31" s="5" t="n"/>
      <c r="I31" s="11" t="n">
        <v>5</v>
      </c>
      <c r="J31" s="5" t="n"/>
    </row>
    <row r="32">
      <c r="A32" s="9" t="n">
        <v>26</v>
      </c>
      <c r="B32" t="inlineStr">
        <is>
          <t>Servicio y tiempos</t>
        </is>
      </c>
      <c r="C32" s="10" t="inlineStr">
        <is>
          <t>Los platos de una misma mesa salen a la vez</t>
        </is>
      </c>
      <c r="D32" s="11" t="n">
        <v>3</v>
      </c>
      <c r="E32" s="11" t="n">
        <v>3</v>
      </c>
      <c r="F32" s="5" t="n"/>
      <c r="G32" s="11" t="n">
        <v>3</v>
      </c>
      <c r="H32" s="5" t="n"/>
      <c r="I32" s="11" t="n">
        <v>3</v>
      </c>
      <c r="J32" s="5" t="n"/>
    </row>
    <row r="33">
      <c r="A33" s="9" t="n">
        <v>27</v>
      </c>
      <c r="B33" t="inlineStr">
        <is>
          <t>Servicio y tiempos</t>
        </is>
      </c>
      <c r="C33" s="10" t="inlineStr">
        <is>
          <t>Se retira el plato sucio antes de servir el siguiente</t>
        </is>
      </c>
      <c r="D33" s="11" t="n">
        <v>2</v>
      </c>
      <c r="E33" s="11" t="n">
        <v>2</v>
      </c>
      <c r="F33" s="5" t="n"/>
      <c r="G33" s="11" t="n">
        <v>3</v>
      </c>
      <c r="H33" s="5" t="n"/>
      <c r="I33" s="11" t="n">
        <v>3</v>
      </c>
      <c r="J33" s="5" t="n"/>
    </row>
    <row r="34">
      <c r="A34" s="9" t="n">
        <v>28</v>
      </c>
      <c r="B34" t="inlineStr">
        <is>
          <t>Servicio y tiempos</t>
        </is>
      </c>
      <c r="C34" s="10" t="inlineStr">
        <is>
          <t>Se ofrece postre, café y sobremesa</t>
        </is>
      </c>
      <c r="D34" s="11" t="n">
        <v>2</v>
      </c>
      <c r="E34" s="11" t="n">
        <v>2</v>
      </c>
      <c r="F34" s="5" t="n"/>
      <c r="G34" s="11" t="n">
        <v>3</v>
      </c>
      <c r="H34" s="5" t="n"/>
      <c r="I34" s="11" t="n">
        <v>4</v>
      </c>
      <c r="J34" s="5" t="n"/>
    </row>
    <row r="35">
      <c r="A35" s="9" t="n">
        <v>29</v>
      </c>
      <c r="B35" t="inlineStr">
        <is>
          <t>Servicio y tiempos</t>
        </is>
      </c>
      <c r="C35" s="10" t="inlineStr">
        <is>
          <t>La cuenta llega en menos de cinco minutos desde que se pide</t>
        </is>
      </c>
      <c r="D35" s="11" t="n">
        <v>3</v>
      </c>
      <c r="E35" s="11" t="n">
        <v>4</v>
      </c>
      <c r="F35" s="5" t="n"/>
      <c r="G35" s="11" t="n">
        <v>4</v>
      </c>
      <c r="H35" s="5" t="n"/>
      <c r="I35" s="11" t="n">
        <v>5</v>
      </c>
      <c r="J35" s="5" t="n"/>
    </row>
    <row r="36">
      <c r="A36" s="9" t="n">
        <v>30</v>
      </c>
      <c r="B36" t="inlineStr">
        <is>
          <t>Servicio y tiempos</t>
        </is>
      </c>
      <c r="C36" s="10" t="inlineStr">
        <is>
          <t>Se despide al cliente en la puerta</t>
        </is>
      </c>
      <c r="D36" s="11" t="n">
        <v>2</v>
      </c>
      <c r="E36" s="11" t="n">
        <v>4</v>
      </c>
      <c r="F36" s="5" t="n"/>
      <c r="G36" s="11" t="n">
        <v>4</v>
      </c>
      <c r="H36" s="5" t="n"/>
      <c r="I36" s="11" t="n">
        <v>4</v>
      </c>
      <c r="J36" s="5" t="n"/>
    </row>
    <row r="37">
      <c r="A37" s="9" t="n">
        <v>31</v>
      </c>
      <c r="B37" t="inlineStr">
        <is>
          <t>Producto y presentación</t>
        </is>
      </c>
      <c r="C37" s="10" t="inlineStr">
        <is>
          <t>El plato llega a la temperatura correcta</t>
        </is>
      </c>
      <c r="D37" s="11" t="n">
        <v>3</v>
      </c>
      <c r="E37" s="11" t="n">
        <v>4</v>
      </c>
      <c r="F37" s="5" t="n"/>
      <c r="G37" s="11" t="n">
        <v>4</v>
      </c>
      <c r="H37" s="5" t="n"/>
      <c r="I37" s="11" t="n">
        <v>4</v>
      </c>
      <c r="J37" s="5" t="n"/>
    </row>
    <row r="38">
      <c r="A38" s="9" t="n">
        <v>32</v>
      </c>
      <c r="B38" t="inlineStr">
        <is>
          <t>Producto y presentación</t>
        </is>
      </c>
      <c r="C38" s="10" t="inlineStr">
        <is>
          <t>La presentación coincide con el estándar de la ficha</t>
        </is>
      </c>
      <c r="D38" s="11" t="n">
        <v>3</v>
      </c>
      <c r="E38" s="11" t="n">
        <v>3</v>
      </c>
      <c r="F38" s="5" t="n"/>
      <c r="G38" s="11" t="n">
        <v>3</v>
      </c>
      <c r="H38" s="5" t="n"/>
      <c r="I38" s="11" t="n">
        <v>4</v>
      </c>
      <c r="J38" s="5" t="n"/>
    </row>
    <row r="39">
      <c r="A39" s="9" t="n">
        <v>33</v>
      </c>
      <c r="B39" t="inlineStr">
        <is>
          <t>Producto y presentación</t>
        </is>
      </c>
      <c r="C39" s="10" t="inlineStr">
        <is>
          <t>La ración coincide con el gramaje escandallado</t>
        </is>
      </c>
      <c r="D39" s="11" t="n">
        <v>3</v>
      </c>
      <c r="E39" s="11" t="n">
        <v>3</v>
      </c>
      <c r="F39" s="5" t="n"/>
      <c r="G39" s="11" t="n">
        <v>4</v>
      </c>
      <c r="H39" s="5" t="n"/>
      <c r="I39" s="11" t="n">
        <v>5</v>
      </c>
      <c r="J39" s="5" t="n"/>
    </row>
    <row r="40">
      <c r="A40" s="9" t="n">
        <v>34</v>
      </c>
      <c r="B40" t="inlineStr">
        <is>
          <t>Producto y presentación</t>
        </is>
      </c>
      <c r="C40" s="10" t="inlineStr">
        <is>
          <t>El pan es del día y se sirve como está definido</t>
        </is>
      </c>
      <c r="D40" s="11" t="n">
        <v>2</v>
      </c>
      <c r="E40" s="11" t="n">
        <v>5</v>
      </c>
      <c r="F40" s="5" t="n"/>
      <c r="G40" s="11" t="n">
        <v>5</v>
      </c>
      <c r="H40" s="5" t="n"/>
      <c r="I40" s="11" t="n">
        <v>5</v>
      </c>
      <c r="J40" s="5" t="n"/>
    </row>
    <row r="41">
      <c r="A41" s="9" t="n">
        <v>35</v>
      </c>
      <c r="B41" t="inlineStr">
        <is>
          <t>Producto y presentación</t>
        </is>
      </c>
      <c r="C41" s="10" t="inlineStr">
        <is>
          <t>Las guarniciones son las de la ficha, sin sustituciones mudas</t>
        </is>
      </c>
      <c r="D41" s="11" t="n">
        <v>2</v>
      </c>
      <c r="E41" s="11" t="n">
        <v>4</v>
      </c>
      <c r="F41" s="5" t="n"/>
      <c r="G41" s="11" t="n">
        <v>5</v>
      </c>
      <c r="H41" s="5" t="n"/>
      <c r="I41" s="11" t="n">
        <v>4</v>
      </c>
      <c r="J41" s="5" t="n"/>
    </row>
    <row r="42">
      <c r="A42" s="9" t="n">
        <v>36</v>
      </c>
      <c r="B42" t="inlineStr">
        <is>
          <t>Producto y presentación</t>
        </is>
      </c>
      <c r="C42" s="10" t="inlineStr">
        <is>
          <t>El vino se sirve a la temperatura y en la cristalería correctas</t>
        </is>
      </c>
      <c r="D42" s="11" t="n">
        <v>2</v>
      </c>
      <c r="E42" s="11" t="n">
        <v>3</v>
      </c>
      <c r="F42" s="5" t="n"/>
      <c r="G42" s="11" t="n">
        <v>3</v>
      </c>
      <c r="H42" s="5" t="n"/>
      <c r="I42" s="11" t="n">
        <v>3</v>
      </c>
      <c r="J42" s="5" t="n"/>
    </row>
    <row r="43">
      <c r="A43" s="9" t="n">
        <v>37</v>
      </c>
      <c r="B43" t="inlineStr">
        <is>
          <t>Producto y presentación</t>
        </is>
      </c>
      <c r="C43" s="10" t="inlineStr">
        <is>
          <t>La cerveza de barril sale con su corona y sin exceso de espuma</t>
        </is>
      </c>
      <c r="D43" s="11" t="n">
        <v>2</v>
      </c>
      <c r="E43" s="11" t="n">
        <v>3</v>
      </c>
      <c r="F43" s="5" t="n"/>
      <c r="G43" s="11" t="n">
        <v>3</v>
      </c>
      <c r="H43" s="5" t="n"/>
      <c r="I43" s="11" t="n">
        <v>4</v>
      </c>
      <c r="J43" s="5" t="n"/>
    </row>
    <row r="44">
      <c r="A44" s="9" t="n">
        <v>38</v>
      </c>
      <c r="B44" t="inlineStr">
        <is>
          <t>Producto y presentación</t>
        </is>
      </c>
      <c r="C44" s="10" t="inlineStr">
        <is>
          <t>El café se sirve caliente y con su acompañamiento</t>
        </is>
      </c>
      <c r="D44" s="11" t="n">
        <v>2</v>
      </c>
      <c r="E44" s="11" t="n">
        <v>4</v>
      </c>
      <c r="F44" s="5" t="n"/>
      <c r="G44" s="11" t="n">
        <v>4</v>
      </c>
      <c r="H44" s="5" t="n"/>
      <c r="I44" s="11" t="n">
        <v>5</v>
      </c>
      <c r="J44" s="5" t="n"/>
    </row>
    <row r="45">
      <c r="A45" s="9" t="n">
        <v>39</v>
      </c>
      <c r="B45" t="inlineStr">
        <is>
          <t>Producto y presentación</t>
        </is>
      </c>
      <c r="C45" s="10" t="inlineStr">
        <is>
          <t>Los postres se montan en el momento, no con antelación</t>
        </is>
      </c>
      <c r="D45" s="11" t="n">
        <v>2</v>
      </c>
      <c r="E45" s="11" t="n">
        <v>5</v>
      </c>
      <c r="F45" s="5" t="n"/>
      <c r="G45" s="11" t="n">
        <v>5</v>
      </c>
      <c r="H45" s="5" t="n"/>
      <c r="I45" s="11" t="n">
        <v>5</v>
      </c>
      <c r="J45" s="5" t="n"/>
    </row>
    <row r="46">
      <c r="A46" s="9" t="n">
        <v>40</v>
      </c>
      <c r="B46" t="inlineStr">
        <is>
          <t>Producto y presentación</t>
        </is>
      </c>
      <c r="C46" s="10" t="inlineStr">
        <is>
          <t>No hay platos agotados sin avisar al empezar el servicio</t>
        </is>
      </c>
      <c r="D46" s="11" t="n">
        <v>3</v>
      </c>
      <c r="E46" s="11" t="n">
        <v>4</v>
      </c>
      <c r="F46" s="5" t="n"/>
      <c r="G46" s="11" t="n">
        <v>4</v>
      </c>
      <c r="H46" s="5" t="n"/>
      <c r="I46" s="11" t="n">
        <v>4</v>
      </c>
      <c r="J46" s="5" t="n"/>
    </row>
    <row r="47">
      <c r="A47" s="9" t="n">
        <v>41</v>
      </c>
      <c r="B47" t="inlineStr">
        <is>
          <t>Aseos y limpieza</t>
        </is>
      </c>
      <c r="C47" s="10" t="inlineStr">
        <is>
          <t>Los aseos se revisan al menos una vez por turno y queda anotado</t>
        </is>
      </c>
      <c r="D47" s="11" t="n">
        <v>3</v>
      </c>
      <c r="E47" s="11" t="n">
        <v>3</v>
      </c>
      <c r="F47" s="5" t="n"/>
      <c r="G47" s="11" t="n">
        <v>3</v>
      </c>
      <c r="H47" s="5" t="n"/>
      <c r="I47" s="11" t="n">
        <v>2</v>
      </c>
      <c r="J47" s="5" t="n"/>
    </row>
    <row r="48">
      <c r="A48" s="9" t="n">
        <v>42</v>
      </c>
      <c r="B48" t="inlineStr">
        <is>
          <t>Aseos y limpieza</t>
        </is>
      </c>
      <c r="C48" s="10" t="inlineStr">
        <is>
          <t>Hay papel, jabón y secamanos en todos los aseos</t>
        </is>
      </c>
      <c r="D48" s="11" t="n">
        <v>3</v>
      </c>
      <c r="E48" s="11" t="n">
        <v>3</v>
      </c>
      <c r="F48" s="5" t="n"/>
      <c r="G48" s="11" t="n">
        <v>3</v>
      </c>
      <c r="H48" s="5" t="n"/>
      <c r="I48" s="11" t="n">
        <v>3</v>
      </c>
      <c r="J48" s="5" t="n"/>
    </row>
    <row r="49">
      <c r="A49" s="9" t="n">
        <v>43</v>
      </c>
      <c r="B49" t="inlineStr">
        <is>
          <t>Aseos y limpieza</t>
        </is>
      </c>
      <c r="C49" s="10" t="inlineStr">
        <is>
          <t>Inodoros y lavabos sin suciedad visible</t>
        </is>
      </c>
      <c r="D49" s="11" t="n">
        <v>3</v>
      </c>
      <c r="E49" s="11" t="n">
        <v>4</v>
      </c>
      <c r="F49" s="5" t="n"/>
      <c r="G49" s="11" t="n">
        <v>4</v>
      </c>
      <c r="H49" s="5" t="n"/>
      <c r="I49" s="11" t="n">
        <v>4</v>
      </c>
      <c r="J49" s="5" t="n"/>
    </row>
    <row r="50">
      <c r="A50" s="9" t="n">
        <v>44</v>
      </c>
      <c r="B50" t="inlineStr">
        <is>
          <t>Aseos y limpieza</t>
        </is>
      </c>
      <c r="C50" s="10" t="inlineStr">
        <is>
          <t>Suelo del aseo seco y sin residuos</t>
        </is>
      </c>
      <c r="D50" s="11" t="n">
        <v>2</v>
      </c>
      <c r="E50" s="11" t="n">
        <v>5</v>
      </c>
      <c r="F50" s="5" t="n"/>
      <c r="G50" s="11" t="n">
        <v>5</v>
      </c>
      <c r="H50" s="5" t="n"/>
      <c r="I50" s="11" t="n">
        <v>4</v>
      </c>
      <c r="J50" s="5" t="n"/>
    </row>
    <row r="51">
      <c r="A51" s="9" t="n">
        <v>45</v>
      </c>
      <c r="B51" t="inlineStr">
        <is>
          <t>Aseos y limpieza</t>
        </is>
      </c>
      <c r="C51" s="10" t="inlineStr">
        <is>
          <t>Papelera con tapa y sin desbordar</t>
        </is>
      </c>
      <c r="D51" s="11" t="n">
        <v>2</v>
      </c>
      <c r="E51" s="11" t="n">
        <v>4</v>
      </c>
      <c r="F51" s="5" t="n"/>
      <c r="G51" s="11" t="n">
        <v>3</v>
      </c>
      <c r="H51" s="5" t="n"/>
      <c r="I51" s="11" t="n">
        <v>3</v>
      </c>
      <c r="J51" s="5" t="n"/>
    </row>
    <row r="52">
      <c r="A52" s="9" t="n">
        <v>46</v>
      </c>
      <c r="B52" t="inlineStr">
        <is>
          <t>Aseos y limpieza</t>
        </is>
      </c>
      <c r="C52" s="10" t="inlineStr">
        <is>
          <t>Espejo y grifería sin cal</t>
        </is>
      </c>
      <c r="D52" s="11" t="n">
        <v>1</v>
      </c>
      <c r="E52" s="11" t="n">
        <v>3</v>
      </c>
      <c r="F52" s="5" t="n"/>
      <c r="G52" s="11" t="n">
        <v>3</v>
      </c>
      <c r="H52" s="5" t="n"/>
      <c r="I52" s="11" t="n">
        <v>2</v>
      </c>
      <c r="J52" s="5" t="n"/>
    </row>
    <row r="53">
      <c r="A53" s="9" t="n">
        <v>47</v>
      </c>
      <c r="B53" t="inlineStr">
        <is>
          <t>Aseos y limpieza</t>
        </is>
      </c>
      <c r="C53" s="10" t="inlineStr">
        <is>
          <t>Olor neutro, sin ambientador que tape</t>
        </is>
      </c>
      <c r="D53" s="11" t="n">
        <v>2</v>
      </c>
      <c r="E53" s="11" t="n">
        <v>4</v>
      </c>
      <c r="F53" s="5" t="n"/>
      <c r="G53" s="11" t="n">
        <v>3</v>
      </c>
      <c r="H53" s="5" t="n"/>
      <c r="I53" s="11" t="n">
        <v>3</v>
      </c>
      <c r="J53" s="5" t="n"/>
    </row>
    <row r="54">
      <c r="A54" s="9" t="n">
        <v>48</v>
      </c>
      <c r="B54" t="inlineStr">
        <is>
          <t>Aseos y limpieza</t>
        </is>
      </c>
      <c r="C54" s="10" t="inlineStr">
        <is>
          <t>Aseo accesible señalizado y practicable</t>
        </is>
      </c>
      <c r="D54" s="11" t="n">
        <v>2</v>
      </c>
      <c r="E54" s="11" t="n">
        <v>5</v>
      </c>
      <c r="F54" s="5" t="n"/>
      <c r="G54" s="11" t="n">
        <v>5</v>
      </c>
      <c r="H54" s="5" t="n"/>
      <c r="I54" s="11" t="n">
        <v>4</v>
      </c>
      <c r="J54" s="5" t="n"/>
    </row>
    <row r="55">
      <c r="A55" s="9" t="n">
        <v>49</v>
      </c>
      <c r="B55" t="inlineStr">
        <is>
          <t>Aseos y limpieza</t>
        </is>
      </c>
      <c r="C55" s="10" t="inlineStr">
        <is>
          <t>Suelo de sala sin restos entre servicios</t>
        </is>
      </c>
      <c r="D55" s="11" t="n">
        <v>2</v>
      </c>
      <c r="E55" s="11" t="n">
        <v>5</v>
      </c>
      <c r="F55" s="5" t="n"/>
      <c r="G55" s="11" t="n">
        <v>4</v>
      </c>
      <c r="H55" s="5" t="n"/>
      <c r="I55" s="11" t="n">
        <v>4</v>
      </c>
      <c r="J55" s="5" t="n"/>
    </row>
    <row r="56">
      <c r="A56" s="9" t="n">
        <v>50</v>
      </c>
      <c r="B56" t="inlineStr">
        <is>
          <t>Aseos y limpieza</t>
        </is>
      </c>
      <c r="C56" s="10" t="inlineStr">
        <is>
          <t>Entrada, cristales y terraza limpios al abrir</t>
        </is>
      </c>
      <c r="D56" s="11" t="n">
        <v>2</v>
      </c>
      <c r="E56" s="11" t="n">
        <v>4</v>
      </c>
      <c r="F56" s="5" t="n"/>
      <c r="G56" s="11" t="n">
        <v>3</v>
      </c>
      <c r="H56" s="5" t="n"/>
      <c r="I56" s="11" t="n">
        <v>2</v>
      </c>
      <c r="J56" s="5" t="n"/>
    </row>
    <row r="57">
      <c r="A57" s="9" t="n">
        <v>51</v>
      </c>
      <c r="B57" t="inlineStr">
        <is>
          <t>Marca y digital</t>
        </is>
      </c>
      <c r="C57" s="10" t="inlineStr">
        <is>
          <t>La carta publicada en la web coincide con la de la sala</t>
        </is>
      </c>
      <c r="D57" s="11" t="n">
        <v>3</v>
      </c>
      <c r="E57" s="11" t="n">
        <v>2</v>
      </c>
      <c r="F57" s="5" t="n"/>
      <c r="G57" s="11" t="n">
        <v>2</v>
      </c>
      <c r="H57" s="5" t="n"/>
      <c r="I57" s="11" t="n">
        <v>3</v>
      </c>
      <c r="J57" s="5" t="n"/>
    </row>
    <row r="58">
      <c r="A58" s="9" t="n">
        <v>52</v>
      </c>
      <c r="B58" t="inlineStr">
        <is>
          <t>Marca y digital</t>
        </is>
      </c>
      <c r="C58" s="10" t="inlineStr">
        <is>
          <t>Los precios de la web y de las plataformas están actualizados</t>
        </is>
      </c>
      <c r="D58" s="11" t="n">
        <v>3</v>
      </c>
      <c r="E58" s="11" t="n">
        <v>2</v>
      </c>
      <c r="F58" s="5" t="n"/>
      <c r="G58" s="11" t="n">
        <v>3</v>
      </c>
      <c r="H58" s="5" t="n"/>
      <c r="I58" s="11" t="n">
        <v>4</v>
      </c>
      <c r="J58" s="5" t="n"/>
    </row>
    <row r="59">
      <c r="A59" s="9" t="n">
        <v>53</v>
      </c>
      <c r="B59" t="inlineStr">
        <is>
          <t>Marca y digital</t>
        </is>
      </c>
      <c r="C59" s="10" t="inlineStr">
        <is>
          <t>El horario publicado en Google coincide con el real, festivos incluidos</t>
        </is>
      </c>
      <c r="D59" s="11" t="n">
        <v>3</v>
      </c>
      <c r="E59" s="11" t="n">
        <v>3</v>
      </c>
      <c r="F59" s="5" t="n"/>
      <c r="G59" s="11" t="n">
        <v>4</v>
      </c>
      <c r="H59" s="5" t="n"/>
      <c r="I59" s="11" t="n">
        <v>5</v>
      </c>
      <c r="J59" s="5" t="n"/>
    </row>
    <row r="60">
      <c r="A60" s="9" t="n">
        <v>54</v>
      </c>
      <c r="B60" t="inlineStr">
        <is>
          <t>Marca y digital</t>
        </is>
      </c>
      <c r="C60" s="10" t="inlineStr">
        <is>
          <t>Las fotos publicadas corresponden a los platos actuales</t>
        </is>
      </c>
      <c r="D60" s="11" t="n">
        <v>2</v>
      </c>
      <c r="E60" s="11" t="n">
        <v>3</v>
      </c>
      <c r="F60" s="5" t="n"/>
      <c r="G60" s="11" t="n">
        <v>4</v>
      </c>
      <c r="H60" s="5" t="n"/>
      <c r="I60" s="11" t="n">
        <v>4</v>
      </c>
      <c r="J60" s="5" t="n"/>
    </row>
    <row r="61">
      <c r="A61" s="9" t="n">
        <v>55</v>
      </c>
      <c r="B61" t="inlineStr">
        <is>
          <t>Marca y digital</t>
        </is>
      </c>
      <c r="C61" s="10" t="inlineStr">
        <is>
          <t>Las reseñas de los últimos 30 días están respondidas</t>
        </is>
      </c>
      <c r="D61" s="11" t="n">
        <v>2</v>
      </c>
      <c r="E61" s="11" t="n">
        <v>2</v>
      </c>
      <c r="F61" s="5" t="n"/>
      <c r="G61" s="11" t="n">
        <v>3</v>
      </c>
      <c r="H61" s="5" t="n"/>
      <c r="I61" s="11" t="n">
        <v>3</v>
      </c>
      <c r="J61" s="5" t="n"/>
    </row>
    <row r="62">
      <c r="A62" s="9" t="n">
        <v>56</v>
      </c>
      <c r="B62" t="inlineStr">
        <is>
          <t>Marca y digital</t>
        </is>
      </c>
      <c r="C62" s="10" t="inlineStr">
        <is>
          <t>Teléfono y enlace de reserva visibles en el perfil</t>
        </is>
      </c>
      <c r="D62" s="11" t="n">
        <v>2</v>
      </c>
      <c r="E62" s="11" t="n">
        <v>2</v>
      </c>
      <c r="F62" s="5" t="n"/>
      <c r="G62" s="11" t="n">
        <v>3</v>
      </c>
      <c r="H62" s="5" t="n"/>
      <c r="I62" s="11" t="n">
        <v>3</v>
      </c>
      <c r="J62" s="5" t="n"/>
    </row>
    <row r="63">
      <c r="A63" s="9" t="n">
        <v>57</v>
      </c>
      <c r="B63" t="inlineStr">
        <is>
          <t>Marca y digital</t>
        </is>
      </c>
      <c r="C63" s="10" t="inlineStr">
        <is>
          <t>La información de alérgenos está también en la web</t>
        </is>
      </c>
      <c r="D63" s="11" t="n">
        <v>2</v>
      </c>
      <c r="E63" s="11" t="n">
        <v>3</v>
      </c>
      <c r="F63" s="5" t="n"/>
      <c r="G63" s="11" t="n">
        <v>4</v>
      </c>
      <c r="H63" s="5" t="n"/>
      <c r="I63" s="11" t="n">
        <v>4</v>
      </c>
      <c r="J63" s="5" t="n"/>
    </row>
    <row r="64">
      <c r="A64" s="9" t="n">
        <v>58</v>
      </c>
      <c r="B64" t="inlineStr">
        <is>
          <t>Marca y digital</t>
        </is>
      </c>
      <c r="C64" s="10" t="inlineStr">
        <is>
          <t>El cartel de la hoja de reclamaciones está a la vista</t>
        </is>
      </c>
      <c r="D64" s="11" t="n">
        <v>3</v>
      </c>
      <c r="E64" s="11" t="n">
        <v>4</v>
      </c>
      <c r="F64" s="5" t="n"/>
      <c r="G64" s="11" t="n">
        <v>4</v>
      </c>
      <c r="H64" s="5" t="n"/>
      <c r="I64" s="11" t="n">
        <v>5</v>
      </c>
      <c r="J64" s="5" t="n"/>
    </row>
    <row r="65">
      <c r="A65" s="9" t="n">
        <v>59</v>
      </c>
      <c r="B65" t="inlineStr">
        <is>
          <t>Marca y digital</t>
        </is>
      </c>
      <c r="C65" s="10" t="inlineStr">
        <is>
          <t>Los precios expuestos al público incluyen el IVA</t>
        </is>
      </c>
      <c r="D65" s="11" t="n">
        <v>3</v>
      </c>
      <c r="E65" s="11" t="n">
        <v>3</v>
      </c>
      <c r="F65" s="5" t="n"/>
      <c r="G65" s="11" t="n">
        <v>3</v>
      </c>
      <c r="H65" s="5" t="n"/>
      <c r="I65" s="11" t="n">
        <v>4</v>
      </c>
      <c r="J65" s="5" t="n"/>
    </row>
    <row r="66">
      <c r="A66" s="9" t="n">
        <v>60</v>
      </c>
      <c r="B66" t="inlineStr">
        <is>
          <t>Marca y digital</t>
        </is>
      </c>
      <c r="C66" s="10" t="inlineStr">
        <is>
          <t>Hay publicación en redes en el último mes</t>
        </is>
      </c>
      <c r="D66" s="11" t="n">
        <v>1</v>
      </c>
      <c r="E66" s="11" t="n">
        <v>2</v>
      </c>
      <c r="F66" s="5" t="n"/>
      <c r="G66" s="11" t="n">
        <v>2</v>
      </c>
      <c r="H66" s="5" t="n"/>
      <c r="I66" s="11" t="n">
        <v>3</v>
      </c>
      <c r="J66" s="5" t="n"/>
    </row>
    <row r="67">
      <c r="A67" s="3" t="inlineStr">
        <is>
          <t>RESULTADO POR VISITA — lo calcula el libro</t>
        </is>
      </c>
    </row>
    <row r="68">
      <c r="C68" t="inlineStr">
        <is>
          <t>Puntos valorados</t>
        </is>
      </c>
      <c r="E68" s="9">
        <f>SUMPRODUCT(--ISNUMBER(E$7:E$66))</f>
        <v>60.0</v>
      </c>
      <c r="G68" s="9">
        <f>SUMPRODUCT(--ISNUMBER(G$7:G$66))</f>
        <v>60.0</v>
      </c>
      <c r="I68" s="9">
        <f>SUMPRODUCT(--ISNUMBER(I$7:I$66))</f>
        <v>60.0</v>
      </c>
    </row>
    <row r="69">
      <c r="C69" t="inlineStr">
        <is>
          <t>Peso valorado</t>
        </is>
      </c>
      <c r="E69" s="9">
        <f>SUMPRODUCT($D$7:$D$66,--ISNUMBER(E$7:E$66))</f>
        <v>144.0</v>
      </c>
      <c r="G69" s="9">
        <f>SUMPRODUCT($D$7:$D$66,--ISNUMBER(G$7:G$66))</f>
        <v>144.0</v>
      </c>
      <c r="I69" s="9">
        <f>SUMPRODUCT($D$7:$D$66,--ISNUMBER(I$7:I$66))</f>
        <v>144.0</v>
      </c>
    </row>
    <row r="70">
      <c r="C70" t="inlineStr">
        <is>
          <t>Suma de peso por puntuación</t>
        </is>
      </c>
      <c r="E70" s="9">
        <f>IFERROR(SUMPRODUCT($D$7:$D$66,E$7:E$66),"")</f>
        <v>479.0</v>
      </c>
      <c r="G70" s="9">
        <f>IFERROR(SUMPRODUCT($D$7:$D$66,G$7:G$66),"")</f>
        <v>526.0</v>
      </c>
      <c r="I70" s="9">
        <f>IFERROR(SUMPRODUCT($D$7:$D$66,I$7:I$66),"")</f>
        <v>570.0</v>
      </c>
    </row>
    <row r="71">
      <c r="C71" s="6" t="inlineStr">
        <is>
          <t>PUNTUACIÓN PONDERADA (0-5)</t>
        </is>
      </c>
      <c r="E71" s="12">
        <f>IFERROR(IF(E$69=0,"",E$70/E$69),"")</f>
        <v>3.326388888888889</v>
      </c>
      <c r="G71" s="12">
        <f>IFERROR(IF(G$69=0,"",G$70/G$69),"")</f>
        <v>3.6527777777777777</v>
      </c>
      <c r="I71" s="12">
        <f>IFERROR(IF(I$69=0,"",I$70/I$69),"")</f>
        <v>3.9583333333333335</v>
      </c>
    </row>
    <row r="72">
      <c r="C72" s="6" t="inlineStr">
        <is>
          <t>CUMPLIMIENTO (%)</t>
        </is>
      </c>
      <c r="E72" s="13">
        <f>IFERROR(IF(OR(E$71="",$D$75=""),"",E$71/$D$75),"")</f>
        <v>0.6652777777777777</v>
      </c>
      <c r="G72" s="13">
        <f>IFERROR(IF(OR(G$71="",$D$75=""),"",G$71/$D$75),"")</f>
        <v>0.7305555555555555</v>
      </c>
      <c r="I72" s="13">
        <f>IFERROR(IF(OR(I$71="",$D$75=""),"",I$71/$D$75),"")</f>
        <v>0.7916666666666667</v>
      </c>
    </row>
    <row r="73">
      <c r="C73" t="inlineStr">
        <is>
          <t>Media simple (0-5)</t>
        </is>
      </c>
      <c r="E73" s="14">
        <f>IFERROR(IF(E$68=0,"",AVERAGE(E$7:E$66)),"")</f>
        <v>3.3333333333333335</v>
      </c>
      <c r="G73" s="14">
        <f>IFERROR(IF(G$68=0,"",AVERAGE(G$7:G$66)),"")</f>
        <v>3.65</v>
      </c>
      <c r="I73" s="14">
        <f>IFERROR(IF(I$68=0,"",AVERAGE(I$7:I$66)),"")</f>
        <v>3.9166666666666665</v>
      </c>
    </row>
    <row r="74">
      <c r="A74" s="3" t="inlineStr">
        <is>
          <t>PARÁMETROS DEL LIBRO — celdas verdes</t>
        </is>
      </c>
    </row>
    <row r="75">
      <c r="C75" t="inlineStr">
        <is>
          <t>Escala máxima de puntuación</t>
        </is>
      </c>
      <c r="D75" s="11" t="n">
        <v>5</v>
      </c>
      <c r="F75" s="4" t="inlineStr">
        <is>
          <t>Con qué nota máxima puntúas. De aquí sale el porcentaje de cumplimiento.</t>
        </is>
      </c>
    </row>
    <row r="76">
      <c r="C76" t="inlineStr">
        <is>
          <t>Umbral verde (0-5)</t>
        </is>
      </c>
      <c r="D76" s="15" t="n">
        <v>4</v>
      </c>
      <c r="F76" s="4" t="inlineStr">
        <is>
          <t>A partir de esta puntuación, la celda se pone en verde: es tu estándar cumplido.</t>
        </is>
      </c>
    </row>
    <row r="77">
      <c r="C77" t="inlineStr">
        <is>
          <t>Umbral ámbar (0-5)</t>
        </is>
      </c>
      <c r="D77" s="15" t="n">
        <v>3</v>
      </c>
      <c r="F77" s="4" t="inlineStr">
        <is>
          <t>Por debajo de esta puntuación, rojo: no es un matiz, es algo que hay que arreglar antes de la próxima visita.</t>
        </is>
      </c>
    </row>
    <row r="78">
      <c r="C78" t="inlineStr">
        <is>
          <t>Tolerancia para leer la tendencia (puntos)</t>
        </is>
      </c>
      <c r="D78" s="15" t="n">
        <v>0.05</v>
      </c>
      <c r="F78" s="4" t="inlineStr">
        <is>
          <t>Por debajo de esta diferencia entre la primera visita y la última, el área se lee como «Igual»: no toda oscilación es una tendencia.</t>
        </is>
      </c>
    </row>
    <row r="79"/>
    <row r="80">
      <c r="C80" s="4" t="inlineStr">
        <is>
          <t>Un punto con peso 3 y puntuación 2 pesa seis veces más en el resultado que un punto con peso 1 y la misma nota. Por eso los pesos se ponen ANTES de auditar, no después de ver el resultado.</t>
        </is>
      </c>
    </row>
  </sheetData>
  <sheetProtection selectLockedCells="0" selectUnlockedCells="0" sheet="1" objects="0" insertRows="0" insertHyperlinks="1" autoFilter="1" scenarios="0" formatColumns="0" deleteColumns="1" insertColumns="1" pivotTables="1" deleteRows="1" formatCells="1" formatRows="0" sort="0"/>
  <conditionalFormatting sqref="E7:I66">
    <cfRule type="expression" priority="1" dxfId="0" stopIfTrue="1">
      <formula>=AND(ISNUMBER($E7),$E7&gt;=$D$76)</formula>
    </cfRule>
    <cfRule type="expression" priority="2" dxfId="1" stopIfTrue="1">
      <formula>=AND(ISNUMBER($E7),$E7&gt;=$D$77)</formula>
    </cfRule>
    <cfRule type="expression" priority="3" dxfId="2" stopIfTrue="1">
      <formula>=AND(ISNUMBER($E7),$E7&lt;$D$77)</formula>
    </cfRule>
  </conditionalFormatting>
  <conditionalFormatting sqref="E71:I71">
    <cfRule type="expression" priority="4" dxfId="0" stopIfTrue="1">
      <formula>=AND(ISNUMBER(E$71),E$71&gt;=$D$76)</formula>
    </cfRule>
    <cfRule type="expression" priority="5" dxfId="1" stopIfTrue="1">
      <formula>=AND(ISNUMBER(E$71),E$71&gt;=$D$77)</formula>
    </cfRule>
    <cfRule type="expression" priority="6" dxfId="2" stopIfTrue="1">
      <formula>=AND(ISNUMBER(E$71),E$71&lt;$D$77)</formula>
    </cfRule>
  </conditionalFormatting>
  <dataValidations count="5">
    <dataValidation sqref="E3 G3 I3" showDropDown="0" showInputMessage="0" showErrorMessage="1" allowBlank="1" errorTitle="Fecha no válida" error="Escribe una fecha (dd/mm/aaaa) entre 2020 y 2040." type="date" operator="between">
      <formula1>DATE(2020,1,1)</formula1>
      <formula2>DATE(2040,12,31)</formula2>
    </dataValidation>
    <dataValidation sqref="D7 D8 D9 D10 D11 D12 D13 D14 D15 D16 D17 D18 D19 D20 D21 D22 D23 D24 D25 D26 D27 D28 D29 D30 D31 D32 D33 D34 D35 D36 D37 D38 D39 D40 D41 D42 D43 D44 D45 D46 D47 D48 D49 D50 D51 D52 D53 D54 D55 D56 D57 D58 D59 D60 D61 D62 D63 D64 D65 D66" showDropDown="0" showInputMessage="0" showErrorMessage="1" allowBlank="1" errorTitle="Peso (1-3)" error="1 conviene, 2 importa, 3 es innegociable en tu estándar." type="decimal" operator="between">
      <formula1>1</formula1>
      <formula2>3</formula2>
    </dataValidation>
    <dataValidation sqref="E7 E8 E9 E10 E11 E12 E13 E14 E15 E16 E17 E18 E19 E20 E21 E22 E23 E24 E25 E26 E27 E28 E29 E30 E31 E32 E33 E34 E35 E36 E37 E38 E39 E40 E41 E42 E43 E44 E45 E46 E47 E48 E49 E50 E51 E52 E53 E54 E55 E56 E57 E58 E59 E60 E61 E62 E63 E64 E65 E66 G7 G8 G9 G10 G11 G12 G13 G14 G15 G16 G17 G18 G19 G20 G21 G22 G23 G24 G25 G26 G27 G28 G29 G30 G31 G32 G33 G34 G35 G36 G37 G38 G39 G40 G41 G42 G43 G44 G45 G46 G47 G48 G49 G50 G51 G52 G53 G54 G55 G56 G57 G58 G59 G60 G61 G62 G63 G64 G65 G66 I7 I8 I9 I10 I11 I12 I13 I14 I15 I16 I17 I18 I19 I20 I21 I22 I23 I24 I25 I26 I27 I28 I29 I30 I31 I32 I33 I34 I35 I36 I37 I38 I39 I40 I41 I42 I43 I44 I45 I46 I47 I48 I49 I50 I51 I52 I53 I54 I55 I56 I57 I58 I59 I60 I61 I62 I63 I64 I65 I66" showDropDown="0" showInputMessage="0" showErrorMessage="1" allowBlank="1" errorTitle="Puntuación (0-5)" error="Puntúa de 0 a 5. Si el punto NO aplica en tu casa, deja la celda vacía: su peso sale del cálculo." type="decimal" operator="between">
      <formula1>0</formula1>
      <formula2>5</formula2>
    </dataValidation>
    <dataValidation sqref="D75" showDropDown="0" showInputMessage="0" showErrorMessage="1" allowBlank="1" errorTitle="Escala máxima" error="Escribe la nota máxima de tu escala (por defecto 5)." type="decimal" operator="between">
      <formula1>1</formula1>
      <formula2>10</formula2>
    </dataValidation>
    <dataValidation sqref="D76 D77 D78" showDropDown="0" showInputMessage="0" showErrorMessage="1" allowBlank="1" errorTitle="Umbral o tolerancia" error="Escribe un valor de la misma escala que las puntuaciones." type="decimal" operator="between">
      <formula1>0</formula1>
      <formula2>10</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19"/>
  <sheetViews>
    <sheetView workbookViewId="0">
      <selection activeCell="A1" sqref="A1"/>
    </sheetView>
  </sheetViews>
  <sheetFormatPr baseColWidth="8" defaultRowHeight="15"/>
  <cols>
    <col width="28" customWidth="1" min="1" max="1"/>
    <col width="12" customWidth="1" min="2" max="2"/>
    <col width="12" customWidth="1" min="3" max="3"/>
    <col width="13" customWidth="1" min="4" max="4"/>
    <col width="13" customWidth="1" min="5" max="5"/>
    <col width="13" customWidth="1" min="6" max="6"/>
    <col width="13" customWidth="1" min="7" max="7"/>
    <col width="15" customWidth="1" min="8" max="8"/>
    <col width="14" customWidth="1" min="9" max="9"/>
    <col width="46" customWidth="1" min="10" max="10"/>
  </cols>
  <sheetData>
    <row r="1">
      <c r="A1" s="1" t="inlineStr">
        <is>
          <t>Resumen por área — lo que la media global esconde</t>
        </is>
      </c>
    </row>
    <row r="2">
      <c r="A2" s="2" t="inlineStr">
        <is>
          <t>AI Chef Pro · aichef.pro — Manual del Manager de Restaurante</t>
        </is>
      </c>
    </row>
    <row r="3">
      <c r="A3" s="3" t="inlineStr">
        <is>
          <t>PARÁMETROS EN VIGOR — se leen de la hoja «Auditoría»; cámbialos allí, no aquí</t>
        </is>
      </c>
    </row>
    <row r="4">
      <c r="A4" t="inlineStr">
        <is>
          <t>Escala máxima de puntuación</t>
        </is>
      </c>
      <c r="D4" s="16">
        <f>IF(Auditoría!$D$75="","",Auditoría!$D$75)</f>
        <v>5.0</v>
      </c>
    </row>
    <row r="5">
      <c r="A5" t="inlineStr">
        <is>
          <t>Umbral verde (0-5)</t>
        </is>
      </c>
      <c r="D5" s="17">
        <f>IF(Auditoría!$D$76="","",Auditoría!$D$76)</f>
        <v>4.0</v>
      </c>
    </row>
    <row r="6">
      <c r="A6" t="inlineStr">
        <is>
          <t>Umbral ámbar (0-5)</t>
        </is>
      </c>
      <c r="D6" s="17">
        <f>IF(Auditoría!$D$77="","",Auditoría!$D$77)</f>
        <v>3.0</v>
      </c>
    </row>
    <row r="7">
      <c r="A7" t="inlineStr">
        <is>
          <t>Tolerancia para leer la tendencia (puntos)</t>
        </is>
      </c>
      <c r="D7" s="17">
        <f>IF(Auditoría!$D$78="","",Auditoría!$D$78)</f>
        <v>0.05</v>
      </c>
    </row>
    <row r="8"/>
    <row r="9" ht="40" customHeight="1">
      <c r="A9" s="8" t="inlineStr">
        <is>
          <t>Área</t>
        </is>
      </c>
      <c r="B9" s="8" t="inlineStr">
        <is>
          <t>Puntos de control</t>
        </is>
      </c>
      <c r="C9" s="8" t="inlineStr">
        <is>
          <t>Peso del área</t>
        </is>
      </c>
      <c r="D9" s="8" t="inlineStr">
        <is>
          <t>Visita 1 (0-5)</t>
        </is>
      </c>
      <c r="E9" s="8" t="inlineStr">
        <is>
          <t>Visita 2 (0-5)</t>
        </is>
      </c>
      <c r="F9" s="8" t="inlineStr">
        <is>
          <t>Visita 3 (0-5)</t>
        </is>
      </c>
      <c r="G9" s="8" t="inlineStr">
        <is>
          <t>Variación de la visita 1 a la 3</t>
        </is>
      </c>
      <c r="H9" s="8" t="inlineStr">
        <is>
          <t>Tendencia</t>
        </is>
      </c>
      <c r="I9" s="8" t="inlineStr">
        <is>
          <t>Cumplimiento visita 3 (%)</t>
        </is>
      </c>
      <c r="J9" s="8" t="inlineStr">
        <is>
          <t>Notas</t>
        </is>
      </c>
    </row>
    <row r="10">
      <c r="A10" t="inlineStr">
        <is>
          <t>Llegada y reserva</t>
        </is>
      </c>
      <c r="B10" s="9">
        <f>COUNTIF(Auditoría!$B$7:$B$66,$A10)</f>
        <v>10.0</v>
      </c>
      <c r="C10" s="9">
        <f>IFERROR(SUMPRODUCT(--(Auditoría!$B$7:$B$66=$A10),Auditoría!$D$7:$D$66),"")</f>
        <v>24.0</v>
      </c>
      <c r="D10" s="14">
        <f>IFERROR(SUMPRODUCT(--(Auditoría!$B$7:$B$66=$A10),Auditoría!$D$7:$D$66,Auditoría!$E$7:$E$66)/SUMPRODUCT(--(Auditoría!$B$7:$B$66=$A10),Auditoría!$D$7:$D$66,--ISNUMBER(Auditoría!$E$7:$E$66)),"")</f>
        <v>3.25</v>
      </c>
      <c r="E10" s="14">
        <f>IFERROR(SUMPRODUCT(--(Auditoría!$B$7:$B$66=$A10),Auditoría!$D$7:$D$66,Auditoría!$G$7:$G$66)/SUMPRODUCT(--(Auditoría!$B$7:$B$66=$A10),Auditoría!$D$7:$D$66,--ISNUMBER(Auditoría!$G$7:$G$66)),"")</f>
        <v>3.7083333333333335</v>
      </c>
      <c r="F10" s="14">
        <f>IFERROR(SUMPRODUCT(--(Auditoría!$B$7:$B$66=$A10),Auditoría!$D$7:$D$66,Auditoría!$I$7:$I$66)/SUMPRODUCT(--(Auditoría!$B$7:$B$66=$A10),Auditoría!$D$7:$D$66,--ISNUMBER(Auditoría!$I$7:$I$66)),"")</f>
        <v>4.125</v>
      </c>
      <c r="G10" s="14">
        <f>IFERROR(IF(OR($D10="",$F10=""),"",$F10-$D10),"")</f>
        <v>0.875</v>
      </c>
      <c r="H10" s="6" t="str">
        <f>IFERROR(IF(OR($D10="",$F10=""),"",IF($F10-$D10&gt;$D$7,"Mejora",IF($D10-$F10&gt;$D$7,"Empeora","Igual"))),"")</f>
        <v>Mejora</v>
      </c>
      <c r="I10" s="18">
        <f>IFERROR(IF(OR($F10="",$D$4=""),"",$F10/$D$4),"")</f>
        <v>0.825</v>
      </c>
      <c r="J10" s="5" t="n"/>
    </row>
    <row r="11">
      <c r="A11" t="inlineStr">
        <is>
          <t>Sala y ambiente</t>
        </is>
      </c>
      <c r="B11" s="9">
        <f>COUNTIF(Auditoría!$B$7:$B$66,$A11)</f>
        <v>10.0</v>
      </c>
      <c r="C11" s="9">
        <f>IFERROR(SUMPRODUCT(--(Auditoría!$B$7:$B$66=$A11),Auditoría!$D$7:$D$66),"")</f>
        <v>23.0</v>
      </c>
      <c r="D11" s="14">
        <f>IFERROR(SUMPRODUCT(--(Auditoría!$B$7:$B$66=$A11),Auditoría!$D$7:$D$66,Auditoría!$E$7:$E$66)/SUMPRODUCT(--(Auditoría!$B$7:$B$66=$A11),Auditoría!$D$7:$D$66,--ISNUMBER(Auditoría!$E$7:$E$66)),"")</f>
        <v>3.5217391304347827</v>
      </c>
      <c r="E11" s="14">
        <f>IFERROR(SUMPRODUCT(--(Auditoría!$B$7:$B$66=$A11),Auditoría!$D$7:$D$66,Auditoría!$G$7:$G$66)/SUMPRODUCT(--(Auditoría!$B$7:$B$66=$A11),Auditoría!$D$7:$D$66,--ISNUMBER(Auditoría!$G$7:$G$66)),"")</f>
        <v>3.9130434782608696</v>
      </c>
      <c r="F11" s="14">
        <f>IFERROR(SUMPRODUCT(--(Auditoría!$B$7:$B$66=$A11),Auditoría!$D$7:$D$66,Auditoría!$I$7:$I$66)/SUMPRODUCT(--(Auditoría!$B$7:$B$66=$A11),Auditoría!$D$7:$D$66,--ISNUMBER(Auditoría!$I$7:$I$66)),"")</f>
        <v>4.173913043478261</v>
      </c>
      <c r="G11" s="14">
        <f>IFERROR(IF(OR($D11="",$F11=""),"",$F11-$D11),"")</f>
        <v>0.652173913043478</v>
      </c>
      <c r="H11" s="6" t="str">
        <f>IFERROR(IF(OR($D11="",$F11=""),"",IF($F11-$D11&gt;$D$7,"Mejora",IF($D11-$F11&gt;$D$7,"Empeora","Igual"))),"")</f>
        <v>Mejora</v>
      </c>
      <c r="I11" s="18">
        <f>IFERROR(IF(OR($F11="",$D$4=""),"",$F11/$D$4),"")</f>
        <v>0.8347826086956521</v>
      </c>
      <c r="J11" s="5" t="n"/>
    </row>
    <row r="12">
      <c r="A12" t="inlineStr">
        <is>
          <t>Servicio y tiempos</t>
        </is>
      </c>
      <c r="B12" s="9">
        <f>COUNTIF(Auditoría!$B$7:$B$66,$A12)</f>
        <v>10.0</v>
      </c>
      <c r="C12" s="9">
        <f>IFERROR(SUMPRODUCT(--(Auditoría!$B$7:$B$66=$A12),Auditoría!$D$7:$D$66),"")</f>
        <v>27.0</v>
      </c>
      <c r="D12" s="14">
        <f>IFERROR(SUMPRODUCT(--(Auditoría!$B$7:$B$66=$A12),Auditoría!$D$7:$D$66,Auditoría!$E$7:$E$66)/SUMPRODUCT(--(Auditoría!$B$7:$B$66=$A12),Auditoría!$D$7:$D$66,--ISNUMBER(Auditoría!$E$7:$E$66)),"")</f>
        <v>2.925925925925926</v>
      </c>
      <c r="E12" s="14">
        <f>IFERROR(SUMPRODUCT(--(Auditoría!$B$7:$B$66=$A12),Auditoría!$D$7:$D$66,Auditoría!$G$7:$G$66)/SUMPRODUCT(--(Auditoría!$B$7:$B$66=$A12),Auditoría!$D$7:$D$66,--ISNUMBER(Auditoría!$G$7:$G$66)),"")</f>
        <v>3.5185185185185186</v>
      </c>
      <c r="F12" s="14">
        <f>IFERROR(SUMPRODUCT(--(Auditoría!$B$7:$B$66=$A12),Auditoría!$D$7:$D$66,Auditoría!$I$7:$I$66)/SUMPRODUCT(--(Auditoría!$B$7:$B$66=$A12),Auditoría!$D$7:$D$66,--ISNUMBER(Auditoría!$I$7:$I$66)),"")</f>
        <v>4.037037037037037</v>
      </c>
      <c r="G12" s="14">
        <f>IFERROR(IF(OR($D12="",$F12=""),"",$F12-$D12),"")</f>
        <v>1.1111111111111112</v>
      </c>
      <c r="H12" s="6" t="str">
        <f>IFERROR(IF(OR($D12="",$F12=""),"",IF($F12-$D12&gt;$D$7,"Mejora",IF($D12-$F12&gt;$D$7,"Empeora","Igual"))),"")</f>
        <v>Mejora</v>
      </c>
      <c r="I12" s="18">
        <f>IFERROR(IF(OR($F12="",$D$4=""),"",$F12/$D$4),"")</f>
        <v>0.8074074074074075</v>
      </c>
      <c r="J12" s="5" t="n"/>
    </row>
    <row r="13">
      <c r="A13" t="inlineStr">
        <is>
          <t>Producto y presentación</t>
        </is>
      </c>
      <c r="B13" s="9">
        <f>COUNTIF(Auditoría!$B$7:$B$66,$A13)</f>
        <v>10.0</v>
      </c>
      <c r="C13" s="9">
        <f>IFERROR(SUMPRODUCT(--(Auditoría!$B$7:$B$66=$A13),Auditoría!$D$7:$D$66),"")</f>
        <v>24.0</v>
      </c>
      <c r="D13" s="14">
        <f>IFERROR(SUMPRODUCT(--(Auditoría!$B$7:$B$66=$A13),Auditoría!$D$7:$D$66,Auditoría!$E$7:$E$66)/SUMPRODUCT(--(Auditoría!$B$7:$B$66=$A13),Auditoría!$D$7:$D$66,--ISNUMBER(Auditoría!$E$7:$E$66)),"")</f>
        <v>3.75</v>
      </c>
      <c r="E13" s="14">
        <f>IFERROR(SUMPRODUCT(--(Auditoría!$B$7:$B$66=$A13),Auditoría!$D$7:$D$66,Auditoría!$G$7:$G$66)/SUMPRODUCT(--(Auditoría!$B$7:$B$66=$A13),Auditoría!$D$7:$D$66,--ISNUMBER(Auditoría!$G$7:$G$66)),"")</f>
        <v>3.9583333333333335</v>
      </c>
      <c r="F13" s="14">
        <f>IFERROR(SUMPRODUCT(--(Auditoría!$B$7:$B$66=$A13),Auditoría!$D$7:$D$66,Auditoría!$I$7:$I$66)/SUMPRODUCT(--(Auditoría!$B$7:$B$66=$A13),Auditoría!$D$7:$D$66,--ISNUMBER(Auditoría!$I$7:$I$66)),"")</f>
        <v>4.291666666666667</v>
      </c>
      <c r="G13" s="14">
        <f>IFERROR(IF(OR($D13="",$F13=""),"",$F13-$D13),"")</f>
        <v>0.541666666666667</v>
      </c>
      <c r="H13" s="6" t="str">
        <f>IFERROR(IF(OR($D13="",$F13=""),"",IF($F13-$D13&gt;$D$7,"Mejora",IF($D13-$F13&gt;$D$7,"Empeora","Igual"))),"")</f>
        <v>Mejora</v>
      </c>
      <c r="I13" s="18">
        <f>IFERROR(IF(OR($F13="",$D$4=""),"",$F13/$D$4),"")</f>
        <v>0.8583333333333334</v>
      </c>
      <c r="J13" s="5" t="n"/>
    </row>
    <row r="14">
      <c r="A14" t="inlineStr">
        <is>
          <t>Aseos y limpieza</t>
        </is>
      </c>
      <c r="B14" s="9">
        <f>COUNTIF(Auditoría!$B$7:$B$66,$A14)</f>
        <v>10.0</v>
      </c>
      <c r="C14" s="9">
        <f>IFERROR(SUMPRODUCT(--(Auditoría!$B$7:$B$66=$A14),Auditoría!$D$7:$D$66),"")</f>
        <v>22.0</v>
      </c>
      <c r="D14" s="14">
        <f>IFERROR(SUMPRODUCT(--(Auditoría!$B$7:$B$66=$A14),Auditoría!$D$7:$D$66,Auditoría!$E$7:$E$66)/SUMPRODUCT(--(Auditoría!$B$7:$B$66=$A14),Auditoría!$D$7:$D$66,--ISNUMBER(Auditoría!$E$7:$E$66)),"")</f>
        <v>3.9545454545454546</v>
      </c>
      <c r="E14" s="14">
        <f>IFERROR(SUMPRODUCT(--(Auditoría!$B$7:$B$66=$A14),Auditoría!$D$7:$D$66,Auditoría!$G$7:$G$66)/SUMPRODUCT(--(Auditoría!$B$7:$B$66=$A14),Auditoría!$D$7:$D$66,--ISNUMBER(Auditoría!$G$7:$G$66)),"")</f>
        <v>3.590909090909091</v>
      </c>
      <c r="F14" s="14">
        <f>IFERROR(SUMPRODUCT(--(Auditoría!$B$7:$B$66=$A14),Auditoría!$D$7:$D$66,Auditoría!$I$7:$I$66)/SUMPRODUCT(--(Auditoría!$B$7:$B$66=$A14),Auditoría!$D$7:$D$66,--ISNUMBER(Auditoría!$I$7:$I$66)),"")</f>
        <v>3.1363636363636362</v>
      </c>
      <c r="G14" s="14">
        <f>IFERROR(IF(OR($D14="",$F14=""),"",$F14-$D14),"")</f>
        <v>-0.8181818181818183</v>
      </c>
      <c r="H14" s="6" t="str">
        <f>IFERROR(IF(OR($D14="",$F14=""),"",IF($F14-$D14&gt;$D$7,"Mejora",IF($D14-$F14&gt;$D$7,"Empeora","Igual"))),"")</f>
        <v>Empeora</v>
      </c>
      <c r="I14" s="18">
        <f>IFERROR(IF(OR($F14="",$D$4=""),"",$F14/$D$4),"")</f>
        <v>0.6272727272727272</v>
      </c>
      <c r="J14" s="5" t="n"/>
    </row>
    <row r="15">
      <c r="A15" t="inlineStr">
        <is>
          <t>Marca y digital</t>
        </is>
      </c>
      <c r="B15" s="9">
        <f>COUNTIF(Auditoría!$B$7:$B$66,$A15)</f>
        <v>10.0</v>
      </c>
      <c r="C15" s="9">
        <f>IFERROR(SUMPRODUCT(--(Auditoría!$B$7:$B$66=$A15),Auditoría!$D$7:$D$66),"")</f>
        <v>24.0</v>
      </c>
      <c r="D15" s="14">
        <f>IFERROR(SUMPRODUCT(--(Auditoría!$B$7:$B$66=$A15),Auditoría!$D$7:$D$66,Auditoría!$E$7:$E$66)/SUMPRODUCT(--(Auditoría!$B$7:$B$66=$A15),Auditoría!$D$7:$D$66,--ISNUMBER(Auditoría!$E$7:$E$66)),"")</f>
        <v>2.6666666666666665</v>
      </c>
      <c r="E15" s="14">
        <f>IFERROR(SUMPRODUCT(--(Auditoría!$B$7:$B$66=$A15),Auditoría!$D$7:$D$66,Auditoría!$G$7:$G$66)/SUMPRODUCT(--(Auditoría!$B$7:$B$66=$A15),Auditoría!$D$7:$D$66,--ISNUMBER(Auditoría!$G$7:$G$66)),"")</f>
        <v>3.25</v>
      </c>
      <c r="F15" s="14">
        <f>IFERROR(SUMPRODUCT(--(Auditoría!$B$7:$B$66=$A15),Auditoría!$D$7:$D$66,Auditoría!$I$7:$I$66)/SUMPRODUCT(--(Auditoría!$B$7:$B$66=$A15),Auditoría!$D$7:$D$66,--ISNUMBER(Auditoría!$I$7:$I$66)),"")</f>
        <v>3.9166666666666665</v>
      </c>
      <c r="G15" s="14">
        <f>IFERROR(IF(OR($D15="",$F15=""),"",$F15-$D15),"")</f>
        <v>1.25</v>
      </c>
      <c r="H15" s="6" t="str">
        <f>IFERROR(IF(OR($D15="",$F15=""),"",IF($F15-$D15&gt;$D$7,"Mejora",IF($D15-$F15&gt;$D$7,"Empeora","Igual"))),"")</f>
        <v>Mejora</v>
      </c>
      <c r="I15" s="18">
        <f>IFERROR(IF(OR($F15="",$D$4=""),"",$F15/$D$4),"")</f>
        <v>0.7833333333333333</v>
      </c>
      <c r="J15" s="5" t="n"/>
    </row>
    <row r="16">
      <c r="A16" s="19" t="inlineStr">
        <is>
          <t>TOTAL (todas las áreas)</t>
        </is>
      </c>
      <c r="B16" s="20">
        <f>COUNTIF(Auditoría!$B$7:$B$66,"&lt;&gt;")</f>
        <v>60.0</v>
      </c>
      <c r="C16" s="20">
        <f>IFERROR(SUM(Auditoría!$D$7:$D$66),"")</f>
        <v>144.0</v>
      </c>
      <c r="D16" s="12">
        <f>IFERROR(IF(Auditoría!E$71="","",Auditoría!E$71),"")</f>
        <v>3.326388888888889</v>
      </c>
      <c r="E16" s="12">
        <f>IFERROR(IF(Auditoría!G$71="","",Auditoría!G$71),"")</f>
        <v>3.6527777777777777</v>
      </c>
      <c r="F16" s="12">
        <f>IFERROR(IF(Auditoría!I$71="","",Auditoría!I$71),"")</f>
        <v>3.9583333333333335</v>
      </c>
      <c r="G16" s="12">
        <f>IFERROR(IF(OR($D16="",$F16=""),"",$F16-$D16),"")</f>
        <v>0.6319444444444446</v>
      </c>
      <c r="H16" s="19" t="str">
        <f>IFERROR(IF(OR($D16="",$F16=""),"",IF($F16-$D16&gt;$D$7,"Mejora",IF($D16-$F16&gt;$D$7,"Empeora","Igual"))),"")</f>
        <v>Mejora</v>
      </c>
      <c r="I16" s="13">
        <f>IFERROR(IF(OR($F16="",$D$4=""),"",$F16/$D$4),"")</f>
        <v>0.7916666666666667</v>
      </c>
    </row>
    <row r="17"/>
    <row r="18">
      <c r="A18" s="4" t="inlineStr">
        <is>
          <t>Mira la fila TOTAL y las seis de arriba a la vez. Si el total mejora y un área empeora, la mejora del resto está tapando un agujero que el cliente sí ve.</t>
        </is>
      </c>
    </row>
    <row r="19">
      <c r="A19" s="4" t="inlineStr">
        <is>
          <t>La variación son PUNTOS de la escala, no porcentaje: la resta directa entre la tercera visita y la primera.</t>
        </is>
      </c>
    </row>
  </sheetData>
  <sheetProtection selectLockedCells="0" selectUnlockedCells="0" sheet="1" objects="0" insertRows="0" insertHyperlinks="1" autoFilter="1" scenarios="0" formatColumns="0" deleteColumns="1" insertColumns="1" pivotTables="1" deleteRows="1" formatCells="1" formatRows="0" sort="0"/>
  <conditionalFormatting sqref="D10:F16">
    <cfRule type="expression" priority="1" dxfId="0" stopIfTrue="1">
      <formula>=AND(ISNUMBER($D10),$D10&gt;=$D$5)</formula>
    </cfRule>
    <cfRule type="expression" priority="2" dxfId="1" stopIfTrue="1">
      <formula>=AND(ISNUMBER($D10),$D10&gt;=$D$6)</formula>
    </cfRule>
    <cfRule type="expression" priority="3" dxfId="2" stopIfTrue="1">
      <formula>=AND(ISNUMBER($D10),$D10&lt;$D$6)</formula>
    </cfRule>
  </conditionalFormatting>
  <conditionalFormatting sqref="H10:H16">
    <cfRule type="cellIs" priority="4" operator="equal" dxfId="0" stopIfTrue="1">
      <formula>"Mejora"</formula>
    </cfRule>
    <cfRule type="cellIs" priority="5" operator="equal" dxfId="2" stopIfTrue="1">
      <formula>"Empeora"</formula>
    </cfRule>
    <cfRule type="cellIs" priority="6" operator="equal" dxfId="3" stopIfTrue="1">
      <formula>"Igual"</formula>
    </cfRule>
  </conditionalFormatting>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18"/>
  <sheetViews>
    <sheetView workbookViewId="0">
      <selection activeCell="A1" sqref="A1"/>
    </sheetView>
  </sheetViews>
  <sheetFormatPr baseColWidth="8" defaultRowHeight="15"/>
  <cols>
    <col width="9" customWidth="1" min="1" max="1"/>
    <col width="14" customWidth="1" min="2" max="2"/>
    <col width="28" customWidth="1" min="3" max="3"/>
    <col width="15"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46" customWidth="1" min="12" max="12"/>
  </cols>
  <sheetData>
    <row r="1">
      <c r="A1" s="1" t="inlineStr">
        <is>
          <t>Histórico — una visita es una foto; tres son una tendencia</t>
        </is>
      </c>
    </row>
    <row r="2">
      <c r="A2" s="2" t="inlineStr">
        <is>
          <t>AI Chef Pro · aichef.pro — Manual del Manager de Restaurante</t>
        </is>
      </c>
    </row>
    <row r="3">
      <c r="C3" t="inlineStr">
        <is>
          <t>Umbral verde (0-5), en vigor</t>
        </is>
      </c>
      <c r="D3" s="17">
        <f>IF('Resumen por Área'!$D$5="","",'Resumen por Área'!$D$5)</f>
        <v>4.0</v>
      </c>
      <c r="F3" t="inlineStr">
        <is>
          <t>Los umbrales se cambian en la hoja «Auditoría»; aquí sólo se leen.</t>
        </is>
      </c>
    </row>
    <row r="4">
      <c r="C4" t="inlineStr">
        <is>
          <t>Umbral ámbar (0-5), en vigor</t>
        </is>
      </c>
      <c r="D4" s="17">
        <f>IF('Resumen por Área'!$D$6="","",'Resumen por Área'!$D$6)</f>
        <v>3.0</v>
      </c>
    </row>
    <row r="5" ht="40" customHeight="1">
      <c r="A5" s="8" t="inlineStr">
        <is>
          <t>Visita</t>
        </is>
      </c>
      <c r="B5" s="8" t="inlineStr">
        <is>
          <t>Fecha</t>
        </is>
      </c>
      <c r="C5" s="8" t="inlineStr">
        <is>
          <t>Auditor</t>
        </is>
      </c>
      <c r="D5" s="8" t="inlineStr">
        <is>
          <t>Puntuación ponderada (0-5)</t>
        </is>
      </c>
      <c r="E5" s="8" t="inlineStr">
        <is>
          <t>Cumplimiento (%)</t>
        </is>
      </c>
      <c r="F5" s="8" t="inlineStr">
        <is>
          <t>Llegada y reserva</t>
        </is>
      </c>
      <c r="G5" s="8" t="inlineStr">
        <is>
          <t>Sala y ambiente</t>
        </is>
      </c>
      <c r="H5" s="8" t="inlineStr">
        <is>
          <t>Servicio y tiempos</t>
        </is>
      </c>
      <c r="I5" s="8" t="inlineStr">
        <is>
          <t>Producto y presentación</t>
        </is>
      </c>
      <c r="J5" s="8" t="inlineStr">
        <is>
          <t>Aseos y limpieza</t>
        </is>
      </c>
      <c r="K5" s="8" t="inlineStr">
        <is>
          <t>Marca y digital</t>
        </is>
      </c>
      <c r="L5" s="8" t="inlineStr">
        <is>
          <t>Notas</t>
        </is>
      </c>
    </row>
    <row r="6">
      <c r="A6" s="9" t="n">
        <v>1</v>
      </c>
      <c r="B6" s="21">
        <f>IF(Auditoría!E$3="","",Auditoría!E$3)</f>
        <v>46185.0</v>
      </c>
      <c r="C6" t="str">
        <f>IF(Auditoría!E$4="","",Auditoría!E$4)</f>
        <v>P01 (visita propia)</v>
      </c>
      <c r="D6" s="12">
        <f>IFERROR(IF(Auditoría!E$71="","",Auditoría!E$71),"")</f>
        <v>3.326388888888889</v>
      </c>
      <c r="E6" s="18">
        <f>IFERROR(IF(Auditoría!E$72="","",Auditoría!E$72),"")</f>
        <v>0.6652777777777777</v>
      </c>
      <c r="F6" s="14">
        <f>IFERROR(IF('Resumen por Área'!D$10="","",'Resumen por Área'!D$10),"")</f>
        <v>3.25</v>
      </c>
      <c r="G6" s="14">
        <f>IFERROR(IF('Resumen por Área'!D$11="","",'Resumen por Área'!D$11),"")</f>
        <v>3.5217391304347827</v>
      </c>
      <c r="H6" s="14">
        <f>IFERROR(IF('Resumen por Área'!D$12="","",'Resumen por Área'!D$12),"")</f>
        <v>2.925925925925926</v>
      </c>
      <c r="I6" s="14">
        <f>IFERROR(IF('Resumen por Área'!D$13="","",'Resumen por Área'!D$13),"")</f>
        <v>3.75</v>
      </c>
      <c r="J6" s="14">
        <f>IFERROR(IF('Resumen por Área'!D$14="","",'Resumen por Área'!D$14),"")</f>
        <v>3.9545454545454546</v>
      </c>
      <c r="K6" s="14">
        <f>IFERROR(IF('Resumen por Área'!D$15="","",'Resumen por Área'!D$15),"")</f>
        <v>2.6666666666666665</v>
      </c>
      <c r="L6" s="5" t="n"/>
    </row>
    <row r="7">
      <c r="A7" s="9" t="n">
        <v>2</v>
      </c>
      <c r="B7" s="21">
        <f>IF(Auditoría!G$3="","",Auditoría!G$3)</f>
        <v>46220.0</v>
      </c>
      <c r="C7" t="str">
        <f>IF(Auditoría!G$4="","",Auditoría!G$4)</f>
        <v>Cliente misterioso externo</v>
      </c>
      <c r="D7" s="12">
        <f>IFERROR(IF(Auditoría!G$71="","",Auditoría!G$71),"")</f>
        <v>3.6527777777777777</v>
      </c>
      <c r="E7" s="18">
        <f>IFERROR(IF(Auditoría!G$72="","",Auditoría!G$72),"")</f>
        <v>0.7305555555555555</v>
      </c>
      <c r="F7" s="14">
        <f>IFERROR(IF('Resumen por Área'!E$10="","",'Resumen por Área'!E$10),"")</f>
        <v>3.7083333333333335</v>
      </c>
      <c r="G7" s="14">
        <f>IFERROR(IF('Resumen por Área'!E$11="","",'Resumen por Área'!E$11),"")</f>
        <v>3.9130434782608696</v>
      </c>
      <c r="H7" s="14">
        <f>IFERROR(IF('Resumen por Área'!E$12="","",'Resumen por Área'!E$12),"")</f>
        <v>3.5185185185185186</v>
      </c>
      <c r="I7" s="14">
        <f>IFERROR(IF('Resumen por Área'!E$13="","",'Resumen por Área'!E$13),"")</f>
        <v>3.9583333333333335</v>
      </c>
      <c r="J7" s="14">
        <f>IFERROR(IF('Resumen por Área'!E$14="","",'Resumen por Área'!E$14),"")</f>
        <v>3.590909090909091</v>
      </c>
      <c r="K7" s="14">
        <f>IFERROR(IF('Resumen por Área'!E$15="","",'Resumen por Área'!E$15),"")</f>
        <v>3.25</v>
      </c>
      <c r="L7" s="5" t="n"/>
    </row>
    <row r="8">
      <c r="A8" s="9" t="n">
        <v>3</v>
      </c>
      <c r="B8" s="21">
        <f>IF(Auditoría!I$3="","",Auditoría!I$3)</f>
        <v>46255.0</v>
      </c>
      <c r="C8" t="str">
        <f>IF(Auditoría!I$4="","",Auditoría!I$4)</f>
        <v>P01 (visita propia)</v>
      </c>
      <c r="D8" s="12">
        <f>IFERROR(IF(Auditoría!I$71="","",Auditoría!I$71),"")</f>
        <v>3.9583333333333335</v>
      </c>
      <c r="E8" s="18">
        <f>IFERROR(IF(Auditoría!I$72="","",Auditoría!I$72),"")</f>
        <v>0.7916666666666667</v>
      </c>
      <c r="F8" s="14">
        <f>IFERROR(IF('Resumen por Área'!F$10="","",'Resumen por Área'!F$10),"")</f>
        <v>4.125</v>
      </c>
      <c r="G8" s="14">
        <f>IFERROR(IF('Resumen por Área'!F$11="","",'Resumen por Área'!F$11),"")</f>
        <v>4.173913043478261</v>
      </c>
      <c r="H8" s="14">
        <f>IFERROR(IF('Resumen por Área'!F$12="","",'Resumen por Área'!F$12),"")</f>
        <v>4.037037037037037</v>
      </c>
      <c r="I8" s="14">
        <f>IFERROR(IF('Resumen por Área'!F$13="","",'Resumen por Área'!F$13),"")</f>
        <v>4.291666666666667</v>
      </c>
      <c r="J8" s="14">
        <f>IFERROR(IF('Resumen por Área'!F$14="","",'Resumen por Área'!F$14),"")</f>
        <v>3.1363636363636362</v>
      </c>
      <c r="K8" s="14">
        <f>IFERROR(IF('Resumen por Área'!F$15="","",'Resumen por Área'!F$15),"")</f>
        <v>3.9166666666666665</v>
      </c>
      <c r="L8" s="5" t="n"/>
    </row>
    <row r="9">
      <c r="A9" s="3" t="inlineStr">
        <is>
          <t>LECTURA — lo calcula el libro</t>
        </is>
      </c>
    </row>
    <row r="10">
      <c r="B10" t="inlineStr">
        <is>
          <t>Visitas registradas</t>
        </is>
      </c>
      <c r="E10" s="9">
        <f>COUNTIF($B$6:$B$8,"&lt;&gt;")</f>
        <v>3.0</v>
      </c>
    </row>
    <row r="11">
      <c r="B11" t="inlineStr">
        <is>
          <t>Variación de la primera visita a la última (puntos)</t>
        </is>
      </c>
      <c r="E11" s="14">
        <f>IFERROR(IF(OR($D$6="",$D$8=""),"",$D$8-$D$6),"")</f>
        <v>0.6319444444444446</v>
      </c>
    </row>
    <row r="12">
      <c r="B12" t="inlineStr">
        <is>
          <t>Mejor área en la última visita</t>
        </is>
      </c>
      <c r="E12" t="str">
        <f>IFERROR(INDEX('Resumen por Área'!$A$10:$A$15,MATCH(MAX('Resumen por Área'!$F$10:$F$15),'Resumen por Área'!$F$10:$F$15,0)),"")</f>
        <v>Producto y presentación</v>
      </c>
    </row>
    <row r="13">
      <c r="B13" t="inlineStr">
        <is>
          <t>Área más floja en la última visita</t>
        </is>
      </c>
      <c r="E13" t="str">
        <f>IFERROR(INDEX('Resumen por Área'!$A$10:$A$15,MATCH(MIN('Resumen por Área'!$F$10:$F$15),'Resumen por Área'!$F$10:$F$15,0)),"")</f>
        <v>Aseos y limpieza</v>
      </c>
    </row>
    <row r="14">
      <c r="B14" t="inlineStr">
        <is>
          <t>Área que más mejora</t>
        </is>
      </c>
      <c r="E14" t="str">
        <f>IFERROR(INDEX('Resumen por Área'!$A$10:$A$15,MATCH(MAX('Resumen por Área'!$G$10:$G$15),'Resumen por Área'!$G$10:$G$15,0)),"")</f>
        <v>Marca y digital</v>
      </c>
    </row>
    <row r="15">
      <c r="B15" s="6" t="inlineStr">
        <is>
          <t>ÁREA QUE MÁS EMPEORA</t>
        </is>
      </c>
      <c r="E15" s="19" t="str">
        <f>IFERROR(INDEX('Resumen por Área'!$A$10:$A$15,MATCH(MIN('Resumen por Área'!$G$10:$G$15),'Resumen por Área'!$G$10:$G$15,0)),"")</f>
        <v>Aseos y limpieza</v>
      </c>
    </row>
    <row r="16">
      <c r="B16" t="inlineStr">
        <is>
          <t>Áreas que empeoran</t>
        </is>
      </c>
      <c r="E16" s="9">
        <f>COUNTIF('Resumen por Área'!$H$10:$H$15,"Empeora")</f>
        <v>1.0</v>
      </c>
    </row>
    <row r="17"/>
    <row r="18">
      <c r="B18" s="4" t="inlineStr">
        <is>
          <t>El área que más empeora es la primera línea del plan de acción del trimestre siguiente. Con responsable y con fecha, no con buenas intenciones.</t>
        </is>
      </c>
    </row>
  </sheetData>
  <sheetProtection selectLockedCells="0" selectUnlockedCells="0" sheet="1" objects="0" insertRows="0" insertHyperlinks="1" autoFilter="1" scenarios="0" formatColumns="0" deleteColumns="1" insertColumns="1" pivotTables="1" deleteRows="1" formatCells="1" formatRows="0" sort="0"/>
  <conditionalFormatting sqref="D6:D8">
    <cfRule type="expression" priority="1" dxfId="0" stopIfTrue="1">
      <formula>=AND(ISNUMBER($D6),$D6&gt;=$D$3)</formula>
    </cfRule>
    <cfRule type="expression" priority="2" dxfId="1" stopIfTrue="1">
      <formula>=AND(ISNUMBER($D6),$D6&gt;=$D$4)</formula>
    </cfRule>
    <cfRule type="expression" priority="3" dxfId="2" stopIfTrue="1">
      <formula>=AND(ISNUMBER($D6),$D6&lt;$D$4)</formula>
    </cfRule>
  </conditionalFormatting>
  <conditionalFormatting sqref="F6:K8">
    <cfRule type="expression" priority="4" dxfId="0" stopIfTrue="1">
      <formula>=AND(ISNUMBER($F6),$F6&gt;=$D$3)</formula>
    </cfRule>
    <cfRule type="expression" priority="5" dxfId="1" stopIfTrue="1">
      <formula>=AND(ISNUMBER($F6),$F6&gt;=$D$4)</formula>
    </cfRule>
    <cfRule type="expression" priority="6" dxfId="2" stopIfTrue="1">
      <formula>=AND(ISNUMBER($F6),$F6&lt;$D$4)</formula>
    </cfRule>
  </conditionalFormatting>
  <conditionalFormatting sqref="E16">
    <cfRule type="expression" priority="7" dxfId="2" stopIfTrue="1">
      <formula>=AND(ISNUMBER($E$16),$E$16&gt;0)</formula>
    </cfRule>
  </conditionalFormatting>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Auditoría Interna de Servicio</dc:title>
  <dc:subject xmlns:dc="http://purl.org/dc/elements/1.1/">Manual del Manager de Restaurante · v1.0 · septiembre 2026</dc:subject>
  <dcterms:created xmlns:dcterms="http://purl.org/dc/terms/" xmlns:xsi="http://www.w3.org/2001/XMLSchema-instance" xsi:type="dcterms:W3CDTF">2026-09-04T22:05:30Z</dcterms:created>
  <dcterms:modified xmlns:dcterms="http://purl.org/dc/terms/" xmlns:xsi="http://www.w3.org/2001/XMLSchema-instance" xsi:type="dcterms:W3CDTF">2026-09-04T22:05:30Z</dcterms:modified>
  <cp:lastModifiedBy>AI Chef Pro</cp:lastModifiedBy>
</cp:coreProperties>
</file>