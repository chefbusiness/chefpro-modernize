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Semana" sheetId="3" state="visible" r:id="rId3"/>
    <sheet xmlns:r="http://schemas.openxmlformats.org/officeDocument/2006/relationships" name="KPI y Definiciones" sheetId="4" state="visible" r:id="rId4"/>
  </sheets>
  <definedNames>
    <definedName name="_xlnm.Print_Titles" localSheetId="2">'Semana'!$4:$4</definedName>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dd/mm/yyyy"/>
    <numFmt numFmtId="167" formatCode="#,##0.00 €"/>
    <numFmt numFmtId="168" formatCode="#,##0.0"/>
  </numFmts>
  <fonts count="8">
    <font>
      <name val="Calibri"/>
      <family val="2"/>
      <color theme="1"/>
      <sz val="11"/>
      <scheme val="minor"/>
    </font>
    <font>
      <b val="1"/>
      <color rgb="00FFD700"/>
      <sz val="16"/>
    </font>
    <font>
      <i val="1"/>
      <sz val="9"/>
    </font>
    <font>
      <b val="1"/>
      <color theme="1"/>
      <sz val="11"/>
    </font>
    <font>
      <b val="1"/>
      <sz val="12"/>
    </font>
    <font>
      <b val="1"/>
      <color rgb="00FFFFFF"/>
    </font>
    <font>
      <color theme="1"/>
      <sz val="11"/>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3" fillId="0" borderId="0" pivotButton="0" quotePrefix="0" xfId="0"/>
    <xf numFmtId="0" fontId="5" fillId="3" borderId="0" applyAlignment="1" pivotButton="0" quotePrefix="0" xfId="0">
      <alignment horizontal="center" vertical="center" wrapText="1"/>
    </xf>
    <xf numFmtId="164" fontId="0" fillId="2" borderId="0" applyProtection="1" pivotButton="0" quotePrefix="0" xfId="0">
      <protection locked="0" hidden="0"/>
    </xf>
    <xf numFmtId="164" fontId="0" fillId="4" borderId="0" pivotButton="0" quotePrefix="0" xfId="0"/>
    <xf numFmtId="0" fontId="6" fillId="0" borderId="0" applyAlignment="1" pivotButton="0" quotePrefix="0" xfId="0">
      <alignment horizontal="general" vertical="top" wrapText="1"/>
    </xf>
    <xf numFmtId="164" fontId="6" fillId="0" borderId="0" pivotButton="0" quotePrefix="0" xfId="0"/>
    <xf numFmtId="0" fontId="3" fillId="0" borderId="0" applyAlignment="1" pivotButton="0" quotePrefix="0" xfId="0">
      <alignment horizontal="general" vertical="top" wrapText="1"/>
    </xf>
    <xf numFmtId="164" fontId="3" fillId="0" borderId="0" pivotButton="0" quotePrefix="0" xfId="0"/>
    <xf numFmtId="3" fontId="0" fillId="2" borderId="0" applyProtection="1" pivotButton="0" quotePrefix="0" xfId="0">
      <protection locked="0" hidden="0"/>
    </xf>
    <xf numFmtId="3" fontId="0" fillId="4" borderId="0" pivotButton="0" quotePrefix="0" xfId="0"/>
    <xf numFmtId="166" fontId="0" fillId="2" borderId="0" applyProtection="1" pivotButton="0" quotePrefix="0" xfId="0">
      <protection locked="0" hidden="0"/>
    </xf>
    <xf numFmtId="167" fontId="0" fillId="2" borderId="0" applyProtection="1" pivotButton="0" quotePrefix="0" xfId="0">
      <protection locked="0" hidden="0"/>
    </xf>
    <xf numFmtId="167" fontId="0" fillId="0" borderId="0" pivotButton="0" quotePrefix="0" xfId="0"/>
    <xf numFmtId="164" fontId="0" fillId="0" borderId="0" pivotButton="0" quotePrefix="0" xfId="0"/>
    <xf numFmtId="168" fontId="0" fillId="0" borderId="0" pivotButton="0" quotePrefix="0" xfId="0"/>
    <xf numFmtId="0" fontId="7" fillId="5" borderId="0" pivotButton="0" quotePrefix="0" xfId="0"/>
    <xf numFmtId="167" fontId="7" fillId="5" borderId="0" pivotButton="0" quotePrefix="0" xfId="0"/>
    <xf numFmtId="164" fontId="7" fillId="5" borderId="0" pivotButton="0" quotePrefix="0" xfId="0"/>
    <xf numFmtId="3" fontId="7" fillId="5" borderId="0" pivotButton="0" quotePrefix="0" xfId="0"/>
    <xf numFmtId="168" fontId="7" fillId="5" borderId="0" pivotButton="0" quotePrefix="0" xfId="0"/>
    <xf numFmtId="0" fontId="0" fillId="4" borderId="0" pivotButton="0" quotePrefix="0" xfId="0"/>
    <xf numFmtId="0" fontId="0" fillId="0" borderId="0" applyAlignment="1" pivotButton="0" quotePrefix="0" xfId="0">
      <alignment horizontal="center" vertical="top"/>
    </xf>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Prime cost semanal frente al objetivo</a:t>
            </a:r>
          </a:p>
        </rich>
      </tx>
    </title>
    <plotArea>
      <lineChart>
        <grouping val="standard"/>
        <ser>
          <idx val="0"/>
          <order val="0"/>
          <tx>
            <strRef>
              <f>'Semana'!O4</f>
            </strRef>
          </tx>
          <spPr>
            <a:ln xmlns:a="http://schemas.openxmlformats.org/drawingml/2006/main">
              <a:prstDash val="solid"/>
            </a:ln>
          </spPr>
          <marker>
            <symbol val="none"/>
            <spPr>
              <a:ln xmlns:a="http://schemas.openxmlformats.org/drawingml/2006/main">
                <a:prstDash val="solid"/>
              </a:ln>
            </spPr>
          </marker>
          <cat>
            <numRef>
              <f>'Semana'!$A$5:$A$56</f>
            </numRef>
          </cat>
          <val>
            <numRef>
              <f>'Semana'!$O$5:$O$56</f>
            </numRef>
          </val>
        </ser>
        <ser>
          <idx val="1"/>
          <order val="1"/>
          <tx>
            <strRef>
              <f>'Semana'!P4</f>
            </strRef>
          </tx>
          <spPr>
            <a:ln xmlns:a="http://schemas.openxmlformats.org/drawingml/2006/main">
              <a:prstDash val="solid"/>
            </a:ln>
          </spPr>
          <marker>
            <symbol val="none"/>
            <spPr>
              <a:ln xmlns:a="http://schemas.openxmlformats.org/drawingml/2006/main">
                <a:prstDash val="solid"/>
              </a:ln>
            </spPr>
          </marker>
          <cat>
            <numRef>
              <f>'Semana'!$A$5:$A$56</f>
            </numRef>
          </cat>
          <val>
            <numRef>
              <f>'Semana'!$P$5:$P$56</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Semana ISO</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Prime cost (%)</a:t>
                </a:r>
              </a:p>
            </rich>
          </tx>
        </title>
        <numFmt formatCode="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60</row>
      <rowOff>0</rowOff>
    </from>
    <ext cx="100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110" customWidth="1" min="1" max="1"/>
  </cols>
  <sheetData>
    <row r="1" ht="30" customHeight="1">
      <c r="A1" s="1" t="inlineStr">
        <is>
          <t>Cuadro de mando semanal del manager</t>
        </is>
      </c>
    </row>
    <row r="2">
      <c r="A2" t="inlineStr">
        <is>
          <t>AI Chef Pro · aichef.pro — Manual del Manager de Restaurante</t>
        </is>
      </c>
    </row>
    <row r="3">
      <c r="A3" s="2" t="inlineStr">
        <is>
          <t>Para qué sirve: ver la semana mala mientras todavía puedes hacer algo con ella.</t>
        </is>
      </c>
    </row>
    <row r="4"/>
    <row r="5">
      <c r="A5" s="3" t="inlineStr">
        <is>
          <t>Instrucciones de uso</t>
        </is>
      </c>
    </row>
    <row r="6" ht="30" customHeight="1">
      <c r="A6" s="4" t="inlineStr">
        <is>
          <t>1. Hoja «Parámetros»: elige tu tipo de negocio (sala o salón, según el país, o barra y autoservicio). Los tres objetivos en vigor (food cost, labor cost y prime cost) cambian solos, y los seis de la tabla son celdas verdes que puedes ajustar a tu casa.</t>
        </is>
      </c>
    </row>
    <row r="7" ht="30" customHeight="1">
      <c r="A7" s="4" t="inlineStr">
        <is>
          <t>2. Revisa la cotización a la Seguridad Social a cargo de la empresa. Viene al 33 %, que es la convención de la casa; debajo tienes el desglose partida por partida para ajustarlo a tus contratos.</t>
        </is>
      </c>
    </row>
    <row r="8" ht="30" customHeight="1">
      <c r="A8" s="4" t="inlineStr">
        <is>
          <t>3. Hoja «Semana»: una fila por semana ISO. Rellena las celdas verdes con lo que te dé el TPV y la nómina (planilla, en el uso de otros países): ventas de comida y de bebida, stock inicial, compras, stock final, salarios brutos, otros costes de personal, cubiertos, tickets, horas de apertura y horas trabajadas. Todo sin IVA.</t>
        </is>
      </c>
    </row>
    <row r="9" ht="30" customHeight="1">
      <c r="A9" s="4" t="inlineStr">
        <is>
          <t>4. El consumo de materia prima se calcula solo: stock inicial + compras menos stock final. No son las compras de la semana; una semana con un pedido grande no es una semana cara.</t>
        </is>
      </c>
    </row>
    <row r="10" ht="30" customHeight="1">
      <c r="A10" s="4" t="inlineStr">
        <is>
          <t>5. Mira la columna «Prime cost»: si se sale del objetivo, se pone en rojo y la columna de al lado lo dice con palabras. El gráfico del final enseña las 52 semanas contra la línea del objetivo.</t>
        </is>
      </c>
    </row>
    <row r="11" ht="30" customHeight="1">
      <c r="A11" s="4" t="inlineStr">
        <is>
          <t>6. Las columnas de la derecha son las de servicio: ticket medio, gasto medio por cubierto, cubiertos por hora de apertura y ventas por hora trabajada. Son las que explican POR QUÉ se movió el prime cost.</t>
        </is>
      </c>
    </row>
    <row r="12" ht="30" customHeight="1">
      <c r="A12" s="4" t="inlineStr">
        <is>
          <t>7. La fila TOTAL / MEDIA no hace la media de los 52 porcentajes: divide los totales del año, que es la media ponderada y la única correcta.</t>
        </is>
      </c>
    </row>
    <row r="13" ht="30" customHeight="1">
      <c r="A13" s="4" t="inlineStr">
        <is>
          <t>8. Hoja «KPI y Definiciones»: qué mide cada indicador, en qué unidad, con qué cadencia y cuál es el error típico al calcularlo. Es la hoja que se consulta cuando dos personas dan dos números distintos para lo mismo.</t>
        </is>
      </c>
    </row>
    <row r="14"/>
    <row r="15">
      <c r="A15" s="5" t="inlineStr">
        <is>
          <t>Celdas verdes = campos editables</t>
        </is>
      </c>
    </row>
    <row r="16"/>
    <row r="17">
      <c r="A17" s="3" t="inlineStr">
        <is>
          <t>Lo que conviene saber antes de empezar</t>
        </is>
      </c>
    </row>
    <row r="18" ht="44" customHeight="1">
      <c r="A18" s="4" t="inlineStr">
        <is>
          <t>ESTE LIBRO MIDE LA SEMANA. El cuadro de mando mensual de la «Guía Food Cost + Ingeniería de Menú» (cuadro-de-mando-prime-cost.xlsx) mide el MES y sirve para cerrar el ejercicio y decidir carta. No se sustituyen: se usan en paralelo, y los dos leen el mismo prime cost.</t>
        </is>
      </c>
    </row>
    <row r="19" ht="44" customHeight="1">
      <c r="A19" s="4" t="inlineStr">
        <is>
          <t>Por qué hacen falta los dos: en el restaurante de ejemplo, el cuadro mensual de agosto cierra fuera de objetivo, pero las semanas 33 (del 10 de agosto) y 35 (del 24 de agosto) ya lo avisaban con el food cost al 38,6 %, cuatro semanas antes de que el cierre mensual lo enseñe. El mes te dice QUE algo pasó; la semana te dice CUÁL y te lo dice a tiempo de actuar.</t>
        </is>
      </c>
    </row>
    <row r="20" ht="44" customHeight="1">
      <c r="A20" s="4" t="inlineStr">
        <is>
          <t>Todas las cifras van SIN IVA. El food cost y el prime cost se miden sobre la venta NETA: el IVA repercutido no es tuyo y el soportado se deduce en el modelo 303.</t>
        </is>
      </c>
    </row>
    <row r="21" ht="44" customHeight="1">
      <c r="A21" s="4" t="inlineStr">
        <is>
          <t>Prime cost = coste de materia prima + coste de personal con Seguridad Social, sobre las ventas netas. Es la métrica que mide la salud del negocio porque junta las dos partidas que de verdad puedes mover.</t>
        </is>
      </c>
    </row>
    <row r="22" ht="44" customHeight="1">
      <c r="A22" s="4" t="inlineStr">
        <is>
          <t>El margen tras prime cost no es el beneficio: de ahí todavía salen alquiler, suministros, amortizaciones e impuestos.</t>
        </is>
      </c>
    </row>
    <row r="23" ht="44" customHeight="1">
      <c r="A23" s="4" t="inlineStr">
        <is>
          <t>La semana ISO empieza en lunes y la semana 1 del año es la que contiene el primer jueves de enero. Por eso la semana 1 de 2026 arranca el lunes 29 de diciembre de 2025: es la convención, no una errata.</t>
        </is>
      </c>
    </row>
    <row r="24" ht="44" customHeight="1">
      <c r="A24" s="4" t="inlineStr">
        <is>
          <t>El ticket medio y el gasto por cubierto NO son lo mismo. El ticket es lo que paga una mesa; el gasto por cubierto, lo que gasta un comensal. En una mesa de dos, el ticket es el doble.</t>
        </is>
      </c>
    </row>
    <row r="25"/>
    <row r="26">
      <c r="A26" t="inlineStr">
        <is>
          <t>Para editar la estructura o una celda que no esté en verde, desprotege la hoja (sin contraseña).</t>
        </is>
      </c>
    </row>
    <row r="27">
      <c r="A27" t="inlineStr">
        <is>
          <t>Ruta en Excel: Revisar &gt; Desproteger hoja. La protección no tiene contraseña; sirve para no pisar una fórmula sin querer.</t>
        </is>
      </c>
    </row>
    <row r="28"/>
    <row r="29">
      <c r="A29" t="inlineStr">
        <is>
          <t>Diseñado por John Guerrero — chef y consultor gastronómico desde 2010 · johnguerrero.es</t>
        </is>
      </c>
    </row>
    <row r="30">
      <c r="A30"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46" customWidth="1" min="1" max="1"/>
    <col width="22" customWidth="1" min="2" max="2"/>
    <col width="22" customWidth="1" min="3" max="3"/>
    <col width="22" customWidth="1" min="4" max="4"/>
    <col width="58" customWidth="1" min="5" max="5"/>
  </cols>
  <sheetData>
    <row r="1" ht="30" customHeight="1">
      <c r="A1" s="1" t="inlineStr">
        <is>
          <t>Parámetros del cuadro de mando semanal</t>
        </is>
      </c>
    </row>
    <row r="2">
      <c r="A2" t="inlineStr">
        <is>
          <t>AI Chef Pro · aichef.pro — Manual del Manager de Restaurante</t>
        </is>
      </c>
    </row>
    <row r="3"/>
    <row r="4">
      <c r="A4" s="3" t="inlineStr">
        <is>
          <t>TIPO DE NEGOCIO Y OBJETIVOS DE LA CASA</t>
        </is>
      </c>
    </row>
    <row r="5">
      <c r="A5" s="6" t="inlineStr">
        <is>
          <t>Tipo de negocio</t>
        </is>
      </c>
      <c r="B5" s="5" t="inlineStr">
        <is>
          <t>Sala</t>
        </is>
      </c>
    </row>
    <row r="6"/>
    <row r="7" ht="34" customHeight="1">
      <c r="A7" s="7" t="inlineStr">
        <is>
          <t>Tipo de negocio</t>
        </is>
      </c>
      <c r="B7" s="7" t="inlineStr">
        <is>
          <t>Objetivo de food cost (%)</t>
        </is>
      </c>
      <c r="C7" s="7" t="inlineStr">
        <is>
          <t>Objetivo de labor cost (%)</t>
        </is>
      </c>
      <c r="D7" s="7" t="inlineStr">
        <is>
          <t>Objetivo de prime cost (%)</t>
        </is>
      </c>
    </row>
    <row r="8">
      <c r="A8" s="6" t="inlineStr">
        <is>
          <t>Sala</t>
        </is>
      </c>
      <c r="B8" s="8" t="n">
        <v>0.3</v>
      </c>
      <c r="C8" s="8" t="n">
        <v>0.33</v>
      </c>
      <c r="D8" s="8" t="n">
        <v>0.65</v>
      </c>
    </row>
    <row r="9">
      <c r="A9" s="6" t="inlineStr">
        <is>
          <t>Barra o autoservicio</t>
        </is>
      </c>
      <c r="B9" s="8" t="n">
        <v>0.3</v>
      </c>
      <c r="C9" s="8" t="n">
        <v>0.25</v>
      </c>
      <c r="D9" s="8" t="n">
        <v>0.55</v>
      </c>
    </row>
    <row r="10"/>
    <row r="11">
      <c r="A11" s="6" t="inlineStr">
        <is>
          <t>Objetivo de food cost en vigor (%)</t>
        </is>
      </c>
      <c r="B11" s="9">
        <f>IFERROR(INDEX($B$8:$B$9,MATCH($B$5,$A$8:$A$9,0)),"")</f>
        <v>0.3</v>
      </c>
    </row>
    <row r="12">
      <c r="A12" s="6" t="inlineStr">
        <is>
          <t>Objetivo de labor cost en vigor (%)</t>
        </is>
      </c>
      <c r="B12" s="9">
        <f>IFERROR(INDEX($C$8:$C$9,MATCH($B$5,$A$8:$A$9,0)),"")</f>
        <v>0.33</v>
      </c>
    </row>
    <row r="13">
      <c r="A13" s="6" t="inlineStr">
        <is>
          <t>Objetivo de prime cost en vigor (%)</t>
        </is>
      </c>
      <c r="B13" s="9">
        <f>IFERROR(INDEX($D$8:$D$9,MATCH($B$5,$A$8:$A$9,0)),"")</f>
        <v>0.65</v>
      </c>
    </row>
    <row r="14"/>
    <row r="15">
      <c r="A15" t="inlineStr">
        <is>
          <t>El objetivo en vigor se busca en la tabla con INDEX y MATCH: si mañana añades un tercer tipo de negocio a la lista, basta con ampliar la tabla y la lista desplegable de arriba.</t>
        </is>
      </c>
    </row>
    <row r="16">
      <c r="A16" t="inlineStr">
        <is>
          <t>De dónde salen estos objetivos: la estructura de costes de referencia para la restauración española sitúa la materia prima en torno al 30 % y el personal en el 30-35 % con servicio en mesa. De ahí el criterio de la casa: prime cost por debajo del 65 % con servicio en mesa y del 55 % en barra o autoservicio.</t>
        </is>
      </c>
    </row>
    <row r="17">
      <c r="A17" t="inlineStr">
        <is>
          <t>Ese 65 % / 55 % es CRITERIO DE LA CASA derivado de esa estructura, no una cifra publicada por nadie: la horquilla de 15-25 % de coste de personal en barra o autoservicio que sostiene el 55 % es también criterio de la casa, no un dato de CaixaBankLab. Son celdas verdes: si tu convenio, tu horario o tu modelo de servicio son otros, cámbialas y el semáforo de la hoja «Semana» se recalcula.</t>
        </is>
      </c>
    </row>
    <row r="18">
      <c r="A18" t="inlineStr">
        <is>
          <t>Fuente de la estructura de referencia: CaixaBankLab con elBullifoundation, «Consumos y beneficios de un restaurante» (sin fecha visible en la página; revisada en 2022). https://caixabanklab.com/elbullifoundation/es/consumos-beneficios-restaurante/</t>
        </is>
      </c>
    </row>
    <row r="19"/>
    <row r="20">
      <c r="A20" s="3" t="inlineStr">
        <is>
          <t>COTIZACIÓN A LA SEGURIDAD SOCIAL A CARGO DE LA EMPRESA</t>
        </is>
      </c>
    </row>
    <row r="21" ht="20" customHeight="1">
      <c r="A21" s="7" t="inlineStr">
        <is>
          <t>Parámetro</t>
        </is>
      </c>
      <c r="B21" s="7" t="inlineStr">
        <is>
          <t>Valor</t>
        </is>
      </c>
    </row>
    <row r="22">
      <c r="A22" t="inlineStr">
        <is>
          <t>Seguridad Social a cargo de la empresa (%)</t>
        </is>
      </c>
      <c r="B22" s="8" t="n">
        <v>0.33</v>
      </c>
    </row>
    <row r="23"/>
    <row r="24" ht="20" customHeight="1">
      <c r="A24" s="7" t="inlineStr">
        <is>
          <t>Partida</t>
        </is>
      </c>
      <c r="B24" s="7" t="inlineStr">
        <is>
          <t>Tipo</t>
        </is>
      </c>
      <c r="C24" s="7" t="inlineStr">
        <is>
          <t>Nota</t>
        </is>
      </c>
    </row>
    <row r="25" ht="32" customHeight="1">
      <c r="A25" s="10" t="inlineStr">
        <is>
          <t>Contingencias comunes</t>
        </is>
      </c>
      <c r="B25" s="11" t="n">
        <v>0.236</v>
      </c>
      <c r="C25" s="4" t="inlineStr">
        <is>
          <t>A cargo de la empresa (el trabajador aporta el 4,70 %). MM-17</t>
        </is>
      </c>
    </row>
    <row r="26" ht="32" customHeight="1">
      <c r="A26" s="10" t="inlineStr">
        <is>
          <t>Desempleo (contrato indefinido)</t>
        </is>
      </c>
      <c r="B26" s="11" t="n">
        <v>0.055</v>
      </c>
      <c r="C26" s="4" t="inlineStr">
        <is>
          <t>Los contratos temporales cotizan más</t>
        </is>
      </c>
    </row>
    <row r="27" ht="32" customHeight="1">
      <c r="A27" s="10" t="inlineStr">
        <is>
          <t>FOGASA</t>
        </is>
      </c>
      <c r="B27" s="11" t="n">
        <v>0.002</v>
      </c>
      <c r="C27" s="4" t="inlineStr"/>
    </row>
    <row r="28" ht="32" customHeight="1">
      <c r="A28" s="10" t="inlineStr">
        <is>
          <t>Formación profesional</t>
        </is>
      </c>
      <c r="B28" s="11" t="n">
        <v>0.006</v>
      </c>
      <c r="C28" s="4" t="inlineStr"/>
    </row>
    <row r="29" ht="32" customHeight="1">
      <c r="A29" s="10" t="inlineStr">
        <is>
          <t>Accidentes de trabajo y enfermedades profesionales</t>
        </is>
      </c>
      <c r="B29" s="11" t="n">
        <v>0.015</v>
      </c>
      <c r="C29" s="4" t="inlineStr">
        <is>
          <t>Tarifa de primas de la DA 61.ª TRLGSS, epígrafe del CNAE 56 «Servicios de comidas y bebidas»; comprueba el epígrafe de tu actividad</t>
        </is>
      </c>
    </row>
    <row r="30" ht="32" customHeight="1">
      <c r="A30" s="10" t="inlineStr">
        <is>
          <t>MEI 2026 (parte empresarial)</t>
        </is>
      </c>
      <c r="B30" s="11" t="n">
        <v>0.0075</v>
      </c>
      <c r="C30" s="4" t="inlineStr">
        <is>
          <t>Mecanismo de Equidad Intergeneracional. Orden PJC/297/2026, art. 16</t>
        </is>
      </c>
    </row>
    <row r="31" ht="32" customHeight="1">
      <c r="A31" s="12" t="inlineStr">
        <is>
          <t>TOTAL a cargo de la empresa en hostelería 2026</t>
        </is>
      </c>
      <c r="B31" s="13">
        <f>IFERROR(SUM($B$25:$B$30),"")</f>
        <v>0.3215</v>
      </c>
      <c r="C31" s="4" t="inlineStr">
        <is>
          <t>32,15 % con contrato indefinido a tiempo completo y 33,35 % con contrato de duración determinada (MM-53). El 33 % de más arriba (celda editable) redondea esta cifra como convención de la casa (SPEC D5).</t>
        </is>
      </c>
    </row>
    <row r="32">
      <c r="A32" t="inlineStr">
        <is>
          <t>Verificado el 04-09-2026 · Arts. 4.a), 4.b), 16 y 33.2 de la Orden PJC/297/2026, de 30 de marzo, y DA 61.ª del TRLGSS (tarifa de primas de AT y EP) · https://www.boe.es/diario_boe/txt.php?id=BOE-A-2026-7296</t>
        </is>
      </c>
    </row>
    <row r="33">
      <c r="A33" t="inlineStr">
        <is>
          <t>ATENCIÓN, es el error caro: el 23,60 % es SOLO la cotización por contingencias comunes y no debe rotularse «coste de la Seguridad Social a cargo de la empresa». El total empresarial suma además desempleo, FOGASA, formación profesional, MEI y accidentes de trabajo. Verificado el 04-09-2026 · Art. 4.a) de la Orden PJC/297/2026, de 30 de marzo (cotización 2026) · https://www.boe.es/diario_boe/txt.php?id=BOE-A-2026-7296</t>
        </is>
      </c>
    </row>
    <row r="34"/>
    <row r="35">
      <c r="A35" s="3" t="inlineStr">
        <is>
          <t>APERTURA AL PÚBLICO</t>
        </is>
      </c>
    </row>
    <row r="36"/>
    <row r="37">
      <c r="A37" s="6" t="inlineStr">
        <is>
          <t>Horas de apertura de una semana completa (referencia)</t>
        </is>
      </c>
      <c r="B37" s="14" t="n">
        <v>42</v>
      </c>
    </row>
    <row r="38">
      <c r="A38" t="inlineStr">
        <is>
          <t>Horas de apertura previstas en las semanas registradas</t>
        </is>
      </c>
      <c r="B38" s="15">
        <f>IFERROR(IF(OR($B$37="",COUNT(Semana!$A$5:$A$56)=0),"",$B$37*COUNT(Semana!$A$5:$A$56)),"")</f>
        <v>2184.0</v>
      </c>
    </row>
    <row r="39">
      <c r="A39" t="inlineStr">
        <is>
          <t>Horas de apertura realmente registradas en la hoja «Semana»</t>
        </is>
      </c>
      <c r="B39" s="15">
        <f>IF(COUNT(Semana!$W$5:$W$56)=0,"",SUM(Semana!$W$5:$W$56))</f>
        <v>2177.0</v>
      </c>
    </row>
    <row r="40">
      <c r="A40" t="inlineStr">
        <is>
          <t>Si las horas registradas y las previstas se separan mucho es que has abierto (o cerrado) más de lo que creías: festivos, vacaciones y jornadas partidas. El dato bueno es el registrado.</t>
        </is>
      </c>
    </row>
  </sheetData>
  <sheetProtection selectLockedCells="0" selectUnlockedCells="0" sheet="1" objects="0" insertRows="0" insertHyperlinks="1" autoFilter="1" scenarios="0" formatColumns="0" deleteColumns="1" insertColumns="1" pivotTables="1" deleteRows="1" formatCells="1" formatRows="0" sort="0"/>
  <mergeCells count="8">
    <mergeCell ref="C24:E24"/>
    <mergeCell ref="C26:E26"/>
    <mergeCell ref="C28:E28"/>
    <mergeCell ref="C25:E25"/>
    <mergeCell ref="C27:E27"/>
    <mergeCell ref="C29:E29"/>
    <mergeCell ref="C30:E30"/>
    <mergeCell ref="C31:E31"/>
  </mergeCells>
  <dataValidations count="3">
    <dataValidation sqref="B5" showDropDown="0" showInputMessage="0" showErrorMessage="1" allowBlank="1" errorTitle="Tipo de negocio" error="Elige un valor de la lista: Sala, Barra o autoservicio" type="list">
      <formula1>"Sala,Barra o autoservicio"</formula1>
    </dataValidation>
    <dataValidation sqref="B8 B9 B22 C8 C9 D8 D9" showDropDown="0" showInputMessage="1" showErrorMessage="1" allowBlank="1" errorTitle="Porcentaje" error="Escribe un porcentaje entre 0 y 1 (0,20 = 20 %)." promptTitle="Porcentaje" prompt="Se escribe en tanto por uno: 0,65 = 65 %." type="decimal" operator="between">
      <formula1>0</formula1>
      <formula2>1.0</formula2>
    </dataValidation>
    <dataValidation sqref="B37" showDropDown="0" showInputMessage="0" showErrorMessage="1" allowBlank="1" errorTitle="Horas por semana" error="Escribe un valor entre 0 y 168." type="decimal" operator="between">
      <formula1>0</formula1>
      <formula2>168</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4" customWidth="1" min="3" max="3"/>
    <col width="14" customWidth="1" min="4" max="4"/>
    <col width="14" customWidth="1" min="5" max="5"/>
    <col width="14" customWidth="1" min="6" max="6"/>
    <col width="13" customWidth="1" min="7" max="7"/>
    <col width="14" customWidth="1" min="8" max="8"/>
    <col width="15" customWidth="1" min="9" max="9"/>
    <col width="10" customWidth="1" min="10" max="10"/>
    <col width="13" customWidth="1" min="11" max="11"/>
    <col width="14" customWidth="1" min="12" max="12"/>
    <col width="17" customWidth="1" min="13" max="13"/>
    <col width="10" customWidth="1" min="14" max="14"/>
    <col width="10" customWidth="1" min="15" max="15"/>
    <col width="12" customWidth="1" min="16" max="16"/>
    <col width="22" customWidth="1" min="17" max="17"/>
    <col width="15" customWidth="1" min="18" max="18"/>
    <col width="10" customWidth="1" min="19" max="19"/>
    <col width="11" customWidth="1" min="20" max="20"/>
    <col width="12" customWidth="1" min="21" max="21"/>
    <col width="13" customWidth="1" min="22" max="22"/>
    <col width="12" customWidth="1" min="23" max="23"/>
    <col width="13" customWidth="1" min="24" max="24"/>
    <col width="13" customWidth="1" min="25" max="25"/>
    <col width="14" customWidth="1" min="26" max="26"/>
  </cols>
  <sheetData>
    <row r="1" ht="30" customHeight="1">
      <c r="A1" s="1" t="inlineStr">
        <is>
          <t>Las 52 semanas ISO del año</t>
        </is>
      </c>
    </row>
    <row r="2">
      <c r="A2" t="inlineStr">
        <is>
          <t>AI Chef Pro · aichef.pro — Manual del Manager de Restaurante</t>
        </is>
      </c>
    </row>
    <row r="3">
      <c r="A3" s="2" t="inlineStr">
        <is>
          <t>Todas las cifras van sin IVA. El consumo es stock inicial + compras menos stock final, no las compras de la semana.</t>
        </is>
      </c>
    </row>
    <row r="4" ht="70" customHeight="1">
      <c r="A4" s="7" t="inlineStr">
        <is>
          <t>Semana ISO</t>
        </is>
      </c>
      <c r="B4" s="7" t="inlineStr">
        <is>
          <t>Lunes de la semana</t>
        </is>
      </c>
      <c r="C4" s="7" t="inlineStr">
        <is>
          <t>Ventas netas de comida (€)</t>
        </is>
      </c>
      <c r="D4" s="7" t="inlineStr">
        <is>
          <t>Ventas netas de bebida (€)</t>
        </is>
      </c>
      <c r="E4" s="7" t="inlineStr">
        <is>
          <t>Ventas netas totales (€)</t>
        </is>
      </c>
      <c r="F4" s="7" t="inlineStr">
        <is>
          <t>Stock inicial de materia prima (€)</t>
        </is>
      </c>
      <c r="G4" s="7" t="inlineStr">
        <is>
          <t>Compras de la semana (€)</t>
        </is>
      </c>
      <c r="H4" s="7" t="inlineStr">
        <is>
          <t>Stock final de materia prima (€)</t>
        </is>
      </c>
      <c r="I4" s="7" t="inlineStr">
        <is>
          <t>Consumo de materia prima (€)</t>
        </is>
      </c>
      <c r="J4" s="7" t="inlineStr">
        <is>
          <t>Food cost (%)</t>
        </is>
      </c>
      <c r="K4" s="7" t="inlineStr">
        <is>
          <t>Salarios brutos (€)</t>
        </is>
      </c>
      <c r="L4" s="7" t="inlineStr">
        <is>
          <t>Otros costes de personal (€)</t>
        </is>
      </c>
      <c r="M4" s="7" t="inlineStr">
        <is>
          <t>Coste de personal con Seguridad Social (€)</t>
        </is>
      </c>
      <c r="N4" s="7" t="inlineStr">
        <is>
          <t>Labor cost (%)</t>
        </is>
      </c>
      <c r="O4" s="7" t="inlineStr">
        <is>
          <t>Prime cost (%)</t>
        </is>
      </c>
      <c r="P4" s="7" t="inlineStr">
        <is>
          <t>Objetivo de prime cost (%)</t>
        </is>
      </c>
      <c r="Q4" s="7" t="inlineStr">
        <is>
          <t>Lectura del prime cost</t>
        </is>
      </c>
      <c r="R4" s="7" t="inlineStr">
        <is>
          <t>Margen tras prime cost (€)</t>
        </is>
      </c>
      <c r="S4" s="7" t="inlineStr">
        <is>
          <t>Cubiertos</t>
        </is>
      </c>
      <c r="T4" s="7" t="inlineStr">
        <is>
          <t>Tickets (mesas cobradas)</t>
        </is>
      </c>
      <c r="U4" s="7" t="inlineStr">
        <is>
          <t>Ticket medio (€)</t>
        </is>
      </c>
      <c r="V4" s="7" t="inlineStr">
        <is>
          <t>Gasto medio por cubierto (€)</t>
        </is>
      </c>
      <c r="W4" s="7" t="inlineStr">
        <is>
          <t>Horas de apertura al público</t>
        </is>
      </c>
      <c r="X4" s="7" t="inlineStr">
        <is>
          <t>Cubiertos por hora de apertura</t>
        </is>
      </c>
      <c r="Y4" s="7" t="inlineStr">
        <is>
          <t>Horas trabajadas por la plantilla</t>
        </is>
      </c>
      <c r="Z4" s="7" t="inlineStr">
        <is>
          <t>Ventas por hora trabajada (€)</t>
        </is>
      </c>
    </row>
    <row r="5">
      <c r="A5" s="14" t="n">
        <v>1</v>
      </c>
      <c r="B5" s="16" t="n">
        <v>46020</v>
      </c>
      <c r="C5" s="17" t="n">
        <v>12327</v>
      </c>
      <c r="D5" s="17" t="n">
        <v>9119</v>
      </c>
      <c r="E5" s="18">
        <f>IFERROR(IF(AND($C5="",$D5=""),"",IF($C5="",0,$C5)+IF($D5="",0,$D5)),"")</f>
        <v>21446.0</v>
      </c>
      <c r="F5" s="17" t="n">
        <v>9700</v>
      </c>
      <c r="G5" s="17" t="n">
        <v>6762</v>
      </c>
      <c r="H5" s="17" t="n">
        <v>9834</v>
      </c>
      <c r="I5" s="18">
        <f>IFERROR(IF(OR($F5="",$G5="",$H5=""),"",$F5+$G5-$H5),"")</f>
        <v>6628.0</v>
      </c>
      <c r="J5" s="19">
        <f>IFERROR(IF(OR($I5="",$E5="",$E5=0),"",$I5/$E5),"")</f>
        <v>0.30905530168796047</v>
      </c>
      <c r="K5" s="17" t="n">
        <v>4898</v>
      </c>
      <c r="L5" s="17" t="n">
        <v>286</v>
      </c>
      <c r="M5" s="18">
        <f>IFERROR(IF($K5="","",$K5*(1+Parámetros!$B$22)+IF($L5="",0,$L5)),"")</f>
        <v>6800.34</v>
      </c>
      <c r="N5" s="19">
        <f>IFERROR(IF(OR($M5="",$E5="",$E5=0),"",$M5/$E5),"")</f>
        <v>0.31709129907675093</v>
      </c>
      <c r="O5" s="19">
        <f>IFERROR(IF(OR($I5="",$M5="",$E5="",$E5=0),"",($I5+$M5)/$E5),"")</f>
        <v>0.6261466007647114</v>
      </c>
      <c r="P5" s="19">
        <f>IF(Parámetros!$B$13="","",Parámetros!$B$13)</f>
        <v>0.65</v>
      </c>
      <c r="Q5" t="str">
        <f>IF(OR($O5="",$P5=""),"",IF($O5&lt;=$P5,"En objetivo","Por encima del objetivo"))</f>
        <v>En objetivo</v>
      </c>
      <c r="R5" s="18">
        <f>IFERROR(IF(OR($E5="",$I5="",$M5=""),"",$E5-$I5-$M5),"")</f>
        <v>8017.66</v>
      </c>
      <c r="S5" s="14" t="n">
        <v>829</v>
      </c>
      <c r="T5" s="14" t="n">
        <v>382</v>
      </c>
      <c r="U5" s="18">
        <f>IFERROR(IF(OR($E5="",$T5="",$T5=0),"",$E5/$T5),"")</f>
        <v>56.1413612565445</v>
      </c>
      <c r="V5" s="18">
        <f>IFERROR(IF(OR($E5="",$S5="",$S5=0),"",$E5/$S5),"")</f>
        <v>25.869722557297948</v>
      </c>
      <c r="W5" s="14" t="n">
        <v>35</v>
      </c>
      <c r="X5" s="20">
        <f>IFERROR(IF(OR($S5="",$W5="",$W5=0),"",$S5/$W5),"")</f>
        <v>23.685714285714287</v>
      </c>
      <c r="Y5" s="14" t="n">
        <v>433</v>
      </c>
      <c r="Z5" s="18">
        <f>IFERROR(IF(OR($E5="",$Y5="",$Y5=0),"",$E5/$Y5),"")</f>
        <v>49.52886836027714</v>
      </c>
    </row>
    <row r="6">
      <c r="A6" s="14" t="n">
        <v>2</v>
      </c>
      <c r="B6" s="16" t="n">
        <v>46027</v>
      </c>
      <c r="C6" s="17" t="n">
        <v>11513</v>
      </c>
      <c r="D6" s="17" t="n">
        <v>8517</v>
      </c>
      <c r="E6" s="18">
        <f>IFERROR(IF(AND($C6="",$D6=""),"",IF($C6="",0,$C6)+IF($D6="",0,$D6)),"")</f>
        <v>20030.0</v>
      </c>
      <c r="F6" s="17" t="n">
        <v>9834</v>
      </c>
      <c r="G6" s="17" t="n">
        <v>5622</v>
      </c>
      <c r="H6" s="17" t="n">
        <v>9266</v>
      </c>
      <c r="I6" s="18">
        <f>IFERROR(IF(OR($F6="",$G6="",$H6=""),"",$F6+$G6-$H6),"")</f>
        <v>6190.0</v>
      </c>
      <c r="J6" s="19">
        <f>IFERROR(IF(OR($I6="",$E6="",$E6=0),"",$I6/$E6),"")</f>
        <v>0.309036445332002</v>
      </c>
      <c r="K6" s="17" t="n">
        <v>4732</v>
      </c>
      <c r="L6" s="17" t="n">
        <v>276</v>
      </c>
      <c r="M6" s="18">
        <f>IFERROR(IF($K6="","",$K6*(1+Parámetros!$B$22)+IF($L6="",0,$L6)),"")</f>
        <v>6569.56</v>
      </c>
      <c r="N6" s="19">
        <f>IFERROR(IF(OR($M6="",$E6="",$E6=0),"",$M6/$E6),"")</f>
        <v>0.3279860209685472</v>
      </c>
      <c r="O6" s="19">
        <f>IFERROR(IF(OR($I6="",$M6="",$E6="",$E6=0),"",($I6+$M6)/$E6),"")</f>
        <v>0.6370224663005493</v>
      </c>
      <c r="P6" s="19">
        <f>IF(Parámetros!$B$13="","",Parámetros!$B$13)</f>
        <v>0.65</v>
      </c>
      <c r="Q6" t="str">
        <f>IF(OR($O6="",$P6=""),"",IF($O6&lt;=$P6,"En objetivo","Por encima del objetivo"))</f>
        <v>En objetivo</v>
      </c>
      <c r="R6" s="18">
        <f>IFERROR(IF(OR($E6="",$I6="",$M6=""),"",$E6-$I6-$M6),"")</f>
        <v>7270.44</v>
      </c>
      <c r="S6" s="14" t="n">
        <v>785</v>
      </c>
      <c r="T6" s="14" t="n">
        <v>357</v>
      </c>
      <c r="U6" s="18">
        <f>IFERROR(IF(OR($E6="",$T6="",$T6=0),"",$E6/$T6),"")</f>
        <v>56.10644257703081</v>
      </c>
      <c r="V6" s="18">
        <f>IFERROR(IF(OR($E6="",$S6="",$S6=0),"",$E6/$S6),"")</f>
        <v>25.515923566878982</v>
      </c>
      <c r="W6" s="14" t="n">
        <v>42</v>
      </c>
      <c r="X6" s="20">
        <f>IFERROR(IF(OR($S6="",$W6="",$W6=0),"",$S6/$W6),"")</f>
        <v>18.69047619047619</v>
      </c>
      <c r="Y6" s="14" t="n">
        <v>421</v>
      </c>
      <c r="Z6" s="18">
        <f>IFERROR(IF(OR($E6="",$Y6="",$Y6=0),"",$E6/$Y6),"")</f>
        <v>47.57719714964371</v>
      </c>
    </row>
    <row r="7">
      <c r="A7" s="14" t="n">
        <v>3</v>
      </c>
      <c r="B7" s="16" t="n">
        <v>46034</v>
      </c>
      <c r="C7" s="17" t="n">
        <v>11164</v>
      </c>
      <c r="D7" s="17" t="n">
        <v>8259</v>
      </c>
      <c r="E7" s="18">
        <f>IFERROR(IF(AND($C7="",$D7=""),"",IF($C7="",0,$C7)+IF($D7="",0,$D7)),"")</f>
        <v>19423.0</v>
      </c>
      <c r="F7" s="17" t="n">
        <v>9266</v>
      </c>
      <c r="G7" s="17" t="n">
        <v>6570</v>
      </c>
      <c r="H7" s="17" t="n">
        <v>9834</v>
      </c>
      <c r="I7" s="18">
        <f>IFERROR(IF(OR($F7="",$G7="",$H7=""),"",$F7+$G7-$H7),"")</f>
        <v>6002.0</v>
      </c>
      <c r="J7" s="19">
        <f>IFERROR(IF(OR($I7="",$E7="",$E7=0),"",$I7/$E7),"")</f>
        <v>0.30901508520825827</v>
      </c>
      <c r="K7" s="17" t="n">
        <v>4660</v>
      </c>
      <c r="L7" s="17" t="n">
        <v>272</v>
      </c>
      <c r="M7" s="18">
        <f>IFERROR(IF($K7="","",$K7*(1+Parámetros!$B$22)+IF($L7="",0,$L7)),"")</f>
        <v>6469.8</v>
      </c>
      <c r="N7" s="19">
        <f>IFERROR(IF(OR($M7="",$E7="",$E7=0),"",$M7/$E7),"")</f>
        <v>0.33309993306904184</v>
      </c>
      <c r="O7" s="19">
        <f>IFERROR(IF(OR($I7="",$M7="",$E7="",$E7=0),"",($I7+$M7)/$E7),"")</f>
        <v>0.6421150182773001</v>
      </c>
      <c r="P7" s="19">
        <f>IF(Parámetros!$B$13="","",Parámetros!$B$13)</f>
        <v>0.65</v>
      </c>
      <c r="Q7" t="str">
        <f>IF(OR($O7="",$P7=""),"",IF($O7&lt;=$P7,"En objetivo","Por encima del objetivo"))</f>
        <v>En objetivo</v>
      </c>
      <c r="R7" s="18">
        <f>IFERROR(IF(OR($E7="",$I7="",$M7=""),"",$E7-$I7-$M7),"")</f>
        <v>6951.2</v>
      </c>
      <c r="S7" s="14" t="n">
        <v>764</v>
      </c>
      <c r="T7" s="14" t="n">
        <v>353</v>
      </c>
      <c r="U7" s="18">
        <f>IFERROR(IF(OR($E7="",$T7="",$T7=0),"",$E7/$T7),"")</f>
        <v>55.022662889518415</v>
      </c>
      <c r="V7" s="18">
        <f>IFERROR(IF(OR($E7="",$S7="",$S7=0),"",$E7/$S7),"")</f>
        <v>25.422774869109947</v>
      </c>
      <c r="W7" s="14" t="n">
        <v>42</v>
      </c>
      <c r="X7" s="20">
        <f>IFERROR(IF(OR($S7="",$W7="",$W7=0),"",$S7/$W7),"")</f>
        <v>18.19047619047619</v>
      </c>
      <c r="Y7" s="14" t="n">
        <v>415</v>
      </c>
      <c r="Z7" s="18">
        <f>IFERROR(IF(OR($E7="",$Y7="",$Y7=0),"",$E7/$Y7),"")</f>
        <v>46.80240963855422</v>
      </c>
    </row>
    <row r="8">
      <c r="A8" s="14" t="n">
        <v>4</v>
      </c>
      <c r="B8" s="16" t="n">
        <v>46041</v>
      </c>
      <c r="C8" s="17" t="n">
        <v>11629</v>
      </c>
      <c r="D8" s="17" t="n">
        <v>8603</v>
      </c>
      <c r="E8" s="18">
        <f>IFERROR(IF(AND($C8="",$D8=""),"",IF($C8="",0,$C8)+IF($D8="",0,$D8)),"")</f>
        <v>20232.0</v>
      </c>
      <c r="F8" s="17" t="n">
        <v>9834</v>
      </c>
      <c r="G8" s="17" t="n">
        <v>5685</v>
      </c>
      <c r="H8" s="17" t="n">
        <v>9266</v>
      </c>
      <c r="I8" s="18">
        <f>IFERROR(IF(OR($F8="",$G8="",$H8=""),"",$F8+$G8-$H8),"")</f>
        <v>6253.0</v>
      </c>
      <c r="J8" s="19">
        <f>IFERROR(IF(OR($I8="",$E8="",$E8=0),"",$I8/$E8),"")</f>
        <v>0.30906484776591536</v>
      </c>
      <c r="K8" s="17" t="n">
        <v>4755</v>
      </c>
      <c r="L8" s="17" t="n">
        <v>277</v>
      </c>
      <c r="M8" s="18">
        <f>IFERROR(IF($K8="","",$K8*(1+Parámetros!$B$22)+IF($L8="",0,$L8)),"")</f>
        <v>6601.150000000001</v>
      </c>
      <c r="N8" s="19">
        <f>IFERROR(IF(OR($M8="",$E8="",$E8=0),"",$M8/$E8),"")</f>
        <v>0.32627273625939107</v>
      </c>
      <c r="O8" s="19">
        <f>IFERROR(IF(OR($I8="",$M8="",$E8="",$E8=0),"",($I8+$M8)/$E8),"")</f>
        <v>0.6353375840253065</v>
      </c>
      <c r="P8" s="19">
        <f>IF(Parámetros!$B$13="","",Parámetros!$B$13)</f>
        <v>0.65</v>
      </c>
      <c r="Q8" t="str">
        <f>IF(OR($O8="",$P8=""),"",IF($O8&lt;=$P8,"En objetivo","Por encima del objetivo"))</f>
        <v>En objetivo</v>
      </c>
      <c r="R8" s="18">
        <f>IFERROR(IF(OR($E8="",$I8="",$M8=""),"",$E8-$I8-$M8),"")</f>
        <v>7377.849999999999</v>
      </c>
      <c r="S8" s="14" t="n">
        <v>792</v>
      </c>
      <c r="T8" s="14" t="n">
        <v>378</v>
      </c>
      <c r="U8" s="18">
        <f>IFERROR(IF(OR($E8="",$T8="",$T8=0),"",$E8/$T8),"")</f>
        <v>53.523809523809526</v>
      </c>
      <c r="V8" s="18">
        <f>IFERROR(IF(OR($E8="",$S8="",$S8=0),"",$E8/$S8),"")</f>
        <v>25.545454545454547</v>
      </c>
      <c r="W8" s="14" t="n">
        <v>42</v>
      </c>
      <c r="X8" s="20">
        <f>IFERROR(IF(OR($S8="",$W8="",$W8=0),"",$S8/$W8),"")</f>
        <v>18.857142857142858</v>
      </c>
      <c r="Y8" s="14" t="n">
        <v>422</v>
      </c>
      <c r="Z8" s="18">
        <f>IFERROR(IF(OR($E8="",$Y8="",$Y8=0),"",$E8/$Y8),"")</f>
        <v>47.943127962085306</v>
      </c>
    </row>
    <row r="9">
      <c r="A9" s="14" t="n">
        <v>5</v>
      </c>
      <c r="B9" s="16" t="n">
        <v>46048</v>
      </c>
      <c r="C9" s="17" t="n">
        <v>11513</v>
      </c>
      <c r="D9" s="17" t="n">
        <v>8517</v>
      </c>
      <c r="E9" s="18">
        <f>IFERROR(IF(AND($C9="",$D9=""),"",IF($C9="",0,$C9)+IF($D9="",0,$D9)),"")</f>
        <v>20030.0</v>
      </c>
      <c r="F9" s="17" t="n">
        <v>9266</v>
      </c>
      <c r="G9" s="17" t="n">
        <v>6324</v>
      </c>
      <c r="H9" s="17" t="n">
        <v>9400</v>
      </c>
      <c r="I9" s="18">
        <f>IFERROR(IF(OR($F9="",$G9="",$H9=""),"",$F9+$G9-$H9),"")</f>
        <v>6190.0</v>
      </c>
      <c r="J9" s="19">
        <f>IFERROR(IF(OR($I9="",$E9="",$E9=0),"",$I9/$E9),"")</f>
        <v>0.309036445332002</v>
      </c>
      <c r="K9" s="17" t="n">
        <v>4732</v>
      </c>
      <c r="L9" s="17" t="n">
        <v>276</v>
      </c>
      <c r="M9" s="18">
        <f>IFERROR(IF($K9="","",$K9*(1+Parámetros!$B$22)+IF($L9="",0,$L9)),"")</f>
        <v>6569.56</v>
      </c>
      <c r="N9" s="19">
        <f>IFERROR(IF(OR($M9="",$E9="",$E9=0),"",$M9/$E9),"")</f>
        <v>0.3279860209685472</v>
      </c>
      <c r="O9" s="19">
        <f>IFERROR(IF(OR($I9="",$M9="",$E9="",$E9=0),"",($I9+$M9)/$E9),"")</f>
        <v>0.6370224663005493</v>
      </c>
      <c r="P9" s="19">
        <f>IF(Parámetros!$B$13="","",Parámetros!$B$13)</f>
        <v>0.65</v>
      </c>
      <c r="Q9" t="str">
        <f>IF(OR($O9="",$P9=""),"",IF($O9&lt;=$P9,"En objetivo","Por encima del objetivo"))</f>
        <v>En objetivo</v>
      </c>
      <c r="R9" s="18">
        <f>IFERROR(IF(OR($E9="",$I9="",$M9=""),"",$E9-$I9-$M9),"")</f>
        <v>7270.44</v>
      </c>
      <c r="S9" s="14" t="n">
        <v>774</v>
      </c>
      <c r="T9" s="14" t="n">
        <v>382</v>
      </c>
      <c r="U9" s="18">
        <f>IFERROR(IF(OR($E9="",$T9="",$T9=0),"",$E9/$T9),"")</f>
        <v>52.43455497382199</v>
      </c>
      <c r="V9" s="18">
        <f>IFERROR(IF(OR($E9="",$S9="",$S9=0),"",$E9/$S9),"")</f>
        <v>25.878552971576227</v>
      </c>
      <c r="W9" s="14" t="n">
        <v>42</v>
      </c>
      <c r="X9" s="20">
        <f>IFERROR(IF(OR($S9="",$W9="",$W9=0),"",$S9/$W9),"")</f>
        <v>18.428571428571427</v>
      </c>
      <c r="Y9" s="14" t="n">
        <v>421</v>
      </c>
      <c r="Z9" s="18">
        <f>IFERROR(IF(OR($E9="",$Y9="",$Y9=0),"",$E9/$Y9),"")</f>
        <v>47.57719714964371</v>
      </c>
    </row>
    <row r="10">
      <c r="A10" s="14" t="n">
        <v>6</v>
      </c>
      <c r="B10" s="16" t="n">
        <v>46055</v>
      </c>
      <c r="C10" s="17" t="n">
        <v>12221</v>
      </c>
      <c r="D10" s="17" t="n">
        <v>9014</v>
      </c>
      <c r="E10" s="18">
        <f>IFERROR(IF(AND($C10="",$D10=""),"",IF($C10="",0,$C10)+IF($D10="",0,$D10)),"")</f>
        <v>21235.0</v>
      </c>
      <c r="F10" s="17" t="n">
        <v>9400</v>
      </c>
      <c r="G10" s="17" t="n">
        <v>6548</v>
      </c>
      <c r="H10" s="17" t="n">
        <v>9558</v>
      </c>
      <c r="I10" s="18">
        <f>IFERROR(IF(OR($F10="",$G10="",$H10=""),"",$F10+$G10-$H10),"")</f>
        <v>6390.0</v>
      </c>
      <c r="J10" s="19">
        <f>IFERROR(IF(OR($I10="",$E10="",$E10=0),"",$I10/$E10),"")</f>
        <v>0.30091829526724745</v>
      </c>
      <c r="K10" s="17" t="n">
        <v>5291</v>
      </c>
      <c r="L10" s="17" t="n">
        <v>292</v>
      </c>
      <c r="M10" s="18">
        <f>IFERROR(IF($K10="","",$K10*(1+Parámetros!$B$22)+IF($L10="",0,$L10)),"")</f>
        <v>7329.030000000001</v>
      </c>
      <c r="N10" s="19">
        <f>IFERROR(IF(OR($M10="",$E10="",$E10=0),"",$M10/$E10),"")</f>
        <v>0.34513915705203674</v>
      </c>
      <c r="O10" s="19">
        <f>IFERROR(IF(OR($I10="",$M10="",$E10="",$E10=0),"",($I10+$M10)/$E10),"")</f>
        <v>0.6460574523192842</v>
      </c>
      <c r="P10" s="19">
        <f>IF(Parámetros!$B$13="","",Parámetros!$B$13)</f>
        <v>0.65</v>
      </c>
      <c r="Q10" t="str">
        <f>IF(OR($O10="",$P10=""),"",IF($O10&lt;=$P10,"En objetivo","Por encima del objetivo"))</f>
        <v>En objetivo</v>
      </c>
      <c r="R10" s="18">
        <f>IFERROR(IF(OR($E10="",$I10="",$M10=""),"",$E10-$I10-$M10),"")</f>
        <v>7515.969999999999</v>
      </c>
      <c r="S10" s="14" t="n">
        <v>807</v>
      </c>
      <c r="T10" s="14" t="n">
        <v>403</v>
      </c>
      <c r="U10" s="18">
        <f>IFERROR(IF(OR($E10="",$T10="",$T10=0),"",$E10/$T10),"")</f>
        <v>52.69230769230769</v>
      </c>
      <c r="V10" s="18">
        <f>IFERROR(IF(OR($E10="",$S10="",$S10=0),"",$E10/$S10),"")</f>
        <v>26.313506815365553</v>
      </c>
      <c r="W10" s="14" t="n">
        <v>42</v>
      </c>
      <c r="X10" s="20">
        <f>IFERROR(IF(OR($S10="",$W10="",$W10=0),"",$S10/$W10),"")</f>
        <v>19.214285714285715</v>
      </c>
      <c r="Y10" s="14" t="n">
        <v>431</v>
      </c>
      <c r="Z10" s="18">
        <f>IFERROR(IF(OR($E10="",$Y10="",$Y10=0),"",$E10/$Y10),"")</f>
        <v>49.269141531322504</v>
      </c>
    </row>
    <row r="11">
      <c r="A11" s="14" t="n">
        <v>7</v>
      </c>
      <c r="B11" s="16" t="n">
        <v>46062</v>
      </c>
      <c r="C11" s="17" t="n">
        <v>11616</v>
      </c>
      <c r="D11" s="17" t="n">
        <v>8568</v>
      </c>
      <c r="E11" s="18">
        <f>IFERROR(IF(AND($C11="",$D11=""),"",IF($C11="",0,$C11)+IF($D11="",0,$D11)),"")</f>
        <v>20184.0</v>
      </c>
      <c r="F11" s="17" t="n">
        <v>9558</v>
      </c>
      <c r="G11" s="17" t="n">
        <v>6747</v>
      </c>
      <c r="H11" s="17" t="n">
        <v>8920</v>
      </c>
      <c r="I11" s="18">
        <f>IFERROR(IF(OR($F11="",$G11="",$H11=""),"",$F11+$G11-$H11),"")</f>
        <v>7385.0</v>
      </c>
      <c r="J11" s="19">
        <f>IFERROR(IF(OR($I11="",$E11="",$E11=0),"",$I11/$E11),"")</f>
        <v>0.36588386841062226</v>
      </c>
      <c r="K11" s="17" t="n">
        <v>5160</v>
      </c>
      <c r="L11" s="17" t="n">
        <v>284</v>
      </c>
      <c r="M11" s="18">
        <f>IFERROR(IF($K11="","",$K11*(1+Parámetros!$B$22)+IF($L11="",0,$L11)),"")</f>
        <v>7146.8</v>
      </c>
      <c r="N11" s="19">
        <f>IFERROR(IF(OR($M11="",$E11="",$E11=0),"",$M11/$E11),"")</f>
        <v>0.3540824415378518</v>
      </c>
      <c r="O11" s="19">
        <f>IFERROR(IF(OR($I11="",$M11="",$E11="",$E11=0),"",($I11+$M11)/$E11),"")</f>
        <v>0.719966309948474</v>
      </c>
      <c r="P11" s="19">
        <f>IF(Parámetros!$B$13="","",Parámetros!$B$13)</f>
        <v>0.65</v>
      </c>
      <c r="Q11" t="str">
        <f>IF(OR($O11="",$P11=""),"",IF($O11&lt;=$P11,"En objetivo","Por encima del objetivo"))</f>
        <v>Por encima del objetivo</v>
      </c>
      <c r="R11" s="18">
        <f>IFERROR(IF(OR($E11="",$I11="",$M11=""),"",$E11-$I11-$M11),"")</f>
        <v>5652.2</v>
      </c>
      <c r="S11" s="14" t="n">
        <v>753</v>
      </c>
      <c r="T11" s="14" t="n">
        <v>370</v>
      </c>
      <c r="U11" s="18">
        <f>IFERROR(IF(OR($E11="",$T11="",$T11=0),"",$E11/$T11),"")</f>
        <v>54.55135135135135</v>
      </c>
      <c r="V11" s="18">
        <f>IFERROR(IF(OR($E11="",$S11="",$S11=0),"",$E11/$S11),"")</f>
        <v>26.804780876494025</v>
      </c>
      <c r="W11" s="14" t="n">
        <v>42</v>
      </c>
      <c r="X11" s="20">
        <f>IFERROR(IF(OR($S11="",$W11="",$W11=0),"",$S11/$W11),"")</f>
        <v>17.928571428571427</v>
      </c>
      <c r="Y11" s="14" t="n">
        <v>422</v>
      </c>
      <c r="Z11" s="18">
        <f>IFERROR(IF(OR($E11="",$Y11="",$Y11=0),"",$E11/$Y11),"")</f>
        <v>47.829383886255926</v>
      </c>
    </row>
    <row r="12">
      <c r="A12" s="14" t="n">
        <v>8</v>
      </c>
      <c r="B12" s="16" t="n">
        <v>46069</v>
      </c>
      <c r="C12" s="17" t="n">
        <v>12100</v>
      </c>
      <c r="D12" s="17" t="n">
        <v>8925</v>
      </c>
      <c r="E12" s="18">
        <f>IFERROR(IF(AND($C12="",$D12=""),"",IF($C12="",0,$C12)+IF($D12="",0,$D12)),"")</f>
        <v>21025.0</v>
      </c>
      <c r="F12" s="17" t="n">
        <v>8920</v>
      </c>
      <c r="G12" s="17" t="n">
        <v>6815</v>
      </c>
      <c r="H12" s="17" t="n">
        <v>9408</v>
      </c>
      <c r="I12" s="18">
        <f>IFERROR(IF(OR($F12="",$G12="",$H12=""),"",$F12+$G12-$H12),"")</f>
        <v>6327.0</v>
      </c>
      <c r="J12" s="19">
        <f>IFERROR(IF(OR($I12="",$E12="",$E12=0),"",$I12/$E12),"")</f>
        <v>0.30092746730083236</v>
      </c>
      <c r="K12" s="17" t="n">
        <v>5265</v>
      </c>
      <c r="L12" s="17" t="n">
        <v>290</v>
      </c>
      <c r="M12" s="18">
        <f>IFERROR(IF($K12="","",$K12*(1+Parámetros!$B$22)+IF($L12="",0,$L12)),"")</f>
        <v>7292.450000000001</v>
      </c>
      <c r="N12" s="19">
        <f>IFERROR(IF(OR($M12="",$E12="",$E12=0),"",$M12/$E12),"")</f>
        <v>0.3468466111771701</v>
      </c>
      <c r="O12" s="19">
        <f>IFERROR(IF(OR($I12="",$M12="",$E12="",$E12=0),"",($I12+$M12)/$E12),"")</f>
        <v>0.6477740784780024</v>
      </c>
      <c r="P12" s="19">
        <f>IF(Parámetros!$B$13="","",Parámetros!$B$13)</f>
        <v>0.65</v>
      </c>
      <c r="Q12" t="str">
        <f>IF(OR($O12="",$P12=""),"",IF($O12&lt;=$P12,"En objetivo","Por encima del objetivo"))</f>
        <v>En objetivo</v>
      </c>
      <c r="R12" s="18">
        <f>IFERROR(IF(OR($E12="",$I12="",$M12=""),"",$E12-$I12-$M12),"")</f>
        <v>7405.549999999999</v>
      </c>
      <c r="S12" s="14" t="n">
        <v>775</v>
      </c>
      <c r="T12" s="14" t="n">
        <v>367</v>
      </c>
      <c r="U12" s="18">
        <f>IFERROR(IF(OR($E12="",$T12="",$T12=0),"",$E12/$T12),"")</f>
        <v>57.28882833787466</v>
      </c>
      <c r="V12" s="18">
        <f>IFERROR(IF(OR($E12="",$S12="",$S12=0),"",$E12/$S12),"")</f>
        <v>27.129032258064516</v>
      </c>
      <c r="W12" s="14" t="n">
        <v>42</v>
      </c>
      <c r="X12" s="20">
        <f>IFERROR(IF(OR($S12="",$W12="",$W12=0),"",$S12/$W12),"")</f>
        <v>18.452380952380953</v>
      </c>
      <c r="Y12" s="14" t="n">
        <v>429</v>
      </c>
      <c r="Z12" s="18">
        <f>IFERROR(IF(OR($E12="",$Y12="",$Y12=0),"",$E12/$Y12),"")</f>
        <v>49.00932400932401</v>
      </c>
    </row>
    <row r="13">
      <c r="A13" s="14" t="n">
        <v>9</v>
      </c>
      <c r="B13" s="16" t="n">
        <v>46076</v>
      </c>
      <c r="C13" s="17" t="n">
        <v>12463</v>
      </c>
      <c r="D13" s="17" t="n">
        <v>9193</v>
      </c>
      <c r="E13" s="18">
        <f>IFERROR(IF(AND($C13="",$D13=""),"",IF($C13="",0,$C13)+IF($D13="",0,$D13)),"")</f>
        <v>21656.0</v>
      </c>
      <c r="F13" s="17" t="n">
        <v>9408</v>
      </c>
      <c r="G13" s="17" t="n">
        <v>6208</v>
      </c>
      <c r="H13" s="17" t="n">
        <v>9100</v>
      </c>
      <c r="I13" s="18">
        <f>IFERROR(IF(OR($F13="",$G13="",$H13=""),"",$F13+$G13-$H13),"")</f>
        <v>6516.0</v>
      </c>
      <c r="J13" s="19">
        <f>IFERROR(IF(OR($I13="",$E13="",$E13=0),"",$I13/$E13),"")</f>
        <v>0.300886590321389</v>
      </c>
      <c r="K13" s="17" t="n">
        <v>5344</v>
      </c>
      <c r="L13" s="17" t="n">
        <v>294</v>
      </c>
      <c r="M13" s="18">
        <f>IFERROR(IF($K13="","",$K13*(1+Parámetros!$B$22)+IF($L13="",0,$L13)),"")</f>
        <v>7401.52</v>
      </c>
      <c r="N13" s="19">
        <f>IFERROR(IF(OR($M13="",$E13="",$E13=0),"",$M13/$E13),"")</f>
        <v>0.3417768747691171</v>
      </c>
      <c r="O13" s="19">
        <f>IFERROR(IF(OR($I13="",$M13="",$E13="",$E13=0),"",($I13+$M13)/$E13),"")</f>
        <v>0.6426634650905061</v>
      </c>
      <c r="P13" s="19">
        <f>IF(Parámetros!$B$13="","",Parámetros!$B$13)</f>
        <v>0.65</v>
      </c>
      <c r="Q13" t="str">
        <f>IF(OR($O13="",$P13=""),"",IF($O13&lt;=$P13,"En objetivo","Por encima del objetivo"))</f>
        <v>En objetivo</v>
      </c>
      <c r="R13" s="18">
        <f>IFERROR(IF(OR($E13="",$I13="",$M13=""),"",$E13-$I13-$M13),"")</f>
        <v>7738.48</v>
      </c>
      <c r="S13" s="14" t="n">
        <v>795</v>
      </c>
      <c r="T13" s="14" t="n">
        <v>365</v>
      </c>
      <c r="U13" s="18">
        <f>IFERROR(IF(OR($E13="",$T13="",$T13=0),"",$E13/$T13),"")</f>
        <v>59.33150684931507</v>
      </c>
      <c r="V13" s="18">
        <f>IFERROR(IF(OR($E13="",$S13="",$S13=0),"",$E13/$S13),"")</f>
        <v>27.240251572327043</v>
      </c>
      <c r="W13" s="14" t="n">
        <v>42</v>
      </c>
      <c r="X13" s="20">
        <f>IFERROR(IF(OR($S13="",$W13="",$W13=0),"",$S13/$W13),"")</f>
        <v>18.928571428571427</v>
      </c>
      <c r="Y13" s="14" t="n">
        <v>434</v>
      </c>
      <c r="Z13" s="18">
        <f>IFERROR(IF(OR($E13="",$Y13="",$Y13=0),"",$E13/$Y13),"")</f>
        <v>49.89861751152074</v>
      </c>
    </row>
    <row r="14">
      <c r="A14" s="14" t="n">
        <v>10</v>
      </c>
      <c r="B14" s="16" t="n">
        <v>46083</v>
      </c>
      <c r="C14" s="17" t="n">
        <v>12105</v>
      </c>
      <c r="D14" s="17" t="n">
        <v>8962</v>
      </c>
      <c r="E14" s="18">
        <f>IFERROR(IF(AND($C14="",$D14=""),"",IF($C14="",0,$C14)+IF($D14="",0,$D14)),"")</f>
        <v>21067.0</v>
      </c>
      <c r="F14" s="17" t="n">
        <v>9100</v>
      </c>
      <c r="G14" s="17" t="n">
        <v>6871</v>
      </c>
      <c r="H14" s="17" t="n">
        <v>9433</v>
      </c>
      <c r="I14" s="18">
        <f>IFERROR(IF(OR($F14="",$G14="",$H14=""),"",$F14+$G14-$H14),"")</f>
        <v>6538.0</v>
      </c>
      <c r="J14" s="19">
        <f>IFERROR(IF(OR($I14="",$E14="",$E14=0),"",$I14/$E14),"")</f>
        <v>0.3103431907722979</v>
      </c>
      <c r="K14" s="17" t="n">
        <v>4925</v>
      </c>
      <c r="L14" s="17" t="n">
        <v>278</v>
      </c>
      <c r="M14" s="18">
        <f>IFERROR(IF($K14="","",$K14*(1+Parámetros!$B$22)+IF($L14="",0,$L14)),"")</f>
        <v>6828.25</v>
      </c>
      <c r="N14" s="19">
        <f>IFERROR(IF(OR($M14="",$E14="",$E14=0),"",$M14/$E14),"")</f>
        <v>0.3241206626477429</v>
      </c>
      <c r="O14" s="19">
        <f>IFERROR(IF(OR($I14="",$M14="",$E14="",$E14=0),"",($I14+$M14)/$E14),"")</f>
        <v>0.6344638534200409</v>
      </c>
      <c r="P14" s="19">
        <f>IF(Parámetros!$B$13="","",Parámetros!$B$13)</f>
        <v>0.65</v>
      </c>
      <c r="Q14" t="str">
        <f>IF(OR($O14="",$P14=""),"",IF($O14&lt;=$P14,"En objetivo","Por encima del objetivo"))</f>
        <v>En objetivo</v>
      </c>
      <c r="R14" s="18">
        <f>IFERROR(IF(OR($E14="",$I14="",$M14=""),"",$E14-$I14-$M14),"")</f>
        <v>7700.75</v>
      </c>
      <c r="S14" s="14" t="n">
        <v>776</v>
      </c>
      <c r="T14" s="14" t="n">
        <v>353</v>
      </c>
      <c r="U14" s="18">
        <f>IFERROR(IF(OR($E14="",$T14="",$T14=0),"",$E14/$T14),"")</f>
        <v>59.67988668555241</v>
      </c>
      <c r="V14" s="18">
        <f>IFERROR(IF(OR($E14="",$S14="",$S14=0),"",$E14/$S14),"")</f>
        <v>27.14819587628866</v>
      </c>
      <c r="W14" s="14" t="n">
        <v>42</v>
      </c>
      <c r="X14" s="20">
        <f>IFERROR(IF(OR($S14="",$W14="",$W14=0),"",$S14/$W14),"")</f>
        <v>18.476190476190474</v>
      </c>
      <c r="Y14" s="14" t="n">
        <v>429</v>
      </c>
      <c r="Z14" s="18">
        <f>IFERROR(IF(OR($E14="",$Y14="",$Y14=0),"",$E14/$Y14),"")</f>
        <v>49.107226107226104</v>
      </c>
    </row>
    <row r="15">
      <c r="A15" s="14" t="n">
        <v>11</v>
      </c>
      <c r="B15" s="16" t="n">
        <v>46090</v>
      </c>
      <c r="C15" s="17" t="n">
        <v>12352</v>
      </c>
      <c r="D15" s="17" t="n">
        <v>9145</v>
      </c>
      <c r="E15" s="18">
        <f>IFERROR(IF(AND($C15="",$D15=""),"",IF($C15="",0,$C15)+IF($D15="",0,$D15)),"")</f>
        <v>21497.0</v>
      </c>
      <c r="F15" s="17" t="n">
        <v>9433</v>
      </c>
      <c r="G15" s="17" t="n">
        <v>6208</v>
      </c>
      <c r="H15" s="17" t="n">
        <v>8970</v>
      </c>
      <c r="I15" s="18">
        <f>IFERROR(IF(OR($F15="",$G15="",$H15=""),"",$F15+$G15-$H15),"")</f>
        <v>6671.0</v>
      </c>
      <c r="J15" s="19">
        <f>IFERROR(IF(OR($I15="",$E15="",$E15=0),"",$I15/$E15),"")</f>
        <v>0.3103223705633344</v>
      </c>
      <c r="K15" s="17" t="n">
        <v>4975</v>
      </c>
      <c r="L15" s="17" t="n">
        <v>281</v>
      </c>
      <c r="M15" s="18">
        <f>IFERROR(IF($K15="","",$K15*(1+Parámetros!$B$22)+IF($L15="",0,$L15)),"")</f>
        <v>6897.75</v>
      </c>
      <c r="N15" s="19">
        <f>IFERROR(IF(OR($M15="",$E15="",$E15=0),"",$M15/$E15),"")</f>
        <v>0.3208703540028841</v>
      </c>
      <c r="O15" s="19">
        <f>IFERROR(IF(OR($I15="",$M15="",$E15="",$E15=0),"",($I15+$M15)/$E15),"")</f>
        <v>0.6311927245662186</v>
      </c>
      <c r="P15" s="19">
        <f>IF(Parámetros!$B$13="","",Parámetros!$B$13)</f>
        <v>0.65</v>
      </c>
      <c r="Q15" t="str">
        <f>IF(OR($O15="",$P15=""),"",IF($O15&lt;=$P15,"En objetivo","Por encima del objetivo"))</f>
        <v>En objetivo</v>
      </c>
      <c r="R15" s="18">
        <f>IFERROR(IF(OR($E15="",$I15="",$M15=""),"",$E15-$I15-$M15),"")</f>
        <v>7928.25</v>
      </c>
      <c r="S15" s="14" t="n">
        <v>802</v>
      </c>
      <c r="T15" s="14" t="n">
        <v>372</v>
      </c>
      <c r="U15" s="18">
        <f>IFERROR(IF(OR($E15="",$T15="",$T15=0),"",$E15/$T15),"")</f>
        <v>57.78763440860215</v>
      </c>
      <c r="V15" s="18">
        <f>IFERROR(IF(OR($E15="",$S15="",$S15=0),"",$E15/$S15),"")</f>
        <v>26.80423940149626</v>
      </c>
      <c r="W15" s="14" t="n">
        <v>42</v>
      </c>
      <c r="X15" s="20">
        <f>IFERROR(IF(OR($S15="",$W15="",$W15=0),"",$S15/$W15),"")</f>
        <v>19.095238095238095</v>
      </c>
      <c r="Y15" s="14" t="n">
        <v>433</v>
      </c>
      <c r="Z15" s="18">
        <f>IFERROR(IF(OR($E15="",$Y15="",$Y15=0),"",$E15/$Y15),"")</f>
        <v>49.646651270207855</v>
      </c>
    </row>
    <row r="16">
      <c r="A16" s="14" t="n">
        <v>12</v>
      </c>
      <c r="B16" s="16" t="n">
        <v>46097</v>
      </c>
      <c r="C16" s="17" t="n">
        <v>12475</v>
      </c>
      <c r="D16" s="17" t="n">
        <v>9237</v>
      </c>
      <c r="E16" s="18">
        <f>IFERROR(IF(AND($C16="",$D16=""),"",IF($C16="",0,$C16)+IF($D16="",0,$D16)),"")</f>
        <v>21712.0</v>
      </c>
      <c r="F16" s="17" t="n">
        <v>8970</v>
      </c>
      <c r="G16" s="17" t="n">
        <v>7401</v>
      </c>
      <c r="H16" s="17" t="n">
        <v>9633</v>
      </c>
      <c r="I16" s="18">
        <f>IFERROR(IF(OR($F16="",$G16="",$H16=""),"",$F16+$G16-$H16),"")</f>
        <v>6738.0</v>
      </c>
      <c r="J16" s="19">
        <f>IFERROR(IF(OR($I16="",$E16="",$E16=0),"",$I16/$E16),"")</f>
        <v>0.31033529845246866</v>
      </c>
      <c r="K16" s="17" t="n">
        <v>5000</v>
      </c>
      <c r="L16" s="17" t="n">
        <v>283</v>
      </c>
      <c r="M16" s="18">
        <f>IFERROR(IF($K16="","",$K16*(1+Parámetros!$B$22)+IF($L16="",0,$L16)),"")</f>
        <v>6933.0</v>
      </c>
      <c r="N16" s="19">
        <f>IFERROR(IF(OR($M16="",$E16="",$E16=0),"",$M16/$E16),"")</f>
        <v>0.31931650700073694</v>
      </c>
      <c r="O16" s="19">
        <f>IFERROR(IF(OR($I16="",$M16="",$E16="",$E16=0),"",($I16+$M16)/$E16),"")</f>
        <v>0.6296518054532056</v>
      </c>
      <c r="P16" s="19">
        <f>IF(Parámetros!$B$13="","",Parámetros!$B$13)</f>
        <v>0.65</v>
      </c>
      <c r="Q16" t="str">
        <f>IF(OR($O16="",$P16=""),"",IF($O16&lt;=$P16,"En objetivo","Por encima del objetivo"))</f>
        <v>En objetivo</v>
      </c>
      <c r="R16" s="18">
        <f>IFERROR(IF(OR($E16="",$I16="",$M16=""),"",$E16-$I16-$M16),"")</f>
        <v>8041.0</v>
      </c>
      <c r="S16" s="14" t="n">
        <v>824</v>
      </c>
      <c r="T16" s="14" t="n">
        <v>396</v>
      </c>
      <c r="U16" s="18">
        <f>IFERROR(IF(OR($E16="",$T16="",$T16=0),"",$E16/$T16),"")</f>
        <v>54.82828282828283</v>
      </c>
      <c r="V16" s="18">
        <f>IFERROR(IF(OR($E16="",$S16="",$S16=0),"",$E16/$S16),"")</f>
        <v>26.349514563106798</v>
      </c>
      <c r="W16" s="14" t="n">
        <v>42</v>
      </c>
      <c r="X16" s="20">
        <f>IFERROR(IF(OR($S16="",$W16="",$W16=0),"",$S16/$W16),"")</f>
        <v>19.61904761904762</v>
      </c>
      <c r="Y16" s="14" t="n">
        <v>435</v>
      </c>
      <c r="Z16" s="18">
        <f>IFERROR(IF(OR($E16="",$Y16="",$Y16=0),"",$E16/$Y16),"")</f>
        <v>49.91264367816092</v>
      </c>
    </row>
    <row r="17">
      <c r="A17" s="14" t="n">
        <v>13</v>
      </c>
      <c r="B17" s="16" t="n">
        <v>46104</v>
      </c>
      <c r="C17" s="17" t="n">
        <v>12475</v>
      </c>
      <c r="D17" s="17" t="n">
        <v>9237</v>
      </c>
      <c r="E17" s="18">
        <f>IFERROR(IF(AND($C17="",$D17=""),"",IF($C17="",0,$C17)+IF($D17="",0,$D17)),"")</f>
        <v>21712.0</v>
      </c>
      <c r="F17" s="17" t="n">
        <v>9633</v>
      </c>
      <c r="G17" s="17" t="n">
        <v>6604</v>
      </c>
      <c r="H17" s="17" t="n">
        <v>9500</v>
      </c>
      <c r="I17" s="18">
        <f>IFERROR(IF(OR($F17="",$G17="",$H17=""),"",$F17+$G17-$H17),"")</f>
        <v>6737.0</v>
      </c>
      <c r="J17" s="19">
        <f>IFERROR(IF(OR($I17="",$E17="",$E17=0),"",$I17/$E17),"")</f>
        <v>0.31028924097273397</v>
      </c>
      <c r="K17" s="17" t="n">
        <v>5000</v>
      </c>
      <c r="L17" s="17" t="n">
        <v>283</v>
      </c>
      <c r="M17" s="18">
        <f>IFERROR(IF($K17="","",$K17*(1+Parámetros!$B$22)+IF($L17="",0,$L17)),"")</f>
        <v>6933.0</v>
      </c>
      <c r="N17" s="19">
        <f>IFERROR(IF(OR($M17="",$E17="",$E17=0),"",$M17/$E17),"")</f>
        <v>0.31931650700073694</v>
      </c>
      <c r="O17" s="19">
        <f>IFERROR(IF(OR($I17="",$M17="",$E17="",$E17=0),"",($I17+$M17)/$E17),"")</f>
        <v>0.6296057479734709</v>
      </c>
      <c r="P17" s="19">
        <f>IF(Parámetros!$B$13="","",Parámetros!$B$13)</f>
        <v>0.65</v>
      </c>
      <c r="Q17" t="str">
        <f>IF(OR($O17="",$P17=""),"",IF($O17&lt;=$P17,"En objetivo","Por encima del objetivo"))</f>
        <v>En objetivo</v>
      </c>
      <c r="R17" s="18">
        <f>IFERROR(IF(OR($E17="",$I17="",$M17=""),"",$E17-$I17-$M17),"")</f>
        <v>8042.0</v>
      </c>
      <c r="S17" s="14" t="n">
        <v>839</v>
      </c>
      <c r="T17" s="14" t="n">
        <v>416</v>
      </c>
      <c r="U17" s="18">
        <f>IFERROR(IF(OR($E17="",$T17="",$T17=0),"",$E17/$T17),"")</f>
        <v>52.19230769230769</v>
      </c>
      <c r="V17" s="18">
        <f>IFERROR(IF(OR($E17="",$S17="",$S17=0),"",$E17/$S17),"")</f>
        <v>25.878426698450536</v>
      </c>
      <c r="W17" s="14" t="n">
        <v>42</v>
      </c>
      <c r="X17" s="20">
        <f>IFERROR(IF(OR($S17="",$W17="",$W17=0),"",$S17/$W17),"")</f>
        <v>19.976190476190474</v>
      </c>
      <c r="Y17" s="14" t="n">
        <v>435</v>
      </c>
      <c r="Z17" s="18">
        <f>IFERROR(IF(OR($E17="",$Y17="",$Y17=0),"",$E17/$Y17),"")</f>
        <v>49.91264367816092</v>
      </c>
    </row>
    <row r="18">
      <c r="A18" s="14" t="n">
        <v>14</v>
      </c>
      <c r="B18" s="16" t="n">
        <v>46111</v>
      </c>
      <c r="C18" s="17" t="n">
        <v>15348</v>
      </c>
      <c r="D18" s="17" t="n">
        <v>11358</v>
      </c>
      <c r="E18" s="18">
        <f>IFERROR(IF(AND($C18="",$D18=""),"",IF($C18="",0,$C18)+IF($D18="",0,$D18)),"")</f>
        <v>26706.0</v>
      </c>
      <c r="F18" s="17" t="n">
        <v>9500</v>
      </c>
      <c r="G18" s="17" t="n">
        <v>8566</v>
      </c>
      <c r="H18" s="17" t="n">
        <v>9634</v>
      </c>
      <c r="I18" s="18">
        <f>IFERROR(IF(OR($F18="",$G18="",$H18=""),"",$F18+$G18-$H18),"")</f>
        <v>8432.0</v>
      </c>
      <c r="J18" s="19">
        <f>IFERROR(IF(OR($I18="",$E18="",$E18=0),"",$I18/$E18),"")</f>
        <v>0.3157342919194189</v>
      </c>
      <c r="K18" s="17" t="n">
        <v>5618</v>
      </c>
      <c r="L18" s="17" t="n">
        <v>332</v>
      </c>
      <c r="M18" s="18">
        <f>IFERROR(IF($K18="","",$K18*(1+Parámetros!$B$22)+IF($L18="",0,$L18)),"")</f>
        <v>7803.9400000000005</v>
      </c>
      <c r="N18" s="19">
        <f>IFERROR(IF(OR($M18="",$E18="",$E18=0),"",$M18/$E18),"")</f>
        <v>0.29221673032277395</v>
      </c>
      <c r="O18" s="19">
        <f>IFERROR(IF(OR($I18="",$M18="",$E18="",$E18=0),"",($I18+$M18)/$E18),"")</f>
        <v>0.6079510222421928</v>
      </c>
      <c r="P18" s="19">
        <f>IF(Parámetros!$B$13="","",Parámetros!$B$13)</f>
        <v>0.65</v>
      </c>
      <c r="Q18" t="str">
        <f>IF(OR($O18="",$P18=""),"",IF($O18&lt;=$P18,"En objetivo","Por encima del objetivo"))</f>
        <v>En objetivo</v>
      </c>
      <c r="R18" s="18">
        <f>IFERROR(IF(OR($E18="",$I18="",$M18=""),"",$E18-$I18-$M18),"")</f>
        <v>10470.06</v>
      </c>
      <c r="S18" s="14" t="n">
        <v>1045</v>
      </c>
      <c r="T18" s="14" t="n">
        <v>522</v>
      </c>
      <c r="U18" s="18">
        <f>IFERROR(IF(OR($E18="",$T18="",$T18=0),"",$E18/$T18),"")</f>
        <v>51.160919540229884</v>
      </c>
      <c r="V18" s="18">
        <f>IFERROR(IF(OR($E18="",$S18="",$S18=0),"",$E18/$S18),"")</f>
        <v>25.55598086124402</v>
      </c>
      <c r="W18" s="14" t="n">
        <v>49</v>
      </c>
      <c r="X18" s="20">
        <f>IFERROR(IF(OR($S18="",$W18="",$W18=0),"",$S18/$W18),"")</f>
        <v>21.3265306122449</v>
      </c>
      <c r="Y18" s="14" t="n">
        <v>478</v>
      </c>
      <c r="Z18" s="18">
        <f>IFERROR(IF(OR($E18="",$Y18="",$Y18=0),"",$E18/$Y18),"")</f>
        <v>55.87029288702929</v>
      </c>
    </row>
    <row r="19">
      <c r="A19" s="14" t="n">
        <v>15</v>
      </c>
      <c r="B19" s="16" t="n">
        <v>46118</v>
      </c>
      <c r="C19" s="17" t="n">
        <v>13059</v>
      </c>
      <c r="D19" s="17" t="n">
        <v>9664</v>
      </c>
      <c r="E19" s="18">
        <f>IFERROR(IF(AND($C19="",$D19=""),"",IF($C19="",0,$C19)+IF($D19="",0,$D19)),"")</f>
        <v>22723.0</v>
      </c>
      <c r="F19" s="17" t="n">
        <v>9634</v>
      </c>
      <c r="G19" s="17" t="n">
        <v>6607</v>
      </c>
      <c r="H19" s="17" t="n">
        <v>9066</v>
      </c>
      <c r="I19" s="18">
        <f>IFERROR(IF(OR($F19="",$G19="",$H19=""),"",$F19+$G19-$H19),"")</f>
        <v>7175.0</v>
      </c>
      <c r="J19" s="19">
        <f>IFERROR(IF(OR($I19="",$E19="",$E19=0),"",$I19/$E19),"")</f>
        <v>0.3157593627601989</v>
      </c>
      <c r="K19" s="17" t="n">
        <v>5171</v>
      </c>
      <c r="L19" s="17" t="n">
        <v>306</v>
      </c>
      <c r="M19" s="18">
        <f>IFERROR(IF($K19="","",$K19*(1+Parámetros!$B$22)+IF($L19="",0,$L19)),"")</f>
        <v>7183.43</v>
      </c>
      <c r="N19" s="19">
        <f>IFERROR(IF(OR($M19="",$E19="",$E19=0),"",$M19/$E19),"")</f>
        <v>0.3161303525062712</v>
      </c>
      <c r="O19" s="19">
        <f>IFERROR(IF(OR($I19="",$M19="",$E19="",$E19=0),"",($I19+$M19)/$E19),"")</f>
        <v>0.6318897152664701</v>
      </c>
      <c r="P19" s="19">
        <f>IF(Parámetros!$B$13="","",Parámetros!$B$13)</f>
        <v>0.65</v>
      </c>
      <c r="Q19" t="str">
        <f>IF(OR($O19="",$P19=""),"",IF($O19&lt;=$P19,"En objetivo","Por encima del objetivo"))</f>
        <v>En objetivo</v>
      </c>
      <c r="R19" s="18">
        <f>IFERROR(IF(OR($E19="",$I19="",$M19=""),"",$E19-$I19-$M19),"")</f>
        <v>8364.57</v>
      </c>
      <c r="S19" s="14" t="n">
        <v>894</v>
      </c>
      <c r="T19" s="14" t="n">
        <v>437</v>
      </c>
      <c r="U19" s="18">
        <f>IFERROR(IF(OR($E19="",$T19="",$T19=0),"",$E19/$T19),"")</f>
        <v>51.99771167048055</v>
      </c>
      <c r="V19" s="18">
        <f>IFERROR(IF(OR($E19="",$S19="",$S19=0),"",$E19/$S19),"")</f>
        <v>25.417225950783</v>
      </c>
      <c r="W19" s="14" t="n">
        <v>42</v>
      </c>
      <c r="X19" s="20">
        <f>IFERROR(IF(OR($S19="",$W19="",$W19=0),"",$S19/$W19),"")</f>
        <v>21.285714285714285</v>
      </c>
      <c r="Y19" s="14" t="n">
        <v>444</v>
      </c>
      <c r="Z19" s="18">
        <f>IFERROR(IF(OR($E19="",$Y19="",$Y19=0),"",$E19/$Y19),"")</f>
        <v>51.177927927927925</v>
      </c>
    </row>
    <row r="20">
      <c r="A20" s="14" t="n">
        <v>16</v>
      </c>
      <c r="B20" s="16" t="n">
        <v>46125</v>
      </c>
      <c r="C20" s="17" t="n">
        <v>12925</v>
      </c>
      <c r="D20" s="17" t="n">
        <v>9565</v>
      </c>
      <c r="E20" s="18">
        <f>IFERROR(IF(AND($C20="",$D20=""),"",IF($C20="",0,$C20)+IF($D20="",0,$D20)),"")</f>
        <v>22490.0</v>
      </c>
      <c r="F20" s="17" t="n">
        <v>9066</v>
      </c>
      <c r="G20" s="17" t="n">
        <v>7668</v>
      </c>
      <c r="H20" s="17" t="n">
        <v>9634</v>
      </c>
      <c r="I20" s="18">
        <f>IFERROR(IF(OR($F20="",$G20="",$H20=""),"",$F20+$G20-$H20),"")</f>
        <v>7100.0</v>
      </c>
      <c r="J20" s="19">
        <f>IFERROR(IF(OR($I20="",$E20="",$E20=0),"",$I20/$E20),"")</f>
        <v>0.3156958648288128</v>
      </c>
      <c r="K20" s="17" t="n">
        <v>5145</v>
      </c>
      <c r="L20" s="17" t="n">
        <v>304</v>
      </c>
      <c r="M20" s="18">
        <f>IFERROR(IF($K20="","",$K20*(1+Parámetros!$B$22)+IF($L20="",0,$L20)),"")</f>
        <v>7146.85</v>
      </c>
      <c r="N20" s="19">
        <f>IFERROR(IF(OR($M20="",$E20="",$E20=0),"",$M20/$E20),"")</f>
        <v>0.31777901289461985</v>
      </c>
      <c r="O20" s="19">
        <f>IFERROR(IF(OR($I20="",$M20="",$E20="",$E20=0),"",($I20+$M20)/$E20),"")</f>
        <v>0.6334748777234327</v>
      </c>
      <c r="P20" s="19">
        <f>IF(Parámetros!$B$13="","",Parámetros!$B$13)</f>
        <v>0.65</v>
      </c>
      <c r="Q20" t="str">
        <f>IF(OR($O20="",$P20=""),"",IF($O20&lt;=$P20,"En objetivo","Por encima del objetivo"))</f>
        <v>En objetivo</v>
      </c>
      <c r="R20" s="18">
        <f>IFERROR(IF(OR($E20="",$I20="",$M20=""),"",$E20-$I20-$M20),"")</f>
        <v>8243.15</v>
      </c>
      <c r="S20" s="14" t="n">
        <v>881</v>
      </c>
      <c r="T20" s="14" t="n">
        <v>415</v>
      </c>
      <c r="U20" s="18">
        <f>IFERROR(IF(OR($E20="",$T20="",$T20=0),"",$E20/$T20),"")</f>
        <v>54.19277108433735</v>
      </c>
      <c r="V20" s="18">
        <f>IFERROR(IF(OR($E20="",$S20="",$S20=0),"",$E20/$S20),"")</f>
        <v>25.527809307604993</v>
      </c>
      <c r="W20" s="14" t="n">
        <v>42</v>
      </c>
      <c r="X20" s="20">
        <f>IFERROR(IF(OR($S20="",$W20="",$W20=0),"",$S20/$W20),"")</f>
        <v>20.976190476190474</v>
      </c>
      <c r="Y20" s="14" t="n">
        <v>442</v>
      </c>
      <c r="Z20" s="18">
        <f>IFERROR(IF(OR($E20="",$Y20="",$Y20=0),"",$E20/$Y20),"")</f>
        <v>50.88235294117647</v>
      </c>
    </row>
    <row r="21">
      <c r="A21" s="14" t="n">
        <v>17</v>
      </c>
      <c r="B21" s="16" t="n">
        <v>46132</v>
      </c>
      <c r="C21" s="17" t="n">
        <v>12925</v>
      </c>
      <c r="D21" s="17" t="n">
        <v>9565</v>
      </c>
      <c r="E21" s="18">
        <f>IFERROR(IF(AND($C21="",$D21=""),"",IF($C21="",0,$C21)+IF($D21="",0,$D21)),"")</f>
        <v>22490.0</v>
      </c>
      <c r="F21" s="17" t="n">
        <v>9634</v>
      </c>
      <c r="G21" s="17" t="n">
        <v>6533</v>
      </c>
      <c r="H21" s="17" t="n">
        <v>9066</v>
      </c>
      <c r="I21" s="18">
        <f>IFERROR(IF(OR($F21="",$G21="",$H21=""),"",$F21+$G21-$H21),"")</f>
        <v>7101.0</v>
      </c>
      <c r="J21" s="19">
        <f>IFERROR(IF(OR($I21="",$E21="",$E21=0),"",$I21/$E21),"")</f>
        <v>0.3157403290351267</v>
      </c>
      <c r="K21" s="17" t="n">
        <v>5145</v>
      </c>
      <c r="L21" s="17" t="n">
        <v>304</v>
      </c>
      <c r="M21" s="18">
        <f>IFERROR(IF($K21="","",$K21*(1+Parámetros!$B$22)+IF($L21="",0,$L21)),"")</f>
        <v>7146.85</v>
      </c>
      <c r="N21" s="19">
        <f>IFERROR(IF(OR($M21="",$E21="",$E21=0),"",$M21/$E21),"")</f>
        <v>0.31777901289461985</v>
      </c>
      <c r="O21" s="19">
        <f>IFERROR(IF(OR($I21="",$M21="",$E21="",$E21=0),"",($I21+$M21)/$E21),"")</f>
        <v>0.6335193419297466</v>
      </c>
      <c r="P21" s="19">
        <f>IF(Parámetros!$B$13="","",Parámetros!$B$13)</f>
        <v>0.65</v>
      </c>
      <c r="Q21" t="str">
        <f>IF(OR($O21="",$P21=""),"",IF($O21&lt;=$P21,"En objetivo","Por encima del objetivo"))</f>
        <v>En objetivo</v>
      </c>
      <c r="R21" s="18">
        <f>IFERROR(IF(OR($E21="",$I21="",$M21=""),"",$E21-$I21-$M21),"")</f>
        <v>8242.15</v>
      </c>
      <c r="S21" s="14" t="n">
        <v>870</v>
      </c>
      <c r="T21" s="14" t="n">
        <v>398</v>
      </c>
      <c r="U21" s="18">
        <f>IFERROR(IF(OR($E21="",$T21="",$T21=0),"",$E21/$T21),"")</f>
        <v>56.50753768844221</v>
      </c>
      <c r="V21" s="18">
        <f>IFERROR(IF(OR($E21="",$S21="",$S21=0),"",$E21/$S21),"")</f>
        <v>25.850574712643677</v>
      </c>
      <c r="W21" s="14" t="n">
        <v>42</v>
      </c>
      <c r="X21" s="20">
        <f>IFERROR(IF(OR($S21="",$W21="",$W21=0),"",$S21/$W21),"")</f>
        <v>20.714285714285715</v>
      </c>
      <c r="Y21" s="14" t="n">
        <v>442</v>
      </c>
      <c r="Z21" s="18">
        <f>IFERROR(IF(OR($E21="",$Y21="",$Y21=0),"",$E21/$Y21),"")</f>
        <v>50.88235294117647</v>
      </c>
    </row>
    <row r="22">
      <c r="A22" s="14" t="n">
        <v>18</v>
      </c>
      <c r="B22" s="16" t="n">
        <v>46139</v>
      </c>
      <c r="C22" s="17" t="n">
        <v>13059</v>
      </c>
      <c r="D22" s="17" t="n">
        <v>9664</v>
      </c>
      <c r="E22" s="18">
        <f>IFERROR(IF(AND($C22="",$D22=""),"",IF($C22="",0,$C22)+IF($D22="",0,$D22)),"")</f>
        <v>22723.0</v>
      </c>
      <c r="F22" s="17" t="n">
        <v>9066</v>
      </c>
      <c r="G22" s="17" t="n">
        <v>7309</v>
      </c>
      <c r="H22" s="17" t="n">
        <v>9200</v>
      </c>
      <c r="I22" s="18">
        <f>IFERROR(IF(OR($F22="",$G22="",$H22=""),"",$F22+$G22-$H22),"")</f>
        <v>7175.0</v>
      </c>
      <c r="J22" s="19">
        <f>IFERROR(IF(OR($I22="",$E22="",$E22=0),"",$I22/$E22),"")</f>
        <v>0.3157593627601989</v>
      </c>
      <c r="K22" s="17" t="n">
        <v>5171</v>
      </c>
      <c r="L22" s="17" t="n">
        <v>306</v>
      </c>
      <c r="M22" s="18">
        <f>IFERROR(IF($K22="","",$K22*(1+Parámetros!$B$22)+IF($L22="",0,$L22)),"")</f>
        <v>7183.43</v>
      </c>
      <c r="N22" s="19">
        <f>IFERROR(IF(OR($M22="",$E22="",$E22=0),"",$M22/$E22),"")</f>
        <v>0.3161303525062712</v>
      </c>
      <c r="O22" s="19">
        <f>IFERROR(IF(OR($I22="",$M22="",$E22="",$E22=0),"",($I22+$M22)/$E22),"")</f>
        <v>0.6318897152664701</v>
      </c>
      <c r="P22" s="19">
        <f>IF(Parámetros!$B$13="","",Parámetros!$B$13)</f>
        <v>0.65</v>
      </c>
      <c r="Q22" t="str">
        <f>IF(OR($O22="",$P22=""),"",IF($O22&lt;=$P22,"En objetivo","Por encima del objetivo"))</f>
        <v>En objetivo</v>
      </c>
      <c r="R22" s="18">
        <f>IFERROR(IF(OR($E22="",$I22="",$M22=""),"",$E22-$I22-$M22),"")</f>
        <v>8364.57</v>
      </c>
      <c r="S22" s="14" t="n">
        <v>864</v>
      </c>
      <c r="T22" s="14" t="n">
        <v>393</v>
      </c>
      <c r="U22" s="18">
        <f>IFERROR(IF(OR($E22="",$T22="",$T22=0),"",$E22/$T22),"")</f>
        <v>57.81933842239186</v>
      </c>
      <c r="V22" s="18">
        <f>IFERROR(IF(OR($E22="",$S22="",$S22=0),"",$E22/$S22),"")</f>
        <v>26.29976851851852</v>
      </c>
      <c r="W22" s="14" t="n">
        <v>42</v>
      </c>
      <c r="X22" s="20">
        <f>IFERROR(IF(OR($S22="",$W22="",$W22=0),"",$S22/$W22),"")</f>
        <v>20.571428571428573</v>
      </c>
      <c r="Y22" s="14" t="n">
        <v>444</v>
      </c>
      <c r="Z22" s="18">
        <f>IFERROR(IF(OR($E22="",$Y22="",$Y22=0),"",$E22/$Y22),"")</f>
        <v>51.177927927927925</v>
      </c>
    </row>
    <row r="23">
      <c r="A23" s="14" t="n">
        <v>19</v>
      </c>
      <c r="B23" s="16" t="n">
        <v>46146</v>
      </c>
      <c r="C23" s="17" t="n">
        <v>13860</v>
      </c>
      <c r="D23" s="17" t="n">
        <v>10261</v>
      </c>
      <c r="E23" s="18">
        <f>IFERROR(IF(AND($C23="",$D23=""),"",IF($C23="",0,$C23)+IF($D23="",0,$D23)),"")</f>
        <v>24121.0</v>
      </c>
      <c r="F23" s="17" t="n">
        <v>9200</v>
      </c>
      <c r="G23" s="17" t="n">
        <v>8004</v>
      </c>
      <c r="H23" s="17" t="n">
        <v>9558</v>
      </c>
      <c r="I23" s="18">
        <f>IFERROR(IF(OR($F23="",$G23="",$H23=""),"",$F23+$G23-$H23),"")</f>
        <v>7646.0</v>
      </c>
      <c r="J23" s="19">
        <f>IFERROR(IF(OR($I23="",$E23="",$E23=0),"",$I23/$E23),"")</f>
        <v>0.3169851996185896</v>
      </c>
      <c r="K23" s="17" t="n">
        <v>5213</v>
      </c>
      <c r="L23" s="17" t="n">
        <v>315</v>
      </c>
      <c r="M23" s="18">
        <f>IFERROR(IF($K23="","",$K23*(1+Parámetros!$B$22)+IF($L23="",0,$L23)),"")</f>
        <v>7248.29</v>
      </c>
      <c r="N23" s="19">
        <f>IFERROR(IF(OR($M23="",$E23="",$E23=0),"",$M23/$E23),"")</f>
        <v>0.3004970772356038</v>
      </c>
      <c r="O23" s="19">
        <f>IFERROR(IF(OR($I23="",$M23="",$E23="",$E23=0),"",($I23+$M23)/$E23),"")</f>
        <v>0.6174822768541934</v>
      </c>
      <c r="P23" s="19">
        <f>IF(Parámetros!$B$13="","",Parámetros!$B$13)</f>
        <v>0.65</v>
      </c>
      <c r="Q23" t="str">
        <f>IF(OR($O23="",$P23=""),"",IF($O23&lt;=$P23,"En objetivo","Por encima del objetivo"))</f>
        <v>En objetivo</v>
      </c>
      <c r="R23" s="18">
        <f>IFERROR(IF(OR($E23="",$I23="",$M23=""),"",$E23-$I23-$M23),"")</f>
        <v>9226.71</v>
      </c>
      <c r="S23" s="14" t="n">
        <v>902</v>
      </c>
      <c r="T23" s="14" t="n">
        <v>420</v>
      </c>
      <c r="U23" s="18">
        <f>IFERROR(IF(OR($E23="",$T23="",$T23=0),"",$E23/$T23),"")</f>
        <v>57.430952380952384</v>
      </c>
      <c r="V23" s="18">
        <f>IFERROR(IF(OR($E23="",$S23="",$S23=0),"",$E23/$S23),"")</f>
        <v>26.74168514412417</v>
      </c>
      <c r="W23" s="14" t="n">
        <v>42</v>
      </c>
      <c r="X23" s="20">
        <f>IFERROR(IF(OR($S23="",$W23="",$W23=0),"",$S23/$W23),"")</f>
        <v>21.476190476190474</v>
      </c>
      <c r="Y23" s="14" t="n">
        <v>456</v>
      </c>
      <c r="Z23" s="18">
        <f>IFERROR(IF(OR($E23="",$Y23="",$Y23=0),"",$E23/$Y23),"")</f>
        <v>52.896929824561404</v>
      </c>
    </row>
    <row r="24">
      <c r="A24" s="14" t="n">
        <v>20</v>
      </c>
      <c r="B24" s="16" t="n">
        <v>46153</v>
      </c>
      <c r="C24" s="17" t="n">
        <v>14000</v>
      </c>
      <c r="D24" s="17" t="n">
        <v>10365</v>
      </c>
      <c r="E24" s="18">
        <f>IFERROR(IF(AND($C24="",$D24=""),"",IF($C24="",0,$C24)+IF($D24="",0,$D24)),"")</f>
        <v>24365.0</v>
      </c>
      <c r="F24" s="17" t="n">
        <v>9558</v>
      </c>
      <c r="G24" s="17" t="n">
        <v>7284</v>
      </c>
      <c r="H24" s="17" t="n">
        <v>9120</v>
      </c>
      <c r="I24" s="18">
        <f>IFERROR(IF(OR($F24="",$G24="",$H24=""),"",$F24+$G24-$H24),"")</f>
        <v>7722.0</v>
      </c>
      <c r="J24" s="19">
        <f>IFERROR(IF(OR($I24="",$E24="",$E24=0),"",$I24/$E24),"")</f>
        <v>0.31693002257336345</v>
      </c>
      <c r="K24" s="17" t="n">
        <v>5239</v>
      </c>
      <c r="L24" s="17" t="n">
        <v>316</v>
      </c>
      <c r="M24" s="18">
        <f>IFERROR(IF($K24="","",$K24*(1+Parámetros!$B$22)+IF($L24="",0,$L24)),"")</f>
        <v>7283.870000000001</v>
      </c>
      <c r="N24" s="19">
        <f>IFERROR(IF(OR($M24="",$E24="",$E24=0),"",$M24/$E24),"")</f>
        <v>0.2989480812641084</v>
      </c>
      <c r="O24" s="19">
        <f>IFERROR(IF(OR($I24="",$M24="",$E24="",$E24=0),"",($I24+$M24)/$E24),"")</f>
        <v>0.6158781038374718</v>
      </c>
      <c r="P24" s="19">
        <f>IF(Parámetros!$B$13="","",Parámetros!$B$13)</f>
        <v>0.65</v>
      </c>
      <c r="Q24" t="str">
        <f>IF(OR($O24="",$P24=""),"",IF($O24&lt;=$P24,"En objetivo","Por encima del objetivo"))</f>
        <v>En objetivo</v>
      </c>
      <c r="R24" s="18">
        <f>IFERROR(IF(OR($E24="",$I24="",$M24=""),"",$E24-$I24-$M24),"")</f>
        <v>9359.13</v>
      </c>
      <c r="S24" s="14" t="n">
        <v>899</v>
      </c>
      <c r="T24" s="14" t="n">
        <v>434</v>
      </c>
      <c r="U24" s="18">
        <f>IFERROR(IF(OR($E24="",$T24="",$T24=0),"",$E24/$T24),"")</f>
        <v>56.14055299539171</v>
      </c>
      <c r="V24" s="18">
        <f>IFERROR(IF(OR($E24="",$S24="",$S24=0),"",$E24/$S24),"")</f>
        <v>27.10233592880979</v>
      </c>
      <c r="W24" s="14" t="n">
        <v>42</v>
      </c>
      <c r="X24" s="20">
        <f>IFERROR(IF(OR($S24="",$W24="",$W24=0),"",$S24/$W24),"")</f>
        <v>21.404761904761905</v>
      </c>
      <c r="Y24" s="14" t="n">
        <v>458</v>
      </c>
      <c r="Z24" s="18">
        <f>IFERROR(IF(OR($E24="",$Y24="",$Y24=0),"",$E24/$Y24),"")</f>
        <v>53.198689956331876</v>
      </c>
    </row>
    <row r="25">
      <c r="A25" s="14" t="n">
        <v>21</v>
      </c>
      <c r="B25" s="16" t="n">
        <v>46160</v>
      </c>
      <c r="C25" s="17" t="n">
        <v>14000</v>
      </c>
      <c r="D25" s="17" t="n">
        <v>10365</v>
      </c>
      <c r="E25" s="18">
        <f>IFERROR(IF(AND($C25="",$D25=""),"",IF($C25="",0,$C25)+IF($D25="",0,$D25)),"")</f>
        <v>24365.0</v>
      </c>
      <c r="F25" s="17" t="n">
        <v>9120</v>
      </c>
      <c r="G25" s="17" t="n">
        <v>8411</v>
      </c>
      <c r="H25" s="17" t="n">
        <v>9808</v>
      </c>
      <c r="I25" s="18">
        <f>IFERROR(IF(OR($F25="",$G25="",$H25=""),"",$F25+$G25-$H25),"")</f>
        <v>7723.0</v>
      </c>
      <c r="J25" s="19">
        <f>IFERROR(IF(OR($I25="",$E25="",$E25=0),"",$I25/$E25),"")</f>
        <v>0.31697106505232914</v>
      </c>
      <c r="K25" s="17" t="n">
        <v>5239</v>
      </c>
      <c r="L25" s="17" t="n">
        <v>316</v>
      </c>
      <c r="M25" s="18">
        <f>IFERROR(IF($K25="","",$K25*(1+Parámetros!$B$22)+IF($L25="",0,$L25)),"")</f>
        <v>7283.870000000001</v>
      </c>
      <c r="N25" s="19">
        <f>IFERROR(IF(OR($M25="",$E25="",$E25=0),"",$M25/$E25),"")</f>
        <v>0.2989480812641084</v>
      </c>
      <c r="O25" s="19">
        <f>IFERROR(IF(OR($I25="",$M25="",$E25="",$E25=0),"",($I25+$M25)/$E25),"")</f>
        <v>0.6159191463164375</v>
      </c>
      <c r="P25" s="19">
        <f>IF(Parámetros!$B$13="","",Parámetros!$B$13)</f>
        <v>0.65</v>
      </c>
      <c r="Q25" t="str">
        <f>IF(OR($O25="",$P25=""),"",IF($O25&lt;=$P25,"En objetivo","Por encima del objetivo"))</f>
        <v>En objetivo</v>
      </c>
      <c r="R25" s="18">
        <f>IFERROR(IF(OR($E25="",$I25="",$M25=""),"",$E25-$I25-$M25),"")</f>
        <v>9358.13</v>
      </c>
      <c r="S25" s="14" t="n">
        <v>894</v>
      </c>
      <c r="T25" s="14" t="n">
        <v>445</v>
      </c>
      <c r="U25" s="18">
        <f>IFERROR(IF(OR($E25="",$T25="",$T25=0),"",$E25/$T25),"")</f>
        <v>54.752808988764045</v>
      </c>
      <c r="V25" s="18">
        <f>IFERROR(IF(OR($E25="",$S25="",$S25=0),"",$E25/$S25),"")</f>
        <v>27.25391498881432</v>
      </c>
      <c r="W25" s="14" t="n">
        <v>42</v>
      </c>
      <c r="X25" s="20">
        <f>IFERROR(IF(OR($S25="",$W25="",$W25=0),"",$S25/$W25),"")</f>
        <v>21.285714285714285</v>
      </c>
      <c r="Y25" s="14" t="n">
        <v>458</v>
      </c>
      <c r="Z25" s="18">
        <f>IFERROR(IF(OR($E25="",$Y25="",$Y25=0),"",$E25/$Y25),"")</f>
        <v>53.198689956331876</v>
      </c>
    </row>
    <row r="26">
      <c r="A26" s="14" t="n">
        <v>22</v>
      </c>
      <c r="B26" s="16" t="n">
        <v>46167</v>
      </c>
      <c r="C26" s="17" t="n">
        <v>14140</v>
      </c>
      <c r="D26" s="17" t="n">
        <v>10468</v>
      </c>
      <c r="E26" s="18">
        <f>IFERROR(IF(AND($C26="",$D26=""),"",IF($C26="",0,$C26)+IF($D26="",0,$D26)),"")</f>
        <v>24608.0</v>
      </c>
      <c r="F26" s="17" t="n">
        <v>9808</v>
      </c>
      <c r="G26" s="17" t="n">
        <v>7691</v>
      </c>
      <c r="H26" s="17" t="n">
        <v>9700</v>
      </c>
      <c r="I26" s="18">
        <f>IFERROR(IF(OR($F26="",$G26="",$H26=""),"",$F26+$G26-$H26),"")</f>
        <v>7799.0</v>
      </c>
      <c r="J26" s="19">
        <f>IFERROR(IF(OR($I26="",$E26="",$E26=0),"",$I26/$E26),"")</f>
        <v>0.31692945383615084</v>
      </c>
      <c r="K26" s="17" t="n">
        <v>5265</v>
      </c>
      <c r="L26" s="17" t="n">
        <v>318</v>
      </c>
      <c r="M26" s="18">
        <f>IFERROR(IF($K26="","",$K26*(1+Parámetros!$B$22)+IF($L26="",0,$L26)),"")</f>
        <v>7320.450000000001</v>
      </c>
      <c r="N26" s="19">
        <f>IFERROR(IF(OR($M26="",$E26="",$E26=0),"",$M26/$E26),"")</f>
        <v>0.2974825260078024</v>
      </c>
      <c r="O26" s="19">
        <f>IFERROR(IF(OR($I26="",$M26="",$E26="",$E26=0),"",($I26+$M26)/$E26),"")</f>
        <v>0.6144119798439532</v>
      </c>
      <c r="P26" s="19">
        <f>IF(Parámetros!$B$13="","",Parámetros!$B$13)</f>
        <v>0.65</v>
      </c>
      <c r="Q26" t="str">
        <f>IF(OR($O26="",$P26=""),"",IF($O26&lt;=$P26,"En objetivo","Por encima del objetivo"))</f>
        <v>En objetivo</v>
      </c>
      <c r="R26" s="18">
        <f>IFERROR(IF(OR($E26="",$I26="",$M26=""),"",$E26-$I26-$M26),"")</f>
        <v>9488.55</v>
      </c>
      <c r="S26" s="14" t="n">
        <v>906</v>
      </c>
      <c r="T26" s="14" t="n">
        <v>452</v>
      </c>
      <c r="U26" s="18">
        <f>IFERROR(IF(OR($E26="",$T26="",$T26=0),"",$E26/$T26),"")</f>
        <v>54.442477876106196</v>
      </c>
      <c r="V26" s="18">
        <f>IFERROR(IF(OR($E26="",$S26="",$S26=0),"",$E26/$S26),"")</f>
        <v>27.161147902869757</v>
      </c>
      <c r="W26" s="14" t="n">
        <v>42</v>
      </c>
      <c r="X26" s="20">
        <f>IFERROR(IF(OR($S26="",$W26="",$W26=0),"",$S26/$W26),"")</f>
        <v>21.571428571428573</v>
      </c>
      <c r="Y26" s="14" t="n">
        <v>460</v>
      </c>
      <c r="Z26" s="18">
        <f>IFERROR(IF(OR($E26="",$Y26="",$Y26=0),"",$E26/$Y26),"")</f>
        <v>53.495652173913044</v>
      </c>
    </row>
    <row r="27">
      <c r="A27" s="14" t="n">
        <v>23</v>
      </c>
      <c r="B27" s="16" t="n">
        <v>46174</v>
      </c>
      <c r="C27" s="17" t="n">
        <v>14863</v>
      </c>
      <c r="D27" s="17" t="n">
        <v>10967</v>
      </c>
      <c r="E27" s="18">
        <f>IFERROR(IF(AND($C27="",$D27=""),"",IF($C27="",0,$C27)+IF($D27="",0,$D27)),"")</f>
        <v>25830.0</v>
      </c>
      <c r="F27" s="17" t="n">
        <v>9700</v>
      </c>
      <c r="G27" s="17" t="n">
        <v>8794</v>
      </c>
      <c r="H27" s="17" t="n">
        <v>9758</v>
      </c>
      <c r="I27" s="18">
        <f>IFERROR(IF(OR($F27="",$G27="",$H27=""),"",$F27+$G27-$H27),"")</f>
        <v>8736.0</v>
      </c>
      <c r="J27" s="19">
        <f>IFERROR(IF(OR($I27="",$E27="",$E27=0),"",$I27/$E27),"")</f>
        <v>0.3382113821138211</v>
      </c>
      <c r="K27" s="17" t="n">
        <v>5506</v>
      </c>
      <c r="L27" s="17" t="n">
        <v>334</v>
      </c>
      <c r="M27" s="18">
        <f>IFERROR(IF($K27="","",$K27*(1+Parámetros!$B$22)+IF($L27="",0,$L27)),"")</f>
        <v>7656.9800000000005</v>
      </c>
      <c r="N27" s="19">
        <f>IFERROR(IF(OR($M27="",$E27="",$E27=0),"",$M27/$E27),"")</f>
        <v>0.29643747580332946</v>
      </c>
      <c r="O27" s="19">
        <f>IFERROR(IF(OR($I27="",$M27="",$E27="",$E27=0),"",($I27+$M27)/$E27),"")</f>
        <v>0.6346488579171505</v>
      </c>
      <c r="P27" s="19">
        <f>IF(Parámetros!$B$13="","",Parámetros!$B$13)</f>
        <v>0.65</v>
      </c>
      <c r="Q27" t="str">
        <f>IF(OR($O27="",$P27=""),"",IF($O27&lt;=$P27,"En objetivo","Por encima del objetivo"))</f>
        <v>En objetivo</v>
      </c>
      <c r="R27" s="18">
        <f>IFERROR(IF(OR($E27="",$I27="",$M27=""),"",$E27-$I27-$M27),"")</f>
        <v>9437.02</v>
      </c>
      <c r="S27" s="14" t="n">
        <v>962</v>
      </c>
      <c r="T27" s="14" t="n">
        <v>468</v>
      </c>
      <c r="U27" s="18">
        <f>IFERROR(IF(OR($E27="",$T27="",$T27=0),"",$E27/$T27),"")</f>
        <v>55.19230769230769</v>
      </c>
      <c r="V27" s="18">
        <f>IFERROR(IF(OR($E27="",$S27="",$S27=0),"",$E27/$S27),"")</f>
        <v>26.85031185031185</v>
      </c>
      <c r="W27" s="14" t="n">
        <v>42</v>
      </c>
      <c r="X27" s="20">
        <f>IFERROR(IF(OR($S27="",$W27="",$W27=0),"",$S27/$W27),"")</f>
        <v>22.904761904761905</v>
      </c>
      <c r="Y27" s="14" t="n">
        <v>470</v>
      </c>
      <c r="Z27" s="18">
        <f>IFERROR(IF(OR($E27="",$Y27="",$Y27=0),"",$E27/$Y27),"")</f>
        <v>54.95744680851064</v>
      </c>
    </row>
    <row r="28">
      <c r="A28" s="14" t="n">
        <v>24</v>
      </c>
      <c r="B28" s="16" t="n">
        <v>46181</v>
      </c>
      <c r="C28" s="17" t="n">
        <v>14863</v>
      </c>
      <c r="D28" s="17" t="n">
        <v>10967</v>
      </c>
      <c r="E28" s="18">
        <f>IFERROR(IF(AND($C28="",$D28=""),"",IF($C28="",0,$C28)+IF($D28="",0,$D28)),"")</f>
        <v>25830.0</v>
      </c>
      <c r="F28" s="17" t="n">
        <v>9758</v>
      </c>
      <c r="G28" s="17" t="n">
        <v>7998</v>
      </c>
      <c r="H28" s="17" t="n">
        <v>9020</v>
      </c>
      <c r="I28" s="18">
        <f>IFERROR(IF(OR($F28="",$G28="",$H28=""),"",$F28+$G28-$H28),"")</f>
        <v>8736.0</v>
      </c>
      <c r="J28" s="19">
        <f>IFERROR(IF(OR($I28="",$E28="",$E28=0),"",$I28/$E28),"")</f>
        <v>0.3382113821138211</v>
      </c>
      <c r="K28" s="17" t="n">
        <v>5506</v>
      </c>
      <c r="L28" s="17" t="n">
        <v>334</v>
      </c>
      <c r="M28" s="18">
        <f>IFERROR(IF($K28="","",$K28*(1+Parámetros!$B$22)+IF($L28="",0,$L28)),"")</f>
        <v>7656.9800000000005</v>
      </c>
      <c r="N28" s="19">
        <f>IFERROR(IF(OR($M28="",$E28="",$E28=0),"",$M28/$E28),"")</f>
        <v>0.29643747580332946</v>
      </c>
      <c r="O28" s="19">
        <f>IFERROR(IF(OR($I28="",$M28="",$E28="",$E28=0),"",($I28+$M28)/$E28),"")</f>
        <v>0.6346488579171505</v>
      </c>
      <c r="P28" s="19">
        <f>IF(Parámetros!$B$13="","",Parámetros!$B$13)</f>
        <v>0.65</v>
      </c>
      <c r="Q28" t="str">
        <f>IF(OR($O28="",$P28=""),"",IF($O28&lt;=$P28,"En objetivo","Por encima del objetivo"))</f>
        <v>En objetivo</v>
      </c>
      <c r="R28" s="18">
        <f>IFERROR(IF(OR($E28="",$I28="",$M28=""),"",$E28-$I28-$M28),"")</f>
        <v>9437.02</v>
      </c>
      <c r="S28" s="14" t="n">
        <v>979</v>
      </c>
      <c r="T28" s="14" t="n">
        <v>459</v>
      </c>
      <c r="U28" s="18">
        <f>IFERROR(IF(OR($E28="",$T28="",$T28=0),"",$E28/$T28),"")</f>
        <v>56.27450980392157</v>
      </c>
      <c r="V28" s="18">
        <f>IFERROR(IF(OR($E28="",$S28="",$S28=0),"",$E28/$S28),"")</f>
        <v>26.38406537282942</v>
      </c>
      <c r="W28" s="14" t="n">
        <v>42</v>
      </c>
      <c r="X28" s="20">
        <f>IFERROR(IF(OR($S28="",$W28="",$W28=0),"",$S28/$W28),"")</f>
        <v>23.30952380952381</v>
      </c>
      <c r="Y28" s="14" t="n">
        <v>470</v>
      </c>
      <c r="Z28" s="18">
        <f>IFERROR(IF(OR($E28="",$Y28="",$Y28=0),"",$E28/$Y28),"")</f>
        <v>54.95744680851064</v>
      </c>
    </row>
    <row r="29">
      <c r="A29" s="14" t="n">
        <v>25</v>
      </c>
      <c r="B29" s="16" t="n">
        <v>46188</v>
      </c>
      <c r="C29" s="17" t="n">
        <v>14863</v>
      </c>
      <c r="D29" s="17" t="n">
        <v>10967</v>
      </c>
      <c r="E29" s="18">
        <f>IFERROR(IF(AND($C29="",$D29=""),"",IF($C29="",0,$C29)+IF($D29="",0,$D29)),"")</f>
        <v>25830.0</v>
      </c>
      <c r="F29" s="17" t="n">
        <v>9020</v>
      </c>
      <c r="G29" s="17" t="n">
        <v>9124</v>
      </c>
      <c r="H29" s="17" t="n">
        <v>9408</v>
      </c>
      <c r="I29" s="18">
        <f>IFERROR(IF(OR($F29="",$G29="",$H29=""),"",$F29+$G29-$H29),"")</f>
        <v>8736.0</v>
      </c>
      <c r="J29" s="19">
        <f>IFERROR(IF(OR($I29="",$E29="",$E29=0),"",$I29/$E29),"")</f>
        <v>0.3382113821138211</v>
      </c>
      <c r="K29" s="17" t="n">
        <v>5506</v>
      </c>
      <c r="L29" s="17" t="n">
        <v>334</v>
      </c>
      <c r="M29" s="18">
        <f>IFERROR(IF($K29="","",$K29*(1+Parámetros!$B$22)+IF($L29="",0,$L29)),"")</f>
        <v>7656.9800000000005</v>
      </c>
      <c r="N29" s="19">
        <f>IFERROR(IF(OR($M29="",$E29="",$E29=0),"",$M29/$E29),"")</f>
        <v>0.29643747580332946</v>
      </c>
      <c r="O29" s="19">
        <f>IFERROR(IF(OR($I29="",$M29="",$E29="",$E29=0),"",($I29+$M29)/$E29),"")</f>
        <v>0.6346488579171505</v>
      </c>
      <c r="P29" s="19">
        <f>IF(Parámetros!$B$13="","",Parámetros!$B$13)</f>
        <v>0.65</v>
      </c>
      <c r="Q29" t="str">
        <f>IF(OR($O29="",$P29=""),"",IF($O29&lt;=$P29,"En objetivo","Por encima del objetivo"))</f>
        <v>En objetivo</v>
      </c>
      <c r="R29" s="18">
        <f>IFERROR(IF(OR($E29="",$I29="",$M29=""),"",$E29-$I29-$M29),"")</f>
        <v>9437.02</v>
      </c>
      <c r="S29" s="14" t="n">
        <v>996</v>
      </c>
      <c r="T29" s="14" t="n">
        <v>455</v>
      </c>
      <c r="U29" s="18">
        <f>IFERROR(IF(OR($E29="",$T29="",$T29=0),"",$E29/$T29),"")</f>
        <v>56.76923076923077</v>
      </c>
      <c r="V29" s="18">
        <f>IFERROR(IF(OR($E29="",$S29="",$S29=0),"",$E29/$S29),"")</f>
        <v>25.933734939759034</v>
      </c>
      <c r="W29" s="14" t="n">
        <v>42</v>
      </c>
      <c r="X29" s="20">
        <f>IFERROR(IF(OR($S29="",$W29="",$W29=0),"",$S29/$W29),"")</f>
        <v>23.714285714285715</v>
      </c>
      <c r="Y29" s="14" t="n">
        <v>470</v>
      </c>
      <c r="Z29" s="18">
        <f>IFERROR(IF(OR($E29="",$Y29="",$Y29=0),"",$E29/$Y29),"")</f>
        <v>54.95744680851064</v>
      </c>
    </row>
    <row r="30">
      <c r="A30" s="14" t="n">
        <v>26</v>
      </c>
      <c r="B30" s="16" t="n">
        <v>46195</v>
      </c>
      <c r="C30" s="17" t="n">
        <v>14863</v>
      </c>
      <c r="D30" s="17" t="n">
        <v>10967</v>
      </c>
      <c r="E30" s="18">
        <f>IFERROR(IF(AND($C30="",$D30=""),"",IF($C30="",0,$C30)+IF($D30="",0,$D30)),"")</f>
        <v>25830.0</v>
      </c>
      <c r="F30" s="17" t="n">
        <v>9408</v>
      </c>
      <c r="G30" s="17" t="n">
        <v>8328</v>
      </c>
      <c r="H30" s="17" t="n">
        <v>9000</v>
      </c>
      <c r="I30" s="18">
        <f>IFERROR(IF(OR($F30="",$G30="",$H30=""),"",$F30+$G30-$H30),"")</f>
        <v>8736.0</v>
      </c>
      <c r="J30" s="19">
        <f>IFERROR(IF(OR($I30="",$E30="",$E30=0),"",$I30/$E30),"")</f>
        <v>0.3382113821138211</v>
      </c>
      <c r="K30" s="17" t="n">
        <v>5506</v>
      </c>
      <c r="L30" s="17" t="n">
        <v>334</v>
      </c>
      <c r="M30" s="18">
        <f>IFERROR(IF($K30="","",$K30*(1+Parámetros!$B$22)+IF($L30="",0,$L30)),"")</f>
        <v>7656.9800000000005</v>
      </c>
      <c r="N30" s="19">
        <f>IFERROR(IF(OR($M30="",$E30="",$E30=0),"",$M30/$E30),"")</f>
        <v>0.29643747580332946</v>
      </c>
      <c r="O30" s="19">
        <f>IFERROR(IF(OR($I30="",$M30="",$E30="",$E30=0),"",($I30+$M30)/$E30),"")</f>
        <v>0.6346488579171505</v>
      </c>
      <c r="P30" s="19">
        <f>IF(Parámetros!$B$13="","",Parámetros!$B$13)</f>
        <v>0.65</v>
      </c>
      <c r="Q30" t="str">
        <f>IF(OR($O30="",$P30=""),"",IF($O30&lt;=$P30,"En objetivo","Por encima del objetivo"))</f>
        <v>En objetivo</v>
      </c>
      <c r="R30" s="18">
        <f>IFERROR(IF(OR($E30="",$I30="",$M30=""),"",$E30-$I30-$M30),"")</f>
        <v>9437.02</v>
      </c>
      <c r="S30" s="14" t="n">
        <v>1010</v>
      </c>
      <c r="T30" s="14" t="n">
        <v>461</v>
      </c>
      <c r="U30" s="18">
        <f>IFERROR(IF(OR($E30="",$T30="",$T30=0),"",$E30/$T30),"")</f>
        <v>56.03036876355748</v>
      </c>
      <c r="V30" s="18">
        <f>IFERROR(IF(OR($E30="",$S30="",$S30=0),"",$E30/$S30),"")</f>
        <v>25.574257425742573</v>
      </c>
      <c r="W30" s="14" t="n">
        <v>42</v>
      </c>
      <c r="X30" s="20">
        <f>IFERROR(IF(OR($S30="",$W30="",$W30=0),"",$S30/$W30),"")</f>
        <v>24.047619047619047</v>
      </c>
      <c r="Y30" s="14" t="n">
        <v>470</v>
      </c>
      <c r="Z30" s="18">
        <f>IFERROR(IF(OR($E30="",$Y30="",$Y30=0),"",$E30/$Y30),"")</f>
        <v>54.95744680851064</v>
      </c>
    </row>
    <row r="31">
      <c r="A31" s="14" t="n">
        <v>27</v>
      </c>
      <c r="B31" s="16" t="n">
        <v>46202</v>
      </c>
      <c r="C31" s="17" t="n">
        <v>14933</v>
      </c>
      <c r="D31" s="17" t="n">
        <v>11043</v>
      </c>
      <c r="E31" s="18">
        <f>IFERROR(IF(AND($C31="",$D31=""),"",IF($C31="",0,$C31)+IF($D31="",0,$D31)),"")</f>
        <v>25976.0</v>
      </c>
      <c r="F31" s="17" t="n">
        <v>9000</v>
      </c>
      <c r="G31" s="17" t="n">
        <v>8702</v>
      </c>
      <c r="H31" s="17" t="n">
        <v>9274</v>
      </c>
      <c r="I31" s="18">
        <f>IFERROR(IF(OR($F31="",$G31="",$H31=""),"",$F31+$G31-$H31),"")</f>
        <v>8428.0</v>
      </c>
      <c r="J31" s="19">
        <f>IFERROR(IF(OR($I31="",$E31="",$E31=0),"",$I31/$E31),"")</f>
        <v>0.3244533415460425</v>
      </c>
      <c r="K31" s="17" t="n">
        <v>5594</v>
      </c>
      <c r="L31" s="17" t="n">
        <v>346</v>
      </c>
      <c r="M31" s="18">
        <f>IFERROR(IF($K31="","",$K31*(1+Parámetros!$B$22)+IF($L31="",0,$L31)),"")</f>
        <v>7786.02</v>
      </c>
      <c r="N31" s="19">
        <f>IFERROR(IF(OR($M31="",$E31="",$E31=0),"",$M31/$E31),"")</f>
        <v>0.29973898983677244</v>
      </c>
      <c r="O31" s="19">
        <f>IFERROR(IF(OR($I31="",$M31="",$E31="",$E31=0),"",($I31+$M31)/$E31),"")</f>
        <v>0.6241923313828149</v>
      </c>
      <c r="P31" s="19">
        <f>IF(Parámetros!$B$13="","",Parámetros!$B$13)</f>
        <v>0.65</v>
      </c>
      <c r="Q31" t="str">
        <f>IF(OR($O31="",$P31=""),"",IF($O31&lt;=$P31,"En objetivo","Por encima del objetivo"))</f>
        <v>En objetivo</v>
      </c>
      <c r="R31" s="18">
        <f>IFERROR(IF(OR($E31="",$I31="",$M31=""),"",$E31-$I31-$M31),"")</f>
        <v>9761.98</v>
      </c>
      <c r="S31" s="14" t="n">
        <v>1022</v>
      </c>
      <c r="T31" s="14" t="n">
        <v>478</v>
      </c>
      <c r="U31" s="18">
        <f>IFERROR(IF(OR($E31="",$T31="",$T31=0),"",$E31/$T31),"")</f>
        <v>54.34309623430963</v>
      </c>
      <c r="V31" s="18">
        <f>IFERROR(IF(OR($E31="",$S31="",$S31=0),"",$E31/$S31),"")</f>
        <v>25.416829745596868</v>
      </c>
      <c r="W31" s="14" t="n">
        <v>42</v>
      </c>
      <c r="X31" s="20">
        <f>IFERROR(IF(OR($S31="",$W31="",$W31=0),"",$S31/$W31),"")</f>
        <v>24.333333333333332</v>
      </c>
      <c r="Y31" s="14" t="n">
        <v>472</v>
      </c>
      <c r="Z31" s="18">
        <f>IFERROR(IF(OR($E31="",$Y31="",$Y31=0),"",$E31/$Y31),"")</f>
        <v>55.03389830508475</v>
      </c>
    </row>
    <row r="32">
      <c r="A32" s="14" t="n">
        <v>28</v>
      </c>
      <c r="B32" s="16" t="n">
        <v>46209</v>
      </c>
      <c r="C32" s="17" t="n">
        <v>15084</v>
      </c>
      <c r="D32" s="17" t="n">
        <v>11155</v>
      </c>
      <c r="E32" s="18">
        <f>IFERROR(IF(AND($C32="",$D32=""),"",IF($C32="",0,$C32)+IF($D32="",0,$D32)),"")</f>
        <v>26239.0</v>
      </c>
      <c r="F32" s="17" t="n">
        <v>9274</v>
      </c>
      <c r="G32" s="17" t="n">
        <v>8085</v>
      </c>
      <c r="H32" s="17" t="n">
        <v>8846</v>
      </c>
      <c r="I32" s="18">
        <f>IFERROR(IF(OR($F32="",$G32="",$H32=""),"",$F32+$G32-$H32),"")</f>
        <v>8513.0</v>
      </c>
      <c r="J32" s="19">
        <f>IFERROR(IF(OR($I32="",$E32="",$E32=0),"",$I32/$E32),"")</f>
        <v>0.3244407180151683</v>
      </c>
      <c r="K32" s="17" t="n">
        <v>5623</v>
      </c>
      <c r="L32" s="17" t="n">
        <v>348</v>
      </c>
      <c r="M32" s="18">
        <f>IFERROR(IF($K32="","",$K32*(1+Parámetros!$B$22)+IF($L32="",0,$L32)),"")</f>
        <v>7826.59</v>
      </c>
      <c r="N32" s="19">
        <f>IFERROR(IF(OR($M32="",$E32="",$E32=0),"",$M32/$E32),"")</f>
        <v>0.2982808033842753</v>
      </c>
      <c r="O32" s="19">
        <f>IFERROR(IF(OR($I32="",$M32="",$E32="",$E32=0),"",($I32+$M32)/$E32),"")</f>
        <v>0.6227215213994436</v>
      </c>
      <c r="P32" s="19">
        <f>IF(Parámetros!$B$13="","",Parámetros!$B$13)</f>
        <v>0.65</v>
      </c>
      <c r="Q32" t="str">
        <f>IF(OR($O32="",$P32=""),"",IF($O32&lt;=$P32,"En objetivo","Por encima del objetivo"))</f>
        <v>En objetivo</v>
      </c>
      <c r="R32" s="18">
        <f>IFERROR(IF(OR($E32="",$I32="",$M32=""),"",$E32-$I32-$M32),"")</f>
        <v>9899.41</v>
      </c>
      <c r="S32" s="14" t="n">
        <v>1029</v>
      </c>
      <c r="T32" s="14" t="n">
        <v>499</v>
      </c>
      <c r="U32" s="18">
        <f>IFERROR(IF(OR($E32="",$T32="",$T32=0),"",$E32/$T32),"")</f>
        <v>52.58316633266533</v>
      </c>
      <c r="V32" s="18">
        <f>IFERROR(IF(OR($E32="",$S32="",$S32=0),"",$E32/$S32),"")</f>
        <v>25.499514091350825</v>
      </c>
      <c r="W32" s="14" t="n">
        <v>42</v>
      </c>
      <c r="X32" s="20">
        <f>IFERROR(IF(OR($S32="",$W32="",$W32=0),"",$S32/$W32),"")</f>
        <v>24.5</v>
      </c>
      <c r="Y32" s="14" t="n">
        <v>474</v>
      </c>
      <c r="Z32" s="18">
        <f>IFERROR(IF(OR($E32="",$Y32="",$Y32=0),"",$E32/$Y32),"")</f>
        <v>55.356540084388186</v>
      </c>
    </row>
    <row r="33">
      <c r="A33" s="14" t="n">
        <v>29</v>
      </c>
      <c r="B33" s="16" t="n">
        <v>46216</v>
      </c>
      <c r="C33" s="17" t="n">
        <v>15235</v>
      </c>
      <c r="D33" s="17" t="n">
        <v>11266</v>
      </c>
      <c r="E33" s="18">
        <f>IFERROR(IF(AND($C33="",$D33=""),"",IF($C33="",0,$C33)+IF($D33="",0,$D33)),"")</f>
        <v>26501.0</v>
      </c>
      <c r="F33" s="17" t="n">
        <v>8846</v>
      </c>
      <c r="G33" s="17" t="n">
        <v>9306</v>
      </c>
      <c r="H33" s="17" t="n">
        <v>9554</v>
      </c>
      <c r="I33" s="18">
        <f>IFERROR(IF(OR($F33="",$G33="",$H33=""),"",$F33+$G33-$H33),"")</f>
        <v>8598.0</v>
      </c>
      <c r="J33" s="19">
        <f>IFERROR(IF(OR($I33="",$E33="",$E33=0),"",$I33/$E33),"")</f>
        <v>0.3244405871476548</v>
      </c>
      <c r="K33" s="17" t="n">
        <v>5651</v>
      </c>
      <c r="L33" s="17" t="n">
        <v>349</v>
      </c>
      <c r="M33" s="18">
        <f>IFERROR(IF($K33="","",$K33*(1+Parámetros!$B$22)+IF($L33="",0,$L33)),"")</f>
        <v>7864.830000000001</v>
      </c>
      <c r="N33" s="19">
        <f>IFERROR(IF(OR($M33="",$E33="",$E33=0),"",$M33/$E33),"")</f>
        <v>0.29677483868533266</v>
      </c>
      <c r="O33" s="19">
        <f>IFERROR(IF(OR($I33="",$M33="",$E33="",$E33=0),"",($I33+$M33)/$E33),"")</f>
        <v>0.6212154258329875</v>
      </c>
      <c r="P33" s="19">
        <f>IF(Parámetros!$B$13="","",Parámetros!$B$13)</f>
        <v>0.65</v>
      </c>
      <c r="Q33" t="str">
        <f>IF(OR($O33="",$P33=""),"",IF($O33&lt;=$P33,"En objetivo","Por encima del objetivo"))</f>
        <v>En objetivo</v>
      </c>
      <c r="R33" s="18">
        <f>IFERROR(IF(OR($E33="",$I33="",$M33=""),"",$E33-$I33-$M33),"")</f>
        <v>10038.169999999998</v>
      </c>
      <c r="S33" s="14" t="n">
        <v>1027</v>
      </c>
      <c r="T33" s="14" t="n">
        <v>512</v>
      </c>
      <c r="U33" s="18">
        <f>IFERROR(IF(OR($E33="",$T33="",$T33=0),"",$E33/$T33),"")</f>
        <v>51.759765625</v>
      </c>
      <c r="V33" s="18">
        <f>IFERROR(IF(OR($E33="",$S33="",$S33=0),"",$E33/$S33),"")</f>
        <v>25.804284323271666</v>
      </c>
      <c r="W33" s="14" t="n">
        <v>42</v>
      </c>
      <c r="X33" s="20">
        <f>IFERROR(IF(OR($S33="",$W33="",$W33=0),"",$S33/$W33),"")</f>
        <v>24.452380952380953</v>
      </c>
      <c r="Y33" s="14" t="n">
        <v>476</v>
      </c>
      <c r="Z33" s="18">
        <f>IFERROR(IF(OR($E33="",$Y33="",$Y33=0),"",$E33/$Y33),"")</f>
        <v>55.674369747899156</v>
      </c>
    </row>
    <row r="34">
      <c r="A34" s="14" t="n">
        <v>30</v>
      </c>
      <c r="B34" s="16" t="n">
        <v>46223</v>
      </c>
      <c r="C34" s="17" t="n">
        <v>15386</v>
      </c>
      <c r="D34" s="17" t="n">
        <v>11378</v>
      </c>
      <c r="E34" s="18">
        <f>IFERROR(IF(AND($C34="",$D34=""),"",IF($C34="",0,$C34)+IF($D34="",0,$D34)),"")</f>
        <v>26764.0</v>
      </c>
      <c r="F34" s="17" t="n">
        <v>9554</v>
      </c>
      <c r="G34" s="17" t="n">
        <v>8255</v>
      </c>
      <c r="H34" s="17" t="n">
        <v>9126</v>
      </c>
      <c r="I34" s="18">
        <f>IFERROR(IF(OR($F34="",$G34="",$H34=""),"",$F34+$G34-$H34),"")</f>
        <v>8683.0</v>
      </c>
      <c r="J34" s="19">
        <f>IFERROR(IF(OR($I34="",$E34="",$E34=0),"",$I34/$E34),"")</f>
        <v>0.324428336571514</v>
      </c>
      <c r="K34" s="17" t="n">
        <v>5679</v>
      </c>
      <c r="L34" s="17" t="n">
        <v>351</v>
      </c>
      <c r="M34" s="18">
        <f>IFERROR(IF($K34="","",$K34*(1+Parámetros!$B$22)+IF($L34="",0,$L34)),"")</f>
        <v>7904.070000000001</v>
      </c>
      <c r="N34" s="19">
        <f>IFERROR(IF(OR($M34="",$E34="",$E34=0),"",$M34/$E34),"")</f>
        <v>0.295324689881931</v>
      </c>
      <c r="O34" s="19">
        <f>IFERROR(IF(OR($I34="",$M34="",$E34="",$E34=0),"",($I34+$M34)/$E34),"")</f>
        <v>0.6197530264534449</v>
      </c>
      <c r="P34" s="19">
        <f>IF(Parámetros!$B$13="","",Parámetros!$B$13)</f>
        <v>0.65</v>
      </c>
      <c r="Q34" t="str">
        <f>IF(OR($O34="",$P34=""),"",IF($O34&lt;=$P34,"En objetivo","Por encima del objetivo"))</f>
        <v>En objetivo</v>
      </c>
      <c r="R34" s="18">
        <f>IFERROR(IF(OR($E34="",$I34="",$M34=""),"",$E34-$I34-$M34),"")</f>
        <v>10176.93</v>
      </c>
      <c r="S34" s="14" t="n">
        <v>1020</v>
      </c>
      <c r="T34" s="14" t="n">
        <v>507</v>
      </c>
      <c r="U34" s="18">
        <f>IFERROR(IF(OR($E34="",$T34="",$T34=0),"",$E34/$T34),"")</f>
        <v>52.78895463510848</v>
      </c>
      <c r="V34" s="18">
        <f>IFERROR(IF(OR($E34="",$S34="",$S34=0),"",$E34/$S34),"")</f>
        <v>26.23921568627451</v>
      </c>
      <c r="W34" s="14" t="n">
        <v>42</v>
      </c>
      <c r="X34" s="20">
        <f>IFERROR(IF(OR($S34="",$W34="",$W34=0),"",$S34/$W34),"")</f>
        <v>24.285714285714285</v>
      </c>
      <c r="Y34" s="14" t="n">
        <v>478</v>
      </c>
      <c r="Z34" s="18">
        <f>IFERROR(IF(OR($E34="",$Y34="",$Y34=0),"",$E34/$Y34),"")</f>
        <v>55.99163179916318</v>
      </c>
    </row>
    <row r="35">
      <c r="A35" s="14" t="n">
        <v>31</v>
      </c>
      <c r="B35" s="16" t="n">
        <v>46230</v>
      </c>
      <c r="C35" s="17" t="n">
        <v>14782</v>
      </c>
      <c r="D35" s="17" t="n">
        <v>10932</v>
      </c>
      <c r="E35" s="18">
        <f>IFERROR(IF(AND($C35="",$D35=""),"",IF($C35="",0,$C35)+IF($D35="",0,$D35)),"")</f>
        <v>25714.0</v>
      </c>
      <c r="F35" s="17" t="n">
        <v>9126</v>
      </c>
      <c r="G35" s="17" t="n">
        <v>8617</v>
      </c>
      <c r="H35" s="17" t="n">
        <v>9400</v>
      </c>
      <c r="I35" s="18">
        <f>IFERROR(IF(OR($F35="",$G35="",$H35=""),"",$F35+$G35-$H35),"")</f>
        <v>8343.0</v>
      </c>
      <c r="J35" s="19">
        <f>IFERROR(IF(OR($I35="",$E35="",$E35=0),"",$I35/$E35),"")</f>
        <v>0.324453605040056</v>
      </c>
      <c r="K35" s="17" t="n">
        <v>5566</v>
      </c>
      <c r="L35" s="17" t="n">
        <v>344</v>
      </c>
      <c r="M35" s="18">
        <f>IFERROR(IF($K35="","",$K35*(1+Parámetros!$B$22)+IF($L35="",0,$L35)),"")</f>
        <v>7746.780000000001</v>
      </c>
      <c r="N35" s="19">
        <f>IFERROR(IF(OR($M35="",$E35="",$E35=0),"",$M35/$E35),"")</f>
        <v>0.3012670140779342</v>
      </c>
      <c r="O35" s="19">
        <f>IFERROR(IF(OR($I35="",$M35="",$E35="",$E35=0),"",($I35+$M35)/$E35),"")</f>
        <v>0.6257206191179903</v>
      </c>
      <c r="P35" s="19">
        <f>IF(Parámetros!$B$13="","",Parámetros!$B$13)</f>
        <v>0.65</v>
      </c>
      <c r="Q35" t="str">
        <f>IF(OR($O35="",$P35=""),"",IF($O35&lt;=$P35,"En objetivo","Por encima del objetivo"))</f>
        <v>En objetivo</v>
      </c>
      <c r="R35" s="18">
        <f>IFERROR(IF(OR($E35="",$I35="",$M35=""),"",$E35-$I35-$M35),"")</f>
        <v>9624.22</v>
      </c>
      <c r="S35" s="14" t="n">
        <v>962</v>
      </c>
      <c r="T35" s="14" t="n">
        <v>466</v>
      </c>
      <c r="U35" s="18">
        <f>IFERROR(IF(OR($E35="",$T35="",$T35=0),"",$E35/$T35),"")</f>
        <v>55.18025751072961</v>
      </c>
      <c r="V35" s="18">
        <f>IFERROR(IF(OR($E35="",$S35="",$S35=0),"",$E35/$S35),"")</f>
        <v>26.72972972972973</v>
      </c>
      <c r="W35" s="14" t="n">
        <v>42</v>
      </c>
      <c r="X35" s="20">
        <f>IFERROR(IF(OR($S35="",$W35="",$W35=0),"",$S35/$W35),"")</f>
        <v>22.904761904761905</v>
      </c>
      <c r="Y35" s="14" t="n">
        <v>469</v>
      </c>
      <c r="Z35" s="18">
        <f>IFERROR(IF(OR($E35="",$Y35="",$Y35=0),"",$E35/$Y35),"")</f>
        <v>54.827292110874204</v>
      </c>
    </row>
    <row r="36">
      <c r="A36" s="14" t="n">
        <v>32</v>
      </c>
      <c r="B36" s="16" t="n">
        <v>46237</v>
      </c>
      <c r="C36" s="17" t="n">
        <v>13197</v>
      </c>
      <c r="D36" s="17" t="n">
        <v>9743</v>
      </c>
      <c r="E36" s="18">
        <f>IFERROR(IF(AND($C36="",$D36=""),"",IF($C36="",0,$C36)+IF($D36="",0,$D36)),"")</f>
        <v>22940.0</v>
      </c>
      <c r="F36" s="17" t="n">
        <v>9400</v>
      </c>
      <c r="G36" s="17" t="n">
        <v>7174</v>
      </c>
      <c r="H36" s="17" t="n">
        <v>9458</v>
      </c>
      <c r="I36" s="18">
        <f>IFERROR(IF(OR($F36="",$G36="",$H36=""),"",$F36+$G36-$H36),"")</f>
        <v>7116.0</v>
      </c>
      <c r="J36" s="19">
        <f>IFERROR(IF(OR($I36="",$E36="",$E36=0),"",$I36/$E36),"")</f>
        <v>0.3102005231037489</v>
      </c>
      <c r="K36" s="17" t="n">
        <v>5537</v>
      </c>
      <c r="L36" s="17" t="n">
        <v>311</v>
      </c>
      <c r="M36" s="18">
        <f>IFERROR(IF($K36="","",$K36*(1+Parámetros!$B$22)+IF($L36="",0,$L36)),"")</f>
        <v>7675.21</v>
      </c>
      <c r="N36" s="19">
        <f>IFERROR(IF(OR($M36="",$E36="",$E36=0),"",$M36/$E36),"")</f>
        <v>0.33457759372275503</v>
      </c>
      <c r="O36" s="19">
        <f>IFERROR(IF(OR($I36="",$M36="",$E36="",$E36=0),"",($I36+$M36)/$E36),"")</f>
        <v>0.6447781168265039</v>
      </c>
      <c r="P36" s="19">
        <f>IF(Parámetros!$B$13="","",Parámetros!$B$13)</f>
        <v>0.65</v>
      </c>
      <c r="Q36" t="str">
        <f>IF(OR($O36="",$P36=""),"",IF($O36&lt;=$P36,"En objetivo","Por encima del objetivo"))</f>
        <v>En objetivo</v>
      </c>
      <c r="R36" s="18">
        <f>IFERROR(IF(OR($E36="",$I36="",$M36=""),"",$E36-$I36-$M36),"")</f>
        <v>8148.79</v>
      </c>
      <c r="S36" s="14" t="n">
        <v>847</v>
      </c>
      <c r="T36" s="14" t="n">
        <v>395</v>
      </c>
      <c r="U36" s="18">
        <f>IFERROR(IF(OR($E36="",$T36="",$T36=0),"",$E36/$T36),"")</f>
        <v>58.075949367088604</v>
      </c>
      <c r="V36" s="18">
        <f>IFERROR(IF(OR($E36="",$S36="",$S36=0),"",$E36/$S36),"")</f>
        <v>27.083825265643448</v>
      </c>
      <c r="W36" s="14" t="n">
        <v>42</v>
      </c>
      <c r="X36" s="20">
        <f>IFERROR(IF(OR($S36="",$W36="",$W36=0),"",$S36/$W36),"")</f>
        <v>20.166666666666668</v>
      </c>
      <c r="Y36" s="14" t="n">
        <v>446</v>
      </c>
      <c r="Z36" s="18">
        <f>IFERROR(IF(OR($E36="",$Y36="",$Y36=0),"",$E36/$Y36),"")</f>
        <v>51.43497757847533</v>
      </c>
    </row>
    <row r="37">
      <c r="A37" s="14" t="n">
        <v>33</v>
      </c>
      <c r="B37" s="16" t="n">
        <v>46244</v>
      </c>
      <c r="C37" s="17" t="n">
        <v>12680</v>
      </c>
      <c r="D37" s="17" t="n">
        <v>9361</v>
      </c>
      <c r="E37" s="18">
        <f>IFERROR(IF(AND($C37="",$D37=""),"",IF($C37="",0,$C37)+IF($D37="",0,$D37)),"")</f>
        <v>22041.0</v>
      </c>
      <c r="F37" s="17" t="n">
        <v>9458</v>
      </c>
      <c r="G37" s="17" t="n">
        <v>7387</v>
      </c>
      <c r="H37" s="17" t="n">
        <v>8720</v>
      </c>
      <c r="I37" s="18">
        <f>IFERROR(IF(OR($F37="",$G37="",$H37=""),"",$F37+$G37-$H37),"")</f>
        <v>8125.0</v>
      </c>
      <c r="J37" s="19">
        <f>IFERROR(IF(OR($I37="",$E37="",$E37=0),"",$I37/$E37),"")</f>
        <v>0.3686311873326982</v>
      </c>
      <c r="K37" s="17" t="n">
        <v>5427</v>
      </c>
      <c r="L37" s="17" t="n">
        <v>305</v>
      </c>
      <c r="M37" s="18">
        <f>IFERROR(IF($K37="","",$K37*(1+Parámetros!$B$22)+IF($L37="",0,$L37)),"")</f>
        <v>7522.910000000001</v>
      </c>
      <c r="N37" s="19">
        <f>IFERROR(IF(OR($M37="",$E37="",$E37=0),"",$M37/$E37),"")</f>
        <v>0.34131436867655734</v>
      </c>
      <c r="O37" s="19">
        <f>IFERROR(IF(OR($I37="",$M37="",$E37="",$E37=0),"",($I37+$M37)/$E37),"")</f>
        <v>0.7099455560092555</v>
      </c>
      <c r="P37" s="19">
        <f>IF(Parámetros!$B$13="","",Parámetros!$B$13)</f>
        <v>0.65</v>
      </c>
      <c r="Q37" t="str">
        <f>IF(OR($O37="",$P37=""),"",IF($O37&lt;=$P37,"En objetivo","Por encima del objetivo"))</f>
        <v>Por encima del objetivo</v>
      </c>
      <c r="R37" s="18">
        <f>IFERROR(IF(OR($E37="",$I37="",$M37=""),"",$E37-$I37-$M37),"")</f>
        <v>6393.089999999999</v>
      </c>
      <c r="S37" s="14" t="n">
        <v>809</v>
      </c>
      <c r="T37" s="14" t="n">
        <v>368</v>
      </c>
      <c r="U37" s="18">
        <f>IFERROR(IF(OR($E37="",$T37="",$T37=0),"",$E37/$T37),"")</f>
        <v>59.89402173913044</v>
      </c>
      <c r="V37" s="18">
        <f>IFERROR(IF(OR($E37="",$S37="",$S37=0),"",$E37/$S37),"")</f>
        <v>27.244746600741657</v>
      </c>
      <c r="W37" s="14" t="n">
        <v>42</v>
      </c>
      <c r="X37" s="20">
        <f>IFERROR(IF(OR($S37="",$W37="",$W37=0),"",$S37/$W37),"")</f>
        <v>19.261904761904763</v>
      </c>
      <c r="Y37" s="14" t="n">
        <v>438</v>
      </c>
      <c r="Z37" s="18">
        <f>IFERROR(IF(OR($E37="",$Y37="",$Y37=0),"",$E37/$Y37),"")</f>
        <v>50.321917808219176</v>
      </c>
    </row>
    <row r="38">
      <c r="A38" s="14" t="n">
        <v>34</v>
      </c>
      <c r="B38" s="16" t="n">
        <v>46251</v>
      </c>
      <c r="C38" s="17" t="n">
        <v>12809</v>
      </c>
      <c r="D38" s="17" t="n">
        <v>9456</v>
      </c>
      <c r="E38" s="18">
        <f>IFERROR(IF(AND($C38="",$D38=""),"",IF($C38="",0,$C38)+IF($D38="",0,$D38)),"")</f>
        <v>22265.0</v>
      </c>
      <c r="F38" s="17" t="n">
        <v>8720</v>
      </c>
      <c r="G38" s="17" t="n">
        <v>7295</v>
      </c>
      <c r="H38" s="17" t="n">
        <v>9108</v>
      </c>
      <c r="I38" s="18">
        <f>IFERROR(IF(OR($F38="",$G38="",$H38=""),"",$F38+$G38-$H38),"")</f>
        <v>6907.0</v>
      </c>
      <c r="J38" s="19">
        <f>IFERROR(IF(OR($I38="",$E38="",$E38=0),"",$I38/$E38),"")</f>
        <v>0.3102178306759488</v>
      </c>
      <c r="K38" s="17" t="n">
        <v>5455</v>
      </c>
      <c r="L38" s="17" t="n">
        <v>307</v>
      </c>
      <c r="M38" s="18">
        <f>IFERROR(IF($K38="","",$K38*(1+Parámetros!$B$22)+IF($L38="",0,$L38)),"")</f>
        <v>7562.150000000001</v>
      </c>
      <c r="N38" s="19">
        <f>IFERROR(IF(OR($M38="",$E38="",$E38=0),"",$M38/$E38),"")</f>
        <v>0.33964293734560974</v>
      </c>
      <c r="O38" s="19">
        <f>IFERROR(IF(OR($I38="",$M38="",$E38="",$E38=0),"",($I38+$M38)/$E38),"")</f>
        <v>0.6498607680215586</v>
      </c>
      <c r="P38" s="19">
        <f>IF(Parámetros!$B$13="","",Parámetros!$B$13)</f>
        <v>0.65</v>
      </c>
      <c r="Q38" t="str">
        <f>IF(OR($O38="",$P38=""),"",IF($O38&lt;=$P38,"En objetivo","Por encima del objetivo"))</f>
        <v>En objetivo</v>
      </c>
      <c r="R38" s="18">
        <f>IFERROR(IF(OR($E38="",$I38="",$M38=""),"",$E38-$I38-$M38),"")</f>
        <v>7795.849999999999</v>
      </c>
      <c r="S38" s="14" t="n">
        <v>819</v>
      </c>
      <c r="T38" s="14" t="n">
        <v>375</v>
      </c>
      <c r="U38" s="18">
        <f>IFERROR(IF(OR($E38="",$T38="",$T38=0),"",$E38/$T38),"")</f>
        <v>59.373333333333335</v>
      </c>
      <c r="V38" s="18">
        <f>IFERROR(IF(OR($E38="",$S38="",$S38=0),"",$E38/$S38),"")</f>
        <v>27.185592185592185</v>
      </c>
      <c r="W38" s="14" t="n">
        <v>42</v>
      </c>
      <c r="X38" s="20">
        <f>IFERROR(IF(OR($S38="",$W38="",$W38=0),"",$S38/$W38),"")</f>
        <v>19.5</v>
      </c>
      <c r="Y38" s="14" t="n">
        <v>440</v>
      </c>
      <c r="Z38" s="18">
        <f>IFERROR(IF(OR($E38="",$Y38="",$Y38=0),"",$E38/$Y38),"")</f>
        <v>50.60227272727273</v>
      </c>
    </row>
    <row r="39">
      <c r="A39" s="14" t="n">
        <v>35</v>
      </c>
      <c r="B39" s="16" t="n">
        <v>46258</v>
      </c>
      <c r="C39" s="17" t="n">
        <v>13068</v>
      </c>
      <c r="D39" s="17" t="n">
        <v>9647</v>
      </c>
      <c r="E39" s="18">
        <f>IFERROR(IF(AND($C39="",$D39=""),"",IF($C39="",0,$C39)+IF($D39="",0,$D39)),"")</f>
        <v>22715.0</v>
      </c>
      <c r="F39" s="17" t="n">
        <v>9108</v>
      </c>
      <c r="G39" s="17" t="n">
        <v>8355</v>
      </c>
      <c r="H39" s="17" t="n">
        <v>8700</v>
      </c>
      <c r="I39" s="18">
        <f>IFERROR(IF(OR($F39="",$G39="",$H39=""),"",$F39+$G39-$H39),"")</f>
        <v>8763.0</v>
      </c>
      <c r="J39" s="19">
        <f>IFERROR(IF(OR($I39="",$E39="",$E39=0),"",$I39/$E39),"")</f>
        <v>0.38578032137354173</v>
      </c>
      <c r="K39" s="17" t="n">
        <v>5509</v>
      </c>
      <c r="L39" s="17" t="n">
        <v>310</v>
      </c>
      <c r="M39" s="18">
        <f>IFERROR(IF($K39="","",$K39*(1+Parámetros!$B$22)+IF($L39="",0,$L39)),"")</f>
        <v>7636.97</v>
      </c>
      <c r="N39" s="19">
        <f>IFERROR(IF(OR($M39="",$E39="",$E39=0),"",$M39/$E39),"")</f>
        <v>0.3362082324455206</v>
      </c>
      <c r="O39" s="19">
        <f>IFERROR(IF(OR($I39="",$M39="",$E39="",$E39=0),"",($I39+$M39)/$E39),"")</f>
        <v>0.7219885538190624</v>
      </c>
      <c r="P39" s="19">
        <f>IF(Parámetros!$B$13="","",Parámetros!$B$13)</f>
        <v>0.65</v>
      </c>
      <c r="Q39" t="str">
        <f>IF(OR($O39="",$P39=""),"",IF($O39&lt;=$P39,"En objetivo","Por encima del objetivo"))</f>
        <v>Por encima del objetivo</v>
      </c>
      <c r="R39" s="18">
        <f>IFERROR(IF(OR($E39="",$I39="",$M39=""),"",$E39-$I39-$M39),"")</f>
        <v>6315.03</v>
      </c>
      <c r="S39" s="14" t="n">
        <v>845</v>
      </c>
      <c r="T39" s="14" t="n">
        <v>397</v>
      </c>
      <c r="U39" s="18">
        <f>IFERROR(IF(OR($E39="",$T39="",$T39=0),"",$E39/$T39),"")</f>
        <v>57.21662468513854</v>
      </c>
      <c r="V39" s="18">
        <f>IFERROR(IF(OR($E39="",$S39="",$S39=0),"",$E39/$S39),"")</f>
        <v>26.881656804733726</v>
      </c>
      <c r="W39" s="14" t="n">
        <v>42</v>
      </c>
      <c r="X39" s="20">
        <f>IFERROR(IF(OR($S39="",$W39="",$W39=0),"",$S39/$W39),"")</f>
        <v>20.11904761904762</v>
      </c>
      <c r="Y39" s="14" t="n">
        <v>444</v>
      </c>
      <c r="Z39" s="18">
        <f>IFERROR(IF(OR($E39="",$Y39="",$Y39=0),"",$E39/$Y39),"")</f>
        <v>51.159909909909906</v>
      </c>
    </row>
    <row r="40">
      <c r="A40" s="14" t="n">
        <v>36</v>
      </c>
      <c r="B40" s="16" t="n">
        <v>46265</v>
      </c>
      <c r="C40" s="17" t="n">
        <v>13716</v>
      </c>
      <c r="D40" s="17" t="n">
        <v>10162</v>
      </c>
      <c r="E40" s="18">
        <f>IFERROR(IF(AND($C40="",$D40=""),"",IF($C40="",0,$C40)+IF($D40="",0,$D40)),"")</f>
        <v>23878.0</v>
      </c>
      <c r="F40" s="17" t="n">
        <v>8700</v>
      </c>
      <c r="G40" s="17" t="n">
        <v>9048</v>
      </c>
      <c r="H40" s="17" t="n">
        <v>9133</v>
      </c>
      <c r="I40" s="18">
        <f>IFERROR(IF(OR($F40="",$G40="",$H40=""),"",$F40+$G40-$H40),"")</f>
        <v>8615.0</v>
      </c>
      <c r="J40" s="19">
        <f>IFERROR(IF(OR($I40="",$E40="",$E40=0),"",$I40/$E40),"")</f>
        <v>0.36079236116927715</v>
      </c>
      <c r="K40" s="17" t="n">
        <v>5286</v>
      </c>
      <c r="L40" s="17" t="n">
        <v>306</v>
      </c>
      <c r="M40" s="18">
        <f>IFERROR(IF($K40="","",$K40*(1+Parámetros!$B$22)+IF($L40="",0,$L40)),"")</f>
        <v>7336.38</v>
      </c>
      <c r="N40" s="19">
        <f>IFERROR(IF(OR($M40="",$E40="",$E40=0),"",$M40/$E40),"")</f>
        <v>0.3072443253203786</v>
      </c>
      <c r="O40" s="19">
        <f>IFERROR(IF(OR($I40="",$M40="",$E40="",$E40=0),"",($I40+$M40)/$E40),"")</f>
        <v>0.6680366864896558</v>
      </c>
      <c r="P40" s="19">
        <f>IF(Parámetros!$B$13="","",Parámetros!$B$13)</f>
        <v>0.65</v>
      </c>
      <c r="Q40" t="str">
        <f>IF(OR($O40="",$P40=""),"",IF($O40&lt;=$P40,"En objetivo","Por encima del objetivo"))</f>
        <v>Por encima del objetivo</v>
      </c>
      <c r="R40" s="18">
        <f>IFERROR(IF(OR($E40="",$I40="",$M40=""),"",$E40-$I40-$M40),"")</f>
        <v>7926.62</v>
      </c>
      <c r="S40" s="14" t="n">
        <v>903</v>
      </c>
      <c r="T40" s="14" t="n">
        <v>441</v>
      </c>
      <c r="U40" s="18">
        <f>IFERROR(IF(OR($E40="",$T40="",$T40=0),"",$E40/$T40),"")</f>
        <v>54.14512471655329</v>
      </c>
      <c r="V40" s="18">
        <f>IFERROR(IF(OR($E40="",$S40="",$S40=0),"",$E40/$S40),"")</f>
        <v>26.44296788482835</v>
      </c>
      <c r="W40" s="14" t="n">
        <v>42</v>
      </c>
      <c r="X40" s="20">
        <f>IFERROR(IF(OR($S40="",$W40="",$W40=0),"",$S40/$W40),"")</f>
        <v>21.5</v>
      </c>
      <c r="Y40" s="14" t="n">
        <v>454</v>
      </c>
      <c r="Z40" s="18">
        <f>IFERROR(IF(OR($E40="",$Y40="",$Y40=0),"",$E40/$Y40),"")</f>
        <v>52.59471365638767</v>
      </c>
    </row>
    <row r="41">
      <c r="A41" s="14" t="n">
        <v>37</v>
      </c>
      <c r="B41" s="16" t="n">
        <v>46272</v>
      </c>
      <c r="C41" s="17" t="n">
        <v>14281</v>
      </c>
      <c r="D41" s="17" t="n">
        <v>10581</v>
      </c>
      <c r="E41" s="18">
        <f>IFERROR(IF(AND($C41="",$D41=""),"",IF($C41="",0,$C41)+IF($D41="",0,$D41)),"")</f>
        <v>24862.0</v>
      </c>
      <c r="F41" s="17" t="n">
        <v>9133</v>
      </c>
      <c r="G41" s="17" t="n">
        <v>6659</v>
      </c>
      <c r="H41" s="17" t="n">
        <v>8770</v>
      </c>
      <c r="I41" s="18">
        <f>IFERROR(IF(OR($F41="",$G41="",$H41=""),"",$F41+$G41-$H41),"")</f>
        <v>7022.0</v>
      </c>
      <c r="J41" s="19">
        <f>IFERROR(IF(OR($I41="",$E41="",$E41=0),"",$I41/$E41),"")</f>
        <v>0.2824390636312445</v>
      </c>
      <c r="K41" s="17" t="n">
        <v>5394</v>
      </c>
      <c r="L41" s="17" t="n">
        <v>312</v>
      </c>
      <c r="M41" s="18">
        <f>IFERROR(IF($K41="","",$K41*(1+Parámetros!$B$22)+IF($L41="",0,$L41)),"")</f>
        <v>7486.02</v>
      </c>
      <c r="N41" s="19">
        <f>IFERROR(IF(OR($M41="",$E41="",$E41=0),"",$M41/$E41),"")</f>
        <v>0.30110288794143675</v>
      </c>
      <c r="O41" s="19">
        <f>IFERROR(IF(OR($I41="",$M41="",$E41="",$E41=0),"",($I41+$M41)/$E41),"")</f>
        <v>0.5835419515726812</v>
      </c>
      <c r="P41" s="19">
        <f>IF(Parámetros!$B$13="","",Parámetros!$B$13)</f>
        <v>0.65</v>
      </c>
      <c r="Q41" t="str">
        <f>IF(OR($O41="",$P41=""),"",IF($O41&lt;=$P41,"En objetivo","Por encima del objetivo"))</f>
        <v>En objetivo</v>
      </c>
      <c r="R41" s="18">
        <f>IFERROR(IF(OR($E41="",$I41="",$M41=""),"",$E41-$I41-$M41),"")</f>
        <v>10353.98</v>
      </c>
      <c r="S41" s="14" t="n">
        <v>958</v>
      </c>
      <c r="T41" s="14" t="n">
        <v>478</v>
      </c>
      <c r="U41" s="18">
        <f>IFERROR(IF(OR($E41="",$T41="",$T41=0),"",$E41/$T41),"")</f>
        <v>52.01255230125523</v>
      </c>
      <c r="V41" s="18">
        <f>IFERROR(IF(OR($E41="",$S41="",$S41=0),"",$E41/$S41),"")</f>
        <v>25.95198329853862</v>
      </c>
      <c r="W41" s="14" t="n">
        <v>42</v>
      </c>
      <c r="X41" s="20">
        <f>IFERROR(IF(OR($S41="",$W41="",$W41=0),"",$S41/$W41),"")</f>
        <v>22.80952380952381</v>
      </c>
      <c r="Y41" s="14" t="n">
        <v>462</v>
      </c>
      <c r="Z41" s="18">
        <f>IFERROR(IF(OR($E41="",$Y41="",$Y41=0),"",$E41/$Y41),"")</f>
        <v>53.81385281385281</v>
      </c>
    </row>
    <row r="42">
      <c r="A42" s="14" t="n">
        <v>38</v>
      </c>
      <c r="B42" s="16" t="n">
        <v>46279</v>
      </c>
      <c r="C42" s="17" t="n">
        <v>14423</v>
      </c>
      <c r="D42" s="17" t="n">
        <v>10686</v>
      </c>
      <c r="E42" s="18">
        <f>IFERROR(IF(AND($C42="",$D42=""),"",IF($C42="",0,$C42)+IF($D42="",0,$D42)),"")</f>
        <v>25109.0</v>
      </c>
      <c r="F42" s="17" t="n">
        <v>8770</v>
      </c>
      <c r="G42" s="17" t="n">
        <v>7855</v>
      </c>
      <c r="H42" s="17" t="n">
        <v>9533</v>
      </c>
      <c r="I42" s="18">
        <f>IFERROR(IF(OR($F42="",$G42="",$H42=""),"",$F42+$G42-$H42),"")</f>
        <v>7092.0</v>
      </c>
      <c r="J42" s="19">
        <f>IFERROR(IF(OR($I42="",$E42="",$E42=0),"",$I42/$E42),"")</f>
        <v>0.28244852443347007</v>
      </c>
      <c r="K42" s="17" t="n">
        <v>5420</v>
      </c>
      <c r="L42" s="17" t="n">
        <v>313</v>
      </c>
      <c r="M42" s="18">
        <f>IFERROR(IF($K42="","",$K42*(1+Parámetros!$B$22)+IF($L42="",0,$L42)),"")</f>
        <v>7521.6</v>
      </c>
      <c r="N42" s="19">
        <f>IFERROR(IF(OR($M42="",$E42="",$E42=0),"",$M42/$E42),"")</f>
        <v>0.29955792743637744</v>
      </c>
      <c r="O42" s="19">
        <f>IFERROR(IF(OR($I42="",$M42="",$E42="",$E42=0),"",($I42+$M42)/$E42),"")</f>
        <v>0.5820064518698475</v>
      </c>
      <c r="P42" s="19">
        <f>IF(Parámetros!$B$13="","",Parámetros!$B$13)</f>
        <v>0.65</v>
      </c>
      <c r="Q42" t="str">
        <f>IF(OR($O42="",$P42=""),"",IF($O42&lt;=$P42,"En objetivo","Por encima del objetivo"))</f>
        <v>En objetivo</v>
      </c>
      <c r="R42" s="18">
        <f>IFERROR(IF(OR($E42="",$I42="",$M42=""),"",$E42-$I42-$M42),"")</f>
        <v>10495.4</v>
      </c>
      <c r="S42" s="14" t="n">
        <v>981</v>
      </c>
      <c r="T42" s="14" t="n">
        <v>487</v>
      </c>
      <c r="U42" s="18">
        <f>IFERROR(IF(OR($E42="",$T42="",$T42=0),"",$E42/$T42),"")</f>
        <v>51.558521560574945</v>
      </c>
      <c r="V42" s="18">
        <f>IFERROR(IF(OR($E42="",$S42="",$S42=0),"",$E42/$S42),"")</f>
        <v>25.59531090723751</v>
      </c>
      <c r="W42" s="14" t="n">
        <v>42</v>
      </c>
      <c r="X42" s="20">
        <f>IFERROR(IF(OR($S42="",$W42="",$W42=0),"",$S42/$W42),"")</f>
        <v>23.357142857142858</v>
      </c>
      <c r="Y42" s="14" t="n">
        <v>464</v>
      </c>
      <c r="Z42" s="18">
        <f>IFERROR(IF(OR($E42="",$Y42="",$Y42=0),"",$E42/$Y42),"")</f>
        <v>54.11422413793103</v>
      </c>
    </row>
    <row r="43">
      <c r="A43" s="14" t="n">
        <v>39</v>
      </c>
      <c r="B43" s="16" t="n">
        <v>46286</v>
      </c>
      <c r="C43" s="17" t="n">
        <v>14140</v>
      </c>
      <c r="D43" s="17" t="n">
        <v>10477</v>
      </c>
      <c r="E43" s="18">
        <f>IFERROR(IF(AND($C43="",$D43=""),"",IF($C43="",0,$C43)+IF($D43="",0,$D43)),"")</f>
        <v>24617.0</v>
      </c>
      <c r="F43" s="17" t="n">
        <v>9533</v>
      </c>
      <c r="G43" s="17" t="n">
        <v>6919</v>
      </c>
      <c r="H43" s="17" t="n">
        <v>9500</v>
      </c>
      <c r="I43" s="18">
        <f>IFERROR(IF(OR($F43="",$G43="",$H43=""),"",$F43+$G43-$H43),"")</f>
        <v>6952.0</v>
      </c>
      <c r="J43" s="19">
        <f>IFERROR(IF(OR($I43="",$E43="",$E43=0),"",$I43/$E43),"")</f>
        <v>0.2824064670755982</v>
      </c>
      <c r="K43" s="17" t="n">
        <v>5367</v>
      </c>
      <c r="L43" s="17" t="n">
        <v>310</v>
      </c>
      <c r="M43" s="18">
        <f>IFERROR(IF($K43="","",$K43*(1+Parámetros!$B$22)+IF($L43="",0,$L43)),"")</f>
        <v>7448.110000000001</v>
      </c>
      <c r="N43" s="19">
        <f>IFERROR(IF(OR($M43="",$E43="",$E43=0),"",$M43/$E43),"")</f>
        <v>0.30255961327537884</v>
      </c>
      <c r="O43" s="19">
        <f>IFERROR(IF(OR($I43="",$M43="",$E43="",$E43=0),"",($I43+$M43)/$E43),"")</f>
        <v>0.584966080350977</v>
      </c>
      <c r="P43" s="19">
        <f>IF(Parámetros!$B$13="","",Parámetros!$B$13)</f>
        <v>0.65</v>
      </c>
      <c r="Q43" t="str">
        <f>IF(OR($O43="",$P43=""),"",IF($O43&lt;=$P43,"En objetivo","Por encima del objetivo"))</f>
        <v>En objetivo</v>
      </c>
      <c r="R43" s="18">
        <f>IFERROR(IF(OR($E43="",$I43="",$M43=""),"",$E43-$I43-$M43),"")</f>
        <v>10216.89</v>
      </c>
      <c r="S43" s="14" t="n">
        <v>969</v>
      </c>
      <c r="T43" s="14" t="n">
        <v>466</v>
      </c>
      <c r="U43" s="18">
        <f>IFERROR(IF(OR($E43="",$T43="",$T43=0),"",$E43/$T43),"")</f>
        <v>52.82618025751073</v>
      </c>
      <c r="V43" s="18">
        <f>IFERROR(IF(OR($E43="",$S43="",$S43=0),"",$E43/$S43),"")</f>
        <v>25.40454076367389</v>
      </c>
      <c r="W43" s="14" t="n">
        <v>42</v>
      </c>
      <c r="X43" s="20">
        <f>IFERROR(IF(OR($S43="",$W43="",$W43=0),"",$S43/$W43),"")</f>
        <v>23.071428571428573</v>
      </c>
      <c r="Y43" s="14" t="n">
        <v>460</v>
      </c>
      <c r="Z43" s="18">
        <f>IFERROR(IF(OR($E43="",$Y43="",$Y43=0),"",$E43/$Y43),"")</f>
        <v>53.51521739130435</v>
      </c>
    </row>
    <row r="44">
      <c r="A44" s="14" t="n">
        <v>40</v>
      </c>
      <c r="B44" s="16" t="n">
        <v>46293</v>
      </c>
      <c r="C44" s="17" t="n">
        <v>13056</v>
      </c>
      <c r="D44" s="17" t="n">
        <v>9670</v>
      </c>
      <c r="E44" s="18">
        <f>IFERROR(IF(AND($C44="",$D44=""),"",IF($C44="",0,$C44)+IF($D44="",0,$D44)),"")</f>
        <v>22726.0</v>
      </c>
      <c r="F44" s="17" t="n">
        <v>9500</v>
      </c>
      <c r="G44" s="17" t="n">
        <v>7237</v>
      </c>
      <c r="H44" s="17" t="n">
        <v>9634</v>
      </c>
      <c r="I44" s="18">
        <f>IFERROR(IF(OR($F44="",$G44="",$H44=""),"",$F44+$G44-$H44),"")</f>
        <v>7103.0</v>
      </c>
      <c r="J44" s="19">
        <f>IFERROR(IF(OR($I44="",$E44="",$E44=0),"",$I44/$E44),"")</f>
        <v>0.31254950277215526</v>
      </c>
      <c r="K44" s="17" t="n">
        <v>5030</v>
      </c>
      <c r="L44" s="17" t="n">
        <v>297</v>
      </c>
      <c r="M44" s="18">
        <f>IFERROR(IF($K44="","",$K44*(1+Parámetros!$B$22)+IF($L44="",0,$L44)),"")</f>
        <v>6986.900000000001</v>
      </c>
      <c r="N44" s="19">
        <f>IFERROR(IF(OR($M44="",$E44="",$E44=0),"",$M44/$E44),"")</f>
        <v>0.3074408166857344</v>
      </c>
      <c r="O44" s="19">
        <f>IFERROR(IF(OR($I44="",$M44="",$E44="",$E44=0),"",($I44+$M44)/$E44),"")</f>
        <v>0.6199903194578897</v>
      </c>
      <c r="P44" s="19">
        <f>IF(Parámetros!$B$13="","",Parámetros!$B$13)</f>
        <v>0.65</v>
      </c>
      <c r="Q44" t="str">
        <f>IF(OR($O44="",$P44=""),"",IF($O44&lt;=$P44,"En objetivo","Por encima del objetivo"))</f>
        <v>En objetivo</v>
      </c>
      <c r="R44" s="18">
        <f>IFERROR(IF(OR($E44="",$I44="",$M44=""),"",$E44-$I44-$M44),"")</f>
        <v>8636.099999999999</v>
      </c>
      <c r="S44" s="14" t="n">
        <v>892</v>
      </c>
      <c r="T44" s="14" t="n">
        <v>414</v>
      </c>
      <c r="U44" s="18">
        <f>IFERROR(IF(OR($E44="",$T44="",$T44=0),"",$E44/$T44),"")</f>
        <v>54.893719806763286</v>
      </c>
      <c r="V44" s="18">
        <f>IFERROR(IF(OR($E44="",$S44="",$S44=0),"",$E44/$S44),"")</f>
        <v>25.477578475336323</v>
      </c>
      <c r="W44" s="14" t="n">
        <v>42</v>
      </c>
      <c r="X44" s="20">
        <f>IFERROR(IF(OR($S44="",$W44="",$W44=0),"",$S44/$W44),"")</f>
        <v>21.238095238095237</v>
      </c>
      <c r="Y44" s="14" t="n">
        <v>444</v>
      </c>
      <c r="Z44" s="18">
        <f>IFERROR(IF(OR($E44="",$Y44="",$Y44=0),"",$E44/$Y44),"")</f>
        <v>51.18468468468468</v>
      </c>
    </row>
    <row r="45">
      <c r="A45" s="14" t="n">
        <v>41</v>
      </c>
      <c r="B45" s="16" t="n">
        <v>46300</v>
      </c>
      <c r="C45" s="17" t="n">
        <v>13456</v>
      </c>
      <c r="D45" s="17" t="n">
        <v>9966</v>
      </c>
      <c r="E45" s="18">
        <f>IFERROR(IF(AND($C45="",$D45=""),"",IF($C45="",0,$C45)+IF($D45="",0,$D45)),"")</f>
        <v>23422.0</v>
      </c>
      <c r="F45" s="17" t="n">
        <v>9634</v>
      </c>
      <c r="G45" s="17" t="n">
        <v>6753</v>
      </c>
      <c r="H45" s="17" t="n">
        <v>9066</v>
      </c>
      <c r="I45" s="18">
        <f>IFERROR(IF(OR($F45="",$G45="",$H45=""),"",$F45+$G45-$H45),"")</f>
        <v>7321.0</v>
      </c>
      <c r="J45" s="19">
        <f>IFERROR(IF(OR($I45="",$E45="",$E45=0),"",$I45/$E45),"")</f>
        <v>0.3125693792161216</v>
      </c>
      <c r="K45" s="17" t="n">
        <v>5106</v>
      </c>
      <c r="L45" s="17" t="n">
        <v>302</v>
      </c>
      <c r="M45" s="18">
        <f>IFERROR(IF($K45="","",$K45*(1+Parámetros!$B$22)+IF($L45="",0,$L45)),"")</f>
        <v>7092.9800000000005</v>
      </c>
      <c r="N45" s="19">
        <f>IFERROR(IF(OR($M45="",$E45="",$E45=0),"",$M45/$E45),"")</f>
        <v>0.3028340876099394</v>
      </c>
      <c r="O45" s="19">
        <f>IFERROR(IF(OR($I45="",$M45="",$E45="",$E45=0),"",($I45+$M45)/$E45),"")</f>
        <v>0.615403466826061</v>
      </c>
      <c r="P45" s="19">
        <f>IF(Parámetros!$B$13="","",Parámetros!$B$13)</f>
        <v>0.65</v>
      </c>
      <c r="Q45" t="str">
        <f>IF(OR($O45="",$P45=""),"",IF($O45&lt;=$P45,"En objetivo","Por encima del objetivo"))</f>
        <v>En objetivo</v>
      </c>
      <c r="R45" s="18">
        <f>IFERROR(IF(OR($E45="",$I45="",$M45=""),"",$E45-$I45-$M45),"")</f>
        <v>9008.02</v>
      </c>
      <c r="S45" s="14" t="n">
        <v>909</v>
      </c>
      <c r="T45" s="14" t="n">
        <v>413</v>
      </c>
      <c r="U45" s="18">
        <f>IFERROR(IF(OR($E45="",$T45="",$T45=0),"",$E45/$T45),"")</f>
        <v>56.71186440677966</v>
      </c>
      <c r="V45" s="18">
        <f>IFERROR(IF(OR($E45="",$S45="",$S45=0),"",$E45/$S45),"")</f>
        <v>25.766776677667767</v>
      </c>
      <c r="W45" s="14" t="n">
        <v>42</v>
      </c>
      <c r="X45" s="20">
        <f>IFERROR(IF(OR($S45="",$W45="",$W45=0),"",$S45/$W45),"")</f>
        <v>21.642857142857142</v>
      </c>
      <c r="Y45" s="14" t="n">
        <v>450</v>
      </c>
      <c r="Z45" s="18">
        <f>IFERROR(IF(OR($E45="",$Y45="",$Y45=0),"",$E45/$Y45),"")</f>
        <v>52.04888888888889</v>
      </c>
    </row>
    <row r="46">
      <c r="A46" s="14" t="n">
        <v>42</v>
      </c>
      <c r="B46" s="16" t="n">
        <v>46307</v>
      </c>
      <c r="C46" s="17" t="n">
        <v>13456</v>
      </c>
      <c r="D46" s="17" t="n">
        <v>9966</v>
      </c>
      <c r="E46" s="18">
        <f>IFERROR(IF(AND($C46="",$D46=""),"",IF($C46="",0,$C46)+IF($D46="",0,$D46)),"")</f>
        <v>23422.0</v>
      </c>
      <c r="F46" s="17" t="n">
        <v>9066</v>
      </c>
      <c r="G46" s="17" t="n">
        <v>7889</v>
      </c>
      <c r="H46" s="17" t="n">
        <v>9634</v>
      </c>
      <c r="I46" s="18">
        <f>IFERROR(IF(OR($F46="",$G46="",$H46=""),"",$F46+$G46-$H46),"")</f>
        <v>7321.0</v>
      </c>
      <c r="J46" s="19">
        <f>IFERROR(IF(OR($I46="",$E46="",$E46=0),"",$I46/$E46),"")</f>
        <v>0.3125693792161216</v>
      </c>
      <c r="K46" s="17" t="n">
        <v>5106</v>
      </c>
      <c r="L46" s="17" t="n">
        <v>302</v>
      </c>
      <c r="M46" s="18">
        <f>IFERROR(IF($K46="","",$K46*(1+Parámetros!$B$22)+IF($L46="",0,$L46)),"")</f>
        <v>7092.9800000000005</v>
      </c>
      <c r="N46" s="19">
        <f>IFERROR(IF(OR($M46="",$E46="",$E46=0),"",$M46/$E46),"")</f>
        <v>0.3028340876099394</v>
      </c>
      <c r="O46" s="19">
        <f>IFERROR(IF(OR($I46="",$M46="",$E46="",$E46=0),"",($I46+$M46)/$E46),"")</f>
        <v>0.615403466826061</v>
      </c>
      <c r="P46" s="19">
        <f>IF(Parámetros!$B$13="","",Parámetros!$B$13)</f>
        <v>0.65</v>
      </c>
      <c r="Q46" t="str">
        <f>IF(OR($O46="",$P46=""),"",IF($O46&lt;=$P46,"En objetivo","Por encima del objetivo"))</f>
        <v>En objetivo</v>
      </c>
      <c r="R46" s="18">
        <f>IFERROR(IF(OR($E46="",$I46="",$M46=""),"",$E46-$I46-$M46),"")</f>
        <v>9008.02</v>
      </c>
      <c r="S46" s="14" t="n">
        <v>894</v>
      </c>
      <c r="T46" s="14" t="n">
        <v>410</v>
      </c>
      <c r="U46" s="18">
        <f>IFERROR(IF(OR($E46="",$T46="",$T46=0),"",$E46/$T46),"")</f>
        <v>57.12682926829268</v>
      </c>
      <c r="V46" s="18">
        <f>IFERROR(IF(OR($E46="",$S46="",$S46=0),"",$E46/$S46),"")</f>
        <v>26.19910514541387</v>
      </c>
      <c r="W46" s="14" t="n">
        <v>42</v>
      </c>
      <c r="X46" s="20">
        <f>IFERROR(IF(OR($S46="",$W46="",$W46=0),"",$S46/$W46),"")</f>
        <v>21.285714285714285</v>
      </c>
      <c r="Y46" s="14" t="n">
        <v>450</v>
      </c>
      <c r="Z46" s="18">
        <f>IFERROR(IF(OR($E46="",$Y46="",$Y46=0),"",$E46/$Y46),"")</f>
        <v>52.04888888888889</v>
      </c>
    </row>
    <row r="47">
      <c r="A47" s="14" t="n">
        <v>43</v>
      </c>
      <c r="B47" s="16" t="n">
        <v>46314</v>
      </c>
      <c r="C47" s="17" t="n">
        <v>13323</v>
      </c>
      <c r="D47" s="17" t="n">
        <v>9868</v>
      </c>
      <c r="E47" s="18">
        <f>IFERROR(IF(AND($C47="",$D47=""),"",IF($C47="",0,$C47)+IF($D47="",0,$D47)),"")</f>
        <v>23191.0</v>
      </c>
      <c r="F47" s="17" t="n">
        <v>9634</v>
      </c>
      <c r="G47" s="17" t="n">
        <v>6681</v>
      </c>
      <c r="H47" s="17" t="n">
        <v>9066</v>
      </c>
      <c r="I47" s="18">
        <f>IFERROR(IF(OR($F47="",$G47="",$H47=""),"",$F47+$G47-$H47),"")</f>
        <v>7249.0</v>
      </c>
      <c r="J47" s="19">
        <f>IFERROR(IF(OR($I47="",$E47="",$E47=0),"",$I47/$E47),"")</f>
        <v>0.3125781553188737</v>
      </c>
      <c r="K47" s="17" t="n">
        <v>5081</v>
      </c>
      <c r="L47" s="17" t="n">
        <v>300</v>
      </c>
      <c r="M47" s="18">
        <f>IFERROR(IF($K47="","",$K47*(1+Parámetros!$B$22)+IF($L47="",0,$L47)),"")</f>
        <v>7057.7300000000005</v>
      </c>
      <c r="N47" s="19">
        <f>IFERROR(IF(OR($M47="",$E47="",$E47=0),"",$M47/$E47),"")</f>
        <v>0.30433055926868186</v>
      </c>
      <c r="O47" s="19">
        <f>IFERROR(IF(OR($I47="",$M47="",$E47="",$E47=0),"",($I47+$M47)/$E47),"")</f>
        <v>0.6169087145875555</v>
      </c>
      <c r="P47" s="19">
        <f>IF(Parámetros!$B$13="","",Parámetros!$B$13)</f>
        <v>0.65</v>
      </c>
      <c r="Q47" t="str">
        <f>IF(OR($O47="",$P47=""),"",IF($O47&lt;=$P47,"En objetivo","Por encima del objetivo"))</f>
        <v>En objetivo</v>
      </c>
      <c r="R47" s="18">
        <f>IFERROR(IF(OR($E47="",$I47="",$M47=""),"",$E47-$I47-$M47),"")</f>
        <v>8884.27</v>
      </c>
      <c r="S47" s="14" t="n">
        <v>869</v>
      </c>
      <c r="T47" s="14" t="n">
        <v>411</v>
      </c>
      <c r="U47" s="18">
        <f>IFERROR(IF(OR($E47="",$T47="",$T47=0),"",$E47/$T47),"")</f>
        <v>56.42579075425791</v>
      </c>
      <c r="V47" s="18">
        <f>IFERROR(IF(OR($E47="",$S47="",$S47=0),"",$E47/$S47),"")</f>
        <v>26.686996547756042</v>
      </c>
      <c r="W47" s="14" t="n">
        <v>42</v>
      </c>
      <c r="X47" s="20">
        <f>IFERROR(IF(OR($S47="",$W47="",$W47=0),"",$S47/$W47),"")</f>
        <v>20.69047619047619</v>
      </c>
      <c r="Y47" s="14" t="n">
        <v>448</v>
      </c>
      <c r="Z47" s="18">
        <f>IFERROR(IF(OR($E47="",$Y47="",$Y47=0),"",$E47/$Y47),"")</f>
        <v>51.765625</v>
      </c>
    </row>
    <row r="48">
      <c r="A48" s="14" t="n">
        <v>44</v>
      </c>
      <c r="B48" s="16" t="n">
        <v>46321</v>
      </c>
      <c r="C48" s="17" t="n">
        <v>13323</v>
      </c>
      <c r="D48" s="17" t="n">
        <v>9868</v>
      </c>
      <c r="E48" s="18">
        <f>IFERROR(IF(AND($C48="",$D48=""),"",IF($C48="",0,$C48)+IF($D48="",0,$D48)),"")</f>
        <v>23191.0</v>
      </c>
      <c r="F48" s="17" t="n">
        <v>9066</v>
      </c>
      <c r="G48" s="17" t="n">
        <v>7382</v>
      </c>
      <c r="H48" s="17" t="n">
        <v>9200</v>
      </c>
      <c r="I48" s="18">
        <f>IFERROR(IF(OR($F48="",$G48="",$H48=""),"",$F48+$G48-$H48),"")</f>
        <v>7248.0</v>
      </c>
      <c r="J48" s="19">
        <f>IFERROR(IF(OR($I48="",$E48="",$E48=0),"",$I48/$E48),"")</f>
        <v>0.3125350351429434</v>
      </c>
      <c r="K48" s="17" t="n">
        <v>5081</v>
      </c>
      <c r="L48" s="17" t="n">
        <v>300</v>
      </c>
      <c r="M48" s="18">
        <f>IFERROR(IF($K48="","",$K48*(1+Parámetros!$B$22)+IF($L48="",0,$L48)),"")</f>
        <v>7057.7300000000005</v>
      </c>
      <c r="N48" s="19">
        <f>IFERROR(IF(OR($M48="",$E48="",$E48=0),"",$M48/$E48),"")</f>
        <v>0.30433055926868186</v>
      </c>
      <c r="O48" s="19">
        <f>IFERROR(IF(OR($I48="",$M48="",$E48="",$E48=0),"",($I48+$M48)/$E48),"")</f>
        <v>0.6168655944116251</v>
      </c>
      <c r="P48" s="19">
        <f>IF(Parámetros!$B$13="","",Parámetros!$B$13)</f>
        <v>0.65</v>
      </c>
      <c r="Q48" t="str">
        <f>IF(OR($O48="",$P48=""),"",IF($O48&lt;=$P48,"En objetivo","Por encima del objetivo"))</f>
        <v>En objetivo</v>
      </c>
      <c r="R48" s="18">
        <f>IFERROR(IF(OR($E48="",$I48="",$M48=""),"",$E48-$I48-$M48),"")</f>
        <v>8885.27</v>
      </c>
      <c r="S48" s="14" t="n">
        <v>857</v>
      </c>
      <c r="T48" s="14" t="n">
        <v>420</v>
      </c>
      <c r="U48" s="18">
        <f>IFERROR(IF(OR($E48="",$T48="",$T48=0),"",$E48/$T48),"")</f>
        <v>55.21666666666667</v>
      </c>
      <c r="V48" s="18">
        <f>IFERROR(IF(OR($E48="",$S48="",$S48=0),"",$E48/$S48),"")</f>
        <v>27.060676779463243</v>
      </c>
      <c r="W48" s="14" t="n">
        <v>42</v>
      </c>
      <c r="X48" s="20">
        <f>IFERROR(IF(OR($S48="",$W48="",$W48=0),"",$S48/$W48),"")</f>
        <v>20.404761904761905</v>
      </c>
      <c r="Y48" s="14" t="n">
        <v>448</v>
      </c>
      <c r="Z48" s="18">
        <f>IFERROR(IF(OR($E48="",$Y48="",$Y48=0),"",$E48/$Y48),"")</f>
        <v>51.765625</v>
      </c>
    </row>
    <row r="49">
      <c r="A49" s="14" t="n">
        <v>45</v>
      </c>
      <c r="B49" s="16" t="n">
        <v>46328</v>
      </c>
      <c r="C49" s="17" t="n">
        <v>12982</v>
      </c>
      <c r="D49" s="17" t="n">
        <v>9633</v>
      </c>
      <c r="E49" s="18">
        <f>IFERROR(IF(AND($C49="",$D49=""),"",IF($C49="",0,$C49)+IF($D49="",0,$D49)),"")</f>
        <v>22615.0</v>
      </c>
      <c r="F49" s="17" t="n">
        <v>9200</v>
      </c>
      <c r="G49" s="17" t="n">
        <v>7288</v>
      </c>
      <c r="H49" s="17" t="n">
        <v>9558</v>
      </c>
      <c r="I49" s="18">
        <f>IFERROR(IF(OR($F49="",$G49="",$H49=""),"",$F49+$G49-$H49),"")</f>
        <v>6930.0</v>
      </c>
      <c r="J49" s="19">
        <f>IFERROR(IF(OR($I49="",$E49="",$E49=0),"",$I49/$E49),"")</f>
        <v>0.3064337828874641</v>
      </c>
      <c r="K49" s="17" t="n">
        <v>5177</v>
      </c>
      <c r="L49" s="17" t="n">
        <v>293</v>
      </c>
      <c r="M49" s="18">
        <f>IFERROR(IF($K49="","",$K49*(1+Parámetros!$B$22)+IF($L49="",0,$L49)),"")</f>
        <v>7178.410000000001</v>
      </c>
      <c r="N49" s="19">
        <f>IFERROR(IF(OR($M49="",$E49="",$E49=0),"",$M49/$E49),"")</f>
        <v>0.3174180853415875</v>
      </c>
      <c r="O49" s="19">
        <f>IFERROR(IF(OR($I49="",$M49="",$E49="",$E49=0),"",($I49+$M49)/$E49),"")</f>
        <v>0.6238518682290515</v>
      </c>
      <c r="P49" s="19">
        <f>IF(Parámetros!$B$13="","",Parámetros!$B$13)</f>
        <v>0.65</v>
      </c>
      <c r="Q49" t="str">
        <f>IF(OR($O49="",$P49=""),"",IF($O49&lt;=$P49,"En objetivo","Por encima del objetivo"))</f>
        <v>En objetivo</v>
      </c>
      <c r="R49" s="18">
        <f>IFERROR(IF(OR($E49="",$I49="",$M49=""),"",$E49-$I49-$M49),"")</f>
        <v>8506.59</v>
      </c>
      <c r="S49" s="14" t="n">
        <v>830</v>
      </c>
      <c r="T49" s="14" t="n">
        <v>415</v>
      </c>
      <c r="U49" s="18">
        <f>IFERROR(IF(OR($E49="",$T49="",$T49=0),"",$E49/$T49),"")</f>
        <v>54.493975903614455</v>
      </c>
      <c r="V49" s="18">
        <f>IFERROR(IF(OR($E49="",$S49="",$S49=0),"",$E49/$S49),"")</f>
        <v>27.246987951807228</v>
      </c>
      <c r="W49" s="14" t="n">
        <v>42</v>
      </c>
      <c r="X49" s="20">
        <f>IFERROR(IF(OR($S49="",$W49="",$W49=0),"",$S49/$W49),"")</f>
        <v>19.761904761904763</v>
      </c>
      <c r="Y49" s="14" t="n">
        <v>443</v>
      </c>
      <c r="Z49" s="18">
        <f>IFERROR(IF(OR($E49="",$Y49="",$Y49=0),"",$E49/$Y49),"")</f>
        <v>51.04966139954853</v>
      </c>
    </row>
    <row r="50">
      <c r="A50" s="14" t="n">
        <v>46</v>
      </c>
      <c r="B50" s="16" t="n">
        <v>46335</v>
      </c>
      <c r="C50" s="17" t="n">
        <v>13113</v>
      </c>
      <c r="D50" s="17" t="n">
        <v>9730</v>
      </c>
      <c r="E50" s="18">
        <f>IFERROR(IF(AND($C50="",$D50=""),"",IF($C50="",0,$C50)+IF($D50="",0,$D50)),"")</f>
        <v>22843.0</v>
      </c>
      <c r="F50" s="17" t="n">
        <v>9558</v>
      </c>
      <c r="G50" s="17" t="n">
        <v>6562</v>
      </c>
      <c r="H50" s="17" t="n">
        <v>9120</v>
      </c>
      <c r="I50" s="18">
        <f>IFERROR(IF(OR($F50="",$G50="",$H50=""),"",$F50+$G50-$H50),"")</f>
        <v>7000.0</v>
      </c>
      <c r="J50" s="19">
        <f>IFERROR(IF(OR($I50="",$E50="",$E50=0),"",$I50/$E50),"")</f>
        <v>0.30643960950838334</v>
      </c>
      <c r="K50" s="17" t="n">
        <v>5203</v>
      </c>
      <c r="L50" s="17" t="n">
        <v>294</v>
      </c>
      <c r="M50" s="18">
        <f>IFERROR(IF($K50="","",$K50*(1+Parámetros!$B$22)+IF($L50="",0,$L50)),"")</f>
        <v>7213.990000000001</v>
      </c>
      <c r="N50" s="19">
        <f>IFERROR(IF(OR($M50="",$E50="",$E50=0),"",$M50/$E50),"")</f>
        <v>0.3158074683710546</v>
      </c>
      <c r="O50" s="19">
        <f>IFERROR(IF(OR($I50="",$M50="",$E50="",$E50=0),"",($I50+$M50)/$E50),"")</f>
        <v>0.622247077879438</v>
      </c>
      <c r="P50" s="19">
        <f>IF(Parámetros!$B$13="","",Parámetros!$B$13)</f>
        <v>0.65</v>
      </c>
      <c r="Q50" t="str">
        <f>IF(OR($O50="",$P50=""),"",IF($O50&lt;=$P50,"En objetivo","Por encima del objetivo"))</f>
        <v>En objetivo</v>
      </c>
      <c r="R50" s="18">
        <f>IFERROR(IF(OR($E50="",$I50="",$M50=""),"",$E50-$I50-$M50),"")</f>
        <v>8629.009999999998</v>
      </c>
      <c r="S50" s="14" t="n">
        <v>840</v>
      </c>
      <c r="T50" s="14" t="n">
        <v>416</v>
      </c>
      <c r="U50" s="18">
        <f>IFERROR(IF(OR($E50="",$T50="",$T50=0),"",$E50/$T50),"")</f>
        <v>54.91105769230769</v>
      </c>
      <c r="V50" s="18">
        <f>IFERROR(IF(OR($E50="",$S50="",$S50=0),"",$E50/$S50),"")</f>
        <v>27.19404761904762</v>
      </c>
      <c r="W50" s="14" t="n">
        <v>42</v>
      </c>
      <c r="X50" s="20">
        <f>IFERROR(IF(OR($S50="",$W50="",$W50=0),"",$S50/$W50),"")</f>
        <v>20.0</v>
      </c>
      <c r="Y50" s="14" t="n">
        <v>445</v>
      </c>
      <c r="Z50" s="18">
        <f>IFERROR(IF(OR($E50="",$Y50="",$Y50=0),"",$E50/$Y50),"")</f>
        <v>51.332584269662924</v>
      </c>
    </row>
    <row r="51">
      <c r="A51" s="14" t="n">
        <v>47</v>
      </c>
      <c r="B51" s="16" t="n">
        <v>46342</v>
      </c>
      <c r="C51" s="17" t="n">
        <v>13113</v>
      </c>
      <c r="D51" s="17" t="n">
        <v>9730</v>
      </c>
      <c r="E51" s="18">
        <f>IFERROR(IF(AND($C51="",$D51=""),"",IF($C51="",0,$C51)+IF($D51="",0,$D51)),"")</f>
        <v>22843.0</v>
      </c>
      <c r="F51" s="17" t="n">
        <v>9120</v>
      </c>
      <c r="G51" s="17" t="n">
        <v>7688</v>
      </c>
      <c r="H51" s="17" t="n">
        <v>9808</v>
      </c>
      <c r="I51" s="18">
        <f>IFERROR(IF(OR($F51="",$G51="",$H51=""),"",$F51+$G51-$H51),"")</f>
        <v>7000.0</v>
      </c>
      <c r="J51" s="19">
        <f>IFERROR(IF(OR($I51="",$E51="",$E51=0),"",$I51/$E51),"")</f>
        <v>0.30643960950838334</v>
      </c>
      <c r="K51" s="17" t="n">
        <v>5203</v>
      </c>
      <c r="L51" s="17" t="n">
        <v>294</v>
      </c>
      <c r="M51" s="18">
        <f>IFERROR(IF($K51="","",$K51*(1+Parámetros!$B$22)+IF($L51="",0,$L51)),"")</f>
        <v>7213.990000000001</v>
      </c>
      <c r="N51" s="19">
        <f>IFERROR(IF(OR($M51="",$E51="",$E51=0),"",$M51/$E51),"")</f>
        <v>0.3158074683710546</v>
      </c>
      <c r="O51" s="19">
        <f>IFERROR(IF(OR($I51="",$M51="",$E51="",$E51=0),"",($I51+$M51)/$E51),"")</f>
        <v>0.622247077879438</v>
      </c>
      <c r="P51" s="19">
        <f>IF(Parámetros!$B$13="","",Parámetros!$B$13)</f>
        <v>0.65</v>
      </c>
      <c r="Q51" t="str">
        <f>IF(OR($O51="",$P51=""),"",IF($O51&lt;=$P51,"En objetivo","Por encima del objetivo"))</f>
        <v>En objetivo</v>
      </c>
      <c r="R51" s="18">
        <f>IFERROR(IF(OR($E51="",$I51="",$M51=""),"",$E51-$I51-$M51),"")</f>
        <v>8629.009999999998</v>
      </c>
      <c r="S51" s="14" t="n">
        <v>849</v>
      </c>
      <c r="T51" s="14" t="n">
        <v>406</v>
      </c>
      <c r="U51" s="18">
        <f>IFERROR(IF(OR($E51="",$T51="",$T51=0),"",$E51/$T51),"")</f>
        <v>56.26354679802956</v>
      </c>
      <c r="V51" s="18">
        <f>IFERROR(IF(OR($E51="",$S51="",$S51=0),"",$E51/$S51),"")</f>
        <v>26.905771495877502</v>
      </c>
      <c r="W51" s="14" t="n">
        <v>42</v>
      </c>
      <c r="X51" s="20">
        <f>IFERROR(IF(OR($S51="",$W51="",$W51=0),"",$S51/$W51),"")</f>
        <v>20.214285714285715</v>
      </c>
      <c r="Y51" s="14" t="n">
        <v>445</v>
      </c>
      <c r="Z51" s="18">
        <f>IFERROR(IF(OR($E51="",$Y51="",$Y51=0),"",$E51/$Y51),"")</f>
        <v>51.332584269662924</v>
      </c>
    </row>
    <row r="52">
      <c r="A52" s="14" t="n">
        <v>48</v>
      </c>
      <c r="B52" s="16" t="n">
        <v>46349</v>
      </c>
      <c r="C52" s="17" t="n">
        <v>13244</v>
      </c>
      <c r="D52" s="17" t="n">
        <v>9827</v>
      </c>
      <c r="E52" s="18">
        <f>IFERROR(IF(AND($C52="",$D52=""),"",IF($C52="",0,$C52)+IF($D52="",0,$D52)),"")</f>
        <v>23071.0</v>
      </c>
      <c r="F52" s="17" t="n">
        <v>9808</v>
      </c>
      <c r="G52" s="17" t="n">
        <v>6962</v>
      </c>
      <c r="H52" s="17" t="n">
        <v>9700</v>
      </c>
      <c r="I52" s="18">
        <f>IFERROR(IF(OR($F52="",$G52="",$H52=""),"",$F52+$G52-$H52),"")</f>
        <v>7070.0</v>
      </c>
      <c r="J52" s="19">
        <f>IFERROR(IF(OR($I52="",$E52="",$E52=0),"",$I52/$E52),"")</f>
        <v>0.30644532096571453</v>
      </c>
      <c r="K52" s="17" t="n">
        <v>5229</v>
      </c>
      <c r="L52" s="17" t="n">
        <v>295</v>
      </c>
      <c r="M52" s="18">
        <f>IFERROR(IF($K52="","",$K52*(1+Parámetros!$B$22)+IF($L52="",0,$L52)),"")</f>
        <v>7249.570000000001</v>
      </c>
      <c r="N52" s="19">
        <f>IFERROR(IF(OR($M52="",$E52="",$E52=0),"",$M52/$E52),"")</f>
        <v>0.3142286853625764</v>
      </c>
      <c r="O52" s="19">
        <f>IFERROR(IF(OR($I52="",$M52="",$E52="",$E52=0),"",($I52+$M52)/$E52),"")</f>
        <v>0.620674006328291</v>
      </c>
      <c r="P52" s="19">
        <f>IF(Parámetros!$B$13="","",Parámetros!$B$13)</f>
        <v>0.65</v>
      </c>
      <c r="Q52" t="str">
        <f>IF(OR($O52="",$P52=""),"",IF($O52&lt;=$P52,"En objetivo","Por encima del objetivo"))</f>
        <v>En objetivo</v>
      </c>
      <c r="R52" s="18">
        <f>IFERROR(IF(OR($E52="",$I52="",$M52=""),"",$E52-$I52-$M52),"")</f>
        <v>8751.43</v>
      </c>
      <c r="S52" s="14" t="n">
        <v>872</v>
      </c>
      <c r="T52" s="14" t="n">
        <v>403</v>
      </c>
      <c r="U52" s="18">
        <f>IFERROR(IF(OR($E52="",$T52="",$T52=0),"",$E52/$T52),"")</f>
        <v>57.24813895781638</v>
      </c>
      <c r="V52" s="18">
        <f>IFERROR(IF(OR($E52="",$S52="",$S52=0),"",$E52/$S52),"")</f>
        <v>26.45756880733945</v>
      </c>
      <c r="W52" s="14" t="n">
        <v>42</v>
      </c>
      <c r="X52" s="20">
        <f>IFERROR(IF(OR($S52="",$W52="",$W52=0),"",$S52/$W52),"")</f>
        <v>20.761904761904763</v>
      </c>
      <c r="Y52" s="14" t="n">
        <v>447</v>
      </c>
      <c r="Z52" s="18">
        <f>IFERROR(IF(OR($E52="",$Y52="",$Y52=0),"",$E52/$Y52),"")</f>
        <v>51.61297539149888</v>
      </c>
    </row>
    <row r="53">
      <c r="A53" s="14" t="n">
        <v>49</v>
      </c>
      <c r="B53" s="16" t="n">
        <v>46356</v>
      </c>
      <c r="C53" s="17" t="n">
        <v>14784</v>
      </c>
      <c r="D53" s="17" t="n">
        <v>10920</v>
      </c>
      <c r="E53" s="18">
        <f>IFERROR(IF(AND($C53="",$D53=""),"",IF($C53="",0,$C53)+IF($D53="",0,$D53)),"")</f>
        <v>25704.0</v>
      </c>
      <c r="F53" s="17" t="n">
        <v>9700</v>
      </c>
      <c r="G53" s="17" t="n">
        <v>8472</v>
      </c>
      <c r="H53" s="17" t="n">
        <v>10108</v>
      </c>
      <c r="I53" s="18">
        <f>IFERROR(IF(OR($F53="",$G53="",$H53=""),"",$F53+$G53-$H53),"")</f>
        <v>8064.0</v>
      </c>
      <c r="J53" s="19">
        <f>IFERROR(IF(OR($I53="",$E53="",$E53=0),"",$I53/$E53),"")</f>
        <v>0.3137254901960784</v>
      </c>
      <c r="K53" s="17" t="n">
        <v>5360</v>
      </c>
      <c r="L53" s="17" t="n">
        <v>366</v>
      </c>
      <c r="M53" s="18">
        <f>IFERROR(IF($K53="","",$K53*(1+Parámetros!$B$22)+IF($L53="",0,$L53)),"")</f>
        <v>7494.8</v>
      </c>
      <c r="N53" s="19">
        <f>IFERROR(IF(OR($M53="",$E53="",$E53=0),"",$M53/$E53),"")</f>
        <v>0.2915810768751945</v>
      </c>
      <c r="O53" s="19">
        <f>IFERROR(IF(OR($I53="",$M53="",$E53="",$E53=0),"",($I53+$M53)/$E53),"")</f>
        <v>0.605306567071273</v>
      </c>
      <c r="P53" s="19">
        <f>IF(Parámetros!$B$13="","",Parámetros!$B$13)</f>
        <v>0.65</v>
      </c>
      <c r="Q53" t="str">
        <f>IF(OR($O53="",$P53=""),"",IF($O53&lt;=$P53,"En objetivo","Por encima del objetivo"))</f>
        <v>En objetivo</v>
      </c>
      <c r="R53" s="18">
        <f>IFERROR(IF(OR($E53="",$I53="",$M53=""),"",$E53-$I53-$M53),"")</f>
        <v>10145.2</v>
      </c>
      <c r="S53" s="14" t="n">
        <v>989</v>
      </c>
      <c r="T53" s="14" t="n">
        <v>449</v>
      </c>
      <c r="U53" s="18">
        <f>IFERROR(IF(OR($E53="",$T53="",$T53=0),"",$E53/$T53),"")</f>
        <v>57.24721603563474</v>
      </c>
      <c r="V53" s="18">
        <f>IFERROR(IF(OR($E53="",$S53="",$S53=0),"",$E53/$S53),"")</f>
        <v>25.98988877654196</v>
      </c>
      <c r="W53" s="14" t="n">
        <v>42</v>
      </c>
      <c r="X53" s="20">
        <f>IFERROR(IF(OR($S53="",$W53="",$W53=0),"",$S53/$W53),"")</f>
        <v>23.547619047619047</v>
      </c>
      <c r="Y53" s="14" t="n">
        <v>469</v>
      </c>
      <c r="Z53" s="18">
        <f>IFERROR(IF(OR($E53="",$Y53="",$Y53=0),"",$E53/$Y53),"")</f>
        <v>54.80597014925373</v>
      </c>
    </row>
    <row r="54">
      <c r="A54" s="14" t="n">
        <v>50</v>
      </c>
      <c r="B54" s="16" t="n">
        <v>46363</v>
      </c>
      <c r="C54" s="17" t="n">
        <v>15738</v>
      </c>
      <c r="D54" s="17" t="n">
        <v>11625</v>
      </c>
      <c r="E54" s="18">
        <f>IFERROR(IF(AND($C54="",$D54=""),"",IF($C54="",0,$C54)+IF($D54="",0,$D54)),"")</f>
        <v>27363.0</v>
      </c>
      <c r="F54" s="17" t="n">
        <v>10108</v>
      </c>
      <c r="G54" s="17" t="n">
        <v>8196</v>
      </c>
      <c r="H54" s="17" t="n">
        <v>9720</v>
      </c>
      <c r="I54" s="18">
        <f>IFERROR(IF(OR($F54="",$G54="",$H54=""),"",$F54+$G54-$H54),"")</f>
        <v>8584.0</v>
      </c>
      <c r="J54" s="19">
        <f>IFERROR(IF(OR($I54="",$E54="",$E54=0),"",$I54/$E54),"")</f>
        <v>0.31370829221942037</v>
      </c>
      <c r="K54" s="17" t="n">
        <v>5527</v>
      </c>
      <c r="L54" s="17" t="n">
        <v>377</v>
      </c>
      <c r="M54" s="18">
        <f>IFERROR(IF($K54="","",$K54*(1+Parámetros!$B$22)+IF($L54="",0,$L54)),"")</f>
        <v>7727.910000000001</v>
      </c>
      <c r="N54" s="19">
        <f>IFERROR(IF(OR($M54="",$E54="",$E54=0),"",$M54/$E54),"")</f>
        <v>0.28242188356539855</v>
      </c>
      <c r="O54" s="19">
        <f>IFERROR(IF(OR($I54="",$M54="",$E54="",$E54=0),"",($I54+$M54)/$E54),"")</f>
        <v>0.5961301757848189</v>
      </c>
      <c r="P54" s="19">
        <f>IF(Parámetros!$B$13="","",Parámetros!$B$13)</f>
        <v>0.65</v>
      </c>
      <c r="Q54" t="str">
        <f>IF(OR($O54="",$P54=""),"",IF($O54&lt;=$P54,"En objetivo","Por encima del objetivo"))</f>
        <v>En objetivo</v>
      </c>
      <c r="R54" s="18">
        <f>IFERROR(IF(OR($E54="",$I54="",$M54=""),"",$E54-$I54-$M54),"")</f>
        <v>11051.09</v>
      </c>
      <c r="S54" s="14" t="n">
        <v>1068</v>
      </c>
      <c r="T54" s="14" t="n">
        <v>491</v>
      </c>
      <c r="U54" s="18">
        <f>IFERROR(IF(OR($E54="",$T54="",$T54=0),"",$E54/$T54),"")</f>
        <v>55.729124236252545</v>
      </c>
      <c r="V54" s="18">
        <f>IFERROR(IF(OR($E54="",$S54="",$S54=0),"",$E54/$S54),"")</f>
        <v>25.620786516853933</v>
      </c>
      <c r="W54" s="14" t="n">
        <v>42</v>
      </c>
      <c r="X54" s="20">
        <f>IFERROR(IF(OR($S54="",$W54="",$W54=0),"",$S54/$W54),"")</f>
        <v>25.428571428571427</v>
      </c>
      <c r="Y54" s="14" t="n">
        <v>483</v>
      </c>
      <c r="Z54" s="18">
        <f>IFERROR(IF(OR($E54="",$Y54="",$Y54=0),"",$E54/$Y54),"")</f>
        <v>56.65217391304348</v>
      </c>
    </row>
    <row r="55">
      <c r="A55" s="14" t="n">
        <v>51</v>
      </c>
      <c r="B55" s="16" t="n">
        <v>46370</v>
      </c>
      <c r="C55" s="17" t="n">
        <v>16374</v>
      </c>
      <c r="D55" s="17" t="n">
        <v>12094</v>
      </c>
      <c r="E55" s="18">
        <f>IFERROR(IF(AND($C55="",$D55=""),"",IF($C55="",0,$C55)+IF($D55="",0,$D55)),"")</f>
        <v>28468.0</v>
      </c>
      <c r="F55" s="17" t="n">
        <v>9720</v>
      </c>
      <c r="G55" s="17" t="n">
        <v>9669</v>
      </c>
      <c r="H55" s="17" t="n">
        <v>10458</v>
      </c>
      <c r="I55" s="18">
        <f>IFERROR(IF(OR($F55="",$G55="",$H55=""),"",$F55+$G55-$H55),"")</f>
        <v>8931.0</v>
      </c>
      <c r="J55" s="19">
        <f>IFERROR(IF(OR($I55="",$E55="",$E55=0),"",$I55/$E55),"")</f>
        <v>0.3137206688211325</v>
      </c>
      <c r="K55" s="17" t="n">
        <v>5638</v>
      </c>
      <c r="L55" s="17" t="n">
        <v>385</v>
      </c>
      <c r="M55" s="18">
        <f>IFERROR(IF($K55="","",$K55*(1+Parámetros!$B$22)+IF($L55="",0,$L55)),"")</f>
        <v>7883.54</v>
      </c>
      <c r="N55" s="19">
        <f>IFERROR(IF(OR($M55="",$E55="",$E55=0),"",$M55/$E55),"")</f>
        <v>0.2769263734719685</v>
      </c>
      <c r="O55" s="19">
        <f>IFERROR(IF(OR($I55="",$M55="",$E55="",$E55=0),"",($I55+$M55)/$E55),"")</f>
        <v>0.590647042293101</v>
      </c>
      <c r="P55" s="19">
        <f>IF(Parámetros!$B$13="","",Parámetros!$B$13)</f>
        <v>0.65</v>
      </c>
      <c r="Q55" t="str">
        <f>IF(OR($O55="",$P55=""),"",IF($O55&lt;=$P55,"En objetivo","Por encima del objetivo"))</f>
        <v>En objetivo</v>
      </c>
      <c r="R55" s="18">
        <f>IFERROR(IF(OR($E55="",$I55="",$M55=""),"",$E55-$I55-$M55),"")</f>
        <v>11653.46</v>
      </c>
      <c r="S55" s="14" t="n">
        <v>1120</v>
      </c>
      <c r="T55" s="14" t="n">
        <v>532</v>
      </c>
      <c r="U55" s="18">
        <f>IFERROR(IF(OR($E55="",$T55="",$T55=0),"",$E55/$T55),"")</f>
        <v>53.51127819548872</v>
      </c>
      <c r="V55" s="18">
        <f>IFERROR(IF(OR($E55="",$S55="",$S55=0),"",$E55/$S55),"")</f>
        <v>25.417857142857144</v>
      </c>
      <c r="W55" s="14" t="n">
        <v>42</v>
      </c>
      <c r="X55" s="20">
        <f>IFERROR(IF(OR($S55="",$W55="",$W55=0),"",$S55/$W55),"")</f>
        <v>26.666666666666668</v>
      </c>
      <c r="Y55" s="14" t="n">
        <v>493</v>
      </c>
      <c r="Z55" s="18">
        <f>IFERROR(IF(OR($E55="",$Y55="",$Y55=0),"",$E55/$Y55),"")</f>
        <v>57.74442190669371</v>
      </c>
    </row>
    <row r="56">
      <c r="A56" s="14" t="n">
        <v>52</v>
      </c>
      <c r="B56" s="16" t="n">
        <v>46377</v>
      </c>
      <c r="C56" s="17" t="n">
        <v>16692</v>
      </c>
      <c r="D56" s="17" t="n">
        <v>12329</v>
      </c>
      <c r="E56" s="18">
        <f>IFERROR(IF(AND($C56="",$D56=""),"",IF($C56="",0,$C56)+IF($D56="",0,$D56)),"")</f>
        <v>29021.0</v>
      </c>
      <c r="F56" s="17" t="n">
        <v>10458</v>
      </c>
      <c r="G56" s="17" t="n">
        <v>9046</v>
      </c>
      <c r="H56" s="17" t="n">
        <v>10400</v>
      </c>
      <c r="I56" s="18">
        <f>IFERROR(IF(OR($F56="",$G56="",$H56=""),"",$F56+$G56-$H56),"")</f>
        <v>9104.0</v>
      </c>
      <c r="J56" s="19">
        <f>IFERROR(IF(OR($I56="",$E56="",$E56=0),"",$I56/$E56),"")</f>
        <v>0.3137038696116605</v>
      </c>
      <c r="K56" s="17" t="n">
        <v>5694</v>
      </c>
      <c r="L56" s="17" t="n">
        <v>389</v>
      </c>
      <c r="M56" s="18">
        <f>IFERROR(IF($K56="","",$K56*(1+Parámetros!$B$22)+IF($L56="",0,$L56)),"")</f>
        <v>7962.02</v>
      </c>
      <c r="N56" s="19">
        <f>IFERROR(IF(OR($M56="",$E56="",$E56=0),"",$M56/$E56),"")</f>
        <v>0.27435374384066713</v>
      </c>
      <c r="O56" s="19">
        <f>IFERROR(IF(OR($I56="",$M56="",$E56="",$E56=0),"",($I56+$M56)/$E56),"")</f>
        <v>0.5880576134523277</v>
      </c>
      <c r="P56" s="19">
        <f>IF(Parámetros!$B$13="","",Parámetros!$B$13)</f>
        <v>0.65</v>
      </c>
      <c r="Q56" t="str">
        <f>IF(OR($O56="",$P56=""),"",IF($O56&lt;=$P56,"En objetivo","Por encima del objetivo"))</f>
        <v>En objetivo</v>
      </c>
      <c r="R56" s="18">
        <f>IFERROR(IF(OR($E56="",$I56="",$M56=""),"",$E56-$I56-$M56),"")</f>
        <v>11954.98</v>
      </c>
      <c r="S56" s="14" t="n">
        <v>1140</v>
      </c>
      <c r="T56" s="14" t="n">
        <v>561</v>
      </c>
      <c r="U56" s="18">
        <f>IFERROR(IF(OR($E56="",$T56="",$T56=0),"",$E56/$T56),"")</f>
        <v>51.73083778966132</v>
      </c>
      <c r="V56" s="18">
        <f>IFERROR(IF(OR($E56="",$S56="",$S56=0),"",$E56/$S56),"")</f>
        <v>25.45701754385965</v>
      </c>
      <c r="W56" s="14" t="n">
        <v>35</v>
      </c>
      <c r="X56" s="20">
        <f>IFERROR(IF(OR($S56="",$W56="",$W56=0),"",$S56/$W56),"")</f>
        <v>32.57142857142857</v>
      </c>
      <c r="Y56" s="14" t="n">
        <v>498</v>
      </c>
      <c r="Z56" s="18">
        <f>IFERROR(IF(OR($E56="",$Y56="",$Y56=0),"",$E56/$Y56),"")</f>
        <v>58.27510040160642</v>
      </c>
    </row>
    <row r="57">
      <c r="A57" s="21" t="inlineStr">
        <is>
          <t>TOTAL / MEDIA</t>
        </is>
      </c>
      <c r="B57" s="21" t="n"/>
      <c r="C57" s="22">
        <f>IF(COUNT(C5:C56)=0,"",SUM(C5:C56))</f>
        <v>705109.0</v>
      </c>
      <c r="D57" s="22">
        <f>IF(COUNT(D5:D56)=0,"",SUM(D5:D56))</f>
        <v>521552.0</v>
      </c>
      <c r="E57" s="22">
        <f>IF(COUNT(E5:E56)=0,"",SUM(E5:E56))</f>
        <v>1226661.0</v>
      </c>
      <c r="F57" s="21" t="n"/>
      <c r="G57" s="22">
        <f>IF(COUNT(G5:G56)=0,"",SUM(G5:G56))</f>
        <v>390164.0</v>
      </c>
      <c r="H57" s="21" t="n"/>
      <c r="I57" s="22">
        <f>IF(COUNT(I5:I56)=0,"",SUM(I5:I56))</f>
        <v>389464.0</v>
      </c>
      <c r="J57" s="23">
        <f>IFERROR(IF(OR($I$57="",$E$57="",$E$57=0),"",$I$57/$E$57),"")</f>
        <v>0.3174992927956461</v>
      </c>
      <c r="K57" s="22">
        <f>IF(COUNT(K5:K56)=0,"",SUM(K5:K56))</f>
        <v>273910.0</v>
      </c>
      <c r="L57" s="22">
        <f>IF(COUNT(L5:L56)=0,"",SUM(L5:L56))</f>
        <v>16231.0</v>
      </c>
      <c r="M57" s="22">
        <f>IF(COUNT(M5:M56)=0,"",SUM(M5:M56))</f>
        <v>380531.2999999999</v>
      </c>
      <c r="N57" s="23">
        <f>IFERROR(IF(OR($M$57="",$E$57="",$E$57=0),"",$M$57/$E$57),"")</f>
        <v>0.3102171667640855</v>
      </c>
      <c r="O57" s="23">
        <f>IFERROR(IF(OR($I$57="",$M$57="",$E$57="",$E$57=0),"",($I$57+$M$57)/$E$57),"")</f>
        <v>0.6277164595597315</v>
      </c>
      <c r="P57" s="23">
        <f>IF(Parámetros!$B$13="","",Parámetros!$B$13)</f>
        <v>0.65</v>
      </c>
      <c r="Q57" s="21" t="str">
        <f>IF(OR($O$57="",$P$57=""),"",IF($O$57&lt;=$P$57,"En objetivo","Por encima del objetivo"))</f>
        <v>En objetivo</v>
      </c>
      <c r="R57" s="22">
        <f>IF(COUNT(R5:R56)=0,"",SUM(R5:R56))</f>
        <v>456665.70000000007</v>
      </c>
      <c r="S57" s="24">
        <f>IF(COUNT(S5:S56)=0,"",SUM(S5:S56))</f>
        <v>46737.0</v>
      </c>
      <c r="T57" s="24">
        <f>IF(COUNT(T5:T56)=0,"",SUM(T5:T56))</f>
        <v>22263.0</v>
      </c>
      <c r="U57" s="22">
        <f>IFERROR(IF(OR($E$57="",$T$57="",$T$57=0),"",$E$57/$T$57),"")</f>
        <v>55.0986389974397</v>
      </c>
      <c r="V57" s="22">
        <f>IFERROR(IF(OR($E$57="",$S$57="",$S$57=0),"",$E$57/$S$57),"")</f>
        <v>26.24603633095834</v>
      </c>
      <c r="W57" s="24">
        <f>IF(COUNT(W5:W56)=0,"",SUM(W5:W56))</f>
        <v>2177.0</v>
      </c>
      <c r="X57" s="25">
        <f>IFERROR(IF(OR($S$57="",$W$57="",$W$57=0),"",$S$57/$W$57),"")</f>
        <v>21.46853468075333</v>
      </c>
      <c r="Y57" s="24">
        <f>IF(COUNT(Y5:Y56)=0,"",SUM(Y5:Y56))</f>
        <v>23462.0</v>
      </c>
      <c r="Z57" s="22">
        <f>IFERROR(IF(OR($E$57="",$Y$57="",$Y$57=0),"",$E$57/$Y$57),"")</f>
        <v>52.28288295967948</v>
      </c>
    </row>
    <row r="58">
      <c r="A58" t="inlineStr">
        <is>
          <t>En la fila TOTAL no se suman los stocks: el consumo del año es la suma de los consumos de las 52 semanas, y los porcentajes son medias ponderadas sobre las ventas del año, no la media de los 52 porcentajes.</t>
        </is>
      </c>
    </row>
    <row r="59"/>
    <row r="60"/>
    <row r="61">
      <c r="A61" s="3" t="inlineStr">
        <is>
          <t>PARÁMETROS EN VIGOR — se leen de la hoja «Parámetros»; cámbialos allí, no aquí</t>
        </is>
      </c>
    </row>
    <row r="62">
      <c r="A62" t="inlineStr">
        <is>
          <t>Tipo de negocio</t>
        </is>
      </c>
      <c r="E62" s="26" t="str">
        <f>Parámetros!$B$5</f>
        <v>Sala</v>
      </c>
    </row>
    <row r="63">
      <c r="A63" t="inlineStr">
        <is>
          <t>Objetivo de food cost (%)</t>
        </is>
      </c>
      <c r="E63" s="9">
        <f>IF(Parámetros!$B$11="","",Parámetros!$B$11)</f>
        <v>0.3</v>
      </c>
    </row>
    <row r="64">
      <c r="A64" t="inlineStr">
        <is>
          <t>Objetivo de labor cost (%)</t>
        </is>
      </c>
      <c r="E64" s="9">
        <f>IF(Parámetros!$B$12="","",Parámetros!$B$12)</f>
        <v>0.33</v>
      </c>
    </row>
    <row r="65">
      <c r="A65" t="inlineStr">
        <is>
          <t>Objetivo de prime cost (%)</t>
        </is>
      </c>
      <c r="E65" s="9">
        <f>IF(Parámetros!$B$13="","",Parámetros!$B$13)</f>
        <v>0.65</v>
      </c>
    </row>
    <row r="66">
      <c r="A66" t="inlineStr">
        <is>
          <t>Seguridad Social a cargo de la empresa (%)</t>
        </is>
      </c>
      <c r="E66" s="9">
        <f>IF(Parámetros!$B$22="","",Parámetros!$B$22)</f>
        <v>0.33</v>
      </c>
    </row>
  </sheetData>
  <sheetProtection selectLockedCells="0" selectUnlockedCells="0" sheet="1" objects="0" insertRows="0" insertHyperlinks="1" autoFilter="1" scenarios="0" formatColumns="0" deleteColumns="1" insertColumns="1" pivotTables="1" deleteRows="1" formatCells="1" formatRows="0" sort="0"/>
  <conditionalFormatting sqref="J5:J57">
    <cfRule type="expression" priority="1" dxfId="0" stopIfTrue="1">
      <formula>=AND(ISNUMBER($J5),ISNUMBER($E$63),$J5&gt;$E$63)</formula>
    </cfRule>
    <cfRule type="expression" priority="2" dxfId="1" stopIfTrue="1">
      <formula>=AND(ISNUMBER($J5),ISNUMBER($E$63),$J5&lt;=$E$63)</formula>
    </cfRule>
  </conditionalFormatting>
  <conditionalFormatting sqref="N5:N57">
    <cfRule type="expression" priority="3" dxfId="0" stopIfTrue="1">
      <formula>=AND(ISNUMBER($N5),ISNUMBER($E$64),$N5&gt;$E$64)</formula>
    </cfRule>
    <cfRule type="expression" priority="4" dxfId="1" stopIfTrue="1">
      <formula>=AND(ISNUMBER($N5),ISNUMBER($E$64),$N5&lt;=$E$64)</formula>
    </cfRule>
  </conditionalFormatting>
  <conditionalFormatting sqref="O5:O57">
    <cfRule type="expression" priority="5" dxfId="0" stopIfTrue="1">
      <formula>=AND(ISNUMBER($O5),ISNUMBER($E$65),$O5&gt;$E$65)</formula>
    </cfRule>
    <cfRule type="expression" priority="6" dxfId="1" stopIfTrue="1">
      <formula>=AND(ISNUMBER($O5),ISNUMBER($E$65),$O5&lt;=$E$65)</formula>
    </cfRule>
  </conditionalFormatting>
  <conditionalFormatting sqref="Q5:Q57">
    <cfRule type="cellIs" priority="7" operator="equal" dxfId="1" stopIfTrue="1">
      <formula>"En objetivo"</formula>
    </cfRule>
    <cfRule type="cellIs" priority="8" operator="equal" dxfId="0" stopIfTrue="1">
      <formula>"Por encima del objetivo"</formula>
    </cfRule>
  </conditionalFormatting>
  <dataValidations count="4">
    <dataValidation sqref="C5 C6 C7 C8 C9 C10 C11 C12 C13 C14 C15 C16 C17 C18 C19 C20 C21 C22 C23 C24 C25 C26 C27 C28 C29 C30 C31 C32 C33 C34 C35 C36 C37 C38 C39 C40 C41 C42 C43 C44 C45 C46 C47 C48 C49 C50 C51 C52 C53 C54 C55 C56 D5 D6 D7 D8 D9 D10 D11 D12 D13 D14 D15 D16 D17 D18 D19 D20 D21 D22 D23 D24 D25 D26 D27 D28 D29 D30 D31 D32 D33 D34 D35 D36 D37 D38 D39 D40 D41 D42 D43 D44 D45 D46 D47 D48 D49 D50 D51 D52 D53 D54 D55 D56 F5 F6 F7 F8 F9 F10 F11 F12 F13 F14 F15 F16 F17 F18 F19 F20 F21 F22 F23 F24 F25 F26 F27 F28 F29 F30 F31 F32 F33 F34 F35 F36 F37 F38 F39 F40 F41 F42 F43 F44 F45 F46 F47 F48 F49 F50 F51 F52 F53 F54 F55 F56 G5 G6 G7 G8 G9 G10 G11 G12 G13 G14 G15 G16 G17 G18 G19 G20 G21 G22 G23 G24 G25 G26 G27 G28 G29 G30 G31 G32 G33 G34 G35 G36 G37 G38 G39 G40 G41 G42 G43 G44 G45 G46 G47 G48 G49 G50 G51 G52 G53 G54 G55 G56 H5 H6 H7 H8 H9 H10 H11 H12 H13 H14 H15 H16 H17 H18 H19 H20 H21 H22 H23 H24 H25 H26 H27 H28 H29 H30 H31 H32 H33 H34 H35 H36 H37 H38 H39 H40 H41 H42 H43 H44 H45 H46 H47 H48 H49 H50 H51 H52 H53 H54 H55 H56 K5 K6 K7 K8 K9 K10 K11 K12 K13 K14 K15 K16 K17 K18 K19 K20 K21 K22 K23 K24 K25 K26 K27 K28 K29 K30 K31 K32 K33 K34 K35 K36 K37 K38 K39 K40 K41 K42 K43 K44 K45 K46 K47 K48 K49 K50 K51 K52 K53 K54 K55 K56 L5 L6 L7 L8 L9 L10 L11 L12 L13 L14 L15 L16 L17 L18 L19 L20 L21 L22 L23 L24 L25 L26 L27 L28 L29 L30 L31 L32 L33 L34 L35 L36 L37 L38 L39 L40 L41 L42 L43 L44 L45 L46 L47 L48 L49 L50 L51 L52 L53 L54 L55 L56" showDropDown="0" showInputMessage="0" showErrorMessage="1" allowBlank="1" errorTitle="Importe (€)" error="Escribe un número mayor o igual que 0." type="decimal" operator="greaterThanOrEqual">
      <formula1>0</formula1>
    </dataValidation>
    <dataValidation sqref="S5 S6 S7 S8 S9 S10 S11 S12 S13 S14 S15 S16 S17 S18 S19 S20 S21 S22 S23 S24 S25 S26 S27 S28 S29 S30 S31 S32 S33 S34 S35 S36 S37 S38 S39 S40 S41 S42 S43 S44 S45 S46 S47 S48 S49 S50 S51 S52 S53 S54 S55 S56 T5 T6 T7 T8 T9 T10 T11 T12 T13 T14 T15 T16 T17 T18 T19 T20 T21 T22 T23 T24 T25 T26 T27 T28 T29 T30 T31 T32 T33 T34 T35 T36 T37 T38 T39 T40 T41 T42 T43 T44 T45 T46 T47 T48 T49 T50 T51 T52 T53 T54 T55 T56 W5 W6 W7 W8 W9 W10 W11 W12 W13 W14 W15 W16 W17 W18 W19 W20 W21 W22 W23 W24 W25 W26 W27 W28 W29 W30 W31 W32 W33 W34 W35 W36 W37 W38 W39 W40 W41 W42 W43 W44 W45 W46 W47 W48 W49 W50 W51 W52 W53 W54 W55 W56 Y5 Y6 Y7 Y8 Y9 Y10 Y11 Y12 Y13 Y14 Y15 Y16 Y17 Y18 Y19 Y20 Y21 Y22 Y23 Y24 Y25 Y26 Y27 Y28 Y29 Y30 Y31 Y32 Y33 Y34 Y35 Y36 Y37 Y38 Y39 Y40 Y41 Y42 Y43 Y44 Y45 Y46 Y47 Y48 Y49 Y50 Y51 Y52 Y53 Y54 Y55 Y56" showDropDown="0" showInputMessage="0" showErrorMessage="1" allowBlank="1" errorTitle="Recuento" error="Escribe un número mayor o igual que 0." type="decimal" operator="greaterThanOrEqual">
      <formula1>0</formula1>
    </dataValidation>
    <dataValidation sqref="A5 A6 A7 A8 A9 A10 A11 A12 A13 A14 A15 A16 A17 A18 A19 A20 A21 A22 A23 A24 A25 A26 A27 A28 A29 A30 A31 A32 A33 A34 A35 A36 A37 A38 A39 A40 A41 A42 A43 A44 A45 A46 A47 A48 A49 A50 A51 A52 A53 A54 A55 A56" showDropDown="0" showInputMessage="0" showErrorMessage="1" allowBlank="1" errorTitle="Semana ISO" error="La semana ISO va de 1 a 53." type="decimal" operator="between">
      <formula1>1</formula1>
      <formula2>53</formula2>
    </dataValidation>
    <dataValidation sqref="B5 B6 B7 B8 B9 B10 B11 B12 B13 B14 B15 B16 B17 B18 B19 B20 B21 B22 B23 B24 B25 B26 B27 B28 B29 B30 B31 B32 B33 B34 B35 B36 B37 B38 B39 B40 B41 B42 B43 B44 B45 B46 B47 B48 B49 B50 B51 B52 B53 B54 B55 B5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30" customWidth="1" min="1" max="1"/>
    <col width="56" customWidth="1" min="2" max="2"/>
    <col width="14" customWidth="1" min="3" max="3"/>
    <col width="66" customWidth="1" min="4" max="4"/>
    <col width="14" customWidth="1" min="5" max="5"/>
  </cols>
  <sheetData>
    <row r="1" ht="30" customHeight="1">
      <c r="A1" s="1" t="inlineStr">
        <is>
          <t>KPI y definiciones</t>
        </is>
      </c>
    </row>
    <row r="2">
      <c r="A2" t="inlineStr">
        <is>
          <t>AI Chef Pro · aichef.pro — Manual del Manager de Restaurante</t>
        </is>
      </c>
    </row>
    <row r="3">
      <c r="A3" s="2" t="inlineStr">
        <is>
          <t>La columna «Error típico» es la que evita las discusiones: casi siempre que dos personas dan dos números distintos para lo mismo, una de las dos está cometiendo el error de esa columna.</t>
        </is>
      </c>
    </row>
    <row r="4" ht="32" customHeight="1">
      <c r="A4" s="7" t="inlineStr">
        <is>
          <t>Indicador</t>
        </is>
      </c>
      <c r="B4" s="7" t="inlineStr">
        <is>
          <t>Cómo se calcula</t>
        </is>
      </c>
      <c r="C4" s="7" t="inlineStr">
        <is>
          <t>Unidad</t>
        </is>
      </c>
      <c r="D4" s="7" t="inlineStr">
        <is>
          <t>Error típico</t>
        </is>
      </c>
      <c r="E4" s="7" t="inlineStr">
        <is>
          <t>Cadencia</t>
        </is>
      </c>
    </row>
    <row r="5" ht="44" customHeight="1">
      <c r="A5" s="12" t="inlineStr">
        <is>
          <t>Ventas netas</t>
        </is>
      </c>
      <c r="B5" s="4" t="inlineStr">
        <is>
          <t>Lo cobrado por comida y bebida SIN IVA, después de descuentos e invitaciones</t>
        </is>
      </c>
      <c r="C5" s="27" t="inlineStr">
        <is>
          <t>€</t>
        </is>
      </c>
      <c r="D5" s="4" t="inlineStr">
        <is>
          <t>Usar la cifra con IVA: infla las ventas un 10 % y hace parecer bueno un food cost que no lo es</t>
        </is>
      </c>
      <c r="E5" s="27" t="inlineStr">
        <is>
          <t>Semanal</t>
        </is>
      </c>
    </row>
    <row r="6" ht="44" customHeight="1">
      <c r="A6" s="12" t="inlineStr">
        <is>
          <t>Consumo de materia prima</t>
        </is>
      </c>
      <c r="B6" s="4" t="inlineStr">
        <is>
          <t>Stock inicial + compras del periodo - stock final</t>
        </is>
      </c>
      <c r="C6" s="27" t="inlineStr">
        <is>
          <t>€</t>
        </is>
      </c>
      <c r="D6" s="4" t="inlineStr">
        <is>
          <t>Usar las compras en lugar del consumo: una semana con un pedido grande sale disparada y la siguiente, regalada</t>
        </is>
      </c>
      <c r="E6" s="27" t="inlineStr">
        <is>
          <t>Semanal</t>
        </is>
      </c>
    </row>
    <row r="7" ht="44" customHeight="1">
      <c r="A7" s="12" t="inlineStr">
        <is>
          <t>Food cost %</t>
        </is>
      </c>
      <c r="B7" s="4" t="inlineStr">
        <is>
          <t>Consumo de materia prima ÷ ventas netas</t>
        </is>
      </c>
      <c r="C7" s="27" t="inlineStr">
        <is>
          <t>%</t>
        </is>
      </c>
      <c r="D7" s="4" t="inlineStr">
        <is>
          <t>Calcularlo sin contar el inventario, o mezclando comida y bebida cuando el objetivo de cada una es distinto</t>
        </is>
      </c>
      <c r="E7" s="27" t="inlineStr">
        <is>
          <t>Semanal</t>
        </is>
      </c>
    </row>
    <row r="8" ht="44" customHeight="1">
      <c r="A8" s="12" t="inlineStr">
        <is>
          <t>Coste de personal</t>
        </is>
      </c>
      <c r="B8" s="4" t="inlineStr">
        <is>
          <t>Salarios brutos × (1 + Seguridad Social a cargo de la empresa) + otros costes de personal</t>
        </is>
      </c>
      <c r="C8" s="27" t="inlineStr">
        <is>
          <t>€</t>
        </is>
      </c>
      <c r="D8" s="4" t="inlineStr">
        <is>
          <t>Quedarse en el bruto y olvidar la cotización: se deja fuera aproximadamente un tercio del coste</t>
        </is>
      </c>
      <c r="E8" s="27" t="inlineStr">
        <is>
          <t>Semanal</t>
        </is>
      </c>
    </row>
    <row r="9" ht="44" customHeight="1">
      <c r="A9" s="12" t="inlineStr">
        <is>
          <t>Labor cost %</t>
        </is>
      </c>
      <c r="B9" s="4" t="inlineStr">
        <is>
          <t>Coste de personal ÷ ventas netas</t>
        </is>
      </c>
      <c r="C9" s="27" t="inlineStr">
        <is>
          <t>%</t>
        </is>
      </c>
      <c r="D9" s="4" t="inlineStr">
        <is>
          <t>Compararlo con el de otro local sin mirar si aquel es de sala o de barra: no juegan la misma liga</t>
        </is>
      </c>
      <c r="E9" s="27" t="inlineStr">
        <is>
          <t>Semanal</t>
        </is>
      </c>
    </row>
    <row r="10" ht="44" customHeight="1">
      <c r="A10" s="12" t="inlineStr">
        <is>
          <t>Prime cost %</t>
        </is>
      </c>
      <c r="B10" s="4" t="inlineStr">
        <is>
          <t>Food cost % + labor cost %</t>
        </is>
      </c>
      <c r="C10" s="27" t="inlineStr">
        <is>
          <t>%</t>
        </is>
      </c>
      <c r="D10" s="4" t="inlineStr">
        <is>
          <t>Mirar sólo el food cost: un 28 % de producto no salva un 40 % de personal</t>
        </is>
      </c>
      <c r="E10" s="27" t="inlineStr">
        <is>
          <t>Semanal</t>
        </is>
      </c>
    </row>
    <row r="11" ht="44" customHeight="1">
      <c r="A11" s="12" t="inlineStr">
        <is>
          <t>Margen tras prime cost</t>
        </is>
      </c>
      <c r="B11" s="4" t="inlineStr">
        <is>
          <t>Ventas netas - consumo de materia prima - coste de personal</t>
        </is>
      </c>
      <c r="C11" s="27" t="inlineStr">
        <is>
          <t>€</t>
        </is>
      </c>
      <c r="D11" s="4" t="inlineStr">
        <is>
          <t>Confundirlo con el beneficio: de aquí todavía salen alquiler, suministros, amortización e impuestos</t>
        </is>
      </c>
      <c r="E11" s="27" t="inlineStr">
        <is>
          <t>Semanal</t>
        </is>
      </c>
    </row>
    <row r="12" ht="44" customHeight="1">
      <c r="A12" s="12" t="inlineStr">
        <is>
          <t>Ticket medio</t>
        </is>
      </c>
      <c r="B12" s="4" t="inlineStr">
        <is>
          <t>Ventas netas ÷ número de tickets (mesas cobradas)</t>
        </is>
      </c>
      <c r="C12" s="27" t="inlineStr">
        <is>
          <t>€</t>
        </is>
      </c>
      <c r="D12" s="4" t="inlineStr">
        <is>
          <t>Llamarle ticket medio al gasto por cubierto: en una mesa de dos, el ticket es el doble</t>
        </is>
      </c>
      <c r="E12" s="27" t="inlineStr">
        <is>
          <t>Semanal</t>
        </is>
      </c>
    </row>
    <row r="13" ht="44" customHeight="1">
      <c r="A13" s="12" t="inlineStr">
        <is>
          <t>Gasto medio por cubierto</t>
        </is>
      </c>
      <c r="B13" s="4" t="inlineStr">
        <is>
          <t>Ventas netas ÷ número de cubiertos (comensales)</t>
        </is>
      </c>
      <c r="C13" s="27" t="inlineStr">
        <is>
          <t>€</t>
        </is>
      </c>
      <c r="D13" s="4" t="inlineStr">
        <is>
          <t>Contar como cubierto a quien sólo toma café: distorsiona la serie y hace ilegible la comparación</t>
        </is>
      </c>
      <c r="E13" s="27" t="inlineStr">
        <is>
          <t>Semanal</t>
        </is>
      </c>
    </row>
    <row r="14" ht="44" customHeight="1">
      <c r="A14" s="12" t="inlineStr">
        <is>
          <t>Cubiertos por hora de apertura</t>
        </is>
      </c>
      <c r="B14" s="4" t="inlineStr">
        <is>
          <t>Cubiertos ÷ horas de apertura al público</t>
        </is>
      </c>
      <c r="C14" s="27" t="inlineStr">
        <is>
          <t>cubiertos/h</t>
        </is>
      </c>
      <c r="D14" s="4" t="inlineStr">
        <is>
          <t>Usarlo para medir a la sala: mide la demanda y el aforo, no el rendimiento del equipo</t>
        </is>
      </c>
      <c r="E14" s="27" t="inlineStr">
        <is>
          <t>Semanal</t>
        </is>
      </c>
    </row>
    <row r="15" ht="44" customHeight="1">
      <c r="A15" s="12" t="inlineStr">
        <is>
          <t>Ventas por hora trabajada</t>
        </is>
      </c>
      <c r="B15" s="4" t="inlineStr">
        <is>
          <t>Ventas netas ÷ horas realmente trabajadas por toda la plantilla</t>
        </is>
      </c>
      <c r="C15" s="27" t="inlineStr">
        <is>
          <t>€/h</t>
        </is>
      </c>
      <c r="D15" s="4" t="inlineStr">
        <is>
          <t>Alimentarlo con las horas del contrato en lugar de las del registro de jornada</t>
        </is>
      </c>
      <c r="E15" s="27" t="inlineStr">
        <is>
          <t>Semanal</t>
        </is>
      </c>
    </row>
    <row r="16" ht="44" customHeight="1">
      <c r="A16" s="12" t="inlineStr">
        <is>
          <t>Rotación</t>
        </is>
      </c>
      <c r="B16" s="4" t="inlineStr">
        <is>
          <t>Bajas del periodo ÷ plantilla media del periodo</t>
        </is>
      </c>
      <c r="C16" s="27" t="inlineStr">
        <is>
          <t>%</t>
        </is>
      </c>
      <c r="D16" s="4" t="inlineStr">
        <is>
          <t>Mezclarla con el absentismo y con la temporalidad: son tres cosas distintas y se corrigen distinto</t>
        </is>
      </c>
      <c r="E16" s="27" t="inlineStr">
        <is>
          <t>Trimestral</t>
        </is>
      </c>
    </row>
    <row r="17" ht="44" customHeight="1">
      <c r="A17" s="12" t="inlineStr">
        <is>
          <t>Absentismo</t>
        </is>
      </c>
      <c r="B17" s="4" t="inlineStr">
        <is>
          <t>Horas no trabajadas por ausencia ÷ horas pactadas efectivas</t>
        </is>
      </c>
      <c r="C17" s="27" t="inlineStr">
        <is>
          <t>%</t>
        </is>
      </c>
      <c r="D17" s="4" t="inlineStr">
        <is>
          <t>Meter las vacaciones dentro: las vacaciones son un derecho planificado, no una ausencia</t>
        </is>
      </c>
      <c r="E17" s="27" t="inlineStr">
        <is>
          <t>Mensual</t>
        </is>
      </c>
    </row>
    <row r="18" ht="44" customHeight="1">
      <c r="A18" s="12" t="inlineStr">
        <is>
          <t>Cobertura por estación</t>
        </is>
      </c>
      <c r="B18" s="4" t="inlineStr">
        <is>
          <t>Personas a nivel 2 o 3 en la estación ÷ personas de esa área</t>
        </is>
      </c>
      <c r="C18" s="27" t="inlineStr">
        <is>
          <t>%</t>
        </is>
      </c>
      <c r="D18" s="4" t="inlineStr">
        <is>
          <t>Dar por cubierta una estación porque «todos han estado alguna vez»: nivel 1 no cubre un servicio</t>
        </is>
      </c>
      <c r="E18" s="27" t="inlineStr">
        <is>
          <t>Trimestral</t>
        </is>
      </c>
    </row>
    <row r="19"/>
    <row r="20">
      <c r="A20" t="inlineStr">
        <is>
          <t>Los ocho primeros indicadores salen de la hoja «Semana» de este mismo libro. La rotación, el absentismo y la cobertura por estación se miden con otras herramientas del pack y con otra cadencia: por eso no tienen columna aquí.</t>
        </is>
      </c>
    </row>
    <row r="21">
      <c r="A21" t="inlineStr">
        <is>
          <t>Ninguno de estos indicadores se compara con el de otro local sin mirar antes si aquel es de sala o de barra, si abre mediodía y noche y con qué convenio: comparar por comparar es la forma más rápida de tomar una decisión mala con un número bueno.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Cuadro de mando semanal del manager</dc:title>
  <dc:subject xmlns:dc="http://purl.org/dc/elements/1.1/">Manual del Manager de Restaurante · v1.0</dc:subject>
  <dcterms:created xmlns:dcterms="http://purl.org/dc/terms/" xmlns:xsi="http://www.w3.org/2001/XMLSchema-instance" xsi:type="dcterms:W3CDTF">2026-09-04T22:05:13Z</dcterms:created>
  <dcterms:modified xmlns:dcterms="http://purl.org/dc/terms/" xmlns:xsi="http://www.w3.org/2001/XMLSchema-instance" xsi:type="dcterms:W3CDTF">2026-09-04T22:05:13Z</dcterms:modified>
  <cp:lastModifiedBy>AI Chef Pro</cp:lastModifiedBy>
</cp:coreProperties>
</file>