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2" fillId="0" borderId="0" pivotButton="0" quotePrefix="0" xfId="0"/>
    <xf numFmtId="165" fontId="9" fillId="0" borderId="3" pivotButton="0" quotePrefix="0" xfId="0"/>
    <xf numFmtId="166" fontId="11"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6" fontId="9" fillId="4" borderId="3" applyProtection="1" pivotButton="0" quotePrefix="0" xfId="0">
      <protection locked="0" hidden="0"/>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Comensales/día (media del año 1)</t>
        </is>
      </c>
      <c r="B4" s="18" t="n">
        <v>66</v>
      </c>
      <c r="C4" t="inlineStr">
        <is>
          <t>Comensales equivalentes al día, media del año: unos 51 en sala (la terraza incluida de abril a octubre) y unos 15 de para llevar y domicilio, que son los pedidos (unos 13 al día de unos 23 € sin IVA) divididos por el ticket. Un sábado, unos 110; un martes, unos 45. Contrástalo con el paso de gente de tu calle un viernes por la noche y un martes a mediodía</t>
        </is>
      </c>
    </row>
    <row r="5">
      <c r="A5" t="inlineStr">
        <is>
          <t>Ticket medio SIN IVA (€)</t>
        </is>
      </c>
      <c r="B5" s="63" t="n">
        <v>19.5</v>
      </c>
      <c r="C5" t="inlineStr">
        <is>
          <t>SIN IVA, por comensal: medio entrante, una pizza, 1,3 bebidas y algún postre o café, unos 22 € con IVA en sala. La Margherita de la carta del caso cuesta 10 € con IVA, algo por debajo de la mediana de 10,90 € de 14 pizzerías de Madrid, Barcelona, Valencia, Marbella y Tenerife (octubre de 2026). El precio con IVA está en la fila «PVP equivalente con IVA» de abajo</t>
        </is>
      </c>
    </row>
    <row r="6">
      <c r="A6" t="inlineStr">
        <is>
          <t>Días de apertura al año</t>
        </is>
      </c>
      <c r="B6" s="18" t="n">
        <v>300</v>
      </c>
      <c r="C6" t="inlineStr">
        <is>
          <t>365 días menos los 52 lunes de cierre, dos semanas de cierre en enero (mantenimiento del horno y vacaciones) y el 25 de diciembre. Es el MISMO dato para la cuenta de resultados, el punto de equilibrio, los escenarios y las horas de personal</t>
        </is>
      </c>
    </row>
    <row r="7">
      <c r="A7" t="inlineStr">
        <is>
          <t>Crecimiento de volumen del año 2</t>
        </is>
      </c>
      <c r="B7" s="64" t="n">
        <v>0.06</v>
      </c>
      <c r="C7" t="inlineStr">
        <is>
          <t>Clientela de barrio que repite y más recogida en el local el segundo año. Se aplica a los comensales con el mismo ticket; el personal NO sube con este porcentaje: sale de la hoja Personal</t>
        </is>
      </c>
    </row>
    <row r="8">
      <c r="A8" t="inlineStr">
        <is>
          <t>Crecimiento de volumen del año 3</t>
        </is>
      </c>
      <c r="B8" s="64" t="n">
        <v>0.04</v>
      </c>
      <c r="C8" t="inlineStr">
        <is>
          <t>Sobre el año 2. Conservador: es un mercado maduro y el techo lo ponen el horno y las 50 plazas los viernes y los sábados por la noche</t>
        </is>
      </c>
    </row>
    <row r="9">
      <c r="A9" t="inlineStr">
        <is>
          <t>PVP equivalente con IVA (calculado)</t>
        </is>
      </c>
      <c r="B9" s="65">
        <f>IFERROR(IF($B$5="","",$B$5*(1+SUMPRODUCT('PyG 3 Años'!$E$10:$E$11,'PyG 3 Años'!$G$10:$G$11))),"")</f>
        <v>21.477027</v>
      </c>
      <c r="C9" t="str">
        <f>IFERROR("Ticket sin IVA más el IVA medio ponderado de tus líneas de venta: "&amp;TEXT(SUMPRODUCT('PyG 3 Años'!$E$10:$E$11,'PyG 3 Años'!$G$10:$G$11)*100,"0")&amp;" %. En sala todo va al 10 % (art. 91.Uno.2.2.º de la Ley 37/1992, alcohol incluido); la bebida que sale para llevar o a domicilio (columna H de su línea en el P&amp;L) mueve la media. Aquí va redondeado. Compáralo con el rango del sector, que va con IVA.","")</f>
        <v>Ticket sin IVA más el IVA medio ponderado de tus líneas de venta: 10 %. En sala todo va al 10 % (art. 91.Uno.2.2.º de la Ley 37/1992, alcohol incluido); la bebida que sale para llevar o a domicilio (columna H de su línea en el P&amp;L) mueve la media. Aquí va redondeado. Compáralo con el rango del sector, que va con IVA.</v>
      </c>
    </row>
    <row r="10">
      <c r="A10" s="16" t="inlineStr">
        <is>
          <t>MIX Y COSTE DE MERCANCÍA</t>
        </is>
      </c>
    </row>
    <row r="11">
      <c r="A11" t="inlineStr">
        <is>
          <t>Ventas de COMIDA sobre el total</t>
        </is>
      </c>
      <c r="B11" s="64" t="n">
        <v>0.82</v>
      </c>
      <c r="C11" t="inlineStr">
        <is>
          <t>Peso de la COMIDA sobre el total de ventas. Es un INPUT: cámbialo aquí y el P&amp;L, la tesorería y el IVA repercutido se recalculan solos</t>
        </is>
      </c>
    </row>
    <row r="12">
      <c r="A12" t="inlineStr">
        <is>
          <t>Ventas de BEBIDA sobre el total</t>
        </is>
      </c>
      <c r="B12" s="66">
        <f>IFERROR(IF(COUNT(B11)=0,"",1-B11),"")</f>
        <v>0.18000000000000005</v>
      </c>
      <c r="C12" t="inlineStr">
        <is>
          <t>Se calcula como el resto: comida + bebida = 100 %</t>
        </is>
      </c>
    </row>
    <row r="13">
      <c r="A13" t="inlineStr">
        <is>
          <t>Coste de mercancía sobre las ventas de COMIDA</t>
        </is>
      </c>
      <c r="B13" s="64" t="n">
        <v>0.235</v>
      </c>
      <c r="C13" t="inlineStr">
        <is>
          <t>Materia prima de la comida sobre sus ventas: las pizzas (el 70 % de la comida) salen a un 20 % de media (la Margherita, a un 15 %; con búfala, burrata o embutido italiano, al 22-28 %), los entrantes al 28 % y los postres al 25 %, y el plan suma 1,5 puntos de merma (bolas pasadas, masa sobrante y pruebas). Escandalla cada pizza con la calculadora del pack</t>
        </is>
      </c>
    </row>
    <row r="14">
      <c r="A14" t="inlineStr">
        <is>
          <t>Coste de mercancía sobre las ventas de BEBIDA</t>
        </is>
      </c>
      <c r="B14" s="64" t="n">
        <v>0.27</v>
      </c>
      <c r="C14" t="inlineStr">
        <is>
          <t>Cerveza al 30 %, vino al 35 %, refrescos al 35 % y agua y café al 20 % de su precio de venta. Si la cervecera te cede el equipo de tiraje, pide el precio del barril por escrito</t>
        </is>
      </c>
    </row>
    <row r="15">
      <c r="A15" t="inlineStr">
        <is>
          <t>Consumibles sobre ventas</t>
        </is>
      </c>
      <c r="B15" s="64" t="n">
        <v>0.03</v>
      </c>
      <c r="C15" t="inlineStr">
        <is>
          <t>Cajas de cartón para las pizzas que salen del local (unas 8.000 al año a 1 € cada una, el 2,1 % de las ventas), papel, servilletas y los envases para que el cliente se lleve lo que no consuma (Ley 1/2025, art. 8). El envase de plástico de un solo uso se cobra aparte en el tique (Ley 7/2022, art. 55)</t>
        </is>
      </c>
    </row>
    <row r="16">
      <c r="A16" t="inlineStr">
        <is>
          <t>Ventas por delivery sobre el total</t>
        </is>
      </c>
      <c r="B16" s="64" t="n">
        <v>0.1</v>
      </c>
      <c r="C16" t="inlineStr">
        <is>
          <t>Ventas por PLATAFORMA con su reparto (Glovo, Just Eat, Uber Eats) sobre el total. La recogida en el local y el reparto propio NO pagan comisión y no van aquí. La pizza de masa blanda llega peor que otros platos: no subas de aquí sin probarlo</t>
        </is>
      </c>
    </row>
    <row r="17">
      <c r="A17" t="inlineStr">
        <is>
          <t>Comisión de la plataforma de delivery</t>
        </is>
      </c>
      <c r="B17" s="64" t="n">
        <v>0.3</v>
      </c>
      <c r="C17" t="inlineStr">
        <is>
          <t>Comisión de la plataforma con su reparto sobre lo que vende ese canal: el plan básico de Uber Eats ronda el 30 % más IVA y Glovo y Just Eat, del 25 al 35 % según la zona. Compruébala en tu contrato. Si repartes tú, pon 0 y suma el repartidor, con contrato laboral, a la hoja Personal</t>
        </is>
      </c>
    </row>
    <row r="18">
      <c r="A18" t="inlineStr">
        <is>
          <t>Comisión de los medios de pago</t>
        </is>
      </c>
      <c r="B18" s="64" t="n">
        <v>0.008</v>
      </c>
      <c r="C18" t="inlineStr">
        <is>
          <t>Tarjeta y bizum sobre el total facturado</t>
        </is>
      </c>
    </row>
    <row r="19">
      <c r="A19" s="16" t="inlineStr">
        <is>
          <t>PERSONAL</t>
        </is>
      </c>
    </row>
    <row r="20">
      <c r="A20" t="inlineStr">
        <is>
          <t>Seguridad Social a cargo de la empresa</t>
        </is>
      </c>
      <c r="B20" s="64"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LOCAL Y FIJOS</t>
        </is>
      </c>
    </row>
    <row r="24">
      <c r="A24" t="inlineStr">
        <is>
          <t>Alquiler mensual del local (€)</t>
        </is>
      </c>
      <c r="B24" s="23" t="n">
        <v>2100</v>
      </c>
      <c r="C24" t="inlineStr">
        <is>
          <t>Local de 130 m² con salida de humos a cubierta posible (es el filtro del local): sala de 70 m² con 50 plazas, obrador de 30 m² con el horno a la vista, almacén de leña, aseos y vestuario, en una calle de barrio con paso de una ciudad media, sin traspaso: unos 16 € el m². El peso sobre las ventas lo calcula el propio libro en la fila «Alquiler / Ventas» del P&amp;L</t>
        </is>
      </c>
    </row>
    <row r="25">
      <c r="A25" t="inlineStr">
        <is>
          <t>Fianza del alquiler (meses)</t>
        </is>
      </c>
      <c r="B25" s="18" t="n">
        <v>3</v>
      </c>
      <c r="C25" t="inlineStr">
        <is>
          <t>Tres meses de renta, lo habitual en un contrato de local de negocio: compruébalo con tu abogado</t>
        </is>
      </c>
    </row>
    <row r="26">
      <c r="A26" t="inlineStr">
        <is>
          <t>Suministros mensuales de luz, agua y gas (€)</t>
        </is>
      </c>
      <c r="B26" s="23" t="n">
        <v>1100</v>
      </c>
      <c r="C26" t="inlineStr">
        <is>
          <t>Luz de unos 25 kW en trifásica (frío, amasadora, lavavajillas, extracción, climatización y cafetera), agua y el gas de la cocina de apoyo. La leña del horno NO va aquí: es un coste fijo del P&amp;L. Pide el histórico del local</t>
        </is>
      </c>
    </row>
    <row r="27">
      <c r="A27" t="inlineStr">
        <is>
          <t>Seguros (€/año)</t>
        </is>
      </c>
      <c r="B27" s="23" t="n">
        <v>1800</v>
      </c>
      <c r="C27" t="inlineStr">
        <is>
          <t>Responsabilidad civil de al menos 300.000 € y multirriesgo con incendio y avería del frío. Dile a la aseguradora que el horno es de leña: cambia la prima y las condiciones</t>
        </is>
      </c>
    </row>
    <row r="28">
      <c r="A28" t="inlineStr">
        <is>
          <t>Varios e imprevistos sobre ventas</t>
        </is>
      </c>
      <c r="B28" s="64" t="n">
        <v>0.02</v>
      </c>
      <c r="C28" t="inlineStr">
        <is>
          <t>Colchón de gasto corriente no presupuestado (pequeñas reparaciones, utillaje que se rompe, pruebas de carta)</t>
        </is>
      </c>
    </row>
    <row r="29">
      <c r="A29" s="16" t="inlineStr">
        <is>
          <t>FINANCIACIÓN</t>
        </is>
      </c>
    </row>
    <row r="30">
      <c r="A30" t="inlineStr">
        <is>
          <t>Recursos propios aportados (€)</t>
        </is>
      </c>
      <c r="B30" s="23" t="n">
        <v>65000</v>
      </c>
      <c r="C30" t="inlineStr">
        <is>
          <t>Aportación de los socios. Un banco pide entre el 25 y el 30 % de la necesidad de caja con dinero propio</t>
        </is>
      </c>
    </row>
    <row r="31">
      <c r="A31" t="inlineStr">
        <is>
          <t>Préstamo bancario solicitado (€)</t>
        </is>
      </c>
      <c r="B31" s="23" t="n">
        <v>159000</v>
      </c>
      <c r="C31" t="inlineStr">
        <is>
          <t>Principal solicitado. La hoja de Financiación compara lo que aportas con la necesidad de caja de la hoja de inversión y te dice si sobra o falta: ajústalo con ese dato</t>
        </is>
      </c>
    </row>
    <row r="32">
      <c r="A32" t="inlineStr">
        <is>
          <t>Tipo de interés nominal anual</t>
        </is>
      </c>
      <c r="B32" s="64" t="n">
        <v>0.06</v>
      </c>
      <c r="C32" t="inlineStr">
        <is>
          <t>Tipo nominal anual. Pide oferta a dos entidades y a una línea ICO antes de fijarlo; el horno, el frío y la cafetera se pueden pagar con leasing o renting: compáralo</t>
        </is>
      </c>
    </row>
    <row r="33">
      <c r="A33" t="inlineStr">
        <is>
          <t>Plazo del préstamo (años)</t>
        </is>
      </c>
      <c r="B33" s="18" t="n">
        <v>7</v>
      </c>
      <c r="C33" t="inlineStr">
        <is>
          <t>Años totales, carencia incluida</t>
        </is>
      </c>
    </row>
    <row r="34">
      <c r="A34" t="inlineStr">
        <is>
          <t>Carencia de principal (años)</t>
        </is>
      </c>
      <c r="B34" s="18" t="n">
        <v>1</v>
      </c>
      <c r="C34" t="inlineStr">
        <is>
          <t>El primer año sólo intereses: obra, chimenea y horno antes de facturar. Desde el segundo año se devuelve el principal: mira la holgura de caja de ese año en el Punto de Equilibrio</t>
        </is>
      </c>
    </row>
    <row r="35">
      <c r="A35" t="inlineStr">
        <is>
          <t>Fondo de maniobra (meses de costes fijos)</t>
        </is>
      </c>
      <c r="B35" s="18" t="n">
        <v>3</v>
      </c>
      <c r="C35" t="inlineStr">
        <is>
          <t>Tres meses de costes fijos: el colchón para la rampa del arranque y para enero y febrero, los meses más flojos (los Meses 5 y 6 del plan)</t>
        </is>
      </c>
    </row>
    <row r="36">
      <c r="A36" s="16" t="inlineStr">
        <is>
          <t>FISCAL</t>
        </is>
      </c>
    </row>
    <row r="37">
      <c r="A37" t="inlineStr">
        <is>
          <t>Impuesto de Sociedades, nueva creación</t>
        </is>
      </c>
      <c r="B37" s="64"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4"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4" t="n">
        <v>0.1</v>
      </c>
      <c r="C39" t="inlineStr">
        <is>
          <t>Tipo reducido de hostelería</t>
        </is>
      </c>
    </row>
    <row r="40">
      <c r="A40" t="inlineStr">
        <is>
          <t>IVA repercutido/soportado general</t>
        </is>
      </c>
      <c r="B40" s="64" t="n">
        <v>0.21</v>
      </c>
      <c r="C40" t="inlineStr">
        <is>
          <t>Tipo general. En este libro lo usan dos cosas: el IVA que soportas al comprar el alcohol (el proveedor lo factura al 21 %) y el que repercutes por la bebida que sale para llevar o a domicilio (es una entrega de bienes). El alcohol servido en sala va al reducido, como fija la línea de bebida del P&amp;L. Suministros, equipamiento y servicios tienen su tipo en la celda de abajo. En las compras, el libro manda al general la parte de la bebida que declara la celda «Bebida que compras al 21 %» de esta hoja: la cerveza, el vino y los refrescos con azúcares o edulcorantes añadidos, cuya factura va al 21 % (art. 91.Uno.1.1.º de la Ley 37/1992)</t>
        </is>
      </c>
    </row>
    <row r="41">
      <c r="A41" t="inlineStr">
        <is>
          <t>IVA soportado en compras e inversión</t>
        </is>
      </c>
      <c r="B41" s="64"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10</v>
      </c>
      <c r="C44" t="inlineStr">
        <is>
          <t>Obra, chimenea hasta cubierta, instalación eléctrica trifásica, fontanería, climatización y rótulo. Coeficientes de la tabla del art. 12.1 de la Ley del Impuesto sobre Sociedades: confírmalo con tu asesor</t>
        </is>
      </c>
    </row>
    <row r="45">
      <c r="A45" t="inlineStr">
        <is>
          <t>Vida útil de maquinaria y mobiliario (años)</t>
        </is>
      </c>
      <c r="B45" s="18" t="n">
        <v>10</v>
      </c>
      <c r="C45" t="inlineStr">
        <is>
          <t>Horno, amasadora, mesa fría, armarios, campana extractora, lavavajillas, barra, mobiliario y TPV: un 10 % anual, dentro del coeficiente máximo de la tabla del art. 12.1 de la Ley del Impuesto sobre Sociedades para la maquinaria (12 %) y para el mobiliario (10 %). Confírmalo con tu asesor</t>
        </is>
      </c>
    </row>
    <row r="46"/>
    <row r="47">
      <c r="A47" s="16" t="inlineStr">
        <is>
          <t>CRECIMIENTO Y ACTUALIZACIÓN DE COSTES</t>
        </is>
      </c>
    </row>
    <row r="48">
      <c r="A48" t="inlineStr">
        <is>
          <t>Subida anual de los costes fijos</t>
        </is>
      </c>
      <c r="B48" s="64" t="n">
        <v>0</v>
      </c>
      <c r="C48" t="inlineStr">
        <is>
          <t>A CERO: las tres columnas están en euros del año 1 (términos reales). Súbela si quieres proyectar en euros corrientes</t>
        </is>
      </c>
    </row>
    <row r="49">
      <c r="A49" s="16" t="inlineStr">
        <is>
          <t>ARRANQUE Y AFORO</t>
        </is>
      </c>
    </row>
    <row r="50">
      <c r="A50" t="inlineStr">
        <is>
          <t>Rotaciones al día implícitas (calculado)</t>
        </is>
      </c>
      <c r="B50" s="24">
        <f>IFERROR($B$4/$B$51,"")</f>
        <v>1.32</v>
      </c>
      <c r="C50" t="str">
        <f>IFERROR("Son "&amp;TEXT(INT(ROUND(B50,1)),"0")&amp;","&amp;TEXT(ROUND(MOD(ROUND(B50,1),1)*10,0),"0")&amp;" servicios por plaza y día sobre las "&amp;TEXT($B$51,"0")&amp;" plazas de la celda de arriba. Incluye a quien se lleva la pizza o la recibe en casa, que no ocupa mesa: la rotación real de tu sala es menor (en el caso, unos 51 comensales de sala, 1,0 por plaza y día).","")</f>
        <v>Son 1,3 servicios por plaza y día sobre las 50 plazas de la celda de arriba. Incluye a quien se lleva la pizza o la recibe en casa, que no ocupa mesa: la rotación real de tu sala es menor (en el caso, unos 51 comensales de sala, 1,0 por plaza y día).</v>
      </c>
    </row>
    <row r="51">
      <c r="A51" t="inlineStr">
        <is>
          <t>Aforo del local (plazas sentadas, sin la terraza)</t>
        </is>
      </c>
      <c r="B51" s="18" t="n">
        <v>50</v>
      </c>
      <c r="C51" t="inlineStr">
        <is>
          <t>Plazas de la sala. La terraza suma 24 plazas de abril a octubre, con su autorización municipal aparte, y quien se lleva la pizza o la recibe en casa no ocupa mesa: por eso la rotación de la fila de arriba es más alta que la real de tu sala</t>
        </is>
      </c>
    </row>
    <row r="52">
      <c r="A52" t="inlineStr">
        <is>
          <t>Actividad del mes 1 sobre la de crucero</t>
        </is>
      </c>
      <c r="B52" s="64" t="n">
        <v>0.75</v>
      </c>
      <c r="C52" t="inlineStr">
        <is>
          <t>Una pizzería que abre trae curiosos el primer mes, pero la clientela fija tarda un trimestre: el Mes 1 (septiembre) factura un 75 % de lo que facturará a los cuatro meses. Con 100 % se elimina la rampa</t>
        </is>
      </c>
    </row>
    <row r="53">
      <c r="A53" t="inlineStr">
        <is>
          <t>Meses hasta alcanzar el régimen de crucero</t>
        </is>
      </c>
      <c r="B53" s="18" t="n">
        <v>4</v>
      </c>
      <c r="C53" t="inlineStr">
        <is>
          <t>Cuatro meses hasta el ritmo de crucero: de septiembre a diciembre, para llegar a la Navidad con clientela</t>
        </is>
      </c>
    </row>
    <row r="54">
      <c r="A54" t="inlineStr">
        <is>
          <t>Meses de alquiler ANTES de abrir (obra y licencias)</t>
        </is>
      </c>
      <c r="B54" s="18" t="n">
        <v>3</v>
      </c>
      <c r="C54" t="inlineStr">
        <is>
          <t>Tres meses de renta antes de abrir: la obra, la chimenea hasta cubierta y la licencia tardan más que en un local sin humos. Si el banco te da el préstamo al empezar la obra, súmale los intereses de esos meses, que este libro no cuenta, y ten en cuenta que la carencia corre desde la firma</t>
        </is>
      </c>
    </row>
    <row r="55">
      <c r="A55" t="inlineStr">
        <is>
          <t>Imprevistos sobre las partidas de OBRA del bloque de local (%)</t>
        </is>
      </c>
      <c r="B55" s="64" t="n">
        <v>0.1</v>
      </c>
      <c r="C55" t="inlineStr">
        <is>
          <t>Colchón sobre la obra y las instalaciones del local, que es donde aparecen las sorpresas (la chimenea hasta cubierta, la acometida trifásica, el separador de grasas). Un banco no financia una reforma sin él</t>
        </is>
      </c>
    </row>
    <row r="56"/>
    <row r="57">
      <c r="A57" s="16" t="inlineStr">
        <is>
          <t>COBROS, PAGOS Y DESGLOSE DEL IVA</t>
        </is>
      </c>
    </row>
    <row r="58">
      <c r="A58" t="inlineStr">
        <is>
          <t>Días medios de cobro</t>
        </is>
      </c>
      <c r="B58" s="18" t="n">
        <v>2</v>
      </c>
      <c r="C58" t="inlineStr">
        <is>
          <t>Media ponderada: la sala y la recogida cobran al momento y la plataforma liquida cada 7-15 días lo que vende por ella (un 10 % de las ventas)</t>
        </is>
      </c>
    </row>
    <row r="59">
      <c r="A59" t="inlineStr">
        <is>
          <t>Días medios de pago a proveedor</t>
        </is>
      </c>
      <c r="B59" s="18" t="n">
        <v>30</v>
      </c>
      <c r="C59" t="inlineStr">
        <is>
          <t>Plazo de pago a los proveedores de harina, tomate, quesos y bebida: lo que te financian. Es lo primero que se pierde si te retrasas en un pago</t>
        </is>
      </c>
    </row>
    <row r="60">
      <c r="A60" t="inlineStr">
        <is>
          <t>Mes de la paga extra de verano</t>
        </is>
      </c>
      <c r="B60" s="18" t="n">
        <v>11</v>
      </c>
      <c r="C60" t="inlineStr">
        <is>
          <t>Mes de la TESORERÍA en el que sale la paga extra de verano: julio es el Mes 11, porque el Mes 1 del plan es septiembre</t>
        </is>
      </c>
    </row>
    <row r="61">
      <c r="A61" t="inlineStr">
        <is>
          <t>Mes de la paga extra de Navidad</t>
        </is>
      </c>
      <c r="B61" s="18" t="n">
        <v>4</v>
      </c>
      <c r="C61" t="inlineStr">
        <is>
          <t>Mes de la TESORERÍA en el que sale la paga extra de Navidad: diciembre es el Mes 4, porque el Mes 1 del plan es septiembre</t>
        </is>
      </c>
    </row>
    <row r="62">
      <c r="A62" t="inlineStr">
        <is>
          <t>Bebida que compras al 21 % (alcohol y refrescos azucarados o edulcorados) sobre el total de bebida</t>
        </is>
      </c>
      <c r="B62" s="64" t="n">
        <v>0.8</v>
      </c>
      <c r="C62" t="inlineStr">
        <is>
          <t>Sólo mueve el IVA que SOPORTAS al comprar la bebida: la cerveza, el vino y los refrescos con azúcares o edulcorantes añadidos te los facturan al 21 % y el agua y el café, al 10 %; con un 80 % sale un 18,8 %. El IVA que REPERCUTES lo fija la línea de bebida del P&amp;L (columna H)</t>
        </is>
      </c>
    </row>
    <row r="63">
      <c r="A63" t="inlineStr">
        <is>
          <t>IVA de la bebida ALCOHÓLICA servida en sala</t>
        </is>
      </c>
      <c r="B63" s="64" t="n">
        <v>0.1</v>
      </c>
      <c r="C63" t="inlineStr">
        <is>
          <t>SIN EFECTO en este libro: el IVA que repercute la bebida lo fija su línea del P&amp;L. En sala, todo al 10 % (art. 91.Uno.2.2.º de la Ley 37/1992); para llevar o a domicilio, el alcohol y los refrescos con azúcares o edulcorantes añadidos, al 21 %, en la columna H de esa línea</t>
        </is>
      </c>
    </row>
    <row r="64">
      <c r="A64" s="16" t="inlineStr">
        <is>
          <t>UMBRALES Y SUELOS DE CONTROL</t>
        </is>
      </c>
    </row>
    <row r="65">
      <c r="A65" t="inlineStr">
        <is>
          <t>DSCR mínimo aceptable</t>
        </is>
      </c>
      <c r="B65" s="25" t="n">
        <v>1</v>
      </c>
      <c r="C65" t="inlineStr">
        <is>
          <t>Por debajo de 1 el negocio no genera para pagar el préstamo. Ponlo en el covenant que te exija tu banco</t>
        </is>
      </c>
    </row>
    <row r="66">
      <c r="A66" t="inlineStr">
        <is>
          <t>DSCR objetivo (verde)</t>
        </is>
      </c>
      <c r="B66" s="25" t="n">
        <v>1.25</v>
      </c>
      <c r="C66" t="inlineStr">
        <is>
          <t>Lo que suele pedir una entidad para dar el préstamo sin garantías adicionales</t>
        </is>
      </c>
    </row>
    <row r="67">
      <c r="A67" t="inlineStr">
        <is>
          <t>Holgura mínima sobre el punto de equilibrio</t>
        </is>
      </c>
      <c r="B67" s="64" t="n">
        <v>0.15</v>
      </c>
      <c r="C67" t="inlineStr">
        <is>
          <t>Cuánto puedes caer sobre lo previsto antes de entrar en pérdidas</t>
        </is>
      </c>
    </row>
    <row r="68">
      <c r="A68" t="inlineStr">
        <is>
          <t>Suelo salarial anual del convenio provincial (€)</t>
        </is>
      </c>
      <c r="B68" s="23" t="n">
        <v>0</v>
      </c>
      <c r="C68" t="inlineStr">
        <is>
          <t>Las pizzerías están en el convenio PROVINCIAL de hostelería (el art. 4 del VI Acuerdo Laboral de ámbito Estatal para el sector de Hostelería las nombra, y también el reparto propio): copia aquí el salario base del grupo más bajo de la tabla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4 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PLAN DE NEGOCIO: PIZZERÍA NAPOLITANA</t>
        </is>
      </c>
    </row>
    <row r="2">
      <c r="A2" s="2" t="inlineStr">
        <is>
          <t>Inversión inicial estimada — pizzería con horno de leña, 50 plazas y terraza</t>
        </is>
      </c>
    </row>
    <row r="3">
      <c r="A3" s="3" t="inlineStr">
        <is>
          <t>Ajusta las cifras a tu proyecto: son las de un caso tipo en una ciudad media, sin traspaso. Pon tus presupuestos reales en las celdas de importe.</t>
        </is>
      </c>
    </row>
    <row r="4"/>
    <row r="5">
      <c r="A5" s="26" t="inlineStr">
        <is>
          <t>Concepto</t>
        </is>
      </c>
      <c r="B5" s="26" t="inlineStr">
        <is>
          <t>Importe</t>
        </is>
      </c>
      <c r="C5" s="26" t="inlineStr">
        <is>
          <t>% s/inversión</t>
        </is>
      </c>
      <c r="D5" s="26" t="inlineStr">
        <is>
          <t>Notas</t>
        </is>
      </c>
      <c r="E5" s="26" t="inlineStr">
        <is>
          <t>¿Lleva IVA?</t>
        </is>
      </c>
    </row>
    <row r="6">
      <c r="A6" s="26" t="inlineStr">
        <is>
          <t>INVERSIÓN</t>
        </is>
      </c>
      <c r="B6" s="27">
        <f>IFERROR(IF(COUNT(B7:B27)=0,"",SUM(B7:B27)),"")</f>
        <v>142850.0</v>
      </c>
      <c r="C6" s="67">
        <f>IFERROR(B6/$B$30,"")</f>
        <v>0.7327393587881736</v>
      </c>
      <c r="D6" s="29" t="n"/>
      <c r="E6" s="29" t="n"/>
    </row>
    <row r="7">
      <c r="A7" s="29" t="inlineStr">
        <is>
          <t>Proyecto técnico de actividad y de salida de humos, y dirección de obra</t>
        </is>
      </c>
      <c r="B7" s="30" t="n">
        <v>4000</v>
      </c>
      <c r="C7" s="68">
        <f>IFERROR(B7/$B$30,"")</f>
        <v>0.020517727932465486</v>
      </c>
      <c r="D7" s="29" t="inlineStr">
        <is>
          <t>Proyecto de la actividad y de la chimenea, memoria para la licencia o la declaración responsable y certificado final de obra</t>
        </is>
      </c>
      <c r="E7" s="32" t="inlineStr">
        <is>
          <t>Sí</t>
        </is>
      </c>
    </row>
    <row r="8">
      <c r="A8" s="29" t="inlineStr">
        <is>
          <t>Obra y acondicionamiento del local, rótulo y fachada</t>
        </is>
      </c>
      <c r="B8" s="30" t="n">
        <v>32500</v>
      </c>
      <c r="C8" s="68">
        <f>IFERROR(B8/$B$30,"")</f>
        <v>0.16670653945128208</v>
      </c>
      <c r="D8" s="29" t="inlineStr">
        <is>
          <t>Obrador alicatado, suelo antideslizante, aseos (uno adaptado), falsos techos y aislamiento acústico, más el rótulo y la fachada (unos 2.500 €). Estimación del kit: pide dos presupuestos</t>
        </is>
      </c>
      <c r="E8" s="32" t="inlineStr">
        <is>
          <t>Sí</t>
        </is>
      </c>
    </row>
    <row r="9">
      <c r="A9" s="29" t="inlineStr">
        <is>
          <t>Chimenea de doble pared hasta cubierta, filtro de partículas y bancada del horno</t>
        </is>
      </c>
      <c r="B9" s="30" t="n">
        <v>9000</v>
      </c>
      <c r="C9" s="68">
        <f>IFERROR(B9/$B$30,"")</f>
        <v>0.04616488784804734</v>
      </c>
      <c r="D9" s="29" t="inlineStr">
        <is>
          <t>Conducto exclusivo hasta la cubierta y, con leña, filtro de partículas: Madrid pide superar en 1 m lo que haya en 15 m (Ordenanza 4/2021). Ningún fabricante da precio por metro: pide oferta con tu proyecto</t>
        </is>
      </c>
      <c r="E9" s="32" t="inlineStr">
        <is>
          <t>Sí</t>
        </is>
      </c>
    </row>
    <row r="10">
      <c r="A10" s="29" t="inlineStr">
        <is>
          <t>Instalación eléctrica trifásica, cuadro y boletín</t>
        </is>
      </c>
      <c r="B10" s="30" t="n">
        <v>6000</v>
      </c>
      <c r="C10" s="68">
        <f>IFERROR(B10/$B$30,"")</f>
        <v>0.03077659189869823</v>
      </c>
      <c r="D10" s="29" t="inlineStr">
        <is>
          <t>Unos 25 kW en trifásica para el frío, la amasadora, el lavavajillas, la extracción y la climatización. Pregunta la potencia disponible ANTES de firmar: una acometida nueva tarda</t>
        </is>
      </c>
      <c r="E10" s="32" t="inlineStr">
        <is>
          <t>Sí</t>
        </is>
      </c>
    </row>
    <row r="11">
      <c r="A11" s="29" t="inlineStr">
        <is>
          <t>Fontanería, separador de grasas, climatización y extracción</t>
        </is>
      </c>
      <c r="B11" s="30" t="n">
        <v>9000</v>
      </c>
      <c r="C11" s="68">
        <f>IFERROR(B11/$B$30,"")</f>
        <v>0.04616488784804734</v>
      </c>
      <c r="D11" s="29" t="inlineStr">
        <is>
          <t>Agua fría y caliente en el obrador, desagües con separador de grasas, climatización de la sala y extracción de la cocina de apoyo</t>
        </is>
      </c>
      <c r="E11" s="32" t="inlineStr">
        <is>
          <t>Sí</t>
        </is>
      </c>
    </row>
    <row r="12">
      <c r="A12" s="29" t="inlineStr">
        <is>
          <t>Horno de leña de cúpula baja de 120-130 cm de diámetro</t>
        </is>
      </c>
      <c r="B12" s="30" t="n">
        <v>9000</v>
      </c>
      <c r="C12" s="68">
        <f>IFERROR(B12/$B$30,"")</f>
        <v>0.04616488784804734</v>
      </c>
      <c r="D12" s="29" t="inlineStr">
        <is>
          <t>Para unas seis pizzas a la vez. Los prefabricados profesionales con precio publicado van de 2.750 a 5.505 € (octubre de 2026); los artesanos napolitanos no publican tarifa: pide oferta con el montaje</t>
        </is>
      </c>
      <c r="E12" s="32" t="inlineStr">
        <is>
          <t>Sí</t>
        </is>
      </c>
    </row>
    <row r="13">
      <c r="A13" s="29" t="inlineStr">
        <is>
          <t>Amasadora de espiral profesional</t>
        </is>
      </c>
      <c r="B13" s="30" t="n">
        <v>3500</v>
      </c>
      <c r="C13" s="68">
        <f>IFERROR(B13/$B$30,"")</f>
        <v>0.0179530119409073</v>
      </c>
      <c r="D13" s="29" t="inlineStr">
        <is>
          <t>Para 30-40 kg de masa: el sábado se cubre en dos amasadas. Las de entrada empiezan en unos 860 € sin IVA; una de gama profesional cuesta bastante más</t>
        </is>
      </c>
      <c r="E13" s="32" t="inlineStr">
        <is>
          <t>Sí</t>
        </is>
      </c>
    </row>
    <row r="14">
      <c r="A14" s="29" t="inlineStr">
        <is>
          <t>Mesa fría de pizza con encimera de granito y vitrina</t>
        </is>
      </c>
      <c r="B14" s="30" t="n">
        <v>2200</v>
      </c>
      <c r="C14" s="68">
        <f>IFERROR(B14/$B$30,"")</f>
        <v>0.011284750362856017</v>
      </c>
      <c r="D14" s="29" t="inlineStr">
        <is>
          <t>Mesa refrigerada de dos o tres puertas con vitrina de ingredientes: unos 1.950 € sin IVA en la tarifa de un distribuidor (octubre de 2026)</t>
        </is>
      </c>
      <c r="E14" s="32" t="inlineStr">
        <is>
          <t>Sí</t>
        </is>
      </c>
    </row>
    <row r="15">
      <c r="A15" s="29" t="inlineStr">
        <is>
          <t>Armarios refrigerados para las cajas de bolas y arcón congelador</t>
        </is>
      </c>
      <c r="B15" s="30" t="n">
        <v>5000</v>
      </c>
      <c r="C15" s="68">
        <f>IFERROR(B15/$B$30,"")</f>
        <v>0.02564715991558186</v>
      </c>
      <c r="D15" s="29" t="inlineStr">
        <is>
          <t>Armarios ventilados para las cajas de bolas y los ingredientes (unos 900 € sin IVA el de 400 l) y un arcón</t>
        </is>
      </c>
      <c r="E15" s="32" t="inlineStr">
        <is>
          <t>Sí</t>
        </is>
      </c>
    </row>
    <row r="16">
      <c r="A16" s="29" t="inlineStr">
        <is>
          <t>Campana extractora con motor, freidora y fogón de apoyo</t>
        </is>
      </c>
      <c r="B16" s="30" t="n">
        <v>3000</v>
      </c>
      <c r="C16" s="68">
        <f>IFERROR(B16/$B$30,"")</f>
        <v>0.015388295949349115</v>
      </c>
      <c r="D16" s="29" t="inlineStr">
        <is>
          <t>Campana extractora de 1,5-2 m con motor (unos 815 € sin IVA) para la cocina de entrantes, frituras y salsas</t>
        </is>
      </c>
      <c r="E16" s="32" t="inlineStr">
        <is>
          <t>Sí</t>
        </is>
      </c>
    </row>
    <row r="17">
      <c r="A17" s="29" t="inlineStr">
        <is>
          <t>Lavavajillas de capota, fregaderos, lavamanos, mesas inox y estanterías</t>
        </is>
      </c>
      <c r="B17" s="30" t="n">
        <v>6000</v>
      </c>
      <c r="C17" s="68">
        <f>IFERROR(B17/$B$30,"")</f>
        <v>0.03077659189869823</v>
      </c>
      <c r="D17" s="29" t="inlineStr">
        <is>
          <t>Lavavajillas, fregaderos, lavamanos de accionamiento no manual, mesas de acero inoxidable y estanterías</t>
        </is>
      </c>
      <c r="E17" s="32" t="inlineStr">
        <is>
          <t>Sí</t>
        </is>
      </c>
    </row>
    <row r="18">
      <c r="A18" s="29" t="inlineStr">
        <is>
          <t>Utillaje y menaje: palas, cajas de bolas, básculas, vajilla y uniformes</t>
        </is>
      </c>
      <c r="B18" s="30" t="n">
        <v>5000</v>
      </c>
      <c r="C18" s="68">
        <f>IFERROR(B18/$B$30,"")</f>
        <v>0.02564715991558186</v>
      </c>
      <c r="D18" s="29" t="inlineStr">
        <is>
          <t>Palas de entrada y de giro (unos 70-80 € cada una), cajas de bolas con cierre, básculas, termómetro de infrarrojos, vajilla, uniformes y la cartelería de alérgenos</t>
        </is>
      </c>
      <c r="E18" s="32" t="inlineStr">
        <is>
          <t>Sí</t>
        </is>
      </c>
    </row>
    <row r="19">
      <c r="A19" s="29" t="inlineStr">
        <is>
          <t>Barra: cafetera y molino, botellero frío y equipo de cerveza</t>
        </is>
      </c>
      <c r="B19" s="30" t="n">
        <v>6000</v>
      </c>
      <c r="C19" s="68">
        <f>IFERROR(B19/$B$30,"")</f>
        <v>0.03077659189869823</v>
      </c>
      <c r="D19" s="29" t="inlineStr">
        <is>
          <t>Si la cervecera cede el equipo de tiraje, esta partida baja</t>
        </is>
      </c>
      <c r="E19" s="32" t="inlineStr">
        <is>
          <t>Sí</t>
        </is>
      </c>
    </row>
    <row r="20">
      <c r="A20" s="29" t="inlineStr">
        <is>
          <t>Mobiliario de sala y terraza</t>
        </is>
      </c>
      <c r="B20" s="30" t="n">
        <v>9000</v>
      </c>
      <c r="C20" s="68">
        <f>IFERROR(B20/$B$30,"")</f>
        <v>0.04616488784804734</v>
      </c>
      <c r="D20" s="29" t="inlineStr">
        <is>
          <t>Mesas y sillas para 50 plazas en sala y 24 en la terraza de temporada</t>
        </is>
      </c>
      <c r="E20" s="32" t="inlineStr">
        <is>
          <t>Sí</t>
        </is>
      </c>
    </row>
    <row r="21">
      <c r="A21" s="29" t="inlineStr">
        <is>
          <t>TPV con Veri*factu, datáfonos, impresora de comandas y tablet</t>
        </is>
      </c>
      <c r="B21" s="30" t="n">
        <v>2000</v>
      </c>
      <c r="C21" s="68">
        <f>IFERROR(B21/$B$30,"")</f>
        <v>0.010258863966232743</v>
      </c>
      <c r="D21" s="29" t="inlineStr">
        <is>
          <t>Software de facturación conforme a Veri*factu, datáfonos, impresora de cocina y la tablet de las plataformas</t>
        </is>
      </c>
      <c r="E21" s="32" t="inlineStr">
        <is>
          <t>Sí</t>
        </is>
      </c>
    </row>
    <row r="22">
      <c r="A22" s="29" t="inlineStr">
        <is>
          <t>Constitución de la SL, licencia, tasas, registro sanitario y APPCC</t>
        </is>
      </c>
      <c r="B22" s="30" t="n">
        <v>3500</v>
      </c>
      <c r="C22" s="68">
        <f>IFERROR(B22/$B$30,"")</f>
        <v>0.0179530119409073</v>
      </c>
      <c r="D22" s="29" t="inlineStr">
        <is>
          <t>SL unipersonal, licencia o declaración responsable, tasas municipales, registro sanitario autonómico y redacción del plan APPCC. Las tasas no llevan IVA; los honorarios sí: cambia la columna de al lado si tu presupuesto es sobre todo de honorarios</t>
        </is>
      </c>
      <c r="E22" s="32" t="inlineStr">
        <is>
          <t>No</t>
        </is>
      </c>
    </row>
    <row r="23">
      <c r="A23" s="29" t="inlineStr">
        <is>
          <t>Marca, web, fotos, formación de pizzaiolo y lanzamiento</t>
        </is>
      </c>
      <c r="B23" s="30" t="n">
        <v>5500</v>
      </c>
      <c r="C23" s="68">
        <f>IFERROR(B23/$B$30,"")</f>
        <v>0.028211875907140044</v>
      </c>
      <c r="D23" s="29" t="inlineStr">
        <is>
          <t>Identidad, web con la carta, sesión de fotos, curso de pizzaiolo para el segundo pizzaiolo y campaña de apertura</t>
        </is>
      </c>
      <c r="E23" s="32" t="inlineStr">
        <is>
          <t>Sí</t>
        </is>
      </c>
    </row>
    <row r="24">
      <c r="A24" s="29" t="inlineStr">
        <is>
          <t>Stock inicial de harina, tomate, quesos, bebida, leña y cajas</t>
        </is>
      </c>
      <c r="B24" s="30" t="n">
        <v>4000</v>
      </c>
      <c r="C24" s="68">
        <f>IFERROR(B24/$B$30,"")</f>
        <v>0.020517727932465486</v>
      </c>
      <c r="D24" s="29" t="inlineStr">
        <is>
          <t>Harina, tomate, quesos y embutidos, la bodega y la cerveza, la primera leña seca y las cajas de cartón</t>
        </is>
      </c>
      <c r="E24" s="32" t="inlineStr">
        <is>
          <t>Sí</t>
        </is>
      </c>
    </row>
    <row r="25">
      <c r="A25" s="29" t="inlineStr">
        <is>
          <t>Fianza del alquiler</t>
        </is>
      </c>
      <c r="B25" s="33">
        <f>IFERROR(IF('0. Supuestos'!$B$24="","",'0. Supuestos'!$B$24*'0. Supuestos'!$B$25),"")</f>
        <v>6300.0</v>
      </c>
      <c r="C25" s="68">
        <f>IFERROR(B25/$B$30,"")</f>
        <v>0.03231542149363314</v>
      </c>
      <c r="D25" s="29" t="str">
        <f>IFERROR(""&amp;TEXT('0. Supuestos'!$B$25,"0")&amp;" meses de renta, al tipo de la hoja de Supuestos. Es un activo recuperable al cerrar: ni se amortiza ni lleva IVA","")</f>
        <v>3 meses de renta, al tipo de la hoja de Supuestos. Es un activo recuperable al cerrar: ni se amortiza ni lleva IVA</v>
      </c>
      <c r="E25" s="29" t="inlineStr">
        <is>
          <t>No</t>
        </is>
      </c>
    </row>
    <row r="26">
      <c r="A26" s="29" t="inlineStr">
        <is>
          <t>Alquiler de los meses previos a la apertura</t>
        </is>
      </c>
      <c r="B26" s="33">
        <f>IFERROR(IF('0. Supuestos'!$B$24="","",'0. Supuestos'!$B$24*'0. Supuestos'!$B$54),"")</f>
        <v>6300.0</v>
      </c>
      <c r="C26" s="68">
        <f>IFERROR(B26/$B$30,"")</f>
        <v>0.03231542149363314</v>
      </c>
      <c r="D26" s="29" t="str">
        <f>IFERROR("Renta "&amp;IF('0. Supuestos'!$B$54=1,"del mes","de los "&amp;TEXT('0. Supuestos'!$B$54,"0")&amp;" meses")&amp;" de obra y licencias. NO se solapa con el P&amp;L, que arranca el día de la apertura: los doce meses del P&amp;L son los doce de explotación","")</f>
        <v>Renta de los 3 meses de obra y licencias. NO se solapa con el P&amp;L, que arranca el día de la apertura: los doce meses del P&amp;L son los doce de explotación</v>
      </c>
      <c r="E26" s="29" t="inlineStr">
        <is>
          <t>Sí</t>
        </is>
      </c>
    </row>
    <row r="27">
      <c r="A27" s="29" t="inlineStr">
        <is>
          <t>Imprevistos de obra y acondicionamiento</t>
        </is>
      </c>
      <c r="B27" s="33">
        <f>IFERROR(IF(COUNT(B7,B8,B9,B10,B11)=0,"",ROUND((B7+B8+B9+B10+B11)*'0. Supuestos'!$B$55,0)),"")</f>
        <v>6050.0</v>
      </c>
      <c r="C27" s="68">
        <f>IFERROR(B27/$B$30,"")</f>
        <v>0.03103306349785405</v>
      </c>
      <c r="D27" s="29" t="str">
        <f>IFERROR("Al "&amp;TEXT('0. Supuestos'!$B$55,"0%")&amp;" de las partidas de OBRA Y ACONDICIONAMIENTO de este bloque (Proyecto técnico de actividad y de salida de humos, y dirección de obra, Obra y acondicionamiento del local, rótulo y fachada, Chimenea de doble pared hasta cubierta, filtro de partículas y bancada del horno, Instalación eléctrica trifásica, cuadro y boletín y Fontanería, separador de grasas, climatización y extracción), no del bloque entero: el resto de partidas del bloque quedan fuera. Un banco no financia una reforma sin colchón: el porcentaje está en la hoja de Supuestos","")</f>
        <v>Al 10% de las partidas de OBRA Y ACONDICIONAMIENTO de este bloque (Proyecto técnico de actividad y de salida de humos, y dirección de obra, Obra y acondicionamiento del local, rótulo y fachada, Chimenea de doble pared hasta cubierta, filtro de partículas y bancada del horno, Instalación eléctrica trifásica, cuadro y boletín y Fontanería, separador de grasas, climatización y extracción), no del bloque entero: el resto de partidas del bloque quedan fuera. Un banco no financia una reforma sin colchón: el porcentaje está en la hoja de Supuestos</v>
      </c>
      <c r="E27" s="29" t="inlineStr">
        <is>
          <t>Sí</t>
        </is>
      </c>
    </row>
    <row r="28">
      <c r="A28" s="26" t="inlineStr">
        <is>
          <t>FONDO DE MANIOBRA</t>
        </is>
      </c>
      <c r="B28" s="27">
        <f>IFERROR(IF(B29="","",B29),"")</f>
        <v>52103.36000000001</v>
      </c>
      <c r="C28" s="67">
        <f>IFERROR(B28/$B$30,"")</f>
        <v>0.2672606412118263</v>
      </c>
      <c r="D28" s="29" t="n"/>
      <c r="E28" s="29" t="n"/>
    </row>
    <row r="29">
      <c r="A29" s="29" t="inlineStr">
        <is>
          <t>Colchón operativo hasta alcanzar el equilibrio</t>
        </is>
      </c>
      <c r="B29" s="33">
        <f>IFERROR(IF('0. Supuestos'!$B$35*('PyG 3 Años'!$B$37-'PyG 3 Años'!$B$35)=0,"",'0. Supuestos'!$B$35*('PyG 3 Años'!$B$37-'PyG 3 Años'!$B$35)/12),"")</f>
        <v>52103.36000000001</v>
      </c>
      <c r="C29" s="68">
        <f>IFERROR(B29/$B$30,"")</f>
        <v>0.2672606412118263</v>
      </c>
      <c r="D29" s="29"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9" s="29" t="inlineStr">
        <is>
          <t>No</t>
        </is>
      </c>
    </row>
    <row r="30">
      <c r="A30" s="26" t="inlineStr">
        <is>
          <t>INVERSIÓN TOTAL (suma de los bloques)</t>
        </is>
      </c>
      <c r="B30" s="27">
        <f>IFERROR(B6+B28,"")</f>
        <v>194953.36000000002</v>
      </c>
      <c r="C30" s="29" t="n"/>
      <c r="D30" s="26" t="str">
        <f>IFERROR("Los porcentajes de la columna C se leen sobre esta cifra, que incluye el fondo de maniobra ("&amp;TEXT(C28,"0%")&amp;" del total). Para comparar el desglose con otro plan, usa la fila de CAPEX de abajo.","")</f>
        <v>Los porcentajes de la columna C se leen sobre esta cifra, que incluye el fondo de maniobra (27% del total). Para comparar el desglose con otro plan, usa la fila de CAPEX de abajo.</v>
      </c>
      <c r="E30" s="29" t="n"/>
    </row>
    <row r="31">
      <c r="A31" s="26" t="inlineStr">
        <is>
          <t>CAPEX (inversión sin el fondo de maniobra)</t>
        </is>
      </c>
      <c r="B31" s="27">
        <f>IFERROR(B30-B28,"")</f>
        <v>142850.0</v>
      </c>
      <c r="C31" s="29" t="n"/>
      <c r="D31" s="26" t="inlineStr">
        <is>
          <t>Es lo que se compra: obra, equipamiento, lanzamiento y gastos de constitución. El colchón de caja no es inversión, es circulante</t>
        </is>
      </c>
      <c r="E31" s="29" t="n"/>
    </row>
    <row r="32">
      <c r="A32" s="29" t="inlineStr">
        <is>
          <t>IVA soportado sobre la inversión (recuperable)</t>
        </is>
      </c>
      <c r="B32" s="33">
        <f>IFERROR(IF(B30="","",SUMIF($E$7:$E$27,"Sí",$B$7:$B$27)*'0. Supuestos'!$B$41),"")</f>
        <v>27940.5</v>
      </c>
      <c r="C32" s="29" t="n"/>
      <c r="D32" s="29" t="str">
        <f>IFERROR("Al "&amp;TEXT('0. Supuestos'!$B$41,"0%")&amp;"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32" s="29" t="n"/>
    </row>
    <row r="33">
      <c r="A33" s="26" t="inlineStr">
        <is>
          <t>NECESIDAD TOTAL DE CAJA AL ARRANQUE</t>
        </is>
      </c>
      <c r="B33" s="27">
        <f>IFERROR(B30+B32,"")</f>
        <v>222893.86000000002</v>
      </c>
      <c r="C33" s="29" t="n"/>
      <c r="D33" s="26" t="inlineStr">
        <is>
          <t>Es la cifra que tiene que cubrir la hoja de Financiación</t>
        </is>
      </c>
      <c r="E33" s="29" t="n"/>
    </row>
    <row r="34">
      <c r="A34" s="26" t="inlineStr">
        <is>
          <t>BASES DE AMORTIZACIÓN (no suman a la inversión)</t>
        </is>
      </c>
      <c r="B34" s="29" t="n"/>
      <c r="C34" s="29" t="n"/>
      <c r="D34" s="29" t="n"/>
      <c r="E34" s="29" t="n"/>
    </row>
    <row r="35">
      <c r="A35" s="29" t="inlineStr">
        <is>
          <t>Obra, instalaciones y acondicionamiento</t>
        </is>
      </c>
      <c r="B35" s="33">
        <f>IFERROR(IF(B7="","",B7+B8+B9+B10+B11+B27),"")</f>
        <v>66550.0</v>
      </c>
      <c r="C35" s="29" t="n"/>
      <c r="D35" s="29" t="str">
        <f>IFERROR("Se amortiza en "&amp;TEXT('0. Supuestos'!$B$44,"0")&amp;" años","")</f>
        <v>Se amortiza en 10 años</v>
      </c>
      <c r="E35" s="29" t="n"/>
    </row>
    <row r="36">
      <c r="A36" s="29" t="inlineStr">
        <is>
          <t>Maquinaria, mobiliario y equipos</t>
        </is>
      </c>
      <c r="B36" s="33">
        <f>IFERROR(IF(B12="","",B12+B13+B14+B15+B16+B17+B18+B19+B20+B21),"")</f>
        <v>50700.0</v>
      </c>
      <c r="C36" s="29" t="n"/>
      <c r="D36" s="29" t="str">
        <f>IFERROR("Se amortiza en "&amp;TEXT('0. Supuestos'!$B$45,"0")&amp;" años","")</f>
        <v>Se amortiza en 10 años</v>
      </c>
      <c r="E36" s="29" t="n"/>
    </row>
    <row r="37">
      <c r="A37" s="26" t="inlineStr">
        <is>
          <t>Amortización anual del inmovilizado</t>
        </is>
      </c>
      <c r="B37" s="27">
        <f>IFERROR(B35/MAX(1,'0. Supuestos'!$B$44)+B36/MAX(1,'0. Supuestos'!$B$45),"")</f>
        <v>11725.0</v>
      </c>
      <c r="C37" s="29" t="n"/>
      <c r="D37" s="26" t="str">
        <f>IFERROR("No se amortizan, por no ser inmovilizado, Constitución de la SL, licencia, tasas, registro sanitario y APPCC, Marca, web, fotos, formación de pizzaiolo y lanzamiento, Stock inicial de harina, tomate, quesos, bebida, leña y cajas, Fianza del alquiler, Alquiler de los meses previos a la apertura ni Colchón operativo hasta alcanzar el equilibrio. Suman "&amp;TEXT(B30-B35-B36,"0")&amp;" € de los "&amp;TEXT(B30,"0")&amp;" € de inversión.","")</f>
        <v>No se amortizan, por no ser inmovilizado, Constitución de la SL, licencia, tasas, registro sanitario y APPCC, Marca, web, fotos, formación de pizzaiolo y lanzamiento, Stock inicial de harina, tomate, quesos, bebida, leña y cajas, Fianza del alquiler, Alquiler de los meses previos a la apertura ni Colchón operativo hasta alcanzar el equilibrio. Suman 77703 € de los 194953 € de inversión.</v>
      </c>
      <c r="E37"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B21 B22 B23 B2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CUENTA DE RESULTADOS PREVISIONAL — 3 AÑOS</t>
        </is>
      </c>
    </row>
    <row r="2">
      <c r="A2" s="3" t="inlineStr">
        <is>
          <t>Escenario realista — pizzería con horno de leña, 50 plazas y terraza</t>
        </is>
      </c>
    </row>
    <row r="3"/>
    <row r="4" ht="45" customHeight="1">
      <c r="A4" s="40" t="inlineStr">
        <is>
          <t>Concepto</t>
        </is>
      </c>
      <c r="B4" s="40" t="inlineStr">
        <is>
          <t>Año 1</t>
        </is>
      </c>
      <c r="C4" s="40" t="inlineStr">
        <is>
          <t>Año 2</t>
        </is>
      </c>
      <c r="D4" s="40" t="inlineStr">
        <is>
          <t>Año 3</t>
        </is>
      </c>
      <c r="E4" s="40" t="inlineStr">
        <is>
          <t>% s/ventas (año 1)</t>
        </is>
      </c>
      <c r="F4" s="40" t="inlineStr">
        <is>
          <t>Notas</t>
        </is>
      </c>
      <c r="G4" s="40" t="inlineStr">
        <is>
          <t>Tipo de IVA de la línea (%)</t>
        </is>
      </c>
      <c r="H4" s="40" t="inlineStr">
        <is>
          <t>Bebida para llevar o a domicilio al 21 % (%)</t>
        </is>
      </c>
    </row>
    <row r="5">
      <c r="A5" s="26" t="inlineStr">
        <is>
          <t>INGRESOS</t>
        </is>
      </c>
      <c r="B5" s="29" t="n"/>
      <c r="C5" s="29" t="n"/>
      <c r="D5" s="29" t="n"/>
      <c r="E5" s="29" t="n"/>
      <c r="F5" s="29" t="n"/>
      <c r="G5" s="29" t="n"/>
      <c r="H5" s="29" t="n"/>
    </row>
    <row r="6">
      <c r="A6" s="29" t="inlineStr">
        <is>
          <t>Comensales/día (media)</t>
        </is>
      </c>
      <c r="B6" s="41">
        <f>IFERROR(IF('0. Supuestos'!$B$4="","",'0. Supuestos'!$B$4),"")</f>
        <v>66.0</v>
      </c>
      <c r="C6" s="41">
        <f>IFERROR(B6*(1+'0. Supuestos'!$B$7),"")</f>
        <v>69.96000000000001</v>
      </c>
      <c r="D6" s="41">
        <f>IFERROR(C6*(1+'0. Supuestos'!$B$8),"")</f>
        <v>72.75840000000001</v>
      </c>
      <c r="E6" s="29" t="n"/>
      <c r="F6" s="29" t="inlineStr">
        <is>
          <t>El crecimiento de los años 2 y 3 está en la hoja de Supuestos</t>
        </is>
      </c>
      <c r="G6" s="29" t="n"/>
      <c r="H6" s="29" t="n"/>
    </row>
    <row r="7">
      <c r="A7" s="29" t="inlineStr">
        <is>
          <t>Ticket medio sin IVA</t>
        </is>
      </c>
      <c r="B7" s="70">
        <f>IFERROR(IF('0. Supuestos'!$B$5="","",'0. Supuestos'!$B$5),"")</f>
        <v>19.5</v>
      </c>
      <c r="C7" s="70">
        <f>IFERROR(IF(B7="","",B7),"")</f>
        <v>19.5</v>
      </c>
      <c r="D7" s="70">
        <f>IFERROR(IF(C7="","",C7),"")</f>
        <v>19.5</v>
      </c>
      <c r="E7" s="29" t="n"/>
      <c r="F7" s="29" t="inlineStr">
        <is>
          <t>Constante en euros del año 1: una subida de precios es una decisión aparte</t>
        </is>
      </c>
      <c r="G7" s="29" t="n"/>
      <c r="H7" s="29" t="n"/>
    </row>
    <row r="8">
      <c r="A8" s="29" t="inlineStr">
        <is>
          <t>Días de apertura al año</t>
        </is>
      </c>
      <c r="B8" s="41">
        <f>IFERROR(IF('0. Supuestos'!$B$6="","",'0. Supuestos'!$B$6),"")</f>
        <v>300.0</v>
      </c>
      <c r="C8" s="41">
        <f>IFERROR(IF(B8="","",B8),"")</f>
        <v>300.0</v>
      </c>
      <c r="D8" s="41">
        <f>IFERROR(IF(C8="","",C8),"")</f>
        <v>300.0</v>
      </c>
      <c r="E8" s="29" t="n"/>
      <c r="F8" s="29" t="n"/>
      <c r="G8" s="29" t="n"/>
      <c r="H8" s="29" t="n"/>
    </row>
    <row r="9">
      <c r="A9" s="26" t="inlineStr">
        <is>
          <t>INGRESOS TOTALES (sin IVA)</t>
        </is>
      </c>
      <c r="B9" s="27">
        <f>IFERROR(IF(B6*B7*B8=0,"",B6*B7*B8),"")</f>
        <v>386100.0</v>
      </c>
      <c r="C9" s="27">
        <f>IFERROR(IF(C6*C7*C8=0,"",C6*C7*C8),"")</f>
        <v>409266.00000000006</v>
      </c>
      <c r="D9" s="27">
        <f>IFERROR(IF(D6*D7*D8=0,"",D6*D7*D8),"")</f>
        <v>425636.6400000001</v>
      </c>
      <c r="E9" s="67">
        <f>IFERROR(IF(B9="","",1),"")</f>
        <v>1.0</v>
      </c>
      <c r="F9" s="29" t="n"/>
      <c r="G9" s="29" t="n"/>
      <c r="H9" s="29" t="n"/>
    </row>
    <row r="10">
      <c r="A10" s="29" t="inlineStr">
        <is>
          <t>Ventas de pizzería y cocina (sala, para llevar y a domicilio)</t>
        </is>
      </c>
      <c r="B10" s="33">
        <f>IFERROR(IF(B9="","",B9*$E$10),"")</f>
        <v>316602.0</v>
      </c>
      <c r="C10" s="33">
        <f>IFERROR(IF(C9="","",C9*$E$10),"")</f>
        <v>335598.12000000005</v>
      </c>
      <c r="D10" s="33">
        <f>IFERROR(IF(D9="","",D9*$E$10),"")</f>
        <v>349022.04480000003</v>
      </c>
      <c r="E10" s="68">
        <f>IFERROR(IF('0. Supuestos'!$B$11="","",'0. Supuestos'!$B$11),"")</f>
        <v>0.82</v>
      </c>
      <c r="F10" s="29" t="inlineStr">
        <is>
          <t>Pizzas, entrantes y postres: en sala unos 77 % de las ventas, para llevar unos 13 % y por plataforma un 10 %. Todo al 10 % de IVA, se coma en la mesa o salga del local (art. 91.Uno.1.1.º y 2.2.º de la Ley 37/1992)</t>
        </is>
      </c>
      <c r="G10" s="68">
        <f>IFERROR(IF(B9="","",'0. Supuestos'!$B$39),"")</f>
        <v>0.1</v>
      </c>
      <c r="H10" s="29" t="n"/>
    </row>
    <row r="11">
      <c r="A11" s="29" t="inlineStr">
        <is>
          <t>Ventas de bebida (cerveza, vino, refrescos, agua y café)</t>
        </is>
      </c>
      <c r="B11" s="33">
        <f>IFERROR(IF(B9="","",B9*$E$11),"")</f>
        <v>69498.00000000001</v>
      </c>
      <c r="C11" s="33">
        <f>IFERROR(IF(C9="","",C9*$E$11),"")</f>
        <v>73667.88000000003</v>
      </c>
      <c r="D11" s="33">
        <f>IFERROR(IF(D9="","",D9*$E$11),"")</f>
        <v>76614.59520000004</v>
      </c>
      <c r="E11" s="68">
        <f>IFERROR(IF('0. Supuestos'!$B$12="","",'0. Supuestos'!$B$12),"")</f>
        <v>0.18000000000000005</v>
      </c>
      <c r="F11" s="29" t="inlineStr">
        <is>
          <t>Bebida de sala y la que sale con los pedidos · La columna H es la parte de la bebida que sale del local y va al 21 % (alcohol y refrescos con azúcares o edulcorantes añadidos: art. 91.Uno.1.1.º de la Ley 37/1992); el agua, el café y los zumos sin azúcares ni edulcorantes añadidos, y toda la bebida en sala, al 10 %. Un 7 % = un 1,3 % de las ventas</t>
        </is>
      </c>
      <c r="G11" s="68">
        <f>IFERROR(IF(B9="","",H11*0.21+(1-H11)*'0. Supuestos'!$B$39),"")</f>
        <v>0.1077</v>
      </c>
      <c r="H11" s="74" t="n">
        <v>0.07000000000000001</v>
      </c>
    </row>
    <row r="12">
      <c r="A12" s="26" t="inlineStr">
        <is>
          <t>COSTES VARIABLES</t>
        </is>
      </c>
      <c r="B12" s="29" t="n"/>
      <c r="C12" s="29" t="n"/>
      <c r="D12" s="29" t="n"/>
      <c r="E12" s="29" t="n"/>
      <c r="F12" s="29" t="n"/>
      <c r="G12" s="29" t="n"/>
      <c r="H12" s="29" t="n"/>
    </row>
    <row r="13">
      <c r="A13" s="29" t="inlineStr">
        <is>
          <t>Coste de mercancía — comida</t>
        </is>
      </c>
      <c r="B13" s="33">
        <f>IFERROR(IF(B9="","",B9*'0. Supuestos'!$B$11*'0. Supuestos'!$B$13),"")</f>
        <v>74401.47</v>
      </c>
      <c r="C13" s="33">
        <f>IFERROR(IF(C9="","",C9*'0. Supuestos'!$B$11*'0. Supuestos'!$B$13),"")</f>
        <v>78865.55820000001</v>
      </c>
      <c r="D13" s="33">
        <f>IFERROR(IF(D9="","",D9*'0. Supuestos'!$B$11*'0. Supuestos'!$B$13),"")</f>
        <v>82020.180528</v>
      </c>
      <c r="E13" s="68">
        <f>IFERROR(B13/$B$9,"")</f>
        <v>0.1927</v>
      </c>
      <c r="F13" s="29" t="str">
        <f>IFERROR("Al "&amp;TEXT('0. Supuestos'!$B$13,"0%")&amp;" de las ventas de COMIDA, no del total: la bebida tiene su propia línea · Harina, quesos, aceite de oliva y hortaliza fresca van al 4 % (art. 91.Dos.1.1.º de la Ley 37/1992); tomate en conserva, embutidos, levadura y sal, al 10 %. Ajústalo a tus facturas","")</f>
        <v>Al 24% de las ventas de COMIDA, no del total: la bebida tiene su propia línea · Harina, quesos, aceite de oliva y hortaliza fresca van al 4 % (art. 91.Dos.1.1.º de la Ley 37/1992); tomate en conserva, embutidos, levadura y sal, al 10 %. Ajústalo a tus facturas</v>
      </c>
      <c r="G13" s="74" t="n">
        <v>0.064</v>
      </c>
      <c r="H13" s="29" t="n"/>
    </row>
    <row r="14">
      <c r="A14" s="29" t="inlineStr">
        <is>
          <t>Coste de mercancía — bebida</t>
        </is>
      </c>
      <c r="B14" s="33">
        <f>IFERROR(IF(B9="","",B9*'0. Supuestos'!$B$12*'0. Supuestos'!$B$14),"")</f>
        <v>18764.460000000006</v>
      </c>
      <c r="C14" s="33">
        <f>IFERROR(IF(C9="","",C9*'0. Supuestos'!$B$12*'0. Supuestos'!$B$14),"")</f>
        <v>19890.32760000001</v>
      </c>
      <c r="D14" s="33">
        <f>IFERROR(IF(D9="","",D9*'0. Supuestos'!$B$12*'0. Supuestos'!$B$14),"")</f>
        <v>20685.94070400001</v>
      </c>
      <c r="E14" s="68">
        <f>IFERROR(B14/$B$9,"")</f>
        <v>0.04860000000000002</v>
      </c>
      <c r="F14" s="29" t="str">
        <f>IFERROR("Al "&amp;TEXT('0. Supuestos'!$B$14,"0%")&amp;" de las ventas de BEBIDA","")</f>
        <v>Al 27% de las ventas de BEBIDA</v>
      </c>
      <c r="G14" s="68">
        <f>IFERROR(IF(B9="","",('0. Supuestos'!$B$62*'0. Supuestos'!$B$40+(1-'0. Supuestos'!$B$62)*'0. Supuestos'!$B$39)),"")</f>
        <v>0.188</v>
      </c>
      <c r="H14" s="29" t="n"/>
    </row>
    <row r="15">
      <c r="A15" s="29" t="inlineStr">
        <is>
          <t>Consumibles y envases</t>
        </is>
      </c>
      <c r="B15" s="33">
        <f>IFERROR(IF(B9="","",B9*'0. Supuestos'!$B$15),"")</f>
        <v>11583.0</v>
      </c>
      <c r="C15" s="33">
        <f>IFERROR(IF(C9="","",C9*'0. Supuestos'!$B$15),"")</f>
        <v>12277.980000000001</v>
      </c>
      <c r="D15" s="33">
        <f>IFERROR(IF(D9="","",D9*'0. Supuestos'!$B$15),"")</f>
        <v>12769.099200000002</v>
      </c>
      <c r="E15" s="68">
        <f>IFERROR(B15/$B$9,"")</f>
        <v>0.03</v>
      </c>
      <c r="F15" s="29" t="n"/>
      <c r="G15" s="68">
        <f>IFERROR(IF(B9="","",'0. Supuestos'!$B$41),"")</f>
        <v>0.21</v>
      </c>
      <c r="H15" s="29" t="n"/>
    </row>
    <row r="16">
      <c r="A16" s="29" t="inlineStr">
        <is>
          <t>Comisiones de delivery</t>
        </is>
      </c>
      <c r="B16" s="33">
        <f>IFERROR(IF(B9="","",B9*'0. Supuestos'!$B$16*'0. Supuestos'!$B$17),"")</f>
        <v>11583.0</v>
      </c>
      <c r="C16" s="33">
        <f>IFERROR(IF(C9="","",C9*'0. Supuestos'!$B$16*'0. Supuestos'!$B$17),"")</f>
        <v>12277.980000000001</v>
      </c>
      <c r="D16" s="33">
        <f>IFERROR(IF(D9="","",D9*'0. Supuestos'!$B$16*'0. Supuestos'!$B$17),"")</f>
        <v>12769.099200000002</v>
      </c>
      <c r="E16" s="68">
        <f>IFERROR(B16/$B$9,"")</f>
        <v>0.03</v>
      </c>
      <c r="F16" s="29" t="inlineStr">
        <is>
          <t>Sobre las ventas DEL CANAL. Con 0 % de delivery en Supuestos, esta línea vale cero</t>
        </is>
      </c>
      <c r="G16" s="68">
        <f>IFERROR(IF(B9="","",'0. Supuestos'!$B$41),"")</f>
        <v>0.21</v>
      </c>
      <c r="H16" s="29" t="n"/>
    </row>
    <row r="17">
      <c r="A17" s="29" t="inlineStr">
        <is>
          <t>Comisiones de los medios de pago</t>
        </is>
      </c>
      <c r="B17" s="33">
        <f>IFERROR(IF(B9="","",B9*'0. Supuestos'!$B$18),"")</f>
        <v>3088.8</v>
      </c>
      <c r="C17" s="33">
        <f>IFERROR(IF(C9="","",C9*'0. Supuestos'!$B$18),"")</f>
        <v>3274.1280000000006</v>
      </c>
      <c r="D17" s="33">
        <f>IFERROR(IF(D9="","",D9*'0. Supuestos'!$B$18),"")</f>
        <v>3405.0931200000005</v>
      </c>
      <c r="E17" s="68">
        <f>IFERROR(B17/$B$9,"")</f>
        <v>0.008</v>
      </c>
      <c r="F17" s="29" t="inlineStr">
        <is>
          <t>Las comisiones de los medios de pago están EXENTAS de IVA (art. 20.Uno.18 LIVA): no se deduce nada por ellas</t>
        </is>
      </c>
      <c r="G17" s="68" t="n">
        <v>0</v>
      </c>
      <c r="H17" s="29" t="n"/>
    </row>
    <row r="18">
      <c r="A18" s="29" t="inlineStr">
        <is>
          <t>Varios e imprevistos</t>
        </is>
      </c>
      <c r="B18" s="33">
        <f>IFERROR(IF(B9="","",B9*'0. Supuestos'!$B$28),"")</f>
        <v>7722.0</v>
      </c>
      <c r="C18" s="33">
        <f>IFERROR(IF(C9="","",C9*'0. Supuestos'!$B$28),"")</f>
        <v>8185.3200000000015</v>
      </c>
      <c r="D18" s="33">
        <f>IFERROR(IF(D9="","",D9*'0. Supuestos'!$B$28),"")</f>
        <v>8512.732800000002</v>
      </c>
      <c r="E18" s="68">
        <f>IFERROR(B18/$B$9,"")</f>
        <v>0.02</v>
      </c>
      <c r="F18" s="29" t="str">
        <f>IFERROR("Al "&amp;TEXT('0. Supuestos'!$B$28,"0%")&amp;" de las ventas. Es un coste VARIABLE: sube y baja con la facturación, así que no puede vivir en los costes fijos","")</f>
        <v>Al 2% de las ventas. Es un coste VARIABLE: sube y baja con la facturación, así que no puede vivir en los costes fijos</v>
      </c>
      <c r="G18" s="68">
        <f>IFERROR(IF(B9="","",'0. Supuestos'!$B$41),"")</f>
        <v>0.21</v>
      </c>
      <c r="H18" s="29" t="n"/>
    </row>
    <row r="19">
      <c r="A19" s="26" t="inlineStr">
        <is>
          <t>TOTAL COSTES VARIABLES</t>
        </is>
      </c>
      <c r="B19" s="27">
        <f>IFERROR(IF(B9="","",SUM(B13:B18)),"")</f>
        <v>127142.73000000001</v>
      </c>
      <c r="C19" s="27">
        <f>IFERROR(IF(C9="","",SUM(C13:C18)),"")</f>
        <v>134771.29380000004</v>
      </c>
      <c r="D19" s="27">
        <f>IFERROR(IF(D9="","",SUM(D13:D18)),"")</f>
        <v>140162.145552</v>
      </c>
      <c r="E19" s="67">
        <f>IFERROR(B19/$B$9,"")</f>
        <v>0.32930000000000004</v>
      </c>
      <c r="F19" s="29" t="n"/>
      <c r="G19" s="29" t="n"/>
      <c r="H19" s="29" t="n"/>
    </row>
    <row r="20">
      <c r="A20" s="26" t="inlineStr">
        <is>
          <t>MARGEN BRUTO</t>
        </is>
      </c>
      <c r="B20" s="27">
        <f>IFERROR(IF(B9="","",B9-B19),"")</f>
        <v>258957.27</v>
      </c>
      <c r="C20" s="27">
        <f>IFERROR(IF(C9="","",C9-C19),"")</f>
        <v>274494.7062</v>
      </c>
      <c r="D20" s="27">
        <f>IFERROR(IF(D9="","",D9-D19),"")</f>
        <v>285474.4944480001</v>
      </c>
      <c r="E20" s="67">
        <f>IFERROR(B20/$B$9,"")</f>
        <v>0.6707</v>
      </c>
      <c r="F20" s="29" t="n"/>
      <c r="G20" s="29" t="n"/>
      <c r="H20" s="29" t="n"/>
    </row>
    <row r="21">
      <c r="A21" s="26" t="inlineStr">
        <is>
          <t>COSTES FIJOS</t>
        </is>
      </c>
      <c r="B21" s="29" t="n"/>
      <c r="C21" s="29" t="n"/>
      <c r="D21" s="29" t="n"/>
      <c r="E21" s="29" t="n"/>
      <c r="F21" s="29" t="n"/>
      <c r="G21" s="29" t="n"/>
      <c r="H21" s="29" t="n"/>
    </row>
    <row r="22">
      <c r="A22" s="29" t="inlineStr">
        <is>
          <t>Alquiler del local</t>
        </is>
      </c>
      <c r="B22" s="33">
        <f>IFERROR(IF(B9="","",'0. Supuestos'!$B$24*12),"")</f>
        <v>25200.0</v>
      </c>
      <c r="C22" s="33">
        <f>IFERROR(IF(C9="","",B22*(1+'0. Supuestos'!$B$48)),"")</f>
        <v>25200.0</v>
      </c>
      <c r="D22" s="33">
        <f>IFERROR(IF(D9="","",C22*(1+'0. Supuestos'!$B$48)),"")</f>
        <v>25200.0</v>
      </c>
      <c r="E22" s="68">
        <f>IFERROR(B22/$B$9,"")</f>
        <v>0.06526806526806526</v>
      </c>
      <c r="F22" s="29" t="inlineStr">
        <is>
          <t>El importe mensual está en la hoja de Supuestos; aquí se multiplica por doce. Los tres meses de renta previos a la apertura están en la hoja de Inversión y NO se cuentan dos veces</t>
        </is>
      </c>
      <c r="G22" s="68">
        <f>IFERROR(IF(B9="","",'0. Supuestos'!$B$41),"")</f>
        <v>0.21</v>
      </c>
      <c r="H22" s="29" t="n"/>
    </row>
    <row r="23">
      <c r="A23" s="29" t="inlineStr">
        <is>
          <t>Personal (nóminas + Seguridad Social)</t>
        </is>
      </c>
      <c r="B23" s="33">
        <f>IFERROR(IF(B9="","",'Personal'!$G$12),"")</f>
        <v>139873.44</v>
      </c>
      <c r="C23" s="33">
        <f>IFERROR(IF(C9="","",'Personal'!$B$16),"")</f>
        <v>145873.44</v>
      </c>
      <c r="D23" s="33">
        <f>IFERROR(IF(D9="","",'Personal'!$B$17),"")</f>
        <v>151873.44</v>
      </c>
      <c r="E23" s="68">
        <f>IFERROR(B23/$B$9,"")</f>
        <v>0.3622725718725719</v>
      </c>
      <c r="F23" s="29" t="inlineStr">
        <is>
          <t>Sale de la hoja de Personal: es el MISMO número, no una estimación aparte. Los años 2 y 3 suman las INCORPORACIONES declaradas en esa hoja, no un porcentaje de volumen</t>
        </is>
      </c>
      <c r="G23" s="68" t="n">
        <v>0</v>
      </c>
      <c r="H23" s="29" t="n"/>
    </row>
    <row r="24">
      <c r="A24" s="29" t="inlineStr">
        <is>
          <t>Suministros (luz, agua, gas)</t>
        </is>
      </c>
      <c r="B24" s="33">
        <f>IFERROR(IF(B9="","",'0. Supuestos'!$B$26*12),"")</f>
        <v>13200.0</v>
      </c>
      <c r="C24" s="33">
        <f>IFERROR(IF(C9="","",B24*(1+'0. Supuestos'!$B$48)),"")</f>
        <v>13200.0</v>
      </c>
      <c r="D24" s="33">
        <f>IFERROR(IF(D9="","",C24*(1+'0. Supuestos'!$B$48)),"")</f>
        <v>13200.0</v>
      </c>
      <c r="E24" s="68">
        <f>IFERROR(B24/$B$9,"")</f>
        <v>0.03418803418803419</v>
      </c>
      <c r="F24" s="29" t="inlineStr">
        <is>
          <t>Luz y gas van al 21 %; la factura del agua, al 10 %. El libro aplica a toda esta partida el tipo de la columna de al lado (21 %): si el agua pesa mucho en tu local, sepárala en su línea</t>
        </is>
      </c>
      <c r="G24" s="68">
        <f>IFERROR(IF(B9="","",'0. Supuestos'!$B$41),"")</f>
        <v>0.21</v>
      </c>
      <c r="H24" s="29" t="n"/>
    </row>
    <row r="25">
      <c r="A25" s="29" t="inlineStr">
        <is>
          <t>Seguros (RC + multirriesgo)</t>
        </is>
      </c>
      <c r="B25" s="33">
        <f>IFERROR(IF(B9="","",'0. Supuestos'!$B$27),"")</f>
        <v>1800.0</v>
      </c>
      <c r="C25" s="33">
        <f>IFERROR(IF(C9="","",B25*(1+'0. Supuestos'!$B$48)),"")</f>
        <v>1800.0</v>
      </c>
      <c r="D25" s="33">
        <f>IFERROR(IF(D9="","",C25*(1+'0. Supuestos'!$B$48)),"")</f>
        <v>1800.0</v>
      </c>
      <c r="E25" s="68">
        <f>IFERROR(B25/$B$9,"")</f>
        <v>0.004662004662004662</v>
      </c>
      <c r="F25" s="29" t="inlineStr">
        <is>
          <t>Las operaciones de seguro están EXENTAS de IVA (art. 20.Uno.16 LIVA): la prima no lleva IVA deducible</t>
        </is>
      </c>
      <c r="G25" s="68" t="n">
        <v>0</v>
      </c>
      <c r="H25" s="29" t="n"/>
    </row>
    <row r="26">
      <c r="A26" s="29" t="inlineStr">
        <is>
          <t>Gestoría laboral, fiscal y contable</t>
        </is>
      </c>
      <c r="B26" s="30" t="n">
        <v>2400</v>
      </c>
      <c r="C26" s="33">
        <f>IFERROR(IF(C9="","",B26*(1+'0. Supuestos'!$B$48)),"")</f>
        <v>2400.0</v>
      </c>
      <c r="D26" s="33">
        <f>IFERROR(IF(D9="","",C26*(1+'0. Supuestos'!$B$48)),"")</f>
        <v>2400.0</v>
      </c>
      <c r="E26" s="68">
        <f>IFERROR(B26/$B$9,"")</f>
        <v>0.006216006216006216</v>
      </c>
      <c r="F26" s="29" t="inlineStr">
        <is>
          <t>Contabilidad, impuestos de la SL, nóminas y contratos de la plantilla</t>
        </is>
      </c>
      <c r="G26" s="68">
        <f>IFERROR(IF(B9="","",'0. Supuestos'!$B$41),"")</f>
        <v>0.21</v>
      </c>
      <c r="H26" s="29" t="n"/>
    </row>
    <row r="27">
      <c r="A27" s="29" t="inlineStr">
        <is>
          <t>Mantenimiento del horno, la campana extractora y el frío</t>
        </is>
      </c>
      <c r="B27" s="30" t="n">
        <v>2400</v>
      </c>
      <c r="C27" s="33">
        <f>IFERROR(IF(C9="","",B27*(1+'0. Supuestos'!$B$48)),"")</f>
        <v>2400.0</v>
      </c>
      <c r="D27" s="33">
        <f>IFERROR(IF(D9="","",C27*(1+'0. Supuestos'!$B$48)),"")</f>
        <v>2400.0</v>
      </c>
      <c r="E27" s="68">
        <f>IFERROR(B27/$B$9,"")</f>
        <v>0.006216006216006216</v>
      </c>
      <c r="F27" s="29" t="inlineStr">
        <is>
          <t>Deshollinado y filtro de partículas del horno, revisión del refractario, limpieza de la campana extractora y de los conductos al menos una vez al año (Madrid lo exige en su Ordenanza 4/2021, art. 23; mira la de tu ayuntamiento) y el frigorista</t>
        </is>
      </c>
      <c r="G27" s="68">
        <f>IFERROR(IF(B9="","",'0. Supuestos'!$B$41),"")</f>
        <v>0.21</v>
      </c>
      <c r="H27" s="29" t="n"/>
    </row>
    <row r="28">
      <c r="A28" s="29" t="inlineStr">
        <is>
          <t>Marketing y publicidad</t>
        </is>
      </c>
      <c r="B28" s="30" t="n">
        <v>4000</v>
      </c>
      <c r="C28" s="33">
        <f>IFERROR(IF(C9="","",B28*(1+'0. Supuestos'!$B$48)),"")</f>
        <v>4000.0</v>
      </c>
      <c r="D28" s="33">
        <f>IFERROR(IF(D9="","",C28*(1+'0. Supuestos'!$B$48)),"")</f>
        <v>4000.0</v>
      </c>
      <c r="E28" s="68">
        <f>IFERROR(B28/$B$9,"")</f>
        <v>0.01036001036001036</v>
      </c>
      <c r="F28" s="29" t="inlineStr">
        <is>
          <t>Ficha de Google Business, redes sociales, fotos de temporada y promociones; la campaña de apertura va en la inversión</t>
        </is>
      </c>
      <c r="G28" s="68">
        <f>IFERROR(IF(B9="","",'0. Supuestos'!$B$41),"")</f>
        <v>0.21</v>
      </c>
      <c r="H28" s="29" t="n"/>
    </row>
    <row r="29">
      <c r="A29" s="29" t="inlineStr">
        <is>
          <t>Software, TPV, teléfono e internet</t>
        </is>
      </c>
      <c r="B29" s="30" t="n">
        <v>1500</v>
      </c>
      <c r="C29" s="33">
        <f>IFERROR(IF(C9="","",B29*(1+'0. Supuestos'!$B$48)),"")</f>
        <v>1500.0</v>
      </c>
      <c r="D29" s="33">
        <f>IFERROR(IF(D9="","",C29*(1+'0. Supuestos'!$B$48)),"")</f>
        <v>1500.0</v>
      </c>
      <c r="E29" s="68">
        <f>IFERROR(B29/$B$9,"")</f>
        <v>0.003885003885003885</v>
      </c>
      <c r="F29" s="29" t="inlineStr">
        <is>
          <t>Cuota del TPV con Veri*factu, reservas, la tablet de las plataformas, teléfono e internet</t>
        </is>
      </c>
      <c r="G29" s="68">
        <f>IFERROR(IF(B9="","",'0. Supuestos'!$B$41),"")</f>
        <v>0.21</v>
      </c>
      <c r="H29" s="29" t="n"/>
    </row>
    <row r="30">
      <c r="A30" s="29" t="inlineStr">
        <is>
          <t>Limpieza, lavandería, EPI, DDD y análisis de autocontrol</t>
        </is>
      </c>
      <c r="B30" s="30" t="n">
        <v>2000</v>
      </c>
      <c r="C30" s="33">
        <f>IFERROR(IF(C9="","",B30*(1+'0. Supuestos'!$B$48)),"")</f>
        <v>2000.0</v>
      </c>
      <c r="D30" s="33">
        <f>IFERROR(IF(D9="","",C30*(1+'0. Supuestos'!$B$48)),"")</f>
        <v>2000.0</v>
      </c>
      <c r="E30" s="68">
        <f>IFERROR(B30/$B$9,"")</f>
        <v>0.00518000518000518</v>
      </c>
      <c r="F30" s="29" t="inlineStr">
        <is>
          <t>Productos de limpieza, lavado de uniformes y paños, guantes de horno, la empresa de DDD (inscrita en el ROESB) y los análisis de autocontrol que fije tu APPCC</t>
        </is>
      </c>
      <c r="G30" s="68">
        <f>IFERROR(IF(B9="","",'0. Supuestos'!$B$41),"")</f>
        <v>0.21</v>
      </c>
      <c r="H30" s="29" t="n"/>
    </row>
    <row r="31">
      <c r="A31" s="29" t="inlineStr">
        <is>
          <t>Leña para el horno</t>
        </is>
      </c>
      <c r="B31" s="30" t="n">
        <v>3600</v>
      </c>
      <c r="C31" s="33">
        <f>IFERROR(IF(C9="","",B31*(1+'0. Supuestos'!$B$48)),"")</f>
        <v>3600.0</v>
      </c>
      <c r="D31" s="33">
        <f>IFERROR(IF(D9="","",C31*(1+'0. Supuestos'!$B$48)),"")</f>
        <v>3600.0</v>
      </c>
      <c r="E31" s="68">
        <f>IFERROR(B31/$B$9,"")</f>
        <v>0.009324009324009324</v>
      </c>
      <c r="F31" s="29" t="inlineStr">
        <is>
          <t>Encina, roble, haya u olivo, seca y sin tratar: unos 5 kg por hora de fuego, 11 horas al día y 300 días, a unos 0,22 € el kg. Es FIJO porque el horno quema por hora encendido, no por pizza. Con horno eléctrico, pasa a suministros</t>
        </is>
      </c>
      <c r="G31" s="68">
        <f>IFERROR(IF(B9="","",'0. Supuestos'!$B$41),"")</f>
        <v>0.21</v>
      </c>
      <c r="H31" s="29" t="n"/>
    </row>
    <row r="32">
      <c r="A32" s="29" t="inlineStr">
        <is>
          <t>Tasa de terraza y gestión de residuos (pon las de tu ayuntamiento)</t>
        </is>
      </c>
      <c r="B32" s="30" t="n">
        <v>1800</v>
      </c>
      <c r="C32" s="33">
        <f>IFERROR(IF(C9="","",B32*(1+'0. Supuestos'!$B$48)),"")</f>
        <v>1800.0</v>
      </c>
      <c r="D32" s="33">
        <f>IFERROR(IF(D9="","",C32*(1+'0. Supuestos'!$B$48)),"")</f>
        <v>1800.0</v>
      </c>
      <c r="E32" s="68">
        <f>IFERROR(B32/$B$9,"")</f>
        <v>0.004662004662004662</v>
      </c>
      <c r="F32" s="29" t="inlineStr">
        <is>
          <t>La ocupación de la vía pública con 6 mesas de abril a octubre (unos 1.200 € de ejemplo: cada ayuntamiento tiene su ordenanza fiscal y este plan no ha leído ninguna) y la tasa de basuras, el cartón, el aceite usado y las cenizas del horno con gestor autorizado (unos 600 €). Pon las de tu ayuntamiento</t>
        </is>
      </c>
      <c r="G32" s="68">
        <f>IFERROR(IF(B9="","",'0. Supuestos'!$B$41),"")</f>
        <v>0.21</v>
      </c>
      <c r="H32" s="29" t="n"/>
    </row>
    <row r="33">
      <c r="A33" s="29" t="inlineStr">
        <is>
          <t>Derechos de autor por música ambiental (SGAE y AGEDI-AIE)</t>
        </is>
      </c>
      <c r="B33" s="30" t="n">
        <v>600</v>
      </c>
      <c r="C33" s="33">
        <f>IFERROR(IF(C9="","",B33*(1+'0. Supuestos'!$B$48)),"")</f>
        <v>600.0</v>
      </c>
      <c r="D33" s="33">
        <f>IFERROR(IF(D9="","",C33*(1+'0. Supuestos'!$B$48)),"")</f>
        <v>600.0</v>
      </c>
      <c r="E33" s="68">
        <f>IFERROR(B33/$B$9,"")</f>
        <v>0.001554001554001554</v>
      </c>
      <c r="F33" s="29" t="inlineStr">
        <is>
          <t>SGAE y AGEDI-AIE son dos licencias distintas; el importe depende de los metros y del aforo de tu sala</t>
        </is>
      </c>
      <c r="G33" s="68">
        <f>IFERROR(IF(B9="","",'0. Supuestos'!$B$41),"")</f>
        <v>0.21</v>
      </c>
      <c r="H33" s="29" t="n"/>
    </row>
    <row r="34">
      <c r="A34" s="29" t="inlineStr">
        <is>
          <t>Prevención de riesgos laborales y vigilancia de la salud</t>
        </is>
      </c>
      <c r="B34" s="30" t="n">
        <v>500</v>
      </c>
      <c r="C34" s="33">
        <f>IFERROR(IF(C9="","",B34*(1+'0. Supuestos'!$B$48)),"")</f>
        <v>500.0</v>
      </c>
      <c r="D34" s="33">
        <f>IFERROR(IF(D9="","",C34*(1+'0. Supuestos'!$B$48)),"")</f>
        <v>500.0</v>
      </c>
      <c r="E34" s="68">
        <f>IFERROR(B34/$B$9,"")</f>
        <v>0.001295001295001295</v>
      </c>
      <c r="F34" s="29" t="inlineStr">
        <is>
          <t>El plan de prevención es obligatorio (Ley 31/1995): quemaduras del horno, cortes, cargas de leña y humo, y los reconocimientos médicos de la plantilla</t>
        </is>
      </c>
      <c r="G34" s="68">
        <f>IFERROR(IF(B9="","",'0. Supuestos'!$B$41),"")</f>
        <v>0.21</v>
      </c>
      <c r="H34" s="29" t="n"/>
    </row>
    <row r="35">
      <c r="A35" s="29" t="inlineStr">
        <is>
          <t>Amortización del inmovilizado</t>
        </is>
      </c>
      <c r="B35" s="33">
        <f>IFERROR(IF(B9="","",'Inversión Inicial'!$B$37),"")</f>
        <v>11725.0</v>
      </c>
      <c r="C35" s="33">
        <f>IFERROR(IF(C9="","",B35),"")</f>
        <v>11725.0</v>
      </c>
      <c r="D35" s="33">
        <f>IFERROR(IF(D9="","",B35),"")</f>
        <v>11725.0</v>
      </c>
      <c r="E35" s="68">
        <f>IFERROR(B35/$B$9,"")</f>
        <v>0.03036778036778037</v>
      </c>
      <c r="F35" s="29" t="inlineStr">
        <is>
          <t>Sale de las bases de amortización de la hoja de Inversión: sólo inmovilizado real. NO sube con el IPC: es una cuota sobre el coste HISTÓRICO del inmovilizado</t>
        </is>
      </c>
      <c r="G35" s="68" t="n">
        <v>0</v>
      </c>
      <c r="H35" s="29" t="n"/>
    </row>
    <row r="36">
      <c r="A36" s="29" t="inlineStr">
        <is>
          <t>Gastos financieros (intereses del préstamo)</t>
        </is>
      </c>
      <c r="B36" s="33">
        <f>IFERROR(IF(B9="","",'Financiación'!$B$44),"")</f>
        <v>9540.0</v>
      </c>
      <c r="C36" s="33">
        <f>IFERROR(IF(C9="","",'Financiación'!$B$46),"")</f>
        <v>9540.0</v>
      </c>
      <c r="D36" s="33">
        <f>IFERROR(IF(D9="","",'Financiación'!$B$48),"")</f>
        <v>8172.320524349499</v>
      </c>
      <c r="E36" s="68">
        <f>IFERROR(B36/$B$9,"")</f>
        <v>0.02470862470862471</v>
      </c>
      <c r="F36" s="29" t="inlineStr">
        <is>
          <t>Sólo los INTERESES son gasto. La devolución del principal va en la hoja de Tesorería</t>
        </is>
      </c>
      <c r="G36" s="68" t="n">
        <v>0</v>
      </c>
      <c r="H36" s="29" t="n"/>
    </row>
    <row r="37">
      <c r="A37" s="26" t="inlineStr">
        <is>
          <t>TOTAL COSTES FIJOS</t>
        </is>
      </c>
      <c r="B37" s="27">
        <f>IFERROR(IF(B9="","",SUM(B22:B36)),"")</f>
        <v>220138.44</v>
      </c>
      <c r="C37" s="27">
        <f>IFERROR(IF(C9="","",SUM(C22:C36)),"")</f>
        <v>226138.44</v>
      </c>
      <c r="D37" s="27">
        <f>IFERROR(IF(D9="","",SUM(D22:D36)),"")</f>
        <v>230770.7605243495</v>
      </c>
      <c r="E37" s="67">
        <f>IFERROR(B37/$B$9,"")</f>
        <v>0.5701591297591297</v>
      </c>
      <c r="F37" s="29" t="n"/>
      <c r="G37" s="29" t="n"/>
      <c r="H37" s="29" t="n"/>
    </row>
    <row r="38">
      <c r="A38" s="29" t="inlineStr">
        <is>
          <t>IVA soportado de los costes variables</t>
        </is>
      </c>
      <c r="B38" s="33">
        <f>IFERROR(IF(B9="","",SUMPRODUCT(B13:B18,G13:G18)),"")</f>
        <v>14775.89256</v>
      </c>
      <c r="C38" s="33">
        <f>IFERROR(IF(C9="","",SUMPRODUCT(C13:C18,G13:G18)),"")</f>
        <v>15662.446113600003</v>
      </c>
      <c r="D38" s="33">
        <f>IFERROR(IF(D9="","",SUMPRODUCT(D13:D18,G13:G18)),"")</f>
        <v>16288.943958144002</v>
      </c>
      <c r="E38" s="29" t="n"/>
      <c r="F38" s="29" t="inlineStr">
        <is>
          <t>Cada línea a SU tipo, leído de la columna de al lado. Es lo que la hoja de Tesorería paga de más a los proveedores y luego se deduce</t>
        </is>
      </c>
      <c r="G38" s="29" t="n"/>
      <c r="H38" s="29" t="n"/>
    </row>
    <row r="39">
      <c r="A39" s="29" t="inlineStr">
        <is>
          <t>IVA soportado de los costes fijos</t>
        </is>
      </c>
      <c r="B39" s="33">
        <f>IFERROR(IF(B9="","",SUMPRODUCT(B22:B36,G22:G36)),"")</f>
        <v>12012.0</v>
      </c>
      <c r="C39" s="33">
        <f>IFERROR(IF(C9="","",SUMPRODUCT(C22:C36,G22:G36)),"")</f>
        <v>12012.0</v>
      </c>
      <c r="D39" s="33">
        <f>IFERROR(IF(D9="","",SUMPRODUCT(D22:D36,G22:G36)),"")</f>
        <v>12012.0</v>
      </c>
      <c r="E39" s="29" t="n"/>
      <c r="F39" s="29" t="n"/>
      <c r="G39" s="29" t="n"/>
      <c r="H39" s="29" t="n"/>
    </row>
    <row r="40">
      <c r="A40" s="26" t="inlineStr">
        <is>
          <t>RESULTADO ANTES DE IMPUESTOS</t>
        </is>
      </c>
      <c r="B40" s="27">
        <f>IFERROR(IF(B9="","",B20-B37),"")</f>
        <v>38818.82999999999</v>
      </c>
      <c r="C40" s="27">
        <f>IFERROR(IF(C9="","",C20-C37),"")</f>
        <v>48356.26620000001</v>
      </c>
      <c r="D40" s="27">
        <f>IFERROR(IF(D9="","",D20-D37),"")</f>
        <v>54703.73392365061</v>
      </c>
      <c r="E40" s="67">
        <f>IFERROR(B40/$B$9,"")</f>
        <v>0.1005408702408702</v>
      </c>
      <c r="F40" s="29" t="n"/>
      <c r="G40" s="29" t="n"/>
      <c r="H40" s="29" t="n"/>
    </row>
    <row r="41">
      <c r="A41" s="29" t="inlineStr">
        <is>
          <t>Bases negativas pendientes al inicio</t>
        </is>
      </c>
      <c r="B41" s="33">
        <f>IFERROR(IF(B9="","",'0. Supuestos'!$B$42),"")</f>
        <v>0.0</v>
      </c>
      <c r="C41" s="33">
        <f>IFERROR(IF(C9="","",B46),"")</f>
        <v>0.0</v>
      </c>
      <c r="D41" s="33">
        <f>IFERROR(IF(D9="","",C46),"")</f>
        <v>0.0</v>
      </c>
      <c r="E41" s="29" t="n"/>
      <c r="F41" s="29" t="inlineStr">
        <is>
          <t>Art. 26 LIS: las pérdidas de un ejercicio se compensan con los beneficios de los siguientes</t>
        </is>
      </c>
      <c r="G41" s="29" t="n"/>
      <c r="H41" s="29" t="n"/>
    </row>
    <row r="42">
      <c r="A42" s="29" t="inlineStr">
        <is>
          <t>Base imponible (después de compensar)</t>
        </is>
      </c>
      <c r="B42" s="33">
        <f>IFERROR(IF(B9="","",MAX(0,B40-B41)),"")</f>
        <v>38818.82999999999</v>
      </c>
      <c r="C42" s="33">
        <f>IFERROR(IF(C9="","",MAX(0,C40-C41)),"")</f>
        <v>48356.26620000001</v>
      </c>
      <c r="D42" s="33">
        <f>IFERROR(IF(D9="","",MAX(0,D40-D41)),"")</f>
        <v>54703.73392365061</v>
      </c>
      <c r="E42" s="29" t="n"/>
      <c r="F42" s="29" t="n"/>
      <c r="G42" s="29" t="n"/>
      <c r="H42" s="29" t="n"/>
    </row>
    <row r="43">
      <c r="A43" s="29" t="inlineStr">
        <is>
          <t>Ejercicios con base positiva (acumulado)</t>
        </is>
      </c>
      <c r="B43" s="41">
        <f>IFERROR(IF(B9="","",IF(B42&gt;0,1,0)),"")</f>
        <v>1.0</v>
      </c>
      <c r="C43" s="41">
        <f>IFERROR(IF(C9="","",B43+IF(C42&gt;0,1,0)),"")</f>
        <v>2.0</v>
      </c>
      <c r="D43" s="41">
        <f>IFERROR(IF(D9="","",C43+IF(D42&gt;0,1,0)),"")</f>
        <v>3.0</v>
      </c>
      <c r="E43" s="29" t="n"/>
      <c r="F43" s="29" t="n"/>
      <c r="G43" s="29" t="n"/>
      <c r="H43" s="29" t="n"/>
    </row>
    <row r="44">
      <c r="A44" s="29" t="inlineStr">
        <is>
          <t>Tipo de Impuesto de Sociedades aplicado</t>
        </is>
      </c>
      <c r="B44" s="68">
        <f>IFERROR(IF(B9="","",IF(B42&lt;=0,"",IF(B43&lt;=2,'0. Supuestos'!$B$37,'0. Supuestos'!$B$38))),"")</f>
        <v>0.15</v>
      </c>
      <c r="C44" s="68">
        <f>IFERROR(IF(C9="","",IF(C42&lt;=0,"",IF(C43&lt;=2,'0. Supuestos'!$B$37,'0. Supuestos'!$B$38))),"")</f>
        <v>0.15</v>
      </c>
      <c r="D44" s="68">
        <f>IFERROR(IF(D9="","",IF(D42&lt;=0,"",IF(D43&lt;=2,'0. Supuestos'!$B$37,'0. Supuestos'!$B$38))),"")</f>
        <v>0.25</v>
      </c>
      <c r="E44" s="29" t="n"/>
      <c r="F44" s="29" t="inlineStr">
        <is>
          <t>Art. 29.1 LIS: el 15 % de entidad de nueva creación se aplica al PRIMER ejercicio con base positiva y al SIGUIENTE, no al primer año de vida. El libro lo aproxima contando los dos primeros ejercicios con base positiva</t>
        </is>
      </c>
      <c r="G44" s="29" t="n"/>
      <c r="H44" s="29" t="n"/>
    </row>
    <row r="45">
      <c r="A45" s="29" t="inlineStr">
        <is>
          <t>Impuesto de Sociedades</t>
        </is>
      </c>
      <c r="B45" s="33">
        <f>IFERROR(IF(B9="","",IF(B44="",0,B42*B44)),"")</f>
        <v>5822.824499999998</v>
      </c>
      <c r="C45" s="33">
        <f>IFERROR(IF(C9="","",IF(C44="",0,C42*C44)),"")</f>
        <v>7253.439930000001</v>
      </c>
      <c r="D45" s="33">
        <f>IFERROR(IF(D9="","",IF(D44="",0,D42*D44)),"")</f>
        <v>13675.933480912652</v>
      </c>
      <c r="E45" s="29" t="n"/>
      <c r="F45" s="29" t="n"/>
      <c r="G45" s="29" t="n"/>
      <c r="H45" s="29" t="n"/>
    </row>
    <row r="46">
      <c r="A46" s="29" t="inlineStr">
        <is>
          <t>Bases negativas pendientes al cierre</t>
        </is>
      </c>
      <c r="B46" s="33">
        <f>IFERROR(IF(B9="","",MAX(0,B41-B40)),"")</f>
        <v>0.0</v>
      </c>
      <c r="C46" s="33">
        <f>IFERROR(IF(C9="","",MAX(0,C41-C40)),"")</f>
        <v>0.0</v>
      </c>
      <c r="D46" s="33">
        <f>IFERROR(IF(D9="","",MAX(0,D41-D40)),"")</f>
        <v>0.0</v>
      </c>
      <c r="E46" s="29" t="n"/>
      <c r="F46" s="29" t="n"/>
      <c r="G46" s="29" t="n"/>
      <c r="H46" s="29" t="n"/>
    </row>
    <row r="47">
      <c r="A47" s="26" t="inlineStr">
        <is>
          <t>RESULTADO NETO</t>
        </is>
      </c>
      <c r="B47" s="27">
        <f>IFERROR(IF(B9="","",B40-B45),"")</f>
        <v>32996.00549999999</v>
      </c>
      <c r="C47" s="27">
        <f>IFERROR(IF(C9="","",C40-C45),"")</f>
        <v>41102.82627000001</v>
      </c>
      <c r="D47" s="27">
        <f>IFERROR(IF(D9="","",D40-D45),"")</f>
        <v>41027.80044273796</v>
      </c>
      <c r="E47" s="67">
        <f>IFERROR(B47/$B$9,"")</f>
        <v>0.08545973970473969</v>
      </c>
      <c r="F47" s="29" t="n"/>
      <c r="G47" s="29" t="n"/>
      <c r="H47" s="29" t="n"/>
    </row>
    <row r="48">
      <c r="A48" s="26" t="inlineStr">
        <is>
          <t>RATIOS CLAVE</t>
        </is>
      </c>
      <c r="B48" s="29" t="n"/>
      <c r="C48" s="29" t="n"/>
      <c r="D48" s="29" t="n"/>
      <c r="E48" s="29" t="n"/>
      <c r="F48" s="29" t="n"/>
      <c r="G48" s="29" t="n"/>
      <c r="H48" s="29" t="n"/>
    </row>
    <row r="49">
      <c r="A49" s="26" t="inlineStr">
        <is>
          <t>Ratio</t>
        </is>
      </c>
      <c r="B49" s="26" t="inlineStr">
        <is>
          <t>Año 1</t>
        </is>
      </c>
      <c r="C49" s="26" t="inlineStr">
        <is>
          <t>Año 2</t>
        </is>
      </c>
      <c r="D49" s="26" t="inlineStr">
        <is>
          <t>Año 3</t>
        </is>
      </c>
      <c r="E49" s="26" t="inlineStr">
        <is>
          <t>Umbral</t>
        </is>
      </c>
      <c r="F49" s="26" t="inlineStr">
        <is>
          <t>Comentario</t>
        </is>
      </c>
      <c r="G49" s="29" t="n"/>
      <c r="H49" s="29" t="n"/>
    </row>
    <row r="50">
      <c r="A50" s="29" t="inlineStr">
        <is>
          <t>Margen bruto / Ventas</t>
        </is>
      </c>
      <c r="B50" s="68">
        <f>IFERROR(IF(B9="","",B20/B9),"")</f>
        <v>0.6707</v>
      </c>
      <c r="C50" s="68">
        <f>IFERROR(IF(C9="","",C20/C9),"")</f>
        <v>0.6707</v>
      </c>
      <c r="D50" s="68">
        <f>IFERROR(IF(D9="","",D20/D9),"")</f>
        <v>0.6707000000000001</v>
      </c>
      <c r="E50" s="74" t="n">
        <v>0.65</v>
      </c>
      <c r="F50" s="29" t="inlineStr">
        <is>
          <t>Suelo del margen tras TODOS los costes variables (mercancía, cajas y envases, plataforma, medios de pago y varios). Sólo con la mercancía, una pizzería con horno de leña deja en torno a un 76 %. Estimación del kit</t>
        </is>
      </c>
      <c r="G50" s="29" t="n"/>
      <c r="H50" s="29" t="n"/>
    </row>
    <row r="51">
      <c r="A51" s="29" t="inlineStr">
        <is>
          <t>Coste de mercancía (comida + bebida)</t>
        </is>
      </c>
      <c r="B51" s="33">
        <f>IFERROR(IF(B9="","",B13+B14),"")</f>
        <v>93165.93000000001</v>
      </c>
      <c r="C51" s="33">
        <f>IFERROR(IF(C9="","",C13+C14),"")</f>
        <v>98755.88580000002</v>
      </c>
      <c r="D51" s="33">
        <f>IFERROR(IF(D9="","",D13+D14),"")</f>
        <v>102706.121232</v>
      </c>
      <c r="E51" s="29" t="n"/>
      <c r="F51" s="29" t="n"/>
      <c r="G51" s="29" t="n"/>
      <c r="H51" s="29" t="n"/>
    </row>
    <row r="52">
      <c r="A52" s="29" t="inlineStr">
        <is>
          <t>Coste de mercancía / Ventas</t>
        </is>
      </c>
      <c r="B52" s="68">
        <f>IFERROR(IF(B9="","",B51/B9),"")</f>
        <v>0.24130000000000001</v>
      </c>
      <c r="C52" s="68">
        <f>IFERROR(IF(C9="","",C51/C9),"")</f>
        <v>0.24130000000000001</v>
      </c>
      <c r="D52" s="68">
        <f>IFERROR(IF(D9="","",D51/D9),"")</f>
        <v>0.24129999999999996</v>
      </c>
      <c r="E52" s="74" t="n">
        <v>0.27</v>
      </c>
      <c r="F52" s="29" t="inlineStr">
        <is>
          <t>Techo de la materia prima sobre ventas: la Margherita sale a un 15 % y la búfala, la burrata y los embutidos italianos la suben. Estimación del kit</t>
        </is>
      </c>
      <c r="G52" s="29" t="n"/>
      <c r="H52" s="29" t="n"/>
    </row>
    <row r="53">
      <c r="A53" s="29" t="inlineStr">
        <is>
          <t>Coste de personal / Ventas</t>
        </is>
      </c>
      <c r="B53" s="68">
        <f>IFERROR(IF(B9="","",B23/B9),"")</f>
        <v>0.3622725718725719</v>
      </c>
      <c r="C53" s="68">
        <f>IFERROR(IF(C9="","",C23/C9),"")</f>
        <v>0.3564269692571579</v>
      </c>
      <c r="D53" s="68">
        <f>IFERROR(IF(D9="","",D23/D9),"")</f>
        <v>0.3568147704577312</v>
      </c>
      <c r="E53" s="74" t="n">
        <v>0.38</v>
      </c>
      <c r="F53" s="29" t="inlineStr">
        <is>
          <t>Techo del personal sobre ventas con dos pizzaiolos y una sala de dos servicios. Estimación del kit</t>
        </is>
      </c>
      <c r="G53" s="29" t="n"/>
      <c r="H53" s="29" t="n"/>
    </row>
    <row r="54">
      <c r="A54" s="29" t="inlineStr">
        <is>
          <t>Alquiler / Ventas</t>
        </is>
      </c>
      <c r="B54" s="68">
        <f>IFERROR(IF(B9="","",B22/B9),"")</f>
        <v>0.06526806526806526</v>
      </c>
      <c r="C54" s="68">
        <f>IFERROR(IF(C9="","",C22/C9),"")</f>
        <v>0.06157364647930685</v>
      </c>
      <c r="D54" s="68">
        <f>IFERROR(IF(D9="","",D22/D9),"")</f>
        <v>0.05920542930702581</v>
      </c>
      <c r="E54" s="74" t="n">
        <v>0.1</v>
      </c>
      <c r="F54" s="29" t="inlineStr">
        <is>
          <t>Techo del alquiler sobre ventas para un local con salida de humos a cubierta: estimación del kit</t>
        </is>
      </c>
      <c r="G54" s="29" t="n"/>
      <c r="H54" s="29" t="n"/>
    </row>
    <row r="55">
      <c r="A55" s="29" t="inlineStr">
        <is>
          <t>Resultado neto / Ventas</t>
        </is>
      </c>
      <c r="B55" s="68">
        <f>IFERROR(IF(B9="","",B47/B9),"")</f>
        <v>0.08545973970473969</v>
      </c>
      <c r="C55" s="68">
        <f>IFERROR(IF(C9="","",C47/C9),"")</f>
        <v>0.10043059103370426</v>
      </c>
      <c r="D55" s="68">
        <f>IFERROR(IF(D9="","",D47/D9),"")</f>
        <v>0.09639160867997161</v>
      </c>
      <c r="E55" s="74" t="n">
        <v>0.05</v>
      </c>
      <c r="F55" s="29" t="inlineStr">
        <is>
          <t>Suelo de resultado neto a régimen para que el plan se sostenga. Una pizzería de barrio bien llevada deja en torno a un 9 %. Estimación del kit</t>
        </is>
      </c>
      <c r="G55" s="29" t="n"/>
      <c r="H55" s="29" t="n"/>
    </row>
    <row r="56">
      <c r="A56" s="29" t="inlineStr">
        <is>
          <t>Punto de equilibrio alcanzado</t>
        </is>
      </c>
      <c r="B56" s="29" t="str">
        <f>IFERROR(IF(B9="","",IF(B9&gt;='Punto Equilibrio'!$B$16,"Sí","No")),"")</f>
        <v>Sí</v>
      </c>
      <c r="C56" s="29" t="str">
        <f>IFERROR(IF(C9="","",IF(C9&gt;='Punto Equilibrio'!$C$16,"Sí","No")),"")</f>
        <v>Sí</v>
      </c>
      <c r="D56" s="29" t="str">
        <f>IFERROR(IF(D9="","",IF(D9&gt;='Punto Equilibrio'!$D$16,"Sí","No")),"")</f>
        <v>Sí</v>
      </c>
      <c r="E56" s="29" t="n"/>
      <c r="F56" s="29" t="inlineStr">
        <is>
          <t>Compara las ventas de CADA año con el umbral de ese mismo año, que calcula la hoja de Punto de Equilibrio con los costes fijos del año</t>
        </is>
      </c>
      <c r="G56" s="29" t="n"/>
      <c r="H56" s="29" t="n"/>
    </row>
    <row r="57">
      <c r="A57" s="29" t="n"/>
      <c r="B57" s="29" t="n"/>
      <c r="C57" s="29" t="n"/>
      <c r="D57" s="29" t="n"/>
      <c r="E57" s="29" t="n"/>
      <c r="F57" s="29" t="n"/>
      <c r="G57" s="29" t="n"/>
      <c r="H57" s="29" t="n"/>
    </row>
    <row r="58" ht="165" customHeight="1">
      <c r="A58" s="48"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8" s="29" t="n"/>
      <c r="C58" s="29" t="n"/>
      <c r="D58" s="29" t="n"/>
      <c r="E58" s="29" t="n"/>
      <c r="F58" s="29" t="n"/>
      <c r="G58" s="29" t="n"/>
      <c r="H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Sí">
      <formula>NOT(ISERROR(SEARCH("Sí",B56)))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mporte no válido" error="Escribe un número mayor o igual que 0." type="decimal" operator="greaterThanOrEqual">
      <formula1>0</formula1>
    </dataValidation>
    <dataValidation sqref="E50 E52 E53 E54 E55 G13 H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Punto de equilibrio mensual y diario — pizzería con horno de leña</t>
        </is>
      </c>
    </row>
    <row r="3"/>
    <row r="4">
      <c r="A4" s="26" t="inlineStr">
        <is>
          <t>Variable</t>
        </is>
      </c>
      <c r="B4" s="26" t="inlineStr">
        <is>
          <t>Año 1</t>
        </is>
      </c>
      <c r="C4" s="26" t="inlineStr">
        <is>
          <t>Año 2</t>
        </is>
      </c>
      <c r="D4" s="26" t="inlineStr">
        <is>
          <t>Año 3</t>
        </is>
      </c>
      <c r="E4" s="26" t="inlineStr">
        <is>
          <t>Notas</t>
        </is>
      </c>
      <c r="F4" s="29" t="n"/>
    </row>
    <row r="5">
      <c r="A5" s="26" t="inlineStr">
        <is>
          <t>DATOS BASE POR AÑO</t>
        </is>
      </c>
      <c r="B5" s="29" t="n"/>
      <c r="C5" s="29" t="n"/>
      <c r="D5" s="29" t="n"/>
      <c r="E5" s="29" t="n"/>
      <c r="F5" s="29" t="n"/>
    </row>
    <row r="6">
      <c r="A6" s="29" t="inlineStr">
        <is>
          <t>Costes fijos anuales</t>
        </is>
      </c>
      <c r="B6" s="70">
        <f>IFERROR(IF('PyG 3 Años'!$B$9="","",'PyG 3 Años'!$B$37),"")</f>
        <v>220138.44</v>
      </c>
      <c r="C6" s="70">
        <f>IFERROR(IF('PyG 3 Años'!$C$9="","",'PyG 3 Años'!$C$37),"")</f>
        <v>226138.44</v>
      </c>
      <c r="D6" s="70">
        <f>IFERROR(IF('PyG 3 Años'!$D$9="","",'PyG 3 Años'!$D$37),"")</f>
        <v>230770.7605243495</v>
      </c>
      <c r="E6" s="29" t="inlineStr">
        <is>
          <t>Los MISMOS costes fijos del P&amp;L. Cada año tiene los suyos: por eso el umbral no puede ser uno solo para los tres</t>
        </is>
      </c>
      <c r="F6" s="29" t="n"/>
    </row>
    <row r="7">
      <c r="A7" s="29" t="inlineStr">
        <is>
          <t>Costes fijos mensuales</t>
        </is>
      </c>
      <c r="B7" s="70">
        <f>IFERROR(IF('PyG 3 Años'!$B$9="","",B6/12),"")</f>
        <v>18344.87</v>
      </c>
      <c r="C7" s="70">
        <f>IFERROR(IF('PyG 3 Años'!$C$9="","",C6/12),"")</f>
        <v>18844.87</v>
      </c>
      <c r="D7" s="70">
        <f>IFERROR(IF('PyG 3 Años'!$D$9="","",D6/12),"")</f>
        <v>19230.896710362456</v>
      </c>
      <c r="E7" s="29" t="n"/>
      <c r="F7" s="29" t="n"/>
    </row>
    <row r="8">
      <c r="A8" s="29" t="inlineStr">
        <is>
          <t>Ticket medio sin IVA</t>
        </is>
      </c>
      <c r="B8" s="70">
        <f>IFERROR(IF('PyG 3 Años'!$B$9="","",'PyG 3 Años'!$B$7),"")</f>
        <v>19.5</v>
      </c>
      <c r="C8" s="70">
        <f>IFERROR(IF('PyG 3 Años'!$C$9="","",'PyG 3 Años'!$C$7),"")</f>
        <v>19.5</v>
      </c>
      <c r="D8" s="70">
        <f>IFERROR(IF('PyG 3 Años'!$D$9="","",'PyG 3 Años'!$D$7),"")</f>
        <v>19.5</v>
      </c>
      <c r="E8" s="29" t="n"/>
      <c r="F8" s="29" t="n"/>
    </row>
    <row r="9">
      <c r="A9" s="29" t="inlineStr">
        <is>
          <t>Coste variable por comensal</t>
        </is>
      </c>
      <c r="B9" s="70">
        <f>IFERROR(IF('PyG 3 Años'!$B$9="","",'PyG 3 Años'!$B$19/('PyG 3 Años'!$B$6*'PyG 3 Años'!$B$8)),"")</f>
        <v>6.42135</v>
      </c>
      <c r="C9" s="70">
        <f>IFERROR(IF('PyG 3 Años'!$C$9="","",'PyG 3 Años'!$C$19/('PyG 3 Años'!$C$6*'PyG 3 Años'!$C$8)),"")</f>
        <v>6.421350000000001</v>
      </c>
      <c r="D9" s="70">
        <f>IFERROR(IF('PyG 3 Años'!$D$9="","",'PyG 3 Años'!$D$19/('PyG 3 Años'!$D$6*'PyG 3 Años'!$D$8)),"")</f>
        <v>6.421349999999999</v>
      </c>
      <c r="E9" s="29" t="inlineStr">
        <is>
          <t>Sale del total de costes variables del P&amp;L, no de una estimación aparte. Incluye los varios e imprevistos, que son un porcentaje de las ventas</t>
        </is>
      </c>
      <c r="F9" s="29" t="n"/>
    </row>
    <row r="10">
      <c r="A10" s="29" t="inlineStr">
        <is>
          <t>Margen de contribución por comensal</t>
        </is>
      </c>
      <c r="B10" s="70">
        <f>IFERROR(IF('PyG 3 Años'!$B$9="","",B8-B9),"")</f>
        <v>13.07865</v>
      </c>
      <c r="C10" s="70">
        <f>IFERROR(IF('PyG 3 Años'!$C$9="","",C8-C9),"")</f>
        <v>13.07865</v>
      </c>
      <c r="D10" s="70">
        <f>IFERROR(IF('PyG 3 Años'!$D$9="","",D8-D9),"")</f>
        <v>13.078650000000001</v>
      </c>
      <c r="E10" s="29" t="inlineStr">
        <is>
          <t>Ticket menos coste variable unitario</t>
        </is>
      </c>
      <c r="F10" s="29" t="n"/>
    </row>
    <row r="11">
      <c r="A11" s="29" t="inlineStr">
        <is>
          <t>Días de apertura al año</t>
        </is>
      </c>
      <c r="B11" s="41">
        <f>IFERROR(IF('PyG 3 Años'!$B$9="","",'PyG 3 Años'!$B$8),"")</f>
        <v>300.0</v>
      </c>
      <c r="C11" s="41">
        <f>IFERROR(IF('PyG 3 Años'!$C$9="","",'PyG 3 Años'!$C$8),"")</f>
        <v>300.0</v>
      </c>
      <c r="D11" s="41">
        <f>IFERROR(IF('PyG 3 Años'!$D$9="","",'PyG 3 Años'!$D$8),"")</f>
        <v>300.0</v>
      </c>
      <c r="E11" s="29" t="inlineStr">
        <is>
          <t>El mismo calendario que el P&amp;L y que los escenarios</t>
        </is>
      </c>
      <c r="F11" s="29" t="n"/>
    </row>
    <row r="12">
      <c r="A12" s="29" t="inlineStr">
        <is>
          <t>Devolución de principal del año (cuota)</t>
        </is>
      </c>
      <c r="B12" s="70">
        <f>IFERROR(IF('PyG 3 Años'!$B$9="","",'Financiación'!$B$45),"")</f>
        <v>0.0</v>
      </c>
      <c r="C12" s="70">
        <f>IFERROR(IF('PyG 3 Años'!$C$9="","",'Financiación'!$B$47),"")</f>
        <v>22794.657927508357</v>
      </c>
      <c r="D12" s="70">
        <f>IFERROR(IF('PyG 3 Años'!$D$9="","",'Financiación'!$B$49),"")</f>
        <v>24162.337403158857</v>
      </c>
      <c r="E12" s="29" t="inlineStr">
        <is>
          <t>El principal NO es gasto del P&amp;L, pero sale de la caja. Sin él, el umbral de equilibrio se publica por debajo del real</t>
        </is>
      </c>
      <c r="F12" s="29" t="n"/>
    </row>
    <row r="13">
      <c r="A13" s="26" t="inlineStr">
        <is>
          <t>PUNTO DE EQUILIBRIO CONTABLE (incluye amortización)</t>
        </is>
      </c>
      <c r="B13" s="29" t="n"/>
      <c r="C13" s="29" t="n"/>
      <c r="D13" s="29" t="n"/>
      <c r="E13" s="29" t="n"/>
      <c r="F13" s="29" t="n"/>
    </row>
    <row r="14">
      <c r="A14" s="29" t="inlineStr">
        <is>
          <t>Comensales necesarios al año</t>
        </is>
      </c>
      <c r="B14" s="41">
        <f>IFERROR(IF('PyG 3 Años'!$B$9="","",IF(B10&lt;=0,"",B6/B10)),"")</f>
        <v>16831.893199986236</v>
      </c>
      <c r="C14" s="41">
        <f>IFERROR(IF('PyG 3 Años'!$C$9="","",IF(C10&lt;=0,"",C6/C10)),"")</f>
        <v>17290.656145703113</v>
      </c>
      <c r="D14" s="41">
        <f>IFERROR(IF('PyG 3 Años'!$D$9="","",IF(D10&lt;=0,"",D6/D10)),"")</f>
        <v>17644.84564724566</v>
      </c>
      <c r="E14" s="29" t="n"/>
      <c r="F14" s="29" t="n"/>
    </row>
    <row r="15">
      <c r="A15" s="29" t="inlineStr">
        <is>
          <t>Comensales necesarios al día</t>
        </is>
      </c>
      <c r="B15" s="45">
        <f>IFERROR(IF('PyG 3 Años'!$B$9="","",B14/B11),"")</f>
        <v>56.106310666620786</v>
      </c>
      <c r="C15" s="45">
        <f>IFERROR(IF('PyG 3 Años'!$C$9="","",C14/C11),"")</f>
        <v>57.63552048567704</v>
      </c>
      <c r="D15" s="45">
        <f>IFERROR(IF('PyG 3 Años'!$D$9="","",D14/D11),"")</f>
        <v>58.81615215748553</v>
      </c>
      <c r="E15" s="29" t="n"/>
      <c r="F15" s="29" t="n"/>
    </row>
    <row r="16">
      <c r="A16" s="26" t="inlineStr">
        <is>
          <t>Ingresos necesarios al año</t>
        </is>
      </c>
      <c r="B16" s="27">
        <f>IFERROR(IF('PyG 3 Años'!$B$9="","",B14*B8),"")</f>
        <v>328221.9173997316</v>
      </c>
      <c r="C16" s="27">
        <f>IFERROR(IF('PyG 3 Años'!$C$9="","",C14*C8),"")</f>
        <v>337167.7948412107</v>
      </c>
      <c r="D16" s="27">
        <f>IFERROR(IF('PyG 3 Años'!$D$9="","",D14*D8),"")</f>
        <v>344074.4901212904</v>
      </c>
      <c r="E16" s="29" t="n"/>
      <c r="F16" s="29" t="n"/>
    </row>
    <row r="17">
      <c r="A17" s="26" t="inlineStr">
        <is>
          <t>PUNTO DE EQUILIBRIO DE CAJA (incluye la cuota del préstamo)</t>
        </is>
      </c>
      <c r="B17" s="29" t="n"/>
      <c r="C17" s="29" t="n"/>
      <c r="D17" s="29" t="n"/>
      <c r="E17" s="29" t="n"/>
      <c r="F17" s="29" t="n"/>
    </row>
    <row r="18">
      <c r="A18" s="29" t="inlineStr">
        <is>
          <t>Costes fijos de caja + principal del año</t>
        </is>
      </c>
      <c r="B18" s="70">
        <f>IFERROR(IF('PyG 3 Años'!$B$9="","",B6-'PyG 3 Años'!$B$35+B12),"")</f>
        <v>208413.44</v>
      </c>
      <c r="C18" s="70">
        <f>IFERROR(IF('PyG 3 Años'!$C$9="","",C6-'PyG 3 Años'!$C$35+C12),"")</f>
        <v>237208.09792750835</v>
      </c>
      <c r="D18" s="70">
        <f>IFERROR(IF('PyG 3 Años'!$D$9="","",D6-'PyG 3 Años'!$D$35+D12),"")</f>
        <v>243208.09792750835</v>
      </c>
      <c r="E18" s="29" t="inlineStr">
        <is>
          <t>Los fijos del P&amp;L sin la amortización (que no se paga) y CON la devolución de principal (que sí). Es el umbral que decide si la caja aguanta</t>
        </is>
      </c>
      <c r="F18" s="29" t="n"/>
    </row>
    <row r="19">
      <c r="A19" s="29" t="inlineStr">
        <is>
          <t>Comensales necesarios al año (caja)</t>
        </is>
      </c>
      <c r="B19" s="41">
        <f>IFERROR(IF('PyG 3 Años'!$B$9="","",IF(B10&lt;=0,"",B18/B10)),"")</f>
        <v>15935.393943564512</v>
      </c>
      <c r="C19" s="41">
        <f>IFERROR(IF('PyG 3 Años'!$C$9="","",IF(C10&lt;=0,"",C18/C10)),"")</f>
        <v>18137.047625520092</v>
      </c>
      <c r="D19" s="41">
        <f>IFERROR(IF('PyG 3 Años'!$D$9="","",IF(D10&lt;=0,"",D18/D10)),"")</f>
        <v>18595.810571236965</v>
      </c>
      <c r="E19" s="29" t="n"/>
      <c r="F19" s="29" t="n"/>
    </row>
    <row r="20">
      <c r="A20" s="26" t="inlineStr">
        <is>
          <t>Comensales necesarios al día (caja)</t>
        </is>
      </c>
      <c r="B20" s="46">
        <f>IFERROR(IF('PyG 3 Años'!$B$9="","",B19/B11),"")</f>
        <v>53.1179798118817</v>
      </c>
      <c r="C20" s="46">
        <f>IFERROR(IF('PyG 3 Años'!$C$9="","",C19/C11),"")</f>
        <v>60.45682541840031</v>
      </c>
      <c r="D20" s="46">
        <f>IFERROR(IF('PyG 3 Años'!$D$9="","",D19/D11),"")</f>
        <v>61.98603523745655</v>
      </c>
      <c r="E20" s="29" t="n"/>
      <c r="F20" s="29" t="n"/>
    </row>
    <row r="21">
      <c r="A21" s="29" t="inlineStr">
        <is>
          <t>Ingresos necesarios al año (caja)</t>
        </is>
      </c>
      <c r="B21" s="33">
        <f>IFERROR(IF('PyG 3 Años'!$B$9="","",B19*B8),"")</f>
        <v>310740.181899508</v>
      </c>
      <c r="C21" s="33">
        <f>IFERROR(IF('PyG 3 Años'!$C$9="","",C19*C8),"")</f>
        <v>353672.4286976418</v>
      </c>
      <c r="D21" s="33">
        <f>IFERROR(IF('PyG 3 Años'!$D$9="","",D19*D8),"")</f>
        <v>362618.30613912083</v>
      </c>
      <c r="E21" s="29" t="n"/>
      <c r="F21" s="29" t="n"/>
    </row>
    <row r="22">
      <c r="A22" s="26" t="inlineStr">
        <is>
          <t>CONTRASTE CON EL PLAN</t>
        </is>
      </c>
      <c r="B22" s="29" t="n"/>
      <c r="C22" s="29" t="n"/>
      <c r="D22" s="29" t="n"/>
      <c r="E22" s="29" t="n"/>
      <c r="F22" s="29" t="n"/>
    </row>
    <row r="23">
      <c r="A23" s="29" t="inlineStr">
        <is>
          <t>Comensales/día previstos en el plan</t>
        </is>
      </c>
      <c r="B23" s="41">
        <f>IFERROR(IF('PyG 3 Años'!$B$9="","",'PyG 3 Años'!$B$6),"")</f>
        <v>66.0</v>
      </c>
      <c r="C23" s="41">
        <f>IFERROR(IF('PyG 3 Años'!$C$9="","",'PyG 3 Años'!$C$6),"")</f>
        <v>69.96000000000001</v>
      </c>
      <c r="D23" s="41">
        <f>IFERROR(IF('PyG 3 Años'!$D$9="","",'PyG 3 Años'!$D$6),"")</f>
        <v>72.75840000000001</v>
      </c>
      <c r="E23" s="29" t="n"/>
      <c r="F23" s="29" t="n"/>
    </row>
    <row r="24">
      <c r="A24" s="29" t="inlineStr">
        <is>
          <t>Holgura sobre el equilibrio de CAJA (%)</t>
        </is>
      </c>
      <c r="B24" s="68">
        <f>IFERROR(IF('PyG 3 Años'!$B$9="","",B23/B20-1),"")</f>
        <v>0.24251713325205904</v>
      </c>
      <c r="C24" s="68">
        <f>IFERROR(IF('PyG 3 Años'!$C$9="","",C23/C20-1),"")</f>
        <v>0.15718944082544173</v>
      </c>
      <c r="D24" s="68">
        <f>IFERROR(IF('PyG 3 Años'!$D$9="","",D23/D20-1),"")</f>
        <v>0.17378696219683376</v>
      </c>
      <c r="E24" s="29" t="inlineStr">
        <is>
          <t>Cuánto puedes caer antes de no poder pagar los costes fijos y la cuota. El mínimo exigible está en la hoja de Supuestos</t>
        </is>
      </c>
      <c r="F24" s="29" t="n"/>
    </row>
    <row r="25">
      <c r="A25" s="29" t="inlineStr">
        <is>
          <t>Rotaciones al día que da el local como máximo</t>
        </is>
      </c>
      <c r="B25" s="47" t="n">
        <v>3</v>
      </c>
      <c r="C25" s="29" t="n"/>
      <c r="D25" s="29" t="n"/>
      <c r="E25" s="29" t="inlineStr">
        <is>
          <t>Servicios completos por plaza y día que puedes hacer con comidas, cenas y un segundo turno de cena el sábado. Es el techo físico del local, no un objetivo</t>
        </is>
      </c>
      <c r="F25" s="29" t="n"/>
    </row>
    <row r="26">
      <c r="A26" s="29" t="inlineStr">
        <is>
          <t>Rotaciones al día que exige el equilibrio de caja</t>
        </is>
      </c>
      <c r="B26" s="45">
        <f>IFERROR(IF('PyG 3 Años'!$B$9="","",B20/'0. Supuestos'!$B$51),"")</f>
        <v>1.062359596237634</v>
      </c>
      <c r="C26" s="45">
        <f>IFERROR(IF('PyG 3 Años'!$C$9="","",C20/'0. Supuestos'!$B$51),"")</f>
        <v>1.2091365083680061</v>
      </c>
      <c r="D26" s="45">
        <f>IFERROR(IF('PyG 3 Años'!$D$9="","",D20/'0. Supuestos'!$B$51),"")</f>
        <v>1.239720704749131</v>
      </c>
      <c r="E26" s="29" t="inlineStr">
        <is>
          <t>Comensales de equilibrio entre las plazas que declara la hoja de Supuestos. Por encima del techo de arriba, el punto de equilibrio está fuera del alcance del local</t>
        </is>
      </c>
      <c r="F26" s="29" t="n"/>
    </row>
    <row r="27">
      <c r="A27" s="26" t="inlineStr">
        <is>
          <t>INTERPRETACIÓN</t>
        </is>
      </c>
      <c r="B27" s="29" t="n"/>
      <c r="C27" s="29" t="n"/>
      <c r="D27" s="29" t="n"/>
      <c r="E27" s="29" t="n"/>
      <c r="F27" s="29" t="n"/>
    </row>
    <row r="28" ht="46" customHeight="1">
      <c r="A28" s="29" t="str">
        <f>IFERROR("Con el ticket medio sin IVA de la fila de arriba necesitas "&amp;TEXT(ROUNDUP(B15,0),"0")&amp;" comensales al día durante los "&amp;TEXT(B11,"0")&amp;" días que abres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ticket medio sin IVA de la fila de arriba necesitas 57 comensales al día durante los 300 días que abres para no perder dinero (equilibrio contable, con la amortización dentro), y 54 para que la caja aguante (equilibrio de caja: sin la amortización, que no se paga, y con la cuota del préstamo del año; este año sólo intereses, porque el préstamo está en carencia). En las filas «Ingresos necesarios al año» tienes esas mismas cifras en euros.</v>
      </c>
      <c r="B28" s="29" t="n"/>
      <c r="C28" s="29" t="n"/>
      <c r="D28" s="29" t="n"/>
      <c r="E28" s="29" t="n"/>
      <c r="F28" s="29" t="n"/>
    </row>
    <row r="29">
      <c r="A29" s="29" t="n"/>
      <c r="B29" s="29" t="n"/>
      <c r="C29" s="29" t="n"/>
      <c r="D29" s="29" t="n"/>
      <c r="E29" s="29" t="n"/>
      <c r="F29" s="29" t="n"/>
    </row>
    <row r="30">
      <c r="A30" s="26" t="inlineStr">
        <is>
          <t>SENSIBILIDAD DEL PUNTO DE EQUILIBRIO</t>
        </is>
      </c>
      <c r="B30" s="29" t="n"/>
      <c r="C30" s="29" t="n"/>
      <c r="D30" s="29" t="n"/>
      <c r="E30" s="29" t="n"/>
      <c r="F30" s="29" t="n"/>
    </row>
    <row r="31" ht="75" customHeight="1">
      <c r="A31" s="48" t="inlineStr">
        <is>
          <t>Comensales/día necesarios para cubrir costes según el ticket medio (columnas) y el coste variable por comensal (filas). En verde, los que están por debajo de los comensales que prevé el plan.</t>
        </is>
      </c>
      <c r="B31" s="29" t="n"/>
      <c r="C31" s="29" t="n"/>
      <c r="D31" s="29" t="n"/>
      <c r="E31" s="29" t="n"/>
      <c r="F31" s="29" t="n"/>
    </row>
    <row r="32">
      <c r="A32" s="29" t="n"/>
      <c r="B32" s="29" t="n"/>
      <c r="C32" s="29" t="n"/>
      <c r="D32" s="29" t="n"/>
      <c r="E32" s="29" t="n"/>
      <c r="F32" s="29" t="n"/>
    </row>
    <row r="33" ht="45" customHeight="1">
      <c r="A33" s="40" t="inlineStr">
        <is>
          <t>Comensales/día necesarios: ticket medio sin IVA (columnas) × coste variable por comensal (filas)</t>
        </is>
      </c>
      <c r="B33" s="72">
        <f>IFERROR($B$8-2,"")</f>
        <v>17.5</v>
      </c>
      <c r="C33" s="72">
        <f>IFERROR(IF($B$8="","",$B$8),"")</f>
        <v>19.5</v>
      </c>
      <c r="D33" s="72">
        <f>IFERROR($B$8+2,"")</f>
        <v>21.5</v>
      </c>
      <c r="E33" s="72">
        <f>IFERROR($B$8+4,"")</f>
        <v>23.5</v>
      </c>
      <c r="F33" s="29" t="n"/>
    </row>
    <row r="34">
      <c r="A34" s="70">
        <f>IFERROR($B$9*0.85,"")</f>
        <v>5.4581475</v>
      </c>
      <c r="B34" s="45">
        <f>IFERROR(IF($B$33-$A34&lt;=0,"",$B$6/($B$33-$A34)/$B$11),"")</f>
        <v>60.937036058197855</v>
      </c>
      <c r="C34" s="45">
        <f>IFERROR(IF($C$33-$A34&lt;=0,"",$B$6/($C$33-$A34)/$B$11),"")</f>
        <v>52.257691782476705</v>
      </c>
      <c r="D34" s="45">
        <f>IFERROR(IF($D$33-$A34&lt;=0,"",$B$6/($D$33-$A34)/$B$11),"")</f>
        <v>45.742522567141165</v>
      </c>
      <c r="E34" s="45">
        <f>IFERROR(IF($E$33-$A34&lt;=0,"",$B$6/($E$33-$A34)/$B$11),"")</f>
        <v>40.671810170269374</v>
      </c>
      <c r="F34" s="29" t="n"/>
    </row>
    <row r="35">
      <c r="A35" s="70">
        <f>IFERROR($B$9*0.925,"")</f>
        <v>5.939748750000001</v>
      </c>
      <c r="B35" s="45">
        <f>IFERROR(IF($B$33-$A35&lt;=0,"",$B$6/($B$33-$A35)/$B$11),"")</f>
        <v>63.475679215882096</v>
      </c>
      <c r="C35" s="45">
        <f>IFERROR(IF($C$33-$A35&lt;=0,"",$B$6/($C$33-$A35)/$B$11),"")</f>
        <v>54.11365810792038</v>
      </c>
      <c r="D35" s="45">
        <f>IFERROR(IF($D$33-$A35&lt;=0,"",$B$6/($D$33-$A35)/$B$11),"")</f>
        <v>47.15828737019912</v>
      </c>
      <c r="E35" s="45">
        <f>IFERROR(IF($E$33-$A35&lt;=0,"",$B$6/($E$33-$A35)/$B$11),"")</f>
        <v>41.787260874185954</v>
      </c>
      <c r="F35" s="29" t="n"/>
    </row>
    <row r="36">
      <c r="A36" s="70">
        <f>IFERROR($B$9*1.0,"")</f>
        <v>6.42135</v>
      </c>
      <c r="B36" s="45">
        <f>IFERROR(IF($B$33-$A36&lt;=0,"",$B$6/($B$33-$A36)/$B$11),"")</f>
        <v>66.2350376625311</v>
      </c>
      <c r="C36" s="45">
        <f>IFERROR(IF($C$33-$A36&lt;=0,"",$B$6/($C$33-$A36)/$B$11),"")</f>
        <v>56.106310666620786</v>
      </c>
      <c r="D36" s="45">
        <f>IFERROR(IF($D$33-$A36&lt;=0,"",$B$6/($D$33-$A36)/$B$11),"")</f>
        <v>48.66448919498762</v>
      </c>
      <c r="E36" s="45">
        <f>IFERROR(IF($E$33-$A36&lt;=0,"",$B$6/($E$33-$A36)/$B$11),"")</f>
        <v>42.965620818975744</v>
      </c>
      <c r="F36" s="29" t="n"/>
    </row>
    <row r="37">
      <c r="A37" s="70">
        <f>IFERROR($B$9*1.075,"")</f>
        <v>6.90295125</v>
      </c>
      <c r="B37" s="45">
        <f>IFERROR(IF($B$33-$A37&lt;=0,"",$B$6/($B$33-$A37)/$B$11),"")</f>
        <v>69.24520376486898</v>
      </c>
      <c r="C37" s="45">
        <f>IFERROR(IF($C$33-$A37&lt;=0,"",$B$6/($C$33-$A37)/$B$11),"")</f>
        <v>58.251326525984915</v>
      </c>
      <c r="D37" s="45">
        <f>IFERROR(IF($D$33-$A37&lt;=0,"",$B$6/($D$33-$A37)/$B$11),"")</f>
        <v>50.27007942273263</v>
      </c>
      <c r="E37" s="45">
        <f>IFERROR(IF($E$33-$A37&lt;=0,"",$B$6/($E$33-$A37)/$B$11),"")</f>
        <v>44.21236637025604</v>
      </c>
      <c r="F37" s="29" t="n"/>
    </row>
    <row r="38">
      <c r="A38" s="70">
        <f>IFERROR($B$9*1.15,"")</f>
        <v>7.3845525</v>
      </c>
      <c r="B38" s="45">
        <f>IFERROR(IF($B$33-$A38&lt;=0,"",$B$6/($B$33-$A38)/$B$11),"")</f>
        <v>72.54200073699161</v>
      </c>
      <c r="C38" s="45">
        <f>IFERROR(IF($C$33-$A38&lt;=0,"",$B$6/($C$33-$A38)/$B$11),"")</f>
        <v>60.56687547034478</v>
      </c>
      <c r="D38" s="45">
        <f>IFERROR(IF($D$33-$A38&lt;=0,"",$B$6/($D$33-$A38)/$B$11),"")</f>
        <v>51.98523107397055</v>
      </c>
      <c r="E38" s="45">
        <f>IFERROR(IF($E$33-$A38&lt;=0,"",$B$6/($E$33-$A38)/$B$11),"")</f>
        <v>45.53362852629441</v>
      </c>
      <c r="F38" s="29" t="n"/>
    </row>
    <row r="39">
      <c r="A39" s="29" t="n"/>
      <c r="B39" s="29" t="n"/>
      <c r="C39" s="29" t="n"/>
      <c r="D39" s="29" t="n"/>
      <c r="E39" s="29" t="n"/>
      <c r="F39" s="29" t="n"/>
    </row>
    <row r="40">
      <c r="A40" s="29" t="n"/>
      <c r="B40" s="29" t="n"/>
      <c r="C40" s="29" t="n"/>
      <c r="D40" s="29" t="n"/>
      <c r="E40" s="29" t="n"/>
      <c r="F40" s="29" t="n"/>
    </row>
    <row r="41">
      <c r="A41" s="29" t="n"/>
      <c r="B41" s="29" t="n"/>
      <c r="C41" s="29" t="n"/>
      <c r="D41" s="29" t="n"/>
      <c r="E41" s="29" t="n"/>
      <c r="F41" s="29" t="n"/>
    </row>
    <row r="42">
      <c r="A42" s="29" t="n"/>
      <c r="B42" s="29" t="n"/>
      <c r="C42" s="29" t="n"/>
      <c r="D42" s="29" t="n"/>
      <c r="E42" s="29" t="n"/>
      <c r="F42" s="29" t="n"/>
    </row>
    <row r="43">
      <c r="A43" s="29" t="n"/>
      <c r="B43" s="29" t="n"/>
      <c r="C43" s="29" t="n"/>
      <c r="D43" s="29" t="n"/>
      <c r="E43" s="29" t="n"/>
      <c r="F43" s="29" t="n"/>
    </row>
    <row r="44">
      <c r="A44" s="29" t="n"/>
      <c r="B44" s="29" t="n"/>
      <c r="C44" s="29" t="n"/>
      <c r="D44" s="29" t="n"/>
      <c r="E44" s="29" t="n"/>
      <c r="F44" s="29" t="n"/>
    </row>
    <row r="45">
      <c r="A45" s="29" t="n"/>
      <c r="B45" s="29" t="n"/>
      <c r="C45" s="29" t="n"/>
      <c r="D45" s="29" t="n"/>
      <c r="E45" s="29" t="n"/>
      <c r="F45" s="29" t="n"/>
    </row>
    <row r="46">
      <c r="A46" s="29" t="n"/>
      <c r="B46" s="29" t="n"/>
      <c r="C46" s="29" t="n"/>
      <c r="D46" s="29" t="n"/>
      <c r="E46" s="29" t="n"/>
      <c r="F46" s="29" t="n"/>
    </row>
    <row r="47">
      <c r="A47" s="29" t="n"/>
      <c r="B47" s="29" t="n"/>
      <c r="C47" s="29" t="n"/>
      <c r="D47" s="29" t="n"/>
      <c r="E47" s="29" t="n"/>
      <c r="F47" s="29" t="n"/>
    </row>
    <row r="48">
      <c r="A48" s="29" t="n"/>
      <c r="B48" s="29" t="n"/>
      <c r="C48" s="29" t="n"/>
      <c r="D48" s="29" t="n"/>
      <c r="E48" s="29" t="n"/>
      <c r="F48" s="29" t="n"/>
    </row>
    <row r="49">
      <c r="A49" s="29" t="n"/>
      <c r="B49" s="29" t="n"/>
      <c r="C49" s="29" t="n"/>
      <c r="D49" s="29" t="n"/>
      <c r="E49" s="29" t="n"/>
      <c r="F49" s="29" t="n"/>
    </row>
    <row r="50">
      <c r="A50" s="29" t="n"/>
      <c r="B50" s="29" t="n"/>
      <c r="C50" s="29" t="n"/>
      <c r="D50" s="29" t="n"/>
      <c r="E50" s="29" t="n"/>
      <c r="F50" s="29" t="n"/>
    </row>
    <row r="51">
      <c r="A51" s="29" t="n"/>
      <c r="B51" s="29" t="n"/>
      <c r="C51" s="29" t="n"/>
      <c r="D51" s="29" t="n"/>
      <c r="E51" s="29" t="n"/>
      <c r="F51" s="29" t="n"/>
    </row>
    <row r="52">
      <c r="A52" s="29" t="n"/>
      <c r="B52" s="29" t="n"/>
      <c r="C52" s="29" t="n"/>
      <c r="D52" s="29" t="n"/>
      <c r="E52" s="29" t="n"/>
      <c r="F52" s="29" t="n"/>
    </row>
    <row r="53">
      <c r="A53" s="29" t="n"/>
      <c r="B53" s="29" t="n"/>
      <c r="C53" s="29" t="n"/>
      <c r="D53" s="29" t="n"/>
      <c r="E53" s="29" t="n"/>
      <c r="F53" s="29" t="n"/>
    </row>
    <row r="54">
      <c r="A54" s="29" t="n"/>
      <c r="B54" s="29" t="n"/>
      <c r="C54" s="29" t="n"/>
      <c r="D54" s="29" t="n"/>
      <c r="E54" s="29" t="n"/>
      <c r="F54" s="29" t="n"/>
    </row>
    <row r="55">
      <c r="A55" s="29" t="n"/>
      <c r="B55" s="29" t="n"/>
      <c r="C55" s="29" t="n"/>
      <c r="D55" s="29" t="n"/>
      <c r="E55" s="29" t="n"/>
      <c r="F55" s="29" t="n"/>
    </row>
    <row r="56">
      <c r="A56" s="29" t="n"/>
      <c r="B56" s="29" t="n"/>
      <c r="C56" s="29" t="n"/>
      <c r="D56" s="29" t="n"/>
      <c r="E56" s="29" t="n"/>
      <c r="F56" s="29" t="n"/>
    </row>
    <row r="57">
      <c r="A57" s="29" t="n"/>
      <c r="B57" s="29" t="n"/>
      <c r="C57" s="29" t="n"/>
      <c r="D57" s="29" t="n"/>
      <c r="E57" s="29" t="n"/>
      <c r="F57" s="29" t="n"/>
    </row>
    <row r="58">
      <c r="A58" s="29" t="n"/>
      <c r="B58" s="29" t="n"/>
      <c r="C58" s="29" t="n"/>
      <c r="D58" s="29" t="n"/>
      <c r="E58" s="29" t="n"/>
      <c r="F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c r="A2" s="3" t="inlineStr">
        <is>
          <t>Pesimista / Realista / Optimista — Año 1</t>
        </is>
      </c>
    </row>
    <row r="3"/>
    <row r="4">
      <c r="A4" s="26" t="inlineStr">
        <is>
          <t>Métrica</t>
        </is>
      </c>
      <c r="B4" s="26" t="inlineStr">
        <is>
          <t>Pesimista</t>
        </is>
      </c>
      <c r="C4" s="26" t="inlineStr">
        <is>
          <t>Realista</t>
        </is>
      </c>
      <c r="D4" s="26" t="inlineStr">
        <is>
          <t>Optimista</t>
        </is>
      </c>
      <c r="E4" s="26" t="inlineStr">
        <is>
          <t>Notas</t>
        </is>
      </c>
      <c r="F4" s="29" t="n"/>
    </row>
    <row r="5">
      <c r="A5" s="29" t="inlineStr">
        <is>
          <t>Comensales/día</t>
        </is>
      </c>
      <c r="B5" s="51" t="n">
        <v>56</v>
      </c>
      <c r="C5" s="41">
        <f>IFERROR(IF('PyG 3 Años'!$B$6="","",'PyG 3 Años'!$B$6),"")</f>
        <v>66.0</v>
      </c>
      <c r="D5" s="51" t="n">
        <v>76</v>
      </c>
      <c r="E5" s="29" t="n"/>
      <c r="F5" s="29" t="n"/>
    </row>
    <row r="6">
      <c r="A6" s="29" t="inlineStr">
        <is>
          <t>Ticket medio sin IVA</t>
        </is>
      </c>
      <c r="B6" s="73" t="n">
        <v>18.5</v>
      </c>
      <c r="C6" s="70">
        <f>IFERROR(IF('PyG 3 Años'!$B$7="","",'PyG 3 Años'!$B$7),"")</f>
        <v>19.5</v>
      </c>
      <c r="D6" s="73" t="n">
        <v>20.5</v>
      </c>
      <c r="E6" s="29" t="n"/>
      <c r="F6" s="29" t="n"/>
    </row>
    <row r="7">
      <c r="A7" s="29" t="inlineStr">
        <is>
          <t>Días de apertura al año</t>
        </is>
      </c>
      <c r="B7" s="51" t="n">
        <v>295</v>
      </c>
      <c r="C7" s="41">
        <f>IFERROR(IF('PyG 3 Años'!$B$8="","",'PyG 3 Años'!$B$8),"")</f>
        <v>300.0</v>
      </c>
      <c r="D7" s="51" t="n">
        <v>305</v>
      </c>
      <c r="E7" s="29" t="n"/>
      <c r="F7" s="29" t="n"/>
    </row>
    <row r="8">
      <c r="A8" s="26" t="inlineStr">
        <is>
          <t>INGRESOS ANUALES (sin IVA)</t>
        </is>
      </c>
      <c r="B8" s="27">
        <f>IFERROR(IF(B5*B6*B7=0,"",B5*B6*B7),"")</f>
        <v>305620.0</v>
      </c>
      <c r="C8" s="27">
        <f>IFERROR(IF(C5*C6*C7=0,"",C5*C6*C7),"")</f>
        <v>386100.0</v>
      </c>
      <c r="D8" s="27">
        <f>IFERROR(IF(D5*D6*D7=0,"",D5*D6*D7),"")</f>
        <v>475190.0</v>
      </c>
      <c r="E8" s="29" t="n"/>
      <c r="F8" s="29" t="n"/>
    </row>
    <row r="9">
      <c r="A9" s="29" t="inlineStr">
        <is>
          <t>Coste de mercancía — comida</t>
        </is>
      </c>
      <c r="B9" s="33">
        <f>IFERROR(IF(B8="","",B8*'0. Supuestos'!$B$11*'0. Supuestos'!$B$13),"")</f>
        <v>58892.973999999995</v>
      </c>
      <c r="C9" s="33">
        <f>IFERROR(IF(C8="","",C8*'0. Supuestos'!$B$11*'0. Supuestos'!$B$13),"")</f>
        <v>74401.47</v>
      </c>
      <c r="D9" s="33">
        <f>IFERROR(IF(D8="","",D8*'0. Supuestos'!$B$11*'0. Supuestos'!$B$13),"")</f>
        <v>91569.113</v>
      </c>
      <c r="E9" s="29" t="n"/>
      <c r="F9" s="29" t="n"/>
    </row>
    <row r="10">
      <c r="A10" s="29" t="inlineStr">
        <is>
          <t>Coste de mercancía — bebida</t>
        </is>
      </c>
      <c r="B10" s="33">
        <f>IFERROR(IF(B8="","",B8*'0. Supuestos'!$B$12*'0. Supuestos'!$B$14),"")</f>
        <v>14853.132000000005</v>
      </c>
      <c r="C10" s="33">
        <f>IFERROR(IF(C8="","",C8*'0. Supuestos'!$B$12*'0. Supuestos'!$B$14),"")</f>
        <v>18764.460000000006</v>
      </c>
      <c r="D10" s="33">
        <f>IFERROR(IF(D8="","",D8*'0. Supuestos'!$B$12*'0. Supuestos'!$B$14),"")</f>
        <v>23094.234000000008</v>
      </c>
      <c r="E10" s="29" t="n"/>
      <c r="F10" s="29" t="n"/>
    </row>
    <row r="11">
      <c r="A11" s="29" t="inlineStr">
        <is>
          <t>Consumibles y envases</t>
        </is>
      </c>
      <c r="B11" s="33">
        <f>IFERROR(IF(B8="","",B8*'0. Supuestos'!$B$15),"")</f>
        <v>9168.6</v>
      </c>
      <c r="C11" s="33">
        <f>IFERROR(IF(C8="","",C8*'0. Supuestos'!$B$15),"")</f>
        <v>11583.0</v>
      </c>
      <c r="D11" s="33">
        <f>IFERROR(IF(D8="","",D8*'0. Supuestos'!$B$15),"")</f>
        <v>14255.699999999999</v>
      </c>
      <c r="E11" s="29" t="n"/>
      <c r="F11" s="29" t="n"/>
    </row>
    <row r="12">
      <c r="A12" s="29" t="inlineStr">
        <is>
          <t>Comisiones de delivery</t>
        </is>
      </c>
      <c r="B12" s="33">
        <f>IFERROR(IF(B8="","",B8*'0. Supuestos'!$B$16*'0. Supuestos'!$B$17),"")</f>
        <v>9168.6</v>
      </c>
      <c r="C12" s="33">
        <f>IFERROR(IF(C8="","",C8*'0. Supuestos'!$B$16*'0. Supuestos'!$B$17),"")</f>
        <v>11583.0</v>
      </c>
      <c r="D12" s="33">
        <f>IFERROR(IF(D8="","",D8*'0. Supuestos'!$B$16*'0. Supuestos'!$B$17),"")</f>
        <v>14255.699999999999</v>
      </c>
      <c r="E12" s="29" t="n"/>
      <c r="F12" s="29" t="n"/>
    </row>
    <row r="13">
      <c r="A13" s="29" t="inlineStr">
        <is>
          <t>Comisiones de los medios de pago</t>
        </is>
      </c>
      <c r="B13" s="33">
        <f>IFERROR(IF(B8="","",B8*'0. Supuestos'!$B$18),"")</f>
        <v>2444.96</v>
      </c>
      <c r="C13" s="33">
        <f>IFERROR(IF(C8="","",C8*'0. Supuestos'!$B$18),"")</f>
        <v>3088.8</v>
      </c>
      <c r="D13" s="33">
        <f>IFERROR(IF(D8="","",D8*'0. Supuestos'!$B$18),"")</f>
        <v>3801.52</v>
      </c>
      <c r="E13" s="29" t="n"/>
      <c r="F13" s="29" t="n"/>
    </row>
    <row r="14">
      <c r="A14" s="29" t="inlineStr">
        <is>
          <t>Varios e imprevistos</t>
        </is>
      </c>
      <c r="B14" s="33">
        <f>IFERROR(IF(B8="","",B8*'0. Supuestos'!$B$28),"")</f>
        <v>6112.400000000001</v>
      </c>
      <c r="C14" s="33">
        <f>IFERROR(IF(C8="","",C8*'0. Supuestos'!$B$28),"")</f>
        <v>7722.0</v>
      </c>
      <c r="D14" s="33">
        <f>IFERROR(IF(D8="","",D8*'0. Supuestos'!$B$28),"")</f>
        <v>9503.800000000001</v>
      </c>
      <c r="E14" s="29" t="n"/>
      <c r="F14" s="29" t="n"/>
    </row>
    <row r="15">
      <c r="A15" s="29" t="inlineStr">
        <is>
          <t>TOTAL COSTES VARIABLES</t>
        </is>
      </c>
      <c r="B15" s="33">
        <f>IFERROR(IF(B8="","",SUM(B9:B14)),"")</f>
        <v>100640.666</v>
      </c>
      <c r="C15" s="33">
        <f>IFERROR(IF(C8="","",SUM(C9:C14)),"")</f>
        <v>127142.73000000001</v>
      </c>
      <c r="D15" s="33">
        <f>IFERROR(IF(D8="","",SUM(D9:D14)),"")</f>
        <v>156480.067</v>
      </c>
      <c r="E15" s="29" t="n"/>
      <c r="F15" s="29" t="n"/>
    </row>
    <row r="16">
      <c r="A16" s="29" t="inlineStr">
        <is>
          <t>MARGEN BRUTO</t>
        </is>
      </c>
      <c r="B16" s="33">
        <f>IFERROR(IF(B8="","",B8-B15),"")</f>
        <v>204979.334</v>
      </c>
      <c r="C16" s="33">
        <f>IFERROR(IF(C8="","",C8-C15),"")</f>
        <v>258957.27</v>
      </c>
      <c r="D16" s="33">
        <f>IFERROR(IF(D8="","",D8-D15),"")</f>
        <v>318709.93299999996</v>
      </c>
      <c r="E16" s="29" t="n"/>
      <c r="F16" s="29" t="n"/>
    </row>
    <row r="17">
      <c r="A17" s="29" t="inlineStr">
        <is>
          <t>COSTES FIJOS (los del P&amp;L)</t>
        </is>
      </c>
      <c r="B17" s="33">
        <f>IFERROR(IF(B8="","",'PyG 3 Años'!$B$37),"")</f>
        <v>220138.44</v>
      </c>
      <c r="C17" s="33">
        <f>IFERROR(IF(C8="","",'PyG 3 Años'!$B$37),"")</f>
        <v>220138.44</v>
      </c>
      <c r="D17" s="33">
        <f>IFERROR(IF(D8="","",'PyG 3 Años'!$B$37),"")</f>
        <v>220138.44</v>
      </c>
      <c r="E17" s="29" t="inlineStr">
        <is>
          <t>Los costes fijos no cambian con el escenario: por eso son fijos</t>
        </is>
      </c>
      <c r="F17" s="29" t="n"/>
    </row>
    <row r="18">
      <c r="A18" s="26" t="inlineStr">
        <is>
          <t>RESULTADO ANTES DE IMPUESTOS</t>
        </is>
      </c>
      <c r="B18" s="27">
        <f>IFERROR(IF(B8="","",B16-B17),"")</f>
        <v>-15159.106</v>
      </c>
      <c r="C18" s="27">
        <f>IFERROR(IF(C8="","",C16-C17),"")</f>
        <v>38818.82999999999</v>
      </c>
      <c r="D18" s="27">
        <f>IFERROR(IF(D8="","",D16-D17),"")</f>
        <v>98571.49299999996</v>
      </c>
      <c r="E18" s="29" t="n"/>
      <c r="F18" s="29" t="n"/>
    </row>
    <row r="19">
      <c r="A19" s="29" t="inlineStr">
        <is>
          <t>Impuesto de Sociedades</t>
        </is>
      </c>
      <c r="B19" s="33">
        <f>IFERROR(IF(B8="","",MAX(0,B18-'0. Supuestos'!$B$42)*'0. Supuestos'!$B$37),"")</f>
        <v>0.0</v>
      </c>
      <c r="C19" s="33">
        <f>IFERROR(IF(C8="","",MAX(0,C18-'0. Supuestos'!$B$42)*'0. Supuestos'!$B$37),"")</f>
        <v>5822.824499999998</v>
      </c>
      <c r="D19" s="33">
        <f>IFERROR(IF(D8="","",MAX(0,D18-'0. Supuestos'!$B$42)*'0. Supuestos'!$B$37),"")</f>
        <v>14785.723949999992</v>
      </c>
      <c r="E19" s="29" t="inlineStr">
        <is>
          <t>Al tipo de entidad de nueva creación, compensando las bases negativas anteriores</t>
        </is>
      </c>
      <c r="F19" s="29" t="n"/>
    </row>
    <row r="20">
      <c r="A20" s="26" t="inlineStr">
        <is>
          <t>RESULTADO NETO</t>
        </is>
      </c>
      <c r="B20" s="27">
        <f>IFERROR(IF(B8="","",B18-B19),"")</f>
        <v>-15159.106</v>
      </c>
      <c r="C20" s="27">
        <f>IFERROR(IF(C8="","",C18-C19),"")</f>
        <v>32996.00549999999</v>
      </c>
      <c r="D20" s="27">
        <f>IFERROR(IF(D8="","",D18-D19),"")</f>
        <v>83785.76904999997</v>
      </c>
      <c r="E20" s="29" t="n"/>
      <c r="F20" s="29" t="n"/>
    </row>
    <row r="21">
      <c r="A21" s="29" t="inlineStr">
        <is>
          <t>Comensales/día para el equilibrio</t>
        </is>
      </c>
      <c r="B21" s="45">
        <f>IFERROR(IF(B8="","",IF(B6-B15/(B5*B7)&lt;=0,"",B17/(B6-B15/(B5*B7))/B7)),"")</f>
        <v>60.141441575763935</v>
      </c>
      <c r="C21" s="45">
        <f>IFERROR(IF(C8="","",IF(C6-C15/(C5*C7)&lt;=0,"",C17/(C6-C15/(C5*C7))/C7)),"")</f>
        <v>56.106310666620786</v>
      </c>
      <c r="D21" s="45">
        <f>IFERROR(IF(D8="","",IF(D6-D15/(D5*D7)&lt;=0,"",D17/(D6-D15/(D5*D7))/D7)),"")</f>
        <v>52.49450898036491</v>
      </c>
      <c r="E21" s="29" t="n"/>
      <c r="F21" s="29" t="n"/>
    </row>
    <row r="22">
      <c r="A22" s="26" t="inlineStr">
        <is>
          <t>LO QUE CADA ESCENARIO EXIGE</t>
        </is>
      </c>
      <c r="B22" s="29" t="n"/>
      <c r="C22" s="29" t="n"/>
      <c r="D22" s="29" t="n"/>
      <c r="E22" s="29" t="n"/>
      <c r="F22" s="29" t="n"/>
    </row>
    <row r="23">
      <c r="A23" s="29" t="inlineStr">
        <is>
          <t>Coste de personal / Ventas</t>
        </is>
      </c>
      <c r="B23" s="68">
        <f>IFERROR(IF(B8="","",'PyG 3 Años'!$B$23/B8),"")</f>
        <v>0.4576710948236372</v>
      </c>
      <c r="C23" s="68">
        <f>IFERROR(IF(C8="","",'PyG 3 Años'!$B$23/C8),"")</f>
        <v>0.3622725718725719</v>
      </c>
      <c r="D23" s="68">
        <f>IFERROR(IF(D8="","",'PyG 3 Años'!$B$23/D8),"")</f>
        <v>0.2943526589364254</v>
      </c>
      <c r="E23" s="29" t="inlineStr">
        <is>
          <t>La MISMA plantilla en los tres escenarios. Si en el pesimista se dispara, el ajuste hay que hacerlo en la hoja de Personal, no aquí</t>
        </is>
      </c>
      <c r="F23" s="29" t="n"/>
    </row>
    <row r="24">
      <c r="A24" s="29" t="inlineStr">
        <is>
          <t>Comensales al año por jornada equivalente</t>
        </is>
      </c>
      <c r="B24" s="41">
        <f>IFERROR(IF(B8="","",B5*B7/'Personal'!$C$12),"")</f>
        <v>3320.6030150753772</v>
      </c>
      <c r="C24" s="41">
        <f>IFERROR(IF(C8="","",C5*C7/'Personal'!$C$12),"")</f>
        <v>3979.8994974874377</v>
      </c>
      <c r="D24" s="41">
        <f>IFERROR(IF(D8="","",D5*D7/'Personal'!$C$12),"")</f>
        <v>4659.296482412061</v>
      </c>
      <c r="E24" s="29" t="inlineStr">
        <is>
          <t>Comensales que tendría que sacar cada jornada completa del cuadro de Personal. En el optimista dice si hace falta contratar</t>
        </is>
      </c>
      <c r="F24" s="29" t="n"/>
    </row>
    <row r="25">
      <c r="A25" s="26" t="inlineStr">
        <is>
          <t>Saldo de caja al cierre del año 1 (estimado, el mismo método en los tres escenarios)</t>
        </is>
      </c>
      <c r="B25" s="27">
        <f>IFERROR(IF(B8="","",'Inversión Inicial'!$B$29+B20+'PyG 3 Años'!$B$35-'Financiación'!$B$45),"")</f>
        <v>48669.25400000001</v>
      </c>
      <c r="C25" s="27">
        <f>IFERROR(IF(C8="","",'Inversión Inicial'!$B$29+C20+'PyG 3 Años'!$B$35-'Financiación'!$B$45),"")</f>
        <v>96824.3655</v>
      </c>
      <c r="D25" s="27">
        <f>IFERROR(IF(D8="","",'Inversión Inicial'!$B$29+D20+'PyG 3 Años'!$B$35-'Financiación'!$B$45),"")</f>
        <v>147614.12905</v>
      </c>
      <c r="E25" s="26"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9" t="n"/>
    </row>
    <row r="26">
      <c r="A26" s="29" t="inlineStr">
        <is>
          <t>Saldo real del mes 12 de la hoja de Tesorería (sólo realista)</t>
        </is>
      </c>
      <c r="B26" s="29" t="n"/>
      <c r="C26" s="33">
        <f>IFERROR(IF(C8="","",'Tesorería 12 meses'!$M$22),"")</f>
        <v>123545.82916211702</v>
      </c>
      <c r="D26" s="29" t="n"/>
      <c r="E26" s="29"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9" t="n"/>
    </row>
    <row r="27">
      <c r="A27" s="29" t="n"/>
      <c r="B27" s="29" t="n"/>
      <c r="C27" s="29" t="n"/>
      <c r="D27" s="29" t="n"/>
      <c r="E27" s="29" t="n"/>
      <c r="F27" s="29" t="n"/>
    </row>
    <row r="28" ht="150" customHeight="1">
      <c r="A28" s="48" t="inlineStr">
        <is>
          <t>La columna «Realista» lee sus tres datos de la hoja de Supuestos, así que reproduce EXACTAMENTE el año 1 del P&amp;L. Los otros dos escenarios usan las mismas tasas de coste: lo único que cambia son los comensales, el ticket y los días. Los COSTES FIJOS sí son los mismos en los tres: los varios e imprevistos, que son un porcentaje de las ventas, van arriba con los variables y cada escenario carga los suyos.</t>
        </is>
      </c>
      <c r="B28" s="29" t="n"/>
      <c r="C28" s="29" t="n"/>
      <c r="D28" s="29" t="n"/>
      <c r="E28" s="29" t="n"/>
      <c r="F2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Años'!$E$53)</formula>
    </cfRule>
    <cfRule type="expression" priority="2" dxfId="0" stopIfTrue="1">
      <formula>AND(ISNUMBER(B23),B23&lt;='PyG 3 Años'!$E$53)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Días fuera de rango" error="Los días van de 1 a 365." type="whole" operator="between">
      <formula1>1</formula1>
      <formula2>365</formula2>
    </dataValidation>
    <dataValidation sqref="B5 D5"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s="3" t="str">
        <f>IFERROR("Convenio Hostelería — "&amp;TEXT('0. Supuestos'!$B$21,"0")&amp;" pagas + SS "&amp;TEXT('0. Supuestos'!$B$20*100,"0")&amp;" %","")</f>
        <v>Convenio Hostelería — 14 pagas + SS 33 %</v>
      </c>
    </row>
    <row r="3"/>
    <row r="4">
      <c r="A4" s="40" t="inlineStr">
        <is>
          <t>Puesto</t>
        </is>
      </c>
      <c r="B4" s="40" t="inlineStr">
        <is>
          <t>Personas</t>
        </is>
      </c>
      <c r="C4" s="40" t="inlineStr">
        <is>
          <t>Jornada</t>
        </is>
      </c>
      <c r="D4" s="40" t="inlineStr">
        <is>
          <t>Bruto mes (€, total del puesto)</t>
        </is>
      </c>
      <c r="E4" s="40" t="inlineStr">
        <is>
          <t>Seg. Social a cargo de la empresa (€)</t>
        </is>
      </c>
      <c r="F4" s="40" t="inlineStr">
        <is>
          <t>Coste mes (€, total del puesto)</t>
        </is>
      </c>
      <c r="G4" s="40" t="inlineStr">
        <is>
          <t>Coste año (€)</t>
        </is>
      </c>
      <c r="H4" s="40" t="inlineStr">
        <is>
          <t>Horas/semana por persona</t>
        </is>
      </c>
      <c r="I4" s="40" t="inlineStr">
        <is>
          <t>Horas/año del puesto</t>
        </is>
      </c>
      <c r="J4" s="40" t="inlineStr">
        <is>
          <t>Notas</t>
        </is>
      </c>
    </row>
    <row r="5">
      <c r="A5" s="29" t="inlineStr">
        <is>
          <t>Titular — pizzaiolo jefe, masa, compras y gestión</t>
        </is>
      </c>
      <c r="B5" s="51" t="n">
        <v>1</v>
      </c>
      <c r="C5" s="53" t="n">
        <v>1</v>
      </c>
      <c r="D5" s="73" t="n">
        <v>1900</v>
      </c>
      <c r="E5" s="70">
        <f>IFERROR(IF(D5="","",D5*'0. Supuestos'!$B$20),"")</f>
        <v>627.0</v>
      </c>
      <c r="F5" s="70">
        <f>IFERROR(IF(D5="","",D5+E5),"")</f>
        <v>2527.0</v>
      </c>
      <c r="G5" s="70">
        <f>IFERROR(IF(D5="","",F5*MAX(12,'0. Supuestos'!$B$21)),"")</f>
        <v>35378.0</v>
      </c>
      <c r="H5" s="45">
        <f>IFERROR(IF(D5="","",C5*$B$19),"")</f>
        <v>40.0</v>
      </c>
      <c r="I5" s="41">
        <f>IFERROR(IF(D5="","",H5*B5*$B$20),"")</f>
        <v>1840.0</v>
      </c>
      <c r="J5" s="29" t="inlineStr">
        <is>
          <t>Hace la masa, lleva el horno en el turno fuerte, compra y gestiona. Como administrador de la SL cotiza en el régimen de autónomos: el libro le imputa el 33 % de Seguridad Social sobre 14 pagas como si fuera nómina, que es el lado prudente. Confirma con tu gestoría la cuota real y si te aplica la reducida de inicio</t>
        </is>
      </c>
    </row>
    <row r="6">
      <c r="A6" s="29" t="inlineStr">
        <is>
          <t>Pizzaiolo/a de horno y estirado</t>
        </is>
      </c>
      <c r="B6" s="51" t="n">
        <v>1</v>
      </c>
      <c r="C6" s="53" t="n">
        <v>1</v>
      </c>
      <c r="D6" s="73" t="n">
        <v>1500</v>
      </c>
      <c r="E6" s="70">
        <f>IFERROR(IF(D6="","",D6*'0. Supuestos'!$B$20),"")</f>
        <v>495.0</v>
      </c>
      <c r="F6" s="70">
        <f>IFERROR(IF(D6="","",D6+E6),"")</f>
        <v>1995.0</v>
      </c>
      <c r="G6" s="70">
        <f>IFERROR(IF(D6="","",F6*MAX(12,'0. Supuestos'!$B$21)),"")</f>
        <v>27930.0</v>
      </c>
      <c r="H6" s="45">
        <f>IFERROR(IF(D6="","",C6*$B$19),"")</f>
        <v>40.0</v>
      </c>
      <c r="I6" s="41">
        <f>IFERROR(IF(D6="","",H6*B6*$B$20),"")</f>
        <v>1840.0</v>
      </c>
      <c r="J6" s="29" t="inlineStr">
        <is>
          <t>Estira y hornea; sabe hacer la masa con el titular. Es inversión, no gasto: si sólo el titular sabe la masa y el horno, una baja cierra la pizzería</t>
        </is>
      </c>
    </row>
    <row r="7">
      <c r="A7" s="29" t="inlineStr">
        <is>
          <t>Ayudante de cocina y masa</t>
        </is>
      </c>
      <c r="B7" s="51" t="n">
        <v>1</v>
      </c>
      <c r="C7" s="53" t="n">
        <v>0.75</v>
      </c>
      <c r="D7" s="73" t="n">
        <v>1013</v>
      </c>
      <c r="E7" s="70">
        <f>IFERROR(IF(D7="","",D7*'0. Supuestos'!$B$20),"")</f>
        <v>334.29</v>
      </c>
      <c r="F7" s="70">
        <f>IFERROR(IF(D7="","",D7+E7),"")</f>
        <v>1347.29</v>
      </c>
      <c r="G7" s="70">
        <f>IFERROR(IF(D7="","",F7*MAX(12,'0. Supuestos'!$B$21)),"")</f>
        <v>18862.059999999998</v>
      </c>
      <c r="H7" s="45">
        <f>IFERROR(IF(D7="","",C7*$B$19),"")</f>
        <v>30.0</v>
      </c>
      <c r="I7" s="41">
        <f>IFERROR(IF(D7="","",H7*B7*$B$20),"")</f>
        <v>1380.0</v>
      </c>
      <c r="J7" s="29" t="inlineStr">
        <is>
          <t>Entrantes, postres, mise en place, boleado y friegue, 30 horas a la semana</t>
        </is>
      </c>
    </row>
    <row r="8">
      <c r="A8" s="29" t="inlineStr">
        <is>
          <t>Camarero/a encargado/a de sala y barra</t>
        </is>
      </c>
      <c r="B8" s="51" t="n">
        <v>1</v>
      </c>
      <c r="C8" s="53" t="n">
        <v>1</v>
      </c>
      <c r="D8" s="73" t="n">
        <v>1450</v>
      </c>
      <c r="E8" s="70">
        <f>IFERROR(IF(D8="","",D8*'0. Supuestos'!$B$20),"")</f>
        <v>478.5</v>
      </c>
      <c r="F8" s="70">
        <f>IFERROR(IF(D8="","",D8+E8),"")</f>
        <v>1928.5</v>
      </c>
      <c r="G8" s="70">
        <f>IFERROR(IF(D8="","",F8*MAX(12,'0. Supuestos'!$B$21)),"")</f>
        <v>26999.0</v>
      </c>
      <c r="H8" s="45">
        <f>IFERROR(IF(D8="","",C8*$B$19),"")</f>
        <v>40.0</v>
      </c>
      <c r="I8" s="41">
        <f>IFERROR(IF(D8="","",H8*B8*$B$20),"")</f>
        <v>1840.0</v>
      </c>
      <c r="J8" s="29" t="inlineStr">
        <is>
          <t>Todo el año: sala, barra, caja y reservas</t>
        </is>
      </c>
    </row>
    <row r="9">
      <c r="A9" s="29" t="inlineStr">
        <is>
          <t>Camarero/a de cenas y fines de semana</t>
        </is>
      </c>
      <c r="B9" s="51" t="n">
        <v>1</v>
      </c>
      <c r="C9" s="53" t="n">
        <v>0.625</v>
      </c>
      <c r="D9" s="73" t="n">
        <v>844</v>
      </c>
      <c r="E9" s="70">
        <f>IFERROR(IF(D9="","",D9*'0. Supuestos'!$B$20),"")</f>
        <v>278.52000000000004</v>
      </c>
      <c r="F9" s="70">
        <f>IFERROR(IF(D9="","",D9+E9),"")</f>
        <v>1122.52</v>
      </c>
      <c r="G9" s="70">
        <f>IFERROR(IF(D9="","",F9*MAX(12,'0. Supuestos'!$B$21)),"")</f>
        <v>15715.279999999999</v>
      </c>
      <c r="H9" s="45">
        <f>IFERROR(IF(D9="","",C9*$B$19),"")</f>
        <v>25.0</v>
      </c>
      <c r="I9" s="41">
        <f>IFERROR(IF(D9="","",H9*B9*$B$20),"")</f>
        <v>1150.0</v>
      </c>
      <c r="J9" s="29" t="inlineStr">
        <is>
          <t>25 horas a la semana: las cenas y el fin de semana, cuando la sala se llena</t>
        </is>
      </c>
    </row>
    <row r="10">
      <c r="A10" s="29" t="inlineStr">
        <is>
          <t>Refuerzo de viernes a domingo: sala, terraza y recogida</t>
        </is>
      </c>
      <c r="B10" s="51" t="n">
        <v>1</v>
      </c>
      <c r="C10" s="53" t="n">
        <v>0.5</v>
      </c>
      <c r="D10" s="73" t="n">
        <v>675</v>
      </c>
      <c r="E10" s="70">
        <f>IFERROR(IF(D10="","",D10*'0. Supuestos'!$B$20),"")</f>
        <v>222.75</v>
      </c>
      <c r="F10" s="70">
        <f>IFERROR(IF(D10="","",D10+E10),"")</f>
        <v>897.75</v>
      </c>
      <c r="G10" s="70">
        <f>IFERROR(IF(D10="","",F10*MAX(12,'0. Supuestos'!$B$21)),"")</f>
        <v>12568.5</v>
      </c>
      <c r="H10" s="45">
        <f>IFERROR(IF(D10="","",C10*$B$19),"")</f>
        <v>20.0</v>
      </c>
      <c r="I10" s="41">
        <f>IFERROR(IF(D10="","",H10*B10*$B$20),"")</f>
        <v>920.0</v>
      </c>
      <c r="J10" s="29" t="inlineStr">
        <is>
          <t>Sala y terraza en temporada, el mostrador de recogida y la tablet de las plataformas. Este plan NO tiene reparto propio: si lo pones, el repartidor va con contrato laboral del convenio de hostelería, nunca como autónomo</t>
        </is>
      </c>
    </row>
    <row r="11">
      <c r="A11" s="29" t="inlineStr">
        <is>
          <t>Suplencias de vacaciones y descansos</t>
        </is>
      </c>
      <c r="B11" s="51" t="n">
        <v>1</v>
      </c>
      <c r="C11" s="53" t="n">
        <v>0.1</v>
      </c>
      <c r="D11" s="73" t="n">
        <v>130</v>
      </c>
      <c r="E11" s="70">
        <f>IFERROR(IF(D11="","",D11*'0. Supuestos'!$B$20),"")</f>
        <v>42.9</v>
      </c>
      <c r="F11" s="70">
        <f>IFERROR(IF(D11="","",D11+E11),"")</f>
        <v>172.9</v>
      </c>
      <c r="G11" s="70">
        <f>IFERROR(IF(D11="","",F11*MAX(12,'0. Supuestos'!$B$21)),"")</f>
        <v>2420.6</v>
      </c>
      <c r="H11" s="45">
        <f>IFERROR(IF(D11="","",C11*$B$19),"")</f>
        <v>4.0</v>
      </c>
      <c r="I11" s="41">
        <f>IFERROR(IF(D11="","",H11*B11*$B$20),"")</f>
        <v>184.0</v>
      </c>
      <c r="J11" s="29" t="inlineStr">
        <is>
          <t>Cobertura de los 30 días de vacaciones (art. 38 ET) y del descanso semanal del equipo de todo el año</t>
        </is>
      </c>
    </row>
    <row r="12">
      <c r="A12" s="26" t="inlineStr">
        <is>
          <t>TOTAL PLANTILLA</t>
        </is>
      </c>
      <c r="B12" s="54">
        <f>IFERROR(IF(COUNT(D5:D11)=0,"",SUM(B5:B11)),"")</f>
        <v>7.0</v>
      </c>
      <c r="C12" s="55">
        <f>IFERROR(IF(COUNT(D5:D11)=0,"",SUM(C5:C11)),"")</f>
        <v>4.975</v>
      </c>
      <c r="D12" s="72">
        <f>IFERROR(IF(COUNT(D5:D11)=0,"",SUM(D5:D11)),"")</f>
        <v>7512.0</v>
      </c>
      <c r="E12" s="72">
        <f>IFERROR(IF(COUNT(D5:D11)=0,"",SUM(E5:E11)),"")</f>
        <v>2478.96</v>
      </c>
      <c r="F12" s="72">
        <f>IFERROR(IF(COUNT(D5:D11)=0,"",SUM(F5:F11)),"")</f>
        <v>9990.96</v>
      </c>
      <c r="G12" s="72">
        <f>IFERROR(IF(COUNT(D5:D11)=0,"",SUM(G5:G11)),"")</f>
        <v>139873.44</v>
      </c>
      <c r="H12" s="29" t="n"/>
      <c r="I12" s="54">
        <f>IFERROR(IF(COUNT(D5:D11)=0,"",SUM(I5:I11)),"")</f>
        <v>9154.0</v>
      </c>
      <c r="J12" s="29" t="n"/>
    </row>
    <row r="13">
      <c r="A13" s="26" t="inlineStr">
        <is>
          <t>CRECIMIENTO DE LA PLANTILLA (coste escalonado)</t>
        </is>
      </c>
      <c r="B13" s="29" t="n"/>
      <c r="C13" s="29" t="n"/>
      <c r="D13" s="29" t="n"/>
      <c r="E13" s="29" t="n"/>
      <c r="F13" s="29" t="n"/>
      <c r="G13" s="29" t="n"/>
      <c r="H13" s="29" t="n"/>
      <c r="I13" s="29" t="n"/>
      <c r="J13" s="29" t="n"/>
    </row>
    <row r="14">
      <c r="A14" s="29" t="inlineStr">
        <is>
          <t>Coste anual de las incorporaciones del año 2 (€)</t>
        </is>
      </c>
      <c r="B14" s="30" t="n">
        <v>6000</v>
      </c>
      <c r="C14" s="29" t="n"/>
      <c r="D14" s="29" t="n"/>
      <c r="E14" s="29" t="n"/>
      <c r="F14" s="29" t="n"/>
      <c r="G14" s="29" t="n"/>
      <c r="H14" s="29" t="n"/>
      <c r="I14" s="29" t="n"/>
      <c r="J14" s="29" t="inlineStr">
        <is>
          <t>Coste ANUAL completo (bruto + Seguridad Social × pagas) de lo que se contrate ese año. El P&amp;L lo suma al coste del año anterior: la plantilla no crece con un porcentaje, crece con personas</t>
        </is>
      </c>
    </row>
    <row r="15">
      <c r="A15" s="29" t="inlineStr">
        <is>
          <t>Coste anual de las incorporaciones del año 3 (€)</t>
        </is>
      </c>
      <c r="B15" s="30" t="n">
        <v>6000</v>
      </c>
      <c r="C15" s="29" t="n"/>
      <c r="D15" s="29" t="n"/>
      <c r="E15" s="29" t="n"/>
      <c r="F15" s="29" t="n"/>
      <c r="G15" s="29" t="n"/>
      <c r="H15" s="29" t="n"/>
      <c r="I15" s="29" t="n"/>
      <c r="J15" s="29" t="inlineStr">
        <is>
          <t>Coste ANUAL completo (bruto + Seguridad Social × pagas) de lo que se contrate ese año. El P&amp;L lo suma al coste del año anterior: la plantilla no crece con un porcentaje, crece con personas</t>
        </is>
      </c>
    </row>
    <row r="16">
      <c r="A16" s="29" t="inlineStr">
        <is>
          <t>Coste de personal del año 2</t>
        </is>
      </c>
      <c r="B16" s="33">
        <f>IFERROR(IF(G12="","",G12*(1+'0. Supuestos'!$B$48)+B14),"")</f>
        <v>145873.44</v>
      </c>
      <c r="C16" s="29" t="n"/>
      <c r="D16" s="29" t="n"/>
      <c r="E16" s="29" t="n"/>
      <c r="F16" s="29" t="n"/>
      <c r="G16" s="29" t="n"/>
      <c r="H16" s="29" t="n"/>
      <c r="I16" s="29" t="n"/>
      <c r="J16" s="29" t="n"/>
    </row>
    <row r="17">
      <c r="A17" s="29" t="inlineStr">
        <is>
          <t>Coste de personal del año 3</t>
        </is>
      </c>
      <c r="B17" s="33">
        <f>IFERROR(IF(B16="","",B16*(1+'0. Supuestos'!$B$48)+B15),"")</f>
        <v>151873.44</v>
      </c>
      <c r="C17" s="29" t="n"/>
      <c r="D17" s="29" t="n"/>
      <c r="E17" s="29" t="n"/>
      <c r="F17" s="29" t="n"/>
      <c r="G17" s="29" t="n"/>
      <c r="H17" s="29" t="n"/>
      <c r="I17" s="29" t="n"/>
      <c r="J17" s="29" t="n"/>
    </row>
    <row r="18">
      <c r="A18" s="26" t="inlineStr">
        <is>
          <t>COBERTURA POR HORAS DE SERVICIO</t>
        </is>
      </c>
      <c r="B18" s="29" t="n"/>
      <c r="C18" s="29" t="n"/>
      <c r="D18" s="29" t="n"/>
      <c r="E18" s="29" t="n"/>
      <c r="F18" s="29" t="n"/>
      <c r="G18" s="29" t="n"/>
      <c r="H18" s="29" t="n"/>
      <c r="I18" s="29" t="n"/>
      <c r="J18" s="29" t="n"/>
    </row>
    <row r="19">
      <c r="A19" s="29" t="inlineStr">
        <is>
          <t>Jornada completa del convenio (horas/semana)</t>
        </is>
      </c>
      <c r="B19" s="51" t="n">
        <v>40</v>
      </c>
      <c r="C19" s="29" t="n"/>
      <c r="D19" s="29" t="n"/>
      <c r="E19" s="29" t="n"/>
      <c r="F19" s="29" t="n"/>
      <c r="G19" s="29" t="n"/>
      <c r="H19" s="29" t="n"/>
      <c r="I19" s="29" t="n"/>
      <c r="J19" s="29" t="inlineStr">
        <is>
          <t>Art. 34.1 del Estatuto de los Trabajadores; tu convenio provincial puede fijar menos</t>
        </is>
      </c>
    </row>
    <row r="20">
      <c r="A20" s="29" t="inlineStr">
        <is>
          <t>Semanas trabajadas al año por persona</t>
        </is>
      </c>
      <c r="B20" s="51" t="n">
        <v>46</v>
      </c>
      <c r="C20" s="29" t="n"/>
      <c r="D20" s="29" t="n"/>
      <c r="E20" s="29" t="n"/>
      <c r="F20" s="29" t="n"/>
      <c r="G20" s="29" t="n"/>
      <c r="H20" s="29" t="n"/>
      <c r="I20" s="29" t="n"/>
      <c r="J20" s="29" t="inlineStr">
        <is>
          <t>46 semanas: 52 menos las vacaciones (30 días naturales, art. 38 ET), los festivos y las ausencias medias</t>
        </is>
      </c>
    </row>
    <row r="21">
      <c r="A21" s="29" t="inlineStr">
        <is>
          <t>Horas de servicio al día que hay que cubrir</t>
        </is>
      </c>
      <c r="B21" s="47" t="n">
        <v>8.5</v>
      </c>
      <c r="C21" s="29" t="n"/>
      <c r="D21" s="29" t="n"/>
      <c r="E21" s="29" t="n"/>
      <c r="F21" s="29" t="n"/>
      <c r="G21" s="29" t="n"/>
      <c r="H21" s="29" t="n"/>
      <c r="I21" s="29" t="n"/>
      <c r="J21" s="29" t="inlineStr">
        <is>
          <t>Horas con el local abierto al público, sumando las comidas (13:30-16:00) y las cenas (20:00-23:30) y la preparación de cada servicio. La tarde de cierre entre los dos no se cuenta</t>
        </is>
      </c>
    </row>
    <row r="22">
      <c r="A22" s="29" t="inlineStr">
        <is>
          <t>Personas necesarias a la vez en cada franja</t>
        </is>
      </c>
      <c r="B22" s="47" t="n">
        <v>3</v>
      </c>
      <c r="C22" s="29" t="n"/>
      <c r="D22" s="29" t="n"/>
      <c r="E22" s="29" t="n"/>
      <c r="F22" s="29" t="n"/>
      <c r="G22" s="29" t="n"/>
      <c r="H22" s="29" t="n"/>
      <c r="I22" s="29" t="n"/>
      <c r="J22" s="29" t="inlineStr">
        <is>
          <t>Presencia media a la vez entre el horno, el estirado o el ayudante y la sala. El sábado por la noche hacen falta cinco: entran el refuerzo y el camarero de cenas</t>
        </is>
      </c>
    </row>
    <row r="23">
      <c r="A23" s="29" t="inlineStr">
        <is>
          <t>Horas de producción al día ANTES de abrir</t>
        </is>
      </c>
      <c r="B23" s="47" t="n">
        <v>2.5</v>
      </c>
      <c r="C23" s="29" t="n"/>
      <c r="D23" s="29" t="n"/>
      <c r="E23" s="29" t="n"/>
      <c r="F23" s="29" t="n"/>
      <c r="G23" s="29" t="n"/>
      <c r="H23" s="29" t="n"/>
      <c r="I23" s="29" t="n"/>
      <c r="J23" s="29" t="inlineStr">
        <is>
          <t>Masa, salsa y mise en place antes de abrir, y el encendido del horno, que tarda una hora y media o dos en llegar a temperatura</t>
        </is>
      </c>
    </row>
    <row r="24">
      <c r="A24" s="29" t="inlineStr">
        <is>
          <t>Personas en el turno de producción</t>
        </is>
      </c>
      <c r="B24" s="47" t="n">
        <v>1.5</v>
      </c>
      <c r="C24" s="29" t="n"/>
      <c r="D24" s="29" t="n"/>
      <c r="E24" s="29" t="n"/>
      <c r="F24" s="29" t="n"/>
      <c r="G24" s="29" t="n"/>
      <c r="H24" s="29" t="n"/>
      <c r="I24" s="29" t="n"/>
      <c r="J24" s="29" t="inlineStr">
        <is>
          <t>El titular con el ayudante. El cierre, la limpieza y las compras quedan fuera de este cuadrante: son el margen entre las horas contratadas y las necesarias</t>
        </is>
      </c>
    </row>
    <row r="25">
      <c r="A25" s="29" t="inlineStr">
        <is>
          <t>Horas de servicio a cubrir al año</t>
        </is>
      </c>
      <c r="B25" s="41">
        <f>IFERROR(IF(OR(B21="",B22="",'0. Supuestos'!$B$6=""),"",B21*B22*'0. Supuestos'!$B$6+B23*B24*'0. Supuestos'!$B$6),"")</f>
        <v>8775.0</v>
      </c>
      <c r="C25" s="29" t="n"/>
      <c r="D25" s="29" t="n"/>
      <c r="E25" s="29" t="n"/>
      <c r="F25" s="29" t="n"/>
      <c r="G25" s="29" t="n"/>
      <c r="H25" s="29" t="n"/>
      <c r="I25" s="29" t="n"/>
      <c r="J25" s="29" t="n"/>
    </row>
    <row r="26">
      <c r="A26" s="29" t="inlineStr">
        <is>
          <t>Horas contratadas al año</t>
        </is>
      </c>
      <c r="B26" s="41">
        <f>IFERROR(IF(I12="","",I12),"")</f>
        <v>9154.0</v>
      </c>
      <c r="C26" s="29" t="n"/>
      <c r="D26" s="29" t="n"/>
      <c r="E26" s="29" t="n"/>
      <c r="F26" s="29" t="n"/>
      <c r="G26" s="29" t="n"/>
      <c r="H26" s="29" t="n"/>
      <c r="I26" s="29" t="n"/>
      <c r="J26" s="29" t="n"/>
    </row>
    <row r="27">
      <c r="A27" s="26" t="inlineStr">
        <is>
          <t>Cobertura (contratadas / necesarias)</t>
        </is>
      </c>
      <c r="B27" s="67">
        <f>IFERROR(B26/B25,"")</f>
        <v>1.0431908831908832</v>
      </c>
      <c r="C27" s="29" t="n"/>
      <c r="D27" s="29" t="n"/>
      <c r="E27" s="29" t="n"/>
      <c r="F27" s="29" t="n"/>
      <c r="G27" s="29" t="n"/>
      <c r="H27" s="29" t="n"/>
      <c r="I27" s="29" t="n"/>
      <c r="J27" s="26" t="inlineStr">
        <is>
          <t>Por debajo del 100 % la plantilla no llega a cubrir el horario que declara el plan: o se contrata más o se recorta el horario</t>
        </is>
      </c>
    </row>
    <row r="28">
      <c r="A28" s="29" t="n"/>
      <c r="B28" s="29" t="n"/>
      <c r="C28" s="29" t="n"/>
      <c r="D28" s="29" t="n"/>
      <c r="E28" s="29" t="n"/>
      <c r="F28" s="29" t="n"/>
      <c r="G28" s="29" t="n"/>
      <c r="H28" s="29" t="n"/>
      <c r="I28" s="29" t="n"/>
      <c r="J28" s="29" t="n"/>
    </row>
    <row r="29" ht="150" customHeight="1">
      <c r="A29" s="48"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9" s="29" t="n"/>
      <c r="C29" s="29" t="n"/>
      <c r="D29" s="29" t="n"/>
      <c r="E29" s="29" t="n"/>
      <c r="F29" s="29" t="n"/>
      <c r="G29" s="29" t="n"/>
      <c r="H29" s="29" t="n"/>
      <c r="I29" s="29" t="n"/>
      <c r="J29" s="29" t="n"/>
    </row>
    <row r="30" ht="150" customHeight="1">
      <c r="A30" s="48"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30" s="29" t="n"/>
      <c r="C30" s="29" t="n"/>
      <c r="D30" s="29" t="n"/>
      <c r="E30" s="29" t="n"/>
      <c r="F30" s="29" t="n"/>
      <c r="G30" s="29" t="n"/>
      <c r="H30" s="29" t="n"/>
      <c r="I30" s="29" t="n"/>
      <c r="J30"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Supuestos'!$B$21&lt;MAX('0. Supuestos'!$B$22,'0. Supuestos'!$B$68)*C5)</formula>
    </cfRule>
  </conditionalFormatting>
  <dataValidations count="3">
    <dataValidation sqref="B5 B6 B7 B8 B9 B10 B11 B14 B15 B19 B20 B21 B23 D5 D6 D7 D8 D9 D10 D11" showDropDown="0" showInputMessage="0" showErrorMessage="1" allowBlank="1" errorTitle="Importe no válido" error="Escribe un número mayor o igual que 0." type="decimal" operator="greaterThanOrEqual">
      <formula1>0</formula1>
    </dataValidation>
    <dataValidation sqref="B22 B24"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C9 C10 C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INSTRUCCIONES DE USO — Plan financiero Pizzería Napolitana</t>
        </is>
      </c>
      <c r="B1" s="29" t="n"/>
      <c r="C1" s="29" t="n"/>
      <c r="D1" s="29" t="n"/>
      <c r="E1" s="29" t="n"/>
    </row>
    <row r="2">
      <c r="A2" s="29" t="n"/>
      <c r="B2" s="29" t="n"/>
      <c r="C2" s="29" t="n"/>
      <c r="D2" s="29" t="n"/>
      <c r="E2" s="29" t="n"/>
    </row>
    <row r="3">
      <c r="A3" s="40" t="inlineStr">
        <is>
          <t>CÓMO SE USA ESTE LIBRO</t>
        </is>
      </c>
      <c r="B3" s="29" t="n"/>
      <c r="C3" s="29" t="n"/>
      <c r="D3" s="29" t="n"/>
      <c r="E3" s="29" t="n"/>
    </row>
    <row r="4" ht="30" customHeight="1">
      <c r="A4" s="48" t="inlineStr">
        <is>
          <t>Este plan financiero es un MODELO: sólo se teclea en las celdas VERDES y el resto se recalcula solo.</t>
        </is>
      </c>
      <c r="B4" s="29" t="n"/>
      <c r="C4" s="29" t="n"/>
      <c r="D4" s="29" t="n"/>
      <c r="E4" s="29" t="n"/>
    </row>
    <row r="5" ht="45" customHeight="1">
      <c r="A5" s="48" t="inlineStr">
        <is>
          <t>1. «0. Supuestos» es la hoja de mando: comensales, ticket sin IVA, días de apertura, mezcla de comida y bebida, coste de mercancía, alquiler, financiación e impuestos.</t>
        </is>
      </c>
      <c r="B5" s="29" t="n"/>
      <c r="C5" s="29" t="n"/>
      <c r="D5" s="29" t="n"/>
      <c r="E5" s="29" t="n"/>
    </row>
    <row r="6" ht="45" customHeight="1">
      <c r="A6" s="48" t="inlineStr">
        <is>
          <t>2. Las partidas de la inversión, los costes fijos y la plantilla se teclean en su propia hoja, también en verde. Ningún número se escribe dos veces.</t>
        </is>
      </c>
      <c r="B6" s="29" t="n"/>
      <c r="C6" s="29" t="n"/>
      <c r="D6" s="29" t="n"/>
      <c r="E6" s="29" t="n"/>
    </row>
    <row r="7" ht="105" customHeight="1">
      <c r="A7" s="48" t="inlineStr">
        <is>
          <t>3. En «Punto Equilibrio» sólo se teclea el techo de rotaciones que da tu local; todo lo demás se deriva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9" t="n"/>
      <c r="C7" s="29" t="n"/>
      <c r="D7" s="29" t="n"/>
      <c r="E7" s="29" t="n"/>
    </row>
    <row r="8" ht="225" customHeight="1">
      <c r="A8" s="48" t="inlineStr">
        <is>
          <t>4. Todas las cifras van SIN IVA. Para pasar un PVP a precio sin IVA, divide por el tipo que le corresponda: entre 1,10 en sala (comida y bebida, alcohol incluido: art. 91.Uno.2.2.º de la Ley 37/1992 del IVA) y, cuando se venden para llevar, los alimentos —las pizzas incluidas—, que son productos alimenticios al tipo reducido por el art. 91.Uno.1.1.º; y entre 1,21 el tipo general, que en hostelería sólo alcanza a lo que sale del local como entrega de bienes excluida del reducido: el alcohol y los refrescos o zumos con azúcares o edulcorantes añadidos para llevar o a domicilio (la comida para llevar sigue al 10 %); el libro lo aplica a la parte de la bebida que declara la columna H de su línea en el P&amp;L. El tipo de cada línea de venta está en la columna «Tipo de IVA de la línea» del P&amp;L y de ahí salen los cobros, el IVA repercutido y el PVP equivalente. El IVA de la inversión se adelanta y se recupera con el modelo 303.</t>
        </is>
      </c>
      <c r="B8" s="29" t="n"/>
      <c r="C8" s="29" t="n"/>
      <c r="D8" s="29" t="n"/>
      <c r="E8" s="29" t="n"/>
    </row>
    <row r="9" ht="30" customHeight="1">
      <c r="A9" s="48" t="inlineStr">
        <is>
          <t>5. Si cambias la plantilla, el P&amp;L la lee sola: el coste de personal sale de la hoja «Personal», no de una estimación aparte.</t>
        </is>
      </c>
      <c r="B9" s="29" t="n"/>
      <c r="C9" s="29" t="n"/>
      <c r="D9" s="29" t="n"/>
      <c r="E9" s="29" t="n"/>
    </row>
    <row r="10" ht="75" customHeight="1">
      <c r="A10" s="48" t="inlineStr">
        <is>
          <t>6. La hoja «Tesorería 12 meses» responde la pregunta que decide una operación bancaria: en qué mes se agota la caja. Su Mes 1 es SEPTIEMBRE: el plan abre después del verano para llegar a la Navidad con clientela y a enero y febrero con el fondo intacto. El saldo mínimo del año nunca puede salir en rojo.</t>
        </is>
      </c>
      <c r="B10" s="29" t="n"/>
      <c r="C10" s="29" t="n"/>
      <c r="D10" s="29" t="n"/>
      <c r="E10" s="29" t="n"/>
    </row>
    <row r="11" ht="45" customHeight="1">
      <c r="A11" s="48" t="inlineStr">
        <is>
          <t>7. La hoja «Financiación» cuadra lo que hace falta con lo que se aporta y monta el cuadro de amortización del préstamo. Si la diferencia sale en rojo, el plan no está financiado.</t>
        </is>
      </c>
      <c r="B11" s="29" t="n"/>
      <c r="C11" s="29" t="n"/>
      <c r="D11" s="29" t="n"/>
      <c r="E11" s="29" t="n"/>
    </row>
    <row r="12" ht="135" customHeight="1">
      <c r="A12" s="48" t="inlineStr">
        <is>
          <t>8. El plan de negocio en Word de este pack cita las cifras de este Excel: si cambias una celda verde, el Excel manda. La calculadora de masa y escandallo del pack va aparte y sirve para ESCANDALLAR cada pizza: no copies el food cost de una pizza en la hoja de Supuestos. La celda «Coste de mercancía sobre las ventas de COMIDA» es la media ponderada de TODA la carta (pizzas, entrantes y postres, cada uno por lo que vende) más la merma, y por eso sale bastante más alta que el food cost de la Margherita. Con los escandallos de tu carta, comprueba que esa media cuadra.</t>
        </is>
      </c>
      <c r="B12" s="29" t="n"/>
      <c r="C12" s="29" t="n"/>
      <c r="D12" s="29" t="n"/>
      <c r="E12" s="29" t="n"/>
    </row>
    <row r="13">
      <c r="A13" s="29" t="n"/>
      <c r="B13" s="29" t="n"/>
      <c r="C13" s="29" t="n"/>
      <c r="D13" s="29" t="n"/>
      <c r="E13" s="29" t="n"/>
    </row>
    <row r="14">
      <c r="A14" s="26" t="inlineStr">
        <is>
          <t>RATIOS QUE AUDITA EL LIBRO</t>
        </is>
      </c>
      <c r="B14" s="29" t="n"/>
      <c r="C14" s="29" t="n"/>
      <c r="D14" s="29" t="n"/>
      <c r="E14" s="29" t="n"/>
    </row>
    <row r="15" ht="30" customHeight="1">
      <c r="A15" s="48" t="inlineStr">
        <is>
          <t>Los umbrales viven en la columna «Umbral» del bloque RATIOS CLAVE del P&amp;L: cámbialos ahí y el semáforo cambia con ellos.</t>
        </is>
      </c>
      <c r="B15" s="29" t="n"/>
      <c r="C15" s="29" t="n"/>
      <c r="D15" s="29" t="n"/>
      <c r="E15" s="29" t="n"/>
    </row>
    <row r="16">
      <c r="A16" s="29" t="n"/>
      <c r="B16" s="29" t="n"/>
      <c r="C16" s="29" t="n"/>
      <c r="D16" s="29" t="n"/>
      <c r="E16" s="29" t="n"/>
    </row>
    <row r="17">
      <c r="A17" s="26" t="inlineStr">
        <is>
          <t>Ratio</t>
        </is>
      </c>
      <c r="B17" s="26" t="inlineStr">
        <is>
          <t>Valor del año 1</t>
        </is>
      </c>
      <c r="C17" s="26" t="inlineStr">
        <is>
          <t>Umbral</t>
        </is>
      </c>
      <c r="D17" s="26" t="inlineStr">
        <is>
          <t>Estado</t>
        </is>
      </c>
      <c r="E17" s="29" t="n"/>
    </row>
    <row r="18">
      <c r="A18" s="29" t="inlineStr">
        <is>
          <t>Coste de mercancía / Ventas</t>
        </is>
      </c>
      <c r="B18" s="68">
        <f>IFERROR(IF('PyG 3 Años'!$B$52="","",'PyG 3 Años'!$B$52),"")</f>
        <v>0.24130000000000001</v>
      </c>
      <c r="C18" s="68">
        <f>IFERROR(IF('PyG 3 Años'!$E$52="","",'PyG 3 Años'!$E$52),"")</f>
        <v>0.27</v>
      </c>
      <c r="D18" s="29" t="str">
        <f>IFERROR(IF(OR(B18="",C18=""),"",IF(B18&lt;=C18,"CUMPLE","REVISAR")),"")</f>
        <v>CUMPLE</v>
      </c>
      <c r="E18" s="29" t="n"/>
    </row>
    <row r="19">
      <c r="A19" s="29" t="inlineStr">
        <is>
          <t>Coste de personal / Ventas</t>
        </is>
      </c>
      <c r="B19" s="68">
        <f>IFERROR(IF('PyG 3 Años'!$B$53="","",'PyG 3 Años'!$B$53),"")</f>
        <v>0.3622725718725719</v>
      </c>
      <c r="C19" s="68">
        <f>IFERROR(IF('PyG 3 Años'!$E$53="","",'PyG 3 Años'!$E$53),"")</f>
        <v>0.38</v>
      </c>
      <c r="D19" s="29" t="str">
        <f>IFERROR(IF(OR(B19="",C19=""),"",IF(B19&lt;=C19,"CUMPLE","REVISAR")),"")</f>
        <v>CUMPLE</v>
      </c>
      <c r="E19" s="29" t="n"/>
    </row>
    <row r="20">
      <c r="A20" s="29" t="inlineStr">
        <is>
          <t>Alquiler / Ventas</t>
        </is>
      </c>
      <c r="B20" s="68">
        <f>IFERROR(IF('PyG 3 Años'!$B$54="","",'PyG 3 Años'!$B$54),"")</f>
        <v>0.06526806526806526</v>
      </c>
      <c r="C20" s="68">
        <f>IFERROR(IF('PyG 3 Años'!$E$54="","",'PyG 3 Años'!$E$54),"")</f>
        <v>0.1</v>
      </c>
      <c r="D20" s="29" t="str">
        <f>IFERROR(IF(OR(B20="",C20=""),"",IF(B20&lt;=C20,"CUMPLE","REVISAR")),"")</f>
        <v>CUMPLE</v>
      </c>
      <c r="E20" s="29" t="n"/>
    </row>
    <row r="21">
      <c r="A21" s="29" t="inlineStr">
        <is>
          <t>Resultado neto / Ventas</t>
        </is>
      </c>
      <c r="B21" s="68">
        <f>IFERROR(IF('PyG 3 Años'!$B$55="","",'PyG 3 Años'!$B$55),"")</f>
        <v>0.08545973970473969</v>
      </c>
      <c r="C21" s="68">
        <f>IFERROR(IF('PyG 3 Años'!$E$55="","",'PyG 3 Años'!$E$55),"")</f>
        <v>0.05</v>
      </c>
      <c r="D21" s="29" t="str">
        <f>IFERROR(IF(OR(B21="",C21=""),"",IF(B21&gt;=C21,"CUMPLE","REVISAR")),"")</f>
        <v>CUMPLE</v>
      </c>
      <c r="E21" s="29" t="n"/>
    </row>
    <row r="22">
      <c r="A22" s="29" t="inlineStr">
        <is>
          <t>Margen bruto / Ventas</t>
        </is>
      </c>
      <c r="B22" s="68">
        <f>IFERROR(IF('PyG 3 Años'!$B$50="","",'PyG 3 Años'!$B$50),"")</f>
        <v>0.6707</v>
      </c>
      <c r="C22" s="68">
        <f>IFERROR(IF('PyG 3 Años'!$E$50="","",'PyG 3 Años'!$E$50),"")</f>
        <v>0.65</v>
      </c>
      <c r="D22" s="29" t="str">
        <f>IFERROR(IF(OR(B22="",C22=""),"",IF(B22&gt;=C22,"CUMPLE","REVISAR")),"")</f>
        <v>CUMPLE</v>
      </c>
      <c r="E22" s="29" t="n"/>
    </row>
    <row r="23">
      <c r="A23" s="29" t="n"/>
      <c r="B23" s="29" t="n"/>
      <c r="C23" s="29" t="n"/>
      <c r="D23" s="29" t="n"/>
      <c r="E23" s="29" t="n"/>
    </row>
    <row r="24">
      <c r="A24" s="26" t="inlineStr">
        <is>
          <t>CIFRAS DE ESTE PLAN</t>
        </is>
      </c>
      <c r="B24" s="29" t="n"/>
      <c r="C24" s="29" t="n"/>
      <c r="D24" s="29" t="n"/>
      <c r="E24" s="29" t="n"/>
    </row>
    <row r="25">
      <c r="A25" s="29" t="inlineStr">
        <is>
          <t>Inversión total (suma de los bloques)</t>
        </is>
      </c>
      <c r="B25" s="33">
        <f>IFERROR(IF('Inversión Inicial'!$B$30="","",'Inversión Inicial'!$B$30),"")</f>
        <v>194953.36000000002</v>
      </c>
      <c r="C25" s="29" t="n"/>
      <c r="D25" s="29" t="n"/>
      <c r="E25" s="29" t="n"/>
    </row>
    <row r="26">
      <c r="A26" s="29" t="inlineStr">
        <is>
          <t>Necesidad total de caja al arranque</t>
        </is>
      </c>
      <c r="B26" s="33">
        <f>IFERROR(IF('Inversión Inicial'!$B$33="","",'Inversión Inicial'!$B$33),"")</f>
        <v>222893.86000000002</v>
      </c>
      <c r="C26" s="29" t="n"/>
      <c r="D26" s="29" t="n"/>
      <c r="E26" s="29" t="n"/>
    </row>
    <row r="27">
      <c r="A27" s="29" t="inlineStr">
        <is>
          <t>Fondo de maniobra dotado</t>
        </is>
      </c>
      <c r="B27" s="33">
        <f>IFERROR(IF('Inversión Inicial'!$B$29="","",'Inversión Inicial'!$B$29),"")</f>
        <v>52103.36000000001</v>
      </c>
      <c r="C27" s="29" t="n"/>
      <c r="D27" s="29" t="n"/>
      <c r="E27" s="29" t="n"/>
    </row>
    <row r="28">
      <c r="A28" s="29" t="inlineStr">
        <is>
          <t>Facturación prevista del año 1</t>
        </is>
      </c>
      <c r="B28" s="33">
        <f>IFERROR(IF('PyG 3 Años'!$B$9="","",'PyG 3 Años'!$B$9),"")</f>
        <v>386100.0</v>
      </c>
      <c r="C28" s="29" t="n"/>
      <c r="D28" s="29" t="n"/>
      <c r="E28" s="29" t="n"/>
    </row>
    <row r="29">
      <c r="A29" s="29" t="inlineStr">
        <is>
          <t>Resultado neto del año 1</t>
        </is>
      </c>
      <c r="B29" s="33">
        <f>IFERROR(IF('PyG 3 Años'!$B$47="","",'PyG 3 Años'!$B$47),"")</f>
        <v>32996.00549999999</v>
      </c>
      <c r="C29" s="29" t="n"/>
      <c r="D29" s="29" t="n"/>
      <c r="E29" s="29" t="n"/>
    </row>
    <row r="30">
      <c r="A30" s="29" t="inlineStr">
        <is>
          <t>Comensales/día para el punto de equilibrio CONTABLE (con la amortización dentro)</t>
        </is>
      </c>
      <c r="B30" s="45">
        <f>IFERROR(IF('Punto Equilibrio'!$B$15="","",'Punto Equilibrio'!$B$15),"")</f>
        <v>56.106310666620786</v>
      </c>
      <c r="C30" s="29" t="n"/>
      <c r="D30" s="29" t="n"/>
      <c r="E30" s="29" t="n"/>
    </row>
    <row r="31">
      <c r="A31" s="29" t="inlineStr">
        <is>
          <t>Payback del proyecto (años), antes de la deuda</t>
        </is>
      </c>
      <c r="B31" s="29" t="str">
        <f>IFERROR(IF('Tesorería 12 meses'!$B$31="","",'Tesorería 12 meses'!$B$31),"")</f>
        <v>Más de 3 años</v>
      </c>
      <c r="C31" s="29" t="n"/>
      <c r="D31" s="29" t="n"/>
      <c r="E31" s="29" t="n"/>
    </row>
    <row r="32">
      <c r="A32" s="29" t="n"/>
      <c r="B32" s="29" t="n"/>
      <c r="C32" s="29" t="n"/>
      <c r="D32" s="29" t="n"/>
      <c r="E32" s="29" t="n"/>
    </row>
    <row r="33">
      <c r="A33" s="26" t="inlineStr">
        <is>
          <t>DATOS DE REFERENCIA DEL SECTOR</t>
        </is>
      </c>
      <c r="B33" s="29" t="n"/>
      <c r="C33" s="29" t="n"/>
      <c r="D33" s="29" t="n"/>
      <c r="E33" s="29" t="n"/>
    </row>
    <row r="34">
      <c r="A34" s="26" t="inlineStr">
        <is>
          <t>Referencia</t>
        </is>
      </c>
      <c r="B34" s="26" t="inlineStr">
        <is>
          <t>Valor</t>
        </is>
      </c>
      <c r="C34" s="26" t="inlineStr">
        <is>
          <t>Fuente</t>
        </is>
      </c>
      <c r="D34" s="26" t="inlineStr">
        <is>
          <t>Nota</t>
        </is>
      </c>
      <c r="E34" s="29" t="n"/>
    </row>
    <row r="35" ht="45" customHeight="1">
      <c r="A35" s="29" t="inlineStr">
        <is>
          <t>Mes 1 del plan</t>
        </is>
      </c>
      <c r="B35" s="29" t="inlineStr">
        <is>
          <t>Septiembre</t>
        </is>
      </c>
      <c r="C35" s="29" t="inlineStr">
        <is>
          <t>Decisión del plan</t>
        </is>
      </c>
      <c r="D35" s="48" t="inlineStr">
        <is>
          <t>La rampa cae en meses medios y altos, la Navidad llega con clientela y enero y febrero, con el fondo intacto. La fila de estacionalidad de la Tesorería ya va girada</t>
        </is>
      </c>
      <c r="E35" s="29" t="n"/>
    </row>
    <row r="36" ht="60" customHeight="1">
      <c r="A36" s="29" t="inlineStr">
        <is>
          <t>Coste de la Margherita</t>
        </is>
      </c>
      <c r="B36" s="29" t="inlineStr">
        <is>
          <t>Un 15 % de su precio sin IVA</t>
        </is>
      </c>
      <c r="C36" s="29" t="inlineStr">
        <is>
          <t>Estimación del kit con los gramajes del pliego de la ETG (Reglamento (UE) 97/2010)</t>
        </is>
      </c>
      <c r="D36" s="48" t="inlineStr">
        <is>
          <t>Masa, tomate, fior di latte, aceite y albahaca: unos 1,32 € con merma sobre 9,09 € sin IVA, según la calculadora del pack. Con búfala, burrata o embutido italiano, un 20-28 %</t>
        </is>
      </c>
      <c r="E36" s="29" t="n"/>
    </row>
    <row r="37" ht="15" customHeight="1">
      <c r="A37" s="29" t="inlineStr">
        <is>
          <t>Margherita en carta</t>
        </is>
      </c>
      <c r="B37" s="29" t="inlineStr">
        <is>
          <t>10,90 € con IVA (mediana)</t>
        </is>
      </c>
      <c r="C37" s="29" t="inlineStr">
        <is>
          <t>Cartas de 14 pizzerías de Madrid, Barcelona, Valencia, Marbella y Tenerife, octubre de 2026</t>
        </is>
      </c>
      <c r="D37" s="48" t="inlineStr">
        <is>
          <t>10,50-12,90 € en Madrid y Barcelona; 8-9 € en Canarias</t>
        </is>
      </c>
      <c r="E37" s="29" t="n"/>
    </row>
    <row r="38" ht="45" customHeight="1">
      <c r="A38" s="29" t="inlineStr">
        <is>
          <t>Masa del pliego de la ETG «Pizza Napoletana»</t>
        </is>
      </c>
      <c r="B38" s="29" t="inlineStr">
        <is>
          <t>1 l de agua, 1.800 g de harina, 50-55 g de sal, 3 g de levadura</t>
        </is>
      </c>
      <c r="C38" s="29" t="inlineStr">
        <is>
          <t>Reglamento (UE) 97/2010, anexo II, apartado 3</t>
        </is>
      </c>
      <c r="D38" s="48" t="inlineStr">
        <is>
          <t>Un 55,6 % de hidratación; bolas de 180-250 g; 2 h de primera fermentación y 4-6 h de segunda a temperatura ambiente</t>
        </is>
      </c>
      <c r="E38" s="29" t="n"/>
    </row>
    <row r="39">
      <c r="A39" s="29" t="inlineStr">
        <is>
          <t>Cocción del pliego</t>
        </is>
      </c>
      <c r="B39" s="29" t="inlineStr">
        <is>
          <t>Solera a unos 485 °C y bóveda a unos 430 °C, 60-90 s</t>
        </is>
      </c>
      <c r="C39" s="29" t="inlineStr">
        <is>
          <t>Reglamento (UE) 97/2010, anexo II</t>
        </is>
      </c>
      <c r="D39" s="48" t="inlineStr">
        <is>
          <t>Exclusivamente en horno de leña</t>
        </is>
      </c>
      <c r="E39" s="29" t="n"/>
    </row>
    <row r="40" ht="45" customHeight="1">
      <c r="A40" s="29" t="inlineStr">
        <is>
          <t>Nombre «pizza napoletana» (también traducido)</t>
        </is>
      </c>
      <c r="B40" s="29" t="inlineStr">
        <is>
          <t>Reservado desde el 18-12-2022</t>
        </is>
      </c>
      <c r="C40" s="29" t="inlineStr">
        <is>
          <t>Reglamento de Ejecución (UE) 2022/2313 y Reglamento (UE) 2024/1143, art. 68.1</t>
        </is>
      </c>
      <c r="D40" s="48" t="inlineStr">
        <is>
          <t>Sólo para la pizza que cumple el pliego y pasó la verificación oficial. La carta del caso usa «Margherita», «Marinara»…</t>
        </is>
      </c>
      <c r="E40" s="29" t="n"/>
    </row>
    <row r="41" ht="30" customHeight="1">
      <c r="A41" s="29" t="inlineStr">
        <is>
          <t>Comisión de la plataforma con su reparto</t>
        </is>
      </c>
      <c r="B41" s="29" t="inlineStr">
        <is>
          <t>25-35 % más IVA</t>
        </is>
      </c>
      <c r="C41" s="29" t="inlineStr">
        <is>
          <t>Guías del sector, 2025-2026: compruébalo en tu contrato</t>
        </is>
      </c>
      <c r="D41" s="48" t="inlineStr">
        <is>
          <t>El plan básico de Uber Eats ronda el 30 %. La recogida en el local no paga comisión</t>
        </is>
      </c>
      <c r="E41" s="29" t="n"/>
    </row>
    <row r="42" ht="45" customHeight="1">
      <c r="A42" s="29" t="inlineStr">
        <is>
          <t>IVA de la pizza</t>
        </is>
      </c>
      <c r="B42" s="29" t="inlineStr">
        <is>
          <t>10 %</t>
        </is>
      </c>
      <c r="C42" s="29" t="inlineStr">
        <is>
          <t>Ley 37/1992, art. 91.Uno.1.1.º y 2.2.º</t>
        </is>
      </c>
      <c r="D42" s="48" t="inlineStr">
        <is>
          <t>En sala, para llevar y a domicilio. El alcohol y los refrescos con azúcares o edulcorantes añadidos que salen del local, al 21 %</t>
        </is>
      </c>
      <c r="E42" s="29" t="n"/>
    </row>
    <row r="43">
      <c r="A43" s="29" t="inlineStr">
        <is>
          <t>Salario mínimo interprofesional 2026</t>
        </is>
      </c>
      <c r="B43" s="29" t="inlineStr">
        <is>
          <t>1.221 € al mes en 14 pagas</t>
        </is>
      </c>
      <c r="C43" s="29" t="inlineStr">
        <is>
          <t>Real Decreto 126/2026</t>
        </is>
      </c>
      <c r="D43" s="48" t="inlineStr">
        <is>
          <t>A prorrata en jornada parcial</t>
        </is>
      </c>
      <c r="E43" s="29" t="n"/>
    </row>
    <row r="44" ht="30" customHeight="1">
      <c r="A44" s="29" t="inlineStr">
        <is>
          <t>Coste de personal sobre ventas</t>
        </is>
      </c>
      <c r="B44" s="29" t="inlineStr">
        <is>
          <t>34-38 %</t>
        </is>
      </c>
      <c r="C44" s="29" t="inlineStr">
        <is>
          <t>Estimación del kit</t>
        </is>
      </c>
      <c r="D44" s="48" t="inlineStr">
        <is>
          <t>Con el titular de pizzaiolo y un segundo pizzaiolo: el pizzaiolo único es un riesgo, no un ahorro</t>
        </is>
      </c>
      <c r="E44" s="29" t="n"/>
    </row>
    <row r="45" ht="30" customHeight="1">
      <c r="A45" s="29" t="inlineStr">
        <is>
          <t>Alquiler sobre ventas</t>
        </is>
      </c>
      <c r="B45" s="29" t="inlineStr">
        <is>
          <t>6-10 %</t>
        </is>
      </c>
      <c r="C45" s="29" t="inlineStr">
        <is>
          <t>Estimación del kit</t>
        </is>
      </c>
      <c r="D45" s="48" t="inlineStr">
        <is>
          <t>Un local con salida de humos a cubierta cuesta más encontrarlo que pagarlo</t>
        </is>
      </c>
      <c r="E45" s="29" t="n"/>
    </row>
    <row r="46" ht="30" customHeight="1">
      <c r="A46" s="29" t="inlineStr">
        <is>
          <t>Leña del horno</t>
        </is>
      </c>
      <c r="B46" s="29" t="inlineStr">
        <is>
          <t>Unos 3.600 € al año</t>
        </is>
      </c>
      <c r="C46" s="29" t="inlineStr">
        <is>
          <t>Estimación del kit</t>
        </is>
      </c>
      <c r="D46" s="48" t="inlineStr">
        <is>
          <t>Unos 5 kg por hora de fuego, 11 horas al día y 300 días. Va como coste FIJO: se quema por hora, no por pizza</t>
        </is>
      </c>
      <c r="E46" s="29" t="n"/>
    </row>
    <row r="47" ht="30" customHeight="1">
      <c r="A47" s="29" t="inlineStr">
        <is>
          <t>Convenio colectivo aplicable</t>
        </is>
      </c>
      <c r="B47" s="29" t="inlineStr">
        <is>
          <t>Provincial de hostelería</t>
        </is>
      </c>
      <c r="C47" s="29" t="inlineStr">
        <is>
          <t>VI Acuerdo Laboral de ámbito Estatal para el sector de Hostelería, art. 4</t>
        </is>
      </c>
      <c r="D47" s="48" t="inlineStr">
        <is>
          <t>Nombra las pizzerías y el reparto propio. Copia tu tabla salarial en la celda de Supuestos</t>
        </is>
      </c>
      <c r="E47" s="29" t="n"/>
    </row>
    <row r="48">
      <c r="A48" s="29" t="n"/>
      <c r="B48" s="29" t="n"/>
      <c r="C48" s="29" t="n"/>
      <c r="D48" s="29" t="n"/>
      <c r="E48" s="29" t="n"/>
    </row>
    <row r="49">
      <c r="A49" s="75" t="inlineStr">
        <is>
          <t>Para editar una celda que no esté en verde: Revisar → Desproteger hoja (no tiene contraseña).</t>
        </is>
      </c>
      <c r="B49" s="29" t="n"/>
      <c r="C49" s="29" t="n"/>
      <c r="D49" s="29" t="n"/>
      <c r="E49" s="29" t="n"/>
    </row>
    <row r="50">
      <c r="A50" s="75" t="inlineStr">
        <is>
          <t>Más plantillas y kits del catálogo en aichef.pro/productos-digitales</t>
        </is>
      </c>
      <c r="B50" s="29" t="n"/>
      <c r="C50" s="29" t="n"/>
      <c r="D50" s="29" t="n"/>
      <c r="E50" s="29" t="n"/>
    </row>
    <row r="51">
      <c r="A51" s="75" t="inlineStr">
        <is>
          <t>Diseñado por John Guerrero — chef y consultor gastronómico desde 2010, en cocina desde los 17 años · johnguerrero.es</t>
        </is>
      </c>
      <c r="B51" s="29" t="n"/>
      <c r="C51" s="29" t="n"/>
      <c r="D51" s="29" t="n"/>
      <c r="E51" s="29" t="n"/>
    </row>
    <row r="52">
      <c r="A52" s="75" t="inlineStr">
        <is>
          <t>Versión 1.0 · octubre 2026 · aichef.pro/plan-negocio-pizzeria · info@aichef.pro</t>
        </is>
      </c>
      <c r="B52" s="29" t="n"/>
      <c r="C52" s="29" t="n"/>
      <c r="D52" s="29" t="n"/>
      <c r="E52" s="29" t="n"/>
    </row>
    <row r="53">
      <c r="A53" s="29" t="n"/>
      <c r="B53" s="29" t="n"/>
      <c r="C53" s="29" t="n"/>
      <c r="D53" s="29" t="n"/>
      <c r="E53" s="29" t="n"/>
    </row>
    <row r="54">
      <c r="A54" s="29" t="n"/>
      <c r="B54" s="29" t="n"/>
      <c r="C54" s="29" t="n"/>
      <c r="D54" s="29" t="n"/>
      <c r="E54" s="29" t="n"/>
    </row>
    <row r="55">
      <c r="A55" s="29" t="n"/>
      <c r="B55" s="29" t="n"/>
      <c r="C55" s="29" t="n"/>
      <c r="D55" s="29" t="n"/>
      <c r="E55" s="29" t="n"/>
    </row>
    <row r="56">
      <c r="A56" s="29" t="n"/>
      <c r="B56" s="29" t="n"/>
      <c r="C56" s="29" t="n"/>
      <c r="D56" s="29" t="n"/>
      <c r="E56" s="29" t="n"/>
    </row>
    <row r="57">
      <c r="A57" s="29" t="n"/>
      <c r="B57" s="29" t="n"/>
      <c r="C57" s="29" t="n"/>
      <c r="D57" s="29" t="n"/>
      <c r="E57" s="29" t="n"/>
    </row>
    <row r="58">
      <c r="A58" s="29" t="n"/>
      <c r="B58" s="29" t="n"/>
      <c r="C58" s="29" t="n"/>
      <c r="D58" s="29" t="n"/>
      <c r="E58" s="29" t="n"/>
    </row>
    <row r="59">
      <c r="A59" s="29" t="n"/>
      <c r="B59" s="29" t="n"/>
      <c r="C59" s="29" t="n"/>
      <c r="D59" s="29" t="n"/>
      <c r="E59" s="29" t="n"/>
    </row>
    <row r="60">
      <c r="A60" s="29" t="n"/>
      <c r="B60" s="29" t="n"/>
      <c r="C60" s="29" t="n"/>
      <c r="D60" s="29" t="n"/>
      <c r="E60" s="29" t="n"/>
    </row>
    <row r="61">
      <c r="A61" s="29" t="n"/>
      <c r="B61" s="29" t="n"/>
      <c r="C61" s="29" t="n"/>
      <c r="D61" s="29" t="n"/>
      <c r="E61" s="29" t="n"/>
    </row>
    <row r="62">
      <c r="A62" s="29" t="n"/>
      <c r="B62" s="29" t="n"/>
      <c r="C62" s="29" t="n"/>
      <c r="D62" s="29" t="n"/>
      <c r="E62" s="29" t="n"/>
    </row>
    <row r="63">
      <c r="A63" s="29" t="n"/>
      <c r="B63" s="29" t="n"/>
      <c r="C63" s="29" t="n"/>
      <c r="D63" s="29" t="n"/>
      <c r="E63" s="29" t="n"/>
    </row>
    <row r="64">
      <c r="A64" s="29" t="n"/>
      <c r="B64" s="29" t="n"/>
      <c r="C64" s="29" t="n"/>
      <c r="D64" s="29" t="n"/>
      <c r="E64" s="29" t="n"/>
    </row>
    <row r="65">
      <c r="A65" s="29" t="n"/>
      <c r="B65" s="29" t="n"/>
      <c r="C65" s="29" t="n"/>
      <c r="D65" s="29" t="n"/>
      <c r="E65" s="29" t="n"/>
    </row>
    <row r="66">
      <c r="A66" s="29" t="n"/>
      <c r="B66" s="29" t="n"/>
      <c r="C66" s="29" t="n"/>
      <c r="D66" s="29" t="n"/>
      <c r="E66" s="29" t="n"/>
    </row>
    <row r="67">
      <c r="A67" s="29" t="n"/>
      <c r="B67" s="29" t="n"/>
      <c r="C67" s="29" t="n"/>
      <c r="D67" s="29" t="n"/>
      <c r="E67" s="29" t="n"/>
    </row>
    <row r="68">
      <c r="A68" s="29" t="n"/>
      <c r="B68" s="29" t="n"/>
      <c r="C68" s="29" t="n"/>
      <c r="D68" s="29" t="n"/>
      <c r="E68" s="29" t="n"/>
    </row>
    <row r="69">
      <c r="A69" s="29" t="n"/>
      <c r="B69" s="29" t="n"/>
      <c r="C69" s="29" t="n"/>
      <c r="D69" s="29" t="n"/>
      <c r="E69" s="29" t="n"/>
    </row>
    <row r="70">
      <c r="A70" s="29" t="n"/>
      <c r="B70" s="29" t="n"/>
      <c r="C70" s="29" t="n"/>
      <c r="D70" s="29" t="n"/>
      <c r="E70" s="29" t="n"/>
    </row>
    <row r="71">
      <c r="A71" s="29" t="n"/>
      <c r="B71" s="29" t="n"/>
      <c r="C71" s="29" t="n"/>
      <c r="D71" s="29" t="n"/>
      <c r="E71" s="29" t="n"/>
    </row>
    <row r="72">
      <c r="A72" s="29" t="n"/>
      <c r="B72" s="29" t="n"/>
      <c r="C72" s="29" t="n"/>
      <c r="D72" s="29" t="n"/>
      <c r="E72" s="29" t="n"/>
    </row>
    <row r="73">
      <c r="A73" s="29" t="n"/>
      <c r="B73" s="29" t="n"/>
      <c r="C73" s="29" t="n"/>
      <c r="D73" s="29" t="n"/>
      <c r="E73" s="29" t="n"/>
    </row>
    <row r="74">
      <c r="A74" s="29" t="n"/>
      <c r="B74" s="29" t="n"/>
      <c r="C74" s="29" t="n"/>
      <c r="D74" s="29" t="n"/>
      <c r="E74" s="29"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PREVISIÓN DE TESORERÍA — AÑO 1</t>
        </is>
      </c>
      <c r="B1" s="29" t="n"/>
      <c r="C1" s="29" t="n"/>
      <c r="D1" s="29" t="n"/>
      <c r="E1" s="29" t="n"/>
      <c r="F1" s="29" t="n"/>
      <c r="G1" s="29" t="n"/>
      <c r="H1" s="29" t="n"/>
      <c r="I1" s="29" t="n"/>
      <c r="J1" s="29" t="n"/>
      <c r="K1" s="29" t="n"/>
      <c r="L1" s="29" t="n"/>
      <c r="M1" s="29" t="n"/>
      <c r="N1" s="29" t="n"/>
      <c r="O1" s="29" t="n"/>
    </row>
    <row r="2" ht="45" customHeight="1">
      <c r="A2" s="48" t="inlineStr">
        <is>
          <t>El P&amp;L dice si el negocio gana dinero; esta hoja dice si le queda caja para llegar a fin de mes. Es la primera que mira un banco.</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Concepto</t>
        </is>
      </c>
      <c r="B4" s="26" t="inlineStr">
        <is>
          <t>Mes 1 (€)</t>
        </is>
      </c>
      <c r="C4" s="26" t="inlineStr">
        <is>
          <t>Mes 2 (€)</t>
        </is>
      </c>
      <c r="D4" s="26" t="inlineStr">
        <is>
          <t>Mes 3 (€)</t>
        </is>
      </c>
      <c r="E4" s="26" t="inlineStr">
        <is>
          <t>Mes 4 (€)</t>
        </is>
      </c>
      <c r="F4" s="26" t="inlineStr">
        <is>
          <t>Mes 5 (€)</t>
        </is>
      </c>
      <c r="G4" s="26" t="inlineStr">
        <is>
          <t>Mes 6 (€)</t>
        </is>
      </c>
      <c r="H4" s="26" t="inlineStr">
        <is>
          <t>Mes 7 (€)</t>
        </is>
      </c>
      <c r="I4" s="26" t="inlineStr">
        <is>
          <t>Mes 8 (€)</t>
        </is>
      </c>
      <c r="J4" s="26" t="inlineStr">
        <is>
          <t>Mes 9 (€)</t>
        </is>
      </c>
      <c r="K4" s="26" t="inlineStr">
        <is>
          <t>Mes 10 (€)</t>
        </is>
      </c>
      <c r="L4" s="26" t="inlineStr">
        <is>
          <t>Mes 11 (€)</t>
        </is>
      </c>
      <c r="M4" s="26" t="inlineStr">
        <is>
          <t>Mes 12 (€)</t>
        </is>
      </c>
      <c r="N4" s="26" t="inlineStr">
        <is>
          <t>Año (€)</t>
        </is>
      </c>
      <c r="O4" s="29" t="n"/>
    </row>
    <row r="5">
      <c r="A5" s="29" t="inlineStr">
        <is>
          <t>Estacionalidad del mes (suma 100 %)</t>
        </is>
      </c>
      <c r="B5" s="74" t="n">
        <v>0.08400000000000001</v>
      </c>
      <c r="C5" s="74" t="n">
        <v>0.08799999999999999</v>
      </c>
      <c r="D5" s="74" t="n">
        <v>0.08400000000000001</v>
      </c>
      <c r="E5" s="74" t="n">
        <v>0.096</v>
      </c>
      <c r="F5" s="74" t="n">
        <v>0.068</v>
      </c>
      <c r="G5" s="74" t="n">
        <v>0.07199999999999999</v>
      </c>
      <c r="H5" s="74" t="n">
        <v>0.082</v>
      </c>
      <c r="I5" s="74" t="n">
        <v>0.08599999999999999</v>
      </c>
      <c r="J5" s="74" t="n">
        <v>0.09</v>
      </c>
      <c r="K5" s="74" t="n">
        <v>0.09</v>
      </c>
      <c r="L5" s="74" t="n">
        <v>0.08799999999999999</v>
      </c>
      <c r="M5" s="74" t="n">
        <v>0.07199999999999999</v>
      </c>
      <c r="N5" s="68">
        <f>IFERROR(IF('PyG 3 Años'!$B$9="","",SUM(B5:M5)),"")</f>
        <v>1.0</v>
      </c>
      <c r="O5" s="29" t="inlineStr">
        <is>
          <t>Mes 1 = SEPTIEMBRE: el plan abre después del verano para llegar a la Navidad con clientela y a enero y febrero (Meses 5 y 6, los más flojos) con el fondo intacto. El pico es diciembre (Mes 4) y el valle, enero (Mes 5), con dos semanas de cierre. Si abres en otro mes, gira la fila. Tiene que sumar 100 %</t>
        </is>
      </c>
    </row>
    <row r="6">
      <c r="A6" s="29" t="inlineStr">
        <is>
          <t>Rampa de arranque (% de la actividad de crucero)</t>
        </is>
      </c>
      <c r="B6" s="68">
        <f>IFERROR(IF('PyG 3 Años'!$B$9="","",MIN(1,'0. Supuestos'!$B$52+(1-'0. Supuestos'!$B$52)*0/MAX(1,'0. Supuestos'!$B$53-1))),"")</f>
        <v>0.75</v>
      </c>
      <c r="C6" s="68">
        <f>IFERROR(IF('PyG 3 Años'!$B$9="","",MIN(1,'0. Supuestos'!$B$52+(1-'0. Supuestos'!$B$52)*1/MAX(1,'0. Supuestos'!$B$53-1))),"")</f>
        <v>0.8333333333333334</v>
      </c>
      <c r="D6" s="68">
        <f>IFERROR(IF('PyG 3 Años'!$B$9="","",MIN(1,'0. Supuestos'!$B$52+(1-'0. Supuestos'!$B$52)*2/MAX(1,'0. Supuestos'!$B$53-1))),"")</f>
        <v>0.9166666666666666</v>
      </c>
      <c r="E6" s="68">
        <f>IFERROR(IF('PyG 3 Años'!$B$9="","",MIN(1,'0. Supuestos'!$B$52+(1-'0. Supuestos'!$B$52)*3/MAX(1,'0. Supuestos'!$B$53-1))),"")</f>
        <v>1.0</v>
      </c>
      <c r="F6" s="68">
        <f>IFERROR(IF('PyG 3 Años'!$B$9="","",MIN(1,'0. Supuestos'!$B$52+(1-'0. Supuestos'!$B$52)*4/MAX(1,'0. Supuestos'!$B$53-1))),"")</f>
        <v>1.0</v>
      </c>
      <c r="G6" s="68">
        <f>IFERROR(IF('PyG 3 Años'!$B$9="","",MIN(1,'0. Supuestos'!$B$52+(1-'0. Supuestos'!$B$52)*5/MAX(1,'0. Supuestos'!$B$53-1))),"")</f>
        <v>1.0</v>
      </c>
      <c r="H6" s="68">
        <f>IFERROR(IF('PyG 3 Años'!$B$9="","",MIN(1,'0. Supuestos'!$B$52+(1-'0. Supuestos'!$B$52)*6/MAX(1,'0. Supuestos'!$B$53-1))),"")</f>
        <v>1.0</v>
      </c>
      <c r="I6" s="68">
        <f>IFERROR(IF('PyG 3 Años'!$B$9="","",MIN(1,'0. Supuestos'!$B$52+(1-'0. Supuestos'!$B$52)*7/MAX(1,'0. Supuestos'!$B$53-1))),"")</f>
        <v>1.0</v>
      </c>
      <c r="J6" s="68">
        <f>IFERROR(IF('PyG 3 Años'!$B$9="","",MIN(1,'0. Supuestos'!$B$52+(1-'0. Supuestos'!$B$52)*8/MAX(1,'0. Supuestos'!$B$53-1))),"")</f>
        <v>1.0</v>
      </c>
      <c r="K6" s="68">
        <f>IFERROR(IF('PyG 3 Años'!$B$9="","",MIN(1,'0. Supuestos'!$B$52+(1-'0. Supuestos'!$B$52)*9/MAX(1,'0. Supuestos'!$B$53-1))),"")</f>
        <v>1.0</v>
      </c>
      <c r="L6" s="68">
        <f>IFERROR(IF('PyG 3 Años'!$B$9="","",MIN(1,'0. Supuestos'!$B$52+(1-'0. Supuestos'!$B$52)*10/MAX(1,'0. Supuestos'!$B$53-1))),"")</f>
        <v>1.0</v>
      </c>
      <c r="M6" s="68">
        <f>IFERROR(IF('PyG 3 Años'!$B$9="","",MIN(1,'0. Supuestos'!$B$52+(1-'0. Supuestos'!$B$52)*11/MAX(1,'0. Supuestos'!$B$53-1))),"")</f>
        <v>1.0</v>
      </c>
      <c r="N6" s="29" t="n"/>
      <c r="O6" s="29" t="inlineStr">
        <is>
          <t>Sube en línea recta desde el porcentaje del mes 1 hasta el 100 % en los meses que digas en Supuestos. Con el mes 1 al 100 % la rampa desaparece</t>
        </is>
      </c>
    </row>
    <row r="7">
      <c r="A7" s="29" t="inlineStr">
        <is>
          <t>Reparto de la actividad por mes (calculado)</t>
        </is>
      </c>
      <c r="B7" s="68">
        <f>IFERROR(IF('PyG 3 Años'!$B$9="","",B5*B6/SUMPRODUCT($B$5:$M$5,$B$6:$M$6)),"")</f>
        <v>0.06580779944289696</v>
      </c>
      <c r="C7" s="68">
        <f>IFERROR(IF('PyG 3 Años'!$B$9="","",C5*C6/SUMPRODUCT($B$5:$M$5,$B$6:$M$6)),"")</f>
        <v>0.07660167130919221</v>
      </c>
      <c r="D7" s="68">
        <f>IFERROR(IF('PyG 3 Años'!$B$9="","",D5*D6/SUMPRODUCT($B$5:$M$5,$B$6:$M$6)),"")</f>
        <v>0.08043175487465183</v>
      </c>
      <c r="E7" s="68">
        <f>IFERROR(IF('PyG 3 Años'!$B$9="","",E5*E6/SUMPRODUCT($B$5:$M$5,$B$6:$M$6)),"")</f>
        <v>0.10027855153203345</v>
      </c>
      <c r="F7" s="68">
        <f>IFERROR(IF('PyG 3 Años'!$B$9="","",F5*F6/SUMPRODUCT($B$5:$M$5,$B$6:$M$6)),"")</f>
        <v>0.0710306406685237</v>
      </c>
      <c r="G7" s="68">
        <f>IFERROR(IF('PyG 3 Años'!$B$9="","",G5*G6/SUMPRODUCT($B$5:$M$5,$B$6:$M$6)),"")</f>
        <v>0.07520891364902507</v>
      </c>
      <c r="H7" s="68">
        <f>IFERROR(IF('PyG 3 Años'!$B$9="","",H5*H6/SUMPRODUCT($B$5:$M$5,$B$6:$M$6)),"")</f>
        <v>0.08565459610027858</v>
      </c>
      <c r="I7" s="68">
        <f>IFERROR(IF('PyG 3 Años'!$B$9="","",I5*I6/SUMPRODUCT($B$5:$M$5,$B$6:$M$6)),"")</f>
        <v>0.08983286908077995</v>
      </c>
      <c r="J7" s="68">
        <f>IFERROR(IF('PyG 3 Años'!$B$9="","",J5*J6/SUMPRODUCT($B$5:$M$5,$B$6:$M$6)),"")</f>
        <v>0.09401114206128135</v>
      </c>
      <c r="K7" s="68">
        <f>IFERROR(IF('PyG 3 Años'!$B$9="","",K5*K6/SUMPRODUCT($B$5:$M$5,$B$6:$M$6)),"")</f>
        <v>0.09401114206128135</v>
      </c>
      <c r="L7" s="68">
        <f>IFERROR(IF('PyG 3 Años'!$B$9="","",L5*L6/SUMPRODUCT($B$5:$M$5,$B$6:$M$6)),"")</f>
        <v>0.09192200557103065</v>
      </c>
      <c r="M7" s="68">
        <f>IFERROR(IF('PyG 3 Años'!$B$9="","",M5*M6/SUMPRODUCT($B$5:$M$5,$B$6:$M$6)),"")</f>
        <v>0.07520891364902507</v>
      </c>
      <c r="N7" s="68">
        <f>IFERROR(IF('PyG 3 Años'!$B$9="","",SUM(B7:M7)),"")</f>
        <v>1.0000000000000002</v>
      </c>
      <c r="O7" s="29" t="inlineStr">
        <is>
          <t>Estacionalidad × rampa, normalizado a 100 %: el AÑO factura lo que dice el P&amp;L, pero repartido como lo reparte un local que acaba de abrir</t>
        </is>
      </c>
    </row>
    <row r="8">
      <c r="A8" s="26" t="inlineStr">
        <is>
          <t>COBROS</t>
        </is>
      </c>
      <c r="B8" s="29" t="n"/>
      <c r="C8" s="29" t="n"/>
      <c r="D8" s="29" t="n"/>
      <c r="E8" s="29" t="n"/>
      <c r="F8" s="29" t="n"/>
      <c r="G8" s="29" t="n"/>
      <c r="H8" s="29" t="n"/>
      <c r="I8" s="29" t="n"/>
      <c r="J8" s="29" t="n"/>
      <c r="K8" s="29" t="n"/>
      <c r="L8" s="29" t="n"/>
      <c r="M8" s="29" t="n"/>
      <c r="N8" s="29" t="n"/>
      <c r="O8" s="29" t="n"/>
    </row>
    <row r="9">
      <c r="A9" s="29" t="inlineStr">
        <is>
          <t>Ventas cobradas (con IVA repercutido)</t>
        </is>
      </c>
      <c r="B9" s="33">
        <f>IFERROR(IF('PyG 3 Años'!$B$9="","",('PyG 3 Años'!$B$9+'PyG 3 Años'!$B$9*SUMPRODUCT('PyG 3 Años'!$E$10:$E$11,'PyG 3 Años'!$G$10:$G$11))*B7*(1-MIN(30,'0. Supuestos'!$B$58)/30)),"")</f>
        <v>26118.81676303622</v>
      </c>
      <c r="C9" s="33">
        <f>IFERROR(IF('PyG 3 Años'!$B$9="","",('PyG 3 Años'!$B$9+'PyG 3 Años'!$B$9*SUMPRODUCT('PyG 3 Años'!$E$10:$E$11,'PyG 3 Años'!$G$10:$G$11))*(C7*(1-MIN(30,'0. Supuestos'!$B$58)/30)+B7*MIN(30,'0. Supuestos'!$B$58)/30)),"")</f>
        <v>32268.485260153204</v>
      </c>
      <c r="D9" s="33">
        <f>IFERROR(IF('PyG 3 Años'!$B$9="","",('PyG 3 Años'!$B$9+'PyG 3 Años'!$B$9*SUMPRODUCT('PyG 3 Años'!$E$10:$E$11,'PyG 3 Años'!$G$10:$G$11))*(D7*(1-MIN(30,'0. Supuestos'!$B$58)/30)+C7*MIN(30,'0. Supuestos'!$B$58)/30)),"")</f>
        <v>34094.63080103065</v>
      </c>
      <c r="E9" s="33">
        <f>IFERROR(IF('PyG 3 Años'!$B$9="","",('PyG 3 Años'!$B$9+'PyG 3 Años'!$B$9*SUMPRODUCT('PyG 3 Años'!$E$10:$E$11,'PyG 3 Años'!$G$10:$G$11))*(E7*(1-MIN(30,'0. Supuestos'!$B$58)/30)+D7*MIN(30,'0. Supuestos'!$B$58)/30)),"")</f>
        <v>42080.3158960028</v>
      </c>
      <c r="F9" s="33">
        <f>IFERROR(IF('PyG 3 Años'!$B$9="","",('PyG 3 Años'!$B$9+'PyG 3 Años'!$B$9*SUMPRODUCT('PyG 3 Años'!$E$10:$E$11,'PyG 3 Años'!$G$10:$G$11))*(F7*(1-MIN(30,'0. Supuestos'!$B$58)/30)+E7*MIN(30,'0. Supuestos'!$B$58)/30)),"")</f>
        <v>31034.603137938724</v>
      </c>
      <c r="G9" s="33">
        <f>IFERROR(IF('PyG 3 Años'!$B$9="","",('PyG 3 Años'!$B$9+'PyG 3 Años'!$B$9*SUMPRODUCT('PyG 3 Años'!$E$10:$E$11,'PyG 3 Años'!$G$10:$G$11))*(G7*(1-MIN(30,'0. Supuestos'!$B$58)/30)+F7*MIN(30,'0. Supuestos'!$B$58)/30)),"")</f>
        <v>31863.771924066856</v>
      </c>
      <c r="H9" s="33">
        <f>IFERROR(IF('PyG 3 Años'!$B$9="","",('PyG 3 Años'!$B$9+'PyG 3 Años'!$B$9*SUMPRODUCT('PyG 3 Años'!$E$10:$E$11,'PyG 3 Años'!$G$10:$G$11))*(H7*(1-MIN(30,'0. Supuestos'!$B$58)/30)+G7*MIN(30,'0. Supuestos'!$B$58)/30)),"")</f>
        <v>36128.06853844012</v>
      </c>
      <c r="I9" s="33">
        <f>IFERROR(IF('PyG 3 Años'!$B$9="","",('PyG 3 Años'!$B$9+'PyG 3 Años'!$B$9*SUMPRODUCT('PyG 3 Años'!$E$10:$E$11,'PyG 3 Años'!$G$10:$G$11))*(I7*(1-MIN(30,'0. Supuestos'!$B$58)/30)+H7*MIN(30,'0. Supuestos'!$B$58)/30)),"")</f>
        <v>38082.53782002786</v>
      </c>
      <c r="J9" s="33">
        <f>IFERROR(IF('PyG 3 Años'!$B$9="","",('PyG 3 Años'!$B$9+'PyG 3 Años'!$B$9*SUMPRODUCT('PyG 3 Años'!$E$10:$E$11,'PyG 3 Años'!$G$10:$G$11))*(J7*(1-MIN(30,'0. Supuestos'!$B$58)/30)+I7*MIN(30,'0. Supuestos'!$B$58)/30)),"")</f>
        <v>39859.32807601671</v>
      </c>
      <c r="K9" s="33">
        <f>IFERROR(IF('PyG 3 Años'!$B$9="","",('PyG 3 Años'!$B$9+'PyG 3 Años'!$B$9*SUMPRODUCT('PyG 3 Años'!$E$10:$E$11,'PyG 3 Años'!$G$10:$G$11))*(K7*(1-MIN(30,'0. Supuestos'!$B$58)/30)+J7*MIN(30,'0. Supuestos'!$B$58)/30)),"")</f>
        <v>39977.78075974931</v>
      </c>
      <c r="L9" s="33">
        <f>IFERROR(IF('PyG 3 Años'!$B$9="","",('PyG 3 Años'!$B$9+'PyG 3 Años'!$B$9*SUMPRODUCT('PyG 3 Años'!$E$10:$E$11,'PyG 3 Años'!$G$10:$G$11))*(L7*(1-MIN(30,'0. Supuestos'!$B$58)/30)+K7*MIN(30,'0. Supuestos'!$B$58)/30)),"")</f>
        <v>39148.61197362118</v>
      </c>
      <c r="M9" s="33">
        <f>IFERROR(IF('PyG 3 Años'!$B$9="","",('PyG 3 Años'!$B$9+'PyG 3 Años'!$B$9*SUMPRODUCT('PyG 3 Años'!$E$10:$E$11,'PyG 3 Años'!$G$10:$G$11))*(M7*(1-MIN(30,'0. Supuestos'!$B$58)/30)+L7*MIN(30,'0. Supuestos'!$B$58)/30)),"")</f>
        <v>32456.035342729807</v>
      </c>
      <c r="N9" s="33">
        <f>IFERROR(IF('PyG 3 Años'!$B$9="","",SUM(B9:M9)),"")</f>
        <v>423112.98629281344</v>
      </c>
      <c r="O9" s="29" t="inlineStr">
        <is>
          <t>Ventas del mes con el IVA repercutido, corregidas por los días medios de cobro de la hoja de Supuestos</t>
        </is>
      </c>
    </row>
    <row r="10">
      <c r="A10" s="26" t="inlineStr">
        <is>
          <t>PAGOS</t>
        </is>
      </c>
      <c r="B10" s="29" t="n"/>
      <c r="C10" s="29" t="n"/>
      <c r="D10" s="29" t="n"/>
      <c r="E10" s="29" t="n"/>
      <c r="F10" s="29" t="n"/>
      <c r="G10" s="29" t="n"/>
      <c r="H10" s="29" t="n"/>
      <c r="I10" s="29" t="n"/>
      <c r="J10" s="29" t="n"/>
      <c r="K10" s="29" t="n"/>
      <c r="L10" s="29" t="n"/>
      <c r="M10" s="29" t="n"/>
      <c r="N10" s="29" t="n"/>
      <c r="O10" s="29" t="n"/>
    </row>
    <row r="11">
      <c r="A11" s="29" t="inlineStr">
        <is>
          <t>Compras y costes variables (IVA incluido)</t>
        </is>
      </c>
      <c r="B11" s="33">
        <f>IFERROR(IF('PyG 3 Años'!$B$9="","",-('PyG 3 Años'!$B$13*(1+'PyG 3 Años'!$G$13)+'PyG 3 Años'!$B$14*(1+'PyG 3 Años'!$G$14)+'PyG 3 Años'!$B$15*(1+'PyG 3 Años'!$G$15)+'PyG 3 Años'!$B$16*(1+'PyG 3 Años'!$G$16)+'PyG 3 Años'!$B$17*(1+'PyG 3 Años'!$G$17)+'PyG 3 Años'!$B$18*(1+'PyG 3 Años'!$G$18))*B7*(1-MIN(30,'0. Supuestos'!$B$59)/30)),"")</f>
        <v>-0.0</v>
      </c>
      <c r="C11" s="33">
        <f>IFERROR(IF('PyG 3 Años'!$B$9="","",-('PyG 3 Años'!$B$13*(1+'PyG 3 Años'!$G$13)+'PyG 3 Años'!$B$14*(1+'PyG 3 Años'!$G$14)+'PyG 3 Años'!$B$15*(1+'PyG 3 Años'!$G$15)+'PyG 3 Años'!$B$16*(1+'PyG 3 Años'!$G$16)+'PyG 3 Años'!$B$17*(1+'PyG 3 Años'!$G$17)+'PyG 3 Años'!$B$18*(1+'PyG 3 Años'!$G$18))*(C7*(1-MIN(30,'0. Supuestos'!$B$59)/30)+B7*MIN(30,'0. Supuestos'!$B$59)/30)),"")</f>
        <v>-9339.35225064067</v>
      </c>
      <c r="D11" s="33">
        <f>IFERROR(IF('PyG 3 Años'!$B$9="","",-('PyG 3 Años'!$B$13*(1+'PyG 3 Años'!$G$13)+'PyG 3 Años'!$B$14*(1+'PyG 3 Años'!$G$14)+'PyG 3 Años'!$B$15*(1+'PyG 3 Años'!$G$15)+'PyG 3 Años'!$B$16*(1+'PyG 3 Años'!$G$16)+'PyG 3 Años'!$B$17*(1+'PyG 3 Años'!$G$17)+'PyG 3 Años'!$B$18*(1+'PyG 3 Años'!$G$18))*(D7*(1-MIN(30,'0. Supuestos'!$B$59)/30)+C7*MIN(30,'0. Supuestos'!$B$59)/30)),"")</f>
        <v>-10871.20367799443</v>
      </c>
      <c r="E11" s="33">
        <f>IFERROR(IF('PyG 3 Años'!$B$9="","",-('PyG 3 Años'!$B$13*(1+'PyG 3 Años'!$G$13)+'PyG 3 Años'!$B$14*(1+'PyG 3 Años'!$G$14)+'PyG 3 Años'!$B$15*(1+'PyG 3 Años'!$G$15)+'PyG 3 Años'!$B$16*(1+'PyG 3 Años'!$G$16)+'PyG 3 Años'!$B$17*(1+'PyG 3 Años'!$G$17)+'PyG 3 Años'!$B$18*(1+'PyG 3 Años'!$G$18))*(E7*(1-MIN(30,'0. Supuestos'!$B$59)/30)+D7*MIN(30,'0. Supuestos'!$B$59)/30)),"")</f>
        <v>-11414.763861894153</v>
      </c>
      <c r="F11" s="33">
        <f>IFERROR(IF('PyG 3 Años'!$B$9="","",-('PyG 3 Años'!$B$13*(1+'PyG 3 Años'!$G$13)+'PyG 3 Años'!$B$14*(1+'PyG 3 Años'!$G$14)+'PyG 3 Años'!$B$15*(1+'PyG 3 Años'!$G$15)+'PyG 3 Años'!$B$16*(1+'PyG 3 Años'!$G$16)+'PyG 3 Años'!$B$17*(1+'PyG 3 Años'!$G$17)+'PyG 3 Años'!$B$18*(1+'PyG 3 Años'!$G$18))*(F7*(1-MIN(30,'0. Supuestos'!$B$59)/30)+E7*MIN(30,'0. Supuestos'!$B$59)/30)),"")</f>
        <v>-14231.393905738165</v>
      </c>
      <c r="G11" s="33">
        <f>IFERROR(IF('PyG 3 Años'!$B$9="","",-('PyG 3 Años'!$B$13*(1+'PyG 3 Años'!$G$13)+'PyG 3 Años'!$B$14*(1+'PyG 3 Años'!$G$14)+'PyG 3 Años'!$B$15*(1+'PyG 3 Años'!$G$15)+'PyG 3 Años'!$B$16*(1+'PyG 3 Años'!$G$16)+'PyG 3 Años'!$B$17*(1+'PyG 3 Años'!$G$17)+'PyG 3 Años'!$B$18*(1+'PyG 3 Años'!$G$18))*(G7*(1-MIN(30,'0. Supuestos'!$B$59)/30)+F7*MIN(30,'0. Supuestos'!$B$59)/30)),"")</f>
        <v>-10080.5706832312</v>
      </c>
      <c r="H11" s="33">
        <f>IFERROR(IF('PyG 3 Años'!$B$9="","",-('PyG 3 Años'!$B$13*(1+'PyG 3 Años'!$G$13)+'PyG 3 Años'!$B$14*(1+'PyG 3 Años'!$G$14)+'PyG 3 Años'!$B$15*(1+'PyG 3 Años'!$G$15)+'PyG 3 Años'!$B$16*(1+'PyG 3 Años'!$G$16)+'PyG 3 Años'!$B$17*(1+'PyG 3 Años'!$G$17)+'PyG 3 Años'!$B$18*(1+'PyG 3 Años'!$G$18))*(H7*(1-MIN(30,'0. Supuestos'!$B$59)/30)+G7*MIN(30,'0. Supuestos'!$B$59)/30)),"")</f>
        <v>-10673.54542930362</v>
      </c>
      <c r="I11" s="33">
        <f>IFERROR(IF('PyG 3 Años'!$B$9="","",-('PyG 3 Años'!$B$13*(1+'PyG 3 Años'!$G$13)+'PyG 3 Años'!$B$14*(1+'PyG 3 Años'!$G$14)+'PyG 3 Años'!$B$15*(1+'PyG 3 Años'!$G$15)+'PyG 3 Años'!$B$16*(1+'PyG 3 Años'!$G$16)+'PyG 3 Años'!$B$17*(1+'PyG 3 Años'!$G$17)+'PyG 3 Años'!$B$18*(1+'PyG 3 Años'!$G$18))*(I7*(1-MIN(30,'0. Supuestos'!$B$59)/30)+H7*MIN(30,'0. Supuestos'!$B$59)/30)),"")</f>
        <v>-12155.982294484682</v>
      </c>
      <c r="J11" s="33">
        <f>IFERROR(IF('PyG 3 Años'!$B$9="","",-('PyG 3 Años'!$B$13*(1+'PyG 3 Años'!$G$13)+'PyG 3 Años'!$B$14*(1+'PyG 3 Años'!$G$14)+'PyG 3 Años'!$B$15*(1+'PyG 3 Años'!$G$15)+'PyG 3 Años'!$B$16*(1+'PyG 3 Años'!$G$16)+'PyG 3 Años'!$B$17*(1+'PyG 3 Años'!$G$17)+'PyG 3 Años'!$B$18*(1+'PyG 3 Años'!$G$18))*(J7*(1-MIN(30,'0. Supuestos'!$B$59)/30)+I7*MIN(30,'0. Supuestos'!$B$59)/30)),"")</f>
        <v>-12748.957040557103</v>
      </c>
      <c r="K11" s="33">
        <f>IFERROR(IF('PyG 3 Años'!$B$9="","",-('PyG 3 Años'!$B$13*(1+'PyG 3 Años'!$G$13)+'PyG 3 Años'!$B$14*(1+'PyG 3 Años'!$G$14)+'PyG 3 Años'!$B$15*(1+'PyG 3 Años'!$G$15)+'PyG 3 Años'!$B$16*(1+'PyG 3 Años'!$G$16)+'PyG 3 Años'!$B$17*(1+'PyG 3 Años'!$G$17)+'PyG 3 Años'!$B$18*(1+'PyG 3 Años'!$G$18))*(K7*(1-MIN(30,'0. Supuestos'!$B$59)/30)+J7*MIN(30,'0. Supuestos'!$B$59)/30)),"")</f>
        <v>-13341.931786629526</v>
      </c>
      <c r="L11" s="33">
        <f>IFERROR(IF('PyG 3 Años'!$B$9="","",-('PyG 3 Años'!$B$13*(1+'PyG 3 Años'!$G$13)+'PyG 3 Años'!$B$14*(1+'PyG 3 Años'!$G$14)+'PyG 3 Años'!$B$15*(1+'PyG 3 Años'!$G$15)+'PyG 3 Años'!$B$16*(1+'PyG 3 Años'!$G$16)+'PyG 3 Años'!$B$17*(1+'PyG 3 Años'!$G$17)+'PyG 3 Años'!$B$18*(1+'PyG 3 Años'!$G$18))*(L7*(1-MIN(30,'0. Supuestos'!$B$59)/30)+K7*MIN(30,'0. Supuestos'!$B$59)/30)),"")</f>
        <v>-13341.931786629526</v>
      </c>
      <c r="M11" s="33">
        <f>IFERROR(IF('PyG 3 Años'!$B$9="","",-('PyG 3 Años'!$B$13*(1+'PyG 3 Años'!$G$13)+'PyG 3 Años'!$B$14*(1+'PyG 3 Años'!$G$14)+'PyG 3 Años'!$B$15*(1+'PyG 3 Años'!$G$15)+'PyG 3 Años'!$B$16*(1+'PyG 3 Años'!$G$16)+'PyG 3 Años'!$B$17*(1+'PyG 3 Años'!$G$17)+'PyG 3 Años'!$B$18*(1+'PyG 3 Años'!$G$18))*(M7*(1-MIN(30,'0. Supuestos'!$B$59)/30)+L7*MIN(30,'0. Supuestos'!$B$59)/30)),"")</f>
        <v>-13045.444413593315</v>
      </c>
      <c r="N11" s="33">
        <f>IFERROR(IF('PyG 3 Años'!$B$9="","",SUM(B11:M11)),"")</f>
        <v>-131245.0771306964</v>
      </c>
      <c r="O11" s="29"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9" t="inlineStr">
        <is>
          <t>Costes fijos de explotación (IVA incluido)</t>
        </is>
      </c>
      <c r="B12" s="33">
        <f>IFERROR(IF('PyG 3 Años'!$B$9="","",-('PyG 3 Años'!$B$37-'PyG 3 Años'!$B$23-'PyG 3 Años'!$B$35-'PyG 3 Años'!$B$36+'PyG 3 Años'!$B$39)/12),"")</f>
        <v>-5917.666666666667</v>
      </c>
      <c r="C12" s="33">
        <f>IFERROR(IF('PyG 3 Años'!$B$9="","",-('PyG 3 Años'!$B$37-'PyG 3 Años'!$B$23-'PyG 3 Años'!$B$35-'PyG 3 Años'!$B$36+'PyG 3 Años'!$B$39)/12),"")</f>
        <v>-5917.666666666667</v>
      </c>
      <c r="D12" s="33">
        <f>IFERROR(IF('PyG 3 Años'!$B$9="","",-('PyG 3 Años'!$B$37-'PyG 3 Años'!$B$23-'PyG 3 Años'!$B$35-'PyG 3 Años'!$B$36+'PyG 3 Años'!$B$39)/12),"")</f>
        <v>-5917.666666666667</v>
      </c>
      <c r="E12" s="33">
        <f>IFERROR(IF('PyG 3 Años'!$B$9="","",-('PyG 3 Años'!$B$37-'PyG 3 Años'!$B$23-'PyG 3 Años'!$B$35-'PyG 3 Años'!$B$36+'PyG 3 Años'!$B$39)/12),"")</f>
        <v>-5917.666666666667</v>
      </c>
      <c r="F12" s="33">
        <f>IFERROR(IF('PyG 3 Años'!$B$9="","",-('PyG 3 Años'!$B$37-'PyG 3 Años'!$B$23-'PyG 3 Años'!$B$35-'PyG 3 Años'!$B$36+'PyG 3 Años'!$B$39)/12),"")</f>
        <v>-5917.666666666667</v>
      </c>
      <c r="G12" s="33">
        <f>IFERROR(IF('PyG 3 Años'!$B$9="","",-('PyG 3 Años'!$B$37-'PyG 3 Años'!$B$23-'PyG 3 Años'!$B$35-'PyG 3 Años'!$B$36+'PyG 3 Años'!$B$39)/12),"")</f>
        <v>-5917.666666666667</v>
      </c>
      <c r="H12" s="33">
        <f>IFERROR(IF('PyG 3 Años'!$B$9="","",-('PyG 3 Años'!$B$37-'PyG 3 Años'!$B$23-'PyG 3 Años'!$B$35-'PyG 3 Años'!$B$36+'PyG 3 Años'!$B$39)/12),"")</f>
        <v>-5917.666666666667</v>
      </c>
      <c r="I12" s="33">
        <f>IFERROR(IF('PyG 3 Años'!$B$9="","",-('PyG 3 Años'!$B$37-'PyG 3 Años'!$B$23-'PyG 3 Años'!$B$35-'PyG 3 Años'!$B$36+'PyG 3 Años'!$B$39)/12),"")</f>
        <v>-5917.666666666667</v>
      </c>
      <c r="J12" s="33">
        <f>IFERROR(IF('PyG 3 Años'!$B$9="","",-('PyG 3 Años'!$B$37-'PyG 3 Años'!$B$23-'PyG 3 Años'!$B$35-'PyG 3 Años'!$B$36+'PyG 3 Años'!$B$39)/12),"")</f>
        <v>-5917.666666666667</v>
      </c>
      <c r="K12" s="33">
        <f>IFERROR(IF('PyG 3 Años'!$B$9="","",-('PyG 3 Años'!$B$37-'PyG 3 Años'!$B$23-'PyG 3 Años'!$B$35-'PyG 3 Años'!$B$36+'PyG 3 Años'!$B$39)/12),"")</f>
        <v>-5917.666666666667</v>
      </c>
      <c r="L12" s="33">
        <f>IFERROR(IF('PyG 3 Años'!$B$9="","",-('PyG 3 Años'!$B$37-'PyG 3 Años'!$B$23-'PyG 3 Años'!$B$35-'PyG 3 Años'!$B$36+'PyG 3 Años'!$B$39)/12),"")</f>
        <v>-5917.666666666667</v>
      </c>
      <c r="M12" s="33">
        <f>IFERROR(IF('PyG 3 Años'!$B$9="","",-('PyG 3 Años'!$B$37-'PyG 3 Años'!$B$23-'PyG 3 Años'!$B$35-'PyG 3 Años'!$B$36+'PyG 3 Años'!$B$39)/12),"")</f>
        <v>-5917.666666666667</v>
      </c>
      <c r="N12" s="33">
        <f>IFERROR(IF('PyG 3 Años'!$B$9="","",SUM(B12:M12)),"")</f>
        <v>-71012.0</v>
      </c>
      <c r="O12" s="29" t="inlineStr">
        <is>
          <t>Los fijos que salen de caja, cada uno con su tipo de IVA: los seguros están exentos y no llevan</t>
        </is>
      </c>
    </row>
    <row r="13">
      <c r="A13" s="29" t="inlineStr">
        <is>
          <t>Nóminas y Seguridad Social</t>
        </is>
      </c>
      <c r="B13" s="33">
        <f>IFERROR(IF('PyG 3 Años'!$B$9="","",-'PyG 3 Años'!$B$23/MAX(12,'0. Supuestos'!$B$21)*(1+IF(1='0. Supuestos'!$B$60,(MAX(12,'0. Supuestos'!$B$21)-12)/2,0)+IF(1='0. Supuestos'!$B$61,(MAX(12,'0. Supuestos'!$B$21)-12)/2,0))),"")</f>
        <v>-9990.960000000001</v>
      </c>
      <c r="C13" s="33">
        <f>IFERROR(IF('PyG 3 Años'!$B$9="","",-'PyG 3 Años'!$B$23/MAX(12,'0. Supuestos'!$B$21)*(1+IF(2='0. Supuestos'!$B$60,(MAX(12,'0. Supuestos'!$B$21)-12)/2,0)+IF(2='0. Supuestos'!$B$61,(MAX(12,'0. Supuestos'!$B$21)-12)/2,0))),"")</f>
        <v>-9990.960000000001</v>
      </c>
      <c r="D13" s="33">
        <f>IFERROR(IF('PyG 3 Años'!$B$9="","",-'PyG 3 Años'!$B$23/MAX(12,'0. Supuestos'!$B$21)*(1+IF(3='0. Supuestos'!$B$60,(MAX(12,'0. Supuestos'!$B$21)-12)/2,0)+IF(3='0. Supuestos'!$B$61,(MAX(12,'0. Supuestos'!$B$21)-12)/2,0))),"")</f>
        <v>-9990.960000000001</v>
      </c>
      <c r="E13" s="33">
        <f>IFERROR(IF('PyG 3 Años'!$B$9="","",-'PyG 3 Años'!$B$23/MAX(12,'0. Supuestos'!$B$21)*(1+IF(4='0. Supuestos'!$B$60,(MAX(12,'0. Supuestos'!$B$21)-12)/2,0)+IF(4='0. Supuestos'!$B$61,(MAX(12,'0. Supuestos'!$B$21)-12)/2,0))),"")</f>
        <v>-19981.920000000002</v>
      </c>
      <c r="F13" s="33">
        <f>IFERROR(IF('PyG 3 Años'!$B$9="","",-'PyG 3 Años'!$B$23/MAX(12,'0. Supuestos'!$B$21)*(1+IF(5='0. Supuestos'!$B$60,(MAX(12,'0. Supuestos'!$B$21)-12)/2,0)+IF(5='0. Supuestos'!$B$61,(MAX(12,'0. Supuestos'!$B$21)-12)/2,0))),"")</f>
        <v>-9990.960000000001</v>
      </c>
      <c r="G13" s="33">
        <f>IFERROR(IF('PyG 3 Años'!$B$9="","",-'PyG 3 Años'!$B$23/MAX(12,'0. Supuestos'!$B$21)*(1+IF(6='0. Supuestos'!$B$60,(MAX(12,'0. Supuestos'!$B$21)-12)/2,0)+IF(6='0. Supuestos'!$B$61,(MAX(12,'0. Supuestos'!$B$21)-12)/2,0))),"")</f>
        <v>-9990.960000000001</v>
      </c>
      <c r="H13" s="33">
        <f>IFERROR(IF('PyG 3 Años'!$B$9="","",-'PyG 3 Años'!$B$23/MAX(12,'0. Supuestos'!$B$21)*(1+IF(7='0. Supuestos'!$B$60,(MAX(12,'0. Supuestos'!$B$21)-12)/2,0)+IF(7='0. Supuestos'!$B$61,(MAX(12,'0. Supuestos'!$B$21)-12)/2,0))),"")</f>
        <v>-9990.960000000001</v>
      </c>
      <c r="I13" s="33">
        <f>IFERROR(IF('PyG 3 Años'!$B$9="","",-'PyG 3 Años'!$B$23/MAX(12,'0. Supuestos'!$B$21)*(1+IF(8='0. Supuestos'!$B$60,(MAX(12,'0. Supuestos'!$B$21)-12)/2,0)+IF(8='0. Supuestos'!$B$61,(MAX(12,'0. Supuestos'!$B$21)-12)/2,0))),"")</f>
        <v>-9990.960000000001</v>
      </c>
      <c r="J13" s="33">
        <f>IFERROR(IF('PyG 3 Años'!$B$9="","",-'PyG 3 Años'!$B$23/MAX(12,'0. Supuestos'!$B$21)*(1+IF(9='0. Supuestos'!$B$60,(MAX(12,'0. Supuestos'!$B$21)-12)/2,0)+IF(9='0. Supuestos'!$B$61,(MAX(12,'0. Supuestos'!$B$21)-12)/2,0))),"")</f>
        <v>-9990.960000000001</v>
      </c>
      <c r="K13" s="33">
        <f>IFERROR(IF('PyG 3 Años'!$B$9="","",-'PyG 3 Años'!$B$23/MAX(12,'0. Supuestos'!$B$21)*(1+IF(10='0. Supuestos'!$B$60,(MAX(12,'0. Supuestos'!$B$21)-12)/2,0)+IF(10='0. Supuestos'!$B$61,(MAX(12,'0. Supuestos'!$B$21)-12)/2,0))),"")</f>
        <v>-9990.960000000001</v>
      </c>
      <c r="L13" s="33">
        <f>IFERROR(IF('PyG 3 Años'!$B$9="","",-'PyG 3 Años'!$B$23/MAX(12,'0. Supuestos'!$B$21)*(1+IF(11='0. Supuestos'!$B$60,(MAX(12,'0. Supuestos'!$B$21)-12)/2,0)+IF(11='0. Supuestos'!$B$61,(MAX(12,'0. Supuestos'!$B$21)-12)/2,0))),"")</f>
        <v>-19981.920000000002</v>
      </c>
      <c r="M13" s="33">
        <f>IFERROR(IF('PyG 3 Años'!$B$9="","",-'PyG 3 Años'!$B$23/MAX(12,'0. Supuestos'!$B$21)*(1+IF(12='0. Supuestos'!$B$60,(MAX(12,'0. Supuestos'!$B$21)-12)/2,0)+IF(12='0. Supuestos'!$B$61,(MAX(12,'0. Supuestos'!$B$21)-12)/2,0))),"")</f>
        <v>-9990.960000000001</v>
      </c>
      <c r="N13" s="33">
        <f>IFERROR(IF('PyG 3 Años'!$B$9="","",SUM(B13:M13)),"")</f>
        <v>-139873.44</v>
      </c>
      <c r="O13" s="29" t="inlineStr">
        <is>
          <t>Doce mensualidades más las pagas extra en los meses que digas en Supuestos. La suma del año es la misma que la del P&amp;L</t>
        </is>
      </c>
    </row>
    <row r="14">
      <c r="A14" s="29" t="inlineStr">
        <is>
          <t>Intereses del préstamo</t>
        </is>
      </c>
      <c r="B14" s="33">
        <f>IFERROR(IF('PyG 3 Años'!$B$9="","",-'Financiación'!$B$44/12),"")</f>
        <v>-795.0</v>
      </c>
      <c r="C14" s="33">
        <f>IFERROR(IF('PyG 3 Años'!$B$9="","",-'Financiación'!$B$44/12),"")</f>
        <v>-795.0</v>
      </c>
      <c r="D14" s="33">
        <f>IFERROR(IF('PyG 3 Años'!$B$9="","",-'Financiación'!$B$44/12),"")</f>
        <v>-795.0</v>
      </c>
      <c r="E14" s="33">
        <f>IFERROR(IF('PyG 3 Años'!$B$9="","",-'Financiación'!$B$44/12),"")</f>
        <v>-795.0</v>
      </c>
      <c r="F14" s="33">
        <f>IFERROR(IF('PyG 3 Años'!$B$9="","",-'Financiación'!$B$44/12),"")</f>
        <v>-795.0</v>
      </c>
      <c r="G14" s="33">
        <f>IFERROR(IF('PyG 3 Años'!$B$9="","",-'Financiación'!$B$44/12),"")</f>
        <v>-795.0</v>
      </c>
      <c r="H14" s="33">
        <f>IFERROR(IF('PyG 3 Años'!$B$9="","",-'Financiación'!$B$44/12),"")</f>
        <v>-795.0</v>
      </c>
      <c r="I14" s="33">
        <f>IFERROR(IF('PyG 3 Años'!$B$9="","",-'Financiación'!$B$44/12),"")</f>
        <v>-795.0</v>
      </c>
      <c r="J14" s="33">
        <f>IFERROR(IF('PyG 3 Años'!$B$9="","",-'Financiación'!$B$44/12),"")</f>
        <v>-795.0</v>
      </c>
      <c r="K14" s="33">
        <f>IFERROR(IF('PyG 3 Años'!$B$9="","",-'Financiación'!$B$44/12),"")</f>
        <v>-795.0</v>
      </c>
      <c r="L14" s="33">
        <f>IFERROR(IF('PyG 3 Años'!$B$9="","",-'Financiación'!$B$44/12),"")</f>
        <v>-795.0</v>
      </c>
      <c r="M14" s="33">
        <f>IFERROR(IF('PyG 3 Años'!$B$9="","",-'Financiación'!$B$44/12),"")</f>
        <v>-795.0</v>
      </c>
      <c r="N14" s="33">
        <f>IFERROR(IF('PyG 3 Años'!$B$9="","",SUM(B14:M14)),"")</f>
        <v>-9540.0</v>
      </c>
      <c r="O14" s="29" t="n"/>
    </row>
    <row r="15">
      <c r="A15" s="29" t="inlineStr">
        <is>
          <t>Devolución de principal del préstamo</t>
        </is>
      </c>
      <c r="B15" s="33">
        <f>IFERROR(IF('PyG 3 Años'!$B$9="","",-'Financiación'!$B$45/12),"")</f>
        <v>0.0</v>
      </c>
      <c r="C15" s="33">
        <f>IFERROR(IF('PyG 3 Años'!$B$9="","",-'Financiación'!$B$45/12),"")</f>
        <v>0.0</v>
      </c>
      <c r="D15" s="33">
        <f>IFERROR(IF('PyG 3 Años'!$B$9="","",-'Financiación'!$B$45/12),"")</f>
        <v>0.0</v>
      </c>
      <c r="E15" s="33">
        <f>IFERROR(IF('PyG 3 Años'!$B$9="","",-'Financiación'!$B$45/12),"")</f>
        <v>0.0</v>
      </c>
      <c r="F15" s="33">
        <f>IFERROR(IF('PyG 3 Años'!$B$9="","",-'Financiación'!$B$45/12),"")</f>
        <v>0.0</v>
      </c>
      <c r="G15" s="33">
        <f>IFERROR(IF('PyG 3 Años'!$B$9="","",-'Financiación'!$B$45/12),"")</f>
        <v>0.0</v>
      </c>
      <c r="H15" s="33">
        <f>IFERROR(IF('PyG 3 Años'!$B$9="","",-'Financiación'!$B$45/12),"")</f>
        <v>0.0</v>
      </c>
      <c r="I15" s="33">
        <f>IFERROR(IF('PyG 3 Años'!$B$9="","",-'Financiación'!$B$45/12),"")</f>
        <v>0.0</v>
      </c>
      <c r="J15" s="33">
        <f>IFERROR(IF('PyG 3 Años'!$B$9="","",-'Financiación'!$B$45/12),"")</f>
        <v>0.0</v>
      </c>
      <c r="K15" s="33">
        <f>IFERROR(IF('PyG 3 Años'!$B$9="","",-'Financiación'!$B$45/12),"")</f>
        <v>0.0</v>
      </c>
      <c r="L15" s="33">
        <f>IFERROR(IF('PyG 3 Años'!$B$9="","",-'Financiación'!$B$45/12),"")</f>
        <v>0.0</v>
      </c>
      <c r="M15" s="33">
        <f>IFERROR(IF('PyG 3 Años'!$B$9="","",-'Financiación'!$B$45/12),"")</f>
        <v>0.0</v>
      </c>
      <c r="N15" s="33">
        <f>IFERROR(IF('PyG 3 Años'!$B$9="","",SUM(B15:M15)),"")</f>
        <v>0.0</v>
      </c>
      <c r="O15" s="29" t="n"/>
    </row>
    <row r="16">
      <c r="A16" s="29" t="inlineStr">
        <is>
          <t>IVA repercutido del mes (memoria)</t>
        </is>
      </c>
      <c r="B16" s="33">
        <f>IFERROR(IF('PyG 3 Años'!$B$9="","",'PyG 3 Años'!$B$9*B7*SUMPRODUCT('PyG 3 Años'!$E$10:$E$11,'PyG 3 Años'!$G$10:$G$11)),"")</f>
        <v>2576.0551669220067</v>
      </c>
      <c r="C16" s="33">
        <f>IFERROR(IF('PyG 3 Años'!$B$9="","",'PyG 3 Años'!$B$9*C7*SUMPRODUCT('PyG 3 Años'!$E$10:$E$11,'PyG 3 Años'!$G$10:$G$11)),"")</f>
        <v>2998.582733983287</v>
      </c>
      <c r="D16" s="33">
        <f>IFERROR(IF('PyG 3 Años'!$B$9="","",'PyG 3 Años'!$B$9*D7*SUMPRODUCT('PyG 3 Años'!$E$10:$E$11,'PyG 3 Años'!$G$10:$G$11)),"")</f>
        <v>3148.511870682452</v>
      </c>
      <c r="E16" s="33">
        <f>IFERROR(IF('PyG 3 Años'!$B$9="","",'PyG 3 Años'!$B$9*E7*SUMPRODUCT('PyG 3 Años'!$E$10:$E$11,'PyG 3 Años'!$G$10:$G$11)),"")</f>
        <v>3925.417397214486</v>
      </c>
      <c r="F16" s="33">
        <f>IFERROR(IF('PyG 3 Años'!$B$9="","",'PyG 3 Años'!$B$9*F7*SUMPRODUCT('PyG 3 Años'!$E$10:$E$11,'PyG 3 Años'!$G$10:$G$11)),"")</f>
        <v>2780.503989693594</v>
      </c>
      <c r="G16" s="33">
        <f>IFERROR(IF('PyG 3 Años'!$B$9="","",'PyG 3 Años'!$B$9*G7*SUMPRODUCT('PyG 3 Años'!$E$10:$E$11,'PyG 3 Años'!$G$10:$G$11)),"")</f>
        <v>2944.0630479108636</v>
      </c>
      <c r="H16" s="33">
        <f>IFERROR(IF('PyG 3 Años'!$B$9="","",'PyG 3 Años'!$B$9*H7*SUMPRODUCT('PyG 3 Años'!$E$10:$E$11,'PyG 3 Años'!$G$10:$G$11)),"")</f>
        <v>3352.96069345404</v>
      </c>
      <c r="I16" s="33">
        <f>IFERROR(IF('PyG 3 Años'!$B$9="","",'PyG 3 Años'!$B$9*I7*SUMPRODUCT('PyG 3 Años'!$E$10:$E$11,'PyG 3 Años'!$G$10:$G$11)),"")</f>
        <v>3516.5197516713097</v>
      </c>
      <c r="J16" s="33">
        <f>IFERROR(IF('PyG 3 Años'!$B$9="","",'PyG 3 Años'!$B$9*J7*SUMPRODUCT('PyG 3 Años'!$E$10:$E$11,'PyG 3 Años'!$G$10:$G$11)),"")</f>
        <v>3680.0788098885796</v>
      </c>
      <c r="K16" s="33">
        <f>IFERROR(IF('PyG 3 Años'!$B$9="","",'PyG 3 Años'!$B$9*K7*SUMPRODUCT('PyG 3 Años'!$E$10:$E$11,'PyG 3 Años'!$G$10:$G$11)),"")</f>
        <v>3680.0788098885796</v>
      </c>
      <c r="L16" s="33">
        <f>IFERROR(IF('PyG 3 Años'!$B$9="","",'PyG 3 Años'!$B$9*L7*SUMPRODUCT('PyG 3 Años'!$E$10:$E$11,'PyG 3 Años'!$G$10:$G$11)),"")</f>
        <v>3598.2992807799446</v>
      </c>
      <c r="M16" s="33">
        <f>IFERROR(IF('PyG 3 Años'!$B$9="","",'PyG 3 Años'!$B$9*M7*SUMPRODUCT('PyG 3 Años'!$E$10:$E$11,'PyG 3 Años'!$G$10:$G$11)),"")</f>
        <v>2944.0630479108636</v>
      </c>
      <c r="N16" s="33">
        <f>IFERROR(IF('PyG 3 Años'!$B$9="","",SUM(B16:M16)),"")</f>
        <v>39145.134600000005</v>
      </c>
      <c r="O16" s="29" t="inlineStr">
        <is>
          <t>Cada línea de venta a SU tipo, leído de la columna de IVA del P&amp;L: en sala, alcohol incluido, el reducido (art. 91.Uno.2.2.º de la Ley 37/1992 del IVA); la parte de la bebida que sale para llevar o a domicilio y declara la columna H de su línea (alcohol y refrescos con azúcares o edulcorantes añadidos), al general (art. 91.Uno.1.1.º)</t>
        </is>
      </c>
    </row>
    <row r="17">
      <c r="A17" s="29" t="inlineStr">
        <is>
          <t>IVA soportado del mes (memoria)</t>
        </is>
      </c>
      <c r="B17" s="33">
        <f>IFERROR(IF('PyG 3 Años'!$B$9="","",'PyG 3 Años'!$B$38*B7+'PyG 3 Años'!$B$39/12),"")</f>
        <v>1973.3689741782732</v>
      </c>
      <c r="C17" s="33">
        <f>IFERROR(IF('PyG 3 Años'!$B$9="","",'PyG 3 Años'!$B$38*C7+'PyG 3 Años'!$B$39/12),"")</f>
        <v>2132.858065181059</v>
      </c>
      <c r="D17" s="33">
        <f>IFERROR(IF('PyG 3 Años'!$B$9="","",'PyG 3 Años'!$B$38*D7+'PyG 3 Años'!$B$39/12),"")</f>
        <v>2189.450968440112</v>
      </c>
      <c r="E17" s="33">
        <f>IFERROR(IF('PyG 3 Años'!$B$9="","",'PyG 3 Años'!$B$38*E7+'PyG 3 Años'!$B$39/12),"")</f>
        <v>2482.7051035097497</v>
      </c>
      <c r="F17" s="33">
        <f>IFERROR(IF('PyG 3 Años'!$B$9="","",'PyG 3 Años'!$B$38*F7+'PyG 3 Años'!$B$39/12),"")</f>
        <v>2050.541114986073</v>
      </c>
      <c r="G17" s="33">
        <f>IFERROR(IF('PyG 3 Años'!$B$9="","",'PyG 3 Años'!$B$38*G7+'PyG 3 Años'!$B$39/12),"")</f>
        <v>2112.2788276323117</v>
      </c>
      <c r="H17" s="33">
        <f>IFERROR(IF('PyG 3 Años'!$B$9="","",'PyG 3 Años'!$B$38*H7+'PyG 3 Años'!$B$39/12),"")</f>
        <v>2266.623109247911</v>
      </c>
      <c r="I17" s="33">
        <f>IFERROR(IF('PyG 3 Años'!$B$9="","",'PyG 3 Años'!$B$38*I7+'PyG 3 Años'!$B$39/12),"")</f>
        <v>2328.360821894151</v>
      </c>
      <c r="J17" s="33">
        <f>IFERROR(IF('PyG 3 Años'!$B$9="","",'PyG 3 Años'!$B$38*J7+'PyG 3 Años'!$B$39/12),"")</f>
        <v>2390.09853454039</v>
      </c>
      <c r="K17" s="33">
        <f>IFERROR(IF('PyG 3 Años'!$B$9="","",'PyG 3 Años'!$B$38*K7+'PyG 3 Años'!$B$39/12),"")</f>
        <v>2390.09853454039</v>
      </c>
      <c r="L17" s="33">
        <f>IFERROR(IF('PyG 3 Años'!$B$9="","",'PyG 3 Años'!$B$38*L7+'PyG 3 Años'!$B$39/12),"")</f>
        <v>2359.2296782172707</v>
      </c>
      <c r="M17" s="33">
        <f>IFERROR(IF('PyG 3 Años'!$B$9="","",'PyG 3 Años'!$B$38*M7+'PyG 3 Años'!$B$39/12),"")</f>
        <v>2112.2788276323117</v>
      </c>
      <c r="N17" s="33">
        <f>IFERROR(IF('PyG 3 Años'!$B$9="","",SUM(B17:M17)),"")</f>
        <v>26787.89256</v>
      </c>
      <c r="O17" s="29" t="inlineStr">
        <is>
          <t>Cada partida a su tipo, leído de la columna de IVA del P&amp;L: los seguros y las comisiones de los medios de pago están exentos</t>
        </is>
      </c>
    </row>
    <row r="18">
      <c r="A18" s="29" t="inlineStr">
        <is>
          <t>IVA a compensar arrastrado (inversión incluida)</t>
        </is>
      </c>
      <c r="B18" s="29" t="n"/>
      <c r="C18" s="29" t="n"/>
      <c r="D18" s="29" t="n"/>
      <c r="E18" s="33">
        <f>IFERROR(IF('PyG 3 Años'!$B$9="","",'Inversión Inicial'!$B$32),"")</f>
        <v>27940.5</v>
      </c>
      <c r="F18" s="29" t="n"/>
      <c r="G18" s="29" t="n"/>
      <c r="H18" s="33">
        <f>IFERROR(IF('PyG 3 Años'!$B$9="","",MAX(0,-E19)),"")</f>
        <v>25513.028236211696</v>
      </c>
      <c r="I18" s="29" t="n"/>
      <c r="J18" s="29" t="n"/>
      <c r="K18" s="33">
        <f>IFERROR(IF('PyG 3 Años'!$B$9="","",MAX(0,-H19)),"")</f>
        <v>22508.568847520888</v>
      </c>
      <c r="L18" s="29" t="n"/>
      <c r="M18" s="29" t="n"/>
      <c r="N18" s="29" t="n"/>
      <c r="O18" s="29" t="inlineStr">
        <is>
          <t>El IVA soportado de la INVERSIÓN entra aquí: se compensa contra el repercutido de los trimestres siguientes hasta agotarlo (modelo 303)</t>
        </is>
      </c>
    </row>
    <row r="19">
      <c r="A19" s="29" t="inlineStr">
        <is>
          <t>Resultado de la liquidación trimestral</t>
        </is>
      </c>
      <c r="B19" s="29" t="n"/>
      <c r="C19" s="29" t="n"/>
      <c r="D19" s="29" t="n"/>
      <c r="E19" s="33">
        <f>IFERROR(IF('PyG 3 Años'!$B$9="","",SUM(B16:D16)-SUM(B17:D17)-E18),"")</f>
        <v>-25513.028236211696</v>
      </c>
      <c r="F19" s="29" t="n"/>
      <c r="G19" s="29" t="n"/>
      <c r="H19" s="33">
        <f>IFERROR(IF('PyG 3 Años'!$B$9="","",SUM(E16:G16)-SUM(E17:G17)-H18),"")</f>
        <v>-22508.568847520888</v>
      </c>
      <c r="I19" s="29" t="n"/>
      <c r="J19" s="29" t="n"/>
      <c r="K19" s="33">
        <f>IFERROR(IF('PyG 3 Años'!$B$9="","",SUM(H16:J16)-SUM(H17:J17)-K18),"")</f>
        <v>-18944.09205818941</v>
      </c>
      <c r="L19" s="29" t="n"/>
      <c r="M19" s="29" t="n"/>
      <c r="N19" s="29" t="n"/>
      <c r="O19" s="29" t="inlineStr">
        <is>
          <t>Repercutido menos soportado del trimestre menos lo que venía arrastrado. En negativo NO se paga: se compensa en el trimestre siguiente</t>
        </is>
      </c>
    </row>
    <row r="20">
      <c r="A20" s="29" t="inlineStr">
        <is>
          <t>Pago del IVA (modelo 303)</t>
        </is>
      </c>
      <c r="B20" s="29" t="n"/>
      <c r="C20" s="29" t="n"/>
      <c r="D20" s="29" t="n"/>
      <c r="E20" s="33">
        <f>IFERROR(IF('PyG 3 Años'!$B$9="","",IF(E19&lt;=0,"",-E19)),"")</f>
        <v/>
      </c>
      <c r="F20" s="29" t="n"/>
      <c r="G20" s="29" t="n"/>
      <c r="H20" s="33">
        <f>IFERROR(IF('PyG 3 Años'!$B$9="","",IF(H19&lt;=0,"",-H19)),"")</f>
        <v/>
      </c>
      <c r="I20" s="29" t="n"/>
      <c r="J20" s="29" t="n"/>
      <c r="K20" s="33">
        <f>IFERROR(IF('PyG 3 Años'!$B$9="","",IF(K19&lt;=0,"",-K19)),"")</f>
        <v/>
      </c>
      <c r="L20" s="29" t="n"/>
      <c r="M20" s="29" t="n"/>
      <c r="N20" s="33">
        <f>IFERROR(IF('PyG 3 Años'!$B$9="","",SUM(B20:M20)),"")</f>
        <v>0.0</v>
      </c>
      <c r="O20" s="29" t="inlineStr">
        <is>
          <t>Sólo sale caja cuando el resultado del trimestre es positivo. Los meses sin liquidación van en blanco, no a cero. La celda se pinta en ROJO cuando el pago del 303 se lleva más caja de la que queda ese mes</t>
        </is>
      </c>
    </row>
    <row r="21">
      <c r="A21" s="26" t="inlineStr">
        <is>
          <t>FLUJO DEL MES</t>
        </is>
      </c>
      <c r="B21" s="27">
        <f>IFERROR(IF('PyG 3 Años'!$B$9="","",SUM(B9:B15)+IF(B20="",0,B20)),"")</f>
        <v>9415.19009636955</v>
      </c>
      <c r="C21" s="27">
        <f>IFERROR(IF('PyG 3 Años'!$B$9="","",SUM(C9:C15)+IF(C20="",0,C20)),"")</f>
        <v>6225.506342845865</v>
      </c>
      <c r="D21" s="27">
        <f>IFERROR(IF('PyG 3 Años'!$B$9="","",SUM(D9:D15)+IF(D20="",0,D20)),"")</f>
        <v>6519.800456369552</v>
      </c>
      <c r="E21" s="27">
        <f>IFERROR(IF('PyG 3 Años'!$B$9="","",SUM(E9:E15)+IF(E20="",0,E20)),"")</f>
        <v>3970.9653674419787</v>
      </c>
      <c r="F21" s="27">
        <f>IFERROR(IF('PyG 3 Años'!$B$9="","",SUM(F9:F15)+IF(F20="",0,F20)),"")</f>
        <v>99.58256553389037</v>
      </c>
      <c r="G21" s="27">
        <f>IFERROR(IF('PyG 3 Años'!$B$9="","",SUM(G9:G15)+IF(G20="",0,G20)),"")</f>
        <v>5079.574574168984</v>
      </c>
      <c r="H21" s="27">
        <f>IFERROR(IF('PyG 3 Años'!$B$9="","",SUM(H9:H15)+IF(H20="",0,H20)),"")</f>
        <v>8750.896442469833</v>
      </c>
      <c r="I21" s="27">
        <f>IFERROR(IF('PyG 3 Años'!$B$9="","",SUM(I9:I15)+IF(I20="",0,I20)),"")</f>
        <v>9222.928858876507</v>
      </c>
      <c r="J21" s="27">
        <f>IFERROR(IF('PyG 3 Años'!$B$9="","",SUM(J9:J15)+IF(J20="",0,J20)),"")</f>
        <v>10406.744368792939</v>
      </c>
      <c r="K21" s="27">
        <f>IFERROR(IF('PyG 3 Años'!$B$9="","",SUM(K9:K15)+IF(K20="",0,K20)),"")</f>
        <v>9932.222306453115</v>
      </c>
      <c r="L21" s="27">
        <f>IFERROR(IF('PyG 3 Años'!$B$9="","",SUM(L9:L15)+IF(L20="",0,L20)),"")</f>
        <v>-887.9064796750172</v>
      </c>
      <c r="M21" s="27">
        <f>IFERROR(IF('PyG 3 Años'!$B$9="","",SUM(M9:M15)+IF(M20="",0,M20)),"")</f>
        <v>2706.9642624698226</v>
      </c>
      <c r="N21" s="27">
        <f>IFERROR(IF('PyG 3 Años'!$B$9="","",SUM(B21:M21)),"")</f>
        <v>71442.46916211702</v>
      </c>
      <c r="O21" s="29" t="n"/>
    </row>
    <row r="22">
      <c r="A22" s="26" t="inlineStr">
        <is>
          <t>SALDO ACUMULADO DE CAJA</t>
        </is>
      </c>
      <c r="B22" s="27">
        <f>IFERROR(IF('PyG 3 Años'!$B$9="","",'Inversión Inicial'!$B$29+B21),"")</f>
        <v>61518.55009636956</v>
      </c>
      <c r="C22" s="27">
        <f>IFERROR(IF('PyG 3 Años'!$B$9="","",B22+C21),"")</f>
        <v>67744.05643921542</v>
      </c>
      <c r="D22" s="27">
        <f>IFERROR(IF('PyG 3 Años'!$B$9="","",C22+D21),"")</f>
        <v>74263.85689558498</v>
      </c>
      <c r="E22" s="27">
        <f>IFERROR(IF('PyG 3 Años'!$B$9="","",D22+E21),"")</f>
        <v>78234.82226302696</v>
      </c>
      <c r="F22" s="27">
        <f>IFERROR(IF('PyG 3 Años'!$B$9="","",E22+F21),"")</f>
        <v>78334.40482856084</v>
      </c>
      <c r="G22" s="27">
        <f>IFERROR(IF('PyG 3 Años'!$B$9="","",F22+G21),"")</f>
        <v>83413.97940272983</v>
      </c>
      <c r="H22" s="27">
        <f>IFERROR(IF('PyG 3 Años'!$B$9="","",G22+H21),"")</f>
        <v>92164.87584519967</v>
      </c>
      <c r="I22" s="27">
        <f>IFERROR(IF('PyG 3 Años'!$B$9="","",H22+I21),"")</f>
        <v>101387.80470407617</v>
      </c>
      <c r="J22" s="27">
        <f>IFERROR(IF('PyG 3 Años'!$B$9="","",I22+J21),"")</f>
        <v>111794.54907286911</v>
      </c>
      <c r="K22" s="27">
        <f>IFERROR(IF('PyG 3 Años'!$B$9="","",J22+K21),"")</f>
        <v>121726.77137932222</v>
      </c>
      <c r="L22" s="27">
        <f>IFERROR(IF('PyG 3 Años'!$B$9="","",K22+L21),"")</f>
        <v>120838.8648996472</v>
      </c>
      <c r="M22" s="27">
        <f>IFERROR(IF('PyG 3 Años'!$B$9="","",L22+M21),"")</f>
        <v>123545.82916211702</v>
      </c>
      <c r="N22" s="29" t="n"/>
      <c r="O22" s="29" t="n"/>
    </row>
    <row r="23">
      <c r="A23" s="29" t="inlineStr">
        <is>
          <t>Saldo mínimo del año</t>
        </is>
      </c>
      <c r="B23" s="33">
        <f>IFERROR(IF('PyG 3 Años'!$B$9="","",IF(COUNT(B22:M22)=0,"",MIN(B22:M22))),"")</f>
        <v>61518.55009636956</v>
      </c>
      <c r="C23" s="29" t="n"/>
      <c r="D23" s="29" t="inlineStr">
        <is>
          <t>Si es negativo, sube el fondo de maniobra o el préstamo: te quedas sin caja</t>
        </is>
      </c>
      <c r="E23" s="29" t="n"/>
      <c r="F23" s="29" t="n"/>
      <c r="G23" s="29" t="n"/>
      <c r="H23" s="29" t="n"/>
      <c r="I23" s="29" t="n"/>
      <c r="J23" s="29" t="n"/>
      <c r="K23" s="29" t="n"/>
      <c r="L23" s="29" t="n"/>
      <c r="M23" s="29" t="n"/>
      <c r="N23" s="29" t="n"/>
      <c r="O23" s="29" t="n"/>
    </row>
    <row r="24">
      <c r="A24" s="29" t="inlineStr">
        <is>
          <t>Mes en el que la caja toca fondo</t>
        </is>
      </c>
      <c r="B24" s="41">
        <f>IFERROR(IF('PyG 3 Años'!$B$9="","",IF(COUNT(B22:M22)=0,"",MATCH(MIN(B22:M22),B22:M22,0))),"")</f>
        <v>1.0</v>
      </c>
      <c r="C24" s="29" t="n"/>
      <c r="D24" s="29" t="inlineStr">
        <is>
          <t>Es la respuesta a la pregunta que decide una operación bancaria: en qué mes se agota la caja</t>
        </is>
      </c>
      <c r="E24" s="29" t="n"/>
      <c r="F24" s="29" t="n"/>
      <c r="G24" s="29" t="n"/>
      <c r="H24" s="29" t="n"/>
      <c r="I24" s="29" t="n"/>
      <c r="J24" s="29" t="n"/>
      <c r="K24" s="29" t="n"/>
      <c r="L24" s="29" t="n"/>
      <c r="M24" s="29" t="n"/>
      <c r="N24" s="29" t="n"/>
      <c r="O24" s="29" t="n"/>
    </row>
    <row r="25">
      <c r="A25" s="26" t="inlineStr">
        <is>
          <t>RETORNO DE LA INVERSIÓN</t>
        </is>
      </c>
      <c r="B25" s="29" t="n"/>
      <c r="C25" s="29" t="n"/>
      <c r="D25" s="29" t="n"/>
      <c r="E25" s="29" t="n"/>
      <c r="F25" s="29" t="n"/>
      <c r="G25" s="29" t="n"/>
      <c r="H25" s="29" t="n"/>
      <c r="I25" s="29" t="n"/>
      <c r="J25" s="29" t="n"/>
      <c r="K25" s="29" t="n"/>
      <c r="L25" s="29" t="n"/>
      <c r="M25" s="29" t="n"/>
      <c r="N25" s="29" t="n"/>
      <c r="O25" s="29" t="n"/>
    </row>
    <row r="26">
      <c r="A26" s="29" t="inlineStr">
        <is>
          <t>Flujo de caja libre antes de la deuda, año 1</t>
        </is>
      </c>
      <c r="B26" s="33">
        <f>IFERROR(IF('PyG 3 Años'!$B$9="","",'PyG 3 Años'!$B$47+'PyG 3 Años'!$B$35+'Financiación'!$B$44),"")</f>
        <v>54261.00549999999</v>
      </c>
      <c r="C26" s="29" t="n"/>
      <c r="D26" s="29" t="inlineStr">
        <is>
          <t>Resultado neto más amortización (que no se paga) más los intereses de ese año: el principal no se resta porque este flujo es ANTES de la deuda. La MISMA base que los años 2 y 3, para que el payback compare peras con peras</t>
        </is>
      </c>
      <c r="E26" s="29" t="n"/>
      <c r="F26" s="29" t="n"/>
      <c r="G26" s="29" t="n"/>
      <c r="H26" s="29" t="n"/>
      <c r="I26" s="29" t="n"/>
      <c r="J26" s="29" t="n"/>
      <c r="K26" s="29" t="n"/>
      <c r="L26" s="29" t="n"/>
      <c r="M26" s="29" t="n"/>
      <c r="N26" s="29" t="n"/>
      <c r="O26" s="29" t="n"/>
    </row>
    <row r="27">
      <c r="A27" s="29" t="inlineStr">
        <is>
          <t>Flujo de caja libre antes de la deuda, año 2</t>
        </is>
      </c>
      <c r="B27" s="33">
        <f>IFERROR(IF('PyG 3 Años'!$B$9="","",'PyG 3 Años'!$C$47+'PyG 3 Años'!$C$35+'Financiación'!$B$46),"")</f>
        <v>62367.82627000001</v>
      </c>
      <c r="C27" s="29" t="n"/>
      <c r="D27" s="29" t="inlineStr">
        <is>
          <t>Resultado neto más amortización (que no se paga) más los intereses de ese año: el principal no se resta porque este flujo es ANTES de la deuda. Sin tabla mensual, es una estimación</t>
        </is>
      </c>
      <c r="E27" s="29" t="n"/>
      <c r="F27" s="29" t="n"/>
      <c r="G27" s="29" t="n"/>
      <c r="H27" s="29" t="n"/>
      <c r="I27" s="29" t="n"/>
      <c r="J27" s="29" t="n"/>
      <c r="K27" s="29" t="n"/>
      <c r="L27" s="29" t="n"/>
      <c r="M27" s="29" t="n"/>
      <c r="N27" s="29" t="n"/>
      <c r="O27" s="29" t="n"/>
    </row>
    <row r="28">
      <c r="A28" s="29" t="inlineStr">
        <is>
          <t>Flujo de caja libre antes de la deuda, año 3</t>
        </is>
      </c>
      <c r="B28" s="33">
        <f>IFERROR(IF('PyG 3 Años'!$B$9="","",'PyG 3 Años'!$D$47+'PyG 3 Años'!$D$35+'Financiación'!$B$48),"")</f>
        <v>60925.12096708745</v>
      </c>
      <c r="C28" s="29" t="n"/>
      <c r="D28" s="29" t="inlineStr">
        <is>
          <t>Resultado neto más amortización (que no se paga) más los intereses de ese año: el principal no se resta porque este flujo es ANTES de la deuda. Sin tabla mensual, es una estimación</t>
        </is>
      </c>
      <c r="E28" s="29" t="n"/>
      <c r="F28" s="29" t="n"/>
      <c r="G28" s="29" t="n"/>
      <c r="H28" s="29" t="n"/>
      <c r="I28" s="29" t="n"/>
      <c r="J28" s="29" t="n"/>
      <c r="K28" s="29" t="n"/>
      <c r="L28" s="29" t="n"/>
      <c r="M28" s="29" t="n"/>
      <c r="N28" s="29" t="n"/>
      <c r="O28" s="29" t="n"/>
    </row>
    <row r="29">
      <c r="A29" s="29" t="inlineStr">
        <is>
          <t>Informativo: flujo REAL de caja del año 1 (tabla mensual, antes de la deuda)</t>
        </is>
      </c>
      <c r="B29" s="33">
        <f>IFERROR(IF('PyG 3 Años'!$B$9="","",N21+'Financiación'!$B$44+'Financiación'!$B$45),"")</f>
        <v>80982.46916211702</v>
      </c>
      <c r="C29" s="29" t="n"/>
      <c r="D29" s="29"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9" t="n"/>
      <c r="F29" s="29" t="n"/>
      <c r="G29" s="29" t="n"/>
      <c r="H29" s="29" t="n"/>
      <c r="I29" s="29" t="n"/>
      <c r="J29" s="29" t="n"/>
      <c r="K29" s="29" t="n"/>
      <c r="L29" s="29" t="n"/>
      <c r="M29" s="29" t="n"/>
      <c r="N29" s="29" t="n"/>
      <c r="O29" s="29" t="n"/>
    </row>
    <row r="30">
      <c r="A30" s="29" t="inlineStr">
        <is>
          <t>Inversión a recuperar (sin el IVA, que se recupera por el 303)</t>
        </is>
      </c>
      <c r="B30" s="33">
        <f>IFERROR(IF('PyG 3 Años'!$B$9="","",'Inversión Inicial'!$B$33-'Inversión Inicial'!$B$32),"")</f>
        <v>194953.36000000002</v>
      </c>
      <c r="C30" s="29" t="n"/>
      <c r="D30" s="29"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9" t="n"/>
      <c r="F30" s="29" t="n"/>
      <c r="G30" s="29" t="n"/>
      <c r="H30" s="29" t="n"/>
      <c r="I30" s="29" t="n"/>
      <c r="J30" s="29" t="n"/>
      <c r="K30" s="29" t="n"/>
      <c r="L30" s="29" t="n"/>
      <c r="M30" s="29" t="n"/>
      <c r="N30" s="29" t="n"/>
      <c r="O30" s="29" t="n"/>
    </row>
    <row r="31">
      <c r="A31" s="26" t="inlineStr">
        <is>
          <t>Payback del proyecto (años), antes de la deuda</t>
        </is>
      </c>
      <c r="B31" s="26" t="str">
        <f>IFERROR(IF('PyG 3 Años'!$B$9="","",IF(B26&gt;=B30,ROUND(B30/B26,1),IF(B26+B27&gt;=B30,ROUND(1+(B30-B26)/B27,1),IF(B26+B27+B28&gt;=B30,ROUND(2+(B30-B26-B27)/B28,1),"Más de 3 años")))),"")</f>
        <v>Más de 3 años</v>
      </c>
      <c r="C31" s="29" t="n"/>
      <c r="D31" s="26"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9" t="n"/>
      <c r="F31" s="29" t="n"/>
      <c r="G31" s="29" t="n"/>
      <c r="H31" s="29" t="n"/>
      <c r="I31" s="29" t="n"/>
      <c r="J31" s="29" t="n"/>
      <c r="K31" s="29" t="n"/>
      <c r="L31" s="29" t="n"/>
      <c r="M31" s="29" t="n"/>
      <c r="N31" s="29" t="n"/>
      <c r="O31" s="29" t="n"/>
    </row>
    <row r="32">
      <c r="A32" s="29" t="inlineStr">
        <is>
          <t>Payback sobre el CAPEX, sin fondo de maniobra (años)</t>
        </is>
      </c>
      <c r="B32" s="29">
        <f>IFERROR(IF('PyG 3 Años'!$B$9="","",IF(B26&gt;='Inversión Inicial'!$B$31,ROUND('Inversión Inicial'!$B$31/B26,1),IF(B26+B27&gt;='Inversión Inicial'!$B$31,ROUND(1+('Inversión Inicial'!$B$31-B26)/B27,1),IF(B26+B27+B28&gt;='Inversión Inicial'!$B$31,ROUND(2+('Inversión Inicial'!$B$31-B26-B27)/B28,1),"Más de 3 años")))),"")</f>
        <v>2.4</v>
      </c>
      <c r="C32" s="29" t="n"/>
      <c r="D32" s="29" t="inlineStr">
        <is>
          <t>El mismo cálculo sobre lo que se COMPRA (obra, equipamiento, lanzamiento y constitución), sin el fondo de maniobra: ese dinero no se gasta, se inmoviliza y vuelve al cerrar el negocio. Informativo: el payback que se publica es el de arriba</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95" customHeight="1">
      <c r="A34" s="48" t="inlineStr">
        <is>
          <t>Los trimestres de esta hoja son de tres meses del plan (septiembre-noviembre, diciembre-febrero, marzo-mayo y junio-agosto), no los naturales: con el Mes 1 en septiembre, el modelo 303 se presenta en octubre (por septiembre), enero (por octubre-diciembre), abril (por enero-marzo) y julio (por abril-junio); el de julio y agosto (Meses 11 y 12) se presenta en octubre del año 2. El Impuesto de Sociedades del año 1 se paga en julio del año 2. La cuota del préstamo se reparte en doce partes iguales siguiendo el cuadro ANUAL de la hoja de Financiación, y las nóminas en doce mensualidades más las dos pagas extra en su mes.</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PLAN DE FINANCIACIÓN</t>
        </is>
      </c>
      <c r="B1" s="29" t="n"/>
      <c r="C1" s="29" t="n"/>
      <c r="D1" s="29" t="n"/>
      <c r="E1" s="29" t="n"/>
      <c r="F1" s="29" t="n"/>
      <c r="G1" s="29" t="n"/>
      <c r="H1" s="29" t="n"/>
    </row>
    <row r="2" ht="45" customHeight="1">
      <c r="A2" s="48" t="inlineStr">
        <is>
          <t>Qué hace falta, de dónde sale y cuánto cuesta devolverlo. Es la hoja que el banco pide junto con el P&amp;L.</t>
        </is>
      </c>
      <c r="B2" s="29" t="n"/>
      <c r="C2" s="29" t="n"/>
      <c r="D2" s="29" t="n"/>
      <c r="E2" s="29" t="n"/>
      <c r="F2" s="29" t="n"/>
      <c r="G2" s="29" t="n"/>
      <c r="H2" s="29" t="n"/>
    </row>
    <row r="3">
      <c r="A3" s="29" t="n"/>
      <c r="B3" s="29" t="n"/>
      <c r="C3" s="29" t="n"/>
      <c r="D3" s="29" t="n"/>
      <c r="E3" s="29" t="n"/>
      <c r="F3" s="29" t="n"/>
      <c r="G3" s="29" t="n"/>
      <c r="H3" s="29" t="n"/>
    </row>
    <row r="4">
      <c r="A4" s="26" t="inlineStr">
        <is>
          <t>Concepto</t>
        </is>
      </c>
      <c r="B4" s="26" t="inlineStr">
        <is>
          <t>Importe</t>
        </is>
      </c>
      <c r="C4" s="26" t="inlineStr">
        <is>
          <t>Notas</t>
        </is>
      </c>
      <c r="D4" s="29" t="n"/>
      <c r="E4" s="29" t="n"/>
      <c r="F4" s="29" t="n"/>
      <c r="G4" s="29" t="n"/>
      <c r="H4" s="29" t="n"/>
    </row>
    <row r="5">
      <c r="A5" s="26" t="inlineStr">
        <is>
          <t>ORIGEN DE FONDOS</t>
        </is>
      </c>
      <c r="B5" s="29" t="n"/>
      <c r="C5" s="29" t="n"/>
      <c r="D5" s="29" t="n"/>
      <c r="E5" s="29" t="n"/>
      <c r="F5" s="29" t="n"/>
      <c r="G5" s="29" t="n"/>
      <c r="H5" s="29" t="n"/>
    </row>
    <row r="6">
      <c r="A6" s="29" t="inlineStr">
        <is>
          <t>Recursos propios de los socios</t>
        </is>
      </c>
      <c r="B6" s="33">
        <f>IFERROR(IF('0. Supuestos'!$B$30="","",'0. Supuestos'!$B$30),"")</f>
        <v>65000.0</v>
      </c>
      <c r="C6" s="29" t="n"/>
      <c r="D6" s="29" t="n"/>
      <c r="E6" s="29" t="n"/>
      <c r="F6" s="29" t="n"/>
      <c r="G6" s="29" t="n"/>
      <c r="H6" s="29" t="n"/>
    </row>
    <row r="7">
      <c r="A7" s="29" t="inlineStr">
        <is>
          <t>Préstamo bancario</t>
        </is>
      </c>
      <c r="B7" s="33">
        <f>IFERROR(IF('0. Supuestos'!$B$31="","",'0. Supuestos'!$B$31),"")</f>
        <v>159000.0</v>
      </c>
      <c r="C7" s="29" t="n"/>
      <c r="D7" s="29" t="n"/>
      <c r="E7" s="29" t="n"/>
      <c r="F7" s="29" t="n"/>
      <c r="G7" s="29" t="n"/>
      <c r="H7" s="29" t="n"/>
    </row>
    <row r="8">
      <c r="A8" s="29" t="inlineStr">
        <is>
          <t>Línea ICO (avalada por el ICO, la concede tu banco)</t>
        </is>
      </c>
      <c r="B8" s="30" t="n">
        <v>0</v>
      </c>
      <c r="C8" s="29" t="inlineStr">
        <is>
          <t>Consulta las líneas del ejercicio en curso en ico.es</t>
        </is>
      </c>
      <c r="D8" s="29" t="n"/>
      <c r="E8" s="29" t="n"/>
      <c r="F8" s="29" t="n"/>
      <c r="G8" s="29" t="n"/>
      <c r="H8" s="29" t="n"/>
    </row>
    <row r="9">
      <c r="A9" s="29" t="inlineStr">
        <is>
          <t>Préstamo participativo ENISA</t>
        </is>
      </c>
      <c r="B9" s="30" t="n">
        <v>0</v>
      </c>
      <c r="C9" s="29" t="inlineStr">
        <is>
          <t>Para sociedades; sin garantías personales</t>
        </is>
      </c>
      <c r="D9" s="29" t="n"/>
      <c r="E9" s="29" t="n"/>
      <c r="F9" s="29" t="n"/>
      <c r="G9" s="29" t="n"/>
      <c r="H9" s="29" t="n"/>
    </row>
    <row r="10">
      <c r="A10" s="29" t="inlineStr">
        <is>
          <t>Business angels o socios inversores</t>
        </is>
      </c>
      <c r="B10" s="30" t="n">
        <v>0</v>
      </c>
      <c r="C10" s="29" t="inlineStr">
        <is>
          <t>Entra en el capital: diluye, no se devuelve</t>
        </is>
      </c>
      <c r="D10" s="29" t="n"/>
      <c r="E10" s="29" t="n"/>
      <c r="F10" s="29" t="n"/>
      <c r="G10" s="29" t="n"/>
      <c r="H10" s="29" t="n"/>
    </row>
    <row r="11">
      <c r="A11" s="29" t="inlineStr">
        <is>
          <t>Subvenciones autonómicas o locales</t>
        </is>
      </c>
      <c r="B11" s="30" t="n">
        <v>0</v>
      </c>
      <c r="C11" s="29" t="inlineStr">
        <is>
          <t>Suelen cobrarse DESPUÉS de justificar el gasto</t>
        </is>
      </c>
      <c r="D11" s="29" t="n"/>
      <c r="E11" s="29" t="n"/>
      <c r="F11" s="29" t="n"/>
      <c r="G11" s="29" t="n"/>
      <c r="H11" s="29" t="n"/>
    </row>
    <row r="12">
      <c r="A12" s="26" t="inlineStr">
        <is>
          <t>TOTAL ORIGEN DE FONDOS</t>
        </is>
      </c>
      <c r="B12" s="27">
        <f>IFERROR(IF(COUNT(B6:B11)=0,"",SUM(B6:B11)),"")</f>
        <v>224000.0</v>
      </c>
      <c r="C12" s="29" t="n"/>
      <c r="D12" s="29" t="n"/>
      <c r="E12" s="29" t="n"/>
      <c r="F12" s="29" t="n"/>
      <c r="G12" s="29" t="n"/>
      <c r="H12" s="29" t="n"/>
    </row>
    <row r="13">
      <c r="A13" s="26" t="inlineStr">
        <is>
          <t>USOS</t>
        </is>
      </c>
      <c r="B13" s="29" t="n"/>
      <c r="C13" s="29" t="n"/>
      <c r="D13" s="29" t="n"/>
      <c r="E13" s="29" t="n"/>
      <c r="F13" s="29" t="n"/>
      <c r="G13" s="29" t="n"/>
      <c r="H13" s="29" t="n"/>
    </row>
    <row r="14">
      <c r="A14" s="29" t="inlineStr">
        <is>
          <t>Necesidad total de caja al arranque</t>
        </is>
      </c>
      <c r="B14" s="33">
        <f>IFERROR(IF('Inversión Inicial'!$B$33="","",'Inversión Inicial'!$B$33),"")</f>
        <v>222893.86000000002</v>
      </c>
      <c r="C14" s="29" t="inlineStr">
        <is>
          <t>Inversión más el IVA que hay que adelantar</t>
        </is>
      </c>
      <c r="D14" s="29" t="n"/>
      <c r="E14" s="29" t="n"/>
      <c r="F14" s="29" t="n"/>
      <c r="G14" s="29" t="n"/>
      <c r="H14" s="29" t="n"/>
    </row>
    <row r="15">
      <c r="A15" s="26" t="inlineStr">
        <is>
          <t>Diferencia (origen - usos)</t>
        </is>
      </c>
      <c r="B15" s="27">
        <f>IFERROR(B12-B14,"")</f>
        <v>1106.1399999999849</v>
      </c>
      <c r="C15" s="26" t="inlineStr">
        <is>
          <t>En rojo (negativa) el plan NO está financiado. Muy por encima de cero tampoco es gratis: se pagan intereses por un dinero que no se usa</t>
        </is>
      </c>
      <c r="D15" s="29" t="n"/>
      <c r="E15" s="29" t="n"/>
      <c r="F15" s="29" t="n"/>
      <c r="G15" s="29" t="n"/>
      <c r="H15" s="29" t="n"/>
    </row>
    <row r="16">
      <c r="A16" s="29" t="inlineStr">
        <is>
          <t>Diferencia sobre los usos (%)</t>
        </is>
      </c>
      <c r="B16" s="68">
        <f>IFERROR(B15/B14,"")</f>
        <v>0.004962631092664396</v>
      </c>
      <c r="C16" s="29" t="inlineStr">
        <is>
          <t>Ámbar por encima del margen que fijes: es deuda que pagas sin necesitarla</t>
        </is>
      </c>
      <c r="D16" s="29" t="n"/>
      <c r="E16" s="29" t="n"/>
      <c r="F16" s="29" t="n"/>
      <c r="G16" s="29" t="n"/>
      <c r="H16" s="29" t="n"/>
    </row>
    <row r="17">
      <c r="A17" s="29" t="inlineStr">
        <is>
          <t>Exceso de financiación admisible (%)</t>
        </is>
      </c>
      <c r="B17" s="74" t="n">
        <v>0.05</v>
      </c>
      <c r="C17" s="29" t="inlineStr">
        <is>
          <t>Un pequeño colchón sobre la necesidad es sano; un 20 % de más son intereses tirados</t>
        </is>
      </c>
      <c r="D17" s="29" t="n"/>
      <c r="E17" s="29" t="n"/>
      <c r="F17" s="29" t="n"/>
      <c r="G17" s="29" t="n"/>
      <c r="H17" s="29" t="n"/>
    </row>
    <row r="18">
      <c r="A18" s="29" t="inlineStr">
        <is>
          <t>Préstamo que ajustaría el origen a la necesidad</t>
        </is>
      </c>
      <c r="B18" s="33">
        <f>IFERROR(MAX(0,B14-B12+B7),"")</f>
        <v>157893.86000000002</v>
      </c>
      <c r="C18" s="29" t="inlineStr">
        <is>
          <t>Cópialo en «Préstamo bancario solicitado» de la hoja de Supuestos y la diferencia se pone a cero</t>
        </is>
      </c>
      <c r="D18" s="29" t="n"/>
      <c r="E18" s="29" t="n"/>
      <c r="F18" s="29" t="n"/>
      <c r="G18" s="29" t="n"/>
      <c r="H18" s="29" t="n"/>
    </row>
    <row r="19">
      <c r="A19" s="26" t="inlineStr">
        <is>
          <t>CONDICIONES DEL PRÉSTAMO</t>
        </is>
      </c>
      <c r="B19" s="29" t="n"/>
      <c r="C19" s="29" t="n"/>
      <c r="D19" s="29" t="n"/>
      <c r="E19" s="29" t="n"/>
      <c r="F19" s="29" t="n"/>
      <c r="G19" s="29" t="n"/>
      <c r="H19" s="29" t="n"/>
    </row>
    <row r="20">
      <c r="A20" s="29" t="inlineStr">
        <is>
          <t>Importe del principal</t>
        </is>
      </c>
      <c r="B20" s="33">
        <f>IFERROR(IF('0. Supuestos'!$B$31=0,"",'0. Supuestos'!$B$31),"")</f>
        <v>159000.0</v>
      </c>
      <c r="C20" s="29" t="n"/>
      <c r="D20" s="29" t="n"/>
      <c r="E20" s="29" t="n"/>
      <c r="F20" s="29" t="n"/>
      <c r="G20" s="29" t="n"/>
      <c r="H20" s="29" t="n"/>
    </row>
    <row r="21">
      <c r="A21" s="29" t="inlineStr">
        <is>
          <t>Tipo de interés nominal anual</t>
        </is>
      </c>
      <c r="B21" s="68">
        <f>IFERROR(IF('0. Supuestos'!$B$32="","",'0. Supuestos'!$B$32),"")</f>
        <v>0.06</v>
      </c>
      <c r="C21" s="29" t="n"/>
      <c r="D21" s="29" t="n"/>
      <c r="E21" s="29" t="n"/>
      <c r="F21" s="29" t="n"/>
      <c r="G21" s="29" t="n"/>
      <c r="H21" s="29" t="n"/>
    </row>
    <row r="22">
      <c r="A22" s="29" t="inlineStr">
        <is>
          <t>Plazo total (años)</t>
        </is>
      </c>
      <c r="B22" s="41">
        <f>IFERROR(IF('0. Supuestos'!$B$33="","",'0. Supuestos'!$B$33),"")</f>
        <v>7.0</v>
      </c>
      <c r="C22" s="29" t="n"/>
      <c r="D22" s="29" t="n"/>
      <c r="E22" s="29" t="n"/>
      <c r="F22" s="29" t="n"/>
      <c r="G22" s="29" t="n"/>
      <c r="H22" s="29" t="n"/>
    </row>
    <row r="23">
      <c r="A23" s="29" t="inlineStr">
        <is>
          <t>Carencia de principal aplicada (años)</t>
        </is>
      </c>
      <c r="B23" s="41">
        <f>IFERROR(IF(OR('0. Supuestos'!$B$34="",'0. Supuestos'!$B$33=""),"",IF('0. Supuestos'!$B$34&gt;='0. Supuestos'!$B$33,0,'0. Supuestos'!$B$34)),"")</f>
        <v>1.0</v>
      </c>
      <c r="C23" s="29" t="inlineStr">
        <is>
          <t>Una carencia igual o mayor que el plazo no existe: la hoja la anula en origen</t>
        </is>
      </c>
      <c r="D23" s="29" t="n"/>
      <c r="E23" s="29" t="n"/>
      <c r="F23" s="29" t="n"/>
      <c r="G23" s="29" t="n"/>
      <c r="H23" s="29" t="n"/>
    </row>
    <row r="24">
      <c r="A24" s="26" t="inlineStr">
        <is>
          <t>Cuota anual durante la amortización</t>
        </is>
      </c>
      <c r="B24" s="72">
        <f>IFERROR(IF(B22-B23&lt;=0,"",IF(B21=0,B20/(B22-B23),B20*B21/(1-(1+B21)^-(B22-B23)))),"")</f>
        <v>32334.657927508357</v>
      </c>
      <c r="C24" s="26" t="inlineStr">
        <is>
          <t>Sistema francés, anualidad algebraica. Con el tipo al 0 % es el principal entre los años de amortización: sin esa rama el cuadro se apagaba entero</t>
        </is>
      </c>
      <c r="D24" s="29" t="n"/>
      <c r="E24" s="29" t="n"/>
      <c r="F24" s="29" t="n"/>
      <c r="G24" s="29" t="n"/>
      <c r="H24" s="29" t="n"/>
    </row>
    <row r="25">
      <c r="A25" s="26" t="inlineStr">
        <is>
          <t>CUADRO DE AMORTIZACIÓN</t>
        </is>
      </c>
      <c r="B25" s="29" t="n"/>
      <c r="C25" s="29" t="n"/>
      <c r="D25" s="29" t="n"/>
      <c r="E25" s="29" t="n"/>
      <c r="F25" s="29" t="n"/>
      <c r="G25" s="29" t="n"/>
      <c r="H25" s="29" t="n"/>
    </row>
    <row r="26">
      <c r="A26" s="26" t="inlineStr">
        <is>
          <t>Año</t>
        </is>
      </c>
      <c r="B26" s="26" t="inlineStr">
        <is>
          <t>Capital pendiente</t>
        </is>
      </c>
      <c r="C26" s="26" t="inlineStr">
        <is>
          <t>Intereses</t>
        </is>
      </c>
      <c r="D26" s="26" t="inlineStr">
        <is>
          <t>Amortización de principal</t>
        </is>
      </c>
      <c r="E26" s="26" t="inlineStr">
        <is>
          <t>Cuota total</t>
        </is>
      </c>
      <c r="F26" s="26" t="inlineStr">
        <is>
          <t>Capital al cierre</t>
        </is>
      </c>
      <c r="G26" s="26" t="inlineStr">
        <is>
          <t>Flujo disponible para la deuda (después de impuestos; del año 4 en adelante, el del año 3 mantenido)</t>
        </is>
      </c>
      <c r="H26" s="26" t="inlineStr">
        <is>
          <t>DSCR del año</t>
        </is>
      </c>
    </row>
    <row r="27">
      <c r="A27" s="41" t="n">
        <v>1</v>
      </c>
      <c r="B27" s="70">
        <f>IFERROR(IF(B20="","",B20),"")</f>
        <v>159000.0</v>
      </c>
      <c r="C27" s="70">
        <f>IFERROR(IF(OR(1&gt;B22,B27=""),"",B27*B21),"")</f>
        <v>9540.0</v>
      </c>
      <c r="D27" s="70">
        <f>IFERROR(IF(OR(1&gt;B22,B27=""),"",IF(1&lt;=B23,0,MIN(B27,B24-C27))),"")</f>
        <v>0.0</v>
      </c>
      <c r="E27" s="70">
        <f>IFERROR(IF(C27="","",C27+D27),"")</f>
        <v>9540.0</v>
      </c>
      <c r="F27" s="70">
        <f>IFERROR(IF(D27="","",B27-D27),"")</f>
        <v>159000.0</v>
      </c>
      <c r="G27" s="70">
        <f>IFERROR(IF(E27="","",'PyG 3 Años'!$B$40-'PyG 3 Años'!$B$45+'PyG 3 Años'!$B$35+'PyG 3 Años'!$B$36),"")</f>
        <v>54261.00549999999</v>
      </c>
      <c r="H27" s="62">
        <f>IFERROR(IF(OR(E27="",E27=0),"",G27/E27),"")</f>
        <v>5.687736425576519</v>
      </c>
    </row>
    <row r="28">
      <c r="A28" s="41" t="n">
        <v>2</v>
      </c>
      <c r="B28" s="70">
        <f>IFERROR(IF(OR(2&gt;B22,F27=""),"",F27),"")</f>
        <v>159000.0</v>
      </c>
      <c r="C28" s="70">
        <f>IFERROR(IF(OR(2&gt;B22,B28=""),"",B28*B21),"")</f>
        <v>9540.0</v>
      </c>
      <c r="D28" s="70">
        <f>IFERROR(IF(OR(2&gt;B22,B28=""),"",IF(2&lt;=B23,0,MIN(B28,B24-C28))),"")</f>
        <v>22794.657927508357</v>
      </c>
      <c r="E28" s="70">
        <f>IFERROR(IF(C28="","",C28+D28),"")</f>
        <v>32334.657927508357</v>
      </c>
      <c r="F28" s="70">
        <f>IFERROR(IF(D28="","",B28-D28),"")</f>
        <v>136205.34207249165</v>
      </c>
      <c r="G28" s="70">
        <f>IFERROR(IF(E28="","",'PyG 3 Años'!$C$40-'PyG 3 Años'!$C$45+'PyG 3 Años'!$C$35+'PyG 3 Años'!$C$36),"")</f>
        <v>62367.82627000001</v>
      </c>
      <c r="H28" s="62">
        <f>IFERROR(IF(OR(E28="",E28=0),"",G28/E28),"")</f>
        <v>1.9288228256449642</v>
      </c>
    </row>
    <row r="29">
      <c r="A29" s="41" t="n">
        <v>3</v>
      </c>
      <c r="B29" s="70">
        <f>IFERROR(IF(OR(3&gt;B22,F28=""),"",F28),"")</f>
        <v>136205.34207249165</v>
      </c>
      <c r="C29" s="70">
        <f>IFERROR(IF(OR(3&gt;B22,B29=""),"",B29*B21),"")</f>
        <v>8172.320524349499</v>
      </c>
      <c r="D29" s="70">
        <f>IFERROR(IF(OR(3&gt;B22,B29=""),"",IF(3&lt;=B23,0,MIN(B29,B24-C29))),"")</f>
        <v>24162.337403158857</v>
      </c>
      <c r="E29" s="70">
        <f>IFERROR(IF(C29="","",C29+D29),"")</f>
        <v>32334.657927508357</v>
      </c>
      <c r="F29" s="70">
        <f>IFERROR(IF(D29="","",B29-D29),"")</f>
        <v>112043.00466933279</v>
      </c>
      <c r="G29" s="70">
        <f>IFERROR(IF(E29="","",'PyG 3 Años'!$D$40-'PyG 3 Años'!$D$45+'PyG 3 Años'!$D$35+'PyG 3 Años'!$D$36),"")</f>
        <v>60925.12096708745</v>
      </c>
      <c r="H29" s="62">
        <f>IFERROR(IF(OR(E29="",E29=0),"",G29/E29),"")</f>
        <v>1.8842049018633988</v>
      </c>
    </row>
    <row r="30">
      <c r="A30" s="41" t="n">
        <v>4</v>
      </c>
      <c r="B30" s="70">
        <f>IFERROR(IF(OR(4&gt;B22,F29=""),"",F29),"")</f>
        <v>112043.00466933279</v>
      </c>
      <c r="C30" s="70">
        <f>IFERROR(IF(OR(4&gt;B22,B30=""),"",B30*B21),"")</f>
        <v>6722.5802801599675</v>
      </c>
      <c r="D30" s="70">
        <f>IFERROR(IF(OR(4&gt;B22,B30=""),"",IF(4&lt;=B23,0,MIN(B30,B24-C30))),"")</f>
        <v>25612.07764734839</v>
      </c>
      <c r="E30" s="70">
        <f>IFERROR(IF(C30="","",C30+D30),"")</f>
        <v>32334.657927508357</v>
      </c>
      <c r="F30" s="70">
        <f>IFERROR(IF(D30="","",B30-D30),"")</f>
        <v>86430.9270219844</v>
      </c>
      <c r="G30" s="70">
        <f>IFERROR(IF(E30="","",'PyG 3 Años'!$D$40-'PyG 3 Años'!$D$45+'PyG 3 Años'!$D$35+'PyG 3 Años'!$D$36),"")</f>
        <v>60925.12096708745</v>
      </c>
      <c r="H30" s="62">
        <f>IFERROR(IF(OR(E30="",E30=0),"",G30/E30),"")</f>
        <v>1.8842049018633988</v>
      </c>
    </row>
    <row r="31">
      <c r="A31" s="41" t="n">
        <v>5</v>
      </c>
      <c r="B31" s="70">
        <f>IFERROR(IF(OR(5&gt;B22,F30=""),"",F30),"")</f>
        <v>86430.9270219844</v>
      </c>
      <c r="C31" s="70">
        <f>IFERROR(IF(OR(5&gt;B22,B31=""),"",B31*B21),"")</f>
        <v>5185.855621319064</v>
      </c>
      <c r="D31" s="70">
        <f>IFERROR(IF(OR(5&gt;B22,B31=""),"",IF(5&lt;=B23,0,MIN(B31,B24-C31))),"")</f>
        <v>27148.802306189293</v>
      </c>
      <c r="E31" s="70">
        <f>IFERROR(IF(C31="","",C31+D31),"")</f>
        <v>32334.657927508357</v>
      </c>
      <c r="F31" s="70">
        <f>IFERROR(IF(D31="","",B31-D31),"")</f>
        <v>59282.124715795115</v>
      </c>
      <c r="G31" s="70">
        <f>IFERROR(IF(E31="","",'PyG 3 Años'!$D$40-'PyG 3 Años'!$D$45+'PyG 3 Años'!$D$35+'PyG 3 Años'!$D$36),"")</f>
        <v>60925.12096708745</v>
      </c>
      <c r="H31" s="62">
        <f>IFERROR(IF(OR(E31="",E31=0),"",G31/E31),"")</f>
        <v>1.8842049018633988</v>
      </c>
    </row>
    <row r="32">
      <c r="A32" s="41" t="n">
        <v>6</v>
      </c>
      <c r="B32" s="70">
        <f>IFERROR(IF(OR(6&gt;B22,F31=""),"",F31),"")</f>
        <v>59282.124715795115</v>
      </c>
      <c r="C32" s="70">
        <f>IFERROR(IF(OR(6&gt;B22,B32=""),"",B32*B21),"")</f>
        <v>3556.9274829477067</v>
      </c>
      <c r="D32" s="70">
        <f>IFERROR(IF(OR(6&gt;B22,B32=""),"",IF(6&lt;=B23,0,MIN(B32,B24-C32))),"")</f>
        <v>28777.73044456065</v>
      </c>
      <c r="E32" s="70">
        <f>IFERROR(IF(C32="","",C32+D32),"")</f>
        <v>32334.657927508357</v>
      </c>
      <c r="F32" s="70">
        <f>IFERROR(IF(D32="","",B32-D32),"")</f>
        <v>30504.394271234465</v>
      </c>
      <c r="G32" s="70">
        <f>IFERROR(IF(E32="","",'PyG 3 Años'!$D$40-'PyG 3 Años'!$D$45+'PyG 3 Años'!$D$35+'PyG 3 Años'!$D$36),"")</f>
        <v>60925.12096708745</v>
      </c>
      <c r="H32" s="62">
        <f>IFERROR(IF(OR(E32="",E32=0),"",G32/E32),"")</f>
        <v>1.8842049018633988</v>
      </c>
    </row>
    <row r="33">
      <c r="A33" s="41" t="n">
        <v>7</v>
      </c>
      <c r="B33" s="70">
        <f>IFERROR(IF(OR(7&gt;B22,F32=""),"",F32),"")</f>
        <v>30504.394271234465</v>
      </c>
      <c r="C33" s="70">
        <f>IFERROR(IF(OR(7&gt;B22,B33=""),"",B33*B21),"")</f>
        <v>1830.263656274068</v>
      </c>
      <c r="D33" s="70">
        <f>IFERROR(IF(OR(7&gt;B22,B33=""),"",IF(7&lt;=B23,0,MIN(B33,B24-C33))),"")</f>
        <v>30504.39427123429</v>
      </c>
      <c r="E33" s="70">
        <f>IFERROR(IF(C33="","",C33+D33),"")</f>
        <v>32334.657927508357</v>
      </c>
      <c r="F33" s="70">
        <f>IFERROR(IF(D33="","",B33-D33),"")</f>
        <v>1.7462298274040222e-10</v>
      </c>
      <c r="G33" s="70">
        <f>IFERROR(IF(E33="","",'PyG 3 Años'!$D$40-'PyG 3 Años'!$D$45+'PyG 3 Años'!$D$35+'PyG 3 Años'!$D$36),"")</f>
        <v>60925.12096708745</v>
      </c>
      <c r="H33" s="62">
        <f>IFERROR(IF(OR(E33="",E33=0),"",G33/E33),"")</f>
        <v>1.8842049018633988</v>
      </c>
    </row>
    <row r="34">
      <c r="A34" s="41" t="n">
        <v>8</v>
      </c>
      <c r="B34" s="70">
        <f>IFERROR(IF(OR(8&gt;B22,F33=""),"",F33),"")</f>
        <v/>
      </c>
      <c r="C34" s="70">
        <f>IFERROR(IF(OR(8&gt;B22,B34=""),"",B34*B21),"")</f>
        <v/>
      </c>
      <c r="D34" s="70">
        <f>IFERROR(IF(OR(8&gt;B22,B34=""),"",IF(8&lt;=B23,0,MIN(B34,B24-C34))),"")</f>
        <v/>
      </c>
      <c r="E34" s="70">
        <f>IFERROR(IF(C34="","",C34+D34),"")</f>
        <v/>
      </c>
      <c r="F34" s="70">
        <f>IFERROR(IF(D34="","",B34-D34),"")</f>
        <v/>
      </c>
      <c r="G34" s="70">
        <f>IFERROR(IF(E34="","",'PyG 3 Años'!$D$40-'PyG 3 Años'!$D$45+'PyG 3 Años'!$D$35+'PyG 3 Años'!$D$36),"")</f>
        <v/>
      </c>
      <c r="H34" s="62">
        <f>IFERROR(IF(OR(E34="",E34=0),"",G34/E34),"")</f>
        <v/>
      </c>
    </row>
    <row r="35">
      <c r="A35" s="41" t="n">
        <v>9</v>
      </c>
      <c r="B35" s="70">
        <f>IFERROR(IF(OR(9&gt;B22,F34=""),"",F34),"")</f>
        <v/>
      </c>
      <c r="C35" s="70">
        <f>IFERROR(IF(OR(9&gt;B22,B35=""),"",B35*B21),"")</f>
        <v/>
      </c>
      <c r="D35" s="70">
        <f>IFERROR(IF(OR(9&gt;B22,B35=""),"",IF(9&lt;=B23,0,MIN(B35,B24-C35))),"")</f>
        <v/>
      </c>
      <c r="E35" s="70">
        <f>IFERROR(IF(C35="","",C35+D35),"")</f>
        <v/>
      </c>
      <c r="F35" s="70">
        <f>IFERROR(IF(D35="","",B35-D35),"")</f>
        <v/>
      </c>
      <c r="G35" s="70">
        <f>IFERROR(IF(E35="","",'PyG 3 Años'!$D$40-'PyG 3 Años'!$D$45+'PyG 3 Años'!$D$35+'PyG 3 Años'!$D$36),"")</f>
        <v/>
      </c>
      <c r="H35" s="62">
        <f>IFERROR(IF(OR(E35="",E35=0),"",G35/E35),"")</f>
        <v/>
      </c>
    </row>
    <row r="36">
      <c r="A36" s="41" t="n">
        <v>10</v>
      </c>
      <c r="B36" s="70">
        <f>IFERROR(IF(OR(10&gt;B22,F35=""),"",F35),"")</f>
        <v/>
      </c>
      <c r="C36" s="70">
        <f>IFERROR(IF(OR(10&gt;B22,B36=""),"",B36*B21),"")</f>
        <v/>
      </c>
      <c r="D36" s="70">
        <f>IFERROR(IF(OR(10&gt;B22,B36=""),"",IF(10&lt;=B23,0,MIN(B36,B24-C36))),"")</f>
        <v/>
      </c>
      <c r="E36" s="70">
        <f>IFERROR(IF(C36="","",C36+D36),"")</f>
        <v/>
      </c>
      <c r="F36" s="70">
        <f>IFERROR(IF(D36="","",B36-D36),"")</f>
        <v/>
      </c>
      <c r="G36" s="70">
        <f>IFERROR(IF(E36="","",'PyG 3 Años'!$D$40-'PyG 3 Años'!$D$45+'PyG 3 Años'!$D$35+'PyG 3 Años'!$D$36),"")</f>
        <v/>
      </c>
      <c r="H36" s="62">
        <f>IFERROR(IF(OR(E36="",E36=0),"",G36/E36),"")</f>
        <v/>
      </c>
    </row>
    <row r="37">
      <c r="A37" s="41" t="n">
        <v>11</v>
      </c>
      <c r="B37" s="70">
        <f>IFERROR(IF(OR(11&gt;B22,F36=""),"",F36),"")</f>
        <v/>
      </c>
      <c r="C37" s="70">
        <f>IFERROR(IF(OR(11&gt;B22,B37=""),"",B37*B21),"")</f>
        <v/>
      </c>
      <c r="D37" s="70">
        <f>IFERROR(IF(OR(11&gt;B22,B37=""),"",IF(11&lt;=B23,0,MIN(B37,B24-C37))),"")</f>
        <v/>
      </c>
      <c r="E37" s="70">
        <f>IFERROR(IF(C37="","",C37+D37),"")</f>
        <v/>
      </c>
      <c r="F37" s="70">
        <f>IFERROR(IF(D37="","",B37-D37),"")</f>
        <v/>
      </c>
      <c r="G37" s="70">
        <f>IFERROR(IF(E37="","",'PyG 3 Años'!$D$40-'PyG 3 Años'!$D$45+'PyG 3 Años'!$D$35+'PyG 3 Años'!$D$36),"")</f>
        <v/>
      </c>
      <c r="H37" s="62">
        <f>IFERROR(IF(OR(E37="",E37=0),"",G37/E37),"")</f>
        <v/>
      </c>
    </row>
    <row r="38">
      <c r="A38" s="41" t="n">
        <v>12</v>
      </c>
      <c r="B38" s="70">
        <f>IFERROR(IF(OR(12&gt;B22,F37=""),"",F37),"")</f>
        <v/>
      </c>
      <c r="C38" s="70">
        <f>IFERROR(IF(OR(12&gt;B22,B38=""),"",B38*B21),"")</f>
        <v/>
      </c>
      <c r="D38" s="70">
        <f>IFERROR(IF(OR(12&gt;B22,B38=""),"",IF(12&lt;=B23,0,MIN(B38,B24-C38))),"")</f>
        <v/>
      </c>
      <c r="E38" s="70">
        <f>IFERROR(IF(C38="","",C38+D38),"")</f>
        <v/>
      </c>
      <c r="F38" s="70">
        <f>IFERROR(IF(D38="","",B38-D38),"")</f>
        <v/>
      </c>
      <c r="G38" s="70">
        <f>IFERROR(IF(E38="","",'PyG 3 Años'!$D$40-'PyG 3 Años'!$D$45+'PyG 3 Años'!$D$35+'PyG 3 Años'!$D$36),"")</f>
        <v/>
      </c>
      <c r="H38" s="62">
        <f>IFERROR(IF(OR(E38="",E38=0),"",G38/E38),"")</f>
        <v/>
      </c>
    </row>
    <row r="39">
      <c r="A39" s="41" t="n">
        <v>13</v>
      </c>
      <c r="B39" s="70">
        <f>IFERROR(IF(OR(13&gt;B22,F38=""),"",F38),"")</f>
        <v/>
      </c>
      <c r="C39" s="70">
        <f>IFERROR(IF(OR(13&gt;B22,B39=""),"",B39*B21),"")</f>
        <v/>
      </c>
      <c r="D39" s="70">
        <f>IFERROR(IF(OR(13&gt;B22,B39=""),"",IF(13&lt;=B23,0,MIN(B39,B24-C39))),"")</f>
        <v/>
      </c>
      <c r="E39" s="70">
        <f>IFERROR(IF(C39="","",C39+D39),"")</f>
        <v/>
      </c>
      <c r="F39" s="70">
        <f>IFERROR(IF(D39="","",B39-D39),"")</f>
        <v/>
      </c>
      <c r="G39" s="70">
        <f>IFERROR(IF(E39="","",'PyG 3 Años'!$D$40-'PyG 3 Años'!$D$45+'PyG 3 Años'!$D$35+'PyG 3 Años'!$D$36),"")</f>
        <v/>
      </c>
      <c r="H39" s="62">
        <f>IFERROR(IF(OR(E39="",E39=0),"",G39/E39),"")</f>
        <v/>
      </c>
    </row>
    <row r="40">
      <c r="A40" s="41" t="n">
        <v>14</v>
      </c>
      <c r="B40" s="70">
        <f>IFERROR(IF(OR(14&gt;B22,F39=""),"",F39),"")</f>
        <v/>
      </c>
      <c r="C40" s="70">
        <f>IFERROR(IF(OR(14&gt;B22,B40=""),"",B40*B21),"")</f>
        <v/>
      </c>
      <c r="D40" s="70">
        <f>IFERROR(IF(OR(14&gt;B22,B40=""),"",IF(14&lt;=B23,0,MIN(B40,B24-C40))),"")</f>
        <v/>
      </c>
      <c r="E40" s="70">
        <f>IFERROR(IF(C40="","",C40+D40),"")</f>
        <v/>
      </c>
      <c r="F40" s="70">
        <f>IFERROR(IF(D40="","",B40-D40),"")</f>
        <v/>
      </c>
      <c r="G40" s="70">
        <f>IFERROR(IF(E40="","",'PyG 3 Años'!$D$40-'PyG 3 Años'!$D$45+'PyG 3 Años'!$D$35+'PyG 3 Años'!$D$36),"")</f>
        <v/>
      </c>
      <c r="H40" s="62">
        <f>IFERROR(IF(OR(E40="",E40=0),"",G40/E40),"")</f>
        <v/>
      </c>
    </row>
    <row r="41">
      <c r="A41" s="41" t="n">
        <v>15</v>
      </c>
      <c r="B41" s="70">
        <f>IFERROR(IF(OR(15&gt;B22,F40=""),"",F40),"")</f>
        <v/>
      </c>
      <c r="C41" s="70">
        <f>IFERROR(IF(OR(15&gt;B22,B41=""),"",B41*B21),"")</f>
        <v/>
      </c>
      <c r="D41" s="70">
        <f>IFERROR(IF(OR(15&gt;B22,B41=""),"",IF(15&lt;=B23,0,MIN(B41,B24-C41))),"")</f>
        <v/>
      </c>
      <c r="E41" s="70">
        <f>IFERROR(IF(C41="","",C41+D41),"")</f>
        <v/>
      </c>
      <c r="F41" s="70">
        <f>IFERROR(IF(D41="","",B41-D41),"")</f>
        <v/>
      </c>
      <c r="G41" s="70">
        <f>IFERROR(IF(E41="","",'PyG 3 Años'!$D$40-'PyG 3 Años'!$D$45+'PyG 3 Años'!$D$35+'PyG 3 Años'!$D$36),"")</f>
        <v/>
      </c>
      <c r="H41" s="62">
        <f>IFERROR(IF(OR(E41="",E41=0),"",G41/E41),"")</f>
        <v/>
      </c>
    </row>
    <row r="42">
      <c r="A42" s="29" t="inlineStr">
        <is>
          <t>Tolerancia de cierre del cuadro (€)</t>
        </is>
      </c>
      <c r="B42" s="73" t="n">
        <v>0.01</v>
      </c>
      <c r="C42" s="29" t="inlineStr">
        <is>
          <t>Margen por redondeo. Por encima, el cuadro no cierra y hay capital sin devolver</t>
        </is>
      </c>
      <c r="D42" s="29" t="n"/>
      <c r="E42" s="29" t="n"/>
      <c r="F42" s="29" t="n"/>
      <c r="G42" s="29" t="n"/>
      <c r="H42" s="29" t="n"/>
    </row>
    <row r="43">
      <c r="A43" s="29" t="inlineStr">
        <is>
          <t>Capital pendiente al vencimiento</t>
        </is>
      </c>
      <c r="B43" s="70">
        <f>IFERROR(IF(B20="","",ROUND(B20-SUM(D27:D41),2)),"")</f>
        <v>0.0</v>
      </c>
      <c r="C43" s="29" t="inlineStr">
        <is>
          <t>Tiene que ser cero: el principal devuelto en el cuadro tiene que ser el prestado. Si sale positivo, el plazo no llega</t>
        </is>
      </c>
      <c r="D43" s="29" t="n"/>
      <c r="E43" s="29" t="n"/>
      <c r="F43" s="29" t="n"/>
      <c r="G43" s="29" t="n"/>
      <c r="H43" s="29" t="n"/>
    </row>
    <row r="44">
      <c r="A44" s="29" t="inlineStr">
        <is>
          <t>Intereses del año 1</t>
        </is>
      </c>
      <c r="B44" s="33">
        <f>IFERROR(IF(B20="","",IF(C27="",0,C27)),"")</f>
        <v>9540.0</v>
      </c>
      <c r="C44" s="29" t="n"/>
      <c r="D44" s="29" t="n"/>
      <c r="E44" s="29" t="n"/>
      <c r="F44" s="29" t="n"/>
      <c r="G44" s="29" t="n"/>
      <c r="H44" s="29" t="n"/>
    </row>
    <row r="45">
      <c r="A45" s="29" t="inlineStr">
        <is>
          <t>Devolución de principal del año 1</t>
        </is>
      </c>
      <c r="B45" s="33">
        <f>IFERROR(IF(B20="","",IF(D27="",0,D27)),"")</f>
        <v>0.0</v>
      </c>
      <c r="C45" s="29" t="n"/>
      <c r="D45" s="29" t="n"/>
      <c r="E45" s="29" t="n"/>
      <c r="F45" s="29" t="n"/>
      <c r="G45" s="29" t="n"/>
      <c r="H45" s="29" t="n"/>
    </row>
    <row r="46">
      <c r="A46" s="29" t="inlineStr">
        <is>
          <t>Intereses del año 2</t>
        </is>
      </c>
      <c r="B46" s="33">
        <f>IFERROR(IF(B20="","",IF(C28="",0,C28)),"")</f>
        <v>9540.0</v>
      </c>
      <c r="C46" s="29" t="n"/>
      <c r="D46" s="29" t="n"/>
      <c r="E46" s="29" t="n"/>
      <c r="F46" s="29" t="n"/>
      <c r="G46" s="29" t="n"/>
      <c r="H46" s="29" t="n"/>
    </row>
    <row r="47">
      <c r="A47" s="29" t="inlineStr">
        <is>
          <t>Devolución de principal del año 2</t>
        </is>
      </c>
      <c r="B47" s="33">
        <f>IFERROR(IF(B20="","",IF(D28="",0,D28)),"")</f>
        <v>22794.657927508357</v>
      </c>
      <c r="C47" s="29" t="n"/>
      <c r="D47" s="29" t="n"/>
      <c r="E47" s="29" t="n"/>
      <c r="F47" s="29" t="n"/>
      <c r="G47" s="29" t="n"/>
      <c r="H47" s="29" t="n"/>
    </row>
    <row r="48">
      <c r="A48" s="29" t="inlineStr">
        <is>
          <t>Intereses del año 3</t>
        </is>
      </c>
      <c r="B48" s="33">
        <f>IFERROR(IF(B20="","",IF(C29="",0,C29)),"")</f>
        <v>8172.320524349499</v>
      </c>
      <c r="C48" s="29" t="n"/>
      <c r="D48" s="29" t="n"/>
      <c r="E48" s="29" t="n"/>
      <c r="F48" s="29" t="n"/>
      <c r="G48" s="29" t="n"/>
      <c r="H48" s="29" t="n"/>
    </row>
    <row r="49">
      <c r="A49" s="29" t="inlineStr">
        <is>
          <t>Devolución de principal del año 3</t>
        </is>
      </c>
      <c r="B49" s="33">
        <f>IFERROR(IF(B20="","",IF(D29="",0,D29)),"")</f>
        <v>24162.337403158857</v>
      </c>
      <c r="C49" s="29" t="n"/>
      <c r="D49" s="29" t="n"/>
      <c r="E49" s="29" t="n"/>
      <c r="F49" s="29" t="n"/>
      <c r="G49" s="29" t="n"/>
      <c r="H49" s="29" t="n"/>
    </row>
    <row r="50">
      <c r="A50" s="26" t="inlineStr">
        <is>
          <t>COBERTURA DEL SERVICIO DE LA DEUDA (DSCR)</t>
        </is>
      </c>
      <c r="B50" s="29" t="n"/>
      <c r="C50" s="29" t="n"/>
      <c r="D50" s="29" t="n"/>
      <c r="E50" s="29" t="n"/>
      <c r="F50" s="29" t="n"/>
      <c r="G50" s="29" t="n"/>
      <c r="H50" s="29" t="n"/>
    </row>
    <row r="51">
      <c r="A51" s="29" t="inlineStr">
        <is>
          <t>DSCR del año 1</t>
        </is>
      </c>
      <c r="B51" s="62">
        <f>IFERROR(('PyG 3 Años'!$B$40-'PyG 3 Años'!$B$45+'PyG 3 Años'!$B$35+B44)/(B44+B45),"")</f>
        <v>5.687736425576519</v>
      </c>
      <c r="C51" s="29" t="inlineStr">
        <is>
          <t>Año de CARENCIA si la hay: con sólo intereses en el denominador el ratio se dispara y no mide el negocio</t>
        </is>
      </c>
      <c r="D51" s="29" t="n"/>
      <c r="E51" s="29" t="n"/>
      <c r="F51" s="29" t="n"/>
      <c r="G51" s="29" t="n"/>
      <c r="H51" s="29" t="n"/>
    </row>
    <row r="52">
      <c r="A52" s="29" t="inlineStr">
        <is>
          <t>DSCR del año 2</t>
        </is>
      </c>
      <c r="B52" s="62">
        <f>IFERROR(('PyG 3 Años'!$C$40-'PyG 3 Años'!$C$45+'PyG 3 Años'!$C$35+B46)/(B46+B47),"")</f>
        <v>1.9288228256449642</v>
      </c>
      <c r="C52" s="29" t="n"/>
      <c r="D52" s="29" t="n"/>
      <c r="E52" s="29" t="n"/>
      <c r="F52" s="29" t="n"/>
      <c r="G52" s="29" t="n"/>
      <c r="H52" s="29" t="n"/>
    </row>
    <row r="53">
      <c r="A53" s="29" t="inlineStr">
        <is>
          <t>DSCR del año 3</t>
        </is>
      </c>
      <c r="B53" s="62">
        <f>IFERROR(('PyG 3 Años'!$D$40-'PyG 3 Años'!$D$45+'PyG 3 Años'!$D$35+B48)/(B48+B49),"")</f>
        <v>1.8842049018633988</v>
      </c>
      <c r="C53" s="29" t="n"/>
      <c r="D53" s="29" t="n"/>
      <c r="E53" s="29" t="n"/>
      <c r="F53" s="29" t="n"/>
      <c r="G53" s="29" t="n"/>
      <c r="H53" s="29" t="n"/>
    </row>
    <row r="54">
      <c r="A54" s="26" t="inlineStr">
        <is>
          <t>DSCR mínimo de todo el cuadro</t>
        </is>
      </c>
      <c r="B54" s="55">
        <f>IFERROR(IF(COUNT(H27:H41)=0,"",MIN(H27:H41)),"")</f>
        <v>1.8842049018633988</v>
      </c>
      <c r="C54" s="26"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9" t="n"/>
      <c r="E54" s="29" t="n"/>
      <c r="F54" s="29" t="n"/>
      <c r="G54" s="29" t="n"/>
      <c r="H54" s="29" t="n"/>
    </row>
    <row r="55">
      <c r="A55" s="29" t="n"/>
      <c r="B55" s="29" t="n"/>
      <c r="C55" s="29" t="n"/>
      <c r="D55" s="29" t="n"/>
      <c r="E55" s="29" t="n"/>
      <c r="F55" s="29" t="n"/>
      <c r="G55" s="29" t="n"/>
      <c r="H55" s="29" t="n"/>
    </row>
    <row r="56" ht="165" customHeight="1">
      <c r="A56" s="48"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Pizzería Napolitana · v1.0</dc:title>
  <dc:description xmlns:dc="http://purl.org/dc/elements/1.1/">aichef.pro/plan-negocio-pizzeria</dc:description>
  <dc:subject xmlns:dc="http://purl.org/dc/elements/1.1/">Plan financiero — Pizzería Napolitana · v1.0</dc:subject>
  <dcterms:created xmlns:dcterms="http://purl.org/dc/terms/" xmlns:xsi="http://www.w3.org/2001/XMLSchema-instance" xsi:type="dcterms:W3CDTF">2026-03-26T14:15:52Z</dcterms:created>
  <dcterms:modified xmlns:dcterms="http://purl.org/dc/terms/" xmlns:xsi="http://www.w3.org/2001/XMLSchema-instance" xsi:type="dcterms:W3CDTF">2026-10-25T19:41:04Z</dcterms:modified>
  <cp:lastModifiedBy>AI Chef Pro</cp:lastModifiedBy>
  <cp:category>AI Chef Pro · Productos digitales</cp:category>
  <cp:keywords>plan de negocio pizzería napolitana, horno de leña, AI Chef Pro</cp:keywords>
</cp:coreProperties>
</file>