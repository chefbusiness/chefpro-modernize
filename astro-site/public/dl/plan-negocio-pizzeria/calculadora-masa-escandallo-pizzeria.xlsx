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a" sheetId="1" state="visible" r:id="rId1"/>
    <sheet xmlns:r="http://schemas.openxmlformats.org/officeDocument/2006/relationships" name="Escandallo" sheetId="2" state="visible" r:id="rId2"/>
    <sheet xmlns:r="http://schemas.openxmlformats.org/officeDocument/2006/relationships" name="Instrucciones" sheetId="3" state="visible" r:id="rId3"/>
  </sheets>
  <definedNames/>
  <calcPr calcId="124519" fullCalcOnLoad="1"/>
</workbook>
</file>

<file path=xl/styles.xml><?xml version="1.0" encoding="utf-8"?>
<styleSheet xmlns="http://schemas.openxmlformats.org/spreadsheetml/2006/main">
  <numFmts count="5">
    <numFmt numFmtId="164" formatCode="#,##0.0"/>
    <numFmt numFmtId="165" formatCode="0.0%"/>
    <numFmt numFmtId="166" formatCode="#,##0.00 €"/>
    <numFmt numFmtId="167" formatCode="#,##0.000 €"/>
    <numFmt numFmtId="168" formatCode="#,##0.0;-#,##0.0;&quot;-&quot;"/>
  </numFmts>
  <fonts count="6">
    <font>
      <name val="Calibri"/>
      <family val="2"/>
      <color theme="1"/>
      <sz val="11"/>
      <scheme val="minor"/>
    </font>
    <font>
      <name val="Calibri"/>
      <b val="1"/>
      <sz val="14"/>
    </font>
    <font>
      <name val="Calibri"/>
      <sz val="11"/>
    </font>
    <font>
      <name val="Calibri"/>
      <b val="1"/>
      <sz val="11"/>
    </font>
    <font>
      <name val="Calibri"/>
      <i val="1"/>
      <sz val="11"/>
    </font>
    <font>
      <name val="Calibri"/>
      <b val="1"/>
      <sz val="13"/>
    </font>
  </fonts>
  <fills count="4">
    <fill>
      <patternFill/>
    </fill>
    <fill>
      <patternFill patternType="gray125"/>
    </fill>
    <fill>
      <patternFill patternType="solid">
        <fgColor rgb="00F2F2F2"/>
      </patternFill>
    </fill>
    <fill>
      <patternFill patternType="solid">
        <fgColor rgb="00E8F5E9"/>
      </patternFill>
    </fill>
  </fills>
  <borders count="1">
    <border>
      <left/>
      <right/>
      <top/>
      <bottom/>
      <diagonal/>
    </border>
  </borders>
  <cellStyleXfs count="1">
    <xf numFmtId="0" fontId="0" fillId="0" borderId="0"/>
  </cellStyleXfs>
  <cellXfs count="32">
    <xf numFmtId="0" fontId="0" fillId="0" borderId="0" pivotButton="0" quotePrefix="0" xfId="0"/>
    <xf numFmtId="0" fontId="1" fillId="0" borderId="0" applyAlignment="1" pivotButton="0" quotePrefix="0" xfId="0">
      <alignment vertical="top"/>
    </xf>
    <xf numFmtId="0" fontId="2" fillId="0" borderId="0" applyAlignment="1" pivotButton="0" quotePrefix="0" xfId="0">
      <alignment vertical="top" wrapText="1"/>
    </xf>
    <xf numFmtId="0" fontId="3" fillId="2" borderId="0" applyAlignment="1" pivotButton="0" quotePrefix="0" xfId="0">
      <alignment vertical="top" wrapText="1"/>
    </xf>
    <xf numFmtId="0" fontId="2" fillId="0" borderId="0" applyAlignment="1" pivotButton="0" quotePrefix="0" xfId="0">
      <alignment vertical="top"/>
    </xf>
    <xf numFmtId="3" fontId="2" fillId="3" borderId="0" applyAlignment="1" applyProtection="1" pivotButton="0" quotePrefix="0" xfId="0">
      <alignment vertical="top"/>
      <protection locked="0" hidden="0"/>
    </xf>
    <xf numFmtId="164" fontId="2" fillId="3" borderId="0" applyAlignment="1" applyProtection="1" pivotButton="0" quotePrefix="0" xfId="0">
      <alignment vertical="top"/>
      <protection locked="0" hidden="0"/>
    </xf>
    <xf numFmtId="164" fontId="2" fillId="2" borderId="0" applyAlignment="1" pivotButton="0" quotePrefix="0" xfId="0">
      <alignment vertical="top"/>
    </xf>
    <xf numFmtId="165" fontId="2" fillId="3" borderId="0" applyAlignment="1" applyProtection="1" pivotButton="0" quotePrefix="0" xfId="0">
      <alignment vertical="top"/>
      <protection locked="0" hidden="0"/>
    </xf>
    <xf numFmtId="166" fontId="2" fillId="3" borderId="0" applyAlignment="1" applyProtection="1" pivotButton="0" quotePrefix="0" xfId="0">
      <alignment vertical="top"/>
      <protection locked="0" hidden="0"/>
    </xf>
    <xf numFmtId="0" fontId="3" fillId="2" borderId="0" applyAlignment="1" pivotButton="0" quotePrefix="0" xfId="0">
      <alignment vertical="top"/>
    </xf>
    <xf numFmtId="0" fontId="3" fillId="0" borderId="0" applyAlignment="1" pivotButton="0" quotePrefix="0" xfId="0">
      <alignment vertical="top"/>
    </xf>
    <xf numFmtId="164" fontId="3" fillId="0" borderId="0" applyAlignment="1" pivotButton="0" quotePrefix="0" xfId="0">
      <alignment vertical="top"/>
    </xf>
    <xf numFmtId="164" fontId="2" fillId="0" borderId="0" applyAlignment="1" pivotButton="0" quotePrefix="0" xfId="0">
      <alignment vertical="top"/>
    </xf>
    <xf numFmtId="4" fontId="2" fillId="0" borderId="0" applyAlignment="1" pivotButton="0" quotePrefix="0" xfId="0">
      <alignment vertical="top"/>
    </xf>
    <xf numFmtId="165" fontId="2" fillId="0" borderId="0" applyAlignment="1" pivotButton="0" quotePrefix="0" xfId="0">
      <alignment vertical="top"/>
    </xf>
    <xf numFmtId="10" fontId="2" fillId="0" borderId="0" applyAlignment="1" pivotButton="0" quotePrefix="0" xfId="0">
      <alignment vertical="top"/>
    </xf>
    <xf numFmtId="166" fontId="2" fillId="0" borderId="0" applyAlignment="1" pivotButton="0" quotePrefix="0" xfId="0">
      <alignment vertical="top"/>
    </xf>
    <xf numFmtId="167" fontId="3" fillId="0" borderId="0" applyAlignment="1" pivotButton="0" quotePrefix="0" xfId="0">
      <alignment vertical="top"/>
    </xf>
    <xf numFmtId="0" fontId="3" fillId="0" borderId="0" applyAlignment="1" pivotButton="0" quotePrefix="0" xfId="0">
      <alignment vertical="top" wrapText="1"/>
    </xf>
    <xf numFmtId="10" fontId="2" fillId="3" borderId="0" applyAlignment="1" applyProtection="1" pivotButton="0" quotePrefix="0" xfId="0">
      <alignment vertical="top"/>
      <protection locked="0" hidden="0"/>
    </xf>
    <xf numFmtId="0" fontId="2" fillId="3" borderId="0" applyAlignment="1" applyProtection="1" pivotButton="0" quotePrefix="0" xfId="0">
      <alignment vertical="top" wrapText="1"/>
      <protection locked="0" hidden="0"/>
    </xf>
    <xf numFmtId="0" fontId="3" fillId="3" borderId="0" applyAlignment="1" applyProtection="1" pivotButton="0" quotePrefix="0" xfId="0">
      <alignment vertical="top" wrapText="1"/>
      <protection locked="0" hidden="0"/>
    </xf>
    <xf numFmtId="166" fontId="3" fillId="3" borderId="0" applyAlignment="1" applyProtection="1" pivotButton="0" quotePrefix="0" xfId="0">
      <alignment vertical="top"/>
      <protection locked="0" hidden="0"/>
    </xf>
    <xf numFmtId="0" fontId="2" fillId="3" borderId="0" applyAlignment="1" applyProtection="1" pivotButton="0" quotePrefix="0" xfId="0">
      <alignment vertical="top"/>
      <protection locked="0" hidden="0"/>
    </xf>
    <xf numFmtId="9" fontId="2" fillId="3" borderId="0" applyAlignment="1" applyProtection="1" pivotButton="0" quotePrefix="0" xfId="0">
      <alignment vertical="top"/>
      <protection locked="0" hidden="0"/>
    </xf>
    <xf numFmtId="168" fontId="2" fillId="3" borderId="0" applyAlignment="1" applyProtection="1" pivotButton="0" quotePrefix="0" xfId="0">
      <alignment vertical="top"/>
      <protection locked="0" hidden="0"/>
    </xf>
    <xf numFmtId="0" fontId="4" fillId="0" borderId="0" applyAlignment="1" pivotButton="0" quotePrefix="0" xfId="0">
      <alignment vertical="top"/>
    </xf>
    <xf numFmtId="167" fontId="2" fillId="0" borderId="0" applyAlignment="1" pivotButton="0" quotePrefix="0" xfId="0">
      <alignment vertical="top"/>
    </xf>
    <xf numFmtId="165" fontId="3" fillId="0" borderId="0" applyAlignment="1" pivotButton="0" quotePrefix="0" xfId="0">
      <alignment vertical="top"/>
    </xf>
    <xf numFmtId="0" fontId="4" fillId="0" borderId="0" applyAlignment="1" pivotButton="0" quotePrefix="0" xfId="0">
      <alignment vertical="top" wrapText="1"/>
    </xf>
    <xf numFmtId="0" fontId="5" fillId="0" borderId="0" applyAlignment="1" pivotButton="0" quotePrefix="0" xfId="0">
      <alignment vertical="top" wrapText="1"/>
    </xf>
  </cellXfs>
  <cellStyles count="1">
    <cellStyle name="Normal" xfId="0" builtinId="0" hidden="0"/>
  </cellStyles>
  <dxfs count="3">
    <dxf>
      <fill>
        <patternFill patternType="solid">
          <fgColor rgb="00C6E0B4"/>
          <bgColor rgb="00C6E0B4"/>
        </patternFill>
      </fill>
    </dxf>
    <dxf>
      <fill>
        <patternFill patternType="solid">
          <fgColor rgb="00F8CBAD"/>
          <bgColor rgb="00F8CBAD"/>
        </patternFill>
      </fill>
    </dxf>
    <dxf>
      <fill>
        <patternFill patternType="solid">
          <fgColor rgb="00FFE699"/>
          <bgColor rgb="00FFE69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F50"/>
  <sheetViews>
    <sheetView showGridLines="0" workbookViewId="0">
      <selection activeCell="A1" sqref="A1"/>
    </sheetView>
  </sheetViews>
  <sheetFormatPr baseColWidth="8" defaultRowHeight="15"/>
  <cols>
    <col width="56" customWidth="1" min="1" max="1"/>
    <col width="17" customWidth="1" min="2" max="2"/>
    <col width="12" customWidth="1" min="3" max="3"/>
    <col width="12" customWidth="1" min="4" max="4"/>
    <col width="48" customWidth="1" min="5" max="5"/>
    <col width="30" customWidth="1" min="6" max="6"/>
  </cols>
  <sheetData>
    <row r="1">
      <c r="A1" s="1" t="inlineStr">
        <is>
          <t>CALCULADORA DE MASA PARA PIZZA — A LOS GRAMAJES DEL PLIEGO Y POR % PANADERO</t>
        </is>
      </c>
    </row>
    <row r="2" ht="32" customHeight="1">
      <c r="A2" s="2" t="inlineStr">
        <is>
          <t>Escribe solo en las celdas VERDES: todo lo demás se calcula. Importes sin IVA. Los precios de los ingredientes son ejemplos (research de octubre 2026 o estimación del kit): cámbialos por los de tu proveedor.</t>
        </is>
      </c>
    </row>
    <row r="3" ht="92" customHeight="1">
      <c r="A3" s="3" t="inlineStr">
        <is>
          <t>AVISO FIJO. El semáforo de esta hoja solo dice si tus gramajes caben en los del pliego de la Especialidad Tradicional Garantizada (ETG): NO convierte tu pizza en «pizza napolitana». Ese nombre está reservado desde 2022 (Reglamento de Ejecución (UE) 2022/2313) y solo puede usarlo quien cumple TODO el pliego (incluido el horno de leña) y pasa la verificación oficial (Reglamento (UE) 2024/1143, arts. 72 y 73). La asociación AVPN es privada y no sustituye esa verificación. Mientras no la tengas, pon en la carta el nombre de la receta (Margherita, Marinara…).</t>
        </is>
      </c>
    </row>
    <row r="5">
      <c r="A5" s="3" t="inlineStr">
        <is>
          <t>A. POR LITRO DE AGUA (gramajes del pliego)</t>
        </is>
      </c>
      <c r="B5" s="3" t="inlineStr">
        <is>
          <t>Valor</t>
        </is>
      </c>
      <c r="C5" s="3" t="inlineStr">
        <is>
          <t>Pliego mín.</t>
        </is>
      </c>
      <c r="D5" s="3" t="inlineStr">
        <is>
          <t>Pliego máx.</t>
        </is>
      </c>
      <c r="E5" s="3" t="inlineStr">
        <is>
          <t>Notas</t>
        </is>
      </c>
    </row>
    <row r="6" ht="16" customHeight="1">
      <c r="A6" s="4" t="inlineStr">
        <is>
          <t>Número de bolas de masa que quieres preparar</t>
        </is>
      </c>
      <c r="B6" s="5" t="n">
        <v>60</v>
      </c>
      <c r="E6" s="2" t="inlineStr">
        <is>
          <t>Número entero mayor que 0. Una bola, una pizza.</t>
        </is>
      </c>
    </row>
    <row r="7" ht="30" customHeight="1">
      <c r="A7" s="4" t="inlineStr">
        <is>
          <t>Peso de la bola (g)</t>
        </is>
      </c>
      <c r="B7" s="6" t="n">
        <v>250</v>
      </c>
      <c r="C7" s="7" t="n">
        <v>180</v>
      </c>
      <c r="D7" s="7" t="n">
        <v>250</v>
      </c>
      <c r="E7" s="2" t="inlineStr">
        <is>
          <t>El pliego marca bolas de 180 a 250 g, hechas a mano. En gris, el rango del pliego.</t>
        </is>
      </c>
    </row>
    <row r="8" ht="30" customHeight="1">
      <c r="A8" s="4" t="inlineStr">
        <is>
          <t>Merma de amasado y boleado (%)</t>
        </is>
      </c>
      <c r="B8" s="8" t="n">
        <v>0.03</v>
      </c>
      <c r="E8" s="2" t="inlineStr">
        <is>
          <t>Estimación del kit: masa que se queda en la amasadora, el banco y las manos. Se suma a la masa necesaria.</t>
        </is>
      </c>
    </row>
    <row r="9" ht="45" customHeight="1">
      <c r="A9" s="4" t="inlineStr">
        <is>
          <t>Harina por litro de agua (g)</t>
        </is>
      </c>
      <c r="B9" s="6" t="n">
        <v>1800</v>
      </c>
      <c r="C9" s="7" t="n">
        <v>1600</v>
      </c>
      <c r="D9" s="7" t="n">
        <v>1800</v>
      </c>
      <c r="E9" s="2" t="inlineStr">
        <is>
          <t>Pliego: hasta 1.800 g de harina por litro de agua («punto de amasado»). El mínimo de 1.600 g es el que da una absorción del 62 % (cálculo del kit sobre el rango de 55-62 % del pliego).</t>
        </is>
      </c>
    </row>
    <row r="10" ht="16" customHeight="1">
      <c r="A10" s="4" t="inlineStr">
        <is>
          <t>Sal por litro de agua (g)</t>
        </is>
      </c>
      <c r="B10" s="6" t="n">
        <v>52.5</v>
      </c>
      <c r="C10" s="7" t="n">
        <v>50</v>
      </c>
      <c r="D10" s="7" t="n">
        <v>55</v>
      </c>
      <c r="E10" s="2" t="inlineStr">
        <is>
          <t>Pliego: 50 a 55 g de sal por litro de agua.</t>
        </is>
      </c>
    </row>
    <row r="11" ht="16" customHeight="1">
      <c r="A11" s="4" t="inlineStr">
        <is>
          <t>Levadura de cerveza fresca por litro de agua (g)</t>
        </is>
      </c>
      <c r="B11" s="6" t="n">
        <v>3</v>
      </c>
      <c r="C11" s="7" t="n">
        <v>3</v>
      </c>
      <c r="D11" s="7" t="n">
        <v>3</v>
      </c>
      <c r="E11" s="2" t="inlineStr">
        <is>
          <t>Pliego: 3 g por litro de agua.</t>
        </is>
      </c>
    </row>
    <row r="12" ht="16" customHeight="1">
      <c r="A12" s="4" t="inlineStr">
        <is>
          <t>Agua por litro (g)</t>
        </is>
      </c>
      <c r="B12" s="7" t="n">
        <v>1000</v>
      </c>
      <c r="E12" s="2" t="inlineStr">
        <is>
          <t>Constante: un litro de agua pesa 1.000 g. No se edita.</t>
        </is>
      </c>
    </row>
    <row r="13" ht="30" customHeight="1">
      <c r="A13" s="4" t="inlineStr">
        <is>
          <t>Precio de la harina (€/kg, sin IVA)</t>
        </is>
      </c>
      <c r="B13" s="9" t="n">
        <v>1.39</v>
      </c>
      <c r="E13" s="2" t="inlineStr">
        <is>
          <t>Research: harina 00 de pizzería, 1,39 €/kg sin IVA (minorista online, octubre 2026). Pon el de tu proveedor.</t>
        </is>
      </c>
    </row>
    <row r="14" ht="16" customHeight="1">
      <c r="A14" s="4" t="inlineStr">
        <is>
          <t>Precio de la sal (€/kg, sin IVA)</t>
        </is>
      </c>
      <c r="B14" s="9" t="n">
        <v>0.6</v>
      </c>
      <c r="E14" s="2" t="inlineStr">
        <is>
          <t>Estimación del kit. Pon el de tu proveedor.</t>
        </is>
      </c>
    </row>
    <row r="15" ht="30" customHeight="1">
      <c r="A15" s="4" t="inlineStr">
        <is>
          <t>Precio de la levadura fresca (€/kg, sin IVA)</t>
        </is>
      </c>
      <c r="B15" s="9" t="n">
        <v>3.5</v>
      </c>
      <c r="E15" s="2" t="inlineStr">
        <is>
          <t>Estimación del kit (el research no encontró precio fiable). Pon el de tu proveedor.</t>
        </is>
      </c>
    </row>
    <row r="17">
      <c r="A17" s="10" t="inlineStr">
        <is>
          <t>RESULTADO DEL BLOQUE A</t>
        </is>
      </c>
      <c r="B17" s="10" t="inlineStr">
        <is>
          <t>Valor</t>
        </is>
      </c>
      <c r="E17" s="10" t="inlineStr">
        <is>
          <t>Notas</t>
        </is>
      </c>
    </row>
    <row r="18" ht="16" customHeight="1">
      <c r="A18" s="11" t="inlineStr">
        <is>
          <t>Masa total que hay que preparar (g)</t>
        </is>
      </c>
      <c r="B18" s="12">
        <f>$B$6*$B$7*(1+$B$8)</f>
        <v>15450.0</v>
      </c>
      <c r="E18" s="2" t="inlineStr">
        <is>
          <t>Bolas × peso × (1 + merma).</t>
        </is>
      </c>
    </row>
    <row r="19" ht="16" customHeight="1">
      <c r="A19" s="4" t="inlineStr">
        <is>
          <t>Masa que sale de cada litro de agua (g)</t>
        </is>
      </c>
      <c r="B19" s="13">
        <f>$B$12+$B$9+$B$10+$B$11</f>
        <v>2855.5</v>
      </c>
      <c r="E19" s="2" t="inlineStr">
        <is>
          <t>Agua + harina + sal + levadura por litro.</t>
        </is>
      </c>
    </row>
    <row r="20" ht="16" customHeight="1">
      <c r="A20" s="4" t="inlineStr">
        <is>
          <t>Litros de agua que necesitas</t>
        </is>
      </c>
      <c r="B20" s="14">
        <f>$B$18/$B$19</f>
        <v>5.410611101383296</v>
      </c>
      <c r="E20" s="2" t="inlineStr">
        <is>
          <t>Masa total ÷ masa por litro.</t>
        </is>
      </c>
    </row>
    <row r="21">
      <c r="A21" s="4" t="inlineStr">
        <is>
          <t>Agua (g)</t>
        </is>
      </c>
      <c r="B21" s="13">
        <f>$B$20*$B$12</f>
        <v>5410.611101383296</v>
      </c>
    </row>
    <row r="22">
      <c r="A22" s="4" t="inlineStr">
        <is>
          <t>Harina (g)</t>
        </is>
      </c>
      <c r="B22" s="13">
        <f>$B$20*$B$9</f>
        <v>9739.099982489932</v>
      </c>
    </row>
    <row r="23">
      <c r="A23" s="4" t="inlineStr">
        <is>
          <t>Sal (g)</t>
        </is>
      </c>
      <c r="B23" s="13">
        <f>$B$20*$B$10</f>
        <v>284.05708282262304</v>
      </c>
    </row>
    <row r="24">
      <c r="A24" s="4" t="inlineStr">
        <is>
          <t>Levadura fresca (g)</t>
        </is>
      </c>
      <c r="B24" s="13">
        <f>$B$20*$B$11</f>
        <v>16.231833304149887</v>
      </c>
    </row>
    <row r="25" ht="16" customHeight="1">
      <c r="A25" s="4" t="inlineStr">
        <is>
          <t>% panadero: hidratación (agua ÷ harina)</t>
        </is>
      </c>
      <c r="B25" s="15">
        <f>$B$21/$B$22</f>
        <v>0.5555555555555556</v>
      </c>
      <c r="E25" s="2" t="inlineStr">
        <is>
          <t>Para pasarlo al bloque B.</t>
        </is>
      </c>
    </row>
    <row r="26">
      <c r="A26" s="4" t="inlineStr">
        <is>
          <t>% panadero: sal (sal ÷ harina)</t>
        </is>
      </c>
      <c r="B26" s="16">
        <f>$B$23/$B$22</f>
        <v>0.02916666666666667</v>
      </c>
    </row>
    <row r="27">
      <c r="A27" s="4" t="inlineStr">
        <is>
          <t>% panadero: levadura (levadura ÷ harina)</t>
        </is>
      </c>
      <c r="B27" s="16">
        <f>$B$24/$B$22</f>
        <v>0.0016666666666666668</v>
      </c>
    </row>
    <row r="28">
      <c r="A28" s="4" t="inlineStr">
        <is>
          <t>Harina por bola (g)</t>
        </is>
      </c>
      <c r="B28" s="13">
        <f>$B$22/$B$6</f>
        <v>162.31833304149887</v>
      </c>
    </row>
    <row r="29" ht="16" customHeight="1">
      <c r="A29" s="4" t="inlineStr">
        <is>
          <t>Bolas que salen de 1 kg de harina</t>
        </is>
      </c>
      <c r="B29" s="13">
        <f>$B$6*1000/$B$22</f>
        <v>6.160733549083064</v>
      </c>
      <c r="E29" s="2" t="inlineStr">
        <is>
          <t>Con la receta del pliego, unas 6 bolas de 250 g.</t>
        </is>
      </c>
    </row>
    <row r="30" ht="16" customHeight="1">
      <c r="A30" s="4" t="inlineStr">
        <is>
          <t>Coste de la masa (€)</t>
        </is>
      </c>
      <c r="B30" s="17">
        <f>($B$22*$B$13+$B$23*$B$14+$B$24*$B$15)/1000</f>
        <v>13.7645946419191</v>
      </c>
      <c r="E30" s="2" t="inlineStr">
        <is>
          <t>Suma de gramos × €/kg ÷ 1.000, con la merma incluida.</t>
        </is>
      </c>
    </row>
    <row r="31">
      <c r="A31" s="11" t="inlineStr">
        <is>
          <t>Coste de la masa por bola (€)</t>
        </is>
      </c>
      <c r="B31" s="18">
        <f>$B$30/$B$6</f>
        <v>0.22940991069865166</v>
      </c>
    </row>
    <row r="32" ht="48" customHeight="1">
      <c r="A32" s="11" t="inlineStr">
        <is>
          <t>Semáforo del pliego</t>
        </is>
      </c>
      <c r="B32" s="19" t="str">
        <f>IF(AND($B$9&gt;=$C$9,$B$9&lt;=$D$9,$B$10&gt;=$C$10,$B$10&lt;=$D$10,$B$7&gt;=$C$7,$B$7&lt;=$D$7),"Dentro de los gramajes del pliego","Fuera de los gramajes del pliego")</f>
        <v>Dentro de los gramajes del pliego</v>
      </c>
      <c r="E32" s="2" t="inlineStr">
        <is>
          <t>Mira la harina y la sal por litro y el peso de la bola. Ojo al aviso fijo de arriba: no es un sello.</t>
        </is>
      </c>
    </row>
    <row r="34">
      <c r="A34" s="10" t="inlineStr">
        <is>
          <t>B. POR % PANADERO (sobre la harina)</t>
        </is>
      </c>
      <c r="B34" s="10" t="inlineStr">
        <is>
          <t>Valor</t>
        </is>
      </c>
      <c r="E34" s="10" t="inlineStr">
        <is>
          <t>Notas</t>
        </is>
      </c>
    </row>
    <row r="35" ht="30" customHeight="1">
      <c r="A35" s="4" t="inlineStr">
        <is>
          <t>Hidratación (agua sobre la harina, %)</t>
        </is>
      </c>
      <c r="B35" s="8" t="n">
        <v>0.6</v>
      </c>
      <c r="E35" s="2" t="inlineStr">
        <is>
          <t>El pliego deja entre el 55 y el 62 % según la absorción de la harina. 60 % es un ejemplo del kit.</t>
        </is>
      </c>
    </row>
    <row r="36" ht="16" customHeight="1">
      <c r="A36" s="4" t="inlineStr">
        <is>
          <t>Sal (sobre la harina, %)</t>
        </is>
      </c>
      <c r="B36" s="20" t="n">
        <v>0.028</v>
      </c>
      <c r="E36" s="2" t="inlineStr">
        <is>
          <t>Pliego: entre el 2,8 y el 3,1 % sobre la harina (50-55 g por litro).</t>
        </is>
      </c>
    </row>
    <row r="37" ht="30" customHeight="1">
      <c r="A37" s="4" t="inlineStr">
        <is>
          <t>Levadura fresca (sobre la harina, %)</t>
        </is>
      </c>
      <c r="B37" s="20" t="n">
        <v>0.002</v>
      </c>
      <c r="E37" s="2" t="inlineStr">
        <is>
          <t>Pliego: aprox. 0,17 % sobre la harina (3 g por litro de agua). 0,2 % es un ejemplo del kit.</t>
        </is>
      </c>
    </row>
    <row r="39">
      <c r="A39" s="10" t="inlineStr">
        <is>
          <t>RESULTADO DEL BLOQUE B (misma masa total que el A)</t>
        </is>
      </c>
      <c r="B39" s="10" t="inlineStr">
        <is>
          <t>Valor</t>
        </is>
      </c>
      <c r="E39" s="10" t="inlineStr">
        <is>
          <t>Notas</t>
        </is>
      </c>
    </row>
    <row r="40" ht="16" customHeight="1">
      <c r="A40" s="4" t="inlineStr">
        <is>
          <t>Harina (g)</t>
        </is>
      </c>
      <c r="B40" s="13">
        <f>$B$18/(1+$B$35+$B$36+$B$37)</f>
        <v>9478.527607361963</v>
      </c>
      <c r="E40" s="2" t="inlineStr">
        <is>
          <t>Masa ÷ (1 + hidratación + sal + levadura), en tanto por uno.</t>
        </is>
      </c>
    </row>
    <row r="41">
      <c r="A41" s="4" t="inlineStr">
        <is>
          <t>Agua (g)</t>
        </is>
      </c>
      <c r="B41" s="13">
        <f>$B$40*$B$35</f>
        <v>5687.116564417177</v>
      </c>
    </row>
    <row r="42">
      <c r="A42" s="4" t="inlineStr">
        <is>
          <t>Sal (g)</t>
        </is>
      </c>
      <c r="B42" s="13">
        <f>$B$40*$B$36</f>
        <v>265.39877300613495</v>
      </c>
    </row>
    <row r="43">
      <c r="A43" s="4" t="inlineStr">
        <is>
          <t>Levadura fresca (g)</t>
        </is>
      </c>
      <c r="B43" s="13">
        <f>$B$40*$B$37</f>
        <v>18.957055214723926</v>
      </c>
    </row>
    <row r="44" ht="16" customHeight="1">
      <c r="A44" s="4" t="inlineStr">
        <is>
          <t>Coste de la masa (€)</t>
        </is>
      </c>
      <c r="B44" s="17">
        <f>($B$40*$B$13+$B$42*$B$14+$B$43*$B$15)/1000</f>
        <v>13.400742331288342</v>
      </c>
      <c r="E44" s="2" t="inlineStr">
        <is>
          <t>Mismos €/kg del bloque A.</t>
        </is>
      </c>
    </row>
    <row r="45">
      <c r="A45" s="11" t="inlineStr">
        <is>
          <t>Coste de la masa por bola (€)</t>
        </is>
      </c>
      <c r="B45" s="18">
        <f>$B$44/$B$6</f>
        <v>0.22334570552147237</v>
      </c>
    </row>
    <row r="46">
      <c r="A46" s="4" t="inlineStr">
        <is>
          <t>Bolas que salen de 1 kg de harina</t>
        </is>
      </c>
      <c r="B46" s="13">
        <f>$B$6*1000/$B$40</f>
        <v>6.3300970873786415</v>
      </c>
    </row>
    <row r="48">
      <c r="A48" s="10" t="inlineStr">
        <is>
          <t>COSTE DE LA MASA QUE USA EL ESCANDALLO</t>
        </is>
      </c>
      <c r="B48" s="10" t="inlineStr">
        <is>
          <t>Valor</t>
        </is>
      </c>
      <c r="E48" s="10" t="inlineStr">
        <is>
          <t>Notas</t>
        </is>
      </c>
    </row>
    <row r="49" ht="30" customHeight="1">
      <c r="A49" s="4" t="inlineStr">
        <is>
          <t>Bloque que alimenta el escandallo</t>
        </is>
      </c>
      <c r="B49" s="21" t="inlineStr">
        <is>
          <t>Pliego (bloque A)</t>
        </is>
      </c>
      <c r="E49" s="2" t="inlineStr">
        <is>
          <t>Elige qué coste de masa por bola usa la hoja «Escandallo»: el del pliego (A) o el de tus porcentajes (B).</t>
        </is>
      </c>
    </row>
    <row r="50">
      <c r="A50" s="11" t="inlineStr">
        <is>
          <t>Coste de la masa por bola para el escandallo (€)</t>
        </is>
      </c>
      <c r="B50" s="18">
        <f>IF($B$49="Pliego (bloque A)",$B$31,$B$45)</f>
        <v>0.22940991069865166</v>
      </c>
    </row>
  </sheetData>
  <sheetProtection selectLockedCells="0" selectUnlockedCells="0" sheet="1" objects="0" insertRows="1" insertHyperlinks="1" autoFilter="1" scenarios="0" formatColumns="1" deleteColumns="1" insertColumns="1" pivotTables="1" deleteRows="1" formatCells="1" formatRows="1" sort="1"/>
  <mergeCells count="25">
    <mergeCell ref="E12:F12"/>
    <mergeCell ref="E14:F14"/>
    <mergeCell ref="A3:F3"/>
    <mergeCell ref="E8:F8"/>
    <mergeCell ref="E44:F44"/>
    <mergeCell ref="A2:F2"/>
    <mergeCell ref="E35:F35"/>
    <mergeCell ref="E20:F20"/>
    <mergeCell ref="E29:F29"/>
    <mergeCell ref="E10:F10"/>
    <mergeCell ref="E19:F19"/>
    <mergeCell ref="E13:F13"/>
    <mergeCell ref="E40:F40"/>
    <mergeCell ref="E9:F9"/>
    <mergeCell ref="E6:F6"/>
    <mergeCell ref="E30:F30"/>
    <mergeCell ref="E15:F15"/>
    <mergeCell ref="E11:F11"/>
    <mergeCell ref="E49:F49"/>
    <mergeCell ref="E36:F36"/>
    <mergeCell ref="E32:F32"/>
    <mergeCell ref="E7:F7"/>
    <mergeCell ref="E25:F25"/>
    <mergeCell ref="E37:F37"/>
    <mergeCell ref="E18:F18"/>
  </mergeCells>
  <conditionalFormatting sqref="B32">
    <cfRule type="expression" priority="1" dxfId="0">
      <formula>$B$32="Dentro de los gramajes del pliego"</formula>
    </cfRule>
    <cfRule type="expression" priority="2" dxfId="1">
      <formula>$B$32="Fuera de los gramajes del pliego"</formula>
    </cfRule>
  </conditionalFormatting>
  <dataValidations count="5">
    <dataValidation sqref="B6" showDropDown="0" showInputMessage="0" showErrorMessage="1" allowBlank="0" errorTitle="Número no válido" error="Escribe un número entero de 1 o más." type="whole" operator="between">
      <formula1>1</formula1>
      <formula2>100000</formula2>
    </dataValidation>
    <dataValidation sqref="B7 B9 B10 B11 B13 B14 B15" showDropDown="0" showInputMessage="0" showErrorMessage="1" allowBlank="0" errorTitle="Valor no válido" error="Escribe un número mayor que 0." type="decimal" operator="greaterThan">
      <formula1>0</formula1>
    </dataValidation>
    <dataValidation sqref="B8 B36 B37" showDropDown="0" showInputMessage="0" showErrorMessage="1" allowBlank="0" errorTitle="Porcentaje no válido" error="Escribe un porcentaje entre 0 y 1 (0,03 = 3 %)." type="decimal" operator="between">
      <formula1>0</formula1>
      <formula2>1</formula2>
    </dataValidation>
    <dataValidation sqref="B35" showDropDown="0" showInputMessage="0" showErrorMessage="1" allowBlank="0" errorTitle="Hidratación no válida" error="Escribe un porcentaje entre 0 y 200 % (0,6 = 60 %)." type="decimal" operator="between">
      <formula1>0</formula1>
      <formula2>2</formula2>
    </dataValidation>
    <dataValidation sqref="B49" showDropDown="0" showInputMessage="0" showErrorMessage="1" allowBlank="0" errorTitle="Opción no válida" error="Elige una opción de la lista." type="list">
      <formula1>"Pliego (bloque A),Panadero (bloque B)"</formula1>
    </dataValidation>
  </dataValidations>
  <printOptions horizontalCentered="1"/>
  <pageMargins left="0.75" right="0.75" top="1" bottom="1" header="0.5" footer="0.5"/>
  <pageSetup orientation="portrait" paperSize="9" fitToHeight="0" fitToWidth="1"/>
  <headerFooter>
    <oddHeader/>
    <oddFooter>&amp;Caichef.pro/plan-negocio-pizzeria · página &amp;P de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M48"/>
  <sheetViews>
    <sheetView showGridLines="0" workbookViewId="0">
      <selection activeCell="A1" sqref="A1"/>
    </sheetView>
  </sheetViews>
  <sheetFormatPr baseColWidth="8" defaultRowHeight="15"/>
  <cols>
    <col width="40" customWidth="1" min="1" max="1"/>
    <col width="13" customWidth="1" min="2" max="2"/>
    <col width="10" customWidth="1" min="3" max="3"/>
    <col width="13"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46" customWidth="1" min="13" max="13"/>
  </cols>
  <sheetData>
    <row r="1">
      <c r="A1" s="1" t="inlineStr">
        <is>
          <t>ESCANDALLO POR PIZZA — 8 PIZZAS DE EJEMPLO, EN GRAMOS</t>
        </is>
      </c>
    </row>
    <row r="2" ht="32" customHeight="1">
      <c r="A2" s="2" t="inlineStr">
        <is>
          <t>Escribe solo en las celdas VERDES (ingredientes, precios, mermas, gramos, nombres y precios de carta). Importes sin IVA salvo el precio de carta. Los precios son ejemplos: pon los de tu proveedor. La carta de ejemplo usa el nombre de la receta, no «napolitana» (ver el aviso de la hoja «Masa»).</t>
        </is>
      </c>
    </row>
    <row r="4">
      <c r="A4" s="10" t="inlineStr">
        <is>
          <t>DATOS GENERALES</t>
        </is>
      </c>
      <c r="B4" s="10" t="inlineStr">
        <is>
          <t>Valor</t>
        </is>
      </c>
      <c r="E4" s="10" t="inlineStr">
        <is>
          <t>Notas</t>
        </is>
      </c>
    </row>
    <row r="5" ht="16" customHeight="1">
      <c r="A5" s="4" t="inlineStr">
        <is>
          <t>IVA de la pizza (%)</t>
        </is>
      </c>
      <c r="B5" s="8" t="n">
        <v>0.1</v>
      </c>
      <c r="E5" s="2" t="inlineStr">
        <is>
          <t>Comida preparada, en sala, para llevar y a domicilio: 10 % (Ley 37/1992, art. 91.Uno.2.2.º).</t>
        </is>
      </c>
    </row>
    <row r="6" ht="16" customHeight="1">
      <c r="A6" s="4" t="inlineStr">
        <is>
          <t>Food cost objetivo (% sobre el precio sin IVA)</t>
        </is>
      </c>
      <c r="B6" s="8" t="n">
        <v>0.25</v>
      </c>
      <c r="E6" s="2" t="inlineStr">
        <is>
          <t>Referencia habitual de pizzería: 22-30 %. Pon el que te marque tu plan financiero.</t>
        </is>
      </c>
    </row>
    <row r="7" ht="16" customHeight="1">
      <c r="A7" s="4" t="inlineStr">
        <is>
          <t>Margen de vigilancia sobre el objetivo (puntos)</t>
        </is>
      </c>
      <c r="B7" s="8" t="n">
        <v>0.05</v>
      </c>
      <c r="E7" s="2" t="inlineStr">
        <is>
          <t>Hasta este margen por encima del objetivo, el semáforo dice «Vigila el coste»; más allá, «Por encima».</t>
        </is>
      </c>
    </row>
    <row r="8" ht="16" customHeight="1">
      <c r="A8" s="4" t="inlineStr">
        <is>
          <t>Coste de la caja para llevar (€, sin IVA)</t>
        </is>
      </c>
      <c r="B8" s="9" t="n">
        <v>1</v>
      </c>
      <c r="E8" s="2" t="inlineStr">
        <is>
          <t>Research: caja de pizza de 33 cm aprox. 1 € la unidad. Pon el de tu proveedor.</t>
        </is>
      </c>
    </row>
    <row r="9" ht="16" customHeight="1">
      <c r="A9" s="11" t="inlineStr">
        <is>
          <t>Coste de la masa por bola (de la hoja «Masa»)</t>
        </is>
      </c>
      <c r="B9" s="18">
        <f>'Masa'!$B$50</f>
        <v>0.22940991069865166</v>
      </c>
      <c r="E9" s="2" t="inlineStr">
        <is>
          <t>Se calcula en la hoja «Masa» (bloque A o B, según elijas allí).</t>
        </is>
      </c>
    </row>
    <row r="11" ht="32" customHeight="1">
      <c r="A11" s="3" t="inlineStr">
        <is>
          <t>INGREDIENTE</t>
        </is>
      </c>
      <c r="B11" s="3" t="inlineStr">
        <is>
          <t>€/kg sin IVA</t>
        </is>
      </c>
      <c r="C11" s="3" t="inlineStr">
        <is>
          <t>Merma</t>
        </is>
      </c>
      <c r="D11" s="3" t="inlineStr">
        <is>
          <t>€/kg neto</t>
        </is>
      </c>
      <c r="E11" s="22" t="inlineStr">
        <is>
          <t>Margherita</t>
        </is>
      </c>
      <c r="F11" s="22" t="inlineStr">
        <is>
          <t>Marinara</t>
        </is>
      </c>
      <c r="G11" s="22" t="inlineStr">
        <is>
          <t>Diavola</t>
        </is>
      </c>
      <c r="H11" s="22" t="inlineStr">
        <is>
          <t>Capricciosa</t>
        </is>
      </c>
      <c r="I11" s="22" t="inlineStr">
        <is>
          <t>Quattro formaggi</t>
        </is>
      </c>
      <c r="J11" s="22" t="inlineStr">
        <is>
          <t>Cotto e funghi</t>
        </is>
      </c>
      <c r="K11" s="22" t="inlineStr">
        <is>
          <t>Bufalina</t>
        </is>
      </c>
      <c r="L11" s="22" t="inlineStr">
        <is>
          <t>Salsiccia e friarielli</t>
        </is>
      </c>
      <c r="M11" s="3" t="inlineStr">
        <is>
          <t>ORIGEN DEL PRECIO DE EJEMPLO</t>
        </is>
      </c>
    </row>
    <row r="12">
      <c r="A12" s="11" t="inlineStr">
        <is>
          <t>Precio de carta con IVA (€)</t>
        </is>
      </c>
      <c r="E12" s="23" t="n">
        <v>10</v>
      </c>
      <c r="F12" s="23" t="n">
        <v>9.5</v>
      </c>
      <c r="G12" s="23" t="n">
        <v>12.5</v>
      </c>
      <c r="H12" s="23" t="n">
        <v>14</v>
      </c>
      <c r="I12" s="23" t="n">
        <v>13.5</v>
      </c>
      <c r="J12" s="23" t="n">
        <v>12.5</v>
      </c>
      <c r="K12" s="23" t="n">
        <v>15.5</v>
      </c>
      <c r="L12" s="23" t="n">
        <v>14.5</v>
      </c>
    </row>
    <row r="13">
      <c r="A13" s="24" t="inlineStr">
        <is>
          <t>Tomate pelado triturado</t>
        </is>
      </c>
      <c r="B13" s="9" t="n">
        <v>2.88</v>
      </c>
      <c r="C13" s="25" t="n">
        <v>0</v>
      </c>
      <c r="D13" s="17">
        <f>B13/(1-C13)</f>
        <v>2.88</v>
      </c>
      <c r="E13" s="26" t="n">
        <v>70</v>
      </c>
      <c r="F13" s="26" t="n">
        <v>100</v>
      </c>
      <c r="G13" s="26" t="n">
        <v>70</v>
      </c>
      <c r="H13" s="26" t="n">
        <v>70</v>
      </c>
      <c r="I13" s="26" t="n">
        <v>0</v>
      </c>
      <c r="J13" s="26" t="n">
        <v>70</v>
      </c>
      <c r="K13" s="26" t="n">
        <v>60</v>
      </c>
      <c r="L13" s="26" t="n">
        <v>0</v>
      </c>
      <c r="M13" s="27" t="inlineStr">
        <is>
          <t>research: lata de 2,5 kg (Makro)</t>
        </is>
      </c>
    </row>
    <row r="14">
      <c r="A14" s="24" t="inlineStr">
        <is>
          <t>Fior di latte</t>
        </is>
      </c>
      <c r="B14" s="9" t="n">
        <v>8.82</v>
      </c>
      <c r="C14" s="25" t="n">
        <v>0.03</v>
      </c>
      <c r="D14" s="17">
        <f>B14/(1-C14)</f>
        <v>9.092783505154639</v>
      </c>
      <c r="E14" s="26" t="n">
        <v>90</v>
      </c>
      <c r="F14" s="26" t="n">
        <v>0</v>
      </c>
      <c r="G14" s="26" t="n">
        <v>90</v>
      </c>
      <c r="H14" s="26" t="n">
        <v>80</v>
      </c>
      <c r="I14" s="26" t="n">
        <v>60</v>
      </c>
      <c r="J14" s="26" t="n">
        <v>90</v>
      </c>
      <c r="K14" s="26" t="n">
        <v>0</v>
      </c>
      <c r="L14" s="26" t="n">
        <v>0</v>
      </c>
      <c r="M14" s="27" t="inlineStr">
        <is>
          <t>research: juliana de 2,5 kg (Makro)</t>
        </is>
      </c>
    </row>
    <row r="15">
      <c r="A15" s="24" t="inlineStr">
        <is>
          <t>Mozzarella de búfala</t>
        </is>
      </c>
      <c r="B15" s="9" t="n">
        <v>18</v>
      </c>
      <c r="C15" s="25" t="n">
        <v>0.03</v>
      </c>
      <c r="D15" s="17">
        <f>B15/(1-C15)</f>
        <v>18.556701030927837</v>
      </c>
      <c r="E15" s="26" t="n">
        <v>0</v>
      </c>
      <c r="F15" s="26" t="n">
        <v>0</v>
      </c>
      <c r="G15" s="26" t="n">
        <v>0</v>
      </c>
      <c r="H15" s="26" t="n">
        <v>0</v>
      </c>
      <c r="I15" s="26" t="n">
        <v>0</v>
      </c>
      <c r="J15" s="26" t="n">
        <v>0</v>
      </c>
      <c r="K15" s="26" t="n">
        <v>125</v>
      </c>
      <c r="L15" s="26" t="n">
        <v>0</v>
      </c>
      <c r="M15" s="27" t="inlineStr">
        <is>
          <t>estimado: el research no halló precio profesional</t>
        </is>
      </c>
    </row>
    <row r="16">
      <c r="A16" s="24" t="inlineStr">
        <is>
          <t>Aceite de oliva virgen extra</t>
        </is>
      </c>
      <c r="B16" s="9" t="n">
        <v>4.5</v>
      </c>
      <c r="C16" s="25" t="n">
        <v>0</v>
      </c>
      <c r="D16" s="17">
        <f>B16/(1-C16)</f>
        <v>4.5</v>
      </c>
      <c r="E16" s="26" t="n">
        <v>5</v>
      </c>
      <c r="F16" s="26" t="n">
        <v>6</v>
      </c>
      <c r="G16" s="26" t="n">
        <v>5</v>
      </c>
      <c r="H16" s="26" t="n">
        <v>5</v>
      </c>
      <c r="I16" s="26" t="n">
        <v>4</v>
      </c>
      <c r="J16" s="26" t="n">
        <v>5</v>
      </c>
      <c r="K16" s="26" t="n">
        <v>5</v>
      </c>
      <c r="L16" s="26" t="n">
        <v>6</v>
      </c>
      <c r="M16" s="27" t="inlineStr">
        <is>
          <t>research: garrafa de 5 l, convertido a €/kg y sin IVA</t>
        </is>
      </c>
    </row>
    <row r="17">
      <c r="A17" s="24" t="inlineStr">
        <is>
          <t>Albahaca fresca</t>
        </is>
      </c>
      <c r="B17" s="9" t="n">
        <v>12</v>
      </c>
      <c r="C17" s="25" t="n">
        <v>0.3</v>
      </c>
      <c r="D17" s="17">
        <f>B17/(1-C17)</f>
        <v>17.142857142857142</v>
      </c>
      <c r="E17" s="26" t="n">
        <v>3</v>
      </c>
      <c r="F17" s="26" t="n">
        <v>0</v>
      </c>
      <c r="G17" s="26" t="n">
        <v>2</v>
      </c>
      <c r="H17" s="26" t="n">
        <v>0</v>
      </c>
      <c r="I17" s="26" t="n">
        <v>0</v>
      </c>
      <c r="J17" s="26" t="n">
        <v>0</v>
      </c>
      <c r="K17" s="26" t="n">
        <v>3</v>
      </c>
      <c r="L17" s="26" t="n">
        <v>0</v>
      </c>
      <c r="M17" s="27" t="inlineStr">
        <is>
          <t>estimado</t>
        </is>
      </c>
    </row>
    <row r="18">
      <c r="A18" s="24" t="inlineStr">
        <is>
          <t>Orégano seco</t>
        </is>
      </c>
      <c r="B18" s="9" t="n">
        <v>15</v>
      </c>
      <c r="C18" s="25" t="n">
        <v>0</v>
      </c>
      <c r="D18" s="17">
        <f>B18/(1-C18)</f>
        <v>15.0</v>
      </c>
      <c r="E18" s="26" t="n">
        <v>0</v>
      </c>
      <c r="F18" s="26" t="n">
        <v>0.5</v>
      </c>
      <c r="G18" s="26" t="n">
        <v>0</v>
      </c>
      <c r="H18" s="26" t="n">
        <v>0</v>
      </c>
      <c r="I18" s="26" t="n">
        <v>0</v>
      </c>
      <c r="J18" s="26" t="n">
        <v>0</v>
      </c>
      <c r="K18" s="26" t="n">
        <v>0</v>
      </c>
      <c r="L18" s="26" t="n">
        <v>0</v>
      </c>
      <c r="M18" s="27" t="inlineStr">
        <is>
          <t>estimado</t>
        </is>
      </c>
    </row>
    <row r="19">
      <c r="A19" s="24" t="inlineStr">
        <is>
          <t>Ajo</t>
        </is>
      </c>
      <c r="B19" s="9" t="n">
        <v>4</v>
      </c>
      <c r="C19" s="25" t="n">
        <v>0.2</v>
      </c>
      <c r="D19" s="17">
        <f>B19/(1-C19)</f>
        <v>5.0</v>
      </c>
      <c r="E19" s="26" t="n">
        <v>0</v>
      </c>
      <c r="F19" s="26" t="n">
        <v>3</v>
      </c>
      <c r="G19" s="26" t="n">
        <v>0</v>
      </c>
      <c r="H19" s="26" t="n">
        <v>0</v>
      </c>
      <c r="I19" s="26" t="n">
        <v>0</v>
      </c>
      <c r="J19" s="26" t="n">
        <v>0</v>
      </c>
      <c r="K19" s="26" t="n">
        <v>0</v>
      </c>
      <c r="L19" s="26" t="n">
        <v>2</v>
      </c>
      <c r="M19" s="27" t="inlineStr">
        <is>
          <t>estimado</t>
        </is>
      </c>
    </row>
    <row r="20">
      <c r="A20" s="24" t="inlineStr">
        <is>
          <t>Salami picante</t>
        </is>
      </c>
      <c r="B20" s="9" t="n">
        <v>14</v>
      </c>
      <c r="C20" s="25" t="n">
        <v>0.03</v>
      </c>
      <c r="D20" s="17">
        <f>B20/(1-C20)</f>
        <v>14.43298969072165</v>
      </c>
      <c r="E20" s="26" t="n">
        <v>0</v>
      </c>
      <c r="F20" s="26" t="n">
        <v>0</v>
      </c>
      <c r="G20" s="26" t="n">
        <v>50</v>
      </c>
      <c r="H20" s="26" t="n">
        <v>0</v>
      </c>
      <c r="I20" s="26" t="n">
        <v>0</v>
      </c>
      <c r="J20" s="26" t="n">
        <v>0</v>
      </c>
      <c r="K20" s="26" t="n">
        <v>0</v>
      </c>
      <c r="L20" s="26" t="n">
        <v>0</v>
      </c>
      <c r="M20" s="27" t="inlineStr">
        <is>
          <t>estimado</t>
        </is>
      </c>
    </row>
    <row r="21">
      <c r="A21" s="24" t="inlineStr">
        <is>
          <t>Jamón cocido</t>
        </is>
      </c>
      <c r="B21" s="9" t="n">
        <v>9.5</v>
      </c>
      <c r="C21" s="25" t="n">
        <v>0.03</v>
      </c>
      <c r="D21" s="17">
        <f>B21/(1-C21)</f>
        <v>9.793814432989691</v>
      </c>
      <c r="E21" s="26" t="n">
        <v>0</v>
      </c>
      <c r="F21" s="26" t="n">
        <v>0</v>
      </c>
      <c r="G21" s="26" t="n">
        <v>0</v>
      </c>
      <c r="H21" s="26" t="n">
        <v>40</v>
      </c>
      <c r="I21" s="26" t="n">
        <v>0</v>
      </c>
      <c r="J21" s="26" t="n">
        <v>45</v>
      </c>
      <c r="K21" s="26" t="n">
        <v>0</v>
      </c>
      <c r="L21" s="26" t="n">
        <v>0</v>
      </c>
      <c r="M21" s="27" t="inlineStr">
        <is>
          <t>estimado</t>
        </is>
      </c>
    </row>
    <row r="22">
      <c r="A22" s="24" t="inlineStr">
        <is>
          <t>Champiñón laminado</t>
        </is>
      </c>
      <c r="B22" s="9" t="n">
        <v>3.5</v>
      </c>
      <c r="C22" s="25" t="n">
        <v>0.1</v>
      </c>
      <c r="D22" s="17">
        <f>B22/(1-C22)</f>
        <v>3.888888888888889</v>
      </c>
      <c r="E22" s="26" t="n">
        <v>0</v>
      </c>
      <c r="F22" s="26" t="n">
        <v>0</v>
      </c>
      <c r="G22" s="26" t="n">
        <v>0</v>
      </c>
      <c r="H22" s="26" t="n">
        <v>40</v>
      </c>
      <c r="I22" s="26" t="n">
        <v>0</v>
      </c>
      <c r="J22" s="26" t="n">
        <v>50</v>
      </c>
      <c r="K22" s="26" t="n">
        <v>0</v>
      </c>
      <c r="L22" s="26" t="n">
        <v>0</v>
      </c>
      <c r="M22" s="27" t="inlineStr">
        <is>
          <t>estimado</t>
        </is>
      </c>
    </row>
    <row r="23">
      <c r="A23" s="24" t="inlineStr">
        <is>
          <t>Alcachofa en aceite</t>
        </is>
      </c>
      <c r="B23" s="9" t="n">
        <v>9</v>
      </c>
      <c r="C23" s="25" t="n">
        <v>0.1</v>
      </c>
      <c r="D23" s="17">
        <f>B23/(1-C23)</f>
        <v>10.0</v>
      </c>
      <c r="E23" s="26" t="n">
        <v>0</v>
      </c>
      <c r="F23" s="26" t="n">
        <v>0</v>
      </c>
      <c r="G23" s="26" t="n">
        <v>0</v>
      </c>
      <c r="H23" s="26" t="n">
        <v>30</v>
      </c>
      <c r="I23" s="26" t="n">
        <v>0</v>
      </c>
      <c r="J23" s="26" t="n">
        <v>0</v>
      </c>
      <c r="K23" s="26" t="n">
        <v>0</v>
      </c>
      <c r="L23" s="26" t="n">
        <v>0</v>
      </c>
      <c r="M23" s="27" t="inlineStr">
        <is>
          <t>estimado</t>
        </is>
      </c>
    </row>
    <row r="24">
      <c r="A24" s="24" t="inlineStr">
        <is>
          <t>Aceitunas negras</t>
        </is>
      </c>
      <c r="B24" s="9" t="n">
        <v>6.5</v>
      </c>
      <c r="C24" s="25" t="n">
        <v>0.05</v>
      </c>
      <c r="D24" s="17">
        <f>B24/(1-C24)</f>
        <v>6.842105263157895</v>
      </c>
      <c r="E24" s="26" t="n">
        <v>0</v>
      </c>
      <c r="F24" s="26" t="n">
        <v>0</v>
      </c>
      <c r="G24" s="26" t="n">
        <v>0</v>
      </c>
      <c r="H24" s="26" t="n">
        <v>15</v>
      </c>
      <c r="I24" s="26" t="n">
        <v>0</v>
      </c>
      <c r="J24" s="26" t="n">
        <v>0</v>
      </c>
      <c r="K24" s="26" t="n">
        <v>0</v>
      </c>
      <c r="L24" s="26" t="n">
        <v>0</v>
      </c>
      <c r="M24" s="27" t="inlineStr">
        <is>
          <t>estimado</t>
        </is>
      </c>
    </row>
    <row r="25">
      <c r="A25" s="24" t="inlineStr">
        <is>
          <t>Gorgonzola</t>
        </is>
      </c>
      <c r="B25" s="9" t="n">
        <v>11</v>
      </c>
      <c r="C25" s="25" t="n">
        <v>0.03</v>
      </c>
      <c r="D25" s="17">
        <f>B25/(1-C25)</f>
        <v>11.34020618556701</v>
      </c>
      <c r="E25" s="26" t="n">
        <v>0</v>
      </c>
      <c r="F25" s="26" t="n">
        <v>0</v>
      </c>
      <c r="G25" s="26" t="n">
        <v>0</v>
      </c>
      <c r="H25" s="26" t="n">
        <v>0</v>
      </c>
      <c r="I25" s="26" t="n">
        <v>40</v>
      </c>
      <c r="J25" s="26" t="n">
        <v>0</v>
      </c>
      <c r="K25" s="26" t="n">
        <v>0</v>
      </c>
      <c r="L25" s="26" t="n">
        <v>0</v>
      </c>
      <c r="M25" s="27" t="inlineStr">
        <is>
          <t>estimado</t>
        </is>
      </c>
    </row>
    <row r="26">
      <c r="A26" s="24" t="inlineStr">
        <is>
          <t>Grana padano</t>
        </is>
      </c>
      <c r="B26" s="9" t="n">
        <v>13</v>
      </c>
      <c r="C26" s="25" t="n">
        <v>0.05</v>
      </c>
      <c r="D26" s="17">
        <f>B26/(1-C26)</f>
        <v>13.68421052631579</v>
      </c>
      <c r="E26" s="26" t="n">
        <v>0</v>
      </c>
      <c r="F26" s="26" t="n">
        <v>0</v>
      </c>
      <c r="G26" s="26" t="n">
        <v>0</v>
      </c>
      <c r="H26" s="26" t="n">
        <v>0</v>
      </c>
      <c r="I26" s="26" t="n">
        <v>20</v>
      </c>
      <c r="J26" s="26" t="n">
        <v>0</v>
      </c>
      <c r="K26" s="26" t="n">
        <v>0</v>
      </c>
      <c r="L26" s="26" t="n">
        <v>0</v>
      </c>
      <c r="M26" s="27" t="inlineStr">
        <is>
          <t>estimado</t>
        </is>
      </c>
    </row>
    <row r="27">
      <c r="A27" s="24" t="inlineStr">
        <is>
          <t>Provola ahumada</t>
        </is>
      </c>
      <c r="B27" s="9" t="n">
        <v>9.5</v>
      </c>
      <c r="C27" s="25" t="n">
        <v>0.03</v>
      </c>
      <c r="D27" s="17">
        <f>B27/(1-C27)</f>
        <v>9.793814432989691</v>
      </c>
      <c r="E27" s="26" t="n">
        <v>0</v>
      </c>
      <c r="F27" s="26" t="n">
        <v>0</v>
      </c>
      <c r="G27" s="26" t="n">
        <v>0</v>
      </c>
      <c r="H27" s="26" t="n">
        <v>0</v>
      </c>
      <c r="I27" s="26" t="n">
        <v>40</v>
      </c>
      <c r="J27" s="26" t="n">
        <v>0</v>
      </c>
      <c r="K27" s="26" t="n">
        <v>0</v>
      </c>
      <c r="L27" s="26" t="n">
        <v>70</v>
      </c>
      <c r="M27" s="27" t="inlineStr">
        <is>
          <t>estimado</t>
        </is>
      </c>
    </row>
    <row r="28">
      <c r="A28" s="24" t="inlineStr">
        <is>
          <t>Salchicha fresca italiana</t>
        </is>
      </c>
      <c r="B28" s="9" t="n">
        <v>8</v>
      </c>
      <c r="C28" s="25" t="n">
        <v>0.05</v>
      </c>
      <c r="D28" s="17">
        <f>B28/(1-C28)</f>
        <v>8.421052631578947</v>
      </c>
      <c r="E28" s="26" t="n">
        <v>0</v>
      </c>
      <c r="F28" s="26" t="n">
        <v>0</v>
      </c>
      <c r="G28" s="26" t="n">
        <v>0</v>
      </c>
      <c r="H28" s="26" t="n">
        <v>0</v>
      </c>
      <c r="I28" s="26" t="n">
        <v>0</v>
      </c>
      <c r="J28" s="26" t="n">
        <v>0</v>
      </c>
      <c r="K28" s="26" t="n">
        <v>0</v>
      </c>
      <c r="L28" s="26" t="n">
        <v>80</v>
      </c>
      <c r="M28" s="27" t="inlineStr">
        <is>
          <t>estimado</t>
        </is>
      </c>
    </row>
    <row r="29">
      <c r="A29" s="24" t="inlineStr">
        <is>
          <t>Friarielli (cima de rapa)</t>
        </is>
      </c>
      <c r="B29" s="9" t="n">
        <v>5</v>
      </c>
      <c r="C29" s="25" t="n">
        <v>0.25</v>
      </c>
      <c r="D29" s="17">
        <f>B29/(1-C29)</f>
        <v>6.666666666666667</v>
      </c>
      <c r="E29" s="26" t="n">
        <v>0</v>
      </c>
      <c r="F29" s="26" t="n">
        <v>0</v>
      </c>
      <c r="G29" s="26" t="n">
        <v>0</v>
      </c>
      <c r="H29" s="26" t="n">
        <v>0</v>
      </c>
      <c r="I29" s="26" t="n">
        <v>0</v>
      </c>
      <c r="J29" s="26" t="n">
        <v>0</v>
      </c>
      <c r="K29" s="26" t="n">
        <v>0</v>
      </c>
      <c r="L29" s="26" t="n">
        <v>70</v>
      </c>
      <c r="M29" s="27" t="inlineStr">
        <is>
          <t>estimado</t>
        </is>
      </c>
    </row>
    <row r="30">
      <c r="A30" s="24" t="inlineStr">
        <is>
          <t>Tomate cherry</t>
        </is>
      </c>
      <c r="B30" s="9" t="n">
        <v>3.5</v>
      </c>
      <c r="C30" s="25" t="n">
        <v>0.05</v>
      </c>
      <c r="D30" s="17">
        <f>B30/(1-C30)</f>
        <v>3.68421052631579</v>
      </c>
      <c r="E30" s="26" t="n">
        <v>0</v>
      </c>
      <c r="F30" s="26" t="n">
        <v>0</v>
      </c>
      <c r="G30" s="26" t="n">
        <v>0</v>
      </c>
      <c r="H30" s="26" t="n">
        <v>0</v>
      </c>
      <c r="I30" s="26" t="n">
        <v>0</v>
      </c>
      <c r="J30" s="26" t="n">
        <v>0</v>
      </c>
      <c r="K30" s="26" t="n">
        <v>30</v>
      </c>
      <c r="L30" s="26" t="n">
        <v>0</v>
      </c>
      <c r="M30" s="27" t="inlineStr">
        <is>
          <t>estimado</t>
        </is>
      </c>
    </row>
    <row r="31">
      <c r="A31" s="24" t="inlineStr">
        <is>
          <t>Rúcula</t>
        </is>
      </c>
      <c r="B31" s="9" t="n">
        <v>8</v>
      </c>
      <c r="C31" s="25" t="n">
        <v>0.1</v>
      </c>
      <c r="D31" s="17">
        <f>B31/(1-C31)</f>
        <v>8.88888888888889</v>
      </c>
      <c r="E31" s="26" t="n">
        <v>0</v>
      </c>
      <c r="F31" s="26" t="n">
        <v>0</v>
      </c>
      <c r="G31" s="26" t="n">
        <v>0</v>
      </c>
      <c r="H31" s="26" t="n">
        <v>0</v>
      </c>
      <c r="I31" s="26" t="n">
        <v>0</v>
      </c>
      <c r="J31" s="26" t="n">
        <v>0</v>
      </c>
      <c r="K31" s="26" t="n">
        <v>0</v>
      </c>
      <c r="L31" s="26" t="n">
        <v>0</v>
      </c>
      <c r="M31" s="27" t="inlineStr">
        <is>
          <t>estimado: libre para tus pizzas</t>
        </is>
      </c>
    </row>
    <row r="32">
      <c r="A32" s="24" t="inlineStr">
        <is>
          <t>Jamón curado</t>
        </is>
      </c>
      <c r="B32" s="9" t="n">
        <v>22</v>
      </c>
      <c r="C32" s="25" t="n">
        <v>0.05</v>
      </c>
      <c r="D32" s="17">
        <f>B32/(1-C32)</f>
        <v>23.157894736842106</v>
      </c>
      <c r="E32" s="26" t="n">
        <v>0</v>
      </c>
      <c r="F32" s="26" t="n">
        <v>0</v>
      </c>
      <c r="G32" s="26" t="n">
        <v>0</v>
      </c>
      <c r="H32" s="26" t="n">
        <v>0</v>
      </c>
      <c r="I32" s="26" t="n">
        <v>0</v>
      </c>
      <c r="J32" s="26" t="n">
        <v>0</v>
      </c>
      <c r="K32" s="26" t="n">
        <v>0</v>
      </c>
      <c r="L32" s="26" t="n">
        <v>0</v>
      </c>
      <c r="M32" s="27" t="inlineStr">
        <is>
          <t>estimado: libre para tus pizzas</t>
        </is>
      </c>
    </row>
    <row r="33">
      <c r="A33" s="24" t="inlineStr">
        <is>
          <t>Nduja</t>
        </is>
      </c>
      <c r="B33" s="9" t="n">
        <v>14</v>
      </c>
      <c r="C33" s="25" t="n">
        <v>0.02</v>
      </c>
      <c r="D33" s="17">
        <f>B33/(1-C33)</f>
        <v>14.285714285714286</v>
      </c>
      <c r="E33" s="26" t="n">
        <v>0</v>
      </c>
      <c r="F33" s="26" t="n">
        <v>0</v>
      </c>
      <c r="G33" s="26" t="n">
        <v>0</v>
      </c>
      <c r="H33" s="26" t="n">
        <v>0</v>
      </c>
      <c r="I33" s="26" t="n">
        <v>0</v>
      </c>
      <c r="J33" s="26" t="n">
        <v>0</v>
      </c>
      <c r="K33" s="26" t="n">
        <v>0</v>
      </c>
      <c r="L33" s="26" t="n">
        <v>0</v>
      </c>
      <c r="M33" s="27" t="inlineStr">
        <is>
          <t>estimado: libre para tus pizzas</t>
        </is>
      </c>
    </row>
    <row r="34">
      <c r="A34" s="24" t="inlineStr">
        <is>
          <t>Ricotta</t>
        </is>
      </c>
      <c r="B34" s="9" t="n">
        <v>6</v>
      </c>
      <c r="C34" s="25" t="n">
        <v>0.02</v>
      </c>
      <c r="D34" s="17">
        <f>B34/(1-C34)</f>
        <v>6.122448979591836</v>
      </c>
      <c r="E34" s="26" t="n">
        <v>0</v>
      </c>
      <c r="F34" s="26" t="n">
        <v>0</v>
      </c>
      <c r="G34" s="26" t="n">
        <v>0</v>
      </c>
      <c r="H34" s="26" t="n">
        <v>0</v>
      </c>
      <c r="I34" s="26" t="n">
        <v>0</v>
      </c>
      <c r="J34" s="26" t="n">
        <v>0</v>
      </c>
      <c r="K34" s="26" t="n">
        <v>0</v>
      </c>
      <c r="L34" s="26" t="n">
        <v>0</v>
      </c>
      <c r="M34" s="27" t="inlineStr">
        <is>
          <t>estimado: libre para tus pizzas</t>
        </is>
      </c>
    </row>
    <row r="36" ht="32" customHeight="1">
      <c r="A36" s="10" t="inlineStr">
        <is>
          <t>RESULTADO POR PIZZA (gramos en las columnas de arriba)</t>
        </is>
      </c>
      <c r="E36" s="3" t="str">
        <f>E11</f>
        <v>Margherita</v>
      </c>
      <c r="F36" s="3" t="str">
        <f>F11</f>
        <v>Marinara</v>
      </c>
      <c r="G36" s="3" t="str">
        <f>G11</f>
        <v>Diavola</v>
      </c>
      <c r="H36" s="3" t="str">
        <f>H11</f>
        <v>Capricciosa</v>
      </c>
      <c r="I36" s="3" t="str">
        <f>I11</f>
        <v>Quattro formaggi</v>
      </c>
      <c r="J36" s="3" t="str">
        <f>J11</f>
        <v>Cotto e funghi</v>
      </c>
      <c r="K36" s="3" t="str">
        <f>K11</f>
        <v>Bufalina</v>
      </c>
      <c r="L36" s="3" t="str">
        <f>L11</f>
        <v>Salsiccia e friarielli</v>
      </c>
    </row>
    <row r="37">
      <c r="A37" s="4" t="inlineStr">
        <is>
          <t>Peso en crudo de la pizza (g)</t>
        </is>
      </c>
      <c r="E37" s="13">
        <f>'Masa'!$B$7+SUM(E$13:E$34)</f>
        <v>418.0</v>
      </c>
      <c r="F37" s="13">
        <f>'Masa'!$B$7+SUM(F$13:F$34)</f>
        <v>359.5</v>
      </c>
      <c r="G37" s="13">
        <f>'Masa'!$B$7+SUM(G$13:G$34)</f>
        <v>467.0</v>
      </c>
      <c r="H37" s="13">
        <f>'Masa'!$B$7+SUM(H$13:H$34)</f>
        <v>530.0</v>
      </c>
      <c r="I37" s="13">
        <f>'Masa'!$B$7+SUM(I$13:I$34)</f>
        <v>414.0</v>
      </c>
      <c r="J37" s="13">
        <f>'Masa'!$B$7+SUM(J$13:J$34)</f>
        <v>510.0</v>
      </c>
      <c r="K37" s="13">
        <f>'Masa'!$B$7+SUM(K$13:K$34)</f>
        <v>473.0</v>
      </c>
      <c r="L37" s="13">
        <f>'Masa'!$B$7+SUM(L$13:L$34)</f>
        <v>478.0</v>
      </c>
    </row>
    <row r="38">
      <c r="A38" s="4" t="inlineStr">
        <is>
          <t>Coste de la masa (€)</t>
        </is>
      </c>
      <c r="E38" s="28">
        <f>$B$9</f>
        <v>0.22940991069865166</v>
      </c>
      <c r="F38" s="28">
        <f>$B$9</f>
        <v>0.22940991069865166</v>
      </c>
      <c r="G38" s="28">
        <f>$B$9</f>
        <v>0.22940991069865166</v>
      </c>
      <c r="H38" s="28">
        <f>$B$9</f>
        <v>0.22940991069865166</v>
      </c>
      <c r="I38" s="28">
        <f>$B$9</f>
        <v>0.22940991069865166</v>
      </c>
      <c r="J38" s="28">
        <f>$B$9</f>
        <v>0.22940991069865166</v>
      </c>
      <c r="K38" s="28">
        <f>$B$9</f>
        <v>0.22940991069865166</v>
      </c>
      <c r="L38" s="28">
        <f>$B$9</f>
        <v>0.22940991069865166</v>
      </c>
    </row>
    <row r="39">
      <c r="A39" s="4" t="inlineStr">
        <is>
          <t>Coste de los ingredientes (€)</t>
        </is>
      </c>
      <c r="E39" s="28">
        <f>SUMPRODUCT(E$13:E$34,$D$13:$D$34)/1000</f>
        <v>1.0938790868924888</v>
      </c>
      <c r="F39" s="28">
        <f>SUMPRODUCT(F$13:F$34,$D$13:$D$34)/1000</f>
        <v>0.3375</v>
      </c>
      <c r="G39" s="28">
        <f>SUMPRODUCT(G$13:G$34,$D$13:$D$34)/1000</f>
        <v>1.7983857142857143</v>
      </c>
      <c r="H39" s="28">
        <f>SUMPRODUCT(H$13:H$34,$D$13:$D$34)/1000</f>
        <v>1.9014623922348828</v>
      </c>
      <c r="I39" s="28">
        <f>SUMPRODUCT(I$13:I$34,$D$13:$D$34)/1000</f>
        <v>1.6826120455778624</v>
      </c>
      <c r="J39" s="28">
        <f>SUMPRODUCT(J$13:J$34,$D$13:$D$34)/1000</f>
        <v>1.6776166093928981</v>
      </c>
      <c r="K39" s="28">
        <f>SUMPRODUCT(K$13:K$34,$D$13:$D$34)/1000</f>
        <v>2.676842516084025</v>
      </c>
      <c r="L39" s="28">
        <f>SUMPRODUCT(L$13:L$34,$D$13:$D$34)/1000</f>
        <v>1.862917887502261</v>
      </c>
    </row>
    <row r="40">
      <c r="A40" s="11" t="inlineStr">
        <is>
          <t>COSTE DE LA PIZZA (€)</t>
        </is>
      </c>
      <c r="E40" s="18">
        <f>E38+E39</f>
        <v>1.3232889975911404</v>
      </c>
      <c r="F40" s="18">
        <f>F38+F39</f>
        <v>0.5669099106986517</v>
      </c>
      <c r="G40" s="18">
        <f>G38+G39</f>
        <v>2.027795624984366</v>
      </c>
      <c r="H40" s="18">
        <f>H38+H39</f>
        <v>2.1308723029335344</v>
      </c>
      <c r="I40" s="18">
        <f>I38+I39</f>
        <v>1.912021956276514</v>
      </c>
      <c r="J40" s="18">
        <f>J38+J39</f>
        <v>1.9070265200915497</v>
      </c>
      <c r="K40" s="18">
        <f>K38+K39</f>
        <v>2.9062524267826766</v>
      </c>
      <c r="L40" s="18">
        <f>L38+L39</f>
        <v>2.0923277982009125</v>
      </c>
    </row>
    <row r="41">
      <c r="A41" s="4" t="inlineStr">
        <is>
          <t>Precio de venta sin IVA (€)</t>
        </is>
      </c>
      <c r="E41" s="17">
        <f>E12/(1+$B$5)</f>
        <v>9.09090909090909</v>
      </c>
      <c r="F41" s="17">
        <f>F12/(1+$B$5)</f>
        <v>8.636363636363635</v>
      </c>
      <c r="G41" s="17">
        <f>G12/(1+$B$5)</f>
        <v>11.363636363636363</v>
      </c>
      <c r="H41" s="17">
        <f>H12/(1+$B$5)</f>
        <v>12.727272727272727</v>
      </c>
      <c r="I41" s="17">
        <f>I12/(1+$B$5)</f>
        <v>12.272727272727272</v>
      </c>
      <c r="J41" s="17">
        <f>J12/(1+$B$5)</f>
        <v>11.363636363636363</v>
      </c>
      <c r="K41" s="17">
        <f>K12/(1+$B$5)</f>
        <v>14.09090909090909</v>
      </c>
      <c r="L41" s="17">
        <f>L12/(1+$B$5)</f>
        <v>13.18181818181818</v>
      </c>
    </row>
    <row r="42">
      <c r="A42" s="11" t="inlineStr">
        <is>
          <t>FOOD COST (%)</t>
        </is>
      </c>
      <c r="E42" s="29">
        <f>E40/E41</f>
        <v>0.14556178973502545</v>
      </c>
      <c r="F42" s="29">
        <f>F40/F41</f>
        <v>0.06564220018615968</v>
      </c>
      <c r="G42" s="29">
        <f>G40/G41</f>
        <v>0.1784460149986242</v>
      </c>
      <c r="H42" s="29">
        <f>H40/H41</f>
        <v>0.16742568094477772</v>
      </c>
      <c r="I42" s="29">
        <f>I40/I41</f>
        <v>0.1557943816225308</v>
      </c>
      <c r="J42" s="29">
        <f>J40/J41</f>
        <v>0.16781833376805638</v>
      </c>
      <c r="K42" s="29">
        <f>K40/K41</f>
        <v>0.20625017222328673</v>
      </c>
      <c r="L42" s="29">
        <f>L40/L41</f>
        <v>0.1587283157255865</v>
      </c>
    </row>
    <row r="43" ht="32" customHeight="1">
      <c r="A43" s="4" t="inlineStr">
        <is>
          <t>Semáforo contra el objetivo</t>
        </is>
      </c>
      <c r="E43" s="2" t="str">
        <f>IF(E42&lt;=$B$6,"En objetivo",IF(E42&lt;=$B$6+$B$7,"Vigila el coste","Por encima del objetivo"))</f>
        <v>En objetivo</v>
      </c>
      <c r="F43" s="2" t="str">
        <f>IF(F42&lt;=$B$6,"En objetivo",IF(F42&lt;=$B$6+$B$7,"Vigila el coste","Por encima del objetivo"))</f>
        <v>En objetivo</v>
      </c>
      <c r="G43" s="2" t="str">
        <f>IF(G42&lt;=$B$6,"En objetivo",IF(G42&lt;=$B$6+$B$7,"Vigila el coste","Por encima del objetivo"))</f>
        <v>En objetivo</v>
      </c>
      <c r="H43" s="2" t="str">
        <f>IF(H42&lt;=$B$6,"En objetivo",IF(H42&lt;=$B$6+$B$7,"Vigila el coste","Por encima del objetivo"))</f>
        <v>En objetivo</v>
      </c>
      <c r="I43" s="2" t="str">
        <f>IF(I42&lt;=$B$6,"En objetivo",IF(I42&lt;=$B$6+$B$7,"Vigila el coste","Por encima del objetivo"))</f>
        <v>En objetivo</v>
      </c>
      <c r="J43" s="2" t="str">
        <f>IF(J42&lt;=$B$6,"En objetivo",IF(J42&lt;=$B$6+$B$7,"Vigila el coste","Por encima del objetivo"))</f>
        <v>En objetivo</v>
      </c>
      <c r="K43" s="2" t="str">
        <f>IF(K42&lt;=$B$6,"En objetivo",IF(K42&lt;=$B$6+$B$7,"Vigila el coste","Por encima del objetivo"))</f>
        <v>En objetivo</v>
      </c>
      <c r="L43" s="2" t="str">
        <f>IF(L42&lt;=$B$6,"En objetivo",IF(L42&lt;=$B$6+$B$7,"Vigila el coste","Por encima del objetivo"))</f>
        <v>En objetivo</v>
      </c>
    </row>
    <row r="44">
      <c r="A44" s="4" t="inlineStr">
        <is>
          <t>Margen por pizza (€, precio sin IVA − coste)</t>
        </is>
      </c>
      <c r="E44" s="17">
        <f>E41-E40</f>
        <v>7.76762009331795</v>
      </c>
      <c r="F44" s="17">
        <f>F41-F40</f>
        <v>8.069453725664983</v>
      </c>
      <c r="G44" s="17">
        <f>G41-G40</f>
        <v>9.335840738651997</v>
      </c>
      <c r="H44" s="17">
        <f>H41-H40</f>
        <v>10.596400424339192</v>
      </c>
      <c r="I44" s="17">
        <f>I41-I40</f>
        <v>10.360705316450758</v>
      </c>
      <c r="J44" s="17">
        <f>J41-J40</f>
        <v>9.456609843544813</v>
      </c>
      <c r="K44" s="17">
        <f>K41-K40</f>
        <v>11.184656664126413</v>
      </c>
      <c r="L44" s="17">
        <f>L41-L40</f>
        <v>11.089490383617267</v>
      </c>
    </row>
    <row r="45">
      <c r="A45" s="4" t="inlineStr">
        <is>
          <t>PVP con IVA para llegar al objetivo (€)</t>
        </is>
      </c>
      <c r="E45" s="17">
        <f>E40/$B$6*(1+$B$5)</f>
        <v>5.822471589401018</v>
      </c>
      <c r="F45" s="17">
        <f>F40/$B$6*(1+$B$5)</f>
        <v>2.4944036070740676</v>
      </c>
      <c r="G45" s="17">
        <f>G40/$B$6*(1+$B$5)</f>
        <v>8.92230074993121</v>
      </c>
      <c r="H45" s="17">
        <f>H40/$B$6*(1+$B$5)</f>
        <v>9.375838132907552</v>
      </c>
      <c r="I45" s="17">
        <f>I40/$B$6*(1+$B$5)</f>
        <v>8.412896607616663</v>
      </c>
      <c r="J45" s="17">
        <f>J40/$B$6*(1+$B$5)</f>
        <v>8.39091668840282</v>
      </c>
      <c r="K45" s="17">
        <f>K40/$B$6*(1+$B$5)</f>
        <v>12.787510677843779</v>
      </c>
      <c r="L45" s="17">
        <f>L40/$B$6*(1+$B$5)</f>
        <v>9.206242312084015</v>
      </c>
    </row>
    <row r="46">
      <c r="A46" s="4" t="inlineStr">
        <is>
          <t>Coste para llevar: pizza + caja (€)</t>
        </is>
      </c>
      <c r="E46" s="28">
        <f>E40+$B$8</f>
        <v>2.32328899759114</v>
      </c>
      <c r="F46" s="28">
        <f>F40+$B$8</f>
        <v>1.5669099106986517</v>
      </c>
      <c r="G46" s="28">
        <f>G40+$B$8</f>
        <v>3.027795624984366</v>
      </c>
      <c r="H46" s="28">
        <f>H40+$B$8</f>
        <v>3.1308723029335344</v>
      </c>
      <c r="I46" s="28">
        <f>I40+$B$8</f>
        <v>2.912021956276514</v>
      </c>
      <c r="J46" s="28">
        <f>J40+$B$8</f>
        <v>2.9070265200915495</v>
      </c>
      <c r="K46" s="28">
        <f>K40+$B$8</f>
        <v>3.9062524267826766</v>
      </c>
      <c r="L46" s="28">
        <f>L40+$B$8</f>
        <v>3.0923277982009125</v>
      </c>
    </row>
    <row r="47">
      <c r="A47" s="4" t="inlineStr">
        <is>
          <t>Food cost para llevar con la caja (%)</t>
        </is>
      </c>
      <c r="E47" s="15">
        <f>E46/E41</f>
        <v>0.25556178973502547</v>
      </c>
      <c r="F47" s="15">
        <f>F46/F41</f>
        <v>0.18143167387037024</v>
      </c>
      <c r="G47" s="15">
        <f>G46/G41</f>
        <v>0.2664460149986242</v>
      </c>
      <c r="H47" s="15">
        <f>H46/H41</f>
        <v>0.2459971095162063</v>
      </c>
      <c r="I47" s="15">
        <f>I46/I41</f>
        <v>0.23727586310401227</v>
      </c>
      <c r="J47" s="15">
        <f>J46/J41</f>
        <v>0.25581833376805635</v>
      </c>
      <c r="K47" s="15">
        <f>K46/K41</f>
        <v>0.2772179141587706</v>
      </c>
      <c r="L47" s="15">
        <f>L46/L41</f>
        <v>0.23459038469110374</v>
      </c>
    </row>
    <row r="48" ht="34" customHeight="1">
      <c r="A48" s="30" t="inlineStr">
        <is>
          <t>El food cost de la tabla es el de la pizza servida en sala. Para llevar se suma la caja al coste y el precio de carta es el mismo; si cobras más por llevar o a domicilio, cambia el precio de la pizza para ver el efecto. No incluye la comisión de la plataforma de reparto, que se descuenta del precio, no del coste de la pizza.</t>
        </is>
      </c>
    </row>
  </sheetData>
  <sheetProtection selectLockedCells="0" selectUnlockedCells="0" sheet="1" objects="0" insertRows="1" insertHyperlinks="1" autoFilter="1" scenarios="0" formatColumns="1" deleteColumns="1" insertColumns="1" pivotTables="1" deleteRows="1" formatCells="1" formatRows="1" sort="1"/>
  <mergeCells count="7">
    <mergeCell ref="E7:M7"/>
    <mergeCell ref="E5:M5"/>
    <mergeCell ref="A48:M48"/>
    <mergeCell ref="E9:M9"/>
    <mergeCell ref="E8:M8"/>
    <mergeCell ref="A2:M2"/>
    <mergeCell ref="E6:M6"/>
  </mergeCells>
  <conditionalFormatting sqref="E43:L43">
    <cfRule type="expression" priority="1" dxfId="0">
      <formula>E43="En objetivo"</formula>
    </cfRule>
    <cfRule type="expression" priority="2" dxfId="2">
      <formula>E43="Vigila el coste"</formula>
    </cfRule>
    <cfRule type="expression" priority="3" dxfId="1">
      <formula>E43="Por encima del objetivo"</formula>
    </cfRule>
  </conditionalFormatting>
  <dataValidations count="3">
    <dataValidation sqref="B5 B6 B7 C13 C14 C15 C16 C17 C18 C19 C20 C21 C22 C23 C24 C25 C26 C27 C28 C29 C30 C31 C32 C33 C34" showDropDown="0" showInputMessage="0" showErrorMessage="1" allowBlank="0" errorTitle="Porcentaje no válido" error="Escribe un porcentaje entre 0 y 0,9 (0,1 = 10 %)." type="decimal" operator="between">
      <formula1>0</formula1>
      <formula2>0.9</formula2>
    </dataValidation>
    <dataValidation sqref="B8 B13 B14 B15 B16 B17 B18 B19 B20 B21 B22 B23 B24 B25 B26 B27 B28 B29 B30 B31 B32 B33 B34 E12 E13 E14 E15 E16 E17 E18 E19 E20 E21 E22 E23 E24 E25 E26 E27 E28 E29 E30 E31 E32 E33 E34 F12 F13 F14 F15 F16 F17 F18 F19 F20 F21 F22 F23 F24 F25 F26 F27 F28 F29 F30 F31 F32 F33 F34 G12 G13 G14 G15 G16 G17 G18 G19 G20 G21 G22 G23 G24 G25 G26 G27 G28 G29 G30 G31 G32 G33 G34 H12 H13 H14 H15 H16 H17 H18 H19 H20 H21 H22 H23 H24 H25 H26 H27 H28 H29 H30 H31 H32 H33 H34 I12 I13 I14 I15 I16 I17 I18 I19 I20 I21 I22 I23 I24 I25 I26 I27 I28 I29 I30 I31 I32 I33 I34 J12 J13 J14 J15 J16 J17 J18 J19 J20 J21 J22 J23 J24 J25 J26 J27 J28 J29 J30 J31 J32 J33 J34 K12 K13 K14 K15 K16 K17 K18 K19 K20 K21 K22 K23 K24 K25 K26 K27 K28 K29 K30 K31 K32 K33 K34 L12 L13 L14 L15 L16 L17 L18 L19 L20 L21 L22 L23 L24 L25 L26 L27 L28 L29 L30 L31 L32 L33 L34" showDropDown="0" showInputMessage="0" showErrorMessage="1" allowBlank="0" errorTitle="Importe no válido" error="Escribe un número mayor o igual que 0." type="decimal" operator="greaterThanOrEqual">
      <formula1>0</formula1>
    </dataValidation>
    <dataValidation sqref="B6" showDropDown="0" showInputMessage="0" showErrorMessage="1" allowBlank="0" errorTitle="Objetivo no válido" error="El objetivo no puede ser 0 (se divide entre él): escribe entre 0,01 y 0,9." type="decimal" operator="between">
      <formula1>0.01</formula1>
      <formula2>0.9</formula2>
    </dataValidation>
  </dataValidations>
  <printOptions horizontalCentered="1"/>
  <pageMargins left="0.75" right="0.75" top="1" bottom="1" header="0.5" footer="0.5"/>
  <pageSetup orientation="landscape" paperSize="9" fitToHeight="0" fitToWidth="1"/>
  <headerFooter>
    <oddHeader/>
    <oddFooter>&amp;Caichef.pro/plan-negocio-pizzeria · página &amp;P de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A27"/>
  <sheetViews>
    <sheetView showGridLines="0" workbookViewId="0">
      <selection activeCell="A1" sqref="A1"/>
    </sheetView>
  </sheetViews>
  <sheetFormatPr baseColWidth="8" defaultRowHeight="15"/>
  <cols>
    <col width="110" customWidth="1" min="1" max="1"/>
  </cols>
  <sheetData>
    <row r="1">
      <c r="A1" s="31" t="inlineStr">
        <is>
          <t>INSTRUCCIONES DE USO — Calculadora de masa y escandallo por pizza</t>
        </is>
      </c>
    </row>
    <row r="2" ht="45" customHeight="1">
      <c r="A2" s="2" t="inlineStr">
        <is>
          <t>Dos herramientas en un libro: la hoja «Masa» te dice cuánta harina, agua, sal y levadura necesitas para el número de bolas que vas a preparar y cuánto cuesta cada bola; la hoja «Escandallo» calcula el coste de 8 pizzas de ejemplo, su food cost, su margen y el precio de carta que necesitas. Solo se escribe en las celdas VERDES; lo demás se calcula.</t>
        </is>
      </c>
    </row>
    <row r="3">
      <c r="A3" s="19" t="inlineStr">
        <is>
          <t>AVISO SOBRE EL NOMBRE</t>
        </is>
      </c>
    </row>
    <row r="5" ht="75" customHeight="1">
      <c r="A5" s="2" t="inlineStr">
        <is>
          <t>AVISO FIJO. El semáforo de esta hoja solo dice si tus gramajes caben en los del pliego de la Especialidad Tradicional Garantizada (ETG): NO convierte tu pizza en «pizza napolitana». Ese nombre está reservado desde 2022 (Reglamento de Ejecución (UE) 2022/2313) y solo puede usarlo quien cumple TODO el pliego (incluido el horno de leña) y pasa la verificación oficial (Reglamento (UE) 2024/1143, arts. 72 y 73). La asociación AVPN es privada y no sustituye esa verificación. Mientras no la tengas, pon en la carta el nombre de la receta (Margherita, Marinara…).</t>
        </is>
      </c>
    </row>
    <row r="6">
      <c r="A6" s="19" t="inlineStr">
        <is>
          <t>HOJA «MASA»</t>
        </is>
      </c>
    </row>
    <row r="8" ht="60" customHeight="1">
      <c r="A8" s="2" t="inlineStr">
        <is>
          <t>1. Bloque A (por litro de agua): escribe cuántas bolas quieres, su peso y la merma de amasado. Las cantidades por litro vienen del pliego de la Especialidad Tradicional Garantizada (Reglamento (UE) n.º 97/2010, anexo II): hasta 1.800 g de harina, 50 a 55 g de sal y 3 g de levadura de cerveza por litro de agua, con bolas de 180 a 250 g. El rango del pliego aparece en gris al lado.</t>
        </is>
      </c>
    </row>
    <row r="9" ht="45" customHeight="1">
      <c r="A9" s="2" t="inlineStr">
        <is>
          <t>2. El semáforo del bloque A dice si la harina, la sal y el peso de la bola caben en esos rangos. Verde no significa «pizza napolitana»: el pliego exige además fermentación en ciclo continuo, formado a mano y horno de leña, y la verificación oficial.</t>
        </is>
      </c>
    </row>
    <row r="10" ht="45" customHeight="1">
      <c r="A10" s="2" t="inlineStr">
        <is>
          <t>3. Bloque B (por % panadero): escribe la hidratación, la sal y la levadura como porcentaje del peso de la harina, que es como trabaja el oficio. Usa la misma masa total que el bloque A. Si le pones los porcentajes que el bloque A calcula, obtienes lo mismo.</t>
        </is>
      </c>
    </row>
    <row r="11" ht="16" customHeight="1">
      <c r="A11" s="2" t="inlineStr">
        <is>
          <t>4. Abajo eliges qué coste de masa por bola alimenta el escandallo: el del pliego (A) o el de tus porcentajes (B).</t>
        </is>
      </c>
    </row>
    <row r="12">
      <c r="A12" s="19" t="inlineStr">
        <is>
          <t>HOJA «ESCANDALLO»</t>
        </is>
      </c>
    </row>
    <row r="14" ht="16" customHeight="1">
      <c r="A14" s="2" t="inlineStr">
        <is>
          <t>1. Escribe el IVA (10 %), el food cost objetivo, el margen de vigilancia y el coste de la caja para llevar.</t>
        </is>
      </c>
    </row>
    <row r="15" ht="45" customHeight="1">
      <c r="A15" s="2" t="inlineStr">
        <is>
          <t>2. En la tabla, cada fila es un ingrediente con su precio por kilo sin IVA y su merma (la parte que se pierde al limpiar o recortar). El precio neto por kilo divide el precio entre (1 − merma). Los gramos de cada pizza van en su columna; puedes cambiar los nombres, los gramos y los precios de carta, y usar las filas libres para tus propios ingredientes.</t>
        </is>
      </c>
    </row>
    <row r="16" ht="30" customHeight="1">
      <c r="A16" s="2" t="inlineStr">
        <is>
          <t>3. Para cada pizza ves el coste (masa + ingredientes), el precio sin IVA, el food cost con semáforo, el margen por pizza, el precio de carta con IVA que necesitarías para llegar a tu objetivo y el food cost para llevar con la caja.</t>
        </is>
      </c>
    </row>
    <row r="17" ht="30" customHeight="1">
      <c r="A17" s="2" t="inlineStr">
        <is>
          <t>4. La Margherita de ejemplo queda aproximadamente un 15 % de food cost. Con búfala, embutidos italianos o fiambres, sube. Si una pizza sale por encima del objetivo, sube el precio, baja el gramaje o cambia un ingrediente.</t>
        </is>
      </c>
    </row>
    <row r="18">
      <c r="A18" s="19" t="inlineStr">
        <is>
          <t>PRECIOS Y FUENTES</t>
        </is>
      </c>
    </row>
    <row r="20" ht="60" customHeight="1">
      <c r="A20" s="2" t="inlineStr">
        <is>
          <t>Los precios por defecto son ejemplos. Los marcados como «research» salen del estudio de mercado del kit (octubre 2026: harina de pizzería, fior di latte y tomate pelado de catálogos de mayoristas, aceite de oferta, caja de 33 cm); el resto son estimaciones del kit. Cámbialos por los de tu proveedor antes de decidir precios. El precio de carta de ejemplo (9,50 a 15,50 €, Margherita a 10 €) es el del caso del plan de negocio.</t>
        </is>
      </c>
    </row>
    <row r="21" ht="45" customHeight="1">
      <c r="A21" s="2" t="inlineStr">
        <is>
          <t>El IVA de la comida preparada para consumir en el local, para llevar o a domicilio es el 10 % (Ley 37/1992, art. 91.Uno.2.2.º). Las bebidas alcohólicas y los refrescos con azúcar que salen del local llevan el 21 % y no están en este escandallo.</t>
        </is>
      </c>
    </row>
    <row r="22" ht="45" customHeight="1">
      <c r="A22" s="2" t="inlineStr">
        <is>
          <t>Fuentes: pliego de condiciones de la ETG «Pizza Napoletana» (Reglamento (UE) n.º 97/2010, anexo II); Reglamento de Ejecución (UE) 2022/2313; Reglamento (UE) 2024/1143, arts. 68 a 73; Ley 37/1992 del IVA, art. 91; research del producto (octubre 2026).</t>
        </is>
      </c>
    </row>
    <row r="24">
      <c r="A24" s="2" t="inlineStr">
        <is>
          <t>Para editar una celda que no esté en verde: Revisar → Desproteger hoja (no tiene contraseña).</t>
        </is>
      </c>
    </row>
    <row r="25">
      <c r="A25" s="2" t="inlineStr">
        <is>
          <t>Más plantillas y kits del catálogo en aichef.pro/productos-digitales</t>
        </is>
      </c>
    </row>
    <row r="26">
      <c r="A26" s="2" t="inlineStr">
        <is>
          <t>Diseñado por John Guerrero — chef y consultor gastronómico desde 2010, en cocina desde los 17 años · johnguerrero.es</t>
        </is>
      </c>
    </row>
    <row r="27">
      <c r="A27" s="2" t="inlineStr">
        <is>
          <t>Versión 1.0 · octubre 2026 · aichef.pro/plan-negocio-pizzeria · info@aichef.pro</t>
        </is>
      </c>
    </row>
  </sheetData>
  <sheetProtection selectLockedCells="0" selectUnlockedCells="0" sheet="1" objects="0" insertRows="1" insertHyperlinks="1" autoFilter="1" scenarios="0" formatColumns="1" deleteColumns="1" insertColumns="1" pivotTables="1" deleteRows="1" formatCells="1" formatRows="1" sort="1"/>
  <printOptions horizontalCentered="1"/>
  <pageMargins left="0.75" right="0.75" top="1" bottom="1" header="0.5" footer="0.5"/>
  <pageSetup orientation="portrait" paperSize="9" fitToHeight="0" fitToWidth="1"/>
  <headerFooter>
    <oddHeader/>
    <oddFooter>&amp;Caichef.pro/plan-negocio-pizzeria · página &amp;P de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Calculadora de masa y escandallo por pizza · v1.0</dc:title>
  <dc:description xmlns:dc="http://purl.org/dc/elements/1.1/">aichef.pro/plan-negocio-pizzeria</dc:description>
  <dc:subject xmlns:dc="http://purl.org/dc/elements/1.1/">Plan de Negocio: Pizzería Napolitana</dc:subject>
  <dcterms:created xmlns:dcterms="http://purl.org/dc/terms/" xmlns:xsi="http://www.w3.org/2001/XMLSchema-instance" xsi:type="dcterms:W3CDTF">2026-10-25T18:35:07Z</dcterms:created>
  <dcterms:modified xmlns:dcterms="http://purl.org/dc/terms/" xmlns:xsi="http://www.w3.org/2001/XMLSchema-instance" xsi:type="dcterms:W3CDTF">2026-10-25T18:35:08Z</dcterms:modified>
  <cp:lastModifiedBy>AI Chef Pro</cp:lastModifiedBy>
  <cp:keywords>plan negocio pizzería, calculadora masa pizza, escandallo pizza, AI Chef Pro</cp:keywords>
</cp:coreProperties>
</file>