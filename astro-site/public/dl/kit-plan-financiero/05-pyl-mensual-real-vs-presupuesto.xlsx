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ne" sheetId="2" state="visible" r:id="rId2"/>
    <sheet xmlns:r="http://schemas.openxmlformats.org/officeDocument/2006/relationships" name="Feb" sheetId="3" state="visible" r:id="rId3"/>
    <sheet xmlns:r="http://schemas.openxmlformats.org/officeDocument/2006/relationships" name="Mar" sheetId="4" state="visible" r:id="rId4"/>
    <sheet xmlns:r="http://schemas.openxmlformats.org/officeDocument/2006/relationships" name="Abr" sheetId="5" state="visible" r:id="rId5"/>
    <sheet xmlns:r="http://schemas.openxmlformats.org/officeDocument/2006/relationships" name="May" sheetId="6" state="visible" r:id="rId6"/>
    <sheet xmlns:r="http://schemas.openxmlformats.org/officeDocument/2006/relationships" name="Jun" sheetId="7" state="visible" r:id="rId7"/>
    <sheet xmlns:r="http://schemas.openxmlformats.org/officeDocument/2006/relationships" name="Jul" sheetId="8" state="visible" r:id="rId8"/>
    <sheet xmlns:r="http://schemas.openxmlformats.org/officeDocument/2006/relationships" name="Ago" sheetId="9" state="visible" r:id="rId9"/>
    <sheet xmlns:r="http://schemas.openxmlformats.org/officeDocument/2006/relationships" name="Sep" sheetId="10" state="visible" r:id="rId10"/>
    <sheet xmlns:r="http://schemas.openxmlformats.org/officeDocument/2006/relationships" name="Oct" sheetId="11" state="visible" r:id="rId11"/>
    <sheet xmlns:r="http://schemas.openxmlformats.org/officeDocument/2006/relationships" name="Nov" sheetId="12" state="visible" r:id="rId12"/>
    <sheet xmlns:r="http://schemas.openxmlformats.org/officeDocument/2006/relationships" name="Dic" sheetId="13" state="visible" r:id="rId13"/>
    <sheet xmlns:r="http://schemas.openxmlformats.org/officeDocument/2006/relationships" name="Resumen Anual" sheetId="14" state="visible" r:id="rId14"/>
  </sheets>
  <definedNames>
    <definedName name="_xlnm.Print_Titles" localSheetId="1">'Ene'!$4:$4</definedName>
    <definedName name="_xlnm.Print_Titles" localSheetId="2">'Feb'!$4:$4</definedName>
    <definedName name="_xlnm.Print_Titles" localSheetId="3">'Mar'!$4:$4</definedName>
    <definedName name="_xlnm.Print_Titles" localSheetId="4">'Abr'!$4:$4</definedName>
    <definedName name="_xlnm.Print_Titles" localSheetId="5">'May'!$4:$4</definedName>
    <definedName name="_xlnm.Print_Titles" localSheetId="6">'Jun'!$4:$4</definedName>
    <definedName name="_xlnm.Print_Titles" localSheetId="7">'Jul'!$4:$4</definedName>
    <definedName name="_xlnm.Print_Titles" localSheetId="8">'Ago'!$4:$4</definedName>
    <definedName name="_xlnm.Print_Titles" localSheetId="9">'Sep'!$4:$4</definedName>
    <definedName name="_xlnm.Print_Titles" localSheetId="10">'Oct'!$4:$4</definedName>
    <definedName name="_xlnm.Print_Titles" localSheetId="11">'Nov'!$4:$4</definedName>
    <definedName name="_xlnm.Print_Titles" localSheetId="12">'Dic'!$4:$4</definedName>
    <definedName name="_xlnm.Print_Titles" localSheetId="13">'Resumen Anual'!$4:$4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0.0%"/>
    <numFmt numFmtId="166" formatCode="0.0&quot; p.p.&quot;"/>
  </numFmts>
  <fonts count="15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i val="1"/>
      <color rgb="00888888"/>
      <sz val="11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1565C0"/>
      <sz val="11"/>
    </font>
    <font>
      <name val="Calibri"/>
      <b val="1"/>
      <sz val="11"/>
    </font>
    <font>
      <name val="Calibri"/>
      <color rgb="001565C0"/>
      <sz val="11"/>
    </font>
    <font>
      <name val="Calibri"/>
      <color rgb="00999999"/>
      <sz val="9"/>
    </font>
    <font>
      <sz val="8"/>
    </font>
    <font>
      <b val="1"/>
    </font>
  </fonts>
  <fills count="5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1" pivotButton="0" quotePrefix="0" xfId="0"/>
    <xf numFmtId="164" fontId="8" fillId="3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165" fontId="9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 wrapText="1"/>
    </xf>
    <xf numFmtId="0" fontId="10" fillId="0" borderId="1" pivotButton="0" quotePrefix="0" xfId="0"/>
    <xf numFmtId="164" fontId="10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5" fontId="11" fillId="0" borderId="1" applyAlignment="1" pivotButton="0" quotePrefix="0" xfId="0">
      <alignment horizontal="right" vertical="center"/>
    </xf>
    <xf numFmtId="0" fontId="12" fillId="0" borderId="0" pivotButton="0" quotePrefix="0" xfId="0"/>
    <xf numFmtId="164" fontId="8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164" fontId="8" fillId="3" borderId="1" applyAlignment="1" applyProtection="1" pivotButton="0" quotePrefix="0" xfId="0">
      <alignment horizontal="right" vertical="center"/>
      <protection locked="0" hidden="0"/>
    </xf>
    <xf numFmtId="164" fontId="8" fillId="4" borderId="1" applyAlignment="1" applyProtection="1" pivotButton="0" quotePrefix="0" xfId="0">
      <alignment horizontal="right" vertical="center"/>
      <protection locked="0" hidden="0"/>
    </xf>
    <xf numFmtId="165" fontId="10" fillId="0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right" vertical="center"/>
    </xf>
    <xf numFmtId="166" fontId="9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0" fontId="13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4" fillId="0" borderId="0" pivotButton="0" quotePrefix="0" xfId="0"/>
    <xf numFmtId="165" fontId="0" fillId="4" borderId="0" applyProtection="1" pivotButton="0" quotePrefix="0" xfId="0">
      <protection locked="0" hidden="0"/>
    </xf>
    <xf numFmtId="166" fontId="0" fillId="4" borderId="0" applyProtection="1" pivotButton="0" quotePrefix="0" xfId="0">
      <protection locked="0" hidden="0"/>
    </xf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Ingresos previstos vs reales por 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 Anual'!A5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 Anual'!$B$4:$M$4</f>
            </numRef>
          </cat>
          <val>
            <numRef>
              <f>'Resumen Anual'!$B$5:$M$5</f>
            </numRef>
          </val>
        </ser>
        <ser>
          <idx val="1"/>
          <order val="1"/>
          <tx>
            <strRef>
              <f>'Resumen Anual'!A6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 Anual'!$B$4:$M$4</f>
            </numRef>
          </cat>
          <val>
            <numRef>
              <f>'Resumen Anual'!$B$6:$M$6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26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6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/>
    <row r="2">
      <c r="B2" s="1" t="inlineStr">
        <is>
          <t>05 · P&amp;L Mensual — Real vs Presupuesto</t>
        </is>
      </c>
    </row>
    <row r="3"/>
    <row r="4">
      <c r="B4" s="2" t="inlineStr">
        <is>
          <t>AI Chef Pro · aichef.pro — Kit Plan Financiero para Restaurantes</t>
        </is>
      </c>
    </row>
    <row r="5"/>
    <row r="6">
      <c r="B6" s="3" t="inlineStr">
        <is>
          <t>Cómo usar esta plantilla:</t>
        </is>
      </c>
    </row>
    <row r="7">
      <c r="B7" s="4" t="inlineStr">
        <is>
          <t>▸ Cada mes tiene su pestaña con columnas: Presupuesto, Real, Desviación €, Desviación %.</t>
        </is>
      </c>
    </row>
    <row r="8">
      <c r="B8" s="4" t="inlineStr">
        <is>
          <t>▸ El semáforo va CON SIGNO: en ingresos y EBITDA avisa cuando te quedas corto; en gastos, cuando te pasas. Los umbrales son editables en «Resumen Anual» (B22:B25).</t>
        </is>
      </c>
    </row>
    <row r="9">
      <c r="B9" s="4" t="inlineStr">
        <is>
          <t>▸ Food Cost % se mide sobre las ventas de comida (total menos barra) y Beverage Cost % sobre las de barra.</t>
        </is>
      </c>
    </row>
    <row r="10">
      <c r="B10" s="4" t="inlineStr">
        <is>
          <t>▸ La pestaña Resumen consolida los 12 meses.</t>
        </is>
      </c>
    </row>
    <row r="11">
      <c r="B11" s="4" t="inlineStr">
        <is>
          <t>▸ El estado «—» significa que ese mes todavía no tiene presupuesto: el semáforo no opina hasta que lo pongas.</t>
        </is>
      </c>
    </row>
    <row r="12">
      <c r="B12" s="4" t="n"/>
    </row>
    <row r="13">
      <c r="B13" s="19" t="inlineStr">
        <is>
          <t>Todas las cifras van SIN IVA; en el 03 (tesorería) van CON IVA porque es caja.</t>
        </is>
      </c>
    </row>
    <row r="14">
      <c r="B14" s="19" t="inlineStr">
        <is>
          <t>Para editar una celda que no esté en verde: Revisar → Desproteger hoja (no tiene contraseña).</t>
        </is>
      </c>
    </row>
    <row r="15">
      <c r="B15" s="19" t="inlineStr">
        <is>
          <t>Diseñado por John Guerrero — chef y consultor gastronómico desde 2010, en cocina desde los 17 años · johnguerrero.es</t>
        </is>
      </c>
    </row>
    <row r="16">
      <c r="B16" s="19" t="inlineStr">
        <is>
          <t>Versión 2.0 · agosto 2026 · aichef.pro/kit-plan-financiero · info@aichef.pro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F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>
      <c r="A1" s="5" t="inlineStr">
        <is>
          <t>P&amp;L Ene — Real vs Presupuesto</t>
        </is>
      </c>
    </row>
    <row r="2">
      <c r="A2" s="2" t="inlineStr">
        <is>
          <t>AI Chef Pro · aichef.pro — Kit Plan Financiero para Restaurantes</t>
        </is>
      </c>
    </row>
    <row r="3"/>
    <row r="4">
      <c r="A4" s="6" t="inlineStr">
        <is>
          <t>Concepto</t>
        </is>
      </c>
      <c r="B4" s="6" t="inlineStr">
        <is>
          <t>Presupuesto (€)</t>
        </is>
      </c>
      <c r="C4" s="6" t="inlineStr">
        <is>
          <t>Real (€)</t>
        </is>
      </c>
      <c r="D4" s="6" t="inlineStr">
        <is>
          <t>Desviación (€)</t>
        </is>
      </c>
      <c r="E4" s="6" t="inlineStr">
        <is>
          <t>Desviación %</t>
        </is>
      </c>
      <c r="F4" s="6" t="inlineStr">
        <is>
          <t>Semáforo</t>
        </is>
      </c>
    </row>
    <row r="5">
      <c r="A5" s="7" t="inlineStr">
        <is>
          <t>INGRESOS</t>
        </is>
      </c>
    </row>
    <row r="6">
      <c r="A6" s="8" t="inlineStr">
        <is>
          <t>Ventas Comedor (sin IVA)</t>
        </is>
      </c>
      <c r="B6" s="20" t="n">
        <v>0</v>
      </c>
      <c r="C6" s="20" t="n">
        <v>0</v>
      </c>
      <c r="D6" s="10">
        <f>C6-B6</f>
        <v>0.0</v>
      </c>
      <c r="E6" s="11">
        <f>IF($B6=0,"",IFERROR(($C6-$B6)/$B6,""))</f>
        <v/>
      </c>
      <c r="F6" s="12" t="str">
        <f>IFERROR(IF(ISNUMBER($E6),IF($E6&gt;=-'Resumen Anual'!$B$22,"✅ OK",IF($E6&gt;=-'Resumen Anual'!$B$23,"⚠️ Atención","🔴 Alerta")),"—"),"—")</f>
        <v>—</v>
      </c>
    </row>
    <row r="7">
      <c r="A7" s="8" t="inlineStr">
        <is>
          <t>Ventas Barra (sin IVA)</t>
        </is>
      </c>
      <c r="B7" s="20" t="n">
        <v>0</v>
      </c>
      <c r="C7" s="20" t="n">
        <v>0</v>
      </c>
      <c r="D7" s="10">
        <f>C7-B7</f>
        <v>0.0</v>
      </c>
      <c r="E7" s="11">
        <f>IF($B7=0,"",IFERROR(($C7-$B7)/$B7,""))</f>
        <v/>
      </c>
      <c r="F7" s="12" t="str">
        <f>IFERROR(IF(ISNUMBER($E7),IF($E7&gt;=-'Resumen Anual'!$B$22,"✅ OK",IF($E7&gt;=-'Resumen Anual'!$B$23,"⚠️ Atención","🔴 Alerta")),"—"),"—")</f>
        <v>—</v>
      </c>
    </row>
    <row r="8">
      <c r="A8" s="8" t="inlineStr">
        <is>
          <t>Ventas Delivery (sin IVA)</t>
        </is>
      </c>
      <c r="B8" s="20" t="n">
        <v>0</v>
      </c>
      <c r="C8" s="20" t="n">
        <v>0</v>
      </c>
      <c r="D8" s="10">
        <f>C8-B8</f>
        <v>0.0</v>
      </c>
      <c r="E8" s="11">
        <f>IF($B8=0,"",IFERROR(($C8-$B8)/$B8,""))</f>
        <v/>
      </c>
      <c r="F8" s="12" t="str">
        <f>IFERROR(IF(ISNUMBER($E8),IF($E8&gt;=-'Resumen Anual'!$B$22,"✅ OK",IF($E8&gt;=-'Resumen Anual'!$B$23,"⚠️ Atención","🔴 Alerta")),"—"),"—")</f>
        <v>—</v>
      </c>
    </row>
    <row r="9">
      <c r="A9" s="8" t="inlineStr">
        <is>
          <t>Eventos / Catering (sin IVA)</t>
        </is>
      </c>
      <c r="B9" s="20" t="n">
        <v>0</v>
      </c>
      <c r="C9" s="20" t="n">
        <v>0</v>
      </c>
      <c r="D9" s="10">
        <f>C9-B9</f>
        <v>0.0</v>
      </c>
      <c r="E9" s="11">
        <f>IF($B9=0,"",IFERROR(($C9-$B9)/$B9,""))</f>
        <v/>
      </c>
      <c r="F9" s="12" t="str">
        <f>IFERROR(IF(ISNUMBER($E9),IF($E9&gt;=-'Resumen Anual'!$B$22,"✅ OK",IF($E9&gt;=-'Resumen Anual'!$B$23,"⚠️ Atención","🔴 Alerta")),"—"),"—")</f>
        <v>—</v>
      </c>
    </row>
    <row r="10">
      <c r="A10" s="13" t="inlineStr">
        <is>
          <t>TOTAL INGRESOS (sin IVA)</t>
        </is>
      </c>
      <c r="B10" s="14">
        <f>B6+B7+B8+B9</f>
        <v>0.0</v>
      </c>
      <c r="C10" s="14">
        <f>C6+C7+C8+C9</f>
        <v>0.0</v>
      </c>
      <c r="D10" s="10">
        <f>C10-B10</f>
        <v>0.0</v>
      </c>
      <c r="E10" s="11">
        <f>IF($B10=0,"",IFERROR(($C10-$B10)/$B10,""))</f>
        <v/>
      </c>
      <c r="F10" s="12" t="str">
        <f>IFERROR(IF(ISNUMBER($E10),IF($E10&gt;=-'Resumen Anual'!$B$22,"✅ OK",IF($E10&gt;=-'Resumen Anual'!$B$23,"⚠️ Atención","🔴 Alerta")),"—"),"—")</f>
        <v>—</v>
      </c>
    </row>
    <row r="11"/>
    <row r="12">
      <c r="A12" s="7" t="inlineStr">
        <is>
          <t>GASTOS</t>
        </is>
      </c>
    </row>
    <row r="13">
      <c r="A13" s="8" t="inlineStr">
        <is>
          <t>Coste de comida (materia prima)</t>
        </is>
      </c>
      <c r="B13" s="21" t="n">
        <v>0</v>
      </c>
      <c r="C13" s="21" t="n">
        <v>0</v>
      </c>
      <c r="D13" s="10">
        <f>C13-B13</f>
        <v>0.0</v>
      </c>
      <c r="E13" s="11">
        <f>IF($B13=0,"",IFERROR(($C13-$B13)/$B13,""))</f>
        <v/>
      </c>
      <c r="F13" s="12" t="str">
        <f>IFERROR(IF(ISNUMBER($E13),IF($E13&lt;='Resumen Anual'!$B$22,"✅ OK",IF($E13&lt;='Resumen Anual'!$B$23,"⚠️ Atención","🔴 Alerta")),"—"),"—")</f>
        <v>—</v>
      </c>
    </row>
    <row r="14">
      <c r="A14" s="8" t="inlineStr">
        <is>
          <t>Coste de bebida (barra)</t>
        </is>
      </c>
      <c r="B14" s="21" t="n">
        <v>0</v>
      </c>
      <c r="C14" s="21" t="n">
        <v>0</v>
      </c>
      <c r="D14" s="10">
        <f>C14-B14</f>
        <v>0.0</v>
      </c>
      <c r="E14" s="11">
        <f>IF($B14=0,"",IFERROR(($C14-$B14)/$B14,""))</f>
        <v/>
      </c>
      <c r="F14" s="12" t="str">
        <f>IFERROR(IF(ISNUMBER($E14),IF($E14&lt;='Resumen Anual'!$B$22,"✅ OK",IF($E14&lt;='Resumen Anual'!$B$23,"⚠️ Atención","🔴 Alerta")),"—"),"—")</f>
        <v>—</v>
      </c>
    </row>
    <row r="15">
      <c r="A15" s="8" t="inlineStr">
        <is>
          <t>Personal (Labor)</t>
        </is>
      </c>
      <c r="B15" s="21" t="n">
        <v>0</v>
      </c>
      <c r="C15" s="21" t="n">
        <v>0</v>
      </c>
      <c r="D15" s="10">
        <f>C15-B15</f>
        <v>0.0</v>
      </c>
      <c r="E15" s="11">
        <f>IF($B15=0,"",IFERROR(($C15-$B15)/$B15,""))</f>
        <v/>
      </c>
      <c r="F15" s="12" t="str">
        <f>IFERROR(IF(ISNUMBER($E15),IF($E15&lt;='Resumen Anual'!$B$22,"✅ OK",IF($E15&lt;='Resumen Anual'!$B$23,"⚠️ Atención","🔴 Alerta")),"—"),"—")</f>
        <v>—</v>
      </c>
    </row>
    <row r="16">
      <c r="A16" s="8" t="inlineStr">
        <is>
          <t>Comisiones de plataformas (delivery)</t>
        </is>
      </c>
      <c r="B16" s="21" t="n">
        <v>0</v>
      </c>
      <c r="C16" s="21" t="n">
        <v>0</v>
      </c>
      <c r="D16" s="10">
        <f>C16-B16</f>
        <v>0.0</v>
      </c>
      <c r="E16" s="11">
        <f>IF($B16=0,"",IFERROR(($C16-$B16)/$B16,""))</f>
        <v/>
      </c>
      <c r="F16" s="12" t="str">
        <f>IFERROR(IF(ISNUMBER($E16),IF($E16&lt;='Resumen Anual'!$B$22,"✅ OK",IF($E16&lt;='Resumen Anual'!$B$23,"⚠️ Atención","🔴 Alerta")),"—"),"—")</f>
        <v>—</v>
      </c>
    </row>
    <row r="17">
      <c r="A17" s="8" t="inlineStr">
        <is>
          <t>Alquiler</t>
        </is>
      </c>
      <c r="B17" s="21" t="n">
        <v>0</v>
      </c>
      <c r="C17" s="21" t="n">
        <v>0</v>
      </c>
      <c r="D17" s="10">
        <f>C17-B17</f>
        <v>0.0</v>
      </c>
      <c r="E17" s="11">
        <f>IF($B17=0,"",IFERROR(($C17-$B17)/$B17,""))</f>
        <v/>
      </c>
      <c r="F17" s="12" t="str">
        <f>IFERROR(IF(ISNUMBER($E17),IF($E17&lt;='Resumen Anual'!$B$22,"✅ OK",IF($E17&lt;='Resumen Anual'!$B$23,"⚠️ Atención","🔴 Alerta")),"—"),"—")</f>
        <v>—</v>
      </c>
    </row>
    <row r="18">
      <c r="A18" s="8" t="inlineStr">
        <is>
          <t>Suministros</t>
        </is>
      </c>
      <c r="B18" s="21" t="n">
        <v>0</v>
      </c>
      <c r="C18" s="21" t="n">
        <v>0</v>
      </c>
      <c r="D18" s="10">
        <f>C18-B18</f>
        <v>0.0</v>
      </c>
      <c r="E18" s="11">
        <f>IF($B18=0,"",IFERROR(($C18-$B18)/$B18,""))</f>
        <v/>
      </c>
      <c r="F18" s="12" t="str">
        <f>IFERROR(IF(ISNUMBER($E18),IF($E18&lt;='Resumen Anual'!$B$22,"✅ OK",IF($E18&lt;='Resumen Anual'!$B$23,"⚠️ Atención","🔴 Alerta")),"—"),"—")</f>
        <v>—</v>
      </c>
    </row>
    <row r="19">
      <c r="A19" s="8" t="inlineStr">
        <is>
          <t>Marketing</t>
        </is>
      </c>
      <c r="B19" s="21" t="n">
        <v>0</v>
      </c>
      <c r="C19" s="21" t="n">
        <v>0</v>
      </c>
      <c r="D19" s="10">
        <f>C19-B19</f>
        <v>0.0</v>
      </c>
      <c r="E19" s="11">
        <f>IF($B19=0,"",IFERROR(($C19-$B19)/$B19,""))</f>
        <v/>
      </c>
      <c r="F19" s="12" t="str">
        <f>IFERROR(IF(ISNUMBER($E19),IF($E19&lt;='Resumen Anual'!$B$22,"✅ OK",IF($E19&lt;='Resumen Anual'!$B$23,"⚠️ Atención","🔴 Alerta")),"—"),"—")</f>
        <v>—</v>
      </c>
    </row>
    <row r="20">
      <c r="A20" s="8" t="inlineStr">
        <is>
          <t>Administración / Otros</t>
        </is>
      </c>
      <c r="B20" s="21" t="n">
        <v>0</v>
      </c>
      <c r="C20" s="21" t="n">
        <v>0</v>
      </c>
      <c r="D20" s="10">
        <f>C20-B20</f>
        <v>0.0</v>
      </c>
      <c r="E20" s="11">
        <f>IF($B20=0,"",IFERROR(($C20-$B20)/$B20,""))</f>
        <v/>
      </c>
      <c r="F20" s="12" t="str">
        <f>IFERROR(IF(ISNUMBER($E20),IF($E20&lt;='Resumen Anual'!$B$22,"✅ OK",IF($E20&lt;='Resumen Anual'!$B$23,"⚠️ Atención","🔴 Alerta")),"—"),"—")</f>
        <v>—</v>
      </c>
    </row>
    <row r="21">
      <c r="A21" s="13" t="inlineStr">
        <is>
          <t>TOTAL GASTOS</t>
        </is>
      </c>
      <c r="B21" s="14">
        <f>SUM(B13:B20)</f>
        <v>0.0</v>
      </c>
      <c r="C21" s="14">
        <f>SUM(C13:C20)</f>
        <v>0.0</v>
      </c>
      <c r="D21" s="14">
        <f>C21-B21</f>
        <v>0.0</v>
      </c>
      <c r="E21" s="22">
        <f>IF($B21=0,"",IFERROR(($C21-$B21)/$B21,""))</f>
        <v/>
      </c>
      <c r="F21" s="14" t="str">
        <f>IFERROR(IF(ISNUMBER($E21),IF($E21&lt;='Resumen Anual'!$B$22,"✅ OK",IF($E21&lt;='Resumen Anual'!$B$23,"⚠️ Atención","🔴 Alerta")),"—"),"—")</f>
        <v>—</v>
      </c>
    </row>
    <row r="22">
      <c r="A22" s="13" t="n"/>
      <c r="B22" s="23" t="n"/>
      <c r="C22" s="23" t="n"/>
    </row>
    <row r="23">
      <c r="A23" s="13" t="inlineStr">
        <is>
          <t>EBITDA</t>
        </is>
      </c>
      <c r="B23" s="14">
        <f>B10-B21</f>
        <v>0.0</v>
      </c>
      <c r="C23" s="14">
        <f>C10-C21</f>
        <v>0.0</v>
      </c>
      <c r="D23" s="14">
        <f>C23-B23</f>
        <v>0.0</v>
      </c>
      <c r="E23" s="22">
        <f>IF($B23=0,"",IFERROR(($C23-$B23)/ABS($B23),""))</f>
        <v/>
      </c>
      <c r="F23" s="14" t="str">
        <f>IFERROR(IF(ISNUMBER($E23),IF($E23&gt;=-'Resumen Anual'!$B$22,"✅ OK",IF($E23&gt;=-'Resumen Anual'!$B$23,"⚠️ Atención","🔴 Alerta")),"—"),"—")</f>
        <v>—</v>
      </c>
    </row>
    <row r="24">
      <c r="A24" s="8" t="inlineStr">
        <is>
          <t>Margen EBITDA %</t>
        </is>
      </c>
      <c r="B24" s="11">
        <f>IF(B10=0,"",B23/B10)</f>
        <v/>
      </c>
      <c r="C24" s="11">
        <f>IF(C10=0,"",C23/C10)</f>
        <v/>
      </c>
      <c r="D24" s="24">
        <f>IFERROR($C24-$B24,"")</f>
        <v/>
      </c>
      <c r="E24" s="25" t="inlineStr">
        <is>
          <t>p.p.</t>
        </is>
      </c>
      <c r="F24" s="12" t="str">
        <f>IFERROR(IF(ISNUMBER($D24),IF($D24&gt;=-'Resumen Anual'!$B$24,"✅ OK",IF($D24&gt;=-'Resumen Anual'!$B$25,"⚠️ Atención","🔴 Alerta")),"—"),"—")</f>
        <v>—</v>
      </c>
    </row>
    <row r="25">
      <c r="A25" s="8" t="n"/>
      <c r="B25" s="23" t="n"/>
      <c r="C25" s="23" t="n"/>
    </row>
    <row r="26">
      <c r="A26" s="7" t="inlineStr">
        <is>
          <t>RATIOS AUTOMÁTICOS</t>
        </is>
      </c>
      <c r="B26" s="23" t="n"/>
      <c r="C26" s="23" t="n"/>
    </row>
    <row r="27">
      <c r="A27" s="8" t="inlineStr">
        <is>
          <t>Food Cost % (sobre ventas de comida)</t>
        </is>
      </c>
      <c r="B27" s="11">
        <f>IF((B10-B7)&lt;=0,"",B13/(B10-B7))</f>
        <v/>
      </c>
      <c r="C27" s="11">
        <f>IF((C10-C7)&lt;=0,"",C13/(C10-C7))</f>
        <v/>
      </c>
      <c r="D27" s="24">
        <f>IFERROR($C27-$B27,"")</f>
        <v/>
      </c>
      <c r="E27" s="25" t="inlineStr">
        <is>
          <t>p.p.</t>
        </is>
      </c>
      <c r="F27" s="12" t="str">
        <f>IFERROR(IF(ISNUMBER($D27),IF($D27&lt;='Resumen Anual'!$B$24,"✅ OK",IF($D27&lt;='Resumen Anual'!$B$25,"⚠️ Atención","🔴 Alerta")),"—"),"—")</f>
        <v>—</v>
      </c>
    </row>
    <row r="28">
      <c r="A28" s="8" t="inlineStr">
        <is>
          <t>Beverage Cost % (sobre ventas de barra)</t>
        </is>
      </c>
      <c r="B28" s="11">
        <f>IF(B7=0,"",B14/B7)</f>
        <v/>
      </c>
      <c r="C28" s="11">
        <f>IF(C7=0,"",C14/C7)</f>
        <v/>
      </c>
      <c r="D28" s="24">
        <f>IFERROR($C28-$B28,"")</f>
        <v/>
      </c>
      <c r="E28" s="25" t="inlineStr">
        <is>
          <t>p.p.</t>
        </is>
      </c>
      <c r="F28" s="12" t="str">
        <f>IFERROR(IF(ISNUMBER($D28),IF($D28&lt;='Resumen Anual'!$B$24,"✅ OK",IF($D28&lt;='Resumen Anual'!$B$25,"⚠️ Atención","🔴 Alerta")),"—"),"—")</f>
        <v>—</v>
      </c>
    </row>
    <row r="29">
      <c r="A29" s="8" t="inlineStr">
        <is>
          <t>Labor Cost %</t>
        </is>
      </c>
      <c r="B29" s="11">
        <f>IF(B10=0,"",B15/B10)</f>
        <v/>
      </c>
      <c r="C29" s="11">
        <f>IF(C10=0,"",C15/C10)</f>
        <v/>
      </c>
      <c r="D29" s="24">
        <f>IFERROR($C29-$B29,"")</f>
        <v/>
      </c>
      <c r="E29" s="25" t="inlineStr">
        <is>
          <t>p.p.</t>
        </is>
      </c>
      <c r="F29" s="12" t="str">
        <f>IFERROR(IF(ISNUMBER($D29),IF($D29&lt;='Resumen Anual'!$B$24,"✅ OK",IF($D29&lt;='Resumen Anual'!$B$25,"⚠️ Atención","🔴 Alerta")),"—"),"—")</f>
        <v>—</v>
      </c>
    </row>
    <row r="30">
      <c r="A30" s="8" t="inlineStr">
        <is>
          <t>Prime Cost % (comida + bebida + personal)</t>
        </is>
      </c>
      <c r="B30" s="11">
        <f>IF(B10=0,"",(B13+B14+B15)/B10)</f>
        <v/>
      </c>
      <c r="C30" s="11">
        <f>IF(C10=0,"",(C13+C14+C15)/C10)</f>
        <v/>
      </c>
      <c r="D30" s="24">
        <f>IFERROR($C30-$B30,"")</f>
        <v/>
      </c>
      <c r="E30" s="25" t="inlineStr">
        <is>
          <t>p.p.</t>
        </is>
      </c>
      <c r="F30" s="12" t="str">
        <f>IFERROR(IF(ISNUMBER($D30),IF($D30&lt;='Resumen Anual'!$B$24,"✅ OK",IF($D30&lt;='Resumen Anual'!$B$25,"⚠️ Atención","🔴 Alerta")),"—"),"—")</f>
        <v>—</v>
      </c>
    </row>
    <row r="31"/>
    <row r="32">
      <c r="A32" s="26" t="inlineStr">
        <is>
          <t>© 2026 AI Chef Pro · aichef.pro</t>
        </is>
      </c>
    </row>
    <row r="33"/>
    <row r="34"/>
    <row r="35"/>
    <row r="36"/>
    <row r="37"/>
    <row r="38"/>
    <row r="39"/>
    <row r="40"/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2">
    <mergeCell ref="A1:F1"/>
    <mergeCell ref="A2:F2"/>
  </mergeCells>
  <conditionalFormatting sqref="F6:F30">
    <cfRule type="containsText" priority="1" operator="containsText" dxfId="0" stopIfTrue="1" text="🔴 Alerta">
      <formula>NOT(ISERROR(SEARCH("🔴 Alerta",F6)))</formula>
    </cfRule>
    <cfRule type="containsText" priority="2" operator="containsText" dxfId="1" stopIfTrue="1" text="⚠️ Atención">
      <formula>NOT(ISERROR(SEARCH("⚠️ Atención",F6)))</formula>
    </cfRule>
    <cfRule type="containsText" priority="3" operator="containsText" dxfId="2" stopIfTrue="1" text="✅ OK">
      <formula>NOT(ISERROR(SEARCH("✅ OK",F6)))</formula>
    </cfRule>
  </conditionalFormatting>
  <dataValidations count="1">
    <dataValidation sqref="B6 B7 B8 B9 B13 B14 B15 B16 B17 B18 B19 B20 C6 C7 C8 C9 C13 C14 C15 C16 C17 C18 C19 C20" showDropDown="0" showInputMessage="0" showErrorMessage="1" allowBlank="1" errorTitle="Importe no válido" error="Escribe un número mayor o igual que 0." type="decimal" operator="greaterThanOrEqual">
      <formula1>0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F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>
      <c r="A1" s="5" t="inlineStr">
        <is>
          <t>P&amp;L Feb — Real vs Presupuesto</t>
        </is>
      </c>
    </row>
    <row r="2">
      <c r="A2" s="2" t="inlineStr">
        <is>
          <t>AI Chef Pro · aichef.pro — Kit Plan Financiero para Restaurantes</t>
        </is>
      </c>
    </row>
    <row r="3"/>
    <row r="4">
      <c r="A4" s="6" t="inlineStr">
        <is>
          <t>Concepto</t>
        </is>
      </c>
      <c r="B4" s="6" t="inlineStr">
        <is>
          <t>Presupuesto (€)</t>
        </is>
      </c>
      <c r="C4" s="6" t="inlineStr">
        <is>
          <t>Real (€)</t>
        </is>
      </c>
      <c r="D4" s="6" t="inlineStr">
        <is>
          <t>Desviación (€)</t>
        </is>
      </c>
      <c r="E4" s="6" t="inlineStr">
        <is>
          <t>Desviación %</t>
        </is>
      </c>
      <c r="F4" s="6" t="inlineStr">
        <is>
          <t>Semáforo</t>
        </is>
      </c>
    </row>
    <row r="5">
      <c r="A5" s="7" t="inlineStr">
        <is>
          <t>INGRESOS</t>
        </is>
      </c>
    </row>
    <row r="6">
      <c r="A6" s="8" t="inlineStr">
        <is>
          <t>Ventas Comedor (sin IVA)</t>
        </is>
      </c>
      <c r="B6" s="20" t="n">
        <v>0</v>
      </c>
      <c r="C6" s="20" t="n">
        <v>0</v>
      </c>
      <c r="D6" s="10">
        <f>C6-B6</f>
        <v>0.0</v>
      </c>
      <c r="E6" s="11">
        <f>IF($B6=0,"",IFERROR(($C6-$B6)/$B6,""))</f>
        <v/>
      </c>
      <c r="F6" s="12" t="str">
        <f>IFERROR(IF(ISNUMBER($E6),IF($E6&gt;=-'Resumen Anual'!$B$22,"✅ OK",IF($E6&gt;=-'Resumen Anual'!$B$23,"⚠️ Atención","🔴 Alerta")),"—"),"—")</f>
        <v>—</v>
      </c>
    </row>
    <row r="7">
      <c r="A7" s="8" t="inlineStr">
        <is>
          <t>Ventas Barra (sin IVA)</t>
        </is>
      </c>
      <c r="B7" s="20" t="n">
        <v>0</v>
      </c>
      <c r="C7" s="20" t="n">
        <v>0</v>
      </c>
      <c r="D7" s="10">
        <f>C7-B7</f>
        <v>0.0</v>
      </c>
      <c r="E7" s="11">
        <f>IF($B7=0,"",IFERROR(($C7-$B7)/$B7,""))</f>
        <v/>
      </c>
      <c r="F7" s="12" t="str">
        <f>IFERROR(IF(ISNUMBER($E7),IF($E7&gt;=-'Resumen Anual'!$B$22,"✅ OK",IF($E7&gt;=-'Resumen Anual'!$B$23,"⚠️ Atención","🔴 Alerta")),"—"),"—")</f>
        <v>—</v>
      </c>
    </row>
    <row r="8">
      <c r="A8" s="8" t="inlineStr">
        <is>
          <t>Ventas Delivery (sin IVA)</t>
        </is>
      </c>
      <c r="B8" s="20" t="n">
        <v>0</v>
      </c>
      <c r="C8" s="20" t="n">
        <v>0</v>
      </c>
      <c r="D8" s="10">
        <f>C8-B8</f>
        <v>0.0</v>
      </c>
      <c r="E8" s="11">
        <f>IF($B8=0,"",IFERROR(($C8-$B8)/$B8,""))</f>
        <v/>
      </c>
      <c r="F8" s="12" t="str">
        <f>IFERROR(IF(ISNUMBER($E8),IF($E8&gt;=-'Resumen Anual'!$B$22,"✅ OK",IF($E8&gt;=-'Resumen Anual'!$B$23,"⚠️ Atención","🔴 Alerta")),"—"),"—")</f>
        <v>—</v>
      </c>
    </row>
    <row r="9">
      <c r="A9" s="8" t="inlineStr">
        <is>
          <t>Eventos / Catering (sin IVA)</t>
        </is>
      </c>
      <c r="B9" s="20" t="n">
        <v>0</v>
      </c>
      <c r="C9" s="20" t="n">
        <v>0</v>
      </c>
      <c r="D9" s="10">
        <f>C9-B9</f>
        <v>0.0</v>
      </c>
      <c r="E9" s="11">
        <f>IF($B9=0,"",IFERROR(($C9-$B9)/$B9,""))</f>
        <v/>
      </c>
      <c r="F9" s="12" t="str">
        <f>IFERROR(IF(ISNUMBER($E9),IF($E9&gt;=-'Resumen Anual'!$B$22,"✅ OK",IF($E9&gt;=-'Resumen Anual'!$B$23,"⚠️ Atención","🔴 Alerta")),"—"),"—")</f>
        <v>—</v>
      </c>
    </row>
    <row r="10">
      <c r="A10" s="13" t="inlineStr">
        <is>
          <t>TOTAL INGRESOS (sin IVA)</t>
        </is>
      </c>
      <c r="B10" s="14">
        <f>B6+B7+B8+B9</f>
        <v>0.0</v>
      </c>
      <c r="C10" s="14">
        <f>C6+C7+C8+C9</f>
        <v>0.0</v>
      </c>
      <c r="D10" s="10">
        <f>C10-B10</f>
        <v>0.0</v>
      </c>
      <c r="E10" s="11">
        <f>IF($B10=0,"",IFERROR(($C10-$B10)/$B10,""))</f>
        <v/>
      </c>
      <c r="F10" s="12" t="str">
        <f>IFERROR(IF(ISNUMBER($E10),IF($E10&gt;=-'Resumen Anual'!$B$22,"✅ OK",IF($E10&gt;=-'Resumen Anual'!$B$23,"⚠️ Atención","🔴 Alerta")),"—"),"—")</f>
        <v>—</v>
      </c>
    </row>
    <row r="11"/>
    <row r="12">
      <c r="A12" s="7" t="inlineStr">
        <is>
          <t>GASTOS</t>
        </is>
      </c>
    </row>
    <row r="13">
      <c r="A13" s="8" t="inlineStr">
        <is>
          <t>Coste de comida (materia prima)</t>
        </is>
      </c>
      <c r="B13" s="21" t="n">
        <v>0</v>
      </c>
      <c r="C13" s="21" t="n">
        <v>0</v>
      </c>
      <c r="D13" s="10">
        <f>C13-B13</f>
        <v>0.0</v>
      </c>
      <c r="E13" s="11">
        <f>IF($B13=0,"",IFERROR(($C13-$B13)/$B13,""))</f>
        <v/>
      </c>
      <c r="F13" s="12" t="str">
        <f>IFERROR(IF(ISNUMBER($E13),IF($E13&lt;='Resumen Anual'!$B$22,"✅ OK",IF($E13&lt;='Resumen Anual'!$B$23,"⚠️ Atención","🔴 Alerta")),"—"),"—")</f>
        <v>—</v>
      </c>
    </row>
    <row r="14">
      <c r="A14" s="8" t="inlineStr">
        <is>
          <t>Coste de bebida (barra)</t>
        </is>
      </c>
      <c r="B14" s="21" t="n">
        <v>0</v>
      </c>
      <c r="C14" s="21" t="n">
        <v>0</v>
      </c>
      <c r="D14" s="10">
        <f>C14-B14</f>
        <v>0.0</v>
      </c>
      <c r="E14" s="11">
        <f>IF($B14=0,"",IFERROR(($C14-$B14)/$B14,""))</f>
        <v/>
      </c>
      <c r="F14" s="12" t="str">
        <f>IFERROR(IF(ISNUMBER($E14),IF($E14&lt;='Resumen Anual'!$B$22,"✅ OK",IF($E14&lt;='Resumen Anual'!$B$23,"⚠️ Atención","🔴 Alerta")),"—"),"—")</f>
        <v>—</v>
      </c>
    </row>
    <row r="15">
      <c r="A15" s="8" t="inlineStr">
        <is>
          <t>Personal (Labor)</t>
        </is>
      </c>
      <c r="B15" s="21" t="n">
        <v>0</v>
      </c>
      <c r="C15" s="21" t="n">
        <v>0</v>
      </c>
      <c r="D15" s="10">
        <f>C15-B15</f>
        <v>0.0</v>
      </c>
      <c r="E15" s="11">
        <f>IF($B15=0,"",IFERROR(($C15-$B15)/$B15,""))</f>
        <v/>
      </c>
      <c r="F15" s="12" t="str">
        <f>IFERROR(IF(ISNUMBER($E15),IF($E15&lt;='Resumen Anual'!$B$22,"✅ OK",IF($E15&lt;='Resumen Anual'!$B$23,"⚠️ Atención","🔴 Alerta")),"—"),"—")</f>
        <v>—</v>
      </c>
    </row>
    <row r="16">
      <c r="A16" s="8" t="inlineStr">
        <is>
          <t>Comisiones de plataformas (delivery)</t>
        </is>
      </c>
      <c r="B16" s="21" t="n">
        <v>0</v>
      </c>
      <c r="C16" s="21" t="n">
        <v>0</v>
      </c>
      <c r="D16" s="10">
        <f>C16-B16</f>
        <v>0.0</v>
      </c>
      <c r="E16" s="11">
        <f>IF($B16=0,"",IFERROR(($C16-$B16)/$B16,""))</f>
        <v/>
      </c>
      <c r="F16" s="12" t="str">
        <f>IFERROR(IF(ISNUMBER($E16),IF($E16&lt;='Resumen Anual'!$B$22,"✅ OK",IF($E16&lt;='Resumen Anual'!$B$23,"⚠️ Atención","🔴 Alerta")),"—"),"—")</f>
        <v>—</v>
      </c>
    </row>
    <row r="17">
      <c r="A17" s="8" t="inlineStr">
        <is>
          <t>Alquiler</t>
        </is>
      </c>
      <c r="B17" s="21" t="n">
        <v>0</v>
      </c>
      <c r="C17" s="21" t="n">
        <v>0</v>
      </c>
      <c r="D17" s="10">
        <f>C17-B17</f>
        <v>0.0</v>
      </c>
      <c r="E17" s="11">
        <f>IF($B17=0,"",IFERROR(($C17-$B17)/$B17,""))</f>
        <v/>
      </c>
      <c r="F17" s="12" t="str">
        <f>IFERROR(IF(ISNUMBER($E17),IF($E17&lt;='Resumen Anual'!$B$22,"✅ OK",IF($E17&lt;='Resumen Anual'!$B$23,"⚠️ Atención","🔴 Alerta")),"—"),"—")</f>
        <v>—</v>
      </c>
    </row>
    <row r="18">
      <c r="A18" s="8" t="inlineStr">
        <is>
          <t>Suministros</t>
        </is>
      </c>
      <c r="B18" s="21" t="n">
        <v>0</v>
      </c>
      <c r="C18" s="21" t="n">
        <v>0</v>
      </c>
      <c r="D18" s="10">
        <f>C18-B18</f>
        <v>0.0</v>
      </c>
      <c r="E18" s="11">
        <f>IF($B18=0,"",IFERROR(($C18-$B18)/$B18,""))</f>
        <v/>
      </c>
      <c r="F18" s="12" t="str">
        <f>IFERROR(IF(ISNUMBER($E18),IF($E18&lt;='Resumen Anual'!$B$22,"✅ OK",IF($E18&lt;='Resumen Anual'!$B$23,"⚠️ Atención","🔴 Alerta")),"—"),"—")</f>
        <v>—</v>
      </c>
    </row>
    <row r="19">
      <c r="A19" s="8" t="inlineStr">
        <is>
          <t>Marketing</t>
        </is>
      </c>
      <c r="B19" s="21" t="n">
        <v>0</v>
      </c>
      <c r="C19" s="21" t="n">
        <v>0</v>
      </c>
      <c r="D19" s="10">
        <f>C19-B19</f>
        <v>0.0</v>
      </c>
      <c r="E19" s="11">
        <f>IF($B19=0,"",IFERROR(($C19-$B19)/$B19,""))</f>
        <v/>
      </c>
      <c r="F19" s="12" t="str">
        <f>IFERROR(IF(ISNUMBER($E19),IF($E19&lt;='Resumen Anual'!$B$22,"✅ OK",IF($E19&lt;='Resumen Anual'!$B$23,"⚠️ Atención","🔴 Alerta")),"—"),"—")</f>
        <v>—</v>
      </c>
    </row>
    <row r="20">
      <c r="A20" s="8" t="inlineStr">
        <is>
          <t>Administración / Otros</t>
        </is>
      </c>
      <c r="B20" s="21" t="n">
        <v>0</v>
      </c>
      <c r="C20" s="21" t="n">
        <v>0</v>
      </c>
      <c r="D20" s="10">
        <f>C20-B20</f>
        <v>0.0</v>
      </c>
      <c r="E20" s="11">
        <f>IF($B20=0,"",IFERROR(($C20-$B20)/$B20,""))</f>
        <v/>
      </c>
      <c r="F20" s="12" t="str">
        <f>IFERROR(IF(ISNUMBER($E20),IF($E20&lt;='Resumen Anual'!$B$22,"✅ OK",IF($E20&lt;='Resumen Anual'!$B$23,"⚠️ Atención","🔴 Alerta")),"—"),"—")</f>
        <v>—</v>
      </c>
    </row>
    <row r="21">
      <c r="A21" s="13" t="inlineStr">
        <is>
          <t>TOTAL GASTOS</t>
        </is>
      </c>
      <c r="B21" s="14">
        <f>SUM(B13:B20)</f>
        <v>0.0</v>
      </c>
      <c r="C21" s="14">
        <f>SUM(C13:C20)</f>
        <v>0.0</v>
      </c>
      <c r="D21" s="14">
        <f>C21-B21</f>
        <v>0.0</v>
      </c>
      <c r="E21" s="22">
        <f>IF($B21=0,"",IFERROR(($C21-$B21)/$B21,""))</f>
        <v/>
      </c>
      <c r="F21" s="14" t="str">
        <f>IFERROR(IF(ISNUMBER($E21),IF($E21&lt;='Resumen Anual'!$B$22,"✅ OK",IF($E21&lt;='Resumen Anual'!$B$23,"⚠️ Atención","🔴 Alerta")),"—"),"—")</f>
        <v>—</v>
      </c>
    </row>
    <row r="22">
      <c r="A22" s="13" t="n"/>
      <c r="B22" s="23" t="n"/>
      <c r="C22" s="23" t="n"/>
    </row>
    <row r="23">
      <c r="A23" s="13" t="inlineStr">
        <is>
          <t>EBITDA</t>
        </is>
      </c>
      <c r="B23" s="14">
        <f>B10-B21</f>
        <v>0.0</v>
      </c>
      <c r="C23" s="14">
        <f>C10-C21</f>
        <v>0.0</v>
      </c>
      <c r="D23" s="14">
        <f>C23-B23</f>
        <v>0.0</v>
      </c>
      <c r="E23" s="22">
        <f>IF($B23=0,"",IFERROR(($C23-$B23)/ABS($B23),""))</f>
        <v/>
      </c>
      <c r="F23" s="14" t="str">
        <f>IFERROR(IF(ISNUMBER($E23),IF($E23&gt;=-'Resumen Anual'!$B$22,"✅ OK",IF($E23&gt;=-'Resumen Anual'!$B$23,"⚠️ Atención","🔴 Alerta")),"—"),"—")</f>
        <v>—</v>
      </c>
    </row>
    <row r="24">
      <c r="A24" s="8" t="inlineStr">
        <is>
          <t>Margen EBITDA %</t>
        </is>
      </c>
      <c r="B24" s="11">
        <f>IF(B10=0,"",B23/B10)</f>
        <v/>
      </c>
      <c r="C24" s="11">
        <f>IF(C10=0,"",C23/C10)</f>
        <v/>
      </c>
      <c r="D24" s="24">
        <f>IFERROR($C24-$B24,"")</f>
        <v/>
      </c>
      <c r="E24" s="25" t="inlineStr">
        <is>
          <t>p.p.</t>
        </is>
      </c>
      <c r="F24" s="12" t="str">
        <f>IFERROR(IF(ISNUMBER($D24),IF($D24&gt;=-'Resumen Anual'!$B$24,"✅ OK",IF($D24&gt;=-'Resumen Anual'!$B$25,"⚠️ Atención","🔴 Alerta")),"—"),"—")</f>
        <v>—</v>
      </c>
    </row>
    <row r="25">
      <c r="A25" s="8" t="n"/>
      <c r="B25" s="23" t="n"/>
      <c r="C25" s="23" t="n"/>
    </row>
    <row r="26">
      <c r="A26" s="7" t="inlineStr">
        <is>
          <t>RATIOS AUTOMÁTICOS</t>
        </is>
      </c>
      <c r="B26" s="23" t="n"/>
      <c r="C26" s="23" t="n"/>
    </row>
    <row r="27">
      <c r="A27" s="8" t="inlineStr">
        <is>
          <t>Food Cost % (sobre ventas de comida)</t>
        </is>
      </c>
      <c r="B27" s="11">
        <f>IF((B10-B7)&lt;=0,"",B13/(B10-B7))</f>
        <v/>
      </c>
      <c r="C27" s="11">
        <f>IF((C10-C7)&lt;=0,"",C13/(C10-C7))</f>
        <v/>
      </c>
      <c r="D27" s="24">
        <f>IFERROR($C27-$B27,"")</f>
        <v/>
      </c>
      <c r="E27" s="25" t="inlineStr">
        <is>
          <t>p.p.</t>
        </is>
      </c>
      <c r="F27" s="12" t="str">
        <f>IFERROR(IF(ISNUMBER($D27),IF($D27&lt;='Resumen Anual'!$B$24,"✅ OK",IF($D27&lt;='Resumen Anual'!$B$25,"⚠️ Atención","🔴 Alerta")),"—"),"—")</f>
        <v>—</v>
      </c>
    </row>
    <row r="28">
      <c r="A28" s="8" t="inlineStr">
        <is>
          <t>Beverage Cost % (sobre ventas de barra)</t>
        </is>
      </c>
      <c r="B28" s="11">
        <f>IF(B7=0,"",B14/B7)</f>
        <v/>
      </c>
      <c r="C28" s="11">
        <f>IF(C7=0,"",C14/C7)</f>
        <v/>
      </c>
      <c r="D28" s="24">
        <f>IFERROR($C28-$B28,"")</f>
        <v/>
      </c>
      <c r="E28" s="25" t="inlineStr">
        <is>
          <t>p.p.</t>
        </is>
      </c>
      <c r="F28" s="12" t="str">
        <f>IFERROR(IF(ISNUMBER($D28),IF($D28&lt;='Resumen Anual'!$B$24,"✅ OK",IF($D28&lt;='Resumen Anual'!$B$25,"⚠️ Atención","🔴 Alerta")),"—"),"—")</f>
        <v>—</v>
      </c>
    </row>
    <row r="29">
      <c r="A29" s="8" t="inlineStr">
        <is>
          <t>Labor Cost %</t>
        </is>
      </c>
      <c r="B29" s="11">
        <f>IF(B10=0,"",B15/B10)</f>
        <v/>
      </c>
      <c r="C29" s="11">
        <f>IF(C10=0,"",C15/C10)</f>
        <v/>
      </c>
      <c r="D29" s="24">
        <f>IFERROR($C29-$B29,"")</f>
        <v/>
      </c>
      <c r="E29" s="25" t="inlineStr">
        <is>
          <t>p.p.</t>
        </is>
      </c>
      <c r="F29" s="12" t="str">
        <f>IFERROR(IF(ISNUMBER($D29),IF($D29&lt;='Resumen Anual'!$B$24,"✅ OK",IF($D29&lt;='Resumen Anual'!$B$25,"⚠️ Atención","🔴 Alerta")),"—"),"—")</f>
        <v>—</v>
      </c>
    </row>
    <row r="30">
      <c r="A30" s="8" t="inlineStr">
        <is>
          <t>Prime Cost % (comida + bebida + personal)</t>
        </is>
      </c>
      <c r="B30" s="11">
        <f>IF(B10=0,"",(B13+B14+B15)/B10)</f>
        <v/>
      </c>
      <c r="C30" s="11">
        <f>IF(C10=0,"",(C13+C14+C15)/C10)</f>
        <v/>
      </c>
      <c r="D30" s="24">
        <f>IFERROR($C30-$B30,"")</f>
        <v/>
      </c>
      <c r="E30" s="25" t="inlineStr">
        <is>
          <t>p.p.</t>
        </is>
      </c>
      <c r="F30" s="12" t="str">
        <f>IFERROR(IF(ISNUMBER($D30),IF($D30&lt;='Resumen Anual'!$B$24,"✅ OK",IF($D30&lt;='Resumen Anual'!$B$25,"⚠️ Atención","🔴 Alerta")),"—"),"—")</f>
        <v>—</v>
      </c>
    </row>
    <row r="31"/>
    <row r="32">
      <c r="A32" s="26" t="inlineStr">
        <is>
          <t>© 2026 AI Chef Pro · aichef.pro</t>
        </is>
      </c>
    </row>
    <row r="33"/>
    <row r="34"/>
    <row r="35"/>
    <row r="36"/>
    <row r="37"/>
    <row r="38"/>
    <row r="39"/>
    <row r="40"/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2">
    <mergeCell ref="A1:F1"/>
    <mergeCell ref="A2:F2"/>
  </mergeCells>
  <conditionalFormatting sqref="F6:F30">
    <cfRule type="containsText" priority="1" operator="containsText" dxfId="0" stopIfTrue="1" text="🔴 Alerta">
      <formula>NOT(ISERROR(SEARCH("🔴 Alerta",F6)))</formula>
    </cfRule>
    <cfRule type="containsText" priority="2" operator="containsText" dxfId="1" stopIfTrue="1" text="⚠️ Atención">
      <formula>NOT(ISERROR(SEARCH("⚠️ Atención",F6)))</formula>
    </cfRule>
    <cfRule type="containsText" priority="3" operator="containsText" dxfId="2" stopIfTrue="1" text="✅ OK">
      <formula>NOT(ISERROR(SEARCH("✅ OK",F6)))</formula>
    </cfRule>
  </conditionalFormatting>
  <dataValidations count="1">
    <dataValidation sqref="B6 B7 B8 B9 B13 B14 B15 B16 B17 B18 B19 B20 C6 C7 C8 C9 C13 C14 C15 C16 C17 C18 C19 C20" showDropDown="0" showInputMessage="0" showErrorMessage="1" allowBlank="1" errorTitle="Importe no válido" error="Escribe un número mayor o igual que 0." type="decimal" operator="greaterThanOrEqual">
      <formula1>0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F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>
      <c r="A1" s="5" t="inlineStr">
        <is>
          <t>P&amp;L Mar — Real vs Presupuesto</t>
        </is>
      </c>
    </row>
    <row r="2">
      <c r="A2" s="2" t="inlineStr">
        <is>
          <t>AI Chef Pro · aichef.pro — Kit Plan Financiero para Restaurantes</t>
        </is>
      </c>
    </row>
    <row r="3"/>
    <row r="4">
      <c r="A4" s="6" t="inlineStr">
        <is>
          <t>Concepto</t>
        </is>
      </c>
      <c r="B4" s="6" t="inlineStr">
        <is>
          <t>Presupuesto (€)</t>
        </is>
      </c>
      <c r="C4" s="6" t="inlineStr">
        <is>
          <t>Real (€)</t>
        </is>
      </c>
      <c r="D4" s="6" t="inlineStr">
        <is>
          <t>Desviación (€)</t>
        </is>
      </c>
      <c r="E4" s="6" t="inlineStr">
        <is>
          <t>Desviación %</t>
        </is>
      </c>
      <c r="F4" s="6" t="inlineStr">
        <is>
          <t>Semáforo</t>
        </is>
      </c>
    </row>
    <row r="5">
      <c r="A5" s="7" t="inlineStr">
        <is>
          <t>INGRESOS</t>
        </is>
      </c>
    </row>
    <row r="6">
      <c r="A6" s="8" t="inlineStr">
        <is>
          <t>Ventas Comedor (sin IVA)</t>
        </is>
      </c>
      <c r="B6" s="20" t="n">
        <v>0</v>
      </c>
      <c r="C6" s="20" t="n">
        <v>0</v>
      </c>
      <c r="D6" s="10">
        <f>C6-B6</f>
        <v>0.0</v>
      </c>
      <c r="E6" s="11">
        <f>IF($B6=0,"",IFERROR(($C6-$B6)/$B6,""))</f>
        <v/>
      </c>
      <c r="F6" s="12" t="str">
        <f>IFERROR(IF(ISNUMBER($E6),IF($E6&gt;=-'Resumen Anual'!$B$22,"✅ OK",IF($E6&gt;=-'Resumen Anual'!$B$23,"⚠️ Atención","🔴 Alerta")),"—"),"—")</f>
        <v>—</v>
      </c>
    </row>
    <row r="7">
      <c r="A7" s="8" t="inlineStr">
        <is>
          <t>Ventas Barra (sin IVA)</t>
        </is>
      </c>
      <c r="B7" s="20" t="n">
        <v>0</v>
      </c>
      <c r="C7" s="20" t="n">
        <v>0</v>
      </c>
      <c r="D7" s="10">
        <f>C7-B7</f>
        <v>0.0</v>
      </c>
      <c r="E7" s="11">
        <f>IF($B7=0,"",IFERROR(($C7-$B7)/$B7,""))</f>
        <v/>
      </c>
      <c r="F7" s="12" t="str">
        <f>IFERROR(IF(ISNUMBER($E7),IF($E7&gt;=-'Resumen Anual'!$B$22,"✅ OK",IF($E7&gt;=-'Resumen Anual'!$B$23,"⚠️ Atención","🔴 Alerta")),"—"),"—")</f>
        <v>—</v>
      </c>
    </row>
    <row r="8">
      <c r="A8" s="8" t="inlineStr">
        <is>
          <t>Ventas Delivery (sin IVA)</t>
        </is>
      </c>
      <c r="B8" s="20" t="n">
        <v>0</v>
      </c>
      <c r="C8" s="20" t="n">
        <v>0</v>
      </c>
      <c r="D8" s="10">
        <f>C8-B8</f>
        <v>0.0</v>
      </c>
      <c r="E8" s="11">
        <f>IF($B8=0,"",IFERROR(($C8-$B8)/$B8,""))</f>
        <v/>
      </c>
      <c r="F8" s="12" t="str">
        <f>IFERROR(IF(ISNUMBER($E8),IF($E8&gt;=-'Resumen Anual'!$B$22,"✅ OK",IF($E8&gt;=-'Resumen Anual'!$B$23,"⚠️ Atención","🔴 Alerta")),"—"),"—")</f>
        <v>—</v>
      </c>
    </row>
    <row r="9">
      <c r="A9" s="8" t="inlineStr">
        <is>
          <t>Eventos / Catering (sin IVA)</t>
        </is>
      </c>
      <c r="B9" s="20" t="n">
        <v>0</v>
      </c>
      <c r="C9" s="20" t="n">
        <v>0</v>
      </c>
      <c r="D9" s="10">
        <f>C9-B9</f>
        <v>0.0</v>
      </c>
      <c r="E9" s="11">
        <f>IF($B9=0,"",IFERROR(($C9-$B9)/$B9,""))</f>
        <v/>
      </c>
      <c r="F9" s="12" t="str">
        <f>IFERROR(IF(ISNUMBER($E9),IF($E9&gt;=-'Resumen Anual'!$B$22,"✅ OK",IF($E9&gt;=-'Resumen Anual'!$B$23,"⚠️ Atención","🔴 Alerta")),"—"),"—")</f>
        <v>—</v>
      </c>
    </row>
    <row r="10">
      <c r="A10" s="13" t="inlineStr">
        <is>
          <t>TOTAL INGRESOS (sin IVA)</t>
        </is>
      </c>
      <c r="B10" s="14">
        <f>B6+B7+B8+B9</f>
        <v>0.0</v>
      </c>
      <c r="C10" s="14">
        <f>C6+C7+C8+C9</f>
        <v>0.0</v>
      </c>
      <c r="D10" s="10">
        <f>C10-B10</f>
        <v>0.0</v>
      </c>
      <c r="E10" s="11">
        <f>IF($B10=0,"",IFERROR(($C10-$B10)/$B10,""))</f>
        <v/>
      </c>
      <c r="F10" s="12" t="str">
        <f>IFERROR(IF(ISNUMBER($E10),IF($E10&gt;=-'Resumen Anual'!$B$22,"✅ OK",IF($E10&gt;=-'Resumen Anual'!$B$23,"⚠️ Atención","🔴 Alerta")),"—"),"—")</f>
        <v>—</v>
      </c>
    </row>
    <row r="11"/>
    <row r="12">
      <c r="A12" s="7" t="inlineStr">
        <is>
          <t>GASTOS</t>
        </is>
      </c>
    </row>
    <row r="13">
      <c r="A13" s="8" t="inlineStr">
        <is>
          <t>Coste de comida (materia prima)</t>
        </is>
      </c>
      <c r="B13" s="21" t="n">
        <v>0</v>
      </c>
      <c r="C13" s="21" t="n">
        <v>0</v>
      </c>
      <c r="D13" s="10">
        <f>C13-B13</f>
        <v>0.0</v>
      </c>
      <c r="E13" s="11">
        <f>IF($B13=0,"",IFERROR(($C13-$B13)/$B13,""))</f>
        <v/>
      </c>
      <c r="F13" s="12" t="str">
        <f>IFERROR(IF(ISNUMBER($E13),IF($E13&lt;='Resumen Anual'!$B$22,"✅ OK",IF($E13&lt;='Resumen Anual'!$B$23,"⚠️ Atención","🔴 Alerta")),"—"),"—")</f>
        <v>—</v>
      </c>
    </row>
    <row r="14">
      <c r="A14" s="8" t="inlineStr">
        <is>
          <t>Coste de bebida (barra)</t>
        </is>
      </c>
      <c r="B14" s="21" t="n">
        <v>0</v>
      </c>
      <c r="C14" s="21" t="n">
        <v>0</v>
      </c>
      <c r="D14" s="10">
        <f>C14-B14</f>
        <v>0.0</v>
      </c>
      <c r="E14" s="11">
        <f>IF($B14=0,"",IFERROR(($C14-$B14)/$B14,""))</f>
        <v/>
      </c>
      <c r="F14" s="12" t="str">
        <f>IFERROR(IF(ISNUMBER($E14),IF($E14&lt;='Resumen Anual'!$B$22,"✅ OK",IF($E14&lt;='Resumen Anual'!$B$23,"⚠️ Atención","🔴 Alerta")),"—"),"—")</f>
        <v>—</v>
      </c>
    </row>
    <row r="15">
      <c r="A15" s="8" t="inlineStr">
        <is>
          <t>Personal (Labor)</t>
        </is>
      </c>
      <c r="B15" s="21" t="n">
        <v>0</v>
      </c>
      <c r="C15" s="21" t="n">
        <v>0</v>
      </c>
      <c r="D15" s="10">
        <f>C15-B15</f>
        <v>0.0</v>
      </c>
      <c r="E15" s="11">
        <f>IF($B15=0,"",IFERROR(($C15-$B15)/$B15,""))</f>
        <v/>
      </c>
      <c r="F15" s="12" t="str">
        <f>IFERROR(IF(ISNUMBER($E15),IF($E15&lt;='Resumen Anual'!$B$22,"✅ OK",IF($E15&lt;='Resumen Anual'!$B$23,"⚠️ Atención","🔴 Alerta")),"—"),"—")</f>
        <v>—</v>
      </c>
    </row>
    <row r="16">
      <c r="A16" s="8" t="inlineStr">
        <is>
          <t>Comisiones de plataformas (delivery)</t>
        </is>
      </c>
      <c r="B16" s="21" t="n">
        <v>0</v>
      </c>
      <c r="C16" s="21" t="n">
        <v>0</v>
      </c>
      <c r="D16" s="10">
        <f>C16-B16</f>
        <v>0.0</v>
      </c>
      <c r="E16" s="11">
        <f>IF($B16=0,"",IFERROR(($C16-$B16)/$B16,""))</f>
        <v/>
      </c>
      <c r="F16" s="12" t="str">
        <f>IFERROR(IF(ISNUMBER($E16),IF($E16&lt;='Resumen Anual'!$B$22,"✅ OK",IF($E16&lt;='Resumen Anual'!$B$23,"⚠️ Atención","🔴 Alerta")),"—"),"—")</f>
        <v>—</v>
      </c>
    </row>
    <row r="17">
      <c r="A17" s="8" t="inlineStr">
        <is>
          <t>Alquiler</t>
        </is>
      </c>
      <c r="B17" s="21" t="n">
        <v>0</v>
      </c>
      <c r="C17" s="21" t="n">
        <v>0</v>
      </c>
      <c r="D17" s="10">
        <f>C17-B17</f>
        <v>0.0</v>
      </c>
      <c r="E17" s="11">
        <f>IF($B17=0,"",IFERROR(($C17-$B17)/$B17,""))</f>
        <v/>
      </c>
      <c r="F17" s="12" t="str">
        <f>IFERROR(IF(ISNUMBER($E17),IF($E17&lt;='Resumen Anual'!$B$22,"✅ OK",IF($E17&lt;='Resumen Anual'!$B$23,"⚠️ Atención","🔴 Alerta")),"—"),"—")</f>
        <v>—</v>
      </c>
    </row>
    <row r="18">
      <c r="A18" s="8" t="inlineStr">
        <is>
          <t>Suministros</t>
        </is>
      </c>
      <c r="B18" s="21" t="n">
        <v>0</v>
      </c>
      <c r="C18" s="21" t="n">
        <v>0</v>
      </c>
      <c r="D18" s="10">
        <f>C18-B18</f>
        <v>0.0</v>
      </c>
      <c r="E18" s="11">
        <f>IF($B18=0,"",IFERROR(($C18-$B18)/$B18,""))</f>
        <v/>
      </c>
      <c r="F18" s="12" t="str">
        <f>IFERROR(IF(ISNUMBER($E18),IF($E18&lt;='Resumen Anual'!$B$22,"✅ OK",IF($E18&lt;='Resumen Anual'!$B$23,"⚠️ Atención","🔴 Alerta")),"—"),"—")</f>
        <v>—</v>
      </c>
    </row>
    <row r="19">
      <c r="A19" s="8" t="inlineStr">
        <is>
          <t>Marketing</t>
        </is>
      </c>
      <c r="B19" s="21" t="n">
        <v>0</v>
      </c>
      <c r="C19" s="21" t="n">
        <v>0</v>
      </c>
      <c r="D19" s="10">
        <f>C19-B19</f>
        <v>0.0</v>
      </c>
      <c r="E19" s="11">
        <f>IF($B19=0,"",IFERROR(($C19-$B19)/$B19,""))</f>
        <v/>
      </c>
      <c r="F19" s="12" t="str">
        <f>IFERROR(IF(ISNUMBER($E19),IF($E19&lt;='Resumen Anual'!$B$22,"✅ OK",IF($E19&lt;='Resumen Anual'!$B$23,"⚠️ Atención","🔴 Alerta")),"—"),"—")</f>
        <v>—</v>
      </c>
    </row>
    <row r="20">
      <c r="A20" s="8" t="inlineStr">
        <is>
          <t>Administración / Otros</t>
        </is>
      </c>
      <c r="B20" s="21" t="n">
        <v>0</v>
      </c>
      <c r="C20" s="21" t="n">
        <v>0</v>
      </c>
      <c r="D20" s="10">
        <f>C20-B20</f>
        <v>0.0</v>
      </c>
      <c r="E20" s="11">
        <f>IF($B20=0,"",IFERROR(($C20-$B20)/$B20,""))</f>
        <v/>
      </c>
      <c r="F20" s="12" t="str">
        <f>IFERROR(IF(ISNUMBER($E20),IF($E20&lt;='Resumen Anual'!$B$22,"✅ OK",IF($E20&lt;='Resumen Anual'!$B$23,"⚠️ Atención","🔴 Alerta")),"—"),"—")</f>
        <v>—</v>
      </c>
    </row>
    <row r="21">
      <c r="A21" s="13" t="inlineStr">
        <is>
          <t>TOTAL GASTOS</t>
        </is>
      </c>
      <c r="B21" s="14">
        <f>SUM(B13:B20)</f>
        <v>0.0</v>
      </c>
      <c r="C21" s="14">
        <f>SUM(C13:C20)</f>
        <v>0.0</v>
      </c>
      <c r="D21" s="14">
        <f>C21-B21</f>
        <v>0.0</v>
      </c>
      <c r="E21" s="22">
        <f>IF($B21=0,"",IFERROR(($C21-$B21)/$B21,""))</f>
        <v/>
      </c>
      <c r="F21" s="14" t="str">
        <f>IFERROR(IF(ISNUMBER($E21),IF($E21&lt;='Resumen Anual'!$B$22,"✅ OK",IF($E21&lt;='Resumen Anual'!$B$23,"⚠️ Atención","🔴 Alerta")),"—"),"—")</f>
        <v>—</v>
      </c>
    </row>
    <row r="22">
      <c r="A22" s="13" t="n"/>
      <c r="B22" s="23" t="n"/>
      <c r="C22" s="23" t="n"/>
    </row>
    <row r="23">
      <c r="A23" s="13" t="inlineStr">
        <is>
          <t>EBITDA</t>
        </is>
      </c>
      <c r="B23" s="14">
        <f>B10-B21</f>
        <v>0.0</v>
      </c>
      <c r="C23" s="14">
        <f>C10-C21</f>
        <v>0.0</v>
      </c>
      <c r="D23" s="14">
        <f>C23-B23</f>
        <v>0.0</v>
      </c>
      <c r="E23" s="22">
        <f>IF($B23=0,"",IFERROR(($C23-$B23)/ABS($B23),""))</f>
        <v/>
      </c>
      <c r="F23" s="14" t="str">
        <f>IFERROR(IF(ISNUMBER($E23),IF($E23&gt;=-'Resumen Anual'!$B$22,"✅ OK",IF($E23&gt;=-'Resumen Anual'!$B$23,"⚠️ Atención","🔴 Alerta")),"—"),"—")</f>
        <v>—</v>
      </c>
    </row>
    <row r="24">
      <c r="A24" s="8" t="inlineStr">
        <is>
          <t>Margen EBITDA %</t>
        </is>
      </c>
      <c r="B24" s="11">
        <f>IF(B10=0,"",B23/B10)</f>
        <v/>
      </c>
      <c r="C24" s="11">
        <f>IF(C10=0,"",C23/C10)</f>
        <v/>
      </c>
      <c r="D24" s="24">
        <f>IFERROR($C24-$B24,"")</f>
        <v/>
      </c>
      <c r="E24" s="25" t="inlineStr">
        <is>
          <t>p.p.</t>
        </is>
      </c>
      <c r="F24" s="12" t="str">
        <f>IFERROR(IF(ISNUMBER($D24),IF($D24&gt;=-'Resumen Anual'!$B$24,"✅ OK",IF($D24&gt;=-'Resumen Anual'!$B$25,"⚠️ Atención","🔴 Alerta")),"—"),"—")</f>
        <v>—</v>
      </c>
    </row>
    <row r="25">
      <c r="A25" s="8" t="n"/>
      <c r="B25" s="23" t="n"/>
      <c r="C25" s="23" t="n"/>
    </row>
    <row r="26">
      <c r="A26" s="7" t="inlineStr">
        <is>
          <t>RATIOS AUTOMÁTICOS</t>
        </is>
      </c>
      <c r="B26" s="23" t="n"/>
      <c r="C26" s="23" t="n"/>
    </row>
    <row r="27">
      <c r="A27" s="8" t="inlineStr">
        <is>
          <t>Food Cost % (sobre ventas de comida)</t>
        </is>
      </c>
      <c r="B27" s="11">
        <f>IF((B10-B7)&lt;=0,"",B13/(B10-B7))</f>
        <v/>
      </c>
      <c r="C27" s="11">
        <f>IF((C10-C7)&lt;=0,"",C13/(C10-C7))</f>
        <v/>
      </c>
      <c r="D27" s="24">
        <f>IFERROR($C27-$B27,"")</f>
        <v/>
      </c>
      <c r="E27" s="25" t="inlineStr">
        <is>
          <t>p.p.</t>
        </is>
      </c>
      <c r="F27" s="12" t="str">
        <f>IFERROR(IF(ISNUMBER($D27),IF($D27&lt;='Resumen Anual'!$B$24,"✅ OK",IF($D27&lt;='Resumen Anual'!$B$25,"⚠️ Atención","🔴 Alerta")),"—"),"—")</f>
        <v>—</v>
      </c>
    </row>
    <row r="28">
      <c r="A28" s="8" t="inlineStr">
        <is>
          <t>Beverage Cost % (sobre ventas de barra)</t>
        </is>
      </c>
      <c r="B28" s="11">
        <f>IF(B7=0,"",B14/B7)</f>
        <v/>
      </c>
      <c r="C28" s="11">
        <f>IF(C7=0,"",C14/C7)</f>
        <v/>
      </c>
      <c r="D28" s="24">
        <f>IFERROR($C28-$B28,"")</f>
        <v/>
      </c>
      <c r="E28" s="25" t="inlineStr">
        <is>
          <t>p.p.</t>
        </is>
      </c>
      <c r="F28" s="12" t="str">
        <f>IFERROR(IF(ISNUMBER($D28),IF($D28&lt;='Resumen Anual'!$B$24,"✅ OK",IF($D28&lt;='Resumen Anual'!$B$25,"⚠️ Atención","🔴 Alerta")),"—"),"—")</f>
        <v>—</v>
      </c>
    </row>
    <row r="29">
      <c r="A29" s="8" t="inlineStr">
        <is>
          <t>Labor Cost %</t>
        </is>
      </c>
      <c r="B29" s="11">
        <f>IF(B10=0,"",B15/B10)</f>
        <v/>
      </c>
      <c r="C29" s="11">
        <f>IF(C10=0,"",C15/C10)</f>
        <v/>
      </c>
      <c r="D29" s="24">
        <f>IFERROR($C29-$B29,"")</f>
        <v/>
      </c>
      <c r="E29" s="25" t="inlineStr">
        <is>
          <t>p.p.</t>
        </is>
      </c>
      <c r="F29" s="12" t="str">
        <f>IFERROR(IF(ISNUMBER($D29),IF($D29&lt;='Resumen Anual'!$B$24,"✅ OK",IF($D29&lt;='Resumen Anual'!$B$25,"⚠️ Atención","🔴 Alerta")),"—"),"—")</f>
        <v>—</v>
      </c>
    </row>
    <row r="30">
      <c r="A30" s="8" t="inlineStr">
        <is>
          <t>Prime Cost % (comida + bebida + personal)</t>
        </is>
      </c>
      <c r="B30" s="11">
        <f>IF(B10=0,"",(B13+B14+B15)/B10)</f>
        <v/>
      </c>
      <c r="C30" s="11">
        <f>IF(C10=0,"",(C13+C14+C15)/C10)</f>
        <v/>
      </c>
      <c r="D30" s="24">
        <f>IFERROR($C30-$B30,"")</f>
        <v/>
      </c>
      <c r="E30" s="25" t="inlineStr">
        <is>
          <t>p.p.</t>
        </is>
      </c>
      <c r="F30" s="12" t="str">
        <f>IFERROR(IF(ISNUMBER($D30),IF($D30&lt;='Resumen Anual'!$B$24,"✅ OK",IF($D30&lt;='Resumen Anual'!$B$25,"⚠️ Atención","🔴 Alerta")),"—"),"—")</f>
        <v>—</v>
      </c>
    </row>
    <row r="31"/>
    <row r="32">
      <c r="A32" s="26" t="inlineStr">
        <is>
          <t>© 2026 AI Chef Pro · aichef.pro</t>
        </is>
      </c>
    </row>
    <row r="33"/>
    <row r="34"/>
    <row r="35"/>
    <row r="36"/>
    <row r="37"/>
    <row r="38"/>
    <row r="39"/>
    <row r="40"/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2">
    <mergeCell ref="A1:F1"/>
    <mergeCell ref="A2:F2"/>
  </mergeCells>
  <conditionalFormatting sqref="F6:F30">
    <cfRule type="containsText" priority="1" operator="containsText" dxfId="0" stopIfTrue="1" text="🔴 Alerta">
      <formula>NOT(ISERROR(SEARCH("🔴 Alerta",F6)))</formula>
    </cfRule>
    <cfRule type="containsText" priority="2" operator="containsText" dxfId="1" stopIfTrue="1" text="⚠️ Atención">
      <formula>NOT(ISERROR(SEARCH("⚠️ Atención",F6)))</formula>
    </cfRule>
    <cfRule type="containsText" priority="3" operator="containsText" dxfId="2" stopIfTrue="1" text="✅ OK">
      <formula>NOT(ISERROR(SEARCH("✅ OK",F6)))</formula>
    </cfRule>
  </conditionalFormatting>
  <dataValidations count="1">
    <dataValidation sqref="B6 B7 B8 B9 B13 B14 B15 B16 B17 B18 B19 B20 C6 C7 C8 C9 C13 C14 C15 C16 C17 C18 C19 C20" showDropDown="0" showInputMessage="0" showErrorMessage="1" allowBlank="1" errorTitle="Importe no válido" error="Escribe un número mayor o igual que 0." type="decimal" operator="greaterThanOrEqual">
      <formula1>0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F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>
      <c r="A1" s="5" t="inlineStr">
        <is>
          <t>P&amp;L Abr — Real vs Presupuesto</t>
        </is>
      </c>
    </row>
    <row r="2">
      <c r="A2" s="2" t="inlineStr">
        <is>
          <t>AI Chef Pro · aichef.pro — Kit Plan Financiero para Restaurantes</t>
        </is>
      </c>
    </row>
    <row r="3"/>
    <row r="4">
      <c r="A4" s="6" t="inlineStr">
        <is>
          <t>Concepto</t>
        </is>
      </c>
      <c r="B4" s="6" t="inlineStr">
        <is>
          <t>Presupuesto (€)</t>
        </is>
      </c>
      <c r="C4" s="6" t="inlineStr">
        <is>
          <t>Real (€)</t>
        </is>
      </c>
      <c r="D4" s="6" t="inlineStr">
        <is>
          <t>Desviación (€)</t>
        </is>
      </c>
      <c r="E4" s="6" t="inlineStr">
        <is>
          <t>Desviación %</t>
        </is>
      </c>
      <c r="F4" s="6" t="inlineStr">
        <is>
          <t>Semáforo</t>
        </is>
      </c>
    </row>
    <row r="5">
      <c r="A5" s="7" t="inlineStr">
        <is>
          <t>INGRESOS</t>
        </is>
      </c>
    </row>
    <row r="6">
      <c r="A6" s="8" t="inlineStr">
        <is>
          <t>Ventas Comedor (sin IVA)</t>
        </is>
      </c>
      <c r="B6" s="20" t="n">
        <v>0</v>
      </c>
      <c r="C6" s="20" t="n">
        <v>0</v>
      </c>
      <c r="D6" s="10">
        <f>C6-B6</f>
        <v>0.0</v>
      </c>
      <c r="E6" s="11">
        <f>IF($B6=0,"",IFERROR(($C6-$B6)/$B6,""))</f>
        <v/>
      </c>
      <c r="F6" s="12" t="str">
        <f>IFERROR(IF(ISNUMBER($E6),IF($E6&gt;=-'Resumen Anual'!$B$22,"✅ OK",IF($E6&gt;=-'Resumen Anual'!$B$23,"⚠️ Atención","🔴 Alerta")),"—"),"—")</f>
        <v>—</v>
      </c>
    </row>
    <row r="7">
      <c r="A7" s="8" t="inlineStr">
        <is>
          <t>Ventas Barra (sin IVA)</t>
        </is>
      </c>
      <c r="B7" s="20" t="n">
        <v>0</v>
      </c>
      <c r="C7" s="20" t="n">
        <v>0</v>
      </c>
      <c r="D7" s="10">
        <f>C7-B7</f>
        <v>0.0</v>
      </c>
      <c r="E7" s="11">
        <f>IF($B7=0,"",IFERROR(($C7-$B7)/$B7,""))</f>
        <v/>
      </c>
      <c r="F7" s="12" t="str">
        <f>IFERROR(IF(ISNUMBER($E7),IF($E7&gt;=-'Resumen Anual'!$B$22,"✅ OK",IF($E7&gt;=-'Resumen Anual'!$B$23,"⚠️ Atención","🔴 Alerta")),"—"),"—")</f>
        <v>—</v>
      </c>
    </row>
    <row r="8">
      <c r="A8" s="8" t="inlineStr">
        <is>
          <t>Ventas Delivery (sin IVA)</t>
        </is>
      </c>
      <c r="B8" s="20" t="n">
        <v>0</v>
      </c>
      <c r="C8" s="20" t="n">
        <v>0</v>
      </c>
      <c r="D8" s="10">
        <f>C8-B8</f>
        <v>0.0</v>
      </c>
      <c r="E8" s="11">
        <f>IF($B8=0,"",IFERROR(($C8-$B8)/$B8,""))</f>
        <v/>
      </c>
      <c r="F8" s="12" t="str">
        <f>IFERROR(IF(ISNUMBER($E8),IF($E8&gt;=-'Resumen Anual'!$B$22,"✅ OK",IF($E8&gt;=-'Resumen Anual'!$B$23,"⚠️ Atención","🔴 Alerta")),"—"),"—")</f>
        <v>—</v>
      </c>
    </row>
    <row r="9">
      <c r="A9" s="8" t="inlineStr">
        <is>
          <t>Eventos / Catering (sin IVA)</t>
        </is>
      </c>
      <c r="B9" s="20" t="n">
        <v>0</v>
      </c>
      <c r="C9" s="20" t="n">
        <v>0</v>
      </c>
      <c r="D9" s="10">
        <f>C9-B9</f>
        <v>0.0</v>
      </c>
      <c r="E9" s="11">
        <f>IF($B9=0,"",IFERROR(($C9-$B9)/$B9,""))</f>
        <v/>
      </c>
      <c r="F9" s="12" t="str">
        <f>IFERROR(IF(ISNUMBER($E9),IF($E9&gt;=-'Resumen Anual'!$B$22,"✅ OK",IF($E9&gt;=-'Resumen Anual'!$B$23,"⚠️ Atención","🔴 Alerta")),"—"),"—")</f>
        <v>—</v>
      </c>
    </row>
    <row r="10">
      <c r="A10" s="13" t="inlineStr">
        <is>
          <t>TOTAL INGRESOS (sin IVA)</t>
        </is>
      </c>
      <c r="B10" s="14">
        <f>B6+B7+B8+B9</f>
        <v>0.0</v>
      </c>
      <c r="C10" s="14">
        <f>C6+C7+C8+C9</f>
        <v>0.0</v>
      </c>
      <c r="D10" s="10">
        <f>C10-B10</f>
        <v>0.0</v>
      </c>
      <c r="E10" s="11">
        <f>IF($B10=0,"",IFERROR(($C10-$B10)/$B10,""))</f>
        <v/>
      </c>
      <c r="F10" s="12" t="str">
        <f>IFERROR(IF(ISNUMBER($E10),IF($E10&gt;=-'Resumen Anual'!$B$22,"✅ OK",IF($E10&gt;=-'Resumen Anual'!$B$23,"⚠️ Atención","🔴 Alerta")),"—"),"—")</f>
        <v>—</v>
      </c>
    </row>
    <row r="11"/>
    <row r="12">
      <c r="A12" s="7" t="inlineStr">
        <is>
          <t>GASTOS</t>
        </is>
      </c>
    </row>
    <row r="13">
      <c r="A13" s="8" t="inlineStr">
        <is>
          <t>Coste de comida (materia prima)</t>
        </is>
      </c>
      <c r="B13" s="21" t="n">
        <v>0</v>
      </c>
      <c r="C13" s="21" t="n">
        <v>0</v>
      </c>
      <c r="D13" s="10">
        <f>C13-B13</f>
        <v>0.0</v>
      </c>
      <c r="E13" s="11">
        <f>IF($B13=0,"",IFERROR(($C13-$B13)/$B13,""))</f>
        <v/>
      </c>
      <c r="F13" s="12" t="str">
        <f>IFERROR(IF(ISNUMBER($E13),IF($E13&lt;='Resumen Anual'!$B$22,"✅ OK",IF($E13&lt;='Resumen Anual'!$B$23,"⚠️ Atención","🔴 Alerta")),"—"),"—")</f>
        <v>—</v>
      </c>
    </row>
    <row r="14">
      <c r="A14" s="8" t="inlineStr">
        <is>
          <t>Coste de bebida (barra)</t>
        </is>
      </c>
      <c r="B14" s="21" t="n">
        <v>0</v>
      </c>
      <c r="C14" s="21" t="n">
        <v>0</v>
      </c>
      <c r="D14" s="10">
        <f>C14-B14</f>
        <v>0.0</v>
      </c>
      <c r="E14" s="11">
        <f>IF($B14=0,"",IFERROR(($C14-$B14)/$B14,""))</f>
        <v/>
      </c>
      <c r="F14" s="12" t="str">
        <f>IFERROR(IF(ISNUMBER($E14),IF($E14&lt;='Resumen Anual'!$B$22,"✅ OK",IF($E14&lt;='Resumen Anual'!$B$23,"⚠️ Atención","🔴 Alerta")),"—"),"—")</f>
        <v>—</v>
      </c>
    </row>
    <row r="15">
      <c r="A15" s="8" t="inlineStr">
        <is>
          <t>Personal (Labor)</t>
        </is>
      </c>
      <c r="B15" s="21" t="n">
        <v>0</v>
      </c>
      <c r="C15" s="21" t="n">
        <v>0</v>
      </c>
      <c r="D15" s="10">
        <f>C15-B15</f>
        <v>0.0</v>
      </c>
      <c r="E15" s="11">
        <f>IF($B15=0,"",IFERROR(($C15-$B15)/$B15,""))</f>
        <v/>
      </c>
      <c r="F15" s="12" t="str">
        <f>IFERROR(IF(ISNUMBER($E15),IF($E15&lt;='Resumen Anual'!$B$22,"✅ OK",IF($E15&lt;='Resumen Anual'!$B$23,"⚠️ Atención","🔴 Alerta")),"—"),"—")</f>
        <v>—</v>
      </c>
    </row>
    <row r="16">
      <c r="A16" s="8" t="inlineStr">
        <is>
          <t>Comisiones de plataformas (delivery)</t>
        </is>
      </c>
      <c r="B16" s="21" t="n">
        <v>0</v>
      </c>
      <c r="C16" s="21" t="n">
        <v>0</v>
      </c>
      <c r="D16" s="10">
        <f>C16-B16</f>
        <v>0.0</v>
      </c>
      <c r="E16" s="11">
        <f>IF($B16=0,"",IFERROR(($C16-$B16)/$B16,""))</f>
        <v/>
      </c>
      <c r="F16" s="12" t="str">
        <f>IFERROR(IF(ISNUMBER($E16),IF($E16&lt;='Resumen Anual'!$B$22,"✅ OK",IF($E16&lt;='Resumen Anual'!$B$23,"⚠️ Atención","🔴 Alerta")),"—"),"—")</f>
        <v>—</v>
      </c>
    </row>
    <row r="17">
      <c r="A17" s="8" t="inlineStr">
        <is>
          <t>Alquiler</t>
        </is>
      </c>
      <c r="B17" s="21" t="n">
        <v>0</v>
      </c>
      <c r="C17" s="21" t="n">
        <v>0</v>
      </c>
      <c r="D17" s="10">
        <f>C17-B17</f>
        <v>0.0</v>
      </c>
      <c r="E17" s="11">
        <f>IF($B17=0,"",IFERROR(($C17-$B17)/$B17,""))</f>
        <v/>
      </c>
      <c r="F17" s="12" t="str">
        <f>IFERROR(IF(ISNUMBER($E17),IF($E17&lt;='Resumen Anual'!$B$22,"✅ OK",IF($E17&lt;='Resumen Anual'!$B$23,"⚠️ Atención","🔴 Alerta")),"—"),"—")</f>
        <v>—</v>
      </c>
    </row>
    <row r="18">
      <c r="A18" s="8" t="inlineStr">
        <is>
          <t>Suministros</t>
        </is>
      </c>
      <c r="B18" s="21" t="n">
        <v>0</v>
      </c>
      <c r="C18" s="21" t="n">
        <v>0</v>
      </c>
      <c r="D18" s="10">
        <f>C18-B18</f>
        <v>0.0</v>
      </c>
      <c r="E18" s="11">
        <f>IF($B18=0,"",IFERROR(($C18-$B18)/$B18,""))</f>
        <v/>
      </c>
      <c r="F18" s="12" t="str">
        <f>IFERROR(IF(ISNUMBER($E18),IF($E18&lt;='Resumen Anual'!$B$22,"✅ OK",IF($E18&lt;='Resumen Anual'!$B$23,"⚠️ Atención","🔴 Alerta")),"—"),"—")</f>
        <v>—</v>
      </c>
    </row>
    <row r="19">
      <c r="A19" s="8" t="inlineStr">
        <is>
          <t>Marketing</t>
        </is>
      </c>
      <c r="B19" s="21" t="n">
        <v>0</v>
      </c>
      <c r="C19" s="21" t="n">
        <v>0</v>
      </c>
      <c r="D19" s="10">
        <f>C19-B19</f>
        <v>0.0</v>
      </c>
      <c r="E19" s="11">
        <f>IF($B19=0,"",IFERROR(($C19-$B19)/$B19,""))</f>
        <v/>
      </c>
      <c r="F19" s="12" t="str">
        <f>IFERROR(IF(ISNUMBER($E19),IF($E19&lt;='Resumen Anual'!$B$22,"✅ OK",IF($E19&lt;='Resumen Anual'!$B$23,"⚠️ Atención","🔴 Alerta")),"—"),"—")</f>
        <v>—</v>
      </c>
    </row>
    <row r="20">
      <c r="A20" s="8" t="inlineStr">
        <is>
          <t>Administración / Otros</t>
        </is>
      </c>
      <c r="B20" s="21" t="n">
        <v>0</v>
      </c>
      <c r="C20" s="21" t="n">
        <v>0</v>
      </c>
      <c r="D20" s="10">
        <f>C20-B20</f>
        <v>0.0</v>
      </c>
      <c r="E20" s="11">
        <f>IF($B20=0,"",IFERROR(($C20-$B20)/$B20,""))</f>
        <v/>
      </c>
      <c r="F20" s="12" t="str">
        <f>IFERROR(IF(ISNUMBER($E20),IF($E20&lt;='Resumen Anual'!$B$22,"✅ OK",IF($E20&lt;='Resumen Anual'!$B$23,"⚠️ Atención","🔴 Alerta")),"—"),"—")</f>
        <v>—</v>
      </c>
    </row>
    <row r="21">
      <c r="A21" s="13" t="inlineStr">
        <is>
          <t>TOTAL GASTOS</t>
        </is>
      </c>
      <c r="B21" s="14">
        <f>SUM(B13:B20)</f>
        <v>0.0</v>
      </c>
      <c r="C21" s="14">
        <f>SUM(C13:C20)</f>
        <v>0.0</v>
      </c>
      <c r="D21" s="14">
        <f>C21-B21</f>
        <v>0.0</v>
      </c>
      <c r="E21" s="22">
        <f>IF($B21=0,"",IFERROR(($C21-$B21)/$B21,""))</f>
        <v/>
      </c>
      <c r="F21" s="14" t="str">
        <f>IFERROR(IF(ISNUMBER($E21),IF($E21&lt;='Resumen Anual'!$B$22,"✅ OK",IF($E21&lt;='Resumen Anual'!$B$23,"⚠️ Atención","🔴 Alerta")),"—"),"—")</f>
        <v>—</v>
      </c>
    </row>
    <row r="22">
      <c r="A22" s="13" t="n"/>
      <c r="B22" s="23" t="n"/>
      <c r="C22" s="23" t="n"/>
    </row>
    <row r="23">
      <c r="A23" s="13" t="inlineStr">
        <is>
          <t>EBITDA</t>
        </is>
      </c>
      <c r="B23" s="14">
        <f>B10-B21</f>
        <v>0.0</v>
      </c>
      <c r="C23" s="14">
        <f>C10-C21</f>
        <v>0.0</v>
      </c>
      <c r="D23" s="14">
        <f>C23-B23</f>
        <v>0.0</v>
      </c>
      <c r="E23" s="22">
        <f>IF($B23=0,"",IFERROR(($C23-$B23)/ABS($B23),""))</f>
        <v/>
      </c>
      <c r="F23" s="14" t="str">
        <f>IFERROR(IF(ISNUMBER($E23),IF($E23&gt;=-'Resumen Anual'!$B$22,"✅ OK",IF($E23&gt;=-'Resumen Anual'!$B$23,"⚠️ Atención","🔴 Alerta")),"—"),"—")</f>
        <v>—</v>
      </c>
    </row>
    <row r="24">
      <c r="A24" s="8" t="inlineStr">
        <is>
          <t>Margen EBITDA %</t>
        </is>
      </c>
      <c r="B24" s="11">
        <f>IF(B10=0,"",B23/B10)</f>
        <v/>
      </c>
      <c r="C24" s="11">
        <f>IF(C10=0,"",C23/C10)</f>
        <v/>
      </c>
      <c r="D24" s="24">
        <f>IFERROR($C24-$B24,"")</f>
        <v/>
      </c>
      <c r="E24" s="25" t="inlineStr">
        <is>
          <t>p.p.</t>
        </is>
      </c>
      <c r="F24" s="12" t="str">
        <f>IFERROR(IF(ISNUMBER($D24),IF($D24&gt;=-'Resumen Anual'!$B$24,"✅ OK",IF($D24&gt;=-'Resumen Anual'!$B$25,"⚠️ Atención","🔴 Alerta")),"—"),"—")</f>
        <v>—</v>
      </c>
    </row>
    <row r="25">
      <c r="A25" s="8" t="n"/>
      <c r="B25" s="23" t="n"/>
      <c r="C25" s="23" t="n"/>
    </row>
    <row r="26">
      <c r="A26" s="7" t="inlineStr">
        <is>
          <t>RATIOS AUTOMÁTICOS</t>
        </is>
      </c>
      <c r="B26" s="23" t="n"/>
      <c r="C26" s="23" t="n"/>
    </row>
    <row r="27">
      <c r="A27" s="8" t="inlineStr">
        <is>
          <t>Food Cost % (sobre ventas de comida)</t>
        </is>
      </c>
      <c r="B27" s="11">
        <f>IF((B10-B7)&lt;=0,"",B13/(B10-B7))</f>
        <v/>
      </c>
      <c r="C27" s="11">
        <f>IF((C10-C7)&lt;=0,"",C13/(C10-C7))</f>
        <v/>
      </c>
      <c r="D27" s="24">
        <f>IFERROR($C27-$B27,"")</f>
        <v/>
      </c>
      <c r="E27" s="25" t="inlineStr">
        <is>
          <t>p.p.</t>
        </is>
      </c>
      <c r="F27" s="12" t="str">
        <f>IFERROR(IF(ISNUMBER($D27),IF($D27&lt;='Resumen Anual'!$B$24,"✅ OK",IF($D27&lt;='Resumen Anual'!$B$25,"⚠️ Atención","🔴 Alerta")),"—"),"—")</f>
        <v>—</v>
      </c>
    </row>
    <row r="28">
      <c r="A28" s="8" t="inlineStr">
        <is>
          <t>Beverage Cost % (sobre ventas de barra)</t>
        </is>
      </c>
      <c r="B28" s="11">
        <f>IF(B7=0,"",B14/B7)</f>
        <v/>
      </c>
      <c r="C28" s="11">
        <f>IF(C7=0,"",C14/C7)</f>
        <v/>
      </c>
      <c r="D28" s="24">
        <f>IFERROR($C28-$B28,"")</f>
        <v/>
      </c>
      <c r="E28" s="25" t="inlineStr">
        <is>
          <t>p.p.</t>
        </is>
      </c>
      <c r="F28" s="12" t="str">
        <f>IFERROR(IF(ISNUMBER($D28),IF($D28&lt;='Resumen Anual'!$B$24,"✅ OK",IF($D28&lt;='Resumen Anual'!$B$25,"⚠️ Atención","🔴 Alerta")),"—"),"—")</f>
        <v>—</v>
      </c>
    </row>
    <row r="29">
      <c r="A29" s="8" t="inlineStr">
        <is>
          <t>Labor Cost %</t>
        </is>
      </c>
      <c r="B29" s="11">
        <f>IF(B10=0,"",B15/B10)</f>
        <v/>
      </c>
      <c r="C29" s="11">
        <f>IF(C10=0,"",C15/C10)</f>
        <v/>
      </c>
      <c r="D29" s="24">
        <f>IFERROR($C29-$B29,"")</f>
        <v/>
      </c>
      <c r="E29" s="25" t="inlineStr">
        <is>
          <t>p.p.</t>
        </is>
      </c>
      <c r="F29" s="12" t="str">
        <f>IFERROR(IF(ISNUMBER($D29),IF($D29&lt;='Resumen Anual'!$B$24,"✅ OK",IF($D29&lt;='Resumen Anual'!$B$25,"⚠️ Atención","🔴 Alerta")),"—"),"—")</f>
        <v>—</v>
      </c>
    </row>
    <row r="30">
      <c r="A30" s="8" t="inlineStr">
        <is>
          <t>Prime Cost % (comida + bebida + personal)</t>
        </is>
      </c>
      <c r="B30" s="11">
        <f>IF(B10=0,"",(B13+B14+B15)/B10)</f>
        <v/>
      </c>
      <c r="C30" s="11">
        <f>IF(C10=0,"",(C13+C14+C15)/C10)</f>
        <v/>
      </c>
      <c r="D30" s="24">
        <f>IFERROR($C30-$B30,"")</f>
        <v/>
      </c>
      <c r="E30" s="25" t="inlineStr">
        <is>
          <t>p.p.</t>
        </is>
      </c>
      <c r="F30" s="12" t="str">
        <f>IFERROR(IF(ISNUMBER($D30),IF($D30&lt;='Resumen Anual'!$B$24,"✅ OK",IF($D30&lt;='Resumen Anual'!$B$25,"⚠️ Atención","🔴 Alerta")),"—"),"—")</f>
        <v>—</v>
      </c>
    </row>
    <row r="31"/>
    <row r="32">
      <c r="A32" s="26" t="inlineStr">
        <is>
          <t>© 2026 AI Chef Pro · aichef.pro</t>
        </is>
      </c>
    </row>
    <row r="33"/>
    <row r="34"/>
    <row r="35"/>
    <row r="36"/>
    <row r="37"/>
    <row r="38"/>
    <row r="39"/>
    <row r="40"/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2">
    <mergeCell ref="A1:F1"/>
    <mergeCell ref="A2:F2"/>
  </mergeCells>
  <conditionalFormatting sqref="F6:F30">
    <cfRule type="containsText" priority="1" operator="containsText" dxfId="0" stopIfTrue="1" text="🔴 Alerta">
      <formula>NOT(ISERROR(SEARCH("🔴 Alerta",F6)))</formula>
    </cfRule>
    <cfRule type="containsText" priority="2" operator="containsText" dxfId="1" stopIfTrue="1" text="⚠️ Atención">
      <formula>NOT(ISERROR(SEARCH("⚠️ Atención",F6)))</formula>
    </cfRule>
    <cfRule type="containsText" priority="3" operator="containsText" dxfId="2" stopIfTrue="1" text="✅ OK">
      <formula>NOT(ISERROR(SEARCH("✅ OK",F6)))</formula>
    </cfRule>
  </conditionalFormatting>
  <dataValidations count="1">
    <dataValidation sqref="B6 B7 B8 B9 B13 B14 B15 B16 B17 B18 B19 B20 C6 C7 C8 C9 C13 C14 C15 C16 C17 C18 C19 C20" showDropDown="0" showInputMessage="0" showErrorMessage="1" allowBlank="1" errorTitle="Importe no válido" error="Escribe un número mayor o igual que 0." type="decimal" operator="greaterThanOrEqual">
      <formula1>0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F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>
      <c r="A1" s="5" t="inlineStr">
        <is>
          <t>P&amp;L May — Real vs Presupuesto</t>
        </is>
      </c>
    </row>
    <row r="2">
      <c r="A2" s="2" t="inlineStr">
        <is>
          <t>AI Chef Pro · aichef.pro — Kit Plan Financiero para Restaurantes</t>
        </is>
      </c>
    </row>
    <row r="3"/>
    <row r="4">
      <c r="A4" s="6" t="inlineStr">
        <is>
          <t>Concepto</t>
        </is>
      </c>
      <c r="B4" s="6" t="inlineStr">
        <is>
          <t>Presupuesto (€)</t>
        </is>
      </c>
      <c r="C4" s="6" t="inlineStr">
        <is>
          <t>Real (€)</t>
        </is>
      </c>
      <c r="D4" s="6" t="inlineStr">
        <is>
          <t>Desviación (€)</t>
        </is>
      </c>
      <c r="E4" s="6" t="inlineStr">
        <is>
          <t>Desviación %</t>
        </is>
      </c>
      <c r="F4" s="6" t="inlineStr">
        <is>
          <t>Semáforo</t>
        </is>
      </c>
    </row>
    <row r="5">
      <c r="A5" s="7" t="inlineStr">
        <is>
          <t>INGRESOS</t>
        </is>
      </c>
    </row>
    <row r="6">
      <c r="A6" s="8" t="inlineStr">
        <is>
          <t>Ventas Comedor (sin IVA)</t>
        </is>
      </c>
      <c r="B6" s="20" t="n">
        <v>0</v>
      </c>
      <c r="C6" s="20" t="n">
        <v>0</v>
      </c>
      <c r="D6" s="10">
        <f>C6-B6</f>
        <v>0.0</v>
      </c>
      <c r="E6" s="11">
        <f>IF($B6=0,"",IFERROR(($C6-$B6)/$B6,""))</f>
        <v/>
      </c>
      <c r="F6" s="12" t="str">
        <f>IFERROR(IF(ISNUMBER($E6),IF($E6&gt;=-'Resumen Anual'!$B$22,"✅ OK",IF($E6&gt;=-'Resumen Anual'!$B$23,"⚠️ Atención","🔴 Alerta")),"—"),"—")</f>
        <v>—</v>
      </c>
    </row>
    <row r="7">
      <c r="A7" s="8" t="inlineStr">
        <is>
          <t>Ventas Barra (sin IVA)</t>
        </is>
      </c>
      <c r="B7" s="20" t="n">
        <v>0</v>
      </c>
      <c r="C7" s="20" t="n">
        <v>0</v>
      </c>
      <c r="D7" s="10">
        <f>C7-B7</f>
        <v>0.0</v>
      </c>
      <c r="E7" s="11">
        <f>IF($B7=0,"",IFERROR(($C7-$B7)/$B7,""))</f>
        <v/>
      </c>
      <c r="F7" s="12" t="str">
        <f>IFERROR(IF(ISNUMBER($E7),IF($E7&gt;=-'Resumen Anual'!$B$22,"✅ OK",IF($E7&gt;=-'Resumen Anual'!$B$23,"⚠️ Atención","🔴 Alerta")),"—"),"—")</f>
        <v>—</v>
      </c>
    </row>
    <row r="8">
      <c r="A8" s="8" t="inlineStr">
        <is>
          <t>Ventas Delivery (sin IVA)</t>
        </is>
      </c>
      <c r="B8" s="20" t="n">
        <v>0</v>
      </c>
      <c r="C8" s="20" t="n">
        <v>0</v>
      </c>
      <c r="D8" s="10">
        <f>C8-B8</f>
        <v>0.0</v>
      </c>
      <c r="E8" s="11">
        <f>IF($B8=0,"",IFERROR(($C8-$B8)/$B8,""))</f>
        <v/>
      </c>
      <c r="F8" s="12" t="str">
        <f>IFERROR(IF(ISNUMBER($E8),IF($E8&gt;=-'Resumen Anual'!$B$22,"✅ OK",IF($E8&gt;=-'Resumen Anual'!$B$23,"⚠️ Atención","🔴 Alerta")),"—"),"—")</f>
        <v>—</v>
      </c>
    </row>
    <row r="9">
      <c r="A9" s="8" t="inlineStr">
        <is>
          <t>Eventos / Catering (sin IVA)</t>
        </is>
      </c>
      <c r="B9" s="20" t="n">
        <v>0</v>
      </c>
      <c r="C9" s="20" t="n">
        <v>0</v>
      </c>
      <c r="D9" s="10">
        <f>C9-B9</f>
        <v>0.0</v>
      </c>
      <c r="E9" s="11">
        <f>IF($B9=0,"",IFERROR(($C9-$B9)/$B9,""))</f>
        <v/>
      </c>
      <c r="F9" s="12" t="str">
        <f>IFERROR(IF(ISNUMBER($E9),IF($E9&gt;=-'Resumen Anual'!$B$22,"✅ OK",IF($E9&gt;=-'Resumen Anual'!$B$23,"⚠️ Atención","🔴 Alerta")),"—"),"—")</f>
        <v>—</v>
      </c>
    </row>
    <row r="10">
      <c r="A10" s="13" t="inlineStr">
        <is>
          <t>TOTAL INGRESOS (sin IVA)</t>
        </is>
      </c>
      <c r="B10" s="14">
        <f>B6+B7+B8+B9</f>
        <v>0.0</v>
      </c>
      <c r="C10" s="14">
        <f>C6+C7+C8+C9</f>
        <v>0.0</v>
      </c>
      <c r="D10" s="10">
        <f>C10-B10</f>
        <v>0.0</v>
      </c>
      <c r="E10" s="11">
        <f>IF($B10=0,"",IFERROR(($C10-$B10)/$B10,""))</f>
        <v/>
      </c>
      <c r="F10" s="12" t="str">
        <f>IFERROR(IF(ISNUMBER($E10),IF($E10&gt;=-'Resumen Anual'!$B$22,"✅ OK",IF($E10&gt;=-'Resumen Anual'!$B$23,"⚠️ Atención","🔴 Alerta")),"—"),"—")</f>
        <v>—</v>
      </c>
    </row>
    <row r="11"/>
    <row r="12">
      <c r="A12" s="7" t="inlineStr">
        <is>
          <t>GASTOS</t>
        </is>
      </c>
    </row>
    <row r="13">
      <c r="A13" s="8" t="inlineStr">
        <is>
          <t>Coste de comida (materia prima)</t>
        </is>
      </c>
      <c r="B13" s="21" t="n">
        <v>0</v>
      </c>
      <c r="C13" s="21" t="n">
        <v>0</v>
      </c>
      <c r="D13" s="10">
        <f>C13-B13</f>
        <v>0.0</v>
      </c>
      <c r="E13" s="11">
        <f>IF($B13=0,"",IFERROR(($C13-$B13)/$B13,""))</f>
        <v/>
      </c>
      <c r="F13" s="12" t="str">
        <f>IFERROR(IF(ISNUMBER($E13),IF($E13&lt;='Resumen Anual'!$B$22,"✅ OK",IF($E13&lt;='Resumen Anual'!$B$23,"⚠️ Atención","🔴 Alerta")),"—"),"—")</f>
        <v>—</v>
      </c>
    </row>
    <row r="14">
      <c r="A14" s="8" t="inlineStr">
        <is>
          <t>Coste de bebida (barra)</t>
        </is>
      </c>
      <c r="B14" s="21" t="n">
        <v>0</v>
      </c>
      <c r="C14" s="21" t="n">
        <v>0</v>
      </c>
      <c r="D14" s="10">
        <f>C14-B14</f>
        <v>0.0</v>
      </c>
      <c r="E14" s="11">
        <f>IF($B14=0,"",IFERROR(($C14-$B14)/$B14,""))</f>
        <v/>
      </c>
      <c r="F14" s="12" t="str">
        <f>IFERROR(IF(ISNUMBER($E14),IF($E14&lt;='Resumen Anual'!$B$22,"✅ OK",IF($E14&lt;='Resumen Anual'!$B$23,"⚠️ Atención","🔴 Alerta")),"—"),"—")</f>
        <v>—</v>
      </c>
    </row>
    <row r="15">
      <c r="A15" s="8" t="inlineStr">
        <is>
          <t>Personal (Labor)</t>
        </is>
      </c>
      <c r="B15" s="21" t="n">
        <v>0</v>
      </c>
      <c r="C15" s="21" t="n">
        <v>0</v>
      </c>
      <c r="D15" s="10">
        <f>C15-B15</f>
        <v>0.0</v>
      </c>
      <c r="E15" s="11">
        <f>IF($B15=0,"",IFERROR(($C15-$B15)/$B15,""))</f>
        <v/>
      </c>
      <c r="F15" s="12" t="str">
        <f>IFERROR(IF(ISNUMBER($E15),IF($E15&lt;='Resumen Anual'!$B$22,"✅ OK",IF($E15&lt;='Resumen Anual'!$B$23,"⚠️ Atención","🔴 Alerta")),"—"),"—")</f>
        <v>—</v>
      </c>
    </row>
    <row r="16">
      <c r="A16" s="8" t="inlineStr">
        <is>
          <t>Comisiones de plataformas (delivery)</t>
        </is>
      </c>
      <c r="B16" s="21" t="n">
        <v>0</v>
      </c>
      <c r="C16" s="21" t="n">
        <v>0</v>
      </c>
      <c r="D16" s="10">
        <f>C16-B16</f>
        <v>0.0</v>
      </c>
      <c r="E16" s="11">
        <f>IF($B16=0,"",IFERROR(($C16-$B16)/$B16,""))</f>
        <v/>
      </c>
      <c r="F16" s="12" t="str">
        <f>IFERROR(IF(ISNUMBER($E16),IF($E16&lt;='Resumen Anual'!$B$22,"✅ OK",IF($E16&lt;='Resumen Anual'!$B$23,"⚠️ Atención","🔴 Alerta")),"—"),"—")</f>
        <v>—</v>
      </c>
    </row>
    <row r="17">
      <c r="A17" s="8" t="inlineStr">
        <is>
          <t>Alquiler</t>
        </is>
      </c>
      <c r="B17" s="21" t="n">
        <v>0</v>
      </c>
      <c r="C17" s="21" t="n">
        <v>0</v>
      </c>
      <c r="D17" s="10">
        <f>C17-B17</f>
        <v>0.0</v>
      </c>
      <c r="E17" s="11">
        <f>IF($B17=0,"",IFERROR(($C17-$B17)/$B17,""))</f>
        <v/>
      </c>
      <c r="F17" s="12" t="str">
        <f>IFERROR(IF(ISNUMBER($E17),IF($E17&lt;='Resumen Anual'!$B$22,"✅ OK",IF($E17&lt;='Resumen Anual'!$B$23,"⚠️ Atención","🔴 Alerta")),"—"),"—")</f>
        <v>—</v>
      </c>
    </row>
    <row r="18">
      <c r="A18" s="8" t="inlineStr">
        <is>
          <t>Suministros</t>
        </is>
      </c>
      <c r="B18" s="21" t="n">
        <v>0</v>
      </c>
      <c r="C18" s="21" t="n">
        <v>0</v>
      </c>
      <c r="D18" s="10">
        <f>C18-B18</f>
        <v>0.0</v>
      </c>
      <c r="E18" s="11">
        <f>IF($B18=0,"",IFERROR(($C18-$B18)/$B18,""))</f>
        <v/>
      </c>
      <c r="F18" s="12" t="str">
        <f>IFERROR(IF(ISNUMBER($E18),IF($E18&lt;='Resumen Anual'!$B$22,"✅ OK",IF($E18&lt;='Resumen Anual'!$B$23,"⚠️ Atención","🔴 Alerta")),"—"),"—")</f>
        <v>—</v>
      </c>
    </row>
    <row r="19">
      <c r="A19" s="8" t="inlineStr">
        <is>
          <t>Marketing</t>
        </is>
      </c>
      <c r="B19" s="21" t="n">
        <v>0</v>
      </c>
      <c r="C19" s="21" t="n">
        <v>0</v>
      </c>
      <c r="D19" s="10">
        <f>C19-B19</f>
        <v>0.0</v>
      </c>
      <c r="E19" s="11">
        <f>IF($B19=0,"",IFERROR(($C19-$B19)/$B19,""))</f>
        <v/>
      </c>
      <c r="F19" s="12" t="str">
        <f>IFERROR(IF(ISNUMBER($E19),IF($E19&lt;='Resumen Anual'!$B$22,"✅ OK",IF($E19&lt;='Resumen Anual'!$B$23,"⚠️ Atención","🔴 Alerta")),"—"),"—")</f>
        <v>—</v>
      </c>
    </row>
    <row r="20">
      <c r="A20" s="8" t="inlineStr">
        <is>
          <t>Administración / Otros</t>
        </is>
      </c>
      <c r="B20" s="21" t="n">
        <v>0</v>
      </c>
      <c r="C20" s="21" t="n">
        <v>0</v>
      </c>
      <c r="D20" s="10">
        <f>C20-B20</f>
        <v>0.0</v>
      </c>
      <c r="E20" s="11">
        <f>IF($B20=0,"",IFERROR(($C20-$B20)/$B20,""))</f>
        <v/>
      </c>
      <c r="F20" s="12" t="str">
        <f>IFERROR(IF(ISNUMBER($E20),IF($E20&lt;='Resumen Anual'!$B$22,"✅ OK",IF($E20&lt;='Resumen Anual'!$B$23,"⚠️ Atención","🔴 Alerta")),"—"),"—")</f>
        <v>—</v>
      </c>
    </row>
    <row r="21">
      <c r="A21" s="13" t="inlineStr">
        <is>
          <t>TOTAL GASTOS</t>
        </is>
      </c>
      <c r="B21" s="14">
        <f>SUM(B13:B20)</f>
        <v>0.0</v>
      </c>
      <c r="C21" s="14">
        <f>SUM(C13:C20)</f>
        <v>0.0</v>
      </c>
      <c r="D21" s="14">
        <f>C21-B21</f>
        <v>0.0</v>
      </c>
      <c r="E21" s="22">
        <f>IF($B21=0,"",IFERROR(($C21-$B21)/$B21,""))</f>
        <v/>
      </c>
      <c r="F21" s="14" t="str">
        <f>IFERROR(IF(ISNUMBER($E21),IF($E21&lt;='Resumen Anual'!$B$22,"✅ OK",IF($E21&lt;='Resumen Anual'!$B$23,"⚠️ Atención","🔴 Alerta")),"—"),"—")</f>
        <v>—</v>
      </c>
    </row>
    <row r="22">
      <c r="A22" s="13" t="n"/>
      <c r="B22" s="23" t="n"/>
      <c r="C22" s="23" t="n"/>
    </row>
    <row r="23">
      <c r="A23" s="13" t="inlineStr">
        <is>
          <t>EBITDA</t>
        </is>
      </c>
      <c r="B23" s="14">
        <f>B10-B21</f>
        <v>0.0</v>
      </c>
      <c r="C23" s="14">
        <f>C10-C21</f>
        <v>0.0</v>
      </c>
      <c r="D23" s="14">
        <f>C23-B23</f>
        <v>0.0</v>
      </c>
      <c r="E23" s="22">
        <f>IF($B23=0,"",IFERROR(($C23-$B23)/ABS($B23),""))</f>
        <v/>
      </c>
      <c r="F23" s="14" t="str">
        <f>IFERROR(IF(ISNUMBER($E23),IF($E23&gt;=-'Resumen Anual'!$B$22,"✅ OK",IF($E23&gt;=-'Resumen Anual'!$B$23,"⚠️ Atención","🔴 Alerta")),"—"),"—")</f>
        <v>—</v>
      </c>
    </row>
    <row r="24">
      <c r="A24" s="8" t="inlineStr">
        <is>
          <t>Margen EBITDA %</t>
        </is>
      </c>
      <c r="B24" s="11">
        <f>IF(B10=0,"",B23/B10)</f>
        <v/>
      </c>
      <c r="C24" s="11">
        <f>IF(C10=0,"",C23/C10)</f>
        <v/>
      </c>
      <c r="D24" s="24">
        <f>IFERROR($C24-$B24,"")</f>
        <v/>
      </c>
      <c r="E24" s="25" t="inlineStr">
        <is>
          <t>p.p.</t>
        </is>
      </c>
      <c r="F24" s="12" t="str">
        <f>IFERROR(IF(ISNUMBER($D24),IF($D24&gt;=-'Resumen Anual'!$B$24,"✅ OK",IF($D24&gt;=-'Resumen Anual'!$B$25,"⚠️ Atención","🔴 Alerta")),"—"),"—")</f>
        <v>—</v>
      </c>
    </row>
    <row r="25">
      <c r="A25" s="8" t="n"/>
      <c r="B25" s="23" t="n"/>
      <c r="C25" s="23" t="n"/>
    </row>
    <row r="26">
      <c r="A26" s="7" t="inlineStr">
        <is>
          <t>RATIOS AUTOMÁTICOS</t>
        </is>
      </c>
      <c r="B26" s="23" t="n"/>
      <c r="C26" s="23" t="n"/>
    </row>
    <row r="27">
      <c r="A27" s="8" t="inlineStr">
        <is>
          <t>Food Cost % (sobre ventas de comida)</t>
        </is>
      </c>
      <c r="B27" s="11">
        <f>IF((B10-B7)&lt;=0,"",B13/(B10-B7))</f>
        <v/>
      </c>
      <c r="C27" s="11">
        <f>IF((C10-C7)&lt;=0,"",C13/(C10-C7))</f>
        <v/>
      </c>
      <c r="D27" s="24">
        <f>IFERROR($C27-$B27,"")</f>
        <v/>
      </c>
      <c r="E27" s="25" t="inlineStr">
        <is>
          <t>p.p.</t>
        </is>
      </c>
      <c r="F27" s="12" t="str">
        <f>IFERROR(IF(ISNUMBER($D27),IF($D27&lt;='Resumen Anual'!$B$24,"✅ OK",IF($D27&lt;='Resumen Anual'!$B$25,"⚠️ Atención","🔴 Alerta")),"—"),"—")</f>
        <v>—</v>
      </c>
    </row>
    <row r="28">
      <c r="A28" s="8" t="inlineStr">
        <is>
          <t>Beverage Cost % (sobre ventas de barra)</t>
        </is>
      </c>
      <c r="B28" s="11">
        <f>IF(B7=0,"",B14/B7)</f>
        <v/>
      </c>
      <c r="C28" s="11">
        <f>IF(C7=0,"",C14/C7)</f>
        <v/>
      </c>
      <c r="D28" s="24">
        <f>IFERROR($C28-$B28,"")</f>
        <v/>
      </c>
      <c r="E28" s="25" t="inlineStr">
        <is>
          <t>p.p.</t>
        </is>
      </c>
      <c r="F28" s="12" t="str">
        <f>IFERROR(IF(ISNUMBER($D28),IF($D28&lt;='Resumen Anual'!$B$24,"✅ OK",IF($D28&lt;='Resumen Anual'!$B$25,"⚠️ Atención","🔴 Alerta")),"—"),"—")</f>
        <v>—</v>
      </c>
    </row>
    <row r="29">
      <c r="A29" s="8" t="inlineStr">
        <is>
          <t>Labor Cost %</t>
        </is>
      </c>
      <c r="B29" s="11">
        <f>IF(B10=0,"",B15/B10)</f>
        <v/>
      </c>
      <c r="C29" s="11">
        <f>IF(C10=0,"",C15/C10)</f>
        <v/>
      </c>
      <c r="D29" s="24">
        <f>IFERROR($C29-$B29,"")</f>
        <v/>
      </c>
      <c r="E29" s="25" t="inlineStr">
        <is>
          <t>p.p.</t>
        </is>
      </c>
      <c r="F29" s="12" t="str">
        <f>IFERROR(IF(ISNUMBER($D29),IF($D29&lt;='Resumen Anual'!$B$24,"✅ OK",IF($D29&lt;='Resumen Anual'!$B$25,"⚠️ Atención","🔴 Alerta")),"—"),"—")</f>
        <v>—</v>
      </c>
    </row>
    <row r="30">
      <c r="A30" s="8" t="inlineStr">
        <is>
          <t>Prime Cost % (comida + bebida + personal)</t>
        </is>
      </c>
      <c r="B30" s="11">
        <f>IF(B10=0,"",(B13+B14+B15)/B10)</f>
        <v/>
      </c>
      <c r="C30" s="11">
        <f>IF(C10=0,"",(C13+C14+C15)/C10)</f>
        <v/>
      </c>
      <c r="D30" s="24">
        <f>IFERROR($C30-$B30,"")</f>
        <v/>
      </c>
      <c r="E30" s="25" t="inlineStr">
        <is>
          <t>p.p.</t>
        </is>
      </c>
      <c r="F30" s="12" t="str">
        <f>IFERROR(IF(ISNUMBER($D30),IF($D30&lt;='Resumen Anual'!$B$24,"✅ OK",IF($D30&lt;='Resumen Anual'!$B$25,"⚠️ Atención","🔴 Alerta")),"—"),"—")</f>
        <v>—</v>
      </c>
    </row>
    <row r="31"/>
    <row r="32">
      <c r="A32" s="26" t="inlineStr">
        <is>
          <t>© 2026 AI Chef Pro · aichef.pro</t>
        </is>
      </c>
    </row>
    <row r="33"/>
    <row r="34"/>
    <row r="35"/>
    <row r="36"/>
    <row r="37"/>
    <row r="38"/>
    <row r="39"/>
    <row r="40"/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2">
    <mergeCell ref="A1:F1"/>
    <mergeCell ref="A2:F2"/>
  </mergeCells>
  <conditionalFormatting sqref="F6:F30">
    <cfRule type="containsText" priority="1" operator="containsText" dxfId="0" stopIfTrue="1" text="🔴 Alerta">
      <formula>NOT(ISERROR(SEARCH("🔴 Alerta",F6)))</formula>
    </cfRule>
    <cfRule type="containsText" priority="2" operator="containsText" dxfId="1" stopIfTrue="1" text="⚠️ Atención">
      <formula>NOT(ISERROR(SEARCH("⚠️ Atención",F6)))</formula>
    </cfRule>
    <cfRule type="containsText" priority="3" operator="containsText" dxfId="2" stopIfTrue="1" text="✅ OK">
      <formula>NOT(ISERROR(SEARCH("✅ OK",F6)))</formula>
    </cfRule>
  </conditionalFormatting>
  <dataValidations count="1">
    <dataValidation sqref="B6 B7 B8 B9 B13 B14 B15 B16 B17 B18 B19 B20 C6 C7 C8 C9 C13 C14 C15 C16 C17 C18 C19 C20" showDropDown="0" showInputMessage="0" showErrorMessage="1" allowBlank="1" errorTitle="Importe no válido" error="Escribe un número mayor o igual que 0." type="decimal" operator="greaterThanOrEqual">
      <formula1>0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F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>
      <c r="A1" s="5" t="inlineStr">
        <is>
          <t>P&amp;L Jun — Real vs Presupuesto</t>
        </is>
      </c>
    </row>
    <row r="2">
      <c r="A2" s="2" t="inlineStr">
        <is>
          <t>AI Chef Pro · aichef.pro — Kit Plan Financiero para Restaurantes</t>
        </is>
      </c>
    </row>
    <row r="3"/>
    <row r="4">
      <c r="A4" s="6" t="inlineStr">
        <is>
          <t>Concepto</t>
        </is>
      </c>
      <c r="B4" s="6" t="inlineStr">
        <is>
          <t>Presupuesto (€)</t>
        </is>
      </c>
      <c r="C4" s="6" t="inlineStr">
        <is>
          <t>Real (€)</t>
        </is>
      </c>
      <c r="D4" s="6" t="inlineStr">
        <is>
          <t>Desviación (€)</t>
        </is>
      </c>
      <c r="E4" s="6" t="inlineStr">
        <is>
          <t>Desviación %</t>
        </is>
      </c>
      <c r="F4" s="6" t="inlineStr">
        <is>
          <t>Semáforo</t>
        </is>
      </c>
    </row>
    <row r="5">
      <c r="A5" s="7" t="inlineStr">
        <is>
          <t>INGRESOS</t>
        </is>
      </c>
    </row>
    <row r="6">
      <c r="A6" s="8" t="inlineStr">
        <is>
          <t>Ventas Comedor (sin IVA)</t>
        </is>
      </c>
      <c r="B6" s="20" t="n">
        <v>0</v>
      </c>
      <c r="C6" s="20" t="n">
        <v>0</v>
      </c>
      <c r="D6" s="10">
        <f>C6-B6</f>
        <v>0.0</v>
      </c>
      <c r="E6" s="11">
        <f>IF($B6=0,"",IFERROR(($C6-$B6)/$B6,""))</f>
        <v/>
      </c>
      <c r="F6" s="12" t="str">
        <f>IFERROR(IF(ISNUMBER($E6),IF($E6&gt;=-'Resumen Anual'!$B$22,"✅ OK",IF($E6&gt;=-'Resumen Anual'!$B$23,"⚠️ Atención","🔴 Alerta")),"—"),"—")</f>
        <v>—</v>
      </c>
    </row>
    <row r="7">
      <c r="A7" s="8" t="inlineStr">
        <is>
          <t>Ventas Barra (sin IVA)</t>
        </is>
      </c>
      <c r="B7" s="20" t="n">
        <v>0</v>
      </c>
      <c r="C7" s="20" t="n">
        <v>0</v>
      </c>
      <c r="D7" s="10">
        <f>C7-B7</f>
        <v>0.0</v>
      </c>
      <c r="E7" s="11">
        <f>IF($B7=0,"",IFERROR(($C7-$B7)/$B7,""))</f>
        <v/>
      </c>
      <c r="F7" s="12" t="str">
        <f>IFERROR(IF(ISNUMBER($E7),IF($E7&gt;=-'Resumen Anual'!$B$22,"✅ OK",IF($E7&gt;=-'Resumen Anual'!$B$23,"⚠️ Atención","🔴 Alerta")),"—"),"—")</f>
        <v>—</v>
      </c>
    </row>
    <row r="8">
      <c r="A8" s="8" t="inlineStr">
        <is>
          <t>Ventas Delivery (sin IVA)</t>
        </is>
      </c>
      <c r="B8" s="20" t="n">
        <v>0</v>
      </c>
      <c r="C8" s="20" t="n">
        <v>0</v>
      </c>
      <c r="D8" s="10">
        <f>C8-B8</f>
        <v>0.0</v>
      </c>
      <c r="E8" s="11">
        <f>IF($B8=0,"",IFERROR(($C8-$B8)/$B8,""))</f>
        <v/>
      </c>
      <c r="F8" s="12" t="str">
        <f>IFERROR(IF(ISNUMBER($E8),IF($E8&gt;=-'Resumen Anual'!$B$22,"✅ OK",IF($E8&gt;=-'Resumen Anual'!$B$23,"⚠️ Atención","🔴 Alerta")),"—"),"—")</f>
        <v>—</v>
      </c>
    </row>
    <row r="9">
      <c r="A9" s="8" t="inlineStr">
        <is>
          <t>Eventos / Catering (sin IVA)</t>
        </is>
      </c>
      <c r="B9" s="20" t="n">
        <v>0</v>
      </c>
      <c r="C9" s="20" t="n">
        <v>0</v>
      </c>
      <c r="D9" s="10">
        <f>C9-B9</f>
        <v>0.0</v>
      </c>
      <c r="E9" s="11">
        <f>IF($B9=0,"",IFERROR(($C9-$B9)/$B9,""))</f>
        <v/>
      </c>
      <c r="F9" s="12" t="str">
        <f>IFERROR(IF(ISNUMBER($E9),IF($E9&gt;=-'Resumen Anual'!$B$22,"✅ OK",IF($E9&gt;=-'Resumen Anual'!$B$23,"⚠️ Atención","🔴 Alerta")),"—"),"—")</f>
        <v>—</v>
      </c>
    </row>
    <row r="10">
      <c r="A10" s="13" t="inlineStr">
        <is>
          <t>TOTAL INGRESOS (sin IVA)</t>
        </is>
      </c>
      <c r="B10" s="14">
        <f>B6+B7+B8+B9</f>
        <v>0.0</v>
      </c>
      <c r="C10" s="14">
        <f>C6+C7+C8+C9</f>
        <v>0.0</v>
      </c>
      <c r="D10" s="10">
        <f>C10-B10</f>
        <v>0.0</v>
      </c>
      <c r="E10" s="11">
        <f>IF($B10=0,"",IFERROR(($C10-$B10)/$B10,""))</f>
        <v/>
      </c>
      <c r="F10" s="12" t="str">
        <f>IFERROR(IF(ISNUMBER($E10),IF($E10&gt;=-'Resumen Anual'!$B$22,"✅ OK",IF($E10&gt;=-'Resumen Anual'!$B$23,"⚠️ Atención","🔴 Alerta")),"—"),"—")</f>
        <v>—</v>
      </c>
    </row>
    <row r="11"/>
    <row r="12">
      <c r="A12" s="7" t="inlineStr">
        <is>
          <t>GASTOS</t>
        </is>
      </c>
    </row>
    <row r="13">
      <c r="A13" s="8" t="inlineStr">
        <is>
          <t>Coste de comida (materia prima)</t>
        </is>
      </c>
      <c r="B13" s="21" t="n">
        <v>0</v>
      </c>
      <c r="C13" s="21" t="n">
        <v>0</v>
      </c>
      <c r="D13" s="10">
        <f>C13-B13</f>
        <v>0.0</v>
      </c>
      <c r="E13" s="11">
        <f>IF($B13=0,"",IFERROR(($C13-$B13)/$B13,""))</f>
        <v/>
      </c>
      <c r="F13" s="12" t="str">
        <f>IFERROR(IF(ISNUMBER($E13),IF($E13&lt;='Resumen Anual'!$B$22,"✅ OK",IF($E13&lt;='Resumen Anual'!$B$23,"⚠️ Atención","🔴 Alerta")),"—"),"—")</f>
        <v>—</v>
      </c>
    </row>
    <row r="14">
      <c r="A14" s="8" t="inlineStr">
        <is>
          <t>Coste de bebida (barra)</t>
        </is>
      </c>
      <c r="B14" s="21" t="n">
        <v>0</v>
      </c>
      <c r="C14" s="21" t="n">
        <v>0</v>
      </c>
      <c r="D14" s="10">
        <f>C14-B14</f>
        <v>0.0</v>
      </c>
      <c r="E14" s="11">
        <f>IF($B14=0,"",IFERROR(($C14-$B14)/$B14,""))</f>
        <v/>
      </c>
      <c r="F14" s="12" t="str">
        <f>IFERROR(IF(ISNUMBER($E14),IF($E14&lt;='Resumen Anual'!$B$22,"✅ OK",IF($E14&lt;='Resumen Anual'!$B$23,"⚠️ Atención","🔴 Alerta")),"—"),"—")</f>
        <v>—</v>
      </c>
    </row>
    <row r="15">
      <c r="A15" s="8" t="inlineStr">
        <is>
          <t>Personal (Labor)</t>
        </is>
      </c>
      <c r="B15" s="21" t="n">
        <v>0</v>
      </c>
      <c r="C15" s="21" t="n">
        <v>0</v>
      </c>
      <c r="D15" s="10">
        <f>C15-B15</f>
        <v>0.0</v>
      </c>
      <c r="E15" s="11">
        <f>IF($B15=0,"",IFERROR(($C15-$B15)/$B15,""))</f>
        <v/>
      </c>
      <c r="F15" s="12" t="str">
        <f>IFERROR(IF(ISNUMBER($E15),IF($E15&lt;='Resumen Anual'!$B$22,"✅ OK",IF($E15&lt;='Resumen Anual'!$B$23,"⚠️ Atención","🔴 Alerta")),"—"),"—")</f>
        <v>—</v>
      </c>
    </row>
    <row r="16">
      <c r="A16" s="8" t="inlineStr">
        <is>
          <t>Comisiones de plataformas (delivery)</t>
        </is>
      </c>
      <c r="B16" s="21" t="n">
        <v>0</v>
      </c>
      <c r="C16" s="21" t="n">
        <v>0</v>
      </c>
      <c r="D16" s="10">
        <f>C16-B16</f>
        <v>0.0</v>
      </c>
      <c r="E16" s="11">
        <f>IF($B16=0,"",IFERROR(($C16-$B16)/$B16,""))</f>
        <v/>
      </c>
      <c r="F16" s="12" t="str">
        <f>IFERROR(IF(ISNUMBER($E16),IF($E16&lt;='Resumen Anual'!$B$22,"✅ OK",IF($E16&lt;='Resumen Anual'!$B$23,"⚠️ Atención","🔴 Alerta")),"—"),"—")</f>
        <v>—</v>
      </c>
    </row>
    <row r="17">
      <c r="A17" s="8" t="inlineStr">
        <is>
          <t>Alquiler</t>
        </is>
      </c>
      <c r="B17" s="21" t="n">
        <v>0</v>
      </c>
      <c r="C17" s="21" t="n">
        <v>0</v>
      </c>
      <c r="D17" s="10">
        <f>C17-B17</f>
        <v>0.0</v>
      </c>
      <c r="E17" s="11">
        <f>IF($B17=0,"",IFERROR(($C17-$B17)/$B17,""))</f>
        <v/>
      </c>
      <c r="F17" s="12" t="str">
        <f>IFERROR(IF(ISNUMBER($E17),IF($E17&lt;='Resumen Anual'!$B$22,"✅ OK",IF($E17&lt;='Resumen Anual'!$B$23,"⚠️ Atención","🔴 Alerta")),"—"),"—")</f>
        <v>—</v>
      </c>
    </row>
    <row r="18">
      <c r="A18" s="8" t="inlineStr">
        <is>
          <t>Suministros</t>
        </is>
      </c>
      <c r="B18" s="21" t="n">
        <v>0</v>
      </c>
      <c r="C18" s="21" t="n">
        <v>0</v>
      </c>
      <c r="D18" s="10">
        <f>C18-B18</f>
        <v>0.0</v>
      </c>
      <c r="E18" s="11">
        <f>IF($B18=0,"",IFERROR(($C18-$B18)/$B18,""))</f>
        <v/>
      </c>
      <c r="F18" s="12" t="str">
        <f>IFERROR(IF(ISNUMBER($E18),IF($E18&lt;='Resumen Anual'!$B$22,"✅ OK",IF($E18&lt;='Resumen Anual'!$B$23,"⚠️ Atención","🔴 Alerta")),"—"),"—")</f>
        <v>—</v>
      </c>
    </row>
    <row r="19">
      <c r="A19" s="8" t="inlineStr">
        <is>
          <t>Marketing</t>
        </is>
      </c>
      <c r="B19" s="21" t="n">
        <v>0</v>
      </c>
      <c r="C19" s="21" t="n">
        <v>0</v>
      </c>
      <c r="D19" s="10">
        <f>C19-B19</f>
        <v>0.0</v>
      </c>
      <c r="E19" s="11">
        <f>IF($B19=0,"",IFERROR(($C19-$B19)/$B19,""))</f>
        <v/>
      </c>
      <c r="F19" s="12" t="str">
        <f>IFERROR(IF(ISNUMBER($E19),IF($E19&lt;='Resumen Anual'!$B$22,"✅ OK",IF($E19&lt;='Resumen Anual'!$B$23,"⚠️ Atención","🔴 Alerta")),"—"),"—")</f>
        <v>—</v>
      </c>
    </row>
    <row r="20">
      <c r="A20" s="8" t="inlineStr">
        <is>
          <t>Administración / Otros</t>
        </is>
      </c>
      <c r="B20" s="21" t="n">
        <v>0</v>
      </c>
      <c r="C20" s="21" t="n">
        <v>0</v>
      </c>
      <c r="D20" s="10">
        <f>C20-B20</f>
        <v>0.0</v>
      </c>
      <c r="E20" s="11">
        <f>IF($B20=0,"",IFERROR(($C20-$B20)/$B20,""))</f>
        <v/>
      </c>
      <c r="F20" s="12" t="str">
        <f>IFERROR(IF(ISNUMBER($E20),IF($E20&lt;='Resumen Anual'!$B$22,"✅ OK",IF($E20&lt;='Resumen Anual'!$B$23,"⚠️ Atención","🔴 Alerta")),"—"),"—")</f>
        <v>—</v>
      </c>
    </row>
    <row r="21">
      <c r="A21" s="13" t="inlineStr">
        <is>
          <t>TOTAL GASTOS</t>
        </is>
      </c>
      <c r="B21" s="14">
        <f>SUM(B13:B20)</f>
        <v>0.0</v>
      </c>
      <c r="C21" s="14">
        <f>SUM(C13:C20)</f>
        <v>0.0</v>
      </c>
      <c r="D21" s="14">
        <f>C21-B21</f>
        <v>0.0</v>
      </c>
      <c r="E21" s="22">
        <f>IF($B21=0,"",IFERROR(($C21-$B21)/$B21,""))</f>
        <v/>
      </c>
      <c r="F21" s="14" t="str">
        <f>IFERROR(IF(ISNUMBER($E21),IF($E21&lt;='Resumen Anual'!$B$22,"✅ OK",IF($E21&lt;='Resumen Anual'!$B$23,"⚠️ Atención","🔴 Alerta")),"—"),"—")</f>
        <v>—</v>
      </c>
    </row>
    <row r="22">
      <c r="A22" s="13" t="n"/>
      <c r="B22" s="23" t="n"/>
      <c r="C22" s="23" t="n"/>
    </row>
    <row r="23">
      <c r="A23" s="13" t="inlineStr">
        <is>
          <t>EBITDA</t>
        </is>
      </c>
      <c r="B23" s="14">
        <f>B10-B21</f>
        <v>0.0</v>
      </c>
      <c r="C23" s="14">
        <f>C10-C21</f>
        <v>0.0</v>
      </c>
      <c r="D23" s="14">
        <f>C23-B23</f>
        <v>0.0</v>
      </c>
      <c r="E23" s="22">
        <f>IF($B23=0,"",IFERROR(($C23-$B23)/ABS($B23),""))</f>
        <v/>
      </c>
      <c r="F23" s="14" t="str">
        <f>IFERROR(IF(ISNUMBER($E23),IF($E23&gt;=-'Resumen Anual'!$B$22,"✅ OK",IF($E23&gt;=-'Resumen Anual'!$B$23,"⚠️ Atención","🔴 Alerta")),"—"),"—")</f>
        <v>—</v>
      </c>
    </row>
    <row r="24">
      <c r="A24" s="8" t="inlineStr">
        <is>
          <t>Margen EBITDA %</t>
        </is>
      </c>
      <c r="B24" s="11">
        <f>IF(B10=0,"",B23/B10)</f>
        <v/>
      </c>
      <c r="C24" s="11">
        <f>IF(C10=0,"",C23/C10)</f>
        <v/>
      </c>
      <c r="D24" s="24">
        <f>IFERROR($C24-$B24,"")</f>
        <v/>
      </c>
      <c r="E24" s="25" t="inlineStr">
        <is>
          <t>p.p.</t>
        </is>
      </c>
      <c r="F24" s="12" t="str">
        <f>IFERROR(IF(ISNUMBER($D24),IF($D24&gt;=-'Resumen Anual'!$B$24,"✅ OK",IF($D24&gt;=-'Resumen Anual'!$B$25,"⚠️ Atención","🔴 Alerta")),"—"),"—")</f>
        <v>—</v>
      </c>
    </row>
    <row r="25">
      <c r="A25" s="8" t="n"/>
      <c r="B25" s="23" t="n"/>
      <c r="C25" s="23" t="n"/>
    </row>
    <row r="26">
      <c r="A26" s="7" t="inlineStr">
        <is>
          <t>RATIOS AUTOMÁTICOS</t>
        </is>
      </c>
      <c r="B26" s="23" t="n"/>
      <c r="C26" s="23" t="n"/>
    </row>
    <row r="27">
      <c r="A27" s="8" t="inlineStr">
        <is>
          <t>Food Cost % (sobre ventas de comida)</t>
        </is>
      </c>
      <c r="B27" s="11">
        <f>IF((B10-B7)&lt;=0,"",B13/(B10-B7))</f>
        <v/>
      </c>
      <c r="C27" s="11">
        <f>IF((C10-C7)&lt;=0,"",C13/(C10-C7))</f>
        <v/>
      </c>
      <c r="D27" s="24">
        <f>IFERROR($C27-$B27,"")</f>
        <v/>
      </c>
      <c r="E27" s="25" t="inlineStr">
        <is>
          <t>p.p.</t>
        </is>
      </c>
      <c r="F27" s="12" t="str">
        <f>IFERROR(IF(ISNUMBER($D27),IF($D27&lt;='Resumen Anual'!$B$24,"✅ OK",IF($D27&lt;='Resumen Anual'!$B$25,"⚠️ Atención","🔴 Alerta")),"—"),"—")</f>
        <v>—</v>
      </c>
    </row>
    <row r="28">
      <c r="A28" s="8" t="inlineStr">
        <is>
          <t>Beverage Cost % (sobre ventas de barra)</t>
        </is>
      </c>
      <c r="B28" s="11">
        <f>IF(B7=0,"",B14/B7)</f>
        <v/>
      </c>
      <c r="C28" s="11">
        <f>IF(C7=0,"",C14/C7)</f>
        <v/>
      </c>
      <c r="D28" s="24">
        <f>IFERROR($C28-$B28,"")</f>
        <v/>
      </c>
      <c r="E28" s="25" t="inlineStr">
        <is>
          <t>p.p.</t>
        </is>
      </c>
      <c r="F28" s="12" t="str">
        <f>IFERROR(IF(ISNUMBER($D28),IF($D28&lt;='Resumen Anual'!$B$24,"✅ OK",IF($D28&lt;='Resumen Anual'!$B$25,"⚠️ Atención","🔴 Alerta")),"—"),"—")</f>
        <v>—</v>
      </c>
    </row>
    <row r="29">
      <c r="A29" s="8" t="inlineStr">
        <is>
          <t>Labor Cost %</t>
        </is>
      </c>
      <c r="B29" s="11">
        <f>IF(B10=0,"",B15/B10)</f>
        <v/>
      </c>
      <c r="C29" s="11">
        <f>IF(C10=0,"",C15/C10)</f>
        <v/>
      </c>
      <c r="D29" s="24">
        <f>IFERROR($C29-$B29,"")</f>
        <v/>
      </c>
      <c r="E29" s="25" t="inlineStr">
        <is>
          <t>p.p.</t>
        </is>
      </c>
      <c r="F29" s="12" t="str">
        <f>IFERROR(IF(ISNUMBER($D29),IF($D29&lt;='Resumen Anual'!$B$24,"✅ OK",IF($D29&lt;='Resumen Anual'!$B$25,"⚠️ Atención","🔴 Alerta")),"—"),"—")</f>
        <v>—</v>
      </c>
    </row>
    <row r="30">
      <c r="A30" s="8" t="inlineStr">
        <is>
          <t>Prime Cost % (comida + bebida + personal)</t>
        </is>
      </c>
      <c r="B30" s="11">
        <f>IF(B10=0,"",(B13+B14+B15)/B10)</f>
        <v/>
      </c>
      <c r="C30" s="11">
        <f>IF(C10=0,"",(C13+C14+C15)/C10)</f>
        <v/>
      </c>
      <c r="D30" s="24">
        <f>IFERROR($C30-$B30,"")</f>
        <v/>
      </c>
      <c r="E30" s="25" t="inlineStr">
        <is>
          <t>p.p.</t>
        </is>
      </c>
      <c r="F30" s="12" t="str">
        <f>IFERROR(IF(ISNUMBER($D30),IF($D30&lt;='Resumen Anual'!$B$24,"✅ OK",IF($D30&lt;='Resumen Anual'!$B$25,"⚠️ Atención","🔴 Alerta")),"—"),"—")</f>
        <v>—</v>
      </c>
    </row>
    <row r="31"/>
    <row r="32">
      <c r="A32" s="26" t="inlineStr">
        <is>
          <t>© 2026 AI Chef Pro · aichef.pro</t>
        </is>
      </c>
    </row>
    <row r="33"/>
    <row r="34"/>
    <row r="35"/>
    <row r="36"/>
    <row r="37"/>
    <row r="38"/>
    <row r="39"/>
    <row r="40"/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2">
    <mergeCell ref="A1:F1"/>
    <mergeCell ref="A2:F2"/>
  </mergeCells>
  <conditionalFormatting sqref="F6:F30">
    <cfRule type="containsText" priority="1" operator="containsText" dxfId="0" stopIfTrue="1" text="🔴 Alerta">
      <formula>NOT(ISERROR(SEARCH("🔴 Alerta",F6)))</formula>
    </cfRule>
    <cfRule type="containsText" priority="2" operator="containsText" dxfId="1" stopIfTrue="1" text="⚠️ Atención">
      <formula>NOT(ISERROR(SEARCH("⚠️ Atención",F6)))</formula>
    </cfRule>
    <cfRule type="containsText" priority="3" operator="containsText" dxfId="2" stopIfTrue="1" text="✅ OK">
      <formula>NOT(ISERROR(SEARCH("✅ OK",F6)))</formula>
    </cfRule>
  </conditionalFormatting>
  <dataValidations count="1">
    <dataValidation sqref="B6 B7 B8 B9 B13 B14 B15 B16 B17 B18 B19 B20 C6 C7 C8 C9 C13 C14 C15 C16 C17 C18 C19 C20" showDropDown="0" showInputMessage="0" showErrorMessage="1" allowBlank="1" errorTitle="Importe no válido" error="Escribe un número mayor o igual que 0." type="decimal" operator="greaterThanOrEqual">
      <formula1>0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F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>
      <c r="A1" s="5" t="inlineStr">
        <is>
          <t>P&amp;L Jul — Real vs Presupuesto</t>
        </is>
      </c>
    </row>
    <row r="2">
      <c r="A2" s="2" t="inlineStr">
        <is>
          <t>AI Chef Pro · aichef.pro — Kit Plan Financiero para Restaurantes</t>
        </is>
      </c>
    </row>
    <row r="3"/>
    <row r="4">
      <c r="A4" s="6" t="inlineStr">
        <is>
          <t>Concepto</t>
        </is>
      </c>
      <c r="B4" s="6" t="inlineStr">
        <is>
          <t>Presupuesto (€)</t>
        </is>
      </c>
      <c r="C4" s="6" t="inlineStr">
        <is>
          <t>Real (€)</t>
        </is>
      </c>
      <c r="D4" s="6" t="inlineStr">
        <is>
          <t>Desviación (€)</t>
        </is>
      </c>
      <c r="E4" s="6" t="inlineStr">
        <is>
          <t>Desviación %</t>
        </is>
      </c>
      <c r="F4" s="6" t="inlineStr">
        <is>
          <t>Semáforo</t>
        </is>
      </c>
    </row>
    <row r="5">
      <c r="A5" s="7" t="inlineStr">
        <is>
          <t>INGRESOS</t>
        </is>
      </c>
    </row>
    <row r="6">
      <c r="A6" s="8" t="inlineStr">
        <is>
          <t>Ventas Comedor (sin IVA)</t>
        </is>
      </c>
      <c r="B6" s="20" t="n">
        <v>0</v>
      </c>
      <c r="C6" s="20" t="n">
        <v>0</v>
      </c>
      <c r="D6" s="10">
        <f>C6-B6</f>
        <v>0.0</v>
      </c>
      <c r="E6" s="11">
        <f>IF($B6=0,"",IFERROR(($C6-$B6)/$B6,""))</f>
        <v/>
      </c>
      <c r="F6" s="12" t="str">
        <f>IFERROR(IF(ISNUMBER($E6),IF($E6&gt;=-'Resumen Anual'!$B$22,"✅ OK",IF($E6&gt;=-'Resumen Anual'!$B$23,"⚠️ Atención","🔴 Alerta")),"—"),"—")</f>
        <v>—</v>
      </c>
    </row>
    <row r="7">
      <c r="A7" s="8" t="inlineStr">
        <is>
          <t>Ventas Barra (sin IVA)</t>
        </is>
      </c>
      <c r="B7" s="20" t="n">
        <v>0</v>
      </c>
      <c r="C7" s="20" t="n">
        <v>0</v>
      </c>
      <c r="D7" s="10">
        <f>C7-B7</f>
        <v>0.0</v>
      </c>
      <c r="E7" s="11">
        <f>IF($B7=0,"",IFERROR(($C7-$B7)/$B7,""))</f>
        <v/>
      </c>
      <c r="F7" s="12" t="str">
        <f>IFERROR(IF(ISNUMBER($E7),IF($E7&gt;=-'Resumen Anual'!$B$22,"✅ OK",IF($E7&gt;=-'Resumen Anual'!$B$23,"⚠️ Atención","🔴 Alerta")),"—"),"—")</f>
        <v>—</v>
      </c>
    </row>
    <row r="8">
      <c r="A8" s="8" t="inlineStr">
        <is>
          <t>Ventas Delivery (sin IVA)</t>
        </is>
      </c>
      <c r="B8" s="20" t="n">
        <v>0</v>
      </c>
      <c r="C8" s="20" t="n">
        <v>0</v>
      </c>
      <c r="D8" s="10">
        <f>C8-B8</f>
        <v>0.0</v>
      </c>
      <c r="E8" s="11">
        <f>IF($B8=0,"",IFERROR(($C8-$B8)/$B8,""))</f>
        <v/>
      </c>
      <c r="F8" s="12" t="str">
        <f>IFERROR(IF(ISNUMBER($E8),IF($E8&gt;=-'Resumen Anual'!$B$22,"✅ OK",IF($E8&gt;=-'Resumen Anual'!$B$23,"⚠️ Atención","🔴 Alerta")),"—"),"—")</f>
        <v>—</v>
      </c>
    </row>
    <row r="9">
      <c r="A9" s="8" t="inlineStr">
        <is>
          <t>Eventos / Catering (sin IVA)</t>
        </is>
      </c>
      <c r="B9" s="20" t="n">
        <v>0</v>
      </c>
      <c r="C9" s="20" t="n">
        <v>0</v>
      </c>
      <c r="D9" s="10">
        <f>C9-B9</f>
        <v>0.0</v>
      </c>
      <c r="E9" s="11">
        <f>IF($B9=0,"",IFERROR(($C9-$B9)/$B9,""))</f>
        <v/>
      </c>
      <c r="F9" s="12" t="str">
        <f>IFERROR(IF(ISNUMBER($E9),IF($E9&gt;=-'Resumen Anual'!$B$22,"✅ OK",IF($E9&gt;=-'Resumen Anual'!$B$23,"⚠️ Atención","🔴 Alerta")),"—"),"—")</f>
        <v>—</v>
      </c>
    </row>
    <row r="10">
      <c r="A10" s="13" t="inlineStr">
        <is>
          <t>TOTAL INGRESOS (sin IVA)</t>
        </is>
      </c>
      <c r="B10" s="14">
        <f>B6+B7+B8+B9</f>
        <v>0.0</v>
      </c>
      <c r="C10" s="14">
        <f>C6+C7+C8+C9</f>
        <v>0.0</v>
      </c>
      <c r="D10" s="10">
        <f>C10-B10</f>
        <v>0.0</v>
      </c>
      <c r="E10" s="11">
        <f>IF($B10=0,"",IFERROR(($C10-$B10)/$B10,""))</f>
        <v/>
      </c>
      <c r="F10" s="12" t="str">
        <f>IFERROR(IF(ISNUMBER($E10),IF($E10&gt;=-'Resumen Anual'!$B$22,"✅ OK",IF($E10&gt;=-'Resumen Anual'!$B$23,"⚠️ Atención","🔴 Alerta")),"—"),"—")</f>
        <v>—</v>
      </c>
    </row>
    <row r="11"/>
    <row r="12">
      <c r="A12" s="7" t="inlineStr">
        <is>
          <t>GASTOS</t>
        </is>
      </c>
    </row>
    <row r="13">
      <c r="A13" s="8" t="inlineStr">
        <is>
          <t>Coste de comida (materia prima)</t>
        </is>
      </c>
      <c r="B13" s="21" t="n">
        <v>0</v>
      </c>
      <c r="C13" s="21" t="n">
        <v>0</v>
      </c>
      <c r="D13" s="10">
        <f>C13-B13</f>
        <v>0.0</v>
      </c>
      <c r="E13" s="11">
        <f>IF($B13=0,"",IFERROR(($C13-$B13)/$B13,""))</f>
        <v/>
      </c>
      <c r="F13" s="12" t="str">
        <f>IFERROR(IF(ISNUMBER($E13),IF($E13&lt;='Resumen Anual'!$B$22,"✅ OK",IF($E13&lt;='Resumen Anual'!$B$23,"⚠️ Atención","🔴 Alerta")),"—"),"—")</f>
        <v>—</v>
      </c>
    </row>
    <row r="14">
      <c r="A14" s="8" t="inlineStr">
        <is>
          <t>Coste de bebida (barra)</t>
        </is>
      </c>
      <c r="B14" s="21" t="n">
        <v>0</v>
      </c>
      <c r="C14" s="21" t="n">
        <v>0</v>
      </c>
      <c r="D14" s="10">
        <f>C14-B14</f>
        <v>0.0</v>
      </c>
      <c r="E14" s="11">
        <f>IF($B14=0,"",IFERROR(($C14-$B14)/$B14,""))</f>
        <v/>
      </c>
      <c r="F14" s="12" t="str">
        <f>IFERROR(IF(ISNUMBER($E14),IF($E14&lt;='Resumen Anual'!$B$22,"✅ OK",IF($E14&lt;='Resumen Anual'!$B$23,"⚠️ Atención","🔴 Alerta")),"—"),"—")</f>
        <v>—</v>
      </c>
    </row>
    <row r="15">
      <c r="A15" s="8" t="inlineStr">
        <is>
          <t>Personal (Labor)</t>
        </is>
      </c>
      <c r="B15" s="21" t="n">
        <v>0</v>
      </c>
      <c r="C15" s="21" t="n">
        <v>0</v>
      </c>
      <c r="D15" s="10">
        <f>C15-B15</f>
        <v>0.0</v>
      </c>
      <c r="E15" s="11">
        <f>IF($B15=0,"",IFERROR(($C15-$B15)/$B15,""))</f>
        <v/>
      </c>
      <c r="F15" s="12" t="str">
        <f>IFERROR(IF(ISNUMBER($E15),IF($E15&lt;='Resumen Anual'!$B$22,"✅ OK",IF($E15&lt;='Resumen Anual'!$B$23,"⚠️ Atención","🔴 Alerta")),"—"),"—")</f>
        <v>—</v>
      </c>
    </row>
    <row r="16">
      <c r="A16" s="8" t="inlineStr">
        <is>
          <t>Comisiones de plataformas (delivery)</t>
        </is>
      </c>
      <c r="B16" s="21" t="n">
        <v>0</v>
      </c>
      <c r="C16" s="21" t="n">
        <v>0</v>
      </c>
      <c r="D16" s="10">
        <f>C16-B16</f>
        <v>0.0</v>
      </c>
      <c r="E16" s="11">
        <f>IF($B16=0,"",IFERROR(($C16-$B16)/$B16,""))</f>
        <v/>
      </c>
      <c r="F16" s="12" t="str">
        <f>IFERROR(IF(ISNUMBER($E16),IF($E16&lt;='Resumen Anual'!$B$22,"✅ OK",IF($E16&lt;='Resumen Anual'!$B$23,"⚠️ Atención","🔴 Alerta")),"—"),"—")</f>
        <v>—</v>
      </c>
    </row>
    <row r="17">
      <c r="A17" s="8" t="inlineStr">
        <is>
          <t>Alquiler</t>
        </is>
      </c>
      <c r="B17" s="21" t="n">
        <v>0</v>
      </c>
      <c r="C17" s="21" t="n">
        <v>0</v>
      </c>
      <c r="D17" s="10">
        <f>C17-B17</f>
        <v>0.0</v>
      </c>
      <c r="E17" s="11">
        <f>IF($B17=0,"",IFERROR(($C17-$B17)/$B17,""))</f>
        <v/>
      </c>
      <c r="F17" s="12" t="str">
        <f>IFERROR(IF(ISNUMBER($E17),IF($E17&lt;='Resumen Anual'!$B$22,"✅ OK",IF($E17&lt;='Resumen Anual'!$B$23,"⚠️ Atención","🔴 Alerta")),"—"),"—")</f>
        <v>—</v>
      </c>
    </row>
    <row r="18">
      <c r="A18" s="8" t="inlineStr">
        <is>
          <t>Suministros</t>
        </is>
      </c>
      <c r="B18" s="21" t="n">
        <v>0</v>
      </c>
      <c r="C18" s="21" t="n">
        <v>0</v>
      </c>
      <c r="D18" s="10">
        <f>C18-B18</f>
        <v>0.0</v>
      </c>
      <c r="E18" s="11">
        <f>IF($B18=0,"",IFERROR(($C18-$B18)/$B18,""))</f>
        <v/>
      </c>
      <c r="F18" s="12" t="str">
        <f>IFERROR(IF(ISNUMBER($E18),IF($E18&lt;='Resumen Anual'!$B$22,"✅ OK",IF($E18&lt;='Resumen Anual'!$B$23,"⚠️ Atención","🔴 Alerta")),"—"),"—")</f>
        <v>—</v>
      </c>
    </row>
    <row r="19">
      <c r="A19" s="8" t="inlineStr">
        <is>
          <t>Marketing</t>
        </is>
      </c>
      <c r="B19" s="21" t="n">
        <v>0</v>
      </c>
      <c r="C19" s="21" t="n">
        <v>0</v>
      </c>
      <c r="D19" s="10">
        <f>C19-B19</f>
        <v>0.0</v>
      </c>
      <c r="E19" s="11">
        <f>IF($B19=0,"",IFERROR(($C19-$B19)/$B19,""))</f>
        <v/>
      </c>
      <c r="F19" s="12" t="str">
        <f>IFERROR(IF(ISNUMBER($E19),IF($E19&lt;='Resumen Anual'!$B$22,"✅ OK",IF($E19&lt;='Resumen Anual'!$B$23,"⚠️ Atención","🔴 Alerta")),"—"),"—")</f>
        <v>—</v>
      </c>
    </row>
    <row r="20">
      <c r="A20" s="8" t="inlineStr">
        <is>
          <t>Administración / Otros</t>
        </is>
      </c>
      <c r="B20" s="21" t="n">
        <v>0</v>
      </c>
      <c r="C20" s="21" t="n">
        <v>0</v>
      </c>
      <c r="D20" s="10">
        <f>C20-B20</f>
        <v>0.0</v>
      </c>
      <c r="E20" s="11">
        <f>IF($B20=0,"",IFERROR(($C20-$B20)/$B20,""))</f>
        <v/>
      </c>
      <c r="F20" s="12" t="str">
        <f>IFERROR(IF(ISNUMBER($E20),IF($E20&lt;='Resumen Anual'!$B$22,"✅ OK",IF($E20&lt;='Resumen Anual'!$B$23,"⚠️ Atención","🔴 Alerta")),"—"),"—")</f>
        <v>—</v>
      </c>
    </row>
    <row r="21">
      <c r="A21" s="13" t="inlineStr">
        <is>
          <t>TOTAL GASTOS</t>
        </is>
      </c>
      <c r="B21" s="14">
        <f>SUM(B13:B20)</f>
        <v>0.0</v>
      </c>
      <c r="C21" s="14">
        <f>SUM(C13:C20)</f>
        <v>0.0</v>
      </c>
      <c r="D21" s="14">
        <f>C21-B21</f>
        <v>0.0</v>
      </c>
      <c r="E21" s="22">
        <f>IF($B21=0,"",IFERROR(($C21-$B21)/$B21,""))</f>
        <v/>
      </c>
      <c r="F21" s="14" t="str">
        <f>IFERROR(IF(ISNUMBER($E21),IF($E21&lt;='Resumen Anual'!$B$22,"✅ OK",IF($E21&lt;='Resumen Anual'!$B$23,"⚠️ Atención","🔴 Alerta")),"—"),"—")</f>
        <v>—</v>
      </c>
    </row>
    <row r="22">
      <c r="A22" s="13" t="n"/>
      <c r="B22" s="23" t="n"/>
      <c r="C22" s="23" t="n"/>
    </row>
    <row r="23">
      <c r="A23" s="13" t="inlineStr">
        <is>
          <t>EBITDA</t>
        </is>
      </c>
      <c r="B23" s="14">
        <f>B10-B21</f>
        <v>0.0</v>
      </c>
      <c r="C23" s="14">
        <f>C10-C21</f>
        <v>0.0</v>
      </c>
      <c r="D23" s="14">
        <f>C23-B23</f>
        <v>0.0</v>
      </c>
      <c r="E23" s="22">
        <f>IF($B23=0,"",IFERROR(($C23-$B23)/ABS($B23),""))</f>
        <v/>
      </c>
      <c r="F23" s="14" t="str">
        <f>IFERROR(IF(ISNUMBER($E23),IF($E23&gt;=-'Resumen Anual'!$B$22,"✅ OK",IF($E23&gt;=-'Resumen Anual'!$B$23,"⚠️ Atención","🔴 Alerta")),"—"),"—")</f>
        <v>—</v>
      </c>
    </row>
    <row r="24">
      <c r="A24" s="8" t="inlineStr">
        <is>
          <t>Margen EBITDA %</t>
        </is>
      </c>
      <c r="B24" s="11">
        <f>IF(B10=0,"",B23/B10)</f>
        <v/>
      </c>
      <c r="C24" s="11">
        <f>IF(C10=0,"",C23/C10)</f>
        <v/>
      </c>
      <c r="D24" s="24">
        <f>IFERROR($C24-$B24,"")</f>
        <v/>
      </c>
      <c r="E24" s="25" t="inlineStr">
        <is>
          <t>p.p.</t>
        </is>
      </c>
      <c r="F24" s="12" t="str">
        <f>IFERROR(IF(ISNUMBER($D24),IF($D24&gt;=-'Resumen Anual'!$B$24,"✅ OK",IF($D24&gt;=-'Resumen Anual'!$B$25,"⚠️ Atención","🔴 Alerta")),"—"),"—")</f>
        <v>—</v>
      </c>
    </row>
    <row r="25">
      <c r="A25" s="8" t="n"/>
      <c r="B25" s="23" t="n"/>
      <c r="C25" s="23" t="n"/>
    </row>
    <row r="26">
      <c r="A26" s="7" t="inlineStr">
        <is>
          <t>RATIOS AUTOMÁTICOS</t>
        </is>
      </c>
      <c r="B26" s="23" t="n"/>
      <c r="C26" s="23" t="n"/>
    </row>
    <row r="27">
      <c r="A27" s="8" t="inlineStr">
        <is>
          <t>Food Cost % (sobre ventas de comida)</t>
        </is>
      </c>
      <c r="B27" s="11">
        <f>IF((B10-B7)&lt;=0,"",B13/(B10-B7))</f>
        <v/>
      </c>
      <c r="C27" s="11">
        <f>IF((C10-C7)&lt;=0,"",C13/(C10-C7))</f>
        <v/>
      </c>
      <c r="D27" s="24">
        <f>IFERROR($C27-$B27,"")</f>
        <v/>
      </c>
      <c r="E27" s="25" t="inlineStr">
        <is>
          <t>p.p.</t>
        </is>
      </c>
      <c r="F27" s="12" t="str">
        <f>IFERROR(IF(ISNUMBER($D27),IF($D27&lt;='Resumen Anual'!$B$24,"✅ OK",IF($D27&lt;='Resumen Anual'!$B$25,"⚠️ Atención","🔴 Alerta")),"—"),"—")</f>
        <v>—</v>
      </c>
    </row>
    <row r="28">
      <c r="A28" s="8" t="inlineStr">
        <is>
          <t>Beverage Cost % (sobre ventas de barra)</t>
        </is>
      </c>
      <c r="B28" s="11">
        <f>IF(B7=0,"",B14/B7)</f>
        <v/>
      </c>
      <c r="C28" s="11">
        <f>IF(C7=0,"",C14/C7)</f>
        <v/>
      </c>
      <c r="D28" s="24">
        <f>IFERROR($C28-$B28,"")</f>
        <v/>
      </c>
      <c r="E28" s="25" t="inlineStr">
        <is>
          <t>p.p.</t>
        </is>
      </c>
      <c r="F28" s="12" t="str">
        <f>IFERROR(IF(ISNUMBER($D28),IF($D28&lt;='Resumen Anual'!$B$24,"✅ OK",IF($D28&lt;='Resumen Anual'!$B$25,"⚠️ Atención","🔴 Alerta")),"—"),"—")</f>
        <v>—</v>
      </c>
    </row>
    <row r="29">
      <c r="A29" s="8" t="inlineStr">
        <is>
          <t>Labor Cost %</t>
        </is>
      </c>
      <c r="B29" s="11">
        <f>IF(B10=0,"",B15/B10)</f>
        <v/>
      </c>
      <c r="C29" s="11">
        <f>IF(C10=0,"",C15/C10)</f>
        <v/>
      </c>
      <c r="D29" s="24">
        <f>IFERROR($C29-$B29,"")</f>
        <v/>
      </c>
      <c r="E29" s="25" t="inlineStr">
        <is>
          <t>p.p.</t>
        </is>
      </c>
      <c r="F29" s="12" t="str">
        <f>IFERROR(IF(ISNUMBER($D29),IF($D29&lt;='Resumen Anual'!$B$24,"✅ OK",IF($D29&lt;='Resumen Anual'!$B$25,"⚠️ Atención","🔴 Alerta")),"—"),"—")</f>
        <v>—</v>
      </c>
    </row>
    <row r="30">
      <c r="A30" s="8" t="inlineStr">
        <is>
          <t>Prime Cost % (comida + bebida + personal)</t>
        </is>
      </c>
      <c r="B30" s="11">
        <f>IF(B10=0,"",(B13+B14+B15)/B10)</f>
        <v/>
      </c>
      <c r="C30" s="11">
        <f>IF(C10=0,"",(C13+C14+C15)/C10)</f>
        <v/>
      </c>
      <c r="D30" s="24">
        <f>IFERROR($C30-$B30,"")</f>
        <v/>
      </c>
      <c r="E30" s="25" t="inlineStr">
        <is>
          <t>p.p.</t>
        </is>
      </c>
      <c r="F30" s="12" t="str">
        <f>IFERROR(IF(ISNUMBER($D30),IF($D30&lt;='Resumen Anual'!$B$24,"✅ OK",IF($D30&lt;='Resumen Anual'!$B$25,"⚠️ Atención","🔴 Alerta")),"—"),"—")</f>
        <v>—</v>
      </c>
    </row>
    <row r="31"/>
    <row r="32">
      <c r="A32" s="26" t="inlineStr">
        <is>
          <t>© 2026 AI Chef Pro · aichef.pro</t>
        </is>
      </c>
    </row>
    <row r="33"/>
    <row r="34"/>
    <row r="35"/>
    <row r="36"/>
    <row r="37"/>
    <row r="38"/>
    <row r="39"/>
    <row r="40"/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2">
    <mergeCell ref="A1:F1"/>
    <mergeCell ref="A2:F2"/>
  </mergeCells>
  <conditionalFormatting sqref="F6:F30">
    <cfRule type="containsText" priority="1" operator="containsText" dxfId="0" stopIfTrue="1" text="🔴 Alerta">
      <formula>NOT(ISERROR(SEARCH("🔴 Alerta",F6)))</formula>
    </cfRule>
    <cfRule type="containsText" priority="2" operator="containsText" dxfId="1" stopIfTrue="1" text="⚠️ Atención">
      <formula>NOT(ISERROR(SEARCH("⚠️ Atención",F6)))</formula>
    </cfRule>
    <cfRule type="containsText" priority="3" operator="containsText" dxfId="2" stopIfTrue="1" text="✅ OK">
      <formula>NOT(ISERROR(SEARCH("✅ OK",F6)))</formula>
    </cfRule>
  </conditionalFormatting>
  <dataValidations count="1">
    <dataValidation sqref="B6 B7 B8 B9 B13 B14 B15 B16 B17 B18 B19 B20 C6 C7 C8 C9 C13 C14 C15 C16 C17 C18 C19 C20" showDropDown="0" showInputMessage="0" showErrorMessage="1" allowBlank="1" errorTitle="Importe no válido" error="Escribe un número mayor o igual que 0." type="decimal" operator="greaterThanOrEqual">
      <formula1>0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F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>
      <c r="A1" s="5" t="inlineStr">
        <is>
          <t>P&amp;L Ago — Real vs Presupuesto</t>
        </is>
      </c>
    </row>
    <row r="2">
      <c r="A2" s="2" t="inlineStr">
        <is>
          <t>AI Chef Pro · aichef.pro — Kit Plan Financiero para Restaurantes</t>
        </is>
      </c>
    </row>
    <row r="3"/>
    <row r="4">
      <c r="A4" s="6" t="inlineStr">
        <is>
          <t>Concepto</t>
        </is>
      </c>
      <c r="B4" s="6" t="inlineStr">
        <is>
          <t>Presupuesto (€)</t>
        </is>
      </c>
      <c r="C4" s="6" t="inlineStr">
        <is>
          <t>Real (€)</t>
        </is>
      </c>
      <c r="D4" s="6" t="inlineStr">
        <is>
          <t>Desviación (€)</t>
        </is>
      </c>
      <c r="E4" s="6" t="inlineStr">
        <is>
          <t>Desviación %</t>
        </is>
      </c>
      <c r="F4" s="6" t="inlineStr">
        <is>
          <t>Semáforo</t>
        </is>
      </c>
    </row>
    <row r="5">
      <c r="A5" s="7" t="inlineStr">
        <is>
          <t>INGRESOS</t>
        </is>
      </c>
    </row>
    <row r="6">
      <c r="A6" s="8" t="inlineStr">
        <is>
          <t>Ventas Comedor (sin IVA)</t>
        </is>
      </c>
      <c r="B6" s="20" t="n">
        <v>0</v>
      </c>
      <c r="C6" s="20" t="n">
        <v>0</v>
      </c>
      <c r="D6" s="10">
        <f>C6-B6</f>
        <v>0.0</v>
      </c>
      <c r="E6" s="11">
        <f>IF($B6=0,"",IFERROR(($C6-$B6)/$B6,""))</f>
        <v/>
      </c>
      <c r="F6" s="12" t="str">
        <f>IFERROR(IF(ISNUMBER($E6),IF($E6&gt;=-'Resumen Anual'!$B$22,"✅ OK",IF($E6&gt;=-'Resumen Anual'!$B$23,"⚠️ Atención","🔴 Alerta")),"—"),"—")</f>
        <v>—</v>
      </c>
    </row>
    <row r="7">
      <c r="A7" s="8" t="inlineStr">
        <is>
          <t>Ventas Barra (sin IVA)</t>
        </is>
      </c>
      <c r="B7" s="20" t="n">
        <v>0</v>
      </c>
      <c r="C7" s="20" t="n">
        <v>0</v>
      </c>
      <c r="D7" s="10">
        <f>C7-B7</f>
        <v>0.0</v>
      </c>
      <c r="E7" s="11">
        <f>IF($B7=0,"",IFERROR(($C7-$B7)/$B7,""))</f>
        <v/>
      </c>
      <c r="F7" s="12" t="str">
        <f>IFERROR(IF(ISNUMBER($E7),IF($E7&gt;=-'Resumen Anual'!$B$22,"✅ OK",IF($E7&gt;=-'Resumen Anual'!$B$23,"⚠️ Atención","🔴 Alerta")),"—"),"—")</f>
        <v>—</v>
      </c>
    </row>
    <row r="8">
      <c r="A8" s="8" t="inlineStr">
        <is>
          <t>Ventas Delivery (sin IVA)</t>
        </is>
      </c>
      <c r="B8" s="20" t="n">
        <v>0</v>
      </c>
      <c r="C8" s="20" t="n">
        <v>0</v>
      </c>
      <c r="D8" s="10">
        <f>C8-B8</f>
        <v>0.0</v>
      </c>
      <c r="E8" s="11">
        <f>IF($B8=0,"",IFERROR(($C8-$B8)/$B8,""))</f>
        <v/>
      </c>
      <c r="F8" s="12" t="str">
        <f>IFERROR(IF(ISNUMBER($E8),IF($E8&gt;=-'Resumen Anual'!$B$22,"✅ OK",IF($E8&gt;=-'Resumen Anual'!$B$23,"⚠️ Atención","🔴 Alerta")),"—"),"—")</f>
        <v>—</v>
      </c>
    </row>
    <row r="9">
      <c r="A9" s="8" t="inlineStr">
        <is>
          <t>Eventos / Catering (sin IVA)</t>
        </is>
      </c>
      <c r="B9" s="20" t="n">
        <v>0</v>
      </c>
      <c r="C9" s="20" t="n">
        <v>0</v>
      </c>
      <c r="D9" s="10">
        <f>C9-B9</f>
        <v>0.0</v>
      </c>
      <c r="E9" s="11">
        <f>IF($B9=0,"",IFERROR(($C9-$B9)/$B9,""))</f>
        <v/>
      </c>
      <c r="F9" s="12" t="str">
        <f>IFERROR(IF(ISNUMBER($E9),IF($E9&gt;=-'Resumen Anual'!$B$22,"✅ OK",IF($E9&gt;=-'Resumen Anual'!$B$23,"⚠️ Atención","🔴 Alerta")),"—"),"—")</f>
        <v>—</v>
      </c>
    </row>
    <row r="10">
      <c r="A10" s="13" t="inlineStr">
        <is>
          <t>TOTAL INGRESOS (sin IVA)</t>
        </is>
      </c>
      <c r="B10" s="14">
        <f>B6+B7+B8+B9</f>
        <v>0.0</v>
      </c>
      <c r="C10" s="14">
        <f>C6+C7+C8+C9</f>
        <v>0.0</v>
      </c>
      <c r="D10" s="10">
        <f>C10-B10</f>
        <v>0.0</v>
      </c>
      <c r="E10" s="11">
        <f>IF($B10=0,"",IFERROR(($C10-$B10)/$B10,""))</f>
        <v/>
      </c>
      <c r="F10" s="12" t="str">
        <f>IFERROR(IF(ISNUMBER($E10),IF($E10&gt;=-'Resumen Anual'!$B$22,"✅ OK",IF($E10&gt;=-'Resumen Anual'!$B$23,"⚠️ Atención","🔴 Alerta")),"—"),"—")</f>
        <v>—</v>
      </c>
    </row>
    <row r="11"/>
    <row r="12">
      <c r="A12" s="7" t="inlineStr">
        <is>
          <t>GASTOS</t>
        </is>
      </c>
    </row>
    <row r="13">
      <c r="A13" s="8" t="inlineStr">
        <is>
          <t>Coste de comida (materia prima)</t>
        </is>
      </c>
      <c r="B13" s="21" t="n">
        <v>0</v>
      </c>
      <c r="C13" s="21" t="n">
        <v>0</v>
      </c>
      <c r="D13" s="10">
        <f>C13-B13</f>
        <v>0.0</v>
      </c>
      <c r="E13" s="11">
        <f>IF($B13=0,"",IFERROR(($C13-$B13)/$B13,""))</f>
        <v/>
      </c>
      <c r="F13" s="12" t="str">
        <f>IFERROR(IF(ISNUMBER($E13),IF($E13&lt;='Resumen Anual'!$B$22,"✅ OK",IF($E13&lt;='Resumen Anual'!$B$23,"⚠️ Atención","🔴 Alerta")),"—"),"—")</f>
        <v>—</v>
      </c>
    </row>
    <row r="14">
      <c r="A14" s="8" t="inlineStr">
        <is>
          <t>Coste de bebida (barra)</t>
        </is>
      </c>
      <c r="B14" s="21" t="n">
        <v>0</v>
      </c>
      <c r="C14" s="21" t="n">
        <v>0</v>
      </c>
      <c r="D14" s="10">
        <f>C14-B14</f>
        <v>0.0</v>
      </c>
      <c r="E14" s="11">
        <f>IF($B14=0,"",IFERROR(($C14-$B14)/$B14,""))</f>
        <v/>
      </c>
      <c r="F14" s="12" t="str">
        <f>IFERROR(IF(ISNUMBER($E14),IF($E14&lt;='Resumen Anual'!$B$22,"✅ OK",IF($E14&lt;='Resumen Anual'!$B$23,"⚠️ Atención","🔴 Alerta")),"—"),"—")</f>
        <v>—</v>
      </c>
    </row>
    <row r="15">
      <c r="A15" s="8" t="inlineStr">
        <is>
          <t>Personal (Labor)</t>
        </is>
      </c>
      <c r="B15" s="21" t="n">
        <v>0</v>
      </c>
      <c r="C15" s="21" t="n">
        <v>0</v>
      </c>
      <c r="D15" s="10">
        <f>C15-B15</f>
        <v>0.0</v>
      </c>
      <c r="E15" s="11">
        <f>IF($B15=0,"",IFERROR(($C15-$B15)/$B15,""))</f>
        <v/>
      </c>
      <c r="F15" s="12" t="str">
        <f>IFERROR(IF(ISNUMBER($E15),IF($E15&lt;='Resumen Anual'!$B$22,"✅ OK",IF($E15&lt;='Resumen Anual'!$B$23,"⚠️ Atención","🔴 Alerta")),"—"),"—")</f>
        <v>—</v>
      </c>
    </row>
    <row r="16">
      <c r="A16" s="8" t="inlineStr">
        <is>
          <t>Comisiones de plataformas (delivery)</t>
        </is>
      </c>
      <c r="B16" s="21" t="n">
        <v>0</v>
      </c>
      <c r="C16" s="21" t="n">
        <v>0</v>
      </c>
      <c r="D16" s="10">
        <f>C16-B16</f>
        <v>0.0</v>
      </c>
      <c r="E16" s="11">
        <f>IF($B16=0,"",IFERROR(($C16-$B16)/$B16,""))</f>
        <v/>
      </c>
      <c r="F16" s="12" t="str">
        <f>IFERROR(IF(ISNUMBER($E16),IF($E16&lt;='Resumen Anual'!$B$22,"✅ OK",IF($E16&lt;='Resumen Anual'!$B$23,"⚠️ Atención","🔴 Alerta")),"—"),"—")</f>
        <v>—</v>
      </c>
    </row>
    <row r="17">
      <c r="A17" s="8" t="inlineStr">
        <is>
          <t>Alquiler</t>
        </is>
      </c>
      <c r="B17" s="21" t="n">
        <v>0</v>
      </c>
      <c r="C17" s="21" t="n">
        <v>0</v>
      </c>
      <c r="D17" s="10">
        <f>C17-B17</f>
        <v>0.0</v>
      </c>
      <c r="E17" s="11">
        <f>IF($B17=0,"",IFERROR(($C17-$B17)/$B17,""))</f>
        <v/>
      </c>
      <c r="F17" s="12" t="str">
        <f>IFERROR(IF(ISNUMBER($E17),IF($E17&lt;='Resumen Anual'!$B$22,"✅ OK",IF($E17&lt;='Resumen Anual'!$B$23,"⚠️ Atención","🔴 Alerta")),"—"),"—")</f>
        <v>—</v>
      </c>
    </row>
    <row r="18">
      <c r="A18" s="8" t="inlineStr">
        <is>
          <t>Suministros</t>
        </is>
      </c>
      <c r="B18" s="21" t="n">
        <v>0</v>
      </c>
      <c r="C18" s="21" t="n">
        <v>0</v>
      </c>
      <c r="D18" s="10">
        <f>C18-B18</f>
        <v>0.0</v>
      </c>
      <c r="E18" s="11">
        <f>IF($B18=0,"",IFERROR(($C18-$B18)/$B18,""))</f>
        <v/>
      </c>
      <c r="F18" s="12" t="str">
        <f>IFERROR(IF(ISNUMBER($E18),IF($E18&lt;='Resumen Anual'!$B$22,"✅ OK",IF($E18&lt;='Resumen Anual'!$B$23,"⚠️ Atención","🔴 Alerta")),"—"),"—")</f>
        <v>—</v>
      </c>
    </row>
    <row r="19">
      <c r="A19" s="8" t="inlineStr">
        <is>
          <t>Marketing</t>
        </is>
      </c>
      <c r="B19" s="21" t="n">
        <v>0</v>
      </c>
      <c r="C19" s="21" t="n">
        <v>0</v>
      </c>
      <c r="D19" s="10">
        <f>C19-B19</f>
        <v>0.0</v>
      </c>
      <c r="E19" s="11">
        <f>IF($B19=0,"",IFERROR(($C19-$B19)/$B19,""))</f>
        <v/>
      </c>
      <c r="F19" s="12" t="str">
        <f>IFERROR(IF(ISNUMBER($E19),IF($E19&lt;='Resumen Anual'!$B$22,"✅ OK",IF($E19&lt;='Resumen Anual'!$B$23,"⚠️ Atención","🔴 Alerta")),"—"),"—")</f>
        <v>—</v>
      </c>
    </row>
    <row r="20">
      <c r="A20" s="8" t="inlineStr">
        <is>
          <t>Administración / Otros</t>
        </is>
      </c>
      <c r="B20" s="21" t="n">
        <v>0</v>
      </c>
      <c r="C20" s="21" t="n">
        <v>0</v>
      </c>
      <c r="D20" s="10">
        <f>C20-B20</f>
        <v>0.0</v>
      </c>
      <c r="E20" s="11">
        <f>IF($B20=0,"",IFERROR(($C20-$B20)/$B20,""))</f>
        <v/>
      </c>
      <c r="F20" s="12" t="str">
        <f>IFERROR(IF(ISNUMBER($E20),IF($E20&lt;='Resumen Anual'!$B$22,"✅ OK",IF($E20&lt;='Resumen Anual'!$B$23,"⚠️ Atención","🔴 Alerta")),"—"),"—")</f>
        <v>—</v>
      </c>
    </row>
    <row r="21">
      <c r="A21" s="13" t="inlineStr">
        <is>
          <t>TOTAL GASTOS</t>
        </is>
      </c>
      <c r="B21" s="14">
        <f>SUM(B13:B20)</f>
        <v>0.0</v>
      </c>
      <c r="C21" s="14">
        <f>SUM(C13:C20)</f>
        <v>0.0</v>
      </c>
      <c r="D21" s="14">
        <f>C21-B21</f>
        <v>0.0</v>
      </c>
      <c r="E21" s="22">
        <f>IF($B21=0,"",IFERROR(($C21-$B21)/$B21,""))</f>
        <v/>
      </c>
      <c r="F21" s="14" t="str">
        <f>IFERROR(IF(ISNUMBER($E21),IF($E21&lt;='Resumen Anual'!$B$22,"✅ OK",IF($E21&lt;='Resumen Anual'!$B$23,"⚠️ Atención","🔴 Alerta")),"—"),"—")</f>
        <v>—</v>
      </c>
    </row>
    <row r="22">
      <c r="A22" s="13" t="n"/>
      <c r="B22" s="23" t="n"/>
      <c r="C22" s="23" t="n"/>
    </row>
    <row r="23">
      <c r="A23" s="13" t="inlineStr">
        <is>
          <t>EBITDA</t>
        </is>
      </c>
      <c r="B23" s="14">
        <f>B10-B21</f>
        <v>0.0</v>
      </c>
      <c r="C23" s="14">
        <f>C10-C21</f>
        <v>0.0</v>
      </c>
      <c r="D23" s="14">
        <f>C23-B23</f>
        <v>0.0</v>
      </c>
      <c r="E23" s="22">
        <f>IF($B23=0,"",IFERROR(($C23-$B23)/ABS($B23),""))</f>
        <v/>
      </c>
      <c r="F23" s="14" t="str">
        <f>IFERROR(IF(ISNUMBER($E23),IF($E23&gt;=-'Resumen Anual'!$B$22,"✅ OK",IF($E23&gt;=-'Resumen Anual'!$B$23,"⚠️ Atención","🔴 Alerta")),"—"),"—")</f>
        <v>—</v>
      </c>
    </row>
    <row r="24">
      <c r="A24" s="8" t="inlineStr">
        <is>
          <t>Margen EBITDA %</t>
        </is>
      </c>
      <c r="B24" s="11">
        <f>IF(B10=0,"",B23/B10)</f>
        <v/>
      </c>
      <c r="C24" s="11">
        <f>IF(C10=0,"",C23/C10)</f>
        <v/>
      </c>
      <c r="D24" s="24">
        <f>IFERROR($C24-$B24,"")</f>
        <v/>
      </c>
      <c r="E24" s="25" t="inlineStr">
        <is>
          <t>p.p.</t>
        </is>
      </c>
      <c r="F24" s="12" t="str">
        <f>IFERROR(IF(ISNUMBER($D24),IF($D24&gt;=-'Resumen Anual'!$B$24,"✅ OK",IF($D24&gt;=-'Resumen Anual'!$B$25,"⚠️ Atención","🔴 Alerta")),"—"),"—")</f>
        <v>—</v>
      </c>
    </row>
    <row r="25">
      <c r="A25" s="8" t="n"/>
      <c r="B25" s="23" t="n"/>
      <c r="C25" s="23" t="n"/>
    </row>
    <row r="26">
      <c r="A26" s="7" t="inlineStr">
        <is>
          <t>RATIOS AUTOMÁTICOS</t>
        </is>
      </c>
      <c r="B26" s="23" t="n"/>
      <c r="C26" s="23" t="n"/>
    </row>
    <row r="27">
      <c r="A27" s="8" t="inlineStr">
        <is>
          <t>Food Cost % (sobre ventas de comida)</t>
        </is>
      </c>
      <c r="B27" s="11">
        <f>IF((B10-B7)&lt;=0,"",B13/(B10-B7))</f>
        <v/>
      </c>
      <c r="C27" s="11">
        <f>IF((C10-C7)&lt;=0,"",C13/(C10-C7))</f>
        <v/>
      </c>
      <c r="D27" s="24">
        <f>IFERROR($C27-$B27,"")</f>
        <v/>
      </c>
      <c r="E27" s="25" t="inlineStr">
        <is>
          <t>p.p.</t>
        </is>
      </c>
      <c r="F27" s="12" t="str">
        <f>IFERROR(IF(ISNUMBER($D27),IF($D27&lt;='Resumen Anual'!$B$24,"✅ OK",IF($D27&lt;='Resumen Anual'!$B$25,"⚠️ Atención","🔴 Alerta")),"—"),"—")</f>
        <v>—</v>
      </c>
    </row>
    <row r="28">
      <c r="A28" s="8" t="inlineStr">
        <is>
          <t>Beverage Cost % (sobre ventas de barra)</t>
        </is>
      </c>
      <c r="B28" s="11">
        <f>IF(B7=0,"",B14/B7)</f>
        <v/>
      </c>
      <c r="C28" s="11">
        <f>IF(C7=0,"",C14/C7)</f>
        <v/>
      </c>
      <c r="D28" s="24">
        <f>IFERROR($C28-$B28,"")</f>
        <v/>
      </c>
      <c r="E28" s="25" t="inlineStr">
        <is>
          <t>p.p.</t>
        </is>
      </c>
      <c r="F28" s="12" t="str">
        <f>IFERROR(IF(ISNUMBER($D28),IF($D28&lt;='Resumen Anual'!$B$24,"✅ OK",IF($D28&lt;='Resumen Anual'!$B$25,"⚠️ Atención","🔴 Alerta")),"—"),"—")</f>
        <v>—</v>
      </c>
    </row>
    <row r="29">
      <c r="A29" s="8" t="inlineStr">
        <is>
          <t>Labor Cost %</t>
        </is>
      </c>
      <c r="B29" s="11">
        <f>IF(B10=0,"",B15/B10)</f>
        <v/>
      </c>
      <c r="C29" s="11">
        <f>IF(C10=0,"",C15/C10)</f>
        <v/>
      </c>
      <c r="D29" s="24">
        <f>IFERROR($C29-$B29,"")</f>
        <v/>
      </c>
      <c r="E29" s="25" t="inlineStr">
        <is>
          <t>p.p.</t>
        </is>
      </c>
      <c r="F29" s="12" t="str">
        <f>IFERROR(IF(ISNUMBER($D29),IF($D29&lt;='Resumen Anual'!$B$24,"✅ OK",IF($D29&lt;='Resumen Anual'!$B$25,"⚠️ Atención","🔴 Alerta")),"—"),"—")</f>
        <v>—</v>
      </c>
    </row>
    <row r="30">
      <c r="A30" s="8" t="inlineStr">
        <is>
          <t>Prime Cost % (comida + bebida + personal)</t>
        </is>
      </c>
      <c r="B30" s="11">
        <f>IF(B10=0,"",(B13+B14+B15)/B10)</f>
        <v/>
      </c>
      <c r="C30" s="11">
        <f>IF(C10=0,"",(C13+C14+C15)/C10)</f>
        <v/>
      </c>
      <c r="D30" s="24">
        <f>IFERROR($C30-$B30,"")</f>
        <v/>
      </c>
      <c r="E30" s="25" t="inlineStr">
        <is>
          <t>p.p.</t>
        </is>
      </c>
      <c r="F30" s="12" t="str">
        <f>IFERROR(IF(ISNUMBER($D30),IF($D30&lt;='Resumen Anual'!$B$24,"✅ OK",IF($D30&lt;='Resumen Anual'!$B$25,"⚠️ Atención","🔴 Alerta")),"—"),"—")</f>
        <v>—</v>
      </c>
    </row>
    <row r="31"/>
    <row r="32">
      <c r="A32" s="26" t="inlineStr">
        <is>
          <t>© 2026 AI Chef Pro · aichef.pro</t>
        </is>
      </c>
    </row>
    <row r="33"/>
    <row r="34"/>
    <row r="35"/>
    <row r="36"/>
    <row r="37"/>
    <row r="38"/>
    <row r="39"/>
    <row r="40"/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2">
    <mergeCell ref="A1:F1"/>
    <mergeCell ref="A2:F2"/>
  </mergeCells>
  <conditionalFormatting sqref="F6:F30">
    <cfRule type="containsText" priority="1" operator="containsText" dxfId="0" stopIfTrue="1" text="🔴 Alerta">
      <formula>NOT(ISERROR(SEARCH("🔴 Alerta",F6)))</formula>
    </cfRule>
    <cfRule type="containsText" priority="2" operator="containsText" dxfId="1" stopIfTrue="1" text="⚠️ Atención">
      <formula>NOT(ISERROR(SEARCH("⚠️ Atención",F6)))</formula>
    </cfRule>
    <cfRule type="containsText" priority="3" operator="containsText" dxfId="2" stopIfTrue="1" text="✅ OK">
      <formula>NOT(ISERROR(SEARCH("✅ OK",F6)))</formula>
    </cfRule>
  </conditionalFormatting>
  <dataValidations count="1">
    <dataValidation sqref="B6 B7 B8 B9 B13 B14 B15 B16 B17 B18 B19 B20 C6 C7 C8 C9 C13 C14 C15 C16 C17 C18 C19 C20" showDropDown="0" showInputMessage="0" showErrorMessage="1" allowBlank="1" errorTitle="Importe no válido" error="Escribe un número mayor o igual que 0." type="decimal" operator="greaterThanOrEqual">
      <formula1>0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F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>
      <c r="A1" s="5" t="inlineStr">
        <is>
          <t>P&amp;L Sep — Real vs Presupuesto</t>
        </is>
      </c>
    </row>
    <row r="2">
      <c r="A2" s="2" t="inlineStr">
        <is>
          <t>AI Chef Pro · aichef.pro — Kit Plan Financiero para Restaurantes</t>
        </is>
      </c>
    </row>
    <row r="3"/>
    <row r="4">
      <c r="A4" s="6" t="inlineStr">
        <is>
          <t>Concepto</t>
        </is>
      </c>
      <c r="B4" s="6" t="inlineStr">
        <is>
          <t>Presupuesto (€)</t>
        </is>
      </c>
      <c r="C4" s="6" t="inlineStr">
        <is>
          <t>Real (€)</t>
        </is>
      </c>
      <c r="D4" s="6" t="inlineStr">
        <is>
          <t>Desviación (€)</t>
        </is>
      </c>
      <c r="E4" s="6" t="inlineStr">
        <is>
          <t>Desviación %</t>
        </is>
      </c>
      <c r="F4" s="6" t="inlineStr">
        <is>
          <t>Semáforo</t>
        </is>
      </c>
    </row>
    <row r="5">
      <c r="A5" s="7" t="inlineStr">
        <is>
          <t>INGRESOS</t>
        </is>
      </c>
    </row>
    <row r="6">
      <c r="A6" s="8" t="inlineStr">
        <is>
          <t>Ventas Comedor (sin IVA)</t>
        </is>
      </c>
      <c r="B6" s="20" t="n">
        <v>0</v>
      </c>
      <c r="C6" s="20" t="n">
        <v>0</v>
      </c>
      <c r="D6" s="10">
        <f>C6-B6</f>
        <v>0.0</v>
      </c>
      <c r="E6" s="11">
        <f>IF($B6=0,"",IFERROR(($C6-$B6)/$B6,""))</f>
        <v/>
      </c>
      <c r="F6" s="12" t="str">
        <f>IFERROR(IF(ISNUMBER($E6),IF($E6&gt;=-'Resumen Anual'!$B$22,"✅ OK",IF($E6&gt;=-'Resumen Anual'!$B$23,"⚠️ Atención","🔴 Alerta")),"—"),"—")</f>
        <v>—</v>
      </c>
    </row>
    <row r="7">
      <c r="A7" s="8" t="inlineStr">
        <is>
          <t>Ventas Barra (sin IVA)</t>
        </is>
      </c>
      <c r="B7" s="20" t="n">
        <v>0</v>
      </c>
      <c r="C7" s="20" t="n">
        <v>0</v>
      </c>
      <c r="D7" s="10">
        <f>C7-B7</f>
        <v>0.0</v>
      </c>
      <c r="E7" s="11">
        <f>IF($B7=0,"",IFERROR(($C7-$B7)/$B7,""))</f>
        <v/>
      </c>
      <c r="F7" s="12" t="str">
        <f>IFERROR(IF(ISNUMBER($E7),IF($E7&gt;=-'Resumen Anual'!$B$22,"✅ OK",IF($E7&gt;=-'Resumen Anual'!$B$23,"⚠️ Atención","🔴 Alerta")),"—"),"—")</f>
        <v>—</v>
      </c>
    </row>
    <row r="8">
      <c r="A8" s="8" t="inlineStr">
        <is>
          <t>Ventas Delivery (sin IVA)</t>
        </is>
      </c>
      <c r="B8" s="20" t="n">
        <v>0</v>
      </c>
      <c r="C8" s="20" t="n">
        <v>0</v>
      </c>
      <c r="D8" s="10">
        <f>C8-B8</f>
        <v>0.0</v>
      </c>
      <c r="E8" s="11">
        <f>IF($B8=0,"",IFERROR(($C8-$B8)/$B8,""))</f>
        <v/>
      </c>
      <c r="F8" s="12" t="str">
        <f>IFERROR(IF(ISNUMBER($E8),IF($E8&gt;=-'Resumen Anual'!$B$22,"✅ OK",IF($E8&gt;=-'Resumen Anual'!$B$23,"⚠️ Atención","🔴 Alerta")),"—"),"—")</f>
        <v>—</v>
      </c>
    </row>
    <row r="9">
      <c r="A9" s="8" t="inlineStr">
        <is>
          <t>Eventos / Catering (sin IVA)</t>
        </is>
      </c>
      <c r="B9" s="20" t="n">
        <v>0</v>
      </c>
      <c r="C9" s="20" t="n">
        <v>0</v>
      </c>
      <c r="D9" s="10">
        <f>C9-B9</f>
        <v>0.0</v>
      </c>
      <c r="E9" s="11">
        <f>IF($B9=0,"",IFERROR(($C9-$B9)/$B9,""))</f>
        <v/>
      </c>
      <c r="F9" s="12" t="str">
        <f>IFERROR(IF(ISNUMBER($E9),IF($E9&gt;=-'Resumen Anual'!$B$22,"✅ OK",IF($E9&gt;=-'Resumen Anual'!$B$23,"⚠️ Atención","🔴 Alerta")),"—"),"—")</f>
        <v>—</v>
      </c>
    </row>
    <row r="10">
      <c r="A10" s="13" t="inlineStr">
        <is>
          <t>TOTAL INGRESOS (sin IVA)</t>
        </is>
      </c>
      <c r="B10" s="14">
        <f>B6+B7+B8+B9</f>
        <v>0.0</v>
      </c>
      <c r="C10" s="14">
        <f>C6+C7+C8+C9</f>
        <v>0.0</v>
      </c>
      <c r="D10" s="10">
        <f>C10-B10</f>
        <v>0.0</v>
      </c>
      <c r="E10" s="11">
        <f>IF($B10=0,"",IFERROR(($C10-$B10)/$B10,""))</f>
        <v/>
      </c>
      <c r="F10" s="12" t="str">
        <f>IFERROR(IF(ISNUMBER($E10),IF($E10&gt;=-'Resumen Anual'!$B$22,"✅ OK",IF($E10&gt;=-'Resumen Anual'!$B$23,"⚠️ Atención","🔴 Alerta")),"—"),"—")</f>
        <v>—</v>
      </c>
    </row>
    <row r="11"/>
    <row r="12">
      <c r="A12" s="7" t="inlineStr">
        <is>
          <t>GASTOS</t>
        </is>
      </c>
    </row>
    <row r="13">
      <c r="A13" s="8" t="inlineStr">
        <is>
          <t>Coste de comida (materia prima)</t>
        </is>
      </c>
      <c r="B13" s="21" t="n">
        <v>0</v>
      </c>
      <c r="C13" s="21" t="n">
        <v>0</v>
      </c>
      <c r="D13" s="10">
        <f>C13-B13</f>
        <v>0.0</v>
      </c>
      <c r="E13" s="11">
        <f>IF($B13=0,"",IFERROR(($C13-$B13)/$B13,""))</f>
        <v/>
      </c>
      <c r="F13" s="12" t="str">
        <f>IFERROR(IF(ISNUMBER($E13),IF($E13&lt;='Resumen Anual'!$B$22,"✅ OK",IF($E13&lt;='Resumen Anual'!$B$23,"⚠️ Atención","🔴 Alerta")),"—"),"—")</f>
        <v>—</v>
      </c>
    </row>
    <row r="14">
      <c r="A14" s="8" t="inlineStr">
        <is>
          <t>Coste de bebida (barra)</t>
        </is>
      </c>
      <c r="B14" s="21" t="n">
        <v>0</v>
      </c>
      <c r="C14" s="21" t="n">
        <v>0</v>
      </c>
      <c r="D14" s="10">
        <f>C14-B14</f>
        <v>0.0</v>
      </c>
      <c r="E14" s="11">
        <f>IF($B14=0,"",IFERROR(($C14-$B14)/$B14,""))</f>
        <v/>
      </c>
      <c r="F14" s="12" t="str">
        <f>IFERROR(IF(ISNUMBER($E14),IF($E14&lt;='Resumen Anual'!$B$22,"✅ OK",IF($E14&lt;='Resumen Anual'!$B$23,"⚠️ Atención","🔴 Alerta")),"—"),"—")</f>
        <v>—</v>
      </c>
    </row>
    <row r="15">
      <c r="A15" s="8" t="inlineStr">
        <is>
          <t>Personal (Labor)</t>
        </is>
      </c>
      <c r="B15" s="21" t="n">
        <v>0</v>
      </c>
      <c r="C15" s="21" t="n">
        <v>0</v>
      </c>
      <c r="D15" s="10">
        <f>C15-B15</f>
        <v>0.0</v>
      </c>
      <c r="E15" s="11">
        <f>IF($B15=0,"",IFERROR(($C15-$B15)/$B15,""))</f>
        <v/>
      </c>
      <c r="F15" s="12" t="str">
        <f>IFERROR(IF(ISNUMBER($E15),IF($E15&lt;='Resumen Anual'!$B$22,"✅ OK",IF($E15&lt;='Resumen Anual'!$B$23,"⚠️ Atención","🔴 Alerta")),"—"),"—")</f>
        <v>—</v>
      </c>
    </row>
    <row r="16">
      <c r="A16" s="8" t="inlineStr">
        <is>
          <t>Comisiones de plataformas (delivery)</t>
        </is>
      </c>
      <c r="B16" s="21" t="n">
        <v>0</v>
      </c>
      <c r="C16" s="21" t="n">
        <v>0</v>
      </c>
      <c r="D16" s="10">
        <f>C16-B16</f>
        <v>0.0</v>
      </c>
      <c r="E16" s="11">
        <f>IF($B16=0,"",IFERROR(($C16-$B16)/$B16,""))</f>
        <v/>
      </c>
      <c r="F16" s="12" t="str">
        <f>IFERROR(IF(ISNUMBER($E16),IF($E16&lt;='Resumen Anual'!$B$22,"✅ OK",IF($E16&lt;='Resumen Anual'!$B$23,"⚠️ Atención","🔴 Alerta")),"—"),"—")</f>
        <v>—</v>
      </c>
    </row>
    <row r="17">
      <c r="A17" s="8" t="inlineStr">
        <is>
          <t>Alquiler</t>
        </is>
      </c>
      <c r="B17" s="21" t="n">
        <v>0</v>
      </c>
      <c r="C17" s="21" t="n">
        <v>0</v>
      </c>
      <c r="D17" s="10">
        <f>C17-B17</f>
        <v>0.0</v>
      </c>
      <c r="E17" s="11">
        <f>IF($B17=0,"",IFERROR(($C17-$B17)/$B17,""))</f>
        <v/>
      </c>
      <c r="F17" s="12" t="str">
        <f>IFERROR(IF(ISNUMBER($E17),IF($E17&lt;='Resumen Anual'!$B$22,"✅ OK",IF($E17&lt;='Resumen Anual'!$B$23,"⚠️ Atención","🔴 Alerta")),"—"),"—")</f>
        <v>—</v>
      </c>
    </row>
    <row r="18">
      <c r="A18" s="8" t="inlineStr">
        <is>
          <t>Suministros</t>
        </is>
      </c>
      <c r="B18" s="21" t="n">
        <v>0</v>
      </c>
      <c r="C18" s="21" t="n">
        <v>0</v>
      </c>
      <c r="D18" s="10">
        <f>C18-B18</f>
        <v>0.0</v>
      </c>
      <c r="E18" s="11">
        <f>IF($B18=0,"",IFERROR(($C18-$B18)/$B18,""))</f>
        <v/>
      </c>
      <c r="F18" s="12" t="str">
        <f>IFERROR(IF(ISNUMBER($E18),IF($E18&lt;='Resumen Anual'!$B$22,"✅ OK",IF($E18&lt;='Resumen Anual'!$B$23,"⚠️ Atención","🔴 Alerta")),"—"),"—")</f>
        <v>—</v>
      </c>
    </row>
    <row r="19">
      <c r="A19" s="8" t="inlineStr">
        <is>
          <t>Marketing</t>
        </is>
      </c>
      <c r="B19" s="21" t="n">
        <v>0</v>
      </c>
      <c r="C19" s="21" t="n">
        <v>0</v>
      </c>
      <c r="D19" s="10">
        <f>C19-B19</f>
        <v>0.0</v>
      </c>
      <c r="E19" s="11">
        <f>IF($B19=0,"",IFERROR(($C19-$B19)/$B19,""))</f>
        <v/>
      </c>
      <c r="F19" s="12" t="str">
        <f>IFERROR(IF(ISNUMBER($E19),IF($E19&lt;='Resumen Anual'!$B$22,"✅ OK",IF($E19&lt;='Resumen Anual'!$B$23,"⚠️ Atención","🔴 Alerta")),"—"),"—")</f>
        <v>—</v>
      </c>
    </row>
    <row r="20">
      <c r="A20" s="8" t="inlineStr">
        <is>
          <t>Administración / Otros</t>
        </is>
      </c>
      <c r="B20" s="21" t="n">
        <v>0</v>
      </c>
      <c r="C20" s="21" t="n">
        <v>0</v>
      </c>
      <c r="D20" s="10">
        <f>C20-B20</f>
        <v>0.0</v>
      </c>
      <c r="E20" s="11">
        <f>IF($B20=0,"",IFERROR(($C20-$B20)/$B20,""))</f>
        <v/>
      </c>
      <c r="F20" s="12" t="str">
        <f>IFERROR(IF(ISNUMBER($E20),IF($E20&lt;='Resumen Anual'!$B$22,"✅ OK",IF($E20&lt;='Resumen Anual'!$B$23,"⚠️ Atención","🔴 Alerta")),"—"),"—")</f>
        <v>—</v>
      </c>
    </row>
    <row r="21">
      <c r="A21" s="13" t="inlineStr">
        <is>
          <t>TOTAL GASTOS</t>
        </is>
      </c>
      <c r="B21" s="14">
        <f>SUM(B13:B20)</f>
        <v>0.0</v>
      </c>
      <c r="C21" s="14">
        <f>SUM(C13:C20)</f>
        <v>0.0</v>
      </c>
      <c r="D21" s="14">
        <f>C21-B21</f>
        <v>0.0</v>
      </c>
      <c r="E21" s="22">
        <f>IF($B21=0,"",IFERROR(($C21-$B21)/$B21,""))</f>
        <v/>
      </c>
      <c r="F21" s="14" t="str">
        <f>IFERROR(IF(ISNUMBER($E21),IF($E21&lt;='Resumen Anual'!$B$22,"✅ OK",IF($E21&lt;='Resumen Anual'!$B$23,"⚠️ Atención","🔴 Alerta")),"—"),"—")</f>
        <v>—</v>
      </c>
    </row>
    <row r="22">
      <c r="A22" s="13" t="n"/>
      <c r="B22" s="23" t="n"/>
      <c r="C22" s="23" t="n"/>
    </row>
    <row r="23">
      <c r="A23" s="13" t="inlineStr">
        <is>
          <t>EBITDA</t>
        </is>
      </c>
      <c r="B23" s="14">
        <f>B10-B21</f>
        <v>0.0</v>
      </c>
      <c r="C23" s="14">
        <f>C10-C21</f>
        <v>0.0</v>
      </c>
      <c r="D23" s="14">
        <f>C23-B23</f>
        <v>0.0</v>
      </c>
      <c r="E23" s="22">
        <f>IF($B23=0,"",IFERROR(($C23-$B23)/ABS($B23),""))</f>
        <v/>
      </c>
      <c r="F23" s="14" t="str">
        <f>IFERROR(IF(ISNUMBER($E23),IF($E23&gt;=-'Resumen Anual'!$B$22,"✅ OK",IF($E23&gt;=-'Resumen Anual'!$B$23,"⚠️ Atención","🔴 Alerta")),"—"),"—")</f>
        <v>—</v>
      </c>
    </row>
    <row r="24">
      <c r="A24" s="8" t="inlineStr">
        <is>
          <t>Margen EBITDA %</t>
        </is>
      </c>
      <c r="B24" s="11">
        <f>IF(B10=0,"",B23/B10)</f>
        <v/>
      </c>
      <c r="C24" s="11">
        <f>IF(C10=0,"",C23/C10)</f>
        <v/>
      </c>
      <c r="D24" s="24">
        <f>IFERROR($C24-$B24,"")</f>
        <v/>
      </c>
      <c r="E24" s="25" t="inlineStr">
        <is>
          <t>p.p.</t>
        </is>
      </c>
      <c r="F24" s="12" t="str">
        <f>IFERROR(IF(ISNUMBER($D24),IF($D24&gt;=-'Resumen Anual'!$B$24,"✅ OK",IF($D24&gt;=-'Resumen Anual'!$B$25,"⚠️ Atención","🔴 Alerta")),"—"),"—")</f>
        <v>—</v>
      </c>
    </row>
    <row r="25">
      <c r="A25" s="8" t="n"/>
      <c r="B25" s="23" t="n"/>
      <c r="C25" s="23" t="n"/>
    </row>
    <row r="26">
      <c r="A26" s="7" t="inlineStr">
        <is>
          <t>RATIOS AUTOMÁTICOS</t>
        </is>
      </c>
      <c r="B26" s="23" t="n"/>
      <c r="C26" s="23" t="n"/>
    </row>
    <row r="27">
      <c r="A27" s="8" t="inlineStr">
        <is>
          <t>Food Cost % (sobre ventas de comida)</t>
        </is>
      </c>
      <c r="B27" s="11">
        <f>IF((B10-B7)&lt;=0,"",B13/(B10-B7))</f>
        <v/>
      </c>
      <c r="C27" s="11">
        <f>IF((C10-C7)&lt;=0,"",C13/(C10-C7))</f>
        <v/>
      </c>
      <c r="D27" s="24">
        <f>IFERROR($C27-$B27,"")</f>
        <v/>
      </c>
      <c r="E27" s="25" t="inlineStr">
        <is>
          <t>p.p.</t>
        </is>
      </c>
      <c r="F27" s="12" t="str">
        <f>IFERROR(IF(ISNUMBER($D27),IF($D27&lt;='Resumen Anual'!$B$24,"✅ OK",IF($D27&lt;='Resumen Anual'!$B$25,"⚠️ Atención","🔴 Alerta")),"—"),"—")</f>
        <v>—</v>
      </c>
    </row>
    <row r="28">
      <c r="A28" s="8" t="inlineStr">
        <is>
          <t>Beverage Cost % (sobre ventas de barra)</t>
        </is>
      </c>
      <c r="B28" s="11">
        <f>IF(B7=0,"",B14/B7)</f>
        <v/>
      </c>
      <c r="C28" s="11">
        <f>IF(C7=0,"",C14/C7)</f>
        <v/>
      </c>
      <c r="D28" s="24">
        <f>IFERROR($C28-$B28,"")</f>
        <v/>
      </c>
      <c r="E28" s="25" t="inlineStr">
        <is>
          <t>p.p.</t>
        </is>
      </c>
      <c r="F28" s="12" t="str">
        <f>IFERROR(IF(ISNUMBER($D28),IF($D28&lt;='Resumen Anual'!$B$24,"✅ OK",IF($D28&lt;='Resumen Anual'!$B$25,"⚠️ Atención","🔴 Alerta")),"—"),"—")</f>
        <v>—</v>
      </c>
    </row>
    <row r="29">
      <c r="A29" s="8" t="inlineStr">
        <is>
          <t>Labor Cost %</t>
        </is>
      </c>
      <c r="B29" s="11">
        <f>IF(B10=0,"",B15/B10)</f>
        <v/>
      </c>
      <c r="C29" s="11">
        <f>IF(C10=0,"",C15/C10)</f>
        <v/>
      </c>
      <c r="D29" s="24">
        <f>IFERROR($C29-$B29,"")</f>
        <v/>
      </c>
      <c r="E29" s="25" t="inlineStr">
        <is>
          <t>p.p.</t>
        </is>
      </c>
      <c r="F29" s="12" t="str">
        <f>IFERROR(IF(ISNUMBER($D29),IF($D29&lt;='Resumen Anual'!$B$24,"✅ OK",IF($D29&lt;='Resumen Anual'!$B$25,"⚠️ Atención","🔴 Alerta")),"—"),"—")</f>
        <v>—</v>
      </c>
    </row>
    <row r="30">
      <c r="A30" s="8" t="inlineStr">
        <is>
          <t>Prime Cost % (comida + bebida + personal)</t>
        </is>
      </c>
      <c r="B30" s="11">
        <f>IF(B10=0,"",(B13+B14+B15)/B10)</f>
        <v/>
      </c>
      <c r="C30" s="11">
        <f>IF(C10=0,"",(C13+C14+C15)/C10)</f>
        <v/>
      </c>
      <c r="D30" s="24">
        <f>IFERROR($C30-$B30,"")</f>
        <v/>
      </c>
      <c r="E30" s="25" t="inlineStr">
        <is>
          <t>p.p.</t>
        </is>
      </c>
      <c r="F30" s="12" t="str">
        <f>IFERROR(IF(ISNUMBER($D30),IF($D30&lt;='Resumen Anual'!$B$24,"✅ OK",IF($D30&lt;='Resumen Anual'!$B$25,"⚠️ Atención","🔴 Alerta")),"—"),"—")</f>
        <v>—</v>
      </c>
    </row>
    <row r="31"/>
    <row r="32">
      <c r="A32" s="26" t="inlineStr">
        <is>
          <t>© 2026 AI Chef Pro · aichef.pro</t>
        </is>
      </c>
    </row>
    <row r="33"/>
    <row r="34"/>
    <row r="35"/>
    <row r="36"/>
    <row r="37"/>
    <row r="38"/>
    <row r="39"/>
    <row r="40"/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2">
    <mergeCell ref="A1:F1"/>
    <mergeCell ref="A2:F2"/>
  </mergeCells>
  <conditionalFormatting sqref="F6:F30">
    <cfRule type="containsText" priority="1" operator="containsText" dxfId="0" stopIfTrue="1" text="🔴 Alerta">
      <formula>NOT(ISERROR(SEARCH("🔴 Alerta",F6)))</formula>
    </cfRule>
    <cfRule type="containsText" priority="2" operator="containsText" dxfId="1" stopIfTrue="1" text="⚠️ Atención">
      <formula>NOT(ISERROR(SEARCH("⚠️ Atención",F6)))</formula>
    </cfRule>
    <cfRule type="containsText" priority="3" operator="containsText" dxfId="2" stopIfTrue="1" text="✅ OK">
      <formula>NOT(ISERROR(SEARCH("✅ OK",F6)))</formula>
    </cfRule>
  </conditionalFormatting>
  <dataValidations count="1">
    <dataValidation sqref="B6 B7 B8 B9 B13 B14 B15 B16 B17 B18 B19 B20 C6 C7 C8 C9 C13 C14 C15 C16 C17 C18 C19 C20" showDropDown="0" showInputMessage="0" showErrorMessage="1" allowBlank="1" errorTitle="Importe no válido" error="Escribe un número mayor o igual que 0." type="decimal" operator="greaterThanOrEqual">
      <formula1>0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F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>
      <c r="A1" s="5" t="inlineStr">
        <is>
          <t>P&amp;L Oct — Real vs Presupuesto</t>
        </is>
      </c>
    </row>
    <row r="2">
      <c r="A2" s="2" t="inlineStr">
        <is>
          <t>AI Chef Pro · aichef.pro — Kit Plan Financiero para Restaurantes</t>
        </is>
      </c>
    </row>
    <row r="3"/>
    <row r="4">
      <c r="A4" s="6" t="inlineStr">
        <is>
          <t>Concepto</t>
        </is>
      </c>
      <c r="B4" s="6" t="inlineStr">
        <is>
          <t>Presupuesto (€)</t>
        </is>
      </c>
      <c r="C4" s="6" t="inlineStr">
        <is>
          <t>Real (€)</t>
        </is>
      </c>
      <c r="D4" s="6" t="inlineStr">
        <is>
          <t>Desviación (€)</t>
        </is>
      </c>
      <c r="E4" s="6" t="inlineStr">
        <is>
          <t>Desviación %</t>
        </is>
      </c>
      <c r="F4" s="6" t="inlineStr">
        <is>
          <t>Semáforo</t>
        </is>
      </c>
    </row>
    <row r="5">
      <c r="A5" s="7" t="inlineStr">
        <is>
          <t>INGRESOS</t>
        </is>
      </c>
    </row>
    <row r="6">
      <c r="A6" s="8" t="inlineStr">
        <is>
          <t>Ventas Comedor (sin IVA)</t>
        </is>
      </c>
      <c r="B6" s="20" t="n">
        <v>0</v>
      </c>
      <c r="C6" s="20" t="n">
        <v>0</v>
      </c>
      <c r="D6" s="10">
        <f>C6-B6</f>
        <v>0.0</v>
      </c>
      <c r="E6" s="11">
        <f>IF($B6=0,"",IFERROR(($C6-$B6)/$B6,""))</f>
        <v/>
      </c>
      <c r="F6" s="12" t="str">
        <f>IFERROR(IF(ISNUMBER($E6),IF($E6&gt;=-'Resumen Anual'!$B$22,"✅ OK",IF($E6&gt;=-'Resumen Anual'!$B$23,"⚠️ Atención","🔴 Alerta")),"—"),"—")</f>
        <v>—</v>
      </c>
    </row>
    <row r="7">
      <c r="A7" s="8" t="inlineStr">
        <is>
          <t>Ventas Barra (sin IVA)</t>
        </is>
      </c>
      <c r="B7" s="20" t="n">
        <v>0</v>
      </c>
      <c r="C7" s="20" t="n">
        <v>0</v>
      </c>
      <c r="D7" s="10">
        <f>C7-B7</f>
        <v>0.0</v>
      </c>
      <c r="E7" s="11">
        <f>IF($B7=0,"",IFERROR(($C7-$B7)/$B7,""))</f>
        <v/>
      </c>
      <c r="F7" s="12" t="str">
        <f>IFERROR(IF(ISNUMBER($E7),IF($E7&gt;=-'Resumen Anual'!$B$22,"✅ OK",IF($E7&gt;=-'Resumen Anual'!$B$23,"⚠️ Atención","🔴 Alerta")),"—"),"—")</f>
        <v>—</v>
      </c>
    </row>
    <row r="8">
      <c r="A8" s="8" t="inlineStr">
        <is>
          <t>Ventas Delivery (sin IVA)</t>
        </is>
      </c>
      <c r="B8" s="20" t="n">
        <v>0</v>
      </c>
      <c r="C8" s="20" t="n">
        <v>0</v>
      </c>
      <c r="D8" s="10">
        <f>C8-B8</f>
        <v>0.0</v>
      </c>
      <c r="E8" s="11">
        <f>IF($B8=0,"",IFERROR(($C8-$B8)/$B8,""))</f>
        <v/>
      </c>
      <c r="F8" s="12" t="str">
        <f>IFERROR(IF(ISNUMBER($E8),IF($E8&gt;=-'Resumen Anual'!$B$22,"✅ OK",IF($E8&gt;=-'Resumen Anual'!$B$23,"⚠️ Atención","🔴 Alerta")),"—"),"—")</f>
        <v>—</v>
      </c>
    </row>
    <row r="9">
      <c r="A9" s="8" t="inlineStr">
        <is>
          <t>Eventos / Catering (sin IVA)</t>
        </is>
      </c>
      <c r="B9" s="20" t="n">
        <v>0</v>
      </c>
      <c r="C9" s="20" t="n">
        <v>0</v>
      </c>
      <c r="D9" s="10">
        <f>C9-B9</f>
        <v>0.0</v>
      </c>
      <c r="E9" s="11">
        <f>IF($B9=0,"",IFERROR(($C9-$B9)/$B9,""))</f>
        <v/>
      </c>
      <c r="F9" s="12" t="str">
        <f>IFERROR(IF(ISNUMBER($E9),IF($E9&gt;=-'Resumen Anual'!$B$22,"✅ OK",IF($E9&gt;=-'Resumen Anual'!$B$23,"⚠️ Atención","🔴 Alerta")),"—"),"—")</f>
        <v>—</v>
      </c>
    </row>
    <row r="10">
      <c r="A10" s="13" t="inlineStr">
        <is>
          <t>TOTAL INGRESOS (sin IVA)</t>
        </is>
      </c>
      <c r="B10" s="14">
        <f>B6+B7+B8+B9</f>
        <v>0.0</v>
      </c>
      <c r="C10" s="14">
        <f>C6+C7+C8+C9</f>
        <v>0.0</v>
      </c>
      <c r="D10" s="10">
        <f>C10-B10</f>
        <v>0.0</v>
      </c>
      <c r="E10" s="11">
        <f>IF($B10=0,"",IFERROR(($C10-$B10)/$B10,""))</f>
        <v/>
      </c>
      <c r="F10" s="12" t="str">
        <f>IFERROR(IF(ISNUMBER($E10),IF($E10&gt;=-'Resumen Anual'!$B$22,"✅ OK",IF($E10&gt;=-'Resumen Anual'!$B$23,"⚠️ Atención","🔴 Alerta")),"—"),"—")</f>
        <v>—</v>
      </c>
    </row>
    <row r="11"/>
    <row r="12">
      <c r="A12" s="7" t="inlineStr">
        <is>
          <t>GASTOS</t>
        </is>
      </c>
    </row>
    <row r="13">
      <c r="A13" s="8" t="inlineStr">
        <is>
          <t>Coste de comida (materia prima)</t>
        </is>
      </c>
      <c r="B13" s="21" t="n">
        <v>0</v>
      </c>
      <c r="C13" s="21" t="n">
        <v>0</v>
      </c>
      <c r="D13" s="10">
        <f>C13-B13</f>
        <v>0.0</v>
      </c>
      <c r="E13" s="11">
        <f>IF($B13=0,"",IFERROR(($C13-$B13)/$B13,""))</f>
        <v/>
      </c>
      <c r="F13" s="12" t="str">
        <f>IFERROR(IF(ISNUMBER($E13),IF($E13&lt;='Resumen Anual'!$B$22,"✅ OK",IF($E13&lt;='Resumen Anual'!$B$23,"⚠️ Atención","🔴 Alerta")),"—"),"—")</f>
        <v>—</v>
      </c>
    </row>
    <row r="14">
      <c r="A14" s="8" t="inlineStr">
        <is>
          <t>Coste de bebida (barra)</t>
        </is>
      </c>
      <c r="B14" s="21" t="n">
        <v>0</v>
      </c>
      <c r="C14" s="21" t="n">
        <v>0</v>
      </c>
      <c r="D14" s="10">
        <f>C14-B14</f>
        <v>0.0</v>
      </c>
      <c r="E14" s="11">
        <f>IF($B14=0,"",IFERROR(($C14-$B14)/$B14,""))</f>
        <v/>
      </c>
      <c r="F14" s="12" t="str">
        <f>IFERROR(IF(ISNUMBER($E14),IF($E14&lt;='Resumen Anual'!$B$22,"✅ OK",IF($E14&lt;='Resumen Anual'!$B$23,"⚠️ Atención","🔴 Alerta")),"—"),"—")</f>
        <v>—</v>
      </c>
    </row>
    <row r="15">
      <c r="A15" s="8" t="inlineStr">
        <is>
          <t>Personal (Labor)</t>
        </is>
      </c>
      <c r="B15" s="21" t="n">
        <v>0</v>
      </c>
      <c r="C15" s="21" t="n">
        <v>0</v>
      </c>
      <c r="D15" s="10">
        <f>C15-B15</f>
        <v>0.0</v>
      </c>
      <c r="E15" s="11">
        <f>IF($B15=0,"",IFERROR(($C15-$B15)/$B15,""))</f>
        <v/>
      </c>
      <c r="F15" s="12" t="str">
        <f>IFERROR(IF(ISNUMBER($E15),IF($E15&lt;='Resumen Anual'!$B$22,"✅ OK",IF($E15&lt;='Resumen Anual'!$B$23,"⚠️ Atención","🔴 Alerta")),"—"),"—")</f>
        <v>—</v>
      </c>
    </row>
    <row r="16">
      <c r="A16" s="8" t="inlineStr">
        <is>
          <t>Comisiones de plataformas (delivery)</t>
        </is>
      </c>
      <c r="B16" s="21" t="n">
        <v>0</v>
      </c>
      <c r="C16" s="21" t="n">
        <v>0</v>
      </c>
      <c r="D16" s="10">
        <f>C16-B16</f>
        <v>0.0</v>
      </c>
      <c r="E16" s="11">
        <f>IF($B16=0,"",IFERROR(($C16-$B16)/$B16,""))</f>
        <v/>
      </c>
      <c r="F16" s="12" t="str">
        <f>IFERROR(IF(ISNUMBER($E16),IF($E16&lt;='Resumen Anual'!$B$22,"✅ OK",IF($E16&lt;='Resumen Anual'!$B$23,"⚠️ Atención","🔴 Alerta")),"—"),"—")</f>
        <v>—</v>
      </c>
    </row>
    <row r="17">
      <c r="A17" s="8" t="inlineStr">
        <is>
          <t>Alquiler</t>
        </is>
      </c>
      <c r="B17" s="21" t="n">
        <v>0</v>
      </c>
      <c r="C17" s="21" t="n">
        <v>0</v>
      </c>
      <c r="D17" s="10">
        <f>C17-B17</f>
        <v>0.0</v>
      </c>
      <c r="E17" s="11">
        <f>IF($B17=0,"",IFERROR(($C17-$B17)/$B17,""))</f>
        <v/>
      </c>
      <c r="F17" s="12" t="str">
        <f>IFERROR(IF(ISNUMBER($E17),IF($E17&lt;='Resumen Anual'!$B$22,"✅ OK",IF($E17&lt;='Resumen Anual'!$B$23,"⚠️ Atención","🔴 Alerta")),"—"),"—")</f>
        <v>—</v>
      </c>
    </row>
    <row r="18">
      <c r="A18" s="8" t="inlineStr">
        <is>
          <t>Suministros</t>
        </is>
      </c>
      <c r="B18" s="21" t="n">
        <v>0</v>
      </c>
      <c r="C18" s="21" t="n">
        <v>0</v>
      </c>
      <c r="D18" s="10">
        <f>C18-B18</f>
        <v>0.0</v>
      </c>
      <c r="E18" s="11">
        <f>IF($B18=0,"",IFERROR(($C18-$B18)/$B18,""))</f>
        <v/>
      </c>
      <c r="F18" s="12" t="str">
        <f>IFERROR(IF(ISNUMBER($E18),IF($E18&lt;='Resumen Anual'!$B$22,"✅ OK",IF($E18&lt;='Resumen Anual'!$B$23,"⚠️ Atención","🔴 Alerta")),"—"),"—")</f>
        <v>—</v>
      </c>
    </row>
    <row r="19">
      <c r="A19" s="8" t="inlineStr">
        <is>
          <t>Marketing</t>
        </is>
      </c>
      <c r="B19" s="21" t="n">
        <v>0</v>
      </c>
      <c r="C19" s="21" t="n">
        <v>0</v>
      </c>
      <c r="D19" s="10">
        <f>C19-B19</f>
        <v>0.0</v>
      </c>
      <c r="E19" s="11">
        <f>IF($B19=0,"",IFERROR(($C19-$B19)/$B19,""))</f>
        <v/>
      </c>
      <c r="F19" s="12" t="str">
        <f>IFERROR(IF(ISNUMBER($E19),IF($E19&lt;='Resumen Anual'!$B$22,"✅ OK",IF($E19&lt;='Resumen Anual'!$B$23,"⚠️ Atención","🔴 Alerta")),"—"),"—")</f>
        <v>—</v>
      </c>
    </row>
    <row r="20">
      <c r="A20" s="8" t="inlineStr">
        <is>
          <t>Administración / Otros</t>
        </is>
      </c>
      <c r="B20" s="21" t="n">
        <v>0</v>
      </c>
      <c r="C20" s="21" t="n">
        <v>0</v>
      </c>
      <c r="D20" s="10">
        <f>C20-B20</f>
        <v>0.0</v>
      </c>
      <c r="E20" s="11">
        <f>IF($B20=0,"",IFERROR(($C20-$B20)/$B20,""))</f>
        <v/>
      </c>
      <c r="F20" s="12" t="str">
        <f>IFERROR(IF(ISNUMBER($E20),IF($E20&lt;='Resumen Anual'!$B$22,"✅ OK",IF($E20&lt;='Resumen Anual'!$B$23,"⚠️ Atención","🔴 Alerta")),"—"),"—")</f>
        <v>—</v>
      </c>
    </row>
    <row r="21">
      <c r="A21" s="13" t="inlineStr">
        <is>
          <t>TOTAL GASTOS</t>
        </is>
      </c>
      <c r="B21" s="14">
        <f>SUM(B13:B20)</f>
        <v>0.0</v>
      </c>
      <c r="C21" s="14">
        <f>SUM(C13:C20)</f>
        <v>0.0</v>
      </c>
      <c r="D21" s="14">
        <f>C21-B21</f>
        <v>0.0</v>
      </c>
      <c r="E21" s="22">
        <f>IF($B21=0,"",IFERROR(($C21-$B21)/$B21,""))</f>
        <v/>
      </c>
      <c r="F21" s="14" t="str">
        <f>IFERROR(IF(ISNUMBER($E21),IF($E21&lt;='Resumen Anual'!$B$22,"✅ OK",IF($E21&lt;='Resumen Anual'!$B$23,"⚠️ Atención","🔴 Alerta")),"—"),"—")</f>
        <v>—</v>
      </c>
    </row>
    <row r="22">
      <c r="A22" s="13" t="n"/>
      <c r="B22" s="23" t="n"/>
      <c r="C22" s="23" t="n"/>
    </row>
    <row r="23">
      <c r="A23" s="13" t="inlineStr">
        <is>
          <t>EBITDA</t>
        </is>
      </c>
      <c r="B23" s="14">
        <f>B10-B21</f>
        <v>0.0</v>
      </c>
      <c r="C23" s="14">
        <f>C10-C21</f>
        <v>0.0</v>
      </c>
      <c r="D23" s="14">
        <f>C23-B23</f>
        <v>0.0</v>
      </c>
      <c r="E23" s="22">
        <f>IF($B23=0,"",IFERROR(($C23-$B23)/ABS($B23),""))</f>
        <v/>
      </c>
      <c r="F23" s="14" t="str">
        <f>IFERROR(IF(ISNUMBER($E23),IF($E23&gt;=-'Resumen Anual'!$B$22,"✅ OK",IF($E23&gt;=-'Resumen Anual'!$B$23,"⚠️ Atención","🔴 Alerta")),"—"),"—")</f>
        <v>—</v>
      </c>
    </row>
    <row r="24">
      <c r="A24" s="8" t="inlineStr">
        <is>
          <t>Margen EBITDA %</t>
        </is>
      </c>
      <c r="B24" s="11">
        <f>IF(B10=0,"",B23/B10)</f>
        <v/>
      </c>
      <c r="C24" s="11">
        <f>IF(C10=0,"",C23/C10)</f>
        <v/>
      </c>
      <c r="D24" s="24">
        <f>IFERROR($C24-$B24,"")</f>
        <v/>
      </c>
      <c r="E24" s="25" t="inlineStr">
        <is>
          <t>p.p.</t>
        </is>
      </c>
      <c r="F24" s="12" t="str">
        <f>IFERROR(IF(ISNUMBER($D24),IF($D24&gt;=-'Resumen Anual'!$B$24,"✅ OK",IF($D24&gt;=-'Resumen Anual'!$B$25,"⚠️ Atención","🔴 Alerta")),"—"),"—")</f>
        <v>—</v>
      </c>
    </row>
    <row r="25">
      <c r="A25" s="8" t="n"/>
      <c r="B25" s="23" t="n"/>
      <c r="C25" s="23" t="n"/>
    </row>
    <row r="26">
      <c r="A26" s="7" t="inlineStr">
        <is>
          <t>RATIOS AUTOMÁTICOS</t>
        </is>
      </c>
      <c r="B26" s="23" t="n"/>
      <c r="C26" s="23" t="n"/>
    </row>
    <row r="27">
      <c r="A27" s="8" t="inlineStr">
        <is>
          <t>Food Cost % (sobre ventas de comida)</t>
        </is>
      </c>
      <c r="B27" s="11">
        <f>IF((B10-B7)&lt;=0,"",B13/(B10-B7))</f>
        <v/>
      </c>
      <c r="C27" s="11">
        <f>IF((C10-C7)&lt;=0,"",C13/(C10-C7))</f>
        <v/>
      </c>
      <c r="D27" s="24">
        <f>IFERROR($C27-$B27,"")</f>
        <v/>
      </c>
      <c r="E27" s="25" t="inlineStr">
        <is>
          <t>p.p.</t>
        </is>
      </c>
      <c r="F27" s="12" t="str">
        <f>IFERROR(IF(ISNUMBER($D27),IF($D27&lt;='Resumen Anual'!$B$24,"✅ OK",IF($D27&lt;='Resumen Anual'!$B$25,"⚠️ Atención","🔴 Alerta")),"—"),"—")</f>
        <v>—</v>
      </c>
    </row>
    <row r="28">
      <c r="A28" s="8" t="inlineStr">
        <is>
          <t>Beverage Cost % (sobre ventas de barra)</t>
        </is>
      </c>
      <c r="B28" s="11">
        <f>IF(B7=0,"",B14/B7)</f>
        <v/>
      </c>
      <c r="C28" s="11">
        <f>IF(C7=0,"",C14/C7)</f>
        <v/>
      </c>
      <c r="D28" s="24">
        <f>IFERROR($C28-$B28,"")</f>
        <v/>
      </c>
      <c r="E28" s="25" t="inlineStr">
        <is>
          <t>p.p.</t>
        </is>
      </c>
      <c r="F28" s="12" t="str">
        <f>IFERROR(IF(ISNUMBER($D28),IF($D28&lt;='Resumen Anual'!$B$24,"✅ OK",IF($D28&lt;='Resumen Anual'!$B$25,"⚠️ Atención","🔴 Alerta")),"—"),"—")</f>
        <v>—</v>
      </c>
    </row>
    <row r="29">
      <c r="A29" s="8" t="inlineStr">
        <is>
          <t>Labor Cost %</t>
        </is>
      </c>
      <c r="B29" s="11">
        <f>IF(B10=0,"",B15/B10)</f>
        <v/>
      </c>
      <c r="C29" s="11">
        <f>IF(C10=0,"",C15/C10)</f>
        <v/>
      </c>
      <c r="D29" s="24">
        <f>IFERROR($C29-$B29,"")</f>
        <v/>
      </c>
      <c r="E29" s="25" t="inlineStr">
        <is>
          <t>p.p.</t>
        </is>
      </c>
      <c r="F29" s="12" t="str">
        <f>IFERROR(IF(ISNUMBER($D29),IF($D29&lt;='Resumen Anual'!$B$24,"✅ OK",IF($D29&lt;='Resumen Anual'!$B$25,"⚠️ Atención","🔴 Alerta")),"—"),"—")</f>
        <v>—</v>
      </c>
    </row>
    <row r="30">
      <c r="A30" s="8" t="inlineStr">
        <is>
          <t>Prime Cost % (comida + bebida + personal)</t>
        </is>
      </c>
      <c r="B30" s="11">
        <f>IF(B10=0,"",(B13+B14+B15)/B10)</f>
        <v/>
      </c>
      <c r="C30" s="11">
        <f>IF(C10=0,"",(C13+C14+C15)/C10)</f>
        <v/>
      </c>
      <c r="D30" s="24">
        <f>IFERROR($C30-$B30,"")</f>
        <v/>
      </c>
      <c r="E30" s="25" t="inlineStr">
        <is>
          <t>p.p.</t>
        </is>
      </c>
      <c r="F30" s="12" t="str">
        <f>IFERROR(IF(ISNUMBER($D30),IF($D30&lt;='Resumen Anual'!$B$24,"✅ OK",IF($D30&lt;='Resumen Anual'!$B$25,"⚠️ Atención","🔴 Alerta")),"—"),"—")</f>
        <v>—</v>
      </c>
    </row>
    <row r="31"/>
    <row r="32">
      <c r="A32" s="26" t="inlineStr">
        <is>
          <t>© 2026 AI Chef Pro · aichef.pro</t>
        </is>
      </c>
    </row>
    <row r="33"/>
    <row r="34"/>
    <row r="35"/>
    <row r="36"/>
    <row r="37"/>
    <row r="38"/>
    <row r="39"/>
    <row r="40"/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2">
    <mergeCell ref="A1:F1"/>
    <mergeCell ref="A2:F2"/>
  </mergeCells>
  <conditionalFormatting sqref="F6:F30">
    <cfRule type="containsText" priority="1" operator="containsText" dxfId="0" stopIfTrue="1" text="🔴 Alerta">
      <formula>NOT(ISERROR(SEARCH("🔴 Alerta",F6)))</formula>
    </cfRule>
    <cfRule type="containsText" priority="2" operator="containsText" dxfId="1" stopIfTrue="1" text="⚠️ Atención">
      <formula>NOT(ISERROR(SEARCH("⚠️ Atención",F6)))</formula>
    </cfRule>
    <cfRule type="containsText" priority="3" operator="containsText" dxfId="2" stopIfTrue="1" text="✅ OK">
      <formula>NOT(ISERROR(SEARCH("✅ OK",F6)))</formula>
    </cfRule>
  </conditionalFormatting>
  <dataValidations count="1">
    <dataValidation sqref="B6 B7 B8 B9 B13 B14 B15 B16 B17 B18 B19 B20 C6 C7 C8 C9 C13 C14 C15 C16 C17 C18 C19 C20" showDropDown="0" showInputMessage="0" showErrorMessage="1" allowBlank="1" errorTitle="Importe no válido" error="Escribe un número mayor o igual que 0." type="decimal" operator="greaterThanOrEqual">
      <formula1>0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F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>
      <c r="A1" s="5" t="inlineStr">
        <is>
          <t>P&amp;L Nov — Real vs Presupuesto</t>
        </is>
      </c>
    </row>
    <row r="2">
      <c r="A2" s="2" t="inlineStr">
        <is>
          <t>AI Chef Pro · aichef.pro — Kit Plan Financiero para Restaurantes</t>
        </is>
      </c>
    </row>
    <row r="3"/>
    <row r="4">
      <c r="A4" s="6" t="inlineStr">
        <is>
          <t>Concepto</t>
        </is>
      </c>
      <c r="B4" s="6" t="inlineStr">
        <is>
          <t>Presupuesto (€)</t>
        </is>
      </c>
      <c r="C4" s="6" t="inlineStr">
        <is>
          <t>Real (€)</t>
        </is>
      </c>
      <c r="D4" s="6" t="inlineStr">
        <is>
          <t>Desviación (€)</t>
        </is>
      </c>
      <c r="E4" s="6" t="inlineStr">
        <is>
          <t>Desviación %</t>
        </is>
      </c>
      <c r="F4" s="6" t="inlineStr">
        <is>
          <t>Semáforo</t>
        </is>
      </c>
    </row>
    <row r="5">
      <c r="A5" s="7" t="inlineStr">
        <is>
          <t>INGRESOS</t>
        </is>
      </c>
    </row>
    <row r="6">
      <c r="A6" s="8" t="inlineStr">
        <is>
          <t>Ventas Comedor (sin IVA)</t>
        </is>
      </c>
      <c r="B6" s="20" t="n">
        <v>0</v>
      </c>
      <c r="C6" s="20" t="n">
        <v>0</v>
      </c>
      <c r="D6" s="10">
        <f>C6-B6</f>
        <v>0.0</v>
      </c>
      <c r="E6" s="11">
        <f>IF($B6=0,"",IFERROR(($C6-$B6)/$B6,""))</f>
        <v/>
      </c>
      <c r="F6" s="12" t="str">
        <f>IFERROR(IF(ISNUMBER($E6),IF($E6&gt;=-'Resumen Anual'!$B$22,"✅ OK",IF($E6&gt;=-'Resumen Anual'!$B$23,"⚠️ Atención","🔴 Alerta")),"—"),"—")</f>
        <v>—</v>
      </c>
    </row>
    <row r="7">
      <c r="A7" s="8" t="inlineStr">
        <is>
          <t>Ventas Barra (sin IVA)</t>
        </is>
      </c>
      <c r="B7" s="20" t="n">
        <v>0</v>
      </c>
      <c r="C7" s="20" t="n">
        <v>0</v>
      </c>
      <c r="D7" s="10">
        <f>C7-B7</f>
        <v>0.0</v>
      </c>
      <c r="E7" s="11">
        <f>IF($B7=0,"",IFERROR(($C7-$B7)/$B7,""))</f>
        <v/>
      </c>
      <c r="F7" s="12" t="str">
        <f>IFERROR(IF(ISNUMBER($E7),IF($E7&gt;=-'Resumen Anual'!$B$22,"✅ OK",IF($E7&gt;=-'Resumen Anual'!$B$23,"⚠️ Atención","🔴 Alerta")),"—"),"—")</f>
        <v>—</v>
      </c>
    </row>
    <row r="8">
      <c r="A8" s="8" t="inlineStr">
        <is>
          <t>Ventas Delivery (sin IVA)</t>
        </is>
      </c>
      <c r="B8" s="20" t="n">
        <v>0</v>
      </c>
      <c r="C8" s="20" t="n">
        <v>0</v>
      </c>
      <c r="D8" s="10">
        <f>C8-B8</f>
        <v>0.0</v>
      </c>
      <c r="E8" s="11">
        <f>IF($B8=0,"",IFERROR(($C8-$B8)/$B8,""))</f>
        <v/>
      </c>
      <c r="F8" s="12" t="str">
        <f>IFERROR(IF(ISNUMBER($E8),IF($E8&gt;=-'Resumen Anual'!$B$22,"✅ OK",IF($E8&gt;=-'Resumen Anual'!$B$23,"⚠️ Atención","🔴 Alerta")),"—"),"—")</f>
        <v>—</v>
      </c>
    </row>
    <row r="9">
      <c r="A9" s="8" t="inlineStr">
        <is>
          <t>Eventos / Catering (sin IVA)</t>
        </is>
      </c>
      <c r="B9" s="20" t="n">
        <v>0</v>
      </c>
      <c r="C9" s="20" t="n">
        <v>0</v>
      </c>
      <c r="D9" s="10">
        <f>C9-B9</f>
        <v>0.0</v>
      </c>
      <c r="E9" s="11">
        <f>IF($B9=0,"",IFERROR(($C9-$B9)/$B9,""))</f>
        <v/>
      </c>
      <c r="F9" s="12" t="str">
        <f>IFERROR(IF(ISNUMBER($E9),IF($E9&gt;=-'Resumen Anual'!$B$22,"✅ OK",IF($E9&gt;=-'Resumen Anual'!$B$23,"⚠️ Atención","🔴 Alerta")),"—"),"—")</f>
        <v>—</v>
      </c>
    </row>
    <row r="10">
      <c r="A10" s="13" t="inlineStr">
        <is>
          <t>TOTAL INGRESOS (sin IVA)</t>
        </is>
      </c>
      <c r="B10" s="14">
        <f>B6+B7+B8+B9</f>
        <v>0.0</v>
      </c>
      <c r="C10" s="14">
        <f>C6+C7+C8+C9</f>
        <v>0.0</v>
      </c>
      <c r="D10" s="10">
        <f>C10-B10</f>
        <v>0.0</v>
      </c>
      <c r="E10" s="11">
        <f>IF($B10=0,"",IFERROR(($C10-$B10)/$B10,""))</f>
        <v/>
      </c>
      <c r="F10" s="12" t="str">
        <f>IFERROR(IF(ISNUMBER($E10),IF($E10&gt;=-'Resumen Anual'!$B$22,"✅ OK",IF($E10&gt;=-'Resumen Anual'!$B$23,"⚠️ Atención","🔴 Alerta")),"—"),"—")</f>
        <v>—</v>
      </c>
    </row>
    <row r="11"/>
    <row r="12">
      <c r="A12" s="7" t="inlineStr">
        <is>
          <t>GASTOS</t>
        </is>
      </c>
    </row>
    <row r="13">
      <c r="A13" s="8" t="inlineStr">
        <is>
          <t>Coste de comida (materia prima)</t>
        </is>
      </c>
      <c r="B13" s="21" t="n">
        <v>0</v>
      </c>
      <c r="C13" s="21" t="n">
        <v>0</v>
      </c>
      <c r="D13" s="10">
        <f>C13-B13</f>
        <v>0.0</v>
      </c>
      <c r="E13" s="11">
        <f>IF($B13=0,"",IFERROR(($C13-$B13)/$B13,""))</f>
        <v/>
      </c>
      <c r="F13" s="12" t="str">
        <f>IFERROR(IF(ISNUMBER($E13),IF($E13&lt;='Resumen Anual'!$B$22,"✅ OK",IF($E13&lt;='Resumen Anual'!$B$23,"⚠️ Atención","🔴 Alerta")),"—"),"—")</f>
        <v>—</v>
      </c>
    </row>
    <row r="14">
      <c r="A14" s="8" t="inlineStr">
        <is>
          <t>Coste de bebida (barra)</t>
        </is>
      </c>
      <c r="B14" s="21" t="n">
        <v>0</v>
      </c>
      <c r="C14" s="21" t="n">
        <v>0</v>
      </c>
      <c r="D14" s="10">
        <f>C14-B14</f>
        <v>0.0</v>
      </c>
      <c r="E14" s="11">
        <f>IF($B14=0,"",IFERROR(($C14-$B14)/$B14,""))</f>
        <v/>
      </c>
      <c r="F14" s="12" t="str">
        <f>IFERROR(IF(ISNUMBER($E14),IF($E14&lt;='Resumen Anual'!$B$22,"✅ OK",IF($E14&lt;='Resumen Anual'!$B$23,"⚠️ Atención","🔴 Alerta")),"—"),"—")</f>
        <v>—</v>
      </c>
    </row>
    <row r="15">
      <c r="A15" s="8" t="inlineStr">
        <is>
          <t>Personal (Labor)</t>
        </is>
      </c>
      <c r="B15" s="21" t="n">
        <v>0</v>
      </c>
      <c r="C15" s="21" t="n">
        <v>0</v>
      </c>
      <c r="D15" s="10">
        <f>C15-B15</f>
        <v>0.0</v>
      </c>
      <c r="E15" s="11">
        <f>IF($B15=0,"",IFERROR(($C15-$B15)/$B15,""))</f>
        <v/>
      </c>
      <c r="F15" s="12" t="str">
        <f>IFERROR(IF(ISNUMBER($E15),IF($E15&lt;='Resumen Anual'!$B$22,"✅ OK",IF($E15&lt;='Resumen Anual'!$B$23,"⚠️ Atención","🔴 Alerta")),"—"),"—")</f>
        <v>—</v>
      </c>
    </row>
    <row r="16">
      <c r="A16" s="8" t="inlineStr">
        <is>
          <t>Comisiones de plataformas (delivery)</t>
        </is>
      </c>
      <c r="B16" s="21" t="n">
        <v>0</v>
      </c>
      <c r="C16" s="21" t="n">
        <v>0</v>
      </c>
      <c r="D16" s="10">
        <f>C16-B16</f>
        <v>0.0</v>
      </c>
      <c r="E16" s="11">
        <f>IF($B16=0,"",IFERROR(($C16-$B16)/$B16,""))</f>
        <v/>
      </c>
      <c r="F16" s="12" t="str">
        <f>IFERROR(IF(ISNUMBER($E16),IF($E16&lt;='Resumen Anual'!$B$22,"✅ OK",IF($E16&lt;='Resumen Anual'!$B$23,"⚠️ Atención","🔴 Alerta")),"—"),"—")</f>
        <v>—</v>
      </c>
    </row>
    <row r="17">
      <c r="A17" s="8" t="inlineStr">
        <is>
          <t>Alquiler</t>
        </is>
      </c>
      <c r="B17" s="21" t="n">
        <v>0</v>
      </c>
      <c r="C17" s="21" t="n">
        <v>0</v>
      </c>
      <c r="D17" s="10">
        <f>C17-B17</f>
        <v>0.0</v>
      </c>
      <c r="E17" s="11">
        <f>IF($B17=0,"",IFERROR(($C17-$B17)/$B17,""))</f>
        <v/>
      </c>
      <c r="F17" s="12" t="str">
        <f>IFERROR(IF(ISNUMBER($E17),IF($E17&lt;='Resumen Anual'!$B$22,"✅ OK",IF($E17&lt;='Resumen Anual'!$B$23,"⚠️ Atención","🔴 Alerta")),"—"),"—")</f>
        <v>—</v>
      </c>
    </row>
    <row r="18">
      <c r="A18" s="8" t="inlineStr">
        <is>
          <t>Suministros</t>
        </is>
      </c>
      <c r="B18" s="21" t="n">
        <v>0</v>
      </c>
      <c r="C18" s="21" t="n">
        <v>0</v>
      </c>
      <c r="D18" s="10">
        <f>C18-B18</f>
        <v>0.0</v>
      </c>
      <c r="E18" s="11">
        <f>IF($B18=0,"",IFERROR(($C18-$B18)/$B18,""))</f>
        <v/>
      </c>
      <c r="F18" s="12" t="str">
        <f>IFERROR(IF(ISNUMBER($E18),IF($E18&lt;='Resumen Anual'!$B$22,"✅ OK",IF($E18&lt;='Resumen Anual'!$B$23,"⚠️ Atención","🔴 Alerta")),"—"),"—")</f>
        <v>—</v>
      </c>
    </row>
    <row r="19">
      <c r="A19" s="8" t="inlineStr">
        <is>
          <t>Marketing</t>
        </is>
      </c>
      <c r="B19" s="21" t="n">
        <v>0</v>
      </c>
      <c r="C19" s="21" t="n">
        <v>0</v>
      </c>
      <c r="D19" s="10">
        <f>C19-B19</f>
        <v>0.0</v>
      </c>
      <c r="E19" s="11">
        <f>IF($B19=0,"",IFERROR(($C19-$B19)/$B19,""))</f>
        <v/>
      </c>
      <c r="F19" s="12" t="str">
        <f>IFERROR(IF(ISNUMBER($E19),IF($E19&lt;='Resumen Anual'!$B$22,"✅ OK",IF($E19&lt;='Resumen Anual'!$B$23,"⚠️ Atención","🔴 Alerta")),"—"),"—")</f>
        <v>—</v>
      </c>
    </row>
    <row r="20">
      <c r="A20" s="8" t="inlineStr">
        <is>
          <t>Administración / Otros</t>
        </is>
      </c>
      <c r="B20" s="21" t="n">
        <v>0</v>
      </c>
      <c r="C20" s="21" t="n">
        <v>0</v>
      </c>
      <c r="D20" s="10">
        <f>C20-B20</f>
        <v>0.0</v>
      </c>
      <c r="E20" s="11">
        <f>IF($B20=0,"",IFERROR(($C20-$B20)/$B20,""))</f>
        <v/>
      </c>
      <c r="F20" s="12" t="str">
        <f>IFERROR(IF(ISNUMBER($E20),IF($E20&lt;='Resumen Anual'!$B$22,"✅ OK",IF($E20&lt;='Resumen Anual'!$B$23,"⚠️ Atención","🔴 Alerta")),"—"),"—")</f>
        <v>—</v>
      </c>
    </row>
    <row r="21">
      <c r="A21" s="13" t="inlineStr">
        <is>
          <t>TOTAL GASTOS</t>
        </is>
      </c>
      <c r="B21" s="14">
        <f>SUM(B13:B20)</f>
        <v>0.0</v>
      </c>
      <c r="C21" s="14">
        <f>SUM(C13:C20)</f>
        <v>0.0</v>
      </c>
      <c r="D21" s="14">
        <f>C21-B21</f>
        <v>0.0</v>
      </c>
      <c r="E21" s="22">
        <f>IF($B21=0,"",IFERROR(($C21-$B21)/$B21,""))</f>
        <v/>
      </c>
      <c r="F21" s="14" t="str">
        <f>IFERROR(IF(ISNUMBER($E21),IF($E21&lt;='Resumen Anual'!$B$22,"✅ OK",IF($E21&lt;='Resumen Anual'!$B$23,"⚠️ Atención","🔴 Alerta")),"—"),"—")</f>
        <v>—</v>
      </c>
    </row>
    <row r="22">
      <c r="A22" s="13" t="n"/>
      <c r="B22" s="23" t="n"/>
      <c r="C22" s="23" t="n"/>
    </row>
    <row r="23">
      <c r="A23" s="13" t="inlineStr">
        <is>
          <t>EBITDA</t>
        </is>
      </c>
      <c r="B23" s="14">
        <f>B10-B21</f>
        <v>0.0</v>
      </c>
      <c r="C23" s="14">
        <f>C10-C21</f>
        <v>0.0</v>
      </c>
      <c r="D23" s="14">
        <f>C23-B23</f>
        <v>0.0</v>
      </c>
      <c r="E23" s="22">
        <f>IF($B23=0,"",IFERROR(($C23-$B23)/ABS($B23),""))</f>
        <v/>
      </c>
      <c r="F23" s="14" t="str">
        <f>IFERROR(IF(ISNUMBER($E23),IF($E23&gt;=-'Resumen Anual'!$B$22,"✅ OK",IF($E23&gt;=-'Resumen Anual'!$B$23,"⚠️ Atención","🔴 Alerta")),"—"),"—")</f>
        <v>—</v>
      </c>
    </row>
    <row r="24">
      <c r="A24" s="8" t="inlineStr">
        <is>
          <t>Margen EBITDA %</t>
        </is>
      </c>
      <c r="B24" s="11">
        <f>IF(B10=0,"",B23/B10)</f>
        <v/>
      </c>
      <c r="C24" s="11">
        <f>IF(C10=0,"",C23/C10)</f>
        <v/>
      </c>
      <c r="D24" s="24">
        <f>IFERROR($C24-$B24,"")</f>
        <v/>
      </c>
      <c r="E24" s="25" t="inlineStr">
        <is>
          <t>p.p.</t>
        </is>
      </c>
      <c r="F24" s="12" t="str">
        <f>IFERROR(IF(ISNUMBER($D24),IF($D24&gt;=-'Resumen Anual'!$B$24,"✅ OK",IF($D24&gt;=-'Resumen Anual'!$B$25,"⚠️ Atención","🔴 Alerta")),"—"),"—")</f>
        <v>—</v>
      </c>
    </row>
    <row r="25">
      <c r="A25" s="8" t="n"/>
      <c r="B25" s="23" t="n"/>
      <c r="C25" s="23" t="n"/>
    </row>
    <row r="26">
      <c r="A26" s="7" t="inlineStr">
        <is>
          <t>RATIOS AUTOMÁTICOS</t>
        </is>
      </c>
      <c r="B26" s="23" t="n"/>
      <c r="C26" s="23" t="n"/>
    </row>
    <row r="27">
      <c r="A27" s="8" t="inlineStr">
        <is>
          <t>Food Cost % (sobre ventas de comida)</t>
        </is>
      </c>
      <c r="B27" s="11">
        <f>IF((B10-B7)&lt;=0,"",B13/(B10-B7))</f>
        <v/>
      </c>
      <c r="C27" s="11">
        <f>IF((C10-C7)&lt;=0,"",C13/(C10-C7))</f>
        <v/>
      </c>
      <c r="D27" s="24">
        <f>IFERROR($C27-$B27,"")</f>
        <v/>
      </c>
      <c r="E27" s="25" t="inlineStr">
        <is>
          <t>p.p.</t>
        </is>
      </c>
      <c r="F27" s="12" t="str">
        <f>IFERROR(IF(ISNUMBER($D27),IF($D27&lt;='Resumen Anual'!$B$24,"✅ OK",IF($D27&lt;='Resumen Anual'!$B$25,"⚠️ Atención","🔴 Alerta")),"—"),"—")</f>
        <v>—</v>
      </c>
    </row>
    <row r="28">
      <c r="A28" s="8" t="inlineStr">
        <is>
          <t>Beverage Cost % (sobre ventas de barra)</t>
        </is>
      </c>
      <c r="B28" s="11">
        <f>IF(B7=0,"",B14/B7)</f>
        <v/>
      </c>
      <c r="C28" s="11">
        <f>IF(C7=0,"",C14/C7)</f>
        <v/>
      </c>
      <c r="D28" s="24">
        <f>IFERROR($C28-$B28,"")</f>
        <v/>
      </c>
      <c r="E28" s="25" t="inlineStr">
        <is>
          <t>p.p.</t>
        </is>
      </c>
      <c r="F28" s="12" t="str">
        <f>IFERROR(IF(ISNUMBER($D28),IF($D28&lt;='Resumen Anual'!$B$24,"✅ OK",IF($D28&lt;='Resumen Anual'!$B$25,"⚠️ Atención","🔴 Alerta")),"—"),"—")</f>
        <v>—</v>
      </c>
    </row>
    <row r="29">
      <c r="A29" s="8" t="inlineStr">
        <is>
          <t>Labor Cost %</t>
        </is>
      </c>
      <c r="B29" s="11">
        <f>IF(B10=0,"",B15/B10)</f>
        <v/>
      </c>
      <c r="C29" s="11">
        <f>IF(C10=0,"",C15/C10)</f>
        <v/>
      </c>
      <c r="D29" s="24">
        <f>IFERROR($C29-$B29,"")</f>
        <v/>
      </c>
      <c r="E29" s="25" t="inlineStr">
        <is>
          <t>p.p.</t>
        </is>
      </c>
      <c r="F29" s="12" t="str">
        <f>IFERROR(IF(ISNUMBER($D29),IF($D29&lt;='Resumen Anual'!$B$24,"✅ OK",IF($D29&lt;='Resumen Anual'!$B$25,"⚠️ Atención","🔴 Alerta")),"—"),"—")</f>
        <v>—</v>
      </c>
    </row>
    <row r="30">
      <c r="A30" s="8" t="inlineStr">
        <is>
          <t>Prime Cost % (comida + bebida + personal)</t>
        </is>
      </c>
      <c r="B30" s="11">
        <f>IF(B10=0,"",(B13+B14+B15)/B10)</f>
        <v/>
      </c>
      <c r="C30" s="11">
        <f>IF(C10=0,"",(C13+C14+C15)/C10)</f>
        <v/>
      </c>
      <c r="D30" s="24">
        <f>IFERROR($C30-$B30,"")</f>
        <v/>
      </c>
      <c r="E30" s="25" t="inlineStr">
        <is>
          <t>p.p.</t>
        </is>
      </c>
      <c r="F30" s="12" t="str">
        <f>IFERROR(IF(ISNUMBER($D30),IF($D30&lt;='Resumen Anual'!$B$24,"✅ OK",IF($D30&lt;='Resumen Anual'!$B$25,"⚠️ Atención","🔴 Alerta")),"—"),"—")</f>
        <v>—</v>
      </c>
    </row>
    <row r="31"/>
    <row r="32">
      <c r="A32" s="26" t="inlineStr">
        <is>
          <t>© 2026 AI Chef Pro · aichef.pro</t>
        </is>
      </c>
    </row>
    <row r="33"/>
    <row r="34"/>
    <row r="35"/>
    <row r="36"/>
    <row r="37"/>
    <row r="38"/>
    <row r="39"/>
    <row r="40"/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2">
    <mergeCell ref="A1:F1"/>
    <mergeCell ref="A2:F2"/>
  </mergeCells>
  <conditionalFormatting sqref="F6:F30">
    <cfRule type="containsText" priority="1" operator="containsText" dxfId="0" stopIfTrue="1" text="🔴 Alerta">
      <formula>NOT(ISERROR(SEARCH("🔴 Alerta",F6)))</formula>
    </cfRule>
    <cfRule type="containsText" priority="2" operator="containsText" dxfId="1" stopIfTrue="1" text="⚠️ Atención">
      <formula>NOT(ISERROR(SEARCH("⚠️ Atención",F6)))</formula>
    </cfRule>
    <cfRule type="containsText" priority="3" operator="containsText" dxfId="2" stopIfTrue="1" text="✅ OK">
      <formula>NOT(ISERROR(SEARCH("✅ OK",F6)))</formula>
    </cfRule>
  </conditionalFormatting>
  <dataValidations count="1">
    <dataValidation sqref="B6 B7 B8 B9 B13 B14 B15 B16 B17 B18 B19 B20 C6 C7 C8 C9 C13 C14 C15 C16 C17 C18 C19 C20" showDropDown="0" showInputMessage="0" showErrorMessage="1" allowBlank="1" errorTitle="Importe no válido" error="Escribe un número mayor o igual que 0." type="decimal" operator="greaterThanOrEqual">
      <formula1>0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F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>
      <c r="A1" s="5" t="inlineStr">
        <is>
          <t>P&amp;L Dic — Real vs Presupuesto</t>
        </is>
      </c>
    </row>
    <row r="2">
      <c r="A2" s="2" t="inlineStr">
        <is>
          <t>AI Chef Pro · aichef.pro — Kit Plan Financiero para Restaurantes</t>
        </is>
      </c>
    </row>
    <row r="3"/>
    <row r="4">
      <c r="A4" s="6" t="inlineStr">
        <is>
          <t>Concepto</t>
        </is>
      </c>
      <c r="B4" s="6" t="inlineStr">
        <is>
          <t>Presupuesto (€)</t>
        </is>
      </c>
      <c r="C4" s="6" t="inlineStr">
        <is>
          <t>Real (€)</t>
        </is>
      </c>
      <c r="D4" s="6" t="inlineStr">
        <is>
          <t>Desviación (€)</t>
        </is>
      </c>
      <c r="E4" s="6" t="inlineStr">
        <is>
          <t>Desviación %</t>
        </is>
      </c>
      <c r="F4" s="6" t="inlineStr">
        <is>
          <t>Semáforo</t>
        </is>
      </c>
    </row>
    <row r="5">
      <c r="A5" s="7" t="inlineStr">
        <is>
          <t>INGRESOS</t>
        </is>
      </c>
    </row>
    <row r="6">
      <c r="A6" s="8" t="inlineStr">
        <is>
          <t>Ventas Comedor (sin IVA)</t>
        </is>
      </c>
      <c r="B6" s="20" t="n">
        <v>0</v>
      </c>
      <c r="C6" s="20" t="n">
        <v>0</v>
      </c>
      <c r="D6" s="10">
        <f>C6-B6</f>
        <v>0.0</v>
      </c>
      <c r="E6" s="11">
        <f>IF($B6=0,"",IFERROR(($C6-$B6)/$B6,""))</f>
        <v/>
      </c>
      <c r="F6" s="12" t="str">
        <f>IFERROR(IF(ISNUMBER($E6),IF($E6&gt;=-'Resumen Anual'!$B$22,"✅ OK",IF($E6&gt;=-'Resumen Anual'!$B$23,"⚠️ Atención","🔴 Alerta")),"—"),"—")</f>
        <v>—</v>
      </c>
    </row>
    <row r="7">
      <c r="A7" s="8" t="inlineStr">
        <is>
          <t>Ventas Barra (sin IVA)</t>
        </is>
      </c>
      <c r="B7" s="20" t="n">
        <v>0</v>
      </c>
      <c r="C7" s="20" t="n">
        <v>0</v>
      </c>
      <c r="D7" s="10">
        <f>C7-B7</f>
        <v>0.0</v>
      </c>
      <c r="E7" s="11">
        <f>IF($B7=0,"",IFERROR(($C7-$B7)/$B7,""))</f>
        <v/>
      </c>
      <c r="F7" s="12" t="str">
        <f>IFERROR(IF(ISNUMBER($E7),IF($E7&gt;=-'Resumen Anual'!$B$22,"✅ OK",IF($E7&gt;=-'Resumen Anual'!$B$23,"⚠️ Atención","🔴 Alerta")),"—"),"—")</f>
        <v>—</v>
      </c>
    </row>
    <row r="8">
      <c r="A8" s="8" t="inlineStr">
        <is>
          <t>Ventas Delivery (sin IVA)</t>
        </is>
      </c>
      <c r="B8" s="20" t="n">
        <v>0</v>
      </c>
      <c r="C8" s="20" t="n">
        <v>0</v>
      </c>
      <c r="D8" s="10">
        <f>C8-B8</f>
        <v>0.0</v>
      </c>
      <c r="E8" s="11">
        <f>IF($B8=0,"",IFERROR(($C8-$B8)/$B8,""))</f>
        <v/>
      </c>
      <c r="F8" s="12" t="str">
        <f>IFERROR(IF(ISNUMBER($E8),IF($E8&gt;=-'Resumen Anual'!$B$22,"✅ OK",IF($E8&gt;=-'Resumen Anual'!$B$23,"⚠️ Atención","🔴 Alerta")),"—"),"—")</f>
        <v>—</v>
      </c>
    </row>
    <row r="9">
      <c r="A9" s="8" t="inlineStr">
        <is>
          <t>Eventos / Catering (sin IVA)</t>
        </is>
      </c>
      <c r="B9" s="20" t="n">
        <v>0</v>
      </c>
      <c r="C9" s="20" t="n">
        <v>0</v>
      </c>
      <c r="D9" s="10">
        <f>C9-B9</f>
        <v>0.0</v>
      </c>
      <c r="E9" s="11">
        <f>IF($B9=0,"",IFERROR(($C9-$B9)/$B9,""))</f>
        <v/>
      </c>
      <c r="F9" s="12" t="str">
        <f>IFERROR(IF(ISNUMBER($E9),IF($E9&gt;=-'Resumen Anual'!$B$22,"✅ OK",IF($E9&gt;=-'Resumen Anual'!$B$23,"⚠️ Atención","🔴 Alerta")),"—"),"—")</f>
        <v>—</v>
      </c>
    </row>
    <row r="10">
      <c r="A10" s="13" t="inlineStr">
        <is>
          <t>TOTAL INGRESOS (sin IVA)</t>
        </is>
      </c>
      <c r="B10" s="14">
        <f>B6+B7+B8+B9</f>
        <v>0.0</v>
      </c>
      <c r="C10" s="14">
        <f>C6+C7+C8+C9</f>
        <v>0.0</v>
      </c>
      <c r="D10" s="10">
        <f>C10-B10</f>
        <v>0.0</v>
      </c>
      <c r="E10" s="11">
        <f>IF($B10=0,"",IFERROR(($C10-$B10)/$B10,""))</f>
        <v/>
      </c>
      <c r="F10" s="12" t="str">
        <f>IFERROR(IF(ISNUMBER($E10),IF($E10&gt;=-'Resumen Anual'!$B$22,"✅ OK",IF($E10&gt;=-'Resumen Anual'!$B$23,"⚠️ Atención","🔴 Alerta")),"—"),"—")</f>
        <v>—</v>
      </c>
    </row>
    <row r="11"/>
    <row r="12">
      <c r="A12" s="7" t="inlineStr">
        <is>
          <t>GASTOS</t>
        </is>
      </c>
    </row>
    <row r="13">
      <c r="A13" s="8" t="inlineStr">
        <is>
          <t>Coste de comida (materia prima)</t>
        </is>
      </c>
      <c r="B13" s="21" t="n">
        <v>0</v>
      </c>
      <c r="C13" s="21" t="n">
        <v>0</v>
      </c>
      <c r="D13" s="10">
        <f>C13-B13</f>
        <v>0.0</v>
      </c>
      <c r="E13" s="11">
        <f>IF($B13=0,"",IFERROR(($C13-$B13)/$B13,""))</f>
        <v/>
      </c>
      <c r="F13" s="12" t="str">
        <f>IFERROR(IF(ISNUMBER($E13),IF($E13&lt;='Resumen Anual'!$B$22,"✅ OK",IF($E13&lt;='Resumen Anual'!$B$23,"⚠️ Atención","🔴 Alerta")),"—"),"—")</f>
        <v>—</v>
      </c>
    </row>
    <row r="14">
      <c r="A14" s="8" t="inlineStr">
        <is>
          <t>Coste de bebida (barra)</t>
        </is>
      </c>
      <c r="B14" s="21" t="n">
        <v>0</v>
      </c>
      <c r="C14" s="21" t="n">
        <v>0</v>
      </c>
      <c r="D14" s="10">
        <f>C14-B14</f>
        <v>0.0</v>
      </c>
      <c r="E14" s="11">
        <f>IF($B14=0,"",IFERROR(($C14-$B14)/$B14,""))</f>
        <v/>
      </c>
      <c r="F14" s="12" t="str">
        <f>IFERROR(IF(ISNUMBER($E14),IF($E14&lt;='Resumen Anual'!$B$22,"✅ OK",IF($E14&lt;='Resumen Anual'!$B$23,"⚠️ Atención","🔴 Alerta")),"—"),"—")</f>
        <v>—</v>
      </c>
    </row>
    <row r="15">
      <c r="A15" s="8" t="inlineStr">
        <is>
          <t>Personal (Labor)</t>
        </is>
      </c>
      <c r="B15" s="21" t="n">
        <v>0</v>
      </c>
      <c r="C15" s="21" t="n">
        <v>0</v>
      </c>
      <c r="D15" s="10">
        <f>C15-B15</f>
        <v>0.0</v>
      </c>
      <c r="E15" s="11">
        <f>IF($B15=0,"",IFERROR(($C15-$B15)/$B15,""))</f>
        <v/>
      </c>
      <c r="F15" s="12" t="str">
        <f>IFERROR(IF(ISNUMBER($E15),IF($E15&lt;='Resumen Anual'!$B$22,"✅ OK",IF($E15&lt;='Resumen Anual'!$B$23,"⚠️ Atención","🔴 Alerta")),"—"),"—")</f>
        <v>—</v>
      </c>
    </row>
    <row r="16">
      <c r="A16" s="8" t="inlineStr">
        <is>
          <t>Comisiones de plataformas (delivery)</t>
        </is>
      </c>
      <c r="B16" s="21" t="n">
        <v>0</v>
      </c>
      <c r="C16" s="21" t="n">
        <v>0</v>
      </c>
      <c r="D16" s="10">
        <f>C16-B16</f>
        <v>0.0</v>
      </c>
      <c r="E16" s="11">
        <f>IF($B16=0,"",IFERROR(($C16-$B16)/$B16,""))</f>
        <v/>
      </c>
      <c r="F16" s="12" t="str">
        <f>IFERROR(IF(ISNUMBER($E16),IF($E16&lt;='Resumen Anual'!$B$22,"✅ OK",IF($E16&lt;='Resumen Anual'!$B$23,"⚠️ Atención","🔴 Alerta")),"—"),"—")</f>
        <v>—</v>
      </c>
    </row>
    <row r="17">
      <c r="A17" s="8" t="inlineStr">
        <is>
          <t>Alquiler</t>
        </is>
      </c>
      <c r="B17" s="21" t="n">
        <v>0</v>
      </c>
      <c r="C17" s="21" t="n">
        <v>0</v>
      </c>
      <c r="D17" s="10">
        <f>C17-B17</f>
        <v>0.0</v>
      </c>
      <c r="E17" s="11">
        <f>IF($B17=0,"",IFERROR(($C17-$B17)/$B17,""))</f>
        <v/>
      </c>
      <c r="F17" s="12" t="str">
        <f>IFERROR(IF(ISNUMBER($E17),IF($E17&lt;='Resumen Anual'!$B$22,"✅ OK",IF($E17&lt;='Resumen Anual'!$B$23,"⚠️ Atención","🔴 Alerta")),"—"),"—")</f>
        <v>—</v>
      </c>
    </row>
    <row r="18">
      <c r="A18" s="8" t="inlineStr">
        <is>
          <t>Suministros</t>
        </is>
      </c>
      <c r="B18" s="21" t="n">
        <v>0</v>
      </c>
      <c r="C18" s="21" t="n">
        <v>0</v>
      </c>
      <c r="D18" s="10">
        <f>C18-B18</f>
        <v>0.0</v>
      </c>
      <c r="E18" s="11">
        <f>IF($B18=0,"",IFERROR(($C18-$B18)/$B18,""))</f>
        <v/>
      </c>
      <c r="F18" s="12" t="str">
        <f>IFERROR(IF(ISNUMBER($E18),IF($E18&lt;='Resumen Anual'!$B$22,"✅ OK",IF($E18&lt;='Resumen Anual'!$B$23,"⚠️ Atención","🔴 Alerta")),"—"),"—")</f>
        <v>—</v>
      </c>
    </row>
    <row r="19">
      <c r="A19" s="8" t="inlineStr">
        <is>
          <t>Marketing</t>
        </is>
      </c>
      <c r="B19" s="21" t="n">
        <v>0</v>
      </c>
      <c r="C19" s="21" t="n">
        <v>0</v>
      </c>
      <c r="D19" s="10">
        <f>C19-B19</f>
        <v>0.0</v>
      </c>
      <c r="E19" s="11">
        <f>IF($B19=0,"",IFERROR(($C19-$B19)/$B19,""))</f>
        <v/>
      </c>
      <c r="F19" s="12" t="str">
        <f>IFERROR(IF(ISNUMBER($E19),IF($E19&lt;='Resumen Anual'!$B$22,"✅ OK",IF($E19&lt;='Resumen Anual'!$B$23,"⚠️ Atención","🔴 Alerta")),"—"),"—")</f>
        <v>—</v>
      </c>
    </row>
    <row r="20">
      <c r="A20" s="8" t="inlineStr">
        <is>
          <t>Administración / Otros</t>
        </is>
      </c>
      <c r="B20" s="21" t="n">
        <v>0</v>
      </c>
      <c r="C20" s="21" t="n">
        <v>0</v>
      </c>
      <c r="D20" s="10">
        <f>C20-B20</f>
        <v>0.0</v>
      </c>
      <c r="E20" s="11">
        <f>IF($B20=0,"",IFERROR(($C20-$B20)/$B20,""))</f>
        <v/>
      </c>
      <c r="F20" s="12" t="str">
        <f>IFERROR(IF(ISNUMBER($E20),IF($E20&lt;='Resumen Anual'!$B$22,"✅ OK",IF($E20&lt;='Resumen Anual'!$B$23,"⚠️ Atención","🔴 Alerta")),"—"),"—")</f>
        <v>—</v>
      </c>
    </row>
    <row r="21">
      <c r="A21" s="13" t="inlineStr">
        <is>
          <t>TOTAL GASTOS</t>
        </is>
      </c>
      <c r="B21" s="14">
        <f>SUM(B13:B20)</f>
        <v>0.0</v>
      </c>
      <c r="C21" s="14">
        <f>SUM(C13:C20)</f>
        <v>0.0</v>
      </c>
      <c r="D21" s="14">
        <f>C21-B21</f>
        <v>0.0</v>
      </c>
      <c r="E21" s="22">
        <f>IF($B21=0,"",IFERROR(($C21-$B21)/$B21,""))</f>
        <v/>
      </c>
      <c r="F21" s="14" t="str">
        <f>IFERROR(IF(ISNUMBER($E21),IF($E21&lt;='Resumen Anual'!$B$22,"✅ OK",IF($E21&lt;='Resumen Anual'!$B$23,"⚠️ Atención","🔴 Alerta")),"—"),"—")</f>
        <v>—</v>
      </c>
    </row>
    <row r="22">
      <c r="A22" s="13" t="n"/>
      <c r="B22" s="23" t="n"/>
      <c r="C22" s="23" t="n"/>
    </row>
    <row r="23">
      <c r="A23" s="13" t="inlineStr">
        <is>
          <t>EBITDA</t>
        </is>
      </c>
      <c r="B23" s="14">
        <f>B10-B21</f>
        <v>0.0</v>
      </c>
      <c r="C23" s="14">
        <f>C10-C21</f>
        <v>0.0</v>
      </c>
      <c r="D23" s="14">
        <f>C23-B23</f>
        <v>0.0</v>
      </c>
      <c r="E23" s="22">
        <f>IF($B23=0,"",IFERROR(($C23-$B23)/ABS($B23),""))</f>
        <v/>
      </c>
      <c r="F23" s="14" t="str">
        <f>IFERROR(IF(ISNUMBER($E23),IF($E23&gt;=-'Resumen Anual'!$B$22,"✅ OK",IF($E23&gt;=-'Resumen Anual'!$B$23,"⚠️ Atención","🔴 Alerta")),"—"),"—")</f>
        <v>—</v>
      </c>
    </row>
    <row r="24">
      <c r="A24" s="8" t="inlineStr">
        <is>
          <t>Margen EBITDA %</t>
        </is>
      </c>
      <c r="B24" s="11">
        <f>IF(B10=0,"",B23/B10)</f>
        <v/>
      </c>
      <c r="C24" s="11">
        <f>IF(C10=0,"",C23/C10)</f>
        <v/>
      </c>
      <c r="D24" s="24">
        <f>IFERROR($C24-$B24,"")</f>
        <v/>
      </c>
      <c r="E24" s="25" t="inlineStr">
        <is>
          <t>p.p.</t>
        </is>
      </c>
      <c r="F24" s="12" t="str">
        <f>IFERROR(IF(ISNUMBER($D24),IF($D24&gt;=-'Resumen Anual'!$B$24,"✅ OK",IF($D24&gt;=-'Resumen Anual'!$B$25,"⚠️ Atención","🔴 Alerta")),"—"),"—")</f>
        <v>—</v>
      </c>
    </row>
    <row r="25">
      <c r="A25" s="8" t="n"/>
      <c r="B25" s="23" t="n"/>
      <c r="C25" s="23" t="n"/>
    </row>
    <row r="26">
      <c r="A26" s="7" t="inlineStr">
        <is>
          <t>RATIOS AUTOMÁTICOS</t>
        </is>
      </c>
      <c r="B26" s="23" t="n"/>
      <c r="C26" s="23" t="n"/>
    </row>
    <row r="27">
      <c r="A27" s="8" t="inlineStr">
        <is>
          <t>Food Cost % (sobre ventas de comida)</t>
        </is>
      </c>
      <c r="B27" s="11">
        <f>IF((B10-B7)&lt;=0,"",B13/(B10-B7))</f>
        <v/>
      </c>
      <c r="C27" s="11">
        <f>IF((C10-C7)&lt;=0,"",C13/(C10-C7))</f>
        <v/>
      </c>
      <c r="D27" s="24">
        <f>IFERROR($C27-$B27,"")</f>
        <v/>
      </c>
      <c r="E27" s="25" t="inlineStr">
        <is>
          <t>p.p.</t>
        </is>
      </c>
      <c r="F27" s="12" t="str">
        <f>IFERROR(IF(ISNUMBER($D27),IF($D27&lt;='Resumen Anual'!$B$24,"✅ OK",IF($D27&lt;='Resumen Anual'!$B$25,"⚠️ Atención","🔴 Alerta")),"—"),"—")</f>
        <v>—</v>
      </c>
    </row>
    <row r="28">
      <c r="A28" s="8" t="inlineStr">
        <is>
          <t>Beverage Cost % (sobre ventas de barra)</t>
        </is>
      </c>
      <c r="B28" s="11">
        <f>IF(B7=0,"",B14/B7)</f>
        <v/>
      </c>
      <c r="C28" s="11">
        <f>IF(C7=0,"",C14/C7)</f>
        <v/>
      </c>
      <c r="D28" s="24">
        <f>IFERROR($C28-$B28,"")</f>
        <v/>
      </c>
      <c r="E28" s="25" t="inlineStr">
        <is>
          <t>p.p.</t>
        </is>
      </c>
      <c r="F28" s="12" t="str">
        <f>IFERROR(IF(ISNUMBER($D28),IF($D28&lt;='Resumen Anual'!$B$24,"✅ OK",IF($D28&lt;='Resumen Anual'!$B$25,"⚠️ Atención","🔴 Alerta")),"—"),"—")</f>
        <v>—</v>
      </c>
    </row>
    <row r="29">
      <c r="A29" s="8" t="inlineStr">
        <is>
          <t>Labor Cost %</t>
        </is>
      </c>
      <c r="B29" s="11">
        <f>IF(B10=0,"",B15/B10)</f>
        <v/>
      </c>
      <c r="C29" s="11">
        <f>IF(C10=0,"",C15/C10)</f>
        <v/>
      </c>
      <c r="D29" s="24">
        <f>IFERROR($C29-$B29,"")</f>
        <v/>
      </c>
      <c r="E29" s="25" t="inlineStr">
        <is>
          <t>p.p.</t>
        </is>
      </c>
      <c r="F29" s="12" t="str">
        <f>IFERROR(IF(ISNUMBER($D29),IF($D29&lt;='Resumen Anual'!$B$24,"✅ OK",IF($D29&lt;='Resumen Anual'!$B$25,"⚠️ Atención","🔴 Alerta")),"—"),"—")</f>
        <v>—</v>
      </c>
    </row>
    <row r="30">
      <c r="A30" s="8" t="inlineStr">
        <is>
          <t>Prime Cost % (comida + bebida + personal)</t>
        </is>
      </c>
      <c r="B30" s="11">
        <f>IF(B10=0,"",(B13+B14+B15)/B10)</f>
        <v/>
      </c>
      <c r="C30" s="11">
        <f>IF(C10=0,"",(C13+C14+C15)/C10)</f>
        <v/>
      </c>
      <c r="D30" s="24">
        <f>IFERROR($C30-$B30,"")</f>
        <v/>
      </c>
      <c r="E30" s="25" t="inlineStr">
        <is>
          <t>p.p.</t>
        </is>
      </c>
      <c r="F30" s="12" t="str">
        <f>IFERROR(IF(ISNUMBER($D30),IF($D30&lt;='Resumen Anual'!$B$24,"✅ OK",IF($D30&lt;='Resumen Anual'!$B$25,"⚠️ Atención","🔴 Alerta")),"—"),"—")</f>
        <v>—</v>
      </c>
    </row>
    <row r="31"/>
    <row r="32">
      <c r="A32" s="26" t="inlineStr">
        <is>
          <t>© 2026 AI Chef Pro · aichef.pro</t>
        </is>
      </c>
    </row>
    <row r="33"/>
    <row r="34"/>
    <row r="35"/>
    <row r="36"/>
    <row r="37"/>
    <row r="38"/>
    <row r="39"/>
    <row r="40"/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2">
    <mergeCell ref="A1:F1"/>
    <mergeCell ref="A2:F2"/>
  </mergeCells>
  <conditionalFormatting sqref="F6:F30">
    <cfRule type="containsText" priority="1" operator="containsText" dxfId="0" stopIfTrue="1" text="🔴 Alerta">
      <formula>NOT(ISERROR(SEARCH("🔴 Alerta",F6)))</formula>
    </cfRule>
    <cfRule type="containsText" priority="2" operator="containsText" dxfId="1" stopIfTrue="1" text="⚠️ Atención">
      <formula>NOT(ISERROR(SEARCH("⚠️ Atención",F6)))</formula>
    </cfRule>
    <cfRule type="containsText" priority="3" operator="containsText" dxfId="2" stopIfTrue="1" text="✅ OK">
      <formula>NOT(ISERROR(SEARCH("✅ OK",F6)))</formula>
    </cfRule>
  </conditionalFormatting>
  <dataValidations count="1">
    <dataValidation sqref="B6 B7 B8 B9 B13 B14 B15 B16 B17 B18 B19 B20 C6 C7 C8 C9 C13 C14 C15 C16 C17 C18 C19 C20" showDropDown="0" showInputMessage="0" showErrorMessage="1" allowBlank="1" errorTitle="Importe no válido" error="Escribe un número mayor o igual que 0." type="decimal" operator="greaterThanOrEqual">
      <formula1>0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N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5" t="inlineStr">
        <is>
          <t>Resumen Anual — Real vs Presupuesto</t>
        </is>
      </c>
    </row>
    <row r="2">
      <c r="A2" s="2" t="inlineStr">
        <is>
          <t>AI Chef Pro · aichef.pro — Kit Plan Financiero para Restaurantes</t>
        </is>
      </c>
    </row>
    <row r="3"/>
    <row r="4">
      <c r="A4" s="6" t="inlineStr">
        <is>
          <t>Concepto</t>
        </is>
      </c>
      <c r="B4" s="6" t="inlineStr">
        <is>
          <t>Ene</t>
        </is>
      </c>
      <c r="C4" s="6" t="inlineStr">
        <is>
          <t>Feb</t>
        </is>
      </c>
      <c r="D4" s="6" t="inlineStr">
        <is>
          <t>Mar</t>
        </is>
      </c>
      <c r="E4" s="6" t="inlineStr">
        <is>
          <t>Abr</t>
        </is>
      </c>
      <c r="F4" s="6" t="inlineStr">
        <is>
          <t>May</t>
        </is>
      </c>
      <c r="G4" s="6" t="inlineStr">
        <is>
          <t>Jun</t>
        </is>
      </c>
      <c r="H4" s="6" t="inlineStr">
        <is>
          <t>Jul</t>
        </is>
      </c>
      <c r="I4" s="6" t="inlineStr">
        <is>
          <t>Ago</t>
        </is>
      </c>
      <c r="J4" s="6" t="inlineStr">
        <is>
          <t>Sep</t>
        </is>
      </c>
      <c r="K4" s="6" t="inlineStr">
        <is>
          <t>Oct</t>
        </is>
      </c>
      <c r="L4" s="6" t="inlineStr">
        <is>
          <t>Nov</t>
        </is>
      </c>
      <c r="M4" s="6" t="inlineStr">
        <is>
          <t>Dic</t>
        </is>
      </c>
      <c r="N4" s="6" t="inlineStr">
        <is>
          <t>TOTAL</t>
        </is>
      </c>
    </row>
    <row r="5">
      <c r="A5" s="13" t="inlineStr">
        <is>
          <t>Total Ingresos (Ppto, sin IVA)</t>
        </is>
      </c>
      <c r="B5" s="18">
        <f>'Ene'!B10</f>
        <v>0.0</v>
      </c>
      <c r="C5" s="18">
        <f>'Feb'!B10</f>
        <v>0.0</v>
      </c>
      <c r="D5" s="18">
        <f>'Mar'!B10</f>
        <v>0.0</v>
      </c>
      <c r="E5" s="18">
        <f>'Abr'!B10</f>
        <v>0.0</v>
      </c>
      <c r="F5" s="18">
        <f>'May'!B10</f>
        <v>0.0</v>
      </c>
      <c r="G5" s="18">
        <f>'Jun'!B10</f>
        <v>0.0</v>
      </c>
      <c r="H5" s="18">
        <f>'Jul'!B10</f>
        <v>0.0</v>
      </c>
      <c r="I5" s="18">
        <f>'Ago'!B10</f>
        <v>0.0</v>
      </c>
      <c r="J5" s="18">
        <f>'Sep'!B10</f>
        <v>0.0</v>
      </c>
      <c r="K5" s="18">
        <f>'Oct'!B10</f>
        <v>0.0</v>
      </c>
      <c r="L5" s="18">
        <f>'Nov'!B10</f>
        <v>0.0</v>
      </c>
      <c r="M5" s="18">
        <f>'Dic'!B10</f>
        <v>0.0</v>
      </c>
      <c r="N5" s="18">
        <f>SUM(B5:M5)</f>
        <v>0.0</v>
      </c>
    </row>
    <row r="6">
      <c r="A6" s="13" t="inlineStr">
        <is>
          <t>Total Ingresos (Real, sin IVA)</t>
        </is>
      </c>
      <c r="B6" s="18">
        <f>'Ene'!C10</f>
        <v>0.0</v>
      </c>
      <c r="C6" s="18">
        <f>'Feb'!C10</f>
        <v>0.0</v>
      </c>
      <c r="D6" s="18">
        <f>'Mar'!C10</f>
        <v>0.0</v>
      </c>
      <c r="E6" s="18">
        <f>'Abr'!C10</f>
        <v>0.0</v>
      </c>
      <c r="F6" s="18">
        <f>'May'!C10</f>
        <v>0.0</v>
      </c>
      <c r="G6" s="18">
        <f>'Jun'!C10</f>
        <v>0.0</v>
      </c>
      <c r="H6" s="18">
        <f>'Jul'!C10</f>
        <v>0.0</v>
      </c>
      <c r="I6" s="18">
        <f>'Ago'!C10</f>
        <v>0.0</v>
      </c>
      <c r="J6" s="18">
        <f>'Sep'!C10</f>
        <v>0.0</v>
      </c>
      <c r="K6" s="18">
        <f>'Oct'!C10</f>
        <v>0.0</v>
      </c>
      <c r="L6" s="18">
        <f>'Nov'!C10</f>
        <v>0.0</v>
      </c>
      <c r="M6" s="18">
        <f>'Dic'!C10</f>
        <v>0.0</v>
      </c>
      <c r="N6" s="18">
        <f>SUM(B6:M6)</f>
        <v>0.0</v>
      </c>
    </row>
    <row r="7">
      <c r="A7" s="13" t="inlineStr">
        <is>
          <t>Total Gastos (Ppto)</t>
        </is>
      </c>
      <c r="B7" s="18">
        <f>'Ene'!B21</f>
        <v>0.0</v>
      </c>
      <c r="C7" s="18">
        <f>'Feb'!B21</f>
        <v>0.0</v>
      </c>
      <c r="D7" s="18">
        <f>'Mar'!B21</f>
        <v>0.0</v>
      </c>
      <c r="E7" s="18">
        <f>'Abr'!B21</f>
        <v>0.0</v>
      </c>
      <c r="F7" s="18">
        <f>'May'!B21</f>
        <v>0.0</v>
      </c>
      <c r="G7" s="18">
        <f>'Jun'!B21</f>
        <v>0.0</v>
      </c>
      <c r="H7" s="18">
        <f>'Jul'!B21</f>
        <v>0.0</v>
      </c>
      <c r="I7" s="18">
        <f>'Ago'!B21</f>
        <v>0.0</v>
      </c>
      <c r="J7" s="18">
        <f>'Sep'!B21</f>
        <v>0.0</v>
      </c>
      <c r="K7" s="18">
        <f>'Oct'!B21</f>
        <v>0.0</v>
      </c>
      <c r="L7" s="18">
        <f>'Nov'!B21</f>
        <v>0.0</v>
      </c>
      <c r="M7" s="18">
        <f>'Dic'!B21</f>
        <v>0.0</v>
      </c>
      <c r="N7" s="18">
        <f>SUM(B7:M7)</f>
        <v>0.0</v>
      </c>
    </row>
    <row r="8">
      <c r="A8" s="13" t="inlineStr">
        <is>
          <t>Total Gastos (Real)</t>
        </is>
      </c>
      <c r="B8" s="18">
        <f>'Ene'!C21</f>
        <v>0.0</v>
      </c>
      <c r="C8" s="18">
        <f>'Feb'!C21</f>
        <v>0.0</v>
      </c>
      <c r="D8" s="18">
        <f>'Mar'!C21</f>
        <v>0.0</v>
      </c>
      <c r="E8" s="18">
        <f>'Abr'!C21</f>
        <v>0.0</v>
      </c>
      <c r="F8" s="18">
        <f>'May'!C21</f>
        <v>0.0</v>
      </c>
      <c r="G8" s="18">
        <f>'Jun'!C21</f>
        <v>0.0</v>
      </c>
      <c r="H8" s="18">
        <f>'Jul'!C21</f>
        <v>0.0</v>
      </c>
      <c r="I8" s="18">
        <f>'Ago'!C21</f>
        <v>0.0</v>
      </c>
      <c r="J8" s="18">
        <f>'Sep'!C21</f>
        <v>0.0</v>
      </c>
      <c r="K8" s="18">
        <f>'Oct'!C21</f>
        <v>0.0</v>
      </c>
      <c r="L8" s="18">
        <f>'Nov'!C21</f>
        <v>0.0</v>
      </c>
      <c r="M8" s="18">
        <f>'Dic'!C21</f>
        <v>0.0</v>
      </c>
      <c r="N8" s="18">
        <f>SUM(B8:M8)</f>
        <v>0.0</v>
      </c>
    </row>
    <row r="9">
      <c r="A9" s="13" t="inlineStr">
        <is>
          <t>EBITDA (Ppto)</t>
        </is>
      </c>
      <c r="B9" s="18">
        <f>'Ene'!B23</f>
        <v>0.0</v>
      </c>
      <c r="C9" s="18">
        <f>'Feb'!B23</f>
        <v>0.0</v>
      </c>
      <c r="D9" s="18">
        <f>'Mar'!B23</f>
        <v>0.0</v>
      </c>
      <c r="E9" s="18">
        <f>'Abr'!B23</f>
        <v>0.0</v>
      </c>
      <c r="F9" s="18">
        <f>'May'!B23</f>
        <v>0.0</v>
      </c>
      <c r="G9" s="18">
        <f>'Jun'!B23</f>
        <v>0.0</v>
      </c>
      <c r="H9" s="18">
        <f>'Jul'!B23</f>
        <v>0.0</v>
      </c>
      <c r="I9" s="18">
        <f>'Ago'!B23</f>
        <v>0.0</v>
      </c>
      <c r="J9" s="18">
        <f>'Sep'!B23</f>
        <v>0.0</v>
      </c>
      <c r="K9" s="18">
        <f>'Oct'!B23</f>
        <v>0.0</v>
      </c>
      <c r="L9" s="18">
        <f>'Nov'!B23</f>
        <v>0.0</v>
      </c>
      <c r="M9" s="18">
        <f>'Dic'!B23</f>
        <v>0.0</v>
      </c>
      <c r="N9" s="18">
        <f>SUM(B9:M9)</f>
        <v>0.0</v>
      </c>
    </row>
    <row r="10">
      <c r="A10" s="13" t="inlineStr">
        <is>
          <t>EBITDA (Real)</t>
        </is>
      </c>
      <c r="B10" s="18">
        <f>'Ene'!C23</f>
        <v>0.0</v>
      </c>
      <c r="C10" s="18">
        <f>'Feb'!C23</f>
        <v>0.0</v>
      </c>
      <c r="D10" s="18">
        <f>'Mar'!C23</f>
        <v>0.0</v>
      </c>
      <c r="E10" s="18">
        <f>'Abr'!C23</f>
        <v>0.0</v>
      </c>
      <c r="F10" s="18">
        <f>'May'!C23</f>
        <v>0.0</v>
      </c>
      <c r="G10" s="18">
        <f>'Jun'!C23</f>
        <v>0.0</v>
      </c>
      <c r="H10" s="18">
        <f>'Jul'!C23</f>
        <v>0.0</v>
      </c>
      <c r="I10" s="18">
        <f>'Ago'!C23</f>
        <v>0.0</v>
      </c>
      <c r="J10" s="18">
        <f>'Sep'!C23</f>
        <v>0.0</v>
      </c>
      <c r="K10" s="18">
        <f>'Oct'!C23</f>
        <v>0.0</v>
      </c>
      <c r="L10" s="18">
        <f>'Nov'!C23</f>
        <v>0.0</v>
      </c>
      <c r="M10" s="18">
        <f>'Dic'!C23</f>
        <v>0.0</v>
      </c>
      <c r="N10" s="18">
        <f>SUM(B10:M10)</f>
        <v>0.0</v>
      </c>
    </row>
    <row r="11">
      <c r="A11" s="13" t="inlineStr">
        <is>
          <t>Desviación de ingresos (€)</t>
        </is>
      </c>
      <c r="B11" s="27">
        <f>B6-B5</f>
        <v>0.0</v>
      </c>
      <c r="C11" s="27">
        <f>C6-C5</f>
        <v>0.0</v>
      </c>
      <c r="D11" s="27">
        <f>D6-D5</f>
        <v>0.0</v>
      </c>
      <c r="E11" s="27">
        <f>E6-E5</f>
        <v>0.0</v>
      </c>
      <c r="F11" s="27">
        <f>F6-F5</f>
        <v>0.0</v>
      </c>
      <c r="G11" s="27">
        <f>G6-G5</f>
        <v>0.0</v>
      </c>
      <c r="H11" s="27">
        <f>H6-H5</f>
        <v>0.0</v>
      </c>
      <c r="I11" s="27">
        <f>I6-I5</f>
        <v>0.0</v>
      </c>
      <c r="J11" s="27">
        <f>J6-J5</f>
        <v>0.0</v>
      </c>
      <c r="K11" s="27">
        <f>K6-K5</f>
        <v>0.0</v>
      </c>
      <c r="L11" s="27">
        <f>L6-L5</f>
        <v>0.0</v>
      </c>
      <c r="M11" s="27">
        <f>M6-M5</f>
        <v>0.0</v>
      </c>
      <c r="N11" s="18">
        <f>SUM(B11:M11)</f>
        <v>0.0</v>
      </c>
    </row>
    <row r="12">
      <c r="A12" s="13" t="inlineStr">
        <is>
          <t>Desviación de ingresos (%)</t>
        </is>
      </c>
      <c r="B12" s="28">
        <f>IFERROR((B6-B5)/ABS(B5),"")</f>
        <v/>
      </c>
      <c r="C12" s="28">
        <f>IFERROR((C6-C5)/ABS(C5),"")</f>
        <v/>
      </c>
      <c r="D12" s="28">
        <f>IFERROR((D6-D5)/ABS(D5),"")</f>
        <v/>
      </c>
      <c r="E12" s="28">
        <f>IFERROR((E6-E5)/ABS(E5),"")</f>
        <v/>
      </c>
      <c r="F12" s="28">
        <f>IFERROR((F6-F5)/ABS(F5),"")</f>
        <v/>
      </c>
      <c r="G12" s="28">
        <f>IFERROR((G6-G5)/ABS(G5),"")</f>
        <v/>
      </c>
      <c r="H12" s="28">
        <f>IFERROR((H6-H5)/ABS(H5),"")</f>
        <v/>
      </c>
      <c r="I12" s="28">
        <f>IFERROR((I6-I5)/ABS(I5),"")</f>
        <v/>
      </c>
      <c r="J12" s="28">
        <f>IFERROR((J6-J5)/ABS(J5),"")</f>
        <v/>
      </c>
      <c r="K12" s="28">
        <f>IFERROR((K6-K5)/ABS(K5),"")</f>
        <v/>
      </c>
      <c r="L12" s="28">
        <f>IFERROR((L6-L5)/ABS(L5),"")</f>
        <v/>
      </c>
      <c r="M12" s="28">
        <f>IFERROR((M6-M5)/ABS(M5),"")</f>
        <v/>
      </c>
      <c r="N12" s="28">
        <f>IFERROR((N6-N5)/ABS(N5),"")</f>
        <v/>
      </c>
    </row>
    <row r="13">
      <c r="A13" s="13" t="inlineStr">
        <is>
          <t>Desviación de EBITDA (€)</t>
        </is>
      </c>
      <c r="B13" s="27">
        <f>B10-B9</f>
        <v>0.0</v>
      </c>
      <c r="C13" s="27">
        <f>C10-C9</f>
        <v>0.0</v>
      </c>
      <c r="D13" s="27">
        <f>D10-D9</f>
        <v>0.0</v>
      </c>
      <c r="E13" s="27">
        <f>E10-E9</f>
        <v>0.0</v>
      </c>
      <c r="F13" s="27">
        <f>F10-F9</f>
        <v>0.0</v>
      </c>
      <c r="G13" s="27">
        <f>G10-G9</f>
        <v>0.0</v>
      </c>
      <c r="H13" s="27">
        <f>H10-H9</f>
        <v>0.0</v>
      </c>
      <c r="I13" s="27">
        <f>I10-I9</f>
        <v>0.0</v>
      </c>
      <c r="J13" s="27">
        <f>J10-J9</f>
        <v>0.0</v>
      </c>
      <c r="K13" s="27">
        <f>K10-K9</f>
        <v>0.0</v>
      </c>
      <c r="L13" s="27">
        <f>L10-L9</f>
        <v>0.0</v>
      </c>
      <c r="M13" s="27">
        <f>M10-M9</f>
        <v>0.0</v>
      </c>
      <c r="N13" s="18">
        <f>SUM(B13:M13)</f>
        <v>0.0</v>
      </c>
    </row>
    <row r="14">
      <c r="A14" s="13" t="inlineStr">
        <is>
          <t>Coste de comida (real, €)</t>
        </is>
      </c>
      <c r="B14" s="27">
        <f>'Ene'!C13</f>
        <v>0.0</v>
      </c>
      <c r="C14" s="27">
        <f>'Feb'!C13</f>
        <v>0.0</v>
      </c>
      <c r="D14" s="27">
        <f>'Mar'!C13</f>
        <v>0.0</v>
      </c>
      <c r="E14" s="27">
        <f>'Abr'!C13</f>
        <v>0.0</v>
      </c>
      <c r="F14" s="27">
        <f>'May'!C13</f>
        <v>0.0</v>
      </c>
      <c r="G14" s="27">
        <f>'Jun'!C13</f>
        <v>0.0</v>
      </c>
      <c r="H14" s="27">
        <f>'Jul'!C13</f>
        <v>0.0</v>
      </c>
      <c r="I14" s="27">
        <f>'Ago'!C13</f>
        <v>0.0</v>
      </c>
      <c r="J14" s="27">
        <f>'Sep'!C13</f>
        <v>0.0</v>
      </c>
      <c r="K14" s="27">
        <f>'Oct'!C13</f>
        <v>0.0</v>
      </c>
      <c r="L14" s="27">
        <f>'Nov'!C13</f>
        <v>0.0</v>
      </c>
      <c r="M14" s="27">
        <f>'Dic'!C13</f>
        <v>0.0</v>
      </c>
      <c r="N14" s="18">
        <f>SUM(B14:M14)</f>
        <v>0.0</v>
      </c>
    </row>
    <row r="15">
      <c r="A15" s="13" t="inlineStr">
        <is>
          <t>Coste de bebida (real, €)</t>
        </is>
      </c>
      <c r="B15" s="27">
        <f>'Ene'!C14</f>
        <v>0.0</v>
      </c>
      <c r="C15" s="27">
        <f>'Feb'!C14</f>
        <v>0.0</v>
      </c>
      <c r="D15" s="27">
        <f>'Mar'!C14</f>
        <v>0.0</v>
      </c>
      <c r="E15" s="27">
        <f>'Abr'!C14</f>
        <v>0.0</v>
      </c>
      <c r="F15" s="27">
        <f>'May'!C14</f>
        <v>0.0</v>
      </c>
      <c r="G15" s="27">
        <f>'Jun'!C14</f>
        <v>0.0</v>
      </c>
      <c r="H15" s="27">
        <f>'Jul'!C14</f>
        <v>0.0</v>
      </c>
      <c r="I15" s="27">
        <f>'Ago'!C14</f>
        <v>0.0</v>
      </c>
      <c r="J15" s="27">
        <f>'Sep'!C14</f>
        <v>0.0</v>
      </c>
      <c r="K15" s="27">
        <f>'Oct'!C14</f>
        <v>0.0</v>
      </c>
      <c r="L15" s="27">
        <f>'Nov'!C14</f>
        <v>0.0</v>
      </c>
      <c r="M15" s="27">
        <f>'Dic'!C14</f>
        <v>0.0</v>
      </c>
      <c r="N15" s="18">
        <f>SUM(B15:M15)</f>
        <v>0.0</v>
      </c>
    </row>
    <row r="16">
      <c r="A16" s="13" t="inlineStr">
        <is>
          <t>Personal — Labor (real, €)</t>
        </is>
      </c>
      <c r="B16" s="27">
        <f>'Ene'!C15</f>
        <v>0.0</v>
      </c>
      <c r="C16" s="27">
        <f>'Feb'!C15</f>
        <v>0.0</v>
      </c>
      <c r="D16" s="27">
        <f>'Mar'!C15</f>
        <v>0.0</v>
      </c>
      <c r="E16" s="27">
        <f>'Abr'!C15</f>
        <v>0.0</v>
      </c>
      <c r="F16" s="27">
        <f>'May'!C15</f>
        <v>0.0</v>
      </c>
      <c r="G16" s="27">
        <f>'Jun'!C15</f>
        <v>0.0</v>
      </c>
      <c r="H16" s="27">
        <f>'Jul'!C15</f>
        <v>0.0</v>
      </c>
      <c r="I16" s="27">
        <f>'Ago'!C15</f>
        <v>0.0</v>
      </c>
      <c r="J16" s="27">
        <f>'Sep'!C15</f>
        <v>0.0</v>
      </c>
      <c r="K16" s="27">
        <f>'Oct'!C15</f>
        <v>0.0</v>
      </c>
      <c r="L16" s="27">
        <f>'Nov'!C15</f>
        <v>0.0</v>
      </c>
      <c r="M16" s="27">
        <f>'Dic'!C15</f>
        <v>0.0</v>
      </c>
      <c r="N16" s="18">
        <f>SUM(B16:M16)</f>
        <v>0.0</v>
      </c>
    </row>
    <row r="17">
      <c r="A17" s="13" t="inlineStr">
        <is>
          <t>Prime Cost (real, €)</t>
        </is>
      </c>
      <c r="B17" s="27">
        <f>B14+B15+B16</f>
        <v>0.0</v>
      </c>
      <c r="C17" s="27">
        <f>C14+C15+C16</f>
        <v>0.0</v>
      </c>
      <c r="D17" s="27">
        <f>D14+D15+D16</f>
        <v>0.0</v>
      </c>
      <c r="E17" s="27">
        <f>E14+E15+E16</f>
        <v>0.0</v>
      </c>
      <c r="F17" s="27">
        <f>F14+F15+F16</f>
        <v>0.0</v>
      </c>
      <c r="G17" s="27">
        <f>G14+G15+G16</f>
        <v>0.0</v>
      </c>
      <c r="H17" s="27">
        <f>H14+H15+H16</f>
        <v>0.0</v>
      </c>
      <c r="I17" s="27">
        <f>I14+I15+I16</f>
        <v>0.0</v>
      </c>
      <c r="J17" s="27">
        <f>J14+J15+J16</f>
        <v>0.0</v>
      </c>
      <c r="K17" s="27">
        <f>K14+K15+K16</f>
        <v>0.0</v>
      </c>
      <c r="L17" s="27">
        <f>L14+L15+L16</f>
        <v>0.0</v>
      </c>
      <c r="M17" s="27">
        <f>M14+M15+M16</f>
        <v>0.0</v>
      </c>
      <c r="N17" s="18">
        <f>SUM(B17:M17)</f>
        <v>0.0</v>
      </c>
    </row>
    <row r="18">
      <c r="A18" s="13" t="inlineStr">
        <is>
          <t>Prime Cost % (real)</t>
        </is>
      </c>
      <c r="B18" s="28">
        <f>IF(B6=0,"",B17/B6)</f>
        <v/>
      </c>
      <c r="C18" s="28">
        <f>IF(C6=0,"",C17/C6)</f>
        <v/>
      </c>
      <c r="D18" s="28">
        <f>IF(D6=0,"",D17/D6)</f>
        <v/>
      </c>
      <c r="E18" s="28">
        <f>IF(E6=0,"",E17/E6)</f>
        <v/>
      </c>
      <c r="F18" s="28">
        <f>IF(F6=0,"",F17/F6)</f>
        <v/>
      </c>
      <c r="G18" s="28">
        <f>IF(G6=0,"",G17/G6)</f>
        <v/>
      </c>
      <c r="H18" s="28">
        <f>IF(H6=0,"",H17/H6)</f>
        <v/>
      </c>
      <c r="I18" s="28">
        <f>IF(I6=0,"",I17/I6)</f>
        <v/>
      </c>
      <c r="J18" s="28">
        <f>IF(J6=0,"",J17/J6)</f>
        <v/>
      </c>
      <c r="K18" s="28">
        <f>IF(K6=0,"",K17/K6)</f>
        <v/>
      </c>
      <c r="L18" s="28">
        <f>IF(L6=0,"",L17/L6)</f>
        <v/>
      </c>
      <c r="M18" s="28">
        <f>IF(M6=0,"",M17/M6)</f>
        <v/>
      </c>
      <c r="N18" s="28">
        <f>IF(N6=0,"",N17/N6)</f>
        <v/>
      </c>
    </row>
    <row r="19"/>
    <row r="20"/>
    <row r="21">
      <c r="A21" s="29" t="inlineStr">
        <is>
          <t>TOLERANCIAS DEL SEMÁFORO (edítalas si tu negocio manda)</t>
        </is>
      </c>
    </row>
    <row r="22">
      <c r="A22" s="13" t="inlineStr">
        <is>
          <t>Desviación tolerada — verde (± % sobre presupuesto)</t>
        </is>
      </c>
      <c r="B22" s="30" t="n">
        <v>0.05</v>
      </c>
    </row>
    <row r="23">
      <c r="A23" s="13" t="inlineStr">
        <is>
          <t>Desviación de atención — ámbar (± %)</t>
        </is>
      </c>
      <c r="B23" s="30" t="n">
        <v>0.1</v>
      </c>
    </row>
    <row r="24">
      <c r="A24" s="13" t="inlineStr">
        <is>
          <t>Desviación tolerada en ratios — verde (p.p.)</t>
        </is>
      </c>
      <c r="B24" s="31" t="n">
        <v>0.02</v>
      </c>
    </row>
    <row r="25">
      <c r="A25" s="13" t="inlineStr">
        <is>
          <t>Desviación de atención en ratios — ámbar (p.p.)</t>
        </is>
      </c>
      <c r="B25" s="31" t="n">
        <v>0.05</v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26" t="inlineStr">
        <is>
          <t>© 2026 AI Chef Pro · 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2">
    <mergeCell ref="A1:N1"/>
    <mergeCell ref="A2:N2"/>
  </mergeCells>
  <conditionalFormatting sqref="B13:N13">
    <cfRule type="expression" priority="1" dxfId="0" stopIfTrue="1">
      <formula>=B13&lt;0</formula>
    </cfRule>
  </conditionalFormatting>
  <dataValidations count="1">
    <dataValidation sqref="B22 B23" showDropDown="0" showInputMessage="0" showErrorMessage="1" allowBlank="1" errorTitle="Porcentaje no válido" error="Escribe un porcentaje entre 0 y 1 (0,35 = 35 %)." type="decimal" operator="between">
      <formula1>0</formula1>
      <formula2>1</formula2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05 · P&amp;L Mensual — Real vs Presupuesto · Kit Plan Financiero para Restaurantes</dc:title>
  <dc:description xmlns:dc="http://purl.org/dc/elements/1.1/">aichef.pro/kit-plan-financiero</dc:description>
  <dc:subject xmlns:dc="http://purl.org/dc/elements/1.1/">Kit Plan Financiero para Restaurantes · v2.0</dc:subject>
  <dcterms:created xmlns:dcterms="http://purl.org/dc/terms/" xmlns:xsi="http://www.w3.org/2001/XMLSchema-instance" xsi:type="dcterms:W3CDTF">2026-04-05T10:13:01Z</dcterms:created>
  <dcterms:modified xmlns:dcterms="http://purl.org/dc/terms/" xmlns:xsi="http://www.w3.org/2001/XMLSchema-instance" xsi:type="dcterms:W3CDTF">2026-08-28T23:26:36Z</dcterms:modified>
  <cp:lastModifiedBy>AI Chef Pro</cp:lastModifiedBy>
  <cp:category>AI Chef Pro · Productos digitales</cp:category>
  <cp:keywords>kit plan financiero, plan de negocio restaurante, viabilidad, punto de equilibrio, cash flow, TIR VAN payback, AI Chef Pro</cp:keywords>
</cp:coreProperties>
</file>