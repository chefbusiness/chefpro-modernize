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Ene" sheetId="2" state="visible" r:id="rId2"/>
    <sheet xmlns:r="http://schemas.openxmlformats.org/officeDocument/2006/relationships" name="Feb" sheetId="3" state="visible" r:id="rId3"/>
    <sheet xmlns:r="http://schemas.openxmlformats.org/officeDocument/2006/relationships" name="Mar" sheetId="4" state="visible" r:id="rId4"/>
    <sheet xmlns:r="http://schemas.openxmlformats.org/officeDocument/2006/relationships" name="Abr" sheetId="5" state="visible" r:id="rId5"/>
    <sheet xmlns:r="http://schemas.openxmlformats.org/officeDocument/2006/relationships" name="May" sheetId="6" state="visible" r:id="rId6"/>
    <sheet xmlns:r="http://schemas.openxmlformats.org/officeDocument/2006/relationships" name="Jun" sheetId="7" state="visible" r:id="rId7"/>
    <sheet xmlns:r="http://schemas.openxmlformats.org/officeDocument/2006/relationships" name="Jul" sheetId="8" state="visible" r:id="rId8"/>
    <sheet xmlns:r="http://schemas.openxmlformats.org/officeDocument/2006/relationships" name="Ago" sheetId="9" state="visible" r:id="rId9"/>
    <sheet xmlns:r="http://schemas.openxmlformats.org/officeDocument/2006/relationships" name="Sep" sheetId="10" state="visible" r:id="rId10"/>
    <sheet xmlns:r="http://schemas.openxmlformats.org/officeDocument/2006/relationships" name="Oct" sheetId="11" state="visible" r:id="rId11"/>
    <sheet xmlns:r="http://schemas.openxmlformats.org/officeDocument/2006/relationships" name="Nov" sheetId="12" state="visible" r:id="rId12"/>
    <sheet xmlns:r="http://schemas.openxmlformats.org/officeDocument/2006/relationships" name="Dic" sheetId="13" state="visible" r:id="rId13"/>
    <sheet xmlns:r="http://schemas.openxmlformats.org/officeDocument/2006/relationships" name="Resumen Anual" sheetId="14" state="visible" r:id="rId14"/>
  </sheets>
  <definedNames>
    <definedName name="_xlnm.Print_Titles" localSheetId="1">'Ene'!$4:$4</definedName>
    <definedName name="_xlnm.Print_Titles" localSheetId="2">'Feb'!$4:$4</definedName>
    <definedName name="_xlnm.Print_Titles" localSheetId="3">'Mar'!$4:$4</definedName>
    <definedName name="_xlnm.Print_Titles" localSheetId="4">'Abr'!$4:$4</definedName>
    <definedName name="_xlnm.Print_Titles" localSheetId="5">'May'!$4:$4</definedName>
    <definedName name="_xlnm.Print_Titles" localSheetId="6">'Jun'!$4:$4</definedName>
    <definedName name="_xlnm.Print_Titles" localSheetId="7">'Jul'!$4:$4</definedName>
    <definedName name="_xlnm.Print_Titles" localSheetId="8">'Ago'!$4:$4</definedName>
    <definedName name="_xlnm.Print_Titles" localSheetId="9">'Sep'!$4:$4</definedName>
    <definedName name="_xlnm.Print_Titles" localSheetId="10">'Oct'!$4:$4</definedName>
    <definedName name="_xlnm.Print_Titles" localSheetId="11">'Nov'!$4:$4</definedName>
    <definedName name="_xlnm.Print_Titles" localSheetId="12">'Dic'!$4:$4</definedName>
    <definedName name="_xlnm.Print_Titles" localSheetId="13">'Resumen Anual'!$4:$4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€"/>
    <numFmt numFmtId="165" formatCode="0.0%"/>
  </numFmts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i val="1"/>
      <color rgb="00888888"/>
      <sz val="11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color rgb="001565C0"/>
      <sz val="11"/>
    </font>
    <font>
      <name val="Calibri"/>
      <b val="1"/>
      <sz val="11"/>
    </font>
    <font>
      <name val="Calibri"/>
      <color rgb="001565C0"/>
      <sz val="11"/>
    </font>
    <font>
      <name val="Calibri"/>
      <color rgb="00999999"/>
      <sz val="9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1" pivotButton="0" quotePrefix="0" xfId="0"/>
    <xf numFmtId="164" fontId="8" fillId="3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 wrapText="1"/>
    </xf>
    <xf numFmtId="0" fontId="10" fillId="0" borderId="1" pivotButton="0" quotePrefix="0" xfId="0"/>
    <xf numFmtId="164" fontId="10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11" fillId="0" borderId="1" applyAlignment="1" pivotButton="0" quotePrefix="0" xfId="0">
      <alignment horizontal="right" vertical="center"/>
    </xf>
    <xf numFmtId="0" fontId="12" fillId="0" borderId="0" pivotButton="0" quotePrefix="0" xfId="0"/>
    <xf numFmtId="164" fontId="8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2"/>
  <sheetViews>
    <sheetView workbookViewId="0">
      <selection activeCell="A1" sqref="A1"/>
    </sheetView>
  </sheetViews>
  <sheetFormatPr baseColWidth="8" defaultRowHeight="15"/>
  <cols>
    <col width="3" customWidth="1" min="1" max="1"/>
    <col width="85" customWidth="1" min="2" max="2"/>
  </cols>
  <sheetData>
    <row r="1"/>
    <row r="2">
      <c r="B2" s="1" t="inlineStr">
        <is>
          <t>05 · P&amp;L Mensual — Real vs Presupuesto</t>
        </is>
      </c>
    </row>
    <row r="3"/>
    <row r="4">
      <c r="B4" s="2" t="inlineStr">
        <is>
          <t>AI Chef Pro · aichef.pro — Kit Plan Financiero para Restaurantes</t>
        </is>
      </c>
    </row>
    <row r="5"/>
    <row r="6">
      <c r="B6" s="3" t="inlineStr">
        <is>
          <t>Cómo usar esta plantilla:</t>
        </is>
      </c>
    </row>
    <row r="7">
      <c r="B7" s="4" t="inlineStr">
        <is>
          <t>▸ Cada mes tiene su pestaña con columnas: Presupuesto, Real, Desviación €, Desviación %.</t>
        </is>
      </c>
    </row>
    <row r="8">
      <c r="B8" s="4" t="inlineStr">
        <is>
          <t>▸ El semáforo automático marca: Verde (&lt;5%), Amarillo (5-10%), Rojo (&gt;10%).</t>
        </is>
      </c>
    </row>
    <row r="9">
      <c r="B9" s="4" t="inlineStr">
        <is>
          <t>▸ Food Cost %, Labor Cost % y Prime Cost % se calculan automáticamente.</t>
        </is>
      </c>
    </row>
    <row r="10">
      <c r="B10" s="4" t="inlineStr">
        <is>
          <t>▸ La pestaña Resumen consolida los 12 meses.</t>
        </is>
      </c>
    </row>
    <row r="11"/>
    <row r="12">
      <c r="B12" s="4" t="inlineStr">
        <is>
          <t>Versión 1.1 · agosto 2026 · aichef.pro/kit-plan-financiero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F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</cols>
  <sheetData>
    <row r="1">
      <c r="A1" s="5" t="inlineStr">
        <is>
          <t>P&amp;L Ene — Real vs Presupuesto</t>
        </is>
      </c>
    </row>
    <row r="2">
      <c r="A2" s="2" t="inlineStr">
        <is>
          <t>AI Chef Pro · aichef.pro — Kit Plan Financiero para Restaurantes</t>
        </is>
      </c>
    </row>
    <row r="3"/>
    <row r="4">
      <c r="A4" s="6" t="inlineStr">
        <is>
          <t>Concepto</t>
        </is>
      </c>
      <c r="B4" s="6" t="inlineStr">
        <is>
          <t>Presupuesto (€)</t>
        </is>
      </c>
      <c r="C4" s="6" t="inlineStr">
        <is>
          <t>Real (€)</t>
        </is>
      </c>
      <c r="D4" s="6" t="inlineStr">
        <is>
          <t>Desviación (€)</t>
        </is>
      </c>
      <c r="E4" s="6" t="inlineStr">
        <is>
          <t>Desviación %</t>
        </is>
      </c>
      <c r="F4" s="6" t="inlineStr">
        <is>
          <t>Semáforo</t>
        </is>
      </c>
    </row>
    <row r="5">
      <c r="A5" s="7" t="inlineStr">
        <is>
          <t>INGRESOS</t>
        </is>
      </c>
    </row>
    <row r="6">
      <c r="A6" s="8" t="inlineStr">
        <is>
          <t>Ventas Comedor</t>
        </is>
      </c>
      <c r="B6" s="9" t="n">
        <v>0</v>
      </c>
      <c r="C6" s="9" t="n">
        <v>0</v>
      </c>
      <c r="D6" s="10">
        <f>C6-B6</f>
        <v>0.0</v>
      </c>
      <c r="E6" s="11">
        <f>IF(B6=0,0,(C6-B6)/B6)</f>
        <v>0.0</v>
      </c>
      <c r="F6" s="12" t="str">
        <f>IF(ABS(E6)&lt;0.05,"✅ OK",IF(ABS(E6)&lt;0.1,"⚠️ Atención","🔴 Alerta"))</f>
        <v>✅ OK</v>
      </c>
    </row>
    <row r="7">
      <c r="A7" s="8" t="inlineStr">
        <is>
          <t>Ventas Barra</t>
        </is>
      </c>
      <c r="B7" s="9" t="n">
        <v>0</v>
      </c>
      <c r="C7" s="9" t="n">
        <v>0</v>
      </c>
      <c r="D7" s="10">
        <f>C7-B7</f>
        <v>0.0</v>
      </c>
      <c r="E7" s="11">
        <f>IF(B7=0,0,(C7-B7)/B7)</f>
        <v>0.0</v>
      </c>
      <c r="F7" s="12" t="str">
        <f>IF(ABS(E7)&lt;0.05,"✅ OK",IF(ABS(E7)&lt;0.1,"⚠️ Atención","🔴 Alerta"))</f>
        <v>✅ OK</v>
      </c>
    </row>
    <row r="8">
      <c r="A8" s="8" t="inlineStr">
        <is>
          <t>Ventas Delivery</t>
        </is>
      </c>
      <c r="B8" s="9" t="n">
        <v>0</v>
      </c>
      <c r="C8" s="9" t="n">
        <v>0</v>
      </c>
      <c r="D8" s="10">
        <f>C8-B8</f>
        <v>0.0</v>
      </c>
      <c r="E8" s="11">
        <f>IF(B8=0,0,(C8-B8)/B8)</f>
        <v>0.0</v>
      </c>
      <c r="F8" s="12" t="str">
        <f>IF(ABS(E8)&lt;0.05,"✅ OK",IF(ABS(E8)&lt;0.1,"⚠️ Atención","🔴 Alerta"))</f>
        <v>✅ OK</v>
      </c>
    </row>
    <row r="9">
      <c r="A9" s="8" t="inlineStr">
        <is>
          <t>Eventos / Catering</t>
        </is>
      </c>
      <c r="B9" s="9" t="n">
        <v>0</v>
      </c>
      <c r="C9" s="9" t="n">
        <v>0</v>
      </c>
      <c r="D9" s="10">
        <f>C9-B9</f>
        <v>0.0</v>
      </c>
      <c r="E9" s="11">
        <f>IF(B9=0,0,(C9-B9)/B9)</f>
        <v>0.0</v>
      </c>
      <c r="F9" s="12" t="str">
        <f>IF(ABS(E9)&lt;0.05,"✅ OK",IF(ABS(E9)&lt;0.1,"⚠️ Atención","🔴 Alerta"))</f>
        <v>✅ OK</v>
      </c>
    </row>
    <row r="10">
      <c r="A10" s="13" t="inlineStr">
        <is>
          <t>TOTAL INGRESOS</t>
        </is>
      </c>
      <c r="B10" s="14">
        <f>B6+B7+B8+B9</f>
        <v>0.0</v>
      </c>
      <c r="C10" s="14">
        <f>C6+C7+C8+C9</f>
        <v>0.0</v>
      </c>
      <c r="D10" s="10">
        <f>C10-B10</f>
        <v>0.0</v>
      </c>
      <c r="E10" s="11">
        <f>IF(B10=0,0,(C10-B10)/B10)</f>
        <v>0.0</v>
      </c>
      <c r="F10" s="12" t="str">
        <f>IF(ABS(E10)&lt;0.05,"✅ OK",IF(ABS(E10)&lt;0.1,"⚠️ Atención","🔴 Alerta"))</f>
        <v>✅ OK</v>
      </c>
    </row>
    <row r="11"/>
    <row r="12">
      <c r="A12" s="7" t="inlineStr">
        <is>
          <t>GASTOS</t>
        </is>
      </c>
    </row>
    <row r="13">
      <c r="A13" s="8" t="inlineStr">
        <is>
          <t>Food Cost</t>
        </is>
      </c>
      <c r="B13" s="9" t="n">
        <v>0</v>
      </c>
      <c r="C13" s="9" t="n">
        <v>0</v>
      </c>
      <c r="D13" s="10">
        <f>C13-B13</f>
        <v>0.0</v>
      </c>
      <c r="E13" s="11">
        <f>IF(B13=0,0,(C13-B13)/B13)</f>
        <v>0.0</v>
      </c>
      <c r="F13" s="12" t="str">
        <f>IF(ABS(E13)&lt;0.05,"✅ OK",IF(ABS(E13)&lt;0.1,"⚠️ Atención","🔴 Alerta"))</f>
        <v>✅ OK</v>
      </c>
    </row>
    <row r="14">
      <c r="A14" s="8" t="inlineStr">
        <is>
          <t>Personal (Labor)</t>
        </is>
      </c>
      <c r="B14" s="9" t="n">
        <v>0</v>
      </c>
      <c r="C14" s="9" t="n">
        <v>0</v>
      </c>
      <c r="D14" s="10">
        <f>C14-B14</f>
        <v>0.0</v>
      </c>
      <c r="E14" s="11">
        <f>IF(B14=0,0,(C14-B14)/B14)</f>
        <v>0.0</v>
      </c>
      <c r="F14" s="12" t="str">
        <f>IF(ABS(E14)&lt;0.05,"✅ OK",IF(ABS(E14)&lt;0.1,"⚠️ Atención","🔴 Alerta"))</f>
        <v>✅ OK</v>
      </c>
    </row>
    <row r="15">
      <c r="A15" s="8" t="inlineStr">
        <is>
          <t>Alquiler</t>
        </is>
      </c>
      <c r="B15" s="9" t="n">
        <v>0</v>
      </c>
      <c r="C15" s="9" t="n">
        <v>0</v>
      </c>
      <c r="D15" s="10">
        <f>C15-B15</f>
        <v>0.0</v>
      </c>
      <c r="E15" s="11">
        <f>IF(B15=0,0,(C15-B15)/B15)</f>
        <v>0.0</v>
      </c>
      <c r="F15" s="12" t="str">
        <f>IF(ABS(E15)&lt;0.05,"✅ OK",IF(ABS(E15)&lt;0.1,"⚠️ Atención","🔴 Alerta"))</f>
        <v>✅ OK</v>
      </c>
    </row>
    <row r="16">
      <c r="A16" s="8" t="inlineStr">
        <is>
          <t>Suministros</t>
        </is>
      </c>
      <c r="B16" s="9" t="n">
        <v>0</v>
      </c>
      <c r="C16" s="9" t="n">
        <v>0</v>
      </c>
      <c r="D16" s="10">
        <f>C16-B16</f>
        <v>0.0</v>
      </c>
      <c r="E16" s="11">
        <f>IF(B16=0,0,(C16-B16)/B16)</f>
        <v>0.0</v>
      </c>
      <c r="F16" s="12" t="str">
        <f>IF(ABS(E16)&lt;0.05,"✅ OK",IF(ABS(E16)&lt;0.1,"⚠️ Atención","🔴 Alerta"))</f>
        <v>✅ OK</v>
      </c>
    </row>
    <row r="17">
      <c r="A17" s="8" t="inlineStr">
        <is>
          <t>Marketing</t>
        </is>
      </c>
      <c r="B17" s="9" t="n">
        <v>0</v>
      </c>
      <c r="C17" s="9" t="n">
        <v>0</v>
      </c>
      <c r="D17" s="10">
        <f>C17-B17</f>
        <v>0.0</v>
      </c>
      <c r="E17" s="11">
        <f>IF(B17=0,0,(C17-B17)/B17)</f>
        <v>0.0</v>
      </c>
      <c r="F17" s="12" t="str">
        <f>IF(ABS(E17)&lt;0.05,"✅ OK",IF(ABS(E17)&lt;0.1,"⚠️ Atención","🔴 Alerta"))</f>
        <v>✅ OK</v>
      </c>
    </row>
    <row r="18">
      <c r="A18" s="8" t="inlineStr">
        <is>
          <t>Administración / Otros</t>
        </is>
      </c>
      <c r="B18" s="9" t="n">
        <v>0</v>
      </c>
      <c r="C18" s="9" t="n">
        <v>0</v>
      </c>
      <c r="D18" s="10">
        <f>C18-B18</f>
        <v>0.0</v>
      </c>
      <c r="E18" s="11">
        <f>IF(B18=0,0,(C18-B18)/B18)</f>
        <v>0.0</v>
      </c>
      <c r="F18" s="12" t="str">
        <f>IF(ABS(E18)&lt;0.05,"✅ OK",IF(ABS(E18)&lt;0.1,"⚠️ Atención","🔴 Alerta"))</f>
        <v>✅ OK</v>
      </c>
    </row>
    <row r="19">
      <c r="A19" s="13" t="inlineStr">
        <is>
          <t>TOTAL GASTOS</t>
        </is>
      </c>
      <c r="B19" s="14">
        <f>B13+B14+B15+B16+B17+B18</f>
        <v>0.0</v>
      </c>
      <c r="C19" s="14">
        <f>C13+C14+C15+C16+C17+C18</f>
        <v>0.0</v>
      </c>
      <c r="D19" s="10">
        <f>C19-B19</f>
        <v>0.0</v>
      </c>
      <c r="E19" s="11">
        <f>IF(B19=0,0,(C19-B19)/B19)</f>
        <v>0.0</v>
      </c>
      <c r="F19" s="12" t="str">
        <f>IF(ABS(E19)&lt;0.05,"✅ OK",IF(ABS(E19)&lt;0.1,"⚠️ Atención","🔴 Alerta"))</f>
        <v>✅ OK</v>
      </c>
    </row>
    <row r="20"/>
    <row r="21">
      <c r="A21" s="13" t="inlineStr">
        <is>
          <t>EBITDA</t>
        </is>
      </c>
      <c r="B21" s="15">
        <f>B10-B19</f>
        <v>0.0</v>
      </c>
      <c r="C21" s="15">
        <f>C10-C19</f>
        <v>0.0</v>
      </c>
      <c r="D21" s="10">
        <f>C21-B21</f>
        <v>0.0</v>
      </c>
      <c r="E21" s="11">
        <f>IF(B21=0,0,(C21-B21)/B21)</f>
        <v>0.0</v>
      </c>
      <c r="F21" s="12" t="str">
        <f>IF(ABS(E21)&lt;0.05,"✅ OK",IF(ABS(E21)&lt;0.1,"⚠️ Atención","🔴 Alerta"))</f>
        <v>✅ OK</v>
      </c>
    </row>
    <row r="22">
      <c r="A22" s="13" t="inlineStr">
        <is>
          <t>Margen EBITDA %</t>
        </is>
      </c>
      <c r="B22" s="16">
        <f>IF(B10=0,0,B21/B10)</f>
        <v>0.0</v>
      </c>
      <c r="C22" s="16">
        <f>IF(C10=0,0,C21/C10)</f>
        <v>0.0</v>
      </c>
    </row>
    <row r="23"/>
    <row r="24">
      <c r="A24" s="7" t="inlineStr">
        <is>
          <t>RATIOS AUTOMÁTICOS</t>
        </is>
      </c>
    </row>
    <row r="25">
      <c r="A25" s="8" t="inlineStr">
        <is>
          <t>Food Cost %</t>
        </is>
      </c>
      <c r="B25" s="16">
        <f>IF(B10=0,0,B13/B10)</f>
        <v>0.0</v>
      </c>
      <c r="C25" s="16">
        <f>IF(C10=0,0,C13/C10)</f>
        <v>0.0</v>
      </c>
    </row>
    <row r="26">
      <c r="A26" s="8" t="inlineStr">
        <is>
          <t>Labor Cost %</t>
        </is>
      </c>
      <c r="B26" s="16">
        <f>IF(B10=0,0,B14/B10)</f>
        <v>0.0</v>
      </c>
      <c r="C26" s="16">
        <f>IF(C10=0,0,C14/C10)</f>
        <v>0.0</v>
      </c>
    </row>
    <row r="27">
      <c r="A27" s="8" t="inlineStr">
        <is>
          <t>Prime Cost %</t>
        </is>
      </c>
      <c r="B27" s="16">
        <f>IF(B10=0,0,(B13+B14)/B10)</f>
        <v>0.0</v>
      </c>
      <c r="C27" s="16">
        <f>IF(C10=0,0,(C13+C14)/C10)</f>
        <v>0.0</v>
      </c>
    </row>
    <row r="28"/>
    <row r="29">
      <c r="A29" s="17" t="inlineStr">
        <is>
          <t>© 2026 AI Chef Pro · aichef.pro</t>
        </is>
      </c>
    </row>
  </sheetData>
  <mergeCells count="3">
    <mergeCell ref="A1:F1"/>
    <mergeCell ref="A2:F2"/>
    <mergeCell ref="A29:F29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F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</cols>
  <sheetData>
    <row r="1">
      <c r="A1" s="5" t="inlineStr">
        <is>
          <t>P&amp;L Feb — Real vs Presupuesto</t>
        </is>
      </c>
    </row>
    <row r="2">
      <c r="A2" s="2" t="inlineStr">
        <is>
          <t>AI Chef Pro · aichef.pro — Kit Plan Financiero para Restaurantes</t>
        </is>
      </c>
    </row>
    <row r="3"/>
    <row r="4">
      <c r="A4" s="6" t="inlineStr">
        <is>
          <t>Concepto</t>
        </is>
      </c>
      <c r="B4" s="6" t="inlineStr">
        <is>
          <t>Presupuesto (€)</t>
        </is>
      </c>
      <c r="C4" s="6" t="inlineStr">
        <is>
          <t>Real (€)</t>
        </is>
      </c>
      <c r="D4" s="6" t="inlineStr">
        <is>
          <t>Desviación (€)</t>
        </is>
      </c>
      <c r="E4" s="6" t="inlineStr">
        <is>
          <t>Desviación %</t>
        </is>
      </c>
      <c r="F4" s="6" t="inlineStr">
        <is>
          <t>Semáforo</t>
        </is>
      </c>
    </row>
    <row r="5">
      <c r="A5" s="7" t="inlineStr">
        <is>
          <t>INGRESOS</t>
        </is>
      </c>
    </row>
    <row r="6">
      <c r="A6" s="8" t="inlineStr">
        <is>
          <t>Ventas Comedor</t>
        </is>
      </c>
      <c r="B6" s="9" t="n">
        <v>0</v>
      </c>
      <c r="C6" s="9" t="n">
        <v>0</v>
      </c>
      <c r="D6" s="10">
        <f>C6-B6</f>
        <v>0.0</v>
      </c>
      <c r="E6" s="11">
        <f>IF(B6=0,0,(C6-B6)/B6)</f>
        <v>0.0</v>
      </c>
      <c r="F6" s="12" t="str">
        <f>IF(ABS(E6)&lt;0.05,"✅ OK",IF(ABS(E6)&lt;0.1,"⚠️ Atención","🔴 Alerta"))</f>
        <v>✅ OK</v>
      </c>
    </row>
    <row r="7">
      <c r="A7" s="8" t="inlineStr">
        <is>
          <t>Ventas Barra</t>
        </is>
      </c>
      <c r="B7" s="9" t="n">
        <v>0</v>
      </c>
      <c r="C7" s="9" t="n">
        <v>0</v>
      </c>
      <c r="D7" s="10">
        <f>C7-B7</f>
        <v>0.0</v>
      </c>
      <c r="E7" s="11">
        <f>IF(B7=0,0,(C7-B7)/B7)</f>
        <v>0.0</v>
      </c>
      <c r="F7" s="12" t="str">
        <f>IF(ABS(E7)&lt;0.05,"✅ OK",IF(ABS(E7)&lt;0.1,"⚠️ Atención","🔴 Alerta"))</f>
        <v>✅ OK</v>
      </c>
    </row>
    <row r="8">
      <c r="A8" s="8" t="inlineStr">
        <is>
          <t>Ventas Delivery</t>
        </is>
      </c>
      <c r="B8" s="9" t="n">
        <v>0</v>
      </c>
      <c r="C8" s="9" t="n">
        <v>0</v>
      </c>
      <c r="D8" s="10">
        <f>C8-B8</f>
        <v>0.0</v>
      </c>
      <c r="E8" s="11">
        <f>IF(B8=0,0,(C8-B8)/B8)</f>
        <v>0.0</v>
      </c>
      <c r="F8" s="12" t="str">
        <f>IF(ABS(E8)&lt;0.05,"✅ OK",IF(ABS(E8)&lt;0.1,"⚠️ Atención","🔴 Alerta"))</f>
        <v>✅ OK</v>
      </c>
    </row>
    <row r="9">
      <c r="A9" s="8" t="inlineStr">
        <is>
          <t>Eventos / Catering</t>
        </is>
      </c>
      <c r="B9" s="9" t="n">
        <v>0</v>
      </c>
      <c r="C9" s="9" t="n">
        <v>0</v>
      </c>
      <c r="D9" s="10">
        <f>C9-B9</f>
        <v>0.0</v>
      </c>
      <c r="E9" s="11">
        <f>IF(B9=0,0,(C9-B9)/B9)</f>
        <v>0.0</v>
      </c>
      <c r="F9" s="12" t="str">
        <f>IF(ABS(E9)&lt;0.05,"✅ OK",IF(ABS(E9)&lt;0.1,"⚠️ Atención","🔴 Alerta"))</f>
        <v>✅ OK</v>
      </c>
    </row>
    <row r="10">
      <c r="A10" s="13" t="inlineStr">
        <is>
          <t>TOTAL INGRESOS</t>
        </is>
      </c>
      <c r="B10" s="14">
        <f>B6+B7+B8+B9</f>
        <v>0.0</v>
      </c>
      <c r="C10" s="14">
        <f>C6+C7+C8+C9</f>
        <v>0.0</v>
      </c>
      <c r="D10" s="10">
        <f>C10-B10</f>
        <v>0.0</v>
      </c>
      <c r="E10" s="11">
        <f>IF(B10=0,0,(C10-B10)/B10)</f>
        <v>0.0</v>
      </c>
      <c r="F10" s="12" t="str">
        <f>IF(ABS(E10)&lt;0.05,"✅ OK",IF(ABS(E10)&lt;0.1,"⚠️ Atención","🔴 Alerta"))</f>
        <v>✅ OK</v>
      </c>
    </row>
    <row r="11"/>
    <row r="12">
      <c r="A12" s="7" t="inlineStr">
        <is>
          <t>GASTOS</t>
        </is>
      </c>
    </row>
    <row r="13">
      <c r="A13" s="8" t="inlineStr">
        <is>
          <t>Food Cost</t>
        </is>
      </c>
      <c r="B13" s="9" t="n">
        <v>0</v>
      </c>
      <c r="C13" s="9" t="n">
        <v>0</v>
      </c>
      <c r="D13" s="10">
        <f>C13-B13</f>
        <v>0.0</v>
      </c>
      <c r="E13" s="11">
        <f>IF(B13=0,0,(C13-B13)/B13)</f>
        <v>0.0</v>
      </c>
      <c r="F13" s="12" t="str">
        <f>IF(ABS(E13)&lt;0.05,"✅ OK",IF(ABS(E13)&lt;0.1,"⚠️ Atención","🔴 Alerta"))</f>
        <v>✅ OK</v>
      </c>
    </row>
    <row r="14">
      <c r="A14" s="8" t="inlineStr">
        <is>
          <t>Personal (Labor)</t>
        </is>
      </c>
      <c r="B14" s="9" t="n">
        <v>0</v>
      </c>
      <c r="C14" s="9" t="n">
        <v>0</v>
      </c>
      <c r="D14" s="10">
        <f>C14-B14</f>
        <v>0.0</v>
      </c>
      <c r="E14" s="11">
        <f>IF(B14=0,0,(C14-B14)/B14)</f>
        <v>0.0</v>
      </c>
      <c r="F14" s="12" t="str">
        <f>IF(ABS(E14)&lt;0.05,"✅ OK",IF(ABS(E14)&lt;0.1,"⚠️ Atención","🔴 Alerta"))</f>
        <v>✅ OK</v>
      </c>
    </row>
    <row r="15">
      <c r="A15" s="8" t="inlineStr">
        <is>
          <t>Alquiler</t>
        </is>
      </c>
      <c r="B15" s="9" t="n">
        <v>0</v>
      </c>
      <c r="C15" s="9" t="n">
        <v>0</v>
      </c>
      <c r="D15" s="10">
        <f>C15-B15</f>
        <v>0.0</v>
      </c>
      <c r="E15" s="11">
        <f>IF(B15=0,0,(C15-B15)/B15)</f>
        <v>0.0</v>
      </c>
      <c r="F15" s="12" t="str">
        <f>IF(ABS(E15)&lt;0.05,"✅ OK",IF(ABS(E15)&lt;0.1,"⚠️ Atención","🔴 Alerta"))</f>
        <v>✅ OK</v>
      </c>
    </row>
    <row r="16">
      <c r="A16" s="8" t="inlineStr">
        <is>
          <t>Suministros</t>
        </is>
      </c>
      <c r="B16" s="9" t="n">
        <v>0</v>
      </c>
      <c r="C16" s="9" t="n">
        <v>0</v>
      </c>
      <c r="D16" s="10">
        <f>C16-B16</f>
        <v>0.0</v>
      </c>
      <c r="E16" s="11">
        <f>IF(B16=0,0,(C16-B16)/B16)</f>
        <v>0.0</v>
      </c>
      <c r="F16" s="12" t="str">
        <f>IF(ABS(E16)&lt;0.05,"✅ OK",IF(ABS(E16)&lt;0.1,"⚠️ Atención","🔴 Alerta"))</f>
        <v>✅ OK</v>
      </c>
    </row>
    <row r="17">
      <c r="A17" s="8" t="inlineStr">
        <is>
          <t>Marketing</t>
        </is>
      </c>
      <c r="B17" s="9" t="n">
        <v>0</v>
      </c>
      <c r="C17" s="9" t="n">
        <v>0</v>
      </c>
      <c r="D17" s="10">
        <f>C17-B17</f>
        <v>0.0</v>
      </c>
      <c r="E17" s="11">
        <f>IF(B17=0,0,(C17-B17)/B17)</f>
        <v>0.0</v>
      </c>
      <c r="F17" s="12" t="str">
        <f>IF(ABS(E17)&lt;0.05,"✅ OK",IF(ABS(E17)&lt;0.1,"⚠️ Atención","🔴 Alerta"))</f>
        <v>✅ OK</v>
      </c>
    </row>
    <row r="18">
      <c r="A18" s="8" t="inlineStr">
        <is>
          <t>Administración / Otros</t>
        </is>
      </c>
      <c r="B18" s="9" t="n">
        <v>0</v>
      </c>
      <c r="C18" s="9" t="n">
        <v>0</v>
      </c>
      <c r="D18" s="10">
        <f>C18-B18</f>
        <v>0.0</v>
      </c>
      <c r="E18" s="11">
        <f>IF(B18=0,0,(C18-B18)/B18)</f>
        <v>0.0</v>
      </c>
      <c r="F18" s="12" t="str">
        <f>IF(ABS(E18)&lt;0.05,"✅ OK",IF(ABS(E18)&lt;0.1,"⚠️ Atención","🔴 Alerta"))</f>
        <v>✅ OK</v>
      </c>
    </row>
    <row r="19">
      <c r="A19" s="13" t="inlineStr">
        <is>
          <t>TOTAL GASTOS</t>
        </is>
      </c>
      <c r="B19" s="14">
        <f>B13+B14+B15+B16+B17+B18</f>
        <v>0.0</v>
      </c>
      <c r="C19" s="14">
        <f>C13+C14+C15+C16+C17+C18</f>
        <v>0.0</v>
      </c>
      <c r="D19" s="10">
        <f>C19-B19</f>
        <v>0.0</v>
      </c>
      <c r="E19" s="11">
        <f>IF(B19=0,0,(C19-B19)/B19)</f>
        <v>0.0</v>
      </c>
      <c r="F19" s="12" t="str">
        <f>IF(ABS(E19)&lt;0.05,"✅ OK",IF(ABS(E19)&lt;0.1,"⚠️ Atención","🔴 Alerta"))</f>
        <v>✅ OK</v>
      </c>
    </row>
    <row r="20"/>
    <row r="21">
      <c r="A21" s="13" t="inlineStr">
        <is>
          <t>EBITDA</t>
        </is>
      </c>
      <c r="B21" s="15">
        <f>B10-B19</f>
        <v>0.0</v>
      </c>
      <c r="C21" s="15">
        <f>C10-C19</f>
        <v>0.0</v>
      </c>
      <c r="D21" s="10">
        <f>C21-B21</f>
        <v>0.0</v>
      </c>
      <c r="E21" s="11">
        <f>IF(B21=0,0,(C21-B21)/B21)</f>
        <v>0.0</v>
      </c>
      <c r="F21" s="12" t="str">
        <f>IF(ABS(E21)&lt;0.05,"✅ OK",IF(ABS(E21)&lt;0.1,"⚠️ Atención","🔴 Alerta"))</f>
        <v>✅ OK</v>
      </c>
    </row>
    <row r="22">
      <c r="A22" s="13" t="inlineStr">
        <is>
          <t>Margen EBITDA %</t>
        </is>
      </c>
      <c r="B22" s="16">
        <f>IF(B10=0,0,B21/B10)</f>
        <v>0.0</v>
      </c>
      <c r="C22" s="16">
        <f>IF(C10=0,0,C21/C10)</f>
        <v>0.0</v>
      </c>
    </row>
    <row r="23"/>
    <row r="24">
      <c r="A24" s="7" t="inlineStr">
        <is>
          <t>RATIOS AUTOMÁTICOS</t>
        </is>
      </c>
    </row>
    <row r="25">
      <c r="A25" s="8" t="inlineStr">
        <is>
          <t>Food Cost %</t>
        </is>
      </c>
      <c r="B25" s="16">
        <f>IF(B10=0,0,B13/B10)</f>
        <v>0.0</v>
      </c>
      <c r="C25" s="16">
        <f>IF(C10=0,0,C13/C10)</f>
        <v>0.0</v>
      </c>
    </row>
    <row r="26">
      <c r="A26" s="8" t="inlineStr">
        <is>
          <t>Labor Cost %</t>
        </is>
      </c>
      <c r="B26" s="16">
        <f>IF(B10=0,0,B14/B10)</f>
        <v>0.0</v>
      </c>
      <c r="C26" s="16">
        <f>IF(C10=0,0,C14/C10)</f>
        <v>0.0</v>
      </c>
    </row>
    <row r="27">
      <c r="A27" s="8" t="inlineStr">
        <is>
          <t>Prime Cost %</t>
        </is>
      </c>
      <c r="B27" s="16">
        <f>IF(B10=0,0,(B13+B14)/B10)</f>
        <v>0.0</v>
      </c>
      <c r="C27" s="16">
        <f>IF(C10=0,0,(C13+C14)/C10)</f>
        <v>0.0</v>
      </c>
    </row>
    <row r="28"/>
    <row r="29">
      <c r="A29" s="17" t="inlineStr">
        <is>
          <t>© 2026 AI Chef Pro · aichef.pro</t>
        </is>
      </c>
    </row>
  </sheetData>
  <mergeCells count="3">
    <mergeCell ref="A1:F1"/>
    <mergeCell ref="A2:F2"/>
    <mergeCell ref="A29:F29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F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</cols>
  <sheetData>
    <row r="1">
      <c r="A1" s="5" t="inlineStr">
        <is>
          <t>P&amp;L Mar — Real vs Presupuesto</t>
        </is>
      </c>
    </row>
    <row r="2">
      <c r="A2" s="2" t="inlineStr">
        <is>
          <t>AI Chef Pro · aichef.pro — Kit Plan Financiero para Restaurantes</t>
        </is>
      </c>
    </row>
    <row r="3"/>
    <row r="4">
      <c r="A4" s="6" t="inlineStr">
        <is>
          <t>Concepto</t>
        </is>
      </c>
      <c r="B4" s="6" t="inlineStr">
        <is>
          <t>Presupuesto (€)</t>
        </is>
      </c>
      <c r="C4" s="6" t="inlineStr">
        <is>
          <t>Real (€)</t>
        </is>
      </c>
      <c r="D4" s="6" t="inlineStr">
        <is>
          <t>Desviación (€)</t>
        </is>
      </c>
      <c r="E4" s="6" t="inlineStr">
        <is>
          <t>Desviación %</t>
        </is>
      </c>
      <c r="F4" s="6" t="inlineStr">
        <is>
          <t>Semáforo</t>
        </is>
      </c>
    </row>
    <row r="5">
      <c r="A5" s="7" t="inlineStr">
        <is>
          <t>INGRESOS</t>
        </is>
      </c>
    </row>
    <row r="6">
      <c r="A6" s="8" t="inlineStr">
        <is>
          <t>Ventas Comedor</t>
        </is>
      </c>
      <c r="B6" s="9" t="n">
        <v>0</v>
      </c>
      <c r="C6" s="9" t="n">
        <v>0</v>
      </c>
      <c r="D6" s="10">
        <f>C6-B6</f>
        <v>0.0</v>
      </c>
      <c r="E6" s="11">
        <f>IF(B6=0,0,(C6-B6)/B6)</f>
        <v>0.0</v>
      </c>
      <c r="F6" s="12" t="str">
        <f>IF(ABS(E6)&lt;0.05,"✅ OK",IF(ABS(E6)&lt;0.1,"⚠️ Atención","🔴 Alerta"))</f>
        <v>✅ OK</v>
      </c>
    </row>
    <row r="7">
      <c r="A7" s="8" t="inlineStr">
        <is>
          <t>Ventas Barra</t>
        </is>
      </c>
      <c r="B7" s="9" t="n">
        <v>0</v>
      </c>
      <c r="C7" s="9" t="n">
        <v>0</v>
      </c>
      <c r="D7" s="10">
        <f>C7-B7</f>
        <v>0.0</v>
      </c>
      <c r="E7" s="11">
        <f>IF(B7=0,0,(C7-B7)/B7)</f>
        <v>0.0</v>
      </c>
      <c r="F7" s="12" t="str">
        <f>IF(ABS(E7)&lt;0.05,"✅ OK",IF(ABS(E7)&lt;0.1,"⚠️ Atención","🔴 Alerta"))</f>
        <v>✅ OK</v>
      </c>
    </row>
    <row r="8">
      <c r="A8" s="8" t="inlineStr">
        <is>
          <t>Ventas Delivery</t>
        </is>
      </c>
      <c r="B8" s="9" t="n">
        <v>0</v>
      </c>
      <c r="C8" s="9" t="n">
        <v>0</v>
      </c>
      <c r="D8" s="10">
        <f>C8-B8</f>
        <v>0.0</v>
      </c>
      <c r="E8" s="11">
        <f>IF(B8=0,0,(C8-B8)/B8)</f>
        <v>0.0</v>
      </c>
      <c r="F8" s="12" t="str">
        <f>IF(ABS(E8)&lt;0.05,"✅ OK",IF(ABS(E8)&lt;0.1,"⚠️ Atención","🔴 Alerta"))</f>
        <v>✅ OK</v>
      </c>
    </row>
    <row r="9">
      <c r="A9" s="8" t="inlineStr">
        <is>
          <t>Eventos / Catering</t>
        </is>
      </c>
      <c r="B9" s="9" t="n">
        <v>0</v>
      </c>
      <c r="C9" s="9" t="n">
        <v>0</v>
      </c>
      <c r="D9" s="10">
        <f>C9-B9</f>
        <v>0.0</v>
      </c>
      <c r="E9" s="11">
        <f>IF(B9=0,0,(C9-B9)/B9)</f>
        <v>0.0</v>
      </c>
      <c r="F9" s="12" t="str">
        <f>IF(ABS(E9)&lt;0.05,"✅ OK",IF(ABS(E9)&lt;0.1,"⚠️ Atención","🔴 Alerta"))</f>
        <v>✅ OK</v>
      </c>
    </row>
    <row r="10">
      <c r="A10" s="13" t="inlineStr">
        <is>
          <t>TOTAL INGRESOS</t>
        </is>
      </c>
      <c r="B10" s="14">
        <f>B6+B7+B8+B9</f>
        <v>0.0</v>
      </c>
      <c r="C10" s="14">
        <f>C6+C7+C8+C9</f>
        <v>0.0</v>
      </c>
      <c r="D10" s="10">
        <f>C10-B10</f>
        <v>0.0</v>
      </c>
      <c r="E10" s="11">
        <f>IF(B10=0,0,(C10-B10)/B10)</f>
        <v>0.0</v>
      </c>
      <c r="F10" s="12" t="str">
        <f>IF(ABS(E10)&lt;0.05,"✅ OK",IF(ABS(E10)&lt;0.1,"⚠️ Atención","🔴 Alerta"))</f>
        <v>✅ OK</v>
      </c>
    </row>
    <row r="11"/>
    <row r="12">
      <c r="A12" s="7" t="inlineStr">
        <is>
          <t>GASTOS</t>
        </is>
      </c>
    </row>
    <row r="13">
      <c r="A13" s="8" t="inlineStr">
        <is>
          <t>Food Cost</t>
        </is>
      </c>
      <c r="B13" s="9" t="n">
        <v>0</v>
      </c>
      <c r="C13" s="9" t="n">
        <v>0</v>
      </c>
      <c r="D13" s="10">
        <f>C13-B13</f>
        <v>0.0</v>
      </c>
      <c r="E13" s="11">
        <f>IF(B13=0,0,(C13-B13)/B13)</f>
        <v>0.0</v>
      </c>
      <c r="F13" s="12" t="str">
        <f>IF(ABS(E13)&lt;0.05,"✅ OK",IF(ABS(E13)&lt;0.1,"⚠️ Atención","🔴 Alerta"))</f>
        <v>✅ OK</v>
      </c>
    </row>
    <row r="14">
      <c r="A14" s="8" t="inlineStr">
        <is>
          <t>Personal (Labor)</t>
        </is>
      </c>
      <c r="B14" s="9" t="n">
        <v>0</v>
      </c>
      <c r="C14" s="9" t="n">
        <v>0</v>
      </c>
      <c r="D14" s="10">
        <f>C14-B14</f>
        <v>0.0</v>
      </c>
      <c r="E14" s="11">
        <f>IF(B14=0,0,(C14-B14)/B14)</f>
        <v>0.0</v>
      </c>
      <c r="F14" s="12" t="str">
        <f>IF(ABS(E14)&lt;0.05,"✅ OK",IF(ABS(E14)&lt;0.1,"⚠️ Atención","🔴 Alerta"))</f>
        <v>✅ OK</v>
      </c>
    </row>
    <row r="15">
      <c r="A15" s="8" t="inlineStr">
        <is>
          <t>Alquiler</t>
        </is>
      </c>
      <c r="B15" s="9" t="n">
        <v>0</v>
      </c>
      <c r="C15" s="9" t="n">
        <v>0</v>
      </c>
      <c r="D15" s="10">
        <f>C15-B15</f>
        <v>0.0</v>
      </c>
      <c r="E15" s="11">
        <f>IF(B15=0,0,(C15-B15)/B15)</f>
        <v>0.0</v>
      </c>
      <c r="F15" s="12" t="str">
        <f>IF(ABS(E15)&lt;0.05,"✅ OK",IF(ABS(E15)&lt;0.1,"⚠️ Atención","🔴 Alerta"))</f>
        <v>✅ OK</v>
      </c>
    </row>
    <row r="16">
      <c r="A16" s="8" t="inlineStr">
        <is>
          <t>Suministros</t>
        </is>
      </c>
      <c r="B16" s="9" t="n">
        <v>0</v>
      </c>
      <c r="C16" s="9" t="n">
        <v>0</v>
      </c>
      <c r="D16" s="10">
        <f>C16-B16</f>
        <v>0.0</v>
      </c>
      <c r="E16" s="11">
        <f>IF(B16=0,0,(C16-B16)/B16)</f>
        <v>0.0</v>
      </c>
      <c r="F16" s="12" t="str">
        <f>IF(ABS(E16)&lt;0.05,"✅ OK",IF(ABS(E16)&lt;0.1,"⚠️ Atención","🔴 Alerta"))</f>
        <v>✅ OK</v>
      </c>
    </row>
    <row r="17">
      <c r="A17" s="8" t="inlineStr">
        <is>
          <t>Marketing</t>
        </is>
      </c>
      <c r="B17" s="9" t="n">
        <v>0</v>
      </c>
      <c r="C17" s="9" t="n">
        <v>0</v>
      </c>
      <c r="D17" s="10">
        <f>C17-B17</f>
        <v>0.0</v>
      </c>
      <c r="E17" s="11">
        <f>IF(B17=0,0,(C17-B17)/B17)</f>
        <v>0.0</v>
      </c>
      <c r="F17" s="12" t="str">
        <f>IF(ABS(E17)&lt;0.05,"✅ OK",IF(ABS(E17)&lt;0.1,"⚠️ Atención","🔴 Alerta"))</f>
        <v>✅ OK</v>
      </c>
    </row>
    <row r="18">
      <c r="A18" s="8" t="inlineStr">
        <is>
          <t>Administración / Otros</t>
        </is>
      </c>
      <c r="B18" s="9" t="n">
        <v>0</v>
      </c>
      <c r="C18" s="9" t="n">
        <v>0</v>
      </c>
      <c r="D18" s="10">
        <f>C18-B18</f>
        <v>0.0</v>
      </c>
      <c r="E18" s="11">
        <f>IF(B18=0,0,(C18-B18)/B18)</f>
        <v>0.0</v>
      </c>
      <c r="F18" s="12" t="str">
        <f>IF(ABS(E18)&lt;0.05,"✅ OK",IF(ABS(E18)&lt;0.1,"⚠️ Atención","🔴 Alerta"))</f>
        <v>✅ OK</v>
      </c>
    </row>
    <row r="19">
      <c r="A19" s="13" t="inlineStr">
        <is>
          <t>TOTAL GASTOS</t>
        </is>
      </c>
      <c r="B19" s="14">
        <f>B13+B14+B15+B16+B17+B18</f>
        <v>0.0</v>
      </c>
      <c r="C19" s="14">
        <f>C13+C14+C15+C16+C17+C18</f>
        <v>0.0</v>
      </c>
      <c r="D19" s="10">
        <f>C19-B19</f>
        <v>0.0</v>
      </c>
      <c r="E19" s="11">
        <f>IF(B19=0,0,(C19-B19)/B19)</f>
        <v>0.0</v>
      </c>
      <c r="F19" s="12" t="str">
        <f>IF(ABS(E19)&lt;0.05,"✅ OK",IF(ABS(E19)&lt;0.1,"⚠️ Atención","🔴 Alerta"))</f>
        <v>✅ OK</v>
      </c>
    </row>
    <row r="20"/>
    <row r="21">
      <c r="A21" s="13" t="inlineStr">
        <is>
          <t>EBITDA</t>
        </is>
      </c>
      <c r="B21" s="15">
        <f>B10-B19</f>
        <v>0.0</v>
      </c>
      <c r="C21" s="15">
        <f>C10-C19</f>
        <v>0.0</v>
      </c>
      <c r="D21" s="10">
        <f>C21-B21</f>
        <v>0.0</v>
      </c>
      <c r="E21" s="11">
        <f>IF(B21=0,0,(C21-B21)/B21)</f>
        <v>0.0</v>
      </c>
      <c r="F21" s="12" t="str">
        <f>IF(ABS(E21)&lt;0.05,"✅ OK",IF(ABS(E21)&lt;0.1,"⚠️ Atención","🔴 Alerta"))</f>
        <v>✅ OK</v>
      </c>
    </row>
    <row r="22">
      <c r="A22" s="13" t="inlineStr">
        <is>
          <t>Margen EBITDA %</t>
        </is>
      </c>
      <c r="B22" s="16">
        <f>IF(B10=0,0,B21/B10)</f>
        <v>0.0</v>
      </c>
      <c r="C22" s="16">
        <f>IF(C10=0,0,C21/C10)</f>
        <v>0.0</v>
      </c>
    </row>
    <row r="23"/>
    <row r="24">
      <c r="A24" s="7" t="inlineStr">
        <is>
          <t>RATIOS AUTOMÁTICOS</t>
        </is>
      </c>
    </row>
    <row r="25">
      <c r="A25" s="8" t="inlineStr">
        <is>
          <t>Food Cost %</t>
        </is>
      </c>
      <c r="B25" s="16">
        <f>IF(B10=0,0,B13/B10)</f>
        <v>0.0</v>
      </c>
      <c r="C25" s="16">
        <f>IF(C10=0,0,C13/C10)</f>
        <v>0.0</v>
      </c>
    </row>
    <row r="26">
      <c r="A26" s="8" t="inlineStr">
        <is>
          <t>Labor Cost %</t>
        </is>
      </c>
      <c r="B26" s="16">
        <f>IF(B10=0,0,B14/B10)</f>
        <v>0.0</v>
      </c>
      <c r="C26" s="16">
        <f>IF(C10=0,0,C14/C10)</f>
        <v>0.0</v>
      </c>
    </row>
    <row r="27">
      <c r="A27" s="8" t="inlineStr">
        <is>
          <t>Prime Cost %</t>
        </is>
      </c>
      <c r="B27" s="16">
        <f>IF(B10=0,0,(B13+B14)/B10)</f>
        <v>0.0</v>
      </c>
      <c r="C27" s="16">
        <f>IF(C10=0,0,(C13+C14)/C10)</f>
        <v>0.0</v>
      </c>
    </row>
    <row r="28"/>
    <row r="29">
      <c r="A29" s="17" t="inlineStr">
        <is>
          <t>© 2026 AI Chef Pro · aichef.pro</t>
        </is>
      </c>
    </row>
  </sheetData>
  <mergeCells count="3">
    <mergeCell ref="A1:F1"/>
    <mergeCell ref="A2:F2"/>
    <mergeCell ref="A29:F29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F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</cols>
  <sheetData>
    <row r="1">
      <c r="A1" s="5" t="inlineStr">
        <is>
          <t>P&amp;L Abr — Real vs Presupuesto</t>
        </is>
      </c>
    </row>
    <row r="2">
      <c r="A2" s="2" t="inlineStr">
        <is>
          <t>AI Chef Pro · aichef.pro — Kit Plan Financiero para Restaurantes</t>
        </is>
      </c>
    </row>
    <row r="3"/>
    <row r="4">
      <c r="A4" s="6" t="inlineStr">
        <is>
          <t>Concepto</t>
        </is>
      </c>
      <c r="B4" s="6" t="inlineStr">
        <is>
          <t>Presupuesto (€)</t>
        </is>
      </c>
      <c r="C4" s="6" t="inlineStr">
        <is>
          <t>Real (€)</t>
        </is>
      </c>
      <c r="D4" s="6" t="inlineStr">
        <is>
          <t>Desviación (€)</t>
        </is>
      </c>
      <c r="E4" s="6" t="inlineStr">
        <is>
          <t>Desviación %</t>
        </is>
      </c>
      <c r="F4" s="6" t="inlineStr">
        <is>
          <t>Semáforo</t>
        </is>
      </c>
    </row>
    <row r="5">
      <c r="A5" s="7" t="inlineStr">
        <is>
          <t>INGRESOS</t>
        </is>
      </c>
    </row>
    <row r="6">
      <c r="A6" s="8" t="inlineStr">
        <is>
          <t>Ventas Comedor</t>
        </is>
      </c>
      <c r="B6" s="9" t="n">
        <v>0</v>
      </c>
      <c r="C6" s="9" t="n">
        <v>0</v>
      </c>
      <c r="D6" s="10">
        <f>C6-B6</f>
        <v>0.0</v>
      </c>
      <c r="E6" s="11">
        <f>IF(B6=0,0,(C6-B6)/B6)</f>
        <v>0.0</v>
      </c>
      <c r="F6" s="12" t="str">
        <f>IF(ABS(E6)&lt;0.05,"✅ OK",IF(ABS(E6)&lt;0.1,"⚠️ Atención","🔴 Alerta"))</f>
        <v>✅ OK</v>
      </c>
    </row>
    <row r="7">
      <c r="A7" s="8" t="inlineStr">
        <is>
          <t>Ventas Barra</t>
        </is>
      </c>
      <c r="B7" s="9" t="n">
        <v>0</v>
      </c>
      <c r="C7" s="9" t="n">
        <v>0</v>
      </c>
      <c r="D7" s="10">
        <f>C7-B7</f>
        <v>0.0</v>
      </c>
      <c r="E7" s="11">
        <f>IF(B7=0,0,(C7-B7)/B7)</f>
        <v>0.0</v>
      </c>
      <c r="F7" s="12" t="str">
        <f>IF(ABS(E7)&lt;0.05,"✅ OK",IF(ABS(E7)&lt;0.1,"⚠️ Atención","🔴 Alerta"))</f>
        <v>✅ OK</v>
      </c>
    </row>
    <row r="8">
      <c r="A8" s="8" t="inlineStr">
        <is>
          <t>Ventas Delivery</t>
        </is>
      </c>
      <c r="B8" s="9" t="n">
        <v>0</v>
      </c>
      <c r="C8" s="9" t="n">
        <v>0</v>
      </c>
      <c r="D8" s="10">
        <f>C8-B8</f>
        <v>0.0</v>
      </c>
      <c r="E8" s="11">
        <f>IF(B8=0,0,(C8-B8)/B8)</f>
        <v>0.0</v>
      </c>
      <c r="F8" s="12" t="str">
        <f>IF(ABS(E8)&lt;0.05,"✅ OK",IF(ABS(E8)&lt;0.1,"⚠️ Atención","🔴 Alerta"))</f>
        <v>✅ OK</v>
      </c>
    </row>
    <row r="9">
      <c r="A9" s="8" t="inlineStr">
        <is>
          <t>Eventos / Catering</t>
        </is>
      </c>
      <c r="B9" s="9" t="n">
        <v>0</v>
      </c>
      <c r="C9" s="9" t="n">
        <v>0</v>
      </c>
      <c r="D9" s="10">
        <f>C9-B9</f>
        <v>0.0</v>
      </c>
      <c r="E9" s="11">
        <f>IF(B9=0,0,(C9-B9)/B9)</f>
        <v>0.0</v>
      </c>
      <c r="F9" s="12" t="str">
        <f>IF(ABS(E9)&lt;0.05,"✅ OK",IF(ABS(E9)&lt;0.1,"⚠️ Atención","🔴 Alerta"))</f>
        <v>✅ OK</v>
      </c>
    </row>
    <row r="10">
      <c r="A10" s="13" t="inlineStr">
        <is>
          <t>TOTAL INGRESOS</t>
        </is>
      </c>
      <c r="B10" s="14">
        <f>B6+B7+B8+B9</f>
        <v>0.0</v>
      </c>
      <c r="C10" s="14">
        <f>C6+C7+C8+C9</f>
        <v>0.0</v>
      </c>
      <c r="D10" s="10">
        <f>C10-B10</f>
        <v>0.0</v>
      </c>
      <c r="E10" s="11">
        <f>IF(B10=0,0,(C10-B10)/B10)</f>
        <v>0.0</v>
      </c>
      <c r="F10" s="12" t="str">
        <f>IF(ABS(E10)&lt;0.05,"✅ OK",IF(ABS(E10)&lt;0.1,"⚠️ Atención","🔴 Alerta"))</f>
        <v>✅ OK</v>
      </c>
    </row>
    <row r="11"/>
    <row r="12">
      <c r="A12" s="7" t="inlineStr">
        <is>
          <t>GASTOS</t>
        </is>
      </c>
    </row>
    <row r="13">
      <c r="A13" s="8" t="inlineStr">
        <is>
          <t>Food Cost</t>
        </is>
      </c>
      <c r="B13" s="9" t="n">
        <v>0</v>
      </c>
      <c r="C13" s="9" t="n">
        <v>0</v>
      </c>
      <c r="D13" s="10">
        <f>C13-B13</f>
        <v>0.0</v>
      </c>
      <c r="E13" s="11">
        <f>IF(B13=0,0,(C13-B13)/B13)</f>
        <v>0.0</v>
      </c>
      <c r="F13" s="12" t="str">
        <f>IF(ABS(E13)&lt;0.05,"✅ OK",IF(ABS(E13)&lt;0.1,"⚠️ Atención","🔴 Alerta"))</f>
        <v>✅ OK</v>
      </c>
    </row>
    <row r="14">
      <c r="A14" s="8" t="inlineStr">
        <is>
          <t>Personal (Labor)</t>
        </is>
      </c>
      <c r="B14" s="9" t="n">
        <v>0</v>
      </c>
      <c r="C14" s="9" t="n">
        <v>0</v>
      </c>
      <c r="D14" s="10">
        <f>C14-B14</f>
        <v>0.0</v>
      </c>
      <c r="E14" s="11">
        <f>IF(B14=0,0,(C14-B14)/B14)</f>
        <v>0.0</v>
      </c>
      <c r="F14" s="12" t="str">
        <f>IF(ABS(E14)&lt;0.05,"✅ OK",IF(ABS(E14)&lt;0.1,"⚠️ Atención","🔴 Alerta"))</f>
        <v>✅ OK</v>
      </c>
    </row>
    <row r="15">
      <c r="A15" s="8" t="inlineStr">
        <is>
          <t>Alquiler</t>
        </is>
      </c>
      <c r="B15" s="9" t="n">
        <v>0</v>
      </c>
      <c r="C15" s="9" t="n">
        <v>0</v>
      </c>
      <c r="D15" s="10">
        <f>C15-B15</f>
        <v>0.0</v>
      </c>
      <c r="E15" s="11">
        <f>IF(B15=0,0,(C15-B15)/B15)</f>
        <v>0.0</v>
      </c>
      <c r="F15" s="12" t="str">
        <f>IF(ABS(E15)&lt;0.05,"✅ OK",IF(ABS(E15)&lt;0.1,"⚠️ Atención","🔴 Alerta"))</f>
        <v>✅ OK</v>
      </c>
    </row>
    <row r="16">
      <c r="A16" s="8" t="inlineStr">
        <is>
          <t>Suministros</t>
        </is>
      </c>
      <c r="B16" s="9" t="n">
        <v>0</v>
      </c>
      <c r="C16" s="9" t="n">
        <v>0</v>
      </c>
      <c r="D16" s="10">
        <f>C16-B16</f>
        <v>0.0</v>
      </c>
      <c r="E16" s="11">
        <f>IF(B16=0,0,(C16-B16)/B16)</f>
        <v>0.0</v>
      </c>
      <c r="F16" s="12" t="str">
        <f>IF(ABS(E16)&lt;0.05,"✅ OK",IF(ABS(E16)&lt;0.1,"⚠️ Atención","🔴 Alerta"))</f>
        <v>✅ OK</v>
      </c>
    </row>
    <row r="17">
      <c r="A17" s="8" t="inlineStr">
        <is>
          <t>Marketing</t>
        </is>
      </c>
      <c r="B17" s="9" t="n">
        <v>0</v>
      </c>
      <c r="C17" s="9" t="n">
        <v>0</v>
      </c>
      <c r="D17" s="10">
        <f>C17-B17</f>
        <v>0.0</v>
      </c>
      <c r="E17" s="11">
        <f>IF(B17=0,0,(C17-B17)/B17)</f>
        <v>0.0</v>
      </c>
      <c r="F17" s="12" t="str">
        <f>IF(ABS(E17)&lt;0.05,"✅ OK",IF(ABS(E17)&lt;0.1,"⚠️ Atención","🔴 Alerta"))</f>
        <v>✅ OK</v>
      </c>
    </row>
    <row r="18">
      <c r="A18" s="8" t="inlineStr">
        <is>
          <t>Administración / Otros</t>
        </is>
      </c>
      <c r="B18" s="9" t="n">
        <v>0</v>
      </c>
      <c r="C18" s="9" t="n">
        <v>0</v>
      </c>
      <c r="D18" s="10">
        <f>C18-B18</f>
        <v>0.0</v>
      </c>
      <c r="E18" s="11">
        <f>IF(B18=0,0,(C18-B18)/B18)</f>
        <v>0.0</v>
      </c>
      <c r="F18" s="12" t="str">
        <f>IF(ABS(E18)&lt;0.05,"✅ OK",IF(ABS(E18)&lt;0.1,"⚠️ Atención","🔴 Alerta"))</f>
        <v>✅ OK</v>
      </c>
    </row>
    <row r="19">
      <c r="A19" s="13" t="inlineStr">
        <is>
          <t>TOTAL GASTOS</t>
        </is>
      </c>
      <c r="B19" s="14">
        <f>B13+B14+B15+B16+B17+B18</f>
        <v>0.0</v>
      </c>
      <c r="C19" s="14">
        <f>C13+C14+C15+C16+C17+C18</f>
        <v>0.0</v>
      </c>
      <c r="D19" s="10">
        <f>C19-B19</f>
        <v>0.0</v>
      </c>
      <c r="E19" s="11">
        <f>IF(B19=0,0,(C19-B19)/B19)</f>
        <v>0.0</v>
      </c>
      <c r="F19" s="12" t="str">
        <f>IF(ABS(E19)&lt;0.05,"✅ OK",IF(ABS(E19)&lt;0.1,"⚠️ Atención","🔴 Alerta"))</f>
        <v>✅ OK</v>
      </c>
    </row>
    <row r="20"/>
    <row r="21">
      <c r="A21" s="13" t="inlineStr">
        <is>
          <t>EBITDA</t>
        </is>
      </c>
      <c r="B21" s="15">
        <f>B10-B19</f>
        <v>0.0</v>
      </c>
      <c r="C21" s="15">
        <f>C10-C19</f>
        <v>0.0</v>
      </c>
      <c r="D21" s="10">
        <f>C21-B21</f>
        <v>0.0</v>
      </c>
      <c r="E21" s="11">
        <f>IF(B21=0,0,(C21-B21)/B21)</f>
        <v>0.0</v>
      </c>
      <c r="F21" s="12" t="str">
        <f>IF(ABS(E21)&lt;0.05,"✅ OK",IF(ABS(E21)&lt;0.1,"⚠️ Atención","🔴 Alerta"))</f>
        <v>✅ OK</v>
      </c>
    </row>
    <row r="22">
      <c r="A22" s="13" t="inlineStr">
        <is>
          <t>Margen EBITDA %</t>
        </is>
      </c>
      <c r="B22" s="16">
        <f>IF(B10=0,0,B21/B10)</f>
        <v>0.0</v>
      </c>
      <c r="C22" s="16">
        <f>IF(C10=0,0,C21/C10)</f>
        <v>0.0</v>
      </c>
    </row>
    <row r="23"/>
    <row r="24">
      <c r="A24" s="7" t="inlineStr">
        <is>
          <t>RATIOS AUTOMÁTICOS</t>
        </is>
      </c>
    </row>
    <row r="25">
      <c r="A25" s="8" t="inlineStr">
        <is>
          <t>Food Cost %</t>
        </is>
      </c>
      <c r="B25" s="16">
        <f>IF(B10=0,0,B13/B10)</f>
        <v>0.0</v>
      </c>
      <c r="C25" s="16">
        <f>IF(C10=0,0,C13/C10)</f>
        <v>0.0</v>
      </c>
    </row>
    <row r="26">
      <c r="A26" s="8" t="inlineStr">
        <is>
          <t>Labor Cost %</t>
        </is>
      </c>
      <c r="B26" s="16">
        <f>IF(B10=0,0,B14/B10)</f>
        <v>0.0</v>
      </c>
      <c r="C26" s="16">
        <f>IF(C10=0,0,C14/C10)</f>
        <v>0.0</v>
      </c>
    </row>
    <row r="27">
      <c r="A27" s="8" t="inlineStr">
        <is>
          <t>Prime Cost %</t>
        </is>
      </c>
      <c r="B27" s="16">
        <f>IF(B10=0,0,(B13+B14)/B10)</f>
        <v>0.0</v>
      </c>
      <c r="C27" s="16">
        <f>IF(C10=0,0,(C13+C14)/C10)</f>
        <v>0.0</v>
      </c>
    </row>
    <row r="28"/>
    <row r="29">
      <c r="A29" s="17" t="inlineStr">
        <is>
          <t>© 2026 AI Chef Pro · aichef.pro</t>
        </is>
      </c>
    </row>
  </sheetData>
  <mergeCells count="3">
    <mergeCell ref="A1:F1"/>
    <mergeCell ref="A2:F2"/>
    <mergeCell ref="A29:F29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F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</cols>
  <sheetData>
    <row r="1">
      <c r="A1" s="5" t="inlineStr">
        <is>
          <t>P&amp;L May — Real vs Presupuesto</t>
        </is>
      </c>
    </row>
    <row r="2">
      <c r="A2" s="2" t="inlineStr">
        <is>
          <t>AI Chef Pro · aichef.pro — Kit Plan Financiero para Restaurantes</t>
        </is>
      </c>
    </row>
    <row r="3"/>
    <row r="4">
      <c r="A4" s="6" t="inlineStr">
        <is>
          <t>Concepto</t>
        </is>
      </c>
      <c r="B4" s="6" t="inlineStr">
        <is>
          <t>Presupuesto (€)</t>
        </is>
      </c>
      <c r="C4" s="6" t="inlineStr">
        <is>
          <t>Real (€)</t>
        </is>
      </c>
      <c r="D4" s="6" t="inlineStr">
        <is>
          <t>Desviación (€)</t>
        </is>
      </c>
      <c r="E4" s="6" t="inlineStr">
        <is>
          <t>Desviación %</t>
        </is>
      </c>
      <c r="F4" s="6" t="inlineStr">
        <is>
          <t>Semáforo</t>
        </is>
      </c>
    </row>
    <row r="5">
      <c r="A5" s="7" t="inlineStr">
        <is>
          <t>INGRESOS</t>
        </is>
      </c>
    </row>
    <row r="6">
      <c r="A6" s="8" t="inlineStr">
        <is>
          <t>Ventas Comedor</t>
        </is>
      </c>
      <c r="B6" s="9" t="n">
        <v>0</v>
      </c>
      <c r="C6" s="9" t="n">
        <v>0</v>
      </c>
      <c r="D6" s="10">
        <f>C6-B6</f>
        <v>0.0</v>
      </c>
      <c r="E6" s="11">
        <f>IF(B6=0,0,(C6-B6)/B6)</f>
        <v>0.0</v>
      </c>
      <c r="F6" s="12" t="str">
        <f>IF(ABS(E6)&lt;0.05,"✅ OK",IF(ABS(E6)&lt;0.1,"⚠️ Atención","🔴 Alerta"))</f>
        <v>✅ OK</v>
      </c>
    </row>
    <row r="7">
      <c r="A7" s="8" t="inlineStr">
        <is>
          <t>Ventas Barra</t>
        </is>
      </c>
      <c r="B7" s="9" t="n">
        <v>0</v>
      </c>
      <c r="C7" s="9" t="n">
        <v>0</v>
      </c>
      <c r="D7" s="10">
        <f>C7-B7</f>
        <v>0.0</v>
      </c>
      <c r="E7" s="11">
        <f>IF(B7=0,0,(C7-B7)/B7)</f>
        <v>0.0</v>
      </c>
      <c r="F7" s="12" t="str">
        <f>IF(ABS(E7)&lt;0.05,"✅ OK",IF(ABS(E7)&lt;0.1,"⚠️ Atención","🔴 Alerta"))</f>
        <v>✅ OK</v>
      </c>
    </row>
    <row r="8">
      <c r="A8" s="8" t="inlineStr">
        <is>
          <t>Ventas Delivery</t>
        </is>
      </c>
      <c r="B8" s="9" t="n">
        <v>0</v>
      </c>
      <c r="C8" s="9" t="n">
        <v>0</v>
      </c>
      <c r="D8" s="10">
        <f>C8-B8</f>
        <v>0.0</v>
      </c>
      <c r="E8" s="11">
        <f>IF(B8=0,0,(C8-B8)/B8)</f>
        <v>0.0</v>
      </c>
      <c r="F8" s="12" t="str">
        <f>IF(ABS(E8)&lt;0.05,"✅ OK",IF(ABS(E8)&lt;0.1,"⚠️ Atención","🔴 Alerta"))</f>
        <v>✅ OK</v>
      </c>
    </row>
    <row r="9">
      <c r="A9" s="8" t="inlineStr">
        <is>
          <t>Eventos / Catering</t>
        </is>
      </c>
      <c r="B9" s="9" t="n">
        <v>0</v>
      </c>
      <c r="C9" s="9" t="n">
        <v>0</v>
      </c>
      <c r="D9" s="10">
        <f>C9-B9</f>
        <v>0.0</v>
      </c>
      <c r="E9" s="11">
        <f>IF(B9=0,0,(C9-B9)/B9)</f>
        <v>0.0</v>
      </c>
      <c r="F9" s="12" t="str">
        <f>IF(ABS(E9)&lt;0.05,"✅ OK",IF(ABS(E9)&lt;0.1,"⚠️ Atención","🔴 Alerta"))</f>
        <v>✅ OK</v>
      </c>
    </row>
    <row r="10">
      <c r="A10" s="13" t="inlineStr">
        <is>
          <t>TOTAL INGRESOS</t>
        </is>
      </c>
      <c r="B10" s="14">
        <f>B6+B7+B8+B9</f>
        <v>0.0</v>
      </c>
      <c r="C10" s="14">
        <f>C6+C7+C8+C9</f>
        <v>0.0</v>
      </c>
      <c r="D10" s="10">
        <f>C10-B10</f>
        <v>0.0</v>
      </c>
      <c r="E10" s="11">
        <f>IF(B10=0,0,(C10-B10)/B10)</f>
        <v>0.0</v>
      </c>
      <c r="F10" s="12" t="str">
        <f>IF(ABS(E10)&lt;0.05,"✅ OK",IF(ABS(E10)&lt;0.1,"⚠️ Atención","🔴 Alerta"))</f>
        <v>✅ OK</v>
      </c>
    </row>
    <row r="11"/>
    <row r="12">
      <c r="A12" s="7" t="inlineStr">
        <is>
          <t>GASTOS</t>
        </is>
      </c>
    </row>
    <row r="13">
      <c r="A13" s="8" t="inlineStr">
        <is>
          <t>Food Cost</t>
        </is>
      </c>
      <c r="B13" s="9" t="n">
        <v>0</v>
      </c>
      <c r="C13" s="9" t="n">
        <v>0</v>
      </c>
      <c r="D13" s="10">
        <f>C13-B13</f>
        <v>0.0</v>
      </c>
      <c r="E13" s="11">
        <f>IF(B13=0,0,(C13-B13)/B13)</f>
        <v>0.0</v>
      </c>
      <c r="F13" s="12" t="str">
        <f>IF(ABS(E13)&lt;0.05,"✅ OK",IF(ABS(E13)&lt;0.1,"⚠️ Atención","🔴 Alerta"))</f>
        <v>✅ OK</v>
      </c>
    </row>
    <row r="14">
      <c r="A14" s="8" t="inlineStr">
        <is>
          <t>Personal (Labor)</t>
        </is>
      </c>
      <c r="B14" s="9" t="n">
        <v>0</v>
      </c>
      <c r="C14" s="9" t="n">
        <v>0</v>
      </c>
      <c r="D14" s="10">
        <f>C14-B14</f>
        <v>0.0</v>
      </c>
      <c r="E14" s="11">
        <f>IF(B14=0,0,(C14-B14)/B14)</f>
        <v>0.0</v>
      </c>
      <c r="F14" s="12" t="str">
        <f>IF(ABS(E14)&lt;0.05,"✅ OK",IF(ABS(E14)&lt;0.1,"⚠️ Atención","🔴 Alerta"))</f>
        <v>✅ OK</v>
      </c>
    </row>
    <row r="15">
      <c r="A15" s="8" t="inlineStr">
        <is>
          <t>Alquiler</t>
        </is>
      </c>
      <c r="B15" s="9" t="n">
        <v>0</v>
      </c>
      <c r="C15" s="9" t="n">
        <v>0</v>
      </c>
      <c r="D15" s="10">
        <f>C15-B15</f>
        <v>0.0</v>
      </c>
      <c r="E15" s="11">
        <f>IF(B15=0,0,(C15-B15)/B15)</f>
        <v>0.0</v>
      </c>
      <c r="F15" s="12" t="str">
        <f>IF(ABS(E15)&lt;0.05,"✅ OK",IF(ABS(E15)&lt;0.1,"⚠️ Atención","🔴 Alerta"))</f>
        <v>✅ OK</v>
      </c>
    </row>
    <row r="16">
      <c r="A16" s="8" t="inlineStr">
        <is>
          <t>Suministros</t>
        </is>
      </c>
      <c r="B16" s="9" t="n">
        <v>0</v>
      </c>
      <c r="C16" s="9" t="n">
        <v>0</v>
      </c>
      <c r="D16" s="10">
        <f>C16-B16</f>
        <v>0.0</v>
      </c>
      <c r="E16" s="11">
        <f>IF(B16=0,0,(C16-B16)/B16)</f>
        <v>0.0</v>
      </c>
      <c r="F16" s="12" t="str">
        <f>IF(ABS(E16)&lt;0.05,"✅ OK",IF(ABS(E16)&lt;0.1,"⚠️ Atención","🔴 Alerta"))</f>
        <v>✅ OK</v>
      </c>
    </row>
    <row r="17">
      <c r="A17" s="8" t="inlineStr">
        <is>
          <t>Marketing</t>
        </is>
      </c>
      <c r="B17" s="9" t="n">
        <v>0</v>
      </c>
      <c r="C17" s="9" t="n">
        <v>0</v>
      </c>
      <c r="D17" s="10">
        <f>C17-B17</f>
        <v>0.0</v>
      </c>
      <c r="E17" s="11">
        <f>IF(B17=0,0,(C17-B17)/B17)</f>
        <v>0.0</v>
      </c>
      <c r="F17" s="12" t="str">
        <f>IF(ABS(E17)&lt;0.05,"✅ OK",IF(ABS(E17)&lt;0.1,"⚠️ Atención","🔴 Alerta"))</f>
        <v>✅ OK</v>
      </c>
    </row>
    <row r="18">
      <c r="A18" s="8" t="inlineStr">
        <is>
          <t>Administración / Otros</t>
        </is>
      </c>
      <c r="B18" s="9" t="n">
        <v>0</v>
      </c>
      <c r="C18" s="9" t="n">
        <v>0</v>
      </c>
      <c r="D18" s="10">
        <f>C18-B18</f>
        <v>0.0</v>
      </c>
      <c r="E18" s="11">
        <f>IF(B18=0,0,(C18-B18)/B18)</f>
        <v>0.0</v>
      </c>
      <c r="F18" s="12" t="str">
        <f>IF(ABS(E18)&lt;0.05,"✅ OK",IF(ABS(E18)&lt;0.1,"⚠️ Atención","🔴 Alerta"))</f>
        <v>✅ OK</v>
      </c>
    </row>
    <row r="19">
      <c r="A19" s="13" t="inlineStr">
        <is>
          <t>TOTAL GASTOS</t>
        </is>
      </c>
      <c r="B19" s="14">
        <f>B13+B14+B15+B16+B17+B18</f>
        <v>0.0</v>
      </c>
      <c r="C19" s="14">
        <f>C13+C14+C15+C16+C17+C18</f>
        <v>0.0</v>
      </c>
      <c r="D19" s="10">
        <f>C19-B19</f>
        <v>0.0</v>
      </c>
      <c r="E19" s="11">
        <f>IF(B19=0,0,(C19-B19)/B19)</f>
        <v>0.0</v>
      </c>
      <c r="F19" s="12" t="str">
        <f>IF(ABS(E19)&lt;0.05,"✅ OK",IF(ABS(E19)&lt;0.1,"⚠️ Atención","🔴 Alerta"))</f>
        <v>✅ OK</v>
      </c>
    </row>
    <row r="20"/>
    <row r="21">
      <c r="A21" s="13" t="inlineStr">
        <is>
          <t>EBITDA</t>
        </is>
      </c>
      <c r="B21" s="15">
        <f>B10-B19</f>
        <v>0.0</v>
      </c>
      <c r="C21" s="15">
        <f>C10-C19</f>
        <v>0.0</v>
      </c>
      <c r="D21" s="10">
        <f>C21-B21</f>
        <v>0.0</v>
      </c>
      <c r="E21" s="11">
        <f>IF(B21=0,0,(C21-B21)/B21)</f>
        <v>0.0</v>
      </c>
      <c r="F21" s="12" t="str">
        <f>IF(ABS(E21)&lt;0.05,"✅ OK",IF(ABS(E21)&lt;0.1,"⚠️ Atención","🔴 Alerta"))</f>
        <v>✅ OK</v>
      </c>
    </row>
    <row r="22">
      <c r="A22" s="13" t="inlineStr">
        <is>
          <t>Margen EBITDA %</t>
        </is>
      </c>
      <c r="B22" s="16">
        <f>IF(B10=0,0,B21/B10)</f>
        <v>0.0</v>
      </c>
      <c r="C22" s="16">
        <f>IF(C10=0,0,C21/C10)</f>
        <v>0.0</v>
      </c>
    </row>
    <row r="23"/>
    <row r="24">
      <c r="A24" s="7" t="inlineStr">
        <is>
          <t>RATIOS AUTOMÁTICOS</t>
        </is>
      </c>
    </row>
    <row r="25">
      <c r="A25" s="8" t="inlineStr">
        <is>
          <t>Food Cost %</t>
        </is>
      </c>
      <c r="B25" s="16">
        <f>IF(B10=0,0,B13/B10)</f>
        <v>0.0</v>
      </c>
      <c r="C25" s="16">
        <f>IF(C10=0,0,C13/C10)</f>
        <v>0.0</v>
      </c>
    </row>
    <row r="26">
      <c r="A26" s="8" t="inlineStr">
        <is>
          <t>Labor Cost %</t>
        </is>
      </c>
      <c r="B26" s="16">
        <f>IF(B10=0,0,B14/B10)</f>
        <v>0.0</v>
      </c>
      <c r="C26" s="16">
        <f>IF(C10=0,0,C14/C10)</f>
        <v>0.0</v>
      </c>
    </row>
    <row r="27">
      <c r="A27" s="8" t="inlineStr">
        <is>
          <t>Prime Cost %</t>
        </is>
      </c>
      <c r="B27" s="16">
        <f>IF(B10=0,0,(B13+B14)/B10)</f>
        <v>0.0</v>
      </c>
      <c r="C27" s="16">
        <f>IF(C10=0,0,(C13+C14)/C10)</f>
        <v>0.0</v>
      </c>
    </row>
    <row r="28"/>
    <row r="29">
      <c r="A29" s="17" t="inlineStr">
        <is>
          <t>© 2026 AI Chef Pro · aichef.pro</t>
        </is>
      </c>
    </row>
  </sheetData>
  <mergeCells count="3">
    <mergeCell ref="A1:F1"/>
    <mergeCell ref="A2:F2"/>
    <mergeCell ref="A29:F29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F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</cols>
  <sheetData>
    <row r="1">
      <c r="A1" s="5" t="inlineStr">
        <is>
          <t>P&amp;L Jun — Real vs Presupuesto</t>
        </is>
      </c>
    </row>
    <row r="2">
      <c r="A2" s="2" t="inlineStr">
        <is>
          <t>AI Chef Pro · aichef.pro — Kit Plan Financiero para Restaurantes</t>
        </is>
      </c>
    </row>
    <row r="3"/>
    <row r="4">
      <c r="A4" s="6" t="inlineStr">
        <is>
          <t>Concepto</t>
        </is>
      </c>
      <c r="B4" s="6" t="inlineStr">
        <is>
          <t>Presupuesto (€)</t>
        </is>
      </c>
      <c r="C4" s="6" t="inlineStr">
        <is>
          <t>Real (€)</t>
        </is>
      </c>
      <c r="D4" s="6" t="inlineStr">
        <is>
          <t>Desviación (€)</t>
        </is>
      </c>
      <c r="E4" s="6" t="inlineStr">
        <is>
          <t>Desviación %</t>
        </is>
      </c>
      <c r="F4" s="6" t="inlineStr">
        <is>
          <t>Semáforo</t>
        </is>
      </c>
    </row>
    <row r="5">
      <c r="A5" s="7" t="inlineStr">
        <is>
          <t>INGRESOS</t>
        </is>
      </c>
    </row>
    <row r="6">
      <c r="A6" s="8" t="inlineStr">
        <is>
          <t>Ventas Comedor</t>
        </is>
      </c>
      <c r="B6" s="9" t="n">
        <v>0</v>
      </c>
      <c r="C6" s="9" t="n">
        <v>0</v>
      </c>
      <c r="D6" s="10">
        <f>C6-B6</f>
        <v>0.0</v>
      </c>
      <c r="E6" s="11">
        <f>IF(B6=0,0,(C6-B6)/B6)</f>
        <v>0.0</v>
      </c>
      <c r="F6" s="12" t="str">
        <f>IF(ABS(E6)&lt;0.05,"✅ OK",IF(ABS(E6)&lt;0.1,"⚠️ Atención","🔴 Alerta"))</f>
        <v>✅ OK</v>
      </c>
    </row>
    <row r="7">
      <c r="A7" s="8" t="inlineStr">
        <is>
          <t>Ventas Barra</t>
        </is>
      </c>
      <c r="B7" s="9" t="n">
        <v>0</v>
      </c>
      <c r="C7" s="9" t="n">
        <v>0</v>
      </c>
      <c r="D7" s="10">
        <f>C7-B7</f>
        <v>0.0</v>
      </c>
      <c r="E7" s="11">
        <f>IF(B7=0,0,(C7-B7)/B7)</f>
        <v>0.0</v>
      </c>
      <c r="F7" s="12" t="str">
        <f>IF(ABS(E7)&lt;0.05,"✅ OK",IF(ABS(E7)&lt;0.1,"⚠️ Atención","🔴 Alerta"))</f>
        <v>✅ OK</v>
      </c>
    </row>
    <row r="8">
      <c r="A8" s="8" t="inlineStr">
        <is>
          <t>Ventas Delivery</t>
        </is>
      </c>
      <c r="B8" s="9" t="n">
        <v>0</v>
      </c>
      <c r="C8" s="9" t="n">
        <v>0</v>
      </c>
      <c r="D8" s="10">
        <f>C8-B8</f>
        <v>0.0</v>
      </c>
      <c r="E8" s="11">
        <f>IF(B8=0,0,(C8-B8)/B8)</f>
        <v>0.0</v>
      </c>
      <c r="F8" s="12" t="str">
        <f>IF(ABS(E8)&lt;0.05,"✅ OK",IF(ABS(E8)&lt;0.1,"⚠️ Atención","🔴 Alerta"))</f>
        <v>✅ OK</v>
      </c>
    </row>
    <row r="9">
      <c r="A9" s="8" t="inlineStr">
        <is>
          <t>Eventos / Catering</t>
        </is>
      </c>
      <c r="B9" s="9" t="n">
        <v>0</v>
      </c>
      <c r="C9" s="9" t="n">
        <v>0</v>
      </c>
      <c r="D9" s="10">
        <f>C9-B9</f>
        <v>0.0</v>
      </c>
      <c r="E9" s="11">
        <f>IF(B9=0,0,(C9-B9)/B9)</f>
        <v>0.0</v>
      </c>
      <c r="F9" s="12" t="str">
        <f>IF(ABS(E9)&lt;0.05,"✅ OK",IF(ABS(E9)&lt;0.1,"⚠️ Atención","🔴 Alerta"))</f>
        <v>✅ OK</v>
      </c>
    </row>
    <row r="10">
      <c r="A10" s="13" t="inlineStr">
        <is>
          <t>TOTAL INGRESOS</t>
        </is>
      </c>
      <c r="B10" s="14">
        <f>B6+B7+B8+B9</f>
        <v>0.0</v>
      </c>
      <c r="C10" s="14">
        <f>C6+C7+C8+C9</f>
        <v>0.0</v>
      </c>
      <c r="D10" s="10">
        <f>C10-B10</f>
        <v>0.0</v>
      </c>
      <c r="E10" s="11">
        <f>IF(B10=0,0,(C10-B10)/B10)</f>
        <v>0.0</v>
      </c>
      <c r="F10" s="12" t="str">
        <f>IF(ABS(E10)&lt;0.05,"✅ OK",IF(ABS(E10)&lt;0.1,"⚠️ Atención","🔴 Alerta"))</f>
        <v>✅ OK</v>
      </c>
    </row>
    <row r="11"/>
    <row r="12">
      <c r="A12" s="7" t="inlineStr">
        <is>
          <t>GASTOS</t>
        </is>
      </c>
    </row>
    <row r="13">
      <c r="A13" s="8" t="inlineStr">
        <is>
          <t>Food Cost</t>
        </is>
      </c>
      <c r="B13" s="9" t="n">
        <v>0</v>
      </c>
      <c r="C13" s="9" t="n">
        <v>0</v>
      </c>
      <c r="D13" s="10">
        <f>C13-B13</f>
        <v>0.0</v>
      </c>
      <c r="E13" s="11">
        <f>IF(B13=0,0,(C13-B13)/B13)</f>
        <v>0.0</v>
      </c>
      <c r="F13" s="12" t="str">
        <f>IF(ABS(E13)&lt;0.05,"✅ OK",IF(ABS(E13)&lt;0.1,"⚠️ Atención","🔴 Alerta"))</f>
        <v>✅ OK</v>
      </c>
    </row>
    <row r="14">
      <c r="A14" s="8" t="inlineStr">
        <is>
          <t>Personal (Labor)</t>
        </is>
      </c>
      <c r="B14" s="9" t="n">
        <v>0</v>
      </c>
      <c r="C14" s="9" t="n">
        <v>0</v>
      </c>
      <c r="D14" s="10">
        <f>C14-B14</f>
        <v>0.0</v>
      </c>
      <c r="E14" s="11">
        <f>IF(B14=0,0,(C14-B14)/B14)</f>
        <v>0.0</v>
      </c>
      <c r="F14" s="12" t="str">
        <f>IF(ABS(E14)&lt;0.05,"✅ OK",IF(ABS(E14)&lt;0.1,"⚠️ Atención","🔴 Alerta"))</f>
        <v>✅ OK</v>
      </c>
    </row>
    <row r="15">
      <c r="A15" s="8" t="inlineStr">
        <is>
          <t>Alquiler</t>
        </is>
      </c>
      <c r="B15" s="9" t="n">
        <v>0</v>
      </c>
      <c r="C15" s="9" t="n">
        <v>0</v>
      </c>
      <c r="D15" s="10">
        <f>C15-B15</f>
        <v>0.0</v>
      </c>
      <c r="E15" s="11">
        <f>IF(B15=0,0,(C15-B15)/B15)</f>
        <v>0.0</v>
      </c>
      <c r="F15" s="12" t="str">
        <f>IF(ABS(E15)&lt;0.05,"✅ OK",IF(ABS(E15)&lt;0.1,"⚠️ Atención","🔴 Alerta"))</f>
        <v>✅ OK</v>
      </c>
    </row>
    <row r="16">
      <c r="A16" s="8" t="inlineStr">
        <is>
          <t>Suministros</t>
        </is>
      </c>
      <c r="B16" s="9" t="n">
        <v>0</v>
      </c>
      <c r="C16" s="9" t="n">
        <v>0</v>
      </c>
      <c r="D16" s="10">
        <f>C16-B16</f>
        <v>0.0</v>
      </c>
      <c r="E16" s="11">
        <f>IF(B16=0,0,(C16-B16)/B16)</f>
        <v>0.0</v>
      </c>
      <c r="F16" s="12" t="str">
        <f>IF(ABS(E16)&lt;0.05,"✅ OK",IF(ABS(E16)&lt;0.1,"⚠️ Atención","🔴 Alerta"))</f>
        <v>✅ OK</v>
      </c>
    </row>
    <row r="17">
      <c r="A17" s="8" t="inlineStr">
        <is>
          <t>Marketing</t>
        </is>
      </c>
      <c r="B17" s="9" t="n">
        <v>0</v>
      </c>
      <c r="C17" s="9" t="n">
        <v>0</v>
      </c>
      <c r="D17" s="10">
        <f>C17-B17</f>
        <v>0.0</v>
      </c>
      <c r="E17" s="11">
        <f>IF(B17=0,0,(C17-B17)/B17)</f>
        <v>0.0</v>
      </c>
      <c r="F17" s="12" t="str">
        <f>IF(ABS(E17)&lt;0.05,"✅ OK",IF(ABS(E17)&lt;0.1,"⚠️ Atención","🔴 Alerta"))</f>
        <v>✅ OK</v>
      </c>
    </row>
    <row r="18">
      <c r="A18" s="8" t="inlineStr">
        <is>
          <t>Administración / Otros</t>
        </is>
      </c>
      <c r="B18" s="9" t="n">
        <v>0</v>
      </c>
      <c r="C18" s="9" t="n">
        <v>0</v>
      </c>
      <c r="D18" s="10">
        <f>C18-B18</f>
        <v>0.0</v>
      </c>
      <c r="E18" s="11">
        <f>IF(B18=0,0,(C18-B18)/B18)</f>
        <v>0.0</v>
      </c>
      <c r="F18" s="12" t="str">
        <f>IF(ABS(E18)&lt;0.05,"✅ OK",IF(ABS(E18)&lt;0.1,"⚠️ Atención","🔴 Alerta"))</f>
        <v>✅ OK</v>
      </c>
    </row>
    <row r="19">
      <c r="A19" s="13" t="inlineStr">
        <is>
          <t>TOTAL GASTOS</t>
        </is>
      </c>
      <c r="B19" s="14">
        <f>B13+B14+B15+B16+B17+B18</f>
        <v>0.0</v>
      </c>
      <c r="C19" s="14">
        <f>C13+C14+C15+C16+C17+C18</f>
        <v>0.0</v>
      </c>
      <c r="D19" s="10">
        <f>C19-B19</f>
        <v>0.0</v>
      </c>
      <c r="E19" s="11">
        <f>IF(B19=0,0,(C19-B19)/B19)</f>
        <v>0.0</v>
      </c>
      <c r="F19" s="12" t="str">
        <f>IF(ABS(E19)&lt;0.05,"✅ OK",IF(ABS(E19)&lt;0.1,"⚠️ Atención","🔴 Alerta"))</f>
        <v>✅ OK</v>
      </c>
    </row>
    <row r="20"/>
    <row r="21">
      <c r="A21" s="13" t="inlineStr">
        <is>
          <t>EBITDA</t>
        </is>
      </c>
      <c r="B21" s="15">
        <f>B10-B19</f>
        <v>0.0</v>
      </c>
      <c r="C21" s="15">
        <f>C10-C19</f>
        <v>0.0</v>
      </c>
      <c r="D21" s="10">
        <f>C21-B21</f>
        <v>0.0</v>
      </c>
      <c r="E21" s="11">
        <f>IF(B21=0,0,(C21-B21)/B21)</f>
        <v>0.0</v>
      </c>
      <c r="F21" s="12" t="str">
        <f>IF(ABS(E21)&lt;0.05,"✅ OK",IF(ABS(E21)&lt;0.1,"⚠️ Atención","🔴 Alerta"))</f>
        <v>✅ OK</v>
      </c>
    </row>
    <row r="22">
      <c r="A22" s="13" t="inlineStr">
        <is>
          <t>Margen EBITDA %</t>
        </is>
      </c>
      <c r="B22" s="16">
        <f>IF(B10=0,0,B21/B10)</f>
        <v>0.0</v>
      </c>
      <c r="C22" s="16">
        <f>IF(C10=0,0,C21/C10)</f>
        <v>0.0</v>
      </c>
    </row>
    <row r="23"/>
    <row r="24">
      <c r="A24" s="7" t="inlineStr">
        <is>
          <t>RATIOS AUTOMÁTICOS</t>
        </is>
      </c>
    </row>
    <row r="25">
      <c r="A25" s="8" t="inlineStr">
        <is>
          <t>Food Cost %</t>
        </is>
      </c>
      <c r="B25" s="16">
        <f>IF(B10=0,0,B13/B10)</f>
        <v>0.0</v>
      </c>
      <c r="C25" s="16">
        <f>IF(C10=0,0,C13/C10)</f>
        <v>0.0</v>
      </c>
    </row>
    <row r="26">
      <c r="A26" s="8" t="inlineStr">
        <is>
          <t>Labor Cost %</t>
        </is>
      </c>
      <c r="B26" s="16">
        <f>IF(B10=0,0,B14/B10)</f>
        <v>0.0</v>
      </c>
      <c r="C26" s="16">
        <f>IF(C10=0,0,C14/C10)</f>
        <v>0.0</v>
      </c>
    </row>
    <row r="27">
      <c r="A27" s="8" t="inlineStr">
        <is>
          <t>Prime Cost %</t>
        </is>
      </c>
      <c r="B27" s="16">
        <f>IF(B10=0,0,(B13+B14)/B10)</f>
        <v>0.0</v>
      </c>
      <c r="C27" s="16">
        <f>IF(C10=0,0,(C13+C14)/C10)</f>
        <v>0.0</v>
      </c>
    </row>
    <row r="28"/>
    <row r="29">
      <c r="A29" s="17" t="inlineStr">
        <is>
          <t>© 2026 AI Chef Pro · aichef.pro</t>
        </is>
      </c>
    </row>
  </sheetData>
  <mergeCells count="3">
    <mergeCell ref="A1:F1"/>
    <mergeCell ref="A2:F2"/>
    <mergeCell ref="A29:F29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F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</cols>
  <sheetData>
    <row r="1">
      <c r="A1" s="5" t="inlineStr">
        <is>
          <t>P&amp;L Jul — Real vs Presupuesto</t>
        </is>
      </c>
    </row>
    <row r="2">
      <c r="A2" s="2" t="inlineStr">
        <is>
          <t>AI Chef Pro · aichef.pro — Kit Plan Financiero para Restaurantes</t>
        </is>
      </c>
    </row>
    <row r="3"/>
    <row r="4">
      <c r="A4" s="6" t="inlineStr">
        <is>
          <t>Concepto</t>
        </is>
      </c>
      <c r="B4" s="6" t="inlineStr">
        <is>
          <t>Presupuesto (€)</t>
        </is>
      </c>
      <c r="C4" s="6" t="inlineStr">
        <is>
          <t>Real (€)</t>
        </is>
      </c>
      <c r="D4" s="6" t="inlineStr">
        <is>
          <t>Desviación (€)</t>
        </is>
      </c>
      <c r="E4" s="6" t="inlineStr">
        <is>
          <t>Desviación %</t>
        </is>
      </c>
      <c r="F4" s="6" t="inlineStr">
        <is>
          <t>Semáforo</t>
        </is>
      </c>
    </row>
    <row r="5">
      <c r="A5" s="7" t="inlineStr">
        <is>
          <t>INGRESOS</t>
        </is>
      </c>
    </row>
    <row r="6">
      <c r="A6" s="8" t="inlineStr">
        <is>
          <t>Ventas Comedor</t>
        </is>
      </c>
      <c r="B6" s="9" t="n">
        <v>0</v>
      </c>
      <c r="C6" s="9" t="n">
        <v>0</v>
      </c>
      <c r="D6" s="10">
        <f>C6-B6</f>
        <v>0.0</v>
      </c>
      <c r="E6" s="11">
        <f>IF(B6=0,0,(C6-B6)/B6)</f>
        <v>0.0</v>
      </c>
      <c r="F6" s="12" t="str">
        <f>IF(ABS(E6)&lt;0.05,"✅ OK",IF(ABS(E6)&lt;0.1,"⚠️ Atención","🔴 Alerta"))</f>
        <v>✅ OK</v>
      </c>
    </row>
    <row r="7">
      <c r="A7" s="8" t="inlineStr">
        <is>
          <t>Ventas Barra</t>
        </is>
      </c>
      <c r="B7" s="9" t="n">
        <v>0</v>
      </c>
      <c r="C7" s="9" t="n">
        <v>0</v>
      </c>
      <c r="D7" s="10">
        <f>C7-B7</f>
        <v>0.0</v>
      </c>
      <c r="E7" s="11">
        <f>IF(B7=0,0,(C7-B7)/B7)</f>
        <v>0.0</v>
      </c>
      <c r="F7" s="12" t="str">
        <f>IF(ABS(E7)&lt;0.05,"✅ OK",IF(ABS(E7)&lt;0.1,"⚠️ Atención","🔴 Alerta"))</f>
        <v>✅ OK</v>
      </c>
    </row>
    <row r="8">
      <c r="A8" s="8" t="inlineStr">
        <is>
          <t>Ventas Delivery</t>
        </is>
      </c>
      <c r="B8" s="9" t="n">
        <v>0</v>
      </c>
      <c r="C8" s="9" t="n">
        <v>0</v>
      </c>
      <c r="D8" s="10">
        <f>C8-B8</f>
        <v>0.0</v>
      </c>
      <c r="E8" s="11">
        <f>IF(B8=0,0,(C8-B8)/B8)</f>
        <v>0.0</v>
      </c>
      <c r="F8" s="12" t="str">
        <f>IF(ABS(E8)&lt;0.05,"✅ OK",IF(ABS(E8)&lt;0.1,"⚠️ Atención","🔴 Alerta"))</f>
        <v>✅ OK</v>
      </c>
    </row>
    <row r="9">
      <c r="A9" s="8" t="inlineStr">
        <is>
          <t>Eventos / Catering</t>
        </is>
      </c>
      <c r="B9" s="9" t="n">
        <v>0</v>
      </c>
      <c r="C9" s="9" t="n">
        <v>0</v>
      </c>
      <c r="D9" s="10">
        <f>C9-B9</f>
        <v>0.0</v>
      </c>
      <c r="E9" s="11">
        <f>IF(B9=0,0,(C9-B9)/B9)</f>
        <v>0.0</v>
      </c>
      <c r="F9" s="12" t="str">
        <f>IF(ABS(E9)&lt;0.05,"✅ OK",IF(ABS(E9)&lt;0.1,"⚠️ Atención","🔴 Alerta"))</f>
        <v>✅ OK</v>
      </c>
    </row>
    <row r="10">
      <c r="A10" s="13" t="inlineStr">
        <is>
          <t>TOTAL INGRESOS</t>
        </is>
      </c>
      <c r="B10" s="14">
        <f>B6+B7+B8+B9</f>
        <v>0.0</v>
      </c>
      <c r="C10" s="14">
        <f>C6+C7+C8+C9</f>
        <v>0.0</v>
      </c>
      <c r="D10" s="10">
        <f>C10-B10</f>
        <v>0.0</v>
      </c>
      <c r="E10" s="11">
        <f>IF(B10=0,0,(C10-B10)/B10)</f>
        <v>0.0</v>
      </c>
      <c r="F10" s="12" t="str">
        <f>IF(ABS(E10)&lt;0.05,"✅ OK",IF(ABS(E10)&lt;0.1,"⚠️ Atención","🔴 Alerta"))</f>
        <v>✅ OK</v>
      </c>
    </row>
    <row r="11"/>
    <row r="12">
      <c r="A12" s="7" t="inlineStr">
        <is>
          <t>GASTOS</t>
        </is>
      </c>
    </row>
    <row r="13">
      <c r="A13" s="8" t="inlineStr">
        <is>
          <t>Food Cost</t>
        </is>
      </c>
      <c r="B13" s="9" t="n">
        <v>0</v>
      </c>
      <c r="C13" s="9" t="n">
        <v>0</v>
      </c>
      <c r="D13" s="10">
        <f>C13-B13</f>
        <v>0.0</v>
      </c>
      <c r="E13" s="11">
        <f>IF(B13=0,0,(C13-B13)/B13)</f>
        <v>0.0</v>
      </c>
      <c r="F13" s="12" t="str">
        <f>IF(ABS(E13)&lt;0.05,"✅ OK",IF(ABS(E13)&lt;0.1,"⚠️ Atención","🔴 Alerta"))</f>
        <v>✅ OK</v>
      </c>
    </row>
    <row r="14">
      <c r="A14" s="8" t="inlineStr">
        <is>
          <t>Personal (Labor)</t>
        </is>
      </c>
      <c r="B14" s="9" t="n">
        <v>0</v>
      </c>
      <c r="C14" s="9" t="n">
        <v>0</v>
      </c>
      <c r="D14" s="10">
        <f>C14-B14</f>
        <v>0.0</v>
      </c>
      <c r="E14" s="11">
        <f>IF(B14=0,0,(C14-B14)/B14)</f>
        <v>0.0</v>
      </c>
      <c r="F14" s="12" t="str">
        <f>IF(ABS(E14)&lt;0.05,"✅ OK",IF(ABS(E14)&lt;0.1,"⚠️ Atención","🔴 Alerta"))</f>
        <v>✅ OK</v>
      </c>
    </row>
    <row r="15">
      <c r="A15" s="8" t="inlineStr">
        <is>
          <t>Alquiler</t>
        </is>
      </c>
      <c r="B15" s="9" t="n">
        <v>0</v>
      </c>
      <c r="C15" s="9" t="n">
        <v>0</v>
      </c>
      <c r="D15" s="10">
        <f>C15-B15</f>
        <v>0.0</v>
      </c>
      <c r="E15" s="11">
        <f>IF(B15=0,0,(C15-B15)/B15)</f>
        <v>0.0</v>
      </c>
      <c r="F15" s="12" t="str">
        <f>IF(ABS(E15)&lt;0.05,"✅ OK",IF(ABS(E15)&lt;0.1,"⚠️ Atención","🔴 Alerta"))</f>
        <v>✅ OK</v>
      </c>
    </row>
    <row r="16">
      <c r="A16" s="8" t="inlineStr">
        <is>
          <t>Suministros</t>
        </is>
      </c>
      <c r="B16" s="9" t="n">
        <v>0</v>
      </c>
      <c r="C16" s="9" t="n">
        <v>0</v>
      </c>
      <c r="D16" s="10">
        <f>C16-B16</f>
        <v>0.0</v>
      </c>
      <c r="E16" s="11">
        <f>IF(B16=0,0,(C16-B16)/B16)</f>
        <v>0.0</v>
      </c>
      <c r="F16" s="12" t="str">
        <f>IF(ABS(E16)&lt;0.05,"✅ OK",IF(ABS(E16)&lt;0.1,"⚠️ Atención","🔴 Alerta"))</f>
        <v>✅ OK</v>
      </c>
    </row>
    <row r="17">
      <c r="A17" s="8" t="inlineStr">
        <is>
          <t>Marketing</t>
        </is>
      </c>
      <c r="B17" s="9" t="n">
        <v>0</v>
      </c>
      <c r="C17" s="9" t="n">
        <v>0</v>
      </c>
      <c r="D17" s="10">
        <f>C17-B17</f>
        <v>0.0</v>
      </c>
      <c r="E17" s="11">
        <f>IF(B17=0,0,(C17-B17)/B17)</f>
        <v>0.0</v>
      </c>
      <c r="F17" s="12" t="str">
        <f>IF(ABS(E17)&lt;0.05,"✅ OK",IF(ABS(E17)&lt;0.1,"⚠️ Atención","🔴 Alerta"))</f>
        <v>✅ OK</v>
      </c>
    </row>
    <row r="18">
      <c r="A18" s="8" t="inlineStr">
        <is>
          <t>Administración / Otros</t>
        </is>
      </c>
      <c r="B18" s="9" t="n">
        <v>0</v>
      </c>
      <c r="C18" s="9" t="n">
        <v>0</v>
      </c>
      <c r="D18" s="10">
        <f>C18-B18</f>
        <v>0.0</v>
      </c>
      <c r="E18" s="11">
        <f>IF(B18=0,0,(C18-B18)/B18)</f>
        <v>0.0</v>
      </c>
      <c r="F18" s="12" t="str">
        <f>IF(ABS(E18)&lt;0.05,"✅ OK",IF(ABS(E18)&lt;0.1,"⚠️ Atención","🔴 Alerta"))</f>
        <v>✅ OK</v>
      </c>
    </row>
    <row r="19">
      <c r="A19" s="13" t="inlineStr">
        <is>
          <t>TOTAL GASTOS</t>
        </is>
      </c>
      <c r="B19" s="14">
        <f>B13+B14+B15+B16+B17+B18</f>
        <v>0.0</v>
      </c>
      <c r="C19" s="14">
        <f>C13+C14+C15+C16+C17+C18</f>
        <v>0.0</v>
      </c>
      <c r="D19" s="10">
        <f>C19-B19</f>
        <v>0.0</v>
      </c>
      <c r="E19" s="11">
        <f>IF(B19=0,0,(C19-B19)/B19)</f>
        <v>0.0</v>
      </c>
      <c r="F19" s="12" t="str">
        <f>IF(ABS(E19)&lt;0.05,"✅ OK",IF(ABS(E19)&lt;0.1,"⚠️ Atención","🔴 Alerta"))</f>
        <v>✅ OK</v>
      </c>
    </row>
    <row r="20"/>
    <row r="21">
      <c r="A21" s="13" t="inlineStr">
        <is>
          <t>EBITDA</t>
        </is>
      </c>
      <c r="B21" s="15">
        <f>B10-B19</f>
        <v>0.0</v>
      </c>
      <c r="C21" s="15">
        <f>C10-C19</f>
        <v>0.0</v>
      </c>
      <c r="D21" s="10">
        <f>C21-B21</f>
        <v>0.0</v>
      </c>
      <c r="E21" s="11">
        <f>IF(B21=0,0,(C21-B21)/B21)</f>
        <v>0.0</v>
      </c>
      <c r="F21" s="12" t="str">
        <f>IF(ABS(E21)&lt;0.05,"✅ OK",IF(ABS(E21)&lt;0.1,"⚠️ Atención","🔴 Alerta"))</f>
        <v>✅ OK</v>
      </c>
    </row>
    <row r="22">
      <c r="A22" s="13" t="inlineStr">
        <is>
          <t>Margen EBITDA %</t>
        </is>
      </c>
      <c r="B22" s="16">
        <f>IF(B10=0,0,B21/B10)</f>
        <v>0.0</v>
      </c>
      <c r="C22" s="16">
        <f>IF(C10=0,0,C21/C10)</f>
        <v>0.0</v>
      </c>
    </row>
    <row r="23"/>
    <row r="24">
      <c r="A24" s="7" t="inlineStr">
        <is>
          <t>RATIOS AUTOMÁTICOS</t>
        </is>
      </c>
    </row>
    <row r="25">
      <c r="A25" s="8" t="inlineStr">
        <is>
          <t>Food Cost %</t>
        </is>
      </c>
      <c r="B25" s="16">
        <f>IF(B10=0,0,B13/B10)</f>
        <v>0.0</v>
      </c>
      <c r="C25" s="16">
        <f>IF(C10=0,0,C13/C10)</f>
        <v>0.0</v>
      </c>
    </row>
    <row r="26">
      <c r="A26" s="8" t="inlineStr">
        <is>
          <t>Labor Cost %</t>
        </is>
      </c>
      <c r="B26" s="16">
        <f>IF(B10=0,0,B14/B10)</f>
        <v>0.0</v>
      </c>
      <c r="C26" s="16">
        <f>IF(C10=0,0,C14/C10)</f>
        <v>0.0</v>
      </c>
    </row>
    <row r="27">
      <c r="A27" s="8" t="inlineStr">
        <is>
          <t>Prime Cost %</t>
        </is>
      </c>
      <c r="B27" s="16">
        <f>IF(B10=0,0,(B13+B14)/B10)</f>
        <v>0.0</v>
      </c>
      <c r="C27" s="16">
        <f>IF(C10=0,0,(C13+C14)/C10)</f>
        <v>0.0</v>
      </c>
    </row>
    <row r="28"/>
    <row r="29">
      <c r="A29" s="17" t="inlineStr">
        <is>
          <t>© 2026 AI Chef Pro · aichef.pro</t>
        </is>
      </c>
    </row>
  </sheetData>
  <mergeCells count="3">
    <mergeCell ref="A1:F1"/>
    <mergeCell ref="A2:F2"/>
    <mergeCell ref="A29:F29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F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</cols>
  <sheetData>
    <row r="1">
      <c r="A1" s="5" t="inlineStr">
        <is>
          <t>P&amp;L Ago — Real vs Presupuesto</t>
        </is>
      </c>
    </row>
    <row r="2">
      <c r="A2" s="2" t="inlineStr">
        <is>
          <t>AI Chef Pro · aichef.pro — Kit Plan Financiero para Restaurantes</t>
        </is>
      </c>
    </row>
    <row r="3"/>
    <row r="4">
      <c r="A4" s="6" t="inlineStr">
        <is>
          <t>Concepto</t>
        </is>
      </c>
      <c r="B4" s="6" t="inlineStr">
        <is>
          <t>Presupuesto (€)</t>
        </is>
      </c>
      <c r="C4" s="6" t="inlineStr">
        <is>
          <t>Real (€)</t>
        </is>
      </c>
      <c r="D4" s="6" t="inlineStr">
        <is>
          <t>Desviación (€)</t>
        </is>
      </c>
      <c r="E4" s="6" t="inlineStr">
        <is>
          <t>Desviación %</t>
        </is>
      </c>
      <c r="F4" s="6" t="inlineStr">
        <is>
          <t>Semáforo</t>
        </is>
      </c>
    </row>
    <row r="5">
      <c r="A5" s="7" t="inlineStr">
        <is>
          <t>INGRESOS</t>
        </is>
      </c>
    </row>
    <row r="6">
      <c r="A6" s="8" t="inlineStr">
        <is>
          <t>Ventas Comedor</t>
        </is>
      </c>
      <c r="B6" s="9" t="n">
        <v>0</v>
      </c>
      <c r="C6" s="9" t="n">
        <v>0</v>
      </c>
      <c r="D6" s="10">
        <f>C6-B6</f>
        <v>0.0</v>
      </c>
      <c r="E6" s="11">
        <f>IF(B6=0,0,(C6-B6)/B6)</f>
        <v>0.0</v>
      </c>
      <c r="F6" s="12" t="str">
        <f>IF(ABS(E6)&lt;0.05,"✅ OK",IF(ABS(E6)&lt;0.1,"⚠️ Atención","🔴 Alerta"))</f>
        <v>✅ OK</v>
      </c>
    </row>
    <row r="7">
      <c r="A7" s="8" t="inlineStr">
        <is>
          <t>Ventas Barra</t>
        </is>
      </c>
      <c r="B7" s="9" t="n">
        <v>0</v>
      </c>
      <c r="C7" s="9" t="n">
        <v>0</v>
      </c>
      <c r="D7" s="10">
        <f>C7-B7</f>
        <v>0.0</v>
      </c>
      <c r="E7" s="11">
        <f>IF(B7=0,0,(C7-B7)/B7)</f>
        <v>0.0</v>
      </c>
      <c r="F7" s="12" t="str">
        <f>IF(ABS(E7)&lt;0.05,"✅ OK",IF(ABS(E7)&lt;0.1,"⚠️ Atención","🔴 Alerta"))</f>
        <v>✅ OK</v>
      </c>
    </row>
    <row r="8">
      <c r="A8" s="8" t="inlineStr">
        <is>
          <t>Ventas Delivery</t>
        </is>
      </c>
      <c r="B8" s="9" t="n">
        <v>0</v>
      </c>
      <c r="C8" s="9" t="n">
        <v>0</v>
      </c>
      <c r="D8" s="10">
        <f>C8-B8</f>
        <v>0.0</v>
      </c>
      <c r="E8" s="11">
        <f>IF(B8=0,0,(C8-B8)/B8)</f>
        <v>0.0</v>
      </c>
      <c r="F8" s="12" t="str">
        <f>IF(ABS(E8)&lt;0.05,"✅ OK",IF(ABS(E8)&lt;0.1,"⚠️ Atención","🔴 Alerta"))</f>
        <v>✅ OK</v>
      </c>
    </row>
    <row r="9">
      <c r="A9" s="8" t="inlineStr">
        <is>
          <t>Eventos / Catering</t>
        </is>
      </c>
      <c r="B9" s="9" t="n">
        <v>0</v>
      </c>
      <c r="C9" s="9" t="n">
        <v>0</v>
      </c>
      <c r="D9" s="10">
        <f>C9-B9</f>
        <v>0.0</v>
      </c>
      <c r="E9" s="11">
        <f>IF(B9=0,0,(C9-B9)/B9)</f>
        <v>0.0</v>
      </c>
      <c r="F9" s="12" t="str">
        <f>IF(ABS(E9)&lt;0.05,"✅ OK",IF(ABS(E9)&lt;0.1,"⚠️ Atención","🔴 Alerta"))</f>
        <v>✅ OK</v>
      </c>
    </row>
    <row r="10">
      <c r="A10" s="13" t="inlineStr">
        <is>
          <t>TOTAL INGRESOS</t>
        </is>
      </c>
      <c r="B10" s="14">
        <f>B6+B7+B8+B9</f>
        <v>0.0</v>
      </c>
      <c r="C10" s="14">
        <f>C6+C7+C8+C9</f>
        <v>0.0</v>
      </c>
      <c r="D10" s="10">
        <f>C10-B10</f>
        <v>0.0</v>
      </c>
      <c r="E10" s="11">
        <f>IF(B10=0,0,(C10-B10)/B10)</f>
        <v>0.0</v>
      </c>
      <c r="F10" s="12" t="str">
        <f>IF(ABS(E10)&lt;0.05,"✅ OK",IF(ABS(E10)&lt;0.1,"⚠️ Atención","🔴 Alerta"))</f>
        <v>✅ OK</v>
      </c>
    </row>
    <row r="11"/>
    <row r="12">
      <c r="A12" s="7" t="inlineStr">
        <is>
          <t>GASTOS</t>
        </is>
      </c>
    </row>
    <row r="13">
      <c r="A13" s="8" t="inlineStr">
        <is>
          <t>Food Cost</t>
        </is>
      </c>
      <c r="B13" s="9" t="n">
        <v>0</v>
      </c>
      <c r="C13" s="9" t="n">
        <v>0</v>
      </c>
      <c r="D13" s="10">
        <f>C13-B13</f>
        <v>0.0</v>
      </c>
      <c r="E13" s="11">
        <f>IF(B13=0,0,(C13-B13)/B13)</f>
        <v>0.0</v>
      </c>
      <c r="F13" s="12" t="str">
        <f>IF(ABS(E13)&lt;0.05,"✅ OK",IF(ABS(E13)&lt;0.1,"⚠️ Atención","🔴 Alerta"))</f>
        <v>✅ OK</v>
      </c>
    </row>
    <row r="14">
      <c r="A14" s="8" t="inlineStr">
        <is>
          <t>Personal (Labor)</t>
        </is>
      </c>
      <c r="B14" s="9" t="n">
        <v>0</v>
      </c>
      <c r="C14" s="9" t="n">
        <v>0</v>
      </c>
      <c r="D14" s="10">
        <f>C14-B14</f>
        <v>0.0</v>
      </c>
      <c r="E14" s="11">
        <f>IF(B14=0,0,(C14-B14)/B14)</f>
        <v>0.0</v>
      </c>
      <c r="F14" s="12" t="str">
        <f>IF(ABS(E14)&lt;0.05,"✅ OK",IF(ABS(E14)&lt;0.1,"⚠️ Atención","🔴 Alerta"))</f>
        <v>✅ OK</v>
      </c>
    </row>
    <row r="15">
      <c r="A15" s="8" t="inlineStr">
        <is>
          <t>Alquiler</t>
        </is>
      </c>
      <c r="B15" s="9" t="n">
        <v>0</v>
      </c>
      <c r="C15" s="9" t="n">
        <v>0</v>
      </c>
      <c r="D15" s="10">
        <f>C15-B15</f>
        <v>0.0</v>
      </c>
      <c r="E15" s="11">
        <f>IF(B15=0,0,(C15-B15)/B15)</f>
        <v>0.0</v>
      </c>
      <c r="F15" s="12" t="str">
        <f>IF(ABS(E15)&lt;0.05,"✅ OK",IF(ABS(E15)&lt;0.1,"⚠️ Atención","🔴 Alerta"))</f>
        <v>✅ OK</v>
      </c>
    </row>
    <row r="16">
      <c r="A16" s="8" t="inlineStr">
        <is>
          <t>Suministros</t>
        </is>
      </c>
      <c r="B16" s="9" t="n">
        <v>0</v>
      </c>
      <c r="C16" s="9" t="n">
        <v>0</v>
      </c>
      <c r="D16" s="10">
        <f>C16-B16</f>
        <v>0.0</v>
      </c>
      <c r="E16" s="11">
        <f>IF(B16=0,0,(C16-B16)/B16)</f>
        <v>0.0</v>
      </c>
      <c r="F16" s="12" t="str">
        <f>IF(ABS(E16)&lt;0.05,"✅ OK",IF(ABS(E16)&lt;0.1,"⚠️ Atención","🔴 Alerta"))</f>
        <v>✅ OK</v>
      </c>
    </row>
    <row r="17">
      <c r="A17" s="8" t="inlineStr">
        <is>
          <t>Marketing</t>
        </is>
      </c>
      <c r="B17" s="9" t="n">
        <v>0</v>
      </c>
      <c r="C17" s="9" t="n">
        <v>0</v>
      </c>
      <c r="D17" s="10">
        <f>C17-B17</f>
        <v>0.0</v>
      </c>
      <c r="E17" s="11">
        <f>IF(B17=0,0,(C17-B17)/B17)</f>
        <v>0.0</v>
      </c>
      <c r="F17" s="12" t="str">
        <f>IF(ABS(E17)&lt;0.05,"✅ OK",IF(ABS(E17)&lt;0.1,"⚠️ Atención","🔴 Alerta"))</f>
        <v>✅ OK</v>
      </c>
    </row>
    <row r="18">
      <c r="A18" s="8" t="inlineStr">
        <is>
          <t>Administración / Otros</t>
        </is>
      </c>
      <c r="B18" s="9" t="n">
        <v>0</v>
      </c>
      <c r="C18" s="9" t="n">
        <v>0</v>
      </c>
      <c r="D18" s="10">
        <f>C18-B18</f>
        <v>0.0</v>
      </c>
      <c r="E18" s="11">
        <f>IF(B18=0,0,(C18-B18)/B18)</f>
        <v>0.0</v>
      </c>
      <c r="F18" s="12" t="str">
        <f>IF(ABS(E18)&lt;0.05,"✅ OK",IF(ABS(E18)&lt;0.1,"⚠️ Atención","🔴 Alerta"))</f>
        <v>✅ OK</v>
      </c>
    </row>
    <row r="19">
      <c r="A19" s="13" t="inlineStr">
        <is>
          <t>TOTAL GASTOS</t>
        </is>
      </c>
      <c r="B19" s="14">
        <f>B13+B14+B15+B16+B17+B18</f>
        <v>0.0</v>
      </c>
      <c r="C19" s="14">
        <f>C13+C14+C15+C16+C17+C18</f>
        <v>0.0</v>
      </c>
      <c r="D19" s="10">
        <f>C19-B19</f>
        <v>0.0</v>
      </c>
      <c r="E19" s="11">
        <f>IF(B19=0,0,(C19-B19)/B19)</f>
        <v>0.0</v>
      </c>
      <c r="F19" s="12" t="str">
        <f>IF(ABS(E19)&lt;0.05,"✅ OK",IF(ABS(E19)&lt;0.1,"⚠️ Atención","🔴 Alerta"))</f>
        <v>✅ OK</v>
      </c>
    </row>
    <row r="20"/>
    <row r="21">
      <c r="A21" s="13" t="inlineStr">
        <is>
          <t>EBITDA</t>
        </is>
      </c>
      <c r="B21" s="15">
        <f>B10-B19</f>
        <v>0.0</v>
      </c>
      <c r="C21" s="15">
        <f>C10-C19</f>
        <v>0.0</v>
      </c>
      <c r="D21" s="10">
        <f>C21-B21</f>
        <v>0.0</v>
      </c>
      <c r="E21" s="11">
        <f>IF(B21=0,0,(C21-B21)/B21)</f>
        <v>0.0</v>
      </c>
      <c r="F21" s="12" t="str">
        <f>IF(ABS(E21)&lt;0.05,"✅ OK",IF(ABS(E21)&lt;0.1,"⚠️ Atención","🔴 Alerta"))</f>
        <v>✅ OK</v>
      </c>
    </row>
    <row r="22">
      <c r="A22" s="13" t="inlineStr">
        <is>
          <t>Margen EBITDA %</t>
        </is>
      </c>
      <c r="B22" s="16">
        <f>IF(B10=0,0,B21/B10)</f>
        <v>0.0</v>
      </c>
      <c r="C22" s="16">
        <f>IF(C10=0,0,C21/C10)</f>
        <v>0.0</v>
      </c>
    </row>
    <row r="23"/>
    <row r="24">
      <c r="A24" s="7" t="inlineStr">
        <is>
          <t>RATIOS AUTOMÁTICOS</t>
        </is>
      </c>
    </row>
    <row r="25">
      <c r="A25" s="8" t="inlineStr">
        <is>
          <t>Food Cost %</t>
        </is>
      </c>
      <c r="B25" s="16">
        <f>IF(B10=0,0,B13/B10)</f>
        <v>0.0</v>
      </c>
      <c r="C25" s="16">
        <f>IF(C10=0,0,C13/C10)</f>
        <v>0.0</v>
      </c>
    </row>
    <row r="26">
      <c r="A26" s="8" t="inlineStr">
        <is>
          <t>Labor Cost %</t>
        </is>
      </c>
      <c r="B26" s="16">
        <f>IF(B10=0,0,B14/B10)</f>
        <v>0.0</v>
      </c>
      <c r="C26" s="16">
        <f>IF(C10=0,0,C14/C10)</f>
        <v>0.0</v>
      </c>
    </row>
    <row r="27">
      <c r="A27" s="8" t="inlineStr">
        <is>
          <t>Prime Cost %</t>
        </is>
      </c>
      <c r="B27" s="16">
        <f>IF(B10=0,0,(B13+B14)/B10)</f>
        <v>0.0</v>
      </c>
      <c r="C27" s="16">
        <f>IF(C10=0,0,(C13+C14)/C10)</f>
        <v>0.0</v>
      </c>
    </row>
    <row r="28"/>
    <row r="29">
      <c r="A29" s="17" t="inlineStr">
        <is>
          <t>© 2026 AI Chef Pro · aichef.pro</t>
        </is>
      </c>
    </row>
  </sheetData>
  <mergeCells count="3">
    <mergeCell ref="A1:F1"/>
    <mergeCell ref="A2:F2"/>
    <mergeCell ref="A29:F29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F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</cols>
  <sheetData>
    <row r="1">
      <c r="A1" s="5" t="inlineStr">
        <is>
          <t>P&amp;L Sep — Real vs Presupuesto</t>
        </is>
      </c>
    </row>
    <row r="2">
      <c r="A2" s="2" t="inlineStr">
        <is>
          <t>AI Chef Pro · aichef.pro — Kit Plan Financiero para Restaurantes</t>
        </is>
      </c>
    </row>
    <row r="3"/>
    <row r="4">
      <c r="A4" s="6" t="inlineStr">
        <is>
          <t>Concepto</t>
        </is>
      </c>
      <c r="B4" s="6" t="inlineStr">
        <is>
          <t>Presupuesto (€)</t>
        </is>
      </c>
      <c r="C4" s="6" t="inlineStr">
        <is>
          <t>Real (€)</t>
        </is>
      </c>
      <c r="D4" s="6" t="inlineStr">
        <is>
          <t>Desviación (€)</t>
        </is>
      </c>
      <c r="E4" s="6" t="inlineStr">
        <is>
          <t>Desviación %</t>
        </is>
      </c>
      <c r="F4" s="6" t="inlineStr">
        <is>
          <t>Semáforo</t>
        </is>
      </c>
    </row>
    <row r="5">
      <c r="A5" s="7" t="inlineStr">
        <is>
          <t>INGRESOS</t>
        </is>
      </c>
    </row>
    <row r="6">
      <c r="A6" s="8" t="inlineStr">
        <is>
          <t>Ventas Comedor</t>
        </is>
      </c>
      <c r="B6" s="9" t="n">
        <v>0</v>
      </c>
      <c r="C6" s="9" t="n">
        <v>0</v>
      </c>
      <c r="D6" s="10">
        <f>C6-B6</f>
        <v>0.0</v>
      </c>
      <c r="E6" s="11">
        <f>IF(B6=0,0,(C6-B6)/B6)</f>
        <v>0.0</v>
      </c>
      <c r="F6" s="12" t="str">
        <f>IF(ABS(E6)&lt;0.05,"✅ OK",IF(ABS(E6)&lt;0.1,"⚠️ Atención","🔴 Alerta"))</f>
        <v>✅ OK</v>
      </c>
    </row>
    <row r="7">
      <c r="A7" s="8" t="inlineStr">
        <is>
          <t>Ventas Barra</t>
        </is>
      </c>
      <c r="B7" s="9" t="n">
        <v>0</v>
      </c>
      <c r="C7" s="9" t="n">
        <v>0</v>
      </c>
      <c r="D7" s="10">
        <f>C7-B7</f>
        <v>0.0</v>
      </c>
      <c r="E7" s="11">
        <f>IF(B7=0,0,(C7-B7)/B7)</f>
        <v>0.0</v>
      </c>
      <c r="F7" s="12" t="str">
        <f>IF(ABS(E7)&lt;0.05,"✅ OK",IF(ABS(E7)&lt;0.1,"⚠️ Atención","🔴 Alerta"))</f>
        <v>✅ OK</v>
      </c>
    </row>
    <row r="8">
      <c r="A8" s="8" t="inlineStr">
        <is>
          <t>Ventas Delivery</t>
        </is>
      </c>
      <c r="B8" s="9" t="n">
        <v>0</v>
      </c>
      <c r="C8" s="9" t="n">
        <v>0</v>
      </c>
      <c r="D8" s="10">
        <f>C8-B8</f>
        <v>0.0</v>
      </c>
      <c r="E8" s="11">
        <f>IF(B8=0,0,(C8-B8)/B8)</f>
        <v>0.0</v>
      </c>
      <c r="F8" s="12" t="str">
        <f>IF(ABS(E8)&lt;0.05,"✅ OK",IF(ABS(E8)&lt;0.1,"⚠️ Atención","🔴 Alerta"))</f>
        <v>✅ OK</v>
      </c>
    </row>
    <row r="9">
      <c r="A9" s="8" t="inlineStr">
        <is>
          <t>Eventos / Catering</t>
        </is>
      </c>
      <c r="B9" s="9" t="n">
        <v>0</v>
      </c>
      <c r="C9" s="9" t="n">
        <v>0</v>
      </c>
      <c r="D9" s="10">
        <f>C9-B9</f>
        <v>0.0</v>
      </c>
      <c r="E9" s="11">
        <f>IF(B9=0,0,(C9-B9)/B9)</f>
        <v>0.0</v>
      </c>
      <c r="F9" s="12" t="str">
        <f>IF(ABS(E9)&lt;0.05,"✅ OK",IF(ABS(E9)&lt;0.1,"⚠️ Atención","🔴 Alerta"))</f>
        <v>✅ OK</v>
      </c>
    </row>
    <row r="10">
      <c r="A10" s="13" t="inlineStr">
        <is>
          <t>TOTAL INGRESOS</t>
        </is>
      </c>
      <c r="B10" s="14">
        <f>B6+B7+B8+B9</f>
        <v>0.0</v>
      </c>
      <c r="C10" s="14">
        <f>C6+C7+C8+C9</f>
        <v>0.0</v>
      </c>
      <c r="D10" s="10">
        <f>C10-B10</f>
        <v>0.0</v>
      </c>
      <c r="E10" s="11">
        <f>IF(B10=0,0,(C10-B10)/B10)</f>
        <v>0.0</v>
      </c>
      <c r="F10" s="12" t="str">
        <f>IF(ABS(E10)&lt;0.05,"✅ OK",IF(ABS(E10)&lt;0.1,"⚠️ Atención","🔴 Alerta"))</f>
        <v>✅ OK</v>
      </c>
    </row>
    <row r="11"/>
    <row r="12">
      <c r="A12" s="7" t="inlineStr">
        <is>
          <t>GASTOS</t>
        </is>
      </c>
    </row>
    <row r="13">
      <c r="A13" s="8" t="inlineStr">
        <is>
          <t>Food Cost</t>
        </is>
      </c>
      <c r="B13" s="9" t="n">
        <v>0</v>
      </c>
      <c r="C13" s="9" t="n">
        <v>0</v>
      </c>
      <c r="D13" s="10">
        <f>C13-B13</f>
        <v>0.0</v>
      </c>
      <c r="E13" s="11">
        <f>IF(B13=0,0,(C13-B13)/B13)</f>
        <v>0.0</v>
      </c>
      <c r="F13" s="12" t="str">
        <f>IF(ABS(E13)&lt;0.05,"✅ OK",IF(ABS(E13)&lt;0.1,"⚠️ Atención","🔴 Alerta"))</f>
        <v>✅ OK</v>
      </c>
    </row>
    <row r="14">
      <c r="A14" s="8" t="inlineStr">
        <is>
          <t>Personal (Labor)</t>
        </is>
      </c>
      <c r="B14" s="9" t="n">
        <v>0</v>
      </c>
      <c r="C14" s="9" t="n">
        <v>0</v>
      </c>
      <c r="D14" s="10">
        <f>C14-B14</f>
        <v>0.0</v>
      </c>
      <c r="E14" s="11">
        <f>IF(B14=0,0,(C14-B14)/B14)</f>
        <v>0.0</v>
      </c>
      <c r="F14" s="12" t="str">
        <f>IF(ABS(E14)&lt;0.05,"✅ OK",IF(ABS(E14)&lt;0.1,"⚠️ Atención","🔴 Alerta"))</f>
        <v>✅ OK</v>
      </c>
    </row>
    <row r="15">
      <c r="A15" s="8" t="inlineStr">
        <is>
          <t>Alquiler</t>
        </is>
      </c>
      <c r="B15" s="9" t="n">
        <v>0</v>
      </c>
      <c r="C15" s="9" t="n">
        <v>0</v>
      </c>
      <c r="D15" s="10">
        <f>C15-B15</f>
        <v>0.0</v>
      </c>
      <c r="E15" s="11">
        <f>IF(B15=0,0,(C15-B15)/B15)</f>
        <v>0.0</v>
      </c>
      <c r="F15" s="12" t="str">
        <f>IF(ABS(E15)&lt;0.05,"✅ OK",IF(ABS(E15)&lt;0.1,"⚠️ Atención","🔴 Alerta"))</f>
        <v>✅ OK</v>
      </c>
    </row>
    <row r="16">
      <c r="A16" s="8" t="inlineStr">
        <is>
          <t>Suministros</t>
        </is>
      </c>
      <c r="B16" s="9" t="n">
        <v>0</v>
      </c>
      <c r="C16" s="9" t="n">
        <v>0</v>
      </c>
      <c r="D16" s="10">
        <f>C16-B16</f>
        <v>0.0</v>
      </c>
      <c r="E16" s="11">
        <f>IF(B16=0,0,(C16-B16)/B16)</f>
        <v>0.0</v>
      </c>
      <c r="F16" s="12" t="str">
        <f>IF(ABS(E16)&lt;0.05,"✅ OK",IF(ABS(E16)&lt;0.1,"⚠️ Atención","🔴 Alerta"))</f>
        <v>✅ OK</v>
      </c>
    </row>
    <row r="17">
      <c r="A17" s="8" t="inlineStr">
        <is>
          <t>Marketing</t>
        </is>
      </c>
      <c r="B17" s="9" t="n">
        <v>0</v>
      </c>
      <c r="C17" s="9" t="n">
        <v>0</v>
      </c>
      <c r="D17" s="10">
        <f>C17-B17</f>
        <v>0.0</v>
      </c>
      <c r="E17" s="11">
        <f>IF(B17=0,0,(C17-B17)/B17)</f>
        <v>0.0</v>
      </c>
      <c r="F17" s="12" t="str">
        <f>IF(ABS(E17)&lt;0.05,"✅ OK",IF(ABS(E17)&lt;0.1,"⚠️ Atención","🔴 Alerta"))</f>
        <v>✅ OK</v>
      </c>
    </row>
    <row r="18">
      <c r="A18" s="8" t="inlineStr">
        <is>
          <t>Administración / Otros</t>
        </is>
      </c>
      <c r="B18" s="9" t="n">
        <v>0</v>
      </c>
      <c r="C18" s="9" t="n">
        <v>0</v>
      </c>
      <c r="D18" s="10">
        <f>C18-B18</f>
        <v>0.0</v>
      </c>
      <c r="E18" s="11">
        <f>IF(B18=0,0,(C18-B18)/B18)</f>
        <v>0.0</v>
      </c>
      <c r="F18" s="12" t="str">
        <f>IF(ABS(E18)&lt;0.05,"✅ OK",IF(ABS(E18)&lt;0.1,"⚠️ Atención","🔴 Alerta"))</f>
        <v>✅ OK</v>
      </c>
    </row>
    <row r="19">
      <c r="A19" s="13" t="inlineStr">
        <is>
          <t>TOTAL GASTOS</t>
        </is>
      </c>
      <c r="B19" s="14">
        <f>B13+B14+B15+B16+B17+B18</f>
        <v>0.0</v>
      </c>
      <c r="C19" s="14">
        <f>C13+C14+C15+C16+C17+C18</f>
        <v>0.0</v>
      </c>
      <c r="D19" s="10">
        <f>C19-B19</f>
        <v>0.0</v>
      </c>
      <c r="E19" s="11">
        <f>IF(B19=0,0,(C19-B19)/B19)</f>
        <v>0.0</v>
      </c>
      <c r="F19" s="12" t="str">
        <f>IF(ABS(E19)&lt;0.05,"✅ OK",IF(ABS(E19)&lt;0.1,"⚠️ Atención","🔴 Alerta"))</f>
        <v>✅ OK</v>
      </c>
    </row>
    <row r="20"/>
    <row r="21">
      <c r="A21" s="13" t="inlineStr">
        <is>
          <t>EBITDA</t>
        </is>
      </c>
      <c r="B21" s="15">
        <f>B10-B19</f>
        <v>0.0</v>
      </c>
      <c r="C21" s="15">
        <f>C10-C19</f>
        <v>0.0</v>
      </c>
      <c r="D21" s="10">
        <f>C21-B21</f>
        <v>0.0</v>
      </c>
      <c r="E21" s="11">
        <f>IF(B21=0,0,(C21-B21)/B21)</f>
        <v>0.0</v>
      </c>
      <c r="F21" s="12" t="str">
        <f>IF(ABS(E21)&lt;0.05,"✅ OK",IF(ABS(E21)&lt;0.1,"⚠️ Atención","🔴 Alerta"))</f>
        <v>✅ OK</v>
      </c>
    </row>
    <row r="22">
      <c r="A22" s="13" t="inlineStr">
        <is>
          <t>Margen EBITDA %</t>
        </is>
      </c>
      <c r="B22" s="16">
        <f>IF(B10=0,0,B21/B10)</f>
        <v>0.0</v>
      </c>
      <c r="C22" s="16">
        <f>IF(C10=0,0,C21/C10)</f>
        <v>0.0</v>
      </c>
    </row>
    <row r="23"/>
    <row r="24">
      <c r="A24" s="7" t="inlineStr">
        <is>
          <t>RATIOS AUTOMÁTICOS</t>
        </is>
      </c>
    </row>
    <row r="25">
      <c r="A25" s="8" t="inlineStr">
        <is>
          <t>Food Cost %</t>
        </is>
      </c>
      <c r="B25" s="16">
        <f>IF(B10=0,0,B13/B10)</f>
        <v>0.0</v>
      </c>
      <c r="C25" s="16">
        <f>IF(C10=0,0,C13/C10)</f>
        <v>0.0</v>
      </c>
    </row>
    <row r="26">
      <c r="A26" s="8" t="inlineStr">
        <is>
          <t>Labor Cost %</t>
        </is>
      </c>
      <c r="B26" s="16">
        <f>IF(B10=0,0,B14/B10)</f>
        <v>0.0</v>
      </c>
      <c r="C26" s="16">
        <f>IF(C10=0,0,C14/C10)</f>
        <v>0.0</v>
      </c>
    </row>
    <row r="27">
      <c r="A27" s="8" t="inlineStr">
        <is>
          <t>Prime Cost %</t>
        </is>
      </c>
      <c r="B27" s="16">
        <f>IF(B10=0,0,(B13+B14)/B10)</f>
        <v>0.0</v>
      </c>
      <c r="C27" s="16">
        <f>IF(C10=0,0,(C13+C14)/C10)</f>
        <v>0.0</v>
      </c>
    </row>
    <row r="28"/>
    <row r="29">
      <c r="A29" s="17" t="inlineStr">
        <is>
          <t>© 2026 AI Chef Pro · aichef.pro</t>
        </is>
      </c>
    </row>
  </sheetData>
  <mergeCells count="3">
    <mergeCell ref="A1:F1"/>
    <mergeCell ref="A2:F2"/>
    <mergeCell ref="A29:F29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F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</cols>
  <sheetData>
    <row r="1">
      <c r="A1" s="5" t="inlineStr">
        <is>
          <t>P&amp;L Oct — Real vs Presupuesto</t>
        </is>
      </c>
    </row>
    <row r="2">
      <c r="A2" s="2" t="inlineStr">
        <is>
          <t>AI Chef Pro · aichef.pro — Kit Plan Financiero para Restaurantes</t>
        </is>
      </c>
    </row>
    <row r="3"/>
    <row r="4">
      <c r="A4" s="6" t="inlineStr">
        <is>
          <t>Concepto</t>
        </is>
      </c>
      <c r="B4" s="6" t="inlineStr">
        <is>
          <t>Presupuesto (€)</t>
        </is>
      </c>
      <c r="C4" s="6" t="inlineStr">
        <is>
          <t>Real (€)</t>
        </is>
      </c>
      <c r="D4" s="6" t="inlineStr">
        <is>
          <t>Desviación (€)</t>
        </is>
      </c>
      <c r="E4" s="6" t="inlineStr">
        <is>
          <t>Desviación %</t>
        </is>
      </c>
      <c r="F4" s="6" t="inlineStr">
        <is>
          <t>Semáforo</t>
        </is>
      </c>
    </row>
    <row r="5">
      <c r="A5" s="7" t="inlineStr">
        <is>
          <t>INGRESOS</t>
        </is>
      </c>
    </row>
    <row r="6">
      <c r="A6" s="8" t="inlineStr">
        <is>
          <t>Ventas Comedor</t>
        </is>
      </c>
      <c r="B6" s="9" t="n">
        <v>0</v>
      </c>
      <c r="C6" s="9" t="n">
        <v>0</v>
      </c>
      <c r="D6" s="10">
        <f>C6-B6</f>
        <v>0.0</v>
      </c>
      <c r="E6" s="11">
        <f>IF(B6=0,0,(C6-B6)/B6)</f>
        <v>0.0</v>
      </c>
      <c r="F6" s="12" t="str">
        <f>IF(ABS(E6)&lt;0.05,"✅ OK",IF(ABS(E6)&lt;0.1,"⚠️ Atención","🔴 Alerta"))</f>
        <v>✅ OK</v>
      </c>
    </row>
    <row r="7">
      <c r="A7" s="8" t="inlineStr">
        <is>
          <t>Ventas Barra</t>
        </is>
      </c>
      <c r="B7" s="9" t="n">
        <v>0</v>
      </c>
      <c r="C7" s="9" t="n">
        <v>0</v>
      </c>
      <c r="D7" s="10">
        <f>C7-B7</f>
        <v>0.0</v>
      </c>
      <c r="E7" s="11">
        <f>IF(B7=0,0,(C7-B7)/B7)</f>
        <v>0.0</v>
      </c>
      <c r="F7" s="12" t="str">
        <f>IF(ABS(E7)&lt;0.05,"✅ OK",IF(ABS(E7)&lt;0.1,"⚠️ Atención","🔴 Alerta"))</f>
        <v>✅ OK</v>
      </c>
    </row>
    <row r="8">
      <c r="A8" s="8" t="inlineStr">
        <is>
          <t>Ventas Delivery</t>
        </is>
      </c>
      <c r="B8" s="9" t="n">
        <v>0</v>
      </c>
      <c r="C8" s="9" t="n">
        <v>0</v>
      </c>
      <c r="D8" s="10">
        <f>C8-B8</f>
        <v>0.0</v>
      </c>
      <c r="E8" s="11">
        <f>IF(B8=0,0,(C8-B8)/B8)</f>
        <v>0.0</v>
      </c>
      <c r="F8" s="12" t="str">
        <f>IF(ABS(E8)&lt;0.05,"✅ OK",IF(ABS(E8)&lt;0.1,"⚠️ Atención","🔴 Alerta"))</f>
        <v>✅ OK</v>
      </c>
    </row>
    <row r="9">
      <c r="A9" s="8" t="inlineStr">
        <is>
          <t>Eventos / Catering</t>
        </is>
      </c>
      <c r="B9" s="9" t="n">
        <v>0</v>
      </c>
      <c r="C9" s="9" t="n">
        <v>0</v>
      </c>
      <c r="D9" s="10">
        <f>C9-B9</f>
        <v>0.0</v>
      </c>
      <c r="E9" s="11">
        <f>IF(B9=0,0,(C9-B9)/B9)</f>
        <v>0.0</v>
      </c>
      <c r="F9" s="12" t="str">
        <f>IF(ABS(E9)&lt;0.05,"✅ OK",IF(ABS(E9)&lt;0.1,"⚠️ Atención","🔴 Alerta"))</f>
        <v>✅ OK</v>
      </c>
    </row>
    <row r="10">
      <c r="A10" s="13" t="inlineStr">
        <is>
          <t>TOTAL INGRESOS</t>
        </is>
      </c>
      <c r="B10" s="14">
        <f>B6+B7+B8+B9</f>
        <v>0.0</v>
      </c>
      <c r="C10" s="14">
        <f>C6+C7+C8+C9</f>
        <v>0.0</v>
      </c>
      <c r="D10" s="10">
        <f>C10-B10</f>
        <v>0.0</v>
      </c>
      <c r="E10" s="11">
        <f>IF(B10=0,0,(C10-B10)/B10)</f>
        <v>0.0</v>
      </c>
      <c r="F10" s="12" t="str">
        <f>IF(ABS(E10)&lt;0.05,"✅ OK",IF(ABS(E10)&lt;0.1,"⚠️ Atención","🔴 Alerta"))</f>
        <v>✅ OK</v>
      </c>
    </row>
    <row r="11"/>
    <row r="12">
      <c r="A12" s="7" t="inlineStr">
        <is>
          <t>GASTOS</t>
        </is>
      </c>
    </row>
    <row r="13">
      <c r="A13" s="8" t="inlineStr">
        <is>
          <t>Food Cost</t>
        </is>
      </c>
      <c r="B13" s="9" t="n">
        <v>0</v>
      </c>
      <c r="C13" s="9" t="n">
        <v>0</v>
      </c>
      <c r="D13" s="10">
        <f>C13-B13</f>
        <v>0.0</v>
      </c>
      <c r="E13" s="11">
        <f>IF(B13=0,0,(C13-B13)/B13)</f>
        <v>0.0</v>
      </c>
      <c r="F13" s="12" t="str">
        <f>IF(ABS(E13)&lt;0.05,"✅ OK",IF(ABS(E13)&lt;0.1,"⚠️ Atención","🔴 Alerta"))</f>
        <v>✅ OK</v>
      </c>
    </row>
    <row r="14">
      <c r="A14" s="8" t="inlineStr">
        <is>
          <t>Personal (Labor)</t>
        </is>
      </c>
      <c r="B14" s="9" t="n">
        <v>0</v>
      </c>
      <c r="C14" s="9" t="n">
        <v>0</v>
      </c>
      <c r="D14" s="10">
        <f>C14-B14</f>
        <v>0.0</v>
      </c>
      <c r="E14" s="11">
        <f>IF(B14=0,0,(C14-B14)/B14)</f>
        <v>0.0</v>
      </c>
      <c r="F14" s="12" t="str">
        <f>IF(ABS(E14)&lt;0.05,"✅ OK",IF(ABS(E14)&lt;0.1,"⚠️ Atención","🔴 Alerta"))</f>
        <v>✅ OK</v>
      </c>
    </row>
    <row r="15">
      <c r="A15" s="8" t="inlineStr">
        <is>
          <t>Alquiler</t>
        </is>
      </c>
      <c r="B15" s="9" t="n">
        <v>0</v>
      </c>
      <c r="C15" s="9" t="n">
        <v>0</v>
      </c>
      <c r="D15" s="10">
        <f>C15-B15</f>
        <v>0.0</v>
      </c>
      <c r="E15" s="11">
        <f>IF(B15=0,0,(C15-B15)/B15)</f>
        <v>0.0</v>
      </c>
      <c r="F15" s="12" t="str">
        <f>IF(ABS(E15)&lt;0.05,"✅ OK",IF(ABS(E15)&lt;0.1,"⚠️ Atención","🔴 Alerta"))</f>
        <v>✅ OK</v>
      </c>
    </row>
    <row r="16">
      <c r="A16" s="8" t="inlineStr">
        <is>
          <t>Suministros</t>
        </is>
      </c>
      <c r="B16" s="9" t="n">
        <v>0</v>
      </c>
      <c r="C16" s="9" t="n">
        <v>0</v>
      </c>
      <c r="D16" s="10">
        <f>C16-B16</f>
        <v>0.0</v>
      </c>
      <c r="E16" s="11">
        <f>IF(B16=0,0,(C16-B16)/B16)</f>
        <v>0.0</v>
      </c>
      <c r="F16" s="12" t="str">
        <f>IF(ABS(E16)&lt;0.05,"✅ OK",IF(ABS(E16)&lt;0.1,"⚠️ Atención","🔴 Alerta"))</f>
        <v>✅ OK</v>
      </c>
    </row>
    <row r="17">
      <c r="A17" s="8" t="inlineStr">
        <is>
          <t>Marketing</t>
        </is>
      </c>
      <c r="B17" s="9" t="n">
        <v>0</v>
      </c>
      <c r="C17" s="9" t="n">
        <v>0</v>
      </c>
      <c r="D17" s="10">
        <f>C17-B17</f>
        <v>0.0</v>
      </c>
      <c r="E17" s="11">
        <f>IF(B17=0,0,(C17-B17)/B17)</f>
        <v>0.0</v>
      </c>
      <c r="F17" s="12" t="str">
        <f>IF(ABS(E17)&lt;0.05,"✅ OK",IF(ABS(E17)&lt;0.1,"⚠️ Atención","🔴 Alerta"))</f>
        <v>✅ OK</v>
      </c>
    </row>
    <row r="18">
      <c r="A18" s="8" t="inlineStr">
        <is>
          <t>Administración / Otros</t>
        </is>
      </c>
      <c r="B18" s="9" t="n">
        <v>0</v>
      </c>
      <c r="C18" s="9" t="n">
        <v>0</v>
      </c>
      <c r="D18" s="10">
        <f>C18-B18</f>
        <v>0.0</v>
      </c>
      <c r="E18" s="11">
        <f>IF(B18=0,0,(C18-B18)/B18)</f>
        <v>0.0</v>
      </c>
      <c r="F18" s="12" t="str">
        <f>IF(ABS(E18)&lt;0.05,"✅ OK",IF(ABS(E18)&lt;0.1,"⚠️ Atención","🔴 Alerta"))</f>
        <v>✅ OK</v>
      </c>
    </row>
    <row r="19">
      <c r="A19" s="13" t="inlineStr">
        <is>
          <t>TOTAL GASTOS</t>
        </is>
      </c>
      <c r="B19" s="14">
        <f>B13+B14+B15+B16+B17+B18</f>
        <v>0.0</v>
      </c>
      <c r="C19" s="14">
        <f>C13+C14+C15+C16+C17+C18</f>
        <v>0.0</v>
      </c>
      <c r="D19" s="10">
        <f>C19-B19</f>
        <v>0.0</v>
      </c>
      <c r="E19" s="11">
        <f>IF(B19=0,0,(C19-B19)/B19)</f>
        <v>0.0</v>
      </c>
      <c r="F19" s="12" t="str">
        <f>IF(ABS(E19)&lt;0.05,"✅ OK",IF(ABS(E19)&lt;0.1,"⚠️ Atención","🔴 Alerta"))</f>
        <v>✅ OK</v>
      </c>
    </row>
    <row r="20"/>
    <row r="21">
      <c r="A21" s="13" t="inlineStr">
        <is>
          <t>EBITDA</t>
        </is>
      </c>
      <c r="B21" s="15">
        <f>B10-B19</f>
        <v>0.0</v>
      </c>
      <c r="C21" s="15">
        <f>C10-C19</f>
        <v>0.0</v>
      </c>
      <c r="D21" s="10">
        <f>C21-B21</f>
        <v>0.0</v>
      </c>
      <c r="E21" s="11">
        <f>IF(B21=0,0,(C21-B21)/B21)</f>
        <v>0.0</v>
      </c>
      <c r="F21" s="12" t="str">
        <f>IF(ABS(E21)&lt;0.05,"✅ OK",IF(ABS(E21)&lt;0.1,"⚠️ Atención","🔴 Alerta"))</f>
        <v>✅ OK</v>
      </c>
    </row>
    <row r="22">
      <c r="A22" s="13" t="inlineStr">
        <is>
          <t>Margen EBITDA %</t>
        </is>
      </c>
      <c r="B22" s="16">
        <f>IF(B10=0,0,B21/B10)</f>
        <v>0.0</v>
      </c>
      <c r="C22" s="16">
        <f>IF(C10=0,0,C21/C10)</f>
        <v>0.0</v>
      </c>
    </row>
    <row r="23"/>
    <row r="24">
      <c r="A24" s="7" t="inlineStr">
        <is>
          <t>RATIOS AUTOMÁTICOS</t>
        </is>
      </c>
    </row>
    <row r="25">
      <c r="A25" s="8" t="inlineStr">
        <is>
          <t>Food Cost %</t>
        </is>
      </c>
      <c r="B25" s="16">
        <f>IF(B10=0,0,B13/B10)</f>
        <v>0.0</v>
      </c>
      <c r="C25" s="16">
        <f>IF(C10=0,0,C13/C10)</f>
        <v>0.0</v>
      </c>
    </row>
    <row r="26">
      <c r="A26" s="8" t="inlineStr">
        <is>
          <t>Labor Cost %</t>
        </is>
      </c>
      <c r="B26" s="16">
        <f>IF(B10=0,0,B14/B10)</f>
        <v>0.0</v>
      </c>
      <c r="C26" s="16">
        <f>IF(C10=0,0,C14/C10)</f>
        <v>0.0</v>
      </c>
    </row>
    <row r="27">
      <c r="A27" s="8" t="inlineStr">
        <is>
          <t>Prime Cost %</t>
        </is>
      </c>
      <c r="B27" s="16">
        <f>IF(B10=0,0,(B13+B14)/B10)</f>
        <v>0.0</v>
      </c>
      <c r="C27" s="16">
        <f>IF(C10=0,0,(C13+C14)/C10)</f>
        <v>0.0</v>
      </c>
    </row>
    <row r="28"/>
    <row r="29">
      <c r="A29" s="17" t="inlineStr">
        <is>
          <t>© 2026 AI Chef Pro · aichef.pro</t>
        </is>
      </c>
    </row>
  </sheetData>
  <mergeCells count="3">
    <mergeCell ref="A1:F1"/>
    <mergeCell ref="A2:F2"/>
    <mergeCell ref="A29:F29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F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</cols>
  <sheetData>
    <row r="1">
      <c r="A1" s="5" t="inlineStr">
        <is>
          <t>P&amp;L Nov — Real vs Presupuesto</t>
        </is>
      </c>
    </row>
    <row r="2">
      <c r="A2" s="2" t="inlineStr">
        <is>
          <t>AI Chef Pro · aichef.pro — Kit Plan Financiero para Restaurantes</t>
        </is>
      </c>
    </row>
    <row r="3"/>
    <row r="4">
      <c r="A4" s="6" t="inlineStr">
        <is>
          <t>Concepto</t>
        </is>
      </c>
      <c r="B4" s="6" t="inlineStr">
        <is>
          <t>Presupuesto (€)</t>
        </is>
      </c>
      <c r="C4" s="6" t="inlineStr">
        <is>
          <t>Real (€)</t>
        </is>
      </c>
      <c r="D4" s="6" t="inlineStr">
        <is>
          <t>Desviación (€)</t>
        </is>
      </c>
      <c r="E4" s="6" t="inlineStr">
        <is>
          <t>Desviación %</t>
        </is>
      </c>
      <c r="F4" s="6" t="inlineStr">
        <is>
          <t>Semáforo</t>
        </is>
      </c>
    </row>
    <row r="5">
      <c r="A5" s="7" t="inlineStr">
        <is>
          <t>INGRESOS</t>
        </is>
      </c>
    </row>
    <row r="6">
      <c r="A6" s="8" t="inlineStr">
        <is>
          <t>Ventas Comedor</t>
        </is>
      </c>
      <c r="B6" s="9" t="n">
        <v>0</v>
      </c>
      <c r="C6" s="9" t="n">
        <v>0</v>
      </c>
      <c r="D6" s="10">
        <f>C6-B6</f>
        <v>0.0</v>
      </c>
      <c r="E6" s="11">
        <f>IF(B6=0,0,(C6-B6)/B6)</f>
        <v>0.0</v>
      </c>
      <c r="F6" s="12" t="str">
        <f>IF(ABS(E6)&lt;0.05,"✅ OK",IF(ABS(E6)&lt;0.1,"⚠️ Atención","🔴 Alerta"))</f>
        <v>✅ OK</v>
      </c>
    </row>
    <row r="7">
      <c r="A7" s="8" t="inlineStr">
        <is>
          <t>Ventas Barra</t>
        </is>
      </c>
      <c r="B7" s="9" t="n">
        <v>0</v>
      </c>
      <c r="C7" s="9" t="n">
        <v>0</v>
      </c>
      <c r="D7" s="10">
        <f>C7-B7</f>
        <v>0.0</v>
      </c>
      <c r="E7" s="11">
        <f>IF(B7=0,0,(C7-B7)/B7)</f>
        <v>0.0</v>
      </c>
      <c r="F7" s="12" t="str">
        <f>IF(ABS(E7)&lt;0.05,"✅ OK",IF(ABS(E7)&lt;0.1,"⚠️ Atención","🔴 Alerta"))</f>
        <v>✅ OK</v>
      </c>
    </row>
    <row r="8">
      <c r="A8" s="8" t="inlineStr">
        <is>
          <t>Ventas Delivery</t>
        </is>
      </c>
      <c r="B8" s="9" t="n">
        <v>0</v>
      </c>
      <c r="C8" s="9" t="n">
        <v>0</v>
      </c>
      <c r="D8" s="10">
        <f>C8-B8</f>
        <v>0.0</v>
      </c>
      <c r="E8" s="11">
        <f>IF(B8=0,0,(C8-B8)/B8)</f>
        <v>0.0</v>
      </c>
      <c r="F8" s="12" t="str">
        <f>IF(ABS(E8)&lt;0.05,"✅ OK",IF(ABS(E8)&lt;0.1,"⚠️ Atención","🔴 Alerta"))</f>
        <v>✅ OK</v>
      </c>
    </row>
    <row r="9">
      <c r="A9" s="8" t="inlineStr">
        <is>
          <t>Eventos / Catering</t>
        </is>
      </c>
      <c r="B9" s="9" t="n">
        <v>0</v>
      </c>
      <c r="C9" s="9" t="n">
        <v>0</v>
      </c>
      <c r="D9" s="10">
        <f>C9-B9</f>
        <v>0.0</v>
      </c>
      <c r="E9" s="11">
        <f>IF(B9=0,0,(C9-B9)/B9)</f>
        <v>0.0</v>
      </c>
      <c r="F9" s="12" t="str">
        <f>IF(ABS(E9)&lt;0.05,"✅ OK",IF(ABS(E9)&lt;0.1,"⚠️ Atención","🔴 Alerta"))</f>
        <v>✅ OK</v>
      </c>
    </row>
    <row r="10">
      <c r="A10" s="13" t="inlineStr">
        <is>
          <t>TOTAL INGRESOS</t>
        </is>
      </c>
      <c r="B10" s="14">
        <f>B6+B7+B8+B9</f>
        <v>0.0</v>
      </c>
      <c r="C10" s="14">
        <f>C6+C7+C8+C9</f>
        <v>0.0</v>
      </c>
      <c r="D10" s="10">
        <f>C10-B10</f>
        <v>0.0</v>
      </c>
      <c r="E10" s="11">
        <f>IF(B10=0,0,(C10-B10)/B10)</f>
        <v>0.0</v>
      </c>
      <c r="F10" s="12" t="str">
        <f>IF(ABS(E10)&lt;0.05,"✅ OK",IF(ABS(E10)&lt;0.1,"⚠️ Atención","🔴 Alerta"))</f>
        <v>✅ OK</v>
      </c>
    </row>
    <row r="11"/>
    <row r="12">
      <c r="A12" s="7" t="inlineStr">
        <is>
          <t>GASTOS</t>
        </is>
      </c>
    </row>
    <row r="13">
      <c r="A13" s="8" t="inlineStr">
        <is>
          <t>Food Cost</t>
        </is>
      </c>
      <c r="B13" s="9" t="n">
        <v>0</v>
      </c>
      <c r="C13" s="9" t="n">
        <v>0</v>
      </c>
      <c r="D13" s="10">
        <f>C13-B13</f>
        <v>0.0</v>
      </c>
      <c r="E13" s="11">
        <f>IF(B13=0,0,(C13-B13)/B13)</f>
        <v>0.0</v>
      </c>
      <c r="F13" s="12" t="str">
        <f>IF(ABS(E13)&lt;0.05,"✅ OK",IF(ABS(E13)&lt;0.1,"⚠️ Atención","🔴 Alerta"))</f>
        <v>✅ OK</v>
      </c>
    </row>
    <row r="14">
      <c r="A14" s="8" t="inlineStr">
        <is>
          <t>Personal (Labor)</t>
        </is>
      </c>
      <c r="B14" s="9" t="n">
        <v>0</v>
      </c>
      <c r="C14" s="9" t="n">
        <v>0</v>
      </c>
      <c r="D14" s="10">
        <f>C14-B14</f>
        <v>0.0</v>
      </c>
      <c r="E14" s="11">
        <f>IF(B14=0,0,(C14-B14)/B14)</f>
        <v>0.0</v>
      </c>
      <c r="F14" s="12" t="str">
        <f>IF(ABS(E14)&lt;0.05,"✅ OK",IF(ABS(E14)&lt;0.1,"⚠️ Atención","🔴 Alerta"))</f>
        <v>✅ OK</v>
      </c>
    </row>
    <row r="15">
      <c r="A15" s="8" t="inlineStr">
        <is>
          <t>Alquiler</t>
        </is>
      </c>
      <c r="B15" s="9" t="n">
        <v>0</v>
      </c>
      <c r="C15" s="9" t="n">
        <v>0</v>
      </c>
      <c r="D15" s="10">
        <f>C15-B15</f>
        <v>0.0</v>
      </c>
      <c r="E15" s="11">
        <f>IF(B15=0,0,(C15-B15)/B15)</f>
        <v>0.0</v>
      </c>
      <c r="F15" s="12" t="str">
        <f>IF(ABS(E15)&lt;0.05,"✅ OK",IF(ABS(E15)&lt;0.1,"⚠️ Atención","🔴 Alerta"))</f>
        <v>✅ OK</v>
      </c>
    </row>
    <row r="16">
      <c r="A16" s="8" t="inlineStr">
        <is>
          <t>Suministros</t>
        </is>
      </c>
      <c r="B16" s="9" t="n">
        <v>0</v>
      </c>
      <c r="C16" s="9" t="n">
        <v>0</v>
      </c>
      <c r="D16" s="10">
        <f>C16-B16</f>
        <v>0.0</v>
      </c>
      <c r="E16" s="11">
        <f>IF(B16=0,0,(C16-B16)/B16)</f>
        <v>0.0</v>
      </c>
      <c r="F16" s="12" t="str">
        <f>IF(ABS(E16)&lt;0.05,"✅ OK",IF(ABS(E16)&lt;0.1,"⚠️ Atención","🔴 Alerta"))</f>
        <v>✅ OK</v>
      </c>
    </row>
    <row r="17">
      <c r="A17" s="8" t="inlineStr">
        <is>
          <t>Marketing</t>
        </is>
      </c>
      <c r="B17" s="9" t="n">
        <v>0</v>
      </c>
      <c r="C17" s="9" t="n">
        <v>0</v>
      </c>
      <c r="D17" s="10">
        <f>C17-B17</f>
        <v>0.0</v>
      </c>
      <c r="E17" s="11">
        <f>IF(B17=0,0,(C17-B17)/B17)</f>
        <v>0.0</v>
      </c>
      <c r="F17" s="12" t="str">
        <f>IF(ABS(E17)&lt;0.05,"✅ OK",IF(ABS(E17)&lt;0.1,"⚠️ Atención","🔴 Alerta"))</f>
        <v>✅ OK</v>
      </c>
    </row>
    <row r="18">
      <c r="A18" s="8" t="inlineStr">
        <is>
          <t>Administración / Otros</t>
        </is>
      </c>
      <c r="B18" s="9" t="n">
        <v>0</v>
      </c>
      <c r="C18" s="9" t="n">
        <v>0</v>
      </c>
      <c r="D18" s="10">
        <f>C18-B18</f>
        <v>0.0</v>
      </c>
      <c r="E18" s="11">
        <f>IF(B18=0,0,(C18-B18)/B18)</f>
        <v>0.0</v>
      </c>
      <c r="F18" s="12" t="str">
        <f>IF(ABS(E18)&lt;0.05,"✅ OK",IF(ABS(E18)&lt;0.1,"⚠️ Atención","🔴 Alerta"))</f>
        <v>✅ OK</v>
      </c>
    </row>
    <row r="19">
      <c r="A19" s="13" t="inlineStr">
        <is>
          <t>TOTAL GASTOS</t>
        </is>
      </c>
      <c r="B19" s="14">
        <f>B13+B14+B15+B16+B17+B18</f>
        <v>0.0</v>
      </c>
      <c r="C19" s="14">
        <f>C13+C14+C15+C16+C17+C18</f>
        <v>0.0</v>
      </c>
      <c r="D19" s="10">
        <f>C19-B19</f>
        <v>0.0</v>
      </c>
      <c r="E19" s="11">
        <f>IF(B19=0,0,(C19-B19)/B19)</f>
        <v>0.0</v>
      </c>
      <c r="F19" s="12" t="str">
        <f>IF(ABS(E19)&lt;0.05,"✅ OK",IF(ABS(E19)&lt;0.1,"⚠️ Atención","🔴 Alerta"))</f>
        <v>✅ OK</v>
      </c>
    </row>
    <row r="20"/>
    <row r="21">
      <c r="A21" s="13" t="inlineStr">
        <is>
          <t>EBITDA</t>
        </is>
      </c>
      <c r="B21" s="15">
        <f>B10-B19</f>
        <v>0.0</v>
      </c>
      <c r="C21" s="15">
        <f>C10-C19</f>
        <v>0.0</v>
      </c>
      <c r="D21" s="10">
        <f>C21-B21</f>
        <v>0.0</v>
      </c>
      <c r="E21" s="11">
        <f>IF(B21=0,0,(C21-B21)/B21)</f>
        <v>0.0</v>
      </c>
      <c r="F21" s="12" t="str">
        <f>IF(ABS(E21)&lt;0.05,"✅ OK",IF(ABS(E21)&lt;0.1,"⚠️ Atención","🔴 Alerta"))</f>
        <v>✅ OK</v>
      </c>
    </row>
    <row r="22">
      <c r="A22" s="13" t="inlineStr">
        <is>
          <t>Margen EBITDA %</t>
        </is>
      </c>
      <c r="B22" s="16">
        <f>IF(B10=0,0,B21/B10)</f>
        <v>0.0</v>
      </c>
      <c r="C22" s="16">
        <f>IF(C10=0,0,C21/C10)</f>
        <v>0.0</v>
      </c>
    </row>
    <row r="23"/>
    <row r="24">
      <c r="A24" s="7" t="inlineStr">
        <is>
          <t>RATIOS AUTOMÁTICOS</t>
        </is>
      </c>
    </row>
    <row r="25">
      <c r="A25" s="8" t="inlineStr">
        <is>
          <t>Food Cost %</t>
        </is>
      </c>
      <c r="B25" s="16">
        <f>IF(B10=0,0,B13/B10)</f>
        <v>0.0</v>
      </c>
      <c r="C25" s="16">
        <f>IF(C10=0,0,C13/C10)</f>
        <v>0.0</v>
      </c>
    </row>
    <row r="26">
      <c r="A26" s="8" t="inlineStr">
        <is>
          <t>Labor Cost %</t>
        </is>
      </c>
      <c r="B26" s="16">
        <f>IF(B10=0,0,B14/B10)</f>
        <v>0.0</v>
      </c>
      <c r="C26" s="16">
        <f>IF(C10=0,0,C14/C10)</f>
        <v>0.0</v>
      </c>
    </row>
    <row r="27">
      <c r="A27" s="8" t="inlineStr">
        <is>
          <t>Prime Cost %</t>
        </is>
      </c>
      <c r="B27" s="16">
        <f>IF(B10=0,0,(B13+B14)/B10)</f>
        <v>0.0</v>
      </c>
      <c r="C27" s="16">
        <f>IF(C10=0,0,(C13+C14)/C10)</f>
        <v>0.0</v>
      </c>
    </row>
    <row r="28"/>
    <row r="29">
      <c r="A29" s="17" t="inlineStr">
        <is>
          <t>© 2026 AI Chef Pro · aichef.pro</t>
        </is>
      </c>
    </row>
  </sheetData>
  <mergeCells count="3">
    <mergeCell ref="A1:F1"/>
    <mergeCell ref="A2:F2"/>
    <mergeCell ref="A29:F29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F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</cols>
  <sheetData>
    <row r="1">
      <c r="A1" s="5" t="inlineStr">
        <is>
          <t>P&amp;L Dic — Real vs Presupuesto</t>
        </is>
      </c>
    </row>
    <row r="2">
      <c r="A2" s="2" t="inlineStr">
        <is>
          <t>AI Chef Pro · aichef.pro — Kit Plan Financiero para Restaurantes</t>
        </is>
      </c>
    </row>
    <row r="3"/>
    <row r="4">
      <c r="A4" s="6" t="inlineStr">
        <is>
          <t>Concepto</t>
        </is>
      </c>
      <c r="B4" s="6" t="inlineStr">
        <is>
          <t>Presupuesto (€)</t>
        </is>
      </c>
      <c r="C4" s="6" t="inlineStr">
        <is>
          <t>Real (€)</t>
        </is>
      </c>
      <c r="D4" s="6" t="inlineStr">
        <is>
          <t>Desviación (€)</t>
        </is>
      </c>
      <c r="E4" s="6" t="inlineStr">
        <is>
          <t>Desviación %</t>
        </is>
      </c>
      <c r="F4" s="6" t="inlineStr">
        <is>
          <t>Semáforo</t>
        </is>
      </c>
    </row>
    <row r="5">
      <c r="A5" s="7" t="inlineStr">
        <is>
          <t>INGRESOS</t>
        </is>
      </c>
    </row>
    <row r="6">
      <c r="A6" s="8" t="inlineStr">
        <is>
          <t>Ventas Comedor</t>
        </is>
      </c>
      <c r="B6" s="9" t="n">
        <v>0</v>
      </c>
      <c r="C6" s="9" t="n">
        <v>0</v>
      </c>
      <c r="D6" s="10">
        <f>C6-B6</f>
        <v>0.0</v>
      </c>
      <c r="E6" s="11">
        <f>IF(B6=0,0,(C6-B6)/B6)</f>
        <v>0.0</v>
      </c>
      <c r="F6" s="12" t="str">
        <f>IF(ABS(E6)&lt;0.05,"✅ OK",IF(ABS(E6)&lt;0.1,"⚠️ Atención","🔴 Alerta"))</f>
        <v>✅ OK</v>
      </c>
    </row>
    <row r="7">
      <c r="A7" s="8" t="inlineStr">
        <is>
          <t>Ventas Barra</t>
        </is>
      </c>
      <c r="B7" s="9" t="n">
        <v>0</v>
      </c>
      <c r="C7" s="9" t="n">
        <v>0</v>
      </c>
      <c r="D7" s="10">
        <f>C7-B7</f>
        <v>0.0</v>
      </c>
      <c r="E7" s="11">
        <f>IF(B7=0,0,(C7-B7)/B7)</f>
        <v>0.0</v>
      </c>
      <c r="F7" s="12" t="str">
        <f>IF(ABS(E7)&lt;0.05,"✅ OK",IF(ABS(E7)&lt;0.1,"⚠️ Atención","🔴 Alerta"))</f>
        <v>✅ OK</v>
      </c>
    </row>
    <row r="8">
      <c r="A8" s="8" t="inlineStr">
        <is>
          <t>Ventas Delivery</t>
        </is>
      </c>
      <c r="B8" s="9" t="n">
        <v>0</v>
      </c>
      <c r="C8" s="9" t="n">
        <v>0</v>
      </c>
      <c r="D8" s="10">
        <f>C8-B8</f>
        <v>0.0</v>
      </c>
      <c r="E8" s="11">
        <f>IF(B8=0,0,(C8-B8)/B8)</f>
        <v>0.0</v>
      </c>
      <c r="F8" s="12" t="str">
        <f>IF(ABS(E8)&lt;0.05,"✅ OK",IF(ABS(E8)&lt;0.1,"⚠️ Atención","🔴 Alerta"))</f>
        <v>✅ OK</v>
      </c>
    </row>
    <row r="9">
      <c r="A9" s="8" t="inlineStr">
        <is>
          <t>Eventos / Catering</t>
        </is>
      </c>
      <c r="B9" s="9" t="n">
        <v>0</v>
      </c>
      <c r="C9" s="9" t="n">
        <v>0</v>
      </c>
      <c r="D9" s="10">
        <f>C9-B9</f>
        <v>0.0</v>
      </c>
      <c r="E9" s="11">
        <f>IF(B9=0,0,(C9-B9)/B9)</f>
        <v>0.0</v>
      </c>
      <c r="F9" s="12" t="str">
        <f>IF(ABS(E9)&lt;0.05,"✅ OK",IF(ABS(E9)&lt;0.1,"⚠️ Atención","🔴 Alerta"))</f>
        <v>✅ OK</v>
      </c>
    </row>
    <row r="10">
      <c r="A10" s="13" t="inlineStr">
        <is>
          <t>TOTAL INGRESOS</t>
        </is>
      </c>
      <c r="B10" s="14">
        <f>B6+B7+B8+B9</f>
        <v>0.0</v>
      </c>
      <c r="C10" s="14">
        <f>C6+C7+C8+C9</f>
        <v>0.0</v>
      </c>
      <c r="D10" s="10">
        <f>C10-B10</f>
        <v>0.0</v>
      </c>
      <c r="E10" s="11">
        <f>IF(B10=0,0,(C10-B10)/B10)</f>
        <v>0.0</v>
      </c>
      <c r="F10" s="12" t="str">
        <f>IF(ABS(E10)&lt;0.05,"✅ OK",IF(ABS(E10)&lt;0.1,"⚠️ Atención","🔴 Alerta"))</f>
        <v>✅ OK</v>
      </c>
    </row>
    <row r="11"/>
    <row r="12">
      <c r="A12" s="7" t="inlineStr">
        <is>
          <t>GASTOS</t>
        </is>
      </c>
    </row>
    <row r="13">
      <c r="A13" s="8" t="inlineStr">
        <is>
          <t>Food Cost</t>
        </is>
      </c>
      <c r="B13" s="9" t="n">
        <v>0</v>
      </c>
      <c r="C13" s="9" t="n">
        <v>0</v>
      </c>
      <c r="D13" s="10">
        <f>C13-B13</f>
        <v>0.0</v>
      </c>
      <c r="E13" s="11">
        <f>IF(B13=0,0,(C13-B13)/B13)</f>
        <v>0.0</v>
      </c>
      <c r="F13" s="12" t="str">
        <f>IF(ABS(E13)&lt;0.05,"✅ OK",IF(ABS(E13)&lt;0.1,"⚠️ Atención","🔴 Alerta"))</f>
        <v>✅ OK</v>
      </c>
    </row>
    <row r="14">
      <c r="A14" s="8" t="inlineStr">
        <is>
          <t>Personal (Labor)</t>
        </is>
      </c>
      <c r="B14" s="9" t="n">
        <v>0</v>
      </c>
      <c r="C14" s="9" t="n">
        <v>0</v>
      </c>
      <c r="D14" s="10">
        <f>C14-B14</f>
        <v>0.0</v>
      </c>
      <c r="E14" s="11">
        <f>IF(B14=0,0,(C14-B14)/B14)</f>
        <v>0.0</v>
      </c>
      <c r="F14" s="12" t="str">
        <f>IF(ABS(E14)&lt;0.05,"✅ OK",IF(ABS(E14)&lt;0.1,"⚠️ Atención","🔴 Alerta"))</f>
        <v>✅ OK</v>
      </c>
    </row>
    <row r="15">
      <c r="A15" s="8" t="inlineStr">
        <is>
          <t>Alquiler</t>
        </is>
      </c>
      <c r="B15" s="9" t="n">
        <v>0</v>
      </c>
      <c r="C15" s="9" t="n">
        <v>0</v>
      </c>
      <c r="D15" s="10">
        <f>C15-B15</f>
        <v>0.0</v>
      </c>
      <c r="E15" s="11">
        <f>IF(B15=0,0,(C15-B15)/B15)</f>
        <v>0.0</v>
      </c>
      <c r="F15" s="12" t="str">
        <f>IF(ABS(E15)&lt;0.05,"✅ OK",IF(ABS(E15)&lt;0.1,"⚠️ Atención","🔴 Alerta"))</f>
        <v>✅ OK</v>
      </c>
    </row>
    <row r="16">
      <c r="A16" s="8" t="inlineStr">
        <is>
          <t>Suministros</t>
        </is>
      </c>
      <c r="B16" s="9" t="n">
        <v>0</v>
      </c>
      <c r="C16" s="9" t="n">
        <v>0</v>
      </c>
      <c r="D16" s="10">
        <f>C16-B16</f>
        <v>0.0</v>
      </c>
      <c r="E16" s="11">
        <f>IF(B16=0,0,(C16-B16)/B16)</f>
        <v>0.0</v>
      </c>
      <c r="F16" s="12" t="str">
        <f>IF(ABS(E16)&lt;0.05,"✅ OK",IF(ABS(E16)&lt;0.1,"⚠️ Atención","🔴 Alerta"))</f>
        <v>✅ OK</v>
      </c>
    </row>
    <row r="17">
      <c r="A17" s="8" t="inlineStr">
        <is>
          <t>Marketing</t>
        </is>
      </c>
      <c r="B17" s="9" t="n">
        <v>0</v>
      </c>
      <c r="C17" s="9" t="n">
        <v>0</v>
      </c>
      <c r="D17" s="10">
        <f>C17-B17</f>
        <v>0.0</v>
      </c>
      <c r="E17" s="11">
        <f>IF(B17=0,0,(C17-B17)/B17)</f>
        <v>0.0</v>
      </c>
      <c r="F17" s="12" t="str">
        <f>IF(ABS(E17)&lt;0.05,"✅ OK",IF(ABS(E17)&lt;0.1,"⚠️ Atención","🔴 Alerta"))</f>
        <v>✅ OK</v>
      </c>
    </row>
    <row r="18">
      <c r="A18" s="8" t="inlineStr">
        <is>
          <t>Administración / Otros</t>
        </is>
      </c>
      <c r="B18" s="9" t="n">
        <v>0</v>
      </c>
      <c r="C18" s="9" t="n">
        <v>0</v>
      </c>
      <c r="D18" s="10">
        <f>C18-B18</f>
        <v>0.0</v>
      </c>
      <c r="E18" s="11">
        <f>IF(B18=0,0,(C18-B18)/B18)</f>
        <v>0.0</v>
      </c>
      <c r="F18" s="12" t="str">
        <f>IF(ABS(E18)&lt;0.05,"✅ OK",IF(ABS(E18)&lt;0.1,"⚠️ Atención","🔴 Alerta"))</f>
        <v>✅ OK</v>
      </c>
    </row>
    <row r="19">
      <c r="A19" s="13" t="inlineStr">
        <is>
          <t>TOTAL GASTOS</t>
        </is>
      </c>
      <c r="B19" s="14">
        <f>B13+B14+B15+B16+B17+B18</f>
        <v>0.0</v>
      </c>
      <c r="C19" s="14">
        <f>C13+C14+C15+C16+C17+C18</f>
        <v>0.0</v>
      </c>
      <c r="D19" s="10">
        <f>C19-B19</f>
        <v>0.0</v>
      </c>
      <c r="E19" s="11">
        <f>IF(B19=0,0,(C19-B19)/B19)</f>
        <v>0.0</v>
      </c>
      <c r="F19" s="12" t="str">
        <f>IF(ABS(E19)&lt;0.05,"✅ OK",IF(ABS(E19)&lt;0.1,"⚠️ Atención","🔴 Alerta"))</f>
        <v>✅ OK</v>
      </c>
    </row>
    <row r="20"/>
    <row r="21">
      <c r="A21" s="13" t="inlineStr">
        <is>
          <t>EBITDA</t>
        </is>
      </c>
      <c r="B21" s="15">
        <f>B10-B19</f>
        <v>0.0</v>
      </c>
      <c r="C21" s="15">
        <f>C10-C19</f>
        <v>0.0</v>
      </c>
      <c r="D21" s="10">
        <f>C21-B21</f>
        <v>0.0</v>
      </c>
      <c r="E21" s="11">
        <f>IF(B21=0,0,(C21-B21)/B21)</f>
        <v>0.0</v>
      </c>
      <c r="F21" s="12" t="str">
        <f>IF(ABS(E21)&lt;0.05,"✅ OK",IF(ABS(E21)&lt;0.1,"⚠️ Atención","🔴 Alerta"))</f>
        <v>✅ OK</v>
      </c>
    </row>
    <row r="22">
      <c r="A22" s="13" t="inlineStr">
        <is>
          <t>Margen EBITDA %</t>
        </is>
      </c>
      <c r="B22" s="16">
        <f>IF(B10=0,0,B21/B10)</f>
        <v>0.0</v>
      </c>
      <c r="C22" s="16">
        <f>IF(C10=0,0,C21/C10)</f>
        <v>0.0</v>
      </c>
    </row>
    <row r="23"/>
    <row r="24">
      <c r="A24" s="7" t="inlineStr">
        <is>
          <t>RATIOS AUTOMÁTICOS</t>
        </is>
      </c>
    </row>
    <row r="25">
      <c r="A25" s="8" t="inlineStr">
        <is>
          <t>Food Cost %</t>
        </is>
      </c>
      <c r="B25" s="16">
        <f>IF(B10=0,0,B13/B10)</f>
        <v>0.0</v>
      </c>
      <c r="C25" s="16">
        <f>IF(C10=0,0,C13/C10)</f>
        <v>0.0</v>
      </c>
    </row>
    <row r="26">
      <c r="A26" s="8" t="inlineStr">
        <is>
          <t>Labor Cost %</t>
        </is>
      </c>
      <c r="B26" s="16">
        <f>IF(B10=0,0,B14/B10)</f>
        <v>0.0</v>
      </c>
      <c r="C26" s="16">
        <f>IF(C10=0,0,C14/C10)</f>
        <v>0.0</v>
      </c>
    </row>
    <row r="27">
      <c r="A27" s="8" t="inlineStr">
        <is>
          <t>Prime Cost %</t>
        </is>
      </c>
      <c r="B27" s="16">
        <f>IF(B10=0,0,(B13+B14)/B10)</f>
        <v>0.0</v>
      </c>
      <c r="C27" s="16">
        <f>IF(C10=0,0,(C13+C14)/C10)</f>
        <v>0.0</v>
      </c>
    </row>
    <row r="28"/>
    <row r="29">
      <c r="A29" s="17" t="inlineStr">
        <is>
          <t>© 2026 AI Chef Pro · aichef.pro</t>
        </is>
      </c>
    </row>
  </sheetData>
  <mergeCells count="3">
    <mergeCell ref="A1:F1"/>
    <mergeCell ref="A2:F2"/>
    <mergeCell ref="A29:F29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N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5" t="inlineStr">
        <is>
          <t>Resumen Anual — Real vs Presupuesto</t>
        </is>
      </c>
    </row>
    <row r="2">
      <c r="A2" s="2" t="inlineStr">
        <is>
          <t>AI Chef Pro · aichef.pro — Kit Plan Financiero para Restaurantes</t>
        </is>
      </c>
    </row>
    <row r="3"/>
    <row r="4">
      <c r="A4" s="6" t="inlineStr">
        <is>
          <t>Concepto</t>
        </is>
      </c>
      <c r="B4" s="6" t="inlineStr">
        <is>
          <t>Ene</t>
        </is>
      </c>
      <c r="C4" s="6" t="inlineStr">
        <is>
          <t>Feb</t>
        </is>
      </c>
      <c r="D4" s="6" t="inlineStr">
        <is>
          <t>Mar</t>
        </is>
      </c>
      <c r="E4" s="6" t="inlineStr">
        <is>
          <t>Abr</t>
        </is>
      </c>
      <c r="F4" s="6" t="inlineStr">
        <is>
          <t>May</t>
        </is>
      </c>
      <c r="G4" s="6" t="inlineStr">
        <is>
          <t>Jun</t>
        </is>
      </c>
      <c r="H4" s="6" t="inlineStr">
        <is>
          <t>Jul</t>
        </is>
      </c>
      <c r="I4" s="6" t="inlineStr">
        <is>
          <t>Ago</t>
        </is>
      </c>
      <c r="J4" s="6" t="inlineStr">
        <is>
          <t>Sep</t>
        </is>
      </c>
      <c r="K4" s="6" t="inlineStr">
        <is>
          <t>Oct</t>
        </is>
      </c>
      <c r="L4" s="6" t="inlineStr">
        <is>
          <t>Nov</t>
        </is>
      </c>
      <c r="M4" s="6" t="inlineStr">
        <is>
          <t>Dic</t>
        </is>
      </c>
      <c r="N4" s="6" t="inlineStr">
        <is>
          <t>TOTAL</t>
        </is>
      </c>
    </row>
    <row r="5">
      <c r="A5" s="13" t="inlineStr">
        <is>
          <t>Total Ingresos (Ppto)</t>
        </is>
      </c>
      <c r="B5" s="18" t="n">
        <v>0</v>
      </c>
      <c r="C5" s="18" t="n">
        <v>0</v>
      </c>
      <c r="D5" s="18" t="n">
        <v>0</v>
      </c>
      <c r="E5" s="18" t="n">
        <v>0</v>
      </c>
      <c r="F5" s="18" t="n">
        <v>0</v>
      </c>
      <c r="G5" s="18" t="n">
        <v>0</v>
      </c>
      <c r="H5" s="18" t="n">
        <v>0</v>
      </c>
      <c r="I5" s="18" t="n">
        <v>0</v>
      </c>
      <c r="J5" s="18" t="n">
        <v>0</v>
      </c>
      <c r="K5" s="18" t="n">
        <v>0</v>
      </c>
      <c r="L5" s="18" t="n">
        <v>0</v>
      </c>
      <c r="M5" s="18" t="n">
        <v>0</v>
      </c>
      <c r="N5" s="18" t="n">
        <v>0</v>
      </c>
    </row>
    <row r="6">
      <c r="A6" s="13" t="inlineStr">
        <is>
          <t>Total Ingresos (Real)</t>
        </is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0</v>
      </c>
      <c r="G6" s="18" t="n">
        <v>0</v>
      </c>
      <c r="H6" s="18" t="n">
        <v>0</v>
      </c>
      <c r="I6" s="18" t="n">
        <v>0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13" t="inlineStr">
        <is>
          <t>Total Gastos (Ppto)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13" t="inlineStr">
        <is>
          <t>Total Gastos (Real)</t>
        </is>
      </c>
      <c r="B8" s="18" t="n">
        <v>0</v>
      </c>
      <c r="C8" s="18" t="n">
        <v>0</v>
      </c>
      <c r="D8" s="18" t="n">
        <v>0</v>
      </c>
      <c r="E8" s="18" t="n">
        <v>0</v>
      </c>
      <c r="F8" s="18" t="n">
        <v>0</v>
      </c>
      <c r="G8" s="18" t="n">
        <v>0</v>
      </c>
      <c r="H8" s="18" t="n">
        <v>0</v>
      </c>
      <c r="I8" s="18" t="n">
        <v>0</v>
      </c>
      <c r="J8" s="18" t="n">
        <v>0</v>
      </c>
      <c r="K8" s="18" t="n">
        <v>0</v>
      </c>
      <c r="L8" s="18" t="n">
        <v>0</v>
      </c>
      <c r="M8" s="18" t="n">
        <v>0</v>
      </c>
      <c r="N8" s="18" t="n">
        <v>0</v>
      </c>
    </row>
    <row r="9">
      <c r="A9" s="13" t="inlineStr">
        <is>
          <t>EBITDA (Ppto)</t>
        </is>
      </c>
      <c r="B9" s="18" t="n">
        <v>0</v>
      </c>
      <c r="C9" s="18" t="n">
        <v>0</v>
      </c>
      <c r="D9" s="18" t="n">
        <v>0</v>
      </c>
      <c r="E9" s="18" t="n">
        <v>0</v>
      </c>
      <c r="F9" s="18" t="n">
        <v>0</v>
      </c>
      <c r="G9" s="18" t="n">
        <v>0</v>
      </c>
      <c r="H9" s="18" t="n">
        <v>0</v>
      </c>
      <c r="I9" s="18" t="n">
        <v>0</v>
      </c>
      <c r="J9" s="18" t="n">
        <v>0</v>
      </c>
      <c r="K9" s="18" t="n">
        <v>0</v>
      </c>
      <c r="L9" s="18" t="n">
        <v>0</v>
      </c>
      <c r="M9" s="18" t="n">
        <v>0</v>
      </c>
      <c r="N9" s="18" t="n">
        <v>0</v>
      </c>
    </row>
    <row r="10">
      <c r="A10" s="13" t="inlineStr">
        <is>
          <t>EBITDA (Real)</t>
        </is>
      </c>
      <c r="B10" s="18" t="n">
        <v>0</v>
      </c>
      <c r="C10" s="18" t="n">
        <v>0</v>
      </c>
      <c r="D10" s="18" t="n">
        <v>0</v>
      </c>
      <c r="E10" s="18" t="n">
        <v>0</v>
      </c>
      <c r="F10" s="18" t="n">
        <v>0</v>
      </c>
      <c r="G10" s="18" t="n">
        <v>0</v>
      </c>
      <c r="H10" s="18" t="n">
        <v>0</v>
      </c>
      <c r="I10" s="18" t="n">
        <v>0</v>
      </c>
      <c r="J10" s="18" t="n">
        <v>0</v>
      </c>
      <c r="K10" s="18" t="n">
        <v>0</v>
      </c>
      <c r="L10" s="18" t="n">
        <v>0</v>
      </c>
      <c r="M10" s="18" t="n">
        <v>0</v>
      </c>
      <c r="N10" s="18" t="n">
        <v>0</v>
      </c>
    </row>
    <row r="11"/>
    <row r="12"/>
    <row r="13"/>
    <row r="14">
      <c r="A14" s="17" t="inlineStr">
        <is>
          <t>© 2026 AI Chef Pro · aichef.pro</t>
        </is>
      </c>
    </row>
  </sheetData>
  <mergeCells count="3">
    <mergeCell ref="A1:N1"/>
    <mergeCell ref="A2:N2"/>
    <mergeCell ref="A14:N14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05 · P&amp;L Mensual — Real vs Presupuesto · Kit Plan Financiero para Restaurantes</dc:title>
  <dc:description xmlns:dc="http://purl.org/dc/elements/1.1/">aichef.pro/kit-plan-financiero</dc:description>
  <dc:subject xmlns:dc="http://purl.org/dc/elements/1.1/">Kit Plan Financiero para Restaurantes · v1.1</dc:subject>
  <dcterms:created xmlns:dcterms="http://purl.org/dc/terms/" xmlns:xsi="http://www.w3.org/2001/XMLSchema-instance" xsi:type="dcterms:W3CDTF">2026-04-05T10:13:01Z</dcterms:created>
  <dcterms:modified xmlns:dcterms="http://purl.org/dc/terms/" xmlns:xsi="http://www.w3.org/2001/XMLSchema-instance" xsi:type="dcterms:W3CDTF">2026-08-22T09:11:46Z</dcterms:modified>
  <cp:lastModifiedBy>AI Chef Pro</cp:lastModifiedBy>
  <cp:category>AI Chef Pro · Productos digitales</cp:category>
  <cp:keywords>kit plan financiero, AI Chef Pro</cp:keywords>
</cp:coreProperties>
</file>