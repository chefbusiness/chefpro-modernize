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Ene" sheetId="2" state="visible" r:id="rId2"/>
    <sheet name="Feb" sheetId="3" state="visible" r:id="rId3"/>
    <sheet name="Mar" sheetId="4" state="visible" r:id="rId4"/>
    <sheet name="Abr" sheetId="5" state="visible" r:id="rId5"/>
    <sheet name="May" sheetId="6" state="visible" r:id="rId6"/>
    <sheet name="Jun" sheetId="7" state="visible" r:id="rId7"/>
    <sheet name="Jul" sheetId="8" state="visible" r:id="rId8"/>
    <sheet name="Ago" sheetId="9" state="visible" r:id="rId9"/>
    <sheet name="Sep" sheetId="10" state="visible" r:id="rId10"/>
    <sheet name="Oct" sheetId="11" state="visible" r:id="rId11"/>
    <sheet name="Nov" sheetId="12" state="visible" r:id="rId12"/>
    <sheet name="Dic" sheetId="13" state="visible" r:id="rId13"/>
    <sheet name="Resumen A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formatCode="#,##0.00 €" numFmtId="164"/>
    <numFmt formatCode="0.0%" numFmtId="165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1565C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9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0" fillId="0" fontId="7" numFmtId="0" pivotButton="0" quotePrefix="0" xfId="0"/>
    <xf borderId="1" fillId="0" fontId="8" numFmtId="0" pivotButton="0" quotePrefix="0" xfId="0"/>
    <xf applyAlignment="1" borderId="1" fillId="3" fontId="8" numFmtId="164" pivotButton="0" quotePrefix="0" xfId="0">
      <alignment horizontal="right" vertical="center"/>
    </xf>
    <xf applyAlignment="1" borderId="1" fillId="0" fontId="9" numFmtId="164" pivotButton="0" quotePrefix="0" xfId="0">
      <alignment horizontal="right" vertical="center"/>
    </xf>
    <xf applyAlignment="1" borderId="1" fillId="0" fontId="9" numFmtId="165" pivotButton="0" quotePrefix="0" xfId="0">
      <alignment horizontal="right" vertical="center"/>
    </xf>
    <xf applyAlignment="1" borderId="1" fillId="0" fontId="8" numFmtId="0" pivotButton="0" quotePrefix="0" xfId="0">
      <alignment horizontal="center" vertical="center" wrapText="1"/>
    </xf>
    <xf borderId="1" fillId="0" fontId="10" numFmtId="0" pivotButton="0" quotePrefix="0" xfId="0"/>
    <xf applyAlignment="1" borderId="1" fillId="0" fontId="10" numFmtId="164" pivotButton="0" quotePrefix="0" xfId="0">
      <alignment horizontal="right" vertical="center"/>
    </xf>
    <xf applyAlignment="1" borderId="1" fillId="0" fontId="7" numFmtId="164" pivotButton="0" quotePrefix="0" xfId="0">
      <alignment horizontal="right" vertical="center"/>
    </xf>
    <xf applyAlignment="1" borderId="1" fillId="0" fontId="11" numFmtId="165" pivotButton="0" quotePrefix="0" xfId="0">
      <alignment horizontal="right" vertical="center"/>
    </xf>
    <xf borderId="0" fillId="0" fontId="12" numFmtId="0" pivotButton="0" quotePrefix="0" xfId="0"/>
    <xf applyAlignment="1" borderId="1" fillId="0" fontId="8" numFmtId="164" pivotButton="0" quotePrefix="0" xfId="0">
      <alignment horizontal="right" vertic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/xl/worksheets/sheet9.xml" Type="http://schemas.openxmlformats.org/officeDocument/2006/relationships/worksheet" /><Relationship Id="rId10" Target="/xl/worksheets/sheet10.xml" Type="http://schemas.openxmlformats.org/officeDocument/2006/relationships/worksheet" /><Relationship Id="rId11" Target="/xl/worksheets/sheet11.xml" Type="http://schemas.openxmlformats.org/officeDocument/2006/relationships/worksheet" /><Relationship Id="rId12" Target="/xl/worksheets/sheet12.xml" Type="http://schemas.openxmlformats.org/officeDocument/2006/relationships/worksheet" /><Relationship Id="rId13" Target="/xl/worksheets/sheet13.xml" Type="http://schemas.openxmlformats.org/officeDocument/2006/relationships/worksheet" /><Relationship Id="rId14" Target="/xl/worksheets/sheet14.xml" Type="http://schemas.openxmlformats.org/officeDocument/2006/relationships/worksheet" /><Relationship Id="rId15" Target="styles.xml" Type="http://schemas.openxmlformats.org/officeDocument/2006/relationships/styles" /><Relationship Id="rId1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5"/>
  </cols>
  <sheetData>
    <row r="2">
      <c r="B2" s="1" t="inlineStr">
        <is>
          <t>05 · P&amp;L Mensual — Real vs Presupuesto</t>
        </is>
      </c>
    </row>
    <row r="4">
      <c r="B4" s="2" t="inlineStr">
        <is>
          <t>AI Chef Pro · aichef.pro — Kit Plan Financiero para Restaurantes</t>
        </is>
      </c>
    </row>
    <row r="6">
      <c r="B6" s="3" t="inlineStr">
        <is>
          <t>Cómo usar esta plantilla:</t>
        </is>
      </c>
    </row>
    <row r="7">
      <c r="B7" s="4" t="inlineStr">
        <is>
          <t>▸ Cada mes tiene su pestaña con columnas: Presupuesto, Real, Desviación €, Desviación %.</t>
        </is>
      </c>
    </row>
    <row r="8">
      <c r="B8" s="4" t="inlineStr">
        <is>
          <t>▸ El semáforo automático marca: Verde (&lt;5%), Amarillo (5-10%), Rojo (&gt;10%).</t>
        </is>
      </c>
    </row>
    <row r="9">
      <c r="B9" s="4" t="inlineStr">
        <is>
          <t>▸ Food Cost %, Labor Cost % y Prime Cost % se calculan automáticamente.</t>
        </is>
      </c>
    </row>
    <row r="10">
      <c r="B10" s="4" t="inlineStr">
        <is>
          <t>▸ La pestaña Resumen consolida los 12 meses.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Ene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Feb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Mar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Abr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May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Jun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8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Jul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9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Ago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10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Sep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11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Oct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12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Nov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13.xml><?xml version="1.0" encoding="utf-8"?>
<worksheet xmlns="http://schemas.openxmlformats.org/spreadsheetml/2006/main">
  <sheetPr>
    <tabColor rgb="001565C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4"/>
    <col customWidth="1" max="6" min="6" width="14"/>
  </cols>
  <sheetData>
    <row r="1">
      <c r="A1" s="5" t="inlineStr">
        <is>
          <t>P&amp;L Dic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/>
      </c>
      <c r="E6" s="11">
        <f>IF(B6=0,0,(C6-B6)/B6)</f>
        <v/>
      </c>
      <c r="F6" s="12">
        <f>IF(ABS(E6)&lt;0.05,"✅ OK",IF(ABS(E6)&lt;0.1,"⚠️ Atención","🔴 Alerta"))</f>
        <v/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/>
      </c>
      <c r="E7" s="11">
        <f>IF(B7=0,0,(C7-B7)/B7)</f>
        <v/>
      </c>
      <c r="F7" s="12">
        <f>IF(ABS(E7)&lt;0.05,"✅ OK",IF(ABS(E7)&lt;0.1,"⚠️ Atención","🔴 Alerta"))</f>
        <v/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/>
      </c>
      <c r="E8" s="11">
        <f>IF(B8=0,0,(C8-B8)/B8)</f>
        <v/>
      </c>
      <c r="F8" s="12">
        <f>IF(ABS(E8)&lt;0.05,"✅ OK",IF(ABS(E8)&lt;0.1,"⚠️ Atención","🔴 Alerta"))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/>
      </c>
      <c r="E9" s="11">
        <f>IF(B9=0,0,(C9-B9)/B9)</f>
        <v/>
      </c>
      <c r="F9" s="12">
        <f>IF(ABS(E9)&lt;0.05,"✅ OK",IF(ABS(E9)&lt;0.1,"⚠️ Atención","🔴 Alerta"))</f>
        <v/>
      </c>
    </row>
    <row r="10">
      <c r="A10" s="13" t="inlineStr">
        <is>
          <t>TOTAL INGRESOS</t>
        </is>
      </c>
      <c r="B10" s="14">
        <f>B6+B7+B8+B9</f>
        <v/>
      </c>
      <c r="C10" s="14">
        <f>C6+C7+C8+C9</f>
        <v/>
      </c>
      <c r="D10" s="10">
        <f>C10-B10</f>
        <v/>
      </c>
      <c r="E10" s="11">
        <f>IF(B10=0,0,(C10-B10)/B10)</f>
        <v/>
      </c>
      <c r="F10" s="12">
        <f>IF(ABS(E10)&lt;0.05,"✅ OK",IF(ABS(E10)&lt;0.1,"⚠️ Atención","🔴 Alerta"))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/>
      </c>
      <c r="E13" s="11">
        <f>IF(B13=0,0,(C13-B13)/B13)</f>
        <v/>
      </c>
      <c r="F13" s="12">
        <f>IF(ABS(E13)&lt;0.05,"✅ OK",IF(ABS(E13)&lt;0.1,"⚠️ Atención","🔴 Alerta"))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/>
      </c>
      <c r="E14" s="11">
        <f>IF(B14=0,0,(C14-B14)/B14)</f>
        <v/>
      </c>
      <c r="F14" s="12">
        <f>IF(ABS(E14)&lt;0.05,"✅ OK",IF(ABS(E14)&lt;0.1,"⚠️ Atención","🔴 Alerta"))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/>
      </c>
      <c r="E15" s="11">
        <f>IF(B15=0,0,(C15-B15)/B15)</f>
        <v/>
      </c>
      <c r="F15" s="12">
        <f>IF(ABS(E15)&lt;0.05,"✅ OK",IF(ABS(E15)&lt;0.1,"⚠️ Atención","🔴 Alerta"))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/>
      </c>
      <c r="E16" s="11">
        <f>IF(B16=0,0,(C16-B16)/B16)</f>
        <v/>
      </c>
      <c r="F16" s="12">
        <f>IF(ABS(E16)&lt;0.05,"✅ OK",IF(ABS(E16)&lt;0.1,"⚠️ Atención","🔴 Alerta"))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/>
      </c>
      <c r="E17" s="11">
        <f>IF(B17=0,0,(C17-B17)/B17)</f>
        <v/>
      </c>
      <c r="F17" s="12">
        <f>IF(ABS(E17)&lt;0.05,"✅ OK",IF(ABS(E17)&lt;0.1,"⚠️ Atención","🔴 Alerta"))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/>
      </c>
      <c r="E18" s="11">
        <f>IF(B18=0,0,(C18-B18)/B18)</f>
        <v/>
      </c>
      <c r="F18" s="12">
        <f>IF(ABS(E18)&lt;0.05,"✅ OK",IF(ABS(E18)&lt;0.1,"⚠️ Atención","🔴 Alerta"))</f>
        <v/>
      </c>
    </row>
    <row r="19">
      <c r="A19" s="13" t="inlineStr">
        <is>
          <t>TOTAL GASTOS</t>
        </is>
      </c>
      <c r="B19" s="14">
        <f>B13+B14+B15+B16+B17+B18</f>
        <v/>
      </c>
      <c r="C19" s="14">
        <f>C13+C14+C15+C16+C17+C18</f>
        <v/>
      </c>
      <c r="D19" s="10">
        <f>C19-B19</f>
        <v/>
      </c>
      <c r="E19" s="11">
        <f>IF(B19=0,0,(C19-B19)/B19)</f>
        <v/>
      </c>
      <c r="F19" s="12">
        <f>IF(ABS(E19)&lt;0.05,"✅ OK",IF(ABS(E19)&lt;0.1,"⚠️ Atención","🔴 Alerta"))</f>
        <v/>
      </c>
    </row>
    <row r="21">
      <c r="A21" s="13" t="inlineStr">
        <is>
          <t>EBITDA</t>
        </is>
      </c>
      <c r="B21" s="15">
        <f>B10-B19</f>
        <v/>
      </c>
      <c r="C21" s="15">
        <f>C10-C19</f>
        <v/>
      </c>
      <c r="D21" s="10">
        <f>C21-B21</f>
        <v/>
      </c>
      <c r="E21" s="11">
        <f>IF(B21=0,0,(C21-B21)/B21)</f>
        <v/>
      </c>
      <c r="F21" s="12">
        <f>IF(ABS(E21)&lt;0.05,"✅ OK",IF(ABS(E21)&lt;0.1,"⚠️ Atención","🔴 Alerta"))</f>
        <v/>
      </c>
    </row>
    <row r="22">
      <c r="A22" s="13" t="inlineStr">
        <is>
          <t>Margen EBITDA %</t>
        </is>
      </c>
      <c r="B22" s="16">
        <f>IF(B10=0,0,B21/B10)</f>
        <v/>
      </c>
      <c r="C22" s="16">
        <f>IF(C10=0,0,C21/C10)</f>
        <v/>
      </c>
    </row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/>
      </c>
      <c r="C25" s="16">
        <f>IF(C10=0,0,C13/C10)</f>
        <v/>
      </c>
    </row>
    <row r="26">
      <c r="A26" s="8" t="inlineStr">
        <is>
          <t>Labor Cost %</t>
        </is>
      </c>
      <c r="B26" s="16">
        <f>IF(B10=0,0,B14/B10)</f>
        <v/>
      </c>
      <c r="C26" s="16">
        <f>IF(C10=0,0,C14/C10)</f>
        <v/>
      </c>
    </row>
    <row r="27">
      <c r="A27" s="8" t="inlineStr">
        <is>
          <t>Prime Cost %</t>
        </is>
      </c>
      <c r="B27" s="16">
        <f>IF(B10=0,0,(B13+B14)/B10)</f>
        <v/>
      </c>
      <c r="C27" s="16">
        <f>IF(C10=0,0,(C13+C14)/C10)</f>
        <v/>
      </c>
    </row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bottom="1" footer="0.5" header="0.5" left="0.75" right="0.75" top="1"/>
</worksheet>
</file>

<file path=xl/worksheets/sheet14.xml><?xml version="1.0" encoding="utf-8"?>
<worksheet xmlns="http://schemas.openxmlformats.org/spreadsheetml/2006/main">
  <sheetPr>
    <tabColor rgb="00FFD700"/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Resumen Anual — Real vs Presupuesto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</t>
        </is>
      </c>
    </row>
    <row r="5">
      <c r="A5" s="13" t="inlineStr">
        <is>
          <t>Total Ingresos (Ppto)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8" t="n">
        <v>0</v>
      </c>
      <c r="L5" s="18" t="n">
        <v>0</v>
      </c>
      <c r="M5" s="18" t="n">
        <v>0</v>
      </c>
      <c r="N5" s="18" t="n">
        <v>0</v>
      </c>
    </row>
    <row r="6">
      <c r="A6" s="13" t="inlineStr">
        <is>
          <t>Total Ingresos (Real)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13" t="inlineStr">
        <is>
          <t>Total Gastos (Ppto)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13" t="inlineStr">
        <is>
          <t>Total Gastos (Real)</t>
        </is>
      </c>
      <c r="B8" s="18" t="n">
        <v>0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0</v>
      </c>
      <c r="M8" s="18" t="n">
        <v>0</v>
      </c>
      <c r="N8" s="18" t="n">
        <v>0</v>
      </c>
    </row>
    <row r="9">
      <c r="A9" s="13" t="inlineStr">
        <is>
          <t>EBITDA (Ppto)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</row>
    <row r="10">
      <c r="A10" s="13" t="inlineStr">
        <is>
          <t>EBITDA (Real)</t>
        </is>
      </c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 t="n">
        <v>0</v>
      </c>
      <c r="L10" s="18" t="n">
        <v>0</v>
      </c>
      <c r="M10" s="18" t="n">
        <v>0</v>
      </c>
      <c r="N10" s="18" t="n">
        <v>0</v>
      </c>
    </row>
    <row r="14">
      <c r="A14" s="17" t="inlineStr">
        <is>
          <t>© 2026 AI Chef Pro · aichef.pro</t>
        </is>
      </c>
    </row>
  </sheetData>
  <mergeCells count="3">
    <mergeCell ref="A1:N1"/>
    <mergeCell ref="A2:N2"/>
    <mergeCell ref="A14:N14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2026-04-05T10:13:01Z</dcterms:created>
  <dcterms:modified xsi:type="dcterms:W3CDTF">2026-04-05T10:13:01Z</dcterms:modified>
</cp:coreProperties>
</file>