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imulador" sheetId="2" state="visible" r:id="rId2"/>
    <sheet xmlns:r="http://schemas.openxmlformats.org/officeDocument/2006/relationships" name="Comparativa" sheetId="3" state="visible" r:id="rId3"/>
  </sheets>
  <definedNames>
    <definedName name="_xlnm.Print_Titles" localSheetId="1">'Simulador'!$4:$4</definedName>
    <definedName name="_xlnm.Print_Titles" localSheetId="2">'Comparativa'!$3:$3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color rgb="00999999"/>
      <sz val="9"/>
    </font>
    <font>
      <b val="1"/>
      <color rgb="009C6500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pivotButton="0" quotePrefix="0" xfId="0"/>
    <xf numFmtId="164" fontId="8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10" fillId="0" borderId="1" pivotButton="0" quotePrefix="0" xfId="0"/>
    <xf numFmtId="164" fontId="7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11" fillId="0" borderId="0" pivotButton="0" quotePrefix="0" xfId="0"/>
    <xf numFmtId="0" fontId="4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/>
    </xf>
    <xf numFmtId="164" fontId="8" fillId="4" borderId="1" applyAlignment="1" applyProtection="1" pivotButton="0" quotePrefix="0" xfId="0">
      <alignment horizontal="right" vertical="center"/>
      <protection locked="0" hidden="0"/>
    </xf>
    <xf numFmtId="3" fontId="8" fillId="4" borderId="1" applyAlignment="1" applyProtection="1" pivotButton="0" quotePrefix="0" xfId="0">
      <alignment horizontal="right" vertical="center"/>
      <protection locked="0" hidden="0"/>
    </xf>
    <xf numFmtId="165" fontId="8" fillId="4" borderId="1" applyAlignment="1" applyProtection="1" pivotButton="0" quotePrefix="0" xfId="0">
      <alignment horizontal="right" vertical="center"/>
      <protection locked="0" hidden="0"/>
    </xf>
    <xf numFmtId="0" fontId="13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anual por escenario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'Comparativa'!$C$3:$E$3</f>
            </numRef>
          </cat>
          <val>
            <numRef>
              <f>'Comparativa'!$C$7:$E$7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>
      <c r="B2" s="1" t="inlineStr">
        <is>
          <t>BONUS 08 · Simulador What-If de Escenarios</t>
        </is>
      </c>
    </row>
    <row r="3"/>
    <row r="4">
      <c r="B4" s="2" t="inlineStr">
        <is>
          <t>AI Chef Pro · aichef.pro — Kit Plan Financiero para Restaurantes</t>
        </is>
      </c>
    </row>
    <row r="5"/>
    <row r="6">
      <c r="B6" s="3" t="inlineStr">
        <is>
          <t>Cómo usar esta plantilla:</t>
        </is>
      </c>
    </row>
    <row r="7">
      <c r="B7" s="4" t="inlineStr">
        <is>
          <t>▸ Cambia los valores de Ticket medio, Cubiertos / día y Food Cost en la zona de inputs.</t>
        </is>
      </c>
    </row>
    <row r="8">
      <c r="B8" s="4" t="inlineStr">
        <is>
          <t>▸ El P&amp;L se recalcula instantáneamente para cada escenario.</t>
        </is>
      </c>
    </row>
    <row r="9">
      <c r="B9" s="4" t="inlineStr">
        <is>
          <t>▸ Compara 3 escenarios lado a lado: Pesimista, Base, Optimista.</t>
        </is>
      </c>
    </row>
    <row r="10"/>
    <row r="11">
      <c r="B11" s="3" t="inlineStr">
        <is>
          <t>Ideal para:</t>
        </is>
      </c>
    </row>
    <row r="12">
      <c r="B12" s="4" t="inlineStr">
        <is>
          <t>▸ Preparar planes de contingencia.</t>
        </is>
      </c>
    </row>
    <row r="13">
      <c r="B13" s="4" t="inlineStr">
        <is>
          <t>▸ Negociar con inversores o socios.</t>
        </is>
      </c>
    </row>
    <row r="14">
      <c r="B14" s="4" t="inlineStr">
        <is>
          <t>▸ Evaluar el impacto de subidas de precios o cambios de carta.</t>
        </is>
      </c>
    </row>
    <row r="15"/>
    <row r="16">
      <c r="B16" s="17" t="inlineStr">
        <is>
          <t>Todas las cifras van SIN IVA; en el 03 (tesorería) van CON IVA porque es caja.</t>
        </is>
      </c>
    </row>
    <row r="17">
      <c r="B17" s="17" t="inlineStr">
        <is>
          <t>Para editar una celda que no esté en verde: Revisar → Desproteger hoja (no tiene contraseña).</t>
        </is>
      </c>
    </row>
    <row r="18">
      <c r="B18" s="17" t="inlineStr">
        <is>
          <t>Diseñado por John Guerrero — chef y consultor gastronómico desde 2010, en cocina desde los 17 años · johnguerrero.es</t>
        </is>
      </c>
    </row>
    <row r="19">
      <c r="B19" s="17" t="inlineStr">
        <is>
          <t>Versión 2.0 · agosto 2026 · aichef.pro/kit-plan-financiero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Simulador de Escenarios — What If</t>
        </is>
      </c>
    </row>
    <row r="2">
      <c r="A2" s="2" t="inlineStr">
        <is>
          <t>AI Chef Pro · aichef.pro — Kit Plan Financiero para Restaurantes</t>
        </is>
      </c>
    </row>
    <row r="3">
      <c r="A3" s="18" t="inlineStr">
        <is>
          <t>VALORES DE EJEMPLO — sustitúyelos por los tuyos</t>
        </is>
      </c>
    </row>
    <row r="4">
      <c r="A4" s="6" t="inlineStr">
        <is>
          <t>Variable / Resultado</t>
        </is>
      </c>
      <c r="B4" s="6" t="inlineStr">
        <is>
          <t>Pesimista</t>
        </is>
      </c>
      <c r="C4" s="6" t="inlineStr">
        <is>
          <t>Base</t>
        </is>
      </c>
      <c r="D4" s="6" t="inlineStr">
        <is>
          <t>Optimista</t>
        </is>
      </c>
    </row>
    <row r="5">
      <c r="A5" s="7" t="inlineStr">
        <is>
          <t>VARIABLES DE ENTRADA</t>
        </is>
      </c>
    </row>
    <row r="6">
      <c r="A6" s="8" t="inlineStr">
        <is>
          <t>Ticket medio (€, sin IVA)</t>
        </is>
      </c>
      <c r="B6" s="19" t="n">
        <v>18</v>
      </c>
      <c r="C6" s="19" t="n">
        <v>22</v>
      </c>
      <c r="D6" s="19" t="n">
        <v>28</v>
      </c>
    </row>
    <row r="7">
      <c r="A7" s="8" t="inlineStr">
        <is>
          <t>Cubiertos / día</t>
        </is>
      </c>
      <c r="B7" s="20" t="n">
        <v>40</v>
      </c>
      <c r="C7" s="20" t="n">
        <v>55</v>
      </c>
      <c r="D7" s="20" t="n">
        <v>75</v>
      </c>
    </row>
    <row r="8">
      <c r="A8" s="8" t="inlineStr">
        <is>
          <t>Días apertura / mes</t>
        </is>
      </c>
      <c r="B8" s="20" t="n">
        <v>25</v>
      </c>
      <c r="C8" s="20" t="n">
        <v>26</v>
      </c>
      <c r="D8" s="20" t="n">
        <v>27</v>
      </c>
    </row>
    <row r="9">
      <c r="A9" s="8" t="inlineStr">
        <is>
          <t>% Coste variable (food + comisiones de delivery)</t>
        </is>
      </c>
      <c r="B9" s="21" t="n">
        <v>0.4</v>
      </c>
      <c r="C9" s="21" t="n">
        <v>0.35</v>
      </c>
      <c r="D9" s="21" t="n">
        <v>0.3</v>
      </c>
    </row>
    <row r="10">
      <c r="A10" s="8" t="inlineStr">
        <is>
          <t>Labor Cost %</t>
        </is>
      </c>
      <c r="B10" s="21" t="n">
        <v>0.32</v>
      </c>
      <c r="C10" s="21" t="n">
        <v>0.28</v>
      </c>
      <c r="D10" s="21" t="n">
        <v>0.25</v>
      </c>
    </row>
    <row r="11">
      <c r="A11" s="8" t="inlineStr">
        <is>
          <t>Costes fijos mensuales SIN personal y SIN cuota de préstamo (alquiler, suministros, seguros, marketing, gestoría, otros)</t>
        </is>
      </c>
      <c r="B11" s="19" t="n">
        <v>6500</v>
      </c>
      <c r="C11" s="19" t="n">
        <v>6200</v>
      </c>
      <c r="D11" s="19" t="n">
        <v>5900</v>
      </c>
    </row>
    <row r="12">
      <c r="A12" s="22" t="inlineStr">
        <is>
          <t>Si copias los costes fijos del 02, RESTA antes las nóminas y la cuota: el personal ya entra arriba como % sobre ventas y el EBITDA se mide antes del servicio de deuda.</t>
        </is>
      </c>
    </row>
    <row r="13">
      <c r="A13" s="7" t="inlineStr">
        <is>
          <t>P&amp;L MENSUAL SIMULADO</t>
        </is>
      </c>
    </row>
    <row r="14">
      <c r="A14" s="8" t="inlineStr">
        <is>
          <t>Facturación mensual (sin IVA)</t>
        </is>
      </c>
      <c r="B14" s="12">
        <f>B6*B7*B8</f>
        <v>18000.0</v>
      </c>
      <c r="C14" s="12">
        <f>C6*C7*C8</f>
        <v>31460.0</v>
      </c>
      <c r="D14" s="12">
        <f>D6*D7*D8</f>
        <v>56700.0</v>
      </c>
    </row>
    <row r="15">
      <c r="A15" s="8" t="inlineStr">
        <is>
          <t>Food Cost (€)</t>
        </is>
      </c>
      <c r="B15" s="12">
        <f>B14*B9</f>
        <v>7200.0</v>
      </c>
      <c r="C15" s="12">
        <f>C14*C9</f>
        <v>11011.0</v>
      </c>
      <c r="D15" s="12">
        <f>D14*D9</f>
        <v>17010.0</v>
      </c>
    </row>
    <row r="16">
      <c r="A16" s="8" t="inlineStr">
        <is>
          <t>Labor Cost (€)</t>
        </is>
      </c>
      <c r="B16" s="12">
        <f>B14*B10</f>
        <v>5760.0</v>
      </c>
      <c r="C16" s="12">
        <f>C14*C10</f>
        <v>8808.800000000001</v>
      </c>
      <c r="D16" s="12">
        <f>D14*D10</f>
        <v>14175.0</v>
      </c>
    </row>
    <row r="17">
      <c r="A17" s="8" t="inlineStr">
        <is>
          <t>Costes fijos (€)</t>
        </is>
      </c>
      <c r="B17" s="12">
        <f>B11</f>
        <v>6500.0</v>
      </c>
      <c r="C17" s="12">
        <f>C11</f>
        <v>6200.0</v>
      </c>
      <c r="D17" s="12">
        <f>D11</f>
        <v>5900.0</v>
      </c>
    </row>
    <row r="18">
      <c r="A18" s="13" t="inlineStr">
        <is>
          <t>TOTAL GASTOS</t>
        </is>
      </c>
      <c r="B18" s="12">
        <f>B15+B16+B17</f>
        <v>19460.0</v>
      </c>
      <c r="C18" s="12">
        <f>C15+C16+C17</f>
        <v>26019.800000000003</v>
      </c>
      <c r="D18" s="12">
        <f>D15+D16+D17</f>
        <v>37085.0</v>
      </c>
    </row>
    <row r="19">
      <c r="A19" s="13" t="inlineStr">
        <is>
          <t>EBITDA MENSUAL</t>
        </is>
      </c>
      <c r="B19" s="14">
        <f>B14-B18</f>
        <v>-1460.0</v>
      </c>
      <c r="C19" s="14">
        <f>C14-C18</f>
        <v>5440.199999999997</v>
      </c>
      <c r="D19" s="14">
        <f>D14-D18</f>
        <v>19615.0</v>
      </c>
    </row>
    <row r="20">
      <c r="A20" s="13" t="inlineStr">
        <is>
          <t>Margen EBITDA %</t>
        </is>
      </c>
      <c r="B20" s="15">
        <f>IF(B14=0,"",B19/B14)</f>
        <v>-0.0811111111111111</v>
      </c>
      <c r="C20" s="15">
        <f>IF(C14=0,"",C19/C14)</f>
        <v>0.17292434837889373</v>
      </c>
      <c r="D20" s="15">
        <f>IF(D14=0,"",D19/D14)</f>
        <v>0.3459435626102293</v>
      </c>
    </row>
    <row r="21">
      <c r="A21" s="13" t="inlineStr">
        <is>
          <t>EBITDA ANUAL</t>
        </is>
      </c>
      <c r="B21" s="14">
        <f>B19*12</f>
        <v>-17520.0</v>
      </c>
      <c r="C21" s="14">
        <f>C19*12</f>
        <v>65282.399999999965</v>
      </c>
      <c r="D21" s="14">
        <f>D19*12</f>
        <v>235380.0</v>
      </c>
    </row>
    <row r="22">
      <c r="A22" s="22" t="inlineStr">
        <is>
          <t>Base común con el 02: mismo ticket (22 €), mismos cubiertos/día (55), mismos días (26), mismo % de coste variable (35 %) y los mismos costes fijos sin personal (6.200 €). El EBITDA base coincide: ~17 % sobre ventas en los dos libros.</t>
        </is>
      </c>
    </row>
    <row r="23"/>
    <row r="24">
      <c r="A24" s="1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3">
    <mergeCell ref="A1:D1"/>
    <mergeCell ref="A24:D24"/>
    <mergeCell ref="A2:D2"/>
  </mergeCells>
  <conditionalFormatting sqref="B19:D19">
    <cfRule type="expression" priority="1" dxfId="0" stopIfTrue="1">
      <formula>=B19&lt;0</formula>
    </cfRule>
  </conditionalFormatting>
  <dataValidations count="2">
    <dataValidation sqref="B6 B7 B8 B11 C6 C7 C8 C11 D6 D7 D8 D11" showDropDown="0" showInputMessage="0" showErrorMessage="1" allowBlank="1" errorTitle="Importe no válido" error="Escribe un número mayor o igual que 0." type="decimal" operator="greaterThanOrEqual">
      <formula1>0</formula1>
    </dataValidation>
    <dataValidation sqref="B9 B10 C9 C10 D9 D10" showDropDown="0" showInputMessage="0" showErrorMessage="1" allowBlank="1" errorTitle="Porcentaje no válido" error="Escribe un porcentaje entre 0 y 1 (0,35 = 35 %)." type="decimal" operator="between">
      <formula1>0</formula1>
      <formula2>1</formula2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B1" s="5" t="inlineStr">
        <is>
          <t>Comparativa de Escenarios — Resumen Anual</t>
        </is>
      </c>
    </row>
    <row r="2"/>
    <row r="3">
      <c r="A3" s="6" t="inlineStr"/>
      <c r="B3" s="6" t="inlineStr">
        <is>
          <t>Indicador</t>
        </is>
      </c>
      <c r="C3" s="6" t="inlineStr">
        <is>
          <t>Pesimista</t>
        </is>
      </c>
      <c r="D3" s="6" t="inlineStr">
        <is>
          <t>Base</t>
        </is>
      </c>
      <c r="E3" s="6" t="inlineStr">
        <is>
          <t>Optimista</t>
        </is>
      </c>
    </row>
    <row r="4">
      <c r="B4" s="8" t="inlineStr">
        <is>
          <t>Facturación anual (sin IVA)</t>
        </is>
      </c>
      <c r="C4" s="12">
        <f>Simulador!B14*12</f>
        <v>216000.0</v>
      </c>
      <c r="D4" s="12">
        <f>Simulador!C14*12</f>
        <v>377520.0</v>
      </c>
      <c r="E4" s="12">
        <f>Simulador!D14*12</f>
        <v>680400.0</v>
      </c>
    </row>
    <row r="5">
      <c r="B5" s="8" t="inlineStr">
        <is>
          <t>Food Cost anual</t>
        </is>
      </c>
      <c r="C5" s="12">
        <f>Simulador!B15*12</f>
        <v>86400.0</v>
      </c>
      <c r="D5" s="12">
        <f>Simulador!C15*12</f>
        <v>132132.0</v>
      </c>
      <c r="E5" s="12">
        <f>Simulador!D15*12</f>
        <v>204120.0</v>
      </c>
    </row>
    <row r="6">
      <c r="B6" s="8" t="inlineStr">
        <is>
          <t>Labor Cost anual</t>
        </is>
      </c>
      <c r="C6" s="12">
        <f>Simulador!B16*12</f>
        <v>69120.0</v>
      </c>
      <c r="D6" s="12">
        <f>Simulador!C16*12</f>
        <v>105705.6</v>
      </c>
      <c r="E6" s="12">
        <f>Simulador!D16*12</f>
        <v>170100.0</v>
      </c>
    </row>
    <row r="7">
      <c r="B7" s="13" t="inlineStr">
        <is>
          <t>EBITDA anual</t>
        </is>
      </c>
      <c r="C7" s="12">
        <f>Simulador!B21</f>
        <v>-17520.0</v>
      </c>
      <c r="D7" s="12">
        <f>Simulador!C21</f>
        <v>65282.399999999965</v>
      </c>
      <c r="E7" s="12">
        <f>Simulador!D21</f>
        <v>235380.0</v>
      </c>
    </row>
    <row r="8">
      <c r="B8" s="13" t="inlineStr">
        <is>
          <t>Margen EBITDA %</t>
        </is>
      </c>
      <c r="C8" s="15">
        <f>Simulador!B20</f>
        <v>-0.0811111111111111</v>
      </c>
      <c r="D8" s="15">
        <f>Simulador!C20</f>
        <v>0.17292434837889373</v>
      </c>
      <c r="E8" s="15">
        <f>Simulador!D20</f>
        <v>0.3459435626102293</v>
      </c>
    </row>
    <row r="9"/>
    <row r="10"/>
    <row r="11">
      <c r="A11" s="1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1:E11"/>
    <mergeCell ref="B1:E1"/>
  </mergeCells>
  <conditionalFormatting sqref="C7:E7">
    <cfRule type="expression" priority="1" dxfId="0" stopIfTrue="1">
      <formula>=C7&lt;0</formula>
    </cfRule>
  </conditionalFormatting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08 · Simulador What-If de Escenarios · Kit Plan Financiero para Restaurantes</dc:title>
  <dc:description xmlns:dc="http://purl.org/dc/elements/1.1/">aichef.pro/kit-plan-financiero</dc:description>
  <dc:subject xmlns:dc="http://purl.org/dc/elements/1.1/">Kit Plan Financiero para Restaurantes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2026-08-28T23:26:36Z</dcterms:modified>
  <cp:lastModifiedBy>AI Chef Pro</cp:lastModifiedBy>
  <cp:category>AI Chef Pro · Productos digitales</cp:category>
  <cp:keywords>kit plan financiero, plan de negocio restaurante, viabilidad, punto de equilibrio, cash flow, TIR VAN payback, AI Chef Pro</cp:keywords>
</cp:coreProperties>
</file>