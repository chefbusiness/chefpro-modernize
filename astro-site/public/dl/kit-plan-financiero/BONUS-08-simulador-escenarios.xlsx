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mparativa" sheetId="3" state="visible" r:id="rId3"/>
  </sheets>
  <definedNames>
    <definedName name="_xlnm.Print_Titles" localSheetId="1">'Simulador'!$4:$4</definedName>
    <definedName name="_xlnm.Print_Titles" localSheetId="2">'Comparativa'!$3:$3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1" pivotButton="0" quotePrefix="0" xfId="0"/>
    <xf numFmtId="164" fontId="8" fillId="3" borderId="1" applyAlignment="1" pivotButton="0" quotePrefix="0" xfId="0">
      <alignment horizontal="right" vertical="center"/>
    </xf>
    <xf numFmtId="3" fontId="8" fillId="3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10" fillId="0" borderId="1" pivotButton="0" quotePrefix="0" xfId="0"/>
    <xf numFmtId="164" fontId="7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5" customWidth="1" min="2" max="2"/>
  </cols>
  <sheetData>
    <row r="1"/>
    <row r="2">
      <c r="B2" s="1" t="inlineStr">
        <is>
          <t>BONUS 08 · Simulador What-If de Escenarios</t>
        </is>
      </c>
    </row>
    <row r="3"/>
    <row r="4">
      <c r="B4" s="2" t="inlineStr">
        <is>
          <t>AI Chef Pro · aichef.pro — Kit Plan Financiero para Restaurantes</t>
        </is>
      </c>
    </row>
    <row r="5"/>
    <row r="6">
      <c r="B6" s="3" t="inlineStr">
        <is>
          <t>Cómo usar esta plantilla:</t>
        </is>
      </c>
    </row>
    <row r="7">
      <c r="B7" s="4" t="inlineStr">
        <is>
          <t>▸ Cambia los valores de Ticket Medio, Ocupación y Food Cost en la zona de inputs.</t>
        </is>
      </c>
    </row>
    <row r="8">
      <c r="B8" s="4" t="inlineStr">
        <is>
          <t>▸ El P&amp;L se recalcula instantáneamente para cada escenario.</t>
        </is>
      </c>
    </row>
    <row r="9">
      <c r="B9" s="4" t="inlineStr">
        <is>
          <t>▸ Compara 3 escenarios lado a lado: Pesimista, Base, Optimista.</t>
        </is>
      </c>
    </row>
    <row r="10"/>
    <row r="11">
      <c r="B11" s="3" t="inlineStr">
        <is>
          <t>Ideal para:</t>
        </is>
      </c>
    </row>
    <row r="12">
      <c r="B12" s="4" t="inlineStr">
        <is>
          <t>▸ Preparar planes de contingencia.</t>
        </is>
      </c>
    </row>
    <row r="13">
      <c r="B13" s="4" t="inlineStr">
        <is>
          <t>▸ Negociar con inversores o socios.</t>
        </is>
      </c>
    </row>
    <row r="14">
      <c r="B14" s="4" t="inlineStr">
        <is>
          <t>▸ Evaluar el impacto de subidas de precios o cambios de carta.</t>
        </is>
      </c>
    </row>
    <row r="15"/>
    <row r="16">
      <c r="B16" s="4" t="inlineStr">
        <is>
          <t>Versión 1.1 · agosto 2026 · aichef.pro/kit-plan-financiero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5" t="inlineStr">
        <is>
          <t>Simulador de Escenarios — What If</t>
        </is>
      </c>
    </row>
    <row r="2">
      <c r="A2" s="2" t="inlineStr">
        <is>
          <t>AI Chef Pro · aichef.pro — Kit Plan Financiero para Restaurantes</t>
        </is>
      </c>
    </row>
    <row r="3"/>
    <row r="4">
      <c r="A4" s="6" t="inlineStr">
        <is>
          <t>Variable / Resultado</t>
        </is>
      </c>
      <c r="B4" s="6" t="inlineStr">
        <is>
          <t>Pesimista</t>
        </is>
      </c>
      <c r="C4" s="6" t="inlineStr">
        <is>
          <t>Base</t>
        </is>
      </c>
      <c r="D4" s="6" t="inlineStr">
        <is>
          <t>Optimista</t>
        </is>
      </c>
    </row>
    <row r="5">
      <c r="A5" s="7" t="inlineStr">
        <is>
          <t>VARIABLES DE ENTRADA</t>
        </is>
      </c>
    </row>
    <row r="6">
      <c r="A6" s="8" t="inlineStr">
        <is>
          <t>Ticket medio (€)</t>
        </is>
      </c>
      <c r="B6" s="9" t="n">
        <v>16</v>
      </c>
      <c r="C6" s="9" t="n">
        <v>22</v>
      </c>
      <c r="D6" s="9" t="n">
        <v>30</v>
      </c>
    </row>
    <row r="7">
      <c r="A7" s="8" t="inlineStr">
        <is>
          <t>Cubiertos / día</t>
        </is>
      </c>
      <c r="B7" s="10" t="n">
        <v>40</v>
      </c>
      <c r="C7" s="10" t="n">
        <v>60</v>
      </c>
      <c r="D7" s="10" t="n">
        <v>85</v>
      </c>
    </row>
    <row r="8">
      <c r="A8" s="8" t="inlineStr">
        <is>
          <t>Días apertura / mes</t>
        </is>
      </c>
      <c r="B8" s="10" t="n">
        <v>25</v>
      </c>
      <c r="C8" s="10" t="n">
        <v>26</v>
      </c>
      <c r="D8" s="10" t="n">
        <v>27</v>
      </c>
    </row>
    <row r="9">
      <c r="A9" s="8" t="inlineStr">
        <is>
          <t>Food Cost %</t>
        </is>
      </c>
      <c r="B9" s="11" t="n">
        <v>0.38</v>
      </c>
      <c r="C9" s="11" t="n">
        <v>0.32</v>
      </c>
      <c r="D9" s="11" t="n">
        <v>0.28</v>
      </c>
    </row>
    <row r="10">
      <c r="A10" s="8" t="inlineStr">
        <is>
          <t>Labor Cost %</t>
        </is>
      </c>
      <c r="B10" s="11" t="n">
        <v>0.32</v>
      </c>
      <c r="C10" s="11" t="n">
        <v>0.28</v>
      </c>
      <c r="D10" s="11" t="n">
        <v>0.25</v>
      </c>
    </row>
    <row r="11">
      <c r="A11" s="8" t="inlineStr">
        <is>
          <t>Costes fijos mensuales (€)</t>
        </is>
      </c>
      <c r="B11" s="9" t="n">
        <v>19500</v>
      </c>
      <c r="C11" s="9" t="n">
        <v>19000</v>
      </c>
      <c r="D11" s="9" t="n">
        <v>18500</v>
      </c>
    </row>
    <row r="12"/>
    <row r="13">
      <c r="A13" s="7" t="inlineStr">
        <is>
          <t>P&amp;L MENSUAL SIMULADO</t>
        </is>
      </c>
    </row>
    <row r="14">
      <c r="A14" s="8" t="inlineStr">
        <is>
          <t>Facturación mensual</t>
        </is>
      </c>
      <c r="B14" s="12">
        <f>B6*B7*B8</f>
        <v>16000.0</v>
      </c>
      <c r="C14" s="12">
        <f>C6*C7*C8</f>
        <v>34320.0</v>
      </c>
      <c r="D14" s="12">
        <f>D6*D7*D8</f>
        <v>68850.0</v>
      </c>
    </row>
    <row r="15">
      <c r="A15" s="8" t="inlineStr">
        <is>
          <t>Food Cost (€)</t>
        </is>
      </c>
      <c r="B15" s="12">
        <f>B14*B9</f>
        <v>6080.0</v>
      </c>
      <c r="C15" s="12">
        <f>C14*C9</f>
        <v>10982.4</v>
      </c>
      <c r="D15" s="12">
        <f>D14*D9</f>
        <v>19278.000000000004</v>
      </c>
    </row>
    <row r="16">
      <c r="A16" s="8" t="inlineStr">
        <is>
          <t>Labor Cost (€)</t>
        </is>
      </c>
      <c r="B16" s="12">
        <f>B14*B10</f>
        <v>5120.0</v>
      </c>
      <c r="C16" s="12">
        <f>C14*C10</f>
        <v>9609.6</v>
      </c>
      <c r="D16" s="12">
        <f>D14*D10</f>
        <v>17212.5</v>
      </c>
    </row>
    <row r="17">
      <c r="A17" s="8" t="inlineStr">
        <is>
          <t>Costes fijos (€)</t>
        </is>
      </c>
      <c r="B17" s="12">
        <f>B11</f>
        <v>19500.0</v>
      </c>
      <c r="C17" s="12">
        <f>C11</f>
        <v>19000.0</v>
      </c>
      <c r="D17" s="12">
        <f>D11</f>
        <v>18500.0</v>
      </c>
    </row>
    <row r="18">
      <c r="A18" s="13" t="inlineStr">
        <is>
          <t>TOTAL GASTOS</t>
        </is>
      </c>
      <c r="B18" s="12">
        <f>B15+B16+B17</f>
        <v>30700.0</v>
      </c>
      <c r="C18" s="12">
        <f>C15+C16+C17</f>
        <v>39592.0</v>
      </c>
      <c r="D18" s="12">
        <f>D15+D16+D17</f>
        <v>54990.5</v>
      </c>
    </row>
    <row r="19">
      <c r="A19" s="13" t="inlineStr">
        <is>
          <t>EBITDA MENSUAL</t>
        </is>
      </c>
      <c r="B19" s="14">
        <f>B14-B18</f>
        <v>-14700.0</v>
      </c>
      <c r="C19" s="14">
        <f>C14-C18</f>
        <v>-5272.0</v>
      </c>
      <c r="D19" s="14">
        <f>D14-D18</f>
        <v>13859.5</v>
      </c>
    </row>
    <row r="20">
      <c r="A20" s="13" t="inlineStr">
        <is>
          <t>Margen EBITDA %</t>
        </is>
      </c>
      <c r="B20" s="15">
        <f>IF(B14=0,0,B19/B14)</f>
        <v>-0.91875</v>
      </c>
      <c r="C20" s="15">
        <f>IF(C14=0,0,C19/C14)</f>
        <v>-0.1536130536130536</v>
      </c>
      <c r="D20" s="15">
        <f>IF(D14=0,0,D19/D14)</f>
        <v>0.20129992737835875</v>
      </c>
    </row>
    <row r="21">
      <c r="A21" s="13" t="inlineStr">
        <is>
          <t>EBITDA ANUAL</t>
        </is>
      </c>
      <c r="B21" s="14">
        <f>B19*12</f>
        <v>-176400.0</v>
      </c>
      <c r="C21" s="14">
        <f>C19*12</f>
        <v>-63264.0</v>
      </c>
      <c r="D21" s="14">
        <f>D19*12</f>
        <v>166314.0</v>
      </c>
    </row>
    <row r="22"/>
    <row r="23"/>
    <row r="24">
      <c r="A24" s="16" t="inlineStr">
        <is>
          <t>© 2026 AI Chef Pro · aichef.pro</t>
        </is>
      </c>
    </row>
  </sheetData>
  <mergeCells count="3">
    <mergeCell ref="A1:D1"/>
    <mergeCell ref="A24:D24"/>
    <mergeCell ref="A2:D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E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>
      <c r="B1" s="5" t="inlineStr">
        <is>
          <t>Comparativa de Escenarios — Resumen Anual</t>
        </is>
      </c>
    </row>
    <row r="2"/>
    <row r="3">
      <c r="A3" s="6" t="inlineStr"/>
      <c r="B3" s="6" t="inlineStr">
        <is>
          <t>Indicador</t>
        </is>
      </c>
      <c r="C3" s="6" t="inlineStr">
        <is>
          <t>Pesimista</t>
        </is>
      </c>
      <c r="D3" s="6" t="inlineStr">
        <is>
          <t>Base</t>
        </is>
      </c>
      <c r="E3" s="6" t="inlineStr">
        <is>
          <t>Optimista</t>
        </is>
      </c>
    </row>
    <row r="4">
      <c r="B4" s="8" t="inlineStr">
        <is>
          <t>Facturación anual</t>
        </is>
      </c>
      <c r="C4" s="12">
        <f>Simulador!B14*12</f>
        <v>192000.0</v>
      </c>
      <c r="D4" s="12">
        <f>Simulador!C14*12</f>
        <v>411840.0</v>
      </c>
      <c r="E4" s="12">
        <f>Simulador!D14*12</f>
        <v>826200.0</v>
      </c>
    </row>
    <row r="5">
      <c r="B5" s="8" t="inlineStr">
        <is>
          <t>Food Cost anual</t>
        </is>
      </c>
      <c r="C5" s="12">
        <f>Simulador!B15*12</f>
        <v>72960.0</v>
      </c>
      <c r="D5" s="12">
        <f>Simulador!C15*12</f>
        <v>131788.8</v>
      </c>
      <c r="E5" s="12">
        <f>Simulador!D15*12</f>
        <v>231336.00000000006</v>
      </c>
    </row>
    <row r="6">
      <c r="B6" s="8" t="inlineStr">
        <is>
          <t>Labor Cost anual</t>
        </is>
      </c>
      <c r="C6" s="12">
        <f>Simulador!B16*12</f>
        <v>61440.0</v>
      </c>
      <c r="D6" s="12">
        <f>Simulador!C16*12</f>
        <v>115315.20000000001</v>
      </c>
      <c r="E6" s="12">
        <f>Simulador!D16*12</f>
        <v>206550.0</v>
      </c>
    </row>
    <row r="7">
      <c r="B7" s="13" t="inlineStr">
        <is>
          <t>EBITDA anual</t>
        </is>
      </c>
      <c r="C7" s="12">
        <f>Simulador!B21</f>
        <v>-176400.0</v>
      </c>
      <c r="D7" s="12">
        <f>Simulador!C21</f>
        <v>-63264.0</v>
      </c>
      <c r="E7" s="12">
        <f>Simulador!D21</f>
        <v>166314.0</v>
      </c>
    </row>
    <row r="8">
      <c r="B8" s="13" t="inlineStr">
        <is>
          <t>Margen EBITDA %</t>
        </is>
      </c>
      <c r="C8" s="15">
        <f>Simulador!B20</f>
        <v>-0.91875</v>
      </c>
      <c r="D8" s="15">
        <f>Simulador!C20</f>
        <v>-0.1536130536130536</v>
      </c>
      <c r="E8" s="15">
        <f>Simulador!D20</f>
        <v>0.20129992737835875</v>
      </c>
    </row>
    <row r="9"/>
    <row r="10"/>
    <row r="11">
      <c r="A11" s="16" t="inlineStr">
        <is>
          <t>© 2026 AI Chef Pro · aichef.pro</t>
        </is>
      </c>
    </row>
  </sheetData>
  <mergeCells count="2">
    <mergeCell ref="A11:E11"/>
    <mergeCell ref="B1:E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08 · Simulador What-If de Escenarios · Kit Plan Financiero para Restaurantes</dc:title>
  <dc:description xmlns:dc="http://purl.org/dc/elements/1.1/">aichef.pro/kit-plan-financiero</dc:description>
  <dc:subject xmlns:dc="http://purl.org/dc/elements/1.1/">Kit Plan Financiero para Restaurantes · v1.1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2026-08-22T09:11:46Z</dcterms:modified>
  <cp:lastModifiedBy>AI Chef Pro</cp:lastModifiedBy>
  <cp:category>AI Chef Pro · Productos digitales</cp:category>
  <cp:keywords>kit plan financiero, AI Chef Pro</cp:keywords>
</cp:coreProperties>
</file>