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Benchmarks" sheetId="3" state="visible" r:id="rId3"/>
  </sheets>
  <definedNames>
    <definedName name="_xlnm.Print_Titles" localSheetId="1">'Ratios'!$5:$5</definedName>
    <definedName name="_xlnm.Print_Titles" localSheetId="2">'Benchmarks'!$3:$3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i val="1"/>
      <color rgb="00888888"/>
      <sz val="11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name val="Calibri"/>
      <b val="1"/>
      <sz val="11"/>
    </font>
    <font>
      <name val="Calibri"/>
      <b val="1"/>
      <color rgb="001565C0"/>
      <sz val="11"/>
    </font>
    <font>
      <b val="1"/>
      <color rgb="009C6500"/>
      <sz val="9"/>
    </font>
    <font>
      <b val="1"/>
      <color rgb="00FFFFFF"/>
      <sz val="10"/>
    </font>
    <font>
      <i val="1"/>
      <sz val="9"/>
    </font>
    <font>
      <sz val="8"/>
    </font>
  </fonts>
  <fills count="12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C8E6C9"/>
        <bgColor rgb="00C8E6C9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2D2D2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pivotButton="0" quotePrefix="0" xfId="0"/>
    <xf numFmtId="164" fontId="8" fillId="3" borderId="1" applyAlignment="1" pivotButton="0" quotePrefix="0" xfId="0">
      <alignment horizontal="right" vertical="center"/>
    </xf>
    <xf numFmtId="0" fontId="9" fillId="0" borderId="0" pivotButton="0" quotePrefix="0" xfId="0"/>
    <xf numFmtId="3" fontId="8" fillId="3" borderId="1" applyAlignment="1" pivotButton="0" quotePrefix="0" xfId="0">
      <alignment horizontal="right" vertical="center"/>
    </xf>
    <xf numFmtId="0" fontId="10" fillId="0" borderId="1" pivotButton="0" quotePrefix="0" xfId="0"/>
    <xf numFmtId="165" fontId="11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right" vertical="center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top"/>
    </xf>
    <xf numFmtId="0" fontId="12" fillId="0" borderId="0" applyAlignment="1" pivotButton="0" quotePrefix="0" xfId="0">
      <alignment horizontal="left"/>
    </xf>
    <xf numFmtId="164" fontId="8" fillId="11" borderId="1" applyAlignment="1" applyProtection="1" pivotButton="0" quotePrefix="0" xfId="0">
      <alignment horizontal="right" vertical="center"/>
      <protection locked="0" hidden="0"/>
    </xf>
    <xf numFmtId="164" fontId="8" fillId="0" borderId="1" applyAlignment="1" pivotButton="0" quotePrefix="0" xfId="0">
      <alignment horizontal="right" vertical="center"/>
    </xf>
    <xf numFmtId="3" fontId="8" fillId="11" borderId="1" applyAlignment="1" applyProtection="1" pivotButton="0" quotePrefix="0" xfId="0">
      <alignment horizontal="right" vertical="center"/>
      <protection locked="0" hidden="0"/>
    </xf>
    <xf numFmtId="0" fontId="7" fillId="0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center"/>
    </xf>
    <xf numFmtId="0" fontId="14" fillId="0" borderId="0" applyAlignment="1" pivotButton="0" quotePrefix="0" xfId="0">
      <alignment vertical="top" wrapText="1"/>
    </xf>
    <xf numFmtId="0" fontId="15" fillId="0" borderId="0" pivotButton="0" quotePrefix="0" xfId="0"/>
    <xf numFmtId="0" fontId="13" fillId="7" borderId="1" applyAlignment="1" pivotButton="0" quotePrefix="0" xfId="0">
      <alignment horizontal="center" wrapText="1"/>
    </xf>
    <xf numFmtId="0" fontId="13" fillId="7" borderId="0" applyAlignment="1" pivotButton="0" quotePrefix="0" xfId="0">
      <alignment horizontal="center" wrapText="1"/>
    </xf>
    <xf numFmtId="0" fontId="8" fillId="8" borderId="1" applyAlignment="1" pivotButton="0" quotePrefix="0" xfId="0">
      <alignment horizontal="center"/>
    </xf>
    <xf numFmtId="0" fontId="8" fillId="9" borderId="1" applyAlignment="1" pivotButton="0" quotePrefix="0" xfId="0">
      <alignment horizontal="center"/>
    </xf>
    <xf numFmtId="0" fontId="8" fillId="10" borderId="1" applyAlignment="1" pivotButton="0" quotePrefix="0" xfId="0">
      <alignment horizontal="center"/>
    </xf>
    <xf numFmtId="0" fontId="14" fillId="0" borderId="0" pivotButton="0" quotePrefix="0" xfId="0"/>
    <xf numFmtId="0" fontId="0" fillId="8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0" borderId="0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Tu valor vs objetivo del sector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'Ratios'!C16</f>
            </strRef>
          </tx>
          <spPr>
            <a:ln xmlns:a="http://schemas.openxmlformats.org/drawingml/2006/main">
              <a:prstDash val="solid"/>
            </a:ln>
          </spPr>
          <cat>
            <numRef>
              <f>'Ratios'!$B$17:$B$20</f>
            </numRef>
          </cat>
          <val>
            <numRef>
              <f>'Ratios'!$C$17:$C$20</f>
            </numRef>
          </val>
        </ser>
        <ser>
          <idx val="1"/>
          <order val="1"/>
          <tx>
            <strRef>
              <f>'Ratios'!F16</f>
            </strRef>
          </tx>
          <spPr>
            <a:ln xmlns:a="http://schemas.openxmlformats.org/drawingml/2006/main">
              <a:prstDash val="solid"/>
            </a:ln>
          </spPr>
          <cat>
            <numRef>
              <f>'Ratios'!$B$17:$B$20</f>
            </numRef>
          </cat>
          <val>
            <numRef>
              <f>'Ratios'!$F$17:$F$20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41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4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>
      <c r="B2" s="1" t="inlineStr">
        <is>
          <t>06 · Dashboard de Ratios Financieros</t>
        </is>
      </c>
    </row>
    <row r="3"/>
    <row r="4">
      <c r="B4" s="2" t="inlineStr">
        <is>
          <t>AI Chef Pro · aichef.pro — Kit Plan Financiero para Restaurantes</t>
        </is>
      </c>
    </row>
    <row r="5"/>
    <row r="6">
      <c r="B6" s="3" t="inlineStr">
        <is>
          <t>Cómo usar esta plantilla:</t>
        </is>
      </c>
    </row>
    <row r="7">
      <c r="B7" s="4" t="inlineStr">
        <is>
          <t>▸ Introduce tus datos reales en la columna 'Tu Restaurante'.</t>
        </is>
      </c>
    </row>
    <row r="8">
      <c r="B8" s="4" t="inlineStr">
        <is>
          <t>▸ «Coste de comida — consumo» no son las facturas del mes: es existencias iniciales + compras − existencias finales. El mes que llenas la bodega, las compras se disparan y el consumo no.</t>
        </is>
      </c>
    </row>
    <row r="9">
      <c r="B9" s="4" t="inlineStr">
        <is>
          <t>▸ El semáforo indica si estás dentro de rango óptimo (verde), aceptable (amarillo) o peligro (rojo).</t>
        </is>
      </c>
    </row>
    <row r="10"/>
    <row r="11">
      <c r="B11" s="3" t="inlineStr">
        <is>
          <t>Ratios clave hostelería:</t>
        </is>
      </c>
    </row>
    <row r="12">
      <c r="B12" s="4" t="inlineStr">
        <is>
          <t>▸ Food Cost %: óptimo &lt; 28% · peligro &gt; 32% (los números viven en Benchmarks!F:G).</t>
        </is>
      </c>
    </row>
    <row r="13">
      <c r="B13" s="4" t="inlineStr">
        <is>
          <t>▸ Labor Cost %: óptimo &lt; 25% · peligro &gt; 30% (los números viven en Benchmarks!F:G).</t>
        </is>
      </c>
    </row>
    <row r="14">
      <c r="B14" s="4" t="inlineStr">
        <is>
          <t>▸ Prime Cost %: óptimo &lt; 60% · peligro &gt; 65% (los números viven en Benchmarks!F:G).</t>
        </is>
      </c>
    </row>
    <row r="15">
      <c r="B15" s="4" t="inlineStr">
        <is>
          <t>▸ GOP %: óptimo &gt; 20% · peligro &lt; 15% (los números viven en Benchmarks!F:G).</t>
        </is>
      </c>
    </row>
    <row r="16"/>
    <row r="17">
      <c r="B17" s="4" t="n"/>
    </row>
    <row r="18"/>
    <row r="19">
      <c r="B19" s="4" t="inlineStr">
        <is>
          <t>▸ El RevPASH se mide por PLAZA y hora (aforo × horas de servicio), no por m². «Horas de servicio» son aquellas en las que hay clientes sentados (p. ej. 6 h/día × 26 días = 156), no las que el local está abierto. Las ventas por m² tienen su propia fila.</t>
        </is>
      </c>
    </row>
    <row r="20"/>
    <row r="21">
      <c r="B21" s="20" t="inlineStr">
        <is>
          <t>Todas las cifras van SIN IVA; en el 03 (tesorería) van CON IVA porque es caja.</t>
        </is>
      </c>
    </row>
    <row r="22">
      <c r="B22" s="20" t="inlineStr">
        <is>
          <t>Para editar una celda que no esté en verde: Revisar → Desproteger hoja (no tiene contraseña).</t>
        </is>
      </c>
    </row>
    <row r="23">
      <c r="B23" s="20" t="inlineStr">
        <is>
          <t>Diseñado por John Guerrero — chef y consultor gastronómico desde 2010, en cocina desde los 17 años · johnguerrero.es</t>
        </is>
      </c>
    </row>
    <row r="24">
      <c r="B24" s="20" t="inlineStr">
        <is>
          <t>Versión 2.0 · agosto 2026 · aichef.pro/kit-plan-financiero · info@aichef.pro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H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" customWidth="1" min="1" max="1"/>
    <col width="40" customWidth="1" min="2" max="2"/>
    <col width="18" customWidth="1" min="3" max="3"/>
    <col width="30" customWidth="1" min="4" max="4"/>
    <col width="18" customWidth="1" min="5" max="5"/>
    <col width="14" customWidth="1" min="6" max="6"/>
  </cols>
  <sheetData>
    <row r="1">
      <c r="B1" s="5" t="inlineStr">
        <is>
          <t>Dashboard de Ratios Financieros</t>
        </is>
      </c>
    </row>
    <row r="2">
      <c r="B2" s="2" t="inlineStr">
        <is>
          <t>AI Chef Pro · aichef.pro — Kit Plan Financiero para Restaurantes</t>
        </is>
      </c>
    </row>
    <row r="3">
      <c r="B3" s="21" t="inlineStr">
        <is>
          <t>VALORES DE EJEMPLO — sustitúyelos por los tuyos</t>
        </is>
      </c>
    </row>
    <row r="4">
      <c r="B4" s="6" t="inlineStr">
        <is>
          <t>DATOS DE ENTRADA</t>
        </is>
      </c>
    </row>
    <row r="5">
      <c r="A5" s="7" t="inlineStr"/>
      <c r="B5" s="7" t="inlineStr">
        <is>
          <t>Concepto</t>
        </is>
      </c>
      <c r="C5" s="7" t="inlineStr">
        <is>
          <t>Valor</t>
        </is>
      </c>
      <c r="D5" s="7" t="inlineStr">
        <is>
          <t>Período</t>
        </is>
      </c>
      <c r="E5" s="7" t="inlineStr"/>
    </row>
    <row r="6">
      <c r="B6" s="8" t="inlineStr">
        <is>
          <t>Ventas totales (€, sin IVA)</t>
        </is>
      </c>
      <c r="C6" s="22" t="n">
        <v>31460</v>
      </c>
      <c r="D6" s="10" t="inlineStr">
        <is>
          <t>Mensual</t>
        </is>
      </c>
    </row>
    <row r="7">
      <c r="B7" s="8" t="inlineStr">
        <is>
          <t>· de las cuales, barra / bebida (€, sin IVA)</t>
        </is>
      </c>
      <c r="C7" s="22" t="n">
        <v>7865</v>
      </c>
      <c r="D7" s="10" t="inlineStr">
        <is>
          <t>Mensual</t>
        </is>
      </c>
    </row>
    <row r="8">
      <c r="B8" s="8" t="inlineStr">
        <is>
          <t>Coste de comida — consumo (€)</t>
        </is>
      </c>
      <c r="C8" s="23">
        <f>IFERROR($C$33+$C$34-$C$35,0)</f>
        <v>7078.5</v>
      </c>
      <c r="D8" s="10" t="inlineStr">
        <is>
          <t>Calculado</t>
        </is>
      </c>
    </row>
    <row r="9">
      <c r="B9" s="8" t="inlineStr">
        <is>
          <t>Gastos operativos totales (€)</t>
        </is>
      </c>
      <c r="C9" s="23">
        <f>IFERROR($C$8+$C$36+$C$10+$C$37,0)</f>
        <v>23017.6</v>
      </c>
      <c r="D9" s="10" t="inlineStr">
        <is>
          <t>Calculado</t>
        </is>
      </c>
    </row>
    <row r="10">
      <c r="B10" s="8" t="inlineStr">
        <is>
          <t>Coste personal total (€)</t>
        </is>
      </c>
      <c r="C10" s="22" t="n">
        <v>8808.799999999999</v>
      </c>
      <c r="D10" s="10" t="inlineStr">
        <is>
          <t>Mensual</t>
        </is>
      </c>
    </row>
    <row r="11">
      <c r="B11" s="8" t="inlineStr">
        <is>
          <t>m² de sala</t>
        </is>
      </c>
      <c r="C11" s="24" t="n">
        <v>80</v>
      </c>
      <c r="D11" s="10" t="n"/>
    </row>
    <row r="12">
      <c r="B12" s="8" t="inlineStr">
        <is>
          <t>Horas de SERVICIO / mes (con clientes sentados)</t>
        </is>
      </c>
      <c r="C12" s="24" t="n">
        <v>156</v>
      </c>
      <c r="D12" s="10" t="n"/>
    </row>
    <row r="13">
      <c r="B13" s="8" t="inlineStr">
        <is>
          <t>Nº de plazas (aforo)</t>
        </is>
      </c>
      <c r="C13" s="24" t="n">
        <v>60</v>
      </c>
    </row>
    <row r="14">
      <c r="B14" s="8" t="inlineStr">
        <is>
          <t>Nº de cubiertos servidos</t>
        </is>
      </c>
      <c r="C14" s="24" t="n">
        <v>1430</v>
      </c>
      <c r="D14" t="inlineStr">
        <is>
          <t>Mensual</t>
        </is>
      </c>
    </row>
    <row r="15">
      <c r="B15" s="6" t="inlineStr">
        <is>
          <t>RATIOS CALCULADOS</t>
        </is>
      </c>
    </row>
    <row r="16">
      <c r="A16" s="25" t="n"/>
      <c r="B16" s="26" t="inlineStr">
        <is>
          <t>Ratio</t>
        </is>
      </c>
      <c r="C16" s="26" t="inlineStr">
        <is>
          <t>Tu Valor</t>
        </is>
      </c>
      <c r="D16" s="26" t="inlineStr">
        <is>
          <t>Benchmark Sector</t>
        </is>
      </c>
      <c r="E16" s="26" t="inlineStr">
        <is>
          <t>Estado</t>
        </is>
      </c>
      <c r="F16" s="27" t="inlineStr">
        <is>
          <t>Objetivo</t>
        </is>
      </c>
    </row>
    <row r="17">
      <c r="B17" s="8" t="inlineStr">
        <is>
          <t>Food Cost % (sobre ventas de comida)</t>
        </is>
      </c>
      <c r="C17" s="13">
        <f>IF(($C$6-$C$7)&lt;=0,"Indica las ventas",$C$8/($C$6-$C$7))</f>
        <v>0.3</v>
      </c>
      <c r="D17" s="28" t="str">
        <f>Benchmarks!$D$4</f>
        <v>28% - 32%</v>
      </c>
      <c r="E17" s="15" t="str">
        <f>IFERROR(IF(ISNUMBER($C17),IF($C17&lt;Benchmarks!$F$4,"✅ Excelente",IF($C17&lt;=Benchmarks!$G$4,"⚠️ Aceptable","🔴 Alto")),"—"),"—")</f>
        <v>⚠️ Aceptable</v>
      </c>
      <c r="F17" s="29">
        <f>Benchmarks!$F$4</f>
        <v>0.28</v>
      </c>
    </row>
    <row r="18">
      <c r="B18" s="8" t="inlineStr">
        <is>
          <t>Labor Cost %</t>
        </is>
      </c>
      <c r="C18" s="13">
        <f>IFERROR($C$10/$C$6,"Indica las ventas")</f>
        <v>0.27999999999999997</v>
      </c>
      <c r="D18" s="28" t="str">
        <f>Benchmarks!$D$5</f>
        <v>25% - 30%</v>
      </c>
      <c r="E18" s="15" t="str">
        <f>IFERROR(IF(ISNUMBER($C18),IF($C18&lt;Benchmarks!$F$5,"✅ Excelente",IF($C18&lt;=Benchmarks!$G$5,"⚠️ Aceptable","🔴 Alto")),"—"),"—")</f>
        <v>⚠️ Aceptable</v>
      </c>
      <c r="F18" s="29">
        <f>Benchmarks!$F$5</f>
        <v>0.25</v>
      </c>
    </row>
    <row r="19">
      <c r="B19" s="8" t="inlineStr">
        <is>
          <t>Prime Cost % (comida + bebida + personal)</t>
        </is>
      </c>
      <c r="C19" s="13">
        <f>IFERROR(($C$8+$C$36+$C$10)/$C$6,"Indica las ventas")</f>
        <v>0.5599999999999999</v>
      </c>
      <c r="D19" s="28" t="str">
        <f>Benchmarks!$D$6</f>
        <v>60% - 65%</v>
      </c>
      <c r="E19" s="15" t="str">
        <f>IFERROR(IF(ISNUMBER($C19),IF($C19&lt;Benchmarks!$F$6,"✅ Excelente",IF($C19&lt;=Benchmarks!$G$6,"⚠️ Aceptable","🔴 Alto")),"—"),"—")</f>
        <v>✅ Excelente</v>
      </c>
      <c r="F19" s="29">
        <f>Benchmarks!$F$6</f>
        <v>0.6</v>
      </c>
    </row>
    <row r="20">
      <c r="B20" s="8" t="inlineStr">
        <is>
          <t>GOP (Gross Operating Profit) %</t>
        </is>
      </c>
      <c r="C20" s="13">
        <f>IFERROR(($C$6-$C$9)/$C$6,"Indica las ventas")</f>
        <v>0.26835346471710114</v>
      </c>
      <c r="D20" s="28" t="str">
        <f>Benchmarks!$D$7</f>
        <v>15% - 20%</v>
      </c>
      <c r="E20" s="15" t="str">
        <f>IFERROR(IF(ISNUMBER($C20),IF($C20&gt;Benchmarks!$F$7,"✅ Sano",IF($C20&gt;=Benchmarks!$G$7,"⚠️ Ajustado","🔴 Peligro")),"—"),"—")</f>
        <v>✅ Sano</v>
      </c>
      <c r="F20" s="29">
        <f>Benchmarks!$F$7</f>
        <v>0.2</v>
      </c>
    </row>
    <row r="21">
      <c r="B21" s="8" t="inlineStr">
        <is>
          <t>Beverage Cost % (sobre ventas de barra)</t>
        </is>
      </c>
      <c r="C21" s="13">
        <f>IFERROR($C$36/$C$7,"Indica las ventas de barra")</f>
        <v>0.22</v>
      </c>
      <c r="D21" s="28" t="str">
        <f>Benchmarks!$D$12</f>
        <v>18% - 24%</v>
      </c>
      <c r="E21" s="15" t="str">
        <f>IFERROR(IF(ISNUMBER($C21),IF($C21&lt;Benchmarks!$F$12,"✅ Excelente",IF($C21&lt;=Benchmarks!$G$12,"⚠️ Aceptable","🔴 Alto")),"—"),"—")</f>
        <v>⚠️ Aceptable</v>
      </c>
      <c r="F21" s="29">
        <f>Benchmarks!$F$12</f>
        <v>0.18</v>
      </c>
    </row>
    <row r="22">
      <c r="B22" s="8" t="inlineStr">
        <is>
          <t>RevPASH (€/plaza/hora)</t>
        </is>
      </c>
      <c r="C22" s="16">
        <f>IFERROR($C$6/($C$13*$C$12),"Indica plazas y horas")</f>
        <v>3.361111111111111</v>
      </c>
      <c r="D22" s="28" t="str">
        <f>Benchmarks!$D$13</f>
        <v>3€ - 6€</v>
      </c>
      <c r="E22" s="15" t="str">
        <f>IFERROR(IF(ISNUMBER($C22),IF($C22&gt;Benchmarks!$F$13,"✅ Sano",IF($C22&gt;=Benchmarks!$G$13,"⚠️ Ajustado","🔴 Peligro")),"—"),"—")</f>
        <v>⚠️ Ajustado</v>
      </c>
      <c r="F22" s="30">
        <f>Benchmarks!$F$13</f>
        <v>6.0</v>
      </c>
    </row>
    <row r="23">
      <c r="B23" s="8" t="inlineStr">
        <is>
          <t>EBITDA %</t>
        </is>
      </c>
      <c r="C23" s="13">
        <f>IFERROR(($C$6-$C$9-$C$38)/$C$6,"Indica las ventas")</f>
        <v>0.17299427844882395</v>
      </c>
      <c r="D23" s="28" t="str">
        <f>Benchmarks!$D$10</f>
        <v>10% - 15%</v>
      </c>
      <c r="E23" s="15" t="str">
        <f>IFERROR(IF(ISNUMBER($C23),IF($C23&gt;Benchmarks!$F$10,"✅ Sano",IF($C23&gt;=Benchmarks!$G$10,"⚠️ Ajustado","🔴 Peligro")),"—"),"—")</f>
        <v>✅ Sano</v>
      </c>
      <c r="F23" s="29">
        <f>Benchmarks!$F$10</f>
        <v>0.15</v>
      </c>
    </row>
    <row r="24">
      <c r="B24" s="8" t="inlineStr">
        <is>
          <t>Coste por cubierto / Ticket medio</t>
        </is>
      </c>
      <c r="C24" s="13">
        <f>IFERROR($C$28/$C$29,"Indica los cubiertos")</f>
        <v>0.7316465352828989</v>
      </c>
      <c r="D24" s="28" t="str">
        <f>Benchmarks!$D$11</f>
        <v>80% - 85%</v>
      </c>
      <c r="E24" s="15" t="str">
        <f>IFERROR(IF(ISNUMBER($C24),IF($C24&lt;Benchmarks!$F$11,"✅ Excelente",IF($C24&lt;=Benchmarks!$G$11,"⚠️ Aceptable","🔴 Alto")),"—"),"—")</f>
        <v>✅ Excelente</v>
      </c>
      <c r="F24" s="29">
        <f>Benchmarks!$F$11</f>
        <v>0.8</v>
      </c>
    </row>
    <row r="25">
      <c r="B25" s="8" t="inlineStr">
        <is>
          <t>Margen bruto %</t>
        </is>
      </c>
      <c r="C25" s="29">
        <f>IFERROR(($C$6-$C$8-$C$36)/$C$6,"Indica las ventas")</f>
        <v>0.72</v>
      </c>
      <c r="D25" s="31" t="str">
        <f>Benchmarks!$D$14</f>
        <v>65% - 70%</v>
      </c>
      <c r="E25" t="str">
        <f>IFERROR(IF(ISNUMBER($C25),IF($C25&gt;Benchmarks!$F$14,"✅ Sano",IF($C25&gt;=Benchmarks!$G$14,"⚠️ Ajustado","🔴 Peligro")),"—"),"—")</f>
        <v>✅ Sano</v>
      </c>
      <c r="F25" s="29">
        <f>Benchmarks!$F$14</f>
        <v>0.7</v>
      </c>
    </row>
    <row r="26"/>
    <row r="27">
      <c r="A27" s="10" t="n"/>
      <c r="B27" s="6" t="inlineStr">
        <is>
          <t>OTROS INDICADORES</t>
        </is>
      </c>
    </row>
    <row r="28">
      <c r="B28" s="8" t="inlineStr">
        <is>
          <t>Coste por cubierto (€)</t>
        </is>
      </c>
      <c r="C28" s="30">
        <f>IFERROR($C$9/$C$14,"Indica los cubiertos")</f>
        <v>16.096223776223777</v>
      </c>
    </row>
    <row r="29">
      <c r="B29" s="8" t="inlineStr">
        <is>
          <t>Ticket medio (€, sin IVA)</t>
        </is>
      </c>
      <c r="C29" s="30">
        <f>IFERROR($C$6/$C$14,"Indica los cubiertos")</f>
        <v>22.0</v>
      </c>
    </row>
    <row r="30">
      <c r="B30" s="8" t="inlineStr">
        <is>
          <t>Ventas por m² de sala (€, sin IVA)</t>
        </is>
      </c>
      <c r="C30" s="30">
        <f>IFERROR($C$6/$C$11,"Indica los m² de sala")</f>
        <v>393.25</v>
      </c>
    </row>
    <row r="31"/>
    <row r="32">
      <c r="B32" s="6" t="inlineStr">
        <is>
          <t>DATOS COMPLEMENTARIOS (existencias y desglose de gastos)</t>
        </is>
      </c>
    </row>
    <row r="33">
      <c r="B33" s="8" t="inlineStr">
        <is>
          <t>Existencias iniciales de comida (€)</t>
        </is>
      </c>
      <c r="C33" s="22" t="n">
        <v>0</v>
      </c>
      <c r="D33" s="32" t="inlineStr">
        <is>
          <t>Lo que había en despensa y cámara el día 1.</t>
        </is>
      </c>
    </row>
    <row r="34">
      <c r="B34" s="8" t="inlineStr">
        <is>
          <t>Compras de comida del período (€)</t>
        </is>
      </c>
      <c r="C34" s="22" t="n">
        <v>7078.5</v>
      </c>
      <c r="D34" s="32" t="inlineStr">
        <is>
          <t>Facturas de alimentación del período.</t>
        </is>
      </c>
    </row>
    <row r="35">
      <c r="B35" s="8" t="inlineStr">
        <is>
          <t>Existencias finales de comida (€)</t>
        </is>
      </c>
      <c r="C35" s="22" t="n">
        <v>0</v>
      </c>
      <c r="D35" s="32" t="inlineStr">
        <is>
          <t>Consumo = iniciales + compras − finales. El mes del pedido grande, las compras se disparan y el consumo NO.</t>
        </is>
      </c>
    </row>
    <row r="36">
      <c r="B36" s="8" t="inlineStr">
        <is>
          <t>Coste de bebida — consumo (€)</t>
        </is>
      </c>
      <c r="C36" s="22" t="n">
        <v>1730.3</v>
      </c>
      <c r="D36" s="32" t="inlineStr">
        <is>
          <t>Barra y bodega, aparte de la comida.</t>
        </is>
      </c>
    </row>
    <row r="37">
      <c r="B37" s="8" t="inlineStr">
        <is>
          <t>Otros gastos operativos (€)</t>
        </is>
      </c>
      <c r="C37" s="22" t="n">
        <v>5400</v>
      </c>
      <c r="D37" s="32" t="inlineStr">
        <is>
          <t>Suministros, marketing, gestoría, comisiones de delivery… SIN alquiler ni amortización (van aparte, USALI). Con este valor el EBITDA del ejemplo sale al 17,3 %, el mismo que dan el 02 y el BONUS-08.</t>
        </is>
      </c>
    </row>
    <row r="38">
      <c r="B38" s="8" t="inlineStr">
        <is>
          <t>Alquiler (€)</t>
        </is>
      </c>
      <c r="C38" s="22" t="n">
        <v>3000</v>
      </c>
      <c r="D38" s="32" t="inlineStr">
        <is>
          <t>Fuera del GOP: en USALI es carga de propiedad.</t>
        </is>
      </c>
    </row>
    <row r="39"/>
    <row r="40">
      <c r="B40" s="32" t="inlineStr">
        <is>
          <t>El GOP se mide ANTES del alquiler y de la amortización (criterio USALI): por eso el alquiler tiene su propia línea y el EBITDA % se calcula aparte.</t>
        </is>
      </c>
    </row>
    <row r="41"/>
    <row r="42"/>
    <row r="43"/>
    <row r="44"/>
    <row r="45"/>
    <row r="46"/>
    <row r="47"/>
    <row r="48"/>
    <row r="49"/>
    <row r="50">
      <c r="A50" s="33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B2:E2"/>
    <mergeCell ref="B1:E1"/>
  </mergeCells>
  <conditionalFormatting sqref="E17:E25">
    <cfRule type="containsText" priority="1" operator="containsText" dxfId="0" stopIfTrue="1" text="🔴 Alto">
      <formula>NOT(ISERROR(SEARCH("🔴 Alto",E17)))</formula>
    </cfRule>
    <cfRule type="containsText" priority="2" operator="containsText" dxfId="1" stopIfTrue="1" text="⚠️ Aceptable">
      <formula>NOT(ISERROR(SEARCH("⚠️ Aceptable",E17)))</formula>
    </cfRule>
    <cfRule type="containsText" priority="3" operator="containsText" dxfId="2" stopIfTrue="1" text="✅ Excelente">
      <formula>NOT(ISERROR(SEARCH("✅ Excelente",E17)))</formula>
    </cfRule>
    <cfRule type="containsText" priority="4" operator="containsText" dxfId="0" stopIfTrue="1" text="🔴 Peligro">
      <formula>NOT(ISERROR(SEARCH("🔴 Peligro",E17)))</formula>
    </cfRule>
    <cfRule type="containsText" priority="5" operator="containsText" dxfId="1" stopIfTrue="1" text="⚠️ Ajustado">
      <formula>NOT(ISERROR(SEARCH("⚠️ Ajustado",E17)))</formula>
    </cfRule>
    <cfRule type="containsText" priority="6" operator="containsText" dxfId="2" stopIfTrue="1" text="✅ Sano">
      <formula>NOT(ISERROR(SEARCH("✅ Sano",E17)))</formula>
    </cfRule>
  </conditionalFormatting>
  <dataValidations count="1">
    <dataValidation sqref="C6 C7 C10 C11 C12 C13 C14 C33 C34 C35 C36 C37 C38" showDropDown="0" showInputMessage="0" showErrorMessage="1" allowBlank="1" errorTitle="Importe no válido" error="Escribe un número mayor o igual que 0." type="decimal" operator="greaterThanOrEqual">
      <formula1>0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18" customWidth="1" min="4" max="4"/>
    <col width="18" customWidth="1" min="5" max="5"/>
    <col width="14" customWidth="1" min="6" max="6"/>
    <col width="14" customWidth="1" min="7" max="7"/>
    <col width="18" customWidth="1" min="8" max="8"/>
  </cols>
  <sheetData>
    <row r="1">
      <c r="B1" s="5" t="inlineStr">
        <is>
          <t>Benchmarks del Sector Hostelería</t>
        </is>
      </c>
    </row>
    <row r="2"/>
    <row r="3">
      <c r="A3" s="25" t="n"/>
      <c r="B3" s="34" t="inlineStr">
        <is>
          <t>Ratio</t>
        </is>
      </c>
      <c r="C3" s="34" t="inlineStr">
        <is>
          <t>Óptimo</t>
        </is>
      </c>
      <c r="D3" s="34" t="inlineStr">
        <is>
          <t>Aceptable</t>
        </is>
      </c>
      <c r="E3" s="34" t="inlineStr">
        <is>
          <t>Peligro</t>
        </is>
      </c>
      <c r="F3" s="35" t="inlineStr">
        <is>
          <t>Óptimo (nº)</t>
        </is>
      </c>
      <c r="G3" s="35" t="inlineStr">
        <is>
          <t>Límite (nº)</t>
        </is>
      </c>
      <c r="H3" s="35" t="inlineStr">
        <is>
          <t>Sentido</t>
        </is>
      </c>
    </row>
    <row r="4">
      <c r="B4" s="8" t="inlineStr">
        <is>
          <t>Food Cost %</t>
        </is>
      </c>
      <c r="C4" s="36" t="inlineStr">
        <is>
          <t>&lt; 28%</t>
        </is>
      </c>
      <c r="D4" s="37" t="inlineStr">
        <is>
          <t>28% - 32%</t>
        </is>
      </c>
      <c r="E4" s="38" t="inlineStr">
        <is>
          <t>&gt; 32%</t>
        </is>
      </c>
      <c r="F4" s="29" t="n">
        <v>0.28</v>
      </c>
      <c r="G4" s="29" t="n">
        <v>0.32</v>
      </c>
      <c r="H4" s="39" t="inlineStr">
        <is>
          <t>menor es mejor</t>
        </is>
      </c>
    </row>
    <row r="5">
      <c r="B5" s="8" t="inlineStr">
        <is>
          <t>Labor Cost %</t>
        </is>
      </c>
      <c r="C5" s="36" t="inlineStr">
        <is>
          <t>&lt; 25%</t>
        </is>
      </c>
      <c r="D5" s="37" t="inlineStr">
        <is>
          <t>25% - 30%</t>
        </is>
      </c>
      <c r="E5" s="38" t="inlineStr">
        <is>
          <t>&gt; 30%</t>
        </is>
      </c>
      <c r="F5" s="29" t="n">
        <v>0.25</v>
      </c>
      <c r="G5" s="29" t="n">
        <v>0.3</v>
      </c>
      <c r="H5" s="39" t="inlineStr">
        <is>
          <t>menor es mejor</t>
        </is>
      </c>
    </row>
    <row r="6">
      <c r="B6" s="8" t="inlineStr">
        <is>
          <t>Prime Cost %</t>
        </is>
      </c>
      <c r="C6" s="36" t="inlineStr">
        <is>
          <t>&lt; 60%</t>
        </is>
      </c>
      <c r="D6" s="37" t="inlineStr">
        <is>
          <t>60% - 65%</t>
        </is>
      </c>
      <c r="E6" s="38" t="inlineStr">
        <is>
          <t>&gt; 65%</t>
        </is>
      </c>
      <c r="F6" s="29" t="n">
        <v>0.6</v>
      </c>
      <c r="G6" s="29" t="n">
        <v>0.65</v>
      </c>
      <c r="H6" s="39" t="inlineStr">
        <is>
          <t>menor es mejor</t>
        </is>
      </c>
    </row>
    <row r="7">
      <c r="B7" s="8" t="inlineStr">
        <is>
          <t>GOP %</t>
        </is>
      </c>
      <c r="C7" s="36" t="inlineStr">
        <is>
          <t>&gt; 20%</t>
        </is>
      </c>
      <c r="D7" s="37" t="inlineStr">
        <is>
          <t>15% - 20%</t>
        </is>
      </c>
      <c r="E7" s="38" t="inlineStr">
        <is>
          <t>&lt; 15%</t>
        </is>
      </c>
      <c r="F7" s="29" t="n">
        <v>0.2</v>
      </c>
      <c r="G7" s="29" t="n">
        <v>0.15</v>
      </c>
      <c r="H7" s="39" t="inlineStr">
        <is>
          <t>mayor es mejor</t>
        </is>
      </c>
    </row>
    <row r="8">
      <c r="B8" s="8" t="inlineStr">
        <is>
          <t>Alquiler / Ventas</t>
        </is>
      </c>
      <c r="C8" s="36" t="inlineStr">
        <is>
          <t>&lt; 8%</t>
        </is>
      </c>
      <c r="D8" s="37" t="inlineStr">
        <is>
          <t>8% - 12%</t>
        </is>
      </c>
      <c r="E8" s="38" t="inlineStr">
        <is>
          <t>&gt; 12%</t>
        </is>
      </c>
      <c r="F8" s="29" t="n">
        <v>0.08</v>
      </c>
      <c r="G8" s="29" t="n">
        <v>0.12</v>
      </c>
      <c r="H8" s="39" t="inlineStr">
        <is>
          <t>menor es mejor</t>
        </is>
      </c>
    </row>
    <row r="9">
      <c r="B9" s="8" t="inlineStr">
        <is>
          <t>Marketing / Ventas</t>
        </is>
      </c>
      <c r="C9" s="36" t="inlineStr">
        <is>
          <t>&lt; 5%</t>
        </is>
      </c>
      <c r="D9" s="37" t="inlineStr">
        <is>
          <t>5% - 8%</t>
        </is>
      </c>
      <c r="E9" s="38" t="inlineStr">
        <is>
          <t>&gt; 8%</t>
        </is>
      </c>
      <c r="F9" s="29" t="n">
        <v>0.05</v>
      </c>
      <c r="G9" s="29" t="n">
        <v>0.08</v>
      </c>
      <c r="H9" s="39" t="inlineStr">
        <is>
          <t>menor es mejor</t>
        </is>
      </c>
    </row>
    <row r="10">
      <c r="B10" s="8" t="inlineStr">
        <is>
          <t>EBITDA %</t>
        </is>
      </c>
      <c r="C10" s="36" t="inlineStr">
        <is>
          <t>&gt; 15%</t>
        </is>
      </c>
      <c r="D10" s="37" t="inlineStr">
        <is>
          <t>10% - 15%</t>
        </is>
      </c>
      <c r="E10" s="38" t="inlineStr">
        <is>
          <t>&lt; 10%</t>
        </is>
      </c>
      <c r="F10" s="29" t="n">
        <v>0.15</v>
      </c>
      <c r="G10" s="29" t="n">
        <v>0.1</v>
      </c>
      <c r="H10" s="39" t="inlineStr">
        <is>
          <t>mayor es mejor</t>
        </is>
      </c>
    </row>
    <row r="11">
      <c r="B11" s="8" t="inlineStr">
        <is>
          <t>Coste cubierto / Ticket</t>
        </is>
      </c>
      <c r="C11" s="36" t="inlineStr">
        <is>
          <t>&lt; 80%</t>
        </is>
      </c>
      <c r="D11" s="37" t="inlineStr">
        <is>
          <t>80% - 85%</t>
        </is>
      </c>
      <c r="E11" s="38" t="inlineStr">
        <is>
          <t>&gt; 85%</t>
        </is>
      </c>
      <c r="F11" s="29" t="n">
        <v>0.8</v>
      </c>
      <c r="G11" s="29" t="n">
        <v>0.85</v>
      </c>
      <c r="H11" s="39" t="inlineStr">
        <is>
          <t>menor es mejor</t>
        </is>
      </c>
    </row>
    <row r="12">
      <c r="B12" t="inlineStr">
        <is>
          <t>Beverage Cost %</t>
        </is>
      </c>
      <c r="C12" s="40" t="inlineStr">
        <is>
          <t>&lt; 18%</t>
        </is>
      </c>
      <c r="D12" s="41" t="inlineStr">
        <is>
          <t>18% - 24%</t>
        </is>
      </c>
      <c r="E12" s="42" t="inlineStr">
        <is>
          <t>&gt; 24%</t>
        </is>
      </c>
      <c r="F12" s="29" t="n">
        <v>0.18</v>
      </c>
      <c r="G12" s="29" t="n">
        <v>0.24</v>
      </c>
      <c r="H12" s="39" t="inlineStr">
        <is>
          <t>menor es mejor</t>
        </is>
      </c>
    </row>
    <row r="13">
      <c r="B13" t="inlineStr">
        <is>
          <t>RevPASH (€/plaza/hora)</t>
        </is>
      </c>
      <c r="C13" s="40" t="inlineStr">
        <is>
          <t>&gt; 6€</t>
        </is>
      </c>
      <c r="D13" s="41" t="inlineStr">
        <is>
          <t>3€ - 6€</t>
        </is>
      </c>
      <c r="E13" s="42" t="inlineStr">
        <is>
          <t>&lt; 3€</t>
        </is>
      </c>
      <c r="F13" s="30" t="n">
        <v>6</v>
      </c>
      <c r="G13" s="30" t="n">
        <v>3</v>
      </c>
      <c r="H13" s="39" t="inlineStr">
        <is>
          <t>mayor es mejor</t>
        </is>
      </c>
    </row>
    <row r="14">
      <c r="A14" s="10" t="n"/>
      <c r="B14" t="inlineStr">
        <is>
          <t>Margen bruto %</t>
        </is>
      </c>
      <c r="C14" s="40" t="inlineStr">
        <is>
          <t>&gt; 70%</t>
        </is>
      </c>
      <c r="D14" s="41" t="inlineStr">
        <is>
          <t>65% - 70%</t>
        </is>
      </c>
      <c r="E14" s="42" t="inlineStr">
        <is>
          <t>&lt; 65%</t>
        </is>
      </c>
      <c r="F14" s="29" t="n">
        <v>0.7</v>
      </c>
      <c r="G14" s="29" t="n">
        <v>0.65</v>
      </c>
      <c r="H14" s="39" t="inlineStr">
        <is>
          <t>mayor es mejor</t>
        </is>
      </c>
    </row>
    <row r="15"/>
    <row r="16"/>
    <row r="17">
      <c r="B17" s="32" t="inlineStr">
        <is>
          <t>Las columnas «Óptimo (nº)» y «Límite (nº)» son la ÚNICA fuente de umbrales del kit: el semáforo de la pestaña Ratios las lee, y los textos de la izquierda se generan desde ellas. Edítalas y todo el dashboard se mueve con ellas.</t>
        </is>
      </c>
    </row>
    <row r="18"/>
    <row r="19"/>
    <row r="20">
      <c r="A20" s="33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1">
    <mergeCell ref="B1:E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06 · Dashboard de Ratios Financieros · Kit Plan Financiero para Restaurantes</dc:title>
  <dc:description xmlns:dc="http://purl.org/dc/elements/1.1/">aichef.pro/kit-plan-financiero</dc:description>
  <dc:subject xmlns:dc="http://purl.org/dc/elements/1.1/">Kit Plan Financiero para Restaurantes · v2.0</dc:subject>
  <dcterms:created xmlns:dcterms="http://purl.org/dc/terms/" xmlns:xsi="http://www.w3.org/2001/XMLSchema-instance" xsi:type="dcterms:W3CDTF">2026-04-05T10:13:01Z</dcterms:created>
  <dcterms:modified xmlns:dcterms="http://purl.org/dc/terms/" xmlns:xsi="http://www.w3.org/2001/XMLSchema-instance" xsi:type="dcterms:W3CDTF">2026-08-28T23:26:36Z</dcterms:modified>
  <cp:lastModifiedBy>AI Chef Pro</cp:lastModifiedBy>
  <cp:category>AI Chef Pro · Productos digitales</cp:category>
  <cp:keywords>kit plan financiero, plan de negocio restaurante, viabilidad, punto de equilibrio, cash flow, TIR VAN payback, AI Chef Pro</cp:keywords>
</cp:coreProperties>
</file>