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Obra" sheetId="2" state="visible" r:id="rId2"/>
    <sheet xmlns:r="http://schemas.openxmlformats.org/officeDocument/2006/relationships" name="Equipamiento Cocina" sheetId="3" state="visible" r:id="rId3"/>
    <sheet xmlns:r="http://schemas.openxmlformats.org/officeDocument/2006/relationships" name="Mobiliario Sala" sheetId="4" state="visible" r:id="rId4"/>
    <sheet xmlns:r="http://schemas.openxmlformats.org/officeDocument/2006/relationships" name="Tecnología" sheetId="5" state="visible" r:id="rId5"/>
    <sheet xmlns:r="http://schemas.openxmlformats.org/officeDocument/2006/relationships" name="Licencias" sheetId="6" state="visible" r:id="rId6"/>
    <sheet xmlns:r="http://schemas.openxmlformats.org/officeDocument/2006/relationships" name="Resumen" sheetId="7" state="visible" r:id="rId7"/>
  </sheets>
  <definedNames>
    <definedName name="_xlnm.Print_Titles" localSheetId="1">'Obra'!$4:$4</definedName>
    <definedName name="_xlnm.Print_Titles" localSheetId="2">'Equipamiento Cocina'!$4:$4</definedName>
    <definedName name="_xlnm.Print_Titles" localSheetId="3">'Mobiliario Sala'!$4:$4</definedName>
    <definedName name="_xlnm.Print_Titles" localSheetId="4">'Tecnología'!$4:$4</definedName>
    <definedName name="_xlnm.Print_Titles" localSheetId="5">'Licencias'!$4:$4</definedName>
    <definedName name="_xlnm.Print_Titles" localSheetId="6">'Resumen'!$4:$4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3"/>
    </font>
    <font>
      <name val="Calibri"/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7" fillId="3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0" pivotButton="0" quotePrefix="0" xfId="0"/>
    <xf numFmtId="164" fontId="7" fillId="0" borderId="1" applyAlignment="1" pivotButton="0" quotePrefix="0" xfId="0">
      <alignment horizontal="right" vertical="center"/>
    </xf>
    <xf numFmtId="0" fontId="11" fillId="0" borderId="1" pivotButton="0" quotePrefix="0" xfId="0"/>
    <xf numFmtId="164" fontId="1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</cols>
  <sheetData>
    <row r="1"/>
    <row r="2">
      <c r="B2" s="1" t="inlineStr">
        <is>
          <t>04 · Presupuesto de Inversión (CAPEX)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Cada pestaña cubre una categoría de inversión inicial.</t>
        </is>
      </c>
    </row>
    <row r="8">
      <c r="B8" s="4" t="inlineStr">
        <is>
          <t>▸ Introduce el presupuesto estimado y luego el coste real.</t>
        </is>
      </c>
    </row>
    <row r="9">
      <c r="B9" s="4" t="inlineStr">
        <is>
          <t>▸ La desviación se calcula automáticamente (% sobre presupuesto).</t>
        </is>
      </c>
    </row>
    <row r="10">
      <c r="B10" s="4" t="inlineStr">
        <is>
          <t>▸ La pestaña Resumen consolida todas las categorías.</t>
        </is>
      </c>
    </row>
    <row r="11"/>
    <row r="12">
      <c r="B12" s="3" t="inlineStr">
        <is>
          <t>Categorías:</t>
        </is>
      </c>
    </row>
    <row r="13">
      <c r="B13" s="4" t="inlineStr">
        <is>
          <t>▸ Obra civil, Equipamiento Cocina, Mobiliario Sala, Tecnología, Licencias y Permisos.</t>
        </is>
      </c>
    </row>
    <row r="14"/>
    <row r="15">
      <c r="B15" s="4" t="inlineStr">
        <is>
          <t>Versión 1.1 · agosto 2026 · aichef.pro/kit-plan-financiero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Inversión — Obra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Partida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  <c r="E4" s="6" t="inlineStr">
        <is>
          <t>Notas</t>
        </is>
      </c>
    </row>
    <row r="5">
      <c r="A5" s="7" t="inlineStr">
        <is>
          <t>Demolición y vaciado</t>
        </is>
      </c>
      <c r="B5" s="8" t="n">
        <v>0</v>
      </c>
      <c r="C5" s="8" t="n">
        <v>0</v>
      </c>
      <c r="D5" s="9">
        <f>IF(B5=0,0,(C5-B5)/B5)</f>
        <v>0.0</v>
      </c>
      <c r="E5" s="7" t="n"/>
    </row>
    <row r="6">
      <c r="A6" s="7" t="inlineStr">
        <is>
          <t>Albañilería</t>
        </is>
      </c>
      <c r="B6" s="8" t="n">
        <v>0</v>
      </c>
      <c r="C6" s="8" t="n">
        <v>0</v>
      </c>
      <c r="D6" s="9">
        <f>IF(B6=0,0,(C6-B6)/B6)</f>
        <v>0.0</v>
      </c>
      <c r="E6" s="7" t="n"/>
    </row>
    <row r="7">
      <c r="A7" s="7" t="inlineStr">
        <is>
          <t>Fontanería</t>
        </is>
      </c>
      <c r="B7" s="8" t="n">
        <v>0</v>
      </c>
      <c r="C7" s="8" t="n">
        <v>0</v>
      </c>
      <c r="D7" s="9">
        <f>IF(B7=0,0,(C7-B7)/B7)</f>
        <v>0.0</v>
      </c>
      <c r="E7" s="7" t="n"/>
    </row>
    <row r="8">
      <c r="A8" s="7" t="inlineStr">
        <is>
          <t>Electricidad</t>
        </is>
      </c>
      <c r="B8" s="8" t="n">
        <v>0</v>
      </c>
      <c r="C8" s="8" t="n">
        <v>0</v>
      </c>
      <c r="D8" s="9">
        <f>IF(B8=0,0,(C8-B8)/B8)</f>
        <v>0.0</v>
      </c>
      <c r="E8" s="7" t="n"/>
    </row>
    <row r="9">
      <c r="A9" s="7" t="inlineStr">
        <is>
          <t>Climatización / Extracción</t>
        </is>
      </c>
      <c r="B9" s="8" t="n">
        <v>0</v>
      </c>
      <c r="C9" s="8" t="n">
        <v>0</v>
      </c>
      <c r="D9" s="9">
        <f>IF(B9=0,0,(C9-B9)/B9)</f>
        <v>0.0</v>
      </c>
      <c r="E9" s="7" t="n"/>
    </row>
    <row r="10">
      <c r="A10" s="7" t="inlineStr">
        <is>
          <t>Pintura y acabados</t>
        </is>
      </c>
      <c r="B10" s="8" t="n">
        <v>0</v>
      </c>
      <c r="C10" s="8" t="n">
        <v>0</v>
      </c>
      <c r="D10" s="9">
        <f>IF(B10=0,0,(C10-B10)/B10)</f>
        <v>0.0</v>
      </c>
      <c r="E10" s="7" t="n"/>
    </row>
    <row r="11">
      <c r="A11" s="7" t="inlineStr">
        <is>
          <t>Suelo</t>
        </is>
      </c>
      <c r="B11" s="8" t="n">
        <v>0</v>
      </c>
      <c r="C11" s="8" t="n">
        <v>0</v>
      </c>
      <c r="D11" s="9">
        <f>IF(B11=0,0,(C11-B11)/B11)</f>
        <v>0.0</v>
      </c>
      <c r="E11" s="7" t="n"/>
    </row>
    <row r="12">
      <c r="A12" s="7" t="inlineStr">
        <is>
          <t>Fachada / Rótulo</t>
        </is>
      </c>
      <c r="B12" s="8" t="n">
        <v>0</v>
      </c>
      <c r="C12" s="8" t="n">
        <v>0</v>
      </c>
      <c r="D12" s="9">
        <f>IF(B12=0,0,(C12-B12)/B12)</f>
        <v>0.0</v>
      </c>
      <c r="E12" s="7" t="n"/>
    </row>
    <row r="13">
      <c r="A13" s="7" t="inlineStr">
        <is>
          <t>Baños clientes</t>
        </is>
      </c>
      <c r="B13" s="8" t="n">
        <v>0</v>
      </c>
      <c r="C13" s="8" t="n">
        <v>0</v>
      </c>
      <c r="D13" s="9">
        <f>IF(B13=0,0,(C13-B13)/B13)</f>
        <v>0.0</v>
      </c>
      <c r="E13" s="7" t="n"/>
    </row>
    <row r="14">
      <c r="A14" s="7" t="inlineStr">
        <is>
          <t>Vestuarios personal</t>
        </is>
      </c>
      <c r="B14" s="8" t="n">
        <v>0</v>
      </c>
      <c r="C14" s="8" t="n">
        <v>0</v>
      </c>
      <c r="D14" s="9">
        <f>IF(B14=0,0,(C14-B14)/B14)</f>
        <v>0.0</v>
      </c>
      <c r="E14" s="7" t="n"/>
    </row>
    <row r="15">
      <c r="A15" s="10" t="inlineStr">
        <is>
          <t>TOTAL OBRA</t>
        </is>
      </c>
      <c r="B15" s="11">
        <f>SUM(B5:B14)</f>
        <v>0.0</v>
      </c>
      <c r="C15" s="11">
        <f>SUM(C5:C14)</f>
        <v>0.0</v>
      </c>
      <c r="D15" s="9">
        <f>IF(B15=0,0,(C15-B15)/B15)</f>
        <v>0.0</v>
      </c>
    </row>
    <row r="16"/>
    <row r="17">
      <c r="A17" s="12" t="inlineStr">
        <is>
          <t>© 2026 AI Chef Pro · aichef.pro</t>
        </is>
      </c>
    </row>
  </sheetData>
  <mergeCells count="3">
    <mergeCell ref="A1:E1"/>
    <mergeCell ref="A17:E17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Inversión — Equipamiento Cocina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Partida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  <c r="E4" s="6" t="inlineStr">
        <is>
          <t>Notas</t>
        </is>
      </c>
    </row>
    <row r="5">
      <c r="A5" s="7" t="inlineStr">
        <is>
          <t>Cocina industrial (fogones)</t>
        </is>
      </c>
      <c r="B5" s="8" t="n">
        <v>0</v>
      </c>
      <c r="C5" s="8" t="n">
        <v>0</v>
      </c>
      <c r="D5" s="9">
        <f>IF(B5=0,0,(C5-B5)/B5)</f>
        <v>0.0</v>
      </c>
      <c r="E5" s="7" t="n"/>
    </row>
    <row r="6">
      <c r="A6" s="7" t="inlineStr">
        <is>
          <t>Horno combinado</t>
        </is>
      </c>
      <c r="B6" s="8" t="n">
        <v>0</v>
      </c>
      <c r="C6" s="8" t="n">
        <v>0</v>
      </c>
      <c r="D6" s="9">
        <f>IF(B6=0,0,(C6-B6)/B6)</f>
        <v>0.0</v>
      </c>
      <c r="E6" s="7" t="n"/>
    </row>
    <row r="7">
      <c r="A7" s="7" t="inlineStr">
        <is>
          <t>Plancha / Grill</t>
        </is>
      </c>
      <c r="B7" s="8" t="n">
        <v>0</v>
      </c>
      <c r="C7" s="8" t="n">
        <v>0</v>
      </c>
      <c r="D7" s="9">
        <f>IF(B7=0,0,(C7-B7)/B7)</f>
        <v>0.0</v>
      </c>
      <c r="E7" s="7" t="n"/>
    </row>
    <row r="8">
      <c r="A8" s="7" t="inlineStr">
        <is>
          <t>Freidora</t>
        </is>
      </c>
      <c r="B8" s="8" t="n">
        <v>0</v>
      </c>
      <c r="C8" s="8" t="n">
        <v>0</v>
      </c>
      <c r="D8" s="9">
        <f>IF(B8=0,0,(C8-B8)/B8)</f>
        <v>0.0</v>
      </c>
      <c r="E8" s="7" t="n"/>
    </row>
    <row r="9">
      <c r="A9" s="7" t="inlineStr">
        <is>
          <t>Cámara frigorífica</t>
        </is>
      </c>
      <c r="B9" s="8" t="n">
        <v>0</v>
      </c>
      <c r="C9" s="8" t="n">
        <v>0</v>
      </c>
      <c r="D9" s="9">
        <f>IF(B9=0,0,(C9-B9)/B9)</f>
        <v>0.0</v>
      </c>
      <c r="E9" s="7" t="n"/>
    </row>
    <row r="10">
      <c r="A10" s="7" t="inlineStr">
        <is>
          <t>Congelador</t>
        </is>
      </c>
      <c r="B10" s="8" t="n">
        <v>0</v>
      </c>
      <c r="C10" s="8" t="n">
        <v>0</v>
      </c>
      <c r="D10" s="9">
        <f>IF(B10=0,0,(C10-B10)/B10)</f>
        <v>0.0</v>
      </c>
      <c r="E10" s="7" t="n"/>
    </row>
    <row r="11">
      <c r="A11" s="7" t="inlineStr">
        <is>
          <t>Mesa de trabajo inox</t>
        </is>
      </c>
      <c r="B11" s="8" t="n">
        <v>0</v>
      </c>
      <c r="C11" s="8" t="n">
        <v>0</v>
      </c>
      <c r="D11" s="9">
        <f>IF(B11=0,0,(C11-B11)/B11)</f>
        <v>0.0</v>
      </c>
      <c r="E11" s="7" t="n"/>
    </row>
    <row r="12">
      <c r="A12" s="7" t="inlineStr">
        <is>
          <t>Lavavajillas industrial</t>
        </is>
      </c>
      <c r="B12" s="8" t="n">
        <v>0</v>
      </c>
      <c r="C12" s="8" t="n">
        <v>0</v>
      </c>
      <c r="D12" s="9">
        <f>IF(B12=0,0,(C12-B12)/B12)</f>
        <v>0.0</v>
      </c>
      <c r="E12" s="7" t="n"/>
    </row>
    <row r="13">
      <c r="A13" s="7" t="inlineStr">
        <is>
          <t>Campana extractora</t>
        </is>
      </c>
      <c r="B13" s="8" t="n">
        <v>0</v>
      </c>
      <c r="C13" s="8" t="n">
        <v>0</v>
      </c>
      <c r="D13" s="9">
        <f>IF(B13=0,0,(C13-B13)/B13)</f>
        <v>0.0</v>
      </c>
      <c r="E13" s="7" t="n"/>
    </row>
    <row r="14">
      <c r="A14" s="7" t="inlineStr">
        <is>
          <t>Pequeño material cocina</t>
        </is>
      </c>
      <c r="B14" s="8" t="n">
        <v>0</v>
      </c>
      <c r="C14" s="8" t="n">
        <v>0</v>
      </c>
      <c r="D14" s="9">
        <f>IF(B14=0,0,(C14-B14)/B14)</f>
        <v>0.0</v>
      </c>
      <c r="E14" s="7" t="n"/>
    </row>
    <row r="15">
      <c r="A15" s="10" t="inlineStr">
        <is>
          <t>TOTAL EQUIPAMIENTO COCINA</t>
        </is>
      </c>
      <c r="B15" s="11">
        <f>SUM(B5:B14)</f>
        <v>0.0</v>
      </c>
      <c r="C15" s="11">
        <f>SUM(C5:C14)</f>
        <v>0.0</v>
      </c>
      <c r="D15" s="9">
        <f>IF(B15=0,0,(C15-B15)/B15)</f>
        <v>0.0</v>
      </c>
    </row>
    <row r="16"/>
    <row r="17">
      <c r="A17" s="12" t="inlineStr">
        <is>
          <t>© 2026 AI Chef Pro · aichef.pro</t>
        </is>
      </c>
    </row>
  </sheetData>
  <mergeCells count="3">
    <mergeCell ref="A1:E1"/>
    <mergeCell ref="A17:E17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Inversión — Mobiliario Sala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Partida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  <c r="E4" s="6" t="inlineStr">
        <is>
          <t>Notas</t>
        </is>
      </c>
    </row>
    <row r="5">
      <c r="A5" s="7" t="inlineStr">
        <is>
          <t>Mesas</t>
        </is>
      </c>
      <c r="B5" s="8" t="n">
        <v>0</v>
      </c>
      <c r="C5" s="8" t="n">
        <v>0</v>
      </c>
      <c r="D5" s="9">
        <f>IF(B5=0,0,(C5-B5)/B5)</f>
        <v>0.0</v>
      </c>
      <c r="E5" s="7" t="n"/>
    </row>
    <row r="6">
      <c r="A6" s="7" t="inlineStr">
        <is>
          <t>Sillas</t>
        </is>
      </c>
      <c r="B6" s="8" t="n">
        <v>0</v>
      </c>
      <c r="C6" s="8" t="n">
        <v>0</v>
      </c>
      <c r="D6" s="9">
        <f>IF(B6=0,0,(C6-B6)/B6)</f>
        <v>0.0</v>
      </c>
      <c r="E6" s="7" t="n"/>
    </row>
    <row r="7">
      <c r="A7" s="7" t="inlineStr">
        <is>
          <t>Barra</t>
        </is>
      </c>
      <c r="B7" s="8" t="n">
        <v>0</v>
      </c>
      <c r="C7" s="8" t="n">
        <v>0</v>
      </c>
      <c r="D7" s="9">
        <f>IF(B7=0,0,(C7-B7)/B7)</f>
        <v>0.0</v>
      </c>
      <c r="E7" s="7" t="n"/>
    </row>
    <row r="8">
      <c r="A8" s="7" t="inlineStr">
        <is>
          <t>Taburetes barra</t>
        </is>
      </c>
      <c r="B8" s="8" t="n">
        <v>0</v>
      </c>
      <c r="C8" s="8" t="n">
        <v>0</v>
      </c>
      <c r="D8" s="9">
        <f>IF(B8=0,0,(C8-B8)/B8)</f>
        <v>0.0</v>
      </c>
      <c r="E8" s="7" t="n"/>
    </row>
    <row r="9">
      <c r="A9" s="7" t="inlineStr">
        <is>
          <t>Estanterías / decoración</t>
        </is>
      </c>
      <c r="B9" s="8" t="n">
        <v>0</v>
      </c>
      <c r="C9" s="8" t="n">
        <v>0</v>
      </c>
      <c r="D9" s="9">
        <f>IF(B9=0,0,(C9-B9)/B9)</f>
        <v>0.0</v>
      </c>
      <c r="E9" s="7" t="n"/>
    </row>
    <row r="10">
      <c r="A10" s="7" t="inlineStr">
        <is>
          <t>Iluminación</t>
        </is>
      </c>
      <c r="B10" s="8" t="n">
        <v>0</v>
      </c>
      <c r="C10" s="8" t="n">
        <v>0</v>
      </c>
      <c r="D10" s="9">
        <f>IF(B10=0,0,(C10-B10)/B10)</f>
        <v>0.0</v>
      </c>
      <c r="E10" s="7" t="n"/>
    </row>
    <row r="11">
      <c r="A11" s="7" t="inlineStr">
        <is>
          <t>Terraza (mesas + sillas)</t>
        </is>
      </c>
      <c r="B11" s="8" t="n">
        <v>0</v>
      </c>
      <c r="C11" s="8" t="n">
        <v>0</v>
      </c>
      <c r="D11" s="9">
        <f>IF(B11=0,0,(C11-B11)/B11)</f>
        <v>0.0</v>
      </c>
      <c r="E11" s="7" t="n"/>
    </row>
    <row r="12">
      <c r="A12" s="7" t="inlineStr">
        <is>
          <t>Textil (manteles, servilletas)</t>
        </is>
      </c>
      <c r="B12" s="8" t="n">
        <v>0</v>
      </c>
      <c r="C12" s="8" t="n">
        <v>0</v>
      </c>
      <c r="D12" s="9">
        <f>IF(B12=0,0,(C12-B12)/B12)</f>
        <v>0.0</v>
      </c>
      <c r="E12" s="7" t="n"/>
    </row>
    <row r="13">
      <c r="A13" s="10" t="inlineStr">
        <is>
          <t>TOTAL MOBILIARIO SALA</t>
        </is>
      </c>
      <c r="B13" s="11">
        <f>SUM(B5:B12)</f>
        <v>0.0</v>
      </c>
      <c r="C13" s="11">
        <f>SUM(C5:C12)</f>
        <v>0.0</v>
      </c>
      <c r="D13" s="9">
        <f>IF(B13=0,0,(C13-B13)/B13)</f>
        <v>0.0</v>
      </c>
    </row>
    <row r="14"/>
    <row r="15">
      <c r="A15" s="12" t="inlineStr">
        <is>
          <t>© 2026 AI Chef Pro · aichef.pro</t>
        </is>
      </c>
    </row>
  </sheetData>
  <mergeCells count="3">
    <mergeCell ref="A1:E1"/>
    <mergeCell ref="A15:E15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Inversión — Tecnología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Partida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  <c r="E4" s="6" t="inlineStr">
        <is>
          <t>Notas</t>
        </is>
      </c>
    </row>
    <row r="5">
      <c r="A5" s="7" t="inlineStr">
        <is>
          <t>TPV (hardware + software)</t>
        </is>
      </c>
      <c r="B5" s="8" t="n">
        <v>0</v>
      </c>
      <c r="C5" s="8" t="n">
        <v>0</v>
      </c>
      <c r="D5" s="9">
        <f>IF(B5=0,0,(C5-B5)/B5)</f>
        <v>0.0</v>
      </c>
      <c r="E5" s="7" t="n"/>
    </row>
    <row r="6">
      <c r="A6" s="7" t="inlineStr">
        <is>
          <t>Impresoras comandas</t>
        </is>
      </c>
      <c r="B6" s="8" t="n">
        <v>0</v>
      </c>
      <c r="C6" s="8" t="n">
        <v>0</v>
      </c>
      <c r="D6" s="9">
        <f>IF(B6=0,0,(C6-B6)/B6)</f>
        <v>0.0</v>
      </c>
      <c r="E6" s="7" t="n"/>
    </row>
    <row r="7">
      <c r="A7" s="7" t="inlineStr">
        <is>
          <t>Datáfono</t>
        </is>
      </c>
      <c r="B7" s="8" t="n">
        <v>0</v>
      </c>
      <c r="C7" s="8" t="n">
        <v>0</v>
      </c>
      <c r="D7" s="9">
        <f>IF(B7=0,0,(C7-B7)/B7)</f>
        <v>0.0</v>
      </c>
      <c r="E7" s="7" t="n"/>
    </row>
    <row r="8">
      <c r="A8" s="7" t="inlineStr">
        <is>
          <t>Sistema de reservas</t>
        </is>
      </c>
      <c r="B8" s="8" t="n">
        <v>0</v>
      </c>
      <c r="C8" s="8" t="n">
        <v>0</v>
      </c>
      <c r="D8" s="9">
        <f>IF(B8=0,0,(C8-B8)/B8)</f>
        <v>0.0</v>
      </c>
      <c r="E8" s="7" t="n"/>
    </row>
    <row r="9">
      <c r="A9" s="7" t="inlineStr">
        <is>
          <t>Wifi / Red</t>
        </is>
      </c>
      <c r="B9" s="8" t="n">
        <v>0</v>
      </c>
      <c r="C9" s="8" t="n">
        <v>0</v>
      </c>
      <c r="D9" s="9">
        <f>IF(B9=0,0,(C9-B9)/B9)</f>
        <v>0.0</v>
      </c>
      <c r="E9" s="7" t="n"/>
    </row>
    <row r="10">
      <c r="A10" s="7" t="inlineStr">
        <is>
          <t>Pantallas / Digital signage</t>
        </is>
      </c>
      <c r="B10" s="8" t="n">
        <v>0</v>
      </c>
      <c r="C10" s="8" t="n">
        <v>0</v>
      </c>
      <c r="D10" s="9">
        <f>IF(B10=0,0,(C10-B10)/B10)</f>
        <v>0.0</v>
      </c>
      <c r="E10" s="7" t="n"/>
    </row>
    <row r="11">
      <c r="A11" s="7" t="inlineStr">
        <is>
          <t>Web / App delivery</t>
        </is>
      </c>
      <c r="B11" s="8" t="n">
        <v>0</v>
      </c>
      <c r="C11" s="8" t="n">
        <v>0</v>
      </c>
      <c r="D11" s="9">
        <f>IF(B11=0,0,(C11-B11)/B11)</f>
        <v>0.0</v>
      </c>
      <c r="E11" s="7" t="n"/>
    </row>
    <row r="12">
      <c r="A12" s="7" t="inlineStr">
        <is>
          <t>Sistema de seguridad (cámaras)</t>
        </is>
      </c>
      <c r="B12" s="8" t="n">
        <v>0</v>
      </c>
      <c r="C12" s="8" t="n">
        <v>0</v>
      </c>
      <c r="D12" s="9">
        <f>IF(B12=0,0,(C12-B12)/B12)</f>
        <v>0.0</v>
      </c>
      <c r="E12" s="7" t="n"/>
    </row>
    <row r="13">
      <c r="A13" s="10" t="inlineStr">
        <is>
          <t>TOTAL TECNOLOGÍA</t>
        </is>
      </c>
      <c r="B13" s="11">
        <f>SUM(B5:B12)</f>
        <v>0.0</v>
      </c>
      <c r="C13" s="11">
        <f>SUM(C5:C12)</f>
        <v>0.0</v>
      </c>
      <c r="D13" s="9">
        <f>IF(B13=0,0,(C13-B13)/B13)</f>
        <v>0.0</v>
      </c>
    </row>
    <row r="14"/>
    <row r="15">
      <c r="A15" s="12" t="inlineStr">
        <is>
          <t>© 2026 AI Chef Pro · aichef.pro</t>
        </is>
      </c>
    </row>
  </sheetData>
  <mergeCells count="3">
    <mergeCell ref="A1:E1"/>
    <mergeCell ref="A15:E15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Inversión — Licencias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Partida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  <c r="E4" s="6" t="inlineStr">
        <is>
          <t>Notas</t>
        </is>
      </c>
    </row>
    <row r="5">
      <c r="A5" s="7" t="inlineStr">
        <is>
          <t>Licencia de apertura</t>
        </is>
      </c>
      <c r="B5" s="8" t="n">
        <v>0</v>
      </c>
      <c r="C5" s="8" t="n">
        <v>0</v>
      </c>
      <c r="D5" s="9">
        <f>IF(B5=0,0,(C5-B5)/B5)</f>
        <v>0.0</v>
      </c>
      <c r="E5" s="7" t="n"/>
    </row>
    <row r="6">
      <c r="A6" s="7" t="inlineStr">
        <is>
          <t>Licencia de obras</t>
        </is>
      </c>
      <c r="B6" s="8" t="n">
        <v>0</v>
      </c>
      <c r="C6" s="8" t="n">
        <v>0</v>
      </c>
      <c r="D6" s="9">
        <f>IF(B6=0,0,(C6-B6)/B6)</f>
        <v>0.0</v>
      </c>
      <c r="E6" s="7" t="n"/>
    </row>
    <row r="7">
      <c r="A7" s="7" t="inlineStr">
        <is>
          <t>Proyecto técnico (arquitecto)</t>
        </is>
      </c>
      <c r="B7" s="8" t="n">
        <v>0</v>
      </c>
      <c r="C7" s="8" t="n">
        <v>0</v>
      </c>
      <c r="D7" s="9">
        <f>IF(B7=0,0,(C7-B7)/B7)</f>
        <v>0.0</v>
      </c>
      <c r="E7" s="7" t="n"/>
    </row>
    <row r="8">
      <c r="A8" s="7" t="inlineStr">
        <is>
          <t>Certificado energético</t>
        </is>
      </c>
      <c r="B8" s="8" t="n">
        <v>0</v>
      </c>
      <c r="C8" s="8" t="n">
        <v>0</v>
      </c>
      <c r="D8" s="9">
        <f>IF(B8=0,0,(C8-B8)/B8)</f>
        <v>0.0</v>
      </c>
      <c r="E8" s="7" t="n"/>
    </row>
    <row r="9">
      <c r="A9" s="7" t="inlineStr">
        <is>
          <t>Plan de autoprotección</t>
        </is>
      </c>
      <c r="B9" s="8" t="n">
        <v>0</v>
      </c>
      <c r="C9" s="8" t="n">
        <v>0</v>
      </c>
      <c r="D9" s="9">
        <f>IF(B9=0,0,(C9-B9)/B9)</f>
        <v>0.0</v>
      </c>
      <c r="E9" s="7" t="n"/>
    </row>
    <row r="10">
      <c r="A10" s="7" t="inlineStr">
        <is>
          <t>Alta Hacienda / SS</t>
        </is>
      </c>
      <c r="B10" s="8" t="n">
        <v>0</v>
      </c>
      <c r="C10" s="8" t="n">
        <v>0</v>
      </c>
      <c r="D10" s="9">
        <f>IF(B10=0,0,(C10-B10)/B10)</f>
        <v>0.0</v>
      </c>
      <c r="E10" s="7" t="n"/>
    </row>
    <row r="11">
      <c r="A11" s="7" t="inlineStr">
        <is>
          <t>Registro sanitario</t>
        </is>
      </c>
      <c r="B11" s="8" t="n">
        <v>0</v>
      </c>
      <c r="C11" s="8" t="n">
        <v>0</v>
      </c>
      <c r="D11" s="9">
        <f>IF(B11=0,0,(C11-B11)/B11)</f>
        <v>0.0</v>
      </c>
      <c r="E11" s="7" t="n"/>
    </row>
    <row r="12">
      <c r="A12" s="7" t="inlineStr">
        <is>
          <t>SGAE / Derechos música</t>
        </is>
      </c>
      <c r="B12" s="8" t="n">
        <v>0</v>
      </c>
      <c r="C12" s="8" t="n">
        <v>0</v>
      </c>
      <c r="D12" s="9">
        <f>IF(B12=0,0,(C12-B12)/B12)</f>
        <v>0.0</v>
      </c>
      <c r="E12" s="7" t="n"/>
    </row>
    <row r="13">
      <c r="A13" s="7" t="inlineStr">
        <is>
          <t>Seguros (año 1)</t>
        </is>
      </c>
      <c r="B13" s="8" t="n">
        <v>0</v>
      </c>
      <c r="C13" s="8" t="n">
        <v>0</v>
      </c>
      <c r="D13" s="9">
        <f>IF(B13=0,0,(C13-B13)/B13)</f>
        <v>0.0</v>
      </c>
      <c r="E13" s="7" t="n"/>
    </row>
    <row r="14">
      <c r="A14" s="10" t="inlineStr">
        <is>
          <t>TOTAL LICENCIAS</t>
        </is>
      </c>
      <c r="B14" s="11">
        <f>SUM(B5:B13)</f>
        <v>0.0</v>
      </c>
      <c r="C14" s="11">
        <f>SUM(C5:C13)</f>
        <v>0.0</v>
      </c>
      <c r="D14" s="9">
        <f>IF(B14=0,0,(C14-B14)/B14)</f>
        <v>0.0</v>
      </c>
    </row>
    <row r="15"/>
    <row r="16">
      <c r="A16" s="12" t="inlineStr">
        <is>
          <t>© 2026 AI Chef Pro · aichef.pro</t>
        </is>
      </c>
    </row>
  </sheetData>
  <mergeCells count="3">
    <mergeCell ref="A1:E1"/>
    <mergeCell ref="A16:E16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</cols>
  <sheetData>
    <row r="1">
      <c r="A1" s="5" t="inlineStr">
        <is>
          <t>Resumen de Inversión Total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Categoría</t>
        </is>
      </c>
      <c r="B4" s="6" t="inlineStr">
        <is>
          <t>Presupuesto (€)</t>
        </is>
      </c>
      <c r="C4" s="6" t="inlineStr">
        <is>
          <t>Real (€)</t>
        </is>
      </c>
      <c r="D4" s="6" t="inlineStr">
        <is>
          <t>Desviación %</t>
        </is>
      </c>
    </row>
    <row r="5">
      <c r="A5" s="7" t="inlineStr">
        <is>
          <t>Obra</t>
        </is>
      </c>
      <c r="B5" s="13">
        <f>'Obra'!B15</f>
        <v>0.0</v>
      </c>
      <c r="C5" s="13">
        <f>'Obra'!C15</f>
        <v>0.0</v>
      </c>
      <c r="D5" s="9">
        <f>IF(B5=0,0,(C5-B5)/B5)</f>
        <v>0.0</v>
      </c>
    </row>
    <row r="6">
      <c r="A6" s="7" t="inlineStr">
        <is>
          <t>Equipamiento Cocina</t>
        </is>
      </c>
      <c r="B6" s="13">
        <f>'Equipamiento Cocina'!B15</f>
        <v>0.0</v>
      </c>
      <c r="C6" s="13">
        <f>'Equipamiento Cocina'!C15</f>
        <v>0.0</v>
      </c>
      <c r="D6" s="9">
        <f>IF(B6=0,0,(C6-B6)/B6)</f>
        <v>0.0</v>
      </c>
    </row>
    <row r="7">
      <c r="A7" s="7" t="inlineStr">
        <is>
          <t>Mobiliario Sala</t>
        </is>
      </c>
      <c r="B7" s="13">
        <f>'Mobiliario Sala'!B13</f>
        <v>0.0</v>
      </c>
      <c r="C7" s="13">
        <f>'Mobiliario Sala'!C13</f>
        <v>0.0</v>
      </c>
      <c r="D7" s="9">
        <f>IF(B7=0,0,(C7-B7)/B7)</f>
        <v>0.0</v>
      </c>
    </row>
    <row r="8">
      <c r="A8" s="7" t="inlineStr">
        <is>
          <t>Tecnología</t>
        </is>
      </c>
      <c r="B8" s="13">
        <f>'Tecnología'!B13</f>
        <v>0.0</v>
      </c>
      <c r="C8" s="13">
        <f>'Tecnología'!C13</f>
        <v>0.0</v>
      </c>
      <c r="D8" s="9">
        <f>IF(B8=0,0,(C8-B8)/B8)</f>
        <v>0.0</v>
      </c>
    </row>
    <row r="9">
      <c r="A9" s="7" t="inlineStr">
        <is>
          <t>Licencias</t>
        </is>
      </c>
      <c r="B9" s="13">
        <f>'Licencias'!B14</f>
        <v>0.0</v>
      </c>
      <c r="C9" s="13">
        <f>'Licencias'!C14</f>
        <v>0.0</v>
      </c>
      <c r="D9" s="9">
        <f>IF(B9=0,0,(C9-B9)/B9)</f>
        <v>0.0</v>
      </c>
    </row>
    <row r="10">
      <c r="A10" s="14" t="inlineStr">
        <is>
          <t>INVERSIÓN TOTAL</t>
        </is>
      </c>
      <c r="B10" s="15">
        <f>SUM(B5:B9)</f>
        <v>0.0</v>
      </c>
      <c r="C10" s="15">
        <f>SUM(C5:C9)</f>
        <v>0.0</v>
      </c>
      <c r="D10" s="9">
        <f>IF(B10=0,0,(C10-B10)/B10)</f>
        <v>0.0</v>
      </c>
    </row>
    <row r="11"/>
    <row r="12"/>
    <row r="13">
      <c r="A13" s="12" t="inlineStr">
        <is>
          <t>© 2026 AI Chef Pro · aichef.pro</t>
        </is>
      </c>
    </row>
  </sheetData>
  <mergeCells count="3">
    <mergeCell ref="A1:D1"/>
    <mergeCell ref="A13:D13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Presupuesto de Inversión (CAPEX) · Kit Plan Financiero para Restaurantes</dc:title>
  <dc:description xmlns:dc="http://purl.org/dc/elements/1.1/">aichef.pro/kit-plan-financiero</dc:description>
  <dc:subject xmlns:dc="http://purl.org/dc/elements/1.1/">Kit Plan Financiero para Restaurantes · v1.1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2026-08-22T09:11:45Z</dcterms:modified>
  <cp:lastModifiedBy>AI Chef Pro</cp:lastModifiedBy>
  <cp:category>AI Chef Pro · Productos digitales</cp:category>
  <cp:keywords>kit plan financiero, AI Chef Pro</cp:keywords>
</cp:coreProperties>
</file>