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Obra" sheetId="2" state="visible" r:id="rId2"/>
    <sheet xmlns:r="http://schemas.openxmlformats.org/officeDocument/2006/relationships" name="Equipamiento Cocina" sheetId="3" state="visible" r:id="rId3"/>
    <sheet xmlns:r="http://schemas.openxmlformats.org/officeDocument/2006/relationships" name="Mobiliario Sala" sheetId="4" state="visible" r:id="rId4"/>
    <sheet xmlns:r="http://schemas.openxmlformats.org/officeDocument/2006/relationships" name="Tecnología" sheetId="5" state="visible" r:id="rId5"/>
    <sheet xmlns:r="http://schemas.openxmlformats.org/officeDocument/2006/relationships" name="Licencias" sheetId="6" state="visible" r:id="rId6"/>
    <sheet xmlns:r="http://schemas.openxmlformats.org/officeDocument/2006/relationships" name="Otros conceptos de apertura" sheetId="7" state="visible" r:id="rId7"/>
    <sheet xmlns:r="http://schemas.openxmlformats.org/officeDocument/2006/relationships" name="Resumen" sheetId="8" state="visible" r:id="rId8"/>
  </sheets>
  <definedNames>
    <definedName name="_xlnm.Print_Titles" localSheetId="1">'Obra'!$4:$4</definedName>
    <definedName name="_xlnm.Print_Titles" localSheetId="2">'Equipamiento Cocina'!$4:$4</definedName>
    <definedName name="_xlnm.Print_Titles" localSheetId="3">'Mobiliario Sala'!$4:$4</definedName>
    <definedName name="_xlnm.Print_Titles" localSheetId="4">'Tecnología'!$4:$4</definedName>
    <definedName name="_xlnm.Print_Titles" localSheetId="5">'Licencias'!$4:$4</definedName>
    <definedName name="_xlnm.Print_Titles" localSheetId="7">'Resumen'!$4:$4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 €"/>
    <numFmt numFmtId="165" formatCode="0.0%"/>
  </numFmts>
  <fonts count="20">
    <font>
      <name val="Calibri"/>
      <family val="2"/>
      <color theme="1"/>
      <sz val="11"/>
      <scheme val="minor"/>
    </font>
    <font>
      <name val="Calibri"/>
      <b val="1"/>
      <color rgb="00FFD700"/>
      <sz val="18"/>
    </font>
    <font>
      <name val="Calibri"/>
      <i val="1"/>
      <color rgb="00888888"/>
      <sz val="11"/>
    </font>
    <font>
      <name val="Calibri"/>
      <b val="1"/>
      <color rgb="00333333"/>
      <sz val="12"/>
    </font>
    <font>
      <name val="Calibri"/>
      <color rgb="00555555"/>
      <sz val="11"/>
    </font>
    <font>
      <name val="Calibri"/>
      <b val="1"/>
      <color rgb="00FFD700"/>
      <sz val="16"/>
    </font>
    <font>
      <name val="Calibri"/>
      <b val="1"/>
      <color rgb="00FFFFFF"/>
      <sz val="11"/>
    </font>
    <font>
      <name val="Calibri"/>
      <sz val="11"/>
    </font>
    <font>
      <name val="Calibri"/>
      <b val="1"/>
      <color rgb="001565C0"/>
      <sz val="11"/>
    </font>
    <font>
      <name val="Calibri"/>
      <b val="1"/>
      <sz val="11"/>
    </font>
    <font>
      <name val="Calibri"/>
      <color rgb="00999999"/>
      <sz val="9"/>
    </font>
    <font>
      <name val="Calibri"/>
      <b val="1"/>
      <color rgb="00FFD700"/>
      <sz val="13"/>
    </font>
    <font>
      <name val="Calibri"/>
      <b val="1"/>
      <color rgb="00FFD700"/>
      <sz val="12"/>
    </font>
    <font>
      <b val="1"/>
      <color rgb="00FFFFFF"/>
      <sz val="10"/>
    </font>
    <font>
      <b val="1"/>
    </font>
    <font>
      <sz val="8"/>
    </font>
    <font>
      <b val="1"/>
      <sz val="13"/>
    </font>
    <font>
      <sz val="9"/>
    </font>
    <font>
      <i val="1"/>
      <sz val="9"/>
    </font>
    <font>
      <b val="1"/>
      <sz val="9"/>
    </font>
  </fonts>
  <fills count="6">
    <fill>
      <patternFill/>
    </fill>
    <fill>
      <patternFill patternType="gray125"/>
    </fill>
    <fill>
      <patternFill patternType="solid">
        <fgColor rgb="002D2D2D"/>
        <bgColor rgb="002D2D2D"/>
      </patternFill>
    </fill>
    <fill>
      <patternFill patternType="solid">
        <fgColor rgb="00E8F5E9"/>
        <bgColor rgb="00E8F5E9"/>
      </patternFill>
    </fill>
    <fill>
      <patternFill patternType="solid">
        <fgColor rgb="002D2D2D"/>
      </patternFill>
    </fill>
    <fill>
      <patternFill patternType="solid">
        <fgColor rgb="00E8F5E9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7" fillId="0" borderId="1" pivotButton="0" quotePrefix="0" xfId="0"/>
    <xf numFmtId="164" fontId="7" fillId="3" borderId="1" applyAlignment="1" pivotButton="0" quotePrefix="0" xfId="0">
      <alignment horizontal="right" vertical="center"/>
    </xf>
    <xf numFmtId="165" fontId="8" fillId="0" borderId="1" applyAlignment="1" pivotButton="0" quotePrefix="0" xfId="0">
      <alignment horizontal="right" vertical="center"/>
    </xf>
    <xf numFmtId="0" fontId="9" fillId="0" borderId="1" pivotButton="0" quotePrefix="0" xfId="0"/>
    <xf numFmtId="164" fontId="9" fillId="0" borderId="1" applyAlignment="1" pivotButton="0" quotePrefix="0" xfId="0">
      <alignment horizontal="right" vertical="center"/>
    </xf>
    <xf numFmtId="0" fontId="10" fillId="0" borderId="0" pivotButton="0" quotePrefix="0" xfId="0"/>
    <xf numFmtId="164" fontId="7" fillId="0" borderId="1" applyAlignment="1" pivotButton="0" quotePrefix="0" xfId="0">
      <alignment horizontal="right" vertical="center"/>
    </xf>
    <xf numFmtId="0" fontId="11" fillId="0" borderId="1" pivotButton="0" quotePrefix="0" xfId="0"/>
    <xf numFmtId="164" fontId="12" fillId="0" borderId="1" applyAlignment="1" pivotButton="0" quotePrefix="0" xfId="0">
      <alignment horizontal="right" vertical="center"/>
    </xf>
    <xf numFmtId="0" fontId="4" fillId="0" borderId="0" applyAlignment="1" pivotButton="0" quotePrefix="0" xfId="0">
      <alignment horizontal="left" vertical="top"/>
    </xf>
    <xf numFmtId="0" fontId="13" fillId="4" borderId="1" applyAlignment="1" pivotButton="0" quotePrefix="0" xfId="0">
      <alignment horizontal="center" wrapText="1"/>
    </xf>
    <xf numFmtId="0" fontId="13" fillId="4" borderId="0" applyAlignment="1" pivotButton="0" quotePrefix="0" xfId="0">
      <alignment horizontal="center" wrapText="1"/>
    </xf>
    <xf numFmtId="164" fontId="7" fillId="5" borderId="1" applyAlignment="1" applyProtection="1" pivotButton="0" quotePrefix="0" xfId="0">
      <alignment horizontal="right" vertical="center"/>
      <protection locked="0" hidden="0"/>
    </xf>
    <xf numFmtId="9" fontId="7" fillId="5" borderId="1" applyAlignment="1" applyProtection="1" pivotButton="0" quotePrefix="0" xfId="0">
      <alignment horizontal="right" vertical="center"/>
      <protection locked="0" hidden="0"/>
    </xf>
    <xf numFmtId="164" fontId="8" fillId="0" borderId="1" applyAlignment="1" pivotButton="0" quotePrefix="0" xfId="0">
      <alignment horizontal="right" vertical="center"/>
    </xf>
    <xf numFmtId="164" fontId="7" fillId="0" borderId="1" pivotButton="0" quotePrefix="0" xfId="0"/>
    <xf numFmtId="164" fontId="0" fillId="5" borderId="0" applyProtection="1" pivotButton="0" quotePrefix="0" xfId="0">
      <protection locked="0" hidden="0"/>
    </xf>
    <xf numFmtId="165" fontId="0" fillId="0" borderId="0" pivotButton="0" quotePrefix="0" xfId="0"/>
    <xf numFmtId="165" fontId="0" fillId="5" borderId="0" applyProtection="1" pivotButton="0" quotePrefix="0" xfId="0">
      <protection locked="0" hidden="0"/>
    </xf>
    <xf numFmtId="164" fontId="0" fillId="0" borderId="0" pivotButton="0" quotePrefix="0" xfId="0"/>
    <xf numFmtId="0" fontId="0" fillId="5" borderId="0" applyProtection="1" pivotButton="0" quotePrefix="0" xfId="0">
      <protection locked="0" hidden="0"/>
    </xf>
    <xf numFmtId="0" fontId="14" fillId="0" borderId="1" pivotButton="0" quotePrefix="0" xfId="0"/>
    <xf numFmtId="164" fontId="14" fillId="0" borderId="1" applyAlignment="1" pivotButton="0" quotePrefix="0" xfId="0">
      <alignment horizontal="right" vertical="center"/>
    </xf>
    <xf numFmtId="0" fontId="9" fillId="0" borderId="1" applyAlignment="1" pivotButton="0" quotePrefix="0" xfId="0">
      <alignment horizontal="right" vertical="center"/>
    </xf>
    <xf numFmtId="164" fontId="14" fillId="0" borderId="0" pivotButton="0" quotePrefix="0" xfId="0"/>
    <xf numFmtId="0" fontId="15" fillId="0" borderId="0" pivotButton="0" quotePrefix="0" xfId="0"/>
    <xf numFmtId="164" fontId="9" fillId="5" borderId="1" applyAlignment="1" applyProtection="1" pivotButton="0" quotePrefix="0" xfId="0">
      <alignment horizontal="right" vertical="center"/>
      <protection locked="0" hidden="0"/>
    </xf>
    <xf numFmtId="9" fontId="9" fillId="5" borderId="1" applyAlignment="1" applyProtection="1" pivotButton="0" quotePrefix="0" xfId="0">
      <alignment horizontal="right" vertical="center"/>
      <protection locked="0" hidden="0"/>
    </xf>
    <xf numFmtId="9" fontId="0" fillId="5" borderId="0" applyProtection="1" pivotButton="0" quotePrefix="0" xfId="0">
      <protection locked="0" hidden="0"/>
    </xf>
    <xf numFmtId="0" fontId="14" fillId="0" borderId="0" pivotButton="0" quotePrefix="0" xfId="0"/>
    <xf numFmtId="0" fontId="7" fillId="0" borderId="1" applyAlignment="1" pivotButton="0" quotePrefix="0" xfId="0">
      <alignment horizontal="right" vertical="center"/>
    </xf>
    <xf numFmtId="164" fontId="14" fillId="0" borderId="1" pivotButton="0" quotePrefix="0" xfId="0"/>
    <xf numFmtId="0" fontId="8" fillId="0" borderId="1" applyAlignment="1" pivotButton="0" quotePrefix="0" xfId="0">
      <alignment horizontal="right" vertical="center"/>
    </xf>
    <xf numFmtId="0" fontId="16" fillId="0" borderId="0" pivotButton="0" quotePrefix="0" xfId="0"/>
    <xf numFmtId="0" fontId="17" fillId="0" borderId="0" pivotButton="0" quotePrefix="0" xfId="0"/>
    <xf numFmtId="0" fontId="18" fillId="0" borderId="0" applyAlignment="1" pivotButton="0" quotePrefix="0" xfId="0">
      <alignment vertical="top" wrapText="1"/>
    </xf>
    <xf numFmtId="0" fontId="18" fillId="0" borderId="0" pivotButton="0" quotePrefix="0" xfId="0"/>
    <xf numFmtId="0" fontId="19" fillId="0" borderId="0" pivotButton="0" quotePrefix="0" xfId="0"/>
  </cellXfs>
  <cellStyles count="1">
    <cellStyle name="Normal" xfId="0" builtinId="0" hidden="0"/>
  </cellStyles>
  <dxfs count="1">
    <dxf>
      <font>
        <b val="1"/>
        <color rgb="009C0006"/>
      </font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Presupuesto (base) vs real por categoría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'Resumen'!B4</f>
            </strRef>
          </tx>
          <spPr>
            <a:ln xmlns:a="http://schemas.openxmlformats.org/drawingml/2006/main">
              <a:prstDash val="solid"/>
            </a:ln>
          </spPr>
          <cat>
            <numRef>
              <f>'Resumen'!$A$5:$A$9</f>
            </numRef>
          </cat>
          <val>
            <numRef>
              <f>'Resumen'!$B$5:$B$9</f>
            </numRef>
          </val>
        </ser>
        <ser>
          <idx val="1"/>
          <order val="1"/>
          <tx>
            <strRef>
              <f>'Resumen'!E4</f>
            </strRef>
          </tx>
          <spPr>
            <a:ln xmlns:a="http://schemas.openxmlformats.org/drawingml/2006/main">
              <a:prstDash val="solid"/>
            </a:ln>
          </spPr>
          <cat>
            <numRef>
              <f>'Resumen'!$A$5:$A$9</f>
            </numRef>
          </cat>
          <val>
            <numRef>
              <f>'Resumen'!$E$5:$E$9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€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17</row>
      <rowOff>0</rowOff>
    </from>
    <ext cx="648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8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FFD700"/>
    <outlinePr summaryBelow="1" summaryRight="1"/>
    <pageSetUpPr fitToPage="1"/>
  </sheetPr>
  <dimension ref="A1:B23"/>
  <sheetViews>
    <sheetView workbookViewId="0">
      <selection activeCell="A1" sqref="A1"/>
    </sheetView>
  </sheetViews>
  <sheetFormatPr baseColWidth="8" defaultRowHeight="15"/>
  <cols>
    <col width="3" customWidth="1" min="1" max="1"/>
    <col width="100" customWidth="1" min="2" max="2"/>
  </cols>
  <sheetData>
    <row r="1"/>
    <row r="2">
      <c r="B2" s="1" t="inlineStr">
        <is>
          <t>04 · Presupuesto de Inversión (CAPEX)</t>
        </is>
      </c>
    </row>
    <row r="3"/>
    <row r="4">
      <c r="B4" s="2" t="inlineStr">
        <is>
          <t>AI Chef Pro · aichef.pro — Kit Plan Financiero para Restaurantes</t>
        </is>
      </c>
    </row>
    <row r="5"/>
    <row r="6">
      <c r="B6" s="3" t="inlineStr">
        <is>
          <t>Cómo usar esta plantilla:</t>
        </is>
      </c>
    </row>
    <row r="7">
      <c r="B7" s="4" t="inlineStr">
        <is>
          <t>▸ Cada pestaña cubre una categoría de inversión inicial.</t>
        </is>
      </c>
    </row>
    <row r="8">
      <c r="B8" s="4" t="inlineStr">
        <is>
          <t>▸ Cada partida lleva Base, IVA % e IVA (€): el desembolso real es la columna «Total con IVA», que con un 21 % es un quinto más de lo que enseña el presupuesto.</t>
        </is>
      </c>
    </row>
    <row r="9">
      <c r="B9" s="4" t="inlineStr">
        <is>
          <t>▸ La desviación se calcula automáticamente (% sobre presupuesto).</t>
        </is>
      </c>
    </row>
    <row r="10">
      <c r="B10" s="4" t="inlineStr">
        <is>
          <t>▸ La pestaña Resumen consolida todas las categorías.</t>
        </is>
      </c>
    </row>
    <row r="11"/>
    <row r="12">
      <c r="B12" s="3" t="inlineStr">
        <is>
          <t>Categorías:</t>
        </is>
      </c>
    </row>
    <row r="13">
      <c r="B13" s="4" t="inlineStr">
        <is>
          <t>▸ Obra, Equipamiento Cocina, Mobiliario Sala, Tecnología, Licencias.</t>
        </is>
      </c>
    </row>
    <row r="14"/>
    <row r="15">
      <c r="B15" s="4" t="n"/>
    </row>
    <row r="16"/>
    <row r="17">
      <c r="B17" s="4" t="inlineStr">
        <is>
          <t>▸ El coeficiente de amortización por pestaña (obra 3 %, cocina 12 %, mobiliario 10 %, tecnología 25 %) da la dotación anual que pide el 07.</t>
        </is>
      </c>
    </row>
    <row r="18"/>
    <row r="19">
      <c r="B19" s="4" t="inlineStr">
        <is>
          <t>▸ Lo que no es CAPEX —traspaso, fianza, stock inicial, nóminas pre-apertura, imprevistos y fondo de maniobra— va en la pestaña 'Otros conceptos de apertura'.</t>
        </is>
      </c>
    </row>
    <row r="20"/>
    <row r="21">
      <c r="B21" s="16" t="inlineStr">
        <is>
          <t>Para editar una celda que no esté en verde: Revisar → Desproteger hoja (no tiene contraseña).</t>
        </is>
      </c>
    </row>
    <row r="22">
      <c r="B22" s="16" t="inlineStr">
        <is>
          <t>Diseñado por John Guerrero — chef y consultor gastronómico desde 2010, en cocina desde los 17 años · johnguerrero.es</t>
        </is>
      </c>
    </row>
    <row r="23">
      <c r="B23" s="16" t="inlineStr">
        <is>
          <t>Versión 2.0 · agosto 2026 · aichef.pro/kit-plan-financiero · info@aichef.pro</t>
        </is>
      </c>
    </row>
  </sheetData>
  <sheetProtection selectLockedCells="0" selectUnlockedCells="0" sheet="1" objects="0" insertRows="0" insertHyperlinks="1" autoFilter="1" scenarios="0" formatColumns="0" deleteColumns="1" insertColumns="1" pivotTables="1" deleteRows="1" formatCells="1" formatRows="0" sort="0"/>
  <pageMargins left="0.59" right="0.59" top="0.59" bottom="0.59" header="0.3" footer="0.3"/>
  <pageSetup orientation="portrait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1565C0"/>
    <outlinePr summaryBelow="1" summaryRight="1"/>
    <pageSetUpPr fitToPage="1"/>
  </sheetPr>
  <dimension ref="A1:J4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  <col width="16" customWidth="1" min="2" max="2"/>
    <col width="16" customWidth="1" min="3" max="3"/>
    <col width="14" customWidth="1" min="4" max="4"/>
    <col width="30" customWidth="1" min="5" max="5"/>
    <col width="15" customWidth="1" min="6" max="6"/>
    <col width="13" customWidth="1" min="7" max="7"/>
    <col width="15" customWidth="1" min="8" max="8"/>
    <col width="17" customWidth="1" min="9" max="9"/>
    <col width="34" customWidth="1" min="10" max="10"/>
  </cols>
  <sheetData>
    <row r="1">
      <c r="A1" s="5" t="inlineStr">
        <is>
          <t>Inversión — Obra</t>
        </is>
      </c>
    </row>
    <row r="2">
      <c r="A2" s="2" t="inlineStr">
        <is>
          <t>AI Chef Pro · aichef.pro — Kit Plan Financiero para Restaurantes</t>
        </is>
      </c>
    </row>
    <row r="3"/>
    <row r="4">
      <c r="A4" s="17" t="inlineStr">
        <is>
          <t>Partida</t>
        </is>
      </c>
      <c r="B4" s="17" t="inlineStr">
        <is>
          <t>Base (€)</t>
        </is>
      </c>
      <c r="C4" s="17" t="inlineStr">
        <is>
          <t>IVA %</t>
        </is>
      </c>
      <c r="D4" s="17" t="inlineStr">
        <is>
          <t>IVA (€)</t>
        </is>
      </c>
      <c r="E4" s="17" t="inlineStr">
        <is>
          <t>Total con IVA (€)</t>
        </is>
      </c>
      <c r="F4" s="18" t="inlineStr">
        <is>
          <t>Real (€)</t>
        </is>
      </c>
      <c r="G4" s="18" t="inlineStr">
        <is>
          <t>Desviación %</t>
        </is>
      </c>
      <c r="H4" s="18" t="inlineStr">
        <is>
          <t>Coef. amortización</t>
        </is>
      </c>
      <c r="I4" s="18" t="inlineStr">
        <is>
          <t>Dotación anual (€)</t>
        </is>
      </c>
      <c r="J4" s="18" t="inlineStr">
        <is>
          <t>Notas</t>
        </is>
      </c>
    </row>
    <row r="5">
      <c r="A5" s="7" t="inlineStr">
        <is>
          <t>Demolición y vaciado</t>
        </is>
      </c>
      <c r="B5" s="19" t="n">
        <v>0</v>
      </c>
      <c r="C5" s="20" t="n">
        <v>0.21</v>
      </c>
      <c r="D5" s="21">
        <f>$B5*$C5</f>
        <v>0.0</v>
      </c>
      <c r="E5" s="22">
        <f>$B5+$D5</f>
        <v>0.0</v>
      </c>
      <c r="F5" s="23" t="n">
        <v>0</v>
      </c>
      <c r="G5" s="24">
        <f>IFERROR(($F5-$B5)/$B5,"")</f>
        <v/>
      </c>
      <c r="H5" s="25" t="n">
        <v>0.03</v>
      </c>
      <c r="I5" s="26">
        <f>$B5*$H5</f>
        <v>0.0</v>
      </c>
      <c r="J5" s="27" t="n"/>
    </row>
    <row r="6">
      <c r="A6" s="7" t="inlineStr">
        <is>
          <t>Albañilería</t>
        </is>
      </c>
      <c r="B6" s="19" t="n">
        <v>0</v>
      </c>
      <c r="C6" s="20" t="n">
        <v>0.21</v>
      </c>
      <c r="D6" s="21">
        <f>$B6*$C6</f>
        <v>0.0</v>
      </c>
      <c r="E6" s="22">
        <f>$B6+$D6</f>
        <v>0.0</v>
      </c>
      <c r="F6" s="23" t="n">
        <v>0</v>
      </c>
      <c r="G6" s="24">
        <f>IFERROR(($F6-$B6)/$B6,"")</f>
        <v/>
      </c>
      <c r="H6" s="25" t="n">
        <v>0.03</v>
      </c>
      <c r="I6" s="26">
        <f>$B6*$H6</f>
        <v>0.0</v>
      </c>
      <c r="J6" s="27" t="n"/>
    </row>
    <row r="7">
      <c r="A7" s="7" t="inlineStr">
        <is>
          <t>Fontanería</t>
        </is>
      </c>
      <c r="B7" s="19" t="n">
        <v>0</v>
      </c>
      <c r="C7" s="20" t="n">
        <v>0.21</v>
      </c>
      <c r="D7" s="21">
        <f>$B7*$C7</f>
        <v>0.0</v>
      </c>
      <c r="E7" s="22">
        <f>$B7+$D7</f>
        <v>0.0</v>
      </c>
      <c r="F7" s="23" t="n">
        <v>0</v>
      </c>
      <c r="G7" s="24">
        <f>IFERROR(($F7-$B7)/$B7,"")</f>
        <v/>
      </c>
      <c r="H7" s="25" t="n">
        <v>0.03</v>
      </c>
      <c r="I7" s="26">
        <f>$B7*$H7</f>
        <v>0.0</v>
      </c>
      <c r="J7" s="27" t="n"/>
    </row>
    <row r="8">
      <c r="A8" s="7" t="inlineStr">
        <is>
          <t>Electricidad</t>
        </is>
      </c>
      <c r="B8" s="19" t="n">
        <v>0</v>
      </c>
      <c r="C8" s="20" t="n">
        <v>0.21</v>
      </c>
      <c r="D8" s="21">
        <f>$B8*$C8</f>
        <v>0.0</v>
      </c>
      <c r="E8" s="22">
        <f>$B8+$D8</f>
        <v>0.0</v>
      </c>
      <c r="F8" s="23" t="n">
        <v>0</v>
      </c>
      <c r="G8" s="24">
        <f>IFERROR(($F8-$B8)/$B8,"")</f>
        <v/>
      </c>
      <c r="H8" s="25" t="n">
        <v>0.03</v>
      </c>
      <c r="I8" s="26">
        <f>$B8*$H8</f>
        <v>0.0</v>
      </c>
      <c r="J8" s="27" t="n"/>
    </row>
    <row r="9">
      <c r="A9" s="7" t="inlineStr">
        <is>
          <t>Climatización / Extracción</t>
        </is>
      </c>
      <c r="B9" s="19" t="n">
        <v>0</v>
      </c>
      <c r="C9" s="20" t="n">
        <v>0.21</v>
      </c>
      <c r="D9" s="21">
        <f>$B9*$C9</f>
        <v>0.0</v>
      </c>
      <c r="E9" s="22">
        <f>$B9+$D9</f>
        <v>0.0</v>
      </c>
      <c r="F9" s="23" t="n">
        <v>0</v>
      </c>
      <c r="G9" s="24">
        <f>IFERROR(($F9-$B9)/$B9,"")</f>
        <v/>
      </c>
      <c r="H9" s="25" t="n">
        <v>0.03</v>
      </c>
      <c r="I9" s="26">
        <f>$B9*$H9</f>
        <v>0.0</v>
      </c>
      <c r="J9" s="27" t="n"/>
    </row>
    <row r="10">
      <c r="A10" s="7" t="inlineStr">
        <is>
          <t>Pintura y acabados</t>
        </is>
      </c>
      <c r="B10" s="19" t="n">
        <v>0</v>
      </c>
      <c r="C10" s="20" t="n">
        <v>0.21</v>
      </c>
      <c r="D10" s="21">
        <f>$B10*$C10</f>
        <v>0.0</v>
      </c>
      <c r="E10" s="22">
        <f>$B10+$D10</f>
        <v>0.0</v>
      </c>
      <c r="F10" s="23" t="n">
        <v>0</v>
      </c>
      <c r="G10" s="24">
        <f>IFERROR(($F10-$B10)/$B10,"")</f>
        <v/>
      </c>
      <c r="H10" s="25" t="n">
        <v>0.03</v>
      </c>
      <c r="I10" s="26">
        <f>$B10*$H10</f>
        <v>0.0</v>
      </c>
      <c r="J10" s="27" t="n"/>
    </row>
    <row r="11">
      <c r="A11" s="7" t="inlineStr">
        <is>
          <t>Suelo</t>
        </is>
      </c>
      <c r="B11" s="19" t="n">
        <v>0</v>
      </c>
      <c r="C11" s="20" t="n">
        <v>0.21</v>
      </c>
      <c r="D11" s="21">
        <f>$B11*$C11</f>
        <v>0.0</v>
      </c>
      <c r="E11" s="22">
        <f>$B11+$D11</f>
        <v>0.0</v>
      </c>
      <c r="F11" s="23" t="n">
        <v>0</v>
      </c>
      <c r="G11" s="24">
        <f>IFERROR(($F11-$B11)/$B11,"")</f>
        <v/>
      </c>
      <c r="H11" s="25" t="n">
        <v>0.03</v>
      </c>
      <c r="I11" s="26">
        <f>$B11*$H11</f>
        <v>0.0</v>
      </c>
      <c r="J11" s="27" t="n"/>
    </row>
    <row r="12">
      <c r="A12" s="7" t="inlineStr">
        <is>
          <t>Fachada / Rótulo</t>
        </is>
      </c>
      <c r="B12" s="19" t="n">
        <v>0</v>
      </c>
      <c r="C12" s="20" t="n">
        <v>0.21</v>
      </c>
      <c r="D12" s="21">
        <f>$B12*$C12</f>
        <v>0.0</v>
      </c>
      <c r="E12" s="22">
        <f>$B12+$D12</f>
        <v>0.0</v>
      </c>
      <c r="F12" s="23" t="n">
        <v>0</v>
      </c>
      <c r="G12" s="24">
        <f>IFERROR(($F12-$B12)/$B12,"")</f>
        <v/>
      </c>
      <c r="H12" s="25" t="n">
        <v>0.03</v>
      </c>
      <c r="I12" s="26">
        <f>$B12*$H12</f>
        <v>0.0</v>
      </c>
      <c r="J12" s="27" t="n"/>
    </row>
    <row r="13">
      <c r="A13" s="7" t="inlineStr">
        <is>
          <t>Baños clientes</t>
        </is>
      </c>
      <c r="B13" s="19" t="n">
        <v>0</v>
      </c>
      <c r="C13" s="20" t="n">
        <v>0.21</v>
      </c>
      <c r="D13" s="21">
        <f>$B13*$C13</f>
        <v>0.0</v>
      </c>
      <c r="E13" s="22">
        <f>$B13+$D13</f>
        <v>0.0</v>
      </c>
      <c r="F13" s="23" t="n">
        <v>0</v>
      </c>
      <c r="G13" s="24">
        <f>IFERROR(($F13-$B13)/$B13,"")</f>
        <v/>
      </c>
      <c r="H13" s="25" t="n">
        <v>0.03</v>
      </c>
      <c r="I13" s="26">
        <f>$B13*$H13</f>
        <v>0.0</v>
      </c>
      <c r="J13" s="27" t="n"/>
    </row>
    <row r="14">
      <c r="A14" s="7" t="inlineStr">
        <is>
          <t>Vestuarios personal</t>
        </is>
      </c>
      <c r="B14" s="19" t="n">
        <v>0</v>
      </c>
      <c r="C14" s="20" t="n">
        <v>0.21</v>
      </c>
      <c r="D14" s="21">
        <f>$B14*$C14</f>
        <v>0.0</v>
      </c>
      <c r="E14" s="22">
        <f>$B14+$D14</f>
        <v>0.0</v>
      </c>
      <c r="F14" s="23" t="n">
        <v>0</v>
      </c>
      <c r="G14" s="24">
        <f>IFERROR(($F14-$B14)/$B14,"")</f>
        <v/>
      </c>
      <c r="H14" s="25" t="n">
        <v>0.03</v>
      </c>
      <c r="I14" s="26">
        <f>$B14*$H14</f>
        <v>0.0</v>
      </c>
      <c r="J14" s="27" t="n"/>
    </row>
    <row r="15">
      <c r="A15" s="28" t="inlineStr">
        <is>
          <t>TOTAL OBRA</t>
        </is>
      </c>
      <c r="B15" s="29">
        <f>SUM(B5:B14)</f>
        <v>0.0</v>
      </c>
      <c r="C15" s="30" t="n"/>
      <c r="D15" s="29">
        <f>SUM(D5:D14)</f>
        <v>0.0</v>
      </c>
      <c r="E15" s="31">
        <f>SUM(E5:E14)</f>
        <v>0.0</v>
      </c>
      <c r="F15" s="31">
        <f>SUM(F5:F14)</f>
        <v>0.0</v>
      </c>
      <c r="G15" s="24">
        <f>IFERROR(($F15-$B15)/$B15,"")</f>
        <v/>
      </c>
      <c r="I15" s="31">
        <f>SUM(I5:I14)</f>
        <v>0.0</v>
      </c>
    </row>
    <row r="16"/>
    <row r="17">
      <c r="A17" s="32" t="inlineStr">
        <is>
          <t>© 2026 AI Chef Pro · aichef.pro</t>
        </is>
      </c>
    </row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</sheetData>
  <sheetProtection selectLockedCells="0" selectUnlockedCells="0" sheet="1" objects="0" insertRows="0" insertHyperlinks="1" autoFilter="1" scenarios="0" formatColumns="0" deleteColumns="1" insertColumns="1" pivotTables="1" deleteRows="1" formatCells="1" formatRows="0" sort="0"/>
  <mergeCells count="2">
    <mergeCell ref="A1:E1"/>
    <mergeCell ref="A2:E2"/>
  </mergeCells>
  <dataValidations count="2">
    <dataValidation sqref="B5 B6 B7 B8 B9 B10 B11 B12 B13 B14 F5 F6 F7 F8 F9 F10 F11 F12 F13 F14" showDropDown="0" showInputMessage="0" showErrorMessage="1" allowBlank="1" errorTitle="Importe no válido" error="Escribe un número mayor o igual que 0." type="decimal" operator="greaterThanOrEqual">
      <formula1>0</formula1>
    </dataValidation>
    <dataValidation sqref="C5 C6 C7 C8 C9 C10 C11 C12 C13 C14 H5 H6 H7 H8 H9 H10 H11 H12 H13 H14" showDropDown="0" showInputMessage="0" showErrorMessage="1" allowBlank="1" errorTitle="Porcentaje no válido" error="Escribe un porcentaje entre 0 y 1 (0,35 = 35 %)." type="decimal" operator="between">
      <formula1>0</formula1>
      <formula2>1</formula2>
    </dataValidation>
  </dataValidations>
  <pageMargins left="0.59" right="0.59" top="0.59" bottom="0.59" header="0.3" footer="0.3"/>
  <pageSetup orientation="portrait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001565C0"/>
    <outlinePr summaryBelow="1" summaryRight="1"/>
    <pageSetUpPr fitToPage="1"/>
  </sheetPr>
  <dimension ref="A1:J4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  <col width="16" customWidth="1" min="2" max="2"/>
    <col width="16" customWidth="1" min="3" max="3"/>
    <col width="14" customWidth="1" min="4" max="4"/>
    <col width="30" customWidth="1" min="5" max="5"/>
    <col width="15" customWidth="1" min="6" max="6"/>
    <col width="13" customWidth="1" min="7" max="7"/>
    <col width="15" customWidth="1" min="8" max="8"/>
    <col width="17" customWidth="1" min="9" max="9"/>
    <col width="34" customWidth="1" min="10" max="10"/>
  </cols>
  <sheetData>
    <row r="1">
      <c r="A1" s="5" t="inlineStr">
        <is>
          <t>Inversión — Equipamiento Cocina</t>
        </is>
      </c>
    </row>
    <row r="2">
      <c r="A2" s="2" t="inlineStr">
        <is>
          <t>AI Chef Pro · aichef.pro — Kit Plan Financiero para Restaurantes</t>
        </is>
      </c>
    </row>
    <row r="3"/>
    <row r="4">
      <c r="A4" s="17" t="inlineStr">
        <is>
          <t>Partida</t>
        </is>
      </c>
      <c r="B4" s="17" t="inlineStr">
        <is>
          <t>Base (€)</t>
        </is>
      </c>
      <c r="C4" s="17" t="inlineStr">
        <is>
          <t>IVA %</t>
        </is>
      </c>
      <c r="D4" s="17" t="inlineStr">
        <is>
          <t>IVA (€)</t>
        </is>
      </c>
      <c r="E4" s="17" t="inlineStr">
        <is>
          <t>Total con IVA (€)</t>
        </is>
      </c>
      <c r="F4" s="18" t="inlineStr">
        <is>
          <t>Real (€)</t>
        </is>
      </c>
      <c r="G4" s="18" t="inlineStr">
        <is>
          <t>Desviación %</t>
        </is>
      </c>
      <c r="H4" s="18" t="inlineStr">
        <is>
          <t>Coef. amortización</t>
        </is>
      </c>
      <c r="I4" s="18" t="inlineStr">
        <is>
          <t>Dotación anual (€)</t>
        </is>
      </c>
      <c r="J4" s="18" t="inlineStr">
        <is>
          <t>Notas</t>
        </is>
      </c>
    </row>
    <row r="5">
      <c r="A5" s="7" t="inlineStr">
        <is>
          <t>Cocina industrial (fogones)</t>
        </is>
      </c>
      <c r="B5" s="19" t="n">
        <v>0</v>
      </c>
      <c r="C5" s="20" t="n">
        <v>0.21</v>
      </c>
      <c r="D5" s="21">
        <f>$B5*$C5</f>
        <v>0.0</v>
      </c>
      <c r="E5" s="22">
        <f>$B5+$D5</f>
        <v>0.0</v>
      </c>
      <c r="F5" s="23" t="n">
        <v>0</v>
      </c>
      <c r="G5" s="24">
        <f>IFERROR(($F5-$B5)/$B5,"")</f>
        <v/>
      </c>
      <c r="H5" s="25" t="n">
        <v>0.12</v>
      </c>
      <c r="I5" s="26">
        <f>$B5*$H5</f>
        <v>0.0</v>
      </c>
      <c r="J5" s="27" t="n"/>
    </row>
    <row r="6">
      <c r="A6" s="7" t="inlineStr">
        <is>
          <t>Horno combinado</t>
        </is>
      </c>
      <c r="B6" s="19" t="n">
        <v>0</v>
      </c>
      <c r="C6" s="20" t="n">
        <v>0.21</v>
      </c>
      <c r="D6" s="21">
        <f>$B6*$C6</f>
        <v>0.0</v>
      </c>
      <c r="E6" s="22">
        <f>$B6+$D6</f>
        <v>0.0</v>
      </c>
      <c r="F6" s="23" t="n">
        <v>0</v>
      </c>
      <c r="G6" s="24">
        <f>IFERROR(($F6-$B6)/$B6,"")</f>
        <v/>
      </c>
      <c r="H6" s="25" t="n">
        <v>0.12</v>
      </c>
      <c r="I6" s="26">
        <f>$B6*$H6</f>
        <v>0.0</v>
      </c>
      <c r="J6" s="27" t="n"/>
    </row>
    <row r="7">
      <c r="A7" s="7" t="inlineStr">
        <is>
          <t>Plancha / Grill</t>
        </is>
      </c>
      <c r="B7" s="19" t="n">
        <v>0</v>
      </c>
      <c r="C7" s="20" t="n">
        <v>0.21</v>
      </c>
      <c r="D7" s="21">
        <f>$B7*$C7</f>
        <v>0.0</v>
      </c>
      <c r="E7" s="22">
        <f>$B7+$D7</f>
        <v>0.0</v>
      </c>
      <c r="F7" s="23" t="n">
        <v>0</v>
      </c>
      <c r="G7" s="24">
        <f>IFERROR(($F7-$B7)/$B7,"")</f>
        <v/>
      </c>
      <c r="H7" s="25" t="n">
        <v>0.12</v>
      </c>
      <c r="I7" s="26">
        <f>$B7*$H7</f>
        <v>0.0</v>
      </c>
      <c r="J7" s="27" t="n"/>
    </row>
    <row r="8">
      <c r="A8" s="7" t="inlineStr">
        <is>
          <t>Freidora</t>
        </is>
      </c>
      <c r="B8" s="19" t="n">
        <v>0</v>
      </c>
      <c r="C8" s="20" t="n">
        <v>0.21</v>
      </c>
      <c r="D8" s="21">
        <f>$B8*$C8</f>
        <v>0.0</v>
      </c>
      <c r="E8" s="22">
        <f>$B8+$D8</f>
        <v>0.0</v>
      </c>
      <c r="F8" s="23" t="n">
        <v>0</v>
      </c>
      <c r="G8" s="24">
        <f>IFERROR(($F8-$B8)/$B8,"")</f>
        <v/>
      </c>
      <c r="H8" s="25" t="n">
        <v>0.12</v>
      </c>
      <c r="I8" s="26">
        <f>$B8*$H8</f>
        <v>0.0</v>
      </c>
      <c r="J8" s="27" t="n"/>
    </row>
    <row r="9">
      <c r="A9" s="7" t="inlineStr">
        <is>
          <t>Cámara frigorífica</t>
        </is>
      </c>
      <c r="B9" s="19" t="n">
        <v>0</v>
      </c>
      <c r="C9" s="20" t="n">
        <v>0.21</v>
      </c>
      <c r="D9" s="21">
        <f>$B9*$C9</f>
        <v>0.0</v>
      </c>
      <c r="E9" s="22">
        <f>$B9+$D9</f>
        <v>0.0</v>
      </c>
      <c r="F9" s="23" t="n">
        <v>0</v>
      </c>
      <c r="G9" s="24">
        <f>IFERROR(($F9-$B9)/$B9,"")</f>
        <v/>
      </c>
      <c r="H9" s="25" t="n">
        <v>0.12</v>
      </c>
      <c r="I9" s="26">
        <f>$B9*$H9</f>
        <v>0.0</v>
      </c>
      <c r="J9" s="27" t="n"/>
    </row>
    <row r="10">
      <c r="A10" s="7" t="inlineStr">
        <is>
          <t>Congelador</t>
        </is>
      </c>
      <c r="B10" s="19" t="n">
        <v>0</v>
      </c>
      <c r="C10" s="20" t="n">
        <v>0.21</v>
      </c>
      <c r="D10" s="21">
        <f>$B10*$C10</f>
        <v>0.0</v>
      </c>
      <c r="E10" s="22">
        <f>$B10+$D10</f>
        <v>0.0</v>
      </c>
      <c r="F10" s="23" t="n">
        <v>0</v>
      </c>
      <c r="G10" s="24">
        <f>IFERROR(($F10-$B10)/$B10,"")</f>
        <v/>
      </c>
      <c r="H10" s="25" t="n">
        <v>0.12</v>
      </c>
      <c r="I10" s="26">
        <f>$B10*$H10</f>
        <v>0.0</v>
      </c>
      <c r="J10" s="27" t="n"/>
    </row>
    <row r="11">
      <c r="A11" s="7" t="inlineStr">
        <is>
          <t>Mesa de trabajo inox</t>
        </is>
      </c>
      <c r="B11" s="19" t="n">
        <v>0</v>
      </c>
      <c r="C11" s="20" t="n">
        <v>0.21</v>
      </c>
      <c r="D11" s="21">
        <f>$B11*$C11</f>
        <v>0.0</v>
      </c>
      <c r="E11" s="22">
        <f>$B11+$D11</f>
        <v>0.0</v>
      </c>
      <c r="F11" s="23" t="n">
        <v>0</v>
      </c>
      <c r="G11" s="24">
        <f>IFERROR(($F11-$B11)/$B11,"")</f>
        <v/>
      </c>
      <c r="H11" s="25" t="n">
        <v>0.12</v>
      </c>
      <c r="I11" s="26">
        <f>$B11*$H11</f>
        <v>0.0</v>
      </c>
      <c r="J11" s="27" t="n"/>
    </row>
    <row r="12">
      <c r="A12" s="7" t="inlineStr">
        <is>
          <t>Lavavajillas industrial</t>
        </is>
      </c>
      <c r="B12" s="19" t="n">
        <v>0</v>
      </c>
      <c r="C12" s="20" t="n">
        <v>0.21</v>
      </c>
      <c r="D12" s="21">
        <f>$B12*$C12</f>
        <v>0.0</v>
      </c>
      <c r="E12" s="22">
        <f>$B12+$D12</f>
        <v>0.0</v>
      </c>
      <c r="F12" s="23" t="n">
        <v>0</v>
      </c>
      <c r="G12" s="24">
        <f>IFERROR(($F12-$B12)/$B12,"")</f>
        <v/>
      </c>
      <c r="H12" s="25" t="n">
        <v>0.12</v>
      </c>
      <c r="I12" s="26">
        <f>$B12*$H12</f>
        <v>0.0</v>
      </c>
      <c r="J12" s="27" t="n"/>
    </row>
    <row r="13">
      <c r="A13" s="7" t="inlineStr">
        <is>
          <t>Campana extractora</t>
        </is>
      </c>
      <c r="B13" s="19" t="n">
        <v>0</v>
      </c>
      <c r="C13" s="20" t="n">
        <v>0.21</v>
      </c>
      <c r="D13" s="21">
        <f>$B13*$C13</f>
        <v>0.0</v>
      </c>
      <c r="E13" s="22">
        <f>$B13+$D13</f>
        <v>0.0</v>
      </c>
      <c r="F13" s="23" t="n">
        <v>0</v>
      </c>
      <c r="G13" s="24">
        <f>IFERROR(($F13-$B13)/$B13,"")</f>
        <v/>
      </c>
      <c r="H13" s="25" t="n">
        <v>0.12</v>
      </c>
      <c r="I13" s="26">
        <f>$B13*$H13</f>
        <v>0.0</v>
      </c>
      <c r="J13" s="27" t="n"/>
    </row>
    <row r="14">
      <c r="A14" s="7" t="inlineStr">
        <is>
          <t>Pequeño material cocina</t>
        </is>
      </c>
      <c r="B14" s="19" t="n">
        <v>0</v>
      </c>
      <c r="C14" s="20" t="n">
        <v>0.21</v>
      </c>
      <c r="D14" s="21">
        <f>$B14*$C14</f>
        <v>0.0</v>
      </c>
      <c r="E14" s="22">
        <f>$B14+$D14</f>
        <v>0.0</v>
      </c>
      <c r="F14" s="23" t="n">
        <v>0</v>
      </c>
      <c r="G14" s="24">
        <f>IFERROR(($F14-$B14)/$B14,"")</f>
        <v/>
      </c>
      <c r="H14" s="25" t="n">
        <v>0.12</v>
      </c>
      <c r="I14" s="26">
        <f>$B14*$H14</f>
        <v>0.0</v>
      </c>
      <c r="J14" s="27" t="n"/>
    </row>
    <row r="15">
      <c r="A15" s="10" t="inlineStr">
        <is>
          <t>Menaje y utillaje de cocina (gastronorms, cuchillería)</t>
        </is>
      </c>
      <c r="B15" s="33" t="n">
        <v>0</v>
      </c>
      <c r="C15" s="34" t="n">
        <v>0.21</v>
      </c>
      <c r="D15" s="21">
        <f>$B15*$C15</f>
        <v>0.0</v>
      </c>
      <c r="E15" s="26">
        <f>$B15+$D15</f>
        <v>0.0</v>
      </c>
      <c r="F15" s="23" t="n">
        <v>0</v>
      </c>
      <c r="G15" s="24">
        <f>IFERROR(($F15-$B15)/$B15,"")</f>
        <v/>
      </c>
      <c r="H15" s="25" t="n">
        <v>0.12</v>
      </c>
      <c r="I15" s="26">
        <f>$B15*$H15</f>
        <v>0.0</v>
      </c>
      <c r="J15" s="27" t="n"/>
    </row>
    <row r="16">
      <c r="A16" t="inlineStr">
        <is>
          <t>Estantería de almacén y cámara de bebidas</t>
        </is>
      </c>
      <c r="B16" s="23" t="n">
        <v>0</v>
      </c>
      <c r="C16" s="35" t="n">
        <v>0.21</v>
      </c>
      <c r="D16" s="26">
        <f>$B16*$C16</f>
        <v>0.0</v>
      </c>
      <c r="E16" s="26">
        <f>$B16+$D16</f>
        <v>0.0</v>
      </c>
      <c r="F16" s="23" t="n">
        <v>0</v>
      </c>
      <c r="G16" s="24">
        <f>IFERROR(($F16-$B16)/$B16,"")</f>
        <v/>
      </c>
      <c r="H16" s="25" t="n">
        <v>0.12</v>
      </c>
      <c r="I16" s="26">
        <f>$B16*$H16</f>
        <v>0.0</v>
      </c>
      <c r="J16" s="27" t="n"/>
    </row>
    <row r="17">
      <c r="A17" s="36" t="inlineStr">
        <is>
          <t>TOTAL EQUIPAMIENTO COCINA</t>
        </is>
      </c>
      <c r="B17" s="31">
        <f>SUM(B5:B16)</f>
        <v>0.0</v>
      </c>
      <c r="D17" s="31">
        <f>SUM(D5:D16)</f>
        <v>0.0</v>
      </c>
      <c r="E17" s="31">
        <f>SUM(E5:E16)</f>
        <v>0.0</v>
      </c>
      <c r="F17" s="31">
        <f>SUM(F5:F16)</f>
        <v>0.0</v>
      </c>
      <c r="G17" s="24">
        <f>IFERROR(($F17-$B17)/$B17,"")</f>
        <v/>
      </c>
      <c r="I17" s="31">
        <f>SUM(I5:I16)</f>
        <v>0.0</v>
      </c>
    </row>
    <row r="18"/>
    <row r="19">
      <c r="A19" s="32" t="inlineStr">
        <is>
          <t>© 2026 AI Chef Pro · aichef.pro</t>
        </is>
      </c>
    </row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</sheetData>
  <sheetProtection selectLockedCells="0" selectUnlockedCells="0" sheet="1" objects="0" insertRows="0" insertHyperlinks="1" autoFilter="1" scenarios="0" formatColumns="0" deleteColumns="1" insertColumns="1" pivotTables="1" deleteRows="1" formatCells="1" formatRows="0" sort="0"/>
  <mergeCells count="2">
    <mergeCell ref="A1:E1"/>
    <mergeCell ref="A2:E2"/>
  </mergeCells>
  <dataValidations count="2">
    <dataValidation sqref="B5 B6 B7 B8 B9 B10 B11 B12 B13 B14 B15 B16 F5 F6 F7 F8 F9 F10 F11 F12 F13 F14 F15 F16" showDropDown="0" showInputMessage="0" showErrorMessage="1" allowBlank="1" errorTitle="Importe no válido" error="Escribe un número mayor o igual que 0." type="decimal" operator="greaterThanOrEqual">
      <formula1>0</formula1>
    </dataValidation>
    <dataValidation sqref="C5 C6 C7 C8 C9 C10 C11 C12 C13 C14 C15 C16 H5 H6 H7 H8 H9 H10 H11 H12 H13 H14 H15 H16" showDropDown="0" showInputMessage="0" showErrorMessage="1" allowBlank="1" errorTitle="Porcentaje no válido" error="Escribe un porcentaje entre 0 y 1 (0,35 = 35 %)." type="decimal" operator="between">
      <formula1>0</formula1>
      <formula2>1</formula2>
    </dataValidation>
  </dataValidations>
  <pageMargins left="0.59" right="0.59" top="0.59" bottom="0.59" header="0.3" footer="0.3"/>
  <pageSetup orientation="portrait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001565C0"/>
    <outlinePr summaryBelow="1" summaryRight="1"/>
    <pageSetUpPr fitToPage="1"/>
  </sheetPr>
  <dimension ref="A1:J4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  <col width="16" customWidth="1" min="2" max="2"/>
    <col width="16" customWidth="1" min="3" max="3"/>
    <col width="14" customWidth="1" min="4" max="4"/>
    <col width="30" customWidth="1" min="5" max="5"/>
    <col width="15" customWidth="1" min="6" max="6"/>
    <col width="13" customWidth="1" min="7" max="7"/>
    <col width="15" customWidth="1" min="8" max="8"/>
    <col width="17" customWidth="1" min="9" max="9"/>
    <col width="34" customWidth="1" min="10" max="10"/>
  </cols>
  <sheetData>
    <row r="1">
      <c r="A1" s="5" t="inlineStr">
        <is>
          <t>Inversión — Mobiliario Sala</t>
        </is>
      </c>
    </row>
    <row r="2">
      <c r="A2" s="2" t="inlineStr">
        <is>
          <t>AI Chef Pro · aichef.pro — Kit Plan Financiero para Restaurantes</t>
        </is>
      </c>
    </row>
    <row r="3"/>
    <row r="4">
      <c r="A4" s="17" t="inlineStr">
        <is>
          <t>Partida</t>
        </is>
      </c>
      <c r="B4" s="17" t="inlineStr">
        <is>
          <t>Base (€)</t>
        </is>
      </c>
      <c r="C4" s="17" t="inlineStr">
        <is>
          <t>IVA %</t>
        </is>
      </c>
      <c r="D4" s="17" t="inlineStr">
        <is>
          <t>IVA (€)</t>
        </is>
      </c>
      <c r="E4" s="17" t="inlineStr">
        <is>
          <t>Total con IVA (€)</t>
        </is>
      </c>
      <c r="F4" s="18" t="inlineStr">
        <is>
          <t>Real (€)</t>
        </is>
      </c>
      <c r="G4" s="18" t="inlineStr">
        <is>
          <t>Desviación %</t>
        </is>
      </c>
      <c r="H4" s="18" t="inlineStr">
        <is>
          <t>Coef. amortización</t>
        </is>
      </c>
      <c r="I4" s="18" t="inlineStr">
        <is>
          <t>Dotación anual (€)</t>
        </is>
      </c>
      <c r="J4" s="18" t="inlineStr">
        <is>
          <t>Notas</t>
        </is>
      </c>
    </row>
    <row r="5">
      <c r="A5" s="7" t="inlineStr">
        <is>
          <t>Mesas</t>
        </is>
      </c>
      <c r="B5" s="19" t="n">
        <v>0</v>
      </c>
      <c r="C5" s="20" t="n">
        <v>0.21</v>
      </c>
      <c r="D5" s="21">
        <f>$B5*$C5</f>
        <v>0.0</v>
      </c>
      <c r="E5" s="22">
        <f>$B5+$D5</f>
        <v>0.0</v>
      </c>
      <c r="F5" s="23" t="n">
        <v>0</v>
      </c>
      <c r="G5" s="24">
        <f>IFERROR(($F5-$B5)/$B5,"")</f>
        <v/>
      </c>
      <c r="H5" s="25" t="n">
        <v>0.1</v>
      </c>
      <c r="I5" s="26">
        <f>$B5*$H5</f>
        <v>0.0</v>
      </c>
      <c r="J5" s="27" t="n"/>
    </row>
    <row r="6">
      <c r="A6" s="7" t="inlineStr">
        <is>
          <t>Sillas</t>
        </is>
      </c>
      <c r="B6" s="19" t="n">
        <v>0</v>
      </c>
      <c r="C6" s="20" t="n">
        <v>0.21</v>
      </c>
      <c r="D6" s="21">
        <f>$B6*$C6</f>
        <v>0.0</v>
      </c>
      <c r="E6" s="22">
        <f>$B6+$D6</f>
        <v>0.0</v>
      </c>
      <c r="F6" s="23" t="n">
        <v>0</v>
      </c>
      <c r="G6" s="24">
        <f>IFERROR(($F6-$B6)/$B6,"")</f>
        <v/>
      </c>
      <c r="H6" s="25" t="n">
        <v>0.1</v>
      </c>
      <c r="I6" s="26">
        <f>$B6*$H6</f>
        <v>0.0</v>
      </c>
      <c r="J6" s="27" t="n"/>
    </row>
    <row r="7">
      <c r="A7" s="7" t="inlineStr">
        <is>
          <t>Barra</t>
        </is>
      </c>
      <c r="B7" s="19" t="n">
        <v>0</v>
      </c>
      <c r="C7" s="20" t="n">
        <v>0.21</v>
      </c>
      <c r="D7" s="21">
        <f>$B7*$C7</f>
        <v>0.0</v>
      </c>
      <c r="E7" s="22">
        <f>$B7+$D7</f>
        <v>0.0</v>
      </c>
      <c r="F7" s="23" t="n">
        <v>0</v>
      </c>
      <c r="G7" s="24">
        <f>IFERROR(($F7-$B7)/$B7,"")</f>
        <v/>
      </c>
      <c r="H7" s="25" t="n">
        <v>0.1</v>
      </c>
      <c r="I7" s="26">
        <f>$B7*$H7</f>
        <v>0.0</v>
      </c>
      <c r="J7" s="27" t="n"/>
    </row>
    <row r="8">
      <c r="A8" s="7" t="inlineStr">
        <is>
          <t>Taburetes barra</t>
        </is>
      </c>
      <c r="B8" s="19" t="n">
        <v>0</v>
      </c>
      <c r="C8" s="20" t="n">
        <v>0.21</v>
      </c>
      <c r="D8" s="21">
        <f>$B8*$C8</f>
        <v>0.0</v>
      </c>
      <c r="E8" s="22">
        <f>$B8+$D8</f>
        <v>0.0</v>
      </c>
      <c r="F8" s="23" t="n">
        <v>0</v>
      </c>
      <c r="G8" s="24">
        <f>IFERROR(($F8-$B8)/$B8,"")</f>
        <v/>
      </c>
      <c r="H8" s="25" t="n">
        <v>0.1</v>
      </c>
      <c r="I8" s="26">
        <f>$B8*$H8</f>
        <v>0.0</v>
      </c>
      <c r="J8" s="27" t="n"/>
    </row>
    <row r="9">
      <c r="A9" s="7" t="inlineStr">
        <is>
          <t>Estanterías / decoración</t>
        </is>
      </c>
      <c r="B9" s="19" t="n">
        <v>0</v>
      </c>
      <c r="C9" s="20" t="n">
        <v>0.21</v>
      </c>
      <c r="D9" s="21">
        <f>$B9*$C9</f>
        <v>0.0</v>
      </c>
      <c r="E9" s="22">
        <f>$B9+$D9</f>
        <v>0.0</v>
      </c>
      <c r="F9" s="23" t="n">
        <v>0</v>
      </c>
      <c r="G9" s="24">
        <f>IFERROR(($F9-$B9)/$B9,"")</f>
        <v/>
      </c>
      <c r="H9" s="25" t="n">
        <v>0.1</v>
      </c>
      <c r="I9" s="26">
        <f>$B9*$H9</f>
        <v>0.0</v>
      </c>
      <c r="J9" s="27" t="n"/>
    </row>
    <row r="10">
      <c r="A10" s="7" t="inlineStr">
        <is>
          <t>Iluminación</t>
        </is>
      </c>
      <c r="B10" s="19" t="n">
        <v>0</v>
      </c>
      <c r="C10" s="20" t="n">
        <v>0.21</v>
      </c>
      <c r="D10" s="21">
        <f>$B10*$C10</f>
        <v>0.0</v>
      </c>
      <c r="E10" s="22">
        <f>$B10+$D10</f>
        <v>0.0</v>
      </c>
      <c r="F10" s="23" t="n">
        <v>0</v>
      </c>
      <c r="G10" s="24">
        <f>IFERROR(($F10-$B10)/$B10,"")</f>
        <v/>
      </c>
      <c r="H10" s="25" t="n">
        <v>0.1</v>
      </c>
      <c r="I10" s="26">
        <f>$B10*$H10</f>
        <v>0.0</v>
      </c>
      <c r="J10" s="27" t="n"/>
    </row>
    <row r="11">
      <c r="A11" s="7" t="inlineStr">
        <is>
          <t>Terraza (mesas + sillas)</t>
        </is>
      </c>
      <c r="B11" s="19" t="n">
        <v>0</v>
      </c>
      <c r="C11" s="20" t="n">
        <v>0.21</v>
      </c>
      <c r="D11" s="21">
        <f>$B11*$C11</f>
        <v>0.0</v>
      </c>
      <c r="E11" s="22">
        <f>$B11+$D11</f>
        <v>0.0</v>
      </c>
      <c r="F11" s="23" t="n">
        <v>0</v>
      </c>
      <c r="G11" s="24">
        <f>IFERROR(($F11-$B11)/$B11,"")</f>
        <v/>
      </c>
      <c r="H11" s="25" t="n">
        <v>0.1</v>
      </c>
      <c r="I11" s="26">
        <f>$B11*$H11</f>
        <v>0.0</v>
      </c>
      <c r="J11" s="27" t="n"/>
    </row>
    <row r="12">
      <c r="A12" s="7" t="inlineStr">
        <is>
          <t>Textil (manteles, servilletas)</t>
        </is>
      </c>
      <c r="B12" s="19" t="n">
        <v>0</v>
      </c>
      <c r="C12" s="20" t="n">
        <v>0.21</v>
      </c>
      <c r="D12" s="21">
        <f>$B12*$C12</f>
        <v>0.0</v>
      </c>
      <c r="E12" s="22">
        <f>$B12+$D12</f>
        <v>0.0</v>
      </c>
      <c r="F12" s="23" t="n">
        <v>0</v>
      </c>
      <c r="G12" s="24">
        <f>IFERROR(($F12-$B12)/$B12,"")</f>
        <v/>
      </c>
      <c r="H12" s="25" t="n">
        <v>0.1</v>
      </c>
      <c r="I12" s="26">
        <f>$B12*$H12</f>
        <v>0.0</v>
      </c>
      <c r="J12" s="27" t="n"/>
    </row>
    <row r="13">
      <c r="A13" s="10" t="inlineStr">
        <is>
          <t>Vajilla, cristalería y cubertería (con reposición)</t>
        </is>
      </c>
      <c r="B13" s="33" t="n">
        <v>0</v>
      </c>
      <c r="C13" s="34" t="n">
        <v>0.21</v>
      </c>
      <c r="D13" s="21">
        <f>$B13*$C13</f>
        <v>0.0</v>
      </c>
      <c r="E13" s="26">
        <f>$B13+$D13</f>
        <v>0.0</v>
      </c>
      <c r="F13" s="23" t="n">
        <v>0</v>
      </c>
      <c r="G13" s="24">
        <f>IFERROR(($F13-$B13)/$B13,"")</f>
        <v/>
      </c>
      <c r="H13" s="25" t="n">
        <v>0.1</v>
      </c>
      <c r="I13" s="26">
        <f>$B13*$H13</f>
        <v>0.0</v>
      </c>
      <c r="J13" s="27" t="n"/>
    </row>
    <row r="14">
      <c r="A14" t="inlineStr">
        <is>
          <t>Uniformes y EPI</t>
        </is>
      </c>
      <c r="B14" s="23" t="n">
        <v>0</v>
      </c>
      <c r="C14" s="35" t="n">
        <v>0.21</v>
      </c>
      <c r="D14" s="26">
        <f>$B14*$C14</f>
        <v>0.0</v>
      </c>
      <c r="E14" s="26">
        <f>$B14+$D14</f>
        <v>0.0</v>
      </c>
      <c r="F14" s="23" t="n">
        <v>0</v>
      </c>
      <c r="G14" s="24">
        <f>IFERROR(($F14-$B14)/$B14,"")</f>
        <v/>
      </c>
      <c r="H14" s="25" t="n">
        <v>0.1</v>
      </c>
      <c r="I14" s="26">
        <f>$B14*$H14</f>
        <v>0.0</v>
      </c>
      <c r="J14" s="27" t="n"/>
    </row>
    <row r="15">
      <c r="A15" s="36" t="inlineStr">
        <is>
          <t>TOTAL MOBILIARIO SALA</t>
        </is>
      </c>
      <c r="B15" s="31">
        <f>SUM(B5:B14)</f>
        <v>0.0</v>
      </c>
      <c r="D15" s="31">
        <f>SUM(D5:D14)</f>
        <v>0.0</v>
      </c>
      <c r="E15" s="31">
        <f>SUM(E5:E14)</f>
        <v>0.0</v>
      </c>
      <c r="F15" s="31">
        <f>SUM(F5:F14)</f>
        <v>0.0</v>
      </c>
      <c r="G15" s="24">
        <f>IFERROR(($F15-$B15)/$B15,"")</f>
        <v/>
      </c>
      <c r="I15" s="31">
        <f>SUM(I5:I14)</f>
        <v>0.0</v>
      </c>
    </row>
    <row r="16"/>
    <row r="17">
      <c r="A17" s="32" t="inlineStr">
        <is>
          <t>© 2026 AI Chef Pro · aichef.pro</t>
        </is>
      </c>
    </row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</sheetData>
  <sheetProtection selectLockedCells="0" selectUnlockedCells="0" sheet="1" objects="0" insertRows="0" insertHyperlinks="1" autoFilter="1" scenarios="0" formatColumns="0" deleteColumns="1" insertColumns="1" pivotTables="1" deleteRows="1" formatCells="1" formatRows="0" sort="0"/>
  <mergeCells count="2">
    <mergeCell ref="A1:E1"/>
    <mergeCell ref="A2:E2"/>
  </mergeCells>
  <dataValidations count="2">
    <dataValidation sqref="B5 B6 B7 B8 B9 B10 B11 B12 B13 B14 F5 F6 F7 F8 F9 F10 F11 F12 F13 F14" showDropDown="0" showInputMessage="0" showErrorMessage="1" allowBlank="1" errorTitle="Importe no válido" error="Escribe un número mayor o igual que 0." type="decimal" operator="greaterThanOrEqual">
      <formula1>0</formula1>
    </dataValidation>
    <dataValidation sqref="C5 C6 C7 C8 C9 C10 C11 C12 C13 C14 H5 H6 H7 H8 H9 H10 H11 H12 H13 H14" showDropDown="0" showInputMessage="0" showErrorMessage="1" allowBlank="1" errorTitle="Porcentaje no válido" error="Escribe un porcentaje entre 0 y 1 (0,35 = 35 %)." type="decimal" operator="between">
      <formula1>0</formula1>
      <formula2>1</formula2>
    </dataValidation>
  </dataValidations>
  <pageMargins left="0.59" right="0.59" top="0.59" bottom="0.59" header="0.3" footer="0.3"/>
  <pageSetup orientation="portrait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tabColor rgb="001565C0"/>
    <outlinePr summaryBelow="1" summaryRight="1"/>
    <pageSetUpPr fitToPage="1"/>
  </sheetPr>
  <dimension ref="A1:J4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  <col width="16" customWidth="1" min="2" max="2"/>
    <col width="16" customWidth="1" min="3" max="3"/>
    <col width="14" customWidth="1" min="4" max="4"/>
    <col width="30" customWidth="1" min="5" max="5"/>
    <col width="15" customWidth="1" min="6" max="6"/>
    <col width="13" customWidth="1" min="7" max="7"/>
    <col width="15" customWidth="1" min="8" max="8"/>
    <col width="17" customWidth="1" min="9" max="9"/>
    <col width="34" customWidth="1" min="10" max="10"/>
  </cols>
  <sheetData>
    <row r="1">
      <c r="A1" s="5" t="inlineStr">
        <is>
          <t>Inversión — Tecnología</t>
        </is>
      </c>
    </row>
    <row r="2">
      <c r="A2" s="2" t="inlineStr">
        <is>
          <t>AI Chef Pro · aichef.pro — Kit Plan Financiero para Restaurantes</t>
        </is>
      </c>
    </row>
    <row r="3"/>
    <row r="4">
      <c r="A4" s="17" t="inlineStr">
        <is>
          <t>Partida</t>
        </is>
      </c>
      <c r="B4" s="17" t="inlineStr">
        <is>
          <t>Base (€)</t>
        </is>
      </c>
      <c r="C4" s="17" t="inlineStr">
        <is>
          <t>IVA %</t>
        </is>
      </c>
      <c r="D4" s="17" t="inlineStr">
        <is>
          <t>IVA (€)</t>
        </is>
      </c>
      <c r="E4" s="17" t="inlineStr">
        <is>
          <t>Total con IVA (€)</t>
        </is>
      </c>
      <c r="F4" s="18" t="inlineStr">
        <is>
          <t>Real (€)</t>
        </is>
      </c>
      <c r="G4" s="18" t="inlineStr">
        <is>
          <t>Desviación %</t>
        </is>
      </c>
      <c r="H4" s="18" t="inlineStr">
        <is>
          <t>Coef. amortización</t>
        </is>
      </c>
      <c r="I4" s="18" t="inlineStr">
        <is>
          <t>Dotación anual (€)</t>
        </is>
      </c>
      <c r="J4" s="18" t="inlineStr">
        <is>
          <t>Notas</t>
        </is>
      </c>
    </row>
    <row r="5">
      <c r="A5" s="7" t="inlineStr">
        <is>
          <t>TPV (hardware + software)</t>
        </is>
      </c>
      <c r="B5" s="19" t="n">
        <v>0</v>
      </c>
      <c r="C5" s="20" t="n">
        <v>0.21</v>
      </c>
      <c r="D5" s="21">
        <f>$B5*$C5</f>
        <v>0.0</v>
      </c>
      <c r="E5" s="22">
        <f>$B5+$D5</f>
        <v>0.0</v>
      </c>
      <c r="F5" s="23" t="n">
        <v>0</v>
      </c>
      <c r="G5" s="24">
        <f>IFERROR(($F5-$B5)/$B5,"")</f>
        <v/>
      </c>
      <c r="H5" s="25" t="n">
        <v>0.25</v>
      </c>
      <c r="I5" s="26">
        <f>$B5*$H5</f>
        <v>0.0</v>
      </c>
      <c r="J5" s="27" t="n"/>
    </row>
    <row r="6">
      <c r="A6" s="7" t="inlineStr">
        <is>
          <t>Impresoras comandas</t>
        </is>
      </c>
      <c r="B6" s="19" t="n">
        <v>0</v>
      </c>
      <c r="C6" s="20" t="n">
        <v>0.21</v>
      </c>
      <c r="D6" s="21">
        <f>$B6*$C6</f>
        <v>0.0</v>
      </c>
      <c r="E6" s="22">
        <f>$B6+$D6</f>
        <v>0.0</v>
      </c>
      <c r="F6" s="23" t="n">
        <v>0</v>
      </c>
      <c r="G6" s="24">
        <f>IFERROR(($F6-$B6)/$B6,"")</f>
        <v/>
      </c>
      <c r="H6" s="25" t="n">
        <v>0.25</v>
      </c>
      <c r="I6" s="26">
        <f>$B6*$H6</f>
        <v>0.0</v>
      </c>
      <c r="J6" s="27" t="n"/>
    </row>
    <row r="7">
      <c r="A7" s="7" t="inlineStr">
        <is>
          <t>Datáfono</t>
        </is>
      </c>
      <c r="B7" s="19" t="n">
        <v>0</v>
      </c>
      <c r="C7" s="20" t="n">
        <v>0.21</v>
      </c>
      <c r="D7" s="21">
        <f>$B7*$C7</f>
        <v>0.0</v>
      </c>
      <c r="E7" s="22">
        <f>$B7+$D7</f>
        <v>0.0</v>
      </c>
      <c r="F7" s="23" t="n">
        <v>0</v>
      </c>
      <c r="G7" s="24">
        <f>IFERROR(($F7-$B7)/$B7,"")</f>
        <v/>
      </c>
      <c r="H7" s="25" t="n">
        <v>0.25</v>
      </c>
      <c r="I7" s="26">
        <f>$B7*$H7</f>
        <v>0.0</v>
      </c>
      <c r="J7" s="27" t="n"/>
    </row>
    <row r="8">
      <c r="A8" s="7" t="inlineStr">
        <is>
          <t>Sistema de reservas</t>
        </is>
      </c>
      <c r="B8" s="19" t="n">
        <v>0</v>
      </c>
      <c r="C8" s="20" t="n">
        <v>0.21</v>
      </c>
      <c r="D8" s="21">
        <f>$B8*$C8</f>
        <v>0.0</v>
      </c>
      <c r="E8" s="22">
        <f>$B8+$D8</f>
        <v>0.0</v>
      </c>
      <c r="F8" s="23" t="n">
        <v>0</v>
      </c>
      <c r="G8" s="24">
        <f>IFERROR(($F8-$B8)/$B8,"")</f>
        <v/>
      </c>
      <c r="H8" s="25" t="n">
        <v>0.25</v>
      </c>
      <c r="I8" s="26">
        <f>$B8*$H8</f>
        <v>0.0</v>
      </c>
      <c r="J8" s="27" t="n"/>
    </row>
    <row r="9">
      <c r="A9" s="7" t="inlineStr">
        <is>
          <t>Wifi / Red</t>
        </is>
      </c>
      <c r="B9" s="19" t="n">
        <v>0</v>
      </c>
      <c r="C9" s="20" t="n">
        <v>0.21</v>
      </c>
      <c r="D9" s="21">
        <f>$B9*$C9</f>
        <v>0.0</v>
      </c>
      <c r="E9" s="22">
        <f>$B9+$D9</f>
        <v>0.0</v>
      </c>
      <c r="F9" s="23" t="n">
        <v>0</v>
      </c>
      <c r="G9" s="24">
        <f>IFERROR(($F9-$B9)/$B9,"")</f>
        <v/>
      </c>
      <c r="H9" s="25" t="n">
        <v>0.25</v>
      </c>
      <c r="I9" s="26">
        <f>$B9*$H9</f>
        <v>0.0</v>
      </c>
      <c r="J9" s="27" t="n"/>
    </row>
    <row r="10">
      <c r="A10" s="7" t="inlineStr">
        <is>
          <t>Pantallas / Digital signage</t>
        </is>
      </c>
      <c r="B10" s="19" t="n">
        <v>0</v>
      </c>
      <c r="C10" s="20" t="n">
        <v>0.21</v>
      </c>
      <c r="D10" s="21">
        <f>$B10*$C10</f>
        <v>0.0</v>
      </c>
      <c r="E10" s="22">
        <f>$B10+$D10</f>
        <v>0.0</v>
      </c>
      <c r="F10" s="23" t="n">
        <v>0</v>
      </c>
      <c r="G10" s="24">
        <f>IFERROR(($F10-$B10)/$B10,"")</f>
        <v/>
      </c>
      <c r="H10" s="25" t="n">
        <v>0.25</v>
      </c>
      <c r="I10" s="26">
        <f>$B10*$H10</f>
        <v>0.0</v>
      </c>
      <c r="J10" s="27" t="n"/>
    </row>
    <row r="11">
      <c r="A11" s="7" t="inlineStr">
        <is>
          <t>Web / App delivery</t>
        </is>
      </c>
      <c r="B11" s="19" t="n">
        <v>0</v>
      </c>
      <c r="C11" s="20" t="n">
        <v>0.21</v>
      </c>
      <c r="D11" s="21">
        <f>$B11*$C11</f>
        <v>0.0</v>
      </c>
      <c r="E11" s="22">
        <f>$B11+$D11</f>
        <v>0.0</v>
      </c>
      <c r="F11" s="23" t="n">
        <v>0</v>
      </c>
      <c r="G11" s="24">
        <f>IFERROR(($F11-$B11)/$B11,"")</f>
        <v/>
      </c>
      <c r="H11" s="25" t="n">
        <v>0.25</v>
      </c>
      <c r="I11" s="26">
        <f>$B11*$H11</f>
        <v>0.0</v>
      </c>
      <c r="J11" s="27" t="n"/>
    </row>
    <row r="12">
      <c r="A12" s="7" t="inlineStr">
        <is>
          <t>Sistema de seguridad (cámaras)</t>
        </is>
      </c>
      <c r="B12" s="19" t="n">
        <v>0</v>
      </c>
      <c r="C12" s="20" t="n">
        <v>0.21</v>
      </c>
      <c r="D12" s="21">
        <f>$B12*$C12</f>
        <v>0.0</v>
      </c>
      <c r="E12" s="22">
        <f>$B12+$D12</f>
        <v>0.0</v>
      </c>
      <c r="F12" s="23" t="n">
        <v>0</v>
      </c>
      <c r="G12" s="24">
        <f>IFERROR(($F12-$B12)/$B12,"")</f>
        <v/>
      </c>
      <c r="H12" s="25" t="n">
        <v>0.25</v>
      </c>
      <c r="I12" s="26">
        <f>$B12*$H12</f>
        <v>0.0</v>
      </c>
      <c r="J12" s="27" t="n"/>
    </row>
    <row r="13">
      <c r="A13" s="28" t="inlineStr">
        <is>
          <t>TOTAL TECNOLOGÍA</t>
        </is>
      </c>
      <c r="B13" s="29">
        <f>SUM(B5:B12)</f>
        <v>0.0</v>
      </c>
      <c r="C13" s="30" t="n"/>
      <c r="D13" s="29">
        <f>SUM(D5:D12)</f>
        <v>0.0</v>
      </c>
      <c r="E13" s="31">
        <f>SUM(E5:E12)</f>
        <v>0.0</v>
      </c>
      <c r="F13" s="31">
        <f>SUM(F5:F12)</f>
        <v>0.0</v>
      </c>
      <c r="G13" s="24">
        <f>IFERROR(($F13-$B13)/$B13,"")</f>
        <v/>
      </c>
      <c r="I13" s="31">
        <f>SUM(I5:I12)</f>
        <v>0.0</v>
      </c>
    </row>
    <row r="14"/>
    <row r="15">
      <c r="A15" s="32" t="inlineStr">
        <is>
          <t>© 2026 AI Chef Pro · aichef.pro</t>
        </is>
      </c>
    </row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</sheetData>
  <sheetProtection selectLockedCells="0" selectUnlockedCells="0" sheet="1" objects="0" insertRows="0" insertHyperlinks="1" autoFilter="1" scenarios="0" formatColumns="0" deleteColumns="1" insertColumns="1" pivotTables="1" deleteRows="1" formatCells="1" formatRows="0" sort="0"/>
  <mergeCells count="2">
    <mergeCell ref="A1:E1"/>
    <mergeCell ref="A2:E2"/>
  </mergeCells>
  <dataValidations count="2">
    <dataValidation sqref="B5 B6 B7 B8 B9 B10 B11 B12 F5 F6 F7 F8 F9 F10 F11 F12" showDropDown="0" showInputMessage="0" showErrorMessage="1" allowBlank="1" errorTitle="Importe no válido" error="Escribe un número mayor o igual que 0." type="decimal" operator="greaterThanOrEqual">
      <formula1>0</formula1>
    </dataValidation>
    <dataValidation sqref="C5 C6 C7 C8 C9 C10 C11 C12 H5 H6 H7 H8 H9 H10 H11 H12" showDropDown="0" showInputMessage="0" showErrorMessage="1" allowBlank="1" errorTitle="Porcentaje no válido" error="Escribe un porcentaje entre 0 y 1 (0,35 = 35 %)." type="decimal" operator="between">
      <formula1>0</formula1>
      <formula2>1</formula2>
    </dataValidation>
  </dataValidations>
  <pageMargins left="0.59" right="0.59" top="0.59" bottom="0.59" header="0.3" footer="0.3"/>
  <pageSetup orientation="portrait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tabColor rgb="001565C0"/>
    <outlinePr summaryBelow="1" summaryRight="1"/>
    <pageSetUpPr fitToPage="1"/>
  </sheetPr>
  <dimension ref="A1:J4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  <col width="16" customWidth="1" min="2" max="2"/>
    <col width="16" customWidth="1" min="3" max="3"/>
    <col width="14" customWidth="1" min="4" max="4"/>
    <col width="30" customWidth="1" min="5" max="5"/>
    <col width="15" customWidth="1" min="6" max="6"/>
    <col width="13" customWidth="1" min="7" max="7"/>
    <col width="15" customWidth="1" min="8" max="8"/>
    <col width="17" customWidth="1" min="9" max="9"/>
    <col width="34" customWidth="1" min="10" max="10"/>
  </cols>
  <sheetData>
    <row r="1">
      <c r="A1" s="5" t="inlineStr">
        <is>
          <t>Inversión — Licencias</t>
        </is>
      </c>
    </row>
    <row r="2">
      <c r="A2" s="2" t="inlineStr">
        <is>
          <t>AI Chef Pro · aichef.pro — Kit Plan Financiero para Restaurantes</t>
        </is>
      </c>
    </row>
    <row r="3"/>
    <row r="4">
      <c r="A4" s="17" t="inlineStr">
        <is>
          <t>Partida</t>
        </is>
      </c>
      <c r="B4" s="17" t="inlineStr">
        <is>
          <t>Base (€)</t>
        </is>
      </c>
      <c r="C4" s="17" t="inlineStr">
        <is>
          <t>IVA %</t>
        </is>
      </c>
      <c r="D4" s="17" t="inlineStr">
        <is>
          <t>IVA (€)</t>
        </is>
      </c>
      <c r="E4" s="17" t="inlineStr">
        <is>
          <t>Total con IVA (€)</t>
        </is>
      </c>
      <c r="F4" s="18" t="inlineStr">
        <is>
          <t>Real (€)</t>
        </is>
      </c>
      <c r="G4" s="18" t="inlineStr">
        <is>
          <t>Desviación %</t>
        </is>
      </c>
      <c r="H4" s="18" t="inlineStr">
        <is>
          <t>Coef. amortización</t>
        </is>
      </c>
      <c r="I4" s="18" t="inlineStr">
        <is>
          <t>Dotación anual (€)</t>
        </is>
      </c>
      <c r="J4" s="18" t="inlineStr">
        <is>
          <t>Notas</t>
        </is>
      </c>
    </row>
    <row r="5">
      <c r="A5" s="7" t="inlineStr">
        <is>
          <t>Licencia de apertura</t>
        </is>
      </c>
      <c r="B5" s="19" t="n">
        <v>0</v>
      </c>
      <c r="C5" s="20" t="n">
        <v>0</v>
      </c>
      <c r="D5" s="21">
        <f>$B5*$C5</f>
        <v>0.0</v>
      </c>
      <c r="E5" s="22">
        <f>$B5+$D5</f>
        <v>0.0</v>
      </c>
      <c r="F5" s="23" t="n">
        <v>0</v>
      </c>
      <c r="G5" s="24">
        <f>IFERROR(($F5-$B5)/$B5,"")</f>
        <v/>
      </c>
      <c r="H5" s="25" t="n">
        <v>0</v>
      </c>
      <c r="I5" s="26">
        <f>$B5*$H5</f>
        <v>0.0</v>
      </c>
      <c r="J5" s="27" t="n"/>
    </row>
    <row r="6">
      <c r="A6" s="7" t="inlineStr">
        <is>
          <t>Licencia de obras</t>
        </is>
      </c>
      <c r="B6" s="19" t="n">
        <v>0</v>
      </c>
      <c r="C6" s="20" t="n">
        <v>0</v>
      </c>
      <c r="D6" s="21">
        <f>$B6*$C6</f>
        <v>0.0</v>
      </c>
      <c r="E6" s="22">
        <f>$B6+$D6</f>
        <v>0.0</v>
      </c>
      <c r="F6" s="23" t="n">
        <v>0</v>
      </c>
      <c r="G6" s="24">
        <f>IFERROR(($F6-$B6)/$B6,"")</f>
        <v/>
      </c>
      <c r="H6" s="25" t="n">
        <v>0</v>
      </c>
      <c r="I6" s="26">
        <f>$B6*$H6</f>
        <v>0.0</v>
      </c>
      <c r="J6" s="27" t="n"/>
    </row>
    <row r="7">
      <c r="A7" s="7" t="inlineStr">
        <is>
          <t>Proyecto técnico (arquitecto)</t>
        </is>
      </c>
      <c r="B7" s="19" t="n">
        <v>0</v>
      </c>
      <c r="C7" s="20" t="n">
        <v>0</v>
      </c>
      <c r="D7" s="21">
        <f>$B7*$C7</f>
        <v>0.0</v>
      </c>
      <c r="E7" s="22">
        <f>$B7+$D7</f>
        <v>0.0</v>
      </c>
      <c r="F7" s="23" t="n">
        <v>0</v>
      </c>
      <c r="G7" s="24">
        <f>IFERROR(($F7-$B7)/$B7,"")</f>
        <v/>
      </c>
      <c r="H7" s="25" t="n">
        <v>0</v>
      </c>
      <c r="I7" s="26">
        <f>$B7*$H7</f>
        <v>0.0</v>
      </c>
      <c r="J7" s="27" t="n"/>
    </row>
    <row r="8">
      <c r="A8" s="7" t="inlineStr">
        <is>
          <t>Certificado energético</t>
        </is>
      </c>
      <c r="B8" s="19" t="n">
        <v>0</v>
      </c>
      <c r="C8" s="20" t="n">
        <v>0</v>
      </c>
      <c r="D8" s="21">
        <f>$B8*$C8</f>
        <v>0.0</v>
      </c>
      <c r="E8" s="22">
        <f>$B8+$D8</f>
        <v>0.0</v>
      </c>
      <c r="F8" s="23" t="n">
        <v>0</v>
      </c>
      <c r="G8" s="24">
        <f>IFERROR(($F8-$B8)/$B8,"")</f>
        <v/>
      </c>
      <c r="H8" s="25" t="n">
        <v>0</v>
      </c>
      <c r="I8" s="26">
        <f>$B8*$H8</f>
        <v>0.0</v>
      </c>
      <c r="J8" s="27" t="n"/>
    </row>
    <row r="9">
      <c r="A9" s="7" t="inlineStr">
        <is>
          <t>Plan de autoprotección</t>
        </is>
      </c>
      <c r="B9" s="19" t="n">
        <v>0</v>
      </c>
      <c r="C9" s="20" t="n">
        <v>0</v>
      </c>
      <c r="D9" s="21">
        <f>$B9*$C9</f>
        <v>0.0</v>
      </c>
      <c r="E9" s="22">
        <f>$B9+$D9</f>
        <v>0.0</v>
      </c>
      <c r="F9" s="23" t="n">
        <v>0</v>
      </c>
      <c r="G9" s="24">
        <f>IFERROR(($F9-$B9)/$B9,"")</f>
        <v/>
      </c>
      <c r="H9" s="25" t="n">
        <v>0</v>
      </c>
      <c r="I9" s="26">
        <f>$B9*$H9</f>
        <v>0.0</v>
      </c>
      <c r="J9" s="27" t="n"/>
    </row>
    <row r="10">
      <c r="A10" s="7" t="inlineStr">
        <is>
          <t>Alta Hacienda / SS</t>
        </is>
      </c>
      <c r="B10" s="19" t="n">
        <v>0</v>
      </c>
      <c r="C10" s="20" t="n">
        <v>0</v>
      </c>
      <c r="D10" s="21">
        <f>$B10*$C10</f>
        <v>0.0</v>
      </c>
      <c r="E10" s="22">
        <f>$B10+$D10</f>
        <v>0.0</v>
      </c>
      <c r="F10" s="23" t="n">
        <v>0</v>
      </c>
      <c r="G10" s="24">
        <f>IFERROR(($F10-$B10)/$B10,"")</f>
        <v/>
      </c>
      <c r="H10" s="25" t="n">
        <v>0</v>
      </c>
      <c r="I10" s="26">
        <f>$B10*$H10</f>
        <v>0.0</v>
      </c>
      <c r="J10" s="27" t="n"/>
    </row>
    <row r="11">
      <c r="A11" s="7" t="inlineStr">
        <is>
          <t>Registro sanitario</t>
        </is>
      </c>
      <c r="B11" s="19" t="n">
        <v>0</v>
      </c>
      <c r="C11" s="20" t="n">
        <v>0</v>
      </c>
      <c r="D11" s="21">
        <f>$B11*$C11</f>
        <v>0.0</v>
      </c>
      <c r="E11" s="22">
        <f>$B11+$D11</f>
        <v>0.0</v>
      </c>
      <c r="F11" s="23" t="n">
        <v>0</v>
      </c>
      <c r="G11" s="24">
        <f>IFERROR(($F11-$B11)/$B11,"")</f>
        <v/>
      </c>
      <c r="H11" s="25" t="n">
        <v>0</v>
      </c>
      <c r="I11" s="26">
        <f>$B11*$H11</f>
        <v>0.0</v>
      </c>
      <c r="J11" s="27" t="n"/>
    </row>
    <row r="12">
      <c r="A12" s="7" t="inlineStr">
        <is>
          <t>SGAE / Derechos música</t>
        </is>
      </c>
      <c r="B12" s="19" t="n">
        <v>0</v>
      </c>
      <c r="C12" s="20" t="n">
        <v>0</v>
      </c>
      <c r="D12" s="21">
        <f>$B12*$C12</f>
        <v>0.0</v>
      </c>
      <c r="E12" s="22">
        <f>$B12+$D12</f>
        <v>0.0</v>
      </c>
      <c r="F12" s="23" t="n">
        <v>0</v>
      </c>
      <c r="G12" s="24">
        <f>IFERROR(($F12-$B12)/$B12,"")</f>
        <v/>
      </c>
      <c r="H12" s="25" t="n">
        <v>0</v>
      </c>
      <c r="I12" s="26">
        <f>$B12*$H12</f>
        <v>0.0</v>
      </c>
      <c r="J12" s="27" t="n"/>
    </row>
    <row r="13">
      <c r="A13" s="28" t="inlineStr">
        <is>
          <t>TOTAL LICENCIAS</t>
        </is>
      </c>
      <c r="B13" s="29">
        <f>SUM(B5:B12)</f>
        <v>0.0</v>
      </c>
      <c r="C13" s="37" t="n"/>
      <c r="D13" s="29">
        <f>SUM(D5:D12)</f>
        <v>0.0</v>
      </c>
      <c r="E13" s="38">
        <f>SUM(E5:E12)</f>
        <v>0.0</v>
      </c>
      <c r="F13" s="31">
        <f>SUM(F5:F12)</f>
        <v>0.0</v>
      </c>
      <c r="G13" s="24">
        <f>IFERROR(($F13-$B13)/$B13,"")</f>
        <v/>
      </c>
      <c r="I13" s="31">
        <f>SUM(I5:I12)</f>
        <v>0.0</v>
      </c>
    </row>
    <row r="14">
      <c r="A14" s="10" t="n"/>
      <c r="B14" s="30" t="n"/>
      <c r="C14" s="30" t="n"/>
      <c r="D14" s="39" t="n"/>
    </row>
    <row r="15">
      <c r="A15" s="32" t="inlineStr">
        <is>
          <t>© 2026 AI Chef Pro · aichef.pro</t>
        </is>
      </c>
    </row>
    <row r="16">
      <c r="A16" s="12" t="n"/>
    </row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</sheetData>
  <sheetProtection selectLockedCells="0" selectUnlockedCells="0" sheet="1" objects="0" insertRows="0" insertHyperlinks="1" autoFilter="1" scenarios="0" formatColumns="0" deleteColumns="1" insertColumns="1" pivotTables="1" deleteRows="1" formatCells="1" formatRows="0" sort="0"/>
  <mergeCells count="2">
    <mergeCell ref="A1:E1"/>
    <mergeCell ref="A2:E2"/>
  </mergeCells>
  <dataValidations count="2">
    <dataValidation sqref="B5 B6 B7 B8 B9 B10 B11 B12 F5 F6 F7 F8 F9 F10 F11 F12" showDropDown="0" showInputMessage="0" showErrorMessage="1" allowBlank="1" errorTitle="Importe no válido" error="Escribe un número mayor o igual que 0." type="decimal" operator="greaterThanOrEqual">
      <formula1>0</formula1>
    </dataValidation>
    <dataValidation sqref="C5 C6 C7 C8 C9 C10 C11 C12 H5 H6 H7 H8 H9 H10 H11 H12" showDropDown="0" showInputMessage="0" showErrorMessage="1" allowBlank="1" errorTitle="Porcentaje no válido" error="Escribe un porcentaje entre 0 y 1 (0,35 = 35 %)." type="decimal" operator="between">
      <formula1>0</formula1>
      <formula2>1</formula2>
    </dataValidation>
  </dataValidations>
  <pageMargins left="0.59" right="0.59" top="0.59" bottom="0.59" header="0.3" footer="0.3"/>
  <pageSetup orientation="portrait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H30"/>
  <sheetViews>
    <sheetView workbookViewId="0">
      <selection activeCell="A1" sqref="A1"/>
    </sheetView>
  </sheetViews>
  <sheetFormatPr baseColWidth="8" defaultRowHeight="15"/>
  <cols>
    <col width="46" customWidth="1" min="1" max="1"/>
    <col width="15" customWidth="1" min="2" max="2"/>
    <col width="13" customWidth="1" min="3" max="3"/>
    <col width="14" customWidth="1" min="4" max="4"/>
    <col width="17" customWidth="1" min="5" max="5"/>
    <col width="15" customWidth="1" min="6" max="6"/>
    <col width="13" customWidth="1" min="7" max="7"/>
    <col width="56" customWidth="1" min="8" max="8"/>
  </cols>
  <sheetData>
    <row r="1">
      <c r="A1" s="40" t="inlineStr">
        <is>
          <t>Otros conceptos de apertura — lo que no es CAPEX y hay que pagar igual</t>
        </is>
      </c>
    </row>
    <row r="2">
      <c r="A2" s="41" t="inlineStr">
        <is>
          <t>AI Chef Pro · aichef.pro — Kit Plan Financiero para Restaurantes</t>
        </is>
      </c>
    </row>
    <row r="3"/>
    <row r="4">
      <c r="A4" s="18" t="inlineStr">
        <is>
          <t>Concepto</t>
        </is>
      </c>
      <c r="B4" s="18" t="inlineStr">
        <is>
          <t>Base (€)</t>
        </is>
      </c>
      <c r="C4" s="18" t="inlineStr">
        <is>
          <t>IVA %</t>
        </is>
      </c>
      <c r="D4" s="18" t="inlineStr">
        <is>
          <t>IVA (€)</t>
        </is>
      </c>
      <c r="E4" s="18" t="inlineStr">
        <is>
          <t>Total con IVA (€)</t>
        </is>
      </c>
      <c r="F4" s="18" t="inlineStr">
        <is>
          <t>Real (€)</t>
        </is>
      </c>
      <c r="G4" s="18" t="inlineStr">
        <is>
          <t>Desviación %</t>
        </is>
      </c>
      <c r="H4" s="18" t="inlineStr">
        <is>
          <t>Notas</t>
        </is>
      </c>
    </row>
    <row r="5">
      <c r="A5" t="inlineStr">
        <is>
          <t>Traspaso del local</t>
        </is>
      </c>
      <c r="B5" s="23" t="n">
        <v>0</v>
      </c>
      <c r="C5" s="35" t="n">
        <v>0.21</v>
      </c>
      <c r="D5" s="26">
        <f>$B5*$C5</f>
        <v>0.0</v>
      </c>
      <c r="E5" s="26">
        <f>$B5+$D5</f>
        <v>0.0</v>
      </c>
      <c r="F5" s="23" t="n">
        <v>0</v>
      </c>
      <c r="G5" s="24">
        <f>IFERROR(($F5-$B5)/$B5,"")</f>
        <v/>
      </c>
      <c r="H5" s="42" t="n"/>
    </row>
    <row r="6">
      <c r="A6" t="inlineStr">
        <is>
          <t>Fianza y primeras rentas</t>
        </is>
      </c>
      <c r="B6" s="23" t="n">
        <v>0</v>
      </c>
      <c r="C6" s="35" t="n">
        <v>0</v>
      </c>
      <c r="D6" s="26">
        <f>$B6*$C6</f>
        <v>0.0</v>
      </c>
      <c r="E6" s="26">
        <f>$B6+$D6</f>
        <v>0.0</v>
      </c>
      <c r="F6" s="23" t="n">
        <v>0</v>
      </c>
      <c r="G6" s="24">
        <f>IFERROR(($F6-$B6)/$B6,"")</f>
        <v/>
      </c>
      <c r="H6" s="42" t="inlineStr">
        <is>
          <t>La fianza se recupera al salir; las rentas anticipadas, no.</t>
        </is>
      </c>
    </row>
    <row r="7">
      <c r="A7" t="inlineStr">
        <is>
          <t>Constitución, notaría y registro</t>
        </is>
      </c>
      <c r="B7" s="23" t="n">
        <v>0</v>
      </c>
      <c r="C7" s="35" t="n">
        <v>0.21</v>
      </c>
      <c r="D7" s="26">
        <f>$B7*$C7</f>
        <v>0.0</v>
      </c>
      <c r="E7" s="26">
        <f>$B7+$D7</f>
        <v>0.0</v>
      </c>
      <c r="F7" s="23" t="n">
        <v>0</v>
      </c>
      <c r="G7" s="24">
        <f>IFERROR(($F7-$B7)/$B7,"")</f>
        <v/>
      </c>
      <c r="H7" s="42" t="n"/>
    </row>
    <row r="8">
      <c r="A8" t="inlineStr">
        <is>
          <t>STOCK INICIAL de despensa y bodega</t>
        </is>
      </c>
      <c r="B8" s="23" t="n">
        <v>0</v>
      </c>
      <c r="C8" s="35" t="n">
        <v>0.1</v>
      </c>
      <c r="D8" s="26">
        <f>$B8*$C8</f>
        <v>0.0</v>
      </c>
      <c r="E8" s="26">
        <f>$B8+$D8</f>
        <v>0.0</v>
      </c>
      <c r="F8" s="23" t="n">
        <v>0</v>
      </c>
      <c r="G8" s="24">
        <f>IFERROR(($F8-$B8)/$B8,"")</f>
        <v/>
      </c>
      <c r="H8" s="42" t="inlineStr">
        <is>
          <t>Semanas de consumo × coste diario de materia prima. En un casual de 60 plazas, 2-4 semanas suelen ser 8.000-15.000 €.</t>
        </is>
      </c>
    </row>
    <row r="9">
      <c r="A9" t="inlineStr">
        <is>
          <t>Nóminas y formación pre-apertura</t>
        </is>
      </c>
      <c r="B9" s="23" t="n">
        <v>0</v>
      </c>
      <c r="C9" s="35" t="n">
        <v>0</v>
      </c>
      <c r="D9" s="26">
        <f>$B9*$C9</f>
        <v>0.0</v>
      </c>
      <c r="E9" s="26">
        <f>$B9+$D9</f>
        <v>0.0</v>
      </c>
      <c r="F9" s="23" t="n">
        <v>0</v>
      </c>
      <c r="G9" s="24">
        <f>IFERROR(($F9-$B9)/$B9,"")</f>
        <v/>
      </c>
      <c r="H9" s="42" t="inlineStr">
        <is>
          <t>Las dos o tres semanas de plantilla antes de facturar el primer euro.</t>
        </is>
      </c>
    </row>
    <row r="10">
      <c r="A10" t="inlineStr">
        <is>
          <t>Marketing de lanzamiento</t>
        </is>
      </c>
      <c r="B10" s="23" t="n">
        <v>0</v>
      </c>
      <c r="C10" s="35" t="n">
        <v>0.21</v>
      </c>
      <c r="D10" s="26">
        <f>$B10*$C10</f>
        <v>0.0</v>
      </c>
      <c r="E10" s="26">
        <f>$B10+$D10</f>
        <v>0.0</v>
      </c>
      <c r="F10" s="23" t="n">
        <v>0</v>
      </c>
      <c r="G10" s="24">
        <f>IFERROR(($F10-$B10)/$B10,"")</f>
        <v/>
      </c>
      <c r="H10" s="42" t="n"/>
    </row>
    <row r="11">
      <c r="A11" t="inlineStr">
        <is>
          <t>Seguros (año 1)</t>
        </is>
      </c>
      <c r="B11" s="23" t="n">
        <v>0</v>
      </c>
      <c r="C11" s="35" t="n">
        <v>0</v>
      </c>
      <c r="D11" s="26">
        <f>$B11*$C11</f>
        <v>0.0</v>
      </c>
      <c r="E11" s="26">
        <f>$B11+$D11</f>
        <v>0.0</v>
      </c>
      <c r="F11" s="23" t="n">
        <v>0</v>
      </c>
      <c r="G11" s="24">
        <f>IFERROR(($F11-$B11)/$B11,"")</f>
        <v/>
      </c>
      <c r="H11" s="42" t="inlineStr">
        <is>
          <t>Gasto anticipado NO amortizable. Venía de la pestaña Licencias: no es CAPEX y duplicaba 02!Datos!C8.</t>
        </is>
      </c>
    </row>
    <row r="12">
      <c r="A12" t="inlineStr">
        <is>
          <t>Imprevistos (5-10 % de la inversión)</t>
        </is>
      </c>
      <c r="B12" s="23" t="n">
        <v>0</v>
      </c>
      <c r="C12" s="35" t="n">
        <v>0.21</v>
      </c>
      <c r="D12" s="26">
        <f>$B12*$C12</f>
        <v>0.0</v>
      </c>
      <c r="E12" s="26">
        <f>$B12+$D12</f>
        <v>0.0</v>
      </c>
      <c r="F12" s="23" t="n">
        <v>0</v>
      </c>
      <c r="G12" s="24">
        <f>IFERROR(($F12-$B12)/$B12,"")</f>
        <v/>
      </c>
      <c r="H12" s="42" t="inlineStr">
        <is>
          <t>Sobre «INVERSIÓN TOTAL (CAPEX)» de la pestaña Resumen.</t>
        </is>
      </c>
    </row>
    <row r="13">
      <c r="A13" t="inlineStr">
        <is>
          <t>FONDO DE MANIOBRA (3-6 meses de costes fijos)</t>
        </is>
      </c>
      <c r="B13" s="23" t="n">
        <v>0</v>
      </c>
      <c r="C13" s="35" t="n">
        <v>0</v>
      </c>
      <c r="D13" s="26">
        <f>$B13*$C13</f>
        <v>0.0</v>
      </c>
      <c r="E13" s="26">
        <f>$B13+$D13</f>
        <v>0.0</v>
      </c>
      <c r="F13" s="23" t="n">
        <v>0</v>
      </c>
      <c r="G13" s="24">
        <f>IFERROR(($F13-$B13)/$B13,"")</f>
        <v/>
      </c>
      <c r="H13" s="42" t="inlineStr">
        <is>
          <t>Es lo que pide BONUS-09!C15 y hasta hoy no tenía dónde ponerse. Referencia: 02!Datos!C14 × 3 a 6.</t>
        </is>
      </c>
    </row>
    <row r="14">
      <c r="A14" s="36" t="inlineStr">
        <is>
          <t>TOTAL OTROS CONCEPTOS DE APERTURA</t>
        </is>
      </c>
      <c r="B14" s="31">
        <f>SUM(B5:B13)</f>
        <v>0.0</v>
      </c>
      <c r="D14" s="31">
        <f>SUM(D5:D13)</f>
        <v>0.0</v>
      </c>
      <c r="E14" s="31">
        <f>SUM(E5:E13)</f>
        <v>0.0</v>
      </c>
      <c r="F14" s="31">
        <f>SUM(F5:F13)</f>
        <v>0.0</v>
      </c>
      <c r="G14" s="24">
        <f>IFERROR(($F14-$B14)/$B14,"")</f>
        <v/>
      </c>
    </row>
    <row r="15"/>
    <row r="16">
      <c r="A16" s="43" t="inlineStr">
        <is>
          <t>Ninguno de estos conceptos se amortiza: son gasto del ejercicio o circulante. Por eso no llevan coeficiente.</t>
        </is>
      </c>
    </row>
    <row r="17"/>
    <row r="18">
      <c r="A18" s="32" t="inlineStr">
        <is>
          <t>© 2026 AI Chef Pro · aichef.pro</t>
        </is>
      </c>
    </row>
    <row r="19"/>
    <row r="20"/>
    <row r="21"/>
    <row r="22"/>
    <row r="23"/>
    <row r="24"/>
    <row r="25"/>
    <row r="26"/>
    <row r="27"/>
    <row r="28"/>
    <row r="29"/>
    <row r="30"/>
  </sheetData>
  <sheetProtection selectLockedCells="0" selectUnlockedCells="0" sheet="1" objects="0" insertRows="0" insertHyperlinks="1" autoFilter="1" scenarios="0" formatColumns="0" deleteColumns="1" insertColumns="1" pivotTables="1" deleteRows="1" formatCells="1" formatRows="0" sort="0"/>
  <dataValidations count="2">
    <dataValidation sqref="B5 B6 B7 B8 B9 B10 B11 B12 B13 F5 F6 F7 F8 F9 F10 F11 F12 F13" showDropDown="0" showInputMessage="0" showErrorMessage="1" allowBlank="1" errorTitle="Importe no válido" error="Escribe un número mayor o igual que 0." type="decimal" operator="greaterThanOrEqual">
      <formula1>0</formula1>
    </dataValidation>
    <dataValidation sqref="C5 C6 C7 C8 C9 C10 C11 C12 C13" showDropDown="0" showInputMessage="0" showErrorMessage="1" allowBlank="1" errorTitle="Porcentaje no válido" error="Escribe un porcentaje entre 0 y 1 (0,35 = 35 %)." type="decimal" operator="between">
      <formula1>0</formula1>
      <formula2>1</formula2>
    </dataValidation>
  </dataValidations>
  <pageMargins left="0.59" right="0.59" top="0.59" bottom="0.59" header="0.3" footer="0.3"/>
  <pageSetup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8.xml><?xml version="1.0" encoding="utf-8"?>
<worksheet xmlns="http://schemas.openxmlformats.org/spreadsheetml/2006/main">
  <sheetPr>
    <tabColor rgb="00FFD700"/>
    <outlinePr summaryBelow="1" summaryRight="1"/>
    <pageSetUpPr fitToPage="1"/>
  </sheetPr>
  <dimension ref="A1:H3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0" customWidth="1" min="1" max="1"/>
    <col width="18" customWidth="1" min="2" max="2"/>
    <col width="18" customWidth="1" min="3" max="3"/>
    <col width="18" customWidth="1" min="4" max="4"/>
    <col width="16" customWidth="1" min="5" max="5"/>
    <col width="14" customWidth="1" min="6" max="6"/>
    <col width="18" customWidth="1" min="7" max="7"/>
  </cols>
  <sheetData>
    <row r="1">
      <c r="A1" s="5" t="inlineStr">
        <is>
          <t>Resumen de Inversión Total</t>
        </is>
      </c>
    </row>
    <row r="2">
      <c r="A2" s="2" t="inlineStr">
        <is>
          <t>AI Chef Pro · aichef.pro — Kit Plan Financiero para Restaurantes</t>
        </is>
      </c>
    </row>
    <row r="3"/>
    <row r="4">
      <c r="A4" s="17" t="inlineStr">
        <is>
          <t>Categoría</t>
        </is>
      </c>
      <c r="B4" s="17" t="inlineStr">
        <is>
          <t>Base (€)</t>
        </is>
      </c>
      <c r="C4" s="17" t="inlineStr">
        <is>
          <t>IVA (€)</t>
        </is>
      </c>
      <c r="D4" s="17" t="inlineStr">
        <is>
          <t>Total con IVA (€)</t>
        </is>
      </c>
      <c r="E4" s="18" t="inlineStr">
        <is>
          <t>Real (€)</t>
        </is>
      </c>
      <c r="F4" s="18" t="inlineStr">
        <is>
          <t>Desviación %</t>
        </is>
      </c>
      <c r="G4" s="18" t="inlineStr">
        <is>
          <t>Dotación anual (€)</t>
        </is>
      </c>
    </row>
    <row r="5">
      <c r="A5" s="7" t="inlineStr">
        <is>
          <t>Obra</t>
        </is>
      </c>
      <c r="B5" s="13">
        <f>'Obra'!B15</f>
        <v>0.0</v>
      </c>
      <c r="C5" s="13">
        <f>'Obra'!D15</f>
        <v>0.0</v>
      </c>
      <c r="D5" s="21">
        <f>'Obra'!E15</f>
        <v>0.0</v>
      </c>
      <c r="E5" s="26">
        <f>'Obra'!F15</f>
        <v>0.0</v>
      </c>
      <c r="F5" s="24">
        <f>IFERROR(($E5-$B5)/$B5,"")</f>
        <v/>
      </c>
      <c r="G5" s="26">
        <f>'Obra'!I15</f>
        <v>0.0</v>
      </c>
    </row>
    <row r="6">
      <c r="A6" s="7" t="inlineStr">
        <is>
          <t>Equipamiento Cocina</t>
        </is>
      </c>
      <c r="B6" s="13">
        <f>'Equipamiento Cocina'!B17</f>
        <v>0.0</v>
      </c>
      <c r="C6" s="13">
        <f>'Equipamiento Cocina'!D17</f>
        <v>0.0</v>
      </c>
      <c r="D6" s="21">
        <f>'Equipamiento Cocina'!E17</f>
        <v>0.0</v>
      </c>
      <c r="E6" s="26">
        <f>'Equipamiento Cocina'!F17</f>
        <v>0.0</v>
      </c>
      <c r="F6" s="24">
        <f>IFERROR(($E6-$B6)/$B6,"")</f>
        <v/>
      </c>
      <c r="G6" s="26">
        <f>'Equipamiento Cocina'!I17</f>
        <v>0.0</v>
      </c>
    </row>
    <row r="7">
      <c r="A7" s="7" t="inlineStr">
        <is>
          <t>Mobiliario Sala</t>
        </is>
      </c>
      <c r="B7" s="13">
        <f>'Mobiliario Sala'!B15</f>
        <v>0.0</v>
      </c>
      <c r="C7" s="13">
        <f>'Mobiliario Sala'!D15</f>
        <v>0.0</v>
      </c>
      <c r="D7" s="21">
        <f>'Mobiliario Sala'!E15</f>
        <v>0.0</v>
      </c>
      <c r="E7" s="26">
        <f>'Mobiliario Sala'!F15</f>
        <v>0.0</v>
      </c>
      <c r="F7" s="24">
        <f>IFERROR(($E7-$B7)/$B7,"")</f>
        <v/>
      </c>
      <c r="G7" s="26">
        <f>'Mobiliario Sala'!I15</f>
        <v>0.0</v>
      </c>
    </row>
    <row r="8">
      <c r="A8" s="7" t="inlineStr">
        <is>
          <t>Tecnología</t>
        </is>
      </c>
      <c r="B8" s="13">
        <f>'Tecnología'!B13</f>
        <v>0.0</v>
      </c>
      <c r="C8" s="13">
        <f>'Tecnología'!D13</f>
        <v>0.0</v>
      </c>
      <c r="D8" s="21">
        <f>'Tecnología'!E13</f>
        <v>0.0</v>
      </c>
      <c r="E8" s="26">
        <f>'Tecnología'!F13</f>
        <v>0.0</v>
      </c>
      <c r="F8" s="24">
        <f>IFERROR(($E8-$B8)/$B8,"")</f>
        <v/>
      </c>
      <c r="G8" s="26">
        <f>'Tecnología'!I13</f>
        <v>0.0</v>
      </c>
    </row>
    <row r="9">
      <c r="A9" s="7" t="inlineStr">
        <is>
          <t>Licencias</t>
        </is>
      </c>
      <c r="B9" s="13">
        <f>'Licencias'!B13</f>
        <v>0.0</v>
      </c>
      <c r="C9" s="13">
        <f>'Licencias'!D13</f>
        <v>0.0</v>
      </c>
      <c r="D9" s="21">
        <f>'Licencias'!E13</f>
        <v>0.0</v>
      </c>
      <c r="E9" s="26">
        <f>'Licencias'!F13</f>
        <v>0.0</v>
      </c>
      <c r="F9" s="24">
        <f>IFERROR(($E9-$B9)/$B9,"")</f>
        <v/>
      </c>
      <c r="G9" s="26">
        <f>'Licencias'!I13</f>
        <v>0.0</v>
      </c>
    </row>
    <row r="10">
      <c r="A10" s="28" t="inlineStr">
        <is>
          <t>INVERSIÓN TOTAL (CAPEX)</t>
        </is>
      </c>
      <c r="B10" s="29">
        <f>SUM(B5:B9)</f>
        <v>0.0</v>
      </c>
      <c r="C10" s="29">
        <f>SUM(C5:C9)</f>
        <v>0.0</v>
      </c>
      <c r="D10" s="29">
        <f>SUM(D5:D9)</f>
        <v>0.0</v>
      </c>
      <c r="E10" s="31">
        <f>SUM(E5:E9)</f>
        <v>0.0</v>
      </c>
      <c r="F10" s="24">
        <f>IFERROR(($E10-$B10)/$B10,"")</f>
        <v/>
      </c>
      <c r="G10" s="31">
        <f>SUM(G5:G9)</f>
        <v>0.0</v>
      </c>
    </row>
    <row r="11">
      <c r="A11" t="inlineStr">
        <is>
          <t>Otros conceptos de apertura</t>
        </is>
      </c>
      <c r="B11" s="26">
        <f>'Otros conceptos de apertura'!B14</f>
        <v>0.0</v>
      </c>
      <c r="C11" s="26">
        <f>'Otros conceptos de apertura'!D14</f>
        <v>0.0</v>
      </c>
      <c r="D11" s="26">
        <f>'Otros conceptos de apertura'!E14</f>
        <v>0.0</v>
      </c>
      <c r="E11" s="26">
        <f>'Otros conceptos de apertura'!F14</f>
        <v>0.0</v>
      </c>
      <c r="F11" s="24">
        <f>IFERROR(($E11-$B11)/$B11,"")</f>
        <v/>
      </c>
    </row>
    <row r="12">
      <c r="A12" s="36" t="inlineStr">
        <is>
          <t>DESEMBOLSO TOTAL DE APERTURA (base + IVA)</t>
        </is>
      </c>
      <c r="B12" s="31">
        <f>B10+B11</f>
        <v>0.0</v>
      </c>
      <c r="C12" s="31">
        <f>C10+C11</f>
        <v>0.0</v>
      </c>
      <c r="D12" s="31">
        <f>D10+D11</f>
        <v>0.0</v>
      </c>
      <c r="E12" s="31">
        <f>E10+E11</f>
        <v>0.0</v>
      </c>
      <c r="F12" s="24">
        <f>IFERROR(($E12-$B12)/$B12,"")</f>
        <v/>
      </c>
    </row>
    <row r="13">
      <c r="A13" s="12" t="n"/>
    </row>
    <row r="14">
      <c r="A14" s="44" t="inlineStr">
        <is>
          <t>De dónde sale cada dato (el encadenado realista entre libros):</t>
        </is>
      </c>
    </row>
    <row r="15">
      <c r="A15" s="41" t="inlineStr">
        <is>
          <t>▸ La «Dotación anual (€)» de la fila 10 es la que se copia a 07!Proyecciones, fila «Amortización».</t>
        </is>
      </c>
    </row>
    <row r="16">
      <c r="A16" s="41" t="inlineStr">
        <is>
          <t>▸ El «IVA (€)» de la fila 12 es IVA soportado: se recupera vía modelo 303, pero hay que ADELANTARLO. El préstamo tiene que cubrirlo.</t>
        </is>
      </c>
    </row>
    <row r="17"/>
    <row r="18"/>
    <row r="19"/>
    <row r="20"/>
    <row r="21"/>
    <row r="22"/>
    <row r="23"/>
    <row r="24"/>
    <row r="25"/>
    <row r="26"/>
    <row r="27"/>
    <row r="28"/>
    <row r="29"/>
    <row r="30">
      <c r="A30" s="32" t="inlineStr">
        <is>
          <t>© 2026 AI Chef Pro · aichef.pro</t>
        </is>
      </c>
    </row>
    <row r="31"/>
    <row r="32"/>
  </sheetData>
  <sheetProtection selectLockedCells="0" selectUnlockedCells="0" sheet="1" objects="0" insertRows="0" insertHyperlinks="1" autoFilter="1" scenarios="0" formatColumns="0" deleteColumns="1" insertColumns="1" pivotTables="1" deleteRows="1" formatCells="1" formatRows="0" sort="0"/>
  <mergeCells count="2">
    <mergeCell ref="A1:D1"/>
    <mergeCell ref="A2:D2"/>
  </mergeCells>
  <conditionalFormatting sqref="F5:F12">
    <cfRule type="expression" priority="1" dxfId="0" stopIfTrue="1">
      <formula>=ABS(F5)&gt;0.1</formula>
    </cfRule>
  </conditionalFormatting>
  <pageMargins left="0.59" right="0.59" top="0.59" bottom="0.59" header="0.3" footer="0.3"/>
  <pageSetup orientation="portrait" paperSize="9" fitToHeight="0" fitToWidth="1"/>
  <headerFooter>
    <oddHeader/>
    <oddFooter>&amp;C&amp;8 AI Chef Pro · aichef.pro · Página &amp;P de &amp;N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AI Chef Pro</dc:creator>
  <dc:title xmlns:dc="http://purl.org/dc/elements/1.1/">04 · Presupuesto de Inversión (CAPEX) · Kit Plan Financiero para Restaurantes</dc:title>
  <dc:description xmlns:dc="http://purl.org/dc/elements/1.1/">aichef.pro/kit-plan-financiero</dc:description>
  <dc:subject xmlns:dc="http://purl.org/dc/elements/1.1/">Kit Plan Financiero para Restaurantes · v2.0</dc:subject>
  <dcterms:created xmlns:dcterms="http://purl.org/dc/terms/" xmlns:xsi="http://www.w3.org/2001/XMLSchema-instance" xsi:type="dcterms:W3CDTF">2026-04-05T10:13:01Z</dcterms:created>
  <dcterms:modified xmlns:dcterms="http://purl.org/dc/terms/" xmlns:xsi="http://www.w3.org/2001/XMLSchema-instance" xsi:type="dcterms:W3CDTF">2026-08-28T23:26:35Z</dcterms:modified>
  <cp:lastModifiedBy>AI Chef Pro</cp:lastModifiedBy>
  <cp:category>AI Chef Pro · Productos digitales</cp:category>
  <cp:keywords>kit plan financiero, plan de negocio restaurante, viabilidad, punto de equilibrio, cash flow, TIR VAN payback, AI Chef Pro</cp:keywords>
</cp:coreProperties>
</file>