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Flujo Mensual" sheetId="3" state="visible" r:id="rId3"/>
    <sheet xmlns:r="http://schemas.openxmlformats.org/officeDocument/2006/relationships" name="Alertas" sheetId="4" state="visible" r:id="rId4"/>
  </sheets>
  <definedNames>
    <definedName name="_xlnm.Print_Titles" localSheetId="2">'Flujo Mensual'!$4:$4</definedName>
    <definedName name="_xlnm.Print_Titles" localSheetId="3">'Alertas'!$5:$5</definedName>
  </definedNames>
  <calcPr calcId="124519" fullCalcOnLoad="1"/>
</workbook>
</file>

<file path=xl/styles.xml><?xml version="1.0" encoding="utf-8"?>
<styleSheet xmlns="http://schemas.openxmlformats.org/spreadsheetml/2006/main">
  <numFmts count="2">
    <numFmt numFmtId="164" formatCode="#,##0.00 €"/>
    <numFmt numFmtId="165" formatCode="0.0%"/>
  </numFmts>
  <fonts count="20">
    <font>
      <name val="Calibri"/>
      <family val="2"/>
      <color theme="1"/>
      <sz val="11"/>
      <scheme val="minor"/>
    </font>
    <font>
      <name val="Calibri"/>
      <b val="1"/>
      <color rgb="00FFD700"/>
      <sz val="18"/>
    </font>
    <font>
      <name val="Calibri"/>
      <i val="1"/>
      <color rgb="00888888"/>
      <sz val="11"/>
    </font>
    <font>
      <name val="Calibri"/>
      <b val="1"/>
      <color rgb="00333333"/>
      <sz val="12"/>
    </font>
    <font>
      <name val="Calibri"/>
      <color rgb="00555555"/>
      <sz val="11"/>
    </font>
    <font>
      <name val="Calibri"/>
      <b val="1"/>
      <color rgb="00FFD700"/>
      <sz val="16"/>
    </font>
    <font>
      <name val="Calibri"/>
      <b val="1"/>
      <color rgb="00FFFFFF"/>
      <sz val="11"/>
    </font>
    <font>
      <name val="Calibri"/>
      <b val="1"/>
      <sz val="11"/>
    </font>
    <font>
      <name val="Calibri"/>
      <sz val="11"/>
    </font>
    <font>
      <name val="Calibri"/>
      <b val="1"/>
      <color rgb="00FFD700"/>
      <sz val="12"/>
    </font>
    <font>
      <name val="Calibri"/>
      <b val="1"/>
      <color rgb="001565C0"/>
      <sz val="11"/>
    </font>
    <font>
      <name val="Calibri"/>
      <b val="1"/>
      <color rgb="00FFD700"/>
      <sz val="13"/>
    </font>
    <font>
      <name val="Calibri"/>
      <color rgb="00999999"/>
      <sz val="9"/>
    </font>
    <font>
      <b val="1"/>
      <color rgb="009C6500"/>
      <sz val="9"/>
    </font>
    <font>
      <b val="1"/>
      <sz val="14"/>
    </font>
    <font>
      <sz val="9"/>
    </font>
    <font>
      <b val="1"/>
      <color rgb="00FFFFFF"/>
    </font>
    <font>
      <i val="1"/>
      <sz val="9"/>
    </font>
    <font>
      <b val="1"/>
    </font>
    <font>
      <sz val="8"/>
    </font>
  </fonts>
  <fills count="7">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2D2D2D"/>
      </patternFill>
    </fill>
    <fill>
      <patternFill patternType="solid">
        <fgColor rgb="00E8F5E9"/>
      </patternFill>
    </fill>
    <fill>
      <patternFill patternType="solid">
        <fgColor rgb="00F2F2F2"/>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0" borderId="1" pivotButton="0" quotePrefix="0" xfId="0"/>
    <xf numFmtId="164" fontId="8" fillId="3" borderId="1" applyAlignment="1" pivotButton="0" quotePrefix="0" xfId="0">
      <alignment horizontal="right" vertical="center"/>
    </xf>
    <xf numFmtId="164" fontId="7" fillId="0" borderId="1" applyAlignment="1" pivotButton="0" quotePrefix="0" xfId="0">
      <alignment horizontal="right" vertical="center"/>
    </xf>
    <xf numFmtId="0" fontId="9" fillId="0" borderId="0" pivotButton="0" quotePrefix="0" xfId="0"/>
    <xf numFmtId="0" fontId="8" fillId="0" borderId="1" pivotButton="0" quotePrefix="0" xfId="0"/>
    <xf numFmtId="164" fontId="10" fillId="0" borderId="1" applyAlignment="1" pivotButton="0" quotePrefix="0" xfId="0">
      <alignment horizontal="right" vertical="center"/>
    </xf>
    <xf numFmtId="0" fontId="11" fillId="0" borderId="1" pivotButton="0" quotePrefix="0" xfId="0"/>
    <xf numFmtId="164" fontId="9" fillId="0" borderId="1" applyAlignment="1" pivotButton="0" quotePrefix="0" xfId="0">
      <alignment horizontal="right" vertical="center"/>
    </xf>
    <xf numFmtId="0" fontId="12" fillId="0" borderId="0" pivotButton="0" quotePrefix="0" xfId="0"/>
    <xf numFmtId="0" fontId="7" fillId="0" borderId="0" pivotButton="0" quotePrefix="0" xfId="0"/>
    <xf numFmtId="164" fontId="8" fillId="0" borderId="1" applyAlignment="1" pivotButton="0" quotePrefix="0" xfId="0">
      <alignment horizontal="right" vertical="center"/>
    </xf>
    <xf numFmtId="0" fontId="8" fillId="0" borderId="1" applyAlignment="1" pivotButton="0" quotePrefix="0" xfId="0">
      <alignment horizontal="center" vertical="center" wrapText="1"/>
    </xf>
    <xf numFmtId="0" fontId="4" fillId="0" borderId="0" applyAlignment="1" pivotButton="0" quotePrefix="0" xfId="0">
      <alignment horizontal="left" vertical="top"/>
    </xf>
    <xf numFmtId="0" fontId="14" fillId="0" borderId="0" pivotButton="0" quotePrefix="0" xfId="0"/>
    <xf numFmtId="0" fontId="15" fillId="0" borderId="0" pivotButton="0" quotePrefix="0" xfId="0"/>
    <xf numFmtId="0" fontId="16" fillId="4" borderId="0" pivotButton="0" quotePrefix="0" xfId="0"/>
    <xf numFmtId="9" fontId="0" fillId="5" borderId="0" applyProtection="1" pivotButton="0" quotePrefix="0" xfId="0">
      <protection locked="0" hidden="0"/>
    </xf>
    <xf numFmtId="0" fontId="17" fillId="0" borderId="0" pivotButton="0" quotePrefix="0" xfId="0"/>
    <xf numFmtId="3" fontId="0" fillId="5" borderId="0" applyProtection="1" pivotButton="0" quotePrefix="0" xfId="0">
      <protection locked="0" hidden="0"/>
    </xf>
    <xf numFmtId="165" fontId="0" fillId="5" borderId="0" applyProtection="1" pivotButton="0" quotePrefix="0" xfId="0">
      <protection locked="0" hidden="0"/>
    </xf>
    <xf numFmtId="0" fontId="18" fillId="0" borderId="0" pivotButton="0" quotePrefix="0" xfId="0"/>
    <xf numFmtId="2" fontId="0" fillId="5" borderId="0" applyProtection="1" pivotButton="0" quotePrefix="0" xfId="0">
      <protection locked="0" hidden="0"/>
    </xf>
    <xf numFmtId="164" fontId="0" fillId="0" borderId="0" pivotButton="0" quotePrefix="0" xfId="0"/>
    <xf numFmtId="164" fontId="0" fillId="5" borderId="0" applyProtection="1" pivotButton="0" quotePrefix="0" xfId="0">
      <protection locked="0" hidden="0"/>
    </xf>
    <xf numFmtId="0" fontId="19" fillId="0" borderId="0" pivotButton="0" quotePrefix="0" xfId="0"/>
    <xf numFmtId="0" fontId="13" fillId="0" borderId="0" applyAlignment="1" pivotButton="0" quotePrefix="0" xfId="0">
      <alignment horizontal="left"/>
    </xf>
    <xf numFmtId="164" fontId="8" fillId="5" borderId="1" applyAlignment="1" applyProtection="1" pivotButton="0" quotePrefix="0" xfId="0">
      <alignment horizontal="right" vertical="center"/>
      <protection locked="0" hidden="0"/>
    </xf>
    <xf numFmtId="0" fontId="8" fillId="0" borderId="1" applyAlignment="1" pivotButton="0" quotePrefix="0" xfId="0">
      <alignment horizontal="right" vertical="center"/>
    </xf>
    <xf numFmtId="0" fontId="9" fillId="6" borderId="0" pivotButton="0" quotePrefix="0" xfId="0"/>
    <xf numFmtId="0" fontId="0" fillId="6" borderId="0" pivotButton="0" quotePrefix="0" xfId="0"/>
    <xf numFmtId="0" fontId="8" fillId="6" borderId="1" pivotButton="0" quotePrefix="0" xfId="0"/>
    <xf numFmtId="164" fontId="0" fillId="6" borderId="0" pivotButton="0" quotePrefix="0" xfId="0"/>
    <xf numFmtId="164" fontId="8" fillId="3" borderId="1" applyAlignment="1" applyProtection="1" pivotButton="0" quotePrefix="0" xfId="0">
      <alignment horizontal="right" vertical="center"/>
      <protection locked="0" hidden="0"/>
    </xf>
  </cellXfs>
  <cellStyles count="1">
    <cellStyle name="Normal" xfId="0" builtinId="0" hidden="0"/>
  </cellStyles>
  <dxfs count="2">
    <dxf>
      <font>
        <b val="1"/>
        <color rgb="009C0006"/>
      </font>
      <fill>
        <patternFill patternType="solid">
          <fgColor rgb="00FFC7CE"/>
          <bgColor rgb="00FFC7CE"/>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12"/>
  <chart>
    <title>
      <tx>
        <rich>
          <a:bodyPr xmlns:a="http://schemas.openxmlformats.org/drawingml/2006/main"/>
          <a:p xmlns:a="http://schemas.openxmlformats.org/drawingml/2006/main">
            <a:pPr>
              <a:defRPr/>
            </a:pPr>
            <a:r>
              <a:t>Saldo final vs umbral de seguridad</a:t>
            </a:r>
          </a:p>
        </rich>
      </tx>
    </title>
    <plotArea>
      <lineChart>
        <grouping val="standard"/>
        <ser>
          <idx val="0"/>
          <order val="0"/>
          <tx>
            <strRef>
              <f>'Alertas'!C5</f>
            </strRef>
          </tx>
          <spPr>
            <a:ln xmlns:a="http://schemas.openxmlformats.org/drawingml/2006/main">
              <a:prstDash val="solid"/>
            </a:ln>
          </spPr>
          <marker>
            <symbol val="none"/>
            <spPr>
              <a:ln xmlns:a="http://schemas.openxmlformats.org/drawingml/2006/main">
                <a:prstDash val="solid"/>
              </a:ln>
            </spPr>
          </marker>
          <cat>
            <numRef>
              <f>'Alertas'!$B$6:$B$17</f>
            </numRef>
          </cat>
          <val>
            <numRef>
              <f>'Alertas'!$C$6:$C$17</f>
            </numRef>
          </val>
        </ser>
        <ser>
          <idx val="1"/>
          <order val="1"/>
          <tx>
            <strRef>
              <f>'Alertas'!E5</f>
            </strRef>
          </tx>
          <spPr>
            <a:ln xmlns:a="http://schemas.openxmlformats.org/drawingml/2006/main">
              <a:prstDash val="solid"/>
            </a:ln>
          </spPr>
          <marker>
            <symbol val="none"/>
            <spPr>
              <a:ln xmlns:a="http://schemas.openxmlformats.org/drawingml/2006/main">
                <a:prstDash val="solid"/>
              </a:ln>
            </spPr>
          </marker>
          <cat>
            <numRef>
              <f>'Alertas'!$B$6:$B$17</f>
            </numRef>
          </cat>
          <val>
            <numRef>
              <f>'Alertas'!$E$6:$E$17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AI Chef Pro</author>
  </authors>
  <commentList>
    <comment ref="B25" authorId="0" shapeId="0">
      <text>
        <t>Enero es input: aquí pagas el IVA del 4T del año ANTERIOR (modelo 303, del 1 al 30 de enero). Los demás meses los calcula la hoja sola en abril, julio y octubre.</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19</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FD700"/>
    <outlinePr summaryBelow="1" summaryRight="1"/>
    <pageSetUpPr fitToPage="1"/>
  </sheetPr>
  <dimension ref="A1:B25"/>
  <sheetViews>
    <sheetView workbookViewId="0">
      <selection activeCell="A1" sqref="A1"/>
    </sheetView>
  </sheetViews>
  <sheetFormatPr baseColWidth="8" defaultRowHeight="15"/>
  <cols>
    <col width="3" customWidth="1" min="1" max="1"/>
    <col width="100" customWidth="1" min="2" max="2"/>
  </cols>
  <sheetData>
    <row r="1"/>
    <row r="2">
      <c r="B2" s="1" t="inlineStr">
        <is>
          <t>03 · Previsión de Tesorería (Cash Flow) — 12 Meses</t>
        </is>
      </c>
    </row>
    <row r="3"/>
    <row r="4">
      <c r="B4" s="2" t="inlineStr">
        <is>
          <t>AI Chef Pro · aichef.pro — Kit Plan Financiero para Restaurantes</t>
        </is>
      </c>
    </row>
    <row r="5"/>
    <row r="6">
      <c r="B6" s="3" t="inlineStr">
        <is>
          <t>Cómo usar esta plantilla:</t>
        </is>
      </c>
    </row>
    <row r="7">
      <c r="B7" s="4" t="inlineStr">
        <is>
          <t>▸ Introduce los cobros y pagos previstos mes a mes.</t>
        </is>
      </c>
    </row>
    <row r="8">
      <c r="B8" s="4" t="inlineStr">
        <is>
          <t>▸ El IVA trimestral se calcula solo con los tipos de 'Parámetros' y el calendario del modelo 303 (abril, julio y octubre); enero queda como input, porque liquida el 4T del año anterior.</t>
        </is>
      </c>
    </row>
    <row r="9">
      <c r="B9" s="4" t="inlineStr">
        <is>
          <t>▸ La pestaña 'Alertas' marca en rojo los meses donde el saldo &lt; umbral de seguridad.</t>
        </is>
      </c>
    </row>
    <row r="10"/>
    <row r="11">
      <c r="B11" s="3" t="inlineStr">
        <is>
          <t>Conceptos:</t>
        </is>
      </c>
    </row>
    <row r="12">
      <c r="B12" s="4" t="inlineStr">
        <is>
          <t>▸ Cobros = ingresos reales de caja (con IVA incluido).</t>
        </is>
      </c>
    </row>
    <row r="13">
      <c r="B13" s="4" t="inlineStr">
        <is>
          <t>▸ Pagos = salidas reales de caja (con IVA incluido).</t>
        </is>
      </c>
    </row>
    <row r="14">
      <c r="B14" s="4" t="inlineStr">
        <is>
          <t>▸ Saldo Final = Saldo Inicial + Cobros - Pagos.</t>
        </is>
      </c>
    </row>
    <row r="15"/>
    <row r="16">
      <c r="B16" s="4" t="n"/>
    </row>
    <row r="17"/>
    <row r="18">
      <c r="B18" s="4" t="inlineStr">
        <is>
          <t>▸ En 'Parámetros' pones el % de cobro con tarjeta y su desfase, el plazo de pago a proveedores y la estacionalidad: la tesorería deja de ser una lista de deseos.</t>
        </is>
      </c>
    </row>
    <row r="19"/>
    <row r="20">
      <c r="B20" s="4" t="inlineStr">
        <is>
          <t>▸ El bloque gris del final («datos base») no es caja: son las compras y la Seguridad Social devengada del mes, de donde salen el pago a proveedores, la SS del mes siguiente y el IVA.</t>
        </is>
      </c>
    </row>
    <row r="21"/>
    <row r="22">
      <c r="B22" s="19" t="inlineStr">
        <is>
          <t>Todas las cifras de esta plantilla van CON IVA: es caja. En el resto del kit (01, 01b, 02, 05, 06 y 07) van SIN IVA.</t>
        </is>
      </c>
    </row>
    <row r="23">
      <c r="B23" s="19" t="inlineStr">
        <is>
          <t>Para editar una celda que no esté en verde: Revisar → Desproteger hoja (no tiene contraseña).</t>
        </is>
      </c>
    </row>
    <row r="24">
      <c r="B24" s="19" t="inlineStr">
        <is>
          <t>Diseñado por John Guerrero — chef y consultor gastronómico desde 2010, en cocina desde los 17 años · johnguerrero.es</t>
        </is>
      </c>
    </row>
    <row r="25">
      <c r="B25" s="19" t="inlineStr">
        <is>
          <t>Versión 2.0 · agosto 2026 · aichef.pro/kit-plan-financiero · info@aichef.pro</t>
        </is>
      </c>
    </row>
  </sheetData>
  <sheetProtection selectLockedCells="0" selectUnlockedCells="0" sheet="1" objects="0" insertRows="0" insertHyperlinks="1" autoFilter="1" scenarios="0" formatColumns="0" deleteColumns="1" insertColumns="1" pivotTables="1" deleteRows="1" formatCells="1" formatRows="0" sort="0"/>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40"/>
  <sheetViews>
    <sheetView workbookViewId="0">
      <selection activeCell="A1" sqref="A1"/>
    </sheetView>
  </sheetViews>
  <sheetFormatPr baseColWidth="8" defaultRowHeight="15"/>
  <cols>
    <col width="46" customWidth="1" min="2" max="2"/>
    <col width="16" customWidth="1" min="3" max="3"/>
    <col width="58" customWidth="1" min="4" max="4"/>
  </cols>
  <sheetData>
    <row r="1">
      <c r="B1" s="20" t="inlineStr">
        <is>
          <t>Parámetros de Tesorería</t>
        </is>
      </c>
    </row>
    <row r="2">
      <c r="B2" s="21" t="inlineStr">
        <is>
          <t>AI Chef Pro · aichef.pro — Kit Plan Financiero para Restaurantes</t>
        </is>
      </c>
    </row>
    <row r="3">
      <c r="B3" s="22" t="inlineStr">
        <is>
          <t>Concepto</t>
        </is>
      </c>
      <c r="C3" s="22" t="inlineStr">
        <is>
          <t>Valor</t>
        </is>
      </c>
      <c r="D3" s="22" t="inlineStr">
        <is>
          <t>Notas</t>
        </is>
      </c>
    </row>
    <row r="4">
      <c r="B4" t="inlineStr">
        <is>
          <t>% de ventas cobradas con tarjeta</t>
        </is>
      </c>
      <c r="C4" s="23" t="n">
        <v>0.65</v>
      </c>
      <c r="D4" s="24" t="inlineStr">
        <is>
          <t>El efectivo entra el mismo día; la tarjeta, con desfase.</t>
        </is>
      </c>
    </row>
    <row r="5">
      <c r="B5" t="inlineStr">
        <is>
          <t>Días de abono de la tarjeta (D+n)</t>
        </is>
      </c>
      <c r="C5" s="25" t="n">
        <v>2</v>
      </c>
      <c r="D5" s="24" t="inlineStr">
        <is>
          <t>Lo que tarda tu TPV en ingresarte. Típico D+1 o D+2.</t>
        </is>
      </c>
    </row>
    <row r="6">
      <c r="B6" t="inlineStr">
        <is>
          <t>Plazo de pago a proveedores (días)</t>
        </is>
      </c>
      <c r="C6" s="25" t="n">
        <v>30</v>
      </c>
      <c r="D6" s="24" t="inlineStr">
        <is>
          <t>El que hayas negociado. 0 = pago al contado.</t>
        </is>
      </c>
    </row>
    <row r="7">
      <c r="B7" t="inlineStr">
        <is>
          <t>IVA repercutido en ventas (%)</t>
        </is>
      </c>
      <c r="C7" s="26" t="n">
        <v>0.1</v>
      </c>
      <c r="D7" s="24" t="inlineStr">
        <is>
          <t>Restauración: 10 %.</t>
        </is>
      </c>
    </row>
    <row r="8">
      <c r="B8" t="inlineStr">
        <is>
          <t>IVA soportado en compras de alimentación (%)</t>
        </is>
      </c>
      <c r="C8" s="26" t="n">
        <v>0.1</v>
      </c>
      <c r="D8" s="24" t="inlineStr">
        <is>
          <t>Alimentación: 10 % (4 % en algunos básicos).</t>
        </is>
      </c>
    </row>
    <row r="9">
      <c r="B9" t="inlineStr">
        <is>
          <t>IVA soportado en el resto de gastos (%)</t>
        </is>
      </c>
      <c r="C9" s="26" t="n">
        <v>0.21</v>
      </c>
      <c r="D9" s="24" t="inlineStr">
        <is>
          <t>Alquiler, suministros, marketing, gestoría: 21 %.</t>
        </is>
      </c>
    </row>
    <row r="10"/>
    <row r="11">
      <c r="B11" s="27" t="inlineStr">
        <is>
          <t>ESTACIONALIDAD (índice por mes; 1,00 = mes tipo)</t>
        </is>
      </c>
    </row>
    <row r="12">
      <c r="B12" s="22" t="inlineStr">
        <is>
          <t>Mes</t>
        </is>
      </c>
      <c r="C12" s="22" t="inlineStr">
        <is>
          <t>Índice</t>
        </is>
      </c>
      <c r="D12" s="22" t="inlineStr">
        <is>
          <t>Ventas sugeridas del mes (IVA incl.)</t>
        </is>
      </c>
    </row>
    <row r="13">
      <c r="B13" t="inlineStr">
        <is>
          <t>Ene</t>
        </is>
      </c>
      <c r="C13" s="28" t="n">
        <v>1</v>
      </c>
      <c r="D13" s="29">
        <f>$C$26*$C13</f>
        <v>0.0</v>
      </c>
    </row>
    <row r="14">
      <c r="B14" t="inlineStr">
        <is>
          <t>Feb</t>
        </is>
      </c>
      <c r="C14" s="28" t="n">
        <v>1</v>
      </c>
      <c r="D14" s="29">
        <f>$C$26*$C14</f>
        <v>0.0</v>
      </c>
    </row>
    <row r="15">
      <c r="B15" t="inlineStr">
        <is>
          <t>Mar</t>
        </is>
      </c>
      <c r="C15" s="28" t="n">
        <v>1</v>
      </c>
      <c r="D15" s="29">
        <f>$C$26*$C15</f>
        <v>0.0</v>
      </c>
    </row>
    <row r="16">
      <c r="B16" t="inlineStr">
        <is>
          <t>Abr</t>
        </is>
      </c>
      <c r="C16" s="28" t="n">
        <v>1</v>
      </c>
      <c r="D16" s="29">
        <f>$C$26*$C16</f>
        <v>0.0</v>
      </c>
    </row>
    <row r="17">
      <c r="B17" t="inlineStr">
        <is>
          <t>May</t>
        </is>
      </c>
      <c r="C17" s="28" t="n">
        <v>1</v>
      </c>
      <c r="D17" s="29">
        <f>$C$26*$C17</f>
        <v>0.0</v>
      </c>
    </row>
    <row r="18">
      <c r="B18" t="inlineStr">
        <is>
          <t>Jun</t>
        </is>
      </c>
      <c r="C18" s="28" t="n">
        <v>1</v>
      </c>
      <c r="D18" s="29">
        <f>$C$26*$C18</f>
        <v>0.0</v>
      </c>
    </row>
    <row r="19">
      <c r="B19" t="inlineStr">
        <is>
          <t>Jul</t>
        </is>
      </c>
      <c r="C19" s="28" t="n">
        <v>1</v>
      </c>
      <c r="D19" s="29">
        <f>$C$26*$C19</f>
        <v>0.0</v>
      </c>
    </row>
    <row r="20">
      <c r="B20" t="inlineStr">
        <is>
          <t>Ago</t>
        </is>
      </c>
      <c r="C20" s="28" t="n">
        <v>1</v>
      </c>
      <c r="D20" s="29">
        <f>$C$26*$C20</f>
        <v>0.0</v>
      </c>
    </row>
    <row r="21">
      <c r="B21" t="inlineStr">
        <is>
          <t>Sep</t>
        </is>
      </c>
      <c r="C21" s="28" t="n">
        <v>1</v>
      </c>
      <c r="D21" s="29">
        <f>$C$26*$C21</f>
        <v>0.0</v>
      </c>
    </row>
    <row r="22">
      <c r="B22" t="inlineStr">
        <is>
          <t>Oct</t>
        </is>
      </c>
      <c r="C22" s="28" t="n">
        <v>1</v>
      </c>
      <c r="D22" s="29">
        <f>$C$26*$C22</f>
        <v>0.0</v>
      </c>
    </row>
    <row r="23">
      <c r="B23" t="inlineStr">
        <is>
          <t>Nov</t>
        </is>
      </c>
      <c r="C23" s="28" t="n">
        <v>1</v>
      </c>
      <c r="D23" s="29">
        <f>$C$26*$C23</f>
        <v>0.0</v>
      </c>
    </row>
    <row r="24">
      <c r="B24" t="inlineStr">
        <is>
          <t>Dic</t>
        </is>
      </c>
      <c r="C24" s="28" t="n">
        <v>1</v>
      </c>
      <c r="D24" s="29">
        <f>$C$26*$C24</f>
        <v>0.0</v>
      </c>
    </row>
    <row r="25"/>
    <row r="26">
      <c r="B26" s="27" t="inlineStr">
        <is>
          <t>Ventas de un mes tipo (IVA incl.)</t>
        </is>
      </c>
      <c r="C26" s="30" t="n">
        <v>0</v>
      </c>
      <c r="D26" s="24" t="inlineStr">
        <is>
          <t>Escríbelo una vez y la estacionalidad te sugiere los doce meses; luego cópialos a «Flujo Mensual».</t>
        </is>
      </c>
    </row>
    <row r="27"/>
    <row r="28">
      <c r="B28" s="24" t="inlineStr">
        <is>
          <t>Calendario del modelo 303: se presenta del 1 al 20 de abril, julio y octubre, y del 1 al 30 de enero. Por eso la liquidación sólo calcula en esos meses.</t>
        </is>
      </c>
    </row>
    <row r="29"/>
    <row r="30"/>
    <row r="31">
      <c r="A31" s="31" t="inlineStr">
        <is>
          <t>© 2026 AI Chef Pro · aichef.pro</t>
        </is>
      </c>
    </row>
    <row r="32"/>
    <row r="33"/>
    <row r="34"/>
    <row r="35"/>
    <row r="36"/>
    <row r="37"/>
    <row r="38"/>
    <row r="39"/>
    <row r="40"/>
  </sheetData>
  <sheetProtection selectLockedCells="0" selectUnlockedCells="0" sheet="1" objects="0" insertRows="0" insertHyperlinks="1" autoFilter="1" scenarios="0" formatColumns="0" deleteColumns="1" insertColumns="1" pivotTables="1" deleteRows="1" formatCells="1" formatRows="0" sort="0"/>
  <dataValidations count="2">
    <dataValidation sqref="C5 C6 C26" showDropDown="0" showInputMessage="0" showErrorMessage="1" allowBlank="1" errorTitle="Importe no válido" error="Escribe un número mayor o igual que 0." type="decimal" operator="greaterThanOrEqual">
      <formula1>0</formula1>
    </dataValidation>
    <dataValidation sqref="C4 C7 C8 C9"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1565C0"/>
    <outlinePr summaryBelow="1" summaryRight="1"/>
    <pageSetUpPr fitToPage="1"/>
  </sheetPr>
  <dimension ref="A1:M45"/>
  <sheetViews>
    <sheetView workbookViewId="0">
      <pane ySplit="4" topLeftCell="A5" activePane="bottomLeft" state="frozen"/>
      <selection pane="bottomLeft"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5" t="inlineStr">
        <is>
          <t>Cash Flow Forecast — 12 Meses</t>
        </is>
      </c>
    </row>
    <row r="2">
      <c r="A2" s="2" t="inlineStr">
        <is>
          <t>AI Chef Pro · aichef.pro — Kit Plan Financiero para Restaurantes</t>
        </is>
      </c>
    </row>
    <row r="3">
      <c r="A3" s="32" t="inlineStr">
        <is>
          <t>VALORES DE EJEMPLO — sustitúyelos por los tuyos</t>
        </is>
      </c>
    </row>
    <row r="4">
      <c r="A4" s="6" t="inlineStr">
        <is>
          <t>Concepto</t>
        </is>
      </c>
      <c r="B4" s="6" t="inlineStr">
        <is>
          <t>Ene</t>
        </is>
      </c>
      <c r="C4" s="6" t="inlineStr">
        <is>
          <t>Feb</t>
        </is>
      </c>
      <c r="D4" s="6" t="inlineStr">
        <is>
          <t>Mar</t>
        </is>
      </c>
      <c r="E4" s="6" t="inlineStr">
        <is>
          <t>Abr</t>
        </is>
      </c>
      <c r="F4" s="6" t="inlineStr">
        <is>
          <t>May</t>
        </is>
      </c>
      <c r="G4" s="6" t="inlineStr">
        <is>
          <t>Jun</t>
        </is>
      </c>
      <c r="H4" s="6" t="inlineStr">
        <is>
          <t>Jul</t>
        </is>
      </c>
      <c r="I4" s="6" t="inlineStr">
        <is>
          <t>Ago</t>
        </is>
      </c>
      <c r="J4" s="6" t="inlineStr">
        <is>
          <t>Sep</t>
        </is>
      </c>
      <c r="K4" s="6" t="inlineStr">
        <is>
          <t>Oct</t>
        </is>
      </c>
      <c r="L4" s="6" t="inlineStr">
        <is>
          <t>Nov</t>
        </is>
      </c>
      <c r="M4" s="6" t="inlineStr">
        <is>
          <t>Dic</t>
        </is>
      </c>
    </row>
    <row r="5">
      <c r="A5" s="7" t="inlineStr">
        <is>
          <t>SALDO INICIAL</t>
        </is>
      </c>
      <c r="B5" s="33" t="n">
        <v>15000</v>
      </c>
      <c r="C5" s="9">
        <f>B29</f>
        <v>15000.0</v>
      </c>
      <c r="D5" s="9">
        <f>C29</f>
        <v>15000.0</v>
      </c>
      <c r="E5" s="9">
        <f>D29</f>
        <v>15000.0</v>
      </c>
      <c r="F5" s="9">
        <f>E29</f>
        <v>15000.0</v>
      </c>
      <c r="G5" s="9">
        <f>F29</f>
        <v>15000.0</v>
      </c>
      <c r="H5" s="9">
        <f>G29</f>
        <v>15000.0</v>
      </c>
      <c r="I5" s="9">
        <f>H29</f>
        <v>15000.0</v>
      </c>
      <c r="J5" s="9">
        <f>I29</f>
        <v>15000.0</v>
      </c>
      <c r="K5" s="9">
        <f>J29</f>
        <v>15000.0</v>
      </c>
      <c r="L5" s="9">
        <f>K29</f>
        <v>15000.0</v>
      </c>
      <c r="M5" s="9">
        <f>L29</f>
        <v>15000.0</v>
      </c>
    </row>
    <row r="6">
      <c r="A6" s="10" t="inlineStr">
        <is>
          <t>COBROS (Entradas)</t>
        </is>
      </c>
    </row>
    <row r="7">
      <c r="A7" s="11" t="inlineStr">
        <is>
          <t>Ventas comedor (IVA incl.)</t>
        </is>
      </c>
      <c r="B7" s="33" t="n">
        <v>0</v>
      </c>
      <c r="C7" s="33" t="n">
        <v>0</v>
      </c>
      <c r="D7" s="33" t="n">
        <v>0</v>
      </c>
      <c r="E7" s="33" t="n">
        <v>0</v>
      </c>
      <c r="F7" s="33" t="n">
        <v>0</v>
      </c>
      <c r="G7" s="33" t="n">
        <v>0</v>
      </c>
      <c r="H7" s="33" t="n">
        <v>0</v>
      </c>
      <c r="I7" s="33" t="n">
        <v>0</v>
      </c>
      <c r="J7" s="33" t="n">
        <v>0</v>
      </c>
      <c r="K7" s="33" t="n">
        <v>0</v>
      </c>
      <c r="L7" s="33" t="n">
        <v>0</v>
      </c>
      <c r="M7" s="33" t="n">
        <v>0</v>
      </c>
    </row>
    <row r="8">
      <c r="A8" s="11" t="inlineStr">
        <is>
          <t>Ventas barra (IVA incl.)</t>
        </is>
      </c>
      <c r="B8" s="33" t="n">
        <v>0</v>
      </c>
      <c r="C8" s="33" t="n">
        <v>0</v>
      </c>
      <c r="D8" s="33" t="n">
        <v>0</v>
      </c>
      <c r="E8" s="33" t="n">
        <v>0</v>
      </c>
      <c r="F8" s="33" t="n">
        <v>0</v>
      </c>
      <c r="G8" s="33" t="n">
        <v>0</v>
      </c>
      <c r="H8" s="33" t="n">
        <v>0</v>
      </c>
      <c r="I8" s="33" t="n">
        <v>0</v>
      </c>
      <c r="J8" s="33" t="n">
        <v>0</v>
      </c>
      <c r="K8" s="33" t="n">
        <v>0</v>
      </c>
      <c r="L8" s="33" t="n">
        <v>0</v>
      </c>
      <c r="M8" s="33" t="n">
        <v>0</v>
      </c>
    </row>
    <row r="9">
      <c r="A9" s="11" t="inlineStr">
        <is>
          <t>Ventas delivery (IVA incl.)</t>
        </is>
      </c>
      <c r="B9" s="33" t="n">
        <v>0</v>
      </c>
      <c r="C9" s="33" t="n">
        <v>0</v>
      </c>
      <c r="D9" s="33" t="n">
        <v>0</v>
      </c>
      <c r="E9" s="33" t="n">
        <v>0</v>
      </c>
      <c r="F9" s="33" t="n">
        <v>0</v>
      </c>
      <c r="G9" s="33" t="n">
        <v>0</v>
      </c>
      <c r="H9" s="33" t="n">
        <v>0</v>
      </c>
      <c r="I9" s="33" t="n">
        <v>0</v>
      </c>
      <c r="J9" s="33" t="n">
        <v>0</v>
      </c>
      <c r="K9" s="33" t="n">
        <v>0</v>
      </c>
      <c r="L9" s="33" t="n">
        <v>0</v>
      </c>
      <c r="M9" s="33" t="n">
        <v>0</v>
      </c>
    </row>
    <row r="10">
      <c r="A10" s="11" t="inlineStr">
        <is>
          <t>Eventos / Catering (IVA incl.)</t>
        </is>
      </c>
      <c r="B10" s="33" t="n">
        <v>0</v>
      </c>
      <c r="C10" s="33" t="n">
        <v>0</v>
      </c>
      <c r="D10" s="33" t="n">
        <v>0</v>
      </c>
      <c r="E10" s="33" t="n">
        <v>0</v>
      </c>
      <c r="F10" s="33" t="n">
        <v>0</v>
      </c>
      <c r="G10" s="33" t="n">
        <v>0</v>
      </c>
      <c r="H10" s="33" t="n">
        <v>0</v>
      </c>
      <c r="I10" s="33" t="n">
        <v>0</v>
      </c>
      <c r="J10" s="33" t="n">
        <v>0</v>
      </c>
      <c r="K10" s="33" t="n">
        <v>0</v>
      </c>
      <c r="L10" s="33" t="n">
        <v>0</v>
      </c>
      <c r="M10" s="33" t="n">
        <v>0</v>
      </c>
    </row>
    <row r="11">
      <c r="A11" s="11" t="inlineStr">
        <is>
          <t>Otros cobros</t>
        </is>
      </c>
      <c r="B11" s="33" t="n">
        <v>0</v>
      </c>
      <c r="C11" s="33" t="n">
        <v>0</v>
      </c>
      <c r="D11" s="33" t="n">
        <v>0</v>
      </c>
      <c r="E11" s="33" t="n">
        <v>0</v>
      </c>
      <c r="F11" s="33" t="n">
        <v>0</v>
      </c>
      <c r="G11" s="33" t="n">
        <v>0</v>
      </c>
      <c r="H11" s="33" t="n">
        <v>0</v>
      </c>
      <c r="I11" s="33" t="n">
        <v>0</v>
      </c>
      <c r="J11" s="33" t="n">
        <v>0</v>
      </c>
      <c r="K11" s="33" t="n">
        <v>0</v>
      </c>
      <c r="L11" s="33" t="n">
        <v>0</v>
      </c>
      <c r="M11" s="33" t="n">
        <v>0</v>
      </c>
    </row>
    <row r="12">
      <c r="A12" s="7" t="inlineStr">
        <is>
          <t>VENTAS DEL MES</t>
        </is>
      </c>
      <c r="B12" s="9">
        <f>SUM(B7:B11)</f>
        <v>0.0</v>
      </c>
      <c r="C12" s="9">
        <f>SUM(C7:C11)</f>
        <v>0.0</v>
      </c>
      <c r="D12" s="9">
        <f>SUM(D7:D11)</f>
        <v>0.0</v>
      </c>
      <c r="E12" s="9">
        <f>SUM(E7:E11)</f>
        <v>0.0</v>
      </c>
      <c r="F12" s="9">
        <f>SUM(F7:F11)</f>
        <v>0.0</v>
      </c>
      <c r="G12" s="9">
        <f>SUM(G7:G11)</f>
        <v>0.0</v>
      </c>
      <c r="H12" s="9">
        <f>SUM(H7:H11)</f>
        <v>0.0</v>
      </c>
      <c r="I12" s="9">
        <f>SUM(I7:I11)</f>
        <v>0.0</v>
      </c>
      <c r="J12" s="9">
        <f>SUM(J7:J11)</f>
        <v>0.0</v>
      </c>
      <c r="K12" s="9">
        <f>SUM(K7:K11)</f>
        <v>0.0</v>
      </c>
      <c r="L12" s="9">
        <f>SUM(L7:L11)</f>
        <v>0.0</v>
      </c>
      <c r="M12" s="9">
        <f>SUM(M7:M11)</f>
        <v>0.0</v>
      </c>
    </row>
    <row r="13">
      <c r="A13" s="11" t="inlineStr">
        <is>
          <t>Pendiente de abono de tarjeta (a cobrar el mes que viene)</t>
        </is>
      </c>
      <c r="B13" s="29">
        <f>IFERROR(B12*Parámetros!$C$4*Parámetros!$C$5/30,0)</f>
        <v>0.0</v>
      </c>
      <c r="C13" s="29">
        <f>IFERROR(C12*Parámetros!$C$4*Parámetros!$C$5/30,0)</f>
        <v>0.0</v>
      </c>
      <c r="D13" s="29">
        <f>IFERROR(D12*Parámetros!$C$4*Parámetros!$C$5/30,0)</f>
        <v>0.0</v>
      </c>
      <c r="E13" s="29">
        <f>IFERROR(E12*Parámetros!$C$4*Parámetros!$C$5/30,0)</f>
        <v>0.0</v>
      </c>
      <c r="F13" s="29">
        <f>IFERROR(F12*Parámetros!$C$4*Parámetros!$C$5/30,0)</f>
        <v>0.0</v>
      </c>
      <c r="G13" s="29">
        <f>IFERROR(G12*Parámetros!$C$4*Parámetros!$C$5/30,0)</f>
        <v>0.0</v>
      </c>
      <c r="H13" s="29">
        <f>IFERROR(H12*Parámetros!$C$4*Parámetros!$C$5/30,0)</f>
        <v>0.0</v>
      </c>
      <c r="I13" s="29">
        <f>IFERROR(I12*Parámetros!$C$4*Parámetros!$C$5/30,0)</f>
        <v>0.0</v>
      </c>
      <c r="J13" s="29">
        <f>IFERROR(J12*Parámetros!$C$4*Parámetros!$C$5/30,0)</f>
        <v>0.0</v>
      </c>
      <c r="K13" s="29">
        <f>IFERROR(K12*Parámetros!$C$4*Parámetros!$C$5/30,0)</f>
        <v>0.0</v>
      </c>
      <c r="L13" s="29">
        <f>IFERROR(L12*Parámetros!$C$4*Parámetros!$C$5/30,0)</f>
        <v>0.0</v>
      </c>
      <c r="M13" s="29">
        <f>IFERROR(M12*Parámetros!$C$4*Parámetros!$C$5/30,0)</f>
        <v>0.0</v>
      </c>
    </row>
    <row r="14">
      <c r="A14" s="7" t="inlineStr">
        <is>
          <t>TOTAL COBROS DE CAJA</t>
        </is>
      </c>
      <c r="B14" s="9">
        <f>B12-B13</f>
        <v>0.0</v>
      </c>
      <c r="C14" s="9">
        <f>C12-C13+B13</f>
        <v>0.0</v>
      </c>
      <c r="D14" s="9">
        <f>D12-D13+C13</f>
        <v>0.0</v>
      </c>
      <c r="E14" s="9">
        <f>E12-E13+D13</f>
        <v>0.0</v>
      </c>
      <c r="F14" s="9">
        <f>F12-F13+E13</f>
        <v>0.0</v>
      </c>
      <c r="G14" s="9">
        <f>G12-G13+F13</f>
        <v>0.0</v>
      </c>
      <c r="H14" s="9">
        <f>H12-H13+G13</f>
        <v>0.0</v>
      </c>
      <c r="I14" s="9">
        <f>I12-I13+H13</f>
        <v>0.0</v>
      </c>
      <c r="J14" s="9">
        <f>J12-J13+I13</f>
        <v>0.0</v>
      </c>
      <c r="K14" s="9">
        <f>K12-K13+J13</f>
        <v>0.0</v>
      </c>
      <c r="L14" s="9">
        <f>L12-L13+K13</f>
        <v>0.0</v>
      </c>
      <c r="M14" s="9">
        <f>M12-M13+L13</f>
        <v>0.0</v>
      </c>
    </row>
    <row r="15">
      <c r="A15" s="10" t="inlineStr">
        <is>
          <t>PAGOS (Salidas)</t>
        </is>
      </c>
      <c r="B15" s="34" t="n"/>
      <c r="C15" s="34" t="n"/>
      <c r="D15" s="34" t="n"/>
      <c r="E15" s="34" t="n"/>
      <c r="F15" s="34" t="n"/>
      <c r="G15" s="34" t="n"/>
      <c r="H15" s="34" t="n"/>
      <c r="I15" s="34" t="n"/>
      <c r="J15" s="34" t="n"/>
      <c r="K15" s="34" t="n"/>
      <c r="L15" s="34" t="n"/>
      <c r="M15" s="34" t="n"/>
    </row>
    <row r="16">
      <c r="A16" s="11" t="inlineStr">
        <is>
          <t>Pago a proveedores (según el plazo negociado)</t>
        </is>
      </c>
      <c r="B16" s="17">
        <f>IFERROR(B33*(1-Parámetros!$C$6/30),0)</f>
        <v>0.0</v>
      </c>
      <c r="C16" s="17">
        <f>IFERROR(C33*(1-Parámetros!$C$6/30)+B33*Parámetros!$C$6/30,0)</f>
        <v>0.0</v>
      </c>
      <c r="D16" s="17">
        <f>IFERROR(D33*(1-Parámetros!$C$6/30)+C33*Parámetros!$C$6/30,0)</f>
        <v>0.0</v>
      </c>
      <c r="E16" s="17">
        <f>IFERROR(E33*(1-Parámetros!$C$6/30)+D33*Parámetros!$C$6/30,0)</f>
        <v>0.0</v>
      </c>
      <c r="F16" s="17">
        <f>IFERROR(F33*(1-Parámetros!$C$6/30)+E33*Parámetros!$C$6/30,0)</f>
        <v>0.0</v>
      </c>
      <c r="G16" s="17">
        <f>IFERROR(G33*(1-Parámetros!$C$6/30)+F33*Parámetros!$C$6/30,0)</f>
        <v>0.0</v>
      </c>
      <c r="H16" s="17">
        <f>IFERROR(H33*(1-Parámetros!$C$6/30)+G33*Parámetros!$C$6/30,0)</f>
        <v>0.0</v>
      </c>
      <c r="I16" s="17">
        <f>IFERROR(I33*(1-Parámetros!$C$6/30)+H33*Parámetros!$C$6/30,0)</f>
        <v>0.0</v>
      </c>
      <c r="J16" s="17">
        <f>IFERROR(J33*(1-Parámetros!$C$6/30)+I33*Parámetros!$C$6/30,0)</f>
        <v>0.0</v>
      </c>
      <c r="K16" s="17">
        <f>IFERROR(K33*(1-Parámetros!$C$6/30)+J33*Parámetros!$C$6/30,0)</f>
        <v>0.0</v>
      </c>
      <c r="L16" s="17">
        <f>IFERROR(L33*(1-Parámetros!$C$6/30)+K33*Parámetros!$C$6/30,0)</f>
        <v>0.0</v>
      </c>
      <c r="M16" s="17">
        <f>IFERROR(M33*(1-Parámetros!$C$6/30)+L33*Parámetros!$C$6/30,0)</f>
        <v>0.0</v>
      </c>
    </row>
    <row r="17">
      <c r="A17" s="11" t="inlineStr">
        <is>
          <t>Nóminas (neto)</t>
        </is>
      </c>
      <c r="B17" s="33" t="n">
        <v>0</v>
      </c>
      <c r="C17" s="33" t="n">
        <v>0</v>
      </c>
      <c r="D17" s="33" t="n">
        <v>0</v>
      </c>
      <c r="E17" s="33" t="n">
        <v>0</v>
      </c>
      <c r="F17" s="33" t="n">
        <v>0</v>
      </c>
      <c r="G17" s="33" t="n">
        <v>0</v>
      </c>
      <c r="H17" s="33" t="n">
        <v>0</v>
      </c>
      <c r="I17" s="33" t="n">
        <v>0</v>
      </c>
      <c r="J17" s="33" t="n">
        <v>0</v>
      </c>
      <c r="K17" s="33" t="n">
        <v>0</v>
      </c>
      <c r="L17" s="33" t="n">
        <v>0</v>
      </c>
      <c r="M17" s="33" t="n">
        <v>0</v>
      </c>
    </row>
    <row r="18">
      <c r="A18" s="11" t="inlineStr">
        <is>
          <t>Pago de Seguridad Social (la del mes anterior)</t>
        </is>
      </c>
      <c r="B18" s="33" t="n">
        <v>0</v>
      </c>
      <c r="C18" s="17">
        <f>B34</f>
        <v>0.0</v>
      </c>
      <c r="D18" s="17">
        <f>C34</f>
        <v>0.0</v>
      </c>
      <c r="E18" s="17">
        <f>D34</f>
        <v>0.0</v>
      </c>
      <c r="F18" s="17">
        <f>E34</f>
        <v>0.0</v>
      </c>
      <c r="G18" s="17">
        <f>F34</f>
        <v>0.0</v>
      </c>
      <c r="H18" s="17">
        <f>G34</f>
        <v>0.0</v>
      </c>
      <c r="I18" s="17">
        <f>H34</f>
        <v>0.0</v>
      </c>
      <c r="J18" s="17">
        <f>I34</f>
        <v>0.0</v>
      </c>
      <c r="K18" s="17">
        <f>J34</f>
        <v>0.0</v>
      </c>
      <c r="L18" s="17">
        <f>K34</f>
        <v>0.0</v>
      </c>
      <c r="M18" s="17">
        <f>L34</f>
        <v>0.0</v>
      </c>
    </row>
    <row r="19">
      <c r="A19" s="11" t="inlineStr">
        <is>
          <t>Alquiler</t>
        </is>
      </c>
      <c r="B19" s="33" t="n">
        <v>0</v>
      </c>
      <c r="C19" s="33" t="n">
        <v>0</v>
      </c>
      <c r="D19" s="33" t="n">
        <v>0</v>
      </c>
      <c r="E19" s="33" t="n">
        <v>0</v>
      </c>
      <c r="F19" s="33" t="n">
        <v>0</v>
      </c>
      <c r="G19" s="33" t="n">
        <v>0</v>
      </c>
      <c r="H19" s="33" t="n">
        <v>0</v>
      </c>
      <c r="I19" s="33" t="n">
        <v>0</v>
      </c>
      <c r="J19" s="33" t="n">
        <v>0</v>
      </c>
      <c r="K19" s="33" t="n">
        <v>0</v>
      </c>
      <c r="L19" s="33" t="n">
        <v>0</v>
      </c>
      <c r="M19" s="33" t="n">
        <v>0</v>
      </c>
    </row>
    <row r="20">
      <c r="A20" s="11" t="inlineStr">
        <is>
          <t>Suministros</t>
        </is>
      </c>
      <c r="B20" s="33" t="n">
        <v>0</v>
      </c>
      <c r="C20" s="33" t="n">
        <v>0</v>
      </c>
      <c r="D20" s="33" t="n">
        <v>0</v>
      </c>
      <c r="E20" s="33" t="n">
        <v>0</v>
      </c>
      <c r="F20" s="33" t="n">
        <v>0</v>
      </c>
      <c r="G20" s="33" t="n">
        <v>0</v>
      </c>
      <c r="H20" s="33" t="n">
        <v>0</v>
      </c>
      <c r="I20" s="33" t="n">
        <v>0</v>
      </c>
      <c r="J20" s="33" t="n">
        <v>0</v>
      </c>
      <c r="K20" s="33" t="n">
        <v>0</v>
      </c>
      <c r="L20" s="33" t="n">
        <v>0</v>
      </c>
      <c r="M20" s="33" t="n">
        <v>0</v>
      </c>
    </row>
    <row r="21">
      <c r="A21" s="11" t="inlineStr">
        <is>
          <t>Marketing</t>
        </is>
      </c>
      <c r="B21" s="33" t="n">
        <v>0</v>
      </c>
      <c r="C21" s="33" t="n">
        <v>0</v>
      </c>
      <c r="D21" s="33" t="n">
        <v>0</v>
      </c>
      <c r="E21" s="33" t="n">
        <v>0</v>
      </c>
      <c r="F21" s="33" t="n">
        <v>0</v>
      </c>
      <c r="G21" s="33" t="n">
        <v>0</v>
      </c>
      <c r="H21" s="33" t="n">
        <v>0</v>
      </c>
      <c r="I21" s="33" t="n">
        <v>0</v>
      </c>
      <c r="J21" s="33" t="n">
        <v>0</v>
      </c>
      <c r="K21" s="33" t="n">
        <v>0</v>
      </c>
      <c r="L21" s="33" t="n">
        <v>0</v>
      </c>
      <c r="M21" s="33" t="n">
        <v>0</v>
      </c>
    </row>
    <row r="22">
      <c r="A22" s="11" t="inlineStr">
        <is>
          <t>Gestoría / Admin</t>
        </is>
      </c>
      <c r="B22" s="33" t="n">
        <v>0</v>
      </c>
      <c r="C22" s="33" t="n">
        <v>0</v>
      </c>
      <c r="D22" s="33" t="n">
        <v>0</v>
      </c>
      <c r="E22" s="33" t="n">
        <v>0</v>
      </c>
      <c r="F22" s="33" t="n">
        <v>0</v>
      </c>
      <c r="G22" s="33" t="n">
        <v>0</v>
      </c>
      <c r="H22" s="33" t="n">
        <v>0</v>
      </c>
      <c r="I22" s="33" t="n">
        <v>0</v>
      </c>
      <c r="J22" s="33" t="n">
        <v>0</v>
      </c>
      <c r="K22" s="33" t="n">
        <v>0</v>
      </c>
      <c r="L22" s="33" t="n">
        <v>0</v>
      </c>
      <c r="M22" s="33" t="n">
        <v>0</v>
      </c>
    </row>
    <row r="23">
      <c r="A23" s="11" t="inlineStr">
        <is>
          <t>Cuota de préstamo</t>
        </is>
      </c>
      <c r="B23" s="33" t="n">
        <v>0</v>
      </c>
      <c r="C23" s="33" t="n">
        <v>0</v>
      </c>
      <c r="D23" s="33" t="n">
        <v>0</v>
      </c>
      <c r="E23" s="33" t="n">
        <v>0</v>
      </c>
      <c r="F23" s="33" t="n">
        <v>0</v>
      </c>
      <c r="G23" s="33" t="n">
        <v>0</v>
      </c>
      <c r="H23" s="33" t="n">
        <v>0</v>
      </c>
      <c r="I23" s="33" t="n">
        <v>0</v>
      </c>
      <c r="J23" s="33" t="n">
        <v>0</v>
      </c>
      <c r="K23" s="33" t="n">
        <v>0</v>
      </c>
      <c r="L23" s="33" t="n">
        <v>0</v>
      </c>
      <c r="M23" s="33" t="n">
        <v>0</v>
      </c>
    </row>
    <row r="24">
      <c r="A24" s="11" t="inlineStr">
        <is>
          <t>Retenciones IRPF (mod. 111)</t>
        </is>
      </c>
      <c r="B24" s="33" t="n">
        <v>0</v>
      </c>
      <c r="C24" s="33" t="n">
        <v>0</v>
      </c>
      <c r="D24" s="33" t="n">
        <v>0</v>
      </c>
      <c r="E24" s="33" t="n">
        <v>0</v>
      </c>
      <c r="F24" s="33" t="n">
        <v>0</v>
      </c>
      <c r="G24" s="33" t="n">
        <v>0</v>
      </c>
      <c r="H24" s="33" t="n">
        <v>0</v>
      </c>
      <c r="I24" s="33" t="n">
        <v>0</v>
      </c>
      <c r="J24" s="33" t="n">
        <v>0</v>
      </c>
      <c r="K24" s="33" t="n">
        <v>0</v>
      </c>
      <c r="L24" s="33" t="n">
        <v>0</v>
      </c>
      <c r="M24" s="33" t="n">
        <v>0</v>
      </c>
    </row>
    <row r="25">
      <c r="A25" s="11" t="inlineStr">
        <is>
          <t>Liquidación de IVA (mod. 303) · enero = input (4T anterior)</t>
        </is>
      </c>
      <c r="B25" s="33" t="n">
        <v>0</v>
      </c>
      <c r="C25" s="14">
        <f>""</f>
        <v/>
      </c>
      <c r="D25" s="14">
        <f>""</f>
        <v/>
      </c>
      <c r="E25" s="14">
        <f>MAX(0,SUM($B$36:$D$36)-SUM($B$37:$D$37))</f>
        <v>0.0</v>
      </c>
      <c r="F25" s="14">
        <f>""</f>
        <v/>
      </c>
      <c r="G25" s="14">
        <f>""</f>
        <v/>
      </c>
      <c r="H25" s="14">
        <f>MAX(0,SUM($E$36:$G$36)-SUM($E$37:$G$37))</f>
        <v>0.0</v>
      </c>
      <c r="I25" s="14">
        <f>""</f>
        <v/>
      </c>
      <c r="J25" s="14">
        <f>""</f>
        <v/>
      </c>
      <c r="K25" s="14">
        <f>MAX(0,SUM($H$36:$J$36)-SUM($H$37:$J$37))</f>
        <v>0.0</v>
      </c>
      <c r="L25" s="14">
        <f>""</f>
        <v/>
      </c>
      <c r="M25" s="14">
        <f>""</f>
        <v/>
      </c>
    </row>
    <row r="26">
      <c r="A26" s="11" t="inlineStr">
        <is>
          <t>Comisiones de plataformas de delivery y otros pagos</t>
        </is>
      </c>
      <c r="B26" s="33" t="n">
        <v>0</v>
      </c>
      <c r="C26" s="33" t="n">
        <v>0</v>
      </c>
      <c r="D26" s="33" t="n">
        <v>0</v>
      </c>
      <c r="E26" s="33" t="n">
        <v>0</v>
      </c>
      <c r="F26" s="33" t="n">
        <v>0</v>
      </c>
      <c r="G26" s="33" t="n">
        <v>0</v>
      </c>
      <c r="H26" s="33" t="n">
        <v>0</v>
      </c>
      <c r="I26" s="33" t="n">
        <v>0</v>
      </c>
      <c r="J26" s="33" t="n">
        <v>0</v>
      </c>
      <c r="K26" s="33" t="n">
        <v>0</v>
      </c>
      <c r="L26" s="33" t="n">
        <v>0</v>
      </c>
      <c r="M26" s="33" t="n">
        <v>0</v>
      </c>
    </row>
    <row r="27">
      <c r="A27" s="7" t="inlineStr">
        <is>
          <t>TOTAL PAGOS</t>
        </is>
      </c>
      <c r="B27" s="9">
        <f>SUM(B16:B26)</f>
        <v>0.0</v>
      </c>
      <c r="C27" s="9">
        <f>SUM(C16:C26)</f>
        <v>0.0</v>
      </c>
      <c r="D27" s="9">
        <f>SUM(D16:D26)</f>
        <v>0.0</v>
      </c>
      <c r="E27" s="9">
        <f>SUM(E16:E26)</f>
        <v>0.0</v>
      </c>
      <c r="F27" s="9">
        <f>SUM(F16:F26)</f>
        <v>0.0</v>
      </c>
      <c r="G27" s="9">
        <f>SUM(G16:G26)</f>
        <v>0.0</v>
      </c>
      <c r="H27" s="9">
        <f>SUM(H16:H26)</f>
        <v>0.0</v>
      </c>
      <c r="I27" s="9">
        <f>SUM(I16:I26)</f>
        <v>0.0</v>
      </c>
      <c r="J27" s="9">
        <f>SUM(J16:J26)</f>
        <v>0.0</v>
      </c>
      <c r="K27" s="9">
        <f>SUM(K16:K26)</f>
        <v>0.0</v>
      </c>
      <c r="L27" s="9">
        <f>SUM(L16:L26)</f>
        <v>0.0</v>
      </c>
      <c r="M27" s="9">
        <f>SUM(M16:M26)</f>
        <v>0.0</v>
      </c>
    </row>
    <row r="28">
      <c r="A28" s="7" t="inlineStr">
        <is>
          <t>FLUJO NETO DEL MES</t>
        </is>
      </c>
      <c r="B28" s="9">
        <f>B14-B27</f>
        <v>0.0</v>
      </c>
      <c r="C28" s="9">
        <f>C14-C27</f>
        <v>0.0</v>
      </c>
      <c r="D28" s="9">
        <f>D14-D27</f>
        <v>0.0</v>
      </c>
      <c r="E28" s="9">
        <f>E14-E27</f>
        <v>0.0</v>
      </c>
      <c r="F28" s="9">
        <f>F14-F27</f>
        <v>0.0</v>
      </c>
      <c r="G28" s="9">
        <f>G14-G27</f>
        <v>0.0</v>
      </c>
      <c r="H28" s="9">
        <f>H14-H27</f>
        <v>0.0</v>
      </c>
      <c r="I28" s="9">
        <f>I14-I27</f>
        <v>0.0</v>
      </c>
      <c r="J28" s="9">
        <f>J14-J27</f>
        <v>0.0</v>
      </c>
      <c r="K28" s="9">
        <f>K14-K27</f>
        <v>0.0</v>
      </c>
      <c r="L28" s="9">
        <f>L14-L27</f>
        <v>0.0</v>
      </c>
      <c r="M28" s="9">
        <f>M14-M27</f>
        <v>0.0</v>
      </c>
    </row>
    <row r="29">
      <c r="A29" s="7" t="inlineStr">
        <is>
          <t>SALDO FINAL</t>
        </is>
      </c>
      <c r="B29" s="9">
        <f>B5+B28</f>
        <v>15000.0</v>
      </c>
      <c r="C29" s="9">
        <f>C5+C28</f>
        <v>15000.0</v>
      </c>
      <c r="D29" s="9">
        <f>D5+D28</f>
        <v>15000.0</v>
      </c>
      <c r="E29" s="9">
        <f>E5+E28</f>
        <v>15000.0</v>
      </c>
      <c r="F29" s="9">
        <f>F5+F28</f>
        <v>15000.0</v>
      </c>
      <c r="G29" s="9">
        <f>G5+G28</f>
        <v>15000.0</v>
      </c>
      <c r="H29" s="9">
        <f>H5+H28</f>
        <v>15000.0</v>
      </c>
      <c r="I29" s="9">
        <f>I5+I28</f>
        <v>15000.0</v>
      </c>
      <c r="J29" s="9">
        <f>J5+J28</f>
        <v>15000.0</v>
      </c>
      <c r="K29" s="9">
        <f>K5+K28</f>
        <v>15000.0</v>
      </c>
      <c r="L29" s="9">
        <f>L5+L28</f>
        <v>15000.0</v>
      </c>
      <c r="M29" s="9">
        <f>M5+M28</f>
        <v>15000.0</v>
      </c>
    </row>
    <row r="30"/>
    <row r="31">
      <c r="A31" s="35" t="inlineStr">
        <is>
          <t>DATOS BASE — no son caja, pero alimentan las filas de arriba</t>
        </is>
      </c>
      <c r="B31" s="36" t="n"/>
      <c r="C31" s="36" t="n"/>
      <c r="D31" s="36" t="n"/>
      <c r="E31" s="36" t="n"/>
      <c r="F31" s="36" t="n"/>
      <c r="G31" s="36" t="n"/>
      <c r="H31" s="36" t="n"/>
      <c r="I31" s="36" t="n"/>
      <c r="J31" s="36" t="n"/>
      <c r="K31" s="36" t="n"/>
      <c r="L31" s="36" t="n"/>
      <c r="M31" s="36" t="n"/>
    </row>
    <row r="32"/>
    <row r="33">
      <c r="A33" s="37" t="inlineStr">
        <is>
          <t>Compras de materia prima del mes (IVA incl.)</t>
        </is>
      </c>
      <c r="B33" s="33" t="n">
        <v>0</v>
      </c>
      <c r="C33" s="33" t="n">
        <v>0</v>
      </c>
      <c r="D33" s="33" t="n">
        <v>0</v>
      </c>
      <c r="E33" s="33" t="n">
        <v>0</v>
      </c>
      <c r="F33" s="33" t="n">
        <v>0</v>
      </c>
      <c r="G33" s="33" t="n">
        <v>0</v>
      </c>
      <c r="H33" s="33" t="n">
        <v>0</v>
      </c>
      <c r="I33" s="33" t="n">
        <v>0</v>
      </c>
      <c r="J33" s="33" t="n">
        <v>0</v>
      </c>
      <c r="K33" s="33" t="n">
        <v>0</v>
      </c>
      <c r="L33" s="33" t="n">
        <v>0</v>
      </c>
      <c r="M33" s="33" t="n">
        <v>0</v>
      </c>
    </row>
    <row r="34">
      <c r="A34" s="37" t="inlineStr">
        <is>
          <t>Seguridad Social devengada del mes</t>
        </is>
      </c>
      <c r="B34" s="33" t="n">
        <v>0</v>
      </c>
      <c r="C34" s="33" t="n">
        <v>0</v>
      </c>
      <c r="D34" s="33" t="n">
        <v>0</v>
      </c>
      <c r="E34" s="33" t="n">
        <v>0</v>
      </c>
      <c r="F34" s="33" t="n">
        <v>0</v>
      </c>
      <c r="G34" s="33" t="n">
        <v>0</v>
      </c>
      <c r="H34" s="33" t="n">
        <v>0</v>
      </c>
      <c r="I34" s="33" t="n">
        <v>0</v>
      </c>
      <c r="J34" s="33" t="n">
        <v>0</v>
      </c>
      <c r="K34" s="33" t="n">
        <v>0</v>
      </c>
      <c r="L34" s="33" t="n">
        <v>0</v>
      </c>
      <c r="M34" s="33" t="n">
        <v>0</v>
      </c>
    </row>
    <row r="35"/>
    <row r="36">
      <c r="A36" s="37" t="inlineStr">
        <is>
          <t>IVA repercutido del mes</t>
        </is>
      </c>
      <c r="B36" s="38">
        <f>IFERROR(B12-B12/(1+Parámetros!$C$7),0)</f>
        <v>0.0</v>
      </c>
      <c r="C36" s="38">
        <f>IFERROR(C12-C12/(1+Parámetros!$C$7),0)</f>
        <v>0.0</v>
      </c>
      <c r="D36" s="38">
        <f>IFERROR(D12-D12/(1+Parámetros!$C$7),0)</f>
        <v>0.0</v>
      </c>
      <c r="E36" s="38">
        <f>IFERROR(E12-E12/(1+Parámetros!$C$7),0)</f>
        <v>0.0</v>
      </c>
      <c r="F36" s="38">
        <f>IFERROR(F12-F12/(1+Parámetros!$C$7),0)</f>
        <v>0.0</v>
      </c>
      <c r="G36" s="38">
        <f>IFERROR(G12-G12/(1+Parámetros!$C$7),0)</f>
        <v>0.0</v>
      </c>
      <c r="H36" s="38">
        <f>IFERROR(H12-H12/(1+Parámetros!$C$7),0)</f>
        <v>0.0</v>
      </c>
      <c r="I36" s="38">
        <f>IFERROR(I12-I12/(1+Parámetros!$C$7),0)</f>
        <v>0.0</v>
      </c>
      <c r="J36" s="38">
        <f>IFERROR(J12-J12/(1+Parámetros!$C$7),0)</f>
        <v>0.0</v>
      </c>
      <c r="K36" s="38">
        <f>IFERROR(K12-K12/(1+Parámetros!$C$7),0)</f>
        <v>0.0</v>
      </c>
      <c r="L36" s="38">
        <f>IFERROR(L12-L12/(1+Parámetros!$C$7),0)</f>
        <v>0.0</v>
      </c>
      <c r="M36" s="38">
        <f>IFERROR(M12-M12/(1+Parámetros!$C$7),0)</f>
        <v>0.0</v>
      </c>
    </row>
    <row r="37">
      <c r="A37" s="37" t="inlineStr">
        <is>
          <t>IVA soportado del mes</t>
        </is>
      </c>
      <c r="B37" s="38">
        <f>IFERROR(B33-B33/(1+Parámetros!$C$8)+(B19+B20+B21+B22)-(B19+B20+B21+B22)/(1+Parámetros!$C$9),0)</f>
        <v>0.0</v>
      </c>
      <c r="C37" s="38">
        <f>IFERROR(C33-C33/(1+Parámetros!$C$8)+(C19+C20+C21+C22)-(C19+C20+C21+C22)/(1+Parámetros!$C$9),0)</f>
        <v>0.0</v>
      </c>
      <c r="D37" s="38">
        <f>IFERROR(D33-D33/(1+Parámetros!$C$8)+(D19+D20+D21+D22)-(D19+D20+D21+D22)/(1+Parámetros!$C$9),0)</f>
        <v>0.0</v>
      </c>
      <c r="E37" s="38">
        <f>IFERROR(E33-E33/(1+Parámetros!$C$8)+(E19+E20+E21+E22)-(E19+E20+E21+E22)/(1+Parámetros!$C$9),0)</f>
        <v>0.0</v>
      </c>
      <c r="F37" s="38">
        <f>IFERROR(F33-F33/(1+Parámetros!$C$8)+(F19+F20+F21+F22)-(F19+F20+F21+F22)/(1+Parámetros!$C$9),0)</f>
        <v>0.0</v>
      </c>
      <c r="G37" s="38">
        <f>IFERROR(G33-G33/(1+Parámetros!$C$8)+(G19+G20+G21+G22)-(G19+G20+G21+G22)/(1+Parámetros!$C$9),0)</f>
        <v>0.0</v>
      </c>
      <c r="H37" s="38">
        <f>IFERROR(H33-H33/(1+Parámetros!$C$8)+(H19+H20+H21+H22)-(H19+H20+H21+H22)/(1+Parámetros!$C$9),0)</f>
        <v>0.0</v>
      </c>
      <c r="I37" s="38">
        <f>IFERROR(I33-I33/(1+Parámetros!$C$8)+(I19+I20+I21+I22)-(I19+I20+I21+I22)/(1+Parámetros!$C$9),0)</f>
        <v>0.0</v>
      </c>
      <c r="J37" s="38">
        <f>IFERROR(J33-J33/(1+Parámetros!$C$8)+(J19+J20+J21+J22)-(J19+J20+J21+J22)/(1+Parámetros!$C$9),0)</f>
        <v>0.0</v>
      </c>
      <c r="K37" s="38">
        <f>IFERROR(K33-K33/(1+Parámetros!$C$8)+(K19+K20+K21+K22)-(K19+K20+K21+K22)/(1+Parámetros!$C$9),0)</f>
        <v>0.0</v>
      </c>
      <c r="L37" s="38">
        <f>IFERROR(L33-L33/(1+Parámetros!$C$8)+(L19+L20+L21+L22)-(L19+L20+L21+L22)/(1+Parámetros!$C$9),0)</f>
        <v>0.0</v>
      </c>
      <c r="M37" s="38">
        <f>IFERROR(M33-M33/(1+Parámetros!$C$8)+(M19+M20+M21+M22)-(M19+M20+M21+M22)/(1+Parámetros!$C$9),0)</f>
        <v>0.0</v>
      </c>
    </row>
    <row r="38"/>
    <row r="39">
      <c r="A39" s="37" t="inlineStr">
        <is>
          <t>Ventas sugeridas por estacionalidad (informativo)</t>
        </is>
      </c>
      <c r="B39" s="38">
        <f>Parámetros!$D$13</f>
        <v>0.0</v>
      </c>
      <c r="C39" s="38">
        <f>Parámetros!$D$14</f>
        <v>0.0</v>
      </c>
      <c r="D39" s="38">
        <f>Parámetros!$D$15</f>
        <v>0.0</v>
      </c>
      <c r="E39" s="38">
        <f>Parámetros!$D$16</f>
        <v>0.0</v>
      </c>
      <c r="F39" s="38">
        <f>Parámetros!$D$17</f>
        <v>0.0</v>
      </c>
      <c r="G39" s="38">
        <f>Parámetros!$D$18</f>
        <v>0.0</v>
      </c>
      <c r="H39" s="38">
        <f>Parámetros!$D$19</f>
        <v>0.0</v>
      </c>
      <c r="I39" s="38">
        <f>Parámetros!$D$20</f>
        <v>0.0</v>
      </c>
      <c r="J39" s="38">
        <f>Parámetros!$D$21</f>
        <v>0.0</v>
      </c>
      <c r="K39" s="38">
        <f>Parámetros!$D$22</f>
        <v>0.0</v>
      </c>
      <c r="L39" s="38">
        <f>Parámetros!$D$23</f>
        <v>0.0</v>
      </c>
      <c r="M39" s="38">
        <f>Parámetros!$D$24</f>
        <v>0.0</v>
      </c>
    </row>
    <row r="40"/>
    <row r="41">
      <c r="A41" s="31" t="inlineStr">
        <is>
          <t>© 2026 AI Chef Pro · aichef.pro</t>
        </is>
      </c>
    </row>
    <row r="42"/>
    <row r="43"/>
    <row r="44"/>
    <row r="45"/>
  </sheetData>
  <sheetProtection selectLockedCells="0" selectUnlockedCells="0" sheet="1" objects="0" insertRows="0" insertHyperlinks="1" autoFilter="1" scenarios="0" formatColumns="0" deleteColumns="1" insertColumns="1" pivotTables="1" deleteRows="1" formatCells="1" formatRows="0" sort="0"/>
  <mergeCells count="2">
    <mergeCell ref="A1:M1"/>
    <mergeCell ref="A2:M2"/>
  </mergeCells>
  <dataValidations count="2">
    <dataValidation sqref="B7 B8 B9 B10 B11 B17 B18 B19 B20 B21 B22 B23 B24 B25 B26 B33 B34 C7 C8 C9 C10 C11 C17 C19 C20 C21 C22 C23 C24 C26 C33 C34 D7 D8 D9 D10 D11 D17 D19 D20 D21 D22 D23 D24 D26 D33 D34 E7 E8 E9 E10 E11 E17 E19 E20 E21 E22 E23 E24 E26 E33 E34 F7 F8 F9 F10 F11 F17 F19 F20 F21 F22 F23 F24 F26 F33 F34 G7 G8 G9 G10 G11 G17 G19 G20 G21 G22 G23 G24 G26 G33 G34 H7 H8 H9 H10 H11 H17 H19 H20 H21 H22 H23 H24 H26 H33 H34 I7 I8 I9 I10 I11 I17 I19 I20 I21 I22 I23 I24 I26 I33 I34 J7 J8 J9 J10 J11 J17 J19 J20 J21 J22 J23 J24 J26 J33 J34 K7 K8 K9 K10 K11 K17 K19 K20 K21 K22 K23 K24 K26 K33 K34 L7 L8 L9 L10 L11 L17 L19 L20 L21 L22 L23 L24 L26 L33 L34 M7 M8 M9 M10 M11 M17 M19 M20 M21 M22 M23 M24 M26 M33 M34" showDropDown="0" showInputMessage="0" showErrorMessage="1" allowBlank="1" errorTitle="Importe no válido" error="Escribe un número mayor o igual que 0." type="decimal" operator="greaterThanOrEqual">
      <formula1>0</formula1>
    </dataValidation>
    <dataValidation sqref="B5" showDropDown="0" showInputMessage="0" showErrorMessage="1" allowBlank="1" errorTitle="Importe no válido" error="Escribe un número (puede ser negativo)." type="decimal" operator="greaterThanOrEqual">
      <formula1>-1000000000000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D32F2F"/>
    <outlinePr summaryBelow="1" summaryRight="1"/>
    <pageSetUpPr fitToPage="1"/>
  </sheetPr>
  <dimension ref="A1:E20"/>
  <sheetViews>
    <sheetView workbookViewId="0">
      <pane ySplit="5" topLeftCell="A6" activePane="bottomLeft" state="frozen"/>
      <selection pane="bottomLeft" activeCell="A1" sqref="A1"/>
    </sheetView>
  </sheetViews>
  <sheetFormatPr baseColWidth="8" defaultRowHeight="15"/>
  <cols>
    <col width="3" customWidth="1" min="1" max="1"/>
    <col width="26" customWidth="1" min="2" max="2"/>
    <col width="18" customWidth="1" min="3" max="3"/>
    <col width="22" customWidth="1" min="4" max="4"/>
    <col width="18" customWidth="1" min="5" max="5"/>
  </cols>
  <sheetData>
    <row r="1">
      <c r="B1" s="5" t="inlineStr">
        <is>
          <t>Alertas de Tesorería</t>
        </is>
      </c>
    </row>
    <row r="2"/>
    <row r="3">
      <c r="B3" s="16" t="inlineStr">
        <is>
          <t>Umbral de seguridad (€):</t>
        </is>
      </c>
      <c r="C3" s="39" t="n">
        <v>5000</v>
      </c>
    </row>
    <row r="4"/>
    <row r="5">
      <c r="A5" s="6" t="inlineStr"/>
      <c r="B5" s="6" t="inlineStr">
        <is>
          <t>Mes</t>
        </is>
      </c>
      <c r="C5" s="6" t="inlineStr">
        <is>
          <t>Saldo Final</t>
        </is>
      </c>
      <c r="D5" s="6" t="inlineStr">
        <is>
          <t>Alerta</t>
        </is>
      </c>
      <c r="E5" s="6" t="inlineStr">
        <is>
          <t>Umbral</t>
        </is>
      </c>
    </row>
    <row r="6">
      <c r="B6" s="11" t="inlineStr">
        <is>
          <t>Ene</t>
        </is>
      </c>
      <c r="C6" s="17">
        <f>'Flujo Mensual'!B29</f>
        <v>15000.0</v>
      </c>
      <c r="D6" s="18" t="str">
        <f>IF('Flujo Mensual'!B12+'Flujo Mensual'!B27=0,"—",IF(C6&lt;$C$3,"⚠️ BAJO MÍNIMO","OK"))</f>
        <v>—</v>
      </c>
      <c r="E6" s="29">
        <f>$C$3</f>
        <v>5000.0</v>
      </c>
    </row>
    <row r="7">
      <c r="B7" s="11" t="inlineStr">
        <is>
          <t>Feb</t>
        </is>
      </c>
      <c r="C7" s="17">
        <f>'Flujo Mensual'!C29</f>
        <v>15000.0</v>
      </c>
      <c r="D7" s="18" t="str">
        <f>IF('Flujo Mensual'!C12+'Flujo Mensual'!C27=0,"—",IF(C7&lt;$C$3,"⚠️ BAJO MÍNIMO","OK"))</f>
        <v>—</v>
      </c>
      <c r="E7" s="29">
        <f>$C$3</f>
        <v>5000.0</v>
      </c>
    </row>
    <row r="8">
      <c r="B8" s="11" t="inlineStr">
        <is>
          <t>Mar</t>
        </is>
      </c>
      <c r="C8" s="17">
        <f>'Flujo Mensual'!D29</f>
        <v>15000.0</v>
      </c>
      <c r="D8" s="18" t="str">
        <f>IF('Flujo Mensual'!D12+'Flujo Mensual'!D27=0,"—",IF(C8&lt;$C$3,"⚠️ BAJO MÍNIMO","OK"))</f>
        <v>—</v>
      </c>
      <c r="E8" s="29">
        <f>$C$3</f>
        <v>5000.0</v>
      </c>
    </row>
    <row r="9">
      <c r="B9" s="11" t="inlineStr">
        <is>
          <t>Abr</t>
        </is>
      </c>
      <c r="C9" s="17">
        <f>'Flujo Mensual'!E29</f>
        <v>15000.0</v>
      </c>
      <c r="D9" s="18" t="str">
        <f>IF('Flujo Mensual'!E12+'Flujo Mensual'!E27=0,"—",IF(C9&lt;$C$3,"⚠️ BAJO MÍNIMO","OK"))</f>
        <v>—</v>
      </c>
      <c r="E9" s="29">
        <f>$C$3</f>
        <v>5000.0</v>
      </c>
    </row>
    <row r="10">
      <c r="B10" s="11" t="inlineStr">
        <is>
          <t>May</t>
        </is>
      </c>
      <c r="C10" s="17">
        <f>'Flujo Mensual'!F29</f>
        <v>15000.0</v>
      </c>
      <c r="D10" s="18" t="str">
        <f>IF('Flujo Mensual'!F12+'Flujo Mensual'!F27=0,"—",IF(C10&lt;$C$3,"⚠️ BAJO MÍNIMO","OK"))</f>
        <v>—</v>
      </c>
      <c r="E10" s="29">
        <f>$C$3</f>
        <v>5000.0</v>
      </c>
    </row>
    <row r="11">
      <c r="B11" s="11" t="inlineStr">
        <is>
          <t>Jun</t>
        </is>
      </c>
      <c r="C11" s="17">
        <f>'Flujo Mensual'!G29</f>
        <v>15000.0</v>
      </c>
      <c r="D11" s="18" t="str">
        <f>IF('Flujo Mensual'!G12+'Flujo Mensual'!G27=0,"—",IF(C11&lt;$C$3,"⚠️ BAJO MÍNIMO","OK"))</f>
        <v>—</v>
      </c>
      <c r="E11" s="29">
        <f>$C$3</f>
        <v>5000.0</v>
      </c>
    </row>
    <row r="12">
      <c r="B12" s="11" t="inlineStr">
        <is>
          <t>Jul</t>
        </is>
      </c>
      <c r="C12" s="17">
        <f>'Flujo Mensual'!H29</f>
        <v>15000.0</v>
      </c>
      <c r="D12" s="18" t="str">
        <f>IF('Flujo Mensual'!H12+'Flujo Mensual'!H27=0,"—",IF(C12&lt;$C$3,"⚠️ BAJO MÍNIMO","OK"))</f>
        <v>—</v>
      </c>
      <c r="E12" s="29">
        <f>$C$3</f>
        <v>5000.0</v>
      </c>
    </row>
    <row r="13">
      <c r="B13" s="11" t="inlineStr">
        <is>
          <t>Ago</t>
        </is>
      </c>
      <c r="C13" s="17">
        <f>'Flujo Mensual'!I29</f>
        <v>15000.0</v>
      </c>
      <c r="D13" s="18" t="str">
        <f>IF('Flujo Mensual'!I12+'Flujo Mensual'!I27=0,"—",IF(C13&lt;$C$3,"⚠️ BAJO MÍNIMO","OK"))</f>
        <v>—</v>
      </c>
      <c r="E13" s="29">
        <f>$C$3</f>
        <v>5000.0</v>
      </c>
    </row>
    <row r="14">
      <c r="B14" s="11" t="inlineStr">
        <is>
          <t>Sep</t>
        </is>
      </c>
      <c r="C14" s="17">
        <f>'Flujo Mensual'!J29</f>
        <v>15000.0</v>
      </c>
      <c r="D14" s="18" t="str">
        <f>IF('Flujo Mensual'!J12+'Flujo Mensual'!J27=0,"—",IF(C14&lt;$C$3,"⚠️ BAJO MÍNIMO","OK"))</f>
        <v>—</v>
      </c>
      <c r="E14" s="29">
        <f>$C$3</f>
        <v>5000.0</v>
      </c>
    </row>
    <row r="15">
      <c r="B15" s="11" t="inlineStr">
        <is>
          <t>Oct</t>
        </is>
      </c>
      <c r="C15" s="17">
        <f>'Flujo Mensual'!K29</f>
        <v>15000.0</v>
      </c>
      <c r="D15" s="18" t="str">
        <f>IF('Flujo Mensual'!K12+'Flujo Mensual'!K27=0,"—",IF(C15&lt;$C$3,"⚠️ BAJO MÍNIMO","OK"))</f>
        <v>—</v>
      </c>
      <c r="E15" s="29">
        <f>$C$3</f>
        <v>5000.0</v>
      </c>
    </row>
    <row r="16">
      <c r="B16" s="11" t="inlineStr">
        <is>
          <t>Nov</t>
        </is>
      </c>
      <c r="C16" s="17">
        <f>'Flujo Mensual'!L29</f>
        <v>15000.0</v>
      </c>
      <c r="D16" s="18" t="str">
        <f>IF('Flujo Mensual'!L12+'Flujo Mensual'!L27=0,"—",IF(C16&lt;$C$3,"⚠️ BAJO MÍNIMO","OK"))</f>
        <v>—</v>
      </c>
      <c r="E16" s="29">
        <f>$C$3</f>
        <v>5000.0</v>
      </c>
    </row>
    <row r="17">
      <c r="B17" s="11" t="inlineStr">
        <is>
          <t>Dic</t>
        </is>
      </c>
      <c r="C17" s="17">
        <f>'Flujo Mensual'!M29</f>
        <v>15000.0</v>
      </c>
      <c r="D17" s="18" t="str">
        <f>IF('Flujo Mensual'!M12+'Flujo Mensual'!M27=0,"—",IF(C17&lt;$C$3,"⚠️ BAJO MÍNIMO","OK"))</f>
        <v>—</v>
      </c>
      <c r="E17" s="29">
        <f>$C$3</f>
        <v>5000.0</v>
      </c>
    </row>
    <row r="18"/>
    <row r="19">
      <c r="B19" s="24" t="inlineStr">
        <is>
          <t>El estado «—» significa que ese mes todavía no tiene ni cobros ni pagos: el semáforo no opina sobre un mes vacío.</t>
        </is>
      </c>
    </row>
    <row r="20">
      <c r="A20" s="15"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0:E20"/>
    <mergeCell ref="B1:E1"/>
  </mergeCells>
  <conditionalFormatting sqref="D6:D17">
    <cfRule type="containsText" priority="1" operator="containsText" dxfId="0" stopIfTrue="1" text="BAJO MÍNIMO">
      <formula>NOT(ISERROR(SEARCH("BAJO MÍNIMO",D6)))</formula>
    </cfRule>
    <cfRule type="containsText" priority="2" operator="containsText" dxfId="1" stopIfTrue="1" text="OK">
      <formula>NOT(ISERROR(SEARCH("OK",D6)))</formula>
    </cfRule>
  </conditionalFormatting>
  <conditionalFormatting sqref="C6:C17">
    <cfRule type="expression" priority="3" dxfId="0" stopIfTrue="1">
      <formula>=AND($C6&lt;$C$3,$D6&lt;&gt;"—")</formula>
    </cfRule>
  </conditionalFormatting>
  <dataValidations count="1">
    <dataValidation sqref="C3"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03 · Previsión de Tesorería (Cash Flow) — 12 Meses · Kit Plan Financiero para Restaurantes</dc:title>
  <dc:description xmlns:dc="http://purl.org/dc/elements/1.1/">aichef.pro/kit-plan-financiero</dc:description>
  <dc:subject xmlns:dc="http://purl.org/dc/elements/1.1/">Kit Plan Financiero para Restaurantes · v2.0</dc:subject>
  <dcterms:created xmlns:dcterms="http://purl.org/dc/terms/" xmlns:xsi="http://www.w3.org/2001/XMLSchema-instance" xsi:type="dcterms:W3CDTF">2026-04-05T10:13:00Z</dcterms:created>
  <dcterms:modified xmlns:dcterms="http://purl.org/dc/terms/" xmlns:xsi="http://www.w3.org/2001/XMLSchema-instance" xsi:type="dcterms:W3CDTF">2026-08-28T23:26:34Z</dcterms:modified>
  <cp:lastModifiedBy>AI Chef Pro</cp:lastModifiedBy>
  <cp:category>AI Chef Pro · Productos digitales</cp:category>
  <cp:keywords>kit plan financiero, plan de negocio restaurante, viabilidad, punto de equilibrio, cash flow, TIR VAN payback, AI Chef Pro</cp:keywords>
</cp:coreProperties>
</file>