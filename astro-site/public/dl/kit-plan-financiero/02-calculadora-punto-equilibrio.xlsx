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Break-Even" sheetId="3" state="visible" r:id="rId3"/>
    <sheet xmlns:r="http://schemas.openxmlformats.org/officeDocument/2006/relationships" name="Escenarios" sheetId="4" state="visible" r:id="rId4"/>
  </sheets>
  <definedNames>
    <definedName name="_xlnm.Print_Titles" localSheetId="1">'Datos'!$4:$4</definedName>
    <definedName name="_xlnm.Print_Titles" localSheetId="3">'Escenarios'!$3:$3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999999"/>
      <sz val="9"/>
    </font>
    <font>
      <name val="Calibri"/>
      <b val="1"/>
      <sz val="11"/>
    </font>
    <font>
      <name val="Calibri"/>
      <b val="1"/>
      <color rgb="001565C0"/>
      <sz val="11"/>
    </font>
    <font>
      <b val="1"/>
      <color rgb="009C6500"/>
      <sz val="9"/>
    </font>
    <font>
      <i val="1"/>
      <sz val="9"/>
    </font>
    <font>
      <b val="1"/>
    </font>
    <font>
      <sz val="8"/>
    </font>
    <font>
      <b val="1"/>
      <sz val="9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/>
    </xf>
    <xf numFmtId="164" fontId="8" fillId="7" borderId="1" applyAlignment="1" applyProtection="1" pivotButton="0" quotePrefix="0" xfId="0">
      <alignment horizontal="right" vertical="center"/>
      <protection locked="0" hidden="0"/>
    </xf>
    <xf numFmtId="0" fontId="13" fillId="0" borderId="1" pivotButton="0" quotePrefix="0" xfId="0"/>
    <xf numFmtId="0" fontId="8" fillId="0" borderId="1" applyAlignment="1" pivotButton="0" quotePrefix="0" xfId="0">
      <alignment horizontal="right" vertical="center"/>
    </xf>
    <xf numFmtId="0" fontId="14" fillId="0" borderId="0" pivotButton="0" quotePrefix="0" xfId="0"/>
    <xf numFmtId="165" fontId="8" fillId="7" borderId="1" applyAlignment="1" applyProtection="1" pivotButton="0" quotePrefix="0" xfId="0">
      <alignment horizontal="right" vertical="center"/>
      <protection locked="0" hidden="0"/>
    </xf>
    <xf numFmtId="3" fontId="8" fillId="7" borderId="1" applyAlignment="1" applyProtection="1" pivotButton="0" quotePrefix="0" xfId="0">
      <alignment horizontal="right" vertical="center"/>
      <protection locked="0" hidden="0"/>
    </xf>
    <xf numFmtId="0" fontId="15" fillId="0" borderId="0" pivotButton="0" quotePrefix="0" xfId="0"/>
    <xf numFmtId="3" fontId="11" fillId="0" borderId="1" applyAlignment="1" pivotButton="0" quotePrefix="0" xfId="0">
      <alignment horizontal="right" vertical="center"/>
    </xf>
    <xf numFmtId="3" fontId="0" fillId="7" borderId="0" applyProtection="1" pivotButton="0" quotePrefix="0" xfId="0">
      <protection locked="0" hidden="0"/>
    </xf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3" fontId="0" fillId="9" borderId="0" pivotButton="0" quotePrefix="0" xfId="0"/>
    <xf numFmtId="164" fontId="0" fillId="9" borderId="0" pivotButton="0" quotePrefix="0" xfId="0"/>
    <xf numFmtId="2" fontId="0" fillId="9" borderId="0" pivotButton="0" quotePrefix="0" xfId="0"/>
    <xf numFmtId="164" fontId="8" fillId="4" borderId="1" applyAlignment="1" applyProtection="1" pivotButton="0" quotePrefix="0" xfId="0">
      <alignment horizontal="right" vertical="center"/>
      <protection locked="0" hidden="0"/>
    </xf>
    <xf numFmtId="164" fontId="8" fillId="5" borderId="1" applyAlignment="1" applyProtection="1" pivotButton="0" quotePrefix="0" xfId="0">
      <alignment horizontal="right" vertical="center"/>
      <protection locked="0" hidden="0"/>
    </xf>
    <xf numFmtId="164" fontId="8" fillId="6" borderId="1" applyAlignment="1" applyProtection="1" pivotButton="0" quotePrefix="0" xfId="0">
      <alignment horizontal="right" vertical="center"/>
      <protection locked="0" hidden="0"/>
    </xf>
    <xf numFmtId="3" fontId="8" fillId="4" borderId="1" applyAlignment="1" applyProtection="1" pivotButton="0" quotePrefix="0" xfId="0">
      <alignment horizontal="right" vertical="center"/>
      <protection locked="0" hidden="0"/>
    </xf>
    <xf numFmtId="3" fontId="8" fillId="5" borderId="1" applyAlignment="1" applyProtection="1" pivotButton="0" quotePrefix="0" xfId="0">
      <alignment horizontal="right" vertical="center"/>
      <protection locked="0" hidden="0"/>
    </xf>
    <xf numFmtId="3" fontId="8" fillId="6" borderId="1" applyAlignment="1" applyProtection="1" pivotButton="0" quotePrefix="0" xfId="0">
      <alignment horizontal="right" vertical="center"/>
      <protection locked="0" hidden="0"/>
    </xf>
    <xf numFmtId="165" fontId="8" fillId="4" borderId="1" applyAlignment="1" applyProtection="1" pivotButton="0" quotePrefix="0" xfId="0">
      <alignment horizontal="right" vertical="center"/>
      <protection locked="0" hidden="0"/>
    </xf>
    <xf numFmtId="165" fontId="8" fillId="5" borderId="1" applyAlignment="1" applyProtection="1" pivotButton="0" quotePrefix="0" xfId="0">
      <alignment horizontal="right" vertical="center"/>
      <protection locked="0" hidden="0"/>
    </xf>
    <xf numFmtId="165" fontId="8" fillId="6" borderId="1" applyAlignment="1" applyProtection="1" pivotButton="0" quotePrefix="0" xfId="0">
      <alignment horizontal="right" vertical="center"/>
      <protection locked="0" hidden="0"/>
    </xf>
    <xf numFmtId="164" fontId="0" fillId="0" borderId="0" pivotButton="0" quotePrefix="0" xfId="0"/>
    <xf numFmtId="165" fontId="0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 costes totales por cubiertos/día</a:t>
            </a:r>
          </a:p>
        </rich>
      </tx>
    </title>
    <plotArea>
      <lineChart>
        <grouping val="standard"/>
        <ser>
          <idx val="0"/>
          <order val="0"/>
          <tx>
            <strRef>
              <f>'Break-Even'!B20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'Break-Even'!$A$21:$A$28</f>
            </numRef>
          </cat>
          <val>
            <numRef>
              <f>'Break-Even'!$B$21:$B$28</f>
            </numRef>
          </val>
        </ser>
        <ser>
          <idx val="1"/>
          <order val="1"/>
          <tx>
            <strRef>
              <f>'Break-Even'!C20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'Break-Even'!$A$21:$A$28</f>
            </numRef>
          </cat>
          <val>
            <numRef>
              <f>'Break-Even'!$C$21:$C$28</f>
            </numRef>
          </val>
        </ser>
        <ser>
          <idx val="2"/>
          <order val="2"/>
          <tx>
            <strRef>
              <f>'Break-Even'!D20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'Break-Even'!$A$21:$A$28</f>
            </numRef>
          </cat>
          <val>
            <numRef>
              <f>'Break-Even'!$D$21:$D$28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>
      <c r="B2" s="1" t="inlineStr">
        <is>
          <t>02 · Calculadora de Punto de Equilibrio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En 'Datos' están los costes fijos OPERATIVOS. La cuota del préstamo va aparte (fila 15): el EBITDA se mide antes del servicio de deuda.</t>
        </is>
      </c>
    </row>
    <row r="8">
      <c r="B8" s="4" t="inlineStr">
        <is>
          <t>▸ 'Break-Even' da dos umbrales: el operativo (EBITDA = 0) y el de caja (con la cuota dentro), además del ticket medio necesario para tus cubiertos previstos.</t>
        </is>
      </c>
    </row>
    <row r="9">
      <c r="B9" s="4" t="inlineStr">
        <is>
          <t>▸ La pestaña 'Escenarios' muestra 3 escenarios (pesimista, base, optimista).</t>
        </is>
      </c>
    </row>
    <row r="10"/>
    <row r="11">
      <c r="B11" s="3" t="inlineStr">
        <is>
          <t>Conceptos clave:</t>
        </is>
      </c>
    </row>
    <row r="12">
      <c r="B12" s="4" t="inlineStr">
        <is>
          <t>▸ Costes fijos: alquiler, personal fijo, seguros, gestoría — no varían con la actividad. La cuota del préstamo NO entra: es financiación, no explotación.</t>
        </is>
      </c>
    </row>
    <row r="13">
      <c r="B13" s="4" t="inlineStr">
        <is>
          <t>▸ Costes Variables (%): food cost, extras, comisiones — proporción de cada venta.</t>
        </is>
      </c>
    </row>
    <row r="14">
      <c r="B14" s="4" t="inlineStr">
        <is>
          <t>▸ Margen de Contribución = 1 - % Coste Variable.</t>
        </is>
      </c>
    </row>
    <row r="15"/>
    <row r="16">
      <c r="B16" s="28" t="inlineStr">
        <is>
          <t>Todas las cifras van SIN IVA; en el 03 (tesorería) van CON IVA porque es caja.</t>
        </is>
      </c>
    </row>
    <row r="17">
      <c r="B17" s="28" t="inlineStr">
        <is>
          <t>Para editar una celda que no esté en verde: Revisar → Desproteger hoja (no tiene contraseña).</t>
        </is>
      </c>
    </row>
    <row r="18">
      <c r="B18" s="28" t="inlineStr">
        <is>
          <t>Diseñado por John Guerrero — chef y consultor gastronómico desde 2010, en cocina desde los 17 años · johnguerrero.es</t>
        </is>
      </c>
    </row>
    <row r="19">
      <c r="B19" s="28" t="inlineStr">
        <is>
          <t>Versión 2.0 · agosto 2026 · aichef.pro/kit-plan-financiero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46" customWidth="1" min="4" max="4"/>
  </cols>
  <sheetData>
    <row r="1">
      <c r="B1" s="5" t="inlineStr">
        <is>
          <t>Datos de Entrada — Punto de Equilibrio</t>
        </is>
      </c>
    </row>
    <row r="2">
      <c r="B2" s="2" t="inlineStr">
        <is>
          <t>AI Chef Pro · aichef.pro — Kit Plan Financiero para Restaurantes</t>
        </is>
      </c>
    </row>
    <row r="3">
      <c r="B3" s="29" t="inlineStr">
        <is>
          <t>VALORES DE EJEMPLO — sustitúyelos por los tuyos</t>
        </is>
      </c>
    </row>
    <row r="4">
      <c r="A4" s="6" t="inlineStr"/>
      <c r="B4" s="6" t="inlineStr">
        <is>
          <t>Concepto</t>
        </is>
      </c>
      <c r="C4" s="6" t="inlineStr">
        <is>
          <t>Valor</t>
        </is>
      </c>
      <c r="D4" s="6" t="inlineStr">
        <is>
          <t>Notas</t>
        </is>
      </c>
    </row>
    <row r="5">
      <c r="B5" s="7" t="inlineStr">
        <is>
          <t>COSTES FIJOS MENSUALES</t>
        </is>
      </c>
    </row>
    <row r="6">
      <c r="B6" s="8" t="inlineStr">
        <is>
          <t>Alquiler mensual</t>
        </is>
      </c>
      <c r="C6" s="30" t="n">
        <v>3000</v>
      </c>
      <c r="D6" s="10" t="inlineStr">
        <is>
          <t>€/mes</t>
        </is>
      </c>
    </row>
    <row r="7">
      <c r="B7" s="8" t="inlineStr">
        <is>
          <t>Coste total de personal fijo (salario bruto + SS empresa)</t>
        </is>
      </c>
      <c r="C7" s="30" t="n">
        <v>8800</v>
      </c>
      <c r="D7" s="10" t="inlineStr">
        <is>
          <t>€/mes — ≈ bruto × 1,32; es coste de EMPRESA, no bruto</t>
        </is>
      </c>
    </row>
    <row r="8">
      <c r="B8" s="8" t="inlineStr">
        <is>
          <t>Seguros</t>
        </is>
      </c>
      <c r="C8" s="30" t="n">
        <v>400</v>
      </c>
      <c r="D8" s="10" t="inlineStr">
        <is>
          <t>€/mes</t>
        </is>
      </c>
    </row>
    <row r="9">
      <c r="B9" s="8" t="inlineStr">
        <is>
          <t>Suministros (luz, agua, gas)</t>
        </is>
      </c>
      <c r="C9" s="30" t="n">
        <v>1500</v>
      </c>
      <c r="D9" s="10" t="inlineStr">
        <is>
          <t>€/mes</t>
        </is>
      </c>
    </row>
    <row r="10">
      <c r="B10" s="8" t="inlineStr">
        <is>
          <t>Marketing fijo</t>
        </is>
      </c>
      <c r="C10" s="30" t="n">
        <v>500</v>
      </c>
      <c r="D10" s="10" t="inlineStr">
        <is>
          <t>€/mes</t>
        </is>
      </c>
    </row>
    <row r="11">
      <c r="B11" s="8" t="inlineStr">
        <is>
          <t>Gestoría / Administración</t>
        </is>
      </c>
      <c r="C11" s="30" t="n">
        <v>300</v>
      </c>
      <c r="D11" s="10" t="inlineStr">
        <is>
          <t>€/mes</t>
        </is>
      </c>
    </row>
    <row r="12">
      <c r="B12" s="31" t="inlineStr">
        <is>
          <t>La cuota del préstamo NO es un coste fijo operativo: va en la fila 15, fuera del EBITDA.</t>
        </is>
      </c>
      <c r="C12" s="32" t="n"/>
      <c r="D12" s="10" t="n"/>
    </row>
    <row r="13">
      <c r="B13" s="8" t="inlineStr">
        <is>
          <t>Otros gastos fijos</t>
        </is>
      </c>
      <c r="C13" s="30" t="n">
        <v>500</v>
      </c>
      <c r="D13" s="10" t="inlineStr">
        <is>
          <t>€/mes</t>
        </is>
      </c>
    </row>
    <row r="14">
      <c r="B14" s="11" t="inlineStr">
        <is>
          <t>TOTAL COSTES FIJOS OPERATIVOS</t>
        </is>
      </c>
      <c r="C14" s="12">
        <f>SUM(C6:C11)+C13</f>
        <v>15000.0</v>
      </c>
    </row>
    <row r="15">
      <c r="B15" s="8" t="inlineStr">
        <is>
          <t>Cuota de préstamo (servicio de deuda)</t>
        </is>
      </c>
      <c r="C15" s="30" t="n">
        <v>800</v>
      </c>
      <c r="D15" s="10" t="inlineStr">
        <is>
          <t>Cópiala del cuadro de amortización: 07!Financiación</t>
        </is>
      </c>
    </row>
    <row r="16">
      <c r="B16" s="33" t="inlineStr">
        <is>
          <t>COSTES VARIABLES</t>
        </is>
      </c>
    </row>
    <row r="17">
      <c r="B17" s="8" t="inlineStr">
        <is>
          <t>% Coste variable sobre ventas</t>
        </is>
      </c>
      <c r="C17" s="34" t="n">
        <v>0.35</v>
      </c>
      <c r="D17" s="10" t="inlineStr">
        <is>
          <t>Food cost + comisiones de delivery + variables (30-40 % típico). NO incluye el personal fijo.</t>
        </is>
      </c>
    </row>
    <row r="18"/>
    <row r="19">
      <c r="B19" s="33" t="inlineStr">
        <is>
          <t>TICKET MEDIO (sin IVA)</t>
        </is>
      </c>
    </row>
    <row r="20">
      <c r="B20" s="8" t="inlineStr">
        <is>
          <t>Ticket medio por comensal (€, sin IVA)</t>
        </is>
      </c>
      <c r="C20" s="30" t="n">
        <v>22</v>
      </c>
    </row>
    <row r="21">
      <c r="B21" s="8" t="inlineStr">
        <is>
          <t>Días de apertura al mes</t>
        </is>
      </c>
      <c r="C21" s="35" t="n">
        <v>26</v>
      </c>
    </row>
    <row r="22"/>
    <row r="23"/>
    <row r="24">
      <c r="A24" s="3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D1"/>
  </mergeCells>
  <dataValidations count="2">
    <dataValidation sqref="C6 C7 C8 C9 C10 C11 C13 C15 C20 C21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C17" showDropDown="0" showInputMessage="0" showErrorMessage="1" allowBlank="1" errorTitle="Porcentaje no válido" error="Escribe un porcentaje entre 0 y 1 (0,35 = 35 %)." type="decimal" operator="between">
      <formula1>0</formula1>
      <formula2>1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32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2" customWidth="1" min="3" max="3"/>
  </cols>
  <sheetData>
    <row r="1">
      <c r="B1" s="5" t="inlineStr">
        <is>
          <t>Cálculo del Punto de Equilibrio</t>
        </is>
      </c>
    </row>
    <row r="2">
      <c r="B2" s="2" t="inlineStr">
        <is>
          <t>AI Chef Pro · aichef.pro — Kit Plan Financiero para Restaurantes</t>
        </is>
      </c>
    </row>
    <row r="3"/>
    <row r="4">
      <c r="A4" s="6" t="inlineStr"/>
      <c r="B4" s="6" t="inlineStr">
        <is>
          <t>Indicador</t>
        </is>
      </c>
      <c r="C4" s="6" t="inlineStr">
        <is>
          <t>Resultado</t>
        </is>
      </c>
    </row>
    <row r="5">
      <c r="B5" s="8" t="inlineStr">
        <is>
          <t>Total costes fijos operativos / mes</t>
        </is>
      </c>
      <c r="C5" s="15">
        <f>Datos!$C$14</f>
        <v>15000.0</v>
      </c>
    </row>
    <row r="6">
      <c r="B6" s="8" t="inlineStr">
        <is>
          <t>% Coste variable</t>
        </is>
      </c>
      <c r="C6" s="16">
        <f>Datos!$C$17</f>
        <v>0.35</v>
      </c>
    </row>
    <row r="7">
      <c r="B7" s="8" t="inlineStr">
        <is>
          <t>Margen de contribución</t>
        </is>
      </c>
      <c r="C7" s="16">
        <f>1-Datos!$C$17</f>
        <v>0.65</v>
      </c>
    </row>
    <row r="8">
      <c r="B8" s="11" t="inlineStr">
        <is>
          <t>FACTURACIÓN BREAK-EVEN / mes (sin IVA)</t>
        </is>
      </c>
      <c r="C8" s="17">
        <f>IFERROR(Datos!$C$14/(1-Datos!$C$17),"Revisa el % de coste variable (no puede ser 100 %)")</f>
        <v>23076.923076923074</v>
      </c>
    </row>
    <row r="9">
      <c r="B9" s="8" t="inlineStr">
        <is>
          <t>Facturación break-even / día (sin IVA)</t>
        </is>
      </c>
      <c r="C9" s="15">
        <f>IFERROR($C$8/Datos!$C$21,"Indica los días de apertura")</f>
        <v>887.5739644970413</v>
      </c>
    </row>
    <row r="10">
      <c r="B10" s="11" t="inlineStr">
        <is>
          <t>Cubiertos / día necesarios</t>
        </is>
      </c>
      <c r="C10" s="37">
        <f>IFERROR(ROUNDUP($C$9/Datos!$C$20,0),"Indica el ticket medio")</f>
        <v>41.0</v>
      </c>
    </row>
    <row r="11">
      <c r="B11" s="8" t="inlineStr">
        <is>
          <t>Cubiertos / mes necesarios</t>
        </is>
      </c>
      <c r="C11" s="18">
        <f>IFERROR(ROUNDUP($C$8/Datos!$C$20,0),"—")</f>
        <v>1049.0</v>
      </c>
    </row>
    <row r="12">
      <c r="B12" s="8" t="inlineStr">
        <is>
          <t>Cubiertos / día previstos</t>
        </is>
      </c>
      <c r="C12" s="38" t="n">
        <v>55</v>
      </c>
    </row>
    <row r="13">
      <c r="B13" s="8" t="inlineStr">
        <is>
          <t>Ticket medio necesario (€, sin IVA)</t>
        </is>
      </c>
      <c r="C13" s="15">
        <f>IFERROR($C$9/$C$12,"Indica los cubiertos/día previstos")</f>
        <v>16.13770844540075</v>
      </c>
    </row>
    <row r="14"/>
    <row r="15">
      <c r="A15" s="10" t="n"/>
      <c r="B15" s="33" t="inlineStr">
        <is>
          <t>BREAK-EVEN DE CAJA (incluye la cuota del préstamo)</t>
        </is>
      </c>
    </row>
    <row r="16">
      <c r="B16" s="11" t="inlineStr">
        <is>
          <t>Facturación break-even de caja / mes (sin IVA)</t>
        </is>
      </c>
      <c r="C16" s="17">
        <f>IFERROR((Datos!$C$14+Datos!$C$15)/(1-Datos!$C$17),"Revisa el % de coste variable (no puede ser 100 %)")</f>
        <v>24307.69230769231</v>
      </c>
    </row>
    <row r="17">
      <c r="B17" s="8" t="inlineStr">
        <is>
          <t>Cubiertos / día para el break-even de caja</t>
        </is>
      </c>
      <c r="C17" s="18">
        <f>IFERROR(ROUNDUP($C$16/Datos!$C$21/Datos!$C$20,0),"Indica el ticket medio")</f>
        <v>43.0</v>
      </c>
    </row>
    <row r="18"/>
    <row r="19">
      <c r="A19" s="39" t="inlineStr">
        <is>
          <t>BLOQUE AUXILIAR DEL GRÁFICO — no lo edites</t>
        </is>
      </c>
    </row>
    <row r="20">
      <c r="A20" s="40" t="inlineStr">
        <is>
          <t>Cubiertos / día</t>
        </is>
      </c>
      <c r="B20" s="40" t="inlineStr">
        <is>
          <t>Ingresos</t>
        </is>
      </c>
      <c r="C20" s="40" t="inlineStr">
        <is>
          <t>Costes totales</t>
        </is>
      </c>
      <c r="D20" s="40" t="inlineStr">
        <is>
          <t>Facturación break-even</t>
        </is>
      </c>
      <c r="E20" s="41" t="n"/>
      <c r="F20" s="41" t="n"/>
    </row>
    <row r="21">
      <c r="A21" s="42">
        <f>IFERROR(ROUND($C$10*$F21,0),0)</f>
        <v>10.0</v>
      </c>
      <c r="B21" s="43">
        <f>IFERROR($A21*Datos!$C$20*Datos!$C$21,0)</f>
        <v>5720.0</v>
      </c>
      <c r="C21" s="43">
        <f>IFERROR(Datos!$C$14+$B21*Datos!$C$17,0)</f>
        <v>17002.0</v>
      </c>
      <c r="D21" s="43">
        <f>$C$8</f>
        <v>23076.923076923074</v>
      </c>
      <c r="E21" s="41" t="n"/>
      <c r="F21" s="44" t="n">
        <v>0.25</v>
      </c>
    </row>
    <row r="22">
      <c r="A22" s="42">
        <f>IFERROR(ROUND($C$10*$F22,0),0)</f>
        <v>21.0</v>
      </c>
      <c r="B22" s="43">
        <f>IFERROR($A22*Datos!$C$20*Datos!$C$21,0)</f>
        <v>12012.0</v>
      </c>
      <c r="C22" s="43">
        <f>IFERROR(Datos!$C$14+$B22*Datos!$C$17,0)</f>
        <v>19204.2</v>
      </c>
      <c r="D22" s="43">
        <f>$C$8</f>
        <v>23076.923076923074</v>
      </c>
      <c r="E22" s="41" t="n"/>
      <c r="F22" s="44" t="n">
        <v>0.5</v>
      </c>
    </row>
    <row r="23">
      <c r="A23" s="42">
        <f>IFERROR(ROUND($C$10*$F23,0),0)</f>
        <v>31.0</v>
      </c>
      <c r="B23" s="43">
        <f>IFERROR($A23*Datos!$C$20*Datos!$C$21,0)</f>
        <v>17732.0</v>
      </c>
      <c r="C23" s="43">
        <f>IFERROR(Datos!$C$14+$B23*Datos!$C$17,0)</f>
        <v>21206.2</v>
      </c>
      <c r="D23" s="43">
        <f>$C$8</f>
        <v>23076.923076923074</v>
      </c>
      <c r="E23" s="41" t="n"/>
      <c r="F23" s="44" t="n">
        <v>0.75</v>
      </c>
    </row>
    <row r="24">
      <c r="A24" s="42">
        <f>IFERROR(ROUND($C$10*$F24,0),0)</f>
        <v>41.0</v>
      </c>
      <c r="B24" s="43">
        <f>IFERROR($A24*Datos!$C$20*Datos!$C$21,0)</f>
        <v>23452.0</v>
      </c>
      <c r="C24" s="43">
        <f>IFERROR(Datos!$C$14+$B24*Datos!$C$17,0)</f>
        <v>23208.199999999997</v>
      </c>
      <c r="D24" s="43">
        <f>$C$8</f>
        <v>23076.923076923074</v>
      </c>
      <c r="E24" s="41" t="n"/>
      <c r="F24" s="44" t="n">
        <v>1</v>
      </c>
    </row>
    <row r="25">
      <c r="A25" s="42">
        <f>IFERROR(ROUND($C$10*$F25,0),0)</f>
        <v>51.0</v>
      </c>
      <c r="B25" s="43">
        <f>IFERROR($A25*Datos!$C$20*Datos!$C$21,0)</f>
        <v>29172.0</v>
      </c>
      <c r="C25" s="43">
        <f>IFERROR(Datos!$C$14+$B25*Datos!$C$17,0)</f>
        <v>25210.199999999997</v>
      </c>
      <c r="D25" s="43">
        <f>$C$8</f>
        <v>23076.923076923074</v>
      </c>
      <c r="E25" s="41" t="n"/>
      <c r="F25" s="44" t="n">
        <v>1.25</v>
      </c>
    </row>
    <row r="26">
      <c r="A26" s="42">
        <f>IFERROR(ROUND($C$10*$F26,0),0)</f>
        <v>62.0</v>
      </c>
      <c r="B26" s="43">
        <f>IFERROR($A26*Datos!$C$20*Datos!$C$21,0)</f>
        <v>35464.0</v>
      </c>
      <c r="C26" s="43">
        <f>IFERROR(Datos!$C$14+$B26*Datos!$C$17,0)</f>
        <v>27412.4</v>
      </c>
      <c r="D26" s="43">
        <f>$C$8</f>
        <v>23076.923076923074</v>
      </c>
      <c r="E26" s="41" t="n"/>
      <c r="F26" s="44" t="n">
        <v>1.5</v>
      </c>
    </row>
    <row r="27">
      <c r="A27" s="42">
        <f>IFERROR(ROUND($C$10*$F27,0),0)</f>
        <v>72.0</v>
      </c>
      <c r="B27" s="43">
        <f>IFERROR($A27*Datos!$C$20*Datos!$C$21,0)</f>
        <v>41184.0</v>
      </c>
      <c r="C27" s="43">
        <f>IFERROR(Datos!$C$14+$B27*Datos!$C$17,0)</f>
        <v>29414.4</v>
      </c>
      <c r="D27" s="43">
        <f>$C$8</f>
        <v>23076.923076923074</v>
      </c>
      <c r="E27" s="41" t="n"/>
      <c r="F27" s="44" t="n">
        <v>1.75</v>
      </c>
    </row>
    <row r="28">
      <c r="A28" s="42">
        <f>IFERROR(ROUND($C$10*$F28,0),0)</f>
        <v>82.0</v>
      </c>
      <c r="B28" s="43">
        <f>IFERROR($A28*Datos!$C$20*Datos!$C$21,0)</f>
        <v>46904.0</v>
      </c>
      <c r="C28" s="43">
        <f>IFERROR(Datos!$C$14+$B28*Datos!$C$17,0)</f>
        <v>31416.399999999998</v>
      </c>
      <c r="D28" s="43">
        <f>$C$8</f>
        <v>23076.923076923074</v>
      </c>
      <c r="E28" s="41" t="n"/>
      <c r="F28" s="44" t="n">
        <v>2</v>
      </c>
    </row>
    <row r="29"/>
    <row r="30">
      <c r="A30" s="36" t="inlineStr">
        <is>
          <t>© 2026 AI Chef Pro · aichef.pro</t>
        </is>
      </c>
    </row>
    <row r="31"/>
    <row r="32"/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C1"/>
  </mergeCells>
  <dataValidations count="1">
    <dataValidation sqref="C12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52" customWidth="1" min="2" max="2"/>
    <col width="18" customWidth="1" min="3" max="3"/>
    <col width="18" customWidth="1" min="4" max="4"/>
    <col width="18" customWidth="1" min="5" max="5"/>
  </cols>
  <sheetData>
    <row r="1">
      <c r="B1" s="5" t="inlineStr">
        <is>
          <t>Análisis de Escenarios</t>
        </is>
      </c>
    </row>
    <row r="2"/>
    <row r="3">
      <c r="A3" s="6" t="inlineStr"/>
      <c r="B3" s="6" t="inlineStr">
        <is>
          <t>Indicador</t>
        </is>
      </c>
      <c r="C3" s="6" t="inlineStr">
        <is>
          <t>Pesimista</t>
        </is>
      </c>
      <c r="D3" s="6" t="inlineStr">
        <is>
          <t>Base</t>
        </is>
      </c>
      <c r="E3" s="6" t="inlineStr">
        <is>
          <t>Optimista</t>
        </is>
      </c>
    </row>
    <row r="4">
      <c r="B4" s="8" t="inlineStr">
        <is>
          <t>Ticket medio (€, sin IVA)</t>
        </is>
      </c>
      <c r="C4" s="45" t="n">
        <v>18</v>
      </c>
      <c r="D4" s="46" t="n">
        <v>22</v>
      </c>
      <c r="E4" s="47" t="n">
        <v>28</v>
      </c>
    </row>
    <row r="5">
      <c r="B5" s="8" t="inlineStr">
        <is>
          <t>Cubiertos / día</t>
        </is>
      </c>
      <c r="C5" s="48" t="n">
        <v>40</v>
      </c>
      <c r="D5" s="49" t="n">
        <v>55</v>
      </c>
      <c r="E5" s="50" t="n">
        <v>75</v>
      </c>
    </row>
    <row r="6">
      <c r="B6" s="8" t="inlineStr">
        <is>
          <t>% Coste variable (food + comisiones; NO incluye personal fijo)</t>
        </is>
      </c>
      <c r="C6" s="51" t="n">
        <v>0.4</v>
      </c>
      <c r="D6" s="52" t="n">
        <v>0.35</v>
      </c>
      <c r="E6" s="53" t="n">
        <v>0.3</v>
      </c>
    </row>
    <row r="7">
      <c r="B7" s="8" t="inlineStr">
        <is>
          <t>Costes fijos operativos / mes (€) — de Datos!C14</t>
        </is>
      </c>
      <c r="C7" s="19">
        <f>Datos!$C$14</f>
        <v>15000.0</v>
      </c>
      <c r="D7" s="20">
        <f>Datos!$C$14</f>
        <v>15000.0</v>
      </c>
      <c r="E7" s="21">
        <f>Datos!$C$14</f>
        <v>15000.0</v>
      </c>
    </row>
    <row r="8"/>
    <row r="9">
      <c r="B9" s="7" t="inlineStr">
        <is>
          <t>RESULTADOS</t>
        </is>
      </c>
    </row>
    <row r="10">
      <c r="B10" s="8" t="inlineStr">
        <is>
          <t>Facturación mensual (sin IVA)</t>
        </is>
      </c>
      <c r="C10" s="17">
        <f>C4*C5*Datos!$C$21</f>
        <v>18720.0</v>
      </c>
      <c r="D10" s="17">
        <f>D4*D5*Datos!$C$21</f>
        <v>31460.0</v>
      </c>
      <c r="E10" s="17">
        <f>E4*E5*Datos!$C$21</f>
        <v>54600.0</v>
      </c>
    </row>
    <row r="11">
      <c r="B11" s="8" t="inlineStr">
        <is>
          <t>Costes Variables</t>
        </is>
      </c>
      <c r="C11" s="17">
        <f>C10*C6</f>
        <v>7488.0</v>
      </c>
      <c r="D11" s="17">
        <f>D10*D6</f>
        <v>11011.0</v>
      </c>
      <c r="E11" s="17">
        <f>E10*E6</f>
        <v>16380.0</v>
      </c>
    </row>
    <row r="12">
      <c r="B12" s="8" t="inlineStr">
        <is>
          <t>Margen Contribución</t>
        </is>
      </c>
      <c r="C12" s="17">
        <f>C10-C11</f>
        <v>11232.0</v>
      </c>
      <c r="D12" s="17">
        <f>D10-D11</f>
        <v>20449.0</v>
      </c>
      <c r="E12" s="17">
        <f>E10-E11</f>
        <v>38220.0</v>
      </c>
    </row>
    <row r="13">
      <c r="B13" s="11" t="inlineStr">
        <is>
          <t>EBITDA</t>
        </is>
      </c>
      <c r="C13" s="12">
        <f>C12-C7</f>
        <v>-3768.0</v>
      </c>
      <c r="D13" s="12">
        <f>D12-D7</f>
        <v>5449.0</v>
      </c>
      <c r="E13" s="12">
        <f>E12-E7</f>
        <v>23220.0</v>
      </c>
    </row>
    <row r="14">
      <c r="B14" t="inlineStr">
        <is>
          <t>Cuota de préstamo (servicio de deuda)</t>
        </is>
      </c>
      <c r="C14" s="54">
        <f>Datos!$C$15</f>
        <v>800.0</v>
      </c>
      <c r="D14" s="54">
        <f>Datos!$C$15</f>
        <v>800.0</v>
      </c>
      <c r="E14" s="54">
        <f>Datos!$C$15</f>
        <v>800.0</v>
      </c>
    </row>
    <row r="15">
      <c r="B15" s="33" t="inlineStr">
        <is>
          <t>RESULTADO DESPUÉS DE DEUDA</t>
        </is>
      </c>
      <c r="C15" s="54">
        <f>C13-C14</f>
        <v>-4568.0</v>
      </c>
      <c r="D15" s="54">
        <f>D13-D14</f>
        <v>4649.0</v>
      </c>
      <c r="E15" s="54">
        <f>E13-E14</f>
        <v>22420.0</v>
      </c>
    </row>
    <row r="16">
      <c r="A16" s="10" t="n"/>
      <c r="B16" t="inlineStr">
        <is>
          <t>Margen EBITDA %</t>
        </is>
      </c>
      <c r="C16" s="55">
        <f>IF(C10=0,"",C13/C10)</f>
        <v>-0.2012820512820513</v>
      </c>
      <c r="D16" s="55">
        <f>IF(D10=0,"",D13/D10)</f>
        <v>0.17320406865861412</v>
      </c>
      <c r="E16" s="55">
        <f>IF(E10=0,"",E13/E10)</f>
        <v>0.42527472527472526</v>
      </c>
    </row>
    <row r="17"/>
    <row r="18">
      <c r="B18" s="56" t="inlineStr">
        <is>
          <t>El EBITDA de la fila 13 va ANTES del servicio de deuda: es el que se compara con los benchmarks del 06 y del 07.</t>
        </is>
      </c>
    </row>
    <row r="19"/>
    <row r="20">
      <c r="A20" s="36" t="inlineStr">
        <is>
          <t>© 2026 AI Chef Pro · aichef.pro</t>
        </is>
      </c>
    </row>
    <row r="21"/>
    <row r="22"/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E1"/>
  </mergeCells>
  <conditionalFormatting sqref="C13:E13">
    <cfRule type="expression" priority="1" dxfId="0" stopIfTrue="1">
      <formula>=C13&lt;0</formula>
    </cfRule>
  </conditionalFormatting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Calculadora de Punto de Equilibrio · Kit Plan Financiero para Restaurantes</dc:title>
  <dc:description xmlns:dc="http://purl.org/dc/elements/1.1/">aichef.pro/kit-plan-financiero</dc:description>
  <dc:subject xmlns:dc="http://purl.org/dc/elements/1.1/">Kit Plan Financiero para Restaurantes · v2.0</dc:subject>
  <dcterms:created xmlns:dcterms="http://purl.org/dc/terms/" xmlns:xsi="http://www.w3.org/2001/XMLSchema-instance" xsi:type="dcterms:W3CDTF">2026-04-05T10:13:00Z</dcterms:created>
  <dcterms:modified xmlns:dcterms="http://purl.org/dc/terms/" xmlns:xsi="http://www.w3.org/2001/XMLSchema-instance" xsi:type="dcterms:W3CDTF">2026-08-28T23:26:34Z</dcterms:modified>
  <cp:lastModifiedBy>AI Chef Pro</cp:lastModifiedBy>
  <cp:category>AI Chef Pro · Productos digitales</cp:category>
  <cp:keywords>kit plan financiero, plan de negocio restaurante, viabilidad, punto de equilibrio, cash flow, TIR VAN payback, AI Chef Pro</cp:keywords>
</cp:coreProperties>
</file>