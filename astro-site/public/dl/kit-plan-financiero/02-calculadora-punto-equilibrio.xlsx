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Break-Even" sheetId="3" state="visible" r:id="rId3"/>
    <sheet xmlns:r="http://schemas.openxmlformats.org/officeDocument/2006/relationships" name="Escenarios" sheetId="4" state="visible" r:id="rId4"/>
  </sheets>
  <definedNames>
    <definedName name="_xlnm.Print_Titles" localSheetId="1">'Datos'!$4:$4</definedName>
    <definedName name="_xlnm.Print_Titles" localSheetId="3">'Escenarios'!$3:$3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999999"/>
      <sz val="9"/>
    </font>
    <font>
      <name val="Calibri"/>
      <b val="1"/>
      <sz val="11"/>
    </font>
    <font>
      <name val="Calibri"/>
      <b val="1"/>
      <color rgb="001565C0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1" pivotButton="0" quotePrefix="0" xfId="0"/>
    <xf numFmtId="164" fontId="10" fillId="0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/>
    <row r="2">
      <c r="B2" s="1" t="inlineStr">
        <is>
          <t>02 · Calculadora de Punto de Equilibrio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En la pestaña 'Datos', introduce tus costes fijos mensuales, % de coste variable y ticket medio.</t>
        </is>
      </c>
    </row>
    <row r="8">
      <c r="B8" s="4" t="inlineStr">
        <is>
          <t>▸ La pestaña 'Break-Even' calcula automáticamente la facturación mínima y cubiertos/día necesarios.</t>
        </is>
      </c>
    </row>
    <row r="9">
      <c r="B9" s="4" t="inlineStr">
        <is>
          <t>▸ La pestaña 'Escenarios' muestra 3 escenarios (pesimista, base, optimista).</t>
        </is>
      </c>
    </row>
    <row r="10"/>
    <row r="11">
      <c r="B11" s="3" t="inlineStr">
        <is>
          <t>Conceptos clave:</t>
        </is>
      </c>
    </row>
    <row r="12">
      <c r="B12" s="4" t="inlineStr">
        <is>
          <t>▸ Costes Fijos: alquiler, nóminas fijas, seguros, cuotas — no varían con la actividad.</t>
        </is>
      </c>
    </row>
    <row r="13">
      <c r="B13" s="4" t="inlineStr">
        <is>
          <t>▸ Costes Variables (%): food cost, extras, comisiones — proporción de cada venta.</t>
        </is>
      </c>
    </row>
    <row r="14">
      <c r="B14" s="4" t="inlineStr">
        <is>
          <t>▸ Margen de Contribución = 1 - % Coste Variable.</t>
        </is>
      </c>
    </row>
    <row r="15"/>
    <row r="16">
      <c r="B16" s="4" t="inlineStr">
        <is>
          <t>Versión 1.1 · agosto 2026 · aichef.pro/kit-plan-financiero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30" customWidth="1" min="4" max="4"/>
  </cols>
  <sheetData>
    <row r="1">
      <c r="B1" s="5" t="inlineStr">
        <is>
          <t>Datos de Entrada — Punto de Equilibrio</t>
        </is>
      </c>
    </row>
    <row r="2">
      <c r="B2" s="2" t="inlineStr">
        <is>
          <t>AI Chef Pro · aichef.pro — Kit Plan Financiero para Restaurantes</t>
        </is>
      </c>
    </row>
    <row r="3"/>
    <row r="4">
      <c r="A4" s="6" t="inlineStr"/>
      <c r="B4" s="6" t="inlineStr">
        <is>
          <t>Concepto</t>
        </is>
      </c>
      <c r="C4" s="6" t="inlineStr">
        <is>
          <t>Valor</t>
        </is>
      </c>
      <c r="D4" s="6" t="inlineStr">
        <is>
          <t>Notas</t>
        </is>
      </c>
    </row>
    <row r="5">
      <c r="B5" s="7" t="inlineStr">
        <is>
          <t>COSTES FIJOS MENSUALES</t>
        </is>
      </c>
    </row>
    <row r="6">
      <c r="B6" s="8" t="inlineStr">
        <is>
          <t>Alquiler mensual</t>
        </is>
      </c>
      <c r="C6" s="9" t="n">
        <v>3000</v>
      </c>
      <c r="D6" s="10" t="inlineStr">
        <is>
          <t>€/mes</t>
        </is>
      </c>
    </row>
    <row r="7">
      <c r="B7" s="8" t="inlineStr">
        <is>
          <t>Nóminas fijas (bruto)</t>
        </is>
      </c>
      <c r="C7" s="9" t="n">
        <v>12000</v>
      </c>
      <c r="D7" s="10" t="inlineStr">
        <is>
          <t>€/mes — incluye SS empresa</t>
        </is>
      </c>
    </row>
    <row r="8">
      <c r="B8" s="8" t="inlineStr">
        <is>
          <t>Seguros</t>
        </is>
      </c>
      <c r="C8" s="9" t="n">
        <v>400</v>
      </c>
      <c r="D8" s="10" t="inlineStr">
        <is>
          <t>€/mes</t>
        </is>
      </c>
    </row>
    <row r="9">
      <c r="B9" s="8" t="inlineStr">
        <is>
          <t>Suministros (luz, agua, gas)</t>
        </is>
      </c>
      <c r="C9" s="9" t="n">
        <v>1500</v>
      </c>
      <c r="D9" s="10" t="inlineStr">
        <is>
          <t>€/mes</t>
        </is>
      </c>
    </row>
    <row r="10">
      <c r="B10" s="8" t="inlineStr">
        <is>
          <t>Marketing fijo</t>
        </is>
      </c>
      <c r="C10" s="9" t="n">
        <v>500</v>
      </c>
      <c r="D10" s="10" t="inlineStr">
        <is>
          <t>€/mes</t>
        </is>
      </c>
    </row>
    <row r="11">
      <c r="B11" s="8" t="inlineStr">
        <is>
          <t>Gestoría / Administración</t>
        </is>
      </c>
      <c r="C11" s="9" t="n">
        <v>300</v>
      </c>
      <c r="D11" s="10" t="inlineStr">
        <is>
          <t>€/mes</t>
        </is>
      </c>
    </row>
    <row r="12">
      <c r="B12" s="8" t="inlineStr">
        <is>
          <t>Cuota préstamo</t>
        </is>
      </c>
      <c r="C12" s="9" t="n">
        <v>800</v>
      </c>
      <c r="D12" s="10" t="inlineStr">
        <is>
          <t>€/mes</t>
        </is>
      </c>
    </row>
    <row r="13">
      <c r="B13" s="8" t="inlineStr">
        <is>
          <t>Otros gastos fijos</t>
        </is>
      </c>
      <c r="C13" s="9" t="n">
        <v>500</v>
      </c>
      <c r="D13" s="10" t="inlineStr">
        <is>
          <t>€/mes</t>
        </is>
      </c>
    </row>
    <row r="14">
      <c r="B14" s="11" t="inlineStr">
        <is>
          <t>TOTAL COSTES FIJOS</t>
        </is>
      </c>
      <c r="C14" s="12">
        <f>SUM(C6:C13)</f>
        <v>19000.0</v>
      </c>
    </row>
    <row r="15"/>
    <row r="16">
      <c r="B16" s="7" t="inlineStr">
        <is>
          <t>COSTES VARIABLES</t>
        </is>
      </c>
    </row>
    <row r="17">
      <c r="B17" s="8" t="inlineStr">
        <is>
          <t>% Coste Variable sobre ventas</t>
        </is>
      </c>
      <c r="C17" s="13" t="n">
        <v>0.35</v>
      </c>
      <c r="D17" s="10" t="inlineStr">
        <is>
          <t>Food cost + variable costs (30-40% típico)</t>
        </is>
      </c>
    </row>
    <row r="18"/>
    <row r="19">
      <c r="B19" s="7" t="inlineStr">
        <is>
          <t>TICKET MEDIO</t>
        </is>
      </c>
    </row>
    <row r="20">
      <c r="B20" s="8" t="inlineStr">
        <is>
          <t>Ticket medio por comensal</t>
        </is>
      </c>
      <c r="C20" s="9" t="n">
        <v>22</v>
      </c>
    </row>
    <row r="21">
      <c r="B21" s="8" t="inlineStr">
        <is>
          <t>Días de apertura al mes</t>
        </is>
      </c>
      <c r="C21" s="14" t="n">
        <v>26</v>
      </c>
    </row>
    <row r="22"/>
    <row r="23"/>
    <row r="24">
      <c r="A24" s="10" t="inlineStr">
        <is>
          <t>© 2026 AI Chef Pro · aichef.pro</t>
        </is>
      </c>
    </row>
  </sheetData>
  <mergeCells count="2">
    <mergeCell ref="A24:D24"/>
    <mergeCell ref="B1:D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</cols>
  <sheetData>
    <row r="1">
      <c r="B1" s="5" t="inlineStr">
        <is>
          <t>Cálculo del Punto de Equilibrio</t>
        </is>
      </c>
    </row>
    <row r="2">
      <c r="B2" s="2" t="inlineStr">
        <is>
          <t>AI Chef Pro · aichef.pro — Kit Plan Financiero para Restaurantes</t>
        </is>
      </c>
    </row>
    <row r="3"/>
    <row r="4">
      <c r="A4" s="6" t="inlineStr"/>
      <c r="B4" s="6" t="inlineStr">
        <is>
          <t>Indicador</t>
        </is>
      </c>
      <c r="C4" s="6" t="inlineStr">
        <is>
          <t>Resultado</t>
        </is>
      </c>
    </row>
    <row r="5">
      <c r="B5" s="8" t="inlineStr">
        <is>
          <t>Total Costes Fijos / mes</t>
        </is>
      </c>
      <c r="C5" s="15">
        <f>Datos!C14</f>
        <v>19000.0</v>
      </c>
    </row>
    <row r="6">
      <c r="B6" s="8" t="inlineStr">
        <is>
          <t>% Coste Variable</t>
        </is>
      </c>
      <c r="C6" s="16">
        <f>Datos!C17</f>
        <v>0.35</v>
      </c>
    </row>
    <row r="7">
      <c r="B7" s="8" t="inlineStr">
        <is>
          <t>Margen de Contribución</t>
        </is>
      </c>
      <c r="C7" s="16">
        <f>1-Datos!C17</f>
        <v>0.65</v>
      </c>
    </row>
    <row r="8">
      <c r="B8" s="11" t="inlineStr">
        <is>
          <t>FACTURACIÓN BREAK-EVEN / mes</t>
        </is>
      </c>
      <c r="C8" s="17">
        <f>Datos!C14/(1-Datos!C17)</f>
        <v>29230.76923076923</v>
      </c>
    </row>
    <row r="9">
      <c r="B9" s="8" t="inlineStr">
        <is>
          <t>Facturación Break-Even / día</t>
        </is>
      </c>
      <c r="C9" s="15">
        <f>C8/Datos!C21</f>
        <v>1124.2603550295858</v>
      </c>
    </row>
    <row r="10">
      <c r="B10" s="8" t="inlineStr">
        <is>
          <t>Cubiertos / día necesarios</t>
        </is>
      </c>
      <c r="C10" s="18">
        <f>C9/Datos!C20</f>
        <v>51.102743410435714</v>
      </c>
    </row>
    <row r="11">
      <c r="B11" s="8" t="inlineStr">
        <is>
          <t>Cubiertos / mes necesarios</t>
        </is>
      </c>
      <c r="C11" s="18">
        <f>C10*Datos!C21</f>
        <v>1328.6713286713286</v>
      </c>
    </row>
    <row r="12"/>
    <row r="13"/>
    <row r="14"/>
    <row r="15">
      <c r="A15" s="10" t="inlineStr">
        <is>
          <t>© 2026 AI Chef Pro · aichef.pro</t>
        </is>
      </c>
    </row>
  </sheetData>
  <mergeCells count="2">
    <mergeCell ref="B1:C1"/>
    <mergeCell ref="A15:C15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Análisis de Escenarios</t>
        </is>
      </c>
    </row>
    <row r="2"/>
    <row r="3">
      <c r="A3" s="6" t="inlineStr"/>
      <c r="B3" s="6" t="inlineStr">
        <is>
          <t>Indicador</t>
        </is>
      </c>
      <c r="C3" s="6" t="inlineStr">
        <is>
          <t>Pesimista</t>
        </is>
      </c>
      <c r="D3" s="6" t="inlineStr">
        <is>
          <t>Base</t>
        </is>
      </c>
      <c r="E3" s="6" t="inlineStr">
        <is>
          <t>Optimista</t>
        </is>
      </c>
    </row>
    <row r="4">
      <c r="B4" s="8" t="inlineStr">
        <is>
          <t>Ticket medio (€)</t>
        </is>
      </c>
      <c r="C4" s="19" t="n">
        <v>18</v>
      </c>
      <c r="D4" s="20" t="n">
        <v>22</v>
      </c>
      <c r="E4" s="21" t="n">
        <v>28</v>
      </c>
    </row>
    <row r="5">
      <c r="B5" s="8" t="inlineStr">
        <is>
          <t>Cubiertos / día</t>
        </is>
      </c>
      <c r="C5" s="22" t="n">
        <v>40</v>
      </c>
      <c r="D5" s="23" t="n">
        <v>55</v>
      </c>
      <c r="E5" s="24" t="n">
        <v>75</v>
      </c>
    </row>
    <row r="6">
      <c r="B6" s="8" t="inlineStr">
        <is>
          <t>% Coste Variable</t>
        </is>
      </c>
      <c r="C6" s="25" t="n">
        <v>0.4</v>
      </c>
      <c r="D6" s="26" t="n">
        <v>0.35</v>
      </c>
      <c r="E6" s="27" t="n">
        <v>0.3</v>
      </c>
    </row>
    <row r="7">
      <c r="B7" s="8" t="inlineStr">
        <is>
          <t>Costes Fijos / mes (€)</t>
        </is>
      </c>
      <c r="C7" s="19" t="n">
        <v>19000</v>
      </c>
      <c r="D7" s="20" t="n">
        <v>19000</v>
      </c>
      <c r="E7" s="21" t="n">
        <v>19000</v>
      </c>
    </row>
    <row r="8"/>
    <row r="9">
      <c r="B9" s="7" t="inlineStr">
        <is>
          <t>RESULTADOS</t>
        </is>
      </c>
    </row>
    <row r="10">
      <c r="B10" s="8" t="inlineStr">
        <is>
          <t>Facturación mensual</t>
        </is>
      </c>
      <c r="C10" s="17">
        <f>C4*C5*26</f>
        <v>18720.0</v>
      </c>
      <c r="D10" s="17">
        <f>D4*D5*26</f>
        <v>31460.0</v>
      </c>
      <c r="E10" s="17">
        <f>E4*E5*26</f>
        <v>54600.0</v>
      </c>
    </row>
    <row r="11">
      <c r="B11" s="8" t="inlineStr">
        <is>
          <t>Costes Variables</t>
        </is>
      </c>
      <c r="C11" s="17">
        <f>C10*C6</f>
        <v>7488.0</v>
      </c>
      <c r="D11" s="17">
        <f>D10*D6</f>
        <v>11011.0</v>
      </c>
      <c r="E11" s="17">
        <f>E10*E6</f>
        <v>16380.0</v>
      </c>
    </row>
    <row r="12">
      <c r="B12" s="8" t="inlineStr">
        <is>
          <t>Margen Contribución</t>
        </is>
      </c>
      <c r="C12" s="17">
        <f>C10-C11</f>
        <v>11232.0</v>
      </c>
      <c r="D12" s="17">
        <f>D10-D11</f>
        <v>20449.0</v>
      </c>
      <c r="E12" s="17">
        <f>E10-E11</f>
        <v>38220.0</v>
      </c>
    </row>
    <row r="13">
      <c r="B13" s="11" t="inlineStr">
        <is>
          <t>EBITDA</t>
        </is>
      </c>
      <c r="C13" s="12">
        <f>C12-C7</f>
        <v>-7768.0</v>
      </c>
      <c r="D13" s="12">
        <f>D12-D7</f>
        <v>1449.0</v>
      </c>
      <c r="E13" s="12">
        <f>E12-E7</f>
        <v>19220.0</v>
      </c>
    </row>
    <row r="14"/>
    <row r="15"/>
    <row r="16">
      <c r="A16" s="10" t="inlineStr">
        <is>
          <t>© 2026 AI Chef Pro · aichef.pro</t>
        </is>
      </c>
    </row>
  </sheetData>
  <mergeCells count="2">
    <mergeCell ref="A16:E16"/>
    <mergeCell ref="B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Calculadora de Punto de Equilibrio · Kit Plan Financiero para Restaurantes</dc:title>
  <dc:description xmlns:dc="http://purl.org/dc/elements/1.1/">aichef.pro/kit-plan-financiero</dc:description>
  <dc:subject xmlns:dc="http://purl.org/dc/elements/1.1/">Kit Plan Financiero para Restaurantes · v1.1</dc:subject>
  <dcterms:created xmlns:dcterms="http://purl.org/dc/terms/" xmlns:xsi="http://www.w3.org/2001/XMLSchema-instance" xsi:type="dcterms:W3CDTF">2026-04-05T10:13:00Z</dcterms:created>
  <dcterms:modified xmlns:dcterms="http://purl.org/dc/terms/" xmlns:xsi="http://www.w3.org/2001/XMLSchema-instance" xsi:type="dcterms:W3CDTF">2026-08-22T09:11:45Z</dcterms:modified>
  <cp:lastModifiedBy>AI Chef Pro</cp:lastModifiedBy>
  <cp:category>AI Chef Pro · Productos digitales</cp:category>
  <cp:keywords>kit plan financiero, AI Chef Pro</cp:keywords>
</cp:coreProperties>
</file>