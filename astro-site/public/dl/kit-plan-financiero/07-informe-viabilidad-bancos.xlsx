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sumen Ejecutivo" sheetId="2" state="visible" r:id="rId2"/>
    <sheet xmlns:r="http://schemas.openxmlformats.org/officeDocument/2006/relationships" name="Proyecciones" sheetId="3" state="visible" r:id="rId3"/>
    <sheet xmlns:r="http://schemas.openxmlformats.org/officeDocument/2006/relationships" name="Financiación" sheetId="4" state="visible" r:id="rId4"/>
    <sheet xmlns:r="http://schemas.openxmlformats.org/officeDocument/2006/relationships" name="Ratios" sheetId="5" state="visible" r:id="rId5"/>
    <sheet xmlns:r="http://schemas.openxmlformats.org/officeDocument/2006/relationships" name="Garantías" sheetId="6" state="visible" r:id="rId6"/>
  </sheets>
  <definedNames>
    <definedName name="_xlnm.Print_Titles" localSheetId="2">'Proyecciones'!$3:$3</definedName>
    <definedName name="_xlnm.Print_Titles" localSheetId="4">'Ratios'!$3:$3</definedName>
    <definedName name="_xlnm.Print_Titles" localSheetId="5">'Garantías'!$3:$3</definedName>
  </definedNames>
  <calcPr calcId="124519" fullCalcOnLoad="1"/>
</workbook>
</file>

<file path=xl/styles.xml><?xml version="1.0" encoding="utf-8"?>
<styleSheet xmlns="http://schemas.openxmlformats.org/spreadsheetml/2006/main">
  <numFmts count="7">
    <numFmt numFmtId="164" formatCode="#,##0.00 €"/>
    <numFmt numFmtId="165" formatCode="0.0%"/>
    <numFmt numFmtId="166" formatCode="0.0"/>
    <numFmt numFmtId="167" formatCode="dd/mm/yyyy"/>
    <numFmt numFmtId="168" formatCode="0.0&quot; años&quot;"/>
    <numFmt numFmtId="169" formatCode="0.00&quot; años&quot;"/>
    <numFmt numFmtId="170" formatCode="0.00&quot;x&quot;"/>
  </numFmts>
  <fonts count="21">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D700"/>
      <sz val="12"/>
    </font>
    <font>
      <name val="Calibri"/>
      <sz val="11"/>
    </font>
    <font>
      <name val="Calibri"/>
      <color rgb="00999999"/>
      <sz val="9"/>
    </font>
    <font>
      <name val="Calibri"/>
      <b val="1"/>
      <color rgb="00FFFFFF"/>
      <sz val="11"/>
    </font>
    <font>
      <name val="Calibri"/>
      <b val="1"/>
      <sz val="11"/>
    </font>
    <font>
      <name val="Calibri"/>
      <b val="1"/>
      <color rgb="00FFD700"/>
      <sz val="13"/>
    </font>
    <font>
      <name val="Calibri"/>
      <b val="1"/>
      <color rgb="001565C0"/>
      <sz val="11"/>
    </font>
    <font>
      <b val="1"/>
      <color rgb="009C6500"/>
      <sz val="9"/>
    </font>
    <font>
      <b val="1"/>
      <sz val="14"/>
    </font>
    <font>
      <sz val="9"/>
    </font>
    <font>
      <b val="1"/>
    </font>
    <font>
      <i val="1"/>
      <sz val="9"/>
    </font>
    <font>
      <b val="1"/>
      <color rgb="00FFFFFF"/>
      <sz val="10"/>
    </font>
    <font>
      <sz val="8"/>
    </font>
    <font>
      <b val="1"/>
      <sz val="11"/>
    </font>
  </fonts>
  <fills count="6">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
      <patternFill patternType="solid">
        <f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7" fillId="2" borderId="1" pivotButton="0" quotePrefix="0" xfId="0"/>
    <xf numFmtId="0" fontId="8" fillId="0" borderId="0" pivotButton="0" quotePrefix="0" xfId="0"/>
    <xf numFmtId="0" fontId="9" fillId="3" borderId="1" applyAlignment="1" pivotButton="0" quotePrefix="0" xfId="0">
      <alignment horizontal="center" vertical="center" wrapText="1"/>
    </xf>
    <xf numFmtId="164" fontId="7" fillId="2" borderId="1" applyAlignment="1" pivotButton="0" quotePrefix="0" xfId="0">
      <alignment horizontal="right" vertical="center"/>
    </xf>
    <xf numFmtId="0" fontId="10" fillId="0" borderId="1" pivotButton="0" quotePrefix="0" xfId="0"/>
    <xf numFmtId="164" fontId="7" fillId="0" borderId="1" applyAlignment="1" pivotButton="0" quotePrefix="0" xfId="0">
      <alignment horizontal="right" vertical="center"/>
    </xf>
    <xf numFmtId="165" fontId="11" fillId="0" borderId="1" applyAlignment="1" pivotButton="0" quotePrefix="0" xfId="0">
      <alignment horizontal="right" vertical="center"/>
    </xf>
    <xf numFmtId="164" fontId="12" fillId="0" borderId="1" applyAlignment="1" pivotButton="0" quotePrefix="0" xfId="0">
      <alignment horizontal="right" vertical="center"/>
    </xf>
    <xf numFmtId="166" fontId="7" fillId="2" borderId="1" applyAlignment="1" pivotButton="0" quotePrefix="0" xfId="0">
      <alignment horizontal="right" vertical="center"/>
    </xf>
    <xf numFmtId="0" fontId="7" fillId="2" borderId="1" applyAlignment="1" pivotButton="0" quotePrefix="0" xfId="0">
      <alignment horizontal="center" vertical="center" wrapText="1"/>
    </xf>
    <xf numFmtId="0" fontId="7" fillId="0" borderId="1" applyAlignment="1" pivotButton="0" quotePrefix="0" xfId="0">
      <alignment horizontal="center" vertical="center" wrapText="1"/>
    </xf>
    <xf numFmtId="164" fontId="10" fillId="0" borderId="1" applyAlignment="1" pivotButton="0" quotePrefix="0" xfId="0">
      <alignment horizontal="right" vertical="center"/>
    </xf>
    <xf numFmtId="0" fontId="4" fillId="0" borderId="0" applyAlignment="1" pivotButton="0" quotePrefix="0" xfId="0">
      <alignment horizontal="left" vertical="top"/>
    </xf>
    <xf numFmtId="0" fontId="13" fillId="0" borderId="0" applyAlignment="1" pivotButton="0" quotePrefix="0" xfId="0">
      <alignment horizontal="left"/>
    </xf>
    <xf numFmtId="0" fontId="7" fillId="2" borderId="1" applyAlignment="1" applyProtection="1" pivotButton="0" quotePrefix="0" xfId="0">
      <alignment horizontal="left"/>
      <protection locked="0" hidden="0"/>
    </xf>
    <xf numFmtId="3" fontId="7" fillId="2" borderId="1" applyAlignment="1" applyProtection="1" pivotButton="0" quotePrefix="0" xfId="0">
      <alignment horizontal="left"/>
      <protection locked="0" hidden="0"/>
    </xf>
    <xf numFmtId="167" fontId="7" fillId="2" borderId="1" applyAlignment="1" applyProtection="1" pivotButton="0" quotePrefix="0" xfId="0">
      <alignment horizontal="left"/>
      <protection locked="0" hidden="0"/>
    </xf>
    <xf numFmtId="164" fontId="7" fillId="2" borderId="1" applyAlignment="1" applyProtection="1" pivotButton="0" quotePrefix="0" xfId="0">
      <alignment horizontal="left"/>
      <protection locked="0" hidden="0"/>
    </xf>
    <xf numFmtId="164" fontId="7" fillId="0" borderId="1" applyAlignment="1" pivotButton="0" quotePrefix="0" xfId="0">
      <alignment horizontal="left"/>
    </xf>
    <xf numFmtId="168" fontId="7" fillId="0" borderId="1" applyAlignment="1" pivotButton="0" quotePrefix="0" xfId="0">
      <alignment horizontal="left"/>
    </xf>
    <xf numFmtId="169" fontId="7" fillId="0" borderId="1" applyAlignment="1" pivotButton="0" quotePrefix="0" xfId="0">
      <alignment horizontal="left"/>
    </xf>
    <xf numFmtId="0" fontId="17" fillId="0" borderId="0" pivotButton="0" quotePrefix="0" xfId="0"/>
    <xf numFmtId="164" fontId="7" fillId="4" borderId="1" applyAlignment="1" applyProtection="1" pivotButton="0" quotePrefix="0" xfId="0">
      <alignment horizontal="right" vertical="center"/>
      <protection locked="0" hidden="0"/>
    </xf>
    <xf numFmtId="0" fontId="7" fillId="0" borderId="1" applyAlignment="1" pivotButton="0" quotePrefix="0" xfId="0">
      <alignment horizontal="right" vertical="center"/>
    </xf>
    <xf numFmtId="0" fontId="20" fillId="0" borderId="1" pivotButton="0" quotePrefix="0" xfId="0"/>
    <xf numFmtId="0" fontId="18" fillId="5" borderId="1" applyAlignment="1" pivotButton="0" quotePrefix="0" xfId="0">
      <alignment horizontal="center"/>
    </xf>
    <xf numFmtId="0" fontId="18" fillId="5" borderId="0" applyAlignment="1" pivotButton="0" quotePrefix="0" xfId="0">
      <alignment horizontal="center"/>
    </xf>
    <xf numFmtId="164" fontId="0" fillId="0" borderId="0" pivotButton="0" quotePrefix="0" xfId="0"/>
    <xf numFmtId="165" fontId="16" fillId="0" borderId="0" pivotButton="0" quotePrefix="0" xfId="0"/>
    <xf numFmtId="164" fontId="16" fillId="0" borderId="0" pivotButton="0" quotePrefix="0" xfId="0"/>
    <xf numFmtId="169" fontId="16" fillId="0" borderId="0" pivotButton="0" quotePrefix="0" xfId="0"/>
    <xf numFmtId="165" fontId="0" fillId="4" borderId="0" applyProtection="1" pivotButton="0" quotePrefix="0" xfId="0">
      <protection locked="0" hidden="0"/>
    </xf>
    <xf numFmtId="0" fontId="19" fillId="0" borderId="0" pivotButton="0" quotePrefix="0" xfId="0"/>
    <xf numFmtId="0" fontId="14" fillId="0" borderId="0" pivotButton="0" quotePrefix="0" xfId="0"/>
    <xf numFmtId="0" fontId="15" fillId="0" borderId="0" pivotButton="0" quotePrefix="0" xfId="0"/>
    <xf numFmtId="0" fontId="16" fillId="0" borderId="0" pivotButton="0" quotePrefix="0" xfId="0"/>
    <xf numFmtId="164" fontId="0" fillId="4" borderId="0" applyProtection="1" pivotButton="0" quotePrefix="0" xfId="0">
      <protection locked="0" hidden="0"/>
    </xf>
    <xf numFmtId="3" fontId="0" fillId="4" borderId="0" applyProtection="1" pivotButton="0" quotePrefix="0" xfId="0">
      <protection locked="0" hidden="0"/>
    </xf>
    <xf numFmtId="0" fontId="18" fillId="5" borderId="0" applyAlignment="1" pivotButton="0" quotePrefix="0" xfId="0">
      <alignment horizontal="center" wrapText="1"/>
    </xf>
    <xf numFmtId="0" fontId="9" fillId="0" borderId="1" applyAlignment="1" pivotButton="0" quotePrefix="0" xfId="0">
      <alignment horizontal="center" vertical="center" wrapText="1"/>
    </xf>
    <xf numFmtId="0" fontId="18" fillId="5" borderId="1" applyAlignment="1" pivotButton="0" quotePrefix="0" xfId="0">
      <alignment horizontal="center" wrapText="1"/>
    </xf>
    <xf numFmtId="165" fontId="7" fillId="0" borderId="1" applyAlignment="1" pivotButton="0" quotePrefix="0" xfId="0">
      <alignment horizontal="center" vertical="center" wrapText="1"/>
    </xf>
    <xf numFmtId="0" fontId="7" fillId="0" borderId="1" applyAlignment="1" pivotButton="0" quotePrefix="0" xfId="0">
      <alignment horizontal="center"/>
    </xf>
    <xf numFmtId="165" fontId="0" fillId="0" borderId="0" pivotButton="0" quotePrefix="0" xfId="0"/>
    <xf numFmtId="170" fontId="7" fillId="0" borderId="1" applyAlignment="1" pivotButton="0" quotePrefix="0" xfId="0">
      <alignment horizontal="center" vertical="center" wrapText="1"/>
    </xf>
    <xf numFmtId="170" fontId="0" fillId="0" borderId="0" pivotButton="0" quotePrefix="0" xfId="0"/>
    <xf numFmtId="0" fontId="17" fillId="0" borderId="0" applyAlignment="1" pivotButton="0" quotePrefix="0" xfId="0">
      <alignment vertical="top" wrapText="1"/>
    </xf>
    <xf numFmtId="164" fontId="7" fillId="2" borderId="1" applyAlignment="1" applyProtection="1" pivotButton="0" quotePrefix="0" xfId="0">
      <alignment horizontal="right" vertical="center"/>
      <protection locked="0" hidden="0"/>
    </xf>
    <xf numFmtId="0" fontId="7" fillId="2" borderId="1" applyProtection="1" pivotButton="0" quotePrefix="0" xfId="0">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EBITDA y cash flow operativo (años 1-5)</a:t>
            </a:r>
          </a:p>
        </rich>
      </tx>
    </title>
    <plotArea>
      <lineChart>
        <grouping val="standard"/>
        <ser>
          <idx val="0"/>
          <order val="0"/>
          <tx>
            <strRef>
              <f>'Proyecciones'!A11</f>
            </strRef>
          </tx>
          <spPr>
            <a:ln xmlns:a="http://schemas.openxmlformats.org/drawingml/2006/main">
              <a:prstDash val="solid"/>
            </a:ln>
          </spPr>
          <marker>
            <symbol val="none"/>
            <spPr>
              <a:ln xmlns:a="http://schemas.openxmlformats.org/drawingml/2006/main">
                <a:prstDash val="solid"/>
              </a:ln>
            </spPr>
          </marker>
          <cat>
            <numRef>
              <f>'Proyecciones'!$B$3:$F$3</f>
            </numRef>
          </cat>
          <val>
            <numRef>
              <f>'Proyecciones'!$B$11:$F$11</f>
            </numRef>
          </val>
        </ser>
        <ser>
          <idx val="1"/>
          <order val="1"/>
          <tx>
            <strRef>
              <f>'Proyecciones'!A18</f>
            </strRef>
          </tx>
          <spPr>
            <a:ln xmlns:a="http://schemas.openxmlformats.org/drawingml/2006/main">
              <a:prstDash val="solid"/>
            </a:ln>
          </spPr>
          <marker>
            <symbol val="none"/>
            <spPr>
              <a:ln xmlns:a="http://schemas.openxmlformats.org/drawingml/2006/main">
                <a:prstDash val="solid"/>
              </a:ln>
            </spPr>
          </marker>
          <cat>
            <numRef>
              <f>'Proyecciones'!$B$3:$F$3</f>
            </numRef>
          </cat>
          <val>
            <numRef>
              <f>'Proyecciones'!$B$18:$F$18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33</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A1:B25"/>
  <sheetViews>
    <sheetView workbookViewId="0">
      <selection activeCell="A1" sqref="A1"/>
    </sheetView>
  </sheetViews>
  <sheetFormatPr baseColWidth="8" defaultRowHeight="15"/>
  <cols>
    <col width="3" customWidth="1" min="1" max="1"/>
    <col width="100" customWidth="1" min="2" max="2"/>
  </cols>
  <sheetData>
    <row r="1"/>
    <row r="2">
      <c r="B2" s="1" t="inlineStr">
        <is>
          <t>07 · Informe de Viabilidad — Presentación Bancaria</t>
        </is>
      </c>
    </row>
    <row r="3"/>
    <row r="4">
      <c r="B4" s="2" t="inlineStr">
        <is>
          <t>AI Chef Pro · aichef.pro — Kit Plan Financiero para Restaurantes</t>
        </is>
      </c>
    </row>
    <row r="5"/>
    <row r="6">
      <c r="B6" s="3" t="inlineStr">
        <is>
          <t>Cómo usar esta plantilla:</t>
        </is>
      </c>
    </row>
    <row r="7">
      <c r="B7" s="4" t="inlineStr">
        <is>
          <t>▸ Completa cada pestaña con los datos de tu proyecto.</t>
        </is>
      </c>
    </row>
    <row r="8">
      <c r="B8" s="4" t="inlineStr">
        <is>
          <t>▸ El formato profesional está listo para presentar directamente al banco.</t>
        </is>
      </c>
    </row>
    <row r="9">
      <c r="B9" s="4" t="inlineStr">
        <is>
          <t>▸ TIR, VAN y Payback se calculan solos en Proyecciones sobre el FLUJO LIBRE DEL PROYECTO (sin deuda ni intereses) y la inversión del Resumen Ejecutivo; la capacidad de pagar el préstamo la mide el DSCR de Ratios. La tasa de descuento es tuya (celda C27).</t>
        </is>
      </c>
    </row>
    <row r="10">
      <c r="B10" s="4" t="inlineStr">
        <is>
          <t>▸ Incluye sección de garantías y avales.</t>
        </is>
      </c>
    </row>
    <row r="11"/>
    <row r="12">
      <c r="B12" s="3" t="inlineStr">
        <is>
          <t>Pestañas:</t>
        </is>
      </c>
    </row>
    <row r="13">
      <c r="B13" s="4" t="inlineStr">
        <is>
          <t>▸ Resumen Ejecutivo: datos clave del proyecto.</t>
        </is>
      </c>
    </row>
    <row r="14">
      <c r="B14" s="4" t="inlineStr">
        <is>
          <t>▸ Proyecciones: P&amp;L + Cash Flow resumido 5 años.</t>
        </is>
      </c>
    </row>
    <row r="15">
      <c r="B15" s="4" t="inlineStr">
        <is>
          <t>▸ Financiación: cuadro de amortización del préstamo. De ahí salen los intereses del P&amp;L, la cuota del DSCR y la línea de cuota de la tesorería del 03.</t>
        </is>
      </c>
    </row>
    <row r="16">
      <c r="B16" s="4" t="inlineStr">
        <is>
          <t>▸ Ratios: indicadores de solvencia y rentabilidad. El DSCR compara el flujo libre del proyecto del año 1 (Proyecciones, fila 17) con el servicio de deuda de ese año (Financiación): mide si el negocio paga la cuota.</t>
        </is>
      </c>
    </row>
    <row r="17">
      <c r="B17" s="4" t="inlineStr">
        <is>
          <t>▸ Garantías: avales y garantías ofrecidas.</t>
        </is>
      </c>
    </row>
    <row r="18">
      <c r="B18" s="4" t="n"/>
    </row>
    <row r="19"/>
    <row r="20">
      <c r="B20" s="4" t="inlineStr">
        <is>
          <t>▸ La amortización del inmovilizado se copia de 04!Resumen, columna «Dotación anual (€)».</t>
        </is>
      </c>
    </row>
    <row r="21"/>
    <row r="22">
      <c r="B22" s="20" t="inlineStr">
        <is>
          <t>Todas las cifras van SIN IVA; en el 03 (tesorería) van CON IVA porque es caja.</t>
        </is>
      </c>
    </row>
    <row r="23">
      <c r="B23" s="20" t="inlineStr">
        <is>
          <t>Para editar una celda que no esté en verde: Revisar → Desproteger hoja (no tiene contraseña).</t>
        </is>
      </c>
    </row>
    <row r="24">
      <c r="B24" s="20" t="inlineStr">
        <is>
          <t>Diseñado por John Guerrero — chef y consultor gastronómico desde 2010, en cocina desde los 17 años · johnguerrero.es</t>
        </is>
      </c>
    </row>
    <row r="25">
      <c r="B25" s="20" t="inlineStr">
        <is>
          <t>Versión 2.0 · agosto 2026 · aichef.pro/kit-plan-financiero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1565C0"/>
    <outlinePr summaryBelow="1" summaryRight="1"/>
    <pageSetUpPr fitToPage="1"/>
  </sheetPr>
  <dimension ref="A1:C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40" customWidth="1" min="3" max="3"/>
  </cols>
  <sheetData>
    <row r="1">
      <c r="B1" s="5" t="inlineStr">
        <is>
          <t>Resumen Ejecutivo del Proyecto</t>
        </is>
      </c>
    </row>
    <row r="2">
      <c r="B2" s="2" t="inlineStr">
        <is>
          <t>AI Chef Pro · aichef.pro — Kit Plan Financiero para Restaurantes</t>
        </is>
      </c>
    </row>
    <row r="3">
      <c r="B3" s="21" t="inlineStr">
        <is>
          <t>VALORES DE EJEMPLO — sustitúyelos por los tuyos</t>
        </is>
      </c>
    </row>
    <row r="4">
      <c r="B4" s="6" t="inlineStr">
        <is>
          <t>DATOS DEL PROYECTO</t>
        </is>
      </c>
    </row>
    <row r="5">
      <c r="B5" s="7" t="inlineStr">
        <is>
          <t>Nombre del restaurante</t>
        </is>
      </c>
      <c r="C5" s="22" t="n"/>
    </row>
    <row r="6">
      <c r="B6" s="7" t="inlineStr">
        <is>
          <t>Concepto / Tipo de cocina</t>
        </is>
      </c>
      <c r="C6" s="22" t="n"/>
    </row>
    <row r="7">
      <c r="B7" s="7" t="inlineStr">
        <is>
          <t>Ubicación</t>
        </is>
      </c>
      <c r="C7" s="22" t="n"/>
    </row>
    <row r="8">
      <c r="B8" s="7" t="inlineStr">
        <is>
          <t>Superficie total (m²)</t>
        </is>
      </c>
      <c r="C8" s="23" t="n"/>
    </row>
    <row r="9">
      <c r="B9" s="7" t="inlineStr">
        <is>
          <t>Aforo (cubiertos)</t>
        </is>
      </c>
      <c r="C9" s="23" t="n"/>
    </row>
    <row r="10">
      <c r="B10" s="7" t="inlineStr">
        <is>
          <t>Fecha prevista de apertura</t>
        </is>
      </c>
      <c r="C10" s="24" t="n"/>
    </row>
    <row r="11"/>
    <row r="12">
      <c r="B12" s="6" t="inlineStr">
        <is>
          <t>DATOS FINANCIEROS CLAVE</t>
        </is>
      </c>
    </row>
    <row r="13">
      <c r="B13" s="7" t="inlineStr">
        <is>
          <t>Inversión total necesaria</t>
        </is>
      </c>
      <c r="C13" s="25" t="n"/>
    </row>
    <row r="14">
      <c r="B14" s="7" t="inlineStr">
        <is>
          <t>Fondos propios aportados</t>
        </is>
      </c>
      <c r="C14" s="25" t="n"/>
    </row>
    <row r="15">
      <c r="B15" s="7" t="inlineStr">
        <is>
          <t>Financiación solicitada</t>
        </is>
      </c>
      <c r="C15" s="26">
        <f>'Financiación'!$C$4</f>
        <v>0.0</v>
      </c>
    </row>
    <row r="16">
      <c r="B16" s="7" t="inlineStr">
        <is>
          <t>Plazo de amortización solicitado</t>
        </is>
      </c>
      <c r="C16" s="27" t="str">
        <f>IF('Financiación'!$C$4=0,"—",'Financiación'!$C$6)</f>
        <v>—</v>
      </c>
    </row>
    <row r="17">
      <c r="B17" s="7" t="inlineStr">
        <is>
          <t>Facturación prevista Año 1 (sin IVA)</t>
        </is>
      </c>
      <c r="C17" s="26">
        <f>Proyecciones!$B$4</f>
        <v>0.0</v>
      </c>
    </row>
    <row r="18">
      <c r="B18" s="7" t="inlineStr">
        <is>
          <t>EBITDA previsto Año 1</t>
        </is>
      </c>
      <c r="C18" s="26">
        <f>Proyecciones!$B$11</f>
        <v>0.0</v>
      </c>
    </row>
    <row r="19">
      <c r="B19" s="7" t="inlineStr">
        <is>
          <t>Payback estimado</t>
        </is>
      </c>
      <c r="C19" s="28" t="str">
        <f>Proyecciones!$B$26</f>
        <v>—</v>
      </c>
    </row>
    <row r="20"/>
    <row r="21">
      <c r="B21" s="6" t="inlineStr">
        <is>
          <t>EQUIPO PROMOTOR</t>
        </is>
      </c>
    </row>
    <row r="22">
      <c r="B22" s="7" t="inlineStr">
        <is>
          <t>Nombre del promotor/a</t>
        </is>
      </c>
      <c r="C22" s="22" t="n"/>
    </row>
    <row r="23">
      <c r="B23" s="7" t="inlineStr">
        <is>
          <t>Experiencia en hostelería</t>
        </is>
      </c>
      <c r="C23" s="22" t="n"/>
    </row>
    <row r="24">
      <c r="B24" s="7" t="inlineStr">
        <is>
          <t>Formación</t>
        </is>
      </c>
      <c r="C24" s="22" t="n"/>
    </row>
    <row r="25">
      <c r="B25" s="7" t="inlineStr">
        <is>
          <t>Otros socios</t>
        </is>
      </c>
      <c r="C25" s="22" t="n"/>
    </row>
    <row r="26"/>
    <row r="27">
      <c r="A27" s="9" t="inlineStr">
        <is>
          <t>© 2026 AI Chef Pro · aichef.pro</t>
        </is>
      </c>
    </row>
    <row r="28"/>
    <row r="29">
      <c r="B29" s="29" t="inlineStr">
        <is>
          <t>Financiación, plazo, facturación, EBITDA y payback se calculan solos desde Financiación y Proyecciones: no se teclean dos veces.</t>
        </is>
      </c>
    </row>
  </sheetData>
  <sheetProtection selectLockedCells="0" selectUnlockedCells="0" sheet="1" objects="0" insertRows="0" insertHyperlinks="1" autoFilter="1" scenarios="0" formatColumns="0" deleteColumns="1" insertColumns="1" pivotTables="1" deleteRows="1" formatCells="1" formatRows="0" sort="0"/>
  <mergeCells count="2">
    <mergeCell ref="B1:C1"/>
    <mergeCell ref="A27:C27"/>
  </mergeCells>
  <dataValidations count="1">
    <dataValidation sqref="C8 C9 C13 C1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G45"/>
  <sheetViews>
    <sheetView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30" customWidth="1" min="7" max="7"/>
  </cols>
  <sheetData>
    <row r="1">
      <c r="A1" s="5" t="inlineStr">
        <is>
          <t>Proyecciones Financieras — 5 Años</t>
        </is>
      </c>
    </row>
    <row r="2"/>
    <row r="3">
      <c r="A3" s="10" t="inlineStr">
        <is>
          <t>Concepto</t>
        </is>
      </c>
      <c r="B3" s="10" t="inlineStr">
        <is>
          <t>Año 1</t>
        </is>
      </c>
      <c r="C3" s="10" t="inlineStr">
        <is>
          <t>Año 2</t>
        </is>
      </c>
      <c r="D3" s="10" t="inlineStr">
        <is>
          <t>Año 3</t>
        </is>
      </c>
      <c r="E3" s="10" t="inlineStr">
        <is>
          <t>Año 4</t>
        </is>
      </c>
      <c r="F3" s="10" t="inlineStr">
        <is>
          <t>Año 5</t>
        </is>
      </c>
    </row>
    <row r="4">
      <c r="A4" s="7" t="inlineStr">
        <is>
          <t>Facturación (sin IVA)</t>
        </is>
      </c>
      <c r="B4" s="30" t="n">
        <v>0</v>
      </c>
      <c r="C4" s="30" t="n">
        <v>0</v>
      </c>
      <c r="D4" s="30" t="n">
        <v>0</v>
      </c>
      <c r="E4" s="30" t="n">
        <v>0</v>
      </c>
      <c r="F4" s="30" t="n">
        <v>0</v>
      </c>
    </row>
    <row r="5">
      <c r="A5" s="7" t="inlineStr">
        <is>
          <t>Coste de comida</t>
        </is>
      </c>
      <c r="B5" s="30" t="n">
        <v>0</v>
      </c>
      <c r="C5" s="30" t="n">
        <v>0</v>
      </c>
      <c r="D5" s="30" t="n">
        <v>0</v>
      </c>
      <c r="E5" s="30" t="n">
        <v>0</v>
      </c>
      <c r="F5" s="30" t="n">
        <v>0</v>
      </c>
    </row>
    <row r="6">
      <c r="A6" s="7" t="inlineStr">
        <is>
          <t>Coste de bebida</t>
        </is>
      </c>
      <c r="B6" s="30" t="n">
        <v>0</v>
      </c>
      <c r="C6" s="30" t="n">
        <v>0</v>
      </c>
      <c r="D6" s="30" t="n">
        <v>0</v>
      </c>
      <c r="E6" s="30" t="n">
        <v>0</v>
      </c>
      <c r="F6" s="30" t="n">
        <v>0</v>
      </c>
    </row>
    <row r="7">
      <c r="A7" s="7" t="inlineStr">
        <is>
          <t>Personal</t>
        </is>
      </c>
      <c r="B7" s="30" t="n">
        <v>0</v>
      </c>
      <c r="C7" s="30" t="n">
        <v>0</v>
      </c>
      <c r="D7" s="30" t="n">
        <v>0</v>
      </c>
      <c r="E7" s="30" t="n">
        <v>0</v>
      </c>
      <c r="F7" s="30" t="n">
        <v>0</v>
      </c>
    </row>
    <row r="8">
      <c r="A8" s="7" t="inlineStr">
        <is>
          <t>Comisiones de plataformas (delivery)</t>
        </is>
      </c>
      <c r="B8" s="30" t="n">
        <v>0</v>
      </c>
      <c r="C8" s="30" t="n">
        <v>0</v>
      </c>
      <c r="D8" s="30" t="n">
        <v>0</v>
      </c>
      <c r="E8" s="30" t="n">
        <v>0</v>
      </c>
      <c r="F8" s="30" t="n">
        <v>0</v>
      </c>
    </row>
    <row r="9">
      <c r="A9" s="7" t="inlineStr">
        <is>
          <t>Otros gastos operativos</t>
        </is>
      </c>
      <c r="B9" s="30" t="n">
        <v>0</v>
      </c>
      <c r="C9" s="30" t="n">
        <v>0</v>
      </c>
      <c r="D9" s="30" t="n">
        <v>0</v>
      </c>
      <c r="E9" s="30" t="n">
        <v>0</v>
      </c>
      <c r="F9" s="30" t="n">
        <v>0</v>
      </c>
    </row>
    <row r="10">
      <c r="A10" s="7" t="inlineStr">
        <is>
          <t>TOTAL GASTOS</t>
        </is>
      </c>
      <c r="B10" s="13">
        <f>SUM(B5:B9)</f>
        <v>0.0</v>
      </c>
      <c r="C10" s="13">
        <f>SUM(C5:C9)</f>
        <v>0.0</v>
      </c>
      <c r="D10" s="13">
        <f>SUM(D5:D9)</f>
        <v>0.0</v>
      </c>
      <c r="E10" s="13">
        <f>SUM(E5:E9)</f>
        <v>0.0</v>
      </c>
      <c r="F10" s="13">
        <f>SUM(F5:F9)</f>
        <v>0.0</v>
      </c>
    </row>
    <row r="11">
      <c r="A11" s="7" t="inlineStr">
        <is>
          <t>EBITDA</t>
        </is>
      </c>
      <c r="B11" s="13">
        <f>B4-B10</f>
        <v>0.0</v>
      </c>
      <c r="C11" s="13">
        <f>C4-C10</f>
        <v>0.0</v>
      </c>
      <c r="D11" s="13">
        <f>D4-D10</f>
        <v>0.0</v>
      </c>
      <c r="E11" s="13">
        <f>E4-E10</f>
        <v>0.0</v>
      </c>
      <c r="F11" s="13">
        <f>F4-F10</f>
        <v>0.0</v>
      </c>
    </row>
    <row r="12">
      <c r="A12" s="7" t="inlineStr">
        <is>
          <t>Amortización</t>
        </is>
      </c>
      <c r="B12" s="30" t="n">
        <v>0</v>
      </c>
      <c r="C12" s="30" t="n">
        <v>0</v>
      </c>
      <c r="D12" s="30" t="n">
        <v>0</v>
      </c>
      <c r="E12" s="30" t="n">
        <v>0</v>
      </c>
      <c r="F12" s="30" t="n">
        <v>0</v>
      </c>
      <c r="G12" s="29" t="inlineStr">
        <is>
          <t>Cópiala de 04!Resumen, columna «Dotación anual (€)» de la fila INVERSIÓN TOTAL.</t>
        </is>
      </c>
    </row>
    <row r="13">
      <c r="A13" s="7" t="inlineStr">
        <is>
          <t>Intereses de la deuda</t>
        </is>
      </c>
      <c r="B13" s="13">
        <f>'Financiación'!$D$12</f>
        <v>0.0</v>
      </c>
      <c r="C13" s="13">
        <f>'Financiación'!$D$13</f>
        <v>0.0</v>
      </c>
      <c r="D13" s="13">
        <f>'Financiación'!$D$14</f>
        <v>0.0</v>
      </c>
      <c r="E13" s="13">
        <f>'Financiación'!$D$15</f>
        <v>0.0</v>
      </c>
      <c r="F13" s="13">
        <f>'Financiación'!$D$16</f>
        <v>0.0</v>
      </c>
    </row>
    <row r="14">
      <c r="A14" s="7" t="inlineStr">
        <is>
          <t>BAI (Beneficio Antes de Impuestos)</t>
        </is>
      </c>
      <c r="B14" s="13">
        <f>B11-B12-B13</f>
        <v>0.0</v>
      </c>
      <c r="C14" s="13">
        <f>C11-C12-C13</f>
        <v>0.0</v>
      </c>
      <c r="D14" s="13">
        <f>D11-D12-D13</f>
        <v>0.0</v>
      </c>
      <c r="E14" s="13">
        <f>E11-E12-E13</f>
        <v>0.0</v>
      </c>
      <c r="F14" s="13">
        <f>F11-F12-F13</f>
        <v>0.0</v>
      </c>
    </row>
    <row r="15">
      <c r="A15" s="7" t="inlineStr">
        <is>
          <t>Impuesto sobre Sociedades</t>
        </is>
      </c>
      <c r="B15" s="13">
        <f>IF(B14&gt;0,B14*$C$29,0)</f>
        <v>0.0</v>
      </c>
      <c r="C15" s="13">
        <f>IF(C14&gt;0,C14*$C$29,0)</f>
        <v>0.0</v>
      </c>
      <c r="D15" s="13">
        <f>IF(D14&gt;0,D14*$C$29,0)</f>
        <v>0.0</v>
      </c>
      <c r="E15" s="13">
        <f>IF(E14&gt;0,E14*$C$29,0)</f>
        <v>0.0</v>
      </c>
      <c r="F15" s="13">
        <f>IF(F14&gt;0,F14*$C$29,0)</f>
        <v>0.0</v>
      </c>
    </row>
    <row r="16">
      <c r="A16" s="7" t="inlineStr">
        <is>
          <t>BENEFICIO NETO</t>
        </is>
      </c>
      <c r="B16" s="13">
        <f>B14-B15</f>
        <v>0.0</v>
      </c>
      <c r="C16" s="13">
        <f>C14-C15</f>
        <v>0.0</v>
      </c>
      <c r="D16" s="13">
        <f>D14-D15</f>
        <v>0.0</v>
      </c>
      <c r="E16" s="13">
        <f>E14-E15</f>
        <v>0.0</v>
      </c>
      <c r="F16" s="13">
        <f>F14-F15</f>
        <v>0.0</v>
      </c>
    </row>
    <row r="17">
      <c r="A17" s="7" t="inlineStr">
        <is>
          <t>Flujo libre del proyecto (sin deuda)</t>
        </is>
      </c>
      <c r="B17" s="13">
        <f>B11-MAX(0,(B11-B12)*$C$29)</f>
        <v>0.0</v>
      </c>
      <c r="C17" s="13">
        <f>C11-MAX(0,(C11-C12)*$C$29)</f>
        <v>0.0</v>
      </c>
      <c r="D17" s="13">
        <f>D11-MAX(0,(D11-D12)*$C$29)</f>
        <v>0.0</v>
      </c>
      <c r="E17" s="13">
        <f>E11-MAX(0,(E11-E12)*$C$29)</f>
        <v>0.0</v>
      </c>
      <c r="F17" s="13">
        <f>F11-MAX(0,(F11-F12)*$C$29)</f>
        <v>0.0</v>
      </c>
      <c r="G17" s="29" t="inlineStr">
        <is>
          <t>EBITDA menos el Impuesto de Sociedades calculado SIN intereses. Es la fila que alimenta la TIR, el VAN y el payback de abajo.</t>
        </is>
      </c>
    </row>
    <row r="18">
      <c r="A18" s="7" t="inlineStr">
        <is>
          <t>CASH FLOW OPERATIVO</t>
        </is>
      </c>
      <c r="B18" s="13">
        <f>B16+B12</f>
        <v>0.0</v>
      </c>
      <c r="C18" s="13">
        <f>C16+C12</f>
        <v>0.0</v>
      </c>
      <c r="D18" s="13">
        <f>D16+D12</f>
        <v>0.0</v>
      </c>
      <c r="E18" s="13">
        <f>E16+E12</f>
        <v>0.0</v>
      </c>
      <c r="F18" s="13">
        <f>F16+F12</f>
        <v>0.0</v>
      </c>
    </row>
    <row r="19">
      <c r="A19" s="7" t="n"/>
      <c r="B19" s="31" t="n"/>
    </row>
    <row r="20">
      <c r="A20" s="32" t="inlineStr">
        <is>
          <t>FLUJOS DEL PROYECTO E INDICADORES DE RENTABILIDAD</t>
        </is>
      </c>
      <c r="B20" s="9" t="n"/>
    </row>
    <row r="21">
      <c r="A21" s="33" t="inlineStr">
        <is>
          <t>Concepto</t>
        </is>
      </c>
      <c r="B21" s="33" t="inlineStr">
        <is>
          <t>Año 0</t>
        </is>
      </c>
      <c r="C21" s="34" t="inlineStr">
        <is>
          <t>Año 1</t>
        </is>
      </c>
      <c r="D21" s="34" t="inlineStr">
        <is>
          <t>Año 2</t>
        </is>
      </c>
      <c r="E21" s="34" t="inlineStr">
        <is>
          <t>Año 3</t>
        </is>
      </c>
      <c r="F21" s="34" t="inlineStr">
        <is>
          <t>Año 4</t>
        </is>
      </c>
      <c r="G21" s="34" t="inlineStr">
        <is>
          <t>Año 5</t>
        </is>
      </c>
    </row>
    <row r="22">
      <c r="A22" s="7" t="inlineStr">
        <is>
          <t>Flujo de caja del proyecto</t>
        </is>
      </c>
      <c r="B22" s="15">
        <f>-'Resumen Ejecutivo'!$C$13</f>
        <v>0.0</v>
      </c>
      <c r="C22" s="35">
        <f>B17</f>
        <v>0.0</v>
      </c>
      <c r="D22" s="35">
        <f>C17</f>
        <v>0.0</v>
      </c>
      <c r="E22" s="35">
        <f>D17</f>
        <v>0.0</v>
      </c>
      <c r="F22" s="35">
        <f>E17</f>
        <v>0.0</v>
      </c>
      <c r="G22" s="35">
        <f>F17</f>
        <v>0.0</v>
      </c>
    </row>
    <row r="23">
      <c r="A23" s="7" t="inlineStr">
        <is>
          <t>Flujo acumulado</t>
        </is>
      </c>
      <c r="B23" s="13">
        <f>B22</f>
        <v>0.0</v>
      </c>
      <c r="C23" s="35">
        <f>$B23+C22</f>
        <v>0.0</v>
      </c>
      <c r="D23" s="35">
        <f>$C23+D22</f>
        <v>0.0</v>
      </c>
      <c r="E23" s="35">
        <f>$D23+E22</f>
        <v>0.0</v>
      </c>
      <c r="F23" s="35">
        <f>$E23+F22</f>
        <v>0.0</v>
      </c>
      <c r="G23" s="35">
        <f>$F23+G22</f>
        <v>0.0</v>
      </c>
    </row>
    <row r="24">
      <c r="A24" s="7" t="inlineStr">
        <is>
          <t>TIR del proyecto (sin apalancamiento)</t>
        </is>
      </c>
      <c r="B24" s="36" t="str">
        <f>IFERROR(IRR($B$22:$G$22),"—")</f>
        <v>—</v>
      </c>
    </row>
    <row r="25">
      <c r="A25" s="7" t="inlineStr">
        <is>
          <t>VAN del proyecto</t>
        </is>
      </c>
      <c r="B25" s="37">
        <f>IFERROR(NPV($C$27,$C$22:$G$22)+$B$22,"—")</f>
        <v>0.0</v>
      </c>
    </row>
    <row r="26">
      <c r="A26" s="7" t="inlineStr">
        <is>
          <t>Payback del proyecto (años)</t>
        </is>
      </c>
      <c r="B26" s="38" t="str">
        <f>IFERROR(IF($G$23&lt;0,"No se recupera en 5 años",COUNTIF($B$23:$G$23,"&lt;0")-1+(-INDEX($B$23:$G$23,COUNTIF($B$23:$G$23,"&lt;0")))/INDEX($B$22:$G$22,COUNTIF($B$23:$G$23,"&lt;0")+1)),"—")</f>
        <v>—</v>
      </c>
    </row>
    <row r="27">
      <c r="A27" s="7" t="inlineStr">
        <is>
          <t>Tasa de descuento anual (%) — la usa el VAN</t>
        </is>
      </c>
      <c r="C27" s="39" t="n">
        <v>0.08</v>
      </c>
    </row>
    <row r="28">
      <c r="A28" s="29" t="inlineStr">
        <is>
          <t>Es el coste de capital que exige quien pone el dinero. Un 8 % es la referencia habitual en hostelería; súbela si tu riesgo es mayor.</t>
        </is>
      </c>
    </row>
    <row r="29">
      <c r="A29" s="7" t="inlineStr">
        <is>
          <t>Tipo del Impuesto sobre Sociedades (%)</t>
        </is>
      </c>
      <c r="C29" s="39" t="n">
        <v>0.25</v>
      </c>
    </row>
    <row r="30">
      <c r="A30" s="29" t="inlineStr">
        <is>
          <t>Tipo general 25 %. Entidad de NUEVA CREACIÓN: 15 % los dos primeros ejercicios con base positiva (art. 29.1 LIS). Si tributas por IRPF (autónomo), pon 0 aquí y calcula el IRPF fuera.</t>
        </is>
      </c>
    </row>
    <row r="31"/>
    <row r="32">
      <c r="A32" s="29" t="inlineStr">
        <is>
          <t>La inversión del año 0 sale del Resumen Ejecutivo: este informe se entrega a un tercero y ningún dato de ejemplo queda precargado con aspecto de dato real.</t>
        </is>
      </c>
    </row>
    <row r="33">
      <c r="A33" s="29" t="inlineStr">
        <is>
          <t>TIR/VAN/payback se calculan sobre el flujo libre del proyecto, sin deuda ni intereses: miden si el negocio se sostiene por sí mismo. La capacidad de pagar el préstamo se mide con el DSCR de la hoja Ratios.</t>
        </is>
      </c>
    </row>
    <row r="34"/>
    <row r="35"/>
    <row r="36"/>
    <row r="37"/>
    <row r="38"/>
    <row r="39"/>
    <row r="40"/>
    <row r="41"/>
    <row r="42"/>
    <row r="43"/>
    <row r="44"/>
    <row r="45">
      <c r="A45" s="40"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1:F1"/>
  </mergeCells>
  <dataValidations count="2">
    <dataValidation sqref="B4 B5 B6 B7 B8 B9 B12 C4 C5 C6 C7 C8 C9 C12 D4 D5 D6 D7 D8 D9 D12 E4 E5 E6 E7 E8 E9 E12 F4 F5 F6 F7 F8 F9 F12" showDropDown="0" showInputMessage="0" showErrorMessage="1" allowBlank="1" errorTitle="Importe no válido" error="Escribe un número mayor o igual que 0." type="decimal" operator="greaterThanOrEqual">
      <formula1>0</formula1>
    </dataValidation>
    <dataValidation sqref="C27 C29"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G30"/>
  <sheetViews>
    <sheetView workbookViewId="0">
      <selection activeCell="A1" sqref="A1"/>
    </sheetView>
  </sheetViews>
  <sheetFormatPr baseColWidth="8" defaultRowHeight="15"/>
  <cols>
    <col width="13" customWidth="1" min="1" max="1"/>
    <col width="30" customWidth="1" min="2" max="2"/>
    <col width="20" customWidth="1" min="3" max="3"/>
    <col width="18" customWidth="1" min="4" max="4"/>
    <col width="26" customWidth="1" min="5" max="5"/>
    <col width="24" customWidth="1" min="6" max="6"/>
  </cols>
  <sheetData>
    <row r="1">
      <c r="B1" s="41" t="inlineStr">
        <is>
          <t>Financiación — Cuadro de Amortización</t>
        </is>
      </c>
    </row>
    <row r="2">
      <c r="B2" s="42" t="inlineStr">
        <is>
          <t>AI Chef Pro · aichef.pro — Kit Plan Financiero para Restaurantes</t>
        </is>
      </c>
    </row>
    <row r="3">
      <c r="B3" s="43" t="inlineStr">
        <is>
          <t>DATOS DEL PRÉSTAMO</t>
        </is>
      </c>
    </row>
    <row r="4">
      <c r="B4" t="inlineStr">
        <is>
          <t>Importe solicitado (€)</t>
        </is>
      </c>
      <c r="C4" s="44" t="n">
        <v>0</v>
      </c>
      <c r="D4" s="29" t="inlineStr">
        <is>
          <t>El que pides al banco.</t>
        </is>
      </c>
    </row>
    <row r="5">
      <c r="B5" t="inlineStr">
        <is>
          <t>Tipo de interés nominal anual (%)</t>
        </is>
      </c>
      <c r="C5" s="39" t="n">
        <v>0.06</v>
      </c>
      <c r="D5" s="29" t="inlineStr">
        <is>
          <t>TIN, no TAE. (valor orientativo — cámbialo)</t>
        </is>
      </c>
    </row>
    <row r="6">
      <c r="B6" t="inlineStr">
        <is>
          <t>Plazo (años)</t>
        </is>
      </c>
      <c r="C6" s="45" t="n">
        <v>8</v>
      </c>
      <c r="D6" s="29" t="inlineStr">
        <is>
          <t>Plazo TOTAL, carencia incluida. (valor orientativo — cámbialo)</t>
        </is>
      </c>
    </row>
    <row r="7">
      <c r="B7" t="inlineStr">
        <is>
          <t>Carencia de capital (años)</t>
        </is>
      </c>
      <c r="C7" s="45" t="n">
        <v>0</v>
      </c>
      <c r="D7" s="29" t="inlineStr">
        <is>
          <t>Años iniciales en los que sólo pagas intereses; después la cuota se calcula sobre el plazo restante.</t>
        </is>
      </c>
    </row>
    <row r="8">
      <c r="B8" s="43" t="inlineStr">
        <is>
          <t>CUOTA ANUAL (€)</t>
        </is>
      </c>
      <c r="C8" s="37">
        <f>IF(($C$6-$C$7)&lt;=0,"La carencia no puede igualar ni superar el plazo",IFERROR($C$4*$C$5/(1-(1+$C$5)^(-($C$6-$C$7))),0))</f>
        <v>0.0</v>
      </c>
      <c r="D8" s="29" t="inlineStr">
        <is>
          <t>Anualidad constante (sistema francés), calculada sobre el plazo posterior a la carencia. La carencia tiene que ser MENOR que el plazo: si no, no queda ningún año sobre el que repartir el capital y aquí sale un aviso en vez de una cifra.</t>
        </is>
      </c>
    </row>
    <row r="9"/>
    <row r="10">
      <c r="B10" s="43" t="inlineStr">
        <is>
          <t>CUADRO DE AMORTIZACIÓN (años 1-5)</t>
        </is>
      </c>
    </row>
    <row r="11">
      <c r="A11" s="46" t="inlineStr">
        <is>
          <t>Año</t>
        </is>
      </c>
      <c r="B11" s="46" t="inlineStr">
        <is>
          <t>Capital pendiente inicio (€)</t>
        </is>
      </c>
      <c r="C11" s="46" t="inlineStr">
        <is>
          <t>Cuota anual (€)</t>
        </is>
      </c>
      <c r="D11" s="46" t="inlineStr">
        <is>
          <t>Intereses (€)</t>
        </is>
      </c>
      <c r="E11" s="46" t="inlineStr">
        <is>
          <t>Amortización de capital (€)</t>
        </is>
      </c>
      <c r="F11" s="46" t="inlineStr">
        <is>
          <t>Capital pendiente fin (€)</t>
        </is>
      </c>
    </row>
    <row r="12">
      <c r="A12" t="n">
        <v>1</v>
      </c>
      <c r="B12" s="35">
        <f>$C$4</f>
        <v>0.0</v>
      </c>
      <c r="C12" s="35">
        <f>IF($C$6&lt;=$C$7,"—",IF($A12&gt;$C$6,0,IF($A12&lt;=$C$7,$B12*$C$5,$C$8)))</f>
        <v>0.0</v>
      </c>
      <c r="D12" s="35">
        <f>IF($A12&gt;$C$6,0,$B12*$C$5)</f>
        <v>0.0</v>
      </c>
      <c r="E12" s="35">
        <f>IF($C$6&lt;=$C$7,0,IF($A12&gt;$C$6,0,$C12-$D12))</f>
        <v>0.0</v>
      </c>
      <c r="F12" s="35">
        <f>$B12-$E12</f>
        <v>0.0</v>
      </c>
    </row>
    <row r="13">
      <c r="A13" t="n">
        <v>2</v>
      </c>
      <c r="B13" s="35">
        <f>$F$12</f>
        <v>0.0</v>
      </c>
      <c r="C13" s="35">
        <f>IF($C$6&lt;=$C$7,"—",IF($A13&gt;$C$6,0,IF($A13&lt;=$C$7,$B13*$C$5,$C$8)))</f>
        <v>0.0</v>
      </c>
      <c r="D13" s="35">
        <f>IF($A13&gt;$C$6,0,$B13*$C$5)</f>
        <v>0.0</v>
      </c>
      <c r="E13" s="35">
        <f>IF($C$6&lt;=$C$7,0,IF($A13&gt;$C$6,0,$C13-$D13))</f>
        <v>0.0</v>
      </c>
      <c r="F13" s="35">
        <f>$B13-$E13</f>
        <v>0.0</v>
      </c>
    </row>
    <row r="14">
      <c r="A14" t="n">
        <v>3</v>
      </c>
      <c r="B14" s="35">
        <f>$F$13</f>
        <v>0.0</v>
      </c>
      <c r="C14" s="35">
        <f>IF($C$6&lt;=$C$7,"—",IF($A14&gt;$C$6,0,IF($A14&lt;=$C$7,$B14*$C$5,$C$8)))</f>
        <v>0.0</v>
      </c>
      <c r="D14" s="35">
        <f>IF($A14&gt;$C$6,0,$B14*$C$5)</f>
        <v>0.0</v>
      </c>
      <c r="E14" s="35">
        <f>IF($C$6&lt;=$C$7,0,IF($A14&gt;$C$6,0,$C14-$D14))</f>
        <v>0.0</v>
      </c>
      <c r="F14" s="35">
        <f>$B14-$E14</f>
        <v>0.0</v>
      </c>
    </row>
    <row r="15">
      <c r="A15" t="n">
        <v>4</v>
      </c>
      <c r="B15" s="35">
        <f>$F$14</f>
        <v>0.0</v>
      </c>
      <c r="C15" s="35">
        <f>IF($C$6&lt;=$C$7,"—",IF($A15&gt;$C$6,0,IF($A15&lt;=$C$7,$B15*$C$5,$C$8)))</f>
        <v>0.0</v>
      </c>
      <c r="D15" s="35">
        <f>IF($A15&gt;$C$6,0,$B15*$C$5)</f>
        <v>0.0</v>
      </c>
      <c r="E15" s="35">
        <f>IF($C$6&lt;=$C$7,0,IF($A15&gt;$C$6,0,$C15-$D15))</f>
        <v>0.0</v>
      </c>
      <c r="F15" s="35">
        <f>$B15-$E15</f>
        <v>0.0</v>
      </c>
    </row>
    <row r="16">
      <c r="A16" t="n">
        <v>5</v>
      </c>
      <c r="B16" s="35">
        <f>$F$15</f>
        <v>0.0</v>
      </c>
      <c r="C16" s="35">
        <f>IF($C$6&lt;=$C$7,"—",IF($A16&gt;$C$6,0,IF($A16&lt;=$C$7,$B16*$C$5,$C$8)))</f>
        <v>0.0</v>
      </c>
      <c r="D16" s="35">
        <f>IF($A16&gt;$C$6,0,$B16*$C$5)</f>
        <v>0.0</v>
      </c>
      <c r="E16" s="35">
        <f>IF($C$6&lt;=$C$7,0,IF($A16&gt;$C$6,0,$C16-$D16))</f>
        <v>0.0</v>
      </c>
      <c r="F16" s="35">
        <f>$B16-$E16</f>
        <v>0.0</v>
      </c>
    </row>
    <row r="17"/>
    <row r="18">
      <c r="B18" s="29" t="inlineStr">
        <is>
          <t>La cuota de la columna C es la que se copia a 03!«Flujo Mensual», fila 23 (dividida entre 12), y la que divide el DSCR de la pestaña Ratios.</t>
        </is>
      </c>
    </row>
    <row r="19">
      <c r="B19" s="29" t="inlineStr">
        <is>
          <t>Los intereses de la columna D alimentan la fila «Intereses de la deuda» de Proyecciones: no los teclees dos veces.</t>
        </is>
      </c>
    </row>
    <row r="20">
      <c r="B20" s="29" t="inlineStr">
        <is>
          <t>Con carencia, los primeros años la columna «Amortización de capital» sale a 0 y el capital pendiente no baja: es lo que de verdad pasa en un ICO de apertura.</t>
        </is>
      </c>
    </row>
    <row r="21"/>
    <row r="22">
      <c r="A22" s="40" t="inlineStr">
        <is>
          <t>© 2026 AI Chef Pro · aichef.pro</t>
        </is>
      </c>
    </row>
    <row r="23"/>
    <row r="24"/>
    <row r="25"/>
    <row r="26"/>
    <row r="27"/>
    <row r="28"/>
    <row r="29"/>
    <row r="30"/>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C4 C6 C7" showDropDown="0" showInputMessage="0" showErrorMessage="1" allowBlank="1" errorTitle="Importe no válido" error="Escribe un número mayor o igual que 0." type="decimal" operator="greaterThanOrEqual">
      <formula1>0</formula1>
    </dataValidation>
    <dataValidation sqref="C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1565C0"/>
    <outlinePr summaryBelow="1" summaryRight="1"/>
    <pageSetUpPr fitToPage="1"/>
  </sheetPr>
  <dimension ref="A1:H30"/>
  <sheetViews>
    <sheetView workbookViewId="0">
      <pane ySplit="3" topLeftCell="A4" activePane="bottomLeft" state="frozen"/>
      <selection pane="bottomLeft" activeCell="A1" sqref="A1"/>
    </sheetView>
  </sheetViews>
  <sheetFormatPr baseColWidth="8" defaultRowHeight="15"/>
  <cols>
    <col width="3" customWidth="1" min="1" max="1"/>
    <col width="35" customWidth="1" min="2" max="2"/>
    <col width="18" customWidth="1" min="3" max="3"/>
    <col width="25" customWidth="1" min="4" max="4"/>
    <col width="16" customWidth="1" min="5" max="5"/>
    <col width="14" customWidth="1" min="6" max="6"/>
    <col width="14" customWidth="1" min="7" max="7"/>
    <col width="18" customWidth="1" min="8" max="8"/>
  </cols>
  <sheetData>
    <row r="1">
      <c r="B1" s="5" t="inlineStr">
        <is>
          <t>Ratios de Solvencia y Rentabilidad</t>
        </is>
      </c>
    </row>
    <row r="2"/>
    <row r="3">
      <c r="A3" s="47" t="n"/>
      <c r="B3" s="48" t="inlineStr">
        <is>
          <t>Ratio</t>
        </is>
      </c>
      <c r="C3" s="48" t="inlineStr">
        <is>
          <t>Valor</t>
        </is>
      </c>
      <c r="D3" s="48" t="inlineStr">
        <is>
          <t>Referencia Bancaria</t>
        </is>
      </c>
      <c r="E3" s="46" t="inlineStr">
        <is>
          <t>Estado</t>
        </is>
      </c>
      <c r="F3" s="46" t="inlineStr">
        <is>
          <t>Óptimo (nº)</t>
        </is>
      </c>
      <c r="G3" s="46" t="inlineStr">
        <is>
          <t>Límite (nº)</t>
        </is>
      </c>
      <c r="H3" s="46" t="inlineStr">
        <is>
          <t>Sentido</t>
        </is>
      </c>
    </row>
    <row r="4">
      <c r="B4" s="7" t="inlineStr">
        <is>
          <t>Ratio de endeudamiento</t>
        </is>
      </c>
      <c r="C4" s="49" t="str">
        <f>IFERROR($C$16/($C$16+$C$15),"Indica deuda y fondos propios")</f>
        <v>Indica deuda y fondos propios</v>
      </c>
      <c r="D4" s="50" t="inlineStr">
        <is>
          <t>&lt; 60%</t>
        </is>
      </c>
      <c r="E4" t="str">
        <f>IFERROR(IF(ISNUMBER($C4),IF($C4&lt;=$F$4,"✅",IF($C4&lt;=$G$4,"⚠️","🔴")),"—"),"—")</f>
        <v>—</v>
      </c>
      <c r="F4" s="51" t="n">
        <v>0.6</v>
      </c>
      <c r="G4" s="51" t="n">
        <v>0.7</v>
      </c>
      <c r="H4" s="29" t="inlineStr">
        <is>
          <t>menor es mejor</t>
        </is>
      </c>
    </row>
    <row r="5">
      <c r="B5" s="7" t="inlineStr">
        <is>
          <t>Cobertura de deuda (DSCR)</t>
        </is>
      </c>
      <c r="C5" s="52" t="str">
        <f>IFERROR(Proyecciones!$B$17/'Financiación'!$C$12,"Indica el préstamo")</f>
        <v>Indica el préstamo</v>
      </c>
      <c r="D5" s="50" t="inlineStr">
        <is>
          <t>&gt; 1.25x</t>
        </is>
      </c>
      <c r="E5" t="str">
        <f>IFERROR(IF(ISNUMBER($C5),IF($C5&gt;=$F$5,"✅",IF($C5&gt;=$G$5,"⚠️","🔴")),"—"),"—")</f>
        <v>—</v>
      </c>
      <c r="F5" s="53" t="n">
        <v>1.25</v>
      </c>
      <c r="G5" s="53" t="n">
        <v>1.15</v>
      </c>
      <c r="H5" s="29" t="inlineStr">
        <is>
          <t>mayor es mejor</t>
        </is>
      </c>
    </row>
    <row r="6">
      <c r="B6" s="7" t="inlineStr">
        <is>
          <t>Ratio de liquidez corriente</t>
        </is>
      </c>
      <c r="C6" s="52" t="str">
        <f>IFERROR($C$13/$C$14,"Indica el balance")</f>
        <v>Indica el balance</v>
      </c>
      <c r="D6" s="50" t="inlineStr">
        <is>
          <t>&gt; 1.0x</t>
        </is>
      </c>
      <c r="E6" t="str">
        <f>IFERROR(IF(ISNUMBER($C6),IF($C6&gt;=$F$6,"✅",IF($C6&gt;=$G$6,"⚠️","🔴")),"—"),"—")</f>
        <v>—</v>
      </c>
      <c r="F6" s="53" t="n">
        <v>1</v>
      </c>
      <c r="G6" s="53" t="n">
        <v>0.9</v>
      </c>
      <c r="H6" s="29" t="inlineStr">
        <is>
          <t>mayor es mejor</t>
        </is>
      </c>
    </row>
    <row r="7">
      <c r="B7" s="7" t="inlineStr">
        <is>
          <t>Margen EBITDA / Ventas</t>
        </is>
      </c>
      <c r="C7" s="49" t="str">
        <f>IFERROR(Proyecciones!$B$11/Proyecciones!$B$4,"Indica la facturación")</f>
        <v>Indica la facturación</v>
      </c>
      <c r="D7" s="50" t="inlineStr">
        <is>
          <t>&gt; 15%</t>
        </is>
      </c>
      <c r="E7" t="str">
        <f>IFERROR(IF(ISNUMBER($C7),IF($C7&gt;=$F$7,"✅",IF($C7&gt;=$G$7,"⚠️","🔴")),"—"),"—")</f>
        <v>—</v>
      </c>
      <c r="F7" s="51" t="n">
        <v>0.15</v>
      </c>
      <c r="G7" s="51" t="n">
        <v>0.1</v>
      </c>
      <c r="H7" s="29" t="inlineStr">
        <is>
          <t>mayor es mejor</t>
        </is>
      </c>
    </row>
    <row r="8">
      <c r="B8" s="7" t="inlineStr">
        <is>
          <t>ROI (Return on Investment)</t>
        </is>
      </c>
      <c r="C8" s="49" t="str">
        <f>IFERROR(Proyecciones!$B$16/$C$17,"Indica la inversión")</f>
        <v>Indica la inversión</v>
      </c>
      <c r="D8" s="50" t="inlineStr">
        <is>
          <t>&gt; 10%</t>
        </is>
      </c>
      <c r="E8" t="str">
        <f>IFERROR(IF(ISNUMBER($C8),IF($C8&gt;=$F$8,"✅",IF($C8&gt;=$G$8,"⚠️","🔴")),"—"),"—")</f>
        <v>—</v>
      </c>
      <c r="F8" s="51" t="n">
        <v>0.1</v>
      </c>
      <c r="G8" s="51" t="n">
        <v>0.05</v>
      </c>
      <c r="H8" s="29" t="inlineStr">
        <is>
          <t>mayor es mejor</t>
        </is>
      </c>
    </row>
    <row r="9">
      <c r="B9" s="7" t="inlineStr">
        <is>
          <t>Fondos propios / Inversión</t>
        </is>
      </c>
      <c r="C9" s="49" t="str">
        <f>IFERROR($C$15/$C$17,"Indica la inversión")</f>
        <v>Indica la inversión</v>
      </c>
      <c r="D9" s="50" t="inlineStr">
        <is>
          <t>&gt; 30%</t>
        </is>
      </c>
      <c r="E9" t="str">
        <f>IFERROR(IF(ISNUMBER($C9),IF($C9&gt;=$F$9,"✅",IF($C9&gt;=$G$9,"⚠️","🔴")),"—"),"—")</f>
        <v>—</v>
      </c>
      <c r="F9" s="51" t="n">
        <v>0.3</v>
      </c>
      <c r="G9" s="51" t="n">
        <v>0.2</v>
      </c>
      <c r="H9" s="29" t="inlineStr">
        <is>
          <t>mayor es mejor</t>
        </is>
      </c>
    </row>
    <row r="10">
      <c r="B10" s="7" t="inlineStr">
        <is>
          <t>Deuda / EBITDA</t>
        </is>
      </c>
      <c r="C10" s="52" t="str">
        <f>IFERROR($C$16/Proyecciones!$B$11,"Indica el EBITDA")</f>
        <v>Indica el EBITDA</v>
      </c>
      <c r="D10" s="50" t="inlineStr">
        <is>
          <t>&lt; 3.5x</t>
        </is>
      </c>
      <c r="E10" t="str">
        <f>IFERROR(IF(ISNUMBER($C10),IF($C10&lt;=$F$10,"✅",IF($C10&lt;=$G$10,"⚠️","🔴")),"—"),"—")</f>
        <v>—</v>
      </c>
      <c r="F10" s="53" t="n">
        <v>3.5</v>
      </c>
      <c r="G10" s="53" t="n">
        <v>4.5</v>
      </c>
      <c r="H10" s="29" t="inlineStr">
        <is>
          <t>menor es mejor</t>
        </is>
      </c>
    </row>
    <row r="11"/>
    <row r="12">
      <c r="B12" s="43" t="inlineStr">
        <is>
          <t>DATOS DE BALANCE Y DEUDA</t>
        </is>
      </c>
    </row>
    <row r="13">
      <c r="A13" s="9" t="n"/>
      <c r="B13" t="inlineStr">
        <is>
          <t>Activo corriente (€)</t>
        </is>
      </c>
      <c r="C13" s="44" t="n">
        <v>0</v>
      </c>
    </row>
    <row r="14">
      <c r="B14" t="inlineStr">
        <is>
          <t>Pasivo corriente (€)</t>
        </is>
      </c>
      <c r="C14" s="44" t="n">
        <v>0</v>
      </c>
    </row>
    <row r="15">
      <c r="B15" t="inlineStr">
        <is>
          <t>Fondos propios (€)</t>
        </is>
      </c>
      <c r="C15" s="44" t="n">
        <v>0</v>
      </c>
    </row>
    <row r="16">
      <c r="B16" t="inlineStr">
        <is>
          <t>Deuda financiera viva (€)</t>
        </is>
      </c>
      <c r="C16" s="44" t="n">
        <v>0</v>
      </c>
    </row>
    <row r="17">
      <c r="B17" t="inlineStr">
        <is>
          <t>Inversión total del proyecto (€)</t>
        </is>
      </c>
      <c r="C17" s="35">
        <f>'Resumen Ejecutivo'!$C$13</f>
        <v>0.0</v>
      </c>
    </row>
    <row r="18"/>
    <row r="19"/>
    <row r="20">
      <c r="B20" s="54" t="inlineStr">
        <is>
          <t>El margen EBITDA usa los MISMOS umbrales que el dashboard 06 (óptimo &gt; 15 %, ajustado 10-15 %): antes este informe pedía «&gt; 12 %» y el mismo restaurante aprobaba en un libro y quedaba en ámbar en el otro.</t>
        </is>
      </c>
    </row>
    <row r="21">
      <c r="B21" s="54" t="inlineStr">
        <is>
          <t>El DSCR divide el FLUJO LIBRE DEL PROYECTO del año 1 (Proyecciones, fila 17: EBITDA menos el Impuesto sobre Sociedades, antes de intereses) entre el servicio de deuda de ese mismo año (Financiación, columna «Cuota anual», año 1). El numerador va ANTES de la deuda a propósito: si le restaras los intereses, estarías descontándolos dos veces.</t>
        </is>
      </c>
    </row>
    <row r="22"/>
    <row r="23"/>
    <row r="24">
      <c r="A24" s="40" t="inlineStr">
        <is>
          <t>© 2026 AI Chef Pro · aichef.pro</t>
        </is>
      </c>
    </row>
    <row r="25"/>
    <row r="26"/>
    <row r="27"/>
    <row r="28"/>
    <row r="29"/>
    <row r="30"/>
  </sheetData>
  <sheetProtection selectLockedCells="0" selectUnlockedCells="0" sheet="1" objects="0" insertRows="0" insertHyperlinks="1" autoFilter="1" scenarios="0" formatColumns="0" deleteColumns="1" insertColumns="1" pivotTables="1" deleteRows="1" formatCells="1" formatRows="0" sort="0"/>
  <mergeCells count="1">
    <mergeCell ref="B1:D1"/>
  </mergeCells>
  <conditionalFormatting sqref="E4:E10">
    <cfRule type="containsText" priority="1" operator="containsText" dxfId="0" stopIfTrue="1" text="🔴">
      <formula>NOT(ISERROR(SEARCH("🔴",E4)))</formula>
    </cfRule>
    <cfRule type="containsText" priority="2" operator="containsText" dxfId="1" stopIfTrue="1" text="⚠️">
      <formula>NOT(ISERROR(SEARCH("⚠️",E4)))</formula>
    </cfRule>
    <cfRule type="containsText" priority="3" operator="containsText" dxfId="2" stopIfTrue="1" text="✅">
      <formula>NOT(ISERROR(SEARCH("✅",E4)))</formula>
    </cfRule>
  </conditionalFormatting>
  <conditionalFormatting sqref="C5">
    <cfRule type="expression" priority="4" dxfId="0" stopIfTrue="1">
      <formula>=$C$5&lt;$G$5</formula>
    </cfRule>
  </conditionalFormatting>
  <dataValidations count="1">
    <dataValidation sqref="C13 C14 C15 C1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tabColor rgb="00FF6F00"/>
    <outlinePr summaryBelow="1" summaryRight="1"/>
    <pageSetUpPr fitToPage="1"/>
  </sheetPr>
  <dimension ref="A1:D13"/>
  <sheetViews>
    <sheetView workbookViewId="0">
      <pane ySplit="3" topLeftCell="A4" activePane="bottomLeft" state="frozen"/>
      <selection pane="bottomLeft" activeCell="A1" sqref="A1"/>
    </sheetView>
  </sheetViews>
  <sheetFormatPr baseColWidth="8" defaultRowHeight="15"/>
  <cols>
    <col width="3" customWidth="1" min="1" max="1"/>
    <col width="45" customWidth="1" min="2" max="2"/>
    <col width="20" customWidth="1" min="3" max="3"/>
    <col width="40" customWidth="1" min="4" max="4"/>
  </cols>
  <sheetData>
    <row r="1">
      <c r="B1" s="5" t="inlineStr">
        <is>
          <t>Garantías y Avales Ofrecidos</t>
        </is>
      </c>
    </row>
    <row r="2"/>
    <row r="3">
      <c r="A3" s="10" t="inlineStr"/>
      <c r="B3" s="10" t="inlineStr">
        <is>
          <t>Tipo de Garantía</t>
        </is>
      </c>
      <c r="C3" s="10" t="inlineStr">
        <is>
          <t>Valor (€)</t>
        </is>
      </c>
      <c r="D3" s="10" t="inlineStr">
        <is>
          <t>Descripción</t>
        </is>
      </c>
    </row>
    <row r="4">
      <c r="B4" s="7" t="inlineStr">
        <is>
          <t>Aval personal del promotor</t>
        </is>
      </c>
      <c r="C4" s="55" t="n">
        <v>0</v>
      </c>
      <c r="D4" s="56" t="n"/>
    </row>
    <row r="5">
      <c r="B5" s="7" t="inlineStr">
        <is>
          <t>Hipoteca sobre local (si propiedad)</t>
        </is>
      </c>
      <c r="C5" s="55" t="n">
        <v>0</v>
      </c>
      <c r="D5" s="56" t="n"/>
    </row>
    <row r="6">
      <c r="B6" s="7" t="inlineStr">
        <is>
          <t>Pignoración de depósitos</t>
        </is>
      </c>
      <c r="C6" s="55" t="n">
        <v>0</v>
      </c>
      <c r="D6" s="56" t="n"/>
    </row>
    <row r="7">
      <c r="B7" s="7" t="inlineStr">
        <is>
          <t>Aval SGR (Sociedad de Garantía Recíproca)</t>
        </is>
      </c>
      <c r="C7" s="55" t="n">
        <v>0</v>
      </c>
      <c r="D7" s="56" t="n"/>
    </row>
    <row r="8">
      <c r="B8" s="7" t="inlineStr">
        <is>
          <t>Seguro de caución</t>
        </is>
      </c>
      <c r="C8" s="55" t="n">
        <v>0</v>
      </c>
      <c r="D8" s="56" t="n"/>
    </row>
    <row r="9">
      <c r="B9" s="7" t="inlineStr">
        <is>
          <t>Fianza / depósito adicional</t>
        </is>
      </c>
      <c r="C9" s="55" t="n">
        <v>0</v>
      </c>
      <c r="D9" s="56" t="n"/>
    </row>
    <row r="10">
      <c r="B10" s="12" t="inlineStr">
        <is>
          <t>TOTAL GARANTÍAS</t>
        </is>
      </c>
      <c r="C10" s="19">
        <f>SUM(C4:C9)</f>
        <v>0.0</v>
      </c>
    </row>
    <row r="11"/>
    <row r="12"/>
    <row r="13">
      <c r="A13" s="9"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3:D13"/>
    <mergeCell ref="B1:D1"/>
  </mergeCells>
  <dataValidations count="1">
    <dataValidation sqref="C4 C5 C6 C7 C8 C9"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07 · Informe de Viabilidad — Presentación Bancaria · Kit Plan Financiero para Restaurantes</dc:title>
  <dc:description xmlns:dc="http://purl.org/dc/elements/1.1/">aichef.pro/kit-plan-financiero</dc:description>
  <dc:subject xmlns:dc="http://purl.org/dc/elements/1.1/">Kit Plan Financiero para Restaurantes · v2.0</dc:subject>
  <dcterms:created xmlns:dcterms="http://purl.org/dc/terms/" xmlns:xsi="http://www.w3.org/2001/XMLSchema-instance" xsi:type="dcterms:W3CDTF">2026-04-05T10:13:01Z</dcterms:created>
  <dcterms:modified xmlns:dcterms="http://purl.org/dc/terms/" xmlns:xsi="http://www.w3.org/2001/XMLSchema-instance" xsi:type="dcterms:W3CDTF">2026-08-28T23:26:36Z</dcterms:modified>
  <cp:lastModifiedBy>AI Chef Pro</cp:lastModifiedBy>
  <cp:category>AI Chef Pro · Productos digitales</cp:category>
  <cp:keywords>kit plan financiero, plan de negocio restaurante, viabilidad, punto de equilibrio, cash flow, TIR VAN payback, AI Chef Pro</cp:keywords>
</cp:coreProperties>
</file>