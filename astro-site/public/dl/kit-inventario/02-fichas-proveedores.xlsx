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rectorio Proveedores" sheetId="2" state="visible" r:id="rId2"/>
    <sheet xmlns:r="http://schemas.openxmlformats.org/officeDocument/2006/relationships" name="Comparativa Precios" sheetId="3" state="visible" r:id="rId3"/>
    <sheet xmlns:r="http://schemas.openxmlformats.org/officeDocument/2006/relationships" name="Evaluación Proveedores" sheetId="4" state="visible" r:id="rId4"/>
    <sheet xmlns:r="http://schemas.openxmlformats.org/officeDocument/2006/relationships" name="Condiciones Comerciales" sheetId="5" state="visible" r:id="rId5"/>
  </sheets>
  <definedNames>
    <definedName name="_xlnm.Print_Titles" localSheetId="1">'Directorio Proveedores'!$3:$3</definedName>
    <definedName name="_xlnm.Print_Area" localSheetId="1">'Directorio Proveedores'!$A$1:$S$23</definedName>
    <definedName name="_xlnm.Print_Titles" localSheetId="2">'Comparativa Precios'!$3:$3</definedName>
    <definedName name="_xlnm.Print_Area" localSheetId="2">'Comparativa Precios'!$A$1:$U$13</definedName>
    <definedName name="_xlnm.Print_Titles" localSheetId="3">'Evaluación Proveedores'!$3:$3</definedName>
    <definedName name="_xlnm.Print_Area" localSheetId="3">'Evaluación Proveedores'!$A$1:$J$13</definedName>
    <definedName name="_xlnm.Print_Titles" localSheetId="4">'Condiciones Comerciales'!$3:$3</definedName>
    <definedName name="_xlnm.Print_Area" localSheetId="4">'Condiciones Comerciales'!$A$1:$J$13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yyyy-mm-dd"/>
    <numFmt numFmtId="166" formatCode="#,##0.00 €"/>
    <numFmt numFmtId="167" formatCode="dd/mm/yyyy"/>
    <numFmt numFmtId="168" formatCode="0.0%"/>
  </numFmts>
  <fonts count="7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b val="1"/>
      <color rgb="00FFFFFF"/>
      <sz val="10"/>
    </font>
    <font>
      <i val="1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3" fillId="4" borderId="1" applyAlignment="1" applyProtection="1" pivotButton="0" quotePrefix="0" xfId="0">
      <alignment vertical="center" wrapText="1"/>
      <protection locked="0" hidden="0"/>
    </xf>
    <xf numFmtId="1" fontId="3" fillId="4" borderId="1" applyAlignment="1" applyProtection="1" pivotButton="0" quotePrefix="0" xfId="0">
      <alignment vertical="center" wrapText="1"/>
      <protection locked="0" hidden="0"/>
    </xf>
    <xf numFmtId="166" fontId="3" fillId="4" borderId="1" applyAlignment="1" applyProtection="1" pivotButton="0" quotePrefix="0" xfId="0">
      <alignment vertical="center" wrapText="1"/>
      <protection locked="0" hidden="0"/>
    </xf>
    <xf numFmtId="167" fontId="3" fillId="4" borderId="1" applyAlignment="1" applyProtection="1" pivotButton="0" quotePrefix="0" xfId="0">
      <alignment vertical="center" wrapText="1"/>
      <protection locked="0" hidden="0"/>
    </xf>
    <xf numFmtId="166" fontId="3" fillId="0" borderId="1" applyAlignment="1" pivotButton="0" quotePrefix="0" xfId="0">
      <alignment vertical="center" wrapText="1"/>
    </xf>
    <xf numFmtId="168" fontId="3" fillId="0" borderId="1" applyAlignment="1" pivotButton="0" quotePrefix="0" xfId="0">
      <alignment vertical="center" wrapText="1"/>
    </xf>
    <xf numFmtId="167" fontId="0" fillId="4" borderId="0" applyProtection="1" pivotButton="0" quotePrefix="0" xfId="0">
      <protection locked="0" hidden="0"/>
    </xf>
    <xf numFmtId="166" fontId="0" fillId="0" borderId="0" pivotButton="0" quotePrefix="0" xfId="0"/>
    <xf numFmtId="166" fontId="3" fillId="3" borderId="1" applyAlignment="1" pivotButton="0" quotePrefix="0" xfId="0">
      <alignment vertical="center" wrapText="1"/>
    </xf>
    <xf numFmtId="168" fontId="3" fillId="3" borderId="1" applyAlignment="1" pivotButton="0" quotePrefix="0" xfId="0">
      <alignment vertical="center" wrapText="1"/>
    </xf>
    <xf numFmtId="168" fontId="3" fillId="4" borderId="1" applyAlignment="1" applyProtection="1" pivotButton="0" quotePrefix="0" xfId="0">
      <alignment vertical="center" wrapText="1"/>
      <protection locked="0" hidden="0"/>
    </xf>
    <xf numFmtId="1" fontId="3" fillId="0" borderId="1" applyAlignment="1" pivotButton="0" quotePrefix="0" xfId="0">
      <alignment vertical="center" wrapText="1"/>
    </xf>
    <xf numFmtId="1" fontId="3" fillId="3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Fichas de Proveedores</t>
        </is>
      </c>
    </row>
    <row r="2">
      <c r="A2" s="2" t="inlineStr">
        <is>
          <t>AI Chef Pro — aichef.pro</t>
        </is>
      </c>
    </row>
    <row r="3">
      <c r="A3" s="3" t="n"/>
    </row>
    <row r="4">
      <c r="A4" s="4" t="inlineStr">
        <is>
          <t>Da de alta a tus proveedores, homológalos y compara sus precios en un solo archivo.</t>
        </is>
      </c>
    </row>
    <row r="5">
      <c r="A5" s="4" t="n"/>
    </row>
    <row r="6">
      <c r="A6" s="4" t="inlineStr">
        <is>
          <t>PESTAÑAS:</t>
        </is>
      </c>
    </row>
    <row r="7">
      <c r="A7" s="4" t="inlineStr">
        <is>
          <t>1. Directorio Proveedores — datos fiscales (CIF/NIF), sanitarios (Nº RGSEAA), contacto, días de pedido y de reparto, y homologación</t>
        </is>
      </c>
    </row>
    <row r="8">
      <c r="A8" s="4" t="inlineStr">
        <is>
          <t>2. Comparativa Precios — hasta 5 proveedores por producto, comparados por precio normalizado por unidad</t>
        </is>
      </c>
    </row>
    <row r="9">
      <c r="A9" s="4" t="inlineStr">
        <is>
          <t>3. Evaluación Proveedores — calidad, precio, puntualidad, servicio y flexibilidad (1-5), con nota A/B/C/D</t>
        </is>
      </c>
    </row>
    <row r="10">
      <c r="A10" s="4" t="inlineStr">
        <is>
          <t>4. Condiciones Comerciales — plazo de pago, pedido mínimo, rappel, transporte y horarios</t>
        </is>
      </c>
    </row>
    <row r="11"/>
    <row r="12">
      <c r="A12" s="4" t="inlineStr">
        <is>
          <t>CÓMO USAR:</t>
        </is>
      </c>
    </row>
    <row r="13">
      <c r="A13" s="4" t="inlineStr">
        <is>
          <t>1. Da de alta cada proveedor en el directorio. Pídele por escrito su CIF/NIF y su Nº RGSEAA: sin eso no puedes homologarlo ni darlo de alta en contabilidad.</t>
        </is>
      </c>
    </row>
    <row r="14">
      <c r="A14" s="4" t="inlineStr">
        <is>
          <t>2. Marca Homologado y anota la fecha. Revisa la documentación al menos una vez al año: es el prerrequisito de homologación de proveedores que te pide tu plan APPCC.</t>
        </is>
      </c>
    </row>
    <row r="15">
      <c r="A15" s="4" t="inlineStr">
        <is>
          <t>3. En la comparativa rellena el formato de venta y el contenido de cada línea ANTES de meter precios. Es lo que evita comparar la garrafa de 5 L con el litro y elegir al proveedor más caro creyendo que es el barato.</t>
        </is>
      </c>
    </row>
    <row r="16">
      <c r="A16" s="4" t="inlineStr">
        <is>
          <t>4. Escribe el precio de cada proveedor en su columna. El mejor precio, el mejor proveedor y el % de diferencia salen solos.</t>
        </is>
      </c>
    </row>
    <row r="17">
      <c r="A17" s="4" t="inlineStr">
        <is>
          <t>5. Puntúa a tus proveedores cada trimestre. La nota necesita al menos 3 criterios puntuados.</t>
        </is>
      </c>
    </row>
    <row r="18"/>
    <row r="19">
      <c r="A19" s="4" t="inlineStr">
        <is>
          <t>Las 6 fichas de ejemplo están marcadas (ejemplo): bórralas cuando metas las tuyas.</t>
        </is>
      </c>
    </row>
    <row r="20"/>
    <row r="21">
      <c r="A21" s="11" t="inlineStr">
        <is>
          <t>Para editar una celda bloqueada: Revisar → Desproteger hoja (no tiene contraseña). Las celdas verdes ya son editables sin desproteger nada.</t>
        </is>
      </c>
    </row>
    <row r="22">
      <c r="A22" s="11" t="inlineStr">
        <is>
          <t>Diseñado por John Guerrero — chef y consultor gastronómico desde 2010, en cocina desde los 17 años · johnguerrero.es</t>
        </is>
      </c>
    </row>
    <row r="23">
      <c r="A23" s="11" t="inlineStr">
        <is>
          <t>Versión 2.0 · agosto 2026 · aichef.pro/kit-inventario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S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13" customWidth="1" min="4" max="4"/>
    <col width="20" customWidth="1" min="5" max="5"/>
    <col width="18" customWidth="1" min="6" max="6"/>
    <col width="14" customWidth="1" min="7" max="7"/>
    <col width="26" customWidth="1" min="8" max="8"/>
    <col width="26" customWidth="1" min="9" max="9"/>
    <col width="32" customWidth="1" min="10" max="10"/>
    <col width="20" customWidth="1" min="11" max="11"/>
    <col width="14" customWidth="1" min="12" max="12"/>
    <col width="12" customWidth="1" min="13" max="13"/>
    <col width="14" customWidth="1" min="14" max="14"/>
    <col width="20" customWidth="1" min="15" max="15"/>
    <col width="14" customWidth="1" min="16" max="16"/>
    <col width="14" customWidth="1" min="17" max="17"/>
    <col width="14" customWidth="1" min="18" max="18"/>
    <col width="40" customWidth="1" min="19" max="19"/>
  </cols>
  <sheetData>
    <row r="1">
      <c r="A1" s="5" t="inlineStr">
        <is>
          <t>DIRECTORIO DE PROVEEDORES</t>
        </is>
      </c>
    </row>
    <row r="2">
      <c r="A2" s="12" t="inlineStr">
        <is>
          <t>Fichas de ejemplo (una por familia de compra). El Nº RGSEAA te lo da el proveedor: pídeselo por escrito y guárdalo con su ficha técnica.</t>
        </is>
      </c>
    </row>
    <row r="3">
      <c r="A3" s="6" t="inlineStr">
        <is>
          <t>#</t>
        </is>
      </c>
      <c r="B3" s="6" t="inlineStr">
        <is>
          <t>Proveedor</t>
        </is>
      </c>
      <c r="C3" s="6" t="inlineStr">
        <is>
          <t>Categoría</t>
        </is>
      </c>
      <c r="D3" s="6" t="inlineStr">
        <is>
          <t>CIF/NIF</t>
        </is>
      </c>
      <c r="E3" s="6" t="inlineStr">
        <is>
          <t>Nº RGSEAA</t>
        </is>
      </c>
      <c r="F3" s="6" t="inlineStr">
        <is>
          <t>Contacto</t>
        </is>
      </c>
      <c r="G3" s="6" t="inlineStr">
        <is>
          <t>Teléfono</t>
        </is>
      </c>
      <c r="H3" s="6" t="inlineStr">
        <is>
          <t>Email</t>
        </is>
      </c>
      <c r="I3" s="6" t="inlineStr">
        <is>
          <t>Contacto de incidencias</t>
        </is>
      </c>
      <c r="J3" s="6" t="inlineStr">
        <is>
          <t>Dirección</t>
        </is>
      </c>
      <c r="K3" s="6" t="inlineStr">
        <is>
          <t>Día de pedido</t>
        </is>
      </c>
      <c r="L3" s="6" t="inlineStr">
        <is>
          <t>Día de reparto</t>
        </is>
      </c>
      <c r="M3" s="6" t="inlineStr">
        <is>
          <t>Plazo de entrega (días)</t>
        </is>
      </c>
      <c r="N3" s="6" t="inlineStr">
        <is>
          <t>Pedido Mínimo (€)</t>
        </is>
      </c>
      <c r="O3" s="6" t="inlineStr">
        <is>
          <t>Condiciones de pago</t>
        </is>
      </c>
      <c r="P3" s="6" t="inlineStr">
        <is>
          <t>Homologado (S/N)</t>
        </is>
      </c>
      <c r="Q3" s="6" t="inlineStr">
        <is>
          <t>Fecha de homologación</t>
        </is>
      </c>
      <c r="R3" s="6" t="inlineStr">
        <is>
          <t>Fecha de última revisión</t>
        </is>
      </c>
      <c r="S3" s="6" t="inlineStr">
        <is>
          <t>Notas</t>
        </is>
      </c>
    </row>
    <row r="4">
      <c r="A4" s="7" t="n">
        <v>1</v>
      </c>
      <c r="B4" s="13" t="inlineStr">
        <is>
          <t>Cárnicas del Norte (ejemplo)</t>
        </is>
      </c>
      <c r="C4" s="13" t="inlineStr">
        <is>
          <t>Cárnicos</t>
        </is>
      </c>
      <c r="D4" s="13" t="inlineStr">
        <is>
          <t>B31245678</t>
        </is>
      </c>
      <c r="E4" s="13" t="inlineStr">
        <is>
          <t>10.05412/NA</t>
        </is>
      </c>
      <c r="F4" s="13" t="inlineStr">
        <is>
          <t>Javier Beltrán</t>
        </is>
      </c>
      <c r="G4" s="13" t="inlineStr">
        <is>
          <t>948 21 34 55</t>
        </is>
      </c>
      <c r="H4" s="13" t="inlineStr">
        <is>
          <t>pedidos@ejemplo-carnicas.es</t>
        </is>
      </c>
      <c r="I4" s="13" t="inlineStr">
        <is>
          <t>incidencias@ejemplo-carnicas.es · 948 21 34 60</t>
        </is>
      </c>
      <c r="J4" s="13" t="inlineStr">
        <is>
          <t>Pol. Ind. Landaben, nave 12 · 31012 Pamplona</t>
        </is>
      </c>
      <c r="K4" s="13" t="inlineStr">
        <is>
          <t>Lun y jue antes de 12:00</t>
        </is>
      </c>
      <c r="L4" s="13" t="inlineStr">
        <is>
          <t>Mar y vie</t>
        </is>
      </c>
      <c r="M4" s="14" t="n">
        <v>1</v>
      </c>
      <c r="N4" s="15" t="n">
        <v>150</v>
      </c>
      <c r="O4" s="13" t="inlineStr">
        <is>
          <t>30 días fecha factura</t>
        </is>
      </c>
      <c r="P4" s="13" t="inlineStr">
        <is>
          <t>S</t>
        </is>
      </c>
      <c r="Q4" s="16" t="n">
        <v>46063</v>
      </c>
      <c r="R4" s="16" t="n">
        <v>46218</v>
      </c>
      <c r="S4" s="13" t="inlineStr">
        <is>
          <t>Exigir albarán con nº de lote y temperatura de llegada.</t>
        </is>
      </c>
    </row>
    <row r="5">
      <c r="A5" s="8" t="n">
        <v>2</v>
      </c>
      <c r="B5" s="13" t="inlineStr">
        <is>
          <t>Pescados Ría Fresca (ejemplo)</t>
        </is>
      </c>
      <c r="C5" s="13" t="inlineStr">
        <is>
          <t>Pescados</t>
        </is>
      </c>
      <c r="D5" s="13" t="inlineStr">
        <is>
          <t>B36998877</t>
        </is>
      </c>
      <c r="E5" s="13" t="inlineStr">
        <is>
          <t>12.00987/PO</t>
        </is>
      </c>
      <c r="F5" s="13" t="inlineStr">
        <is>
          <t>Marta Souto</t>
        </is>
      </c>
      <c r="G5" s="13" t="inlineStr">
        <is>
          <t>986 44 12 09</t>
        </is>
      </c>
      <c r="H5" s="13" t="inlineStr">
        <is>
          <t>pedidos@ejemplo-pescados.es</t>
        </is>
      </c>
      <c r="I5" s="13" t="inlineStr">
        <is>
          <t>incidencias@ejemplo-pescados.es · 986 44 12 15</t>
        </is>
      </c>
      <c r="J5" s="13" t="inlineStr">
        <is>
          <t>Mercado Central, puesto 8 · 36202 Vigo</t>
        </is>
      </c>
      <c r="K5" s="13" t="inlineStr">
        <is>
          <t>Diario antes de 17:00</t>
        </is>
      </c>
      <c r="L5" s="13" t="inlineStr">
        <is>
          <t>Mar a sáb</t>
        </is>
      </c>
      <c r="M5" s="14" t="n">
        <v>1</v>
      </c>
      <c r="N5" s="15" t="n">
        <v>120</v>
      </c>
      <c r="O5" s="13" t="inlineStr">
        <is>
          <t>15 días fecha factura</t>
        </is>
      </c>
      <c r="P5" s="13" t="inlineStr">
        <is>
          <t>S</t>
        </is>
      </c>
      <c r="Q5" s="16" t="n">
        <v>46086</v>
      </c>
      <c r="R5" s="16" t="n">
        <v>46223</v>
      </c>
      <c r="S5" s="13" t="inlineStr">
        <is>
          <t>Llega en hielo fundente; rechazar por encima de 2 °C.</t>
        </is>
      </c>
    </row>
    <row r="6">
      <c r="A6" s="7" t="n">
        <v>3</v>
      </c>
      <c r="B6" s="13" t="inlineStr">
        <is>
          <t>Frutas y Verduras La Huerta (ejemplo)</t>
        </is>
      </c>
      <c r="C6" s="13" t="inlineStr">
        <is>
          <t>Verduras/Frutas</t>
        </is>
      </c>
      <c r="D6" s="13" t="inlineStr">
        <is>
          <t>B46112233</t>
        </is>
      </c>
      <c r="E6" s="13" t="inlineStr">
        <is>
          <t>21.024567/V</t>
        </is>
      </c>
      <c r="F6" s="13" t="inlineStr">
        <is>
          <t>Ana Ferrer</t>
        </is>
      </c>
      <c r="G6" s="13" t="inlineStr">
        <is>
          <t>963 55 71 20</t>
        </is>
      </c>
      <c r="H6" s="13" t="inlineStr">
        <is>
          <t>pedidos@ejemplo-huerta.es</t>
        </is>
      </c>
      <c r="I6" s="13" t="inlineStr">
        <is>
          <t>incidencias@ejemplo-huerta.es</t>
        </is>
      </c>
      <c r="J6" s="13" t="inlineStr">
        <is>
          <t>Mercavalencia, nave 4 · 46009 Valencia</t>
        </is>
      </c>
      <c r="K6" s="13" t="inlineStr">
        <is>
          <t>Lun, mié y vie antes de 18:00</t>
        </is>
      </c>
      <c r="L6" s="13" t="inlineStr">
        <is>
          <t>Mar, jue y sáb</t>
        </is>
      </c>
      <c r="M6" s="14" t="n">
        <v>1</v>
      </c>
      <c r="N6" s="15" t="n">
        <v>80</v>
      </c>
      <c r="O6" s="13" t="inlineStr">
        <is>
          <t>Contado</t>
        </is>
      </c>
      <c r="P6" s="13" t="inlineStr">
        <is>
          <t>S</t>
        </is>
      </c>
      <c r="Q6" s="16" t="n">
        <v>46034</v>
      </c>
      <c r="R6" s="16" t="n">
        <v>46215</v>
      </c>
      <c r="S6" s="13" t="inlineStr">
        <is>
          <t>Producto de temporada: confirmar precio cada semana.</t>
        </is>
      </c>
    </row>
    <row r="7">
      <c r="A7" s="8" t="n">
        <v>4</v>
      </c>
      <c r="B7" s="13" t="inlineStr">
        <is>
          <t>Distribuciones Economato Sur (ejemplo)</t>
        </is>
      </c>
      <c r="C7" s="13" t="inlineStr">
        <is>
          <t>Secos/Granos</t>
        </is>
      </c>
      <c r="D7" s="13" t="inlineStr">
        <is>
          <t>B41778899</t>
        </is>
      </c>
      <c r="E7" s="13" t="inlineStr">
        <is>
          <t>40.031204/SE</t>
        </is>
      </c>
      <c r="F7" s="13" t="inlineStr">
        <is>
          <t>Rafael Ortega</t>
        </is>
      </c>
      <c r="G7" s="13" t="inlineStr">
        <is>
          <t>954 33 90 41</t>
        </is>
      </c>
      <c r="H7" s="13" t="inlineStr">
        <is>
          <t>pedidos@ejemplo-economato.es</t>
        </is>
      </c>
      <c r="I7" s="13" t="inlineStr">
        <is>
          <t>incidencias@ejemplo-economato.es</t>
        </is>
      </c>
      <c r="J7" s="13" t="inlineStr">
        <is>
          <t>Pol. Ind. La Red, nave 27 · 41500 Alcalá de Guadaíra</t>
        </is>
      </c>
      <c r="K7" s="13" t="inlineStr">
        <is>
          <t>Mar antes de 14:00</t>
        </is>
      </c>
      <c r="L7" s="13" t="inlineStr">
        <is>
          <t>Jue</t>
        </is>
      </c>
      <c r="M7" s="14" t="n">
        <v>2</v>
      </c>
      <c r="N7" s="15" t="n">
        <v>250</v>
      </c>
      <c r="O7" s="13" t="inlineStr">
        <is>
          <t>45 días fecha factura</t>
        </is>
      </c>
      <c r="P7" s="13" t="inlineStr">
        <is>
          <t>S</t>
        </is>
      </c>
      <c r="Q7" s="16" t="n">
        <v>46073</v>
      </c>
      <c r="R7" s="16" t="n">
        <v>46221</v>
      </c>
      <c r="S7" s="13" t="inlineStr">
        <is>
          <t>Rappel del 2 % a partir de 2.000 € al mes.</t>
        </is>
      </c>
    </row>
    <row r="8">
      <c r="A8" s="7" t="n">
        <v>5</v>
      </c>
      <c r="B8" s="13" t="inlineStr">
        <is>
          <t>Bebidas y Distribución Levante (ejemplo)</t>
        </is>
      </c>
      <c r="C8" s="13" t="inlineStr">
        <is>
          <t>Bebidas Alcohólicas</t>
        </is>
      </c>
      <c r="D8" s="13" t="inlineStr">
        <is>
          <t>B03445566</t>
        </is>
      </c>
      <c r="E8" s="13" t="inlineStr">
        <is>
          <t>30.040918/A</t>
        </is>
      </c>
      <c r="F8" s="13" t="inlineStr">
        <is>
          <t>Luis Cano</t>
        </is>
      </c>
      <c r="G8" s="13" t="inlineStr">
        <is>
          <t>965 12 78 30</t>
        </is>
      </c>
      <c r="H8" s="13" t="inlineStr">
        <is>
          <t>pedidos@ejemplo-bebidas.es</t>
        </is>
      </c>
      <c r="I8" s="13" t="inlineStr">
        <is>
          <t>incidencias@ejemplo-bebidas.es</t>
        </is>
      </c>
      <c r="J8" s="13" t="inlineStr">
        <is>
          <t>Ctra. N-340, km 82 · 03008 Alicante</t>
        </is>
      </c>
      <c r="K8" s="13" t="inlineStr">
        <is>
          <t>Lun antes de 12:00</t>
        </is>
      </c>
      <c r="L8" s="13" t="inlineStr">
        <is>
          <t>Mié</t>
        </is>
      </c>
      <c r="M8" s="14" t="n">
        <v>2</v>
      </c>
      <c r="N8" s="15" t="n">
        <v>200</v>
      </c>
      <c r="O8" s="13" t="inlineStr">
        <is>
          <t>30 días fecha factura</t>
        </is>
      </c>
      <c r="P8" s="13" t="inlineStr">
        <is>
          <t>S</t>
        </is>
      </c>
      <c r="Q8" s="16" t="n">
        <v>46050</v>
      </c>
      <c r="R8" s="16" t="n">
        <v>46213</v>
      </c>
      <c r="S8" s="13" t="inlineStr">
        <is>
          <t>Cesión de barriles y CO2: revisar el depósito de envases.</t>
        </is>
      </c>
    </row>
    <row r="9">
      <c r="A9" s="8" t="n">
        <v>6</v>
      </c>
      <c r="B9" s="13" t="inlineStr">
        <is>
          <t>Higiene Profesional HORECA (ejemplo)</t>
        </is>
      </c>
      <c r="C9" s="13" t="inlineStr">
        <is>
          <t>Limpieza</t>
        </is>
      </c>
      <c r="D9" s="13" t="inlineStr">
        <is>
          <t>B28556677</t>
        </is>
      </c>
      <c r="E9" s="13" t="inlineStr">
        <is>
          <t>No aplica (producto no alimentario)</t>
        </is>
      </c>
      <c r="F9" s="13" t="inlineStr">
        <is>
          <t>Silvia Gómez</t>
        </is>
      </c>
      <c r="G9" s="13" t="inlineStr">
        <is>
          <t>916 40 22 18</t>
        </is>
      </c>
      <c r="H9" s="13" t="inlineStr">
        <is>
          <t>pedidos@ejemplo-higiene.es</t>
        </is>
      </c>
      <c r="I9" s="13" t="inlineStr">
        <is>
          <t>incidencias@ejemplo-higiene.es</t>
        </is>
      </c>
      <c r="J9" s="13" t="inlineStr">
        <is>
          <t>Av. de la Industria 15 · 28108 Alcobendas</t>
        </is>
      </c>
      <c r="K9" s="13" t="inlineStr">
        <is>
          <t>Mié antes de 16:00</t>
        </is>
      </c>
      <c r="L9" s="13" t="inlineStr">
        <is>
          <t>Vie</t>
        </is>
      </c>
      <c r="M9" s="14" t="n">
        <v>2</v>
      </c>
      <c r="N9" s="15" t="n">
        <v>100</v>
      </c>
      <c r="O9" s="13" t="inlineStr">
        <is>
          <t>30 días fecha factura</t>
        </is>
      </c>
      <c r="P9" s="13" t="inlineStr">
        <is>
          <t>Pendiente</t>
        </is>
      </c>
      <c r="Q9" s="16" t="n">
        <v>46056</v>
      </c>
      <c r="R9" s="16" t="n">
        <v>46237</v>
      </c>
      <c r="S9" s="13" t="inlineStr">
        <is>
          <t>Evaluación D (2,2/5) en la última revisión: homologación EN SUSPENSO hasta que mejore. Buscar alternativa antes de la próxima revisión.</t>
        </is>
      </c>
    </row>
    <row r="10">
      <c r="A10" s="7" t="n">
        <v>7</v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5" t="n"/>
      <c r="O10" s="13" t="n"/>
      <c r="P10" s="13" t="n"/>
      <c r="Q10" s="16" t="n"/>
      <c r="R10" s="16" t="n"/>
      <c r="S10" s="13" t="n"/>
    </row>
    <row r="11">
      <c r="A11" s="8" t="n">
        <v>8</v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  <c r="N11" s="15" t="n"/>
      <c r="O11" s="13" t="n"/>
      <c r="P11" s="13" t="n"/>
      <c r="Q11" s="16" t="n"/>
      <c r="R11" s="16" t="n"/>
      <c r="S11" s="13" t="n"/>
    </row>
    <row r="12">
      <c r="A12" s="7" t="n">
        <v>9</v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  <c r="N12" s="15" t="n"/>
      <c r="O12" s="13" t="n"/>
      <c r="P12" s="13" t="n"/>
      <c r="Q12" s="16" t="n"/>
      <c r="R12" s="16" t="n"/>
      <c r="S12" s="13" t="n"/>
    </row>
    <row r="13">
      <c r="A13" s="8" t="n">
        <v>10</v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  <c r="N13" s="15" t="n"/>
      <c r="O13" s="13" t="n"/>
      <c r="P13" s="13" t="n"/>
      <c r="Q13" s="16" t="n"/>
      <c r="R13" s="16" t="n"/>
      <c r="S13" s="13" t="n"/>
    </row>
    <row r="14">
      <c r="A14" s="7" t="n">
        <v>11</v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  <c r="N14" s="15" t="n"/>
      <c r="O14" s="13" t="n"/>
      <c r="P14" s="13" t="n"/>
      <c r="Q14" s="16" t="n"/>
      <c r="R14" s="16" t="n"/>
      <c r="S14" s="13" t="n"/>
    </row>
    <row r="15">
      <c r="A15" s="8" t="n">
        <v>12</v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  <c r="N15" s="15" t="n"/>
      <c r="O15" s="13" t="n"/>
      <c r="P15" s="13" t="n"/>
      <c r="Q15" s="16" t="n"/>
      <c r="R15" s="16" t="n"/>
      <c r="S15" s="13" t="n"/>
    </row>
    <row r="16">
      <c r="A16" s="7" t="n">
        <v>13</v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  <c r="N16" s="15" t="n"/>
      <c r="O16" s="13" t="n"/>
      <c r="P16" s="13" t="n"/>
      <c r="Q16" s="16" t="n"/>
      <c r="R16" s="16" t="n"/>
      <c r="S16" s="13" t="n"/>
    </row>
    <row r="17">
      <c r="A17" s="8" t="n">
        <v>14</v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  <c r="N17" s="15" t="n"/>
      <c r="O17" s="13" t="n"/>
      <c r="P17" s="13" t="n"/>
      <c r="Q17" s="16" t="n"/>
      <c r="R17" s="16" t="n"/>
      <c r="S17" s="13" t="n"/>
    </row>
    <row r="18">
      <c r="A18" s="7" t="n">
        <v>15</v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  <c r="N18" s="15" t="n"/>
      <c r="O18" s="13" t="n"/>
      <c r="P18" s="13" t="n"/>
      <c r="Q18" s="16" t="n"/>
      <c r="R18" s="16" t="n"/>
      <c r="S18" s="13" t="n"/>
    </row>
    <row r="19">
      <c r="A19" s="8" t="n">
        <v>16</v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  <c r="N19" s="15" t="n"/>
      <c r="O19" s="13" t="n"/>
      <c r="P19" s="13" t="n"/>
      <c r="Q19" s="16" t="n"/>
      <c r="R19" s="16" t="n"/>
      <c r="S19" s="13" t="n"/>
    </row>
    <row r="20">
      <c r="A20" s="7" t="n">
        <v>17</v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  <c r="N20" s="15" t="n"/>
      <c r="O20" s="13" t="n"/>
      <c r="P20" s="13" t="n"/>
      <c r="Q20" s="16" t="n"/>
      <c r="R20" s="16" t="n"/>
      <c r="S20" s="13" t="n"/>
    </row>
    <row r="21">
      <c r="A21" s="8" t="n">
        <v>18</v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  <c r="N21" s="15" t="n"/>
      <c r="O21" s="13" t="n"/>
      <c r="P21" s="13" t="n"/>
      <c r="Q21" s="16" t="n"/>
      <c r="R21" s="16" t="n"/>
      <c r="S21" s="13" t="n"/>
    </row>
    <row r="22">
      <c r="A22" s="7" t="n">
        <v>19</v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  <c r="N22" s="15" t="n"/>
      <c r="O22" s="13" t="n"/>
      <c r="P22" s="13" t="n"/>
      <c r="Q22" s="16" t="n"/>
      <c r="R22" s="16" t="n"/>
      <c r="S22" s="13" t="n"/>
    </row>
    <row r="23">
      <c r="A23" s="8" t="n">
        <v>20</v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  <c r="N23" s="15" t="n"/>
      <c r="O23" s="13" t="n"/>
      <c r="P23" s="13" t="n"/>
      <c r="Q23" s="16" t="n"/>
      <c r="R23" s="16" t="n"/>
      <c r="S23" s="1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1:S1"/>
  </mergeCells>
  <dataValidations count="2">
    <dataValidation sqref="C4:C23" showDropDown="0" showInputMessage="1" showErrorMessage="1" allowBlank="1" errorTitle="Categoría no válida" error="Elige un valor de la lista." promptTitle="kitinv-a · Categoría no válida" prompt="La familia principal que te sirve este proveedor. Son las 10 categorías del kit." type="list" errorStyle="stop">
      <formula1>"Cárnicos,Pescados,Lácteos,Verduras/Frutas,Secos/Granos,Congelados,Bebidas Alcohólicas,Bebidas No Alcohólicas,Limpieza,Otros"</formula1>
    </dataValidation>
    <dataValidation sqref="P4:P23" showDropDown="0" showInputMessage="1" showErrorMessage="1" allowBlank="1" errorTitle="Homologado (S/N)" error="Elige un valor de la lista." promptTitle="kitinv-a · Homologado (S/N)" prompt="S sólo cuando tengas su CIF/NIF, su Nº RGSEAA y la ficha técnica de los productos que te sirve. Es el prerrequisito de homologación de proveedores de tu plan APPCC." type="list" errorStyle="stop">
      <formula1>"S,N,Pendiente"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B800"/>
    <outlinePr summaryBelow="1" summaryRight="1"/>
    <pageSetUpPr fitToPage="1"/>
  </sheetPr>
  <dimension ref="A1:U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9" customWidth="1" min="3" max="3"/>
    <col width="22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1" max="11"/>
    <col width="26" customWidth="1" min="12" max="12"/>
    <col width="12" customWidth="1" min="13" max="13"/>
    <col width="14" customWidth="1" min="14" max="14"/>
    <col width="13" customWidth="1" min="15" max="15"/>
    <col hidden="1" width="10" customWidth="1" min="16" max="16"/>
    <col hidden="1" width="10" customWidth="1" min="17" max="17"/>
    <col hidden="1" width="10" customWidth="1" min="18" max="18"/>
    <col hidden="1" width="10" customWidth="1" min="19" max="19"/>
    <col hidden="1" width="10" customWidth="1" min="20" max="20"/>
    <col width="24" customWidth="1" min="21" max="21"/>
  </cols>
  <sheetData>
    <row r="1">
      <c r="A1" s="5" t="inlineStr">
        <is>
          <t>COMPARATIVA DE PRECIOS POR PROVEEDOR</t>
        </is>
      </c>
    </row>
    <row r="2">
      <c r="A2" s="12" t="inlineStr">
        <is>
          <t>Las cinco columnas de precio son los cinco primeros proveedores del directorio: pídeles cotización del MISMO formato de venta. Rellena Formato de venta y Contenido ANTES que los precios: sin Contenido no hay precio por unidad que comparar y la fila te lo dice. Las columnas P a T (ocultas) son ese precio por unidad. Y mira la columna Estado: un comparativo vencido es peor que no tenerlo, porque negocias con un dato que el proveedor ya no sostiene.</t>
        </is>
      </c>
    </row>
    <row r="3">
      <c r="A3" s="6" t="inlineStr">
        <is>
          <t>#</t>
        </is>
      </c>
      <c r="B3" s="6" t="inlineStr">
        <is>
          <t>Producto</t>
        </is>
      </c>
      <c r="C3" s="6" t="inlineStr">
        <is>
          <t>Unidad</t>
        </is>
      </c>
      <c r="D3" s="6" t="inlineStr">
        <is>
          <t>Formato de venta</t>
        </is>
      </c>
      <c r="E3" s="6" t="inlineStr">
        <is>
          <t>Contenido (kg/L/ud)</t>
        </is>
      </c>
      <c r="F3" s="6" t="str">
        <f>IF('Directorio Proveedores'!$B$4="","Prov. 1",'Directorio Proveedores'!$B$4)</f>
        <v>Cárnicas del Norte (ejemplo)</v>
      </c>
      <c r="G3" s="6" t="str">
        <f>IF('Directorio Proveedores'!$B$5="","Prov. 2",'Directorio Proveedores'!$B$5)</f>
        <v>Pescados Ría Fresca (ejemplo)</v>
      </c>
      <c r="H3" s="6" t="str">
        <f>IF('Directorio Proveedores'!$B$6="","Prov. 3",'Directorio Proveedores'!$B$6)</f>
        <v>Frutas y Verduras La Huerta (ejemplo)</v>
      </c>
      <c r="I3" s="6" t="str">
        <f>IF('Directorio Proveedores'!$B$7="","Prov. 4",'Directorio Proveedores'!$B$7)</f>
        <v>Distribuciones Economato Sur (ejemplo)</v>
      </c>
      <c r="J3" s="6" t="str">
        <f>IF('Directorio Proveedores'!$B$8="","Prov. 5",'Directorio Proveedores'!$B$8)</f>
        <v>Bebidas y Distribución Levante (ejemplo)</v>
      </c>
      <c r="K3" s="6" t="inlineStr">
        <is>
          <t>Mejor precio/ud (€)</t>
        </is>
      </c>
      <c r="L3" s="6" t="inlineStr">
        <is>
          <t>Mejor proveedor</t>
        </is>
      </c>
      <c r="M3" s="6" t="inlineStr">
        <is>
          <t>% Diferencia</t>
        </is>
      </c>
      <c r="N3" s="6" t="inlineStr">
        <is>
          <t>Fecha de cotización</t>
        </is>
      </c>
      <c r="O3" s="6" t="inlineStr">
        <is>
          <t>Vigencia hasta</t>
        </is>
      </c>
      <c r="P3" t="inlineStr">
        <is>
          <t>Norm. 1</t>
        </is>
      </c>
      <c r="Q3" t="inlineStr">
        <is>
          <t>Norm. 2</t>
        </is>
      </c>
      <c r="R3" t="inlineStr">
        <is>
          <t>Norm. 3</t>
        </is>
      </c>
      <c r="S3" t="inlineStr">
        <is>
          <t>Norm. 4</t>
        </is>
      </c>
      <c r="T3" t="inlineStr">
        <is>
          <t>Norm. 5</t>
        </is>
      </c>
      <c r="U3" t="inlineStr">
        <is>
          <t>Estado de la cotización</t>
        </is>
      </c>
    </row>
    <row r="4">
      <c r="A4" s="7" t="n">
        <v>1</v>
      </c>
      <c r="B4" s="13" t="inlineStr">
        <is>
          <t>Pechuga de pollo</t>
        </is>
      </c>
      <c r="C4" s="13" t="inlineStr">
        <is>
          <t>kg</t>
        </is>
      </c>
      <c r="D4" s="13" t="inlineStr">
        <is>
          <t>Caja 5 kg</t>
        </is>
      </c>
      <c r="E4" s="13" t="n">
        <v>5</v>
      </c>
      <c r="F4" s="15" t="n">
        <v>32.5</v>
      </c>
      <c r="G4" s="15" t="n">
        <v>33.5</v>
      </c>
      <c r="H4" s="15" t="n">
        <v>34.2</v>
      </c>
      <c r="I4" s="15" t="n"/>
      <c r="J4" s="15" t="n">
        <v>33</v>
      </c>
      <c r="K4" s="17">
        <f>IF(COUNT($F4:$J4)=0,"",IF($E4="","⚠ falta contenido",IF(COUNT($P4:$T4)=0,"",MIN($P4:$T4))))</f>
        <v>6.5</v>
      </c>
      <c r="L4" s="7" t="str">
        <f>IF(OR($K4="",$K4="⚠ falta contenido"),"",IFERROR(INDEX($F$3:$J$3,MATCH($K4,$P4:$T4,0)),""))</f>
        <v>Cárnicas del Norte (ejemplo)</v>
      </c>
      <c r="M4" s="18">
        <f>IF(OR($K4="",$K4="⚠ falta contenido"),"",IFERROR((MAX($P4:$T4)-$K4)/$K4,""))</f>
        <v>0.05230769230769242</v>
      </c>
      <c r="N4" s="19" t="n">
        <v>46237</v>
      </c>
      <c r="O4" s="19" t="n">
        <v>46267</v>
      </c>
      <c r="P4" s="20">
        <f>IF(OR($F4="",$F4&lt;=0,$E4="",$E4&lt;=0),"",IFERROR($F4/$E4,""))</f>
        <v>6.5</v>
      </c>
      <c r="Q4" s="20">
        <f>IF(OR($G4="",$G4&lt;=0,$E4="",$E4&lt;=0),"",IFERROR($G4/$E4,""))</f>
        <v>6.7</v>
      </c>
      <c r="R4" s="20">
        <f>IF(OR($H4="",$H4&lt;=0,$E4="",$E4&lt;=0),"",IFERROR($H4/$E4,""))</f>
        <v>6.840000000000001</v>
      </c>
      <c r="S4" s="20">
        <f>IF(OR($I4="",$I4&lt;=0,$E4="",$E4&lt;=0),"",IFERROR($I4/$E4,""))</f>
        <v/>
      </c>
      <c r="T4" s="20">
        <f>IF(OR($J4="",$J4&lt;=0,$E4="",$E4&lt;=0),"",IFERROR($J4/$E4,""))</f>
        <v>6.6</v>
      </c>
      <c r="U4" t="str">
        <f>IF($O4="","",IF($O4&lt;TODAY(),"⛔ COTIZACIÓN VENCIDA",IF($O4-TODAY()&lt;=7,"🟡 vence esta semana","🟢 vigente")))</f>
        <v>🟢 vigente</v>
      </c>
    </row>
    <row r="5">
      <c r="A5" s="8" t="n">
        <v>2</v>
      </c>
      <c r="B5" s="13" t="inlineStr">
        <is>
          <t>Solomillo de ternera</t>
        </is>
      </c>
      <c r="C5" s="13" t="inlineStr">
        <is>
          <t>kg</t>
        </is>
      </c>
      <c r="D5" s="13" t="inlineStr">
        <is>
          <t>Pieza al vacío ~2 kg</t>
        </is>
      </c>
      <c r="E5" s="13" t="n">
        <v>2</v>
      </c>
      <c r="F5" s="15" t="n"/>
      <c r="G5" s="15" t="n"/>
      <c r="H5" s="15" t="n"/>
      <c r="I5" s="15" t="n"/>
      <c r="J5" s="15" t="n"/>
      <c r="K5" s="21">
        <f>IF(COUNT($F5:$J5)=0,"",IF($E5="","⚠ falta contenido",IF(COUNT($P5:$T5)=0,"",MIN($P5:$T5))))</f>
        <v/>
      </c>
      <c r="L5" s="8">
        <f>IF(OR($K5="",$K5="⚠ falta contenido"),"",IFERROR(INDEX($F$3:$J$3,MATCH($K5,$P5:$T5,0)),""))</f>
        <v/>
      </c>
      <c r="M5" s="22">
        <f>IF(OR($K5="",$K5="⚠ falta contenido"),"",IFERROR((MAX($P5:$T5)-$K5)/$K5,""))</f>
        <v/>
      </c>
      <c r="N5" s="19" t="n"/>
      <c r="O5" s="19" t="n"/>
      <c r="P5" s="20">
        <f>IF(OR($F5="",$F5&lt;=0,$E5="",$E5&lt;=0),"",IFERROR($F5/$E5,""))</f>
        <v/>
      </c>
      <c r="Q5" s="20">
        <f>IF(OR($G5="",$G5&lt;=0,$E5="",$E5&lt;=0),"",IFERROR($G5/$E5,""))</f>
        <v/>
      </c>
      <c r="R5" s="20">
        <f>IF(OR($H5="",$H5&lt;=0,$E5="",$E5&lt;=0),"",IFERROR($H5/$E5,""))</f>
        <v/>
      </c>
      <c r="S5" s="20">
        <f>IF(OR($I5="",$I5&lt;=0,$E5="",$E5&lt;=0),"",IFERROR($I5/$E5,""))</f>
        <v/>
      </c>
      <c r="T5" s="20">
        <f>IF(OR($J5="",$J5&lt;=0,$E5="",$E5&lt;=0),"",IFERROR($J5/$E5,""))</f>
        <v/>
      </c>
      <c r="U5">
        <f>IF($O5="","",IF($O5&lt;TODAY(),"⛔ COTIZACIÓN VENCIDA",IF($O5-TODAY()&lt;=7,"🟡 vence esta semana","🟢 vigente")))</f>
        <v/>
      </c>
    </row>
    <row r="6">
      <c r="A6" s="7" t="n">
        <v>3</v>
      </c>
      <c r="B6" s="13" t="inlineStr">
        <is>
          <t>Salmón fresco</t>
        </is>
      </c>
      <c r="C6" s="13" t="inlineStr">
        <is>
          <t>kg</t>
        </is>
      </c>
      <c r="D6" s="13" t="inlineStr">
        <is>
          <t>Pieza entera ~4 kg</t>
        </is>
      </c>
      <c r="E6" s="13" t="n">
        <v>4</v>
      </c>
      <c r="F6" s="15" t="n"/>
      <c r="G6" s="15" t="n"/>
      <c r="H6" s="15" t="n"/>
      <c r="I6" s="15" t="n"/>
      <c r="J6" s="15" t="n"/>
      <c r="K6" s="17">
        <f>IF(COUNT($F6:$J6)=0,"",IF($E6="","⚠ falta contenido",IF(COUNT($P6:$T6)=0,"",MIN($P6:$T6))))</f>
        <v/>
      </c>
      <c r="L6" s="7">
        <f>IF(OR($K6="",$K6="⚠ falta contenido"),"",IFERROR(INDEX($F$3:$J$3,MATCH($K6,$P6:$T6,0)),""))</f>
        <v/>
      </c>
      <c r="M6" s="18">
        <f>IF(OR($K6="",$K6="⚠ falta contenido"),"",IFERROR((MAX($P6:$T6)-$K6)/$K6,""))</f>
        <v/>
      </c>
      <c r="N6" s="19" t="n"/>
      <c r="O6" s="19" t="n"/>
      <c r="P6" s="20">
        <f>IF(OR($F6="",$F6&lt;=0,$E6="",$E6&lt;=0),"",IFERROR($F6/$E6,""))</f>
        <v/>
      </c>
      <c r="Q6" s="20">
        <f>IF(OR($G6="",$G6&lt;=0,$E6="",$E6&lt;=0),"",IFERROR($G6/$E6,""))</f>
        <v/>
      </c>
      <c r="R6" s="20">
        <f>IF(OR($H6="",$H6&lt;=0,$E6="",$E6&lt;=0),"",IFERROR($H6/$E6,""))</f>
        <v/>
      </c>
      <c r="S6" s="20">
        <f>IF(OR($I6="",$I6&lt;=0,$E6="",$E6&lt;=0),"",IFERROR($I6/$E6,""))</f>
        <v/>
      </c>
      <c r="T6" s="20">
        <f>IF(OR($J6="",$J6&lt;=0,$E6="",$E6&lt;=0),"",IFERROR($J6/$E6,""))</f>
        <v/>
      </c>
      <c r="U6">
        <f>IF($O6="","",IF($O6&lt;TODAY(),"⛔ COTIZACIÓN VENCIDA",IF($O6-TODAY()&lt;=7,"🟡 vence esta semana","🟢 vigente")))</f>
        <v/>
      </c>
    </row>
    <row r="7">
      <c r="A7" s="8" t="n">
        <v>4</v>
      </c>
      <c r="B7" s="13" t="inlineStr">
        <is>
          <t>Aceite de oliva virgen extra</t>
        </is>
      </c>
      <c r="C7" s="13" t="inlineStr">
        <is>
          <t>L</t>
        </is>
      </c>
      <c r="D7" s="13" t="inlineStr">
        <is>
          <t>Garrafa 5 L</t>
        </is>
      </c>
      <c r="E7" s="13" t="n">
        <v>5</v>
      </c>
      <c r="F7" s="15" t="n">
        <v>31</v>
      </c>
      <c r="G7" s="15" t="n">
        <v>30.5</v>
      </c>
      <c r="H7" s="15" t="n">
        <v>30.2</v>
      </c>
      <c r="I7" s="15" t="n">
        <v>29</v>
      </c>
      <c r="J7" s="15" t="n">
        <v>31.5</v>
      </c>
      <c r="K7" s="21">
        <f>IF(COUNT($F7:$J7)=0,"",IF($E7="","⚠ falta contenido",IF(COUNT($P7:$T7)=0,"",MIN($P7:$T7))))</f>
        <v>5.8</v>
      </c>
      <c r="L7" s="8" t="str">
        <f>IF(OR($K7="",$K7="⚠ falta contenido"),"",IFERROR(INDEX($F$3:$J$3,MATCH($K7,$P7:$T7,0)),""))</f>
        <v>Distribuciones Economato Sur (ejemplo)</v>
      </c>
      <c r="M7" s="22">
        <f>IF(OR($K7="",$K7="⚠ falta contenido"),"",IFERROR((MAX($P7:$T7)-$K7)/$K7,""))</f>
        <v>0.08620689655172414</v>
      </c>
      <c r="N7" s="19" t="n">
        <v>46237</v>
      </c>
      <c r="O7" s="19" t="n">
        <v>46267</v>
      </c>
      <c r="P7" s="20">
        <f>IF(OR($F7="",$F7&lt;=0,$E7="",$E7&lt;=0),"",IFERROR($F7/$E7,""))</f>
        <v>6.2</v>
      </c>
      <c r="Q7" s="20">
        <f>IF(OR($G7="",$G7&lt;=0,$E7="",$E7&lt;=0),"",IFERROR($G7/$E7,""))</f>
        <v>6.1</v>
      </c>
      <c r="R7" s="20">
        <f>IF(OR($H7="",$H7&lt;=0,$E7="",$E7&lt;=0),"",IFERROR($H7/$E7,""))</f>
        <v>6.04</v>
      </c>
      <c r="S7" s="20">
        <f>IF(OR($I7="",$I7&lt;=0,$E7="",$E7&lt;=0),"",IFERROR($I7/$E7,""))</f>
        <v>5.8</v>
      </c>
      <c r="T7" s="20">
        <f>IF(OR($J7="",$J7&lt;=0,$E7="",$E7&lt;=0),"",IFERROR($J7/$E7,""))</f>
        <v>6.3</v>
      </c>
      <c r="U7" t="str">
        <f>IF($O7="","",IF($O7&lt;TODAY(),"⛔ COTIZACIÓN VENCIDA",IF($O7-TODAY()&lt;=7,"🟡 vence esta semana","🟢 vigente")))</f>
        <v>🟢 vigente</v>
      </c>
    </row>
    <row r="8">
      <c r="A8" s="7" t="n">
        <v>5</v>
      </c>
      <c r="B8" s="13" t="inlineStr">
        <is>
          <t>Tomate</t>
        </is>
      </c>
      <c r="C8" s="13" t="inlineStr">
        <is>
          <t>kg</t>
        </is>
      </c>
      <c r="D8" s="13" t="inlineStr">
        <is>
          <t>Caja 10 kg</t>
        </is>
      </c>
      <c r="E8" s="13" t="n">
        <v>10</v>
      </c>
      <c r="F8" s="15" t="n">
        <v>20.5</v>
      </c>
      <c r="G8" s="15" t="n">
        <v>21</v>
      </c>
      <c r="H8" s="15" t="n">
        <v>19.5</v>
      </c>
      <c r="I8" s="15" t="n">
        <v>20.2</v>
      </c>
      <c r="J8" s="15" t="n">
        <v>19.9</v>
      </c>
      <c r="K8" s="17">
        <f>IF(COUNT($F8:$J8)=0,"",IF($E8="","⚠ falta contenido",IF(COUNT($P8:$T8)=0,"",MIN($P8:$T8))))</f>
        <v>1.95</v>
      </c>
      <c r="L8" s="7" t="str">
        <f>IF(OR($K8="",$K8="⚠ falta contenido"),"",IFERROR(INDEX($F$3:$J$3,MATCH($K8,$P8:$T8,0)),""))</f>
        <v>Frutas y Verduras La Huerta (ejemplo)</v>
      </c>
      <c r="M8" s="18">
        <f>IF(OR($K8="",$K8="⚠ falta contenido"),"",IFERROR((MAX($P8:$T8)-$K8)/$K8,""))</f>
        <v>0.076923076923077</v>
      </c>
      <c r="N8" s="19" t="n">
        <v>46244</v>
      </c>
      <c r="O8" s="19" t="n">
        <v>46274</v>
      </c>
      <c r="P8" s="20">
        <f>IF(OR($F8="",$F8&lt;=0,$E8="",$E8&lt;=0),"",IFERROR($F8/$E8,""))</f>
        <v>2.05</v>
      </c>
      <c r="Q8" s="20">
        <f>IF(OR($G8="",$G8&lt;=0,$E8="",$E8&lt;=0),"",IFERROR($G8/$E8,""))</f>
        <v>2.1</v>
      </c>
      <c r="R8" s="20">
        <f>IF(OR($H8="",$H8&lt;=0,$E8="",$E8&lt;=0),"",IFERROR($H8/$E8,""))</f>
        <v>1.95</v>
      </c>
      <c r="S8" s="20">
        <f>IF(OR($I8="",$I8&lt;=0,$E8="",$E8&lt;=0),"",IFERROR($I8/$E8,""))</f>
        <v>2.02</v>
      </c>
      <c r="T8" s="20">
        <f>IF(OR($J8="",$J8&lt;=0,$E8="",$E8&lt;=0),"",IFERROR($J8/$E8,""))</f>
        <v>1.9899999999999998</v>
      </c>
      <c r="U8" t="str">
        <f>IF($O8="","",IF($O8&lt;TODAY(),"⛔ COTIZACIÓN VENCIDA",IF($O8-TODAY()&lt;=7,"🟡 vence esta semana","🟢 vigente")))</f>
        <v>🟢 vigente</v>
      </c>
    </row>
    <row r="9">
      <c r="A9" s="8" t="n">
        <v>6</v>
      </c>
      <c r="B9" s="13" t="inlineStr">
        <is>
          <t>Lechuga</t>
        </is>
      </c>
      <c r="C9" s="13" t="inlineStr">
        <is>
          <t>ud</t>
        </is>
      </c>
      <c r="D9" s="13" t="inlineStr">
        <is>
          <t>Caja 12 ud</t>
        </is>
      </c>
      <c r="E9" s="13" t="n">
        <v>12</v>
      </c>
      <c r="F9" s="15" t="n"/>
      <c r="G9" s="15" t="n"/>
      <c r="H9" s="15" t="n"/>
      <c r="I9" s="15" t="n"/>
      <c r="J9" s="15" t="n"/>
      <c r="K9" s="21">
        <f>IF(COUNT($F9:$J9)=0,"",IF($E9="","⚠ falta contenido",IF(COUNT($P9:$T9)=0,"",MIN($P9:$T9))))</f>
        <v/>
      </c>
      <c r="L9" s="8">
        <f>IF(OR($K9="",$K9="⚠ falta contenido"),"",IFERROR(INDEX($F$3:$J$3,MATCH($K9,$P9:$T9,0)),""))</f>
        <v/>
      </c>
      <c r="M9" s="22">
        <f>IF(OR($K9="",$K9="⚠ falta contenido"),"",IFERROR((MAX($P9:$T9)-$K9)/$K9,""))</f>
        <v/>
      </c>
      <c r="N9" s="19" t="n"/>
      <c r="O9" s="19" t="n"/>
      <c r="P9" s="20">
        <f>IF(OR($F9="",$F9&lt;=0,$E9="",$E9&lt;=0),"",IFERROR($F9/$E9,""))</f>
        <v/>
      </c>
      <c r="Q9" s="20">
        <f>IF(OR($G9="",$G9&lt;=0,$E9="",$E9&lt;=0),"",IFERROR($G9/$E9,""))</f>
        <v/>
      </c>
      <c r="R9" s="20">
        <f>IF(OR($H9="",$H9&lt;=0,$E9="",$E9&lt;=0),"",IFERROR($H9/$E9,""))</f>
        <v/>
      </c>
      <c r="S9" s="20">
        <f>IF(OR($I9="",$I9&lt;=0,$E9="",$E9&lt;=0),"",IFERROR($I9/$E9,""))</f>
        <v/>
      </c>
      <c r="T9" s="20">
        <f>IF(OR($J9="",$J9&lt;=0,$E9="",$E9&lt;=0),"",IFERROR($J9/$E9,""))</f>
        <v/>
      </c>
      <c r="U9">
        <f>IF($O9="","",IF($O9&lt;TODAY(),"⛔ COTIZACIÓN VENCIDA",IF($O9-TODAY()&lt;=7,"🟡 vence esta semana","🟢 vigente")))</f>
        <v/>
      </c>
    </row>
    <row r="10">
      <c r="A10" s="7" t="n">
        <v>7</v>
      </c>
      <c r="B10" s="13" t="inlineStr">
        <is>
          <t>Arroz redondo</t>
        </is>
      </c>
      <c r="C10" s="13" t="inlineStr">
        <is>
          <t>kg</t>
        </is>
      </c>
      <c r="D10" s="13" t="inlineStr">
        <is>
          <t>Saco 20 kg</t>
        </is>
      </c>
      <c r="E10" s="13" t="n">
        <v>20</v>
      </c>
      <c r="F10" s="15" t="n"/>
      <c r="G10" s="15" t="n"/>
      <c r="H10" s="15" t="n"/>
      <c r="I10" s="15" t="n"/>
      <c r="J10" s="15" t="n"/>
      <c r="K10" s="17">
        <f>IF(COUNT($F10:$J10)=0,"",IF($E10="","⚠ falta contenido",IF(COUNT($P10:$T10)=0,"",MIN($P10:$T10))))</f>
        <v/>
      </c>
      <c r="L10" s="7">
        <f>IF(OR($K10="",$K10="⚠ falta contenido"),"",IFERROR(INDEX($F$3:$J$3,MATCH($K10,$P10:$T10,0)),""))</f>
        <v/>
      </c>
      <c r="M10" s="18">
        <f>IF(OR($K10="",$K10="⚠ falta contenido"),"",IFERROR((MAX($P10:$T10)-$K10)/$K10,""))</f>
        <v/>
      </c>
      <c r="N10" s="19" t="n"/>
      <c r="O10" s="19" t="n"/>
      <c r="P10" s="20">
        <f>IF(OR($F10="",$F10&lt;=0,$E10="",$E10&lt;=0),"",IFERROR($F10/$E10,""))</f>
        <v/>
      </c>
      <c r="Q10" s="20">
        <f>IF(OR($G10="",$G10&lt;=0,$E10="",$E10&lt;=0),"",IFERROR($G10/$E10,""))</f>
        <v/>
      </c>
      <c r="R10" s="20">
        <f>IF(OR($H10="",$H10&lt;=0,$E10="",$E10&lt;=0),"",IFERROR($H10/$E10,""))</f>
        <v/>
      </c>
      <c r="S10" s="20">
        <f>IF(OR($I10="",$I10&lt;=0,$E10="",$E10&lt;=0),"",IFERROR($I10/$E10,""))</f>
        <v/>
      </c>
      <c r="T10" s="20">
        <f>IF(OR($J10="",$J10&lt;=0,$E10="",$E10&lt;=0),"",IFERROR($J10/$E10,""))</f>
        <v/>
      </c>
      <c r="U10">
        <f>IF($O10="","",IF($O10&lt;TODAY(),"⛔ COTIZACIÓN VENCIDA",IF($O10-TODAY()&lt;=7,"🟡 vence esta semana","🟢 vigente")))</f>
        <v/>
      </c>
    </row>
    <row r="11">
      <c r="A11" s="8" t="n">
        <v>8</v>
      </c>
      <c r="B11" s="13" t="inlineStr">
        <is>
          <t>Huevos M</t>
        </is>
      </c>
      <c r="C11" s="13" t="inlineStr">
        <is>
          <t>docena</t>
        </is>
      </c>
      <c r="D11" s="13" t="inlineStr">
        <is>
          <t>Caja 12 docenas</t>
        </is>
      </c>
      <c r="E11" s="13" t="n">
        <v>12</v>
      </c>
      <c r="F11" s="15" t="n"/>
      <c r="G11" s="15" t="n"/>
      <c r="H11" s="15" t="n"/>
      <c r="I11" s="15" t="n"/>
      <c r="J11" s="15" t="n"/>
      <c r="K11" s="21">
        <f>IF(COUNT($F11:$J11)=0,"",IF($E11="","⚠ falta contenido",IF(COUNT($P11:$T11)=0,"",MIN($P11:$T11))))</f>
        <v/>
      </c>
      <c r="L11" s="8">
        <f>IF(OR($K11="",$K11="⚠ falta contenido"),"",IFERROR(INDEX($F$3:$J$3,MATCH($K11,$P11:$T11,0)),""))</f>
        <v/>
      </c>
      <c r="M11" s="22">
        <f>IF(OR($K11="",$K11="⚠ falta contenido"),"",IFERROR((MAX($P11:$T11)-$K11)/$K11,""))</f>
        <v/>
      </c>
      <c r="N11" s="19" t="n"/>
      <c r="O11" s="19" t="n"/>
      <c r="P11" s="20">
        <f>IF(OR($F11="",$F11&lt;=0,$E11="",$E11&lt;=0),"",IFERROR($F11/$E11,""))</f>
        <v/>
      </c>
      <c r="Q11" s="20">
        <f>IF(OR($G11="",$G11&lt;=0,$E11="",$E11&lt;=0),"",IFERROR($G11/$E11,""))</f>
        <v/>
      </c>
      <c r="R11" s="20">
        <f>IF(OR($H11="",$H11&lt;=0,$E11="",$E11&lt;=0),"",IFERROR($H11/$E11,""))</f>
        <v/>
      </c>
      <c r="S11" s="20">
        <f>IF(OR($I11="",$I11&lt;=0,$E11="",$E11&lt;=0),"",IFERROR($I11/$E11,""))</f>
        <v/>
      </c>
      <c r="T11" s="20">
        <f>IF(OR($J11="",$J11&lt;=0,$E11="",$E11&lt;=0),"",IFERROR($J11/$E11,""))</f>
        <v/>
      </c>
      <c r="U11">
        <f>IF($O11="","",IF($O11&lt;TODAY(),"⛔ COTIZACIÓN VENCIDA",IF($O11-TODAY()&lt;=7,"🟡 vence esta semana","🟢 vigente")))</f>
        <v/>
      </c>
    </row>
    <row r="12">
      <c r="A12" s="7" t="n">
        <v>9</v>
      </c>
      <c r="B12" s="13" t="inlineStr">
        <is>
          <t>Leche entera</t>
        </is>
      </c>
      <c r="C12" s="13" t="inlineStr">
        <is>
          <t>L</t>
        </is>
      </c>
      <c r="D12" s="13" t="inlineStr">
        <is>
          <t>Caja 12 briks de 1 L</t>
        </is>
      </c>
      <c r="E12" s="13" t="n">
        <v>12</v>
      </c>
      <c r="F12" s="15" t="n"/>
      <c r="G12" s="15" t="n"/>
      <c r="H12" s="15" t="n"/>
      <c r="I12" s="15" t="n"/>
      <c r="J12" s="15" t="n"/>
      <c r="K12" s="17">
        <f>IF(COUNT($F12:$J12)=0,"",IF($E12="","⚠ falta contenido",IF(COUNT($P12:$T12)=0,"",MIN($P12:$T12))))</f>
        <v/>
      </c>
      <c r="L12" s="7">
        <f>IF(OR($K12="",$K12="⚠ falta contenido"),"",IFERROR(INDEX($F$3:$J$3,MATCH($K12,$P12:$T12,0)),""))</f>
        <v/>
      </c>
      <c r="M12" s="18">
        <f>IF(OR($K12="",$K12="⚠ falta contenido"),"",IFERROR((MAX($P12:$T12)-$K12)/$K12,""))</f>
        <v/>
      </c>
      <c r="N12" s="19" t="n"/>
      <c r="O12" s="19" t="n"/>
      <c r="P12" s="20">
        <f>IF(OR($F12="",$F12&lt;=0,$E12="",$E12&lt;=0),"",IFERROR($F12/$E12,""))</f>
        <v/>
      </c>
      <c r="Q12" s="20">
        <f>IF(OR($G12="",$G12&lt;=0,$E12="",$E12&lt;=0),"",IFERROR($G12/$E12,""))</f>
        <v/>
      </c>
      <c r="R12" s="20">
        <f>IF(OR($H12="",$H12&lt;=0,$E12="",$E12&lt;=0),"",IFERROR($H12/$E12,""))</f>
        <v/>
      </c>
      <c r="S12" s="20">
        <f>IF(OR($I12="",$I12&lt;=0,$E12="",$E12&lt;=0),"",IFERROR($I12/$E12,""))</f>
        <v/>
      </c>
      <c r="T12" s="20">
        <f>IF(OR($J12="",$J12&lt;=0,$E12="",$E12&lt;=0),"",IFERROR($J12/$E12,""))</f>
        <v/>
      </c>
      <c r="U12">
        <f>IF($O12="","",IF($O12&lt;TODAY(),"⛔ COTIZACIÓN VENCIDA",IF($O12-TODAY()&lt;=7,"🟡 vence esta semana","🟢 vigente")))</f>
        <v/>
      </c>
    </row>
    <row r="13">
      <c r="A13" s="8" t="n">
        <v>10</v>
      </c>
      <c r="B13" s="13" t="inlineStr">
        <is>
          <t>Queso parmesano</t>
        </is>
      </c>
      <c r="C13" s="13" t="inlineStr">
        <is>
          <t>kg</t>
        </is>
      </c>
      <c r="D13" s="13" t="inlineStr">
        <is>
          <t>Caja 4 kg</t>
        </is>
      </c>
      <c r="E13" s="13" t="n">
        <v>4</v>
      </c>
      <c r="F13" s="15" t="n"/>
      <c r="G13" s="15" t="n"/>
      <c r="H13" s="15" t="n"/>
      <c r="I13" s="15" t="n"/>
      <c r="J13" s="15" t="n"/>
      <c r="K13" s="21">
        <f>IF(COUNT($F13:$J13)=0,"",IF($E13="","⚠ falta contenido",IF(COUNT($P13:$T13)=0,"",MIN($P13:$T13))))</f>
        <v/>
      </c>
      <c r="L13" s="8">
        <f>IF(OR($K13="",$K13="⚠ falta contenido"),"",IFERROR(INDEX($F$3:$J$3,MATCH($K13,$P13:$T13,0)),""))</f>
        <v/>
      </c>
      <c r="M13" s="22">
        <f>IF(OR($K13="",$K13="⚠ falta contenido"),"",IFERROR((MAX($P13:$T13)-$K13)/$K13,""))</f>
        <v/>
      </c>
      <c r="N13" s="19" t="n"/>
      <c r="O13" s="19" t="n"/>
      <c r="P13" s="20">
        <f>IF(OR($F13="",$F13&lt;=0,$E13="",$E13&lt;=0),"",IFERROR($F13/$E13,""))</f>
        <v/>
      </c>
      <c r="Q13" s="20">
        <f>IF(OR($G13="",$G13&lt;=0,$E13="",$E13&lt;=0),"",IFERROR($G13/$E13,""))</f>
        <v/>
      </c>
      <c r="R13" s="20">
        <f>IF(OR($H13="",$H13&lt;=0,$E13="",$E13&lt;=0),"",IFERROR($H13/$E13,""))</f>
        <v/>
      </c>
      <c r="S13" s="20">
        <f>IF(OR($I13="",$I13&lt;=0,$E13="",$E13&lt;=0),"",IFERROR($I13/$E13,""))</f>
        <v/>
      </c>
      <c r="T13" s="20">
        <f>IF(OR($J13="",$J13&lt;=0,$E13="",$E13&lt;=0),"",IFERROR($J13/$E13,""))</f>
        <v/>
      </c>
      <c r="U13">
        <f>IF($O13="","",IF($O13&lt;TODAY(),"⛔ COTIZACIÓN VENCIDA",IF($O13-TODAY()&lt;=7,"🟡 vence esta semana","🟢 vigente")))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1:M1"/>
  </mergeCells>
  <conditionalFormatting sqref="U4:U13">
    <cfRule type="containsText" priority="1" operator="containsText" dxfId="0" stopIfTrue="1" text="VENCIDA">
      <formula>NOT(ISERROR(SEARCH("VENCIDA",U4)))</formula>
    </cfRule>
    <cfRule type="containsText" priority="2" operator="containsText" dxfId="1" stopIfTrue="1" text="vence">
      <formula>NOT(ISERROR(SEARCH("vence",U4)))</formula>
    </cfRule>
    <cfRule type="containsText" priority="3" operator="containsText" dxfId="2" stopIfTrue="1" text="vigente">
      <formula>NOT(ISERROR(SEARCH("vigente",U4)))</formula>
    </cfRule>
  </conditionalFormatting>
  <dataValidations count="1">
    <dataValidation sqref="C4:C13" showDropDown="0" showInputMessage="1" showErrorMessage="1" allowBlank="1" errorTitle="Unidad no válida" error="Elige un valor de la lista." promptTitle="kitinv-a · Unidad no válida" prompt="La misma lista de unidades que el resto del kit. El formato de venta (caja, garrafa, saco…) va en la columna de al lado." type="list" errorStyle="stop">
      <formula1>"kg,L,ud,docena,caja,bandeja,barril,saco,rollo,paquete"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C853"/>
    <outlinePr summaryBelow="1" summaryRight="1"/>
    <pageSetUpPr fitToPage="1"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20" customWidth="1" min="8" max="8"/>
    <col width="18" customWidth="1" min="9" max="9"/>
    <col width="38" customWidth="1" min="10" max="10"/>
  </cols>
  <sheetData>
    <row r="1">
      <c r="A1" s="5" t="inlineStr">
        <is>
          <t>EVALUACIÓN DE PROVEEDORES</t>
        </is>
      </c>
    </row>
    <row r="2">
      <c r="A2" s="12" t="inlineStr">
        <is>
          <t>La nota necesita al menos 3 criterios puntuados: con uno solo la media no significa nada. La última columna cruza la nota con la casilla «Homologado» del directorio: un «D — Sustituir» que sigue homologado es una contradicción, y la homologación de proveedores es prerrequisito de tu plan APPCC.</t>
        </is>
      </c>
    </row>
    <row r="3">
      <c r="A3" s="6" t="inlineStr">
        <is>
          <t>#</t>
        </is>
      </c>
      <c r="B3" s="6" t="inlineStr">
        <is>
          <t>Proveedor</t>
        </is>
      </c>
      <c r="C3" s="6" t="inlineStr">
        <is>
          <t>Calidad (1-5)</t>
        </is>
      </c>
      <c r="D3" s="6" t="inlineStr">
        <is>
          <t>Precio (1-5)</t>
        </is>
      </c>
      <c r="E3" s="6" t="inlineStr">
        <is>
          <t>Puntualidad (1-5)</t>
        </is>
      </c>
      <c r="F3" s="6" t="inlineStr">
        <is>
          <t>Servicio (1-5)</t>
        </is>
      </c>
      <c r="G3" s="6" t="inlineStr">
        <is>
          <t>Flexibilidad (1-5)</t>
        </is>
      </c>
      <c r="H3" s="6" t="inlineStr">
        <is>
          <t>PUNTUACIÓN MEDIA (1-5)</t>
        </is>
      </c>
      <c r="I3" s="6" t="inlineStr">
        <is>
          <t>Nota</t>
        </is>
      </c>
      <c r="J3" s="6" t="inlineStr">
        <is>
          <t>Coherencia con el directorio</t>
        </is>
      </c>
    </row>
    <row r="4">
      <c r="A4" s="7" t="n">
        <v>1</v>
      </c>
      <c r="B4" s="13" t="inlineStr">
        <is>
          <t>Cárnicas del Norte (ejemplo)</t>
        </is>
      </c>
      <c r="C4" s="13" t="n">
        <v>5</v>
      </c>
      <c r="D4" s="15" t="n">
        <v>4</v>
      </c>
      <c r="E4" s="13" t="n">
        <v>5</v>
      </c>
      <c r="F4" s="13" t="n">
        <v>5</v>
      </c>
      <c r="G4" s="13" t="n">
        <v>5</v>
      </c>
      <c r="H4" s="9">
        <f>IF(COUNT($C4:$G4)&lt;3,"",AVERAGE($C4:$G4))</f>
        <v>4.8</v>
      </c>
      <c r="I4" s="7" t="str">
        <f>IF($H4="","",IF($H4&gt;=4.5,"A — Preferente",IF($H4&gt;=3.5,"B — Válido",IF($H4&gt;=2.5,"C — Vigilar","D — Sustituir"))))</f>
        <v>A — Preferente</v>
      </c>
      <c r="J4" t="str">
        <f>IF($I4="","",IF(IFERROR(VLOOKUP($B4,'Directorio Proveedores'!$B$4:$P$23,15,FALSE),"")&lt;&gt;"S","—",IF(LEFT($I4,1)="D","⚠ nota D y sigue homologado: revísalo",IF(LEFT($I4,1)="C","🟡 nota C: vigílalo, sigue homologado","✓ coherente"))))</f>
        <v>✓ coherente</v>
      </c>
    </row>
    <row r="5">
      <c r="A5" s="8" t="n">
        <v>2</v>
      </c>
      <c r="B5" s="13" t="inlineStr">
        <is>
          <t>Pescados Ría Fresca (ejemplo)</t>
        </is>
      </c>
      <c r="C5" s="13" t="n">
        <v>5</v>
      </c>
      <c r="D5" s="15" t="n">
        <v>3</v>
      </c>
      <c r="E5" s="13" t="n">
        <v>4</v>
      </c>
      <c r="F5" s="13" t="n">
        <v>4</v>
      </c>
      <c r="G5" s="13" t="n">
        <v>3</v>
      </c>
      <c r="H5" s="10">
        <f>IF(COUNT($C5:$G5)&lt;3,"",AVERAGE($C5:$G5))</f>
        <v>3.8</v>
      </c>
      <c r="I5" s="8" t="str">
        <f>IF($H5="","",IF($H5&gt;=4.5,"A — Preferente",IF($H5&gt;=3.5,"B — Válido",IF($H5&gt;=2.5,"C — Vigilar","D — Sustituir"))))</f>
        <v>B — Válido</v>
      </c>
      <c r="J5" t="str">
        <f>IF($I5="","",IF(IFERROR(VLOOKUP($B5,'Directorio Proveedores'!$B$4:$P$23,15,FALSE),"")&lt;&gt;"S","—",IF(LEFT($I5,1)="D","⚠ nota D y sigue homologado: revísalo",IF(LEFT($I5,1)="C","🟡 nota C: vigílalo, sigue homologado","✓ coherente"))))</f>
        <v>✓ coherente</v>
      </c>
    </row>
    <row r="6">
      <c r="A6" s="7" t="n">
        <v>3</v>
      </c>
      <c r="B6" s="13" t="inlineStr">
        <is>
          <t>Frutas y Verduras La Huerta (ejemplo)</t>
        </is>
      </c>
      <c r="C6" s="13" t="n">
        <v>4</v>
      </c>
      <c r="D6" s="15" t="n">
        <v>4</v>
      </c>
      <c r="E6" s="13" t="n">
        <v>3</v>
      </c>
      <c r="F6" s="13" t="n">
        <v>4</v>
      </c>
      <c r="G6" s="13" t="n">
        <v>4</v>
      </c>
      <c r="H6" s="9">
        <f>IF(COUNT($C6:$G6)&lt;3,"",AVERAGE($C6:$G6))</f>
        <v>3.8</v>
      </c>
      <c r="I6" s="7" t="str">
        <f>IF($H6="","",IF($H6&gt;=4.5,"A — Preferente",IF($H6&gt;=3.5,"B — Válido",IF($H6&gt;=2.5,"C — Vigilar","D — Sustituir"))))</f>
        <v>B — Válido</v>
      </c>
      <c r="J6" t="str">
        <f>IF($I6="","",IF(IFERROR(VLOOKUP($B6,'Directorio Proveedores'!$B$4:$P$23,15,FALSE),"")&lt;&gt;"S","—",IF(LEFT($I6,1)="D","⚠ nota D y sigue homologado: revísalo",IF(LEFT($I6,1)="C","🟡 nota C: vigílalo, sigue homologado","✓ coherente"))))</f>
        <v>✓ coherente</v>
      </c>
    </row>
    <row r="7">
      <c r="A7" s="8" t="n">
        <v>4</v>
      </c>
      <c r="B7" s="13" t="inlineStr">
        <is>
          <t>Distribuciones Economato Sur (ejemplo)</t>
        </is>
      </c>
      <c r="C7" s="13" t="n">
        <v>3</v>
      </c>
      <c r="D7" s="15" t="n">
        <v>5</v>
      </c>
      <c r="E7" s="13" t="n">
        <v>4</v>
      </c>
      <c r="F7" s="13" t="n">
        <v>3</v>
      </c>
      <c r="G7" s="13" t="n">
        <v>2</v>
      </c>
      <c r="H7" s="10">
        <f>IF(COUNT($C7:$G7)&lt;3,"",AVERAGE($C7:$G7))</f>
        <v>3.4</v>
      </c>
      <c r="I7" s="8" t="str">
        <f>IF($H7="","",IF($H7&gt;=4.5,"A — Preferente",IF($H7&gt;=3.5,"B — Válido",IF($H7&gt;=2.5,"C — Vigilar","D — Sustituir"))))</f>
        <v>C — Vigilar</v>
      </c>
      <c r="J7" t="str">
        <f>IF($I7="","",IF(IFERROR(VLOOKUP($B7,'Directorio Proveedores'!$B$4:$P$23,15,FALSE),"")&lt;&gt;"S","—",IF(LEFT($I7,1)="D","⚠ nota D y sigue homologado: revísalo",IF(LEFT($I7,1)="C","🟡 nota C: vigílalo, sigue homologado","✓ coherente"))))</f>
        <v>🟡 nota C: vigílalo, sigue homologado</v>
      </c>
    </row>
    <row r="8">
      <c r="A8" s="7" t="n">
        <v>5</v>
      </c>
      <c r="B8" s="13" t="inlineStr">
        <is>
          <t>Bebidas y Distribución Levante (ejemplo)</t>
        </is>
      </c>
      <c r="C8" s="13" t="n">
        <v>4</v>
      </c>
      <c r="D8" s="15" t="n">
        <v>4</v>
      </c>
      <c r="E8" s="13" t="n">
        <v>5</v>
      </c>
      <c r="F8" s="13" t="n">
        <v>4</v>
      </c>
      <c r="G8" s="13" t="n">
        <v>4</v>
      </c>
      <c r="H8" s="9">
        <f>IF(COUNT($C8:$G8)&lt;3,"",AVERAGE($C8:$G8))</f>
        <v>4.2</v>
      </c>
      <c r="I8" s="7" t="str">
        <f>IF($H8="","",IF($H8&gt;=4.5,"A — Preferente",IF($H8&gt;=3.5,"B — Válido",IF($H8&gt;=2.5,"C — Vigilar","D — Sustituir"))))</f>
        <v>B — Válido</v>
      </c>
      <c r="J8" t="str">
        <f>IF($I8="","",IF(IFERROR(VLOOKUP($B8,'Directorio Proveedores'!$B$4:$P$23,15,FALSE),"")&lt;&gt;"S","—",IF(LEFT($I8,1)="D","⚠ nota D y sigue homologado: revísalo",IF(LEFT($I8,1)="C","🟡 nota C: vigílalo, sigue homologado","✓ coherente"))))</f>
        <v>✓ coherente</v>
      </c>
    </row>
    <row r="9">
      <c r="A9" s="8" t="n">
        <v>6</v>
      </c>
      <c r="B9" s="13" t="inlineStr">
        <is>
          <t>Higiene Profesional HORECA (ejemplo)</t>
        </is>
      </c>
      <c r="C9" s="13" t="n">
        <v>2</v>
      </c>
      <c r="D9" s="15" t="n">
        <v>3</v>
      </c>
      <c r="E9" s="13" t="n">
        <v>2</v>
      </c>
      <c r="F9" s="13" t="n">
        <v>2</v>
      </c>
      <c r="G9" s="13" t="n">
        <v>2</v>
      </c>
      <c r="H9" s="10">
        <f>IF(COUNT($C9:$G9)&lt;3,"",AVERAGE($C9:$G9))</f>
        <v>2.2</v>
      </c>
      <c r="I9" s="8" t="str">
        <f>IF($H9="","",IF($H9&gt;=4.5,"A — Preferente",IF($H9&gt;=3.5,"B — Válido",IF($H9&gt;=2.5,"C — Vigilar","D — Sustituir"))))</f>
        <v>D — Sustituir</v>
      </c>
      <c r="J9" t="str">
        <f>IF($I9="","",IF(IFERROR(VLOOKUP($B9,'Directorio Proveedores'!$B$4:$P$23,15,FALSE),"")&lt;&gt;"S","—",IF(LEFT($I9,1)="D","⚠ nota D y sigue homologado: revísalo",IF(LEFT($I9,1)="C","🟡 nota C: vigílalo, sigue homologado","✓ coherente"))))</f>
        <v>—</v>
      </c>
    </row>
    <row r="10">
      <c r="A10" s="7" t="n">
        <v>7</v>
      </c>
      <c r="B10" s="13" t="n"/>
      <c r="C10" s="13" t="n"/>
      <c r="D10" s="15" t="n"/>
      <c r="E10" s="13" t="n"/>
      <c r="F10" s="13" t="n"/>
      <c r="G10" s="13" t="n"/>
      <c r="H10" s="9">
        <f>IF(COUNT($C10:$G10)&lt;3,"",AVERAGE($C10:$G10))</f>
        <v/>
      </c>
      <c r="I10" s="7">
        <f>IF($H10="","",IF($H10&gt;=4.5,"A — Preferente",IF($H10&gt;=3.5,"B — Válido",IF($H10&gt;=2.5,"C — Vigilar","D — Sustituir"))))</f>
        <v/>
      </c>
      <c r="J10">
        <f>IF($I10="","",IF(IFERROR(VLOOKUP($B10,'Directorio Proveedores'!$B$4:$P$23,15,FALSE),"")&lt;&gt;"S","—",IF(LEFT($I10,1)="D","⚠ nota D y sigue homologado: revísalo",IF(LEFT($I10,1)="C","🟡 nota C: vigílalo, sigue homologado","✓ coherente"))))</f>
        <v/>
      </c>
    </row>
    <row r="11">
      <c r="A11" s="8" t="n">
        <v>8</v>
      </c>
      <c r="B11" s="13" t="n"/>
      <c r="C11" s="13" t="n"/>
      <c r="D11" s="15" t="n"/>
      <c r="E11" s="13" t="n"/>
      <c r="F11" s="13" t="n"/>
      <c r="G11" s="13" t="n"/>
      <c r="H11" s="10">
        <f>IF(COUNT($C11:$G11)&lt;3,"",AVERAGE($C11:$G11))</f>
        <v/>
      </c>
      <c r="I11" s="8">
        <f>IF($H11="","",IF($H11&gt;=4.5,"A — Preferente",IF($H11&gt;=3.5,"B — Válido",IF($H11&gt;=2.5,"C — Vigilar","D — Sustituir"))))</f>
        <v/>
      </c>
      <c r="J11">
        <f>IF($I11="","",IF(IFERROR(VLOOKUP($B11,'Directorio Proveedores'!$B$4:$P$23,15,FALSE),"")&lt;&gt;"S","—",IF(LEFT($I11,1)="D","⚠ nota D y sigue homologado: revísalo",IF(LEFT($I11,1)="C","🟡 nota C: vigílalo, sigue homologado","✓ coherente"))))</f>
        <v/>
      </c>
    </row>
    <row r="12">
      <c r="A12" s="7" t="n">
        <v>9</v>
      </c>
      <c r="B12" s="13" t="n"/>
      <c r="C12" s="13" t="n"/>
      <c r="D12" s="15" t="n"/>
      <c r="E12" s="13" t="n"/>
      <c r="F12" s="13" t="n"/>
      <c r="G12" s="13" t="n"/>
      <c r="H12" s="9">
        <f>IF(COUNT($C12:$G12)&lt;3,"",AVERAGE($C12:$G12))</f>
        <v/>
      </c>
      <c r="I12" s="7">
        <f>IF($H12="","",IF($H12&gt;=4.5,"A — Preferente",IF($H12&gt;=3.5,"B — Válido",IF($H12&gt;=2.5,"C — Vigilar","D — Sustituir"))))</f>
        <v/>
      </c>
      <c r="J12">
        <f>IF($I12="","",IF(IFERROR(VLOOKUP($B12,'Directorio Proveedores'!$B$4:$P$23,15,FALSE),"")&lt;&gt;"S","—",IF(LEFT($I12,1)="D","⚠ nota D y sigue homologado: revísalo",IF(LEFT($I12,1)="C","🟡 nota C: vigílalo, sigue homologado","✓ coherente"))))</f>
        <v/>
      </c>
    </row>
    <row r="13">
      <c r="A13" s="8" t="n">
        <v>10</v>
      </c>
      <c r="B13" s="13" t="n"/>
      <c r="C13" s="13" t="n"/>
      <c r="D13" s="15" t="n"/>
      <c r="E13" s="13" t="n"/>
      <c r="F13" s="13" t="n"/>
      <c r="G13" s="13" t="n"/>
      <c r="H13" s="10">
        <f>IF(COUNT($C13:$G13)&lt;3,"",AVERAGE($C13:$G13))</f>
        <v/>
      </c>
      <c r="I13" s="8">
        <f>IF($H13="","",IF($H13&gt;=4.5,"A — Preferente",IF($H13&gt;=3.5,"B — Válido",IF($H13&gt;=2.5,"C — Vigilar","D — Sustituir"))))</f>
        <v/>
      </c>
      <c r="J13">
        <f>IF($I13="","",IF(IFERROR(VLOOKUP($B13,'Directorio Proveedores'!$B$4:$P$23,15,FALSE),"")&lt;&gt;"S","—",IF(LEFT($I13,1)="D","⚠ nota D y sigue homologado: revísalo",IF(LEFT($I13,1)="C","🟡 nota C: vigílalo, sigue homologado","✓ coherente"))))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1:I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E57C2"/>
    <outlinePr summaryBelow="1" summaryRight="1"/>
    <pageSetUpPr fitToPage="1"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16" customWidth="1" min="4" max="4"/>
    <col width="12" customWidth="1" min="5" max="5"/>
    <col width="24" customWidth="1" min="6" max="6"/>
    <col width="18" customWidth="1" min="7" max="7"/>
    <col width="16" customWidth="1" min="8" max="8"/>
    <col width="16" customWidth="1" min="9" max="9"/>
    <col width="34" customWidth="1" min="10" max="10"/>
  </cols>
  <sheetData>
    <row r="1">
      <c r="A1" s="5" t="inlineStr">
        <is>
          <t>CONDICIONES COMERCIALES</t>
        </is>
      </c>
    </row>
    <row r="2">
      <c r="A2" s="12" t="inlineStr">
        <is>
          <t>Proveedor, plazo de pago, pedido mínimo y días de pedido y de reparto SE TRAEN SOLOS del Directorio de Proveedores: se escriben una vez y en un solo sitio. Lo que se rellena aquí es lo propio de la negociación: rappel, transporte, horario de entrega y notas.</t>
        </is>
      </c>
    </row>
    <row r="3">
      <c r="A3" s="6" t="inlineStr">
        <is>
          <t>#</t>
        </is>
      </c>
      <c r="B3" s="6" t="inlineStr">
        <is>
          <t>Proveedor</t>
        </is>
      </c>
      <c r="C3" s="6" t="inlineStr">
        <is>
          <t>Plazo de pago</t>
        </is>
      </c>
      <c r="D3" s="6" t="inlineStr">
        <is>
          <t>Pedido Mínimo (€)</t>
        </is>
      </c>
      <c r="E3" s="6" t="inlineStr">
        <is>
          <t>Rappel (%)</t>
        </is>
      </c>
      <c r="F3" s="6" t="inlineStr">
        <is>
          <t>Transporte</t>
        </is>
      </c>
      <c r="G3" s="6" t="inlineStr">
        <is>
          <t>Horario de entrega</t>
        </is>
      </c>
      <c r="H3" s="6" t="inlineStr">
        <is>
          <t>Días de pedido</t>
        </is>
      </c>
      <c r="I3" s="6" t="inlineStr">
        <is>
          <t>Días de reparto</t>
        </is>
      </c>
      <c r="J3" s="6" t="inlineStr">
        <is>
          <t>Notas</t>
        </is>
      </c>
    </row>
    <row r="4">
      <c r="A4" s="7" t="n">
        <v>1</v>
      </c>
      <c r="B4" s="7" t="str">
        <f>IF('Directorio Proveedores'!$B4="","",'Directorio Proveedores'!$B4)</f>
        <v>Cárnicas del Norte (ejemplo)</v>
      </c>
      <c r="C4" s="7" t="str">
        <f>IF('Directorio Proveedores'!$O4="","",'Directorio Proveedores'!$O4)</f>
        <v>30 días fecha factura</v>
      </c>
      <c r="D4" s="17">
        <f>IF('Directorio Proveedores'!$N4="","",'Directorio Proveedores'!$N4)</f>
        <v>150.0</v>
      </c>
      <c r="E4" s="23" t="n">
        <v>0.02</v>
      </c>
      <c r="F4" s="13" t="inlineStr">
        <is>
          <t>Incluido desde 150 €</t>
        </is>
      </c>
      <c r="G4" s="13" t="inlineStr">
        <is>
          <t>07:00 - 09:00</t>
        </is>
      </c>
      <c r="H4" s="24" t="str">
        <f>IF('Directorio Proveedores'!$K4="","",'Directorio Proveedores'!$K4)</f>
        <v>Lun y jue antes de 12:00</v>
      </c>
      <c r="I4" s="24" t="str">
        <f>IF('Directorio Proveedores'!$L4="","",'Directorio Proveedores'!$L4)</f>
        <v>Mar y vie</v>
      </c>
      <c r="J4" s="13" t="inlineStr">
        <is>
          <t>Portes de 12 € por debajo del mínimo.</t>
        </is>
      </c>
    </row>
    <row r="5">
      <c r="A5" s="8" t="n">
        <v>2</v>
      </c>
      <c r="B5" s="8" t="str">
        <f>IF('Directorio Proveedores'!$B5="","",'Directorio Proveedores'!$B5)</f>
        <v>Pescados Ría Fresca (ejemplo)</v>
      </c>
      <c r="C5" s="8" t="str">
        <f>IF('Directorio Proveedores'!$O5="","",'Directorio Proveedores'!$O5)</f>
        <v>15 días fecha factura</v>
      </c>
      <c r="D5" s="21">
        <f>IF('Directorio Proveedores'!$N5="","",'Directorio Proveedores'!$N5)</f>
        <v>120.0</v>
      </c>
      <c r="E5" s="23" t="n">
        <v>0</v>
      </c>
      <c r="F5" s="13" t="inlineStr">
        <is>
          <t>Incluido</t>
        </is>
      </c>
      <c r="G5" s="13" t="inlineStr">
        <is>
          <t>06:30 - 08:00</t>
        </is>
      </c>
      <c r="H5" s="25" t="str">
        <f>IF('Directorio Proveedores'!$K5="","",'Directorio Proveedores'!$K5)</f>
        <v>Diario antes de 17:00</v>
      </c>
      <c r="I5" s="25" t="str">
        <f>IF('Directorio Proveedores'!$L5="","",'Directorio Proveedores'!$L5)</f>
        <v>Mar a sáb</v>
      </c>
      <c r="J5" s="13" t="inlineStr">
        <is>
          <t>Subasta: el precio se cierra la víspera.</t>
        </is>
      </c>
    </row>
    <row r="6">
      <c r="A6" s="7" t="n">
        <v>3</v>
      </c>
      <c r="B6" s="7" t="str">
        <f>IF('Directorio Proveedores'!$B6="","",'Directorio Proveedores'!$B6)</f>
        <v>Frutas y Verduras La Huerta (ejemplo)</v>
      </c>
      <c r="C6" s="7" t="str">
        <f>IF('Directorio Proveedores'!$O6="","",'Directorio Proveedores'!$O6)</f>
        <v>Contado</v>
      </c>
      <c r="D6" s="17">
        <f>IF('Directorio Proveedores'!$N6="","",'Directorio Proveedores'!$N6)</f>
        <v>80.0</v>
      </c>
      <c r="E6" s="23" t="n">
        <v>0</v>
      </c>
      <c r="F6" s="13" t="inlineStr">
        <is>
          <t>Incluido desde 80 €</t>
        </is>
      </c>
      <c r="G6" s="13" t="inlineStr">
        <is>
          <t>06:00 - 08:00</t>
        </is>
      </c>
      <c r="H6" s="24" t="str">
        <f>IF('Directorio Proveedores'!$K6="","",'Directorio Proveedores'!$K6)</f>
        <v>Lun, mié y vie antes de 18:00</v>
      </c>
      <c r="I6" s="24" t="str">
        <f>IF('Directorio Proveedores'!$L6="","",'Directorio Proveedores'!$L6)</f>
        <v>Mar, jue y sáb</v>
      </c>
      <c r="J6" s="13" t="inlineStr">
        <is>
          <t>Sin pedido mínimo los sábados.</t>
        </is>
      </c>
    </row>
    <row r="7">
      <c r="A7" s="8" t="n">
        <v>4</v>
      </c>
      <c r="B7" s="8" t="str">
        <f>IF('Directorio Proveedores'!$B7="","",'Directorio Proveedores'!$B7)</f>
        <v>Distribuciones Economato Sur (ejemplo)</v>
      </c>
      <c r="C7" s="8" t="str">
        <f>IF('Directorio Proveedores'!$O7="","",'Directorio Proveedores'!$O7)</f>
        <v>45 días fecha factura</v>
      </c>
      <c r="D7" s="21">
        <f>IF('Directorio Proveedores'!$N7="","",'Directorio Proveedores'!$N7)</f>
        <v>250.0</v>
      </c>
      <c r="E7" s="23" t="n">
        <v>0.02</v>
      </c>
      <c r="F7" s="13" t="inlineStr">
        <is>
          <t>18 € por debajo del mínimo</t>
        </is>
      </c>
      <c r="G7" s="13" t="inlineStr">
        <is>
          <t>09:00 - 13:00</t>
        </is>
      </c>
      <c r="H7" s="25" t="str">
        <f>IF('Directorio Proveedores'!$K7="","",'Directorio Proveedores'!$K7)</f>
        <v>Mar antes de 14:00</v>
      </c>
      <c r="I7" s="25" t="str">
        <f>IF('Directorio Proveedores'!$L7="","",'Directorio Proveedores'!$L7)</f>
        <v>Jue</v>
      </c>
      <c r="J7" s="13" t="inlineStr">
        <is>
          <t>Rappel liquidado por trimestres.</t>
        </is>
      </c>
    </row>
    <row r="8">
      <c r="A8" s="7" t="n">
        <v>5</v>
      </c>
      <c r="B8" s="7" t="str">
        <f>IF('Directorio Proveedores'!$B8="","",'Directorio Proveedores'!$B8)</f>
        <v>Bebidas y Distribución Levante (ejemplo)</v>
      </c>
      <c r="C8" s="7" t="str">
        <f>IF('Directorio Proveedores'!$O8="","",'Directorio Proveedores'!$O8)</f>
        <v>30 días fecha factura</v>
      </c>
      <c r="D8" s="17">
        <f>IF('Directorio Proveedores'!$N8="","",'Directorio Proveedores'!$N8)</f>
        <v>200.0</v>
      </c>
      <c r="E8" s="23" t="n">
        <v>0.03</v>
      </c>
      <c r="F8" s="13" t="inlineStr">
        <is>
          <t>Incluido desde 200 €</t>
        </is>
      </c>
      <c r="G8" s="13" t="inlineStr">
        <is>
          <t>10:00 - 13:00</t>
        </is>
      </c>
      <c r="H8" s="24" t="str">
        <f>IF('Directorio Proveedores'!$K8="","",'Directorio Proveedores'!$K8)</f>
        <v>Lun antes de 12:00</v>
      </c>
      <c r="I8" s="24" t="str">
        <f>IF('Directorio Proveedores'!$L8="","",'Directorio Proveedores'!$L8)</f>
        <v>Mié</v>
      </c>
      <c r="J8" s="13" t="inlineStr">
        <is>
          <t>Depósito de barriles y botelleros.</t>
        </is>
      </c>
    </row>
    <row r="9">
      <c r="A9" s="8" t="n">
        <v>6</v>
      </c>
      <c r="B9" s="8" t="str">
        <f>IF('Directorio Proveedores'!$B9="","",'Directorio Proveedores'!$B9)</f>
        <v>Higiene Profesional HORECA (ejemplo)</v>
      </c>
      <c r="C9" s="8" t="str">
        <f>IF('Directorio Proveedores'!$O9="","",'Directorio Proveedores'!$O9)</f>
        <v>30 días fecha factura</v>
      </c>
      <c r="D9" s="21">
        <f>IF('Directorio Proveedores'!$N9="","",'Directorio Proveedores'!$N9)</f>
        <v>100.0</v>
      </c>
      <c r="E9" s="23" t="n">
        <v>0</v>
      </c>
      <c r="F9" s="13" t="inlineStr">
        <is>
          <t>Incluido desde 100 €</t>
        </is>
      </c>
      <c r="G9" s="13" t="inlineStr">
        <is>
          <t>11:00 - 14:00</t>
        </is>
      </c>
      <c r="H9" s="25" t="str">
        <f>IF('Directorio Proveedores'!$K9="","",'Directorio Proveedores'!$K9)</f>
        <v>Mié antes de 16:00</v>
      </c>
      <c r="I9" s="25" t="str">
        <f>IF('Directorio Proveedores'!$L9="","",'Directorio Proveedores'!$L9)</f>
        <v>Vie</v>
      </c>
      <c r="J9" s="13" t="inlineStr">
        <is>
          <t>Fichas de seguridad en cada entrega.</t>
        </is>
      </c>
    </row>
    <row r="10">
      <c r="A10" s="7" t="n">
        <v>7</v>
      </c>
      <c r="B10" s="7">
        <f>IF('Directorio Proveedores'!$B10="","",'Directorio Proveedores'!$B10)</f>
        <v/>
      </c>
      <c r="C10" s="7">
        <f>IF('Directorio Proveedores'!$O10="","",'Directorio Proveedores'!$O10)</f>
        <v/>
      </c>
      <c r="D10" s="17">
        <f>IF('Directorio Proveedores'!$N10="","",'Directorio Proveedores'!$N10)</f>
        <v/>
      </c>
      <c r="E10" s="23" t="n"/>
      <c r="F10" s="13" t="n"/>
      <c r="G10" s="13" t="n"/>
      <c r="H10" s="24">
        <f>IF('Directorio Proveedores'!$K10="","",'Directorio Proveedores'!$K10)</f>
        <v/>
      </c>
      <c r="I10" s="24">
        <f>IF('Directorio Proveedores'!$L10="","",'Directorio Proveedores'!$L10)</f>
        <v/>
      </c>
      <c r="J10" s="13" t="n"/>
    </row>
    <row r="11">
      <c r="A11" s="8" t="n">
        <v>8</v>
      </c>
      <c r="B11" s="8">
        <f>IF('Directorio Proveedores'!$B11="","",'Directorio Proveedores'!$B11)</f>
        <v/>
      </c>
      <c r="C11" s="8">
        <f>IF('Directorio Proveedores'!$O11="","",'Directorio Proveedores'!$O11)</f>
        <v/>
      </c>
      <c r="D11" s="21">
        <f>IF('Directorio Proveedores'!$N11="","",'Directorio Proveedores'!$N11)</f>
        <v/>
      </c>
      <c r="E11" s="23" t="n"/>
      <c r="F11" s="13" t="n"/>
      <c r="G11" s="13" t="n"/>
      <c r="H11" s="25">
        <f>IF('Directorio Proveedores'!$K11="","",'Directorio Proveedores'!$K11)</f>
        <v/>
      </c>
      <c r="I11" s="25">
        <f>IF('Directorio Proveedores'!$L11="","",'Directorio Proveedores'!$L11)</f>
        <v/>
      </c>
      <c r="J11" s="13" t="n"/>
    </row>
    <row r="12">
      <c r="A12" s="7" t="n">
        <v>9</v>
      </c>
      <c r="B12" s="7">
        <f>IF('Directorio Proveedores'!$B12="","",'Directorio Proveedores'!$B12)</f>
        <v/>
      </c>
      <c r="C12" s="7">
        <f>IF('Directorio Proveedores'!$O12="","",'Directorio Proveedores'!$O12)</f>
        <v/>
      </c>
      <c r="D12" s="17">
        <f>IF('Directorio Proveedores'!$N12="","",'Directorio Proveedores'!$N12)</f>
        <v/>
      </c>
      <c r="E12" s="23" t="n"/>
      <c r="F12" s="13" t="n"/>
      <c r="G12" s="13" t="n"/>
      <c r="H12" s="24">
        <f>IF('Directorio Proveedores'!$K12="","",'Directorio Proveedores'!$K12)</f>
        <v/>
      </c>
      <c r="I12" s="24">
        <f>IF('Directorio Proveedores'!$L12="","",'Directorio Proveedores'!$L12)</f>
        <v/>
      </c>
      <c r="J12" s="13" t="n"/>
    </row>
    <row r="13">
      <c r="A13" s="8" t="n">
        <v>10</v>
      </c>
      <c r="B13" s="8">
        <f>IF('Directorio Proveedores'!$B13="","",'Directorio Proveedores'!$B13)</f>
        <v/>
      </c>
      <c r="C13" s="8">
        <f>IF('Directorio Proveedores'!$O13="","",'Directorio Proveedores'!$O13)</f>
        <v/>
      </c>
      <c r="D13" s="21">
        <f>IF('Directorio Proveedores'!$N13="","",'Directorio Proveedores'!$N13)</f>
        <v/>
      </c>
      <c r="E13" s="23" t="n"/>
      <c r="F13" s="13" t="n"/>
      <c r="G13" s="13" t="n"/>
      <c r="H13" s="25">
        <f>IF('Directorio Proveedores'!$K13="","",'Directorio Proveedores'!$K13)</f>
        <v/>
      </c>
      <c r="I13" s="25">
        <f>IF('Directorio Proveedores'!$L13="","",'Directorio Proveedores'!$L13)</f>
        <v/>
      </c>
      <c r="J13" s="1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Fichas de Proveedores · Kit Control de Inventario y Compras</dc:title>
  <dc:description xmlns:dc="http://purl.org/dc/elements/1.1/">aichef.pro/kit-inventario</dc:description>
  <dc:subject xmlns:dc="http://purl.org/dc/elements/1.1/">Kit Control de Inventario y Compras · v2.0</dc:subject>
  <dcterms:created xmlns:dcterms="http://purl.org/dc/terms/" xmlns:xsi="http://www.w3.org/2001/XMLSchema-instance" xsi:type="dcterms:W3CDTF">2026-04-05T09:47:45Z</dcterms:created>
  <dcterms:modified xmlns:dcterms="http://purl.org/dc/terms/" xmlns:xsi="http://www.w3.org/2001/XMLSchema-instance" xsi:type="dcterms:W3CDTF">2026-08-23T23:12:27Z</dcterms:modified>
  <cp:lastModifiedBy>AI Chef Pro</cp:lastModifiedBy>
  <cp:category>AI Chef Pro · Productos digitales</cp:category>
  <cp:keywords>kit inventario, AI Chef Pro</cp:keywords>
</cp:coreProperties>
</file>