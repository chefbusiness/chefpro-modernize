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oste por Categoría" sheetId="2" state="visible" r:id="rId2"/>
    <sheet xmlns:r="http://schemas.openxmlformats.org/officeDocument/2006/relationships" name="Evolución Mensual" sheetId="3" state="visible" r:id="rId3"/>
    <sheet xmlns:r="http://schemas.openxmlformats.org/officeDocument/2006/relationships" name="Top 20 Productos" sheetId="4" state="visible" r:id="rId4"/>
    <sheet xmlns:r="http://schemas.openxmlformats.org/officeDocument/2006/relationships" name="Dashboard KPIs" sheetId="5" state="visible" r:id="rId5"/>
  </sheets>
  <definedNames>
    <definedName name="_xlnm.Print_Titles" localSheetId="1">'Coste por Categoría'!$3:$3</definedName>
    <definedName name="_xlnm.Print_Area" localSheetId="1">'Coste por Categoría'!$A$1:$O$16</definedName>
    <definedName name="_xlnm.Print_Titles" localSheetId="2">'Evolución Mensual'!$3:$3</definedName>
    <definedName name="_xlnm.Print_Area" localSheetId="2">'Evolución Mensual'!$A$1:$D$17</definedName>
    <definedName name="_xlnm.Print_Titles" localSheetId="3">'Top 20 Productos'!$3:$3</definedName>
    <definedName name="_xlnm.Print_Area" localSheetId="3">'Top 20 Productos'!$A$1:$M$33</definedName>
    <definedName name="_xlnm.Print_Titles" localSheetId="4">'Dashboard KPIs'!$3:$3</definedName>
    <definedName name="_xlnm.Print_Area" localSheetId="4">'Dashboard KPIs'!$A$1:$E$19</definedName>
  </definedNames>
  <calcPr calcId="124519" fullCalcOnLoad="1"/>
</workbook>
</file>

<file path=xl/styles.xml><?xml version="1.0" encoding="utf-8"?>
<styleSheet xmlns="http://schemas.openxmlformats.org/spreadsheetml/2006/main">
  <numFmts count="2">
    <numFmt numFmtId="164" formatCode="0.0%"/>
    <numFmt numFmtId="165" formatCode="#,##0.00 €"/>
  </numFmts>
  <fonts count="11">
    <font>
      <name val="Calibri"/>
      <family val="2"/>
      <color theme="1"/>
      <sz val="11"/>
      <scheme val="minor"/>
    </font>
    <font>
      <b val="1"/>
      <color rgb="00FFD700"/>
      <sz val="16"/>
    </font>
    <font>
      <color rgb="00888888"/>
      <sz val="10"/>
    </font>
    <font>
      <sz val="10"/>
    </font>
    <font>
      <b val="1"/>
      <color rgb="00FFD700"/>
      <sz val="14"/>
    </font>
    <font>
      <b val="1"/>
      <color rgb="00FFFFFF"/>
      <sz val="10"/>
    </font>
    <font>
      <b val="1"/>
      <sz val="11"/>
    </font>
    <font>
      <b val="1"/>
    </font>
    <font>
      <i val="1"/>
      <color rgb="00666666"/>
      <sz val="9"/>
    </font>
    <font>
      <b val="1"/>
      <color rgb="00FFFFFF"/>
      <sz val="13"/>
    </font>
    <font>
      <b val="1"/>
      <color rgb="002D2D2D"/>
      <sz val="11"/>
    </font>
  </fonts>
  <fills count="5">
    <fill>
      <patternFill/>
    </fill>
    <fill>
      <patternFill patternType="gray125"/>
    </fill>
    <fill>
      <patternFill patternType="solid">
        <fgColor rgb="002D2D2D"/>
      </patternFill>
    </fill>
    <fill>
      <patternFill patternType="solid">
        <fgColor rgb="00F5F5F5"/>
      </patternFill>
    </fill>
    <fill>
      <patternFill patternType="solid">
        <f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wrapText="1"/>
    </xf>
    <xf numFmtId="0" fontId="4" fillId="0" borderId="0" pivotButton="0" quotePrefix="0" xfId="0"/>
    <xf numFmtId="0" fontId="5" fillId="2" borderId="1" applyAlignment="1" pivotButton="0" quotePrefix="0" xfId="0">
      <alignment horizontal="center" vertical="center" wrapText="1"/>
    </xf>
    <xf numFmtId="0" fontId="3" fillId="0" borderId="1" applyAlignment="1" pivotButton="0" quotePrefix="0" xfId="0">
      <alignment vertical="center" wrapText="1"/>
    </xf>
    <xf numFmtId="4" fontId="3" fillId="0" borderId="1" applyAlignment="1" pivotButton="0" quotePrefix="0" xfId="0">
      <alignment vertical="center" wrapText="1"/>
    </xf>
    <xf numFmtId="0" fontId="3" fillId="3" borderId="1" applyAlignment="1" pivotButton="0" quotePrefix="0" xfId="0">
      <alignment vertical="center" wrapText="1"/>
    </xf>
    <xf numFmtId="4" fontId="3" fillId="3" borderId="1" applyAlignment="1" pivotButton="0" quotePrefix="0" xfId="0">
      <alignment vertical="center" wrapText="1"/>
    </xf>
    <xf numFmtId="0" fontId="6" fillId="0" borderId="0" pivotButton="0" quotePrefix="0" xfId="0"/>
    <xf numFmtId="4" fontId="7" fillId="0" borderId="0" pivotButton="0" quotePrefix="0" xfId="0"/>
    <xf numFmtId="0" fontId="3" fillId="0" borderId="0" applyAlignment="1" pivotButton="0" quotePrefix="0" xfId="0">
      <alignment vertical="top" wrapText="1"/>
    </xf>
    <xf numFmtId="0" fontId="8" fillId="0" borderId="0" applyAlignment="1" pivotButton="0" quotePrefix="0" xfId="0">
      <alignment vertical="center"/>
    </xf>
    <xf numFmtId="165" fontId="3" fillId="4" borderId="1" applyAlignment="1" applyProtection="1" pivotButton="0" quotePrefix="0" xfId="0">
      <alignment vertical="center" wrapText="1"/>
      <protection locked="0" hidden="0"/>
    </xf>
    <xf numFmtId="165" fontId="3" fillId="0" borderId="1" applyAlignment="1" pivotButton="0" quotePrefix="0" xfId="0">
      <alignment vertical="center" wrapText="1"/>
    </xf>
    <xf numFmtId="164" fontId="3" fillId="0" borderId="1" applyAlignment="1" pivotButton="0" quotePrefix="0" xfId="0">
      <alignment vertical="center" wrapText="1"/>
    </xf>
    <xf numFmtId="165" fontId="3" fillId="3" borderId="1" applyAlignment="1" pivotButton="0" quotePrefix="0" xfId="0">
      <alignment vertical="center" wrapText="1"/>
    </xf>
    <xf numFmtId="164" fontId="3" fillId="3" borderId="1" applyAlignment="1" pivotButton="0" quotePrefix="0" xfId="0">
      <alignment vertical="center" wrapText="1"/>
    </xf>
    <xf numFmtId="165" fontId="7" fillId="0" borderId="0" pivotButton="0" quotePrefix="0" xfId="0"/>
    <xf numFmtId="164" fontId="7" fillId="0" borderId="0" pivotButton="0" quotePrefix="0" xfId="0"/>
    <xf numFmtId="0" fontId="9" fillId="2" borderId="0" pivotButton="0" quotePrefix="0" xfId="0"/>
    <xf numFmtId="0" fontId="5" fillId="2" borderId="0" applyAlignment="1" pivotButton="0" quotePrefix="0" xfId="0">
      <alignment horizontal="center" vertical="center" wrapText="1"/>
    </xf>
    <xf numFmtId="165" fontId="0" fillId="0" borderId="0" pivotButton="0" quotePrefix="0" xfId="0"/>
    <xf numFmtId="164" fontId="0" fillId="0" borderId="0" pivotButton="0" quotePrefix="0" xfId="0"/>
    <xf numFmtId="0" fontId="0" fillId="3" borderId="0" pivotButton="0" quotePrefix="0" xfId="0"/>
    <xf numFmtId="165" fontId="0" fillId="3" borderId="0" pivotButton="0" quotePrefix="0" xfId="0"/>
    <xf numFmtId="164" fontId="0" fillId="3" borderId="0" pivotButton="0" quotePrefix="0" xfId="0"/>
    <xf numFmtId="0" fontId="3" fillId="4" borderId="1" applyAlignment="1" applyProtection="1" pivotButton="0" quotePrefix="0" xfId="0">
      <alignment vertical="center" wrapText="1"/>
      <protection locked="0" hidden="0"/>
    </xf>
    <xf numFmtId="0" fontId="7" fillId="0" borderId="0" pivotButton="0" quotePrefix="0" xfId="0"/>
    <xf numFmtId="164" fontId="7" fillId="0" borderId="1" applyAlignment="1" pivotButton="0" quotePrefix="0" xfId="0">
      <alignment vertical="center" wrapText="1"/>
    </xf>
    <xf numFmtId="164" fontId="3" fillId="4" borderId="1" applyAlignment="1" applyProtection="1" pivotButton="0" quotePrefix="0" xfId="0">
      <alignment vertical="center" wrapText="1"/>
      <protection locked="0" hidden="0"/>
    </xf>
    <xf numFmtId="0" fontId="3" fillId="0" borderId="1" applyAlignment="1" pivotButton="0" quotePrefix="0" xfId="0">
      <alignment vertical="top" wrapText="1"/>
    </xf>
    <xf numFmtId="0" fontId="7" fillId="0" borderId="0" applyAlignment="1" pivotButton="0" quotePrefix="0" xfId="0">
      <alignment horizontal="center" vertical="center"/>
    </xf>
    <xf numFmtId="165" fontId="7" fillId="3" borderId="1" applyAlignment="1" pivotButton="0" quotePrefix="0" xfId="0">
      <alignment vertical="center" wrapText="1"/>
    </xf>
    <xf numFmtId="0" fontId="3" fillId="3" borderId="1" applyAlignment="1" pivotButton="0" quotePrefix="0" xfId="0">
      <alignment vertical="top" wrapText="1"/>
    </xf>
    <xf numFmtId="165" fontId="7" fillId="0" borderId="1" applyAlignment="1" pivotButton="0" quotePrefix="0" xfId="0">
      <alignment vertical="center" wrapText="1"/>
    </xf>
    <xf numFmtId="164" fontId="7" fillId="3" borderId="1" applyAlignment="1" pivotButton="0" quotePrefix="0" xfId="0">
      <alignment vertical="center" wrapText="1"/>
    </xf>
    <xf numFmtId="1" fontId="7" fillId="0" borderId="1" applyAlignment="1" pivotButton="0" quotePrefix="0" xfId="0">
      <alignment vertical="center" wrapText="1"/>
    </xf>
    <xf numFmtId="1" fontId="3" fillId="4" borderId="1" applyAlignment="1" applyProtection="1" pivotButton="0" quotePrefix="0" xfId="0">
      <alignment vertical="center" wrapText="1"/>
      <protection locked="0" hidden="0"/>
    </xf>
    <xf numFmtId="0" fontId="0" fillId="4" borderId="0" applyProtection="1" pivotButton="0" quotePrefix="0" xfId="0">
      <protection locked="0" hidden="0"/>
    </xf>
    <xf numFmtId="0" fontId="0" fillId="0" borderId="0" applyAlignment="1" pivotButton="0" quotePrefix="0" xfId="0">
      <alignment vertical="top" wrapText="1"/>
    </xf>
    <xf numFmtId="0" fontId="10" fillId="0" borderId="0" pivotButton="0" quotePrefix="0" xfId="0"/>
    <xf numFmtId="165" fontId="0" fillId="4" borderId="0" applyProtection="1" pivotButton="0" quotePrefix="0" xfId="0">
      <protection locked="0" hidden="0"/>
    </xf>
    <xf numFmtId="1" fontId="0" fillId="4" borderId="0" applyProtection="1" pivotButton="0" quotePrefix="0" xfId="0">
      <protection locked="0" hidden="0"/>
    </xf>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A26"/>
  <sheetViews>
    <sheetView workbookViewId="0">
      <selection activeCell="A1" sqref="A1"/>
    </sheetView>
  </sheetViews>
  <sheetFormatPr baseColWidth="8" defaultRowHeight="15"/>
  <cols>
    <col width="80" customWidth="1" min="1" max="1"/>
  </cols>
  <sheetData>
    <row r="1">
      <c r="A1" s="1" t="inlineStr">
        <is>
          <t>Análisis de Costes de Compras</t>
        </is>
      </c>
    </row>
    <row r="2">
      <c r="A2" s="2" t="inlineStr">
        <is>
          <t>AI Chef Pro — aichef.pro</t>
        </is>
      </c>
    </row>
    <row r="3">
      <c r="A3" s="3" t="n"/>
    </row>
    <row r="4">
      <c r="A4" s="4" t="inlineStr">
        <is>
          <t>Mira en qué se te va el dinero de las compras y calcula tus KPIs de coste.</t>
        </is>
      </c>
    </row>
    <row r="5">
      <c r="A5" s="4" t="n"/>
    </row>
    <row r="6">
      <c r="A6" s="4" t="inlineStr">
        <is>
          <t>TODOS LOS IMPORTES VAN SIN IVA (BASE IMPONIBLE).</t>
        </is>
      </c>
    </row>
    <row r="7">
      <c r="A7" s="4" t="inlineStr">
        <is>
          <t>El IVA soportado se deduce: no forma parte del food cost. Si copias el total de la factura en vez de la base imponible, tu food cost sale entre un 4 % y un 21 % inflado y todas las decisiones que tomes con él serán erróneas.</t>
        </is>
      </c>
    </row>
    <row r="8">
      <c r="A8" s="4" t="n"/>
    </row>
    <row r="9">
      <c r="A9" s="4" t="inlineStr">
        <is>
          <t>PESTAÑAS:</t>
        </is>
      </c>
    </row>
    <row r="10">
      <c r="A10" s="4" t="inlineStr">
        <is>
          <t>1. Coste por Categoría — las 10 categorías del kit, mes a mes; es la tabla que alimenta a todas las demás</t>
        </is>
      </c>
    </row>
    <row r="11">
      <c r="A11" s="4" t="inlineStr">
        <is>
          <t>2. Evolución Mensual — el total de cada mes, su variación y el acumulado del año</t>
        </is>
      </c>
    </row>
    <row r="12">
      <c r="A12" s="4" t="inlineStr">
        <is>
          <t>3. Top 20 Productos — los productos que más dinero se llevan, con la alerta de subida de precio y el ranking Top 5, que se ordena solo (no hace falta que ordenes la tabla)</t>
        </is>
      </c>
    </row>
    <row r="13">
      <c r="A13" s="4" t="inlineStr">
        <is>
          <t>4. Dashboard KPIs — food cost, coste por cubierto y variación, calculados de verdad</t>
        </is>
      </c>
    </row>
    <row r="14"/>
    <row r="15">
      <c r="A15" s="4" t="inlineStr">
        <is>
          <t>CÓMO SE USA:</t>
        </is>
      </c>
    </row>
    <row r="16">
      <c r="A16" s="4" t="inlineStr">
        <is>
          <t>Carga cada mes el gasto por categoría en Coste por Categoría. El resto del libro se calcula solo.</t>
        </is>
      </c>
    </row>
    <row r="17">
      <c r="A17" s="4" t="inlineStr">
        <is>
          <t>En el Dashboard eliges el PERIODO en una casilla verde: un mes concreto o «Año completo». Las ventas, los cubiertos y las existencias que pongas tienen que ser las de ese mismo periodo, y los objetivos (food cost, variación, subidas de precio) también son tuyos: son casillas verdes, cámbialos.</t>
        </is>
      </c>
    </row>
    <row r="18">
      <c r="A18" s="4" t="inlineStr">
        <is>
          <t>La columna Estado del Dashboard es un semáforo de verdad: verde dentro del objetivo, ámbar hasta un 10 % por encima y rojo a partir de ahí.</t>
        </is>
      </c>
    </row>
    <row r="19">
      <c r="A19" s="4" t="inlineStr">
        <is>
          <t>El food cost real es de CONSUMO, no de compras: existencias iniciales más compras menos existencias finales. Por eso el dashboard pide las dos existencias, que salen de la plantilla 01 o del BONUS-08.</t>
        </is>
      </c>
    </row>
    <row r="20">
      <c r="A20" s="4" t="inlineStr">
        <is>
          <t>El coste por cubierto deja fuera Limpieza y Otros: no son materia prima. Y su objetivo no es una cifra fija en euros, sino un porcentaje de tu ticket medio (el 30 % que trae por defecto).</t>
        </is>
      </c>
    </row>
    <row r="21"/>
    <row r="22">
      <c r="A22" s="4" t="inlineStr">
        <is>
          <t>Las filas de ejemplo llevan datos inventados para que veas el libro funcionando: bórralos y pon los tuyos.</t>
        </is>
      </c>
    </row>
    <row r="23"/>
    <row r="24">
      <c r="A24" s="13" t="inlineStr">
        <is>
          <t>Para editar una celda bloqueada: Revisar → Desproteger hoja (no tiene contraseña). Las celdas verdes ya son editables sin desproteger nada.</t>
        </is>
      </c>
    </row>
    <row r="25">
      <c r="A25" s="13" t="inlineStr">
        <is>
          <t>Diseñado por John Guerrero — chef y consultor gastronómico desde 2010, en cocina desde los 17 años · johnguerrero.es</t>
        </is>
      </c>
    </row>
    <row r="26">
      <c r="A26" s="13" t="inlineStr">
        <is>
          <t>Versión 2.0 · agosto 2026 · aichef.pro/kit-inventario · info@aichef.pro</t>
        </is>
      </c>
    </row>
  </sheetData>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FFD700"/>
    <outlinePr summaryBelow="1" summaryRight="1"/>
    <pageSetUpPr fitToPage="1"/>
  </sheetPr>
  <dimension ref="A1:O16"/>
  <sheetViews>
    <sheetView workbookViewId="0">
      <pane ySplit="3" topLeftCell="A4" activePane="bottomLeft" state="frozen"/>
      <selection pane="bottomLeft" activeCell="A1" sqref="A1"/>
    </sheetView>
  </sheetViews>
  <sheetFormatPr baseColWidth="8" defaultRowHeight="15"/>
  <cols>
    <col width="18"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2" customWidth="1" min="14" max="14"/>
    <col width="10" customWidth="1" min="15" max="15"/>
  </cols>
  <sheetData>
    <row r="1">
      <c r="A1" s="5" t="inlineStr">
        <is>
          <t>COSTE DE COMPRAS POR CATEGORÍA (€, SIN IVA)</t>
        </is>
      </c>
    </row>
    <row r="2">
      <c r="A2" s="14" t="inlineStr">
        <is>
          <t>Todos los importes SIN IVA (base imponible). La columna de enero trae datos de ejemplo: bórralos y carga los tuyos.</t>
        </is>
      </c>
    </row>
    <row r="3">
      <c r="A3" s="6" t="inlineStr">
        <is>
          <t>Categoría</t>
        </is>
      </c>
      <c r="B3" s="6" t="inlineStr">
        <is>
          <t>Ene</t>
        </is>
      </c>
      <c r="C3" s="6" t="inlineStr">
        <is>
          <t>Feb</t>
        </is>
      </c>
      <c r="D3" s="6" t="inlineStr">
        <is>
          <t>Mar</t>
        </is>
      </c>
      <c r="E3" s="6" t="inlineStr">
        <is>
          <t>Abr</t>
        </is>
      </c>
      <c r="F3" s="6" t="inlineStr">
        <is>
          <t>May</t>
        </is>
      </c>
      <c r="G3" s="6" t="inlineStr">
        <is>
          <t>Jun</t>
        </is>
      </c>
      <c r="H3" s="6" t="inlineStr">
        <is>
          <t>Jul</t>
        </is>
      </c>
      <c r="I3" s="6" t="inlineStr">
        <is>
          <t>Ago</t>
        </is>
      </c>
      <c r="J3" s="6" t="inlineStr">
        <is>
          <t>Sep</t>
        </is>
      </c>
      <c r="K3" s="6" t="inlineStr">
        <is>
          <t>Oct</t>
        </is>
      </c>
      <c r="L3" s="6" t="inlineStr">
        <is>
          <t>Nov</t>
        </is>
      </c>
      <c r="M3" s="6" t="inlineStr">
        <is>
          <t>Dic</t>
        </is>
      </c>
      <c r="N3" s="6" t="inlineStr">
        <is>
          <t>Total año (€, sin IVA)</t>
        </is>
      </c>
      <c r="O3" s="6" t="inlineStr">
        <is>
          <t>% del Total</t>
        </is>
      </c>
    </row>
    <row r="4">
      <c r="A4" s="7" t="inlineStr">
        <is>
          <t>Cárnicos</t>
        </is>
      </c>
      <c r="B4" s="15" t="n">
        <v>2850</v>
      </c>
      <c r="C4" s="15" t="n"/>
      <c r="D4" s="15" t="n"/>
      <c r="E4" s="15" t="n"/>
      <c r="F4" s="15" t="n"/>
      <c r="G4" s="15" t="n"/>
      <c r="H4" s="15" t="n"/>
      <c r="I4" s="15" t="n"/>
      <c r="J4" s="15" t="n"/>
      <c r="K4" s="15" t="n"/>
      <c r="L4" s="15" t="n"/>
      <c r="M4" s="15" t="n"/>
      <c r="N4" s="16">
        <f>SUM(B4:M4)</f>
        <v>2850.0</v>
      </c>
      <c r="O4" s="17">
        <f>IFERROR($N4/$N$14,"")</f>
        <v>0.27403846153846156</v>
      </c>
    </row>
    <row r="5">
      <c r="A5" s="9" t="inlineStr">
        <is>
          <t>Pescados</t>
        </is>
      </c>
      <c r="B5" s="15" t="n">
        <v>1980</v>
      </c>
      <c r="C5" s="15" t="n"/>
      <c r="D5" s="15" t="n"/>
      <c r="E5" s="15" t="n"/>
      <c r="F5" s="15" t="n"/>
      <c r="G5" s="15" t="n"/>
      <c r="H5" s="15" t="n"/>
      <c r="I5" s="15" t="n"/>
      <c r="J5" s="15" t="n"/>
      <c r="K5" s="15" t="n"/>
      <c r="L5" s="15" t="n"/>
      <c r="M5" s="15" t="n"/>
      <c r="N5" s="18">
        <f>SUM(B5:M5)</f>
        <v>1980.0</v>
      </c>
      <c r="O5" s="19">
        <f>IFERROR($N5/$N$14,"")</f>
        <v>0.19038461538461537</v>
      </c>
    </row>
    <row r="6">
      <c r="A6" s="7" t="inlineStr">
        <is>
          <t>Lácteos</t>
        </is>
      </c>
      <c r="B6" s="15" t="n">
        <v>620</v>
      </c>
      <c r="C6" s="15" t="n"/>
      <c r="D6" s="15" t="n"/>
      <c r="E6" s="15" t="n"/>
      <c r="F6" s="15" t="n"/>
      <c r="G6" s="15" t="n"/>
      <c r="H6" s="15" t="n"/>
      <c r="I6" s="15" t="n"/>
      <c r="J6" s="15" t="n"/>
      <c r="K6" s="15" t="n"/>
      <c r="L6" s="15" t="n"/>
      <c r="M6" s="15" t="n"/>
      <c r="N6" s="16">
        <f>SUM(B6:M6)</f>
        <v>620.0</v>
      </c>
      <c r="O6" s="17">
        <f>IFERROR($N6/$N$14,"")</f>
        <v>0.05961538461538462</v>
      </c>
    </row>
    <row r="7">
      <c r="A7" s="9" t="inlineStr">
        <is>
          <t>Verduras/Frutas</t>
        </is>
      </c>
      <c r="B7" s="15" t="n">
        <v>1150</v>
      </c>
      <c r="C7" s="15" t="n"/>
      <c r="D7" s="15" t="n"/>
      <c r="E7" s="15" t="n"/>
      <c r="F7" s="15" t="n"/>
      <c r="G7" s="15" t="n"/>
      <c r="H7" s="15" t="n"/>
      <c r="I7" s="15" t="n"/>
      <c r="J7" s="15" t="n"/>
      <c r="K7" s="15" t="n"/>
      <c r="L7" s="15" t="n"/>
      <c r="M7" s="15" t="n"/>
      <c r="N7" s="18">
        <f>SUM(B7:M7)</f>
        <v>1150.0</v>
      </c>
      <c r="O7" s="19">
        <f>IFERROR($N7/$N$14,"")</f>
        <v>0.11057692307692307</v>
      </c>
    </row>
    <row r="8">
      <c r="A8" s="7" t="inlineStr">
        <is>
          <t>Secos/Granos</t>
        </is>
      </c>
      <c r="B8" s="15" t="n">
        <v>1240</v>
      </c>
      <c r="C8" s="15" t="n"/>
      <c r="D8" s="15" t="n"/>
      <c r="E8" s="15" t="n"/>
      <c r="F8" s="15" t="n"/>
      <c r="G8" s="15" t="n"/>
      <c r="H8" s="15" t="n"/>
      <c r="I8" s="15" t="n"/>
      <c r="J8" s="15" t="n"/>
      <c r="K8" s="15" t="n"/>
      <c r="L8" s="15" t="n"/>
      <c r="M8" s="15" t="n"/>
      <c r="N8" s="16">
        <f>SUM(B8:M8)</f>
        <v>1240.0</v>
      </c>
      <c r="O8" s="17">
        <f>IFERROR($N8/$N$14,"")</f>
        <v>0.11923076923076924</v>
      </c>
    </row>
    <row r="9">
      <c r="A9" s="9" t="inlineStr">
        <is>
          <t>Congelados</t>
        </is>
      </c>
      <c r="B9" s="15" t="n">
        <v>480</v>
      </c>
      <c r="C9" s="15" t="n"/>
      <c r="D9" s="15" t="n"/>
      <c r="E9" s="15" t="n"/>
      <c r="F9" s="15" t="n"/>
      <c r="G9" s="15" t="n"/>
      <c r="H9" s="15" t="n"/>
      <c r="I9" s="15" t="n"/>
      <c r="J9" s="15" t="n"/>
      <c r="K9" s="15" t="n"/>
      <c r="L9" s="15" t="n"/>
      <c r="M9" s="15" t="n"/>
      <c r="N9" s="18">
        <f>SUM(B9:M9)</f>
        <v>480.0</v>
      </c>
      <c r="O9" s="19">
        <f>IFERROR($N9/$N$14,"")</f>
        <v>0.046153846153846156</v>
      </c>
    </row>
    <row r="10">
      <c r="A10" s="7" t="inlineStr">
        <is>
          <t>Bebidas Alcohólicas</t>
        </is>
      </c>
      <c r="B10" s="15" t="n">
        <v>980</v>
      </c>
      <c r="C10" s="15" t="n"/>
      <c r="D10" s="15" t="n"/>
      <c r="E10" s="15" t="n"/>
      <c r="F10" s="15" t="n"/>
      <c r="G10" s="15" t="n"/>
      <c r="H10" s="15" t="n"/>
      <c r="I10" s="15" t="n"/>
      <c r="J10" s="15" t="n"/>
      <c r="K10" s="15" t="n"/>
      <c r="L10" s="15" t="n"/>
      <c r="M10" s="15" t="n"/>
      <c r="N10" s="16">
        <f>SUM(B10:M10)</f>
        <v>980.0</v>
      </c>
      <c r="O10" s="17">
        <f>IFERROR($N10/$N$14,"")</f>
        <v>0.09423076923076923</v>
      </c>
    </row>
    <row r="11">
      <c r="A11" s="9" t="inlineStr">
        <is>
          <t>Bebidas No Alcohólicas</t>
        </is>
      </c>
      <c r="B11" s="15" t="n">
        <v>540</v>
      </c>
      <c r="C11" s="15" t="n"/>
      <c r="D11" s="15" t="n"/>
      <c r="E11" s="15" t="n"/>
      <c r="F11" s="15" t="n"/>
      <c r="G11" s="15" t="n"/>
      <c r="H11" s="15" t="n"/>
      <c r="I11" s="15" t="n"/>
      <c r="J11" s="15" t="n"/>
      <c r="K11" s="15" t="n"/>
      <c r="L11" s="15" t="n"/>
      <c r="M11" s="15" t="n"/>
      <c r="N11" s="18">
        <f>SUM(B11:M11)</f>
        <v>540.0</v>
      </c>
      <c r="O11" s="19">
        <f>IFERROR($N11/$N$14,"")</f>
        <v>0.051923076923076926</v>
      </c>
    </row>
    <row r="12">
      <c r="A12" s="7" t="inlineStr">
        <is>
          <t>Limpieza</t>
        </is>
      </c>
      <c r="B12" s="15" t="n">
        <v>380</v>
      </c>
      <c r="C12" s="15" t="n"/>
      <c r="D12" s="15" t="n"/>
      <c r="E12" s="15" t="n"/>
      <c r="F12" s="15" t="n"/>
      <c r="G12" s="15" t="n"/>
      <c r="H12" s="15" t="n"/>
      <c r="I12" s="15" t="n"/>
      <c r="J12" s="15" t="n"/>
      <c r="K12" s="15" t="n"/>
      <c r="L12" s="15" t="n"/>
      <c r="M12" s="15" t="n"/>
      <c r="N12" s="16">
        <f>SUM(B12:M12)</f>
        <v>380.0</v>
      </c>
      <c r="O12" s="17">
        <f>IFERROR($N12/$N$14,"")</f>
        <v>0.03653846153846154</v>
      </c>
    </row>
    <row r="13">
      <c r="A13" s="9" t="inlineStr">
        <is>
          <t>Otros</t>
        </is>
      </c>
      <c r="B13" s="15" t="n">
        <v>180</v>
      </c>
      <c r="C13" s="15" t="n"/>
      <c r="D13" s="15" t="n"/>
      <c r="E13" s="15" t="n"/>
      <c r="F13" s="15" t="n"/>
      <c r="G13" s="15" t="n"/>
      <c r="H13" s="15" t="n"/>
      <c r="I13" s="15" t="n"/>
      <c r="J13" s="15" t="n"/>
      <c r="K13" s="15" t="n"/>
      <c r="L13" s="15" t="n"/>
      <c r="M13" s="15" t="n"/>
      <c r="N13" s="18">
        <f>SUM(B13:M13)</f>
        <v>180.0</v>
      </c>
      <c r="O13" s="19">
        <f>IFERROR($N13/$N$14,"")</f>
        <v>0.01730769230769231</v>
      </c>
    </row>
    <row r="14">
      <c r="A14" s="11" t="inlineStr">
        <is>
          <t>TOTAL</t>
        </is>
      </c>
      <c r="B14" s="20">
        <f>SUM(B4:B13)</f>
        <v>10400.0</v>
      </c>
      <c r="C14" s="20">
        <f>SUM(C4:C13)</f>
        <v>0.0</v>
      </c>
      <c r="D14" s="20">
        <f>SUM(D4:D13)</f>
        <v>0.0</v>
      </c>
      <c r="E14" s="20">
        <f>SUM(E4:E13)</f>
        <v>0.0</v>
      </c>
      <c r="F14" s="20">
        <f>SUM(F4:F13)</f>
        <v>0.0</v>
      </c>
      <c r="G14" s="20">
        <f>SUM(G4:G13)</f>
        <v>0.0</v>
      </c>
      <c r="H14" s="20">
        <f>SUM(H4:H13)</f>
        <v>0.0</v>
      </c>
      <c r="I14" s="20">
        <f>SUM(I4:I13)</f>
        <v>0.0</v>
      </c>
      <c r="J14" s="20">
        <f>SUM(J4:J13)</f>
        <v>0.0</v>
      </c>
      <c r="K14" s="20">
        <f>SUM(K4:K13)</f>
        <v>0.0</v>
      </c>
      <c r="L14" s="20">
        <f>SUM(L4:L13)</f>
        <v>0.0</v>
      </c>
      <c r="M14" s="20">
        <f>SUM(M4:M13)</f>
        <v>0.0</v>
      </c>
      <c r="N14" s="20">
        <f>SUM(N4:N13)</f>
        <v>10400.0</v>
      </c>
      <c r="O14" s="21">
        <f>IFERROR($N14/$N$14,"")</f>
        <v>1.0</v>
      </c>
    </row>
    <row r="15"/>
    <row r="16">
      <c r="A16" s="14" t="inlineStr">
        <is>
          <t>La fila 14 (TOTAL) es la que lee el Dashboard KPIs. Allí eliges en una casilla verde QUÉ periodo mides: un mes concreto o el año completo. Las ventas, los cubiertos y las existencias que pongas en el dashboard tienen que ser las de ese mismo periodo.</t>
        </is>
      </c>
    </row>
  </sheetData>
  <sheetProtection selectLockedCells="0" selectUnlockedCells="0" sheet="1" objects="0" insertRows="1" insertHyperlinks="1" autoFilter="0" scenarios="0" formatColumns="0" deleteColumns="1" insertColumns="1" pivotTables="1" deleteRows="1" formatCells="1" formatRows="0" sort="0"/>
  <mergeCells count="1">
    <mergeCell ref="A1:O1"/>
  </mergeCell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D17"/>
  <sheetViews>
    <sheetView workbookViewId="0">
      <pane ySplit="3" topLeftCell="A4" activePane="bottomLeft" state="frozen"/>
      <selection pane="bottomLeft" activeCell="A1" sqref="A1"/>
    </sheetView>
  </sheetViews>
  <sheetFormatPr baseColWidth="8" defaultRowHeight="15"/>
  <cols>
    <col width="18" customWidth="1" min="1" max="1"/>
    <col width="24" customWidth="1" min="2" max="2"/>
    <col width="30" customWidth="1" min="3" max="3"/>
    <col width="24" customWidth="1" min="4" max="4"/>
  </cols>
  <sheetData>
    <row r="1">
      <c r="A1" s="22" t="inlineStr">
        <is>
          <t>EVOLUCIÓN MENSUAL DEL GASTO EN COMPRAS (€, SIN IVA)</t>
        </is>
      </c>
    </row>
    <row r="2">
      <c r="A2" s="14" t="inlineStr">
        <is>
          <t>No se escribe nada aquí: sale entero de la fila TOTAL de Coste por Categoría.</t>
        </is>
      </c>
    </row>
    <row r="3">
      <c r="A3" s="23" t="inlineStr">
        <is>
          <t>Mes</t>
        </is>
      </c>
      <c r="B3" s="23" t="inlineStr">
        <is>
          <t>Compras del mes (€)</t>
        </is>
      </c>
      <c r="C3" s="23" t="inlineStr">
        <is>
          <t>Variación vs mes anterior (%)</t>
        </is>
      </c>
      <c r="D3" s="23" t="inlineStr">
        <is>
          <t>Acumulado del año (€)</t>
        </is>
      </c>
    </row>
    <row r="4">
      <c r="A4" t="inlineStr">
        <is>
          <t>Enero</t>
        </is>
      </c>
      <c r="B4" s="24">
        <f>'Coste por Categoría'!B$14</f>
        <v>10400.0</v>
      </c>
      <c r="C4" s="25" t="n"/>
      <c r="D4" s="24">
        <f>SUM($B$4:$B4)</f>
        <v>10400.0</v>
      </c>
    </row>
    <row r="5">
      <c r="A5" s="26" t="inlineStr">
        <is>
          <t>Febrero</t>
        </is>
      </c>
      <c r="B5" s="27">
        <f>'Coste por Categoría'!C$14</f>
        <v>0.0</v>
      </c>
      <c r="C5" s="28">
        <f>IF(OR($B4=0,$B5=0),"",IFERROR($B5/$B4-1,""))</f>
        <v/>
      </c>
      <c r="D5" s="27">
        <f>SUM($B$4:$B5)</f>
        <v>10400.0</v>
      </c>
    </row>
    <row r="6">
      <c r="A6" t="inlineStr">
        <is>
          <t>Marzo</t>
        </is>
      </c>
      <c r="B6" s="24">
        <f>'Coste por Categoría'!D$14</f>
        <v>0.0</v>
      </c>
      <c r="C6" s="25">
        <f>IF(OR($B5=0,$B6=0),"",IFERROR($B6/$B5-1,""))</f>
        <v/>
      </c>
      <c r="D6" s="24">
        <f>SUM($B$4:$B6)</f>
        <v>10400.0</v>
      </c>
    </row>
    <row r="7">
      <c r="A7" s="26" t="inlineStr">
        <is>
          <t>Abril</t>
        </is>
      </c>
      <c r="B7" s="27">
        <f>'Coste por Categoría'!E$14</f>
        <v>0.0</v>
      </c>
      <c r="C7" s="28">
        <f>IF(OR($B6=0,$B7=0),"",IFERROR($B7/$B6-1,""))</f>
        <v/>
      </c>
      <c r="D7" s="27">
        <f>SUM($B$4:$B7)</f>
        <v>10400.0</v>
      </c>
    </row>
    <row r="8">
      <c r="A8" t="inlineStr">
        <is>
          <t>Mayo</t>
        </is>
      </c>
      <c r="B8" s="24">
        <f>'Coste por Categoría'!F$14</f>
        <v>0.0</v>
      </c>
      <c r="C8" s="25">
        <f>IF(OR($B7=0,$B8=0),"",IFERROR($B8/$B7-1,""))</f>
        <v/>
      </c>
      <c r="D8" s="24">
        <f>SUM($B$4:$B8)</f>
        <v>10400.0</v>
      </c>
    </row>
    <row r="9">
      <c r="A9" s="26" t="inlineStr">
        <is>
          <t>Junio</t>
        </is>
      </c>
      <c r="B9" s="27">
        <f>'Coste por Categoría'!G$14</f>
        <v>0.0</v>
      </c>
      <c r="C9" s="28">
        <f>IF(OR($B8=0,$B9=0),"",IFERROR($B9/$B8-1,""))</f>
        <v/>
      </c>
      <c r="D9" s="27">
        <f>SUM($B$4:$B9)</f>
        <v>10400.0</v>
      </c>
    </row>
    <row r="10">
      <c r="A10" t="inlineStr">
        <is>
          <t>Julio</t>
        </is>
      </c>
      <c r="B10" s="24">
        <f>'Coste por Categoría'!H$14</f>
        <v>0.0</v>
      </c>
      <c r="C10" s="25">
        <f>IF(OR($B9=0,$B10=0),"",IFERROR($B10/$B9-1,""))</f>
        <v/>
      </c>
      <c r="D10" s="24">
        <f>SUM($B$4:$B10)</f>
        <v>10400.0</v>
      </c>
    </row>
    <row r="11">
      <c r="A11" s="26" t="inlineStr">
        <is>
          <t>Agosto</t>
        </is>
      </c>
      <c r="B11" s="27">
        <f>'Coste por Categoría'!I$14</f>
        <v>0.0</v>
      </c>
      <c r="C11" s="28">
        <f>IF(OR($B10=0,$B11=0),"",IFERROR($B11/$B10-1,""))</f>
        <v/>
      </c>
      <c r="D11" s="27">
        <f>SUM($B$4:$B11)</f>
        <v>10400.0</v>
      </c>
    </row>
    <row r="12">
      <c r="A12" t="inlineStr">
        <is>
          <t>Septiembre</t>
        </is>
      </c>
      <c r="B12" s="24">
        <f>'Coste por Categoría'!J$14</f>
        <v>0.0</v>
      </c>
      <c r="C12" s="25">
        <f>IF(OR($B11=0,$B12=0),"",IFERROR($B12/$B11-1,""))</f>
        <v/>
      </c>
      <c r="D12" s="24">
        <f>SUM($B$4:$B12)</f>
        <v>10400.0</v>
      </c>
    </row>
    <row r="13">
      <c r="A13" s="26" t="inlineStr">
        <is>
          <t>Octubre</t>
        </is>
      </c>
      <c r="B13" s="27">
        <f>'Coste por Categoría'!K$14</f>
        <v>0.0</v>
      </c>
      <c r="C13" s="28">
        <f>IF(OR($B12=0,$B13=0),"",IFERROR($B13/$B12-1,""))</f>
        <v/>
      </c>
      <c r="D13" s="27">
        <f>SUM($B$4:$B13)</f>
        <v>10400.0</v>
      </c>
    </row>
    <row r="14">
      <c r="A14" t="inlineStr">
        <is>
          <t>Noviembre</t>
        </is>
      </c>
      <c r="B14" s="24">
        <f>'Coste por Categoría'!L$14</f>
        <v>0.0</v>
      </c>
      <c r="C14" s="25">
        <f>IF(OR($B13=0,$B14=0),"",IFERROR($B14/$B13-1,""))</f>
        <v/>
      </c>
      <c r="D14" s="24">
        <f>SUM($B$4:$B14)</f>
        <v>10400.0</v>
      </c>
    </row>
    <row r="15">
      <c r="A15" s="26" t="inlineStr">
        <is>
          <t>Diciembre</t>
        </is>
      </c>
      <c r="B15" s="27">
        <f>'Coste por Categoría'!M$14</f>
        <v>0.0</v>
      </c>
      <c r="C15" s="28">
        <f>IF(OR($B14=0,$B15=0),"",IFERROR($B15/$B14-1,""))</f>
        <v/>
      </c>
      <c r="D15" s="27">
        <f>SUM($B$4:$B15)</f>
        <v>10400.0</v>
      </c>
    </row>
    <row r="16"/>
    <row r="17">
      <c r="A17" s="14" t="inlineStr">
        <is>
          <t>La variación se deja en blanco mientras alguno de los dos meses esté a cero: un mes sin cargar no es una caída del 100 %.</t>
        </is>
      </c>
    </row>
  </sheetData>
  <sheetProtection selectLockedCells="0" selectUnlockedCells="0" sheet="1" objects="0" insertRows="1" insertHyperlinks="1" autoFilter="0" scenarios="0" formatColumns="0" deleteColumns="1" insertColumns="1" pivotTables="1" deleteRows="1" formatCells="1" formatRows="0" sort="0"/>
  <mergeCells count="1">
    <mergeCell ref="A1:D1"/>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tabColor rgb="00FFB800"/>
    <outlinePr summaryBelow="1" summaryRight="1"/>
    <pageSetUpPr fitToPage="1"/>
  </sheetPr>
  <dimension ref="A1:M33"/>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11" customWidth="1" min="4" max="4"/>
    <col width="17" customWidth="1" min="5" max="5"/>
    <col width="17" customWidth="1" min="6" max="6"/>
    <col width="13" customWidth="1" min="7" max="7"/>
    <col width="18" customWidth="1" min="8" max="8"/>
    <col width="17" customWidth="1" min="9" max="9"/>
    <col width="16" customWidth="1" min="10" max="10"/>
    <col width="30" customWidth="1" min="11" max="11"/>
    <col width="30" customWidth="1" min="12" max="12"/>
    <col width="18" customWidth="1" min="13" max="13"/>
  </cols>
  <sheetData>
    <row r="1">
      <c r="A1" s="5" t="inlineStr">
        <is>
          <t>TOP 20 PRODUCTOS — MAYOR GASTO</t>
        </is>
      </c>
    </row>
    <row r="2">
      <c r="A2" s="14" t="inlineStr">
        <is>
          <t>Datos de ejemplo; precios orientativos SIN IVA, edítalos con los tuyos. NO hace falta que ordenes la tabla: el ranking Top 5 de abajo la ordena solo con LARGE, escribas en el orden que escribas.</t>
        </is>
      </c>
    </row>
    <row r="3">
      <c r="A3" s="6" t="inlineStr">
        <is>
          <t>#</t>
        </is>
      </c>
      <c r="B3" s="6" t="inlineStr">
        <is>
          <t>Producto</t>
        </is>
      </c>
      <c r="C3" s="6" t="inlineStr">
        <is>
          <t>Categoría</t>
        </is>
      </c>
      <c r="D3" s="6" t="inlineStr">
        <is>
          <t>Unidad</t>
        </is>
      </c>
      <c r="E3" s="6" t="inlineStr">
        <is>
          <t>Gasto mensual (€)</t>
        </is>
      </c>
      <c r="F3" s="6" t="inlineStr">
        <is>
          <t>Gasto anual estimado (€) — mes × 12</t>
        </is>
      </c>
      <c r="G3" s="6" t="inlineStr">
        <is>
          <t>% del Top 20</t>
        </is>
      </c>
      <c r="H3" s="6" t="inlineStr">
        <is>
          <t>Precio anterior (€)</t>
        </is>
      </c>
      <c r="I3" s="6" t="inlineStr">
        <is>
          <t>Precio actual (€)</t>
        </is>
      </c>
      <c r="J3" s="6" t="inlineStr">
        <is>
          <t>Variación de precio (%)</t>
        </is>
      </c>
      <c r="K3" s="6" t="inlineStr">
        <is>
          <t>Proveedor</t>
        </is>
      </c>
    </row>
    <row r="4">
      <c r="A4" s="7" t="n">
        <v>1</v>
      </c>
      <c r="B4" s="29" t="inlineStr">
        <is>
          <t>Solomillo de ternera</t>
        </is>
      </c>
      <c r="C4" s="29" t="inlineStr">
        <is>
          <t>Cárnicos</t>
        </is>
      </c>
      <c r="D4" s="29" t="inlineStr">
        <is>
          <t>kg</t>
        </is>
      </c>
      <c r="E4" s="15" t="n">
        <v>960</v>
      </c>
      <c r="F4" s="16">
        <f>IF($E4="","",$E4*12)</f>
        <v>11520.0</v>
      </c>
      <c r="G4" s="17">
        <f>IFERROR($E4/$E$24,"")</f>
        <v>0.2129604159826792</v>
      </c>
      <c r="H4" s="15" t="n">
        <v>30.5</v>
      </c>
      <c r="I4" s="15" t="n">
        <v>32</v>
      </c>
      <c r="J4" s="17">
        <f>IF(OR($H4="",$I4=""),"",$I4/$H4-1)</f>
        <v>0.049180327868852514</v>
      </c>
      <c r="K4" s="29" t="inlineStr">
        <is>
          <t>Cárnicas del Norte (ejemplo)</t>
        </is>
      </c>
    </row>
    <row r="5">
      <c r="A5" s="9" t="n">
        <v>2</v>
      </c>
      <c r="B5" s="29" t="inlineStr">
        <is>
          <t>Salmón fresco</t>
        </is>
      </c>
      <c r="C5" s="29" t="inlineStr">
        <is>
          <t>Pescados</t>
        </is>
      </c>
      <c r="D5" s="29" t="inlineStr">
        <is>
          <t>kg</t>
        </is>
      </c>
      <c r="E5" s="15" t="n">
        <v>840</v>
      </c>
      <c r="F5" s="18">
        <f>IF($E5="","",$E5*12)</f>
        <v>10080.0</v>
      </c>
      <c r="G5" s="19">
        <f>IFERROR($E5/$E$24,"")</f>
        <v>0.18634036398484433</v>
      </c>
      <c r="H5" s="15" t="n">
        <v>12.9</v>
      </c>
      <c r="I5" s="15" t="n">
        <v>14</v>
      </c>
      <c r="J5" s="19">
        <f>IF(OR($H5="",$I5=""),"",$I5/$H5-1)</f>
        <v>0.0852713178294573</v>
      </c>
      <c r="K5" s="29" t="inlineStr">
        <is>
          <t>Pescados Ría Fresca (ejemplo)</t>
        </is>
      </c>
    </row>
    <row r="6">
      <c r="A6" s="7" t="n">
        <v>3</v>
      </c>
      <c r="B6" s="29" t="inlineStr">
        <is>
          <t>Gambas</t>
        </is>
      </c>
      <c r="C6" s="29" t="inlineStr">
        <is>
          <t>Pescados</t>
        </is>
      </c>
      <c r="D6" s="29" t="inlineStr">
        <is>
          <t>kg</t>
        </is>
      </c>
      <c r="E6" s="15" t="n">
        <v>810</v>
      </c>
      <c r="F6" s="16">
        <f>IF($E6="","",$E6*12)</f>
        <v>9720.0</v>
      </c>
      <c r="G6" s="17">
        <f>IFERROR($E6/$E$24,"")</f>
        <v>0.1796853509853856</v>
      </c>
      <c r="H6" s="15" t="n">
        <v>17.5</v>
      </c>
      <c r="I6" s="15" t="n">
        <v>18</v>
      </c>
      <c r="J6" s="17">
        <f>IF(OR($H6="",$I6=""),"",$I6/$H6-1)</f>
        <v>0.02857142857142847</v>
      </c>
      <c r="K6" s="29" t="inlineStr">
        <is>
          <t>Pescados Ría Fresca (ejemplo)</t>
        </is>
      </c>
    </row>
    <row r="7">
      <c r="A7" s="9" t="n">
        <v>4</v>
      </c>
      <c r="B7" s="29" t="inlineStr">
        <is>
          <t>Pechuga de pollo</t>
        </is>
      </c>
      <c r="C7" s="29" t="inlineStr">
        <is>
          <t>Cárnicos</t>
        </is>
      </c>
      <c r="D7" s="29" t="inlineStr">
        <is>
          <t>kg</t>
        </is>
      </c>
      <c r="E7" s="15" t="n">
        <v>780</v>
      </c>
      <c r="F7" s="18">
        <f>IF($E7="","",$E7*12)</f>
        <v>9360.0</v>
      </c>
      <c r="G7" s="19">
        <f>IFERROR($E7/$E$24,"")</f>
        <v>0.17303033798592687</v>
      </c>
      <c r="H7" s="15" t="n">
        <v>6.2</v>
      </c>
      <c r="I7" s="15" t="n">
        <v>6.5</v>
      </c>
      <c r="J7" s="19">
        <f>IF(OR($H7="",$I7=""),"",$I7/$H7-1)</f>
        <v>0.048387096774193505</v>
      </c>
      <c r="K7" s="29" t="inlineStr">
        <is>
          <t>Cárnicas del Norte (ejemplo)</t>
        </is>
      </c>
    </row>
    <row r="8">
      <c r="A8" s="7" t="n">
        <v>5</v>
      </c>
      <c r="B8" s="29" t="inlineStr">
        <is>
          <t>Cerveza de grifo (barril 30 L)</t>
        </is>
      </c>
      <c r="C8" s="29" t="inlineStr">
        <is>
          <t>Bebidas Alcohólicas</t>
        </is>
      </c>
      <c r="D8" s="29" t="inlineStr">
        <is>
          <t>barril</t>
        </is>
      </c>
      <c r="E8" s="15" t="n">
        <v>412.5</v>
      </c>
      <c r="F8" s="16">
        <f>IF($E8="","",$E8*12)</f>
        <v>4950.0</v>
      </c>
      <c r="G8" s="17">
        <f>IFERROR($E8/$E$24,"")</f>
        <v>0.09150642874255747</v>
      </c>
      <c r="H8" s="15" t="n">
        <v>53</v>
      </c>
      <c r="I8" s="15" t="n">
        <v>55</v>
      </c>
      <c r="J8" s="17">
        <f>IF(OR($H8="",$I8=""),"",$I8/$H8-1)</f>
        <v>0.037735849056603765</v>
      </c>
      <c r="K8" s="29" t="inlineStr">
        <is>
          <t>Bebidas y Distribución Levante (ejemplo)</t>
        </is>
      </c>
    </row>
    <row r="9">
      <c r="A9" s="9" t="n">
        <v>6</v>
      </c>
      <c r="B9" s="29" t="inlineStr">
        <is>
          <t>Aceite de oliva virgen extra</t>
        </is>
      </c>
      <c r="C9" s="29" t="inlineStr">
        <is>
          <t>Secos/Granos</t>
        </is>
      </c>
      <c r="D9" s="29" t="inlineStr">
        <is>
          <t>L</t>
        </is>
      </c>
      <c r="E9" s="15" t="n">
        <v>348</v>
      </c>
      <c r="F9" s="18">
        <f>IF($E9="","",$E9*12)</f>
        <v>4176.0</v>
      </c>
      <c r="G9" s="19">
        <f>IFERROR($E9/$E$24,"")</f>
        <v>0.07719815079372122</v>
      </c>
      <c r="H9" s="15" t="n">
        <v>5.1</v>
      </c>
      <c r="I9" s="15" t="n">
        <v>5.8</v>
      </c>
      <c r="J9" s="19">
        <f>IF(OR($H9="",$I9=""),"",$I9/$H9-1)</f>
        <v>0.13725490196078427</v>
      </c>
      <c r="K9" s="29" t="inlineStr">
        <is>
          <t>Distribuciones Economato Sur (ejemplo)</t>
        </is>
      </c>
    </row>
    <row r="10">
      <c r="A10" s="7" t="n">
        <v>7</v>
      </c>
      <c r="B10" s="29" t="inlineStr">
        <is>
          <t>Queso parmesano</t>
        </is>
      </c>
      <c r="C10" s="29" t="inlineStr">
        <is>
          <t>Lácteos</t>
        </is>
      </c>
      <c r="D10" s="29" t="inlineStr">
        <is>
          <t>kg</t>
        </is>
      </c>
      <c r="E10" s="15" t="n">
        <v>198</v>
      </c>
      <c r="F10" s="16">
        <f>IF($E10="","",$E10*12)</f>
        <v>2376.0</v>
      </c>
      <c r="G10" s="17">
        <f>IFERROR($E10/$E$24,"")</f>
        <v>0.04392308579642759</v>
      </c>
      <c r="H10" s="15" t="n">
        <v>16.2</v>
      </c>
      <c r="I10" s="15" t="n">
        <v>16.5</v>
      </c>
      <c r="J10" s="17">
        <f>IF(OR($H10="",$I10=""),"",$I10/$H10-1)</f>
        <v>0.0185185185185186</v>
      </c>
      <c r="K10" s="29" t="inlineStr">
        <is>
          <t>Distribuciones Economato Sur (ejemplo)</t>
        </is>
      </c>
    </row>
    <row r="11">
      <c r="A11" s="9" t="n">
        <v>8</v>
      </c>
      <c r="B11" s="29" t="inlineStr">
        <is>
          <t>Patata</t>
        </is>
      </c>
      <c r="C11" s="29" t="inlineStr">
        <is>
          <t>Verduras/Frutas</t>
        </is>
      </c>
      <c r="D11" s="29" t="inlineStr">
        <is>
          <t>kg</t>
        </is>
      </c>
      <c r="E11" s="15" t="n">
        <v>159.38</v>
      </c>
      <c r="F11" s="18">
        <f>IF($E11="","",$E11*12)</f>
        <v>1912.56</v>
      </c>
      <c r="G11" s="19">
        <f>IFERROR($E11/$E$24,"")</f>
        <v>0.03535586572845772</v>
      </c>
      <c r="H11" s="15" t="n">
        <v>0.95</v>
      </c>
      <c r="I11" s="15" t="n">
        <v>0.85</v>
      </c>
      <c r="J11" s="19">
        <f>IF(OR($H11="",$I11=""),"",$I11/$H11-1)</f>
        <v>-0.10526315789473684</v>
      </c>
      <c r="K11" s="29" t="inlineStr">
        <is>
          <t>Frutas y Verduras La Huerta (ejemplo)</t>
        </is>
      </c>
    </row>
    <row r="12">
      <c r="A12" s="7" t="n">
        <v>9</v>
      </c>
      <c r="B12" s="29" t="n"/>
      <c r="C12" s="29" t="n"/>
      <c r="D12" s="29" t="n"/>
      <c r="E12" s="15" t="n"/>
      <c r="F12" s="16">
        <f>IF($E12="","",$E12*12)</f>
        <v/>
      </c>
      <c r="G12" s="17">
        <f>IFERROR($E12/$E$24,"")</f>
        <v>0.0</v>
      </c>
      <c r="H12" s="15" t="n"/>
      <c r="I12" s="15" t="n"/>
      <c r="J12" s="17">
        <f>IF(OR($H12="",$I12=""),"",$I12/$H12-1)</f>
        <v/>
      </c>
      <c r="K12" s="29" t="n"/>
    </row>
    <row r="13">
      <c r="A13" s="9" t="n">
        <v>10</v>
      </c>
      <c r="B13" s="29" t="n"/>
      <c r="C13" s="29" t="n"/>
      <c r="D13" s="29" t="n"/>
      <c r="E13" s="15" t="n"/>
      <c r="F13" s="18">
        <f>IF($E13="","",$E13*12)</f>
        <v/>
      </c>
      <c r="G13" s="19">
        <f>IFERROR($E13/$E$24,"")</f>
        <v>0.0</v>
      </c>
      <c r="H13" s="15" t="n"/>
      <c r="I13" s="15" t="n"/>
      <c r="J13" s="19">
        <f>IF(OR($H13="",$I13=""),"",$I13/$H13-1)</f>
        <v/>
      </c>
      <c r="K13" s="29" t="n"/>
    </row>
    <row r="14">
      <c r="A14" s="7" t="n">
        <v>11</v>
      </c>
      <c r="B14" s="29" t="n"/>
      <c r="C14" s="29" t="n"/>
      <c r="D14" s="29" t="n"/>
      <c r="E14" s="15" t="n"/>
      <c r="F14" s="16">
        <f>IF($E14="","",$E14*12)</f>
        <v/>
      </c>
      <c r="G14" s="17">
        <f>IFERROR($E14/$E$24,"")</f>
        <v>0.0</v>
      </c>
      <c r="H14" s="15" t="n"/>
      <c r="I14" s="15" t="n"/>
      <c r="J14" s="17">
        <f>IF(OR($H14="",$I14=""),"",$I14/$H14-1)</f>
        <v/>
      </c>
      <c r="K14" s="29" t="n"/>
    </row>
    <row r="15">
      <c r="A15" s="9" t="n">
        <v>12</v>
      </c>
      <c r="B15" s="29" t="n"/>
      <c r="C15" s="29" t="n"/>
      <c r="D15" s="29" t="n"/>
      <c r="E15" s="15" t="n"/>
      <c r="F15" s="18">
        <f>IF($E15="","",$E15*12)</f>
        <v/>
      </c>
      <c r="G15" s="19">
        <f>IFERROR($E15/$E$24,"")</f>
        <v>0.0</v>
      </c>
      <c r="H15" s="15" t="n"/>
      <c r="I15" s="15" t="n"/>
      <c r="J15" s="19">
        <f>IF(OR($H15="",$I15=""),"",$I15/$H15-1)</f>
        <v/>
      </c>
      <c r="K15" s="29" t="n"/>
    </row>
    <row r="16">
      <c r="A16" s="7" t="n">
        <v>13</v>
      </c>
      <c r="B16" s="29" t="n"/>
      <c r="C16" s="29" t="n"/>
      <c r="D16" s="29" t="n"/>
      <c r="E16" s="15" t="n"/>
      <c r="F16" s="16">
        <f>IF($E16="","",$E16*12)</f>
        <v/>
      </c>
      <c r="G16" s="17">
        <f>IFERROR($E16/$E$24,"")</f>
        <v>0.0</v>
      </c>
      <c r="H16" s="15" t="n"/>
      <c r="I16" s="15" t="n"/>
      <c r="J16" s="17">
        <f>IF(OR($H16="",$I16=""),"",$I16/$H16-1)</f>
        <v/>
      </c>
      <c r="K16" s="29" t="n"/>
    </row>
    <row r="17">
      <c r="A17" s="9" t="n">
        <v>14</v>
      </c>
      <c r="B17" s="29" t="n"/>
      <c r="C17" s="29" t="n"/>
      <c r="D17" s="29" t="n"/>
      <c r="E17" s="15" t="n"/>
      <c r="F17" s="18">
        <f>IF($E17="","",$E17*12)</f>
        <v/>
      </c>
      <c r="G17" s="19">
        <f>IFERROR($E17/$E$24,"")</f>
        <v>0.0</v>
      </c>
      <c r="H17" s="15" t="n"/>
      <c r="I17" s="15" t="n"/>
      <c r="J17" s="19">
        <f>IF(OR($H17="",$I17=""),"",$I17/$H17-1)</f>
        <v/>
      </c>
      <c r="K17" s="29" t="n"/>
    </row>
    <row r="18">
      <c r="A18" s="7" t="n">
        <v>15</v>
      </c>
      <c r="B18" s="29" t="n"/>
      <c r="C18" s="29" t="n"/>
      <c r="D18" s="29" t="n"/>
      <c r="E18" s="15" t="n"/>
      <c r="F18" s="16">
        <f>IF($E18="","",$E18*12)</f>
        <v/>
      </c>
      <c r="G18" s="17">
        <f>IFERROR($E18/$E$24,"")</f>
        <v>0.0</v>
      </c>
      <c r="H18" s="15" t="n"/>
      <c r="I18" s="15" t="n"/>
      <c r="J18" s="17">
        <f>IF(OR($H18="",$I18=""),"",$I18/$H18-1)</f>
        <v/>
      </c>
      <c r="K18" s="29" t="n"/>
    </row>
    <row r="19">
      <c r="A19" s="9" t="n">
        <v>16</v>
      </c>
      <c r="B19" s="29" t="n"/>
      <c r="C19" s="29" t="n"/>
      <c r="D19" s="29" t="n"/>
      <c r="E19" s="15" t="n"/>
      <c r="F19" s="18">
        <f>IF($E19="","",$E19*12)</f>
        <v/>
      </c>
      <c r="G19" s="19">
        <f>IFERROR($E19/$E$24,"")</f>
        <v>0.0</v>
      </c>
      <c r="H19" s="15" t="n"/>
      <c r="I19" s="15" t="n"/>
      <c r="J19" s="19">
        <f>IF(OR($H19="",$I19=""),"",$I19/$H19-1)</f>
        <v/>
      </c>
      <c r="K19" s="29" t="n"/>
    </row>
    <row r="20">
      <c r="A20" s="7" t="n">
        <v>17</v>
      </c>
      <c r="B20" s="29" t="n"/>
      <c r="C20" s="29" t="n"/>
      <c r="D20" s="29" t="n"/>
      <c r="E20" s="15" t="n"/>
      <c r="F20" s="16">
        <f>IF($E20="","",$E20*12)</f>
        <v/>
      </c>
      <c r="G20" s="17">
        <f>IFERROR($E20/$E$24,"")</f>
        <v>0.0</v>
      </c>
      <c r="H20" s="15" t="n"/>
      <c r="I20" s="15" t="n"/>
      <c r="J20" s="17">
        <f>IF(OR($H20="",$I20=""),"",$I20/$H20-1)</f>
        <v/>
      </c>
      <c r="K20" s="29" t="n"/>
    </row>
    <row r="21">
      <c r="A21" s="9" t="n">
        <v>18</v>
      </c>
      <c r="B21" s="29" t="n"/>
      <c r="C21" s="29" t="n"/>
      <c r="D21" s="29" t="n"/>
      <c r="E21" s="15" t="n"/>
      <c r="F21" s="18">
        <f>IF($E21="","",$E21*12)</f>
        <v/>
      </c>
      <c r="G21" s="19">
        <f>IFERROR($E21/$E$24,"")</f>
        <v>0.0</v>
      </c>
      <c r="H21" s="15" t="n"/>
      <c r="I21" s="15" t="n"/>
      <c r="J21" s="19">
        <f>IF(OR($H21="",$I21=""),"",$I21/$H21-1)</f>
        <v/>
      </c>
      <c r="K21" s="29" t="n"/>
    </row>
    <row r="22">
      <c r="A22" s="7" t="n">
        <v>19</v>
      </c>
      <c r="B22" s="29" t="n"/>
      <c r="C22" s="29" t="n"/>
      <c r="D22" s="29" t="n"/>
      <c r="E22" s="15" t="n"/>
      <c r="F22" s="16">
        <f>IF($E22="","",$E22*12)</f>
        <v/>
      </c>
      <c r="G22" s="17">
        <f>IFERROR($E22/$E$24,"")</f>
        <v>0.0</v>
      </c>
      <c r="H22" s="15" t="n"/>
      <c r="I22" s="15" t="n"/>
      <c r="J22" s="17">
        <f>IF(OR($H22="",$I22=""),"",$I22/$H22-1)</f>
        <v/>
      </c>
      <c r="K22" s="29" t="n"/>
    </row>
    <row r="23">
      <c r="A23" s="9" t="n">
        <v>20</v>
      </c>
      <c r="B23" s="29" t="n"/>
      <c r="C23" s="29" t="n"/>
      <c r="D23" s="29" t="n"/>
      <c r="E23" s="15" t="n"/>
      <c r="F23" s="18">
        <f>IF($E23="","",$E23*12)</f>
        <v/>
      </c>
      <c r="G23" s="19">
        <f>IFERROR($E23/$E$24,"")</f>
        <v>0.0</v>
      </c>
      <c r="H23" s="15" t="n"/>
      <c r="I23" s="15" t="n"/>
      <c r="J23" s="19">
        <f>IF(OR($H23="",$I23=""),"",$I23/$H23-1)</f>
        <v/>
      </c>
      <c r="K23" s="29" t="n"/>
    </row>
    <row r="24">
      <c r="A24" s="30" t="inlineStr">
        <is>
          <t>TOTAL</t>
        </is>
      </c>
      <c r="E24" s="20">
        <f>SUM($E$4:$E$23)</f>
        <v>4507.88</v>
      </c>
      <c r="F24" s="20">
        <f>SUM($F$4:$F$23)</f>
        <v>54094.56</v>
      </c>
      <c r="G24" s="21">
        <f>IFERROR($E$24/$E$24,"")</f>
        <v>1.0</v>
      </c>
    </row>
    <row r="25"/>
    <row r="26">
      <c r="L26" s="23" t="inlineStr">
        <is>
          <t>Top 5 productos</t>
        </is>
      </c>
      <c r="M26" s="23" t="inlineStr">
        <is>
          <t>Gasto mensual (€)</t>
        </is>
      </c>
    </row>
    <row r="27">
      <c r="L27" t="str">
        <f>IFERROR(INDEX($B$4:$B$23,MATCH(LARGE($E$4:$E$23,1),$E$4:$E$23,0)),"")</f>
        <v>Solomillo de ternera</v>
      </c>
      <c r="M27" s="24">
        <f>IFERROR(LARGE($E$4:$E$23,1),"")</f>
        <v>960.0</v>
      </c>
    </row>
    <row r="28">
      <c r="L28" t="str">
        <f>IFERROR(INDEX($B$4:$B$23,MATCH(LARGE($E$4:$E$23,2),$E$4:$E$23,0)),"")</f>
        <v>Salmón fresco</v>
      </c>
      <c r="M28" s="24">
        <f>IFERROR(LARGE($E$4:$E$23,2),"")</f>
        <v>840.0</v>
      </c>
    </row>
    <row r="29">
      <c r="L29" t="str">
        <f>IFERROR(INDEX($B$4:$B$23,MATCH(LARGE($E$4:$E$23,3),$E$4:$E$23,0)),"")</f>
        <v>Gambas</v>
      </c>
      <c r="M29" s="24">
        <f>IFERROR(LARGE($E$4:$E$23,3),"")</f>
        <v>810.0</v>
      </c>
    </row>
    <row r="30">
      <c r="L30" t="str">
        <f>IFERROR(INDEX($B$4:$B$23,MATCH(LARGE($E$4:$E$23,4),$E$4:$E$23,0)),"")</f>
        <v>Pechuga de pollo</v>
      </c>
      <c r="M30" s="24">
        <f>IFERROR(LARGE($E$4:$E$23,4),"")</f>
        <v>780.0</v>
      </c>
    </row>
    <row r="31">
      <c r="L31" t="str">
        <f>IFERROR(INDEX($B$4:$B$23,MATCH(LARGE($E$4:$E$23,5),$E$4:$E$23,0)),"")</f>
        <v>Cerveza de grifo (barril 30 L)</v>
      </c>
      <c r="M31" s="24">
        <f>IFERROR(LARGE($E$4:$E$23,5),"")</f>
        <v>412.5</v>
      </c>
    </row>
    <row r="32"/>
    <row r="33">
      <c r="A33" s="14" t="inlineStr">
        <is>
          <t>El ranking Top 5 de la derecha se calcula solo con LARGE: no hace falta que ordenes la tabla y, de hecho, la hoja está protegida para que no la desordenes sin querer. Si dos productos gastan exactamente lo mismo, enseña dos veces el primero; cambia un céntimo y se separan.</t>
        </is>
      </c>
    </row>
  </sheetData>
  <sheetProtection selectLockedCells="0" selectUnlockedCells="0" sheet="1" objects="0" insertRows="1" insertHyperlinks="1" autoFilter="0" scenarios="0" formatColumns="0" deleteColumns="1" insertColumns="1" pivotTables="1" deleteRows="1" formatCells="1" formatRows="0" sort="0"/>
  <mergeCells count="1">
    <mergeCell ref="A1:K1"/>
  </mergeCells>
  <conditionalFormatting sqref="J4:J23">
    <cfRule type="expression" priority="1" dxfId="0" stopIfTrue="1">
      <formula>AND($J4&lt;&gt;"",$J4&gt;0.05)</formula>
    </cfRule>
  </conditionalFormatting>
  <dataValidations count="2">
    <dataValidation sqref="D4:D23" showDropDown="0" showInputMessage="1" showErrorMessage="1" allowBlank="1" errorTitle="Unidad no válida" error="Elige un valor de la lista." promptTitle="kitinv-c · Unidad no válida" prompt="La unidad en la que compras el producto: es la que dan los precios anterior y actual de las columnas H e I." type="list" errorStyle="stop">
      <formula1>"kg,L,ud,docena,caja,bandeja,barril,saco,rollo,paquete"</formula1>
    </dataValidation>
    <dataValidation sqref="C4:C23" showDropDown="0" showInputMessage="1" showErrorMessage="1" allowBlank="1" errorTitle="Categoría no válida" error="Elige un valor de la lista. Es la taxonomía única del kit: si cada plantilla usa palabras distintas, los SUMIF de los análisis no suman nada." promptTitle="kitinv-v2 · Categoría no válida" prompt="Las 10 categorías del kit. Son las mismas en las 9 plantillas: los análisis del 05 y del 07 agregan por este texto." type="list" errorStyle="stop">
      <formula1>"Cárnicos,Pescados,Lácteos,Verduras/Frutas,Secos/Granos,Congelados,Bebidas Alcohólicas,Bebidas No Alcohólicas,Limpieza,Otros"</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tabColor rgb="0000C853"/>
    <outlinePr summaryBelow="1" summaryRight="1"/>
    <pageSetUpPr fitToPage="1"/>
  </sheetPr>
  <dimension ref="A1:E19"/>
  <sheetViews>
    <sheetView workbookViewId="0">
      <pane ySplit="3" topLeftCell="A4" activePane="bottomLeft" state="frozen"/>
      <selection pane="bottomLeft" activeCell="A1" sqref="A1"/>
    </sheetView>
  </sheetViews>
  <sheetFormatPr baseColWidth="8" defaultRowHeight="15"/>
  <cols>
    <col width="36" customWidth="1" min="1" max="1"/>
    <col width="20" customWidth="1" min="2" max="2"/>
    <col width="16" customWidth="1" min="3" max="3"/>
    <col width="62" customWidth="1" min="4" max="4"/>
    <col width="16" customWidth="1" min="5" max="5"/>
  </cols>
  <sheetData>
    <row r="1">
      <c r="A1" s="5" t="inlineStr">
        <is>
          <t>DASHBOARD — KPIs DE COMPRAS</t>
        </is>
      </c>
    </row>
    <row r="2">
      <c r="A2" s="14" t="inlineStr">
        <is>
          <t>Elige el periodo y rellena las casillas verdes. Todo lo demás se calcula solo, con los importes SIN IVA. La columna Estado te dice de un vistazo si cada KPI está donde tiene que estar.</t>
        </is>
      </c>
    </row>
    <row r="3">
      <c r="A3" s="6" t="inlineStr">
        <is>
          <t>KPI</t>
        </is>
      </c>
      <c r="B3" s="6" t="inlineStr">
        <is>
          <t>Resultado</t>
        </is>
      </c>
      <c r="C3" s="6" t="inlineStr">
        <is>
          <t>Objetivo</t>
        </is>
      </c>
      <c r="D3" s="6" t="inlineStr">
        <is>
          <t>Cómo se calcula</t>
        </is>
      </c>
      <c r="E3" s="6" t="inlineStr">
        <is>
          <t>Estado</t>
        </is>
      </c>
    </row>
    <row r="4">
      <c r="A4" s="7" t="inlineStr">
        <is>
          <t>Food cost (%)</t>
        </is>
      </c>
      <c r="B4" s="31">
        <f>IFERROR(($B$14+$B$6-$B$15)/$B$12,"")</f>
        <v>0.31029411764705883</v>
      </c>
      <c r="C4" s="32" t="n">
        <v>0.32</v>
      </c>
      <c r="D4" s="33" t="inlineStr">
        <is>
          <t>(Existencias iniciales + Compras del periodo − Existencias finales) / Ventas. Es CONSUMO, no compras. El rango sano de un restaurante está entre el 28 % y el 32 %: aquí se fija el TECHO, cámbialo por el tuyo.</t>
        </is>
      </c>
      <c r="E4" s="34" t="str">
        <f>IF(OR($B$4="",$C$4=""),"",IF($B$4&lt;=$C$4,"🟢 OK",IF($B$4&lt;=$C$4*1.1,"🟡 REVISAR","🔴 ALERTA")))</f>
        <v>🟢 OK</v>
      </c>
    </row>
    <row r="5">
      <c r="A5" s="9" t="inlineStr">
        <is>
          <t>Coste por cubierto (€)</t>
        </is>
      </c>
      <c r="B5" s="35">
        <f>IFERROR(($B$14+$B$6-$B$15-'Coste por Categoría'!$N$12-'Coste por Categoría'!$N$13)/$B$13,"")</f>
        <v>6.889655172413793</v>
      </c>
      <c r="C5" s="35">
        <f>IFERROR($B$17*0.3,"")</f>
        <v>7.034999999999999</v>
      </c>
      <c r="D5" s="36" t="inlineStr">
        <is>
          <t>Consumo de materia prima (sin Limpieza ni Otros) / cubiertos servidos. El objetivo es el 30 % de tu ticket medio, no una cifra fija en euros.</t>
        </is>
      </c>
      <c r="E5" s="34" t="str">
        <f>IF(OR($B$5="",$C$5=""),"",IF($B$5&lt;=$C$5,"🟢 OK",IF($B$5&lt;=$C$5*1.1,"🟡 REVISAR","🔴 ALERTA")))</f>
        <v>🟢 OK</v>
      </c>
    </row>
    <row r="6">
      <c r="A6" s="7" t="inlineStr">
        <is>
          <t>Compras del periodo (€)</t>
        </is>
      </c>
      <c r="B6" s="37">
        <f>IF($B$10="","",IF($B$10="Año completo",'Coste por Categoría'!$N$14,IFERROR(INDEX('Coste por Categoría'!$B$14:$M$14,MATCH($B$10,'Coste por Categoría'!$B$3:$M$3,0)),"")))</f>
        <v>10400.0</v>
      </c>
      <c r="C6" s="7" t="inlineStr">
        <is>
          <t>—</t>
        </is>
      </c>
      <c r="D6" s="33" t="inlineStr">
        <is>
          <t>Total del mes que elijas arriba en la pestaña Coste por Categoría.</t>
        </is>
      </c>
      <c r="E6" s="34" t="n"/>
    </row>
    <row r="7">
      <c r="A7" s="9" t="inlineStr">
        <is>
          <t>Variación vs periodo anterior</t>
        </is>
      </c>
      <c r="B7" s="38">
        <f>IFERROR($B$6/$B$16-1,"")</f>
        <v>0.04208416833667328</v>
      </c>
      <c r="C7" s="32" t="n">
        <v>0.05</v>
      </c>
      <c r="D7" s="36" t="inlineStr">
        <is>
          <t>Compras del periodo / compras del periodo anterior − 1. Se compara en valor absoluto: una caída del 20 % también hay que explicarla.</t>
        </is>
      </c>
      <c r="E7" s="34" t="str">
        <f>IF(OR($B$7="",$C$7=""),"",IF(ABS($B$7)&lt;=$C$7,"🟢 OK",IF(ABS($B$7)&lt;=$C$7*2,"🟡 REVISAR","🔴 ALERTA")))</f>
        <v>🟢 OK</v>
      </c>
    </row>
    <row r="8">
      <c r="A8" s="7" t="inlineStr">
        <is>
          <t>Productos con subida &gt; 5 %</t>
        </is>
      </c>
      <c r="B8" s="39">
        <f>COUNTIF('Top 20 Productos'!$J$4:$J$23,"&gt;0.05")</f>
        <v>2.0</v>
      </c>
      <c r="C8" s="40" t="n">
        <v>0</v>
      </c>
      <c r="D8" s="33" t="inlineStr">
        <is>
          <t>Líneas del Top 20 cuya variación de precio supera el 5 %.</t>
        </is>
      </c>
      <c r="E8" s="34" t="str">
        <f>IF(OR($B$8="",$C$8=""),"",IF($B$8&lt;=$C$8,"🟢 OK",IF($B$8&lt;=2,"🟡 REVISAR","🔴 ALERTA")))</f>
        <v>🟡 REVISAR</v>
      </c>
    </row>
    <row r="9">
      <c r="A9" s="9" t="inlineStr">
        <is>
          <t>Mayor subida de precio</t>
        </is>
      </c>
      <c r="B9" s="9" t="str">
        <f>IFERROR(INDEX('Top 20 Productos'!$B$4:$B$23,MATCH(MAX('Top 20 Productos'!$J$4:$J$23),'Top 20 Productos'!$J$4:$J$23,0)),"")</f>
        <v>Aceite de oliva virgen extra</v>
      </c>
      <c r="C9" s="9" t="inlineStr">
        <is>
          <t>—</t>
        </is>
      </c>
      <c r="D9" s="36" t="inlineStr">
        <is>
          <t>Producto del Top 20 con la variación más alta.</t>
        </is>
      </c>
      <c r="E9" s="34" t="n"/>
    </row>
    <row r="10">
      <c r="A10" s="30" t="inlineStr">
        <is>
          <t>PERIODO QUE SE MIDE</t>
        </is>
      </c>
      <c r="B10" s="41" t="inlineStr">
        <is>
          <t>Ene</t>
        </is>
      </c>
      <c r="D10" s="42" t="inlineStr">
        <is>
          <t>Elige el mes que has cargado en Coste por Categoría, o «Año completo». Las ventas, los cubiertos y las existencias que pongas abajo tienen que ser las de ESE periodo.</t>
        </is>
      </c>
    </row>
    <row r="11">
      <c r="A11" s="43" t="inlineStr">
        <is>
          <t>DATOS DEL PERIODO — rellena estas casillas</t>
        </is>
      </c>
    </row>
    <row r="12">
      <c r="A12" t="inlineStr">
        <is>
          <t>Ventas del periodo (€, sin IVA)</t>
        </is>
      </c>
      <c r="B12" s="44" t="n">
        <v>34000</v>
      </c>
      <c r="D12" s="42" t="inlineStr">
        <is>
          <t>Base imponible, sin IVA. Mismo periodo que las compras cargadas.</t>
        </is>
      </c>
    </row>
    <row r="13">
      <c r="A13" t="inlineStr">
        <is>
          <t>Cubiertos servidos</t>
        </is>
      </c>
      <c r="B13" s="45" t="n">
        <v>1450</v>
      </c>
      <c r="D13" s="42" t="inlineStr">
        <is>
          <t>Comensales reales del periodo, no reservas.</t>
        </is>
      </c>
    </row>
    <row r="14">
      <c r="A14" t="inlineStr">
        <is>
          <t>Existencias iniciales (€)</t>
        </is>
      </c>
      <c r="B14" s="44" t="n">
        <v>4200</v>
      </c>
      <c r="D14" s="42" t="inlineStr">
        <is>
          <t>Valor del inventario al empezar el periodo (plantilla 01 o BONUS-08).</t>
        </is>
      </c>
    </row>
    <row r="15">
      <c r="A15" t="inlineStr">
        <is>
          <t>Existencias finales (€)</t>
        </is>
      </c>
      <c r="B15" s="44" t="n">
        <v>4050</v>
      </c>
      <c r="D15" s="42" t="inlineStr">
        <is>
          <t>Valor del inventario al cerrar el periodo.</t>
        </is>
      </c>
    </row>
    <row r="16">
      <c r="A16" t="inlineStr">
        <is>
          <t>Compras del periodo anterior (€)</t>
        </is>
      </c>
      <c r="B16" s="44" t="n">
        <v>9980</v>
      </c>
      <c r="D16" s="42" t="inlineStr">
        <is>
          <t>Para la variación. Sin IVA, igual que el resto.</t>
        </is>
      </c>
    </row>
    <row r="17">
      <c r="A17" t="inlineStr">
        <is>
          <t>Ticket medio (€)</t>
        </is>
      </c>
      <c r="B17" s="44" t="n">
        <v>23.45</v>
      </c>
      <c r="D17" s="42" t="inlineStr">
        <is>
          <t>Ventas / cubiertos. Fija el objetivo de coste por cubierto.</t>
        </is>
      </c>
    </row>
    <row r="18"/>
    <row r="19">
      <c r="A19" s="14" t="inlineStr">
        <is>
          <t>Cifras de ejemplo coherentes con el mes de enero de Coste por Categoría: 10.400 € de compras, 34.000 € de ventas y 1.450 cubiertos dan un food cost del 31,0 %, dentro del objetivo. Cámbialas por las tuyas.</t>
        </is>
      </c>
    </row>
  </sheetData>
  <sheetProtection selectLockedCells="0" selectUnlockedCells="0" sheet="1" objects="0" insertRows="1" insertHyperlinks="1" autoFilter="0" scenarios="0" formatColumns="0" deleteColumns="1" insertColumns="1" pivotTables="1" deleteRows="1" formatCells="1" formatRows="0" sort="0"/>
  <conditionalFormatting sqref="E4:E17">
    <cfRule type="containsText" priority="1" operator="containsText" dxfId="0" stopIfTrue="1" text="ALERTA">
      <formula>NOT(ISERROR(SEARCH("ALERTA",E4)))</formula>
    </cfRule>
    <cfRule type="containsText" priority="2" operator="containsText" dxfId="1" stopIfTrue="1" text="REVISAR">
      <formula>NOT(ISERROR(SEARCH("REVISAR",E4)))</formula>
    </cfRule>
    <cfRule type="containsText" priority="3" operator="containsText" dxfId="2" stopIfTrue="1" text="OK">
      <formula>NOT(ISERROR(SEARCH("OK",E4)))</formula>
    </cfRule>
  </conditionalFormatting>
  <dataValidations count="1">
    <dataValidation sqref="B10" showDropDown="0" showInputMessage="1" showErrorMessage="1" allowBlank="1" errorTitle="Periodo no válido" error="Elige un valor de la lista." promptTitle="kitinv-c · Periodo no válido" prompt="Año completo o uno de los doce meses de la pestaña Coste por Categoría." type="list" errorStyle="stop">
      <formula1>"Año completo,Ene,Feb,Mar,Abr,May,Jun,Jul,Ago,Sep,Oct,Nov,Dic"</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Análisis de Costes de Compras · Kit Control de Inventario y Compras</dc:title>
  <dc:description xmlns:dc="http://purl.org/dc/elements/1.1/">aichef.pro/kit-inventario</dc:description>
  <dc:subject xmlns:dc="http://purl.org/dc/elements/1.1/">Kit Control de Inventario y Compras · v2.0</dc:subject>
  <dcterms:created xmlns:dcterms="http://purl.org/dc/terms/" xmlns:xsi="http://www.w3.org/2001/XMLSchema-instance" xsi:type="dcterms:W3CDTF">2026-04-05T09:47:46Z</dcterms:created>
  <dcterms:modified xmlns:dcterms="http://purl.org/dc/terms/" xmlns:xsi="http://www.w3.org/2001/XMLSchema-instance" xsi:type="dcterms:W3CDTF">2026-08-23T23:12:28Z</dcterms:modified>
  <cp:lastModifiedBy>AI Chef Pro</cp:lastModifiedBy>
  <cp:category>AI Chef Pro · Productos digitales</cp:category>
  <cp:keywords>kit inventario, AI Chef Pro</cp:keywords>
</cp:coreProperties>
</file>