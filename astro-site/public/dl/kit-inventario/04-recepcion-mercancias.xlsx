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ol Recepción" sheetId="2" state="visible" r:id="rId2"/>
    <sheet xmlns:r="http://schemas.openxmlformats.org/officeDocument/2006/relationships" name="Registro Incidencias" sheetId="3" state="visible" r:id="rId3"/>
    <sheet xmlns:r="http://schemas.openxmlformats.org/officeDocument/2006/relationships" name="Verificación Temperaturas" sheetId="4" state="visible" r:id="rId4"/>
  </sheets>
  <definedNames>
    <definedName name="_xlnm.Print_Titles" localSheetId="1">'Control Recepción'!$3:$3</definedName>
    <definedName name="_xlnm.Print_Area" localSheetId="1">'Control Recepción'!$A$1:$V$45</definedName>
    <definedName name="_xlnm.Print_Titles" localSheetId="2">'Registro Incidencias'!$3:$3</definedName>
    <definedName name="_xlnm.Print_Area" localSheetId="2">'Registro Incidencias'!$A$1:$K$26</definedName>
    <definedName name="_xlnm.Print_Titles" localSheetId="3">'Verificación Temperaturas'!$3:$3</definedName>
    <definedName name="_xlnm.Print_Area" localSheetId="3">'Verificación Temperaturas'!$A$1:$H$20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  <font>
      <b val="1"/>
      <color rgb="00FF4444"/>
      <sz val="14"/>
    </font>
    <font>
      <b val="1"/>
      <sz val="13"/>
    </font>
    <font>
      <b val="1"/>
      <color rgb="00FFFFFF"/>
    </font>
    <font>
      <i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FF444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6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 wrapText="1"/>
    </xf>
    <xf numFmtId="166" fontId="0" fillId="5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0" fillId="3" borderId="0" pivotButton="0" quotePrefix="0" xfId="0"/>
    <xf numFmtId="164" fontId="0" fillId="5" borderId="0" applyProtection="1" pivotButton="0" quotePrefix="0" xfId="0">
      <protection locked="0" hidden="0"/>
    </xf>
    <xf numFmtId="164" fontId="0" fillId="3" borderId="0" pivotButton="0" quotePrefix="0" xfId="0"/>
    <xf numFmtId="164" fontId="0" fillId="0" borderId="0" pivotButton="0" quotePrefix="0" xfId="0"/>
    <xf numFmtId="0" fontId="10" fillId="0" borderId="0" applyAlignment="1" pivotButton="0" quotePrefix="0" xfId="0">
      <alignment horizontal="right"/>
    </xf>
    <xf numFmtId="0" fontId="10" fillId="0" borderId="0" pivotButton="0" quotePrefix="0" xfId="0"/>
    <xf numFmtId="164" fontId="10" fillId="0" borderId="0" pivotButton="0" quotePrefix="0" xfId="0"/>
    <xf numFmtId="0" fontId="8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Recepción de Mercancías</t>
        </is>
      </c>
    </row>
    <row r="2">
      <c r="A2" s="12" t="inlineStr">
        <is>
          <t>AI Chef Pro — aichef.pro</t>
        </is>
      </c>
    </row>
    <row r="3">
      <c r="A3" s="3" t="n"/>
    </row>
    <row r="4">
      <c r="A4" s="13" t="inlineStr">
        <is>
          <t>Verifica cada entrega y deja registrado lo que un inspector te va a pedir: albarán, lote, temperatura, conformidad y firma.</t>
        </is>
      </c>
    </row>
    <row r="5">
      <c r="A5" s="13" t="inlineStr">
        <is>
          <t>1. Cuando llegue un proveedor, abre 'Control Recepción' y anota una línea por producto.</t>
        </is>
      </c>
    </row>
    <row r="6">
      <c r="A6" s="13" t="inlineStr">
        <is>
          <t>2. Rellena el nº de albarán y el nº de lote. Son los dos datos que sostienen la trazabilidad hacia atrás: sin ellos el registro no sirve como prerrequisito documental de tu plan APPCC.</t>
        </is>
      </c>
    </row>
    <row r="7">
      <c r="A7" s="13" t="inlineStr">
        <is>
          <t>3. Elige la categoría del producto —las mismas 10 del resto del kit— y la columna 'Familia sugerida' te propone sola la familia normativa. AFÍNALA en la columna 'Familia' cuando la línea lo pida: la carne picada (2 °C), los despojos (3 °C), las aves (4 °C) y la comida preparada tienen umbral propio, y no es lo mismo un solomillo que una hamburguesa.</t>
        </is>
      </c>
    </row>
    <row r="8">
      <c r="A8" s="13" t="inlineStr">
        <is>
          <t>4. Escribe la temperatura medida: la casilla se pone ROJA y la columna de conformidad dice RECHAZAR en cuanto se sale del rango de su familia. Hay cinco respuestas posibles y conviene conocerlas: CONFORME · RECHAZAR (calor) · RECHAZAR (frío), porque un pescado a -20 °C venía congelado y una lechuga a -2 °C viene quemada por frío · N/A cuando esa familia no se controla por temperatura (huevos, secos, bebidas, no alimentario) · y FAMILIA SIN LÍMITE cuando lo que has escrito en Familia no está en la tabla legal. Esa última no es un fallo: es el fichero negándose a darte un visto bueno que no puede sostener.</t>
        </is>
      </c>
    </row>
    <row r="9">
      <c r="A9" s="13" t="inlineStr">
        <is>
          <t>5. La diferencia entre lo pedido y lo recibido se calcula sola, y si pones el precio/ud también su VALOR EN EUROS: es lo que de verdad le reclamas al proveedor. Lo que no aceptes, anótalo en 'Registro Incidencias' con ese importe; la suma de esa columna menos los abonos es lo que te deben.</t>
        </is>
      </c>
    </row>
    <row r="10">
      <c r="A10" s="14" t="inlineStr">
        <is>
          <t>6. La hoja 'Verificación Temperaturas' cita la norma de cada límite y trae, a la derecha, el puente entre las 10 categorías de compra del kit y las familias normativas. Edítala sólo si tu autoridad sanitaria te indica otra cosa; está protegida sin contraseña para que no se borre de un clic, porque de ella depende el veredicto de todas las líneas.</t>
        </is>
      </c>
    </row>
    <row r="11">
      <c r="A11" s="13" t="inlineStr">
        <is>
          <t>Umbrales tomados del Reglamento (CE) 853/2004 (Anexo III), del Reglamento (CE) 589/2008 y del criterio habitual de los planes APPCC para comidas preparadas (el RD 3484/2000, que los fijaba, fue derogado por el RD 1021/2022). Documentan tus registros; no sustituyen a tu plan APPCC ni a un asesor.</t>
        </is>
      </c>
    </row>
    <row r="12"/>
    <row r="13">
      <c r="A13" s="14" t="inlineStr">
        <is>
          <t>Para editar una celda bloqueada: Revisar → Desproteger hoja (no tiene contraseña). Las celdas verdes ya son editables sin desproteger nada.</t>
        </is>
      </c>
    </row>
    <row r="14">
      <c r="A14" s="14" t="inlineStr">
        <is>
          <t>Diseñado por John Guerrero — chef y consultor gastronómico desde 2010, en cocina desde los 17 años · johnguerrero.es</t>
        </is>
      </c>
    </row>
    <row r="15">
      <c r="A15" s="14" t="inlineStr">
        <is>
          <t>Versión 2.0 · agosto 2026 · aichef.pro/kit-inventario · info@aichef.pro</t>
        </is>
      </c>
    </row>
    <row r="16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6" customWidth="1" min="4" max="4"/>
    <col width="18" customWidth="1" min="5" max="5"/>
    <col width="32" customWidth="1" min="6" max="6"/>
    <col width="32" customWidth="1" min="7" max="7"/>
    <col width="14" customWidth="1" min="8" max="8"/>
    <col width="11" customWidth="1" min="9" max="9"/>
    <col width="12" customWidth="1" min="10" max="10"/>
    <col width="13" customWidth="1" min="11" max="11"/>
    <col width="13" customWidth="1" min="12" max="12"/>
    <col width="17" customWidth="1" min="13" max="13"/>
    <col width="12" customWidth="1" min="14" max="14"/>
    <col width="10" customWidth="1" min="15" max="15"/>
    <col hidden="1" width="11" customWidth="1" min="16" max="16"/>
    <col width="11" customWidth="1" min="17" max="17"/>
    <col width="20" customWidth="1" min="18" max="18"/>
    <col width="13" customWidth="1" min="19" max="19"/>
    <col width="34" customWidth="1" min="20" max="20"/>
    <col width="18" customWidth="1" min="21" max="21"/>
    <col width="14" customWidth="1" min="22" max="22"/>
  </cols>
  <sheetData>
    <row r="1">
      <c r="A1" s="15" t="inlineStr">
        <is>
          <t>CONTROL DE RECEPCIÓN DE MERCANCÍAS</t>
        </is>
      </c>
    </row>
    <row r="2">
      <c r="A2" s="16" t="inlineStr">
        <is>
          <t>Una línea por producto recibido. Las CUATRO primeras son un EJEMPLO y cuentan una sola historia con el Registro de Incidencias: una entrega corta, una rechazada por temperatura, una con mal estado y una sin control de temperatura. Bórralas antes de empezar.</t>
        </is>
      </c>
    </row>
    <row r="3">
      <c r="A3" s="17" t="inlineStr">
        <is>
          <t>Fecha</t>
        </is>
      </c>
      <c r="B3" s="17" t="inlineStr">
        <is>
          <t>Proveedor</t>
        </is>
      </c>
      <c r="C3" s="17" t="inlineStr">
        <is>
          <t>Nº albarán/factura</t>
        </is>
      </c>
      <c r="D3" s="17" t="inlineStr">
        <is>
          <t>Producto</t>
        </is>
      </c>
      <c r="E3" s="17" t="inlineStr">
        <is>
          <t>Categoría (kit)</t>
        </is>
      </c>
      <c r="F3" s="17" t="inlineStr">
        <is>
          <t>Familia sugerida</t>
        </is>
      </c>
      <c r="G3" s="17" t="inlineStr">
        <is>
          <t>Familia</t>
        </is>
      </c>
      <c r="H3" s="17" t="inlineStr">
        <is>
          <t>Nº de lote</t>
        </is>
      </c>
      <c r="I3" s="17" t="inlineStr">
        <is>
          <t>Pedido (ud)</t>
        </is>
      </c>
      <c r="J3" s="17" t="inlineStr">
        <is>
          <t>Recibido (ud)</t>
        </is>
      </c>
      <c r="K3" s="17" t="inlineStr">
        <is>
          <t>Diferencia (ud)</t>
        </is>
      </c>
      <c r="L3" s="17" t="inlineStr">
        <is>
          <t>Precio/ud (€)</t>
        </is>
      </c>
      <c r="M3" s="17" t="inlineStr">
        <is>
          <t>Valor de la diferencia (€)</t>
        </is>
      </c>
      <c r="N3" s="17" t="inlineStr">
        <is>
          <t>Caducidad</t>
        </is>
      </c>
      <c r="O3" s="17" t="inlineStr">
        <is>
          <t>Temp. °C</t>
        </is>
      </c>
      <c r="P3" s="17" t="inlineStr">
        <is>
          <t>Tª mín. (°C)</t>
        </is>
      </c>
      <c r="Q3" s="17" t="inlineStr">
        <is>
          <t>Tª máx. (°C)</t>
        </is>
      </c>
      <c r="R3" s="17" t="inlineStr">
        <is>
          <t>Conforme (Tª)</t>
        </is>
      </c>
      <c r="S3" s="17" t="inlineStr">
        <is>
          <t>Calidad visual</t>
        </is>
      </c>
      <c r="T3" s="17" t="inlineStr">
        <is>
          <t>Incidencia</t>
        </is>
      </c>
      <c r="U3" s="17" t="inlineStr">
        <is>
          <t>Receptor</t>
        </is>
      </c>
      <c r="V3" s="17" t="inlineStr">
        <is>
          <t>Firma</t>
        </is>
      </c>
    </row>
    <row r="4">
      <c r="A4" s="18" t="n">
        <v>46252</v>
      </c>
      <c r="B4" s="19" t="inlineStr">
        <is>
          <t>Cárnicas del Norte (ejemplo)</t>
        </is>
      </c>
      <c r="C4" s="19" t="inlineStr">
        <is>
          <t>ALB-24518</t>
        </is>
      </c>
      <c r="D4" s="19" t="inlineStr">
        <is>
          <t>Solomillo de ternera (ejemplo)</t>
        </is>
      </c>
      <c r="E4" s="19" t="inlineStr">
        <is>
          <t>Cárnicos</t>
        </is>
      </c>
      <c r="F4" s="20" t="str">
        <f>IF($E4="","",IFERROR(VLOOKUP($E4,'Verificación Temperaturas'!$G$4:$H$13,2,FALSE),""))</f>
        <v>Canal y despiece de ungulados domésticos</v>
      </c>
      <c r="G4" s="19" t="inlineStr">
        <is>
          <t>Canal y despiece de ungulados domésticos</t>
        </is>
      </c>
      <c r="H4" s="19" t="inlineStr">
        <is>
          <t>L-260817</t>
        </is>
      </c>
      <c r="I4" s="19" t="n">
        <v>12</v>
      </c>
      <c r="J4" s="19" t="n">
        <v>10</v>
      </c>
      <c r="K4" s="20">
        <f>IF(OR($I4="",$J4=""),"",$J4-$I4)</f>
        <v>-2.0</v>
      </c>
      <c r="L4" s="21" t="n">
        <v>32</v>
      </c>
      <c r="M4" s="22">
        <f>IF(OR($K4="",$L4=""),"",$K4*$L4)</f>
        <v>-64.0</v>
      </c>
      <c r="N4" s="18" t="n">
        <v>46259</v>
      </c>
      <c r="O4" s="19" t="n">
        <v>3</v>
      </c>
      <c r="P4" s="20">
        <f>IF(IF($G4="",$F4,$G4)="","",IFERROR(VLOOKUP(IF($G4="",$F4,$G4),'Verificación Temperaturas'!$A$4:$E$18,3,FALSE),""))</f>
        <v>0.0</v>
      </c>
      <c r="Q4" s="20">
        <f>IF(IF($G4="",$F4,$G4)="","",IFERROR(VLOOKUP(IF($G4="",$F4,$G4),'Verificación Temperaturas'!$A$4:$E$18,4,FALSE),""))</f>
        <v>7.0</v>
      </c>
      <c r="R4" s="20" t="str">
        <f>IF(OR($O4="",IF($G4="",$F4,$G4)=""),"",IF($Q4="N/A","N/A",IF($Q4="","⚠ FAMILIA SIN LÍMITE",IF($O4&lt;$P4,"✗ RECHAZAR (frío)",IF($O4&lt;=$Q4,"✓ CONFORME","✗ RECHAZAR (calor)")))))</f>
        <v>✓ CONFORME</v>
      </c>
      <c r="S4" s="19" t="inlineStr">
        <is>
          <t>✓</t>
        </is>
      </c>
      <c r="T4" s="19" t="inlineStr">
        <is>
          <t>Faltan 2 kg de los 12 pedidos: reclamado por correo el mismo día</t>
        </is>
      </c>
      <c r="U4" s="19" t="inlineStr">
        <is>
          <t>Jefe de cocina</t>
        </is>
      </c>
      <c r="V4" s="19" t="n"/>
    </row>
    <row r="5">
      <c r="A5" s="18" t="n">
        <v>46252</v>
      </c>
      <c r="B5" s="19" t="inlineStr">
        <is>
          <t>Pescados Ría Fresca (ejemplo)</t>
        </is>
      </c>
      <c r="C5" s="19" t="inlineStr">
        <is>
          <t>ALB-0091</t>
        </is>
      </c>
      <c r="D5" s="19" t="inlineStr">
        <is>
          <t>Merluza fresca (ejemplo)</t>
        </is>
      </c>
      <c r="E5" s="19" t="inlineStr">
        <is>
          <t>Pescados</t>
        </is>
      </c>
      <c r="F5" t="str">
        <f>IF($E5="","",IFERROR(VLOOKUP($E5,'Verificación Temperaturas'!$G$4:$H$13,2,FALSE),""))</f>
        <v>Pescado fresco y marisco</v>
      </c>
      <c r="G5" s="19" t="inlineStr">
        <is>
          <t>Pescado fresco y marisco</t>
        </is>
      </c>
      <c r="H5" s="19" t="inlineStr">
        <is>
          <t>L-260818</t>
        </is>
      </c>
      <c r="I5" s="19" t="n">
        <v>8</v>
      </c>
      <c r="J5" s="19" t="n">
        <v>8</v>
      </c>
      <c r="K5">
        <f>IF(OR($I5="",$J5=""),"",$J5-$I5)</f>
        <v>0.0</v>
      </c>
      <c r="L5" s="21" t="n">
        <v>14</v>
      </c>
      <c r="M5" s="23">
        <f>IF(OR($K5="",$L5=""),"",$K5*$L5)</f>
        <v>0.0</v>
      </c>
      <c r="N5" s="18" t="n">
        <v>46255</v>
      </c>
      <c r="O5" s="19" t="n">
        <v>5</v>
      </c>
      <c r="P5">
        <f>IF(IF($G5="",$F5,$G5)="","",IFERROR(VLOOKUP(IF($G5="",$F5,$G5),'Verificación Temperaturas'!$A$4:$E$18,3,FALSE),""))</f>
        <v>0.0</v>
      </c>
      <c r="Q5">
        <f>IF(IF($G5="",$F5,$G5)="","",IFERROR(VLOOKUP(IF($G5="",$F5,$G5),'Verificación Temperaturas'!$A$4:$E$18,4,FALSE),""))</f>
        <v>2.0</v>
      </c>
      <c r="R5" t="str">
        <f>IF(OR($O5="",IF($G5="",$F5,$G5)=""),"",IF($Q5="N/A","N/A",IF($Q5="","⚠ FAMILIA SIN LÍMITE",IF($O5&lt;$P5,"✗ RECHAZAR (frío)",IF($O5&lt;=$Q5,"✓ CONFORME","✗ RECHAZAR (calor)")))))</f>
        <v>✗ RECHAZAR (calor)</v>
      </c>
      <c r="S5" s="19" t="inlineStr">
        <is>
          <t>✗</t>
        </is>
      </c>
      <c r="T5" s="19" t="inlineStr">
        <is>
          <t>Llega a 5 °C con el límite de su familia en 2 °C: partida completa devuelta al transportista</t>
        </is>
      </c>
      <c r="U5" s="19" t="inlineStr">
        <is>
          <t>Segundo de cocina</t>
        </is>
      </c>
      <c r="V5" s="19" t="n"/>
    </row>
    <row r="6">
      <c r="A6" s="18" t="n">
        <v>46253</v>
      </c>
      <c r="B6" s="19" t="inlineStr">
        <is>
          <t>Frutas y Verduras La Huerta (ejemplo)</t>
        </is>
      </c>
      <c r="C6" s="19" t="inlineStr">
        <is>
          <t>ALB-7742</t>
        </is>
      </c>
      <c r="D6" s="19" t="inlineStr">
        <is>
          <t>Tomate (ejemplo)</t>
        </is>
      </c>
      <c r="E6" s="19" t="inlineStr">
        <is>
          <t>Verduras/Frutas</t>
        </is>
      </c>
      <c r="F6" s="20" t="str">
        <f>IF($E6="","",IFERROR(VLOOKUP($E6,'Verificación Temperaturas'!$G$4:$H$13,2,FALSE),""))</f>
        <v>Frutas y verduras</v>
      </c>
      <c r="G6" s="19" t="inlineStr">
        <is>
          <t>Frutas y verduras</t>
        </is>
      </c>
      <c r="H6" s="19" t="inlineStr">
        <is>
          <t>L-260819</t>
        </is>
      </c>
      <c r="I6" s="19" t="n">
        <v>30</v>
      </c>
      <c r="J6" s="19" t="n">
        <v>30</v>
      </c>
      <c r="K6" s="20">
        <f>IF(OR($I6="",$J6=""),"",$J6-$I6)</f>
        <v>0.0</v>
      </c>
      <c r="L6" s="21" t="n">
        <v>1.95</v>
      </c>
      <c r="M6" s="22">
        <f>IF(OR($K6="",$L6=""),"",$K6*$L6)</f>
        <v>0.0</v>
      </c>
      <c r="N6" s="18" t="n">
        <v>46260</v>
      </c>
      <c r="O6" s="19" t="n">
        <v>9</v>
      </c>
      <c r="P6" s="20">
        <f>IF(IF($G6="",$F6,$G6)="","",IFERROR(VLOOKUP(IF($G6="",$F6,$G6),'Verificación Temperaturas'!$A$4:$E$18,3,FALSE),""))</f>
        <v>0.0</v>
      </c>
      <c r="Q6" s="20">
        <f>IF(IF($G6="",$F6,$G6)="","",IFERROR(VLOOKUP(IF($G6="",$F6,$G6),'Verificación Temperaturas'!$A$4:$E$18,4,FALSE),""))</f>
        <v>12.0</v>
      </c>
      <c r="R6" s="20" t="str">
        <f>IF(OR($O6="",IF($G6="",$F6,$G6)=""),"",IF($Q6="N/A","N/A",IF($Q6="","⚠ FAMILIA SIN LÍMITE",IF($O6&lt;$P6,"✗ RECHAZAR (frío)",IF($O6&lt;=$Q6,"✓ CONFORME","✗ RECHAZAR (calor)")))))</f>
        <v>✓ CONFORME</v>
      </c>
      <c r="S6" s="19" t="inlineStr">
        <is>
          <t>✗</t>
        </is>
      </c>
      <c r="T6" s="19" t="inlineStr">
        <is>
          <t>Dos cajas de 10 kg con moho en el fondo: retiradas y anotadas en el control de mermas</t>
        </is>
      </c>
      <c r="U6" s="19" t="inlineStr">
        <is>
          <t>Encargado de compras</t>
        </is>
      </c>
      <c r="V6" s="19" t="n"/>
    </row>
    <row r="7">
      <c r="A7" s="18" t="n">
        <v>46253</v>
      </c>
      <c r="B7" s="19" t="inlineStr">
        <is>
          <t>Frutas y Verduras La Huerta (ejemplo)</t>
        </is>
      </c>
      <c r="C7" s="19" t="inlineStr">
        <is>
          <t>ALB-7743</t>
        </is>
      </c>
      <c r="D7" s="19" t="inlineStr">
        <is>
          <t>Huevos M, docena (ejemplo)</t>
        </is>
      </c>
      <c r="E7" s="19" t="inlineStr">
        <is>
          <t>Otros</t>
        </is>
      </c>
      <c r="F7" t="str">
        <f>IF($E7="","",IFERROR(VLOOKUP($E7,'Verificación Temperaturas'!$G$4:$H$13,2,FALSE),""))</f>
        <v>Secos y economato (ambiente)</v>
      </c>
      <c r="G7" s="19" t="inlineStr">
        <is>
          <t>Huevos</t>
        </is>
      </c>
      <c r="H7" s="19" t="inlineStr">
        <is>
          <t>L-260819</t>
        </is>
      </c>
      <c r="I7" s="19" t="n">
        <v>20</v>
      </c>
      <c r="J7" s="19" t="n">
        <v>20</v>
      </c>
      <c r="K7">
        <f>IF(OR($I7="",$J7=""),"",$J7-$I7)</f>
        <v>0.0</v>
      </c>
      <c r="L7" s="21" t="n">
        <v>2.2</v>
      </c>
      <c r="M7" s="23">
        <f>IF(OR($K7="",$L7=""),"",$K7*$L7)</f>
        <v>0.0</v>
      </c>
      <c r="N7" s="18" t="n">
        <v>46270</v>
      </c>
      <c r="O7" s="19" t="n">
        <v>17</v>
      </c>
      <c r="P7" t="str">
        <f>IF(IF($G7="",$F7,$G7)="","",IFERROR(VLOOKUP(IF($G7="",$F7,$G7),'Verificación Temperaturas'!$A$4:$E$18,3,FALSE),""))</f>
        <v>N/A</v>
      </c>
      <c r="Q7" t="str">
        <f>IF(IF($G7="",$F7,$G7)="","",IFERROR(VLOOKUP(IF($G7="",$F7,$G7),'Verificación Temperaturas'!$A$4:$E$18,4,FALSE),""))</f>
        <v>N/A</v>
      </c>
      <c r="R7" t="str">
        <f>IF(OR($O7="",IF($G7="",$F7,$G7)=""),"",IF($Q7="N/A","N/A",IF($Q7="","⚠ FAMILIA SIN LÍMITE",IF($O7&lt;$P7,"✗ RECHAZAR (frío)",IF($O7&lt;=$Q7,"✓ CONFORME","✗ RECHAZAR (calor)")))))</f>
        <v>N/A</v>
      </c>
      <c r="S7" s="19" t="inlineStr">
        <is>
          <t>✓</t>
        </is>
      </c>
      <c r="T7" s="19" t="n"/>
      <c r="U7" s="19" t="inlineStr">
        <is>
          <t>Encargado de compras</t>
        </is>
      </c>
      <c r="V7" s="19" t="n"/>
    </row>
    <row r="8">
      <c r="A8" s="18" t="n"/>
      <c r="B8" s="19" t="n"/>
      <c r="C8" s="19" t="n"/>
      <c r="D8" s="19" t="n"/>
      <c r="E8" s="19" t="n"/>
      <c r="F8" s="20">
        <f>IF($E8="","",IFERROR(VLOOKUP($E8,'Verificación Temperaturas'!$G$4:$H$13,2,FALSE),""))</f>
        <v/>
      </c>
      <c r="G8" s="19" t="n"/>
      <c r="H8" s="19" t="n"/>
      <c r="I8" s="19" t="n"/>
      <c r="J8" s="19" t="n"/>
      <c r="K8" s="20">
        <f>IF(OR($I8="",$J8=""),"",$J8-$I8)</f>
        <v/>
      </c>
      <c r="L8" s="21" t="n"/>
      <c r="M8" s="22">
        <f>IF(OR($K8="",$L8=""),"",$K8*$L8)</f>
        <v/>
      </c>
      <c r="N8" s="18" t="n"/>
      <c r="O8" s="19" t="n"/>
      <c r="P8" s="20">
        <f>IF(IF($G8="",$F8,$G8)="","",IFERROR(VLOOKUP(IF($G8="",$F8,$G8),'Verificación Temperaturas'!$A$4:$E$18,3,FALSE),""))</f>
        <v/>
      </c>
      <c r="Q8" s="20">
        <f>IF(IF($G8="",$F8,$G8)="","",IFERROR(VLOOKUP(IF($G8="",$F8,$G8),'Verificación Temperaturas'!$A$4:$E$18,4,FALSE),""))</f>
        <v/>
      </c>
      <c r="R8" s="20">
        <f>IF(OR($O8="",IF($G8="",$F8,$G8)=""),"",IF($Q8="N/A","N/A",IF($Q8="","⚠ FAMILIA SIN LÍMITE",IF($O8&lt;$P8,"✗ RECHAZAR (frío)",IF($O8&lt;=$Q8,"✓ CONFORME","✗ RECHAZAR (calor)")))))</f>
        <v/>
      </c>
      <c r="S8" s="19" t="n"/>
      <c r="T8" s="19" t="n"/>
      <c r="U8" s="19" t="n"/>
      <c r="V8" s="19" t="n"/>
    </row>
    <row r="9">
      <c r="A9" s="18" t="n"/>
      <c r="B9" s="19" t="n"/>
      <c r="C9" s="19" t="n"/>
      <c r="D9" s="19" t="n"/>
      <c r="E9" s="19" t="n"/>
      <c r="F9">
        <f>IF($E9="","",IFERROR(VLOOKUP($E9,'Verificación Temperaturas'!$G$4:$H$13,2,FALSE),""))</f>
        <v/>
      </c>
      <c r="G9" s="19" t="n"/>
      <c r="H9" s="19" t="n"/>
      <c r="I9" s="19" t="n"/>
      <c r="J9" s="19" t="n"/>
      <c r="K9">
        <f>IF(OR($I9="",$J9=""),"",$J9-$I9)</f>
        <v/>
      </c>
      <c r="L9" s="21" t="n"/>
      <c r="M9" s="23">
        <f>IF(OR($K9="",$L9=""),"",$K9*$L9)</f>
        <v/>
      </c>
      <c r="N9" s="18" t="n"/>
      <c r="O9" s="19" t="n"/>
      <c r="P9">
        <f>IF(IF($G9="",$F9,$G9)="","",IFERROR(VLOOKUP(IF($G9="",$F9,$G9),'Verificación Temperaturas'!$A$4:$E$18,3,FALSE),""))</f>
        <v/>
      </c>
      <c r="Q9">
        <f>IF(IF($G9="",$F9,$G9)="","",IFERROR(VLOOKUP(IF($G9="",$F9,$G9),'Verificación Temperaturas'!$A$4:$E$18,4,FALSE),""))</f>
        <v/>
      </c>
      <c r="R9">
        <f>IF(OR($O9="",IF($G9="",$F9,$G9)=""),"",IF($Q9="N/A","N/A",IF($Q9="","⚠ FAMILIA SIN LÍMITE",IF($O9&lt;$P9,"✗ RECHAZAR (frío)",IF($O9&lt;=$Q9,"✓ CONFORME","✗ RECHAZAR (calor)")))))</f>
        <v/>
      </c>
      <c r="S9" s="19" t="n"/>
      <c r="T9" s="19" t="n"/>
      <c r="U9" s="19" t="n"/>
      <c r="V9" s="19" t="n"/>
    </row>
    <row r="10">
      <c r="A10" s="18" t="n"/>
      <c r="B10" s="19" t="n"/>
      <c r="C10" s="19" t="n"/>
      <c r="D10" s="19" t="n"/>
      <c r="E10" s="19" t="n"/>
      <c r="F10" s="20">
        <f>IF($E10="","",IFERROR(VLOOKUP($E10,'Verificación Temperaturas'!$G$4:$H$13,2,FALSE),""))</f>
        <v/>
      </c>
      <c r="G10" s="19" t="n"/>
      <c r="H10" s="19" t="n"/>
      <c r="I10" s="19" t="n"/>
      <c r="J10" s="19" t="n"/>
      <c r="K10" s="20">
        <f>IF(OR($I10="",$J10=""),"",$J10-$I10)</f>
        <v/>
      </c>
      <c r="L10" s="21" t="n"/>
      <c r="M10" s="22">
        <f>IF(OR($K10="",$L10=""),"",$K10*$L10)</f>
        <v/>
      </c>
      <c r="N10" s="18" t="n"/>
      <c r="O10" s="19" t="n"/>
      <c r="P10" s="20">
        <f>IF(IF($G10="",$F10,$G10)="","",IFERROR(VLOOKUP(IF($G10="",$F10,$G10),'Verificación Temperaturas'!$A$4:$E$18,3,FALSE),""))</f>
        <v/>
      </c>
      <c r="Q10" s="20">
        <f>IF(IF($G10="",$F10,$G10)="","",IFERROR(VLOOKUP(IF($G10="",$F10,$G10),'Verificación Temperaturas'!$A$4:$E$18,4,FALSE),""))</f>
        <v/>
      </c>
      <c r="R10" s="20">
        <f>IF(OR($O10="",IF($G10="",$F10,$G10)=""),"",IF($Q10="N/A","N/A",IF($Q10="","⚠ FAMILIA SIN LÍMITE",IF($O10&lt;$P10,"✗ RECHAZAR (frío)",IF($O10&lt;=$Q10,"✓ CONFORME","✗ RECHAZAR (calor)")))))</f>
        <v/>
      </c>
      <c r="S10" s="19" t="n"/>
      <c r="T10" s="19" t="n"/>
      <c r="U10" s="19" t="n"/>
      <c r="V10" s="19" t="n"/>
    </row>
    <row r="11">
      <c r="A11" s="18" t="n"/>
      <c r="B11" s="19" t="n"/>
      <c r="C11" s="19" t="n"/>
      <c r="D11" s="19" t="n"/>
      <c r="E11" s="19" t="n"/>
      <c r="F11">
        <f>IF($E11="","",IFERROR(VLOOKUP($E11,'Verificación Temperaturas'!$G$4:$H$13,2,FALSE),""))</f>
        <v/>
      </c>
      <c r="G11" s="19" t="n"/>
      <c r="H11" s="19" t="n"/>
      <c r="I11" s="19" t="n"/>
      <c r="J11" s="19" t="n"/>
      <c r="K11">
        <f>IF(OR($I11="",$J11=""),"",$J11-$I11)</f>
        <v/>
      </c>
      <c r="L11" s="21" t="n"/>
      <c r="M11" s="23">
        <f>IF(OR($K11="",$L11=""),"",$K11*$L11)</f>
        <v/>
      </c>
      <c r="N11" s="18" t="n"/>
      <c r="O11" s="19" t="n"/>
      <c r="P11">
        <f>IF(IF($G11="",$F11,$G11)="","",IFERROR(VLOOKUP(IF($G11="",$F11,$G11),'Verificación Temperaturas'!$A$4:$E$18,3,FALSE),""))</f>
        <v/>
      </c>
      <c r="Q11">
        <f>IF(IF($G11="",$F11,$G11)="","",IFERROR(VLOOKUP(IF($G11="",$F11,$G11),'Verificación Temperaturas'!$A$4:$E$18,4,FALSE),""))</f>
        <v/>
      </c>
      <c r="R11">
        <f>IF(OR($O11="",IF($G11="",$F11,$G11)=""),"",IF($Q11="N/A","N/A",IF($Q11="","⚠ FAMILIA SIN LÍMITE",IF($O11&lt;$P11,"✗ RECHAZAR (frío)",IF($O11&lt;=$Q11,"✓ CONFORME","✗ RECHAZAR (calor)")))))</f>
        <v/>
      </c>
      <c r="S11" s="19" t="n"/>
      <c r="T11" s="19" t="n"/>
      <c r="U11" s="19" t="n"/>
      <c r="V11" s="19" t="n"/>
    </row>
    <row r="12">
      <c r="A12" s="18" t="n"/>
      <c r="B12" s="19" t="n"/>
      <c r="C12" s="19" t="n"/>
      <c r="D12" s="19" t="n"/>
      <c r="E12" s="19" t="n"/>
      <c r="F12" s="20">
        <f>IF($E12="","",IFERROR(VLOOKUP($E12,'Verificación Temperaturas'!$G$4:$H$13,2,FALSE),""))</f>
        <v/>
      </c>
      <c r="G12" s="19" t="n"/>
      <c r="H12" s="19" t="n"/>
      <c r="I12" s="19" t="n"/>
      <c r="J12" s="19" t="n"/>
      <c r="K12" s="20">
        <f>IF(OR($I12="",$J12=""),"",$J12-$I12)</f>
        <v/>
      </c>
      <c r="L12" s="21" t="n"/>
      <c r="M12" s="22">
        <f>IF(OR($K12="",$L12=""),"",$K12*$L12)</f>
        <v/>
      </c>
      <c r="N12" s="18" t="n"/>
      <c r="O12" s="19" t="n"/>
      <c r="P12" s="20">
        <f>IF(IF($G12="",$F12,$G12)="","",IFERROR(VLOOKUP(IF($G12="",$F12,$G12),'Verificación Temperaturas'!$A$4:$E$18,3,FALSE),""))</f>
        <v/>
      </c>
      <c r="Q12" s="20">
        <f>IF(IF($G12="",$F12,$G12)="","",IFERROR(VLOOKUP(IF($G12="",$F12,$G12),'Verificación Temperaturas'!$A$4:$E$18,4,FALSE),""))</f>
        <v/>
      </c>
      <c r="R12" s="20">
        <f>IF(OR($O12="",IF($G12="",$F12,$G12)=""),"",IF($Q12="N/A","N/A",IF($Q12="","⚠ FAMILIA SIN LÍMITE",IF($O12&lt;$P12,"✗ RECHAZAR (frío)",IF($O12&lt;=$Q12,"✓ CONFORME","✗ RECHAZAR (calor)")))))</f>
        <v/>
      </c>
      <c r="S12" s="19" t="n"/>
      <c r="T12" s="19" t="n"/>
      <c r="U12" s="19" t="n"/>
      <c r="V12" s="19" t="n"/>
    </row>
    <row r="13">
      <c r="A13" s="18" t="n"/>
      <c r="B13" s="19" t="n"/>
      <c r="C13" s="19" t="n"/>
      <c r="D13" s="19" t="n"/>
      <c r="E13" s="19" t="n"/>
      <c r="F13">
        <f>IF($E13="","",IFERROR(VLOOKUP($E13,'Verificación Temperaturas'!$G$4:$H$13,2,FALSE),""))</f>
        <v/>
      </c>
      <c r="G13" s="19" t="n"/>
      <c r="H13" s="19" t="n"/>
      <c r="I13" s="19" t="n"/>
      <c r="J13" s="19" t="n"/>
      <c r="K13">
        <f>IF(OR($I13="",$J13=""),"",$J13-$I13)</f>
        <v/>
      </c>
      <c r="L13" s="21" t="n"/>
      <c r="M13" s="23">
        <f>IF(OR($K13="",$L13=""),"",$K13*$L13)</f>
        <v/>
      </c>
      <c r="N13" s="18" t="n"/>
      <c r="O13" s="19" t="n"/>
      <c r="P13">
        <f>IF(IF($G13="",$F13,$G13)="","",IFERROR(VLOOKUP(IF($G13="",$F13,$G13),'Verificación Temperaturas'!$A$4:$E$18,3,FALSE),""))</f>
        <v/>
      </c>
      <c r="Q13">
        <f>IF(IF($G13="",$F13,$G13)="","",IFERROR(VLOOKUP(IF($G13="",$F13,$G13),'Verificación Temperaturas'!$A$4:$E$18,4,FALSE),""))</f>
        <v/>
      </c>
      <c r="R13">
        <f>IF(OR($O13="",IF($G13="",$F13,$G13)=""),"",IF($Q13="N/A","N/A",IF($Q13="","⚠ FAMILIA SIN LÍMITE",IF($O13&lt;$P13,"✗ RECHAZAR (frío)",IF($O13&lt;=$Q13,"✓ CONFORME","✗ RECHAZAR (calor)")))))</f>
        <v/>
      </c>
      <c r="S13" s="19" t="n"/>
      <c r="T13" s="19" t="n"/>
      <c r="U13" s="19" t="n"/>
      <c r="V13" s="19" t="n"/>
    </row>
    <row r="14">
      <c r="A14" s="18" t="n"/>
      <c r="B14" s="19" t="n"/>
      <c r="C14" s="19" t="n"/>
      <c r="D14" s="19" t="n"/>
      <c r="E14" s="19" t="n"/>
      <c r="F14" s="20">
        <f>IF($E14="","",IFERROR(VLOOKUP($E14,'Verificación Temperaturas'!$G$4:$H$13,2,FALSE),""))</f>
        <v/>
      </c>
      <c r="G14" s="19" t="n"/>
      <c r="H14" s="19" t="n"/>
      <c r="I14" s="19" t="n"/>
      <c r="J14" s="19" t="n"/>
      <c r="K14" s="20">
        <f>IF(OR($I14="",$J14=""),"",$J14-$I14)</f>
        <v/>
      </c>
      <c r="L14" s="21" t="n"/>
      <c r="M14" s="22">
        <f>IF(OR($K14="",$L14=""),"",$K14*$L14)</f>
        <v/>
      </c>
      <c r="N14" s="18" t="n"/>
      <c r="O14" s="19" t="n"/>
      <c r="P14" s="20">
        <f>IF(IF($G14="",$F14,$G14)="","",IFERROR(VLOOKUP(IF($G14="",$F14,$G14),'Verificación Temperaturas'!$A$4:$E$18,3,FALSE),""))</f>
        <v/>
      </c>
      <c r="Q14" s="20">
        <f>IF(IF($G14="",$F14,$G14)="","",IFERROR(VLOOKUP(IF($G14="",$F14,$G14),'Verificación Temperaturas'!$A$4:$E$18,4,FALSE),""))</f>
        <v/>
      </c>
      <c r="R14" s="20">
        <f>IF(OR($O14="",IF($G14="",$F14,$G14)=""),"",IF($Q14="N/A","N/A",IF($Q14="","⚠ FAMILIA SIN LÍMITE",IF($O14&lt;$P14,"✗ RECHAZAR (frío)",IF($O14&lt;=$Q14,"✓ CONFORME","✗ RECHAZAR (calor)")))))</f>
        <v/>
      </c>
      <c r="S14" s="19" t="n"/>
      <c r="T14" s="19" t="n"/>
      <c r="U14" s="19" t="n"/>
      <c r="V14" s="19" t="n"/>
    </row>
    <row r="15">
      <c r="A15" s="18" t="n"/>
      <c r="B15" s="19" t="n"/>
      <c r="C15" s="19" t="n"/>
      <c r="D15" s="19" t="n"/>
      <c r="E15" s="19" t="n"/>
      <c r="F15">
        <f>IF($E15="","",IFERROR(VLOOKUP($E15,'Verificación Temperaturas'!$G$4:$H$13,2,FALSE),""))</f>
        <v/>
      </c>
      <c r="G15" s="19" t="n"/>
      <c r="H15" s="19" t="n"/>
      <c r="I15" s="19" t="n"/>
      <c r="J15" s="19" t="n"/>
      <c r="K15">
        <f>IF(OR($I15="",$J15=""),"",$J15-$I15)</f>
        <v/>
      </c>
      <c r="L15" s="21" t="n"/>
      <c r="M15" s="23">
        <f>IF(OR($K15="",$L15=""),"",$K15*$L15)</f>
        <v/>
      </c>
      <c r="N15" s="18" t="n"/>
      <c r="O15" s="19" t="n"/>
      <c r="P15">
        <f>IF(IF($G15="",$F15,$G15)="","",IFERROR(VLOOKUP(IF($G15="",$F15,$G15),'Verificación Temperaturas'!$A$4:$E$18,3,FALSE),""))</f>
        <v/>
      </c>
      <c r="Q15">
        <f>IF(IF($G15="",$F15,$G15)="","",IFERROR(VLOOKUP(IF($G15="",$F15,$G15),'Verificación Temperaturas'!$A$4:$E$18,4,FALSE),""))</f>
        <v/>
      </c>
      <c r="R15">
        <f>IF(OR($O15="",IF($G15="",$F15,$G15)=""),"",IF($Q15="N/A","N/A",IF($Q15="","⚠ FAMILIA SIN LÍMITE",IF($O15&lt;$P15,"✗ RECHAZAR (frío)",IF($O15&lt;=$Q15,"✓ CONFORME","✗ RECHAZAR (calor)")))))</f>
        <v/>
      </c>
      <c r="S15" s="19" t="n"/>
      <c r="T15" s="19" t="n"/>
      <c r="U15" s="19" t="n"/>
      <c r="V15" s="19" t="n"/>
    </row>
    <row r="16">
      <c r="A16" s="18" t="n"/>
      <c r="B16" s="19" t="n"/>
      <c r="C16" s="19" t="n"/>
      <c r="D16" s="19" t="n"/>
      <c r="E16" s="19" t="n"/>
      <c r="F16" s="20">
        <f>IF($E16="","",IFERROR(VLOOKUP($E16,'Verificación Temperaturas'!$G$4:$H$13,2,FALSE),""))</f>
        <v/>
      </c>
      <c r="G16" s="19" t="n"/>
      <c r="H16" s="19" t="n"/>
      <c r="I16" s="19" t="n"/>
      <c r="J16" s="19" t="n"/>
      <c r="K16" s="20">
        <f>IF(OR($I16="",$J16=""),"",$J16-$I16)</f>
        <v/>
      </c>
      <c r="L16" s="21" t="n"/>
      <c r="M16" s="22">
        <f>IF(OR($K16="",$L16=""),"",$K16*$L16)</f>
        <v/>
      </c>
      <c r="N16" s="18" t="n"/>
      <c r="O16" s="19" t="n"/>
      <c r="P16" s="20">
        <f>IF(IF($G16="",$F16,$G16)="","",IFERROR(VLOOKUP(IF($G16="",$F16,$G16),'Verificación Temperaturas'!$A$4:$E$18,3,FALSE),""))</f>
        <v/>
      </c>
      <c r="Q16" s="20">
        <f>IF(IF($G16="",$F16,$G16)="","",IFERROR(VLOOKUP(IF($G16="",$F16,$G16),'Verificación Temperaturas'!$A$4:$E$18,4,FALSE),""))</f>
        <v/>
      </c>
      <c r="R16" s="20">
        <f>IF(OR($O16="",IF($G16="",$F16,$G16)=""),"",IF($Q16="N/A","N/A",IF($Q16="","⚠ FAMILIA SIN LÍMITE",IF($O16&lt;$P16,"✗ RECHAZAR (frío)",IF($O16&lt;=$Q16,"✓ CONFORME","✗ RECHAZAR (calor)")))))</f>
        <v/>
      </c>
      <c r="S16" s="19" t="n"/>
      <c r="T16" s="19" t="n"/>
      <c r="U16" s="19" t="n"/>
      <c r="V16" s="19" t="n"/>
    </row>
    <row r="17">
      <c r="A17" s="18" t="n"/>
      <c r="B17" s="19" t="n"/>
      <c r="C17" s="19" t="n"/>
      <c r="D17" s="19" t="n"/>
      <c r="E17" s="19" t="n"/>
      <c r="F17">
        <f>IF($E17="","",IFERROR(VLOOKUP($E17,'Verificación Temperaturas'!$G$4:$H$13,2,FALSE),""))</f>
        <v/>
      </c>
      <c r="G17" s="19" t="n"/>
      <c r="H17" s="19" t="n"/>
      <c r="I17" s="19" t="n"/>
      <c r="J17" s="19" t="n"/>
      <c r="K17">
        <f>IF(OR($I17="",$J17=""),"",$J17-$I17)</f>
        <v/>
      </c>
      <c r="L17" s="21" t="n"/>
      <c r="M17" s="23">
        <f>IF(OR($K17="",$L17=""),"",$K17*$L17)</f>
        <v/>
      </c>
      <c r="N17" s="18" t="n"/>
      <c r="O17" s="19" t="n"/>
      <c r="P17">
        <f>IF(IF($G17="",$F17,$G17)="","",IFERROR(VLOOKUP(IF($G17="",$F17,$G17),'Verificación Temperaturas'!$A$4:$E$18,3,FALSE),""))</f>
        <v/>
      </c>
      <c r="Q17">
        <f>IF(IF($G17="",$F17,$G17)="","",IFERROR(VLOOKUP(IF($G17="",$F17,$G17),'Verificación Temperaturas'!$A$4:$E$18,4,FALSE),""))</f>
        <v/>
      </c>
      <c r="R17">
        <f>IF(OR($O17="",IF($G17="",$F17,$G17)=""),"",IF($Q17="N/A","N/A",IF($Q17="","⚠ FAMILIA SIN LÍMITE",IF($O17&lt;$P17,"✗ RECHAZAR (frío)",IF($O17&lt;=$Q17,"✓ CONFORME","✗ RECHAZAR (calor)")))))</f>
        <v/>
      </c>
      <c r="S17" s="19" t="n"/>
      <c r="T17" s="19" t="n"/>
      <c r="U17" s="19" t="n"/>
      <c r="V17" s="19" t="n"/>
    </row>
    <row r="18">
      <c r="A18" s="18" t="n"/>
      <c r="B18" s="19" t="n"/>
      <c r="C18" s="19" t="n"/>
      <c r="D18" s="19" t="n"/>
      <c r="E18" s="19" t="n"/>
      <c r="F18" s="20">
        <f>IF($E18="","",IFERROR(VLOOKUP($E18,'Verificación Temperaturas'!$G$4:$H$13,2,FALSE),""))</f>
        <v/>
      </c>
      <c r="G18" s="19" t="n"/>
      <c r="H18" s="19" t="n"/>
      <c r="I18" s="19" t="n"/>
      <c r="J18" s="19" t="n"/>
      <c r="K18" s="20">
        <f>IF(OR($I18="",$J18=""),"",$J18-$I18)</f>
        <v/>
      </c>
      <c r="L18" s="21" t="n"/>
      <c r="M18" s="22">
        <f>IF(OR($K18="",$L18=""),"",$K18*$L18)</f>
        <v/>
      </c>
      <c r="N18" s="18" t="n"/>
      <c r="O18" s="19" t="n"/>
      <c r="P18" s="20">
        <f>IF(IF($G18="",$F18,$G18)="","",IFERROR(VLOOKUP(IF($G18="",$F18,$G18),'Verificación Temperaturas'!$A$4:$E$18,3,FALSE),""))</f>
        <v/>
      </c>
      <c r="Q18" s="20">
        <f>IF(IF($G18="",$F18,$G18)="","",IFERROR(VLOOKUP(IF($G18="",$F18,$G18),'Verificación Temperaturas'!$A$4:$E$18,4,FALSE),""))</f>
        <v/>
      </c>
      <c r="R18" s="20">
        <f>IF(OR($O18="",IF($G18="",$F18,$G18)=""),"",IF($Q18="N/A","N/A",IF($Q18="","⚠ FAMILIA SIN LÍMITE",IF($O18&lt;$P18,"✗ RECHAZAR (frío)",IF($O18&lt;=$Q18,"✓ CONFORME","✗ RECHAZAR (calor)")))))</f>
        <v/>
      </c>
      <c r="S18" s="19" t="n"/>
      <c r="T18" s="19" t="n"/>
      <c r="U18" s="19" t="n"/>
      <c r="V18" s="19" t="n"/>
    </row>
    <row r="19">
      <c r="A19" s="18" t="n"/>
      <c r="B19" s="19" t="n"/>
      <c r="C19" s="19" t="n"/>
      <c r="D19" s="19" t="n"/>
      <c r="E19" s="19" t="n"/>
      <c r="F19">
        <f>IF($E19="","",IFERROR(VLOOKUP($E19,'Verificación Temperaturas'!$G$4:$H$13,2,FALSE),""))</f>
        <v/>
      </c>
      <c r="G19" s="19" t="n"/>
      <c r="H19" s="19" t="n"/>
      <c r="I19" s="19" t="n"/>
      <c r="J19" s="19" t="n"/>
      <c r="K19">
        <f>IF(OR($I19="",$J19=""),"",$J19-$I19)</f>
        <v/>
      </c>
      <c r="L19" s="21" t="n"/>
      <c r="M19" s="23">
        <f>IF(OR($K19="",$L19=""),"",$K19*$L19)</f>
        <v/>
      </c>
      <c r="N19" s="18" t="n"/>
      <c r="O19" s="19" t="n"/>
      <c r="P19">
        <f>IF(IF($G19="",$F19,$G19)="","",IFERROR(VLOOKUP(IF($G19="",$F19,$G19),'Verificación Temperaturas'!$A$4:$E$18,3,FALSE),""))</f>
        <v/>
      </c>
      <c r="Q19">
        <f>IF(IF($G19="",$F19,$G19)="","",IFERROR(VLOOKUP(IF($G19="",$F19,$G19),'Verificación Temperaturas'!$A$4:$E$18,4,FALSE),""))</f>
        <v/>
      </c>
      <c r="R19">
        <f>IF(OR($O19="",IF($G19="",$F19,$G19)=""),"",IF($Q19="N/A","N/A",IF($Q19="","⚠ FAMILIA SIN LÍMITE",IF($O19&lt;$P19,"✗ RECHAZAR (frío)",IF($O19&lt;=$Q19,"✓ CONFORME","✗ RECHAZAR (calor)")))))</f>
        <v/>
      </c>
      <c r="S19" s="19" t="n"/>
      <c r="T19" s="19" t="n"/>
      <c r="U19" s="19" t="n"/>
      <c r="V19" s="19" t="n"/>
    </row>
    <row r="20">
      <c r="A20" s="18" t="n"/>
      <c r="B20" s="19" t="n"/>
      <c r="C20" s="19" t="n"/>
      <c r="D20" s="19" t="n"/>
      <c r="E20" s="19" t="n"/>
      <c r="F20" s="20">
        <f>IF($E20="","",IFERROR(VLOOKUP($E20,'Verificación Temperaturas'!$G$4:$H$13,2,FALSE),""))</f>
        <v/>
      </c>
      <c r="G20" s="19" t="n"/>
      <c r="H20" s="19" t="n"/>
      <c r="I20" s="19" t="n"/>
      <c r="J20" s="19" t="n"/>
      <c r="K20" s="20">
        <f>IF(OR($I20="",$J20=""),"",$J20-$I20)</f>
        <v/>
      </c>
      <c r="L20" s="21" t="n"/>
      <c r="M20" s="22">
        <f>IF(OR($K20="",$L20=""),"",$K20*$L20)</f>
        <v/>
      </c>
      <c r="N20" s="18" t="n"/>
      <c r="O20" s="19" t="n"/>
      <c r="P20" s="20">
        <f>IF(IF($G20="",$F20,$G20)="","",IFERROR(VLOOKUP(IF($G20="",$F20,$G20),'Verificación Temperaturas'!$A$4:$E$18,3,FALSE),""))</f>
        <v/>
      </c>
      <c r="Q20" s="20">
        <f>IF(IF($G20="",$F20,$G20)="","",IFERROR(VLOOKUP(IF($G20="",$F20,$G20),'Verificación Temperaturas'!$A$4:$E$18,4,FALSE),""))</f>
        <v/>
      </c>
      <c r="R20" s="20">
        <f>IF(OR($O20="",IF($G20="",$F20,$G20)=""),"",IF($Q20="N/A","N/A",IF($Q20="","⚠ FAMILIA SIN LÍMITE",IF($O20&lt;$P20,"✗ RECHAZAR (frío)",IF($O20&lt;=$Q20,"✓ CONFORME","✗ RECHAZAR (calor)")))))</f>
        <v/>
      </c>
      <c r="S20" s="19" t="n"/>
      <c r="T20" s="19" t="n"/>
      <c r="U20" s="19" t="n"/>
      <c r="V20" s="19" t="n"/>
    </row>
    <row r="21">
      <c r="A21" s="18" t="n"/>
      <c r="B21" s="19" t="n"/>
      <c r="C21" s="19" t="n"/>
      <c r="D21" s="19" t="n"/>
      <c r="E21" s="19" t="n"/>
      <c r="F21">
        <f>IF($E21="","",IFERROR(VLOOKUP($E21,'Verificación Temperaturas'!$G$4:$H$13,2,FALSE),""))</f>
        <v/>
      </c>
      <c r="G21" s="19" t="n"/>
      <c r="H21" s="19" t="n"/>
      <c r="I21" s="19" t="n"/>
      <c r="J21" s="19" t="n"/>
      <c r="K21">
        <f>IF(OR($I21="",$J21=""),"",$J21-$I21)</f>
        <v/>
      </c>
      <c r="L21" s="21" t="n"/>
      <c r="M21" s="23">
        <f>IF(OR($K21="",$L21=""),"",$K21*$L21)</f>
        <v/>
      </c>
      <c r="N21" s="18" t="n"/>
      <c r="O21" s="19" t="n"/>
      <c r="P21">
        <f>IF(IF($G21="",$F21,$G21)="","",IFERROR(VLOOKUP(IF($G21="",$F21,$G21),'Verificación Temperaturas'!$A$4:$E$18,3,FALSE),""))</f>
        <v/>
      </c>
      <c r="Q21">
        <f>IF(IF($G21="",$F21,$G21)="","",IFERROR(VLOOKUP(IF($G21="",$F21,$G21),'Verificación Temperaturas'!$A$4:$E$18,4,FALSE),""))</f>
        <v/>
      </c>
      <c r="R21">
        <f>IF(OR($O21="",IF($G21="",$F21,$G21)=""),"",IF($Q21="N/A","N/A",IF($Q21="","⚠ FAMILIA SIN LÍMITE",IF($O21&lt;$P21,"✗ RECHAZAR (frío)",IF($O21&lt;=$Q21,"✓ CONFORME","✗ RECHAZAR (calor)")))))</f>
        <v/>
      </c>
      <c r="S21" s="19" t="n"/>
      <c r="T21" s="19" t="n"/>
      <c r="U21" s="19" t="n"/>
      <c r="V21" s="19" t="n"/>
    </row>
    <row r="22">
      <c r="A22" s="18" t="n"/>
      <c r="B22" s="19" t="n"/>
      <c r="C22" s="19" t="n"/>
      <c r="D22" s="19" t="n"/>
      <c r="E22" s="19" t="n"/>
      <c r="F22" s="20">
        <f>IF($E22="","",IFERROR(VLOOKUP($E22,'Verificación Temperaturas'!$G$4:$H$13,2,FALSE),""))</f>
        <v/>
      </c>
      <c r="G22" s="19" t="n"/>
      <c r="H22" s="19" t="n"/>
      <c r="I22" s="19" t="n"/>
      <c r="J22" s="19" t="n"/>
      <c r="K22" s="20">
        <f>IF(OR($I22="",$J22=""),"",$J22-$I22)</f>
        <v/>
      </c>
      <c r="L22" s="21" t="n"/>
      <c r="M22" s="22">
        <f>IF(OR($K22="",$L22=""),"",$K22*$L22)</f>
        <v/>
      </c>
      <c r="N22" s="18" t="n"/>
      <c r="O22" s="19" t="n"/>
      <c r="P22" s="20">
        <f>IF(IF($G22="",$F22,$G22)="","",IFERROR(VLOOKUP(IF($G22="",$F22,$G22),'Verificación Temperaturas'!$A$4:$E$18,3,FALSE),""))</f>
        <v/>
      </c>
      <c r="Q22" s="20">
        <f>IF(IF($G22="",$F22,$G22)="","",IFERROR(VLOOKUP(IF($G22="",$F22,$G22),'Verificación Temperaturas'!$A$4:$E$18,4,FALSE),""))</f>
        <v/>
      </c>
      <c r="R22" s="20">
        <f>IF(OR($O22="",IF($G22="",$F22,$G22)=""),"",IF($Q22="N/A","N/A",IF($Q22="","⚠ FAMILIA SIN LÍMITE",IF($O22&lt;$P22,"✗ RECHAZAR (frío)",IF($O22&lt;=$Q22,"✓ CONFORME","✗ RECHAZAR (calor)")))))</f>
        <v/>
      </c>
      <c r="S22" s="19" t="n"/>
      <c r="T22" s="19" t="n"/>
      <c r="U22" s="19" t="n"/>
      <c r="V22" s="19" t="n"/>
    </row>
    <row r="23">
      <c r="A23" s="18" t="n"/>
      <c r="B23" s="19" t="n"/>
      <c r="C23" s="19" t="n"/>
      <c r="D23" s="19" t="n"/>
      <c r="E23" s="19" t="n"/>
      <c r="F23">
        <f>IF($E23="","",IFERROR(VLOOKUP($E23,'Verificación Temperaturas'!$G$4:$H$13,2,FALSE),""))</f>
        <v/>
      </c>
      <c r="G23" s="19" t="n"/>
      <c r="H23" s="19" t="n"/>
      <c r="I23" s="19" t="n"/>
      <c r="J23" s="19" t="n"/>
      <c r="K23">
        <f>IF(OR($I23="",$J23=""),"",$J23-$I23)</f>
        <v/>
      </c>
      <c r="L23" s="21" t="n"/>
      <c r="M23" s="23">
        <f>IF(OR($K23="",$L23=""),"",$K23*$L23)</f>
        <v/>
      </c>
      <c r="N23" s="18" t="n"/>
      <c r="O23" s="19" t="n"/>
      <c r="P23">
        <f>IF(IF($G23="",$F23,$G23)="","",IFERROR(VLOOKUP(IF($G23="",$F23,$G23),'Verificación Temperaturas'!$A$4:$E$18,3,FALSE),""))</f>
        <v/>
      </c>
      <c r="Q23">
        <f>IF(IF($G23="",$F23,$G23)="","",IFERROR(VLOOKUP(IF($G23="",$F23,$G23),'Verificación Temperaturas'!$A$4:$E$18,4,FALSE),""))</f>
        <v/>
      </c>
      <c r="R23">
        <f>IF(OR($O23="",IF($G23="",$F23,$G23)=""),"",IF($Q23="N/A","N/A",IF($Q23="","⚠ FAMILIA SIN LÍMITE",IF($O23&lt;$P23,"✗ RECHAZAR (frío)",IF($O23&lt;=$Q23,"✓ CONFORME","✗ RECHAZAR (calor)")))))</f>
        <v/>
      </c>
      <c r="S23" s="19" t="n"/>
      <c r="T23" s="19" t="n"/>
      <c r="U23" s="19" t="n"/>
      <c r="V23" s="19" t="n"/>
    </row>
    <row r="24">
      <c r="A24" s="18" t="n"/>
      <c r="B24" s="19" t="n"/>
      <c r="C24" s="19" t="n"/>
      <c r="D24" s="19" t="n"/>
      <c r="E24" s="19" t="n"/>
      <c r="F24" s="20">
        <f>IF($E24="","",IFERROR(VLOOKUP($E24,'Verificación Temperaturas'!$G$4:$H$13,2,FALSE),""))</f>
        <v/>
      </c>
      <c r="G24" s="19" t="n"/>
      <c r="H24" s="19" t="n"/>
      <c r="I24" s="19" t="n"/>
      <c r="J24" s="19" t="n"/>
      <c r="K24" s="20">
        <f>IF(OR($I24="",$J24=""),"",$J24-$I24)</f>
        <v/>
      </c>
      <c r="L24" s="21" t="n"/>
      <c r="M24" s="22">
        <f>IF(OR($K24="",$L24=""),"",$K24*$L24)</f>
        <v/>
      </c>
      <c r="N24" s="18" t="n"/>
      <c r="O24" s="19" t="n"/>
      <c r="P24" s="20">
        <f>IF(IF($G24="",$F24,$G24)="","",IFERROR(VLOOKUP(IF($G24="",$F24,$G24),'Verificación Temperaturas'!$A$4:$E$18,3,FALSE),""))</f>
        <v/>
      </c>
      <c r="Q24" s="20">
        <f>IF(IF($G24="",$F24,$G24)="","",IFERROR(VLOOKUP(IF($G24="",$F24,$G24),'Verificación Temperaturas'!$A$4:$E$18,4,FALSE),""))</f>
        <v/>
      </c>
      <c r="R24" s="20">
        <f>IF(OR($O24="",IF($G24="",$F24,$G24)=""),"",IF($Q24="N/A","N/A",IF($Q24="","⚠ FAMILIA SIN LÍMITE",IF($O24&lt;$P24,"✗ RECHAZAR (frío)",IF($O24&lt;=$Q24,"✓ CONFORME","✗ RECHAZAR (calor)")))))</f>
        <v/>
      </c>
      <c r="S24" s="19" t="n"/>
      <c r="T24" s="19" t="n"/>
      <c r="U24" s="19" t="n"/>
      <c r="V24" s="19" t="n"/>
    </row>
    <row r="25">
      <c r="A25" s="18" t="n"/>
      <c r="B25" s="19" t="n"/>
      <c r="C25" s="19" t="n"/>
      <c r="D25" s="19" t="n"/>
      <c r="E25" s="19" t="n"/>
      <c r="F25">
        <f>IF($E25="","",IFERROR(VLOOKUP($E25,'Verificación Temperaturas'!$G$4:$H$13,2,FALSE),""))</f>
        <v/>
      </c>
      <c r="G25" s="19" t="n"/>
      <c r="H25" s="19" t="n"/>
      <c r="I25" s="19" t="n"/>
      <c r="J25" s="19" t="n"/>
      <c r="K25">
        <f>IF(OR($I25="",$J25=""),"",$J25-$I25)</f>
        <v/>
      </c>
      <c r="L25" s="21" t="n"/>
      <c r="M25" s="23">
        <f>IF(OR($K25="",$L25=""),"",$K25*$L25)</f>
        <v/>
      </c>
      <c r="N25" s="18" t="n"/>
      <c r="O25" s="19" t="n"/>
      <c r="P25">
        <f>IF(IF($G25="",$F25,$G25)="","",IFERROR(VLOOKUP(IF($G25="",$F25,$G25),'Verificación Temperaturas'!$A$4:$E$18,3,FALSE),""))</f>
        <v/>
      </c>
      <c r="Q25">
        <f>IF(IF($G25="",$F25,$G25)="","",IFERROR(VLOOKUP(IF($G25="",$F25,$G25),'Verificación Temperaturas'!$A$4:$E$18,4,FALSE),""))</f>
        <v/>
      </c>
      <c r="R25">
        <f>IF(OR($O25="",IF($G25="",$F25,$G25)=""),"",IF($Q25="N/A","N/A",IF($Q25="","⚠ FAMILIA SIN LÍMITE",IF($O25&lt;$P25,"✗ RECHAZAR (frío)",IF($O25&lt;=$Q25,"✓ CONFORME","✗ RECHAZAR (calor)")))))</f>
        <v/>
      </c>
      <c r="S25" s="19" t="n"/>
      <c r="T25" s="19" t="n"/>
      <c r="U25" s="19" t="n"/>
      <c r="V25" s="19" t="n"/>
    </row>
    <row r="26">
      <c r="A26" s="18" t="n"/>
      <c r="B26" s="19" t="n"/>
      <c r="C26" s="19" t="n"/>
      <c r="D26" s="19" t="n"/>
      <c r="E26" s="19" t="n"/>
      <c r="F26" s="20">
        <f>IF($E26="","",IFERROR(VLOOKUP($E26,'Verificación Temperaturas'!$G$4:$H$13,2,FALSE),""))</f>
        <v/>
      </c>
      <c r="G26" s="19" t="n"/>
      <c r="H26" s="19" t="n"/>
      <c r="I26" s="19" t="n"/>
      <c r="J26" s="19" t="n"/>
      <c r="K26" s="20">
        <f>IF(OR($I26="",$J26=""),"",$J26-$I26)</f>
        <v/>
      </c>
      <c r="L26" s="21" t="n"/>
      <c r="M26" s="22">
        <f>IF(OR($K26="",$L26=""),"",$K26*$L26)</f>
        <v/>
      </c>
      <c r="N26" s="18" t="n"/>
      <c r="O26" s="19" t="n"/>
      <c r="P26" s="20">
        <f>IF(IF($G26="",$F26,$G26)="","",IFERROR(VLOOKUP(IF($G26="",$F26,$G26),'Verificación Temperaturas'!$A$4:$E$18,3,FALSE),""))</f>
        <v/>
      </c>
      <c r="Q26" s="20">
        <f>IF(IF($G26="",$F26,$G26)="","",IFERROR(VLOOKUP(IF($G26="",$F26,$G26),'Verificación Temperaturas'!$A$4:$E$18,4,FALSE),""))</f>
        <v/>
      </c>
      <c r="R26" s="20">
        <f>IF(OR($O26="",IF($G26="",$F26,$G26)=""),"",IF($Q26="N/A","N/A",IF($Q26="","⚠ FAMILIA SIN LÍMITE",IF($O26&lt;$P26,"✗ RECHAZAR (frío)",IF($O26&lt;=$Q26,"✓ CONFORME","✗ RECHAZAR (calor)")))))</f>
        <v/>
      </c>
      <c r="S26" s="19" t="n"/>
      <c r="T26" s="19" t="n"/>
      <c r="U26" s="19" t="n"/>
      <c r="V26" s="19" t="n"/>
    </row>
    <row r="27">
      <c r="A27" s="18" t="n"/>
      <c r="B27" s="19" t="n"/>
      <c r="C27" s="19" t="n"/>
      <c r="D27" s="19" t="n"/>
      <c r="E27" s="19" t="n"/>
      <c r="F27">
        <f>IF($E27="","",IFERROR(VLOOKUP($E27,'Verificación Temperaturas'!$G$4:$H$13,2,FALSE),""))</f>
        <v/>
      </c>
      <c r="G27" s="19" t="n"/>
      <c r="H27" s="19" t="n"/>
      <c r="I27" s="19" t="n"/>
      <c r="J27" s="19" t="n"/>
      <c r="K27">
        <f>IF(OR($I27="",$J27=""),"",$J27-$I27)</f>
        <v/>
      </c>
      <c r="L27" s="21" t="n"/>
      <c r="M27" s="23">
        <f>IF(OR($K27="",$L27=""),"",$K27*$L27)</f>
        <v/>
      </c>
      <c r="N27" s="18" t="n"/>
      <c r="O27" s="19" t="n"/>
      <c r="P27">
        <f>IF(IF($G27="",$F27,$G27)="","",IFERROR(VLOOKUP(IF($G27="",$F27,$G27),'Verificación Temperaturas'!$A$4:$E$18,3,FALSE),""))</f>
        <v/>
      </c>
      <c r="Q27">
        <f>IF(IF($G27="",$F27,$G27)="","",IFERROR(VLOOKUP(IF($G27="",$F27,$G27),'Verificación Temperaturas'!$A$4:$E$18,4,FALSE),""))</f>
        <v/>
      </c>
      <c r="R27">
        <f>IF(OR($O27="",IF($G27="",$F27,$G27)=""),"",IF($Q27="N/A","N/A",IF($Q27="","⚠ FAMILIA SIN LÍMITE",IF($O27&lt;$P27,"✗ RECHAZAR (frío)",IF($O27&lt;=$Q27,"✓ CONFORME","✗ RECHAZAR (calor)")))))</f>
        <v/>
      </c>
      <c r="S27" s="19" t="n"/>
      <c r="T27" s="19" t="n"/>
      <c r="U27" s="19" t="n"/>
      <c r="V27" s="19" t="n"/>
    </row>
    <row r="28">
      <c r="A28" s="18" t="n"/>
      <c r="B28" s="19" t="n"/>
      <c r="C28" s="19" t="n"/>
      <c r="D28" s="19" t="n"/>
      <c r="E28" s="19" t="n"/>
      <c r="F28" s="20">
        <f>IF($E28="","",IFERROR(VLOOKUP($E28,'Verificación Temperaturas'!$G$4:$H$13,2,FALSE),""))</f>
        <v/>
      </c>
      <c r="G28" s="19" t="n"/>
      <c r="H28" s="19" t="n"/>
      <c r="I28" s="19" t="n"/>
      <c r="J28" s="19" t="n"/>
      <c r="K28" s="20">
        <f>IF(OR($I28="",$J28=""),"",$J28-$I28)</f>
        <v/>
      </c>
      <c r="L28" s="21" t="n"/>
      <c r="M28" s="22">
        <f>IF(OR($K28="",$L28=""),"",$K28*$L28)</f>
        <v/>
      </c>
      <c r="N28" s="18" t="n"/>
      <c r="O28" s="19" t="n"/>
      <c r="P28" s="20">
        <f>IF(IF($G28="",$F28,$G28)="","",IFERROR(VLOOKUP(IF($G28="",$F28,$G28),'Verificación Temperaturas'!$A$4:$E$18,3,FALSE),""))</f>
        <v/>
      </c>
      <c r="Q28" s="20">
        <f>IF(IF($G28="",$F28,$G28)="","",IFERROR(VLOOKUP(IF($G28="",$F28,$G28),'Verificación Temperaturas'!$A$4:$E$18,4,FALSE),""))</f>
        <v/>
      </c>
      <c r="R28" s="20">
        <f>IF(OR($O28="",IF($G28="",$F28,$G28)=""),"",IF($Q28="N/A","N/A",IF($Q28="","⚠ FAMILIA SIN LÍMITE",IF($O28&lt;$P28,"✗ RECHAZAR (frío)",IF($O28&lt;=$Q28,"✓ CONFORME","✗ RECHAZAR (calor)")))))</f>
        <v/>
      </c>
      <c r="S28" s="19" t="n"/>
      <c r="T28" s="19" t="n"/>
      <c r="U28" s="19" t="n"/>
      <c r="V28" s="19" t="n"/>
    </row>
    <row r="29">
      <c r="A29" s="18" t="n"/>
      <c r="B29" s="19" t="n"/>
      <c r="C29" s="19" t="n"/>
      <c r="D29" s="19" t="n"/>
      <c r="E29" s="19" t="n"/>
      <c r="F29">
        <f>IF($E29="","",IFERROR(VLOOKUP($E29,'Verificación Temperaturas'!$G$4:$H$13,2,FALSE),""))</f>
        <v/>
      </c>
      <c r="G29" s="19" t="n"/>
      <c r="H29" s="19" t="n"/>
      <c r="I29" s="19" t="n"/>
      <c r="J29" s="19" t="n"/>
      <c r="K29">
        <f>IF(OR($I29="",$J29=""),"",$J29-$I29)</f>
        <v/>
      </c>
      <c r="L29" s="21" t="n"/>
      <c r="M29" s="23">
        <f>IF(OR($K29="",$L29=""),"",$K29*$L29)</f>
        <v/>
      </c>
      <c r="N29" s="18" t="n"/>
      <c r="O29" s="19" t="n"/>
      <c r="P29">
        <f>IF(IF($G29="",$F29,$G29)="","",IFERROR(VLOOKUP(IF($G29="",$F29,$G29),'Verificación Temperaturas'!$A$4:$E$18,3,FALSE),""))</f>
        <v/>
      </c>
      <c r="Q29">
        <f>IF(IF($G29="",$F29,$G29)="","",IFERROR(VLOOKUP(IF($G29="",$F29,$G29),'Verificación Temperaturas'!$A$4:$E$18,4,FALSE),""))</f>
        <v/>
      </c>
      <c r="R29">
        <f>IF(OR($O29="",IF($G29="",$F29,$G29)=""),"",IF($Q29="N/A","N/A",IF($Q29="","⚠ FAMILIA SIN LÍMITE",IF($O29&lt;$P29,"✗ RECHAZAR (frío)",IF($O29&lt;=$Q29,"✓ CONFORME","✗ RECHAZAR (calor)")))))</f>
        <v/>
      </c>
      <c r="S29" s="19" t="n"/>
      <c r="T29" s="19" t="n"/>
      <c r="U29" s="19" t="n"/>
      <c r="V29" s="19" t="n"/>
    </row>
    <row r="30">
      <c r="A30" s="18" t="n"/>
      <c r="B30" s="19" t="n"/>
      <c r="C30" s="19" t="n"/>
      <c r="D30" s="19" t="n"/>
      <c r="E30" s="19" t="n"/>
      <c r="F30" s="20">
        <f>IF($E30="","",IFERROR(VLOOKUP($E30,'Verificación Temperaturas'!$G$4:$H$13,2,FALSE),""))</f>
        <v/>
      </c>
      <c r="G30" s="19" t="n"/>
      <c r="H30" s="19" t="n"/>
      <c r="I30" s="19" t="n"/>
      <c r="J30" s="19" t="n"/>
      <c r="K30" s="20">
        <f>IF(OR($I30="",$J30=""),"",$J30-$I30)</f>
        <v/>
      </c>
      <c r="L30" s="21" t="n"/>
      <c r="M30" s="22">
        <f>IF(OR($K30="",$L30=""),"",$K30*$L30)</f>
        <v/>
      </c>
      <c r="N30" s="18" t="n"/>
      <c r="O30" s="19" t="n"/>
      <c r="P30" s="20">
        <f>IF(IF($G30="",$F30,$G30)="","",IFERROR(VLOOKUP(IF($G30="",$F30,$G30),'Verificación Temperaturas'!$A$4:$E$18,3,FALSE),""))</f>
        <v/>
      </c>
      <c r="Q30" s="20">
        <f>IF(IF($G30="",$F30,$G30)="","",IFERROR(VLOOKUP(IF($G30="",$F30,$G30),'Verificación Temperaturas'!$A$4:$E$18,4,FALSE),""))</f>
        <v/>
      </c>
      <c r="R30" s="20">
        <f>IF(OR($O30="",IF($G30="",$F30,$G30)=""),"",IF($Q30="N/A","N/A",IF($Q30="","⚠ FAMILIA SIN LÍMITE",IF($O30&lt;$P30,"✗ RECHAZAR (frío)",IF($O30&lt;=$Q30,"✓ CONFORME","✗ RECHAZAR (calor)")))))</f>
        <v/>
      </c>
      <c r="S30" s="19" t="n"/>
      <c r="T30" s="19" t="n"/>
      <c r="U30" s="19" t="n"/>
      <c r="V30" s="19" t="n"/>
    </row>
    <row r="31">
      <c r="A31" s="18" t="n"/>
      <c r="B31" s="19" t="n"/>
      <c r="C31" s="19" t="n"/>
      <c r="D31" s="19" t="n"/>
      <c r="E31" s="19" t="n"/>
      <c r="F31">
        <f>IF($E31="","",IFERROR(VLOOKUP($E31,'Verificación Temperaturas'!$G$4:$H$13,2,FALSE),""))</f>
        <v/>
      </c>
      <c r="G31" s="19" t="n"/>
      <c r="H31" s="19" t="n"/>
      <c r="I31" s="19" t="n"/>
      <c r="J31" s="19" t="n"/>
      <c r="K31">
        <f>IF(OR($I31="",$J31=""),"",$J31-$I31)</f>
        <v/>
      </c>
      <c r="L31" s="21" t="n"/>
      <c r="M31" s="23">
        <f>IF(OR($K31="",$L31=""),"",$K31*$L31)</f>
        <v/>
      </c>
      <c r="N31" s="18" t="n"/>
      <c r="O31" s="19" t="n"/>
      <c r="P31">
        <f>IF(IF($G31="",$F31,$G31)="","",IFERROR(VLOOKUP(IF($G31="",$F31,$G31),'Verificación Temperaturas'!$A$4:$E$18,3,FALSE),""))</f>
        <v/>
      </c>
      <c r="Q31">
        <f>IF(IF($G31="",$F31,$G31)="","",IFERROR(VLOOKUP(IF($G31="",$F31,$G31),'Verificación Temperaturas'!$A$4:$E$18,4,FALSE),""))</f>
        <v/>
      </c>
      <c r="R31">
        <f>IF(OR($O31="",IF($G31="",$F31,$G31)=""),"",IF($Q31="N/A","N/A",IF($Q31="","⚠ FAMILIA SIN LÍMITE",IF($O31&lt;$P31,"✗ RECHAZAR (frío)",IF($O31&lt;=$Q31,"✓ CONFORME","✗ RECHAZAR (calor)")))))</f>
        <v/>
      </c>
      <c r="S31" s="19" t="n"/>
      <c r="T31" s="19" t="n"/>
      <c r="U31" s="19" t="n"/>
      <c r="V31" s="19" t="n"/>
    </row>
    <row r="32">
      <c r="A32" s="18" t="n"/>
      <c r="B32" s="19" t="n"/>
      <c r="C32" s="19" t="n"/>
      <c r="D32" s="19" t="n"/>
      <c r="E32" s="19" t="n"/>
      <c r="F32" s="20">
        <f>IF($E32="","",IFERROR(VLOOKUP($E32,'Verificación Temperaturas'!$G$4:$H$13,2,FALSE),""))</f>
        <v/>
      </c>
      <c r="G32" s="19" t="n"/>
      <c r="H32" s="19" t="n"/>
      <c r="I32" s="19" t="n"/>
      <c r="J32" s="19" t="n"/>
      <c r="K32" s="20">
        <f>IF(OR($I32="",$J32=""),"",$J32-$I32)</f>
        <v/>
      </c>
      <c r="L32" s="21" t="n"/>
      <c r="M32" s="22">
        <f>IF(OR($K32="",$L32=""),"",$K32*$L32)</f>
        <v/>
      </c>
      <c r="N32" s="18" t="n"/>
      <c r="O32" s="19" t="n"/>
      <c r="P32" s="20">
        <f>IF(IF($G32="",$F32,$G32)="","",IFERROR(VLOOKUP(IF($G32="",$F32,$G32),'Verificación Temperaturas'!$A$4:$E$18,3,FALSE),""))</f>
        <v/>
      </c>
      <c r="Q32" s="20">
        <f>IF(IF($G32="",$F32,$G32)="","",IFERROR(VLOOKUP(IF($G32="",$F32,$G32),'Verificación Temperaturas'!$A$4:$E$18,4,FALSE),""))</f>
        <v/>
      </c>
      <c r="R32" s="20">
        <f>IF(OR($O32="",IF($G32="",$F32,$G32)=""),"",IF($Q32="N/A","N/A",IF($Q32="","⚠ FAMILIA SIN LÍMITE",IF($O32&lt;$P32,"✗ RECHAZAR (frío)",IF($O32&lt;=$Q32,"✓ CONFORME","✗ RECHAZAR (calor)")))))</f>
        <v/>
      </c>
      <c r="S32" s="19" t="n"/>
      <c r="T32" s="19" t="n"/>
      <c r="U32" s="19" t="n"/>
      <c r="V32" s="19" t="n"/>
    </row>
    <row r="33">
      <c r="A33" s="18" t="n"/>
      <c r="B33" s="19" t="n"/>
      <c r="C33" s="19" t="n"/>
      <c r="D33" s="19" t="n"/>
      <c r="E33" s="19" t="n"/>
      <c r="F33">
        <f>IF($E33="","",IFERROR(VLOOKUP($E33,'Verificación Temperaturas'!$G$4:$H$13,2,FALSE),""))</f>
        <v/>
      </c>
      <c r="G33" s="19" t="n"/>
      <c r="H33" s="19" t="n"/>
      <c r="I33" s="19" t="n"/>
      <c r="J33" s="19" t="n"/>
      <c r="K33">
        <f>IF(OR($I33="",$J33=""),"",$J33-$I33)</f>
        <v/>
      </c>
      <c r="L33" s="21" t="n"/>
      <c r="M33" s="23">
        <f>IF(OR($K33="",$L33=""),"",$K33*$L33)</f>
        <v/>
      </c>
      <c r="N33" s="18" t="n"/>
      <c r="O33" s="19" t="n"/>
      <c r="P33">
        <f>IF(IF($G33="",$F33,$G33)="","",IFERROR(VLOOKUP(IF($G33="",$F33,$G33),'Verificación Temperaturas'!$A$4:$E$18,3,FALSE),""))</f>
        <v/>
      </c>
      <c r="Q33">
        <f>IF(IF($G33="",$F33,$G33)="","",IFERROR(VLOOKUP(IF($G33="",$F33,$G33),'Verificación Temperaturas'!$A$4:$E$18,4,FALSE),""))</f>
        <v/>
      </c>
      <c r="R33">
        <f>IF(OR($O33="",IF($G33="",$F33,$G33)=""),"",IF($Q33="N/A","N/A",IF($Q33="","⚠ FAMILIA SIN LÍMITE",IF($O33&lt;$P33,"✗ RECHAZAR (frío)",IF($O33&lt;=$Q33,"✓ CONFORME","✗ RECHAZAR (calor)")))))</f>
        <v/>
      </c>
      <c r="S33" s="19" t="n"/>
      <c r="T33" s="19" t="n"/>
      <c r="U33" s="19" t="n"/>
      <c r="V33" s="19" t="n"/>
    </row>
    <row r="34">
      <c r="A34" s="18" t="n"/>
      <c r="B34" s="19" t="n"/>
      <c r="C34" s="19" t="n"/>
      <c r="D34" s="19" t="n"/>
      <c r="E34" s="19" t="n"/>
      <c r="F34" s="20">
        <f>IF($E34="","",IFERROR(VLOOKUP($E34,'Verificación Temperaturas'!$G$4:$H$13,2,FALSE),""))</f>
        <v/>
      </c>
      <c r="G34" s="19" t="n"/>
      <c r="H34" s="19" t="n"/>
      <c r="I34" s="19" t="n"/>
      <c r="J34" s="19" t="n"/>
      <c r="K34" s="20">
        <f>IF(OR($I34="",$J34=""),"",$J34-$I34)</f>
        <v/>
      </c>
      <c r="L34" s="21" t="n"/>
      <c r="M34" s="22">
        <f>IF(OR($K34="",$L34=""),"",$K34*$L34)</f>
        <v/>
      </c>
      <c r="N34" s="18" t="n"/>
      <c r="O34" s="19" t="n"/>
      <c r="P34" s="20">
        <f>IF(IF($G34="",$F34,$G34)="","",IFERROR(VLOOKUP(IF($G34="",$F34,$G34),'Verificación Temperaturas'!$A$4:$E$18,3,FALSE),""))</f>
        <v/>
      </c>
      <c r="Q34" s="20">
        <f>IF(IF($G34="",$F34,$G34)="","",IFERROR(VLOOKUP(IF($G34="",$F34,$G34),'Verificación Temperaturas'!$A$4:$E$18,4,FALSE),""))</f>
        <v/>
      </c>
      <c r="R34" s="20">
        <f>IF(OR($O34="",IF($G34="",$F34,$G34)=""),"",IF($Q34="N/A","N/A",IF($Q34="","⚠ FAMILIA SIN LÍMITE",IF($O34&lt;$P34,"✗ RECHAZAR (frío)",IF($O34&lt;=$Q34,"✓ CONFORME","✗ RECHAZAR (calor)")))))</f>
        <v/>
      </c>
      <c r="S34" s="19" t="n"/>
      <c r="T34" s="19" t="n"/>
      <c r="U34" s="19" t="n"/>
      <c r="V34" s="19" t="n"/>
    </row>
    <row r="35">
      <c r="A35" s="18" t="n"/>
      <c r="B35" s="19" t="n"/>
      <c r="C35" s="19" t="n"/>
      <c r="D35" s="19" t="n"/>
      <c r="E35" s="19" t="n"/>
      <c r="F35">
        <f>IF($E35="","",IFERROR(VLOOKUP($E35,'Verificación Temperaturas'!$G$4:$H$13,2,FALSE),""))</f>
        <v/>
      </c>
      <c r="G35" s="19" t="n"/>
      <c r="H35" s="19" t="n"/>
      <c r="I35" s="19" t="n"/>
      <c r="J35" s="19" t="n"/>
      <c r="K35">
        <f>IF(OR($I35="",$J35=""),"",$J35-$I35)</f>
        <v/>
      </c>
      <c r="L35" s="21" t="n"/>
      <c r="M35" s="23">
        <f>IF(OR($K35="",$L35=""),"",$K35*$L35)</f>
        <v/>
      </c>
      <c r="N35" s="18" t="n"/>
      <c r="O35" s="19" t="n"/>
      <c r="P35">
        <f>IF(IF($G35="",$F35,$G35)="","",IFERROR(VLOOKUP(IF($G35="",$F35,$G35),'Verificación Temperaturas'!$A$4:$E$18,3,FALSE),""))</f>
        <v/>
      </c>
      <c r="Q35">
        <f>IF(IF($G35="",$F35,$G35)="","",IFERROR(VLOOKUP(IF($G35="",$F35,$G35),'Verificación Temperaturas'!$A$4:$E$18,4,FALSE),""))</f>
        <v/>
      </c>
      <c r="R35">
        <f>IF(OR($O35="",IF($G35="",$F35,$G35)=""),"",IF($Q35="N/A","N/A",IF($Q35="","⚠ FAMILIA SIN LÍMITE",IF($O35&lt;$P35,"✗ RECHAZAR (frío)",IF($O35&lt;=$Q35,"✓ CONFORME","✗ RECHAZAR (calor)")))))</f>
        <v/>
      </c>
      <c r="S35" s="19" t="n"/>
      <c r="T35" s="19" t="n"/>
      <c r="U35" s="19" t="n"/>
      <c r="V35" s="19" t="n"/>
    </row>
    <row r="36">
      <c r="A36" s="18" t="n"/>
      <c r="B36" s="19" t="n"/>
      <c r="C36" s="19" t="n"/>
      <c r="D36" s="19" t="n"/>
      <c r="E36" s="19" t="n"/>
      <c r="F36" s="20">
        <f>IF($E36="","",IFERROR(VLOOKUP($E36,'Verificación Temperaturas'!$G$4:$H$13,2,FALSE),""))</f>
        <v/>
      </c>
      <c r="G36" s="19" t="n"/>
      <c r="H36" s="19" t="n"/>
      <c r="I36" s="19" t="n"/>
      <c r="J36" s="19" t="n"/>
      <c r="K36" s="20">
        <f>IF(OR($I36="",$J36=""),"",$J36-$I36)</f>
        <v/>
      </c>
      <c r="L36" s="21" t="n"/>
      <c r="M36" s="22">
        <f>IF(OR($K36="",$L36=""),"",$K36*$L36)</f>
        <v/>
      </c>
      <c r="N36" s="18" t="n"/>
      <c r="O36" s="19" t="n"/>
      <c r="P36" s="20">
        <f>IF(IF($G36="",$F36,$G36)="","",IFERROR(VLOOKUP(IF($G36="",$F36,$G36),'Verificación Temperaturas'!$A$4:$E$18,3,FALSE),""))</f>
        <v/>
      </c>
      <c r="Q36" s="20">
        <f>IF(IF($G36="",$F36,$G36)="","",IFERROR(VLOOKUP(IF($G36="",$F36,$G36),'Verificación Temperaturas'!$A$4:$E$18,4,FALSE),""))</f>
        <v/>
      </c>
      <c r="R36" s="20">
        <f>IF(OR($O36="",IF($G36="",$F36,$G36)=""),"",IF($Q36="N/A","N/A",IF($Q36="","⚠ FAMILIA SIN LÍMITE",IF($O36&lt;$P36,"✗ RECHAZAR (frío)",IF($O36&lt;=$Q36,"✓ CONFORME","✗ RECHAZAR (calor)")))))</f>
        <v/>
      </c>
      <c r="S36" s="19" t="n"/>
      <c r="T36" s="19" t="n"/>
      <c r="U36" s="19" t="n"/>
      <c r="V36" s="19" t="n"/>
    </row>
    <row r="37">
      <c r="A37" s="18" t="n"/>
      <c r="B37" s="19" t="n"/>
      <c r="C37" s="19" t="n"/>
      <c r="D37" s="19" t="n"/>
      <c r="E37" s="19" t="n"/>
      <c r="F37">
        <f>IF($E37="","",IFERROR(VLOOKUP($E37,'Verificación Temperaturas'!$G$4:$H$13,2,FALSE),""))</f>
        <v/>
      </c>
      <c r="G37" s="19" t="n"/>
      <c r="H37" s="19" t="n"/>
      <c r="I37" s="19" t="n"/>
      <c r="J37" s="19" t="n"/>
      <c r="K37">
        <f>IF(OR($I37="",$J37=""),"",$J37-$I37)</f>
        <v/>
      </c>
      <c r="L37" s="21" t="n"/>
      <c r="M37" s="23">
        <f>IF(OR($K37="",$L37=""),"",$K37*$L37)</f>
        <v/>
      </c>
      <c r="N37" s="18" t="n"/>
      <c r="O37" s="19" t="n"/>
      <c r="P37">
        <f>IF(IF($G37="",$F37,$G37)="","",IFERROR(VLOOKUP(IF($G37="",$F37,$G37),'Verificación Temperaturas'!$A$4:$E$18,3,FALSE),""))</f>
        <v/>
      </c>
      <c r="Q37">
        <f>IF(IF($G37="",$F37,$G37)="","",IFERROR(VLOOKUP(IF($G37="",$F37,$G37),'Verificación Temperaturas'!$A$4:$E$18,4,FALSE),""))</f>
        <v/>
      </c>
      <c r="R37">
        <f>IF(OR($O37="",IF($G37="",$F37,$G37)=""),"",IF($Q37="N/A","N/A",IF($Q37="","⚠ FAMILIA SIN LÍMITE",IF($O37&lt;$P37,"✗ RECHAZAR (frío)",IF($O37&lt;=$Q37,"✓ CONFORME","✗ RECHAZAR (calor)")))))</f>
        <v/>
      </c>
      <c r="S37" s="19" t="n"/>
      <c r="T37" s="19" t="n"/>
      <c r="U37" s="19" t="n"/>
      <c r="V37" s="19" t="n"/>
    </row>
    <row r="38">
      <c r="A38" s="18" t="n"/>
      <c r="B38" s="19" t="n"/>
      <c r="C38" s="19" t="n"/>
      <c r="D38" s="19" t="n"/>
      <c r="E38" s="19" t="n"/>
      <c r="F38" s="20">
        <f>IF($E38="","",IFERROR(VLOOKUP($E38,'Verificación Temperaturas'!$G$4:$H$13,2,FALSE),""))</f>
        <v/>
      </c>
      <c r="G38" s="19" t="n"/>
      <c r="H38" s="19" t="n"/>
      <c r="I38" s="19" t="n"/>
      <c r="J38" s="19" t="n"/>
      <c r="K38" s="20">
        <f>IF(OR($I38="",$J38=""),"",$J38-$I38)</f>
        <v/>
      </c>
      <c r="L38" s="21" t="n"/>
      <c r="M38" s="22">
        <f>IF(OR($K38="",$L38=""),"",$K38*$L38)</f>
        <v/>
      </c>
      <c r="N38" s="18" t="n"/>
      <c r="O38" s="19" t="n"/>
      <c r="P38" s="20">
        <f>IF(IF($G38="",$F38,$G38)="","",IFERROR(VLOOKUP(IF($G38="",$F38,$G38),'Verificación Temperaturas'!$A$4:$E$18,3,FALSE),""))</f>
        <v/>
      </c>
      <c r="Q38" s="20">
        <f>IF(IF($G38="",$F38,$G38)="","",IFERROR(VLOOKUP(IF($G38="",$F38,$G38),'Verificación Temperaturas'!$A$4:$E$18,4,FALSE),""))</f>
        <v/>
      </c>
      <c r="R38" s="20">
        <f>IF(OR($O38="",IF($G38="",$F38,$G38)=""),"",IF($Q38="N/A","N/A",IF($Q38="","⚠ FAMILIA SIN LÍMITE",IF($O38&lt;$P38,"✗ RECHAZAR (frío)",IF($O38&lt;=$Q38,"✓ CONFORME","✗ RECHAZAR (calor)")))))</f>
        <v/>
      </c>
      <c r="S38" s="19" t="n"/>
      <c r="T38" s="19" t="n"/>
      <c r="U38" s="19" t="n"/>
      <c r="V38" s="19" t="n"/>
    </row>
    <row r="39">
      <c r="A39" s="18" t="n"/>
      <c r="B39" s="19" t="n"/>
      <c r="C39" s="19" t="n"/>
      <c r="D39" s="19" t="n"/>
      <c r="E39" s="19" t="n"/>
      <c r="F39">
        <f>IF($E39="","",IFERROR(VLOOKUP($E39,'Verificación Temperaturas'!$G$4:$H$13,2,FALSE),""))</f>
        <v/>
      </c>
      <c r="G39" s="19" t="n"/>
      <c r="H39" s="19" t="n"/>
      <c r="I39" s="19" t="n"/>
      <c r="J39" s="19" t="n"/>
      <c r="K39">
        <f>IF(OR($I39="",$J39=""),"",$J39-$I39)</f>
        <v/>
      </c>
      <c r="L39" s="21" t="n"/>
      <c r="M39" s="23">
        <f>IF(OR($K39="",$L39=""),"",$K39*$L39)</f>
        <v/>
      </c>
      <c r="N39" s="18" t="n"/>
      <c r="O39" s="19" t="n"/>
      <c r="P39">
        <f>IF(IF($G39="",$F39,$G39)="","",IFERROR(VLOOKUP(IF($G39="",$F39,$G39),'Verificación Temperaturas'!$A$4:$E$18,3,FALSE),""))</f>
        <v/>
      </c>
      <c r="Q39">
        <f>IF(IF($G39="",$F39,$G39)="","",IFERROR(VLOOKUP(IF($G39="",$F39,$G39),'Verificación Temperaturas'!$A$4:$E$18,4,FALSE),""))</f>
        <v/>
      </c>
      <c r="R39">
        <f>IF(OR($O39="",IF($G39="",$F39,$G39)=""),"",IF($Q39="N/A","N/A",IF($Q39="","⚠ FAMILIA SIN LÍMITE",IF($O39&lt;$P39,"✗ RECHAZAR (frío)",IF($O39&lt;=$Q39,"✓ CONFORME","✗ RECHAZAR (calor)")))))</f>
        <v/>
      </c>
      <c r="S39" s="19" t="n"/>
      <c r="T39" s="19" t="n"/>
      <c r="U39" s="19" t="n"/>
      <c r="V39" s="19" t="n"/>
    </row>
    <row r="40">
      <c r="A40" s="18" t="n"/>
      <c r="B40" s="19" t="n"/>
      <c r="C40" s="19" t="n"/>
      <c r="D40" s="19" t="n"/>
      <c r="E40" s="19" t="n"/>
      <c r="F40" s="20">
        <f>IF($E40="","",IFERROR(VLOOKUP($E40,'Verificación Temperaturas'!$G$4:$H$13,2,FALSE),""))</f>
        <v/>
      </c>
      <c r="G40" s="19" t="n"/>
      <c r="H40" s="19" t="n"/>
      <c r="I40" s="19" t="n"/>
      <c r="J40" s="19" t="n"/>
      <c r="K40" s="20">
        <f>IF(OR($I40="",$J40=""),"",$J40-$I40)</f>
        <v/>
      </c>
      <c r="L40" s="21" t="n"/>
      <c r="M40" s="22">
        <f>IF(OR($K40="",$L40=""),"",$K40*$L40)</f>
        <v/>
      </c>
      <c r="N40" s="18" t="n"/>
      <c r="O40" s="19" t="n"/>
      <c r="P40" s="20">
        <f>IF(IF($G40="",$F40,$G40)="","",IFERROR(VLOOKUP(IF($G40="",$F40,$G40),'Verificación Temperaturas'!$A$4:$E$18,3,FALSE),""))</f>
        <v/>
      </c>
      <c r="Q40" s="20">
        <f>IF(IF($G40="",$F40,$G40)="","",IFERROR(VLOOKUP(IF($G40="",$F40,$G40),'Verificación Temperaturas'!$A$4:$E$18,4,FALSE),""))</f>
        <v/>
      </c>
      <c r="R40" s="20">
        <f>IF(OR($O40="",IF($G40="",$F40,$G40)=""),"",IF($Q40="N/A","N/A",IF($Q40="","⚠ FAMILIA SIN LÍMITE",IF($O40&lt;$P40,"✗ RECHAZAR (frío)",IF($O40&lt;=$Q40,"✓ CONFORME","✗ RECHAZAR (calor)")))))</f>
        <v/>
      </c>
      <c r="S40" s="19" t="n"/>
      <c r="T40" s="19" t="n"/>
      <c r="U40" s="19" t="n"/>
      <c r="V40" s="19" t="n"/>
    </row>
    <row r="41">
      <c r="A41" s="18" t="n"/>
      <c r="B41" s="19" t="n"/>
      <c r="C41" s="19" t="n"/>
      <c r="D41" s="19" t="n"/>
      <c r="E41" s="19" t="n"/>
      <c r="F41">
        <f>IF($E41="","",IFERROR(VLOOKUP($E41,'Verificación Temperaturas'!$G$4:$H$13,2,FALSE),""))</f>
        <v/>
      </c>
      <c r="G41" s="19" t="n"/>
      <c r="H41" s="19" t="n"/>
      <c r="I41" s="19" t="n"/>
      <c r="J41" s="19" t="n"/>
      <c r="K41">
        <f>IF(OR($I41="",$J41=""),"",$J41-$I41)</f>
        <v/>
      </c>
      <c r="L41" s="21" t="n"/>
      <c r="M41" s="23">
        <f>IF(OR($K41="",$L41=""),"",$K41*$L41)</f>
        <v/>
      </c>
      <c r="N41" s="18" t="n"/>
      <c r="O41" s="19" t="n"/>
      <c r="P41">
        <f>IF(IF($G41="",$F41,$G41)="","",IFERROR(VLOOKUP(IF($G41="",$F41,$G41),'Verificación Temperaturas'!$A$4:$E$18,3,FALSE),""))</f>
        <v/>
      </c>
      <c r="Q41">
        <f>IF(IF($G41="",$F41,$G41)="","",IFERROR(VLOOKUP(IF($G41="",$F41,$G41),'Verificación Temperaturas'!$A$4:$E$18,4,FALSE),""))</f>
        <v/>
      </c>
      <c r="R41">
        <f>IF(OR($O41="",IF($G41="",$F41,$G41)=""),"",IF($Q41="N/A","N/A",IF($Q41="","⚠ FAMILIA SIN LÍMITE",IF($O41&lt;$P41,"✗ RECHAZAR (frío)",IF($O41&lt;=$Q41,"✓ CONFORME","✗ RECHAZAR (calor)")))))</f>
        <v/>
      </c>
      <c r="S41" s="19" t="n"/>
      <c r="T41" s="19" t="n"/>
      <c r="U41" s="19" t="n"/>
      <c r="V41" s="19" t="n"/>
    </row>
    <row r="42">
      <c r="A42" s="18" t="n"/>
      <c r="B42" s="19" t="n"/>
      <c r="C42" s="19" t="n"/>
      <c r="D42" s="19" t="n"/>
      <c r="E42" s="19" t="n"/>
      <c r="F42" s="20">
        <f>IF($E42="","",IFERROR(VLOOKUP($E42,'Verificación Temperaturas'!$G$4:$H$13,2,FALSE),""))</f>
        <v/>
      </c>
      <c r="G42" s="19" t="n"/>
      <c r="H42" s="19" t="n"/>
      <c r="I42" s="19" t="n"/>
      <c r="J42" s="19" t="n"/>
      <c r="K42" s="20">
        <f>IF(OR($I42="",$J42=""),"",$J42-$I42)</f>
        <v/>
      </c>
      <c r="L42" s="21" t="n"/>
      <c r="M42" s="22">
        <f>IF(OR($K42="",$L42=""),"",$K42*$L42)</f>
        <v/>
      </c>
      <c r="N42" s="18" t="n"/>
      <c r="O42" s="19" t="n"/>
      <c r="P42" s="20">
        <f>IF(IF($G42="",$F42,$G42)="","",IFERROR(VLOOKUP(IF($G42="",$F42,$G42),'Verificación Temperaturas'!$A$4:$E$18,3,FALSE),""))</f>
        <v/>
      </c>
      <c r="Q42" s="20">
        <f>IF(IF($G42="",$F42,$G42)="","",IFERROR(VLOOKUP(IF($G42="",$F42,$G42),'Verificación Temperaturas'!$A$4:$E$18,4,FALSE),""))</f>
        <v/>
      </c>
      <c r="R42" s="20">
        <f>IF(OR($O42="",IF($G42="",$F42,$G42)=""),"",IF($Q42="N/A","N/A",IF($Q42="","⚠ FAMILIA SIN LÍMITE",IF($O42&lt;$P42,"✗ RECHAZAR (frío)",IF($O42&lt;=$Q42,"✓ CONFORME","✗ RECHAZAR (calor)")))))</f>
        <v/>
      </c>
      <c r="S42" s="19" t="n"/>
      <c r="T42" s="19" t="n"/>
      <c r="U42" s="19" t="n"/>
      <c r="V42" s="19" t="n"/>
    </row>
    <row r="43">
      <c r="A43" s="18" t="n"/>
      <c r="B43" s="19" t="n"/>
      <c r="C43" s="19" t="n"/>
      <c r="D43" s="19" t="n"/>
      <c r="E43" s="19" t="n"/>
      <c r="F43">
        <f>IF($E43="","",IFERROR(VLOOKUP($E43,'Verificación Temperaturas'!$G$4:$H$13,2,FALSE),""))</f>
        <v/>
      </c>
      <c r="G43" s="19" t="n"/>
      <c r="H43" s="19" t="n"/>
      <c r="I43" s="19" t="n"/>
      <c r="J43" s="19" t="n"/>
      <c r="K43">
        <f>IF(OR($I43="",$J43=""),"",$J43-$I43)</f>
        <v/>
      </c>
      <c r="L43" s="21" t="n"/>
      <c r="M43" s="23">
        <f>IF(OR($K43="",$L43=""),"",$K43*$L43)</f>
        <v/>
      </c>
      <c r="N43" s="18" t="n"/>
      <c r="O43" s="19" t="n"/>
      <c r="P43">
        <f>IF(IF($G43="",$F43,$G43)="","",IFERROR(VLOOKUP(IF($G43="",$F43,$G43),'Verificación Temperaturas'!$A$4:$E$18,3,FALSE),""))</f>
        <v/>
      </c>
      <c r="Q43">
        <f>IF(IF($G43="",$F43,$G43)="","",IFERROR(VLOOKUP(IF($G43="",$F43,$G43),'Verificación Temperaturas'!$A$4:$E$18,4,FALSE),""))</f>
        <v/>
      </c>
      <c r="R43">
        <f>IF(OR($O43="",IF($G43="",$F43,$G43)=""),"",IF($Q43="N/A","N/A",IF($Q43="","⚠ FAMILIA SIN LÍMITE",IF($O43&lt;$P43,"✗ RECHAZAR (frío)",IF($O43&lt;=$Q43,"✓ CONFORME","✗ RECHAZAR (calor)")))))</f>
        <v/>
      </c>
      <c r="S43" s="19" t="n"/>
      <c r="T43" s="19" t="n"/>
      <c r="U43" s="19" t="n"/>
      <c r="V43" s="19" t="n"/>
    </row>
    <row r="44"/>
    <row r="45">
      <c r="B45" s="24" t="inlineStr">
        <is>
          <t>Entregas registradas:</t>
        </is>
      </c>
      <c r="D45" s="25">
        <f>COUNTIF($D$4:$D$43,"&lt;&gt;")</f>
        <v>4.0</v>
      </c>
      <c r="F45" s="24" t="inlineStr">
        <is>
          <t>Líneas a rechazar:</t>
        </is>
      </c>
      <c r="H45" s="25">
        <f>COUNTIF($R$4:$R$43,"*RECHAZAR*")</f>
        <v>1.0</v>
      </c>
      <c r="I45" s="24" t="inlineStr">
        <is>
          <t>Diferencia total (ud):</t>
        </is>
      </c>
      <c r="K45" s="25">
        <f>SUM($K$4:$K$43)</f>
        <v>-2.0</v>
      </c>
      <c r="L45" s="24" t="inlineStr">
        <is>
          <t>Valor de la diferencia (€):</t>
        </is>
      </c>
      <c r="N45" s="26">
        <f>SUM($M$4:$M$43)</f>
        <v>-64.0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F45:G45"/>
    <mergeCell ref="A1:V1"/>
    <mergeCell ref="I45:J45"/>
    <mergeCell ref="B45:C45"/>
    <mergeCell ref="A2:V2"/>
    <mergeCell ref="L45:M45"/>
  </mergeCells>
  <conditionalFormatting sqref="R4:R43">
    <cfRule type="containsText" priority="1" operator="containsText" dxfId="0" stopIfTrue="1" text="RECHAZAR">
      <formula>NOT(ISERROR(SEARCH("RECHAZAR",R4)))</formula>
    </cfRule>
    <cfRule type="containsText" priority="2" operator="containsText" dxfId="1" stopIfTrue="1" text="SIN LÍMITE">
      <formula>NOT(ISERROR(SEARCH("SIN LÍMITE",R4)))</formula>
    </cfRule>
    <cfRule type="containsText" priority="3" operator="containsText" dxfId="2" stopIfTrue="1" text="CONFORME">
      <formula>NOT(ISERROR(SEARCH("CONFORME",R4)))</formula>
    </cfRule>
  </conditionalFormatting>
  <conditionalFormatting sqref="O4:O43">
    <cfRule type="expression" priority="4" dxfId="0" stopIfTrue="1">
      <formula>AND($O4&lt;&gt;"",ISNUMBER(SEARCH("RECHAZAR",$R4)))</formula>
    </cfRule>
  </conditionalFormatting>
  <dataValidations count="3">
    <dataValidation sqref="E4:E43" showDropDown="0" showInputMessage="1" showErrorMessage="1" allowBlank="1" errorTitle="Categoría no válida" error="Elige un valor de la lista. Si cada línea usa palabras distintas, los COUNTIF y los SUMIF de los análisis no suman nada." promptTitle="grupo_b · Categoría no válida" prompt="Las 10 categorías del kit, las mismas que en las otras ocho plantillas. De aquí sale la familia normativa que se te propone." type="list" errorStyle="stop">
      <formula1>"Cárnicos,Pescados,Lácteos,Verduras/Frutas,Secos/Granos,Congelados,Bebidas Alcohólicas,Bebidas No Alcohólicas,Limpieza,Otros"</formula1>
    </dataValidation>
    <dataValidation sqref="G4:G43" showDropDown="0" showInputMessage="1" showErrorMessage="1" allowBlank="1" errorTitle="Familia no válida" error="Elige un valor de la lista. Si cada línea usa palabras distintas, los COUNTIF y los SUMIF de los análisis no suman nada." promptTitle="grupo_b · Familia no válida" prompt="Sólo si quieres AFINAR la familia que se te propone: la carne picada, los despojos, las aves y la comida preparada tienen umbral propio. Si la dejas en blanco se usa la sugerida." type="list" errorStyle="stop">
      <formula1>='Verificación Temperaturas'!$A$4:$A$18</formula1>
    </dataValidation>
    <dataValidation sqref="S4:S43" showDropDown="0" showInputMessage="1" showErrorMessage="1" allowBlank="1" errorTitle="Marca no válida" error="Elige un valor de la lista. Si cada línea usa palabras distintas, los COUNTIF y los SUMIF de los análisis no suman nada." promptTitle="grupo_b · Marca no válida" prompt="Estado visual y organoléptico del producto: envase, olor, color y presencia de hielo o de agua libre." type="list" errorStyle="stop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6" customWidth="1" min="4" max="4"/>
    <col width="26" customWidth="1" min="5" max="5"/>
    <col width="38" customWidth="1" min="6" max="6"/>
    <col width="34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5" t="inlineStr">
        <is>
          <t>REGISTRO DE INCIDENCIAS — RECEPCIÓN</t>
        </is>
      </c>
    </row>
    <row r="2">
      <c r="A2" s="16" t="inlineStr">
        <is>
          <t>La suma de «Importe reclamado» menos la de «Abono recibido» es lo que tu proveedor te debe. Las tres primeras líneas son un ejemplo.</t>
        </is>
      </c>
    </row>
    <row r="3">
      <c r="A3" s="27" t="inlineStr">
        <is>
          <t>Fecha</t>
        </is>
      </c>
      <c r="B3" s="27" t="inlineStr">
        <is>
          <t>Nº albarán</t>
        </is>
      </c>
      <c r="C3" s="27" t="inlineStr">
        <is>
          <t>Proveedor</t>
        </is>
      </c>
      <c r="D3" s="27" t="inlineStr">
        <is>
          <t>Producto</t>
        </is>
      </c>
      <c r="E3" s="27" t="inlineStr">
        <is>
          <t>Tipo de incidencia</t>
        </is>
      </c>
      <c r="F3" s="27" t="inlineStr">
        <is>
          <t>Descripción</t>
        </is>
      </c>
      <c r="G3" s="27" t="inlineStr">
        <is>
          <t>Acción tomada</t>
        </is>
      </c>
      <c r="H3" s="27" t="inlineStr">
        <is>
          <t>Responsable</t>
        </is>
      </c>
      <c r="I3" s="27" t="inlineStr">
        <is>
          <t>Importe reclamado (€)</t>
        </is>
      </c>
      <c r="J3" s="27" t="inlineStr">
        <is>
          <t>Abono recibido (€)</t>
        </is>
      </c>
      <c r="K3" s="27" t="inlineStr">
        <is>
          <t>Estado</t>
        </is>
      </c>
    </row>
    <row r="4">
      <c r="A4" s="18" t="n">
        <v>46252</v>
      </c>
      <c r="B4" s="19" t="inlineStr">
        <is>
          <t>ALB-24518</t>
        </is>
      </c>
      <c r="C4" s="19" t="inlineStr">
        <is>
          <t>Cárnicas del Norte (ejemplo)</t>
        </is>
      </c>
      <c r="D4" s="19" t="inlineStr">
        <is>
          <t>Solomillo de ternera (ejemplo)</t>
        </is>
      </c>
      <c r="E4" s="19" t="inlineStr">
        <is>
          <t>Cantidad incorrecta</t>
        </is>
      </c>
      <c r="F4" s="19" t="inlineStr">
        <is>
          <t>Faltan 2 kg de los 12 pedidos: sólo se reciben 10</t>
        </is>
      </c>
      <c r="G4" s="19" t="inlineStr">
        <is>
          <t>Reclamado por correo el mismo día</t>
        </is>
      </c>
      <c r="H4" s="19" t="inlineStr">
        <is>
          <t>Jefe de cocina</t>
        </is>
      </c>
      <c r="I4" s="21" t="n">
        <v>64</v>
      </c>
      <c r="J4" s="21" t="n">
        <v>0</v>
      </c>
      <c r="K4" s="19" t="inlineStr">
        <is>
          <t>Reclamada</t>
        </is>
      </c>
    </row>
    <row r="5">
      <c r="A5" s="18" t="n">
        <v>46252</v>
      </c>
      <c r="B5" s="19" t="inlineStr">
        <is>
          <t>ALB-0091</t>
        </is>
      </c>
      <c r="C5" s="19" t="inlineStr">
        <is>
          <t>Pescados Ría Fresca (ejemplo)</t>
        </is>
      </c>
      <c r="D5" s="19" t="inlineStr">
        <is>
          <t>Merluza fresca (ejemplo)</t>
        </is>
      </c>
      <c r="E5" s="19" t="inlineStr">
        <is>
          <t>Temperatura fuera de rango</t>
        </is>
      </c>
      <c r="F5" s="19" t="inlineStr">
        <is>
          <t>Llega a 5 °C con el límite de su familia en 2 °C</t>
        </is>
      </c>
      <c r="G5" s="19" t="inlineStr">
        <is>
          <t>Partida completa (8 kg) devuelta al transportista en el momento</t>
        </is>
      </c>
      <c r="H5" s="19" t="inlineStr">
        <is>
          <t>Segundo de cocina</t>
        </is>
      </c>
      <c r="I5" s="21" t="n">
        <v>112</v>
      </c>
      <c r="J5" s="21" t="n">
        <v>112</v>
      </c>
      <c r="K5" s="19" t="inlineStr">
        <is>
          <t>Abono recibido</t>
        </is>
      </c>
    </row>
    <row r="6">
      <c r="A6" s="18" t="n">
        <v>46253</v>
      </c>
      <c r="B6" s="19" t="inlineStr">
        <is>
          <t>ALB-7742</t>
        </is>
      </c>
      <c r="C6" s="19" t="inlineStr">
        <is>
          <t>Frutas y Verduras La Huerta (ejemplo)</t>
        </is>
      </c>
      <c r="D6" s="19" t="inlineStr">
        <is>
          <t>Tomate (ejemplo)</t>
        </is>
      </c>
      <c r="E6" s="19" t="inlineStr">
        <is>
          <t>Producto en mal estado</t>
        </is>
      </c>
      <c r="F6" s="19" t="inlineStr">
        <is>
          <t>Dos cajas de 10 kg con moho en el fondo</t>
        </is>
      </c>
      <c r="G6" s="19" t="inlineStr">
        <is>
          <t>Retiradas y anotadas en el control de mermas</t>
        </is>
      </c>
      <c r="H6" s="19" t="inlineStr">
        <is>
          <t>Encargado de compras</t>
        </is>
      </c>
      <c r="I6" s="21" t="n">
        <v>39</v>
      </c>
      <c r="J6" s="21" t="n">
        <v>0</v>
      </c>
      <c r="K6" s="19" t="inlineStr">
        <is>
          <t>Abierta</t>
        </is>
      </c>
    </row>
    <row r="7">
      <c r="A7" s="18" t="n"/>
      <c r="B7" s="19" t="n"/>
      <c r="C7" s="19" t="n"/>
      <c r="D7" s="19" t="n"/>
      <c r="E7" s="19" t="n"/>
      <c r="F7" s="19" t="n"/>
      <c r="G7" s="19" t="n"/>
      <c r="H7" s="19" t="n"/>
      <c r="I7" s="21" t="n"/>
      <c r="J7" s="21" t="n"/>
      <c r="K7" s="19" t="n"/>
    </row>
    <row r="8">
      <c r="A8" s="18" t="n"/>
      <c r="B8" s="19" t="n"/>
      <c r="C8" s="19" t="n"/>
      <c r="D8" s="19" t="n"/>
      <c r="E8" s="19" t="n"/>
      <c r="F8" s="19" t="n"/>
      <c r="G8" s="19" t="n"/>
      <c r="H8" s="19" t="n"/>
      <c r="I8" s="21" t="n"/>
      <c r="J8" s="21" t="n"/>
      <c r="K8" s="19" t="n"/>
    </row>
    <row r="9">
      <c r="A9" s="18" t="n"/>
      <c r="B9" s="19" t="n"/>
      <c r="C9" s="19" t="n"/>
      <c r="D9" s="19" t="n"/>
      <c r="E9" s="19" t="n"/>
      <c r="F9" s="19" t="n"/>
      <c r="G9" s="19" t="n"/>
      <c r="H9" s="19" t="n"/>
      <c r="I9" s="21" t="n"/>
      <c r="J9" s="21" t="n"/>
      <c r="K9" s="19" t="n"/>
    </row>
    <row r="10">
      <c r="A10" s="18" t="n"/>
      <c r="B10" s="19" t="n"/>
      <c r="C10" s="19" t="n"/>
      <c r="D10" s="19" t="n"/>
      <c r="E10" s="19" t="n"/>
      <c r="F10" s="19" t="n"/>
      <c r="G10" s="19" t="n"/>
      <c r="H10" s="19" t="n"/>
      <c r="I10" s="21" t="n"/>
      <c r="J10" s="21" t="n"/>
      <c r="K10" s="19" t="n"/>
    </row>
    <row r="11">
      <c r="A11" s="18" t="n"/>
      <c r="B11" s="19" t="n"/>
      <c r="C11" s="19" t="n"/>
      <c r="D11" s="19" t="n"/>
      <c r="E11" s="19" t="n"/>
      <c r="F11" s="19" t="n"/>
      <c r="G11" s="19" t="n"/>
      <c r="H11" s="19" t="n"/>
      <c r="I11" s="21" t="n"/>
      <c r="J11" s="21" t="n"/>
      <c r="K11" s="19" t="n"/>
    </row>
    <row r="12">
      <c r="A12" s="18" t="n"/>
      <c r="B12" s="19" t="n"/>
      <c r="C12" s="19" t="n"/>
      <c r="D12" s="19" t="n"/>
      <c r="E12" s="19" t="n"/>
      <c r="F12" s="19" t="n"/>
      <c r="G12" s="19" t="n"/>
      <c r="H12" s="19" t="n"/>
      <c r="I12" s="21" t="n"/>
      <c r="J12" s="21" t="n"/>
      <c r="K12" s="19" t="n"/>
    </row>
    <row r="13">
      <c r="A13" s="18" t="n"/>
      <c r="B13" s="19" t="n"/>
      <c r="C13" s="19" t="n"/>
      <c r="D13" s="19" t="n"/>
      <c r="E13" s="19" t="n"/>
      <c r="F13" s="19" t="n"/>
      <c r="G13" s="19" t="n"/>
      <c r="H13" s="19" t="n"/>
      <c r="I13" s="21" t="n"/>
      <c r="J13" s="21" t="n"/>
      <c r="K13" s="19" t="n"/>
    </row>
    <row r="14">
      <c r="A14" s="18" t="n"/>
      <c r="B14" s="19" t="n"/>
      <c r="C14" s="19" t="n"/>
      <c r="D14" s="19" t="n"/>
      <c r="E14" s="19" t="n"/>
      <c r="F14" s="19" t="n"/>
      <c r="G14" s="19" t="n"/>
      <c r="H14" s="19" t="n"/>
      <c r="I14" s="21" t="n"/>
      <c r="J14" s="21" t="n"/>
      <c r="K14" s="19" t="n"/>
    </row>
    <row r="15">
      <c r="A15" s="18" t="n"/>
      <c r="B15" s="19" t="n"/>
      <c r="C15" s="19" t="n"/>
      <c r="D15" s="19" t="n"/>
      <c r="E15" s="19" t="n"/>
      <c r="F15" s="19" t="n"/>
      <c r="G15" s="19" t="n"/>
      <c r="H15" s="19" t="n"/>
      <c r="I15" s="21" t="n"/>
      <c r="J15" s="21" t="n"/>
      <c r="K15" s="19" t="n"/>
    </row>
    <row r="16">
      <c r="A16" s="18" t="n"/>
      <c r="B16" s="19" t="n"/>
      <c r="C16" s="19" t="n"/>
      <c r="D16" s="19" t="n"/>
      <c r="E16" s="19" t="n"/>
      <c r="F16" s="19" t="n"/>
      <c r="G16" s="19" t="n"/>
      <c r="H16" s="19" t="n"/>
      <c r="I16" s="21" t="n"/>
      <c r="J16" s="21" t="n"/>
      <c r="K16" s="19" t="n"/>
    </row>
    <row r="17">
      <c r="A17" s="18" t="n"/>
      <c r="B17" s="19" t="n"/>
      <c r="C17" s="19" t="n"/>
      <c r="D17" s="19" t="n"/>
      <c r="E17" s="19" t="n"/>
      <c r="F17" s="19" t="n"/>
      <c r="G17" s="19" t="n"/>
      <c r="H17" s="19" t="n"/>
      <c r="I17" s="21" t="n"/>
      <c r="J17" s="21" t="n"/>
      <c r="K17" s="19" t="n"/>
    </row>
    <row r="18">
      <c r="A18" s="18" t="n"/>
      <c r="B18" s="19" t="n"/>
      <c r="C18" s="19" t="n"/>
      <c r="D18" s="19" t="n"/>
      <c r="E18" s="19" t="n"/>
      <c r="F18" s="19" t="n"/>
      <c r="G18" s="19" t="n"/>
      <c r="H18" s="19" t="n"/>
      <c r="I18" s="21" t="n"/>
      <c r="J18" s="21" t="n"/>
      <c r="K18" s="19" t="n"/>
    </row>
    <row r="19">
      <c r="A19" s="18" t="n"/>
      <c r="B19" s="19" t="n"/>
      <c r="C19" s="19" t="n"/>
      <c r="D19" s="19" t="n"/>
      <c r="E19" s="19" t="n"/>
      <c r="F19" s="19" t="n"/>
      <c r="G19" s="19" t="n"/>
      <c r="H19" s="19" t="n"/>
      <c r="I19" s="21" t="n"/>
      <c r="J19" s="21" t="n"/>
      <c r="K19" s="19" t="n"/>
    </row>
    <row r="20">
      <c r="A20" s="18" t="n"/>
      <c r="B20" s="19" t="n"/>
      <c r="C20" s="19" t="n"/>
      <c r="D20" s="19" t="n"/>
      <c r="E20" s="19" t="n"/>
      <c r="F20" s="19" t="n"/>
      <c r="G20" s="19" t="n"/>
      <c r="H20" s="19" t="n"/>
      <c r="I20" s="21" t="n"/>
      <c r="J20" s="21" t="n"/>
      <c r="K20" s="19" t="n"/>
    </row>
    <row r="21">
      <c r="A21" s="18" t="n"/>
      <c r="B21" s="19" t="n"/>
      <c r="C21" s="19" t="n"/>
      <c r="D21" s="19" t="n"/>
      <c r="E21" s="19" t="n"/>
      <c r="F21" s="19" t="n"/>
      <c r="G21" s="19" t="n"/>
      <c r="H21" s="19" t="n"/>
      <c r="I21" s="21" t="n"/>
      <c r="J21" s="21" t="n"/>
      <c r="K21" s="19" t="n"/>
    </row>
    <row r="22">
      <c r="A22" s="18" t="n"/>
      <c r="B22" s="19" t="n"/>
      <c r="C22" s="19" t="n"/>
      <c r="D22" s="19" t="n"/>
      <c r="E22" s="19" t="n"/>
      <c r="F22" s="19" t="n"/>
      <c r="G22" s="19" t="n"/>
      <c r="H22" s="19" t="n"/>
      <c r="I22" s="21" t="n"/>
      <c r="J22" s="21" t="n"/>
      <c r="K22" s="19" t="n"/>
    </row>
    <row r="23">
      <c r="A23" s="18" t="n"/>
      <c r="B23" s="19" t="n"/>
      <c r="C23" s="19" t="n"/>
      <c r="D23" s="19" t="n"/>
      <c r="E23" s="19" t="n"/>
      <c r="F23" s="19" t="n"/>
      <c r="G23" s="19" t="n"/>
      <c r="H23" s="19" t="n"/>
      <c r="I23" s="21" t="n"/>
      <c r="J23" s="21" t="n"/>
      <c r="K23" s="19" t="n"/>
    </row>
    <row r="24"/>
    <row r="25">
      <c r="H25" s="24" t="inlineStr">
        <is>
          <t>TOTALES</t>
        </is>
      </c>
      <c r="I25" s="26">
        <f>SUM($I$4:$I$23)</f>
        <v>215.0</v>
      </c>
      <c r="J25" s="26">
        <f>SUM($J$4:$J$23)</f>
        <v>112.0</v>
      </c>
    </row>
    <row r="26">
      <c r="H26" s="24" t="inlineStr">
        <is>
          <t>PENDIENTE DE ABONO (€)</t>
        </is>
      </c>
      <c r="I26" s="26">
        <f>IFERROR($I$25-$J$25,"")</f>
        <v>103.0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K2"/>
    <mergeCell ref="A1:K1"/>
  </mergeCells>
  <dataValidations count="2">
    <dataValidation sqref="E4:E23" showDropDown="0" showInputMessage="1" showErrorMessage="1" allowBlank="1" errorTitle="Tipo de incidencia no válido" error="Elige un valor de la lista. Si cada línea usa palabras distintas, los COUNTIF y los SUMIF de los análisis no suman nada." promptTitle="grupo_b · Tipo de incidencia no válido" prompt="Agrupar las incidencias por tipo es lo que te dice si el problema es del proveedor, del transporte o de tu propia recepción." type="list" errorStyle="stop">
      <formula1>"Cantidad incorrecta,Temperatura fuera de rango,Producto en mal estado,Caducidad demasiado corta,Producto no solicitado,Precio distinto al pactado,Falta el lote o el albarán"</formula1>
    </dataValidation>
    <dataValidation sqref="K4:K23" showDropDown="0" showInputMessage="1" showErrorMessage="1" allowBlank="1" errorTitle="Estado no válido" error="Elige un valor de la lista. Si cada línea usa palabras distintas, los COUNTIF y los SUMIF de los análisis no suman nada." promptTitle="grupo_b · Estado no válido" prompt="Mientras el estado no sea «Abono recibido» o «Cerrada», ese dinero sigue pendiente de reclamar." type="list" errorStyle="stop">
      <formula1>"Abierta,Reclamada,Abono recibido,Cerrada sin abono,Cerrada"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14" customWidth="1" min="3" max="3"/>
    <col width="14" customWidth="1" min="4" max="4"/>
    <col width="52" customWidth="1" min="5" max="5"/>
    <col width="4" customWidth="1" min="6" max="6"/>
    <col width="24" customWidth="1" min="7" max="7"/>
    <col width="40" customWidth="1" min="8" max="8"/>
  </cols>
  <sheetData>
    <row r="1">
      <c r="A1" s="15" t="inlineStr">
        <is>
          <t>TEMPERATURAS DE RECEPCIÓN — LÍMITES LEGALES</t>
        </is>
      </c>
    </row>
    <row r="2"/>
    <row r="3">
      <c r="A3" s="17" t="inlineStr">
        <is>
          <t>Familia</t>
        </is>
      </c>
      <c r="B3" s="17" t="inlineStr">
        <is>
          <t>Tª ideal</t>
        </is>
      </c>
      <c r="C3" s="17" t="inlineStr">
        <is>
          <t>Tª mín. aceptable (°C)</t>
        </is>
      </c>
      <c r="D3" s="17" t="inlineStr">
        <is>
          <t>Tª máx. aceptable (°C)</t>
        </is>
      </c>
      <c r="E3" s="17" t="inlineStr">
        <is>
          <t>Base normativa</t>
        </is>
      </c>
      <c r="G3" s="17" t="inlineStr">
        <is>
          <t>Categoría del kit</t>
        </is>
      </c>
      <c r="H3" s="17" t="inlineStr">
        <is>
          <t>Familia por defecto</t>
        </is>
      </c>
    </row>
    <row r="4">
      <c r="A4" s="28" t="inlineStr">
        <is>
          <t>Canal y despiece de ungulados domésticos</t>
        </is>
      </c>
      <c r="B4" s="28" t="inlineStr">
        <is>
          <t>0 a 7 °C</t>
        </is>
      </c>
      <c r="C4" s="29" t="n">
        <v>0</v>
      </c>
      <c r="D4" s="29" t="n">
        <v>7</v>
      </c>
      <c r="E4" s="28" t="inlineStr">
        <is>
          <t>Reg. (CE) 853/2004, Anexo III, Secc. I, Cap. VII</t>
        </is>
      </c>
      <c r="G4" t="inlineStr">
        <is>
          <t>Cárnicos</t>
        </is>
      </c>
      <c r="H4" s="14" t="inlineStr">
        <is>
          <t>Canal y despiece de ungulados domésticos</t>
        </is>
      </c>
    </row>
    <row r="5">
      <c r="A5" s="30" t="inlineStr">
        <is>
          <t>Despojos comestibles</t>
        </is>
      </c>
      <c r="B5" s="30" t="inlineStr">
        <is>
          <t>0 a 3 °C</t>
        </is>
      </c>
      <c r="C5" s="31" t="n">
        <v>0</v>
      </c>
      <c r="D5" s="31" t="n">
        <v>3</v>
      </c>
      <c r="E5" s="30" t="inlineStr">
        <is>
          <t>Reg. (CE) 853/2004, Anexo III, Secc. I, Cap. VII</t>
        </is>
      </c>
      <c r="G5" t="inlineStr">
        <is>
          <t>Pescados</t>
        </is>
      </c>
      <c r="H5" s="14" t="inlineStr">
        <is>
          <t>Pescado fresco y marisco</t>
        </is>
      </c>
    </row>
    <row r="6">
      <c r="A6" s="28" t="inlineStr">
        <is>
          <t>Aves y lagomorfos</t>
        </is>
      </c>
      <c r="B6" s="28" t="inlineStr">
        <is>
          <t>0 a 4 °C</t>
        </is>
      </c>
      <c r="C6" s="29" t="n">
        <v>0</v>
      </c>
      <c r="D6" s="29" t="n">
        <v>4</v>
      </c>
      <c r="E6" s="28" t="inlineStr">
        <is>
          <t>Reg. (CE) 853/2004, Anexo III, Secc. II, Cap. V</t>
        </is>
      </c>
      <c r="G6" t="inlineStr">
        <is>
          <t>Lácteos</t>
        </is>
      </c>
      <c r="H6" s="14" t="inlineStr">
        <is>
          <t>Lácteos y otros refrigerados</t>
        </is>
      </c>
    </row>
    <row r="7">
      <c r="A7" s="30" t="inlineStr">
        <is>
          <t>Preparados de carne</t>
        </is>
      </c>
      <c r="B7" s="30" t="inlineStr">
        <is>
          <t>0 a 4 °C</t>
        </is>
      </c>
      <c r="C7" s="31" t="n">
        <v>0</v>
      </c>
      <c r="D7" s="31" t="n">
        <v>4</v>
      </c>
      <c r="E7" s="30" t="inlineStr">
        <is>
          <t>Reg. (CE) 853/2004, Anexo III, Secc. V, Cap. III</t>
        </is>
      </c>
      <c r="G7" t="inlineStr">
        <is>
          <t>Verduras/Frutas</t>
        </is>
      </c>
      <c r="H7" s="14" t="inlineStr">
        <is>
          <t>Frutas y verduras</t>
        </is>
      </c>
    </row>
    <row r="8">
      <c r="A8" s="28" t="inlineStr">
        <is>
          <t>Carne picada</t>
        </is>
      </c>
      <c r="B8" s="28" t="inlineStr">
        <is>
          <t>0 a 2 °C</t>
        </is>
      </c>
      <c r="C8" s="29" t="n">
        <v>0</v>
      </c>
      <c r="D8" s="29" t="n">
        <v>2</v>
      </c>
      <c r="E8" s="28" t="inlineStr">
        <is>
          <t>Reg. (CE) 853/2004, Anexo III, Secc. V, Cap. III</t>
        </is>
      </c>
      <c r="G8" t="inlineStr">
        <is>
          <t>Secos/Granos</t>
        </is>
      </c>
      <c r="H8" s="14" t="inlineStr">
        <is>
          <t>Secos y economato (ambiente)</t>
        </is>
      </c>
    </row>
    <row r="9">
      <c r="A9" s="30" t="inlineStr">
        <is>
          <t>Pescado fresco y marisco</t>
        </is>
      </c>
      <c r="B9" s="30" t="inlineStr">
        <is>
          <t>0 a 2 °C, en hielo fundente</t>
        </is>
      </c>
      <c r="C9" s="31" t="n">
        <v>0</v>
      </c>
      <c r="D9" s="31" t="n">
        <v>2</v>
      </c>
      <c r="E9" s="30" t="inlineStr">
        <is>
          <t>Reg. (CE) 853/2004, Anexo III, Secc. VIII, Cap. VII</t>
        </is>
      </c>
      <c r="G9" t="inlineStr">
        <is>
          <t>Congelados</t>
        </is>
      </c>
      <c r="H9" s="14" t="inlineStr">
        <is>
          <t>Congelados</t>
        </is>
      </c>
    </row>
    <row r="10">
      <c r="A10" s="28" t="inlineStr">
        <is>
          <t>Congelados</t>
        </is>
      </c>
      <c r="B10" s="28" t="inlineStr">
        <is>
          <t>-18 °C en conservación; hasta -15 °C admisible al recibir</t>
        </is>
      </c>
      <c r="C10" s="29" t="n">
        <v>-40</v>
      </c>
      <c r="D10" s="29" t="n">
        <v>-15</v>
      </c>
      <c r="E10" s="28" t="inlineStr">
        <is>
          <t>Reg. (CE) 853/2004; la tolerancia breve de -15 °C en transporte es la que se aplica AL RECIBIR. Mantener a -18 °C una vez almacenado.</t>
        </is>
      </c>
      <c r="G10" t="inlineStr">
        <is>
          <t>Bebidas Alcohólicas</t>
        </is>
      </c>
      <c r="H10" s="14" t="inlineStr">
        <is>
          <t>Bebidas y conservas (ambiente)</t>
        </is>
      </c>
    </row>
    <row r="11">
      <c r="A11" s="30" t="inlineStr">
        <is>
          <t>Comidas preparadas refrigeradas (más de 24 h)</t>
        </is>
      </c>
      <c r="B11" s="30" t="inlineStr">
        <is>
          <t>0 a 4 °C</t>
        </is>
      </c>
      <c r="C11" s="31" t="n">
        <v>0</v>
      </c>
      <c r="D11" s="31" t="n">
        <v>4</v>
      </c>
      <c r="E11" s="30" t="inlineStr">
        <is>
          <t>Criterio habitual del plan APPCC (el RD 3484/2000, que lo fijaba, fue derogado por el RD 1021/2022)</t>
        </is>
      </c>
      <c r="G11" t="inlineStr">
        <is>
          <t>Bebidas No Alcohólicas</t>
        </is>
      </c>
      <c r="H11" s="14" t="inlineStr">
        <is>
          <t>Bebidas y conservas (ambiente)</t>
        </is>
      </c>
    </row>
    <row r="12">
      <c r="A12" s="28" t="inlineStr">
        <is>
          <t>Comidas preparadas refrigeradas (menos de 24 h)</t>
        </is>
      </c>
      <c r="B12" s="28" t="inlineStr">
        <is>
          <t>0 a 8 °C</t>
        </is>
      </c>
      <c r="C12" s="29" t="n">
        <v>0</v>
      </c>
      <c r="D12" s="29" t="n">
        <v>8</v>
      </c>
      <c r="E12" s="28" t="inlineStr">
        <is>
          <t>Criterio habitual del plan APPCC (el RD 3484/2000, que lo fijaba, fue derogado por el RD 1021/2022)</t>
        </is>
      </c>
      <c r="G12" t="inlineStr">
        <is>
          <t>Limpieza</t>
        </is>
      </c>
      <c r="H12" s="14" t="inlineStr">
        <is>
          <t>No alimentario (limpieza, menaje y desechables)</t>
        </is>
      </c>
    </row>
    <row r="13">
      <c r="A13" s="30" t="inlineStr">
        <is>
          <t>Lácteos y otros refrigerados</t>
        </is>
      </c>
      <c r="B13" s="30" t="inlineStr">
        <is>
          <t>0 a 8 °C o lo que diga la etiqueta</t>
        </is>
      </c>
      <c r="C13" s="31" t="n">
        <v>0</v>
      </c>
      <c r="D13" s="31" t="n">
        <v>8</v>
      </c>
      <c r="E13" s="30" t="inlineStr">
        <is>
          <t>Reg. (CE) 853/2004 y etiquetado del fabricante</t>
        </is>
      </c>
      <c r="G13" t="inlineStr">
        <is>
          <t>Otros</t>
        </is>
      </c>
      <c r="H13" s="14" t="inlineStr">
        <is>
          <t>Secos y economato (ambiente)</t>
        </is>
      </c>
    </row>
    <row r="14">
      <c r="A14" s="28" t="inlineStr">
        <is>
          <t>Frutas y verduras</t>
        </is>
      </c>
      <c r="B14" s="28" t="inlineStr">
        <is>
          <t>4 a 12 °C</t>
        </is>
      </c>
      <c r="C14" s="29" t="n">
        <v>0</v>
      </c>
      <c r="D14" s="29" t="n">
        <v>12</v>
      </c>
      <c r="E14" s="28" t="inlineStr">
        <is>
          <t>Buenas prácticas; sin límite legal de recepción</t>
        </is>
      </c>
    </row>
    <row r="15">
      <c r="A15" s="30" t="inlineStr">
        <is>
          <t>Huevos</t>
        </is>
      </c>
      <c r="B15" s="30" t="inlineStr">
        <is>
          <t>Temperatura ambiente constante, sin cambios bruscos; no refrigerar antes de la venta</t>
        </is>
      </c>
      <c r="C15" s="31" t="inlineStr">
        <is>
          <t>N/A</t>
        </is>
      </c>
      <c r="D15" s="31" t="inlineStr">
        <is>
          <t>N/A</t>
        </is>
      </c>
      <c r="E15" s="30" t="inlineStr">
        <is>
          <t>Reg. (CE) 589/2008, art. 2</t>
        </is>
      </c>
      <c r="G15" s="14" t="inlineStr">
        <is>
          <t>De aquí sale la columna «Familia sugerida» del registro. AFÍNALA en la columna «Familia» cuando la línea lo pida: la carne picada (2 °C), los despojos (3 °C), las aves (4 °C) y la comida preparada tienen umbral propio, y los huevos tienen su propia familia aunque su categoría de compra sea «Otros».</t>
        </is>
      </c>
    </row>
    <row r="16">
      <c r="A16" s="28" t="inlineStr">
        <is>
          <t>Secos y economato (ambiente)</t>
        </is>
      </c>
      <c r="B16" s="28" t="inlineStr">
        <is>
          <t>Lugar fresco y seco, menos de 25 °C</t>
        </is>
      </c>
      <c r="C16" s="29" t="inlineStr">
        <is>
          <t>N/A</t>
        </is>
      </c>
      <c r="D16" s="29" t="inlineStr">
        <is>
          <t>N/A</t>
        </is>
      </c>
      <c r="E16" s="28" t="inlineStr">
        <is>
          <t>Reg. (CE) 852/2004, Anexo II, Cap. IX</t>
        </is>
      </c>
    </row>
    <row r="17">
      <c r="A17" s="30" t="inlineStr">
        <is>
          <t>Bebidas y conservas (ambiente)</t>
        </is>
      </c>
      <c r="B17" s="30" t="inlineStr">
        <is>
          <t>Lugar fresco y seco; la cerveza de barril, entre 5 y 12 °C</t>
        </is>
      </c>
      <c r="C17" s="31" t="inlineStr">
        <is>
          <t>N/A</t>
        </is>
      </c>
      <c r="D17" s="31" t="inlineStr">
        <is>
          <t>N/A</t>
        </is>
      </c>
      <c r="E17" s="30" t="inlineStr">
        <is>
          <t>Sin límite legal de recepción; sigue la indicación del fabricante</t>
        </is>
      </c>
    </row>
    <row r="18">
      <c r="A18" s="28" t="inlineStr">
        <is>
          <t>No alimentario (limpieza, menaje y desechables)</t>
        </is>
      </c>
      <c r="B18" s="28" t="inlineStr">
        <is>
          <t>Ambiente, en almacén separado de los alimentos</t>
        </is>
      </c>
      <c r="C18" s="29" t="inlineStr">
        <is>
          <t>N/A</t>
        </is>
      </c>
      <c r="D18" s="29" t="inlineStr">
        <is>
          <t>N/A</t>
        </is>
      </c>
      <c r="E18" s="28" t="inlineStr">
        <is>
          <t>Reg. (CE) 852/2004, Anexo II, Cap. IX: los productos químicos van separados y señalizados, nunca junto a alimentos</t>
        </is>
      </c>
    </row>
    <row r="19"/>
    <row r="20">
      <c r="A20" s="16" t="inlineStr">
        <is>
          <t>Las columnas «Tª mín.» y «Tª máx. aceptable» son las que compara la hoja Control Recepción: por eso son números y no «7°C máx.» como en la v1.1, donde el criterio existía en papel y no se podía aplicar a ningún dato. «N/A» significa que esa familia no se controla por temperatura en la recepción. Los congelados llevan -15 °C porque ése es el límite de RECEPCIÓN (tolerancia breve de transporte); una vez almacenados, a -18 °C. Estos umbrales documentan tu registro de recepción; no sustituyen a tu plan APPCC ni a un asesor.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0:E20"/>
    <mergeCell ref="A1:E1"/>
    <mergeCell ref="G15:H18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Recepción de Mercancías · Kit Control de Inventario y Compras</dc:title>
  <dc:description xmlns:dc="http://purl.org/dc/elements/1.1/">aichef.pro/kit-inventario</dc:description>
  <dc:subject xmlns:dc="http://purl.org/dc/elements/1.1/">Kit Control de Inventario y Compras · v2.0</dc:subject>
  <dcterms:created xmlns:dcterms="http://purl.org/dc/terms/" xmlns:xsi="http://www.w3.org/2001/XMLSchema-instance" xsi:type="dcterms:W3CDTF">2026-04-05T09:47:45Z</dcterms:created>
  <dcterms:modified xmlns:dcterms="http://purl.org/dc/terms/" xmlns:xsi="http://www.w3.org/2001/XMLSchema-instance" xsi:type="dcterms:W3CDTF">2026-08-23T23:12:28Z</dcterms:modified>
  <cp:lastModifiedBy>AI Chef Pro</cp:lastModifiedBy>
  <cp:category>AI Chef Pro · Productos digitales</cp:category>
  <cp:keywords>kit inventario, AI Chef Pro</cp:keywords>
</cp:coreProperties>
</file>