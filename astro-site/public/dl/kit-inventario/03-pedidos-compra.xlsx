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dido Actual" sheetId="2" state="visible" r:id="rId2"/>
    <sheet xmlns:r="http://schemas.openxmlformats.org/officeDocument/2006/relationships" name="Proveedores" sheetId="3" state="visible" r:id="rId3"/>
    <sheet xmlns:r="http://schemas.openxmlformats.org/officeDocument/2006/relationships" name="Historial Pedidos" sheetId="4" state="visible" r:id="rId4"/>
    <sheet xmlns:r="http://schemas.openxmlformats.org/officeDocument/2006/relationships" name="Listas" sheetId="5" state="visible" r:id="rId5"/>
  </sheets>
  <definedNames>
    <definedName name="_xlnm.Print_Titles" localSheetId="1">'Pedido Actual'!$8:$8</definedName>
    <definedName name="_xlnm.Print_Area" localSheetId="1">'Pedido Actual'!$A$1:$I$49</definedName>
    <definedName name="_xlnm.Print_Titles" localSheetId="2">'Proveedores'!$3:$3</definedName>
    <definedName name="_xlnm.Print_Area" localSheetId="2">'Proveedores'!$A$1:$H$25</definedName>
    <definedName name="_xlnm.Print_Titles" localSheetId="3">'Historial Pedidos'!$3:$3</definedName>
    <definedName name="_xlnm.Print_Area" localSheetId="3">'Historial Pedidos'!$A$1:$I$45</definedName>
    <definedName name="_xlnm.Print_Titles" localSheetId="4">'Listas'!$1:$1</definedName>
    <definedName name="_xlnm.Print_Area" localSheetId="4">'Listas'!$A$1:$G$11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€"/>
    <numFmt numFmtId="166" formatCode="yyyy-mm-dd"/>
  </numFmts>
  <fonts count="15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sz val="11"/>
    </font>
    <font>
      <sz val="11"/>
    </font>
    <font>
      <b val="1"/>
      <color rgb="00FFFFFF"/>
      <sz val="10"/>
    </font>
    <font>
      <b val="1"/>
      <color rgb="00FFD700"/>
      <sz val="12"/>
    </font>
    <font>
      <b val="1"/>
      <color rgb="00FFFFFF"/>
    </font>
    <font>
      <b val="1"/>
    </font>
    <font>
      <i val="1"/>
      <sz val="9"/>
    </font>
    <font>
      <b val="1"/>
      <sz val="9"/>
    </font>
    <font>
      <b val="1"/>
      <sz val="12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" fontId="3" fillId="3" borderId="1" applyAlignment="1" pivotButton="0" quotePrefix="0" xfId="0">
      <alignment vertical="center" wrapText="1"/>
    </xf>
    <xf numFmtId="4" fontId="5" fillId="0" borderId="0" pivotButton="0" quotePrefix="0" xfId="0"/>
    <xf numFmtId="0" fontId="8" fillId="0" borderId="0" pivotButton="0" quotePrefix="0" xfId="0"/>
    <xf numFmtId="4" fontId="8" fillId="0" borderId="0" pivotButton="0" quotePrefix="0" xfId="0"/>
    <xf numFmtId="0" fontId="1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right" vertical="center"/>
    </xf>
    <xf numFmtId="0" fontId="6" fillId="4" borderId="0" applyProtection="1" pivotButton="0" quotePrefix="0" xfId="0">
      <protection locked="0" hidden="0"/>
    </xf>
    <xf numFmtId="0" fontId="12" fillId="0" borderId="0" applyAlignment="1" pivotButton="0" quotePrefix="0" xfId="0">
      <alignment horizontal="right" vertical="center"/>
    </xf>
    <xf numFmtId="0" fontId="0" fillId="4" borderId="0" applyProtection="1" pivotButton="0" quotePrefix="0" xfId="0">
      <protection locked="0" hidden="0"/>
    </xf>
    <xf numFmtId="164" fontId="6" fillId="4" borderId="0" applyProtection="1" pivotButton="0" quotePrefix="0" xfId="0">
      <protection locked="0" hidden="0"/>
    </xf>
    <xf numFmtId="165" fontId="0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4" borderId="1" applyAlignment="1" applyProtection="1" pivotButton="0" quotePrefix="0" xfId="0">
      <alignment vertical="center" wrapText="1"/>
      <protection locked="0" hidden="0"/>
    </xf>
    <xf numFmtId="165" fontId="3" fillId="4" borderId="1" applyAlignment="1" applyProtection="1" pivotButton="0" quotePrefix="0" xfId="0">
      <alignment vertical="center" wrapText="1"/>
      <protection locked="0" hidden="0"/>
    </xf>
    <xf numFmtId="165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" fontId="3" fillId="3" borderId="1" applyAlignment="1" pivotButton="0" quotePrefix="0" xfId="0">
      <alignment vertical="center" wrapText="1"/>
    </xf>
    <xf numFmtId="165" fontId="5" fillId="0" borderId="0" applyAlignment="1" pivotButton="0" quotePrefix="0" xfId="0">
      <alignment horizontal="right" vertical="center"/>
    </xf>
    <xf numFmtId="165" fontId="13" fillId="5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14" fillId="0" borderId="0" applyAlignment="1" pivotButton="0" quotePrefix="0" xfId="0">
      <alignment vertical="center"/>
    </xf>
    <xf numFmtId="165" fontId="0" fillId="4" borderId="0" applyProtection="1" pivotButton="0" quotePrefix="0" xfId="0">
      <protection locked="0" hidden="0"/>
    </xf>
    <xf numFmtId="1" fontId="0" fillId="4" borderId="0" applyProtection="1" pivotButton="0" quotePrefix="0" xfId="0">
      <protection locked="0" hidden="0"/>
    </xf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4" borderId="0" applyProtection="1" pivotButton="0" quotePrefix="0" xfId="0">
      <protection locked="0" hidden="0"/>
    </xf>
    <xf numFmtId="0" fontId="10" fillId="0" borderId="0" applyAlignment="1" pivotButton="0" quotePrefix="0" xfId="0">
      <alignment horizontal="right"/>
    </xf>
    <xf numFmtId="165" fontId="10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Pedidos de Compra</t>
        </is>
      </c>
    </row>
    <row r="2">
      <c r="A2" s="17" t="inlineStr">
        <is>
          <t>AI Chef Pro — aichef.pro</t>
        </is>
      </c>
    </row>
    <row r="3">
      <c r="A3" s="3" t="n"/>
    </row>
    <row r="4">
      <c r="A4" s="18" t="inlineStr">
        <is>
          <t>Genera pedidos de compra con el IVA correcto en cada línea y con el desglose que pide un albarán.</t>
        </is>
      </c>
    </row>
    <row r="5">
      <c r="A5" s="18" t="inlineStr">
        <is>
          <t>1. Rellena una sola vez tus datos de emisor en el bloque verde de la derecha: establecimiento, CIF, dirección de entrega y contacto. Sin ellos, quien recibe el pedido no sabe quién pide ni dónde entregar.</t>
        </is>
      </c>
    </row>
    <row r="6">
      <c r="A6" s="18" t="inlineStr">
        <is>
          <t>2. Da de alta a tus proveedores en la hoja 'Proveedores'. El desplegable del pedido, el teléfono y el pedido mínimo de la cabecera salen de esa tabla.</t>
        </is>
      </c>
    </row>
    <row r="7">
      <c r="A7" s="18" t="inlineStr">
        <is>
          <t>3. En 'Pedido Actual' escribe producto, categoría, unidad, cantidad y precio. El IVA se rellena solo: primero busca el PRODUCTO en la tabla de excepciones de la hoja Listas y, si no está, aplica el tipo de su categoría. Puedes cambiarlo línea a línea con el desplegable 4 / 10 / 21. Si te dejas la categoría, la casilla del IVA se queda EN BLANCO en vez de caer al 10 % en silencio: en una línea de alcohol o de limpieza eso serían 11 puntos de menos.</t>
        </is>
      </c>
    </row>
    <row r="8">
      <c r="A8" s="18" t="inlineStr">
        <is>
          <t>3 bis. Las TRES primeras líneas son un ejemplo con cantidad y precio para que veas el pedido funcionando —base, cuota, total y desglose por los tres tipos—. BÓRRALAS antes de enviar tu primer pedido.</t>
        </is>
      </c>
    </row>
    <row r="9">
      <c r="A9" s="18" t="inlineStr">
        <is>
          <t>4. Si escribes cantidad y te dejas el precio, la casilla del subtotal avisa con «falta coste» en vez de valorar la línea en 0,00 € y sumarla al total como si fuera gratis.</t>
        </is>
      </c>
    </row>
    <row r="10">
      <c r="A10" s="19" t="inlineStr">
        <is>
          <t>5. Los totales del pedido están en las filas 40 a 42: base imponible, cuota de IVA y total. Justo debajo, en la fila 43, el fichero te dice si el pedido SUPERA EL PEDIDO MÍNIMO de ese proveedor y cuánto te falta si no: es lo que evita que te cobren portes. Y en las filas 45 a 48 tienes el desglose por tipo (4 %, 10 % y 21 %).</t>
        </is>
      </c>
    </row>
    <row r="11">
      <c r="A11" s="18" t="inlineStr">
        <is>
          <t>6. Cuando cierres el pedido, copia la fila 4 de 'Historial Pedidos' y pégala como valor: ya viene enlazada al pedido en curso. Esa fila 4 NO suma en el total del periodo, precisamente para que el pedido no se cuente dos veces mientras haces la copia.</t>
        </is>
      </c>
    </row>
    <row r="12">
      <c r="A12" s="19" t="inlineStr">
        <is>
          <t>7. La hoja 'Listas' guarda DOS tablas: el tipo de IVA de cada categoría y, al lado, las excepciones por producto (los cereales, las harinas y las legumbres van al 4 % aunque su categoría sea del 10 %; los refrescos con azúcares añadidos, al 21 %). Edítalas si tu caso es distinto: son tablas, no números escondidos dentro de la fórmula.</t>
        </is>
      </c>
    </row>
    <row r="13">
      <c r="A13" s="19" t="inlineStr">
        <is>
          <t>Para enviarlo: Archivo → Imprimir → PDF. La hoja ya está en A4 apaisado y repite la cabecera de la tabla en cada página.</t>
        </is>
      </c>
    </row>
    <row r="14"/>
    <row r="15">
      <c r="A15" s="19" t="inlineStr">
        <is>
          <t>Para editar una celda bloqueada: Revisar → Desproteger hoja (no tiene contraseña). Las celdas verdes ya son editables sin desproteger nada.</t>
        </is>
      </c>
    </row>
    <row r="16">
      <c r="A16" s="19" t="inlineStr">
        <is>
          <t>Diseñado por John Guerrero — chef y consultor gastronómico desde 2010, en cocina desde los 17 años · johnguerrero.es</t>
        </is>
      </c>
    </row>
    <row r="17">
      <c r="A17" s="19" t="inlineStr">
        <is>
          <t>Versión 2.0 · agosto 2026 · aichef.pro/kit-inventario · info@aichef.pro</t>
        </is>
      </c>
    </row>
    <row r="1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I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4" customWidth="1" min="4" max="4"/>
    <col width="14" customWidth="1" min="5" max="5"/>
    <col width="16" customWidth="1" min="6" max="6"/>
    <col width="18" customWidth="1" min="7" max="7"/>
    <col width="9" customWidth="1" min="8" max="8"/>
    <col width="16" customWidth="1" min="9" max="9"/>
  </cols>
  <sheetData>
    <row r="1">
      <c r="A1" s="5" t="inlineStr">
        <is>
          <t>PEDIDO DE COMPRA</t>
        </is>
      </c>
    </row>
    <row r="2">
      <c r="A2" s="20" t="inlineStr">
        <is>
          <t>EJEMPLO: la cabecera y las tres primeras líneas vienen rellenas para que veas el pedido funcionando (IVA por línea, base, cuota, total, desglose por tipo y aviso de pedido mínimo). BÓRRALAS antes de enviar tu primer pedido.</t>
        </is>
      </c>
    </row>
    <row r="3">
      <c r="A3" s="21" t="inlineStr">
        <is>
          <t>Proveedor:</t>
        </is>
      </c>
      <c r="C3" s="22" t="inlineStr">
        <is>
          <t>Cárnicas del Norte (ejemplo)</t>
        </is>
      </c>
      <c r="D3" s="23" t="inlineStr">
        <is>
          <t>Teléfono</t>
        </is>
      </c>
      <c r="E3" t="str">
        <f>IF($C$3="","",IFERROR(VLOOKUP($C$3,Proveedores!$A$4:$H$23,3,FALSE),""))</f>
        <v>948 21 34 55</v>
      </c>
      <c r="F3" s="23" t="inlineStr">
        <is>
          <t>Establecimiento</t>
        </is>
      </c>
      <c r="G3" s="24" t="n"/>
    </row>
    <row r="4">
      <c r="A4" s="21" t="inlineStr">
        <is>
          <t>Fecha del pedido:</t>
        </is>
      </c>
      <c r="C4" s="25" t="n">
        <v>46252</v>
      </c>
      <c r="D4" s="23" t="inlineStr">
        <is>
          <t>Pedido mín. (€)</t>
        </is>
      </c>
      <c r="E4" s="26">
        <f>IF($C$3="","",IFERROR(VLOOKUP($C$3,Proveedores!$A$4:$H$23,5,FALSE),""))</f>
        <v>150.0</v>
      </c>
      <c r="F4" s="23" t="inlineStr">
        <is>
          <t>CIF / NIF</t>
        </is>
      </c>
      <c r="G4" s="24" t="n"/>
    </row>
    <row r="5">
      <c r="A5" s="21" t="inlineStr">
        <is>
          <t>Fecha de entrega:</t>
        </is>
      </c>
      <c r="C5" s="25" t="n">
        <v>46253</v>
      </c>
      <c r="D5" s="7" t="n"/>
      <c r="F5" s="23" t="inlineStr">
        <is>
          <t>Entrega en</t>
        </is>
      </c>
      <c r="G5" s="24" t="n"/>
    </row>
    <row r="6">
      <c r="A6" s="21" t="inlineStr">
        <is>
          <t>Nº de pedido:</t>
        </is>
      </c>
      <c r="C6" s="24" t="inlineStr">
        <is>
          <t>PED-2026-004</t>
        </is>
      </c>
      <c r="F6" s="23" t="inlineStr">
        <is>
          <t>Contacto</t>
        </is>
      </c>
      <c r="G6" s="24" t="n"/>
    </row>
    <row r="7"/>
    <row r="8">
      <c r="A8" s="27" t="inlineStr">
        <is>
          <t>#</t>
        </is>
      </c>
      <c r="B8" s="27" t="inlineStr">
        <is>
          <t>Producto</t>
        </is>
      </c>
      <c r="C8" s="27" t="inlineStr">
        <is>
          <t>Categoría</t>
        </is>
      </c>
      <c r="D8" s="27" t="inlineStr">
        <is>
          <t>Unidad</t>
        </is>
      </c>
      <c r="E8" s="27" t="inlineStr">
        <is>
          <t>Cantidad</t>
        </is>
      </c>
      <c r="F8" s="27" t="inlineStr">
        <is>
          <t>Precio/ud (€)</t>
        </is>
      </c>
      <c r="G8" s="27" t="inlineStr">
        <is>
          <t>Subtotal (€)</t>
        </is>
      </c>
      <c r="H8" s="27" t="inlineStr">
        <is>
          <t>IVA %</t>
        </is>
      </c>
      <c r="I8" s="27" t="inlineStr">
        <is>
          <t>Total (€)</t>
        </is>
      </c>
    </row>
    <row r="9">
      <c r="A9" s="9" t="n">
        <v>1</v>
      </c>
      <c r="B9" s="28" t="inlineStr">
        <is>
          <t>Solomillo de ternera</t>
        </is>
      </c>
      <c r="C9" s="28" t="inlineStr">
        <is>
          <t>Cárnicos</t>
        </is>
      </c>
      <c r="D9" s="28" t="inlineStr">
        <is>
          <t>kg</t>
        </is>
      </c>
      <c r="E9" s="28" t="n">
        <v>5</v>
      </c>
      <c r="F9" s="29" t="n">
        <v>32</v>
      </c>
      <c r="G9" s="30">
        <f>IF($E9="","",IF($F9="","⚠ falta coste",$E9*$F9))</f>
        <v>160.0</v>
      </c>
      <c r="H9" s="31">
        <f>IF($B9="","",IFERROR(VLOOKUP($B9,Listas!$E$2:$F$20,2,FALSE),IF($C9="","",IFERROR(VLOOKUP($C9,Listas!$A$2:$B$11,2,FALSE),""))))</f>
        <v>10.0</v>
      </c>
      <c r="I9" s="30">
        <f>IF(OR($E9="",$F9=""),"",$E9*$F9*(1+$H9/100))</f>
        <v>176.0</v>
      </c>
    </row>
    <row r="10">
      <c r="A10" s="11" t="n">
        <v>2</v>
      </c>
      <c r="B10" s="28" t="inlineStr">
        <is>
          <t>Vino tinto (botella 75 cl)</t>
        </is>
      </c>
      <c r="C10" s="28" t="inlineStr">
        <is>
          <t>Bebidas Alcohólicas</t>
        </is>
      </c>
      <c r="D10" s="28" t="inlineStr">
        <is>
          <t>ud</t>
        </is>
      </c>
      <c r="E10" s="28" t="n">
        <v>12</v>
      </c>
      <c r="F10" s="29" t="n">
        <v>4.8</v>
      </c>
      <c r="G10" s="32">
        <f>IF($E10="","",IF($F10="","⚠ falta coste",$E10*$F10))</f>
        <v>57.599999999999994</v>
      </c>
      <c r="H10" s="33">
        <f>IF($B10="","",IFERROR(VLOOKUP($B10,Listas!$E$2:$F$20,2,FALSE),IF($C10="","",IFERROR(VLOOKUP($C10,Listas!$A$2:$B$11,2,FALSE),""))))</f>
        <v>21.0</v>
      </c>
      <c r="I10" s="32">
        <f>IF(OR($E10="",$F10=""),"",$E10*$F10*(1+$H10/100))</f>
        <v>69.696</v>
      </c>
    </row>
    <row r="11">
      <c r="A11" s="9" t="n">
        <v>3</v>
      </c>
      <c r="B11" s="28" t="inlineStr">
        <is>
          <t>Lechuga</t>
        </is>
      </c>
      <c r="C11" s="28" t="inlineStr">
        <is>
          <t>Verduras/Frutas</t>
        </is>
      </c>
      <c r="D11" s="28" t="inlineStr">
        <is>
          <t>ud</t>
        </is>
      </c>
      <c r="E11" s="28" t="n">
        <v>10</v>
      </c>
      <c r="F11" s="29" t="n">
        <v>0.95</v>
      </c>
      <c r="G11" s="30">
        <f>IF($E11="","",IF($F11="","⚠ falta coste",$E11*$F11))</f>
        <v>9.5</v>
      </c>
      <c r="H11" s="31">
        <f>IF($B11="","",IFERROR(VLOOKUP($B11,Listas!$E$2:$F$20,2,FALSE),IF($C11="","",IFERROR(VLOOKUP($C11,Listas!$A$2:$B$11,2,FALSE),""))))</f>
        <v>4.0</v>
      </c>
      <c r="I11" s="30">
        <f>IF(OR($E11="",$F11=""),"",$E11*$F11*(1+$H11/100))</f>
        <v>9.88</v>
      </c>
    </row>
    <row r="12">
      <c r="A12" s="11" t="n">
        <v>4</v>
      </c>
      <c r="B12" s="28" t="n"/>
      <c r="C12" s="28" t="n"/>
      <c r="D12" s="28" t="n"/>
      <c r="E12" s="28" t="n"/>
      <c r="F12" s="29" t="n"/>
      <c r="G12" s="32">
        <f>IF($E12="","",IF($F12="","⚠ falta coste",$E12*$F12))</f>
        <v/>
      </c>
      <c r="H12" s="33">
        <f>IF($B12="","",IFERROR(VLOOKUP($B12,Listas!$E$2:$F$20,2,FALSE),IF($C12="","",IFERROR(VLOOKUP($C12,Listas!$A$2:$B$11,2,FALSE),""))))</f>
        <v/>
      </c>
      <c r="I12" s="32">
        <f>IF(OR($E12="",$F12=""),"",$E12*$F12*(1+$H12/100))</f>
        <v/>
      </c>
    </row>
    <row r="13">
      <c r="A13" s="9" t="n">
        <v>5</v>
      </c>
      <c r="B13" s="28" t="n"/>
      <c r="C13" s="28" t="n"/>
      <c r="D13" s="28" t="n"/>
      <c r="E13" s="28" t="n"/>
      <c r="F13" s="29" t="n"/>
      <c r="G13" s="30">
        <f>IF($E13="","",IF($F13="","⚠ falta coste",$E13*$F13))</f>
        <v/>
      </c>
      <c r="H13" s="31">
        <f>IF($B13="","",IFERROR(VLOOKUP($B13,Listas!$E$2:$F$20,2,FALSE),IF($C13="","",IFERROR(VLOOKUP($C13,Listas!$A$2:$B$11,2,FALSE),""))))</f>
        <v/>
      </c>
      <c r="I13" s="30">
        <f>IF(OR($E13="",$F13=""),"",$E13*$F13*(1+$H13/100))</f>
        <v/>
      </c>
    </row>
    <row r="14">
      <c r="A14" s="11" t="n">
        <v>6</v>
      </c>
      <c r="B14" s="28" t="n"/>
      <c r="C14" s="28" t="n"/>
      <c r="D14" s="28" t="n"/>
      <c r="E14" s="28" t="n"/>
      <c r="F14" s="29" t="n"/>
      <c r="G14" s="32">
        <f>IF($E14="","",IF($F14="","⚠ falta coste",$E14*$F14))</f>
        <v/>
      </c>
      <c r="H14" s="33">
        <f>IF($B14="","",IFERROR(VLOOKUP($B14,Listas!$E$2:$F$20,2,FALSE),IF($C14="","",IFERROR(VLOOKUP($C14,Listas!$A$2:$B$11,2,FALSE),""))))</f>
        <v/>
      </c>
      <c r="I14" s="32">
        <f>IF(OR($E14="",$F14=""),"",$E14*$F14*(1+$H14/100))</f>
        <v/>
      </c>
    </row>
    <row r="15">
      <c r="A15" s="9" t="n">
        <v>7</v>
      </c>
      <c r="B15" s="28" t="n"/>
      <c r="C15" s="28" t="n"/>
      <c r="D15" s="28" t="n"/>
      <c r="E15" s="28" t="n"/>
      <c r="F15" s="29" t="n"/>
      <c r="G15" s="30">
        <f>IF($E15="","",IF($F15="","⚠ falta coste",$E15*$F15))</f>
        <v/>
      </c>
      <c r="H15" s="31">
        <f>IF($B15="","",IFERROR(VLOOKUP($B15,Listas!$E$2:$F$20,2,FALSE),IF($C15="","",IFERROR(VLOOKUP($C15,Listas!$A$2:$B$11,2,FALSE),""))))</f>
        <v/>
      </c>
      <c r="I15" s="30">
        <f>IF(OR($E15="",$F15=""),"",$E15*$F15*(1+$H15/100))</f>
        <v/>
      </c>
    </row>
    <row r="16">
      <c r="A16" s="11" t="n">
        <v>8</v>
      </c>
      <c r="B16" s="28" t="n"/>
      <c r="C16" s="28" t="n"/>
      <c r="D16" s="28" t="n"/>
      <c r="E16" s="28" t="n"/>
      <c r="F16" s="29" t="n"/>
      <c r="G16" s="32">
        <f>IF($E16="","",IF($F16="","⚠ falta coste",$E16*$F16))</f>
        <v/>
      </c>
      <c r="H16" s="33">
        <f>IF($B16="","",IFERROR(VLOOKUP($B16,Listas!$E$2:$F$20,2,FALSE),IF($C16="","",IFERROR(VLOOKUP($C16,Listas!$A$2:$B$11,2,FALSE),""))))</f>
        <v/>
      </c>
      <c r="I16" s="32">
        <f>IF(OR($E16="",$F16=""),"",$E16*$F16*(1+$H16/100))</f>
        <v/>
      </c>
    </row>
    <row r="17">
      <c r="A17" s="9" t="n">
        <v>9</v>
      </c>
      <c r="B17" s="28" t="n"/>
      <c r="C17" s="28" t="n"/>
      <c r="D17" s="28" t="n"/>
      <c r="E17" s="28" t="n"/>
      <c r="F17" s="29" t="n"/>
      <c r="G17" s="30">
        <f>IF($E17="","",IF($F17="","⚠ falta coste",$E17*$F17))</f>
        <v/>
      </c>
      <c r="H17" s="31">
        <f>IF($B17="","",IFERROR(VLOOKUP($B17,Listas!$E$2:$F$20,2,FALSE),IF($C17="","",IFERROR(VLOOKUP($C17,Listas!$A$2:$B$11,2,FALSE),""))))</f>
        <v/>
      </c>
      <c r="I17" s="30">
        <f>IF(OR($E17="",$F17=""),"",$E17*$F17*(1+$H17/100))</f>
        <v/>
      </c>
    </row>
    <row r="18">
      <c r="A18" s="11" t="n">
        <v>10</v>
      </c>
      <c r="B18" s="28" t="n"/>
      <c r="C18" s="28" t="n"/>
      <c r="D18" s="28" t="n"/>
      <c r="E18" s="28" t="n"/>
      <c r="F18" s="29" t="n"/>
      <c r="G18" s="32">
        <f>IF($E18="","",IF($F18="","⚠ falta coste",$E18*$F18))</f>
        <v/>
      </c>
      <c r="H18" s="33">
        <f>IF($B18="","",IFERROR(VLOOKUP($B18,Listas!$E$2:$F$20,2,FALSE),IF($C18="","",IFERROR(VLOOKUP($C18,Listas!$A$2:$B$11,2,FALSE),""))))</f>
        <v/>
      </c>
      <c r="I18" s="32">
        <f>IF(OR($E18="",$F18=""),"",$E18*$F18*(1+$H18/100))</f>
        <v/>
      </c>
    </row>
    <row r="19">
      <c r="A19" s="9" t="n">
        <v>11</v>
      </c>
      <c r="B19" s="28" t="n"/>
      <c r="C19" s="28" t="n"/>
      <c r="D19" s="28" t="n"/>
      <c r="E19" s="28" t="n"/>
      <c r="F19" s="29" t="n"/>
      <c r="G19" s="30">
        <f>IF($E19="","",IF($F19="","⚠ falta coste",$E19*$F19))</f>
        <v/>
      </c>
      <c r="H19" s="31">
        <f>IF($B19="","",IFERROR(VLOOKUP($B19,Listas!$E$2:$F$20,2,FALSE),IF($C19="","",IFERROR(VLOOKUP($C19,Listas!$A$2:$B$11,2,FALSE),""))))</f>
        <v/>
      </c>
      <c r="I19" s="30">
        <f>IF(OR($E19="",$F19=""),"",$E19*$F19*(1+$H19/100))</f>
        <v/>
      </c>
    </row>
    <row r="20">
      <c r="A20" s="11" t="n">
        <v>12</v>
      </c>
      <c r="B20" s="28" t="n"/>
      <c r="C20" s="28" t="n"/>
      <c r="D20" s="28" t="n"/>
      <c r="E20" s="28" t="n"/>
      <c r="F20" s="29" t="n"/>
      <c r="G20" s="32">
        <f>IF($E20="","",IF($F20="","⚠ falta coste",$E20*$F20))</f>
        <v/>
      </c>
      <c r="H20" s="33">
        <f>IF($B20="","",IFERROR(VLOOKUP($B20,Listas!$E$2:$F$20,2,FALSE),IF($C20="","",IFERROR(VLOOKUP($C20,Listas!$A$2:$B$11,2,FALSE),""))))</f>
        <v/>
      </c>
      <c r="I20" s="32">
        <f>IF(OR($E20="",$F20=""),"",$E20*$F20*(1+$H20/100))</f>
        <v/>
      </c>
    </row>
    <row r="21">
      <c r="A21" s="9" t="n">
        <v>13</v>
      </c>
      <c r="B21" s="28" t="n"/>
      <c r="C21" s="28" t="n"/>
      <c r="D21" s="28" t="n"/>
      <c r="E21" s="28" t="n"/>
      <c r="F21" s="29" t="n"/>
      <c r="G21" s="30">
        <f>IF($E21="","",IF($F21="","⚠ falta coste",$E21*$F21))</f>
        <v/>
      </c>
      <c r="H21" s="31">
        <f>IF($B21="","",IFERROR(VLOOKUP($B21,Listas!$E$2:$F$20,2,FALSE),IF($C21="","",IFERROR(VLOOKUP($C21,Listas!$A$2:$B$11,2,FALSE),""))))</f>
        <v/>
      </c>
      <c r="I21" s="30">
        <f>IF(OR($E21="",$F21=""),"",$E21*$F21*(1+$H21/100))</f>
        <v/>
      </c>
    </row>
    <row r="22">
      <c r="A22" s="11" t="n">
        <v>14</v>
      </c>
      <c r="B22" s="28" t="n"/>
      <c r="C22" s="28" t="n"/>
      <c r="D22" s="28" t="n"/>
      <c r="E22" s="28" t="n"/>
      <c r="F22" s="29" t="n"/>
      <c r="G22" s="32">
        <f>IF($E22="","",IF($F22="","⚠ falta coste",$E22*$F22))</f>
        <v/>
      </c>
      <c r="H22" s="33">
        <f>IF($B22="","",IFERROR(VLOOKUP($B22,Listas!$E$2:$F$20,2,FALSE),IF($C22="","",IFERROR(VLOOKUP($C22,Listas!$A$2:$B$11,2,FALSE),""))))</f>
        <v/>
      </c>
      <c r="I22" s="32">
        <f>IF(OR($E22="",$F22=""),"",$E22*$F22*(1+$H22/100))</f>
        <v/>
      </c>
    </row>
    <row r="23">
      <c r="A23" s="9" t="n">
        <v>15</v>
      </c>
      <c r="B23" s="28" t="n"/>
      <c r="C23" s="28" t="n"/>
      <c r="D23" s="28" t="n"/>
      <c r="E23" s="28" t="n"/>
      <c r="F23" s="29" t="n"/>
      <c r="G23" s="30">
        <f>IF($E23="","",IF($F23="","⚠ falta coste",$E23*$F23))</f>
        <v/>
      </c>
      <c r="H23" s="31">
        <f>IF($B23="","",IFERROR(VLOOKUP($B23,Listas!$E$2:$F$20,2,FALSE),IF($C23="","",IFERROR(VLOOKUP($C23,Listas!$A$2:$B$11,2,FALSE),""))))</f>
        <v/>
      </c>
      <c r="I23" s="30">
        <f>IF(OR($E23="",$F23=""),"",$E23*$F23*(1+$H23/100))</f>
        <v/>
      </c>
    </row>
    <row r="24">
      <c r="A24" s="11" t="n">
        <v>16</v>
      </c>
      <c r="B24" s="28" t="n"/>
      <c r="C24" s="28" t="n"/>
      <c r="D24" s="28" t="n"/>
      <c r="E24" s="28" t="n"/>
      <c r="F24" s="29" t="n"/>
      <c r="G24" s="32">
        <f>IF($E24="","",IF($F24="","⚠ falta coste",$E24*$F24))</f>
        <v/>
      </c>
      <c r="H24" s="33">
        <f>IF($B24="","",IFERROR(VLOOKUP($B24,Listas!$E$2:$F$20,2,FALSE),IF($C24="","",IFERROR(VLOOKUP($C24,Listas!$A$2:$B$11,2,FALSE),""))))</f>
        <v/>
      </c>
      <c r="I24" s="32">
        <f>IF(OR($E24="",$F24=""),"",$E24*$F24*(1+$H24/100))</f>
        <v/>
      </c>
    </row>
    <row r="25">
      <c r="A25" s="9" t="n">
        <v>17</v>
      </c>
      <c r="B25" s="28" t="n"/>
      <c r="C25" s="28" t="n"/>
      <c r="D25" s="28" t="n"/>
      <c r="E25" s="28" t="n"/>
      <c r="F25" s="29" t="n"/>
      <c r="G25" s="30">
        <f>IF($E25="","",IF($F25="","⚠ falta coste",$E25*$F25))</f>
        <v/>
      </c>
      <c r="H25" s="31">
        <f>IF($B25="","",IFERROR(VLOOKUP($B25,Listas!$E$2:$F$20,2,FALSE),IF($C25="","",IFERROR(VLOOKUP($C25,Listas!$A$2:$B$11,2,FALSE),""))))</f>
        <v/>
      </c>
      <c r="I25" s="30">
        <f>IF(OR($E25="",$F25=""),"",$E25*$F25*(1+$H25/100))</f>
        <v/>
      </c>
    </row>
    <row r="26">
      <c r="A26" s="11" t="n">
        <v>18</v>
      </c>
      <c r="B26" s="28" t="n"/>
      <c r="C26" s="28" t="n"/>
      <c r="D26" s="28" t="n"/>
      <c r="E26" s="28" t="n"/>
      <c r="F26" s="29" t="n"/>
      <c r="G26" s="32">
        <f>IF($E26="","",IF($F26="","⚠ falta coste",$E26*$F26))</f>
        <v/>
      </c>
      <c r="H26" s="33">
        <f>IF($B26="","",IFERROR(VLOOKUP($B26,Listas!$E$2:$F$20,2,FALSE),IF($C26="","",IFERROR(VLOOKUP($C26,Listas!$A$2:$B$11,2,FALSE),""))))</f>
        <v/>
      </c>
      <c r="I26" s="32">
        <f>IF(OR($E26="",$F26=""),"",$E26*$F26*(1+$H26/100))</f>
        <v/>
      </c>
    </row>
    <row r="27">
      <c r="A27" s="9" t="n">
        <v>19</v>
      </c>
      <c r="B27" s="28" t="n"/>
      <c r="C27" s="28" t="n"/>
      <c r="D27" s="28" t="n"/>
      <c r="E27" s="28" t="n"/>
      <c r="F27" s="29" t="n"/>
      <c r="G27" s="30">
        <f>IF($E27="","",IF($F27="","⚠ falta coste",$E27*$F27))</f>
        <v/>
      </c>
      <c r="H27" s="31">
        <f>IF($B27="","",IFERROR(VLOOKUP($B27,Listas!$E$2:$F$20,2,FALSE),IF($C27="","",IFERROR(VLOOKUP($C27,Listas!$A$2:$B$11,2,FALSE),""))))</f>
        <v/>
      </c>
      <c r="I27" s="30">
        <f>IF(OR($E27="",$F27=""),"",$E27*$F27*(1+$H27/100))</f>
        <v/>
      </c>
    </row>
    <row r="28">
      <c r="A28" s="11" t="n">
        <v>20</v>
      </c>
      <c r="B28" s="28" t="n"/>
      <c r="C28" s="28" t="n"/>
      <c r="D28" s="28" t="n"/>
      <c r="E28" s="28" t="n"/>
      <c r="F28" s="29" t="n"/>
      <c r="G28" s="32">
        <f>IF($E28="","",IF($F28="","⚠ falta coste",$E28*$F28))</f>
        <v/>
      </c>
      <c r="H28" s="33">
        <f>IF($B28="","",IFERROR(VLOOKUP($B28,Listas!$E$2:$F$20,2,FALSE),IF($C28="","",IFERROR(VLOOKUP($C28,Listas!$A$2:$B$11,2,FALSE),""))))</f>
        <v/>
      </c>
      <c r="I28" s="32">
        <f>IF(OR($E28="",$F28=""),"",$E28*$F28*(1+$H28/100))</f>
        <v/>
      </c>
    </row>
    <row r="29">
      <c r="A29" s="9" t="n">
        <v>21</v>
      </c>
      <c r="B29" s="28" t="n"/>
      <c r="C29" s="28" t="n"/>
      <c r="D29" s="28" t="n"/>
      <c r="E29" s="28" t="n"/>
      <c r="F29" s="29" t="n"/>
      <c r="G29" s="30">
        <f>IF($E29="","",IF($F29="","⚠ falta coste",$E29*$F29))</f>
        <v/>
      </c>
      <c r="H29" s="31">
        <f>IF($B29="","",IFERROR(VLOOKUP($B29,Listas!$E$2:$F$20,2,FALSE),IF($C29="","",IFERROR(VLOOKUP($C29,Listas!$A$2:$B$11,2,FALSE),""))))</f>
        <v/>
      </c>
      <c r="I29" s="30">
        <f>IF(OR($E29="",$F29=""),"",$E29*$F29*(1+$H29/100))</f>
        <v/>
      </c>
    </row>
    <row r="30">
      <c r="A30" s="11" t="n">
        <v>22</v>
      </c>
      <c r="B30" s="28" t="n"/>
      <c r="C30" s="28" t="n"/>
      <c r="D30" s="28" t="n"/>
      <c r="E30" s="28" t="n"/>
      <c r="F30" s="29" t="n"/>
      <c r="G30" s="32">
        <f>IF($E30="","",IF($F30="","⚠ falta coste",$E30*$F30))</f>
        <v/>
      </c>
      <c r="H30" s="33">
        <f>IF($B30="","",IFERROR(VLOOKUP($B30,Listas!$E$2:$F$20,2,FALSE),IF($C30="","",IFERROR(VLOOKUP($C30,Listas!$A$2:$B$11,2,FALSE),""))))</f>
        <v/>
      </c>
      <c r="I30" s="32">
        <f>IF(OR($E30="",$F30=""),"",$E30*$F30*(1+$H30/100))</f>
        <v/>
      </c>
    </row>
    <row r="31">
      <c r="A31" s="9" t="n">
        <v>23</v>
      </c>
      <c r="B31" s="28" t="n"/>
      <c r="C31" s="28" t="n"/>
      <c r="D31" s="28" t="n"/>
      <c r="E31" s="28" t="n"/>
      <c r="F31" s="29" t="n"/>
      <c r="G31" s="30">
        <f>IF($E31="","",IF($F31="","⚠ falta coste",$E31*$F31))</f>
        <v/>
      </c>
      <c r="H31" s="31">
        <f>IF($B31="","",IFERROR(VLOOKUP($B31,Listas!$E$2:$F$20,2,FALSE),IF($C31="","",IFERROR(VLOOKUP($C31,Listas!$A$2:$B$11,2,FALSE),""))))</f>
        <v/>
      </c>
      <c r="I31" s="30">
        <f>IF(OR($E31="",$F31=""),"",$E31*$F31*(1+$H31/100))</f>
        <v/>
      </c>
    </row>
    <row r="32">
      <c r="A32" s="11" t="n">
        <v>24</v>
      </c>
      <c r="B32" s="28" t="n"/>
      <c r="C32" s="28" t="n"/>
      <c r="D32" s="28" t="n"/>
      <c r="E32" s="28" t="n"/>
      <c r="F32" s="29" t="n"/>
      <c r="G32" s="32">
        <f>IF($E32="","",IF($F32="","⚠ falta coste",$E32*$F32))</f>
        <v/>
      </c>
      <c r="H32" s="33">
        <f>IF($B32="","",IFERROR(VLOOKUP($B32,Listas!$E$2:$F$20,2,FALSE),IF($C32="","",IFERROR(VLOOKUP($C32,Listas!$A$2:$B$11,2,FALSE),""))))</f>
        <v/>
      </c>
      <c r="I32" s="32">
        <f>IF(OR($E32="",$F32=""),"",$E32*$F32*(1+$H32/100))</f>
        <v/>
      </c>
    </row>
    <row r="33">
      <c r="A33" s="9" t="n">
        <v>25</v>
      </c>
      <c r="B33" s="28" t="n"/>
      <c r="C33" s="28" t="n"/>
      <c r="D33" s="28" t="n"/>
      <c r="E33" s="28" t="n"/>
      <c r="F33" s="29" t="n"/>
      <c r="G33" s="30">
        <f>IF($E33="","",IF($F33="","⚠ falta coste",$E33*$F33))</f>
        <v/>
      </c>
      <c r="H33" s="31">
        <f>IF($B33="","",IFERROR(VLOOKUP($B33,Listas!$E$2:$F$20,2,FALSE),IF($C33="","",IFERROR(VLOOKUP($C33,Listas!$A$2:$B$11,2,FALSE),""))))</f>
        <v/>
      </c>
      <c r="I33" s="30">
        <f>IF(OR($E33="",$F33=""),"",$E33*$F33*(1+$H33/100))</f>
        <v/>
      </c>
    </row>
    <row r="34">
      <c r="A34" s="11" t="n">
        <v>26</v>
      </c>
      <c r="B34" s="28" t="n"/>
      <c r="C34" s="28" t="n"/>
      <c r="D34" s="28" t="n"/>
      <c r="E34" s="28" t="n"/>
      <c r="F34" s="29" t="n"/>
      <c r="G34" s="32">
        <f>IF($E34="","",IF($F34="","⚠ falta coste",$E34*$F34))</f>
        <v/>
      </c>
      <c r="H34" s="33">
        <f>IF($B34="","",IFERROR(VLOOKUP($B34,Listas!$E$2:$F$20,2,FALSE),IF($C34="","",IFERROR(VLOOKUP($C34,Listas!$A$2:$B$11,2,FALSE),""))))</f>
        <v/>
      </c>
      <c r="I34" s="32">
        <f>IF(OR($E34="",$F34=""),"",$E34*$F34*(1+$H34/100))</f>
        <v/>
      </c>
    </row>
    <row r="35">
      <c r="A35" s="9" t="n">
        <v>27</v>
      </c>
      <c r="B35" s="28" t="n"/>
      <c r="C35" s="28" t="n"/>
      <c r="D35" s="28" t="n"/>
      <c r="E35" s="28" t="n"/>
      <c r="F35" s="29" t="n"/>
      <c r="G35" s="30">
        <f>IF($E35="","",IF($F35="","⚠ falta coste",$E35*$F35))</f>
        <v/>
      </c>
      <c r="H35" s="31">
        <f>IF($B35="","",IFERROR(VLOOKUP($B35,Listas!$E$2:$F$20,2,FALSE),IF($C35="","",IFERROR(VLOOKUP($C35,Listas!$A$2:$B$11,2,FALSE),""))))</f>
        <v/>
      </c>
      <c r="I35" s="30">
        <f>IF(OR($E35="",$F35=""),"",$E35*$F35*(1+$H35/100))</f>
        <v/>
      </c>
    </row>
    <row r="36">
      <c r="A36" s="11" t="n">
        <v>28</v>
      </c>
      <c r="B36" s="28" t="n"/>
      <c r="C36" s="28" t="n"/>
      <c r="D36" s="28" t="n"/>
      <c r="E36" s="28" t="n"/>
      <c r="F36" s="29" t="n"/>
      <c r="G36" s="32">
        <f>IF($E36="","",IF($F36="","⚠ falta coste",$E36*$F36))</f>
        <v/>
      </c>
      <c r="H36" s="33">
        <f>IF($B36="","",IFERROR(VLOOKUP($B36,Listas!$E$2:$F$20,2,FALSE),IF($C36="","",IFERROR(VLOOKUP($C36,Listas!$A$2:$B$11,2,FALSE),""))))</f>
        <v/>
      </c>
      <c r="I36" s="32">
        <f>IF(OR($E36="",$F36=""),"",$E36*$F36*(1+$H36/100))</f>
        <v/>
      </c>
    </row>
    <row r="37">
      <c r="A37" s="9" t="n">
        <v>29</v>
      </c>
      <c r="B37" s="28" t="n"/>
      <c r="C37" s="28" t="n"/>
      <c r="D37" s="28" t="n"/>
      <c r="E37" s="28" t="n"/>
      <c r="F37" s="29" t="n"/>
      <c r="G37" s="30">
        <f>IF($E37="","",IF($F37="","⚠ falta coste",$E37*$F37))</f>
        <v/>
      </c>
      <c r="H37" s="31">
        <f>IF($B37="","",IFERROR(VLOOKUP($B37,Listas!$E$2:$F$20,2,FALSE),IF($C37="","",IFERROR(VLOOKUP($C37,Listas!$A$2:$B$11,2,FALSE),""))))</f>
        <v/>
      </c>
      <c r="I37" s="30">
        <f>IF(OR($E37="",$F37=""),"",$E37*$F37*(1+$H37/100))</f>
        <v/>
      </c>
    </row>
    <row r="38">
      <c r="A38" s="11" t="n">
        <v>30</v>
      </c>
      <c r="B38" s="28" t="n"/>
      <c r="C38" s="28" t="n"/>
      <c r="D38" s="28" t="n"/>
      <c r="E38" s="28" t="n"/>
      <c r="F38" s="29" t="n"/>
      <c r="G38" s="32">
        <f>IF($E38="","",IF($F38="","⚠ falta coste",$E38*$F38))</f>
        <v/>
      </c>
      <c r="H38" s="33">
        <f>IF($B38="","",IFERROR(VLOOKUP($B38,Listas!$E$2:$F$20,2,FALSE),IF($C38="","",IFERROR(VLOOKUP($C38,Listas!$A$2:$B$11,2,FALSE),""))))</f>
        <v/>
      </c>
      <c r="I38" s="32">
        <f>IF(OR($E38="",$F38=""),"",$E38*$F38*(1+$H38/100))</f>
        <v/>
      </c>
    </row>
    <row r="39"/>
    <row r="40">
      <c r="F40" s="21" t="inlineStr">
        <is>
          <t>BASE IMPONIBLE (€)</t>
        </is>
      </c>
      <c r="H40" s="34">
        <f>SUM($G$9:$G$38)</f>
        <v>227.1</v>
      </c>
    </row>
    <row r="41">
      <c r="F41" s="21" t="inlineStr">
        <is>
          <t>CUOTA DE IVA (€)</t>
        </is>
      </c>
      <c r="H41" s="34">
        <f>SUM($I$9:$I$38)-$H$40</f>
        <v>28.476</v>
      </c>
    </row>
    <row r="42">
      <c r="F42" s="21" t="inlineStr">
        <is>
          <t>TOTAL DEL PEDIDO (€)</t>
        </is>
      </c>
      <c r="H42" s="35">
        <f>$H$40+$H$41</f>
        <v>255.576</v>
      </c>
    </row>
    <row r="43">
      <c r="A43" s="36" t="str">
        <f>IF(OR($E$4="",$H$40=""),"",IF($H$40&gt;=$E$4,"✓ El pedido supera el mínimo de este proveedor","⚠ POR DEBAJO DEL PEDIDO MÍNIMO: pueden cobrarte portes"))</f>
        <v>✓ El pedido supera el mínimo de este proveedor</v>
      </c>
      <c r="F43" s="21" t="inlineStr">
        <is>
          <t>FALTA PARA EL MÍNIMO (€)</t>
        </is>
      </c>
      <c r="H43" s="37">
        <f>IF(OR($E$4="",$H$40=""),"",MAX(0,$E$4-$H$40))</f>
        <v>0.0</v>
      </c>
    </row>
    <row r="44"/>
    <row r="45">
      <c r="A45" s="38" t="inlineStr">
        <is>
          <t>IVA %</t>
        </is>
      </c>
      <c r="B45" s="38" t="inlineStr">
        <is>
          <t>Base (€)</t>
        </is>
      </c>
      <c r="C45" s="38" t="inlineStr">
        <is>
          <t>Cuota (€)</t>
        </is>
      </c>
      <c r="D45" s="38" t="inlineStr">
        <is>
          <t>Total (€)</t>
        </is>
      </c>
    </row>
    <row r="46">
      <c r="A46" s="39" t="n">
        <v>4</v>
      </c>
      <c r="B46" s="26">
        <f>SUMIF($H$9:$H$38,$A46,$G$9:$G$38)</f>
        <v>9.5</v>
      </c>
      <c r="C46" s="26">
        <f>IFERROR($B46*$A46/100,"")</f>
        <v>0.38</v>
      </c>
      <c r="D46" s="26">
        <f>$B46+$C46</f>
        <v>9.88</v>
      </c>
    </row>
    <row r="47">
      <c r="A47" s="39" t="n">
        <v>10</v>
      </c>
      <c r="B47" s="26">
        <f>SUMIF($H$9:$H$38,$A47,$G$9:$G$38)</f>
        <v>160.0</v>
      </c>
      <c r="C47" s="26">
        <f>IFERROR($B47*$A47/100,"")</f>
        <v>16.0</v>
      </c>
      <c r="D47" s="26">
        <f>$B47+$C47</f>
        <v>176.0</v>
      </c>
    </row>
    <row r="48">
      <c r="A48" s="39" t="n">
        <v>21</v>
      </c>
      <c r="B48" s="26">
        <f>SUMIF($H$9:$H$38,$A48,$G$9:$G$38)</f>
        <v>57.599999999999994</v>
      </c>
      <c r="C48" s="26">
        <f>IFERROR($B48*$A48/100,"")</f>
        <v>12.095999999999998</v>
      </c>
      <c r="D48" s="26">
        <f>$B48+$C48</f>
        <v>69.696</v>
      </c>
    </row>
    <row r="49">
      <c r="A49" s="20" t="inlineStr">
        <is>
          <t>Desglose por tipo de IVA: es lo que pide una factura y lo que te permite cuadrar el pedido con el albarán. La suma de la columna Base tiene que coincidir con la BASE IMPONIBLE de arriba.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H41:I41"/>
    <mergeCell ref="F43:G43"/>
    <mergeCell ref="H42:I42"/>
    <mergeCell ref="H43:I43"/>
    <mergeCell ref="A43:E43"/>
    <mergeCell ref="A49:D49"/>
    <mergeCell ref="A2:I2"/>
    <mergeCell ref="A3:B3"/>
    <mergeCell ref="A5:B5"/>
    <mergeCell ref="F40:G40"/>
    <mergeCell ref="F41:G41"/>
    <mergeCell ref="A4:B4"/>
    <mergeCell ref="A1:I1"/>
    <mergeCell ref="A6:B6"/>
    <mergeCell ref="H40:I40"/>
    <mergeCell ref="F42:G42"/>
  </mergeCells>
  <conditionalFormatting sqref="A43:E43">
    <cfRule type="containsText" priority="1" operator="containsText" dxfId="0" stopIfTrue="1" text="POR DEBAJO">
      <formula>NOT(ISERROR(SEARCH("POR DEBAJO",A43)))</formula>
    </cfRule>
    <cfRule type="containsText" priority="2" operator="containsText" dxfId="1" stopIfTrue="1" text="supera">
      <formula>NOT(ISERROR(SEARCH("supera",A43)))</formula>
    </cfRule>
  </conditionalFormatting>
  <dataValidations count="4">
    <dataValidation sqref="C3" showDropDown="0" showInputMessage="1" showErrorMessage="1" allowBlank="1" errorTitle="Proveedor no dado de alta" error="Elige un valor de la lista. Si cada línea usa palabras distintas, los COUNTIF y los SUMIF de los análisis no suman nada." promptTitle="grupo_b · Proveedor no dado de alta" prompt="Los proveedores salen de la hoja Proveedores de este mismo libro. Da de alta ahí a los tuyos y aparecerán en esta lista." type="list" errorStyle="stop">
      <formula1>=Proveedores!$A$4:$A$23</formula1>
    </dataValidation>
    <dataValidation sqref="H9:H38" showDropDown="0" showInputMessage="1" showErrorMessage="1" allowBlank="1" errorTitle="Tipo de IVA no válido" error="Elige un valor de la lista. Si cada línea usa palabras distintas, los COUNTIF y los SUMIF de los análisis no suman nada." promptTitle="grupo_b · Tipo de IVA no válido" prompt="El tipo lo trae la categoría, pero puedes sobrescribirlo aquí: pan, harinas, legumbres y cereales van al 4 %; los refrescos con azúcares añadidos, al 21 %. Para escribir encima de la fórmula: Revisar → Desproteger hoja (no tiene contraseña)." type="list" errorStyle="stop">
      <formula1>"4,10,21"</formula1>
    </dataValidation>
    <dataValidation sqref="C9:C38" showDropDown="0" showInputMessage="1" showErrorMessage="1" allowBlank="1" errorTitle="Categoría no válida" error="Elige un valor de la lista. Es la taxonomía única del kit: si cada plantilla usa palabras distintas, los SUMIF de los análisis no suman nada." promptTitle="kitinv-v2 · Categoría no válida" prompt="Las 10 categorías del kit. Son las mismas en las 9 plantillas: los análisis del 05 y del 07 agregan por este texto." type="list" errorStyle="stop">
      <formula1>"Cárnicos,Pescados,Lácteos,Verduras/Frutas,Secos/Granos,Congelados,Bebidas Alcohólicas,Bebidas No Alcohólicas,Limpieza,Otros"</formula1>
    </dataValidation>
    <dataValidation sqref="D9:D38" showDropDown="0" showInputMessage="1" showErrorMessage="1" allowBlank="1" errorTitle="Unidad no válida" error="Elige un valor de la lista. Es la taxonomía única del kit: si cada plantilla usa palabras distintas, los SUMIF de los análisis no suman nada." promptTitle="kitinv-v2 · Unidad no válida" prompt="Unidad REAL de compra: la cerveza de grifo va en barril, los huevos en docena y el vino en ud (botella de 75 cl)." type="list" errorStyle="stop">
      <formula1>"kg,L,ud,docena,caja,bandeja,barril,saco,rollo,paquete"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8" customWidth="1" min="4" max="4"/>
    <col width="16" customWidth="1" min="5" max="5"/>
    <col width="26" customWidth="1" min="6" max="6"/>
    <col width="12" customWidth="1" min="7" max="7"/>
    <col width="40" customWidth="1" min="8" max="8"/>
  </cols>
  <sheetData>
    <row r="1">
      <c r="A1" s="40" t="inlineStr">
        <is>
          <t>PROVEEDORES</t>
        </is>
      </c>
    </row>
    <row r="2">
      <c r="A2" s="20" t="inlineStr">
        <is>
          <t>Da de alta aquí a tus proveedores: el desplegable de la hoja Pedido Actual y el teléfono y el pedido mínimo de su cabecera salen de esta tabla. Las seis primeras filas son un ejemplo: písalas con las tuyas. ESTA TABLA ES LA COPIA OPERATIVA del Directorio de Proveedores del fichero 02: los nueve libros del kit son ficheros independientes y no se enlazan entre sí a propósito (un .xlsx movido de carpeta rompería la referencia y verías #¡REF!), así que si cambias allí un pedido mínimo o un día de pedido, cámbialo también aquí: es el que de verdad alimenta el pedido.</t>
        </is>
      </c>
    </row>
    <row r="3">
      <c r="A3" s="38" t="inlineStr">
        <is>
          <t>Proveedor</t>
        </is>
      </c>
      <c r="B3" s="38" t="inlineStr">
        <is>
          <t>Categoría principal</t>
        </is>
      </c>
      <c r="C3" s="38" t="inlineStr">
        <is>
          <t>Teléfono</t>
        </is>
      </c>
      <c r="D3" s="38" t="inlineStr">
        <is>
          <t>Email</t>
        </is>
      </c>
      <c r="E3" s="38" t="inlineStr">
        <is>
          <t>Pedido mínimo (€)</t>
        </is>
      </c>
      <c r="F3" s="38" t="inlineStr">
        <is>
          <t>Día de pedido</t>
        </is>
      </c>
      <c r="G3" s="38" t="inlineStr">
        <is>
          <t>Plazo de entrega (días)</t>
        </is>
      </c>
      <c r="H3" s="38" t="inlineStr">
        <is>
          <t>Notas</t>
        </is>
      </c>
    </row>
    <row r="4">
      <c r="A4" s="24" t="inlineStr">
        <is>
          <t>Cárnicas del Norte (ejemplo)</t>
        </is>
      </c>
      <c r="B4" s="24" t="inlineStr">
        <is>
          <t>Cárnicos</t>
        </is>
      </c>
      <c r="C4" s="24" t="inlineStr">
        <is>
          <t>948 21 34 55</t>
        </is>
      </c>
      <c r="D4" s="24" t="inlineStr">
        <is>
          <t>pedidos@ejemplo-carnicas.es</t>
        </is>
      </c>
      <c r="E4" s="41" t="n">
        <v>150</v>
      </c>
      <c r="F4" s="24" t="inlineStr">
        <is>
          <t>Lun y jue antes de 12:00</t>
        </is>
      </c>
      <c r="G4" s="42" t="n">
        <v>1</v>
      </c>
      <c r="H4" s="24" t="inlineStr">
        <is>
          <t>Exigir el albarán con el nº de lote y la temperatura de llegada</t>
        </is>
      </c>
    </row>
    <row r="5">
      <c r="A5" s="24" t="inlineStr">
        <is>
          <t>Pescados Ría Fresca (ejemplo)</t>
        </is>
      </c>
      <c r="B5" s="24" t="inlineStr">
        <is>
          <t>Pescados</t>
        </is>
      </c>
      <c r="C5" s="24" t="inlineStr">
        <is>
          <t>986 44 12 09</t>
        </is>
      </c>
      <c r="D5" s="24" t="inlineStr">
        <is>
          <t>pedidos@ejemplo-pescados.es</t>
        </is>
      </c>
      <c r="E5" s="41" t="n">
        <v>120</v>
      </c>
      <c r="F5" s="24" t="inlineStr">
        <is>
          <t>Diario antes de 17:00</t>
        </is>
      </c>
      <c r="G5" s="42" t="n">
        <v>1</v>
      </c>
      <c r="H5" s="24" t="inlineStr">
        <is>
          <t>Llega en hielo fundente; rechazar por encima de 2 °C</t>
        </is>
      </c>
    </row>
    <row r="6">
      <c r="A6" s="24" t="inlineStr">
        <is>
          <t>Frutas y Verduras La Huerta (ejemplo)</t>
        </is>
      </c>
      <c r="B6" s="24" t="inlineStr">
        <is>
          <t>Verduras/Frutas</t>
        </is>
      </c>
      <c r="C6" s="24" t="inlineStr">
        <is>
          <t>963 55 71 20</t>
        </is>
      </c>
      <c r="D6" s="24" t="inlineStr">
        <is>
          <t>pedidos@ejemplo-huerta.es</t>
        </is>
      </c>
      <c r="E6" s="41" t="n">
        <v>80</v>
      </c>
      <c r="F6" s="24" t="inlineStr">
        <is>
          <t>Lun, mié y vie antes de 18:00</t>
        </is>
      </c>
      <c r="G6" s="42" t="n">
        <v>1</v>
      </c>
      <c r="H6" s="24" t="inlineStr">
        <is>
          <t>Producto de temporada: confirma el precio cada semana</t>
        </is>
      </c>
    </row>
    <row r="7">
      <c r="A7" s="24" t="inlineStr">
        <is>
          <t>Distribuciones Economato Sur (ejemplo)</t>
        </is>
      </c>
      <c r="B7" s="24" t="inlineStr">
        <is>
          <t>Secos/Granos</t>
        </is>
      </c>
      <c r="C7" s="24" t="inlineStr">
        <is>
          <t>954 33 90 41</t>
        </is>
      </c>
      <c r="D7" s="24" t="inlineStr">
        <is>
          <t>pedidos@ejemplo-economato.es</t>
        </is>
      </c>
      <c r="E7" s="41" t="n">
        <v>250</v>
      </c>
      <c r="F7" s="24" t="inlineStr">
        <is>
          <t>Mar antes de 14:00</t>
        </is>
      </c>
      <c r="G7" s="42" t="n">
        <v>2</v>
      </c>
      <c r="H7" s="24" t="inlineStr">
        <is>
          <t>Rappel del 2 % a partir de 2.000 € al mes</t>
        </is>
      </c>
    </row>
    <row r="8">
      <c r="A8" s="24" t="inlineStr">
        <is>
          <t>Bebidas y Distribución Levante (ejemplo)</t>
        </is>
      </c>
      <c r="B8" s="24" t="inlineStr">
        <is>
          <t>Bebidas Alcohólicas</t>
        </is>
      </c>
      <c r="C8" s="24" t="inlineStr">
        <is>
          <t>965 12 78 30</t>
        </is>
      </c>
      <c r="D8" s="24" t="inlineStr">
        <is>
          <t>pedidos@ejemplo-bebidas.es</t>
        </is>
      </c>
      <c r="E8" s="41" t="n">
        <v>200</v>
      </c>
      <c r="F8" s="24" t="inlineStr">
        <is>
          <t>Lun antes de 12:00</t>
        </is>
      </c>
      <c r="G8" s="42" t="n">
        <v>2</v>
      </c>
      <c r="H8" s="24" t="inlineStr">
        <is>
          <t>Cesión de barriles y CO2: revisar el depósito de envases</t>
        </is>
      </c>
    </row>
    <row r="9">
      <c r="A9" s="24" t="inlineStr">
        <is>
          <t>Higiene Profesional HORECA (ejemplo)</t>
        </is>
      </c>
      <c r="B9" s="24" t="inlineStr">
        <is>
          <t>Limpieza</t>
        </is>
      </c>
      <c r="C9" s="24" t="inlineStr">
        <is>
          <t>916 40 22 18</t>
        </is>
      </c>
      <c r="D9" s="24" t="inlineStr">
        <is>
          <t>pedidos@ejemplo-higiene.es</t>
        </is>
      </c>
      <c r="E9" s="41" t="n">
        <v>100</v>
      </c>
      <c r="F9" s="24" t="inlineStr">
        <is>
          <t>Mié antes de 16:00</t>
        </is>
      </c>
      <c r="G9" s="42" t="n">
        <v>2</v>
      </c>
      <c r="H9" s="24" t="inlineStr">
        <is>
          <t>Pedir la ficha de datos de seguridad de cada producto</t>
        </is>
      </c>
    </row>
    <row r="10">
      <c r="A10" s="24" t="n"/>
      <c r="B10" s="24" t="n"/>
      <c r="C10" s="24" t="n"/>
      <c r="D10" s="24" t="n"/>
      <c r="E10" s="41" t="n"/>
      <c r="F10" s="24" t="n"/>
      <c r="G10" s="42" t="n"/>
      <c r="H10" s="24" t="n"/>
    </row>
    <row r="11">
      <c r="A11" s="24" t="n"/>
      <c r="B11" s="24" t="n"/>
      <c r="C11" s="24" t="n"/>
      <c r="D11" s="24" t="n"/>
      <c r="E11" s="41" t="n"/>
      <c r="F11" s="24" t="n"/>
      <c r="G11" s="42" t="n"/>
      <c r="H11" s="24" t="n"/>
    </row>
    <row r="12">
      <c r="A12" s="24" t="n"/>
      <c r="B12" s="24" t="n"/>
      <c r="C12" s="24" t="n"/>
      <c r="D12" s="24" t="n"/>
      <c r="E12" s="41" t="n"/>
      <c r="F12" s="24" t="n"/>
      <c r="G12" s="42" t="n"/>
      <c r="H12" s="24" t="n"/>
    </row>
    <row r="13">
      <c r="A13" s="24" t="n"/>
      <c r="B13" s="24" t="n"/>
      <c r="C13" s="24" t="n"/>
      <c r="D13" s="24" t="n"/>
      <c r="E13" s="41" t="n"/>
      <c r="F13" s="24" t="n"/>
      <c r="G13" s="42" t="n"/>
      <c r="H13" s="24" t="n"/>
    </row>
    <row r="14">
      <c r="A14" s="24" t="n"/>
      <c r="B14" s="24" t="n"/>
      <c r="C14" s="24" t="n"/>
      <c r="D14" s="24" t="n"/>
      <c r="E14" s="41" t="n"/>
      <c r="F14" s="24" t="n"/>
      <c r="G14" s="42" t="n"/>
      <c r="H14" s="24" t="n"/>
    </row>
    <row r="15">
      <c r="A15" s="24" t="n"/>
      <c r="B15" s="24" t="n"/>
      <c r="C15" s="24" t="n"/>
      <c r="D15" s="24" t="n"/>
      <c r="E15" s="41" t="n"/>
      <c r="F15" s="24" t="n"/>
      <c r="G15" s="42" t="n"/>
      <c r="H15" s="24" t="n"/>
    </row>
    <row r="16">
      <c r="A16" s="24" t="n"/>
      <c r="B16" s="24" t="n"/>
      <c r="C16" s="24" t="n"/>
      <c r="D16" s="24" t="n"/>
      <c r="E16" s="41" t="n"/>
      <c r="F16" s="24" t="n"/>
      <c r="G16" s="42" t="n"/>
      <c r="H16" s="24" t="n"/>
    </row>
    <row r="17">
      <c r="A17" s="24" t="n"/>
      <c r="B17" s="24" t="n"/>
      <c r="C17" s="24" t="n"/>
      <c r="D17" s="24" t="n"/>
      <c r="E17" s="41" t="n"/>
      <c r="F17" s="24" t="n"/>
      <c r="G17" s="42" t="n"/>
      <c r="H17" s="24" t="n"/>
    </row>
    <row r="18">
      <c r="A18" s="24" t="n"/>
      <c r="B18" s="24" t="n"/>
      <c r="C18" s="24" t="n"/>
      <c r="D18" s="24" t="n"/>
      <c r="E18" s="41" t="n"/>
      <c r="F18" s="24" t="n"/>
      <c r="G18" s="42" t="n"/>
      <c r="H18" s="24" t="n"/>
    </row>
    <row r="19">
      <c r="A19" s="24" t="n"/>
      <c r="B19" s="24" t="n"/>
      <c r="C19" s="24" t="n"/>
      <c r="D19" s="24" t="n"/>
      <c r="E19" s="41" t="n"/>
      <c r="F19" s="24" t="n"/>
      <c r="G19" s="42" t="n"/>
      <c r="H19" s="24" t="n"/>
    </row>
    <row r="20">
      <c r="A20" s="24" t="n"/>
      <c r="B20" s="24" t="n"/>
      <c r="C20" s="24" t="n"/>
      <c r="D20" s="24" t="n"/>
      <c r="E20" s="41" t="n"/>
      <c r="F20" s="24" t="n"/>
      <c r="G20" s="42" t="n"/>
      <c r="H20" s="24" t="n"/>
    </row>
    <row r="21">
      <c r="A21" s="24" t="n"/>
      <c r="B21" s="24" t="n"/>
      <c r="C21" s="24" t="n"/>
      <c r="D21" s="24" t="n"/>
      <c r="E21" s="41" t="n"/>
      <c r="F21" s="24" t="n"/>
      <c r="G21" s="42" t="n"/>
      <c r="H21" s="24" t="n"/>
    </row>
    <row r="22">
      <c r="A22" s="24" t="n"/>
      <c r="B22" s="24" t="n"/>
      <c r="C22" s="24" t="n"/>
      <c r="D22" s="24" t="n"/>
      <c r="E22" s="41" t="n"/>
      <c r="F22" s="24" t="n"/>
      <c r="G22" s="42" t="n"/>
      <c r="H22" s="24" t="n"/>
    </row>
    <row r="23">
      <c r="A23" s="24" t="n"/>
      <c r="B23" s="24" t="n"/>
      <c r="C23" s="24" t="n"/>
      <c r="D23" s="24" t="n"/>
      <c r="E23" s="41" t="n"/>
      <c r="F23" s="24" t="n"/>
      <c r="G23" s="42" t="n"/>
      <c r="H23" s="24" t="n"/>
    </row>
    <row r="24"/>
    <row r="25">
      <c r="A25" s="20" t="inlineStr">
        <is>
          <t>La ficha COMPLETA de cada proveedor (CIF, nº RGSEAA, condiciones de pago, homologación y comparativa de precios) va en el fichero 02 del kit. Aquí basta con lo que necesita el pedido.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25:H25"/>
    <mergeCell ref="A2:H2"/>
    <mergeCell ref="A1:H1"/>
  </mergeCells>
  <dataValidations count="1">
    <dataValidation sqref="B4:B23" showDropDown="0" showInputMessage="1" showErrorMessage="1" allowBlank="1" errorTitle="Categoría no válida" error="Elige un valor de la lista. Si cada línea usa palabras distintas, los COUNTIF y los SUMIF de los análisis no suman nada." promptTitle="grupo_b · Categoría no válida" prompt="Las 10 categorías del kit. Son las mismas en las 9 plantillas." type="list" errorStyle="stop">
      <formula1>"Cárnicos,Pescados,Lácteos,Verduras/Frutas,Secos/Granos,Congelados,Bebidas Alcohólicas,Bebidas No Alcohólicas,Limpieza,Otros"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16" customWidth="1" min="4" max="4"/>
    <col width="14" customWidth="1" min="5" max="5"/>
    <col width="14" customWidth="1" min="6" max="6"/>
    <col width="14" customWidth="1" min="7" max="7"/>
    <col width="22" customWidth="1" min="8" max="8"/>
    <col width="34" customWidth="1" min="9" max="9"/>
  </cols>
  <sheetData>
    <row r="1">
      <c r="A1" s="40" t="inlineStr">
        <is>
          <t>HISTORIAL DE PEDIDOS</t>
        </is>
      </c>
    </row>
    <row r="2">
      <c r="A2" s="20" t="inlineStr">
        <is>
          <t>La fila 4 está ENLAZADA al pedido en curso. Cuando lo cierres, copia esa fila y pégala como valor en la primera fila libre; después ya puedes vaciar el pedido.</t>
        </is>
      </c>
    </row>
    <row r="3">
      <c r="A3" s="38" t="inlineStr">
        <is>
          <t>Fecha</t>
        </is>
      </c>
      <c r="B3" s="38" t="inlineStr">
        <is>
          <t>Nº Pedido</t>
        </is>
      </c>
      <c r="C3" s="38" t="inlineStr">
        <is>
          <t>Proveedor</t>
        </is>
      </c>
      <c r="D3" s="38" t="inlineStr">
        <is>
          <t>Productos</t>
        </is>
      </c>
      <c r="E3" s="38" t="inlineStr">
        <is>
          <t>Subtotal (€)</t>
        </is>
      </c>
      <c r="F3" s="38" t="inlineStr">
        <is>
          <t>IVA (€)</t>
        </is>
      </c>
      <c r="G3" s="38" t="inlineStr">
        <is>
          <t>Total (€)</t>
        </is>
      </c>
      <c r="H3" s="38" t="inlineStr">
        <is>
          <t>Estado</t>
        </is>
      </c>
      <c r="I3" s="38" t="inlineStr">
        <is>
          <t>Observaciones</t>
        </is>
      </c>
    </row>
    <row r="4">
      <c r="A4" s="43">
        <f>IF('Pedido Actual'!$C$4="","",'Pedido Actual'!$C$4)</f>
        <v>46252.0</v>
      </c>
      <c r="B4" s="44" t="str">
        <f>IF('Pedido Actual'!$C$6="","",'Pedido Actual'!$C$6)</f>
        <v>PED-2026-004</v>
      </c>
      <c r="C4" s="44" t="str">
        <f>IF('Pedido Actual'!$C$3="","",'Pedido Actual'!$C$3)</f>
        <v>Cárnicas del Norte (ejemplo)</v>
      </c>
      <c r="D4" s="44" t="str">
        <f>IF(COUNTIF('Pedido Actual'!$B$9:$B$38,"&lt;&gt;")=0,"",COUNTIF('Pedido Actual'!$B$9:$B$38,"&lt;&gt;")&amp;" líneas")</f>
        <v>3 líneas</v>
      </c>
      <c r="E4" s="45">
        <f>'Pedido Actual'!$H$40</f>
        <v>227.1</v>
      </c>
      <c r="F4" s="45">
        <f>'Pedido Actual'!$H$41</f>
        <v>28.476</v>
      </c>
      <c r="G4" s="45">
        <f>'Pedido Actual'!$H$42</f>
        <v>255.576</v>
      </c>
      <c r="H4" s="24" t="n"/>
      <c r="I4" s="24" t="inlineStr">
        <is>
          <t>PEDIDO EN CURSO — esta fila se actualiza sola y NO SUMA en el total del periodo. Cópiala como valor en la primera fila libre cuando cierres el pedido.</t>
        </is>
      </c>
    </row>
    <row r="5">
      <c r="A5" s="46" t="n">
        <v>46223</v>
      </c>
      <c r="B5" s="24" t="inlineStr">
        <is>
          <t>PED-2026-001</t>
        </is>
      </c>
      <c r="C5" s="24" t="inlineStr">
        <is>
          <t>Cárnicas del Norte (ejemplo)</t>
        </is>
      </c>
      <c r="D5" s="24" t="inlineStr">
        <is>
          <t>6 líneas</t>
        </is>
      </c>
      <c r="E5" s="41" t="n">
        <v>342.8</v>
      </c>
      <c r="F5" s="41" t="n">
        <v>34.28</v>
      </c>
      <c r="G5" s="41" t="n">
        <v>377.08</v>
      </c>
      <c r="H5" s="24" t="inlineStr">
        <is>
          <t>Facturado</t>
        </is>
      </c>
      <c r="I5" s="24" t="inlineStr">
        <is>
          <t>Sin incidencias (ejemplo)</t>
        </is>
      </c>
    </row>
    <row r="6">
      <c r="A6" s="46" t="n">
        <v>46237</v>
      </c>
      <c r="B6" s="24" t="inlineStr">
        <is>
          <t>PED-2026-002</t>
        </is>
      </c>
      <c r="C6" s="24" t="inlineStr">
        <is>
          <t>Bebidas y Distribución Levante (ejemplo)</t>
        </is>
      </c>
      <c r="D6" s="24" t="inlineStr">
        <is>
          <t>4 líneas</t>
        </is>
      </c>
      <c r="E6" s="41" t="n">
        <v>218.5</v>
      </c>
      <c r="F6" s="41" t="n">
        <v>45.89</v>
      </c>
      <c r="G6" s="41" t="n">
        <v>264.39</v>
      </c>
      <c r="H6" s="24" t="inlineStr">
        <is>
          <t>Recibido</t>
        </is>
      </c>
      <c r="I6" s="24" t="inlineStr">
        <is>
          <t>Barril de 30 L en depósito (ejemplo)</t>
        </is>
      </c>
    </row>
    <row r="7">
      <c r="A7" s="46" t="n">
        <v>46248</v>
      </c>
      <c r="B7" s="24" t="inlineStr">
        <is>
          <t>PED-2026-003</t>
        </is>
      </c>
      <c r="C7" s="24" t="inlineStr">
        <is>
          <t>Frutas y Verduras La Huerta (ejemplo)</t>
        </is>
      </c>
      <c r="D7" s="24" t="inlineStr">
        <is>
          <t>9 líneas</t>
        </is>
      </c>
      <c r="E7" s="41" t="n">
        <v>96.40000000000001</v>
      </c>
      <c r="F7" s="41" t="n">
        <v>3.86</v>
      </c>
      <c r="G7" s="41" t="n">
        <v>100.26</v>
      </c>
      <c r="H7" s="24" t="inlineStr">
        <is>
          <t>Recibido con incidencia</t>
        </is>
      </c>
      <c r="I7" s="24" t="inlineStr">
        <is>
          <t>Dos cajas de tomate retiradas (ejemplo)</t>
        </is>
      </c>
    </row>
    <row r="8">
      <c r="A8" s="46" t="n"/>
      <c r="B8" s="24" t="n"/>
      <c r="C8" s="24" t="n"/>
      <c r="D8" s="24" t="n"/>
      <c r="E8" s="41" t="n"/>
      <c r="F8" s="41" t="n"/>
      <c r="G8" s="41" t="n"/>
      <c r="H8" s="24" t="n"/>
      <c r="I8" s="24" t="n"/>
    </row>
    <row r="9">
      <c r="A9" s="46" t="n"/>
      <c r="B9" s="24" t="n"/>
      <c r="C9" s="24" t="n"/>
      <c r="D9" s="24" t="n"/>
      <c r="E9" s="41" t="n"/>
      <c r="F9" s="41" t="n"/>
      <c r="G9" s="41" t="n"/>
      <c r="H9" s="24" t="n"/>
      <c r="I9" s="24" t="n"/>
    </row>
    <row r="10">
      <c r="A10" s="46" t="n"/>
      <c r="B10" s="24" t="n"/>
      <c r="C10" s="24" t="n"/>
      <c r="D10" s="24" t="n"/>
      <c r="E10" s="41" t="n"/>
      <c r="F10" s="41" t="n"/>
      <c r="G10" s="41" t="n"/>
      <c r="H10" s="24" t="n"/>
      <c r="I10" s="24" t="n"/>
    </row>
    <row r="11">
      <c r="A11" s="46" t="n"/>
      <c r="B11" s="24" t="n"/>
      <c r="C11" s="24" t="n"/>
      <c r="D11" s="24" t="n"/>
      <c r="E11" s="41" t="n"/>
      <c r="F11" s="41" t="n"/>
      <c r="G11" s="41" t="n"/>
      <c r="H11" s="24" t="n"/>
      <c r="I11" s="24" t="n"/>
    </row>
    <row r="12">
      <c r="A12" s="46" t="n"/>
      <c r="B12" s="24" t="n"/>
      <c r="C12" s="24" t="n"/>
      <c r="D12" s="24" t="n"/>
      <c r="E12" s="41" t="n"/>
      <c r="F12" s="41" t="n"/>
      <c r="G12" s="41" t="n"/>
      <c r="H12" s="24" t="n"/>
      <c r="I12" s="24" t="n"/>
    </row>
    <row r="13">
      <c r="A13" s="46" t="n"/>
      <c r="B13" s="24" t="n"/>
      <c r="C13" s="24" t="n"/>
      <c r="D13" s="24" t="n"/>
      <c r="E13" s="41" t="n"/>
      <c r="F13" s="41" t="n"/>
      <c r="G13" s="41" t="n"/>
      <c r="H13" s="24" t="n"/>
      <c r="I13" s="24" t="n"/>
    </row>
    <row r="14">
      <c r="A14" s="46" t="n"/>
      <c r="B14" s="24" t="n"/>
      <c r="C14" s="24" t="n"/>
      <c r="D14" s="24" t="n"/>
      <c r="E14" s="41" t="n"/>
      <c r="F14" s="41" t="n"/>
      <c r="G14" s="41" t="n"/>
      <c r="H14" s="24" t="n"/>
      <c r="I14" s="24" t="n"/>
    </row>
    <row r="15">
      <c r="A15" s="46" t="n"/>
      <c r="B15" s="24" t="n"/>
      <c r="C15" s="24" t="n"/>
      <c r="D15" s="24" t="n"/>
      <c r="E15" s="41" t="n"/>
      <c r="F15" s="41" t="n"/>
      <c r="G15" s="41" t="n"/>
      <c r="H15" s="24" t="n"/>
      <c r="I15" s="24" t="n"/>
    </row>
    <row r="16">
      <c r="A16" s="46" t="n"/>
      <c r="B16" s="24" t="n"/>
      <c r="C16" s="24" t="n"/>
      <c r="D16" s="24" t="n"/>
      <c r="E16" s="41" t="n"/>
      <c r="F16" s="41" t="n"/>
      <c r="G16" s="41" t="n"/>
      <c r="H16" s="24" t="n"/>
      <c r="I16" s="24" t="n"/>
    </row>
    <row r="17">
      <c r="A17" s="46" t="n"/>
      <c r="B17" s="24" t="n"/>
      <c r="C17" s="24" t="n"/>
      <c r="D17" s="24" t="n"/>
      <c r="E17" s="41" t="n"/>
      <c r="F17" s="41" t="n"/>
      <c r="G17" s="41" t="n"/>
      <c r="H17" s="24" t="n"/>
      <c r="I17" s="24" t="n"/>
    </row>
    <row r="18">
      <c r="A18" s="46" t="n"/>
      <c r="B18" s="24" t="n"/>
      <c r="C18" s="24" t="n"/>
      <c r="D18" s="24" t="n"/>
      <c r="E18" s="41" t="n"/>
      <c r="F18" s="41" t="n"/>
      <c r="G18" s="41" t="n"/>
      <c r="H18" s="24" t="n"/>
      <c r="I18" s="24" t="n"/>
    </row>
    <row r="19">
      <c r="A19" s="46" t="n"/>
      <c r="B19" s="24" t="n"/>
      <c r="C19" s="24" t="n"/>
      <c r="D19" s="24" t="n"/>
      <c r="E19" s="41" t="n"/>
      <c r="F19" s="41" t="n"/>
      <c r="G19" s="41" t="n"/>
      <c r="H19" s="24" t="n"/>
      <c r="I19" s="24" t="n"/>
    </row>
    <row r="20">
      <c r="A20" s="46" t="n"/>
      <c r="B20" s="24" t="n"/>
      <c r="C20" s="24" t="n"/>
      <c r="D20" s="24" t="n"/>
      <c r="E20" s="41" t="n"/>
      <c r="F20" s="41" t="n"/>
      <c r="G20" s="41" t="n"/>
      <c r="H20" s="24" t="n"/>
      <c r="I20" s="24" t="n"/>
    </row>
    <row r="21">
      <c r="A21" s="46" t="n"/>
      <c r="B21" s="24" t="n"/>
      <c r="C21" s="24" t="n"/>
      <c r="D21" s="24" t="n"/>
      <c r="E21" s="41" t="n"/>
      <c r="F21" s="41" t="n"/>
      <c r="G21" s="41" t="n"/>
      <c r="H21" s="24" t="n"/>
      <c r="I21" s="24" t="n"/>
    </row>
    <row r="22">
      <c r="A22" s="46" t="n"/>
      <c r="B22" s="24" t="n"/>
      <c r="C22" s="24" t="n"/>
      <c r="D22" s="24" t="n"/>
      <c r="E22" s="41" t="n"/>
      <c r="F22" s="41" t="n"/>
      <c r="G22" s="41" t="n"/>
      <c r="H22" s="24" t="n"/>
      <c r="I22" s="24" t="n"/>
    </row>
    <row r="23">
      <c r="A23" s="46" t="n"/>
      <c r="B23" s="24" t="n"/>
      <c r="C23" s="24" t="n"/>
      <c r="D23" s="24" t="n"/>
      <c r="E23" s="41" t="n"/>
      <c r="F23" s="41" t="n"/>
      <c r="G23" s="41" t="n"/>
      <c r="H23" s="24" t="n"/>
      <c r="I23" s="24" t="n"/>
    </row>
    <row r="24">
      <c r="A24" s="46" t="n"/>
      <c r="B24" s="24" t="n"/>
      <c r="C24" s="24" t="n"/>
      <c r="D24" s="24" t="n"/>
      <c r="E24" s="41" t="n"/>
      <c r="F24" s="41" t="n"/>
      <c r="G24" s="41" t="n"/>
      <c r="H24" s="24" t="n"/>
      <c r="I24" s="24" t="n"/>
    </row>
    <row r="25">
      <c r="A25" s="46" t="n"/>
      <c r="B25" s="24" t="n"/>
      <c r="C25" s="24" t="n"/>
      <c r="D25" s="24" t="n"/>
      <c r="E25" s="41" t="n"/>
      <c r="F25" s="41" t="n"/>
      <c r="G25" s="41" t="n"/>
      <c r="H25" s="24" t="n"/>
      <c r="I25" s="24" t="n"/>
    </row>
    <row r="26">
      <c r="A26" s="46" t="n"/>
      <c r="B26" s="24" t="n"/>
      <c r="C26" s="24" t="n"/>
      <c r="D26" s="24" t="n"/>
      <c r="E26" s="41" t="n"/>
      <c r="F26" s="41" t="n"/>
      <c r="G26" s="41" t="n"/>
      <c r="H26" s="24" t="n"/>
      <c r="I26" s="24" t="n"/>
    </row>
    <row r="27">
      <c r="A27" s="46" t="n"/>
      <c r="B27" s="24" t="n"/>
      <c r="C27" s="24" t="n"/>
      <c r="D27" s="24" t="n"/>
      <c r="E27" s="41" t="n"/>
      <c r="F27" s="41" t="n"/>
      <c r="G27" s="41" t="n"/>
      <c r="H27" s="24" t="n"/>
      <c r="I27" s="24" t="n"/>
    </row>
    <row r="28">
      <c r="A28" s="46" t="n"/>
      <c r="B28" s="24" t="n"/>
      <c r="C28" s="24" t="n"/>
      <c r="D28" s="24" t="n"/>
      <c r="E28" s="41" t="n"/>
      <c r="F28" s="41" t="n"/>
      <c r="G28" s="41" t="n"/>
      <c r="H28" s="24" t="n"/>
      <c r="I28" s="24" t="n"/>
    </row>
    <row r="29">
      <c r="A29" s="46" t="n"/>
      <c r="B29" s="24" t="n"/>
      <c r="C29" s="24" t="n"/>
      <c r="D29" s="24" t="n"/>
      <c r="E29" s="41" t="n"/>
      <c r="F29" s="41" t="n"/>
      <c r="G29" s="41" t="n"/>
      <c r="H29" s="24" t="n"/>
      <c r="I29" s="24" t="n"/>
    </row>
    <row r="30">
      <c r="A30" s="46" t="n"/>
      <c r="B30" s="24" t="n"/>
      <c r="C30" s="24" t="n"/>
      <c r="D30" s="24" t="n"/>
      <c r="E30" s="41" t="n"/>
      <c r="F30" s="41" t="n"/>
      <c r="G30" s="41" t="n"/>
      <c r="H30" s="24" t="n"/>
      <c r="I30" s="24" t="n"/>
    </row>
    <row r="31">
      <c r="A31" s="46" t="n"/>
      <c r="B31" s="24" t="n"/>
      <c r="C31" s="24" t="n"/>
      <c r="D31" s="24" t="n"/>
      <c r="E31" s="41" t="n"/>
      <c r="F31" s="41" t="n"/>
      <c r="G31" s="41" t="n"/>
      <c r="H31" s="24" t="n"/>
      <c r="I31" s="24" t="n"/>
    </row>
    <row r="32">
      <c r="A32" s="46" t="n"/>
      <c r="B32" s="24" t="n"/>
      <c r="C32" s="24" t="n"/>
      <c r="D32" s="24" t="n"/>
      <c r="E32" s="41" t="n"/>
      <c r="F32" s="41" t="n"/>
      <c r="G32" s="41" t="n"/>
      <c r="H32" s="24" t="n"/>
      <c r="I32" s="24" t="n"/>
    </row>
    <row r="33">
      <c r="A33" s="46" t="n"/>
      <c r="B33" s="24" t="n"/>
      <c r="C33" s="24" t="n"/>
      <c r="D33" s="24" t="n"/>
      <c r="E33" s="41" t="n"/>
      <c r="F33" s="41" t="n"/>
      <c r="G33" s="41" t="n"/>
      <c r="H33" s="24" t="n"/>
      <c r="I33" s="24" t="n"/>
    </row>
    <row r="34">
      <c r="A34" s="46" t="n"/>
      <c r="B34" s="24" t="n"/>
      <c r="C34" s="24" t="n"/>
      <c r="D34" s="24" t="n"/>
      <c r="E34" s="41" t="n"/>
      <c r="F34" s="41" t="n"/>
      <c r="G34" s="41" t="n"/>
      <c r="H34" s="24" t="n"/>
      <c r="I34" s="24" t="n"/>
    </row>
    <row r="35">
      <c r="A35" s="46" t="n"/>
      <c r="B35" s="24" t="n"/>
      <c r="C35" s="24" t="n"/>
      <c r="D35" s="24" t="n"/>
      <c r="E35" s="41" t="n"/>
      <c r="F35" s="41" t="n"/>
      <c r="G35" s="41" t="n"/>
      <c r="H35" s="24" t="n"/>
      <c r="I35" s="24" t="n"/>
    </row>
    <row r="36">
      <c r="A36" s="46" t="n"/>
      <c r="B36" s="24" t="n"/>
      <c r="C36" s="24" t="n"/>
      <c r="D36" s="24" t="n"/>
      <c r="E36" s="41" t="n"/>
      <c r="F36" s="41" t="n"/>
      <c r="G36" s="41" t="n"/>
      <c r="H36" s="24" t="n"/>
      <c r="I36" s="24" t="n"/>
    </row>
    <row r="37">
      <c r="A37" s="46" t="n"/>
      <c r="B37" s="24" t="n"/>
      <c r="C37" s="24" t="n"/>
      <c r="D37" s="24" t="n"/>
      <c r="E37" s="41" t="n"/>
      <c r="F37" s="41" t="n"/>
      <c r="G37" s="41" t="n"/>
      <c r="H37" s="24" t="n"/>
      <c r="I37" s="24" t="n"/>
    </row>
    <row r="38">
      <c r="A38" s="46" t="n"/>
      <c r="B38" s="24" t="n"/>
      <c r="C38" s="24" t="n"/>
      <c r="D38" s="24" t="n"/>
      <c r="E38" s="41" t="n"/>
      <c r="F38" s="41" t="n"/>
      <c r="G38" s="41" t="n"/>
      <c r="H38" s="24" t="n"/>
      <c r="I38" s="24" t="n"/>
    </row>
    <row r="39">
      <c r="A39" s="46" t="n"/>
      <c r="B39" s="24" t="n"/>
      <c r="C39" s="24" t="n"/>
      <c r="D39" s="24" t="n"/>
      <c r="E39" s="41" t="n"/>
      <c r="F39" s="41" t="n"/>
      <c r="G39" s="41" t="n"/>
      <c r="H39" s="24" t="n"/>
      <c r="I39" s="24" t="n"/>
    </row>
    <row r="40">
      <c r="A40" s="46" t="n"/>
      <c r="B40" s="24" t="n"/>
      <c r="C40" s="24" t="n"/>
      <c r="D40" s="24" t="n"/>
      <c r="E40" s="41" t="n"/>
      <c r="F40" s="41" t="n"/>
      <c r="G40" s="41" t="n"/>
      <c r="H40" s="24" t="n"/>
      <c r="I40" s="24" t="n"/>
    </row>
    <row r="41">
      <c r="A41" s="46" t="n"/>
      <c r="B41" s="24" t="n"/>
      <c r="C41" s="24" t="n"/>
      <c r="D41" s="24" t="n"/>
      <c r="E41" s="41" t="n"/>
      <c r="F41" s="41" t="n"/>
      <c r="G41" s="41" t="n"/>
      <c r="H41" s="24" t="n"/>
      <c r="I41" s="24" t="n"/>
    </row>
    <row r="42">
      <c r="A42" s="46" t="n"/>
      <c r="B42" s="24" t="n"/>
      <c r="C42" s="24" t="n"/>
      <c r="D42" s="24" t="n"/>
      <c r="E42" s="41" t="n"/>
      <c r="F42" s="41" t="n"/>
      <c r="G42" s="41" t="n"/>
      <c r="H42" s="24" t="n"/>
      <c r="I42" s="24" t="n"/>
    </row>
    <row r="43">
      <c r="A43" s="46" t="n"/>
      <c r="B43" s="24" t="n"/>
      <c r="C43" s="24" t="n"/>
      <c r="D43" s="24" t="n"/>
      <c r="E43" s="41" t="n"/>
      <c r="F43" s="41" t="n"/>
      <c r="G43" s="41" t="n"/>
      <c r="H43" s="24" t="n"/>
      <c r="I43" s="24" t="n"/>
    </row>
    <row r="44"/>
    <row r="45">
      <c r="D45" s="47" t="inlineStr">
        <is>
          <t>TOTAL DEL PERIODO (filas 5 a 43)</t>
        </is>
      </c>
      <c r="E45" s="48">
        <f>SUM($E$5:$E$43)</f>
        <v>657.6999999999999</v>
      </c>
      <c r="F45" s="48">
        <f>SUM($F$5:$F$43)</f>
        <v>84.03</v>
      </c>
      <c r="G45" s="48">
        <f>SUM($G$5:$G$43)</f>
        <v>741.73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I2"/>
    <mergeCell ref="A1:I1"/>
  </mergeCells>
  <dataValidations count="1">
    <dataValidation sqref="H4:H43" showDropDown="0" showInputMessage="1" showErrorMessage="1" allowBlank="1" errorTitle="Estado no válido" error="Elige un valor de la lista. Si cada línea usa palabras distintas, los COUNTIF y los SUMIF de los análisis no suman nada." promptTitle="grupo_b · Estado no válido" prompt="Estado del pedido. Sirve para saber de un vistazo qué está pendiente de recibir y qué está pendiente de factura." type="list" errorStyle="stop">
      <formula1>"Borrador,Enviado,Confirmado,Recibido,Recibido con incidencia,Facturado"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  <col width="30" customWidth="1" min="5" max="5"/>
    <col width="10" customWidth="1" min="6" max="6"/>
    <col width="62" customWidth="1" min="7" max="7"/>
  </cols>
  <sheetData>
    <row r="1">
      <c r="A1" s="49" t="inlineStr">
        <is>
          <t>Categoría</t>
        </is>
      </c>
      <c r="B1" s="49" t="inlineStr">
        <is>
          <t>IVA %</t>
        </is>
      </c>
      <c r="C1" s="49" t="inlineStr">
        <is>
          <t>Nota</t>
        </is>
      </c>
      <c r="E1" s="49" t="inlineStr">
        <is>
          <t>Producto</t>
        </is>
      </c>
      <c r="F1" s="49" t="inlineStr">
        <is>
          <t>IVA %</t>
        </is>
      </c>
      <c r="G1" s="49" t="inlineStr">
        <is>
          <t>Por qué no es el de su categoría</t>
        </is>
      </c>
    </row>
    <row r="2">
      <c r="A2" t="inlineStr">
        <is>
          <t>Cárnicos</t>
        </is>
      </c>
      <c r="B2" s="42" t="n">
        <v>10</v>
      </c>
      <c r="C2" s="19" t="inlineStr">
        <is>
          <t>Tipo orientativo por categoría: edítalo. El pan común, las harinas panificables, las legumbres, los cereales, la leche, los quesos, los huevos, las frutas y las verduras van al 4 %; los refrescos con azúcares añadidos, al 21 %. En cada línea del pedido puedes cambiar el tipo con el desplegable 4 / 10 / 21.</t>
        </is>
      </c>
      <c r="E2" s="24" t="inlineStr">
        <is>
          <t>Arroz redondo</t>
        </is>
      </c>
      <c r="F2" s="42" t="n">
        <v>4</v>
      </c>
      <c r="G2" s="19" t="inlineStr">
        <is>
          <t>EXCEPCIONES por producto. El pedido busca PRIMERO el nombre del producto en esta tabla y sólo si no lo encuentra usa el tipo de su categoría. Aquí están únicamente los productos del kit cuyo tipo NO es el de su categoría: los cereales, las harinas y las legumbres van al 4 % aunque su categoría (Secos/Granos) sea del 10 %; la nata y la mantequilla al 10 % aunque Lácteos sea del 4 %; los refrescos con azúcares añadidos al 21 %. Añade los tuyos escribiendo el nombre EXACTO que uses en el pedido.</t>
        </is>
      </c>
    </row>
    <row r="3">
      <c r="A3" t="inlineStr">
        <is>
          <t>Pescados</t>
        </is>
      </c>
      <c r="B3" s="42" t="n">
        <v>10</v>
      </c>
      <c r="E3" s="24" t="inlineStr">
        <is>
          <t>Harina de trigo</t>
        </is>
      </c>
      <c r="F3" s="42" t="n">
        <v>4</v>
      </c>
    </row>
    <row r="4">
      <c r="A4" t="inlineStr">
        <is>
          <t>Lácteos</t>
        </is>
      </c>
      <c r="B4" s="42" t="n">
        <v>4</v>
      </c>
      <c r="E4" s="24" t="inlineStr">
        <is>
          <t>Huevos M</t>
        </is>
      </c>
      <c r="F4" s="42" t="n">
        <v>4</v>
      </c>
    </row>
    <row r="5">
      <c r="A5" t="inlineStr">
        <is>
          <t>Verduras/Frutas</t>
        </is>
      </c>
      <c r="B5" s="42" t="n">
        <v>4</v>
      </c>
      <c r="E5" s="24" t="inlineStr">
        <is>
          <t>Legumbres secas</t>
        </is>
      </c>
      <c r="F5" s="42" t="n">
        <v>4</v>
      </c>
    </row>
    <row r="6">
      <c r="A6" t="inlineStr">
        <is>
          <t>Secos/Granos</t>
        </is>
      </c>
      <c r="B6" s="42" t="n">
        <v>10</v>
      </c>
      <c r="E6" s="24" t="inlineStr">
        <is>
          <t>Mantequilla</t>
        </is>
      </c>
      <c r="F6" s="42" t="n">
        <v>10</v>
      </c>
    </row>
    <row r="7">
      <c r="A7" t="inlineStr">
        <is>
          <t>Congelados</t>
        </is>
      </c>
      <c r="B7" s="42" t="n">
        <v>10</v>
      </c>
      <c r="E7" s="24" t="inlineStr">
        <is>
          <t>Nata 35 % M.G.</t>
        </is>
      </c>
      <c r="F7" s="42" t="n">
        <v>10</v>
      </c>
    </row>
    <row r="8">
      <c r="A8" t="inlineStr">
        <is>
          <t>Bebidas Alcohólicas</t>
        </is>
      </c>
      <c r="B8" s="42" t="n">
        <v>21</v>
      </c>
      <c r="E8" s="24" t="inlineStr">
        <is>
          <t>Pasta seca</t>
        </is>
      </c>
      <c r="F8" s="42" t="n">
        <v>4</v>
      </c>
    </row>
    <row r="9">
      <c r="A9" t="inlineStr">
        <is>
          <t>Bebidas No Alcohólicas</t>
        </is>
      </c>
      <c r="B9" s="42" t="n">
        <v>10</v>
      </c>
      <c r="E9" s="24" t="inlineStr">
        <is>
          <t>Refresco de cola</t>
        </is>
      </c>
      <c r="F9" s="42" t="n">
        <v>21</v>
      </c>
    </row>
    <row r="10">
      <c r="A10" t="inlineStr">
        <is>
          <t>Limpieza</t>
        </is>
      </c>
      <c r="B10" s="42" t="n">
        <v>21</v>
      </c>
      <c r="E10" s="24" t="inlineStr">
        <is>
          <t>Tónica</t>
        </is>
      </c>
      <c r="F10" s="42" t="n">
        <v>21</v>
      </c>
    </row>
    <row r="11">
      <c r="A11" t="inlineStr">
        <is>
          <t>Otros</t>
        </is>
      </c>
      <c r="B11" s="42" t="n">
        <v>21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G2:G10"/>
    <mergeCell ref="C2:C1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Pedidos de Compra · Kit Control de Inventario y Compras</dc:title>
  <dc:description xmlns:dc="http://purl.org/dc/elements/1.1/">aichef.pro/kit-inventario</dc:description>
  <dc:subject xmlns:dc="http://purl.org/dc/elements/1.1/">Kit Control de Inventario y Compras · v2.0</dc:subject>
  <dcterms:created xmlns:dcterms="http://purl.org/dc/terms/" xmlns:xsi="http://www.w3.org/2001/XMLSchema-instance" xsi:type="dcterms:W3CDTF">2026-04-05T09:47:45Z</dcterms:created>
  <dcterms:modified xmlns:dcterms="http://purl.org/dc/terms/" xmlns:xsi="http://www.w3.org/2001/XMLSchema-instance" xsi:type="dcterms:W3CDTF">2026-08-23T23:12:27Z</dcterms:modified>
  <cp:lastModifiedBy>AI Chef Pro</cp:lastModifiedBy>
  <cp:category>AI Chef Pro · Productos digitales</cp:category>
  <cp:keywords>kit inventario, AI Chef Pro</cp:keywords>
</cp:coreProperties>
</file>