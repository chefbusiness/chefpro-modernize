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ntrol FIFO" sheetId="2" state="visible" r:id="rId2"/>
    <sheet xmlns:r="http://schemas.openxmlformats.org/officeDocument/2006/relationships" name="Alertas Caducidad" sheetId="3" state="visible" r:id="rId3"/>
    <sheet xmlns:r="http://schemas.openxmlformats.org/officeDocument/2006/relationships" name="Mapa Almacén" sheetId="4" state="visible" r:id="rId4"/>
  </sheets>
  <definedNames>
    <definedName name="_xlnm._FilterDatabase" localSheetId="1" hidden="1">'Control FIFO'!$A$4:$T$54</definedName>
    <definedName name="_xlnm.Print_Titles" localSheetId="1">'Control FIFO'!$4:$4</definedName>
    <definedName name="_xlnm.Print_Area" localSheetId="1">'Control FIFO'!$A$1:$T$54</definedName>
    <definedName name="_xlnm.Print_Area" localSheetId="2">'Alertas Caducidad'!$A$1:$D$18</definedName>
    <definedName name="_xlnm.Print_Titles" localSheetId="3">'Mapa Almacén'!$3:$3</definedName>
    <definedName name="_xlnm.Print_Area" localSheetId="3">'Mapa Almacén'!$A$1:$E$16</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0 €"/>
  </numFmts>
  <fonts count="15">
    <font>
      <name val="Calibri"/>
      <family val="2"/>
      <color theme="1"/>
      <sz val="11"/>
      <scheme val="minor"/>
    </font>
    <font>
      <b val="1"/>
      <color rgb="00FFD700"/>
      <sz val="16"/>
    </font>
    <font>
      <color rgb="00888888"/>
      <sz val="10"/>
    </font>
    <font>
      <sz val="10"/>
    </font>
    <font>
      <b val="1"/>
      <color rgb="00FFD700"/>
      <sz val="14"/>
    </font>
    <font>
      <color rgb="00666666"/>
      <sz val="10"/>
    </font>
    <font>
      <b val="1"/>
      <color rgb="00FFFFFF"/>
      <sz val="10"/>
    </font>
    <font>
      <b val="1"/>
      <color rgb="00FF4444"/>
      <sz val="14"/>
    </font>
    <font>
      <sz val="11"/>
    </font>
    <font>
      <b val="1"/>
      <color rgb="00FFD700"/>
      <sz val="12"/>
    </font>
    <font>
      <i val="1"/>
      <color rgb="00666666"/>
      <sz val="9"/>
    </font>
    <font>
      <b val="1"/>
      <color rgb="009C0006"/>
      <sz val="13"/>
    </font>
    <font>
      <b val="1"/>
      <color rgb="009C0006"/>
    </font>
    <font>
      <b val="1"/>
    </font>
    <font>
      <b val="1"/>
      <color rgb="002D2D2D"/>
      <sz val="11"/>
    </font>
  </fonts>
  <fills count="5">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7" fillId="0" borderId="0" pivotButton="0" quotePrefix="0" xfId="0"/>
    <xf numFmtId="0" fontId="8" fillId="0" borderId="0" pivotButton="0" quotePrefix="0" xfId="0"/>
    <xf numFmtId="0" fontId="9" fillId="0" borderId="0" pivotButton="0" quotePrefix="0" xfId="0"/>
    <xf numFmtId="0" fontId="3" fillId="0" borderId="0" applyAlignment="1" pivotButton="0" quotePrefix="0" xfId="0">
      <alignment vertical="top" wrapText="1"/>
    </xf>
    <xf numFmtId="0" fontId="10" fillId="0" borderId="0" applyAlignment="1" pivotButton="0" quotePrefix="0" xfId="0">
      <alignment vertical="center"/>
    </xf>
    <xf numFmtId="0" fontId="3" fillId="4" borderId="1" applyAlignment="1" applyProtection="1" pivotButton="0" quotePrefix="0" xfId="0">
      <alignment vertical="center" wrapText="1"/>
      <protection locked="0" hidden="0"/>
    </xf>
    <xf numFmtId="165" fontId="3" fillId="4" borderId="1" applyAlignment="1" applyProtection="1" pivotButton="0" quotePrefix="0" xfId="0">
      <alignment vertical="center" wrapText="1"/>
      <protection locked="0" hidden="0"/>
    </xf>
    <xf numFmtId="49" fontId="3" fillId="4" borderId="1" applyAlignment="1" applyProtection="1" pivotButton="0" quotePrefix="0" xfId="0">
      <alignment vertical="center" wrapText="1"/>
      <protection locked="0" hidden="0"/>
    </xf>
    <xf numFmtId="1" fontId="3" fillId="4" borderId="1" applyAlignment="1" applyProtection="1" pivotButton="0" quotePrefix="0" xfId="0">
      <alignment vertical="center" wrapText="1"/>
      <protection locked="0" hidden="0"/>
    </xf>
    <xf numFmtId="165" fontId="3" fillId="0" borderId="1" applyAlignment="1" pivotButton="0" quotePrefix="0" xfId="0">
      <alignment vertical="center" wrapText="1"/>
    </xf>
    <xf numFmtId="1" fontId="3" fillId="0" borderId="1" applyAlignment="1" pivotButton="0" quotePrefix="0" xfId="0">
      <alignment vertical="center" wrapText="1"/>
    </xf>
    <xf numFmtId="4" fontId="3" fillId="4" borderId="1" applyAlignment="1" applyProtection="1" pivotButton="0" quotePrefix="0" xfId="0">
      <alignment vertical="center" wrapText="1"/>
      <protection locked="0" hidden="0"/>
    </xf>
    <xf numFmtId="166" fontId="3" fillId="4" borderId="1" applyAlignment="1" applyProtection="1" pivotButton="0" quotePrefix="0" xfId="0">
      <alignment vertical="center" wrapText="1"/>
      <protection locked="0" hidden="0"/>
    </xf>
    <xf numFmtId="166" fontId="3" fillId="0" borderId="1" applyAlignment="1" pivotButton="0" quotePrefix="0" xfId="0">
      <alignment vertical="center" wrapText="1"/>
    </xf>
    <xf numFmtId="165" fontId="3" fillId="3" borderId="1" applyAlignment="1" pivotButton="0" quotePrefix="0" xfId="0">
      <alignment vertical="center" wrapText="1"/>
    </xf>
    <xf numFmtId="1" fontId="3" fillId="3" borderId="1" applyAlignment="1" pivotButton="0" quotePrefix="0" xfId="0">
      <alignment vertical="center" wrapText="1"/>
    </xf>
    <xf numFmtId="166" fontId="3" fillId="3" borderId="1" applyAlignment="1" pivotButton="0" quotePrefix="0" xfId="0">
      <alignment vertical="center" wrapText="1"/>
    </xf>
    <xf numFmtId="0" fontId="11" fillId="0" borderId="0" pivotButton="0" quotePrefix="0" xfId="0"/>
    <xf numFmtId="0" fontId="6" fillId="2" borderId="0" applyAlignment="1" pivotButton="0" quotePrefix="0" xfId="0">
      <alignment horizontal="center" vertical="center" wrapText="1"/>
    </xf>
    <xf numFmtId="1" fontId="0" fillId="0" borderId="0" pivotButton="0" quotePrefix="0" xfId="0"/>
    <xf numFmtId="166" fontId="0" fillId="0" borderId="0" pivotButton="0" quotePrefix="0" xfId="0"/>
    <xf numFmtId="0" fontId="0" fillId="0" borderId="0" applyAlignment="1" pivotButton="0" quotePrefix="0" xfId="0">
      <alignment vertical="top" wrapText="1"/>
    </xf>
    <xf numFmtId="0" fontId="12" fillId="0" borderId="0" pivotButton="0" quotePrefix="0" xfId="0"/>
    <xf numFmtId="1" fontId="13" fillId="0" borderId="0" pivotButton="0" quotePrefix="0" xfId="0"/>
    <xf numFmtId="166" fontId="13" fillId="0" borderId="0" pivotButton="0" quotePrefix="0" xfId="0"/>
    <xf numFmtId="0" fontId="13" fillId="0" borderId="0" pivotButton="0" quotePrefix="0" xfId="0"/>
    <xf numFmtId="0" fontId="14"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34"/>
  <sheetViews>
    <sheetView workbookViewId="0">
      <selection activeCell="A1" sqref="A1"/>
    </sheetView>
  </sheetViews>
  <sheetFormatPr baseColWidth="8" defaultRowHeight="15"/>
  <cols>
    <col width="80" customWidth="1" min="1" max="1"/>
  </cols>
  <sheetData>
    <row r="1">
      <c r="A1" s="1" t="inlineStr">
        <is>
          <t>FIFO y Caducidades</t>
        </is>
      </c>
    </row>
    <row r="2">
      <c r="A2" s="2" t="inlineStr">
        <is>
          <t>AI Chef Pro — aichef.pro</t>
        </is>
      </c>
    </row>
    <row r="3">
      <c r="A3" s="3" t="n"/>
    </row>
    <row r="4">
      <c r="A4" s="4" t="inlineStr">
        <is>
          <t>Controla la rotación del género y el riesgo de caducidad, lote a lote.</t>
        </is>
      </c>
    </row>
    <row r="5">
      <c r="A5" s="4" t="n"/>
    </row>
    <row r="6">
      <c r="A6" s="4" t="inlineStr">
        <is>
          <t>PESTAÑAS:</t>
        </is>
      </c>
    </row>
    <row r="7">
      <c r="A7" s="4" t="inlineStr">
        <is>
          <t>1. Control FIFO — un lote por línea: entrada, caducidad, apertura, cantidad y valor en riesgo</t>
        </is>
      </c>
    </row>
    <row r="8">
      <c r="A8" s="4" t="inlineStr">
        <is>
          <t>2. Alertas Caducidad — contadores por estado, valor en riesgo y protocolo de actuación</t>
        </is>
      </c>
    </row>
    <row r="9">
      <c r="A9" s="4" t="inlineStr">
        <is>
          <t>3. Mapa Almacén — las 11 zonas con su temperatura; alimenta el desplegable de zona. Los químicos y la limpieza tienen su propio almacén, separado de los alimentos, y los huevos su propia zona a temperatura ambiente constante: refrigerarlos y volver a sacarlos provoca condensación en la cáscara</t>
        </is>
      </c>
    </row>
    <row r="10">
      <c r="A10" s="4" t="n"/>
    </row>
    <row r="11">
      <c r="A11" s="4" t="inlineStr">
        <is>
          <t>FIFO Y FEFO NO SON LO MISMO:</t>
        </is>
      </c>
    </row>
    <row r="12">
      <c r="A12" s="4" t="inlineStr">
        <is>
          <t>FIFO (First In First Out) es el criterio de COLOCACIÓN: lo que entra primero se coloca delante.</t>
        </is>
      </c>
    </row>
    <row r="13">
      <c r="A13" s="4" t="inlineStr">
        <is>
          <t>FEFO (First Expired First Out) es el criterio de SALIDA, y es el que manda en cocina: sale primero lo que antes caduca.</t>
        </is>
      </c>
    </row>
    <row r="14">
      <c r="A14" s="4" t="inlineStr">
        <is>
          <t>Esta plantilla calcula el estado por FEFO, sobre la fecha límite efectiva. La columna de días en almacén delata el lote olvidado al fondo de la cámara.</t>
        </is>
      </c>
    </row>
    <row r="15"/>
    <row r="16">
      <c r="A16" s="4" t="inlineStr">
        <is>
          <t>CÓMO SE RELLENA CADA LÍNEA:</t>
        </is>
      </c>
    </row>
    <row r="17">
      <c r="A17" s="4" t="inlineStr">
        <is>
          <t>Categoría, unidad y zona salen de desplegable: son las mismas 10 categorías en las 9 plantillas del kit y las mismas unidades en las 8 de producto. La de recepción (04) añade además la FAMILIA normativa, porque el límite legal de temperatura lo fija la norma y no tu categoría de compra: allí tienes el puente entre las dos listas.</t>
        </is>
      </c>
    </row>
    <row r="18">
      <c r="A18" s="4" t="inlineStr">
        <is>
          <t>Tipo de fecha: Caducidad para los perecederos (carne, pescado, lácteos frescos, elaborados) y Consumo preferente para secos, conservas y congelados. Reglamento (UE) 1169/2011, artículo 24.</t>
        </is>
      </c>
    </row>
    <row r="19">
      <c r="A19" s="4" t="inlineStr">
        <is>
          <t>Fecha de apertura y vida útil tras abrir: sólo para el envase ya abierto. La fecha límite efectiva se queda con la más cercana de las dos, que es la que manda.</t>
        </is>
      </c>
    </row>
    <row r="20">
      <c r="A20" s="4" t="inlineStr">
        <is>
          <t>Cantidad y precio por unidad dan el valor en riesgo: es el número que hace que alguien actúe. Ojo a la hoja de alertas: una fila da el valor REALMENTE en riesgo (todo menos lo que está OK) y otra el valor total del stock registrado. No son lo mismo.</t>
        </is>
      </c>
    </row>
    <row r="21">
      <c r="A21" s="4" t="inlineStr">
        <is>
          <t>Las seis primeras líneas vienen con lotes de EJEMPLO para que veas los cinco estados y las alertas funcionando desde el primer minuto. Bórralas antes de empezar con tu género.</t>
        </is>
      </c>
    </row>
    <row r="22"/>
    <row r="23">
      <c r="A23" s="4" t="inlineStr">
        <is>
          <t>EL SEMÁFORO TIENE CINCO ESTADOS, NO TRES:</t>
        </is>
      </c>
    </row>
    <row r="24">
      <c r="A24" s="4" t="inlineStr">
        <is>
          <t>⛔ CADUCADO — RETIRAR: fecha de caducidad vencida. Retirada obligatoria y registro de merma. No se usa bajo ningún concepto.</t>
        </is>
      </c>
    </row>
    <row r="25">
      <c r="A25" s="4" t="inlineStr">
        <is>
          <t>⚠ REVISAR (consumo preferente): fecha de consumo preferente vencida. Revisión organoléptica antes de decidir.</t>
        </is>
      </c>
    </row>
    <row r="26">
      <c r="A26" s="4" t="inlineStr">
        <is>
          <t>🔴 URGENTE: quedan 2 días o menos. Al servicio de hoy.</t>
        </is>
      </c>
    </row>
    <row r="27">
      <c r="A27" s="4" t="inlineStr">
        <is>
          <t>🟡 PRÓXIMO: quedan 7 días o menos. Priorizar en la producción de la semana.</t>
        </is>
      </c>
    </row>
    <row r="28">
      <c r="A28" s="4" t="inlineStr">
        <is>
          <t>🟢 OK: fuera de riesgo.</t>
        </is>
      </c>
    </row>
    <row r="29"/>
    <row r="30">
      <c r="A30" s="4" t="inlineStr">
        <is>
          <t>El autofiltro de Control FIFO ya está activado: pincha la flecha de la columna Estado para ver sólo lo que te interesa.</t>
        </is>
      </c>
    </row>
    <row r="31"/>
    <row r="32">
      <c r="A32" s="13" t="inlineStr">
        <is>
          <t>Para editar una celda bloqueada: Revisar → Desproteger hoja (no tiene contraseña). Las celdas verdes ya son editables sin desproteger nada.</t>
        </is>
      </c>
    </row>
    <row r="33">
      <c r="A33" s="13" t="inlineStr">
        <is>
          <t>Diseñado por John Guerrero — chef y consultor gastronómico desde 2010, en cocina desde los 17 años · johnguerrero.es</t>
        </is>
      </c>
    </row>
    <row r="34">
      <c r="A34" s="13" t="inlineStr">
        <is>
          <t>Versión 2.0 · agosto 2026 · aichef.pro/kit-inventario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T5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14" customWidth="1" min="4" max="4"/>
    <col width="15" customWidth="1" min="5" max="5"/>
    <col width="18" customWidth="1" min="6" max="6"/>
    <col width="16" customWidth="1" min="7" max="7"/>
    <col width="16" customWidth="1" min="8" max="8"/>
    <col width="14" customWidth="1" min="9" max="9"/>
    <col width="16" customWidth="1" min="10" max="10"/>
    <col width="12" customWidth="1" min="11" max="11"/>
    <col width="30" customWidth="1" min="12" max="12"/>
    <col width="13" customWidth="1" min="13" max="13"/>
    <col width="11" customWidth="1" min="14" max="14"/>
    <col width="10" customWidth="1" min="15" max="15"/>
    <col width="13" customWidth="1" min="16" max="16"/>
    <col width="17" customWidth="1" min="17" max="17"/>
    <col width="18" customWidth="1" min="18" max="18"/>
    <col width="12" customWidth="1" min="19" max="19"/>
    <col width="26" customWidth="1" min="20" max="20"/>
  </cols>
  <sheetData>
    <row r="1">
      <c r="A1" s="5" t="inlineStr">
        <is>
          <t>CONTROL FIFO — FIRST IN FIRST OUT</t>
        </is>
      </c>
    </row>
    <row r="2">
      <c r="A2" s="14" t="inlineStr">
        <is>
          <t>Una línea por LOTE, no por producto: dos entregas del mismo género son dos líneas. Las SEIS primeras son un ejemplo y cubren los cinco estados del semáforo (la quinta enseña por qué existe la fecha de apertura): bórralas antes de empezar. Fecha de revisión: ___/___/______   ·   Responsable: ________________</t>
        </is>
      </c>
    </row>
    <row r="3"/>
    <row r="4">
      <c r="A4" s="7" t="inlineStr">
        <is>
          <t>#</t>
        </is>
      </c>
      <c r="B4" s="7" t="inlineStr">
        <is>
          <t>Producto</t>
        </is>
      </c>
      <c r="C4" s="7" t="inlineStr">
        <is>
          <t>Categoría</t>
        </is>
      </c>
      <c r="D4" s="7" t="inlineStr">
        <is>
          <t>Lote / Ref.</t>
        </is>
      </c>
      <c r="E4" s="7" t="inlineStr">
        <is>
          <t>Fecha de entrada</t>
        </is>
      </c>
      <c r="F4" s="7" t="inlineStr">
        <is>
          <t>Tipo de fecha</t>
        </is>
      </c>
      <c r="G4" s="7" t="inlineStr">
        <is>
          <t>Fecha de caducidad</t>
        </is>
      </c>
      <c r="H4" s="7" t="inlineStr">
        <is>
          <t>Fecha de apertura</t>
        </is>
      </c>
      <c r="I4" s="7" t="inlineStr">
        <is>
          <t>Vida útil tras abrir (días)</t>
        </is>
      </c>
      <c r="J4" s="7" t="inlineStr">
        <is>
          <t>Fecha límite efectiva</t>
        </is>
      </c>
      <c r="K4" s="7" t="inlineStr">
        <is>
          <t>Días restantes</t>
        </is>
      </c>
      <c r="L4" s="7" t="inlineStr">
        <is>
          <t>Estado</t>
        </is>
      </c>
      <c r="M4" s="7" t="inlineStr">
        <is>
          <t>Días en almacén</t>
        </is>
      </c>
      <c r="N4" s="7" t="inlineStr">
        <is>
          <t>Cantidad</t>
        </is>
      </c>
      <c r="O4" s="7" t="inlineStr">
        <is>
          <t>Unidad</t>
        </is>
      </c>
      <c r="P4" s="7" t="inlineStr">
        <is>
          <t>Precio/ud (€)</t>
        </is>
      </c>
      <c r="Q4" s="7" t="inlineStr">
        <is>
          <t>Valor en riesgo (€)</t>
        </is>
      </c>
      <c r="R4" s="7" t="inlineStr">
        <is>
          <t>Zona de almacén</t>
        </is>
      </c>
      <c r="S4" s="7" t="inlineStr">
        <is>
          <t>Posición</t>
        </is>
      </c>
      <c r="T4" s="7" t="inlineStr">
        <is>
          <t>Acción</t>
        </is>
      </c>
    </row>
    <row r="5">
      <c r="A5" s="8" t="n">
        <v>1</v>
      </c>
      <c r="B5" s="15" t="inlineStr">
        <is>
          <t>Merluza fresca (ejemplo)</t>
        </is>
      </c>
      <c r="C5" s="15" t="inlineStr">
        <is>
          <t>Pescados</t>
        </is>
      </c>
      <c r="D5" s="15" t="inlineStr">
        <is>
          <t>L-2609-014</t>
        </is>
      </c>
      <c r="E5" s="16" t="n">
        <v>46254</v>
      </c>
      <c r="F5" s="17" t="inlineStr">
        <is>
          <t>Caducidad</t>
        </is>
      </c>
      <c r="G5" s="16" t="n">
        <v>46257</v>
      </c>
      <c r="H5" s="16" t="n"/>
      <c r="I5" s="18" t="n"/>
      <c r="J5" s="19">
        <f>IF($G5="","",IF($H5="",$G5,IF($I5="",$G5,MIN($G5,$H5+$I5))))</f>
        <v>46257.0</v>
      </c>
      <c r="K5" s="20">
        <f>IF($J5="","",$J5-TODAY())</f>
        <v>-1.0</v>
      </c>
      <c r="L5" s="8" t="str">
        <f>IF($K5="","",IF($K5&lt;0,IF($F5="Consumo preferente","⚠ REVISAR (consumo preferente)","⛔ CADUCADO — RETIRAR"),IF($K5&lt;=2,"🔴 URGENTE",IF($K5&lt;=7,"🟡 PRÓXIMO","🟢 OK"))))</f>
        <v>⛔ CADUCADO — RETIRAR</v>
      </c>
      <c r="M5" s="20">
        <f>IF($E5="","",TODAY()-$E5)</f>
        <v>4.0</v>
      </c>
      <c r="N5" s="21" t="n">
        <v>4</v>
      </c>
      <c r="O5" s="15" t="inlineStr">
        <is>
          <t>kg</t>
        </is>
      </c>
      <c r="P5" s="22" t="n">
        <v>14</v>
      </c>
      <c r="Q5" s="23">
        <f>IF(OR($N5="",$P5=""),"",$N5*$P5)</f>
        <v>56.0</v>
      </c>
      <c r="R5" s="15" t="inlineStr">
        <is>
          <t>Cámara pescado</t>
        </is>
      </c>
      <c r="S5" s="15" t="inlineStr">
        <is>
          <t>Balda 1</t>
        </is>
      </c>
      <c r="T5" s="15" t="inlineStr">
        <is>
          <t>Retirar y anotar en el registro de mermas</t>
        </is>
      </c>
    </row>
    <row r="6">
      <c r="A6" s="9" t="n">
        <v>2</v>
      </c>
      <c r="B6" s="15" t="inlineStr">
        <is>
          <t>Nata 35 % M.G. (ejemplo)</t>
        </is>
      </c>
      <c r="C6" s="15" t="inlineStr">
        <is>
          <t>Lácteos</t>
        </is>
      </c>
      <c r="D6" s="15" t="inlineStr">
        <is>
          <t>L-2608-221</t>
        </is>
      </c>
      <c r="E6" s="16" t="n">
        <v>46249</v>
      </c>
      <c r="F6" s="17" t="inlineStr">
        <is>
          <t>Consumo preferente</t>
        </is>
      </c>
      <c r="G6" s="16" t="n">
        <v>46256</v>
      </c>
      <c r="H6" s="16" t="n"/>
      <c r="I6" s="18" t="n"/>
      <c r="J6" s="24">
        <f>IF($G6="","",IF($H6="",$G6,IF($I6="",$G6,MIN($G6,$H6+$I6))))</f>
        <v>46256.0</v>
      </c>
      <c r="K6" s="25">
        <f>IF($J6="","",$J6-TODAY())</f>
        <v>-2.0</v>
      </c>
      <c r="L6" s="9" t="str">
        <f>IF($K6="","",IF($K6&lt;0,IF($F6="Consumo preferente","⚠ REVISAR (consumo preferente)","⛔ CADUCADO — RETIRAR"),IF($K6&lt;=2,"🔴 URGENTE",IF($K6&lt;=7,"🟡 PRÓXIMO","🟢 OK"))))</f>
        <v>⚠ REVISAR (consumo preferente)</v>
      </c>
      <c r="M6" s="25">
        <f>IF($E6="","",TODAY()-$E6)</f>
        <v>9.0</v>
      </c>
      <c r="N6" s="21" t="n">
        <v>3</v>
      </c>
      <c r="O6" s="15" t="inlineStr">
        <is>
          <t>L</t>
        </is>
      </c>
      <c r="P6" s="22" t="n">
        <v>3.1</v>
      </c>
      <c r="Q6" s="26">
        <f>IF(OR($N6="",$P6=""),"",$N6*$P6)</f>
        <v>9.3</v>
      </c>
      <c r="R6" s="15" t="inlineStr">
        <is>
          <t>Cámara elaborados</t>
        </is>
      </c>
      <c r="S6" s="15" t="inlineStr">
        <is>
          <t>Balda 2</t>
        </is>
      </c>
      <c r="T6" s="15" t="inlineStr">
        <is>
          <t>Revisión organoléptica antes de decidir</t>
        </is>
      </c>
    </row>
    <row r="7">
      <c r="A7" s="8" t="n">
        <v>3</v>
      </c>
      <c r="B7" s="15" t="inlineStr">
        <is>
          <t>Pechuga de pollo (ejemplo)</t>
        </is>
      </c>
      <c r="C7" s="15" t="inlineStr">
        <is>
          <t>Cárnicos</t>
        </is>
      </c>
      <c r="D7" s="15" t="inlineStr">
        <is>
          <t>L-2609-107</t>
        </is>
      </c>
      <c r="E7" s="16" t="n">
        <v>46257</v>
      </c>
      <c r="F7" s="17" t="inlineStr">
        <is>
          <t>Caducidad</t>
        </is>
      </c>
      <c r="G7" s="16" t="n">
        <v>46259</v>
      </c>
      <c r="H7" s="16" t="n"/>
      <c r="I7" s="18" t="n"/>
      <c r="J7" s="19">
        <f>IF($G7="","",IF($H7="",$G7,IF($I7="",$G7,MIN($G7,$H7+$I7))))</f>
        <v>46259.0</v>
      </c>
      <c r="K7" s="20">
        <f>IF($J7="","",$J7-TODAY())</f>
        <v>1.0</v>
      </c>
      <c r="L7" s="8" t="str">
        <f>IF($K7="","",IF($K7&lt;0,IF($F7="Consumo preferente","⚠ REVISAR (consumo preferente)","⛔ CADUCADO — RETIRAR"),IF($K7&lt;=2,"🔴 URGENTE",IF($K7&lt;=7,"🟡 PRÓXIMO","🟢 OK"))))</f>
        <v>🔴 URGENTE</v>
      </c>
      <c r="M7" s="20">
        <f>IF($E7="","",TODAY()-$E7)</f>
        <v>1.0</v>
      </c>
      <c r="N7" s="21" t="n">
        <v>6</v>
      </c>
      <c r="O7" s="15" t="inlineStr">
        <is>
          <t>kg</t>
        </is>
      </c>
      <c r="P7" s="22" t="n">
        <v>6.5</v>
      </c>
      <c r="Q7" s="23">
        <f>IF(OR($N7="",$P7=""),"",$N7*$P7)</f>
        <v>39.0</v>
      </c>
      <c r="R7" s="15" t="inlineStr">
        <is>
          <t>Cámara crudos</t>
        </is>
      </c>
      <c r="S7" s="15" t="inlineStr">
        <is>
          <t>Balda 1</t>
        </is>
      </c>
      <c r="T7" s="15" t="inlineStr">
        <is>
          <t>Al servicio de hoy</t>
        </is>
      </c>
    </row>
    <row r="8">
      <c r="A8" s="9" t="n">
        <v>4</v>
      </c>
      <c r="B8" s="15" t="inlineStr">
        <is>
          <t>Tomate (ejemplo)</t>
        </is>
      </c>
      <c r="C8" s="15" t="inlineStr">
        <is>
          <t>Verduras/Frutas</t>
        </is>
      </c>
      <c r="D8" s="15" t="inlineStr">
        <is>
          <t>L-2609-088</t>
        </is>
      </c>
      <c r="E8" s="16" t="n">
        <v>46256</v>
      </c>
      <c r="F8" s="17" t="inlineStr">
        <is>
          <t>Caducidad</t>
        </is>
      </c>
      <c r="G8" s="16" t="n">
        <v>46263</v>
      </c>
      <c r="H8" s="16" t="n"/>
      <c r="I8" s="18" t="n"/>
      <c r="J8" s="24">
        <f>IF($G8="","",IF($H8="",$G8,IF($I8="",$G8,MIN($G8,$H8+$I8))))</f>
        <v>46263.0</v>
      </c>
      <c r="K8" s="25">
        <f>IF($J8="","",$J8-TODAY())</f>
        <v>5.0</v>
      </c>
      <c r="L8" s="9" t="str">
        <f>IF($K8="","",IF($K8&lt;0,IF($F8="Consumo preferente","⚠ REVISAR (consumo preferente)","⛔ CADUCADO — RETIRAR"),IF($K8&lt;=2,"🔴 URGENTE",IF($K8&lt;=7,"🟡 PRÓXIMO","🟢 OK"))))</f>
        <v>🟡 PRÓXIMO</v>
      </c>
      <c r="M8" s="25">
        <f>IF($E8="","",TODAY()-$E8)</f>
        <v>2.0</v>
      </c>
      <c r="N8" s="21" t="n">
        <v>10</v>
      </c>
      <c r="O8" s="15" t="inlineStr">
        <is>
          <t>kg</t>
        </is>
      </c>
      <c r="P8" s="22" t="n">
        <v>1.95</v>
      </c>
      <c r="Q8" s="26">
        <f>IF(OR($N8="",$P8=""),"",$N8*$P8)</f>
        <v>19.5</v>
      </c>
      <c r="R8" s="15" t="inlineStr">
        <is>
          <t>Cámara verduras</t>
        </is>
      </c>
      <c r="S8" s="15" t="inlineStr">
        <is>
          <t>Cajón 3</t>
        </is>
      </c>
      <c r="T8" s="15" t="inlineStr">
        <is>
          <t>Priorizar en la producción de la semana</t>
        </is>
      </c>
    </row>
    <row r="9">
      <c r="A9" s="8" t="n">
        <v>5</v>
      </c>
      <c r="B9" s="15" t="inlineStr">
        <is>
          <t>Queso parmesano (ejemplo)</t>
        </is>
      </c>
      <c r="C9" s="15" t="inlineStr">
        <is>
          <t>Lácteos</t>
        </is>
      </c>
      <c r="D9" s="15" t="inlineStr">
        <is>
          <t>L-2605-330</t>
        </is>
      </c>
      <c r="E9" s="16" t="n">
        <v>46251</v>
      </c>
      <c r="F9" s="17" t="inlineStr">
        <is>
          <t>Caducidad</t>
        </is>
      </c>
      <c r="G9" s="16" t="n">
        <v>46318</v>
      </c>
      <c r="H9" s="16" t="n">
        <v>46253</v>
      </c>
      <c r="I9" s="18" t="n">
        <v>10</v>
      </c>
      <c r="J9" s="19">
        <f>IF($G9="","",IF($H9="",$G9,IF($I9="",$G9,MIN($G9,$H9+$I9))))</f>
        <v>46263.0</v>
      </c>
      <c r="K9" s="20">
        <f>IF($J9="","",$J9-TODAY())</f>
        <v>5.0</v>
      </c>
      <c r="L9" s="8" t="str">
        <f>IF($K9="","",IF($K9&lt;0,IF($F9="Consumo preferente","⚠ REVISAR (consumo preferente)","⛔ CADUCADO — RETIRAR"),IF($K9&lt;=2,"🔴 URGENTE",IF($K9&lt;=7,"🟡 PRÓXIMO","🟢 OK"))))</f>
        <v>🟡 PRÓXIMO</v>
      </c>
      <c r="M9" s="20">
        <f>IF($E9="","",TODAY()-$E9)</f>
        <v>7.0</v>
      </c>
      <c r="N9" s="21" t="n">
        <v>2</v>
      </c>
      <c r="O9" s="15" t="inlineStr">
        <is>
          <t>kg</t>
        </is>
      </c>
      <c r="P9" s="22" t="n">
        <v>16.5</v>
      </c>
      <c r="Q9" s="23">
        <f>IF(OR($N9="",$P9=""),"",$N9*$P9)</f>
        <v>33.0</v>
      </c>
      <c r="R9" s="15" t="inlineStr">
        <is>
          <t>Cámara elaborados</t>
        </is>
      </c>
      <c r="S9" s="15" t="inlineStr">
        <is>
          <t>Balda 3</t>
        </is>
      </c>
      <c r="T9" s="15" t="inlineStr">
        <is>
          <t>Abierto: manda la vida útil tras abrir, no la caducidad del envase</t>
        </is>
      </c>
    </row>
    <row r="10">
      <c r="A10" s="9" t="n">
        <v>6</v>
      </c>
      <c r="B10" s="15" t="inlineStr">
        <is>
          <t>Arroz redondo (ejemplo)</t>
        </is>
      </c>
      <c r="C10" s="15" t="inlineStr">
        <is>
          <t>Secos/Granos</t>
        </is>
      </c>
      <c r="D10" s="15" t="inlineStr">
        <is>
          <t>L-2604-012</t>
        </is>
      </c>
      <c r="E10" s="16" t="n">
        <v>46218</v>
      </c>
      <c r="F10" s="17" t="inlineStr">
        <is>
          <t>Consumo preferente</t>
        </is>
      </c>
      <c r="G10" s="16" t="n">
        <v>46558</v>
      </c>
      <c r="H10" s="16" t="n"/>
      <c r="I10" s="18" t="n"/>
      <c r="J10" s="24">
        <f>IF($G10="","",IF($H10="",$G10,IF($I10="",$G10,MIN($G10,$H10+$I10))))</f>
        <v>46558.0</v>
      </c>
      <c r="K10" s="25">
        <f>IF($J10="","",$J10-TODAY())</f>
        <v>300.0</v>
      </c>
      <c r="L10" s="9" t="str">
        <f>IF($K10="","",IF($K10&lt;0,IF($F10="Consumo preferente","⚠ REVISAR (consumo preferente)","⛔ CADUCADO — RETIRAR"),IF($K10&lt;=2,"🔴 URGENTE",IF($K10&lt;=7,"🟡 PRÓXIMO","🟢 OK"))))</f>
        <v>🟢 OK</v>
      </c>
      <c r="M10" s="25">
        <f>IF($E10="","",TODAY()-$E10)</f>
        <v>40.0</v>
      </c>
      <c r="N10" s="21" t="n">
        <v>20</v>
      </c>
      <c r="O10" s="15" t="inlineStr">
        <is>
          <t>kg</t>
        </is>
      </c>
      <c r="P10" s="22" t="n">
        <v>1.45</v>
      </c>
      <c r="Q10" s="26">
        <f>IF(OR($N10="",$P10=""),"",$N10*$P10)</f>
        <v>29.0</v>
      </c>
      <c r="R10" s="15" t="inlineStr">
        <is>
          <t>Economato seco</t>
        </is>
      </c>
      <c r="S10" s="15" t="inlineStr">
        <is>
          <t>Estantería 2</t>
        </is>
      </c>
      <c r="T10" s="15" t="inlineStr">
        <is>
          <t>Sin riesgo: colocar detrás de lo que caduca antes</t>
        </is>
      </c>
    </row>
    <row r="11">
      <c r="A11" s="8" t="n">
        <v>7</v>
      </c>
      <c r="B11" s="15" t="n"/>
      <c r="C11" s="15" t="n"/>
      <c r="D11" s="15" t="n"/>
      <c r="E11" s="16" t="n"/>
      <c r="F11" s="17" t="n"/>
      <c r="G11" s="16" t="n"/>
      <c r="H11" s="16" t="n"/>
      <c r="I11" s="18" t="n"/>
      <c r="J11" s="19">
        <f>IF($G11="","",IF($H11="",$G11,IF($I11="",$G11,MIN($G11,$H11+$I11))))</f>
        <v/>
      </c>
      <c r="K11" s="20">
        <f>IF($J11="","",$J11-TODAY())</f>
        <v/>
      </c>
      <c r="L11" s="8">
        <f>IF($K11="","",IF($K11&lt;0,IF($F11="Consumo preferente","⚠ REVISAR (consumo preferente)","⛔ CADUCADO — RETIRAR"),IF($K11&lt;=2,"🔴 URGENTE",IF($K11&lt;=7,"🟡 PRÓXIMO","🟢 OK"))))</f>
        <v/>
      </c>
      <c r="M11" s="20">
        <f>IF($E11="","",TODAY()-$E11)</f>
        <v/>
      </c>
      <c r="N11" s="21" t="n"/>
      <c r="O11" s="15" t="n"/>
      <c r="P11" s="22" t="n"/>
      <c r="Q11" s="23">
        <f>IF(OR($N11="",$P11=""),"",$N11*$P11)</f>
        <v/>
      </c>
      <c r="R11" s="15" t="n"/>
      <c r="S11" s="15" t="n"/>
      <c r="T11" s="15" t="n"/>
    </row>
    <row r="12">
      <c r="A12" s="9" t="n">
        <v>8</v>
      </c>
      <c r="B12" s="15" t="n"/>
      <c r="C12" s="15" t="n"/>
      <c r="D12" s="15" t="n"/>
      <c r="E12" s="16" t="n"/>
      <c r="F12" s="17" t="n"/>
      <c r="G12" s="16" t="n"/>
      <c r="H12" s="16" t="n"/>
      <c r="I12" s="18" t="n"/>
      <c r="J12" s="24">
        <f>IF($G12="","",IF($H12="",$G12,IF($I12="",$G12,MIN($G12,$H12+$I12))))</f>
        <v/>
      </c>
      <c r="K12" s="25">
        <f>IF($J12="","",$J12-TODAY())</f>
        <v/>
      </c>
      <c r="L12" s="9">
        <f>IF($K12="","",IF($K12&lt;0,IF($F12="Consumo preferente","⚠ REVISAR (consumo preferente)","⛔ CADUCADO — RETIRAR"),IF($K12&lt;=2,"🔴 URGENTE",IF($K12&lt;=7,"🟡 PRÓXIMO","🟢 OK"))))</f>
        <v/>
      </c>
      <c r="M12" s="25">
        <f>IF($E12="","",TODAY()-$E12)</f>
        <v/>
      </c>
      <c r="N12" s="21" t="n"/>
      <c r="O12" s="15" t="n"/>
      <c r="P12" s="22" t="n"/>
      <c r="Q12" s="26">
        <f>IF(OR($N12="",$P12=""),"",$N12*$P12)</f>
        <v/>
      </c>
      <c r="R12" s="15" t="n"/>
      <c r="S12" s="15" t="n"/>
      <c r="T12" s="15" t="n"/>
    </row>
    <row r="13">
      <c r="A13" s="8" t="n">
        <v>9</v>
      </c>
      <c r="B13" s="15" t="n"/>
      <c r="C13" s="15" t="n"/>
      <c r="D13" s="15" t="n"/>
      <c r="E13" s="16" t="n"/>
      <c r="F13" s="17" t="n"/>
      <c r="G13" s="16" t="n"/>
      <c r="H13" s="16" t="n"/>
      <c r="I13" s="18" t="n"/>
      <c r="J13" s="19">
        <f>IF($G13="","",IF($H13="",$G13,IF($I13="",$G13,MIN($G13,$H13+$I13))))</f>
        <v/>
      </c>
      <c r="K13" s="20">
        <f>IF($J13="","",$J13-TODAY())</f>
        <v/>
      </c>
      <c r="L13" s="8">
        <f>IF($K13="","",IF($K13&lt;0,IF($F13="Consumo preferente","⚠ REVISAR (consumo preferente)","⛔ CADUCADO — RETIRAR"),IF($K13&lt;=2,"🔴 URGENTE",IF($K13&lt;=7,"🟡 PRÓXIMO","🟢 OK"))))</f>
        <v/>
      </c>
      <c r="M13" s="20">
        <f>IF($E13="","",TODAY()-$E13)</f>
        <v/>
      </c>
      <c r="N13" s="21" t="n"/>
      <c r="O13" s="15" t="n"/>
      <c r="P13" s="22" t="n"/>
      <c r="Q13" s="23">
        <f>IF(OR($N13="",$P13=""),"",$N13*$P13)</f>
        <v/>
      </c>
      <c r="R13" s="15" t="n"/>
      <c r="S13" s="15" t="n"/>
      <c r="T13" s="15" t="n"/>
    </row>
    <row r="14">
      <c r="A14" s="9" t="n">
        <v>10</v>
      </c>
      <c r="B14" s="15" t="n"/>
      <c r="C14" s="15" t="n"/>
      <c r="D14" s="15" t="n"/>
      <c r="E14" s="16" t="n"/>
      <c r="F14" s="17" t="n"/>
      <c r="G14" s="16" t="n"/>
      <c r="H14" s="16" t="n"/>
      <c r="I14" s="18" t="n"/>
      <c r="J14" s="24">
        <f>IF($G14="","",IF($H14="",$G14,IF($I14="",$G14,MIN($G14,$H14+$I14))))</f>
        <v/>
      </c>
      <c r="K14" s="25">
        <f>IF($J14="","",$J14-TODAY())</f>
        <v/>
      </c>
      <c r="L14" s="9">
        <f>IF($K14="","",IF($K14&lt;0,IF($F14="Consumo preferente","⚠ REVISAR (consumo preferente)","⛔ CADUCADO — RETIRAR"),IF($K14&lt;=2,"🔴 URGENTE",IF($K14&lt;=7,"🟡 PRÓXIMO","🟢 OK"))))</f>
        <v/>
      </c>
      <c r="M14" s="25">
        <f>IF($E14="","",TODAY()-$E14)</f>
        <v/>
      </c>
      <c r="N14" s="21" t="n"/>
      <c r="O14" s="15" t="n"/>
      <c r="P14" s="22" t="n"/>
      <c r="Q14" s="26">
        <f>IF(OR($N14="",$P14=""),"",$N14*$P14)</f>
        <v/>
      </c>
      <c r="R14" s="15" t="n"/>
      <c r="S14" s="15" t="n"/>
      <c r="T14" s="15" t="n"/>
    </row>
    <row r="15">
      <c r="A15" s="8" t="n">
        <v>11</v>
      </c>
      <c r="B15" s="15" t="n"/>
      <c r="C15" s="15" t="n"/>
      <c r="D15" s="15" t="n"/>
      <c r="E15" s="16" t="n"/>
      <c r="F15" s="17" t="n"/>
      <c r="G15" s="16" t="n"/>
      <c r="H15" s="16" t="n"/>
      <c r="I15" s="18" t="n"/>
      <c r="J15" s="19">
        <f>IF($G15="","",IF($H15="",$G15,IF($I15="",$G15,MIN($G15,$H15+$I15))))</f>
        <v/>
      </c>
      <c r="K15" s="20">
        <f>IF($J15="","",$J15-TODAY())</f>
        <v/>
      </c>
      <c r="L15" s="8">
        <f>IF($K15="","",IF($K15&lt;0,IF($F15="Consumo preferente","⚠ REVISAR (consumo preferente)","⛔ CADUCADO — RETIRAR"),IF($K15&lt;=2,"🔴 URGENTE",IF($K15&lt;=7,"🟡 PRÓXIMO","🟢 OK"))))</f>
        <v/>
      </c>
      <c r="M15" s="20">
        <f>IF($E15="","",TODAY()-$E15)</f>
        <v/>
      </c>
      <c r="N15" s="21" t="n"/>
      <c r="O15" s="15" t="n"/>
      <c r="P15" s="22" t="n"/>
      <c r="Q15" s="23">
        <f>IF(OR($N15="",$P15=""),"",$N15*$P15)</f>
        <v/>
      </c>
      <c r="R15" s="15" t="n"/>
      <c r="S15" s="15" t="n"/>
      <c r="T15" s="15" t="n"/>
    </row>
    <row r="16">
      <c r="A16" s="9" t="n">
        <v>12</v>
      </c>
      <c r="B16" s="15" t="n"/>
      <c r="C16" s="15" t="n"/>
      <c r="D16" s="15" t="n"/>
      <c r="E16" s="16" t="n"/>
      <c r="F16" s="17" t="n"/>
      <c r="G16" s="16" t="n"/>
      <c r="H16" s="16" t="n"/>
      <c r="I16" s="18" t="n"/>
      <c r="J16" s="24">
        <f>IF($G16="","",IF($H16="",$G16,IF($I16="",$G16,MIN($G16,$H16+$I16))))</f>
        <v/>
      </c>
      <c r="K16" s="25">
        <f>IF($J16="","",$J16-TODAY())</f>
        <v/>
      </c>
      <c r="L16" s="9">
        <f>IF($K16="","",IF($K16&lt;0,IF($F16="Consumo preferente","⚠ REVISAR (consumo preferente)","⛔ CADUCADO — RETIRAR"),IF($K16&lt;=2,"🔴 URGENTE",IF($K16&lt;=7,"🟡 PRÓXIMO","🟢 OK"))))</f>
        <v/>
      </c>
      <c r="M16" s="25">
        <f>IF($E16="","",TODAY()-$E16)</f>
        <v/>
      </c>
      <c r="N16" s="21" t="n"/>
      <c r="O16" s="15" t="n"/>
      <c r="P16" s="22" t="n"/>
      <c r="Q16" s="26">
        <f>IF(OR($N16="",$P16=""),"",$N16*$P16)</f>
        <v/>
      </c>
      <c r="R16" s="15" t="n"/>
      <c r="S16" s="15" t="n"/>
      <c r="T16" s="15" t="n"/>
    </row>
    <row r="17">
      <c r="A17" s="8" t="n">
        <v>13</v>
      </c>
      <c r="B17" s="15" t="n"/>
      <c r="C17" s="15" t="n"/>
      <c r="D17" s="15" t="n"/>
      <c r="E17" s="16" t="n"/>
      <c r="F17" s="17" t="n"/>
      <c r="G17" s="16" t="n"/>
      <c r="H17" s="16" t="n"/>
      <c r="I17" s="18" t="n"/>
      <c r="J17" s="19">
        <f>IF($G17="","",IF($H17="",$G17,IF($I17="",$G17,MIN($G17,$H17+$I17))))</f>
        <v/>
      </c>
      <c r="K17" s="20">
        <f>IF($J17="","",$J17-TODAY())</f>
        <v/>
      </c>
      <c r="L17" s="8">
        <f>IF($K17="","",IF($K17&lt;0,IF($F17="Consumo preferente","⚠ REVISAR (consumo preferente)","⛔ CADUCADO — RETIRAR"),IF($K17&lt;=2,"🔴 URGENTE",IF($K17&lt;=7,"🟡 PRÓXIMO","🟢 OK"))))</f>
        <v/>
      </c>
      <c r="M17" s="20">
        <f>IF($E17="","",TODAY()-$E17)</f>
        <v/>
      </c>
      <c r="N17" s="21" t="n"/>
      <c r="O17" s="15" t="n"/>
      <c r="P17" s="22" t="n"/>
      <c r="Q17" s="23">
        <f>IF(OR($N17="",$P17=""),"",$N17*$P17)</f>
        <v/>
      </c>
      <c r="R17" s="15" t="n"/>
      <c r="S17" s="15" t="n"/>
      <c r="T17" s="15" t="n"/>
    </row>
    <row r="18">
      <c r="A18" s="9" t="n">
        <v>14</v>
      </c>
      <c r="B18" s="15" t="n"/>
      <c r="C18" s="15" t="n"/>
      <c r="D18" s="15" t="n"/>
      <c r="E18" s="16" t="n"/>
      <c r="F18" s="17" t="n"/>
      <c r="G18" s="16" t="n"/>
      <c r="H18" s="16" t="n"/>
      <c r="I18" s="18" t="n"/>
      <c r="J18" s="24">
        <f>IF($G18="","",IF($H18="",$G18,IF($I18="",$G18,MIN($G18,$H18+$I18))))</f>
        <v/>
      </c>
      <c r="K18" s="25">
        <f>IF($J18="","",$J18-TODAY())</f>
        <v/>
      </c>
      <c r="L18" s="9">
        <f>IF($K18="","",IF($K18&lt;0,IF($F18="Consumo preferente","⚠ REVISAR (consumo preferente)","⛔ CADUCADO — RETIRAR"),IF($K18&lt;=2,"🔴 URGENTE",IF($K18&lt;=7,"🟡 PRÓXIMO","🟢 OK"))))</f>
        <v/>
      </c>
      <c r="M18" s="25">
        <f>IF($E18="","",TODAY()-$E18)</f>
        <v/>
      </c>
      <c r="N18" s="21" t="n"/>
      <c r="O18" s="15" t="n"/>
      <c r="P18" s="22" t="n"/>
      <c r="Q18" s="26">
        <f>IF(OR($N18="",$P18=""),"",$N18*$P18)</f>
        <v/>
      </c>
      <c r="R18" s="15" t="n"/>
      <c r="S18" s="15" t="n"/>
      <c r="T18" s="15" t="n"/>
    </row>
    <row r="19">
      <c r="A19" s="8" t="n">
        <v>15</v>
      </c>
      <c r="B19" s="15" t="n"/>
      <c r="C19" s="15" t="n"/>
      <c r="D19" s="15" t="n"/>
      <c r="E19" s="16" t="n"/>
      <c r="F19" s="17" t="n"/>
      <c r="G19" s="16" t="n"/>
      <c r="H19" s="16" t="n"/>
      <c r="I19" s="18" t="n"/>
      <c r="J19" s="19">
        <f>IF($G19="","",IF($H19="",$G19,IF($I19="",$G19,MIN($G19,$H19+$I19))))</f>
        <v/>
      </c>
      <c r="K19" s="20">
        <f>IF($J19="","",$J19-TODAY())</f>
        <v/>
      </c>
      <c r="L19" s="8">
        <f>IF($K19="","",IF($K19&lt;0,IF($F19="Consumo preferente","⚠ REVISAR (consumo preferente)","⛔ CADUCADO — RETIRAR"),IF($K19&lt;=2,"🔴 URGENTE",IF($K19&lt;=7,"🟡 PRÓXIMO","🟢 OK"))))</f>
        <v/>
      </c>
      <c r="M19" s="20">
        <f>IF($E19="","",TODAY()-$E19)</f>
        <v/>
      </c>
      <c r="N19" s="21" t="n"/>
      <c r="O19" s="15" t="n"/>
      <c r="P19" s="22" t="n"/>
      <c r="Q19" s="23">
        <f>IF(OR($N19="",$P19=""),"",$N19*$P19)</f>
        <v/>
      </c>
      <c r="R19" s="15" t="n"/>
      <c r="S19" s="15" t="n"/>
      <c r="T19" s="15" t="n"/>
    </row>
    <row r="20">
      <c r="A20" s="9" t="n">
        <v>16</v>
      </c>
      <c r="B20" s="15" t="n"/>
      <c r="C20" s="15" t="n"/>
      <c r="D20" s="15" t="n"/>
      <c r="E20" s="16" t="n"/>
      <c r="F20" s="17" t="n"/>
      <c r="G20" s="16" t="n"/>
      <c r="H20" s="16" t="n"/>
      <c r="I20" s="18" t="n"/>
      <c r="J20" s="24">
        <f>IF($G20="","",IF($H20="",$G20,IF($I20="",$G20,MIN($G20,$H20+$I20))))</f>
        <v/>
      </c>
      <c r="K20" s="25">
        <f>IF($J20="","",$J20-TODAY())</f>
        <v/>
      </c>
      <c r="L20" s="9">
        <f>IF($K20="","",IF($K20&lt;0,IF($F20="Consumo preferente","⚠ REVISAR (consumo preferente)","⛔ CADUCADO — RETIRAR"),IF($K20&lt;=2,"🔴 URGENTE",IF($K20&lt;=7,"🟡 PRÓXIMO","🟢 OK"))))</f>
        <v/>
      </c>
      <c r="M20" s="25">
        <f>IF($E20="","",TODAY()-$E20)</f>
        <v/>
      </c>
      <c r="N20" s="21" t="n"/>
      <c r="O20" s="15" t="n"/>
      <c r="P20" s="22" t="n"/>
      <c r="Q20" s="26">
        <f>IF(OR($N20="",$P20=""),"",$N20*$P20)</f>
        <v/>
      </c>
      <c r="R20" s="15" t="n"/>
      <c r="S20" s="15" t="n"/>
      <c r="T20" s="15" t="n"/>
    </row>
    <row r="21">
      <c r="A21" s="8" t="n">
        <v>17</v>
      </c>
      <c r="B21" s="15" t="n"/>
      <c r="C21" s="15" t="n"/>
      <c r="D21" s="15" t="n"/>
      <c r="E21" s="16" t="n"/>
      <c r="F21" s="17" t="n"/>
      <c r="G21" s="16" t="n"/>
      <c r="H21" s="16" t="n"/>
      <c r="I21" s="18" t="n"/>
      <c r="J21" s="19">
        <f>IF($G21="","",IF($H21="",$G21,IF($I21="",$G21,MIN($G21,$H21+$I21))))</f>
        <v/>
      </c>
      <c r="K21" s="20">
        <f>IF($J21="","",$J21-TODAY())</f>
        <v/>
      </c>
      <c r="L21" s="8">
        <f>IF($K21="","",IF($K21&lt;0,IF($F21="Consumo preferente","⚠ REVISAR (consumo preferente)","⛔ CADUCADO — RETIRAR"),IF($K21&lt;=2,"🔴 URGENTE",IF($K21&lt;=7,"🟡 PRÓXIMO","🟢 OK"))))</f>
        <v/>
      </c>
      <c r="M21" s="20">
        <f>IF($E21="","",TODAY()-$E21)</f>
        <v/>
      </c>
      <c r="N21" s="21" t="n"/>
      <c r="O21" s="15" t="n"/>
      <c r="P21" s="22" t="n"/>
      <c r="Q21" s="23">
        <f>IF(OR($N21="",$P21=""),"",$N21*$P21)</f>
        <v/>
      </c>
      <c r="R21" s="15" t="n"/>
      <c r="S21" s="15" t="n"/>
      <c r="T21" s="15" t="n"/>
    </row>
    <row r="22">
      <c r="A22" s="9" t="n">
        <v>18</v>
      </c>
      <c r="B22" s="15" t="n"/>
      <c r="C22" s="15" t="n"/>
      <c r="D22" s="15" t="n"/>
      <c r="E22" s="16" t="n"/>
      <c r="F22" s="17" t="n"/>
      <c r="G22" s="16" t="n"/>
      <c r="H22" s="16" t="n"/>
      <c r="I22" s="18" t="n"/>
      <c r="J22" s="24">
        <f>IF($G22="","",IF($H22="",$G22,IF($I22="",$G22,MIN($G22,$H22+$I22))))</f>
        <v/>
      </c>
      <c r="K22" s="25">
        <f>IF($J22="","",$J22-TODAY())</f>
        <v/>
      </c>
      <c r="L22" s="9">
        <f>IF($K22="","",IF($K22&lt;0,IF($F22="Consumo preferente","⚠ REVISAR (consumo preferente)","⛔ CADUCADO — RETIRAR"),IF($K22&lt;=2,"🔴 URGENTE",IF($K22&lt;=7,"🟡 PRÓXIMO","🟢 OK"))))</f>
        <v/>
      </c>
      <c r="M22" s="25">
        <f>IF($E22="","",TODAY()-$E22)</f>
        <v/>
      </c>
      <c r="N22" s="21" t="n"/>
      <c r="O22" s="15" t="n"/>
      <c r="P22" s="22" t="n"/>
      <c r="Q22" s="26">
        <f>IF(OR($N22="",$P22=""),"",$N22*$P22)</f>
        <v/>
      </c>
      <c r="R22" s="15" t="n"/>
      <c r="S22" s="15" t="n"/>
      <c r="T22" s="15" t="n"/>
    </row>
    <row r="23">
      <c r="A23" s="8" t="n">
        <v>19</v>
      </c>
      <c r="B23" s="15" t="n"/>
      <c r="C23" s="15" t="n"/>
      <c r="D23" s="15" t="n"/>
      <c r="E23" s="16" t="n"/>
      <c r="F23" s="17" t="n"/>
      <c r="G23" s="16" t="n"/>
      <c r="H23" s="16" t="n"/>
      <c r="I23" s="18" t="n"/>
      <c r="J23" s="19">
        <f>IF($G23="","",IF($H23="",$G23,IF($I23="",$G23,MIN($G23,$H23+$I23))))</f>
        <v/>
      </c>
      <c r="K23" s="20">
        <f>IF($J23="","",$J23-TODAY())</f>
        <v/>
      </c>
      <c r="L23" s="8">
        <f>IF($K23="","",IF($K23&lt;0,IF($F23="Consumo preferente","⚠ REVISAR (consumo preferente)","⛔ CADUCADO — RETIRAR"),IF($K23&lt;=2,"🔴 URGENTE",IF($K23&lt;=7,"🟡 PRÓXIMO","🟢 OK"))))</f>
        <v/>
      </c>
      <c r="M23" s="20">
        <f>IF($E23="","",TODAY()-$E23)</f>
        <v/>
      </c>
      <c r="N23" s="21" t="n"/>
      <c r="O23" s="15" t="n"/>
      <c r="P23" s="22" t="n"/>
      <c r="Q23" s="23">
        <f>IF(OR($N23="",$P23=""),"",$N23*$P23)</f>
        <v/>
      </c>
      <c r="R23" s="15" t="n"/>
      <c r="S23" s="15" t="n"/>
      <c r="T23" s="15" t="n"/>
    </row>
    <row r="24">
      <c r="A24" s="9" t="n">
        <v>20</v>
      </c>
      <c r="B24" s="15" t="n"/>
      <c r="C24" s="15" t="n"/>
      <c r="D24" s="15" t="n"/>
      <c r="E24" s="16" t="n"/>
      <c r="F24" s="17" t="n"/>
      <c r="G24" s="16" t="n"/>
      <c r="H24" s="16" t="n"/>
      <c r="I24" s="18" t="n"/>
      <c r="J24" s="24">
        <f>IF($G24="","",IF($H24="",$G24,IF($I24="",$G24,MIN($G24,$H24+$I24))))</f>
        <v/>
      </c>
      <c r="K24" s="25">
        <f>IF($J24="","",$J24-TODAY())</f>
        <v/>
      </c>
      <c r="L24" s="9">
        <f>IF($K24="","",IF($K24&lt;0,IF($F24="Consumo preferente","⚠ REVISAR (consumo preferente)","⛔ CADUCADO — RETIRAR"),IF($K24&lt;=2,"🔴 URGENTE",IF($K24&lt;=7,"🟡 PRÓXIMO","🟢 OK"))))</f>
        <v/>
      </c>
      <c r="M24" s="25">
        <f>IF($E24="","",TODAY()-$E24)</f>
        <v/>
      </c>
      <c r="N24" s="21" t="n"/>
      <c r="O24" s="15" t="n"/>
      <c r="P24" s="22" t="n"/>
      <c r="Q24" s="26">
        <f>IF(OR($N24="",$P24=""),"",$N24*$P24)</f>
        <v/>
      </c>
      <c r="R24" s="15" t="n"/>
      <c r="S24" s="15" t="n"/>
      <c r="T24" s="15" t="n"/>
    </row>
    <row r="25">
      <c r="A25" s="8" t="n">
        <v>21</v>
      </c>
      <c r="B25" s="15" t="n"/>
      <c r="C25" s="15" t="n"/>
      <c r="D25" s="15" t="n"/>
      <c r="E25" s="16" t="n"/>
      <c r="F25" s="17" t="n"/>
      <c r="G25" s="16" t="n"/>
      <c r="H25" s="16" t="n"/>
      <c r="I25" s="18" t="n"/>
      <c r="J25" s="19">
        <f>IF($G25="","",IF($H25="",$G25,IF($I25="",$G25,MIN($G25,$H25+$I25))))</f>
        <v/>
      </c>
      <c r="K25" s="20">
        <f>IF($J25="","",$J25-TODAY())</f>
        <v/>
      </c>
      <c r="L25" s="8">
        <f>IF($K25="","",IF($K25&lt;0,IF($F25="Consumo preferente","⚠ REVISAR (consumo preferente)","⛔ CADUCADO — RETIRAR"),IF($K25&lt;=2,"🔴 URGENTE",IF($K25&lt;=7,"🟡 PRÓXIMO","🟢 OK"))))</f>
        <v/>
      </c>
      <c r="M25" s="20">
        <f>IF($E25="","",TODAY()-$E25)</f>
        <v/>
      </c>
      <c r="N25" s="21" t="n"/>
      <c r="O25" s="15" t="n"/>
      <c r="P25" s="22" t="n"/>
      <c r="Q25" s="23">
        <f>IF(OR($N25="",$P25=""),"",$N25*$P25)</f>
        <v/>
      </c>
      <c r="R25" s="15" t="n"/>
      <c r="S25" s="15" t="n"/>
      <c r="T25" s="15" t="n"/>
    </row>
    <row r="26">
      <c r="A26" s="9" t="n">
        <v>22</v>
      </c>
      <c r="B26" s="15" t="n"/>
      <c r="C26" s="15" t="n"/>
      <c r="D26" s="15" t="n"/>
      <c r="E26" s="16" t="n"/>
      <c r="F26" s="17" t="n"/>
      <c r="G26" s="16" t="n"/>
      <c r="H26" s="16" t="n"/>
      <c r="I26" s="18" t="n"/>
      <c r="J26" s="24">
        <f>IF($G26="","",IF($H26="",$G26,IF($I26="",$G26,MIN($G26,$H26+$I26))))</f>
        <v/>
      </c>
      <c r="K26" s="25">
        <f>IF($J26="","",$J26-TODAY())</f>
        <v/>
      </c>
      <c r="L26" s="9">
        <f>IF($K26="","",IF($K26&lt;0,IF($F26="Consumo preferente","⚠ REVISAR (consumo preferente)","⛔ CADUCADO — RETIRAR"),IF($K26&lt;=2,"🔴 URGENTE",IF($K26&lt;=7,"🟡 PRÓXIMO","🟢 OK"))))</f>
        <v/>
      </c>
      <c r="M26" s="25">
        <f>IF($E26="","",TODAY()-$E26)</f>
        <v/>
      </c>
      <c r="N26" s="21" t="n"/>
      <c r="O26" s="15" t="n"/>
      <c r="P26" s="22" t="n"/>
      <c r="Q26" s="26">
        <f>IF(OR($N26="",$P26=""),"",$N26*$P26)</f>
        <v/>
      </c>
      <c r="R26" s="15" t="n"/>
      <c r="S26" s="15" t="n"/>
      <c r="T26" s="15" t="n"/>
    </row>
    <row r="27">
      <c r="A27" s="8" t="n">
        <v>23</v>
      </c>
      <c r="B27" s="15" t="n"/>
      <c r="C27" s="15" t="n"/>
      <c r="D27" s="15" t="n"/>
      <c r="E27" s="16" t="n"/>
      <c r="F27" s="17" t="n"/>
      <c r="G27" s="16" t="n"/>
      <c r="H27" s="16" t="n"/>
      <c r="I27" s="18" t="n"/>
      <c r="J27" s="19">
        <f>IF($G27="","",IF($H27="",$G27,IF($I27="",$G27,MIN($G27,$H27+$I27))))</f>
        <v/>
      </c>
      <c r="K27" s="20">
        <f>IF($J27="","",$J27-TODAY())</f>
        <v/>
      </c>
      <c r="L27" s="8">
        <f>IF($K27="","",IF($K27&lt;0,IF($F27="Consumo preferente","⚠ REVISAR (consumo preferente)","⛔ CADUCADO — RETIRAR"),IF($K27&lt;=2,"🔴 URGENTE",IF($K27&lt;=7,"🟡 PRÓXIMO","🟢 OK"))))</f>
        <v/>
      </c>
      <c r="M27" s="20">
        <f>IF($E27="","",TODAY()-$E27)</f>
        <v/>
      </c>
      <c r="N27" s="21" t="n"/>
      <c r="O27" s="15" t="n"/>
      <c r="P27" s="22" t="n"/>
      <c r="Q27" s="23">
        <f>IF(OR($N27="",$P27=""),"",$N27*$P27)</f>
        <v/>
      </c>
      <c r="R27" s="15" t="n"/>
      <c r="S27" s="15" t="n"/>
      <c r="T27" s="15" t="n"/>
    </row>
    <row r="28">
      <c r="A28" s="9" t="n">
        <v>24</v>
      </c>
      <c r="B28" s="15" t="n"/>
      <c r="C28" s="15" t="n"/>
      <c r="D28" s="15" t="n"/>
      <c r="E28" s="16" t="n"/>
      <c r="F28" s="17" t="n"/>
      <c r="G28" s="16" t="n"/>
      <c r="H28" s="16" t="n"/>
      <c r="I28" s="18" t="n"/>
      <c r="J28" s="24">
        <f>IF($G28="","",IF($H28="",$G28,IF($I28="",$G28,MIN($G28,$H28+$I28))))</f>
        <v/>
      </c>
      <c r="K28" s="25">
        <f>IF($J28="","",$J28-TODAY())</f>
        <v/>
      </c>
      <c r="L28" s="9">
        <f>IF($K28="","",IF($K28&lt;0,IF($F28="Consumo preferente","⚠ REVISAR (consumo preferente)","⛔ CADUCADO — RETIRAR"),IF($K28&lt;=2,"🔴 URGENTE",IF($K28&lt;=7,"🟡 PRÓXIMO","🟢 OK"))))</f>
        <v/>
      </c>
      <c r="M28" s="25">
        <f>IF($E28="","",TODAY()-$E28)</f>
        <v/>
      </c>
      <c r="N28" s="21" t="n"/>
      <c r="O28" s="15" t="n"/>
      <c r="P28" s="22" t="n"/>
      <c r="Q28" s="26">
        <f>IF(OR($N28="",$P28=""),"",$N28*$P28)</f>
        <v/>
      </c>
      <c r="R28" s="15" t="n"/>
      <c r="S28" s="15" t="n"/>
      <c r="T28" s="15" t="n"/>
    </row>
    <row r="29">
      <c r="A29" s="8" t="n">
        <v>25</v>
      </c>
      <c r="B29" s="15" t="n"/>
      <c r="C29" s="15" t="n"/>
      <c r="D29" s="15" t="n"/>
      <c r="E29" s="16" t="n"/>
      <c r="F29" s="17" t="n"/>
      <c r="G29" s="16" t="n"/>
      <c r="H29" s="16" t="n"/>
      <c r="I29" s="18" t="n"/>
      <c r="J29" s="19">
        <f>IF($G29="","",IF($H29="",$G29,IF($I29="",$G29,MIN($G29,$H29+$I29))))</f>
        <v/>
      </c>
      <c r="K29" s="20">
        <f>IF($J29="","",$J29-TODAY())</f>
        <v/>
      </c>
      <c r="L29" s="8">
        <f>IF($K29="","",IF($K29&lt;0,IF($F29="Consumo preferente","⚠ REVISAR (consumo preferente)","⛔ CADUCADO — RETIRAR"),IF($K29&lt;=2,"🔴 URGENTE",IF($K29&lt;=7,"🟡 PRÓXIMO","🟢 OK"))))</f>
        <v/>
      </c>
      <c r="M29" s="20">
        <f>IF($E29="","",TODAY()-$E29)</f>
        <v/>
      </c>
      <c r="N29" s="21" t="n"/>
      <c r="O29" s="15" t="n"/>
      <c r="P29" s="22" t="n"/>
      <c r="Q29" s="23">
        <f>IF(OR($N29="",$P29=""),"",$N29*$P29)</f>
        <v/>
      </c>
      <c r="R29" s="15" t="n"/>
      <c r="S29" s="15" t="n"/>
      <c r="T29" s="15" t="n"/>
    </row>
    <row r="30">
      <c r="A30" s="9" t="n">
        <v>26</v>
      </c>
      <c r="B30" s="15" t="n"/>
      <c r="C30" s="15" t="n"/>
      <c r="D30" s="15" t="n"/>
      <c r="E30" s="16" t="n"/>
      <c r="F30" s="17" t="n"/>
      <c r="G30" s="16" t="n"/>
      <c r="H30" s="16" t="n"/>
      <c r="I30" s="18" t="n"/>
      <c r="J30" s="24">
        <f>IF($G30="","",IF($H30="",$G30,IF($I30="",$G30,MIN($G30,$H30+$I30))))</f>
        <v/>
      </c>
      <c r="K30" s="25">
        <f>IF($J30="","",$J30-TODAY())</f>
        <v/>
      </c>
      <c r="L30" s="9">
        <f>IF($K30="","",IF($K30&lt;0,IF($F30="Consumo preferente","⚠ REVISAR (consumo preferente)","⛔ CADUCADO — RETIRAR"),IF($K30&lt;=2,"🔴 URGENTE",IF($K30&lt;=7,"🟡 PRÓXIMO","🟢 OK"))))</f>
        <v/>
      </c>
      <c r="M30" s="25">
        <f>IF($E30="","",TODAY()-$E30)</f>
        <v/>
      </c>
      <c r="N30" s="21" t="n"/>
      <c r="O30" s="15" t="n"/>
      <c r="P30" s="22" t="n"/>
      <c r="Q30" s="26">
        <f>IF(OR($N30="",$P30=""),"",$N30*$P30)</f>
        <v/>
      </c>
      <c r="R30" s="15" t="n"/>
      <c r="S30" s="15" t="n"/>
      <c r="T30" s="15" t="n"/>
    </row>
    <row r="31">
      <c r="A31" s="8" t="n">
        <v>27</v>
      </c>
      <c r="B31" s="15" t="n"/>
      <c r="C31" s="15" t="n"/>
      <c r="D31" s="15" t="n"/>
      <c r="E31" s="16" t="n"/>
      <c r="F31" s="17" t="n"/>
      <c r="G31" s="16" t="n"/>
      <c r="H31" s="16" t="n"/>
      <c r="I31" s="18" t="n"/>
      <c r="J31" s="19">
        <f>IF($G31="","",IF($H31="",$G31,IF($I31="",$G31,MIN($G31,$H31+$I31))))</f>
        <v/>
      </c>
      <c r="K31" s="20">
        <f>IF($J31="","",$J31-TODAY())</f>
        <v/>
      </c>
      <c r="L31" s="8">
        <f>IF($K31="","",IF($K31&lt;0,IF($F31="Consumo preferente","⚠ REVISAR (consumo preferente)","⛔ CADUCADO — RETIRAR"),IF($K31&lt;=2,"🔴 URGENTE",IF($K31&lt;=7,"🟡 PRÓXIMO","🟢 OK"))))</f>
        <v/>
      </c>
      <c r="M31" s="20">
        <f>IF($E31="","",TODAY()-$E31)</f>
        <v/>
      </c>
      <c r="N31" s="21" t="n"/>
      <c r="O31" s="15" t="n"/>
      <c r="P31" s="22" t="n"/>
      <c r="Q31" s="23">
        <f>IF(OR($N31="",$P31=""),"",$N31*$P31)</f>
        <v/>
      </c>
      <c r="R31" s="15" t="n"/>
      <c r="S31" s="15" t="n"/>
      <c r="T31" s="15" t="n"/>
    </row>
    <row r="32">
      <c r="A32" s="9" t="n">
        <v>28</v>
      </c>
      <c r="B32" s="15" t="n"/>
      <c r="C32" s="15" t="n"/>
      <c r="D32" s="15" t="n"/>
      <c r="E32" s="16" t="n"/>
      <c r="F32" s="17" t="n"/>
      <c r="G32" s="16" t="n"/>
      <c r="H32" s="16" t="n"/>
      <c r="I32" s="18" t="n"/>
      <c r="J32" s="24">
        <f>IF($G32="","",IF($H32="",$G32,IF($I32="",$G32,MIN($G32,$H32+$I32))))</f>
        <v/>
      </c>
      <c r="K32" s="25">
        <f>IF($J32="","",$J32-TODAY())</f>
        <v/>
      </c>
      <c r="L32" s="9">
        <f>IF($K32="","",IF($K32&lt;0,IF($F32="Consumo preferente","⚠ REVISAR (consumo preferente)","⛔ CADUCADO — RETIRAR"),IF($K32&lt;=2,"🔴 URGENTE",IF($K32&lt;=7,"🟡 PRÓXIMO","🟢 OK"))))</f>
        <v/>
      </c>
      <c r="M32" s="25">
        <f>IF($E32="","",TODAY()-$E32)</f>
        <v/>
      </c>
      <c r="N32" s="21" t="n"/>
      <c r="O32" s="15" t="n"/>
      <c r="P32" s="22" t="n"/>
      <c r="Q32" s="26">
        <f>IF(OR($N32="",$P32=""),"",$N32*$P32)</f>
        <v/>
      </c>
      <c r="R32" s="15" t="n"/>
      <c r="S32" s="15" t="n"/>
      <c r="T32" s="15" t="n"/>
    </row>
    <row r="33">
      <c r="A33" s="8" t="n">
        <v>29</v>
      </c>
      <c r="B33" s="15" t="n"/>
      <c r="C33" s="15" t="n"/>
      <c r="D33" s="15" t="n"/>
      <c r="E33" s="16" t="n"/>
      <c r="F33" s="17" t="n"/>
      <c r="G33" s="16" t="n"/>
      <c r="H33" s="16" t="n"/>
      <c r="I33" s="18" t="n"/>
      <c r="J33" s="19">
        <f>IF($G33="","",IF($H33="",$G33,IF($I33="",$G33,MIN($G33,$H33+$I33))))</f>
        <v/>
      </c>
      <c r="K33" s="20">
        <f>IF($J33="","",$J33-TODAY())</f>
        <v/>
      </c>
      <c r="L33" s="8">
        <f>IF($K33="","",IF($K33&lt;0,IF($F33="Consumo preferente","⚠ REVISAR (consumo preferente)","⛔ CADUCADO — RETIRAR"),IF($K33&lt;=2,"🔴 URGENTE",IF($K33&lt;=7,"🟡 PRÓXIMO","🟢 OK"))))</f>
        <v/>
      </c>
      <c r="M33" s="20">
        <f>IF($E33="","",TODAY()-$E33)</f>
        <v/>
      </c>
      <c r="N33" s="21" t="n"/>
      <c r="O33" s="15" t="n"/>
      <c r="P33" s="22" t="n"/>
      <c r="Q33" s="23">
        <f>IF(OR($N33="",$P33=""),"",$N33*$P33)</f>
        <v/>
      </c>
      <c r="R33" s="15" t="n"/>
      <c r="S33" s="15" t="n"/>
      <c r="T33" s="15" t="n"/>
    </row>
    <row r="34">
      <c r="A34" s="9" t="n">
        <v>30</v>
      </c>
      <c r="B34" s="15" t="n"/>
      <c r="C34" s="15" t="n"/>
      <c r="D34" s="15" t="n"/>
      <c r="E34" s="16" t="n"/>
      <c r="F34" s="17" t="n"/>
      <c r="G34" s="16" t="n"/>
      <c r="H34" s="16" t="n"/>
      <c r="I34" s="18" t="n"/>
      <c r="J34" s="24">
        <f>IF($G34="","",IF($H34="",$G34,IF($I34="",$G34,MIN($G34,$H34+$I34))))</f>
        <v/>
      </c>
      <c r="K34" s="25">
        <f>IF($J34="","",$J34-TODAY())</f>
        <v/>
      </c>
      <c r="L34" s="9">
        <f>IF($K34="","",IF($K34&lt;0,IF($F34="Consumo preferente","⚠ REVISAR (consumo preferente)","⛔ CADUCADO — RETIRAR"),IF($K34&lt;=2,"🔴 URGENTE",IF($K34&lt;=7,"🟡 PRÓXIMO","🟢 OK"))))</f>
        <v/>
      </c>
      <c r="M34" s="25">
        <f>IF($E34="","",TODAY()-$E34)</f>
        <v/>
      </c>
      <c r="N34" s="21" t="n"/>
      <c r="O34" s="15" t="n"/>
      <c r="P34" s="22" t="n"/>
      <c r="Q34" s="26">
        <f>IF(OR($N34="",$P34=""),"",$N34*$P34)</f>
        <v/>
      </c>
      <c r="R34" s="15" t="n"/>
      <c r="S34" s="15" t="n"/>
      <c r="T34" s="15" t="n"/>
    </row>
    <row r="35">
      <c r="A35" s="8" t="n">
        <v>31</v>
      </c>
      <c r="B35" s="15" t="n"/>
      <c r="C35" s="15" t="n"/>
      <c r="D35" s="15" t="n"/>
      <c r="E35" s="16" t="n"/>
      <c r="F35" s="17" t="n"/>
      <c r="G35" s="16" t="n"/>
      <c r="H35" s="16" t="n"/>
      <c r="I35" s="18" t="n"/>
      <c r="J35" s="19">
        <f>IF($G35="","",IF($H35="",$G35,IF($I35="",$G35,MIN($G35,$H35+$I35))))</f>
        <v/>
      </c>
      <c r="K35" s="20">
        <f>IF($J35="","",$J35-TODAY())</f>
        <v/>
      </c>
      <c r="L35" s="8">
        <f>IF($K35="","",IF($K35&lt;0,IF($F35="Consumo preferente","⚠ REVISAR (consumo preferente)","⛔ CADUCADO — RETIRAR"),IF($K35&lt;=2,"🔴 URGENTE",IF($K35&lt;=7,"🟡 PRÓXIMO","🟢 OK"))))</f>
        <v/>
      </c>
      <c r="M35" s="20">
        <f>IF($E35="","",TODAY()-$E35)</f>
        <v/>
      </c>
      <c r="N35" s="21" t="n"/>
      <c r="O35" s="15" t="n"/>
      <c r="P35" s="22" t="n"/>
      <c r="Q35" s="23">
        <f>IF(OR($N35="",$P35=""),"",$N35*$P35)</f>
        <v/>
      </c>
      <c r="R35" s="15" t="n"/>
      <c r="S35" s="15" t="n"/>
      <c r="T35" s="15" t="n"/>
    </row>
    <row r="36">
      <c r="A36" s="9" t="n">
        <v>32</v>
      </c>
      <c r="B36" s="15" t="n"/>
      <c r="C36" s="15" t="n"/>
      <c r="D36" s="15" t="n"/>
      <c r="E36" s="16" t="n"/>
      <c r="F36" s="17" t="n"/>
      <c r="G36" s="16" t="n"/>
      <c r="H36" s="16" t="n"/>
      <c r="I36" s="18" t="n"/>
      <c r="J36" s="24">
        <f>IF($G36="","",IF($H36="",$G36,IF($I36="",$G36,MIN($G36,$H36+$I36))))</f>
        <v/>
      </c>
      <c r="K36" s="25">
        <f>IF($J36="","",$J36-TODAY())</f>
        <v/>
      </c>
      <c r="L36" s="9">
        <f>IF($K36="","",IF($K36&lt;0,IF($F36="Consumo preferente","⚠ REVISAR (consumo preferente)","⛔ CADUCADO — RETIRAR"),IF($K36&lt;=2,"🔴 URGENTE",IF($K36&lt;=7,"🟡 PRÓXIMO","🟢 OK"))))</f>
        <v/>
      </c>
      <c r="M36" s="25">
        <f>IF($E36="","",TODAY()-$E36)</f>
        <v/>
      </c>
      <c r="N36" s="21" t="n"/>
      <c r="O36" s="15" t="n"/>
      <c r="P36" s="22" t="n"/>
      <c r="Q36" s="26">
        <f>IF(OR($N36="",$P36=""),"",$N36*$P36)</f>
        <v/>
      </c>
      <c r="R36" s="15" t="n"/>
      <c r="S36" s="15" t="n"/>
      <c r="T36" s="15" t="n"/>
    </row>
    <row r="37">
      <c r="A37" s="8" t="n">
        <v>33</v>
      </c>
      <c r="B37" s="15" t="n"/>
      <c r="C37" s="15" t="n"/>
      <c r="D37" s="15" t="n"/>
      <c r="E37" s="16" t="n"/>
      <c r="F37" s="17" t="n"/>
      <c r="G37" s="16" t="n"/>
      <c r="H37" s="16" t="n"/>
      <c r="I37" s="18" t="n"/>
      <c r="J37" s="19">
        <f>IF($G37="","",IF($H37="",$G37,IF($I37="",$G37,MIN($G37,$H37+$I37))))</f>
        <v/>
      </c>
      <c r="K37" s="20">
        <f>IF($J37="","",$J37-TODAY())</f>
        <v/>
      </c>
      <c r="L37" s="8">
        <f>IF($K37="","",IF($K37&lt;0,IF($F37="Consumo preferente","⚠ REVISAR (consumo preferente)","⛔ CADUCADO — RETIRAR"),IF($K37&lt;=2,"🔴 URGENTE",IF($K37&lt;=7,"🟡 PRÓXIMO","🟢 OK"))))</f>
        <v/>
      </c>
      <c r="M37" s="20">
        <f>IF($E37="","",TODAY()-$E37)</f>
        <v/>
      </c>
      <c r="N37" s="21" t="n"/>
      <c r="O37" s="15" t="n"/>
      <c r="P37" s="22" t="n"/>
      <c r="Q37" s="23">
        <f>IF(OR($N37="",$P37=""),"",$N37*$P37)</f>
        <v/>
      </c>
      <c r="R37" s="15" t="n"/>
      <c r="S37" s="15" t="n"/>
      <c r="T37" s="15" t="n"/>
    </row>
    <row r="38">
      <c r="A38" s="9" t="n">
        <v>34</v>
      </c>
      <c r="B38" s="15" t="n"/>
      <c r="C38" s="15" t="n"/>
      <c r="D38" s="15" t="n"/>
      <c r="E38" s="16" t="n"/>
      <c r="F38" s="17" t="n"/>
      <c r="G38" s="16" t="n"/>
      <c r="H38" s="16" t="n"/>
      <c r="I38" s="18" t="n"/>
      <c r="J38" s="24">
        <f>IF($G38="","",IF($H38="",$G38,IF($I38="",$G38,MIN($G38,$H38+$I38))))</f>
        <v/>
      </c>
      <c r="K38" s="25">
        <f>IF($J38="","",$J38-TODAY())</f>
        <v/>
      </c>
      <c r="L38" s="9">
        <f>IF($K38="","",IF($K38&lt;0,IF($F38="Consumo preferente","⚠ REVISAR (consumo preferente)","⛔ CADUCADO — RETIRAR"),IF($K38&lt;=2,"🔴 URGENTE",IF($K38&lt;=7,"🟡 PRÓXIMO","🟢 OK"))))</f>
        <v/>
      </c>
      <c r="M38" s="25">
        <f>IF($E38="","",TODAY()-$E38)</f>
        <v/>
      </c>
      <c r="N38" s="21" t="n"/>
      <c r="O38" s="15" t="n"/>
      <c r="P38" s="22" t="n"/>
      <c r="Q38" s="26">
        <f>IF(OR($N38="",$P38=""),"",$N38*$P38)</f>
        <v/>
      </c>
      <c r="R38" s="15" t="n"/>
      <c r="S38" s="15" t="n"/>
      <c r="T38" s="15" t="n"/>
    </row>
    <row r="39">
      <c r="A39" s="8" t="n">
        <v>35</v>
      </c>
      <c r="B39" s="15" t="n"/>
      <c r="C39" s="15" t="n"/>
      <c r="D39" s="15" t="n"/>
      <c r="E39" s="16" t="n"/>
      <c r="F39" s="17" t="n"/>
      <c r="G39" s="16" t="n"/>
      <c r="H39" s="16" t="n"/>
      <c r="I39" s="18" t="n"/>
      <c r="J39" s="19">
        <f>IF($G39="","",IF($H39="",$G39,IF($I39="",$G39,MIN($G39,$H39+$I39))))</f>
        <v/>
      </c>
      <c r="K39" s="20">
        <f>IF($J39="","",$J39-TODAY())</f>
        <v/>
      </c>
      <c r="L39" s="8">
        <f>IF($K39="","",IF($K39&lt;0,IF($F39="Consumo preferente","⚠ REVISAR (consumo preferente)","⛔ CADUCADO — RETIRAR"),IF($K39&lt;=2,"🔴 URGENTE",IF($K39&lt;=7,"🟡 PRÓXIMO","🟢 OK"))))</f>
        <v/>
      </c>
      <c r="M39" s="20">
        <f>IF($E39="","",TODAY()-$E39)</f>
        <v/>
      </c>
      <c r="N39" s="21" t="n"/>
      <c r="O39" s="15" t="n"/>
      <c r="P39" s="22" t="n"/>
      <c r="Q39" s="23">
        <f>IF(OR($N39="",$P39=""),"",$N39*$P39)</f>
        <v/>
      </c>
      <c r="R39" s="15" t="n"/>
      <c r="S39" s="15" t="n"/>
      <c r="T39" s="15" t="n"/>
    </row>
    <row r="40">
      <c r="A40" s="9" t="n">
        <v>36</v>
      </c>
      <c r="B40" s="15" t="n"/>
      <c r="C40" s="15" t="n"/>
      <c r="D40" s="15" t="n"/>
      <c r="E40" s="16" t="n"/>
      <c r="F40" s="17" t="n"/>
      <c r="G40" s="16" t="n"/>
      <c r="H40" s="16" t="n"/>
      <c r="I40" s="18" t="n"/>
      <c r="J40" s="24">
        <f>IF($G40="","",IF($H40="",$G40,IF($I40="",$G40,MIN($G40,$H40+$I40))))</f>
        <v/>
      </c>
      <c r="K40" s="25">
        <f>IF($J40="","",$J40-TODAY())</f>
        <v/>
      </c>
      <c r="L40" s="9">
        <f>IF($K40="","",IF($K40&lt;0,IF($F40="Consumo preferente","⚠ REVISAR (consumo preferente)","⛔ CADUCADO — RETIRAR"),IF($K40&lt;=2,"🔴 URGENTE",IF($K40&lt;=7,"🟡 PRÓXIMO","🟢 OK"))))</f>
        <v/>
      </c>
      <c r="M40" s="25">
        <f>IF($E40="","",TODAY()-$E40)</f>
        <v/>
      </c>
      <c r="N40" s="21" t="n"/>
      <c r="O40" s="15" t="n"/>
      <c r="P40" s="22" t="n"/>
      <c r="Q40" s="26">
        <f>IF(OR($N40="",$P40=""),"",$N40*$P40)</f>
        <v/>
      </c>
      <c r="R40" s="15" t="n"/>
      <c r="S40" s="15" t="n"/>
      <c r="T40" s="15" t="n"/>
    </row>
    <row r="41">
      <c r="A41" s="8" t="n">
        <v>37</v>
      </c>
      <c r="B41" s="15" t="n"/>
      <c r="C41" s="15" t="n"/>
      <c r="D41" s="15" t="n"/>
      <c r="E41" s="16" t="n"/>
      <c r="F41" s="17" t="n"/>
      <c r="G41" s="16" t="n"/>
      <c r="H41" s="16" t="n"/>
      <c r="I41" s="18" t="n"/>
      <c r="J41" s="19">
        <f>IF($G41="","",IF($H41="",$G41,IF($I41="",$G41,MIN($G41,$H41+$I41))))</f>
        <v/>
      </c>
      <c r="K41" s="20">
        <f>IF($J41="","",$J41-TODAY())</f>
        <v/>
      </c>
      <c r="L41" s="8">
        <f>IF($K41="","",IF($K41&lt;0,IF($F41="Consumo preferente","⚠ REVISAR (consumo preferente)","⛔ CADUCADO — RETIRAR"),IF($K41&lt;=2,"🔴 URGENTE",IF($K41&lt;=7,"🟡 PRÓXIMO","🟢 OK"))))</f>
        <v/>
      </c>
      <c r="M41" s="20">
        <f>IF($E41="","",TODAY()-$E41)</f>
        <v/>
      </c>
      <c r="N41" s="21" t="n"/>
      <c r="O41" s="15" t="n"/>
      <c r="P41" s="22" t="n"/>
      <c r="Q41" s="23">
        <f>IF(OR($N41="",$P41=""),"",$N41*$P41)</f>
        <v/>
      </c>
      <c r="R41" s="15" t="n"/>
      <c r="S41" s="15" t="n"/>
      <c r="T41" s="15" t="n"/>
    </row>
    <row r="42">
      <c r="A42" s="9" t="n">
        <v>38</v>
      </c>
      <c r="B42" s="15" t="n"/>
      <c r="C42" s="15" t="n"/>
      <c r="D42" s="15" t="n"/>
      <c r="E42" s="16" t="n"/>
      <c r="F42" s="17" t="n"/>
      <c r="G42" s="16" t="n"/>
      <c r="H42" s="16" t="n"/>
      <c r="I42" s="18" t="n"/>
      <c r="J42" s="24">
        <f>IF($G42="","",IF($H42="",$G42,IF($I42="",$G42,MIN($G42,$H42+$I42))))</f>
        <v/>
      </c>
      <c r="K42" s="25">
        <f>IF($J42="","",$J42-TODAY())</f>
        <v/>
      </c>
      <c r="L42" s="9">
        <f>IF($K42="","",IF($K42&lt;0,IF($F42="Consumo preferente","⚠ REVISAR (consumo preferente)","⛔ CADUCADO — RETIRAR"),IF($K42&lt;=2,"🔴 URGENTE",IF($K42&lt;=7,"🟡 PRÓXIMO","🟢 OK"))))</f>
        <v/>
      </c>
      <c r="M42" s="25">
        <f>IF($E42="","",TODAY()-$E42)</f>
        <v/>
      </c>
      <c r="N42" s="21" t="n"/>
      <c r="O42" s="15" t="n"/>
      <c r="P42" s="22" t="n"/>
      <c r="Q42" s="26">
        <f>IF(OR($N42="",$P42=""),"",$N42*$P42)</f>
        <v/>
      </c>
      <c r="R42" s="15" t="n"/>
      <c r="S42" s="15" t="n"/>
      <c r="T42" s="15" t="n"/>
    </row>
    <row r="43">
      <c r="A43" s="8" t="n">
        <v>39</v>
      </c>
      <c r="B43" s="15" t="n"/>
      <c r="C43" s="15" t="n"/>
      <c r="D43" s="15" t="n"/>
      <c r="E43" s="16" t="n"/>
      <c r="F43" s="17" t="n"/>
      <c r="G43" s="16" t="n"/>
      <c r="H43" s="16" t="n"/>
      <c r="I43" s="18" t="n"/>
      <c r="J43" s="19">
        <f>IF($G43="","",IF($H43="",$G43,IF($I43="",$G43,MIN($G43,$H43+$I43))))</f>
        <v/>
      </c>
      <c r="K43" s="20">
        <f>IF($J43="","",$J43-TODAY())</f>
        <v/>
      </c>
      <c r="L43" s="8">
        <f>IF($K43="","",IF($K43&lt;0,IF($F43="Consumo preferente","⚠ REVISAR (consumo preferente)","⛔ CADUCADO — RETIRAR"),IF($K43&lt;=2,"🔴 URGENTE",IF($K43&lt;=7,"🟡 PRÓXIMO","🟢 OK"))))</f>
        <v/>
      </c>
      <c r="M43" s="20">
        <f>IF($E43="","",TODAY()-$E43)</f>
        <v/>
      </c>
      <c r="N43" s="21" t="n"/>
      <c r="O43" s="15" t="n"/>
      <c r="P43" s="22" t="n"/>
      <c r="Q43" s="23">
        <f>IF(OR($N43="",$P43=""),"",$N43*$P43)</f>
        <v/>
      </c>
      <c r="R43" s="15" t="n"/>
      <c r="S43" s="15" t="n"/>
      <c r="T43" s="15" t="n"/>
    </row>
    <row r="44">
      <c r="A44" s="9" t="n">
        <v>40</v>
      </c>
      <c r="B44" s="15" t="n"/>
      <c r="C44" s="15" t="n"/>
      <c r="D44" s="15" t="n"/>
      <c r="E44" s="16" t="n"/>
      <c r="F44" s="17" t="n"/>
      <c r="G44" s="16" t="n"/>
      <c r="H44" s="16" t="n"/>
      <c r="I44" s="18" t="n"/>
      <c r="J44" s="24">
        <f>IF($G44="","",IF($H44="",$G44,IF($I44="",$G44,MIN($G44,$H44+$I44))))</f>
        <v/>
      </c>
      <c r="K44" s="25">
        <f>IF($J44="","",$J44-TODAY())</f>
        <v/>
      </c>
      <c r="L44" s="9">
        <f>IF($K44="","",IF($K44&lt;0,IF($F44="Consumo preferente","⚠ REVISAR (consumo preferente)","⛔ CADUCADO — RETIRAR"),IF($K44&lt;=2,"🔴 URGENTE",IF($K44&lt;=7,"🟡 PRÓXIMO","🟢 OK"))))</f>
        <v/>
      </c>
      <c r="M44" s="25">
        <f>IF($E44="","",TODAY()-$E44)</f>
        <v/>
      </c>
      <c r="N44" s="21" t="n"/>
      <c r="O44" s="15" t="n"/>
      <c r="P44" s="22" t="n"/>
      <c r="Q44" s="26">
        <f>IF(OR($N44="",$P44=""),"",$N44*$P44)</f>
        <v/>
      </c>
      <c r="R44" s="15" t="n"/>
      <c r="S44" s="15" t="n"/>
      <c r="T44" s="15" t="n"/>
    </row>
    <row r="45">
      <c r="A45" s="8" t="n">
        <v>41</v>
      </c>
      <c r="B45" s="15" t="n"/>
      <c r="C45" s="15" t="n"/>
      <c r="D45" s="15" t="n"/>
      <c r="E45" s="16" t="n"/>
      <c r="F45" s="17" t="n"/>
      <c r="G45" s="16" t="n"/>
      <c r="H45" s="16" t="n"/>
      <c r="I45" s="18" t="n"/>
      <c r="J45" s="19">
        <f>IF($G45="","",IF($H45="",$G45,IF($I45="",$G45,MIN($G45,$H45+$I45))))</f>
        <v/>
      </c>
      <c r="K45" s="20">
        <f>IF($J45="","",$J45-TODAY())</f>
        <v/>
      </c>
      <c r="L45" s="8">
        <f>IF($K45="","",IF($K45&lt;0,IF($F45="Consumo preferente","⚠ REVISAR (consumo preferente)","⛔ CADUCADO — RETIRAR"),IF($K45&lt;=2,"🔴 URGENTE",IF($K45&lt;=7,"🟡 PRÓXIMO","🟢 OK"))))</f>
        <v/>
      </c>
      <c r="M45" s="20">
        <f>IF($E45="","",TODAY()-$E45)</f>
        <v/>
      </c>
      <c r="N45" s="21" t="n"/>
      <c r="O45" s="15" t="n"/>
      <c r="P45" s="22" t="n"/>
      <c r="Q45" s="23">
        <f>IF(OR($N45="",$P45=""),"",$N45*$P45)</f>
        <v/>
      </c>
      <c r="R45" s="15" t="n"/>
      <c r="S45" s="15" t="n"/>
      <c r="T45" s="15" t="n"/>
    </row>
    <row r="46">
      <c r="A46" s="9" t="n">
        <v>42</v>
      </c>
      <c r="B46" s="15" t="n"/>
      <c r="C46" s="15" t="n"/>
      <c r="D46" s="15" t="n"/>
      <c r="E46" s="16" t="n"/>
      <c r="F46" s="17" t="n"/>
      <c r="G46" s="16" t="n"/>
      <c r="H46" s="16" t="n"/>
      <c r="I46" s="18" t="n"/>
      <c r="J46" s="24">
        <f>IF($G46="","",IF($H46="",$G46,IF($I46="",$G46,MIN($G46,$H46+$I46))))</f>
        <v/>
      </c>
      <c r="K46" s="25">
        <f>IF($J46="","",$J46-TODAY())</f>
        <v/>
      </c>
      <c r="L46" s="9">
        <f>IF($K46="","",IF($K46&lt;0,IF($F46="Consumo preferente","⚠ REVISAR (consumo preferente)","⛔ CADUCADO — RETIRAR"),IF($K46&lt;=2,"🔴 URGENTE",IF($K46&lt;=7,"🟡 PRÓXIMO","🟢 OK"))))</f>
        <v/>
      </c>
      <c r="M46" s="25">
        <f>IF($E46="","",TODAY()-$E46)</f>
        <v/>
      </c>
      <c r="N46" s="21" t="n"/>
      <c r="O46" s="15" t="n"/>
      <c r="P46" s="22" t="n"/>
      <c r="Q46" s="26">
        <f>IF(OR($N46="",$P46=""),"",$N46*$P46)</f>
        <v/>
      </c>
      <c r="R46" s="15" t="n"/>
      <c r="S46" s="15" t="n"/>
      <c r="T46" s="15" t="n"/>
    </row>
    <row r="47">
      <c r="A47" s="8" t="n">
        <v>43</v>
      </c>
      <c r="B47" s="15" t="n"/>
      <c r="C47" s="15" t="n"/>
      <c r="D47" s="15" t="n"/>
      <c r="E47" s="16" t="n"/>
      <c r="F47" s="17" t="n"/>
      <c r="G47" s="16" t="n"/>
      <c r="H47" s="16" t="n"/>
      <c r="I47" s="18" t="n"/>
      <c r="J47" s="19">
        <f>IF($G47="","",IF($H47="",$G47,IF($I47="",$G47,MIN($G47,$H47+$I47))))</f>
        <v/>
      </c>
      <c r="K47" s="20">
        <f>IF($J47="","",$J47-TODAY())</f>
        <v/>
      </c>
      <c r="L47" s="8">
        <f>IF($K47="","",IF($K47&lt;0,IF($F47="Consumo preferente","⚠ REVISAR (consumo preferente)","⛔ CADUCADO — RETIRAR"),IF($K47&lt;=2,"🔴 URGENTE",IF($K47&lt;=7,"🟡 PRÓXIMO","🟢 OK"))))</f>
        <v/>
      </c>
      <c r="M47" s="20">
        <f>IF($E47="","",TODAY()-$E47)</f>
        <v/>
      </c>
      <c r="N47" s="21" t="n"/>
      <c r="O47" s="15" t="n"/>
      <c r="P47" s="22" t="n"/>
      <c r="Q47" s="23">
        <f>IF(OR($N47="",$P47=""),"",$N47*$P47)</f>
        <v/>
      </c>
      <c r="R47" s="15" t="n"/>
      <c r="S47" s="15" t="n"/>
      <c r="T47" s="15" t="n"/>
    </row>
    <row r="48">
      <c r="A48" s="9" t="n">
        <v>44</v>
      </c>
      <c r="B48" s="15" t="n"/>
      <c r="C48" s="15" t="n"/>
      <c r="D48" s="15" t="n"/>
      <c r="E48" s="16" t="n"/>
      <c r="F48" s="17" t="n"/>
      <c r="G48" s="16" t="n"/>
      <c r="H48" s="16" t="n"/>
      <c r="I48" s="18" t="n"/>
      <c r="J48" s="24">
        <f>IF($G48="","",IF($H48="",$G48,IF($I48="",$G48,MIN($G48,$H48+$I48))))</f>
        <v/>
      </c>
      <c r="K48" s="25">
        <f>IF($J48="","",$J48-TODAY())</f>
        <v/>
      </c>
      <c r="L48" s="9">
        <f>IF($K48="","",IF($K48&lt;0,IF($F48="Consumo preferente","⚠ REVISAR (consumo preferente)","⛔ CADUCADO — RETIRAR"),IF($K48&lt;=2,"🔴 URGENTE",IF($K48&lt;=7,"🟡 PRÓXIMO","🟢 OK"))))</f>
        <v/>
      </c>
      <c r="M48" s="25">
        <f>IF($E48="","",TODAY()-$E48)</f>
        <v/>
      </c>
      <c r="N48" s="21" t="n"/>
      <c r="O48" s="15" t="n"/>
      <c r="P48" s="22" t="n"/>
      <c r="Q48" s="26">
        <f>IF(OR($N48="",$P48=""),"",$N48*$P48)</f>
        <v/>
      </c>
      <c r="R48" s="15" t="n"/>
      <c r="S48" s="15" t="n"/>
      <c r="T48" s="15" t="n"/>
    </row>
    <row r="49">
      <c r="A49" s="8" t="n">
        <v>45</v>
      </c>
      <c r="B49" s="15" t="n"/>
      <c r="C49" s="15" t="n"/>
      <c r="D49" s="15" t="n"/>
      <c r="E49" s="16" t="n"/>
      <c r="F49" s="17" t="n"/>
      <c r="G49" s="16" t="n"/>
      <c r="H49" s="16" t="n"/>
      <c r="I49" s="18" t="n"/>
      <c r="J49" s="19">
        <f>IF($G49="","",IF($H49="",$G49,IF($I49="",$G49,MIN($G49,$H49+$I49))))</f>
        <v/>
      </c>
      <c r="K49" s="20">
        <f>IF($J49="","",$J49-TODAY())</f>
        <v/>
      </c>
      <c r="L49" s="8">
        <f>IF($K49="","",IF($K49&lt;0,IF($F49="Consumo preferente","⚠ REVISAR (consumo preferente)","⛔ CADUCADO — RETIRAR"),IF($K49&lt;=2,"🔴 URGENTE",IF($K49&lt;=7,"🟡 PRÓXIMO","🟢 OK"))))</f>
        <v/>
      </c>
      <c r="M49" s="20">
        <f>IF($E49="","",TODAY()-$E49)</f>
        <v/>
      </c>
      <c r="N49" s="21" t="n"/>
      <c r="O49" s="15" t="n"/>
      <c r="P49" s="22" t="n"/>
      <c r="Q49" s="23">
        <f>IF(OR($N49="",$P49=""),"",$N49*$P49)</f>
        <v/>
      </c>
      <c r="R49" s="15" t="n"/>
      <c r="S49" s="15" t="n"/>
      <c r="T49" s="15" t="n"/>
    </row>
    <row r="50">
      <c r="A50" s="9" t="n">
        <v>46</v>
      </c>
      <c r="B50" s="15" t="n"/>
      <c r="C50" s="15" t="n"/>
      <c r="D50" s="15" t="n"/>
      <c r="E50" s="16" t="n"/>
      <c r="F50" s="17" t="n"/>
      <c r="G50" s="16" t="n"/>
      <c r="H50" s="16" t="n"/>
      <c r="I50" s="18" t="n"/>
      <c r="J50" s="24">
        <f>IF($G50="","",IF($H50="",$G50,IF($I50="",$G50,MIN($G50,$H50+$I50))))</f>
        <v/>
      </c>
      <c r="K50" s="25">
        <f>IF($J50="","",$J50-TODAY())</f>
        <v/>
      </c>
      <c r="L50" s="9">
        <f>IF($K50="","",IF($K50&lt;0,IF($F50="Consumo preferente","⚠ REVISAR (consumo preferente)","⛔ CADUCADO — RETIRAR"),IF($K50&lt;=2,"🔴 URGENTE",IF($K50&lt;=7,"🟡 PRÓXIMO","🟢 OK"))))</f>
        <v/>
      </c>
      <c r="M50" s="25">
        <f>IF($E50="","",TODAY()-$E50)</f>
        <v/>
      </c>
      <c r="N50" s="21" t="n"/>
      <c r="O50" s="15" t="n"/>
      <c r="P50" s="22" t="n"/>
      <c r="Q50" s="26">
        <f>IF(OR($N50="",$P50=""),"",$N50*$P50)</f>
        <v/>
      </c>
      <c r="R50" s="15" t="n"/>
      <c r="S50" s="15" t="n"/>
      <c r="T50" s="15" t="n"/>
    </row>
    <row r="51">
      <c r="A51" s="8" t="n">
        <v>47</v>
      </c>
      <c r="B51" s="15" t="n"/>
      <c r="C51" s="15" t="n"/>
      <c r="D51" s="15" t="n"/>
      <c r="E51" s="16" t="n"/>
      <c r="F51" s="17" t="n"/>
      <c r="G51" s="16" t="n"/>
      <c r="H51" s="16" t="n"/>
      <c r="I51" s="18" t="n"/>
      <c r="J51" s="19">
        <f>IF($G51="","",IF($H51="",$G51,IF($I51="",$G51,MIN($G51,$H51+$I51))))</f>
        <v/>
      </c>
      <c r="K51" s="20">
        <f>IF($J51="","",$J51-TODAY())</f>
        <v/>
      </c>
      <c r="L51" s="8">
        <f>IF($K51="","",IF($K51&lt;0,IF($F51="Consumo preferente","⚠ REVISAR (consumo preferente)","⛔ CADUCADO — RETIRAR"),IF($K51&lt;=2,"🔴 URGENTE",IF($K51&lt;=7,"🟡 PRÓXIMO","🟢 OK"))))</f>
        <v/>
      </c>
      <c r="M51" s="20">
        <f>IF($E51="","",TODAY()-$E51)</f>
        <v/>
      </c>
      <c r="N51" s="21" t="n"/>
      <c r="O51" s="15" t="n"/>
      <c r="P51" s="22" t="n"/>
      <c r="Q51" s="23">
        <f>IF(OR($N51="",$P51=""),"",$N51*$P51)</f>
        <v/>
      </c>
      <c r="R51" s="15" t="n"/>
      <c r="S51" s="15" t="n"/>
      <c r="T51" s="15" t="n"/>
    </row>
    <row r="52">
      <c r="A52" s="9" t="n">
        <v>48</v>
      </c>
      <c r="B52" s="15" t="n"/>
      <c r="C52" s="15" t="n"/>
      <c r="D52" s="15" t="n"/>
      <c r="E52" s="16" t="n"/>
      <c r="F52" s="17" t="n"/>
      <c r="G52" s="16" t="n"/>
      <c r="H52" s="16" t="n"/>
      <c r="I52" s="18" t="n"/>
      <c r="J52" s="24">
        <f>IF($G52="","",IF($H52="",$G52,IF($I52="",$G52,MIN($G52,$H52+$I52))))</f>
        <v/>
      </c>
      <c r="K52" s="25">
        <f>IF($J52="","",$J52-TODAY())</f>
        <v/>
      </c>
      <c r="L52" s="9">
        <f>IF($K52="","",IF($K52&lt;0,IF($F52="Consumo preferente","⚠ REVISAR (consumo preferente)","⛔ CADUCADO — RETIRAR"),IF($K52&lt;=2,"🔴 URGENTE",IF($K52&lt;=7,"🟡 PRÓXIMO","🟢 OK"))))</f>
        <v/>
      </c>
      <c r="M52" s="25">
        <f>IF($E52="","",TODAY()-$E52)</f>
        <v/>
      </c>
      <c r="N52" s="21" t="n"/>
      <c r="O52" s="15" t="n"/>
      <c r="P52" s="22" t="n"/>
      <c r="Q52" s="26">
        <f>IF(OR($N52="",$P52=""),"",$N52*$P52)</f>
        <v/>
      </c>
      <c r="R52" s="15" t="n"/>
      <c r="S52" s="15" t="n"/>
      <c r="T52" s="15" t="n"/>
    </row>
    <row r="53">
      <c r="A53" s="8" t="n">
        <v>49</v>
      </c>
      <c r="B53" s="15" t="n"/>
      <c r="C53" s="15" t="n"/>
      <c r="D53" s="15" t="n"/>
      <c r="E53" s="16" t="n"/>
      <c r="F53" s="17" t="n"/>
      <c r="G53" s="16" t="n"/>
      <c r="H53" s="16" t="n"/>
      <c r="I53" s="18" t="n"/>
      <c r="J53" s="19">
        <f>IF($G53="","",IF($H53="",$G53,IF($I53="",$G53,MIN($G53,$H53+$I53))))</f>
        <v/>
      </c>
      <c r="K53" s="20">
        <f>IF($J53="","",$J53-TODAY())</f>
        <v/>
      </c>
      <c r="L53" s="8">
        <f>IF($K53="","",IF($K53&lt;0,IF($F53="Consumo preferente","⚠ REVISAR (consumo preferente)","⛔ CADUCADO — RETIRAR"),IF($K53&lt;=2,"🔴 URGENTE",IF($K53&lt;=7,"🟡 PRÓXIMO","🟢 OK"))))</f>
        <v/>
      </c>
      <c r="M53" s="20">
        <f>IF($E53="","",TODAY()-$E53)</f>
        <v/>
      </c>
      <c r="N53" s="21" t="n"/>
      <c r="O53" s="15" t="n"/>
      <c r="P53" s="22" t="n"/>
      <c r="Q53" s="23">
        <f>IF(OR($N53="",$P53=""),"",$N53*$P53)</f>
        <v/>
      </c>
      <c r="R53" s="15" t="n"/>
      <c r="S53" s="15" t="n"/>
      <c r="T53" s="15" t="n"/>
    </row>
    <row r="54">
      <c r="A54" s="9" t="n">
        <v>50</v>
      </c>
      <c r="B54" s="15" t="n"/>
      <c r="C54" s="15" t="n"/>
      <c r="D54" s="15" t="n"/>
      <c r="E54" s="16" t="n"/>
      <c r="F54" s="17" t="n"/>
      <c r="G54" s="16" t="n"/>
      <c r="H54" s="16" t="n"/>
      <c r="I54" s="18" t="n"/>
      <c r="J54" s="24">
        <f>IF($G54="","",IF($H54="",$G54,IF($I54="",$G54,MIN($G54,$H54+$I54))))</f>
        <v/>
      </c>
      <c r="K54" s="25">
        <f>IF($J54="","",$J54-TODAY())</f>
        <v/>
      </c>
      <c r="L54" s="9">
        <f>IF($K54="","",IF($K54&lt;0,IF($F54="Consumo preferente","⚠ REVISAR (consumo preferente)","⛔ CADUCADO — RETIRAR"),IF($K54&lt;=2,"🔴 URGENTE",IF($K54&lt;=7,"🟡 PRÓXIMO","🟢 OK"))))</f>
        <v/>
      </c>
      <c r="M54" s="25">
        <f>IF($E54="","",TODAY()-$E54)</f>
        <v/>
      </c>
      <c r="N54" s="21" t="n"/>
      <c r="O54" s="15" t="n"/>
      <c r="P54" s="22" t="n"/>
      <c r="Q54" s="26">
        <f>IF(OR($N54="",$P54=""),"",$N54*$P54)</f>
        <v/>
      </c>
      <c r="R54" s="15" t="n"/>
      <c r="S54" s="15" t="n"/>
      <c r="T54" s="15" t="n"/>
    </row>
  </sheetData>
  <sheetProtection selectLockedCells="0" selectUnlockedCells="0" sheet="1" objects="0" insertRows="1" insertHyperlinks="1" autoFilter="0" scenarios="0" formatColumns="0" deleteColumns="1" insertColumns="1" pivotTables="1" deleteRows="1" formatCells="1" formatRows="0" sort="0"/>
  <autoFilter ref="A4:T54"/>
  <mergeCells count="1">
    <mergeCell ref="A1:T1"/>
  </mergeCells>
  <conditionalFormatting sqref="L5:L54">
    <cfRule type="containsText" priority="1" operator="containsText" dxfId="0" stopIfTrue="1" text="CADUCADO">
      <formula>NOT(ISERROR(SEARCH("CADUCADO",L5)))</formula>
    </cfRule>
    <cfRule type="containsText" priority="2" operator="containsText" dxfId="0" stopIfTrue="1" text="URGENTE">
      <formula>NOT(ISERROR(SEARCH("URGENTE",L5)))</formula>
    </cfRule>
    <cfRule type="containsText" priority="3" operator="containsText" dxfId="1" stopIfTrue="1" text="REVISAR">
      <formula>NOT(ISERROR(SEARCH("REVISAR",L5)))</formula>
    </cfRule>
    <cfRule type="containsText" priority="4" operator="containsText" dxfId="1" stopIfTrue="1" text="PRÓXIMO">
      <formula>NOT(ISERROR(SEARCH("PRÓXIMO",L5)))</formula>
    </cfRule>
    <cfRule type="containsText" priority="5" operator="containsText" dxfId="2" stopIfTrue="1" text="OK">
      <formula>NOT(ISERROR(SEARCH("OK",L5)))</formula>
    </cfRule>
  </conditionalFormatting>
  <dataValidations count="4">
    <dataValidation sqref="F5:F54" showDropDown="0" showInputMessage="1" showErrorMessage="1" allowBlank="1" errorTitle="Tipo de fecha no válido" error="Elige un valor de la lista." promptTitle="kitinv-c · Tipo de fecha no válido" prompt="Caducidad = perecederos (carne, pescado, lácteos frescos). Consumo preferente = secos, conservas y congelados. Vencido no significa lo mismo en los dos casos." type="list" errorStyle="stop">
      <formula1>"Caducidad,Consumo preferente"</formula1>
    </dataValidation>
    <dataValidation sqref="O5:O54" showDropDown="0" showInputMessage="1" showErrorMessage="1" allowBlank="1" errorTitle="Unidad no válida" error="Elige un valor de la lista." promptTitle="kitinv-c · Unidad no válida" prompt="La misma unidad de compra que en las otras 8 plantillas del kit." type="list" errorStyle="stop">
      <formula1>"kg,L,ud,docena,caja,bandeja,barril,saco,rollo,paquete"</formula1>
    </dataValidation>
    <dataValidation sqref="R5:R54" showDropDown="0" showInputMessage="1" showErrorMessage="1" allowBlank="1" errorTitle="Zona no válida" error="Elige un valor de la lista." promptTitle="kitinv-c · Zona no válida" prompt="Las 11 zonas de la pestaña Mapa Almacén. Si cambias los nombres allí, cambia también este desplegable." type="list" errorStyle="stop">
      <formula1>"Cámara crudos,Cámara pescado,Cámara elaborados,Cámara verduras,Congelador,Descongelación,Economato seco,Bodega,Residuos,Huevera,Almacén de químicos"</formula1>
    </dataValidation>
    <dataValidation sqref="C5:C54" showDropDown="0" showInputMessage="1" showErrorMessage="1" allowBlank="1" errorTitle="Categoría no válida" error="Elige un valor de la lista. Es la taxonomía única del kit: si cada plantilla usa palabras distintas, los SUMIF de los análisis no suman nada." promptTitle="kitinv-v2 · Categoría no válida" prompt="Las 10 categorías del kit. Son las mismas en las 9 plantillas: los análisis del 05 y del 07 agregan por este texto." type="list" errorStyle="stop">
      <formula1>"Cárnicos,Pescados,Lácteos,Verduras/Frutas,Secos/Granos,Congelados,Bebidas Alcohólicas,Bebidas No Alcohólicas,Limpieza,Otros"</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F4444"/>
    <outlinePr summaryBelow="1" summaryRight="1"/>
    <pageSetUpPr fitToPage="1"/>
  </sheetPr>
  <dimension ref="A1:D18"/>
  <sheetViews>
    <sheetView workbookViewId="0">
      <selection activeCell="A1" sqref="A1"/>
    </sheetView>
  </sheetViews>
  <sheetFormatPr baseColWidth="8" defaultRowHeight="15"/>
  <cols>
    <col width="46" customWidth="1" min="1" max="1"/>
    <col width="14" customWidth="1" min="2" max="2"/>
    <col width="20" customWidth="1" min="3" max="3"/>
    <col width="70" customWidth="1" min="4" max="4"/>
  </cols>
  <sheetData>
    <row r="1">
      <c r="A1" s="27" t="inlineStr">
        <is>
          <t>⚠️ ALERTAS DE CADUCIDAD</t>
        </is>
      </c>
    </row>
    <row r="2">
      <c r="A2" s="14" t="inlineStr">
        <is>
          <t>Todo se calcula solo desde Control FIFO. Aquí no se escribe nada.</t>
        </is>
      </c>
    </row>
    <row r="3">
      <c r="A3" s="28" t="inlineStr">
        <is>
          <t>Estado</t>
        </is>
      </c>
      <c r="B3" s="28" t="inlineStr">
        <is>
          <t>Nº de lotes</t>
        </is>
      </c>
      <c r="C3" s="28" t="inlineStr">
        <is>
          <t>Valor en riesgo (€)</t>
        </is>
      </c>
      <c r="D3" s="28" t="inlineStr">
        <is>
          <t>Qué hacer</t>
        </is>
      </c>
    </row>
    <row r="4">
      <c r="A4" t="inlineStr">
        <is>
          <t>⛔ CADUCADO — RETIRAR</t>
        </is>
      </c>
      <c r="B4" s="29">
        <f>COUNTIF('Control FIFO'!$L$5:$L$54,"*CADUCADO*")</f>
        <v>1.0</v>
      </c>
      <c r="C4" s="30">
        <f>SUMIF('Control FIFO'!$L$5:$L$54,"*CADUCADO*",'Control FIFO'!$Q$5:$Q$54)</f>
        <v>56.0</v>
      </c>
      <c r="D4" s="31" t="inlineStr">
        <is>
          <t>Retirada obligatoria y registro de merma en la plantilla 05. No se usa bajo ningún concepto.</t>
        </is>
      </c>
    </row>
    <row r="5">
      <c r="A5" s="12" t="inlineStr">
        <is>
          <t>⚠ REVISAR (consumo preferente)</t>
        </is>
      </c>
      <c r="B5" s="29">
        <f>COUNTIF('Control FIFO'!$L$5:$L$54,"*REVISAR*")</f>
        <v>1.0</v>
      </c>
      <c r="C5" s="30">
        <f>SUMIF('Control FIFO'!$L$5:$L$54,"*REVISAR*",'Control FIFO'!$Q$5:$Q$54)</f>
        <v>9.3</v>
      </c>
      <c r="D5" s="31" t="inlineStr">
        <is>
          <t>Consumo preferente vencido: revisión organoléptica (aspecto, olor, textura) antes de decidir. No es automáticamente un desecho.</t>
        </is>
      </c>
    </row>
    <row r="6">
      <c r="A6" t="inlineStr">
        <is>
          <t>🔴 URGENTE</t>
        </is>
      </c>
      <c r="B6" s="29">
        <f>COUNTIF('Control FIFO'!$L$5:$L$54,"*URGENTE*")</f>
        <v>1.0</v>
      </c>
      <c r="C6" s="30">
        <f>SUMIF('Control FIFO'!$L$5:$L$54,"*URGENTE*",'Control FIFO'!$Q$5:$Q$54)</f>
        <v>39.0</v>
      </c>
      <c r="D6" s="31" t="inlineStr">
        <is>
          <t>Quedan 2 días o menos: al servicio de hoy.</t>
        </is>
      </c>
    </row>
    <row r="7">
      <c r="A7" s="3" t="inlineStr">
        <is>
          <t>🟡 PRÓXIMO</t>
        </is>
      </c>
      <c r="B7" s="29">
        <f>COUNTIF('Control FIFO'!$L$5:$L$54,"*PRÓXIMO*")</f>
        <v>2.0</v>
      </c>
      <c r="C7" s="30">
        <f>SUMIF('Control FIFO'!$L$5:$L$54,"*PRÓXIMO*",'Control FIFO'!$Q$5:$Q$54)</f>
        <v>52.5</v>
      </c>
      <c r="D7" s="31" t="inlineStr">
        <is>
          <t>Quedan 7 días o menos: priorízalo en la producción de la semana.</t>
        </is>
      </c>
    </row>
    <row r="8">
      <c r="A8" s="3" t="inlineStr">
        <is>
          <t>🟢 OK</t>
        </is>
      </c>
      <c r="B8" s="29">
        <f>COUNTIF('Control FIFO'!$L$5:$L$54,"*OK*")</f>
        <v>1.0</v>
      </c>
      <c r="C8" s="30">
        <f>SUMIF('Control FIFO'!$L$5:$L$54,"*OK*",'Control FIFO'!$Q$5:$Q$54)</f>
        <v>29.0</v>
      </c>
      <c r="D8" s="31" t="inlineStr">
        <is>
          <t>Fuera de riesgo. Colócalo detrás de lo que caduca antes.</t>
        </is>
      </c>
    </row>
    <row r="9">
      <c r="A9" s="32" t="inlineStr">
        <is>
          <t>VALOR REALMENTE EN RIESGO (todo menos 🟢 OK)</t>
        </is>
      </c>
      <c r="B9" s="33">
        <f>SUM($B$4:$B$7)</f>
        <v>5.0</v>
      </c>
      <c r="C9" s="34">
        <f>SUM($C$4:$C$7)</f>
        <v>156.8</v>
      </c>
      <c r="D9" s="31" t="inlineStr">
        <is>
          <t>Es la suma de los cuatro estados de arriba, sin los que están fuera de riesgo. Éste es el número que mueve a alguien.</t>
        </is>
      </c>
    </row>
    <row r="10">
      <c r="A10" s="35" t="inlineStr">
        <is>
          <t>TOTAL de lotes registrados / valor total del stock</t>
        </is>
      </c>
      <c r="B10" s="33">
        <f>COUNTIF('Control FIFO'!$B$5:$B$54,"&lt;&gt;")</f>
        <v>6.0</v>
      </c>
      <c r="C10" s="34">
        <f>SUM('Control FIFO'!$Q$5:$Q$54)</f>
        <v>185.8</v>
      </c>
      <c r="D10" s="31" t="inlineStr">
        <is>
          <t>Todo el stock que tienes registrado en Control FIFO, esté o no en riesgo. No lo confundas con la fila de arriba.</t>
        </is>
      </c>
    </row>
    <row r="11"/>
    <row r="12">
      <c r="A12" s="36" t="inlineStr">
        <is>
          <t>PROTOCOLO DE ACTUACIÓN</t>
        </is>
      </c>
    </row>
    <row r="13">
      <c r="A13" s="31" t="inlineStr">
        <is>
          <t>1. ⛔ CADUCADO — RETIRAR: retirada obligatoria del producto, baja del stock y registro en la plantilla 05 (Control de Mermas). Un producto con la fecha de caducidad vencida no se usa bajo ningún concepto, ni para personal ni para elaboraciones.</t>
        </is>
      </c>
    </row>
    <row r="14">
      <c r="A14" s="31" t="inlineStr">
        <is>
          <t>2. ⚠ REVISAR (consumo preferente): la fecha de consumo preferente vencida NO obliga a tirar. Revisión organoléptica (aspecto, olor, textura) y decisión del responsable; si hay duda, se retira.</t>
        </is>
      </c>
    </row>
    <row r="15">
      <c r="A15" s="31" t="inlineStr">
        <is>
          <t>3. 🔴 URGENTE: al servicio de HOY. Anótalo en el briefing y colócalo delante de todo.</t>
        </is>
      </c>
    </row>
    <row r="16">
      <c r="A16" s="31" t="inlineStr">
        <is>
          <t>4. 🟡 PRÓXIMO: priorízalo en la producción de la semana y revísalo al inicio de cada turno de mañana.</t>
        </is>
      </c>
    </row>
    <row r="17"/>
    <row r="18">
      <c r="A18" s="14" t="inlineStr">
        <is>
          <t>Para verlos uno a uno: en Control FIFO, flecha del encabezado Estado y filtra por el que quieras. El autofiltro ya está puesto.</t>
        </is>
      </c>
    </row>
  </sheetData>
  <sheetProtection selectLockedCells="0" selectUnlockedCells="0" sheet="1" objects="0" insertRows="1" insertHyperlinks="1" autoFilter="0"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43A047"/>
    <outlinePr summaryBelow="1" summaryRight="1"/>
    <pageSetUpPr fitToPage="1"/>
  </sheetPr>
  <dimension ref="A1:E16"/>
  <sheetViews>
    <sheetView workbookViewId="0">
      <pane ySplit="3" topLeftCell="A4" activePane="bottomLeft" state="frozen"/>
      <selection pane="bottomLeft" activeCell="A1" sqref="A1"/>
    </sheetView>
  </sheetViews>
  <sheetFormatPr baseColWidth="8" defaultRowHeight="15"/>
  <cols>
    <col width="22" customWidth="1" min="1" max="1"/>
    <col width="34" customWidth="1" min="2" max="2"/>
    <col width="46" customWidth="1" min="3" max="3"/>
    <col width="16" customWidth="1" min="4" max="4"/>
    <col width="52" customWidth="1" min="5" max="5"/>
  </cols>
  <sheetData>
    <row r="1">
      <c r="A1" s="5" t="inlineStr">
        <is>
          <t>MAPA DE ALMACÉN — ZONAS DE ALMACENAMIENTO</t>
        </is>
      </c>
    </row>
    <row r="2"/>
    <row r="3">
      <c r="A3" s="7" t="inlineStr">
        <is>
          <t>Zona</t>
        </is>
      </c>
      <c r="B3" s="7" t="inlineStr">
        <is>
          <t>Temperatura</t>
        </is>
      </c>
      <c r="C3" s="7" t="inlineStr">
        <is>
          <t>Qué se guarda aquí</t>
        </is>
      </c>
      <c r="D3" s="7" t="inlineStr">
        <is>
          <t>Capacidad</t>
        </is>
      </c>
      <c r="E3" s="7" t="inlineStr">
        <is>
          <t>Notas</t>
        </is>
      </c>
    </row>
    <row r="4">
      <c r="A4" s="8" t="inlineStr">
        <is>
          <t>Cámara crudos</t>
        </is>
      </c>
      <c r="B4" s="15" t="inlineStr">
        <is>
          <t>0-4 °C</t>
        </is>
      </c>
      <c r="C4" s="15" t="inlineStr">
        <is>
          <t>Carne, aves y caza crudas; siempre por debajo de todo lo demás</t>
        </is>
      </c>
      <c r="D4" s="15" t="inlineStr">
        <is>
          <t>2 estanterías</t>
        </is>
      </c>
      <c r="E4" s="15" t="inlineStr">
        <is>
          <t>Nunca en la misma cámara que producto listo para consumo.</t>
        </is>
      </c>
    </row>
    <row r="5">
      <c r="A5" s="9" t="inlineStr">
        <is>
          <t>Cámara pescado</t>
        </is>
      </c>
      <c r="B5" s="15" t="inlineStr">
        <is>
          <t>0-2 °C</t>
        </is>
      </c>
      <c r="C5" s="15" t="inlineStr">
        <is>
          <t>Pescados y mariscos sobre hielo fundente</t>
        </is>
      </c>
      <c r="D5" s="15" t="inlineStr">
        <is>
          <t>1 mesa fría</t>
        </is>
      </c>
      <c r="E5" s="15" t="inlineStr">
        <is>
          <t>Hielo fundente con desagüe; reponer en cada servicio.</t>
        </is>
      </c>
    </row>
    <row r="6">
      <c r="A6" s="8" t="inlineStr">
        <is>
          <t>Cámara elaborados</t>
        </is>
      </c>
      <c r="B6" s="15" t="inlineStr">
        <is>
          <t>0-4 °C</t>
        </is>
      </c>
      <c r="C6" s="15" t="inlineStr">
        <is>
          <t>Lácteos, elaborados propios, 5.ª gama y postres</t>
        </is>
      </c>
      <c r="D6" s="15" t="inlineStr">
        <is>
          <t>3 estanterías</t>
        </is>
      </c>
      <c r="E6" s="15" t="inlineStr">
        <is>
          <t>Todo tapado, etiquetado y fechado. Nunca junto a crudos.</t>
        </is>
      </c>
    </row>
    <row r="7">
      <c r="A7" s="9" t="inlineStr">
        <is>
          <t>Cámara verduras</t>
        </is>
      </c>
      <c r="B7" s="15" t="inlineStr">
        <is>
          <t>4-8 °C</t>
        </is>
      </c>
      <c r="C7" s="15" t="inlineStr">
        <is>
          <t>Verduras y frutas</t>
        </is>
      </c>
      <c r="D7" s="15" t="inlineStr">
        <is>
          <t>2 estanterías</t>
        </is>
      </c>
      <c r="E7" s="15" t="inlineStr">
        <is>
          <t>Sin lavar hasta el momento de uso; aparta la fruta que emite etileno.</t>
        </is>
      </c>
    </row>
    <row r="8">
      <c r="A8" s="8" t="inlineStr">
        <is>
          <t>Congelador</t>
        </is>
      </c>
      <c r="B8" s="15" t="inlineStr">
        <is>
          <t>≤ -18 °C</t>
        </is>
      </c>
      <c r="C8" s="15" t="inlineStr">
        <is>
          <t>Congelados</t>
        </is>
      </c>
      <c r="D8" s="15" t="inlineStr">
        <is>
          <t>1 arcón</t>
        </is>
      </c>
      <c r="E8" s="15" t="inlineStr">
        <is>
          <t>Anota la fecha de congelación. Nunca recongelar lo descongelado.</t>
        </is>
      </c>
    </row>
    <row r="9">
      <c r="A9" s="9" t="inlineStr">
        <is>
          <t>Descongelación</t>
        </is>
      </c>
      <c r="B9" s="15" t="inlineStr">
        <is>
          <t>0-4 °C</t>
        </is>
      </c>
      <c r="C9" s="15" t="inlineStr">
        <is>
          <t>Producto en descongelación, identificado</t>
        </is>
      </c>
      <c r="D9" s="15" t="inlineStr">
        <is>
          <t>1 estantería</t>
        </is>
      </c>
      <c r="E9" s="15" t="inlineStr">
        <is>
          <t>Bandeja con rejilla, tapado y etiquetado EN DESCONGELACIÓN con fecha.</t>
        </is>
      </c>
    </row>
    <row r="10">
      <c r="A10" s="8" t="inlineStr">
        <is>
          <t>Economato seco</t>
        </is>
      </c>
      <c r="B10" s="15" t="inlineStr">
        <is>
          <t>Lugar fresco y seco, &lt; 25 °C y HR &lt; 60 %</t>
        </is>
      </c>
      <c r="C10" s="15" t="inlineStr">
        <is>
          <t>Secos y granos, conservas y bebidas no alcohólicas</t>
        </is>
      </c>
      <c r="D10" s="15" t="inlineStr">
        <is>
          <t>4 estanterías</t>
        </is>
      </c>
      <c r="E10" s="15" t="inlineStr">
        <is>
          <t>Producto a ≥ 10 cm del suelo y separado de la pared.</t>
        </is>
      </c>
    </row>
    <row r="11">
      <c r="A11" s="9" t="inlineStr">
        <is>
          <t>Bodega</t>
        </is>
      </c>
      <c r="B11" s="15" t="inlineStr">
        <is>
          <t>12-16 °C</t>
        </is>
      </c>
      <c r="C11" s="15" t="inlineStr">
        <is>
          <t>Bebidas alcohólicas</t>
        </is>
      </c>
      <c r="D11" s="15" t="inlineStr">
        <is>
          <t>1 botellero</t>
        </is>
      </c>
      <c r="E11" s="15" t="inlineStr">
        <is>
          <t>Sin luz directa ni vibraciones; botellas tumbadas.</t>
        </is>
      </c>
    </row>
    <row r="12">
      <c r="A12" s="8" t="inlineStr">
        <is>
          <t>Residuos</t>
        </is>
      </c>
      <c r="B12" s="15" t="inlineStr">
        <is>
          <t>Ambiente, zona separada</t>
        </is>
      </c>
      <c r="C12" s="15" t="inlineStr">
        <is>
          <t>Residuos y envases</t>
        </is>
      </c>
      <c r="D12" s="15" t="inlineStr">
        <is>
          <t>3 contenedores</t>
        </is>
      </c>
      <c r="E12" s="15" t="inlineStr">
        <is>
          <t>Fuera del circuito de alimentos; cubos con tapa y pedal.</t>
        </is>
      </c>
    </row>
    <row r="13">
      <c r="A13" s="9" t="inlineStr">
        <is>
          <t>Huevera</t>
        </is>
      </c>
      <c r="B13" s="15" t="inlineStr">
        <is>
          <t>Ambiente constante, 12-20 °C</t>
        </is>
      </c>
      <c r="C13" s="15" t="inlineStr">
        <is>
          <t>Huevos: NO refrigerar antes de la venta</t>
        </is>
      </c>
      <c r="D13" s="15" t="inlineStr">
        <is>
          <t>1 estantería</t>
        </is>
      </c>
      <c r="E13" s="15" t="inlineStr">
        <is>
          <t>Sin cambios bruscos de temperatura: la condensación en la cáscara facilita la entrada de Salmonella (Reg. (CE) 589/2008, art. 2).</t>
        </is>
      </c>
    </row>
    <row r="14">
      <c r="A14" s="8" t="inlineStr">
        <is>
          <t>Almacén de químicos</t>
        </is>
      </c>
      <c r="B14" s="15" t="inlineStr">
        <is>
          <t>Ambiente, zona separada y señalizada</t>
        </is>
      </c>
      <c r="C14" s="15" t="inlineStr">
        <is>
          <t>Productos de limpieza, desinfectantes y sus fichas de datos de seguridad</t>
        </is>
      </c>
      <c r="D14" s="15" t="inlineStr">
        <is>
          <t>1 armario</t>
        </is>
      </c>
      <c r="E14" s="15" t="inlineStr">
        <is>
          <t>Separado y señalizado; NUNCA sobre ni junto a alimentos ni sobre superficies de trabajo (Reg. (CE) 852/2004, Anexo II, Cap. IX).</t>
        </is>
      </c>
    </row>
    <row r="15"/>
    <row r="16">
      <c r="A16" s="14" t="inlineStr">
        <is>
          <t>Zonas de ejemplo: cámbialas por las tuyas. Los nombres de la columna Zona son los que salen en el desplegable de Control FIFO, así que si los editas, edita también ese desplegable. La separación crudo / elaborado no es opcional, y los productos de limpieza y los químicos NUNCA van en el economato de los alimentos: son las dos primeras cosas que mira una inspección.</t>
        </is>
      </c>
    </row>
  </sheetData>
  <sheetProtection selectLockedCells="0" selectUnlockedCells="0" sheet="1" objects="0" insertRows="1" insertHyperlinks="1" autoFilter="0"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FIFO y Caducidades · Kit Control de Inventario y Compras</dc:title>
  <dc:description xmlns:dc="http://purl.org/dc/elements/1.1/">aichef.pro/kit-inventario</dc:description>
  <dc:subject xmlns:dc="http://purl.org/dc/elements/1.1/">Kit Control de Inventario y Compras · v2.0</dc:subject>
  <dcterms:created xmlns:dcterms="http://purl.org/dc/terms/" xmlns:xsi="http://www.w3.org/2001/XMLSchema-instance" xsi:type="dcterms:W3CDTF">2026-04-05T09:47:46Z</dcterms:created>
  <dcterms:modified xmlns:dcterms="http://purl.org/dc/terms/" xmlns:xsi="http://www.w3.org/2001/XMLSchema-instance" xsi:type="dcterms:W3CDTF">2026-08-23T23:12:28Z</dcterms:modified>
  <cp:lastModifiedBy>AI Chef Pro</cp:lastModifiedBy>
  <cp:category>AI Chef Pro · Productos digitales</cp:category>
  <cp:keywords>kit inventario, AI Chef Pro</cp:keywords>
</cp:coreProperties>
</file>