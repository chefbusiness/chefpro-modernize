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culadora" sheetId="2" state="visible" r:id="rId2"/>
    <sheet xmlns:r="http://schemas.openxmlformats.org/officeDocument/2006/relationships" name="Parámetros" sheetId="3" state="visible" r:id="rId3"/>
  </sheets>
  <definedNames>
    <definedName name="_xlnm.Print_Titles" localSheetId="1">'Calculadora'!$3:$3</definedName>
    <definedName name="_xlnm.Print_Area" localSheetId="1">'Calculadora'!$A$1:$O$35</definedName>
    <definedName name="_xlnm.Print_Titles" localSheetId="2">'Parámetros'!$3:$3</definedName>
    <definedName name="_xlnm.Print_Area" localSheetId="2">'Parámetros'!$A$1:$D$15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b val="1"/>
      <color rgb="00FFFFFF"/>
      <sz val="10"/>
    </font>
    <font>
      <b val="1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vertical="center" wrapText="1"/>
      <protection locked="0" hidden="0"/>
    </xf>
    <xf numFmtId="4" fontId="3" fillId="4" borderId="1" applyAlignment="1" applyProtection="1" pivotButton="0" quotePrefix="0" xfId="0">
      <alignment vertical="center" wrapText="1"/>
      <protection locked="0" hidden="0"/>
    </xf>
    <xf numFmtId="1" fontId="3" fillId="4" borderId="1" applyAlignment="1" applyProtection="1" pivotButton="0" quotePrefix="0" xfId="0">
      <alignment vertical="center" wrapText="1"/>
      <protection locked="0" hidden="0"/>
    </xf>
    <xf numFmtId="4" fontId="3" fillId="0" borderId="1" applyAlignment="1" pivotButton="0" quotePrefix="0" xfId="0">
      <alignment vertical="center" wrapText="1"/>
    </xf>
    <xf numFmtId="164" fontId="3" fillId="4" borderId="1" applyAlignment="1" applyProtection="1" pivotButton="0" quotePrefix="0" xfId="0">
      <alignment vertical="center" wrapText="1"/>
      <protection locked="0" hidden="0"/>
    </xf>
    <xf numFmtId="1" fontId="3" fillId="0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1" fontId="3" fillId="3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BONUS: Calculadora Punto de Pedido</t>
        </is>
      </c>
    </row>
    <row r="2">
      <c r="A2" s="2" t="inlineStr">
        <is>
          <t>AI Chef Pro — aichef.pro</t>
        </is>
      </c>
    </row>
    <row r="3">
      <c r="A3" s="3" t="n"/>
    </row>
    <row r="4">
      <c r="A4" s="4" t="inlineStr">
        <is>
          <t>Calcula cuándo hay que pedir cada producto y cuánto conviene pedir.</t>
        </is>
      </c>
    </row>
    <row r="5">
      <c r="A5" s="4" t="n"/>
    </row>
    <row r="6">
      <c r="A6" s="4" t="inlineStr">
        <is>
          <t>LAS DOS FÓRMULAS:</t>
        </is>
      </c>
    </row>
    <row r="7">
      <c r="A7" s="4" t="inlineStr">
        <is>
          <t>Punto de pedido = consumo diario × lead time + stock de seguridad</t>
        </is>
      </c>
    </row>
    <row r="8">
      <c r="A8" s="4" t="inlineStr">
        <is>
          <t>Stock de seguridad = consumo diario × días de cobertura (por eso la cobertura se teclea en DÍAS y la columna de al lado la pasa a unidades)</t>
        </is>
      </c>
    </row>
    <row r="9">
      <c r="A9" s="4" t="n"/>
    </row>
    <row r="10">
      <c r="A10" s="4" t="inlineStr">
        <is>
          <t>PESTAÑAS:</t>
        </is>
      </c>
    </row>
    <row r="11">
      <c r="A11" s="4" t="inlineStr">
        <is>
          <t>1. Calculadora — una línea por producto; las columnas SIN fondo verde se calculan solas (en este kit el verde es siempre lo que escribes tú)</t>
        </is>
      </c>
    </row>
    <row r="12">
      <c r="A12" s="4" t="inlineStr">
        <is>
          <t>2. Parámetros — coste de pedido, coste de almacenamiento y factor de vida útil, editables; de ahí salen las EOQ y el tope de la cantidad sugerida</t>
        </is>
      </c>
    </row>
    <row r="13">
      <c r="A13" s="4" t="n"/>
    </row>
    <row r="14">
      <c r="A14" s="4" t="inlineStr">
        <is>
          <t>CÓMO SE USA:</t>
        </is>
      </c>
    </row>
    <row r="15">
      <c r="A15" s="4" t="inlineStr">
        <is>
          <t>Rellena las casillas verdes: consumo diario, lead time, cobertura, precio, vida útil y proveedor.</t>
        </is>
      </c>
    </row>
    <row r="16">
      <c r="A16" s="4" t="inlineStr">
        <is>
          <t>Cuando el stock caiga hasta el punto de pedido, cursa el pedido. Ni antes ni después.</t>
        </is>
      </c>
    </row>
    <row r="17">
      <c r="A17" s="4" t="inlineStr">
        <is>
          <t>La EOQ teórica es la fórmula de Wilson: el lote que minimiza el coste de pedir más el de tener el género parado. Sale del precio y de los dos parámetros de la otra pestaña, no de dos números escondidos dentro de la fórmula.</t>
        </is>
      </c>
    </row>
    <row r="18">
      <c r="A18" s="4" t="inlineStr">
        <is>
          <t>La cantidad sugerida CAPA esa EOQ tres veces, y manda la más pequeña de las tres: la propia EOQ, el 70 % de lo que consumes dentro de la vida útil (la EOQ ignora que la comida se estropea) y tu stock máximo (de nada sirve pedir más de lo que te cabe en cámara).</t>
        </is>
      </c>
    </row>
    <row r="19">
      <c r="A19" s="4" t="inlineStr">
        <is>
          <t>El ejemplo de la leche, con los números del propio fichero: 8 L/día, 12 días de vida útil y un stock máximo de 60 L. La EOQ da 287 L. El tope por vida útil la baja a 67 L, que es el 70 % de esos 12 días — ocho días y medio de consumo, no doce: el 30 % restante es el margen para un día flojo. Y el stock máximo la deja finalmente en 60 L.</t>
        </is>
      </c>
    </row>
    <row r="20"/>
    <row r="21">
      <c r="A21" s="4" t="inlineStr">
        <is>
          <t>Los parámetros vienen con 3 € de coste de pedido, un 25 % anual de coste de almacenamiento y un 70 % de factor de vida útil. Cámbialos por los tuyos en Parámetros: son tres celdas verdes y afectan a las 30 líneas.</t>
        </is>
      </c>
    </row>
    <row r="22">
      <c r="A22" s="4" t="inlineStr">
        <is>
          <t>Las 8 primeras líneas traen datos de ejemplo coherentes con la plantilla 01 del kit: el consumo diario está elegido para que el punto de pedido de aquí sea EXACTAMENTE el par level de allí, y el stock máximo es su par MAX. Bórralos y pon los tuyos.</t>
        </is>
      </c>
    </row>
    <row r="23"/>
    <row r="24">
      <c r="A24" s="10" t="inlineStr">
        <is>
          <t>Para editar una celda bloqueada: Revisar → Desproteger hoja (no tiene contraseña). Las celdas verdes ya son editables sin desproteger nada.</t>
        </is>
      </c>
    </row>
    <row r="25">
      <c r="A25" s="10" t="inlineStr">
        <is>
          <t>Diseñado por John Guerrero — chef y consultor gastronómico desde 2010, en cocina desde los 17 años · johnguerrero.es</t>
        </is>
      </c>
    </row>
    <row r="26">
      <c r="A26" s="10" t="inlineStr">
        <is>
          <t>Versión 2.0 · agosto 2026 · aichef.pro/kit-inventario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O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7" customWidth="1" min="4" max="4"/>
    <col width="14" customWidth="1" min="5" max="5"/>
    <col width="18" customWidth="1" min="6" max="6"/>
    <col width="17" customWidth="1" min="7" max="7"/>
    <col width="17" customWidth="1" min="8" max="8"/>
    <col width="14" customWidth="1" min="9" max="9"/>
    <col width="14" customWidth="1" min="10" max="10"/>
    <col width="20" customWidth="1" min="11" max="11"/>
    <col width="15" customWidth="1" min="12" max="12"/>
    <col width="20" customWidth="1" min="13" max="13"/>
    <col width="18" customWidth="1" min="14" max="14"/>
    <col width="30" customWidth="1" min="15" max="15"/>
  </cols>
  <sheetData>
    <row r="1">
      <c r="A1" s="5" t="inlineStr">
        <is>
          <t>CALCULADORA — PUNTO DE PEDIDO ÓPTIMO</t>
        </is>
      </c>
    </row>
    <row r="2">
      <c r="A2" s="11" t="inlineStr">
        <is>
          <t>Datos de ejemplo; precios orientativos SIN IVA, edítalos con los tuyos. El consumo diario y la vida útil son los de TU casa: los de ejemplo son de un restaurante de menú de 60 comensales y salen de la MISMA tabla que los par levels de la plantilla 01, así que el punto de pedido de aquí y el par level de allí son el mismo número.</t>
        </is>
      </c>
    </row>
    <row r="3">
      <c r="A3" s="6" t="inlineStr">
        <is>
          <t>#</t>
        </is>
      </c>
      <c r="B3" s="6" t="inlineStr">
        <is>
          <t>Producto</t>
        </is>
      </c>
      <c r="C3" s="6" t="inlineStr">
        <is>
          <t>Categoría</t>
        </is>
      </c>
      <c r="D3" s="6" t="inlineStr">
        <is>
          <t>Consumo diario (ud/día)</t>
        </is>
      </c>
      <c r="E3" s="6" t="inlineStr">
        <is>
          <t>Lead time (días)</t>
        </is>
      </c>
      <c r="F3" s="6" t="inlineStr">
        <is>
          <t>Cobertura de seguridad (días)</t>
        </is>
      </c>
      <c r="G3" s="6" t="inlineStr">
        <is>
          <t>Stock de seguridad (ud)</t>
        </is>
      </c>
      <c r="H3" s="6" t="inlineStr">
        <is>
          <t>Punto de pedido (ud)</t>
        </is>
      </c>
      <c r="I3" s="6" t="inlineStr">
        <is>
          <t>Precio/ud (€)</t>
        </is>
      </c>
      <c r="J3" s="6" t="inlineStr">
        <is>
          <t>Vida útil (días)</t>
        </is>
      </c>
      <c r="K3" s="6" t="inlineStr">
        <is>
          <t>Stock máximo (ud) — par max del 01</t>
        </is>
      </c>
      <c r="L3" s="6" t="inlineStr">
        <is>
          <t>EOQ teórica (ud)</t>
        </is>
      </c>
      <c r="M3" s="6" t="inlineStr">
        <is>
          <t>Cantidad a pedir sugerida (ud)</t>
        </is>
      </c>
      <c r="N3" s="6" t="inlineStr">
        <is>
          <t>Frecuencia de pedido (días)</t>
        </is>
      </c>
      <c r="O3" s="6" t="inlineStr">
        <is>
          <t>Proveedor</t>
        </is>
      </c>
    </row>
    <row r="4">
      <c r="A4" s="7" t="n">
        <v>1</v>
      </c>
      <c r="B4" s="12" t="inlineStr">
        <is>
          <t>Pechuga de pollo</t>
        </is>
      </c>
      <c r="C4" s="12" t="inlineStr">
        <is>
          <t>Cárnicos</t>
        </is>
      </c>
      <c r="D4" s="13" t="n">
        <v>4</v>
      </c>
      <c r="E4" s="14" t="n">
        <v>1</v>
      </c>
      <c r="F4" s="14" t="n">
        <v>1</v>
      </c>
      <c r="G4" s="15">
        <f>IF(OR($D4="",$F4=""),"",$D4*$F4)</f>
        <v>4.0</v>
      </c>
      <c r="H4" s="15">
        <f>IF(OR($D4="",$E4="",$F4=""),"",$D4*$E4+$G4)</f>
        <v>8.0</v>
      </c>
      <c r="I4" s="16" t="n">
        <v>6.5</v>
      </c>
      <c r="J4" s="14" t="n">
        <v>4</v>
      </c>
      <c r="K4" s="13" t="n">
        <v>20</v>
      </c>
      <c r="L4" s="15">
        <f>IFERROR(IF(OR($D4="",$D4&lt;=0,$I4="",$I4&lt;=0,Parámetros!$D$4&lt;=0,Parámetros!$D$5&lt;=0),"",ROUND(SQRT(2*$D4*365*Parámetros!$D$4/($I4*Parámetros!$D$5)),0)),"")</f>
        <v>73.0</v>
      </c>
      <c r="M4" s="15">
        <f>IFERROR(IF(OR($L4="",$J4=""),"",MIN($L4,ROUND($D4*$J4*Parámetros!$D$12,0),IF($K4="",$L4,$K4))),"")</f>
        <v>11.0</v>
      </c>
      <c r="N4" s="17">
        <f>IF(OR($D4="",$D4&lt;=0,$M4=""),"",ROUND($M4/$D4,0))</f>
        <v>3.0</v>
      </c>
      <c r="O4" s="12" t="inlineStr">
        <is>
          <t>Cárnicas del Norte (ejemplo)</t>
        </is>
      </c>
    </row>
    <row r="5">
      <c r="A5" s="8" t="n">
        <v>2</v>
      </c>
      <c r="B5" s="12" t="inlineStr">
        <is>
          <t>Solomillo de ternera</t>
        </is>
      </c>
      <c r="C5" s="12" t="inlineStr">
        <is>
          <t>Cárnicos</t>
        </is>
      </c>
      <c r="D5" s="13" t="n">
        <v>1</v>
      </c>
      <c r="E5" s="14" t="n">
        <v>2</v>
      </c>
      <c r="F5" s="14" t="n">
        <v>1</v>
      </c>
      <c r="G5" s="18">
        <f>IF(OR($D5="",$F5=""),"",$D5*$F5)</f>
        <v>1.0</v>
      </c>
      <c r="H5" s="18">
        <f>IF(OR($D5="",$E5="",$F5=""),"",$D5*$E5+$G5)</f>
        <v>3.0</v>
      </c>
      <c r="I5" s="16" t="n">
        <v>32</v>
      </c>
      <c r="J5" s="14" t="n">
        <v>8</v>
      </c>
      <c r="K5" s="13" t="n">
        <v>8</v>
      </c>
      <c r="L5" s="18">
        <f>IFERROR(IF(OR($D5="",$D5&lt;=0,$I5="",$I5&lt;=0,Parámetros!$D$4&lt;=0,Parámetros!$D$5&lt;=0),"",ROUND(SQRT(2*$D5*365*Parámetros!$D$4/($I5*Parámetros!$D$5)),0)),"")</f>
        <v>17.0</v>
      </c>
      <c r="M5" s="18">
        <f>IFERROR(IF(OR($L5="",$J5=""),"",MIN($L5,ROUND($D5*$J5*Parámetros!$D$12,0),IF($K5="",$L5,$K5))),"")</f>
        <v>6.0</v>
      </c>
      <c r="N5" s="19">
        <f>IF(OR($D5="",$D5&lt;=0,$M5=""),"",ROUND($M5/$D5,0))</f>
        <v>6.0</v>
      </c>
      <c r="O5" s="12" t="inlineStr">
        <is>
          <t>Cárnicas del Norte (ejemplo)</t>
        </is>
      </c>
    </row>
    <row r="6">
      <c r="A6" s="7" t="n">
        <v>3</v>
      </c>
      <c r="B6" s="12" t="inlineStr">
        <is>
          <t>Salmón fresco</t>
        </is>
      </c>
      <c r="C6" s="12" t="inlineStr">
        <is>
          <t>Pescados</t>
        </is>
      </c>
      <c r="D6" s="13" t="n">
        <v>2</v>
      </c>
      <c r="E6" s="14" t="n">
        <v>1</v>
      </c>
      <c r="F6" s="14" t="n">
        <v>1</v>
      </c>
      <c r="G6" s="15">
        <f>IF(OR($D6="",$F6=""),"",$D6*$F6)</f>
        <v>2.0</v>
      </c>
      <c r="H6" s="15">
        <f>IF(OR($D6="",$E6="",$F6=""),"",$D6*$E6+$G6)</f>
        <v>4.0</v>
      </c>
      <c r="I6" s="16" t="n">
        <v>14</v>
      </c>
      <c r="J6" s="14" t="n">
        <v>3</v>
      </c>
      <c r="K6" s="13" t="n">
        <v>10</v>
      </c>
      <c r="L6" s="15">
        <f>IFERROR(IF(OR($D6="",$D6&lt;=0,$I6="",$I6&lt;=0,Parámetros!$D$4&lt;=0,Parámetros!$D$5&lt;=0),"",ROUND(SQRT(2*$D6*365*Parámetros!$D$4/($I6*Parámetros!$D$5)),0)),"")</f>
        <v>35.0</v>
      </c>
      <c r="M6" s="15">
        <f>IFERROR(IF(OR($L6="",$J6=""),"",MIN($L6,ROUND($D6*$J6*Parámetros!$D$12,0),IF($K6="",$L6,$K6))),"")</f>
        <v>4.0</v>
      </c>
      <c r="N6" s="17">
        <f>IF(OR($D6="",$D6&lt;=0,$M6=""),"",ROUND($M6/$D6,0))</f>
        <v>2.0</v>
      </c>
      <c r="O6" s="12" t="inlineStr">
        <is>
          <t>Pescados Ría Fresca (ejemplo)</t>
        </is>
      </c>
    </row>
    <row r="7">
      <c r="A7" s="8" t="n">
        <v>4</v>
      </c>
      <c r="B7" s="12" t="inlineStr">
        <is>
          <t>Leche entera</t>
        </is>
      </c>
      <c r="C7" s="12" t="inlineStr">
        <is>
          <t>Lácteos</t>
        </is>
      </c>
      <c r="D7" s="13" t="n">
        <v>8</v>
      </c>
      <c r="E7" s="14" t="n">
        <v>2</v>
      </c>
      <c r="F7" s="14" t="n">
        <v>1</v>
      </c>
      <c r="G7" s="18">
        <f>IF(OR($D7="",$F7=""),"",$D7*$F7)</f>
        <v>8.0</v>
      </c>
      <c r="H7" s="18">
        <f>IF(OR($D7="",$E7="",$F7=""),"",$D7*$E7+$G7)</f>
        <v>24.0</v>
      </c>
      <c r="I7" s="16" t="n">
        <v>0.85</v>
      </c>
      <c r="J7" s="14" t="n">
        <v>12</v>
      </c>
      <c r="K7" s="13" t="n">
        <v>60</v>
      </c>
      <c r="L7" s="18">
        <f>IFERROR(IF(OR($D7="",$D7&lt;=0,$I7="",$I7&lt;=0,Parámetros!$D$4&lt;=0,Parámetros!$D$5&lt;=0),"",ROUND(SQRT(2*$D7*365*Parámetros!$D$4/($I7*Parámetros!$D$5)),0)),"")</f>
        <v>287.0</v>
      </c>
      <c r="M7" s="18">
        <f>IFERROR(IF(OR($L7="",$J7=""),"",MIN($L7,ROUND($D7*$J7*Parámetros!$D$12,0),IF($K7="",$L7,$K7))),"")</f>
        <v>60.0</v>
      </c>
      <c r="N7" s="19">
        <f>IF(OR($D7="",$D7&lt;=0,$M7=""),"",ROUND($M7/$D7,0))</f>
        <v>8.0</v>
      </c>
      <c r="O7" s="12" t="inlineStr">
        <is>
          <t>Distribuciones Economato Sur (ejemplo)</t>
        </is>
      </c>
    </row>
    <row r="8">
      <c r="A8" s="7" t="n">
        <v>5</v>
      </c>
      <c r="B8" s="12" t="inlineStr">
        <is>
          <t>Patata</t>
        </is>
      </c>
      <c r="C8" s="12" t="inlineStr">
        <is>
          <t>Verduras/Frutas</t>
        </is>
      </c>
      <c r="D8" s="13" t="n">
        <v>6.25</v>
      </c>
      <c r="E8" s="14" t="n">
        <v>2</v>
      </c>
      <c r="F8" s="14" t="n">
        <v>2</v>
      </c>
      <c r="G8" s="15">
        <f>IF(OR($D8="",$F8=""),"",$D8*$F8)</f>
        <v>12.5</v>
      </c>
      <c r="H8" s="15">
        <f>IF(OR($D8="",$E8="",$F8=""),"",$D8*$E8+$G8)</f>
        <v>25.0</v>
      </c>
      <c r="I8" s="16" t="n">
        <v>0.85</v>
      </c>
      <c r="J8" s="14" t="n">
        <v>30</v>
      </c>
      <c r="K8" s="13" t="n">
        <v>60</v>
      </c>
      <c r="L8" s="15">
        <f>IFERROR(IF(OR($D8="",$D8&lt;=0,$I8="",$I8&lt;=0,Parámetros!$D$4&lt;=0,Parámetros!$D$5&lt;=0),"",ROUND(SQRT(2*$D8*365*Parámetros!$D$4/($I8*Parámetros!$D$5)),0)),"")</f>
        <v>254.0</v>
      </c>
      <c r="M8" s="15">
        <f>IFERROR(IF(OR($L8="",$J8=""),"",MIN($L8,ROUND($D8*$J8*Parámetros!$D$12,0),IF($K8="",$L8,$K8))),"")</f>
        <v>60.0</v>
      </c>
      <c r="N8" s="17">
        <f>IF(OR($D8="",$D8&lt;=0,$M8=""),"",ROUND($M8/$D8,0))</f>
        <v>10.0</v>
      </c>
      <c r="O8" s="12" t="inlineStr">
        <is>
          <t>Frutas y Verduras La Huerta (ejemplo)</t>
        </is>
      </c>
    </row>
    <row r="9">
      <c r="A9" s="8" t="n">
        <v>6</v>
      </c>
      <c r="B9" s="12" t="inlineStr">
        <is>
          <t>Aceite de oliva virgen extra</t>
        </is>
      </c>
      <c r="C9" s="12" t="inlineStr">
        <is>
          <t>Secos/Granos</t>
        </is>
      </c>
      <c r="D9" s="13" t="n">
        <v>2</v>
      </c>
      <c r="E9" s="14" t="n">
        <v>4</v>
      </c>
      <c r="F9" s="14" t="n">
        <v>1</v>
      </c>
      <c r="G9" s="18">
        <f>IF(OR($D9="",$F9=""),"",$D9*$F9)</f>
        <v>2.0</v>
      </c>
      <c r="H9" s="18">
        <f>IF(OR($D9="",$E9="",$F9=""),"",$D9*$E9+$G9)</f>
        <v>10.0</v>
      </c>
      <c r="I9" s="16" t="n">
        <v>5.8</v>
      </c>
      <c r="J9" s="14" t="n">
        <v>540</v>
      </c>
      <c r="K9" s="13" t="n">
        <v>25</v>
      </c>
      <c r="L9" s="18">
        <f>IFERROR(IF(OR($D9="",$D9&lt;=0,$I9="",$I9&lt;=0,Parámetros!$D$4&lt;=0,Parámetros!$D$5&lt;=0),"",ROUND(SQRT(2*$D9*365*Parámetros!$D$4/($I9*Parámetros!$D$5)),0)),"")</f>
        <v>55.0</v>
      </c>
      <c r="M9" s="18">
        <f>IFERROR(IF(OR($L9="",$J9=""),"",MIN($L9,ROUND($D9*$J9*Parámetros!$D$12,0),IF($K9="",$L9,$K9))),"")</f>
        <v>25.0</v>
      </c>
      <c r="N9" s="19">
        <f>IF(OR($D9="",$D9&lt;=0,$M9=""),"",ROUND($M9/$D9,0))</f>
        <v>13.0</v>
      </c>
      <c r="O9" s="12" t="inlineStr">
        <is>
          <t>Distribuciones Economato Sur (ejemplo)</t>
        </is>
      </c>
    </row>
    <row r="10">
      <c r="A10" s="7" t="n">
        <v>7</v>
      </c>
      <c r="B10" s="12" t="inlineStr">
        <is>
          <t>Arroz redondo</t>
        </is>
      </c>
      <c r="C10" s="12" t="inlineStr">
        <is>
          <t>Secos/Granos</t>
        </is>
      </c>
      <c r="D10" s="13" t="n">
        <v>2</v>
      </c>
      <c r="E10" s="14" t="n">
        <v>4</v>
      </c>
      <c r="F10" s="14" t="n">
        <v>1</v>
      </c>
      <c r="G10" s="15">
        <f>IF(OR($D10="",$F10=""),"",$D10*$F10)</f>
        <v>2.0</v>
      </c>
      <c r="H10" s="15">
        <f>IF(OR($D10="",$E10="",$F10=""),"",$D10*$E10+$G10)</f>
        <v>10.0</v>
      </c>
      <c r="I10" s="16" t="n">
        <v>1.45</v>
      </c>
      <c r="J10" s="14" t="n">
        <v>720</v>
      </c>
      <c r="K10" s="13" t="n">
        <v>25</v>
      </c>
      <c r="L10" s="15">
        <f>IFERROR(IF(OR($D10="",$D10&lt;=0,$I10="",$I10&lt;=0,Parámetros!$D$4&lt;=0,Parámetros!$D$5&lt;=0),"",ROUND(SQRT(2*$D10*365*Parámetros!$D$4/($I10*Parámetros!$D$5)),0)),"")</f>
        <v>110.0</v>
      </c>
      <c r="M10" s="15">
        <f>IFERROR(IF(OR($L10="",$J10=""),"",MIN($L10,ROUND($D10*$J10*Parámetros!$D$12,0),IF($K10="",$L10,$K10))),"")</f>
        <v>25.0</v>
      </c>
      <c r="N10" s="17">
        <f>IF(OR($D10="",$D10&lt;=0,$M10=""),"",ROUND($M10/$D10,0))</f>
        <v>13.0</v>
      </c>
      <c r="O10" s="12" t="inlineStr">
        <is>
          <t>Distribuciones Economato Sur (ejemplo)</t>
        </is>
      </c>
    </row>
    <row r="11">
      <c r="A11" s="8" t="n">
        <v>8</v>
      </c>
      <c r="B11" s="12" t="inlineStr">
        <is>
          <t>Cerveza de grifo (barril 30 L)</t>
        </is>
      </c>
      <c r="C11" s="12" t="inlineStr">
        <is>
          <t>Bebidas Alcohólicas</t>
        </is>
      </c>
      <c r="D11" s="13" t="n">
        <v>0.25</v>
      </c>
      <c r="E11" s="14" t="n">
        <v>3</v>
      </c>
      <c r="F11" s="14" t="n">
        <v>5</v>
      </c>
      <c r="G11" s="18">
        <f>IF(OR($D11="",$F11=""),"",$D11*$F11)</f>
        <v>1.25</v>
      </c>
      <c r="H11" s="18">
        <f>IF(OR($D11="",$E11="",$F11=""),"",$D11*$E11+$G11)</f>
        <v>2.0</v>
      </c>
      <c r="I11" s="16" t="n">
        <v>55</v>
      </c>
      <c r="J11" s="14" t="n">
        <v>120</v>
      </c>
      <c r="K11" s="13" t="n">
        <v>6</v>
      </c>
      <c r="L11" s="18">
        <f>IFERROR(IF(OR($D11="",$D11&lt;=0,$I11="",$I11&lt;=0,Parámetros!$D$4&lt;=0,Parámetros!$D$5&lt;=0),"",ROUND(SQRT(2*$D11*365*Parámetros!$D$4/($I11*Parámetros!$D$5)),0)),"")</f>
        <v>6.0</v>
      </c>
      <c r="M11" s="18">
        <f>IFERROR(IF(OR($L11="",$J11=""),"",MIN($L11,ROUND($D11*$J11*Parámetros!$D$12,0),IF($K11="",$L11,$K11))),"")</f>
        <v>6.0</v>
      </c>
      <c r="N11" s="19">
        <f>IF(OR($D11="",$D11&lt;=0,$M11=""),"",ROUND($M11/$D11,0))</f>
        <v>24.0</v>
      </c>
      <c r="O11" s="12" t="inlineStr">
        <is>
          <t>Bebidas y Distribución Levante (ejemplo)</t>
        </is>
      </c>
    </row>
    <row r="12">
      <c r="A12" s="7" t="n">
        <v>9</v>
      </c>
      <c r="B12" s="12" t="n"/>
      <c r="C12" s="12" t="n"/>
      <c r="D12" s="13" t="n"/>
      <c r="E12" s="14" t="n"/>
      <c r="F12" s="14" t="n"/>
      <c r="G12" s="15">
        <f>IF(OR($D12="",$F12=""),"",$D12*$F12)</f>
        <v/>
      </c>
      <c r="H12" s="15">
        <f>IF(OR($D12="",$E12="",$F12=""),"",$D12*$E12+$G12)</f>
        <v/>
      </c>
      <c r="I12" s="16" t="n"/>
      <c r="J12" s="14" t="n"/>
      <c r="K12" s="13" t="n"/>
      <c r="L12" s="15">
        <f>IFERROR(IF(OR($D12="",$D12&lt;=0,$I12="",$I12&lt;=0,Parámetros!$D$4&lt;=0,Parámetros!$D$5&lt;=0),"",ROUND(SQRT(2*$D12*365*Parámetros!$D$4/($I12*Parámetros!$D$5)),0)),"")</f>
        <v/>
      </c>
      <c r="M12" s="15">
        <f>IFERROR(IF(OR($L12="",$J12=""),"",MIN($L12,ROUND($D12*$J12*Parámetros!$D$12,0),IF($K12="",$L12,$K12))),"")</f>
        <v/>
      </c>
      <c r="N12" s="17">
        <f>IF(OR($D12="",$D12&lt;=0,$M12=""),"",ROUND($M12/$D12,0))</f>
        <v/>
      </c>
      <c r="O12" s="12" t="n"/>
    </row>
    <row r="13">
      <c r="A13" s="8" t="n">
        <v>10</v>
      </c>
      <c r="B13" s="12" t="n"/>
      <c r="C13" s="12" t="n"/>
      <c r="D13" s="13" t="n"/>
      <c r="E13" s="14" t="n"/>
      <c r="F13" s="14" t="n"/>
      <c r="G13" s="18">
        <f>IF(OR($D13="",$F13=""),"",$D13*$F13)</f>
        <v/>
      </c>
      <c r="H13" s="18">
        <f>IF(OR($D13="",$E13="",$F13=""),"",$D13*$E13+$G13)</f>
        <v/>
      </c>
      <c r="I13" s="16" t="n"/>
      <c r="J13" s="14" t="n"/>
      <c r="K13" s="13" t="n"/>
      <c r="L13" s="18">
        <f>IFERROR(IF(OR($D13="",$D13&lt;=0,$I13="",$I13&lt;=0,Parámetros!$D$4&lt;=0,Parámetros!$D$5&lt;=0),"",ROUND(SQRT(2*$D13*365*Parámetros!$D$4/($I13*Parámetros!$D$5)),0)),"")</f>
        <v/>
      </c>
      <c r="M13" s="18">
        <f>IFERROR(IF(OR($L13="",$J13=""),"",MIN($L13,ROUND($D13*$J13*Parámetros!$D$12,0),IF($K13="",$L13,$K13))),"")</f>
        <v/>
      </c>
      <c r="N13" s="19">
        <f>IF(OR($D13="",$D13&lt;=0,$M13=""),"",ROUND($M13/$D13,0))</f>
        <v/>
      </c>
      <c r="O13" s="12" t="n"/>
    </row>
    <row r="14">
      <c r="A14" s="7" t="n">
        <v>11</v>
      </c>
      <c r="B14" s="12" t="n"/>
      <c r="C14" s="12" t="n"/>
      <c r="D14" s="13" t="n"/>
      <c r="E14" s="14" t="n"/>
      <c r="F14" s="14" t="n"/>
      <c r="G14" s="15">
        <f>IF(OR($D14="",$F14=""),"",$D14*$F14)</f>
        <v/>
      </c>
      <c r="H14" s="15">
        <f>IF(OR($D14="",$E14="",$F14=""),"",$D14*$E14+$G14)</f>
        <v/>
      </c>
      <c r="I14" s="16" t="n"/>
      <c r="J14" s="14" t="n"/>
      <c r="K14" s="13" t="n"/>
      <c r="L14" s="15">
        <f>IFERROR(IF(OR($D14="",$D14&lt;=0,$I14="",$I14&lt;=0,Parámetros!$D$4&lt;=0,Parámetros!$D$5&lt;=0),"",ROUND(SQRT(2*$D14*365*Parámetros!$D$4/($I14*Parámetros!$D$5)),0)),"")</f>
        <v/>
      </c>
      <c r="M14" s="15">
        <f>IFERROR(IF(OR($L14="",$J14=""),"",MIN($L14,ROUND($D14*$J14*Parámetros!$D$12,0),IF($K14="",$L14,$K14))),"")</f>
        <v/>
      </c>
      <c r="N14" s="17">
        <f>IF(OR($D14="",$D14&lt;=0,$M14=""),"",ROUND($M14/$D14,0))</f>
        <v/>
      </c>
      <c r="O14" s="12" t="n"/>
    </row>
    <row r="15">
      <c r="A15" s="8" t="n">
        <v>12</v>
      </c>
      <c r="B15" s="12" t="n"/>
      <c r="C15" s="12" t="n"/>
      <c r="D15" s="13" t="n"/>
      <c r="E15" s="14" t="n"/>
      <c r="F15" s="14" t="n"/>
      <c r="G15" s="18">
        <f>IF(OR($D15="",$F15=""),"",$D15*$F15)</f>
        <v/>
      </c>
      <c r="H15" s="18">
        <f>IF(OR($D15="",$E15="",$F15=""),"",$D15*$E15+$G15)</f>
        <v/>
      </c>
      <c r="I15" s="16" t="n"/>
      <c r="J15" s="14" t="n"/>
      <c r="K15" s="13" t="n"/>
      <c r="L15" s="18">
        <f>IFERROR(IF(OR($D15="",$D15&lt;=0,$I15="",$I15&lt;=0,Parámetros!$D$4&lt;=0,Parámetros!$D$5&lt;=0),"",ROUND(SQRT(2*$D15*365*Parámetros!$D$4/($I15*Parámetros!$D$5)),0)),"")</f>
        <v/>
      </c>
      <c r="M15" s="18">
        <f>IFERROR(IF(OR($L15="",$J15=""),"",MIN($L15,ROUND($D15*$J15*Parámetros!$D$12,0),IF($K15="",$L15,$K15))),"")</f>
        <v/>
      </c>
      <c r="N15" s="19">
        <f>IF(OR($D15="",$D15&lt;=0,$M15=""),"",ROUND($M15/$D15,0))</f>
        <v/>
      </c>
      <c r="O15" s="12" t="n"/>
    </row>
    <row r="16">
      <c r="A16" s="7" t="n">
        <v>13</v>
      </c>
      <c r="B16" s="12" t="n"/>
      <c r="C16" s="12" t="n"/>
      <c r="D16" s="13" t="n"/>
      <c r="E16" s="14" t="n"/>
      <c r="F16" s="14" t="n"/>
      <c r="G16" s="15">
        <f>IF(OR($D16="",$F16=""),"",$D16*$F16)</f>
        <v/>
      </c>
      <c r="H16" s="15">
        <f>IF(OR($D16="",$E16="",$F16=""),"",$D16*$E16+$G16)</f>
        <v/>
      </c>
      <c r="I16" s="16" t="n"/>
      <c r="J16" s="14" t="n"/>
      <c r="K16" s="13" t="n"/>
      <c r="L16" s="15">
        <f>IFERROR(IF(OR($D16="",$D16&lt;=0,$I16="",$I16&lt;=0,Parámetros!$D$4&lt;=0,Parámetros!$D$5&lt;=0),"",ROUND(SQRT(2*$D16*365*Parámetros!$D$4/($I16*Parámetros!$D$5)),0)),"")</f>
        <v/>
      </c>
      <c r="M16" s="15">
        <f>IFERROR(IF(OR($L16="",$J16=""),"",MIN($L16,ROUND($D16*$J16*Parámetros!$D$12,0),IF($K16="",$L16,$K16))),"")</f>
        <v/>
      </c>
      <c r="N16" s="17">
        <f>IF(OR($D16="",$D16&lt;=0,$M16=""),"",ROUND($M16/$D16,0))</f>
        <v/>
      </c>
      <c r="O16" s="12" t="n"/>
    </row>
    <row r="17">
      <c r="A17" s="8" t="n">
        <v>14</v>
      </c>
      <c r="B17" s="12" t="n"/>
      <c r="C17" s="12" t="n"/>
      <c r="D17" s="13" t="n"/>
      <c r="E17" s="14" t="n"/>
      <c r="F17" s="14" t="n"/>
      <c r="G17" s="18">
        <f>IF(OR($D17="",$F17=""),"",$D17*$F17)</f>
        <v/>
      </c>
      <c r="H17" s="18">
        <f>IF(OR($D17="",$E17="",$F17=""),"",$D17*$E17+$G17)</f>
        <v/>
      </c>
      <c r="I17" s="16" t="n"/>
      <c r="J17" s="14" t="n"/>
      <c r="K17" s="13" t="n"/>
      <c r="L17" s="18">
        <f>IFERROR(IF(OR($D17="",$D17&lt;=0,$I17="",$I17&lt;=0,Parámetros!$D$4&lt;=0,Parámetros!$D$5&lt;=0),"",ROUND(SQRT(2*$D17*365*Parámetros!$D$4/($I17*Parámetros!$D$5)),0)),"")</f>
        <v/>
      </c>
      <c r="M17" s="18">
        <f>IFERROR(IF(OR($L17="",$J17=""),"",MIN($L17,ROUND($D17*$J17*Parámetros!$D$12,0),IF($K17="",$L17,$K17))),"")</f>
        <v/>
      </c>
      <c r="N17" s="19">
        <f>IF(OR($D17="",$D17&lt;=0,$M17=""),"",ROUND($M17/$D17,0))</f>
        <v/>
      </c>
      <c r="O17" s="12" t="n"/>
    </row>
    <row r="18">
      <c r="A18" s="7" t="n">
        <v>15</v>
      </c>
      <c r="B18" s="12" t="n"/>
      <c r="C18" s="12" t="n"/>
      <c r="D18" s="13" t="n"/>
      <c r="E18" s="14" t="n"/>
      <c r="F18" s="14" t="n"/>
      <c r="G18" s="15">
        <f>IF(OR($D18="",$F18=""),"",$D18*$F18)</f>
        <v/>
      </c>
      <c r="H18" s="15">
        <f>IF(OR($D18="",$E18="",$F18=""),"",$D18*$E18+$G18)</f>
        <v/>
      </c>
      <c r="I18" s="16" t="n"/>
      <c r="J18" s="14" t="n"/>
      <c r="K18" s="13" t="n"/>
      <c r="L18" s="15">
        <f>IFERROR(IF(OR($D18="",$D18&lt;=0,$I18="",$I18&lt;=0,Parámetros!$D$4&lt;=0,Parámetros!$D$5&lt;=0),"",ROUND(SQRT(2*$D18*365*Parámetros!$D$4/($I18*Parámetros!$D$5)),0)),"")</f>
        <v/>
      </c>
      <c r="M18" s="15">
        <f>IFERROR(IF(OR($L18="",$J18=""),"",MIN($L18,ROUND($D18*$J18*Parámetros!$D$12,0),IF($K18="",$L18,$K18))),"")</f>
        <v/>
      </c>
      <c r="N18" s="17">
        <f>IF(OR($D18="",$D18&lt;=0,$M18=""),"",ROUND($M18/$D18,0))</f>
        <v/>
      </c>
      <c r="O18" s="12" t="n"/>
    </row>
    <row r="19">
      <c r="A19" s="8" t="n">
        <v>16</v>
      </c>
      <c r="B19" s="12" t="n"/>
      <c r="C19" s="12" t="n"/>
      <c r="D19" s="13" t="n"/>
      <c r="E19" s="14" t="n"/>
      <c r="F19" s="14" t="n"/>
      <c r="G19" s="18">
        <f>IF(OR($D19="",$F19=""),"",$D19*$F19)</f>
        <v/>
      </c>
      <c r="H19" s="18">
        <f>IF(OR($D19="",$E19="",$F19=""),"",$D19*$E19+$G19)</f>
        <v/>
      </c>
      <c r="I19" s="16" t="n"/>
      <c r="J19" s="14" t="n"/>
      <c r="K19" s="13" t="n"/>
      <c r="L19" s="18">
        <f>IFERROR(IF(OR($D19="",$D19&lt;=0,$I19="",$I19&lt;=0,Parámetros!$D$4&lt;=0,Parámetros!$D$5&lt;=0),"",ROUND(SQRT(2*$D19*365*Parámetros!$D$4/($I19*Parámetros!$D$5)),0)),"")</f>
        <v/>
      </c>
      <c r="M19" s="18">
        <f>IFERROR(IF(OR($L19="",$J19=""),"",MIN($L19,ROUND($D19*$J19*Parámetros!$D$12,0),IF($K19="",$L19,$K19))),"")</f>
        <v/>
      </c>
      <c r="N19" s="19">
        <f>IF(OR($D19="",$D19&lt;=0,$M19=""),"",ROUND($M19/$D19,0))</f>
        <v/>
      </c>
      <c r="O19" s="12" t="n"/>
    </row>
    <row r="20">
      <c r="A20" s="7" t="n">
        <v>17</v>
      </c>
      <c r="B20" s="12" t="n"/>
      <c r="C20" s="12" t="n"/>
      <c r="D20" s="13" t="n"/>
      <c r="E20" s="14" t="n"/>
      <c r="F20" s="14" t="n"/>
      <c r="G20" s="15">
        <f>IF(OR($D20="",$F20=""),"",$D20*$F20)</f>
        <v/>
      </c>
      <c r="H20" s="15">
        <f>IF(OR($D20="",$E20="",$F20=""),"",$D20*$E20+$G20)</f>
        <v/>
      </c>
      <c r="I20" s="16" t="n"/>
      <c r="J20" s="14" t="n"/>
      <c r="K20" s="13" t="n"/>
      <c r="L20" s="15">
        <f>IFERROR(IF(OR($D20="",$D20&lt;=0,$I20="",$I20&lt;=0,Parámetros!$D$4&lt;=0,Parámetros!$D$5&lt;=0),"",ROUND(SQRT(2*$D20*365*Parámetros!$D$4/($I20*Parámetros!$D$5)),0)),"")</f>
        <v/>
      </c>
      <c r="M20" s="15">
        <f>IFERROR(IF(OR($L20="",$J20=""),"",MIN($L20,ROUND($D20*$J20*Parámetros!$D$12,0),IF($K20="",$L20,$K20))),"")</f>
        <v/>
      </c>
      <c r="N20" s="17">
        <f>IF(OR($D20="",$D20&lt;=0,$M20=""),"",ROUND($M20/$D20,0))</f>
        <v/>
      </c>
      <c r="O20" s="12" t="n"/>
    </row>
    <row r="21">
      <c r="A21" s="8" t="n">
        <v>18</v>
      </c>
      <c r="B21" s="12" t="n"/>
      <c r="C21" s="12" t="n"/>
      <c r="D21" s="13" t="n"/>
      <c r="E21" s="14" t="n"/>
      <c r="F21" s="14" t="n"/>
      <c r="G21" s="18">
        <f>IF(OR($D21="",$F21=""),"",$D21*$F21)</f>
        <v/>
      </c>
      <c r="H21" s="18">
        <f>IF(OR($D21="",$E21="",$F21=""),"",$D21*$E21+$G21)</f>
        <v/>
      </c>
      <c r="I21" s="16" t="n"/>
      <c r="J21" s="14" t="n"/>
      <c r="K21" s="13" t="n"/>
      <c r="L21" s="18">
        <f>IFERROR(IF(OR($D21="",$D21&lt;=0,$I21="",$I21&lt;=0,Parámetros!$D$4&lt;=0,Parámetros!$D$5&lt;=0),"",ROUND(SQRT(2*$D21*365*Parámetros!$D$4/($I21*Parámetros!$D$5)),0)),"")</f>
        <v/>
      </c>
      <c r="M21" s="18">
        <f>IFERROR(IF(OR($L21="",$J21=""),"",MIN($L21,ROUND($D21*$J21*Parámetros!$D$12,0),IF($K21="",$L21,$K21))),"")</f>
        <v/>
      </c>
      <c r="N21" s="19">
        <f>IF(OR($D21="",$D21&lt;=0,$M21=""),"",ROUND($M21/$D21,0))</f>
        <v/>
      </c>
      <c r="O21" s="12" t="n"/>
    </row>
    <row r="22">
      <c r="A22" s="7" t="n">
        <v>19</v>
      </c>
      <c r="B22" s="12" t="n"/>
      <c r="C22" s="12" t="n"/>
      <c r="D22" s="13" t="n"/>
      <c r="E22" s="14" t="n"/>
      <c r="F22" s="14" t="n"/>
      <c r="G22" s="15">
        <f>IF(OR($D22="",$F22=""),"",$D22*$F22)</f>
        <v/>
      </c>
      <c r="H22" s="15">
        <f>IF(OR($D22="",$E22="",$F22=""),"",$D22*$E22+$G22)</f>
        <v/>
      </c>
      <c r="I22" s="16" t="n"/>
      <c r="J22" s="14" t="n"/>
      <c r="K22" s="13" t="n"/>
      <c r="L22" s="15">
        <f>IFERROR(IF(OR($D22="",$D22&lt;=0,$I22="",$I22&lt;=0,Parámetros!$D$4&lt;=0,Parámetros!$D$5&lt;=0),"",ROUND(SQRT(2*$D22*365*Parámetros!$D$4/($I22*Parámetros!$D$5)),0)),"")</f>
        <v/>
      </c>
      <c r="M22" s="15">
        <f>IFERROR(IF(OR($L22="",$J22=""),"",MIN($L22,ROUND($D22*$J22*Parámetros!$D$12,0),IF($K22="",$L22,$K22))),"")</f>
        <v/>
      </c>
      <c r="N22" s="17">
        <f>IF(OR($D22="",$D22&lt;=0,$M22=""),"",ROUND($M22/$D22,0))</f>
        <v/>
      </c>
      <c r="O22" s="12" t="n"/>
    </row>
    <row r="23">
      <c r="A23" s="8" t="n">
        <v>20</v>
      </c>
      <c r="B23" s="12" t="n"/>
      <c r="C23" s="12" t="n"/>
      <c r="D23" s="13" t="n"/>
      <c r="E23" s="14" t="n"/>
      <c r="F23" s="14" t="n"/>
      <c r="G23" s="18">
        <f>IF(OR($D23="",$F23=""),"",$D23*$F23)</f>
        <v/>
      </c>
      <c r="H23" s="18">
        <f>IF(OR($D23="",$E23="",$F23=""),"",$D23*$E23+$G23)</f>
        <v/>
      </c>
      <c r="I23" s="16" t="n"/>
      <c r="J23" s="14" t="n"/>
      <c r="K23" s="13" t="n"/>
      <c r="L23" s="18">
        <f>IFERROR(IF(OR($D23="",$D23&lt;=0,$I23="",$I23&lt;=0,Parámetros!$D$4&lt;=0,Parámetros!$D$5&lt;=0),"",ROUND(SQRT(2*$D23*365*Parámetros!$D$4/($I23*Parámetros!$D$5)),0)),"")</f>
        <v/>
      </c>
      <c r="M23" s="18">
        <f>IFERROR(IF(OR($L23="",$J23=""),"",MIN($L23,ROUND($D23*$J23*Parámetros!$D$12,0),IF($K23="",$L23,$K23))),"")</f>
        <v/>
      </c>
      <c r="N23" s="19">
        <f>IF(OR($D23="",$D23&lt;=0,$M23=""),"",ROUND($M23/$D23,0))</f>
        <v/>
      </c>
      <c r="O23" s="12" t="n"/>
    </row>
    <row r="24">
      <c r="A24" s="7" t="n">
        <v>21</v>
      </c>
      <c r="B24" s="12" t="n"/>
      <c r="C24" s="12" t="n"/>
      <c r="D24" s="13" t="n"/>
      <c r="E24" s="14" t="n"/>
      <c r="F24" s="14" t="n"/>
      <c r="G24" s="15">
        <f>IF(OR($D24="",$F24=""),"",$D24*$F24)</f>
        <v/>
      </c>
      <c r="H24" s="15">
        <f>IF(OR($D24="",$E24="",$F24=""),"",$D24*$E24+$G24)</f>
        <v/>
      </c>
      <c r="I24" s="16" t="n"/>
      <c r="J24" s="14" t="n"/>
      <c r="K24" s="13" t="n"/>
      <c r="L24" s="15">
        <f>IFERROR(IF(OR($D24="",$D24&lt;=0,$I24="",$I24&lt;=0,Parámetros!$D$4&lt;=0,Parámetros!$D$5&lt;=0),"",ROUND(SQRT(2*$D24*365*Parámetros!$D$4/($I24*Parámetros!$D$5)),0)),"")</f>
        <v/>
      </c>
      <c r="M24" s="15">
        <f>IFERROR(IF(OR($L24="",$J24=""),"",MIN($L24,ROUND($D24*$J24*Parámetros!$D$12,0),IF($K24="",$L24,$K24))),"")</f>
        <v/>
      </c>
      <c r="N24" s="17">
        <f>IF(OR($D24="",$D24&lt;=0,$M24=""),"",ROUND($M24/$D24,0))</f>
        <v/>
      </c>
      <c r="O24" s="12" t="n"/>
    </row>
    <row r="25">
      <c r="A25" s="8" t="n">
        <v>22</v>
      </c>
      <c r="B25" s="12" t="n"/>
      <c r="C25" s="12" t="n"/>
      <c r="D25" s="13" t="n"/>
      <c r="E25" s="14" t="n"/>
      <c r="F25" s="14" t="n"/>
      <c r="G25" s="18">
        <f>IF(OR($D25="",$F25=""),"",$D25*$F25)</f>
        <v/>
      </c>
      <c r="H25" s="18">
        <f>IF(OR($D25="",$E25="",$F25=""),"",$D25*$E25+$G25)</f>
        <v/>
      </c>
      <c r="I25" s="16" t="n"/>
      <c r="J25" s="14" t="n"/>
      <c r="K25" s="13" t="n"/>
      <c r="L25" s="18">
        <f>IFERROR(IF(OR($D25="",$D25&lt;=0,$I25="",$I25&lt;=0,Parámetros!$D$4&lt;=0,Parámetros!$D$5&lt;=0),"",ROUND(SQRT(2*$D25*365*Parámetros!$D$4/($I25*Parámetros!$D$5)),0)),"")</f>
        <v/>
      </c>
      <c r="M25" s="18">
        <f>IFERROR(IF(OR($L25="",$J25=""),"",MIN($L25,ROUND($D25*$J25*Parámetros!$D$12,0),IF($K25="",$L25,$K25))),"")</f>
        <v/>
      </c>
      <c r="N25" s="19">
        <f>IF(OR($D25="",$D25&lt;=0,$M25=""),"",ROUND($M25/$D25,0))</f>
        <v/>
      </c>
      <c r="O25" s="12" t="n"/>
    </row>
    <row r="26">
      <c r="A26" s="7" t="n">
        <v>23</v>
      </c>
      <c r="B26" s="12" t="n"/>
      <c r="C26" s="12" t="n"/>
      <c r="D26" s="13" t="n"/>
      <c r="E26" s="14" t="n"/>
      <c r="F26" s="14" t="n"/>
      <c r="G26" s="15">
        <f>IF(OR($D26="",$F26=""),"",$D26*$F26)</f>
        <v/>
      </c>
      <c r="H26" s="15">
        <f>IF(OR($D26="",$E26="",$F26=""),"",$D26*$E26+$G26)</f>
        <v/>
      </c>
      <c r="I26" s="16" t="n"/>
      <c r="J26" s="14" t="n"/>
      <c r="K26" s="13" t="n"/>
      <c r="L26" s="15">
        <f>IFERROR(IF(OR($D26="",$D26&lt;=0,$I26="",$I26&lt;=0,Parámetros!$D$4&lt;=0,Parámetros!$D$5&lt;=0),"",ROUND(SQRT(2*$D26*365*Parámetros!$D$4/($I26*Parámetros!$D$5)),0)),"")</f>
        <v/>
      </c>
      <c r="M26" s="15">
        <f>IFERROR(IF(OR($L26="",$J26=""),"",MIN($L26,ROUND($D26*$J26*Parámetros!$D$12,0),IF($K26="",$L26,$K26))),"")</f>
        <v/>
      </c>
      <c r="N26" s="17">
        <f>IF(OR($D26="",$D26&lt;=0,$M26=""),"",ROUND($M26/$D26,0))</f>
        <v/>
      </c>
      <c r="O26" s="12" t="n"/>
    </row>
    <row r="27">
      <c r="A27" s="8" t="n">
        <v>24</v>
      </c>
      <c r="B27" s="12" t="n"/>
      <c r="C27" s="12" t="n"/>
      <c r="D27" s="13" t="n"/>
      <c r="E27" s="14" t="n"/>
      <c r="F27" s="14" t="n"/>
      <c r="G27" s="18">
        <f>IF(OR($D27="",$F27=""),"",$D27*$F27)</f>
        <v/>
      </c>
      <c r="H27" s="18">
        <f>IF(OR($D27="",$E27="",$F27=""),"",$D27*$E27+$G27)</f>
        <v/>
      </c>
      <c r="I27" s="16" t="n"/>
      <c r="J27" s="14" t="n"/>
      <c r="K27" s="13" t="n"/>
      <c r="L27" s="18">
        <f>IFERROR(IF(OR($D27="",$D27&lt;=0,$I27="",$I27&lt;=0,Parámetros!$D$4&lt;=0,Parámetros!$D$5&lt;=0),"",ROUND(SQRT(2*$D27*365*Parámetros!$D$4/($I27*Parámetros!$D$5)),0)),"")</f>
        <v/>
      </c>
      <c r="M27" s="18">
        <f>IFERROR(IF(OR($L27="",$J27=""),"",MIN($L27,ROUND($D27*$J27*Parámetros!$D$12,0),IF($K27="",$L27,$K27))),"")</f>
        <v/>
      </c>
      <c r="N27" s="19">
        <f>IF(OR($D27="",$D27&lt;=0,$M27=""),"",ROUND($M27/$D27,0))</f>
        <v/>
      </c>
      <c r="O27" s="12" t="n"/>
    </row>
    <row r="28">
      <c r="A28" s="7" t="n">
        <v>25</v>
      </c>
      <c r="B28" s="12" t="n"/>
      <c r="C28" s="12" t="n"/>
      <c r="D28" s="13" t="n"/>
      <c r="E28" s="14" t="n"/>
      <c r="F28" s="14" t="n"/>
      <c r="G28" s="15">
        <f>IF(OR($D28="",$F28=""),"",$D28*$F28)</f>
        <v/>
      </c>
      <c r="H28" s="15">
        <f>IF(OR($D28="",$E28="",$F28=""),"",$D28*$E28+$G28)</f>
        <v/>
      </c>
      <c r="I28" s="16" t="n"/>
      <c r="J28" s="14" t="n"/>
      <c r="K28" s="13" t="n"/>
      <c r="L28" s="15">
        <f>IFERROR(IF(OR($D28="",$D28&lt;=0,$I28="",$I28&lt;=0,Parámetros!$D$4&lt;=0,Parámetros!$D$5&lt;=0),"",ROUND(SQRT(2*$D28*365*Parámetros!$D$4/($I28*Parámetros!$D$5)),0)),"")</f>
        <v/>
      </c>
      <c r="M28" s="15">
        <f>IFERROR(IF(OR($L28="",$J28=""),"",MIN($L28,ROUND($D28*$J28*Parámetros!$D$12,0),IF($K28="",$L28,$K28))),"")</f>
        <v/>
      </c>
      <c r="N28" s="17">
        <f>IF(OR($D28="",$D28&lt;=0,$M28=""),"",ROUND($M28/$D28,0))</f>
        <v/>
      </c>
      <c r="O28" s="12" t="n"/>
    </row>
    <row r="29">
      <c r="A29" s="8" t="n">
        <v>26</v>
      </c>
      <c r="B29" s="12" t="n"/>
      <c r="C29" s="12" t="n"/>
      <c r="D29" s="13" t="n"/>
      <c r="E29" s="14" t="n"/>
      <c r="F29" s="14" t="n"/>
      <c r="G29" s="18">
        <f>IF(OR($D29="",$F29=""),"",$D29*$F29)</f>
        <v/>
      </c>
      <c r="H29" s="18">
        <f>IF(OR($D29="",$E29="",$F29=""),"",$D29*$E29+$G29)</f>
        <v/>
      </c>
      <c r="I29" s="16" t="n"/>
      <c r="J29" s="14" t="n"/>
      <c r="K29" s="13" t="n"/>
      <c r="L29" s="18">
        <f>IFERROR(IF(OR($D29="",$D29&lt;=0,$I29="",$I29&lt;=0,Parámetros!$D$4&lt;=0,Parámetros!$D$5&lt;=0),"",ROUND(SQRT(2*$D29*365*Parámetros!$D$4/($I29*Parámetros!$D$5)),0)),"")</f>
        <v/>
      </c>
      <c r="M29" s="18">
        <f>IFERROR(IF(OR($L29="",$J29=""),"",MIN($L29,ROUND($D29*$J29*Parámetros!$D$12,0),IF($K29="",$L29,$K29))),"")</f>
        <v/>
      </c>
      <c r="N29" s="19">
        <f>IF(OR($D29="",$D29&lt;=0,$M29=""),"",ROUND($M29/$D29,0))</f>
        <v/>
      </c>
      <c r="O29" s="12" t="n"/>
    </row>
    <row r="30">
      <c r="A30" s="7" t="n">
        <v>27</v>
      </c>
      <c r="B30" s="12" t="n"/>
      <c r="C30" s="12" t="n"/>
      <c r="D30" s="13" t="n"/>
      <c r="E30" s="14" t="n"/>
      <c r="F30" s="14" t="n"/>
      <c r="G30" s="15">
        <f>IF(OR($D30="",$F30=""),"",$D30*$F30)</f>
        <v/>
      </c>
      <c r="H30" s="15">
        <f>IF(OR($D30="",$E30="",$F30=""),"",$D30*$E30+$G30)</f>
        <v/>
      </c>
      <c r="I30" s="16" t="n"/>
      <c r="J30" s="14" t="n"/>
      <c r="K30" s="13" t="n"/>
      <c r="L30" s="15">
        <f>IFERROR(IF(OR($D30="",$D30&lt;=0,$I30="",$I30&lt;=0,Parámetros!$D$4&lt;=0,Parámetros!$D$5&lt;=0),"",ROUND(SQRT(2*$D30*365*Parámetros!$D$4/($I30*Parámetros!$D$5)),0)),"")</f>
        <v/>
      </c>
      <c r="M30" s="15">
        <f>IFERROR(IF(OR($L30="",$J30=""),"",MIN($L30,ROUND($D30*$J30*Parámetros!$D$12,0),IF($K30="",$L30,$K30))),"")</f>
        <v/>
      </c>
      <c r="N30" s="17">
        <f>IF(OR($D30="",$D30&lt;=0,$M30=""),"",ROUND($M30/$D30,0))</f>
        <v/>
      </c>
      <c r="O30" s="12" t="n"/>
    </row>
    <row r="31">
      <c r="A31" s="8" t="n">
        <v>28</v>
      </c>
      <c r="B31" s="12" t="n"/>
      <c r="C31" s="12" t="n"/>
      <c r="D31" s="13" t="n"/>
      <c r="E31" s="14" t="n"/>
      <c r="F31" s="14" t="n"/>
      <c r="G31" s="18">
        <f>IF(OR($D31="",$F31=""),"",$D31*$F31)</f>
        <v/>
      </c>
      <c r="H31" s="18">
        <f>IF(OR($D31="",$E31="",$F31=""),"",$D31*$E31+$G31)</f>
        <v/>
      </c>
      <c r="I31" s="16" t="n"/>
      <c r="J31" s="14" t="n"/>
      <c r="K31" s="13" t="n"/>
      <c r="L31" s="18">
        <f>IFERROR(IF(OR($D31="",$D31&lt;=0,$I31="",$I31&lt;=0,Parámetros!$D$4&lt;=0,Parámetros!$D$5&lt;=0),"",ROUND(SQRT(2*$D31*365*Parámetros!$D$4/($I31*Parámetros!$D$5)),0)),"")</f>
        <v/>
      </c>
      <c r="M31" s="18">
        <f>IFERROR(IF(OR($L31="",$J31=""),"",MIN($L31,ROUND($D31*$J31*Parámetros!$D$12,0),IF($K31="",$L31,$K31))),"")</f>
        <v/>
      </c>
      <c r="N31" s="19">
        <f>IF(OR($D31="",$D31&lt;=0,$M31=""),"",ROUND($M31/$D31,0))</f>
        <v/>
      </c>
      <c r="O31" s="12" t="n"/>
    </row>
    <row r="32">
      <c r="A32" s="7" t="n">
        <v>29</v>
      </c>
      <c r="B32" s="12" t="n"/>
      <c r="C32" s="12" t="n"/>
      <c r="D32" s="13" t="n"/>
      <c r="E32" s="14" t="n"/>
      <c r="F32" s="14" t="n"/>
      <c r="G32" s="15">
        <f>IF(OR($D32="",$F32=""),"",$D32*$F32)</f>
        <v/>
      </c>
      <c r="H32" s="15">
        <f>IF(OR($D32="",$E32="",$F32=""),"",$D32*$E32+$G32)</f>
        <v/>
      </c>
      <c r="I32" s="16" t="n"/>
      <c r="J32" s="14" t="n"/>
      <c r="K32" s="13" t="n"/>
      <c r="L32" s="15">
        <f>IFERROR(IF(OR($D32="",$D32&lt;=0,$I32="",$I32&lt;=0,Parámetros!$D$4&lt;=0,Parámetros!$D$5&lt;=0),"",ROUND(SQRT(2*$D32*365*Parámetros!$D$4/($I32*Parámetros!$D$5)),0)),"")</f>
        <v/>
      </c>
      <c r="M32" s="15">
        <f>IFERROR(IF(OR($L32="",$J32=""),"",MIN($L32,ROUND($D32*$J32*Parámetros!$D$12,0),IF($K32="",$L32,$K32))),"")</f>
        <v/>
      </c>
      <c r="N32" s="17">
        <f>IF(OR($D32="",$D32&lt;=0,$M32=""),"",ROUND($M32/$D32,0))</f>
        <v/>
      </c>
      <c r="O32" s="12" t="n"/>
    </row>
    <row r="33">
      <c r="A33" s="8" t="n">
        <v>30</v>
      </c>
      <c r="B33" s="12" t="n"/>
      <c r="C33" s="12" t="n"/>
      <c r="D33" s="13" t="n"/>
      <c r="E33" s="14" t="n"/>
      <c r="F33" s="14" t="n"/>
      <c r="G33" s="18">
        <f>IF(OR($D33="",$F33=""),"",$D33*$F33)</f>
        <v/>
      </c>
      <c r="H33" s="18">
        <f>IF(OR($D33="",$E33="",$F33=""),"",$D33*$E33+$G33)</f>
        <v/>
      </c>
      <c r="I33" s="16" t="n"/>
      <c r="J33" s="14" t="n"/>
      <c r="K33" s="13" t="n"/>
      <c r="L33" s="18">
        <f>IFERROR(IF(OR($D33="",$D33&lt;=0,$I33="",$I33&lt;=0,Parámetros!$D$4&lt;=0,Parámetros!$D$5&lt;=0),"",ROUND(SQRT(2*$D33*365*Parámetros!$D$4/($I33*Parámetros!$D$5)),0)),"")</f>
        <v/>
      </c>
      <c r="M33" s="18">
        <f>IFERROR(IF(OR($L33="",$J33=""),"",MIN($L33,ROUND($D33*$J33*Parámetros!$D$12,0),IF($K33="",$L33,$K33))),"")</f>
        <v/>
      </c>
      <c r="N33" s="19">
        <f>IF(OR($D33="",$D33&lt;=0,$M33=""),"",ROUND($M33/$D33,0))</f>
        <v/>
      </c>
      <c r="O33" s="12" t="n"/>
    </row>
    <row r="34"/>
    <row r="35">
      <c r="A35" s="11" t="inlineStr">
        <is>
          <t>Columnas SIN fondo verde (no se tocan): stock de seguridad, punto de pedido, EOQ teórica, cantidad sugerida y frecuencia. Si la frecuencia sale en blanco es que el consumo diario está vacío o a cero, no que la fórmula falle. La cantidad sugerida lleva TRES topes: la EOQ, el 70 % de lo que consumes dentro de la vida útil y tu stock máximo — el más pequeño de los tres es el que manda.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O1"/>
  </mergeCells>
  <dataValidations count="1">
    <dataValidation sqref="C4:C33" showDropDown="0" showInputMessage="1" showErrorMessage="1" allowBlank="1" errorTitle="Categoría no válida" error="Elige un valor de la lista." promptTitle="kitinv-c · Categoría no válida" prompt="Las 10 categorías del kit. Son las mismas en las 9 plantillas." type="list" errorStyle="stop">
      <formula1>"Cárnicos,Pescados,Lácteos,Verduras/Frutas,Secos/Granos,Congelados,Bebidas Alcohólicas,Bebidas No Alcohólicas,Limpieza,Otros"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8909C"/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62" customWidth="1" min="3" max="3"/>
    <col width="20" customWidth="1" min="4" max="4"/>
  </cols>
  <sheetData>
    <row r="1">
      <c r="A1" s="5" t="inlineStr">
        <is>
          <t>PARÁMETROS DE REFERENCIA</t>
        </is>
      </c>
    </row>
    <row r="2"/>
    <row r="3">
      <c r="A3" s="20" t="inlineStr">
        <is>
          <t>Parámetro</t>
        </is>
      </c>
      <c r="B3" s="20" t="inlineStr">
        <is>
          <t>Rango habitual</t>
        </is>
      </c>
      <c r="C3" s="20" t="inlineStr">
        <is>
          <t>Notas</t>
        </is>
      </c>
      <c r="D3" s="20" t="inlineStr">
        <is>
          <t>Se usa en la fórmula</t>
        </is>
      </c>
    </row>
    <row r="4">
      <c r="A4" t="inlineStr">
        <is>
          <t>Coste de pedido (€)</t>
        </is>
      </c>
      <c r="B4" t="inlineStr">
        <is>
          <t>2-5 €</t>
        </is>
      </c>
      <c r="C4" s="21" t="inlineStr">
        <is>
          <t>Lo que te cuesta CURSAR un pedido: tiempo de hacerlo, recepción, cotejo del albarán y registro de la factura.</t>
        </is>
      </c>
      <c r="D4" s="22" t="n">
        <v>3</v>
      </c>
    </row>
    <row r="5">
      <c r="A5" t="inlineStr">
        <is>
          <t>Coste de almacenamiento (% anual)</t>
        </is>
      </c>
      <c r="B5" t="inlineStr">
        <is>
          <t>20-30 % anual</t>
        </is>
      </c>
      <c r="C5" s="21" t="inlineStr">
        <is>
          <t>Sobre el VALOR del producto: capital inmovilizado, cámara, seguro y la merma de lo que se estropea esperando.</t>
        </is>
      </c>
      <c r="D5" s="23" t="n">
        <v>0.25</v>
      </c>
    </row>
    <row r="6">
      <c r="A6" t="inlineStr">
        <is>
          <t>Lead time cárnicos</t>
        </is>
      </c>
      <c r="B6" t="inlineStr">
        <is>
          <t>1-2 días</t>
        </is>
      </c>
      <c r="C6" s="21" t="inlineStr">
        <is>
          <t>Entregas diarias habituales.</t>
        </is>
      </c>
    </row>
    <row r="7">
      <c r="A7" t="inlineStr">
        <is>
          <t>Lead time pescado</t>
        </is>
      </c>
      <c r="B7" t="inlineStr">
        <is>
          <t>1 día</t>
        </is>
      </c>
      <c r="C7" s="21" t="inlineStr">
        <is>
          <t>Entrega diaria obligatoria.</t>
        </is>
      </c>
    </row>
    <row r="8">
      <c r="A8" t="inlineStr">
        <is>
          <t>Lead time secos</t>
        </is>
      </c>
      <c r="B8" t="inlineStr">
        <is>
          <t>3-5 días</t>
        </is>
      </c>
      <c r="C8" s="21" t="inlineStr">
        <is>
          <t>Pedidos semanales.</t>
        </is>
      </c>
    </row>
    <row r="9">
      <c r="A9" t="inlineStr">
        <is>
          <t>Lead time congelados</t>
        </is>
      </c>
      <c r="B9" t="inlineStr">
        <is>
          <t>2-3 días</t>
        </is>
      </c>
      <c r="C9" s="21" t="inlineStr">
        <is>
          <t>Pedidos 2 veces por semana.</t>
        </is>
      </c>
    </row>
    <row r="10">
      <c r="A10" t="inlineStr">
        <is>
          <t>Cobertura de seguridad (días) — columna F</t>
        </is>
      </c>
      <c r="B10" t="inlineStr">
        <is>
          <t>1-3 días</t>
        </is>
      </c>
      <c r="C10" s="21" t="inlineStr">
        <is>
          <t>Se teclea en DÍAS. La columna G la convierte en unidades: consumo diario × días de cobertura. Antes se pedía en días aquí y se sumaba como unidades allí, y el punto de pedido salía a la mitad.</t>
        </is>
      </c>
    </row>
    <row r="11">
      <c r="A11" t="inlineStr">
        <is>
          <t>Vida útil (días) — columna J</t>
        </is>
      </c>
      <c r="B11" t="inlineStr">
        <is>
          <t>Fresco 2-5 · refrigerado 7-15 · seco 180-720</t>
        </is>
      </c>
      <c r="C11" s="21" t="inlineStr">
        <is>
          <t>Días que aguanta el producto en tu cámara desde que lo recibes.</t>
        </is>
      </c>
    </row>
    <row r="12">
      <c r="A12" t="inlineStr">
        <is>
          <t>Factor de vida útil</t>
        </is>
      </c>
      <c r="B12" t="inlineStr">
        <is>
          <t>0,7 (70 %)</t>
        </is>
      </c>
      <c r="C12" s="21" t="inlineStr">
        <is>
          <t>La cantidad sugerida nunca pasa de este porcentaje de lo que consumes dentro de la vida útil: el resto es el margen para un día flojo. RT-08: es una casilla verde de verdad, no un número escondido dentro de las 30 fórmulas.</t>
        </is>
      </c>
      <c r="D12" s="23" t="n">
        <v>0.7</v>
      </c>
    </row>
    <row r="13">
      <c r="A13" t="inlineStr">
        <is>
          <t>Stock máximo (ud) — columna K</t>
        </is>
      </c>
      <c r="B13" t="inlineStr">
        <is>
          <t>El par MAX de la plantilla 01</t>
        </is>
      </c>
      <c r="C13" s="21" t="inlineStr">
        <is>
          <t>El tercer tope de la cantidad sugerida: por mucho que digan la EOQ y la vida útil, no se pide más de lo que cabe en tu cámara. Déjalo en blanco si no quieres ese tope.</t>
        </is>
      </c>
    </row>
    <row r="14"/>
    <row r="15">
      <c r="A15" s="11" t="inlineStr">
        <is>
          <t>Las TRES casillas verdes entran en las fórmulas: el coste de pedido, el coste de almacenamiento anual y el factor de vida útil. El resto de la tabla es referencia para que sepas qué escribir en cada columna de la Calculadora.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Calculadora Punto de Pedido · Kit Control de Inventario y Compras</dc:title>
  <dc:description xmlns:dc="http://purl.org/dc/elements/1.1/">aichef.pro/kit-inventario</dc:description>
  <dc:subject xmlns:dc="http://purl.org/dc/elements/1.1/">Kit Control de Inventario y Compras · v2.0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2026-08-23T23:12:29Z</dcterms:modified>
  <cp:lastModifiedBy>AI Chef Pro</cp:lastModifiedBy>
  <cp:category>AI Chef Pro · Productos digitales</cp:category>
  <cp:keywords>kit inventario, AI Chef Pro</cp:keywords>
</cp:coreProperties>
</file>