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ina" sheetId="2" state="visible" r:id="rId2"/>
    <sheet xmlns:r="http://schemas.openxmlformats.org/officeDocument/2006/relationships" name="Barra" sheetId="3" state="visible" r:id="rId3"/>
    <sheet xmlns:r="http://schemas.openxmlformats.org/officeDocument/2006/relationships" name="Almacén" sheetId="4" state="visible" r:id="rId4"/>
    <sheet xmlns:r="http://schemas.openxmlformats.org/officeDocument/2006/relationships" name="Resumen Dashboard" sheetId="5" state="visible" r:id="rId5"/>
  </sheets>
  <definedNames>
    <definedName name="_xlnm.Print_Titles" localSheetId="1">'Cocina'!$4:$4</definedName>
    <definedName name="_xlnm.Print_Titles" localSheetId="2">'Barra'!$4:$4</definedName>
    <definedName name="_xlnm.Print_Titles" localSheetId="3">'Almacén'!$4:$4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color rgb="00666666"/>
      <sz val="10"/>
    </font>
    <font>
      <b val="1"/>
      <color rgb="00FFFFFF"/>
      <sz val="10"/>
    </font>
    <font>
      <color rgb="00999999"/>
      <sz val="8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Inventario de Stock Diario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Este archivo te permite controlar el stock diario de tu restaurante.</t>
        </is>
      </c>
    </row>
    <row r="5">
      <c r="A5" s="4" t="inlineStr">
        <is>
          <t>Cada pestaña corresponde a una zona: Cocina, Barra, Almacén.</t>
        </is>
      </c>
    </row>
    <row r="6">
      <c r="A6" s="4" t="inlineStr"/>
    </row>
    <row r="7">
      <c r="A7" s="4" t="inlineStr">
        <is>
          <t>CÓMO USAR:</t>
        </is>
      </c>
    </row>
    <row r="8">
      <c r="A8" s="4" t="inlineStr">
        <is>
          <t>1. Rellena la columna 'Producto' con tus ingredientes.</t>
        </is>
      </c>
    </row>
    <row r="9">
      <c r="A9" s="4" t="inlineStr">
        <is>
          <t>2. Establece 'Par Level' (stock mínimo) y 'Par Max' (stock máximo).</t>
        </is>
      </c>
    </row>
    <row r="10">
      <c r="A10" s="4" t="inlineStr">
        <is>
          <t>3. Cada día, anota el stock actual en 'Stock Real'.</t>
        </is>
      </c>
    </row>
    <row r="11">
      <c r="A11" s="4" t="inlineStr">
        <is>
          <t>4. La columna 'Estado' se colorea automáticamente:</t>
        </is>
      </c>
    </row>
    <row r="12">
      <c r="A12" s="4" t="inlineStr">
        <is>
          <t xml:space="preserve">   🔴 Rojo = por debajo del par level → ¡pedir!</t>
        </is>
      </c>
    </row>
    <row r="13">
      <c r="A13" s="4" t="inlineStr">
        <is>
          <t xml:space="preserve">   🟡 Amarillo = stock bajo, vigilar</t>
        </is>
      </c>
    </row>
    <row r="14">
      <c r="A14" s="4" t="inlineStr">
        <is>
          <t xml:space="preserve">   🟢 Verde = stock correcto</t>
        </is>
      </c>
    </row>
    <row r="15">
      <c r="A15" s="4" t="inlineStr">
        <is>
          <t>5. 'A Pedir' calcula automáticamente cuánto necesitas.</t>
        </is>
      </c>
    </row>
    <row r="16">
      <c r="A16" s="4" t="inlineStr"/>
    </row>
    <row r="17">
      <c r="A17" s="4" t="inlineStr">
        <is>
          <t>PERSONALIZACIÓN:</t>
        </is>
      </c>
    </row>
    <row r="18">
      <c r="A18" s="4" t="inlineStr">
        <is>
          <t>- Añade o elimina filas según tus productos.</t>
        </is>
      </c>
    </row>
    <row r="19">
      <c r="A19" s="4" t="inlineStr">
        <is>
          <t>- Ajusta los par levels a tu ritmo de ventas.</t>
        </is>
      </c>
    </row>
    <row r="20">
      <c r="A20" s="4" t="inlineStr">
        <is>
          <t>- La pestaña 'Resumen' totaliza automáticamente.</t>
        </is>
      </c>
    </row>
    <row r="21"/>
    <row r="22">
      <c r="A22" s="4" t="inlineStr">
        <is>
          <t>Versión 1.1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4" customWidth="1" min="3" max="3"/>
    <col width="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8" customWidth="1" min="11" max="11"/>
    <col width="20" customWidth="1" min="12" max="12"/>
  </cols>
  <sheetData>
    <row r="1">
      <c r="A1" s="5" t="inlineStr">
        <is>
          <t>INVENTARIO — COCINA</t>
        </is>
      </c>
    </row>
    <row r="2">
      <c r="A2" s="6" t="inlineStr">
        <is>
          <t>Fecha: ___/___/______    Responsable: ________________</t>
        </is>
      </c>
    </row>
    <row r="3"/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Par Level</t>
        </is>
      </c>
      <c r="F4" s="7" t="inlineStr">
        <is>
          <t>Par Max</t>
        </is>
      </c>
      <c r="G4" s="7" t="inlineStr">
        <is>
          <t>Stock Real</t>
        </is>
      </c>
      <c r="H4" s="7" t="inlineStr">
        <is>
          <t>Estado</t>
        </is>
      </c>
      <c r="I4" s="7" t="inlineStr">
        <is>
          <t>A Pedir</t>
        </is>
      </c>
      <c r="J4" s="7" t="inlineStr">
        <is>
          <t>Valor (€)</t>
        </is>
      </c>
      <c r="K4" s="7" t="inlineStr">
        <is>
          <t>Proveedor</t>
        </is>
      </c>
      <c r="L4" s="7" t="inlineStr">
        <is>
          <t>Notas</t>
        </is>
      </c>
    </row>
    <row r="5">
      <c r="A5" s="8" t="n">
        <v>1</v>
      </c>
      <c r="B5" s="8" t="inlineStr">
        <is>
          <t>Pechuga de pollo</t>
        </is>
      </c>
      <c r="C5" s="8" t="inlineStr">
        <is>
          <t>Pescados</t>
        </is>
      </c>
      <c r="D5" s="8" t="inlineStr">
        <is>
          <t>ud</t>
        </is>
      </c>
      <c r="E5" s="8" t="n">
        <v>5</v>
      </c>
      <c r="F5" s="8" t="n">
        <v>15</v>
      </c>
      <c r="G5" s="8" t="inlineStr"/>
      <c r="H5" s="8">
        <f>IF(G5="","",IF(G5&lt;E5,"🔴 PEDIR",IF(G5&lt;E5*1.5,"🟡 BAJO","🟢 OK")))</f>
        <v/>
      </c>
      <c r="I5" s="8">
        <f>IF(G5="","",IF(G5&lt;E5,F5-G5,0))</f>
        <v/>
      </c>
      <c r="J5" s="8" t="n"/>
      <c r="K5" s="8" t="n"/>
      <c r="L5" s="8" t="n"/>
    </row>
    <row r="6">
      <c r="A6" s="9" t="n">
        <v>2</v>
      </c>
      <c r="B6" s="9" t="inlineStr">
        <is>
          <t>Solomillo ternera</t>
        </is>
      </c>
      <c r="C6" s="9" t="inlineStr">
        <is>
          <t>Lácteos</t>
        </is>
      </c>
      <c r="D6" s="9" t="inlineStr">
        <is>
          <t>L</t>
        </is>
      </c>
      <c r="E6" s="9" t="n">
        <v>5</v>
      </c>
      <c r="F6" s="9" t="n">
        <v>15</v>
      </c>
      <c r="G6" s="9" t="inlineStr"/>
      <c r="H6" s="9">
        <f>IF(G6="","",IF(G6&lt;E6,"🔴 PEDIR",IF(G6&lt;E6*1.5,"🟡 BAJO","🟢 OK")))</f>
        <v/>
      </c>
      <c r="I6" s="9">
        <f>IF(G6="","",IF(G6&lt;E6,F6-G6,0))</f>
        <v/>
      </c>
      <c r="J6" s="9" t="n"/>
      <c r="K6" s="9" t="n"/>
      <c r="L6" s="9" t="n"/>
    </row>
    <row r="7">
      <c r="A7" s="8" t="n">
        <v>3</v>
      </c>
      <c r="B7" s="8" t="inlineStr">
        <is>
          <t>Salmón fresco</t>
        </is>
      </c>
      <c r="C7" s="8" t="inlineStr">
        <is>
          <t>Verduras</t>
        </is>
      </c>
      <c r="D7" s="8" t="inlineStr">
        <is>
          <t>kg</t>
        </is>
      </c>
      <c r="E7" s="8" t="n">
        <v>5</v>
      </c>
      <c r="F7" s="8" t="n">
        <v>15</v>
      </c>
      <c r="G7" s="8" t="inlineStr"/>
      <c r="H7" s="8">
        <f>IF(G7="","",IF(G7&lt;E7,"🔴 PEDIR",IF(G7&lt;E7*1.5,"🟡 BAJO","🟢 OK")))</f>
        <v/>
      </c>
      <c r="I7" s="8">
        <f>IF(G7="","",IF(G7&lt;E7,F7-G7,0))</f>
        <v/>
      </c>
      <c r="J7" s="8" t="n"/>
      <c r="K7" s="8" t="n"/>
      <c r="L7" s="8" t="n"/>
    </row>
    <row r="8">
      <c r="A8" s="9" t="n">
        <v>4</v>
      </c>
      <c r="B8" s="9" t="inlineStr">
        <is>
          <t>Gambas</t>
        </is>
      </c>
      <c r="C8" s="9" t="inlineStr">
        <is>
          <t>Frutas</t>
        </is>
      </c>
      <c r="D8" s="9" t="inlineStr">
        <is>
          <t>ud</t>
        </is>
      </c>
      <c r="E8" s="9" t="n">
        <v>5</v>
      </c>
      <c r="F8" s="9" t="n">
        <v>15</v>
      </c>
      <c r="G8" s="9" t="inlineStr"/>
      <c r="H8" s="9">
        <f>IF(G8="","",IF(G8&lt;E8,"🔴 PEDIR",IF(G8&lt;E8*1.5,"🟡 BAJO","🟢 OK")))</f>
        <v/>
      </c>
      <c r="I8" s="9">
        <f>IF(G8="","",IF(G8&lt;E8,F8-G8,0))</f>
        <v/>
      </c>
      <c r="J8" s="9" t="n"/>
      <c r="K8" s="9" t="n"/>
      <c r="L8" s="9" t="n"/>
    </row>
    <row r="9">
      <c r="A9" s="8" t="n">
        <v>5</v>
      </c>
      <c r="B9" s="8" t="inlineStr">
        <is>
          <t>Tomate</t>
        </is>
      </c>
      <c r="C9" s="8" t="inlineStr">
        <is>
          <t>Secos/Granos</t>
        </is>
      </c>
      <c r="D9" s="8" t="inlineStr">
        <is>
          <t>L</t>
        </is>
      </c>
      <c r="E9" s="8" t="n">
        <v>5</v>
      </c>
      <c r="F9" s="8" t="n">
        <v>15</v>
      </c>
      <c r="G9" s="8" t="inlineStr"/>
      <c r="H9" s="8">
        <f>IF(G9="","",IF(G9&lt;E9,"🔴 PEDIR",IF(G9&lt;E9*1.5,"🟡 BAJO","🟢 OK")))</f>
        <v/>
      </c>
      <c r="I9" s="8">
        <f>IF(G9="","",IF(G9&lt;E9,F9-G9,0))</f>
        <v/>
      </c>
      <c r="J9" s="8" t="n"/>
      <c r="K9" s="8" t="n"/>
      <c r="L9" s="8" t="n"/>
    </row>
    <row r="10">
      <c r="A10" s="9" t="n">
        <v>6</v>
      </c>
      <c r="B10" s="9" t="inlineStr">
        <is>
          <t>Cebolla</t>
        </is>
      </c>
      <c r="C10" s="9" t="inlineStr">
        <is>
          <t>Congelados</t>
        </is>
      </c>
      <c r="D10" s="9" t="inlineStr">
        <is>
          <t>kg</t>
        </is>
      </c>
      <c r="E10" s="9" t="n">
        <v>5</v>
      </c>
      <c r="F10" s="9" t="n">
        <v>15</v>
      </c>
      <c r="G10" s="9" t="inlineStr"/>
      <c r="H10" s="9">
        <f>IF(G10="","",IF(G10&lt;E10,"🔴 PEDIR",IF(G10&lt;E10*1.5,"🟡 BAJO","🟢 OK")))</f>
        <v/>
      </c>
      <c r="I10" s="9">
        <f>IF(G10="","",IF(G10&lt;E10,F10-G10,0))</f>
        <v/>
      </c>
      <c r="J10" s="9" t="n"/>
      <c r="K10" s="9" t="n"/>
      <c r="L10" s="9" t="n"/>
    </row>
    <row r="11">
      <c r="A11" s="8" t="n">
        <v>7</v>
      </c>
      <c r="B11" s="8" t="inlineStr">
        <is>
          <t>Lechuga</t>
        </is>
      </c>
      <c r="C11" s="8" t="inlineStr">
        <is>
          <t>Bebidas</t>
        </is>
      </c>
      <c r="D11" s="8" t="inlineStr">
        <is>
          <t>ud</t>
        </is>
      </c>
      <c r="E11" s="8" t="n">
        <v>5</v>
      </c>
      <c r="F11" s="8" t="n">
        <v>15</v>
      </c>
      <c r="G11" s="8" t="inlineStr"/>
      <c r="H11" s="8">
        <f>IF(G11="","",IF(G11&lt;E11,"🔴 PEDIR",IF(G11&lt;E11*1.5,"🟡 BAJO","🟢 OK")))</f>
        <v/>
      </c>
      <c r="I11" s="8">
        <f>IF(G11="","",IF(G11&lt;E11,F11-G11,0))</f>
        <v/>
      </c>
      <c r="J11" s="8" t="n"/>
      <c r="K11" s="8" t="n"/>
      <c r="L11" s="8" t="n"/>
    </row>
    <row r="12">
      <c r="A12" s="9" t="n">
        <v>8</v>
      </c>
      <c r="B12" s="9" t="inlineStr">
        <is>
          <t>Patata</t>
        </is>
      </c>
      <c r="C12" s="9" t="inlineStr">
        <is>
          <t>Limpieza</t>
        </is>
      </c>
      <c r="D12" s="9" t="inlineStr">
        <is>
          <t>L</t>
        </is>
      </c>
      <c r="E12" s="9" t="n">
        <v>5</v>
      </c>
      <c r="F12" s="9" t="n">
        <v>15</v>
      </c>
      <c r="G12" s="9" t="inlineStr"/>
      <c r="H12" s="9">
        <f>IF(G12="","",IF(G12&lt;E12,"🔴 PEDIR",IF(G12&lt;E12*1.5,"🟡 BAJO","🟢 OK")))</f>
        <v/>
      </c>
      <c r="I12" s="9">
        <f>IF(G12="","",IF(G12&lt;E12,F12-G12,0))</f>
        <v/>
      </c>
      <c r="J12" s="9" t="n"/>
      <c r="K12" s="9" t="n"/>
      <c r="L12" s="9" t="n"/>
    </row>
    <row r="13">
      <c r="A13" s="8" t="n">
        <v>9</v>
      </c>
      <c r="B13" s="8" t="inlineStr">
        <is>
          <t>Aceite oliva</t>
        </is>
      </c>
      <c r="C13" s="8" t="inlineStr">
        <is>
          <t>Varios</t>
        </is>
      </c>
      <c r="D13" s="8" t="inlineStr">
        <is>
          <t>kg</t>
        </is>
      </c>
      <c r="E13" s="8" t="n">
        <v>5</v>
      </c>
      <c r="F13" s="8" t="n">
        <v>15</v>
      </c>
      <c r="G13" s="8" t="inlineStr"/>
      <c r="H13" s="8">
        <f>IF(G13="","",IF(G13&lt;E13,"🔴 PEDIR",IF(G13&lt;E13*1.5,"🟡 BAJO","🟢 OK")))</f>
        <v/>
      </c>
      <c r="I13" s="8">
        <f>IF(G13="","",IF(G13&lt;E13,F13-G13,0))</f>
        <v/>
      </c>
      <c r="J13" s="8" t="n"/>
      <c r="K13" s="8" t="n"/>
      <c r="L13" s="8" t="n"/>
    </row>
    <row r="14">
      <c r="A14" s="9" t="n">
        <v>10</v>
      </c>
      <c r="B14" s="9" t="inlineStr">
        <is>
          <t>Sal</t>
        </is>
      </c>
      <c r="C14" s="9" t="inlineStr">
        <is>
          <t>Cárnicos</t>
        </is>
      </c>
      <c r="D14" s="9" t="inlineStr">
        <is>
          <t>ud</t>
        </is>
      </c>
      <c r="E14" s="9" t="n">
        <v>5</v>
      </c>
      <c r="F14" s="9" t="n">
        <v>15</v>
      </c>
      <c r="G14" s="9" t="inlineStr"/>
      <c r="H14" s="9">
        <f>IF(G14="","",IF(G14&lt;E14,"🔴 PEDIR",IF(G14&lt;E14*1.5,"🟡 BAJO","🟢 OK")))</f>
        <v/>
      </c>
      <c r="I14" s="9">
        <f>IF(G14="","",IF(G14&lt;E14,F14-G14,0))</f>
        <v/>
      </c>
      <c r="J14" s="9" t="n"/>
      <c r="K14" s="9" t="n"/>
      <c r="L14" s="9" t="n"/>
    </row>
    <row r="15">
      <c r="A15" s="8" t="n">
        <v>11</v>
      </c>
      <c r="B15" s="8" t="inlineStr">
        <is>
          <t>Pimienta</t>
        </is>
      </c>
      <c r="C15" s="8" t="inlineStr">
        <is>
          <t>Pescados</t>
        </is>
      </c>
      <c r="D15" s="8" t="inlineStr">
        <is>
          <t>L</t>
        </is>
      </c>
      <c r="E15" s="8" t="n">
        <v>5</v>
      </c>
      <c r="F15" s="8" t="n">
        <v>15</v>
      </c>
      <c r="G15" s="8" t="inlineStr"/>
      <c r="H15" s="8">
        <f>IF(G15="","",IF(G15&lt;E15,"🔴 PEDIR",IF(G15&lt;E15*1.5,"🟡 BAJO","🟢 OK")))</f>
        <v/>
      </c>
      <c r="I15" s="8">
        <f>IF(G15="","",IF(G15&lt;E15,F15-G15,0))</f>
        <v/>
      </c>
      <c r="J15" s="8" t="n"/>
      <c r="K15" s="8" t="n"/>
      <c r="L15" s="8" t="n"/>
    </row>
    <row r="16">
      <c r="A16" s="9" t="n">
        <v>12</v>
      </c>
      <c r="B16" s="9" t="inlineStr">
        <is>
          <t>Arroz</t>
        </is>
      </c>
      <c r="C16" s="9" t="inlineStr">
        <is>
          <t>Lácteos</t>
        </is>
      </c>
      <c r="D16" s="9" t="inlineStr">
        <is>
          <t>kg</t>
        </is>
      </c>
      <c r="E16" s="9" t="n">
        <v>5</v>
      </c>
      <c r="F16" s="9" t="n">
        <v>15</v>
      </c>
      <c r="G16" s="9" t="inlineStr"/>
      <c r="H16" s="9">
        <f>IF(G16="","",IF(G16&lt;E16,"🔴 PEDIR",IF(G16&lt;E16*1.5,"🟡 BAJO","🟢 OK")))</f>
        <v/>
      </c>
      <c r="I16" s="9">
        <f>IF(G16="","",IF(G16&lt;E16,F16-G16,0))</f>
        <v/>
      </c>
      <c r="J16" s="9" t="n"/>
      <c r="K16" s="9" t="n"/>
      <c r="L16" s="9" t="n"/>
    </row>
    <row r="17">
      <c r="A17" s="8" t="n">
        <v>13</v>
      </c>
      <c r="B17" s="8" t="inlineStr">
        <is>
          <t>Pasta seca</t>
        </is>
      </c>
      <c r="C17" s="8" t="inlineStr">
        <is>
          <t>Verduras</t>
        </is>
      </c>
      <c r="D17" s="8" t="inlineStr">
        <is>
          <t>ud</t>
        </is>
      </c>
      <c r="E17" s="8" t="n">
        <v>5</v>
      </c>
      <c r="F17" s="8" t="n">
        <v>15</v>
      </c>
      <c r="G17" s="8" t="inlineStr"/>
      <c r="H17" s="8">
        <f>IF(G17="","",IF(G17&lt;E17,"🔴 PEDIR",IF(G17&lt;E17*1.5,"🟡 BAJO","🟢 OK")))</f>
        <v/>
      </c>
      <c r="I17" s="8">
        <f>IF(G17="","",IF(G17&lt;E17,F17-G17,0))</f>
        <v/>
      </c>
      <c r="J17" s="8" t="n"/>
      <c r="K17" s="8" t="n"/>
      <c r="L17" s="8" t="n"/>
    </row>
    <row r="18">
      <c r="A18" s="9" t="n">
        <v>14</v>
      </c>
      <c r="B18" s="9" t="inlineStr">
        <is>
          <t>Harina</t>
        </is>
      </c>
      <c r="C18" s="9" t="inlineStr">
        <is>
          <t>Frutas</t>
        </is>
      </c>
      <c r="D18" s="9" t="inlineStr">
        <is>
          <t>L</t>
        </is>
      </c>
      <c r="E18" s="9" t="n">
        <v>5</v>
      </c>
      <c r="F18" s="9" t="n">
        <v>15</v>
      </c>
      <c r="G18" s="9" t="inlineStr"/>
      <c r="H18" s="9">
        <f>IF(G18="","",IF(G18&lt;E18,"🔴 PEDIR",IF(G18&lt;E18*1.5,"🟡 BAJO","🟢 OK")))</f>
        <v/>
      </c>
      <c r="I18" s="9">
        <f>IF(G18="","",IF(G18&lt;E18,F18-G18,0))</f>
        <v/>
      </c>
      <c r="J18" s="9" t="n"/>
      <c r="K18" s="9" t="n"/>
      <c r="L18" s="9" t="n"/>
    </row>
    <row r="19">
      <c r="A19" s="8" t="n">
        <v>15</v>
      </c>
      <c r="B19" s="8" t="inlineStr">
        <is>
          <t>Huevos</t>
        </is>
      </c>
      <c r="C19" s="8" t="inlineStr">
        <is>
          <t>Secos/Granos</t>
        </is>
      </c>
      <c r="D19" s="8" t="inlineStr">
        <is>
          <t>kg</t>
        </is>
      </c>
      <c r="E19" s="8" t="n">
        <v>5</v>
      </c>
      <c r="F19" s="8" t="n">
        <v>15</v>
      </c>
      <c r="G19" s="8" t="inlineStr"/>
      <c r="H19" s="8">
        <f>IF(G19="","",IF(G19&lt;E19,"🔴 PEDIR",IF(G19&lt;E19*1.5,"🟡 BAJO","🟢 OK")))</f>
        <v/>
      </c>
      <c r="I19" s="8">
        <f>IF(G19="","",IF(G19&lt;E19,F19-G19,0))</f>
        <v/>
      </c>
      <c r="J19" s="8" t="n"/>
      <c r="K19" s="8" t="n"/>
      <c r="L19" s="8" t="n"/>
    </row>
    <row r="20">
      <c r="A20" s="9" t="n">
        <v>16</v>
      </c>
      <c r="B20" s="9" t="inlineStr">
        <is>
          <t>Nata</t>
        </is>
      </c>
      <c r="C20" s="9" t="inlineStr">
        <is>
          <t>Congelados</t>
        </is>
      </c>
      <c r="D20" s="9" t="inlineStr">
        <is>
          <t>ud</t>
        </is>
      </c>
      <c r="E20" s="9" t="n">
        <v>5</v>
      </c>
      <c r="F20" s="9" t="n">
        <v>15</v>
      </c>
      <c r="G20" s="9" t="inlineStr"/>
      <c r="H20" s="9">
        <f>IF(G20="","",IF(G20&lt;E20,"🔴 PEDIR",IF(G20&lt;E20*1.5,"🟡 BAJO","🟢 OK")))</f>
        <v/>
      </c>
      <c r="I20" s="9">
        <f>IF(G20="","",IF(G20&lt;E20,F20-G20,0))</f>
        <v/>
      </c>
      <c r="J20" s="9" t="n"/>
      <c r="K20" s="9" t="n"/>
      <c r="L20" s="9" t="n"/>
    </row>
    <row r="21">
      <c r="A21" s="8" t="n">
        <v>17</v>
      </c>
      <c r="B21" s="8" t="inlineStr">
        <is>
          <t>Mantequilla</t>
        </is>
      </c>
      <c r="C21" s="8" t="inlineStr">
        <is>
          <t>Bebidas</t>
        </is>
      </c>
      <c r="D21" s="8" t="inlineStr">
        <is>
          <t>L</t>
        </is>
      </c>
      <c r="E21" s="8" t="n">
        <v>5</v>
      </c>
      <c r="F21" s="8" t="n">
        <v>15</v>
      </c>
      <c r="G21" s="8" t="inlineStr"/>
      <c r="H21" s="8">
        <f>IF(G21="","",IF(G21&lt;E21,"🔴 PEDIR",IF(G21&lt;E21*1.5,"🟡 BAJO","🟢 OK")))</f>
        <v/>
      </c>
      <c r="I21" s="8">
        <f>IF(G21="","",IF(G21&lt;E21,F21-G21,0))</f>
        <v/>
      </c>
      <c r="J21" s="8" t="n"/>
      <c r="K21" s="8" t="n"/>
      <c r="L21" s="8" t="n"/>
    </row>
    <row r="22">
      <c r="A22" s="9" t="n">
        <v>18</v>
      </c>
      <c r="B22" s="9" t="inlineStr">
        <is>
          <t>Queso parmesano</t>
        </is>
      </c>
      <c r="C22" s="9" t="inlineStr">
        <is>
          <t>Limpieza</t>
        </is>
      </c>
      <c r="D22" s="9" t="inlineStr">
        <is>
          <t>kg</t>
        </is>
      </c>
      <c r="E22" s="9" t="n">
        <v>5</v>
      </c>
      <c r="F22" s="9" t="n">
        <v>15</v>
      </c>
      <c r="G22" s="9" t="inlineStr"/>
      <c r="H22" s="9">
        <f>IF(G22="","",IF(G22&lt;E22,"🔴 PEDIR",IF(G22&lt;E22*1.5,"🟡 BAJO","🟢 OK")))</f>
        <v/>
      </c>
      <c r="I22" s="9">
        <f>IF(G22="","",IF(G22&lt;E22,F22-G22,0))</f>
        <v/>
      </c>
      <c r="J22" s="9" t="n"/>
      <c r="K22" s="9" t="n"/>
      <c r="L22" s="9" t="n"/>
    </row>
    <row r="23">
      <c r="A23" s="8" t="n">
        <v>19</v>
      </c>
      <c r="B23" s="8" t="inlineStr">
        <is>
          <t>Limón</t>
        </is>
      </c>
      <c r="C23" s="8" t="inlineStr">
        <is>
          <t>Varios</t>
        </is>
      </c>
      <c r="D23" s="8" t="inlineStr">
        <is>
          <t>ud</t>
        </is>
      </c>
      <c r="E23" s="8" t="n">
        <v>5</v>
      </c>
      <c r="F23" s="8" t="n">
        <v>15</v>
      </c>
      <c r="G23" s="8" t="inlineStr"/>
      <c r="H23" s="8">
        <f>IF(G23="","",IF(G23&lt;E23,"🔴 PEDIR",IF(G23&lt;E23*1.5,"🟡 BAJO","🟢 OK")))</f>
        <v/>
      </c>
      <c r="I23" s="8">
        <f>IF(G23="","",IF(G23&lt;E23,F23-G23,0))</f>
        <v/>
      </c>
      <c r="J23" s="8" t="n"/>
      <c r="K23" s="8" t="n"/>
      <c r="L23" s="8" t="n"/>
    </row>
    <row r="24">
      <c r="A24" s="9" t="n">
        <v>20</v>
      </c>
      <c r="B24" s="9" t="inlineStr">
        <is>
          <t>Ajo</t>
        </is>
      </c>
      <c r="C24" s="9" t="inlineStr">
        <is>
          <t>Cárnicos</t>
        </is>
      </c>
      <c r="D24" s="9" t="inlineStr">
        <is>
          <t>L</t>
        </is>
      </c>
      <c r="E24" s="9" t="n">
        <v>5</v>
      </c>
      <c r="F24" s="9" t="n">
        <v>15</v>
      </c>
      <c r="G24" s="9" t="inlineStr"/>
      <c r="H24" s="9">
        <f>IF(G24="","",IF(G24&lt;E24,"🔴 PEDIR",IF(G24&lt;E24*1.5,"🟡 BAJO","🟢 OK")))</f>
        <v/>
      </c>
      <c r="I24" s="9">
        <f>IF(G24="","",IF(G24&lt;E24,F24-G24,0))</f>
        <v/>
      </c>
      <c r="J24" s="9" t="n"/>
      <c r="K24" s="9" t="n"/>
      <c r="L24" s="9" t="n"/>
    </row>
    <row r="25"/>
    <row r="26"/>
    <row r="27">
      <c r="A27" s="10" t="inlineStr">
        <is>
          <t>© 2026 AI Chef Pro · aichef.pro</t>
        </is>
      </c>
    </row>
  </sheetData>
  <mergeCells count="3">
    <mergeCell ref="A1:L1"/>
    <mergeCell ref="A27:H27"/>
    <mergeCell ref="A2:L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4" customWidth="1" min="3" max="3"/>
    <col width="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8" customWidth="1" min="11" max="11"/>
    <col width="20" customWidth="1" min="12" max="12"/>
  </cols>
  <sheetData>
    <row r="1">
      <c r="A1" s="5" t="inlineStr">
        <is>
          <t>INVENTARIO — BARRA</t>
        </is>
      </c>
    </row>
    <row r="2">
      <c r="A2" s="6" t="inlineStr">
        <is>
          <t>Fecha: ___/___/______    Responsable: ________________</t>
        </is>
      </c>
    </row>
    <row r="3"/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Par Level</t>
        </is>
      </c>
      <c r="F4" s="7" t="inlineStr">
        <is>
          <t>Par Max</t>
        </is>
      </c>
      <c r="G4" s="7" t="inlineStr">
        <is>
          <t>Stock Real</t>
        </is>
      </c>
      <c r="H4" s="7" t="inlineStr">
        <is>
          <t>Estado</t>
        </is>
      </c>
      <c r="I4" s="7" t="inlineStr">
        <is>
          <t>A Pedir</t>
        </is>
      </c>
      <c r="J4" s="7" t="inlineStr">
        <is>
          <t>Valor (€)</t>
        </is>
      </c>
      <c r="K4" s="7" t="inlineStr">
        <is>
          <t>Proveedor</t>
        </is>
      </c>
      <c r="L4" s="7" t="inlineStr">
        <is>
          <t>Notas</t>
        </is>
      </c>
    </row>
    <row r="5">
      <c r="A5" s="8" t="n">
        <v>1</v>
      </c>
      <c r="B5" s="8" t="inlineStr">
        <is>
          <t>Café en grano</t>
        </is>
      </c>
      <c r="C5" s="8" t="inlineStr">
        <is>
          <t>Pescados</t>
        </is>
      </c>
      <c r="D5" s="8" t="inlineStr">
        <is>
          <t>ud</t>
        </is>
      </c>
      <c r="E5" s="8" t="n">
        <v>5</v>
      </c>
      <c r="F5" s="8" t="n">
        <v>15</v>
      </c>
      <c r="G5" s="8" t="inlineStr"/>
      <c r="H5" s="8">
        <f>IF(G5="","",IF(G5&lt;E5,"🔴 PEDIR",IF(G5&lt;E5*1.5,"🟡 BAJO","🟢 OK")))</f>
        <v/>
      </c>
      <c r="I5" s="8">
        <f>IF(G5="","",IF(G5&lt;E5,F5-G5,0))</f>
        <v/>
      </c>
      <c r="J5" s="8" t="n"/>
      <c r="K5" s="8" t="n"/>
      <c r="L5" s="8" t="n"/>
    </row>
    <row r="6">
      <c r="A6" s="9" t="n">
        <v>2</v>
      </c>
      <c r="B6" s="9" t="inlineStr">
        <is>
          <t>Leche entera</t>
        </is>
      </c>
      <c r="C6" s="9" t="inlineStr">
        <is>
          <t>Lácteos</t>
        </is>
      </c>
      <c r="D6" s="9" t="inlineStr">
        <is>
          <t>L</t>
        </is>
      </c>
      <c r="E6" s="9" t="n">
        <v>5</v>
      </c>
      <c r="F6" s="9" t="n">
        <v>15</v>
      </c>
      <c r="G6" s="9" t="inlineStr"/>
      <c r="H6" s="9">
        <f>IF(G6="","",IF(G6&lt;E6,"🔴 PEDIR",IF(G6&lt;E6*1.5,"🟡 BAJO","🟢 OK")))</f>
        <v/>
      </c>
      <c r="I6" s="9">
        <f>IF(G6="","",IF(G6&lt;E6,F6-G6,0))</f>
        <v/>
      </c>
      <c r="J6" s="9" t="n"/>
      <c r="K6" s="9" t="n"/>
      <c r="L6" s="9" t="n"/>
    </row>
    <row r="7">
      <c r="A7" s="8" t="n">
        <v>3</v>
      </c>
      <c r="B7" s="8" t="inlineStr">
        <is>
          <t>Leche avena</t>
        </is>
      </c>
      <c r="C7" s="8" t="inlineStr">
        <is>
          <t>Verduras</t>
        </is>
      </c>
      <c r="D7" s="8" t="inlineStr">
        <is>
          <t>kg</t>
        </is>
      </c>
      <c r="E7" s="8" t="n">
        <v>5</v>
      </c>
      <c r="F7" s="8" t="n">
        <v>15</v>
      </c>
      <c r="G7" s="8" t="inlineStr"/>
      <c r="H7" s="8">
        <f>IF(G7="","",IF(G7&lt;E7,"🔴 PEDIR",IF(G7&lt;E7*1.5,"🟡 BAJO","🟢 OK")))</f>
        <v/>
      </c>
      <c r="I7" s="8">
        <f>IF(G7="","",IF(G7&lt;E7,F7-G7,0))</f>
        <v/>
      </c>
      <c r="J7" s="8" t="n"/>
      <c r="K7" s="8" t="n"/>
      <c r="L7" s="8" t="n"/>
    </row>
    <row r="8">
      <c r="A8" s="9" t="n">
        <v>4</v>
      </c>
      <c r="B8" s="9" t="inlineStr">
        <is>
          <t>Zumo naranja</t>
        </is>
      </c>
      <c r="C8" s="9" t="inlineStr">
        <is>
          <t>Frutas</t>
        </is>
      </c>
      <c r="D8" s="9" t="inlineStr">
        <is>
          <t>ud</t>
        </is>
      </c>
      <c r="E8" s="9" t="n">
        <v>5</v>
      </c>
      <c r="F8" s="9" t="n">
        <v>15</v>
      </c>
      <c r="G8" s="9" t="inlineStr"/>
      <c r="H8" s="9">
        <f>IF(G8="","",IF(G8&lt;E8,"🔴 PEDIR",IF(G8&lt;E8*1.5,"🟡 BAJO","🟢 OK")))</f>
        <v/>
      </c>
      <c r="I8" s="9">
        <f>IF(G8="","",IF(G8&lt;E8,F8-G8,0))</f>
        <v/>
      </c>
      <c r="J8" s="9" t="n"/>
      <c r="K8" s="9" t="n"/>
      <c r="L8" s="9" t="n"/>
    </row>
    <row r="9">
      <c r="A9" s="8" t="n">
        <v>5</v>
      </c>
      <c r="B9" s="8" t="inlineStr">
        <is>
          <t>Coca-Cola</t>
        </is>
      </c>
      <c r="C9" s="8" t="inlineStr">
        <is>
          <t>Secos/Granos</t>
        </is>
      </c>
      <c r="D9" s="8" t="inlineStr">
        <is>
          <t>L</t>
        </is>
      </c>
      <c r="E9" s="8" t="n">
        <v>5</v>
      </c>
      <c r="F9" s="8" t="n">
        <v>15</v>
      </c>
      <c r="G9" s="8" t="inlineStr"/>
      <c r="H9" s="8">
        <f>IF(G9="","",IF(G9&lt;E9,"🔴 PEDIR",IF(G9&lt;E9*1.5,"🟡 BAJO","🟢 OK")))</f>
        <v/>
      </c>
      <c r="I9" s="8">
        <f>IF(G9="","",IF(G9&lt;E9,F9-G9,0))</f>
        <v/>
      </c>
      <c r="J9" s="8" t="n"/>
      <c r="K9" s="8" t="n"/>
      <c r="L9" s="8" t="n"/>
    </row>
    <row r="10">
      <c r="A10" s="9" t="n">
        <v>6</v>
      </c>
      <c r="B10" s="9" t="inlineStr">
        <is>
          <t>Cerveza grifo (barril)</t>
        </is>
      </c>
      <c r="C10" s="9" t="inlineStr">
        <is>
          <t>Congelados</t>
        </is>
      </c>
      <c r="D10" s="9" t="inlineStr">
        <is>
          <t>kg</t>
        </is>
      </c>
      <c r="E10" s="9" t="n">
        <v>5</v>
      </c>
      <c r="F10" s="9" t="n">
        <v>15</v>
      </c>
      <c r="G10" s="9" t="inlineStr"/>
      <c r="H10" s="9">
        <f>IF(G10="","",IF(G10&lt;E10,"🔴 PEDIR",IF(G10&lt;E10*1.5,"🟡 BAJO","🟢 OK")))</f>
        <v/>
      </c>
      <c r="I10" s="9">
        <f>IF(G10="","",IF(G10&lt;E10,F10-G10,0))</f>
        <v/>
      </c>
      <c r="J10" s="9" t="n"/>
      <c r="K10" s="9" t="n"/>
      <c r="L10" s="9" t="n"/>
    </row>
    <row r="11">
      <c r="A11" s="8" t="n">
        <v>7</v>
      </c>
      <c r="B11" s="8" t="inlineStr">
        <is>
          <t>Agua mineral</t>
        </is>
      </c>
      <c r="C11" s="8" t="inlineStr">
        <is>
          <t>Bebidas</t>
        </is>
      </c>
      <c r="D11" s="8" t="inlineStr">
        <is>
          <t>ud</t>
        </is>
      </c>
      <c r="E11" s="8" t="n">
        <v>5</v>
      </c>
      <c r="F11" s="8" t="n">
        <v>15</v>
      </c>
      <c r="G11" s="8" t="inlineStr"/>
      <c r="H11" s="8">
        <f>IF(G11="","",IF(G11&lt;E11,"🔴 PEDIR",IF(G11&lt;E11*1.5,"🟡 BAJO","🟢 OK")))</f>
        <v/>
      </c>
      <c r="I11" s="8">
        <f>IF(G11="","",IF(G11&lt;E11,F11-G11,0))</f>
        <v/>
      </c>
      <c r="J11" s="8" t="n"/>
      <c r="K11" s="8" t="n"/>
      <c r="L11" s="8" t="n"/>
    </row>
    <row r="12">
      <c r="A12" s="9" t="n">
        <v>8</v>
      </c>
      <c r="B12" s="9" t="inlineStr">
        <is>
          <t>Tónica</t>
        </is>
      </c>
      <c r="C12" s="9" t="inlineStr">
        <is>
          <t>Limpieza</t>
        </is>
      </c>
      <c r="D12" s="9" t="inlineStr">
        <is>
          <t>L</t>
        </is>
      </c>
      <c r="E12" s="9" t="n">
        <v>5</v>
      </c>
      <c r="F12" s="9" t="n">
        <v>15</v>
      </c>
      <c r="G12" s="9" t="inlineStr"/>
      <c r="H12" s="9">
        <f>IF(G12="","",IF(G12&lt;E12,"🔴 PEDIR",IF(G12&lt;E12*1.5,"🟡 BAJO","🟢 OK")))</f>
        <v/>
      </c>
      <c r="I12" s="9">
        <f>IF(G12="","",IF(G12&lt;E12,F12-G12,0))</f>
        <v/>
      </c>
      <c r="J12" s="9" t="n"/>
      <c r="K12" s="9" t="n"/>
      <c r="L12" s="9" t="n"/>
    </row>
    <row r="13">
      <c r="A13" s="8" t="n">
        <v>9</v>
      </c>
      <c r="B13" s="8" t="inlineStr">
        <is>
          <t>Vino tinto (copa)</t>
        </is>
      </c>
      <c r="C13" s="8" t="inlineStr">
        <is>
          <t>Varios</t>
        </is>
      </c>
      <c r="D13" s="8" t="inlineStr">
        <is>
          <t>kg</t>
        </is>
      </c>
      <c r="E13" s="8" t="n">
        <v>5</v>
      </c>
      <c r="F13" s="8" t="n">
        <v>15</v>
      </c>
      <c r="G13" s="8" t="inlineStr"/>
      <c r="H13" s="8">
        <f>IF(G13="","",IF(G13&lt;E13,"🔴 PEDIR",IF(G13&lt;E13*1.5,"🟡 BAJO","🟢 OK")))</f>
        <v/>
      </c>
      <c r="I13" s="8">
        <f>IF(G13="","",IF(G13&lt;E13,F13-G13,0))</f>
        <v/>
      </c>
      <c r="J13" s="8" t="n"/>
      <c r="K13" s="8" t="n"/>
      <c r="L13" s="8" t="n"/>
    </row>
    <row r="14">
      <c r="A14" s="9" t="n">
        <v>10</v>
      </c>
      <c r="B14" s="9" t="inlineStr">
        <is>
          <t>Vino blanco (copa)</t>
        </is>
      </c>
      <c r="C14" s="9" t="inlineStr">
        <is>
          <t>Cárnicos</t>
        </is>
      </c>
      <c r="D14" s="9" t="inlineStr">
        <is>
          <t>ud</t>
        </is>
      </c>
      <c r="E14" s="9" t="n">
        <v>5</v>
      </c>
      <c r="F14" s="9" t="n">
        <v>15</v>
      </c>
      <c r="G14" s="9" t="inlineStr"/>
      <c r="H14" s="9">
        <f>IF(G14="","",IF(G14&lt;E14,"🔴 PEDIR",IF(G14&lt;E14*1.5,"🟡 BAJO","🟢 OK")))</f>
        <v/>
      </c>
      <c r="I14" s="9">
        <f>IF(G14="","",IF(G14&lt;E14,F14-G14,0))</f>
        <v/>
      </c>
      <c r="J14" s="9" t="n"/>
      <c r="K14" s="9" t="n"/>
      <c r="L14" s="9" t="n"/>
    </row>
    <row r="15">
      <c r="A15" s="8" t="n">
        <v>11</v>
      </c>
      <c r="B15" s="8" t="inlineStr">
        <is>
          <t>Hielo</t>
        </is>
      </c>
      <c r="C15" s="8" t="inlineStr">
        <is>
          <t>Pescados</t>
        </is>
      </c>
      <c r="D15" s="8" t="inlineStr">
        <is>
          <t>L</t>
        </is>
      </c>
      <c r="E15" s="8" t="n">
        <v>5</v>
      </c>
      <c r="F15" s="8" t="n">
        <v>15</v>
      </c>
      <c r="G15" s="8" t="inlineStr"/>
      <c r="H15" s="8">
        <f>IF(G15="","",IF(G15&lt;E15,"🔴 PEDIR",IF(G15&lt;E15*1.5,"🟡 BAJO","🟢 OK")))</f>
        <v/>
      </c>
      <c r="I15" s="8">
        <f>IF(G15="","",IF(G15&lt;E15,F15-G15,0))</f>
        <v/>
      </c>
      <c r="J15" s="8" t="n"/>
      <c r="K15" s="8" t="n"/>
      <c r="L15" s="8" t="n"/>
    </row>
    <row r="16">
      <c r="A16" s="9" t="n">
        <v>12</v>
      </c>
      <c r="B16" s="9" t="inlineStr">
        <is>
          <t>Azúcar</t>
        </is>
      </c>
      <c r="C16" s="9" t="inlineStr">
        <is>
          <t>Lácteos</t>
        </is>
      </c>
      <c r="D16" s="9" t="inlineStr">
        <is>
          <t>kg</t>
        </is>
      </c>
      <c r="E16" s="9" t="n">
        <v>5</v>
      </c>
      <c r="F16" s="9" t="n">
        <v>15</v>
      </c>
      <c r="G16" s="9" t="inlineStr"/>
      <c r="H16" s="9">
        <f>IF(G16="","",IF(G16&lt;E16,"🔴 PEDIR",IF(G16&lt;E16*1.5,"🟡 BAJO","🟢 OK")))</f>
        <v/>
      </c>
      <c r="I16" s="9">
        <f>IF(G16="","",IF(G16&lt;E16,F16-G16,0))</f>
        <v/>
      </c>
      <c r="J16" s="9" t="n"/>
      <c r="K16" s="9" t="n"/>
      <c r="L16" s="9" t="n"/>
    </row>
    <row r="17">
      <c r="A17" s="8" t="n">
        <v>13</v>
      </c>
      <c r="B17" s="8" t="inlineStr">
        <is>
          <t>Servilletas</t>
        </is>
      </c>
      <c r="C17" s="8" t="inlineStr">
        <is>
          <t>Verduras</t>
        </is>
      </c>
      <c r="D17" s="8" t="inlineStr">
        <is>
          <t>ud</t>
        </is>
      </c>
      <c r="E17" s="8" t="n">
        <v>5</v>
      </c>
      <c r="F17" s="8" t="n">
        <v>15</v>
      </c>
      <c r="G17" s="8" t="inlineStr"/>
      <c r="H17" s="8">
        <f>IF(G17="","",IF(G17&lt;E17,"🔴 PEDIR",IF(G17&lt;E17*1.5,"🟡 BAJO","🟢 OK")))</f>
        <v/>
      </c>
      <c r="I17" s="8">
        <f>IF(G17="","",IF(G17&lt;E17,F17-G17,0))</f>
        <v/>
      </c>
      <c r="J17" s="8" t="n"/>
      <c r="K17" s="8" t="n"/>
      <c r="L17" s="8" t="n"/>
    </row>
    <row r="18">
      <c r="A18" s="9" t="n">
        <v>14</v>
      </c>
      <c r="B18" s="9" t="inlineStr">
        <is>
          <t>Pajitas papel</t>
        </is>
      </c>
      <c r="C18" s="9" t="inlineStr">
        <is>
          <t>Frutas</t>
        </is>
      </c>
      <c r="D18" s="9" t="inlineStr">
        <is>
          <t>L</t>
        </is>
      </c>
      <c r="E18" s="9" t="n">
        <v>5</v>
      </c>
      <c r="F18" s="9" t="n">
        <v>15</v>
      </c>
      <c r="G18" s="9" t="inlineStr"/>
      <c r="H18" s="9">
        <f>IF(G18="","",IF(G18&lt;E18,"🔴 PEDIR",IF(G18&lt;E18*1.5,"🟡 BAJO","🟢 OK")))</f>
        <v/>
      </c>
      <c r="I18" s="9">
        <f>IF(G18="","",IF(G18&lt;E18,F18-G18,0))</f>
        <v/>
      </c>
      <c r="J18" s="9" t="n"/>
      <c r="K18" s="9" t="n"/>
      <c r="L18" s="9" t="n"/>
    </row>
    <row r="19">
      <c r="A19" s="8" t="n">
        <v>15</v>
      </c>
      <c r="B19" s="8" t="inlineStr">
        <is>
          <t>Vasos desechables</t>
        </is>
      </c>
      <c r="C19" s="8" t="inlineStr">
        <is>
          <t>Secos/Granos</t>
        </is>
      </c>
      <c r="D19" s="8" t="inlineStr">
        <is>
          <t>kg</t>
        </is>
      </c>
      <c r="E19" s="8" t="n">
        <v>5</v>
      </c>
      <c r="F19" s="8" t="n">
        <v>15</v>
      </c>
      <c r="G19" s="8" t="inlineStr"/>
      <c r="H19" s="8">
        <f>IF(G19="","",IF(G19&lt;E19,"🔴 PEDIR",IF(G19&lt;E19*1.5,"🟡 BAJO","🟢 OK")))</f>
        <v/>
      </c>
      <c r="I19" s="8">
        <f>IF(G19="","",IF(G19&lt;E19,F19-G19,0))</f>
        <v/>
      </c>
      <c r="J19" s="8" t="n"/>
      <c r="K19" s="8" t="n"/>
      <c r="L19" s="8" t="n"/>
    </row>
    <row r="20"/>
    <row r="21"/>
    <row r="22">
      <c r="A22" s="10" t="inlineStr">
        <is>
          <t>© 2026 AI Chef Pro · aichef.pro</t>
        </is>
      </c>
    </row>
  </sheetData>
  <mergeCells count="3">
    <mergeCell ref="A1:L1"/>
    <mergeCell ref="A22:H22"/>
    <mergeCell ref="A2:L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14" customWidth="1" min="3" max="3"/>
    <col width="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8" customWidth="1" min="11" max="11"/>
    <col width="20" customWidth="1" min="12" max="12"/>
  </cols>
  <sheetData>
    <row r="1">
      <c r="A1" s="5" t="inlineStr">
        <is>
          <t>INVENTARIO — ALMACÉN</t>
        </is>
      </c>
    </row>
    <row r="2">
      <c r="A2" s="6" t="inlineStr">
        <is>
          <t>Fecha: ___/___/______    Responsable: ________________</t>
        </is>
      </c>
    </row>
    <row r="3"/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Par Level</t>
        </is>
      </c>
      <c r="F4" s="7" t="inlineStr">
        <is>
          <t>Par Max</t>
        </is>
      </c>
      <c r="G4" s="7" t="inlineStr">
        <is>
          <t>Stock Real</t>
        </is>
      </c>
      <c r="H4" s="7" t="inlineStr">
        <is>
          <t>Estado</t>
        </is>
      </c>
      <c r="I4" s="7" t="inlineStr">
        <is>
          <t>A Pedir</t>
        </is>
      </c>
      <c r="J4" s="7" t="inlineStr">
        <is>
          <t>Valor (€)</t>
        </is>
      </c>
      <c r="K4" s="7" t="inlineStr">
        <is>
          <t>Proveedor</t>
        </is>
      </c>
      <c r="L4" s="7" t="inlineStr">
        <is>
          <t>Notas</t>
        </is>
      </c>
    </row>
    <row r="5">
      <c r="A5" s="8" t="n">
        <v>1</v>
      </c>
      <c r="B5" s="8" t="inlineStr">
        <is>
          <t>Papel cocina</t>
        </is>
      </c>
      <c r="C5" s="8" t="inlineStr">
        <is>
          <t>Pescados</t>
        </is>
      </c>
      <c r="D5" s="8" t="inlineStr">
        <is>
          <t>ud</t>
        </is>
      </c>
      <c r="E5" s="8" t="n">
        <v>5</v>
      </c>
      <c r="F5" s="8" t="n">
        <v>15</v>
      </c>
      <c r="G5" s="8" t="inlineStr"/>
      <c r="H5" s="8">
        <f>IF(G5="","",IF(G5&lt;E5,"🔴 PEDIR",IF(G5&lt;E5*1.5,"🟡 BAJO","🟢 OK")))</f>
        <v/>
      </c>
      <c r="I5" s="8">
        <f>IF(G5="","",IF(G5&lt;E5,F5-G5,0))</f>
        <v/>
      </c>
      <c r="J5" s="8" t="n"/>
      <c r="K5" s="8" t="n"/>
      <c r="L5" s="8" t="n"/>
    </row>
    <row r="6">
      <c r="A6" s="9" t="n">
        <v>2</v>
      </c>
      <c r="B6" s="9" t="inlineStr">
        <is>
          <t>Film transparente</t>
        </is>
      </c>
      <c r="C6" s="9" t="inlineStr">
        <is>
          <t>Lácteos</t>
        </is>
      </c>
      <c r="D6" s="9" t="inlineStr">
        <is>
          <t>L</t>
        </is>
      </c>
      <c r="E6" s="9" t="n">
        <v>5</v>
      </c>
      <c r="F6" s="9" t="n">
        <v>15</v>
      </c>
      <c r="G6" s="9" t="inlineStr"/>
      <c r="H6" s="9">
        <f>IF(G6="","",IF(G6&lt;E6,"🔴 PEDIR",IF(G6&lt;E6*1.5,"🟡 BAJO","🟢 OK")))</f>
        <v/>
      </c>
      <c r="I6" s="9">
        <f>IF(G6="","",IF(G6&lt;E6,F6-G6,0))</f>
        <v/>
      </c>
      <c r="J6" s="9" t="n"/>
      <c r="K6" s="9" t="n"/>
      <c r="L6" s="9" t="n"/>
    </row>
    <row r="7">
      <c r="A7" s="8" t="n">
        <v>3</v>
      </c>
      <c r="B7" s="8" t="inlineStr">
        <is>
          <t>Papel aluminio</t>
        </is>
      </c>
      <c r="C7" s="8" t="inlineStr">
        <is>
          <t>Verduras</t>
        </is>
      </c>
      <c r="D7" s="8" t="inlineStr">
        <is>
          <t>kg</t>
        </is>
      </c>
      <c r="E7" s="8" t="n">
        <v>5</v>
      </c>
      <c r="F7" s="8" t="n">
        <v>15</v>
      </c>
      <c r="G7" s="8" t="inlineStr"/>
      <c r="H7" s="8">
        <f>IF(G7="","",IF(G7&lt;E7,"🔴 PEDIR",IF(G7&lt;E7*1.5,"🟡 BAJO","🟢 OK")))</f>
        <v/>
      </c>
      <c r="I7" s="8">
        <f>IF(G7="","",IF(G7&lt;E7,F7-G7,0))</f>
        <v/>
      </c>
      <c r="J7" s="8" t="n"/>
      <c r="K7" s="8" t="n"/>
      <c r="L7" s="8" t="n"/>
    </row>
    <row r="8">
      <c r="A8" s="9" t="n">
        <v>4</v>
      </c>
      <c r="B8" s="9" t="inlineStr">
        <is>
          <t>Bolsas basura</t>
        </is>
      </c>
      <c r="C8" s="9" t="inlineStr">
        <is>
          <t>Frutas</t>
        </is>
      </c>
      <c r="D8" s="9" t="inlineStr">
        <is>
          <t>ud</t>
        </is>
      </c>
      <c r="E8" s="9" t="n">
        <v>5</v>
      </c>
      <c r="F8" s="9" t="n">
        <v>15</v>
      </c>
      <c r="G8" s="9" t="inlineStr"/>
      <c r="H8" s="9">
        <f>IF(G8="","",IF(G8&lt;E8,"🔴 PEDIR",IF(G8&lt;E8*1.5,"🟡 BAJO","🟢 OK")))</f>
        <v/>
      </c>
      <c r="I8" s="9">
        <f>IF(G8="","",IF(G8&lt;E8,F8-G8,0))</f>
        <v/>
      </c>
      <c r="J8" s="9" t="n"/>
      <c r="K8" s="9" t="n"/>
      <c r="L8" s="9" t="n"/>
    </row>
    <row r="9">
      <c r="A9" s="8" t="n">
        <v>5</v>
      </c>
      <c r="B9" s="8" t="inlineStr">
        <is>
          <t>Guantes nitrilo</t>
        </is>
      </c>
      <c r="C9" s="8" t="inlineStr">
        <is>
          <t>Secos/Granos</t>
        </is>
      </c>
      <c r="D9" s="8" t="inlineStr">
        <is>
          <t>L</t>
        </is>
      </c>
      <c r="E9" s="8" t="n">
        <v>5</v>
      </c>
      <c r="F9" s="8" t="n">
        <v>15</v>
      </c>
      <c r="G9" s="8" t="inlineStr"/>
      <c r="H9" s="8">
        <f>IF(G9="","",IF(G9&lt;E9,"🔴 PEDIR",IF(G9&lt;E9*1.5,"🟡 BAJO","🟢 OK")))</f>
        <v/>
      </c>
      <c r="I9" s="8">
        <f>IF(G9="","",IF(G9&lt;E9,F9-G9,0))</f>
        <v/>
      </c>
      <c r="J9" s="8" t="n"/>
      <c r="K9" s="8" t="n"/>
      <c r="L9" s="8" t="n"/>
    </row>
    <row r="10">
      <c r="A10" s="9" t="n">
        <v>6</v>
      </c>
      <c r="B10" s="9" t="inlineStr">
        <is>
          <t>Lavavajillas</t>
        </is>
      </c>
      <c r="C10" s="9" t="inlineStr">
        <is>
          <t>Congelados</t>
        </is>
      </c>
      <c r="D10" s="9" t="inlineStr">
        <is>
          <t>kg</t>
        </is>
      </c>
      <c r="E10" s="9" t="n">
        <v>5</v>
      </c>
      <c r="F10" s="9" t="n">
        <v>15</v>
      </c>
      <c r="G10" s="9" t="inlineStr"/>
      <c r="H10" s="9">
        <f>IF(G10="","",IF(G10&lt;E10,"🔴 PEDIR",IF(G10&lt;E10*1.5,"🟡 BAJO","🟢 OK")))</f>
        <v/>
      </c>
      <c r="I10" s="9">
        <f>IF(G10="","",IF(G10&lt;E10,F10-G10,0))</f>
        <v/>
      </c>
      <c r="J10" s="9" t="n"/>
      <c r="K10" s="9" t="n"/>
      <c r="L10" s="9" t="n"/>
    </row>
    <row r="11">
      <c r="A11" s="8" t="n">
        <v>7</v>
      </c>
      <c r="B11" s="8" t="inlineStr">
        <is>
          <t>Desengrasante</t>
        </is>
      </c>
      <c r="C11" s="8" t="inlineStr">
        <is>
          <t>Bebidas</t>
        </is>
      </c>
      <c r="D11" s="8" t="inlineStr">
        <is>
          <t>ud</t>
        </is>
      </c>
      <c r="E11" s="8" t="n">
        <v>5</v>
      </c>
      <c r="F11" s="8" t="n">
        <v>15</v>
      </c>
      <c r="G11" s="8" t="inlineStr"/>
      <c r="H11" s="8">
        <f>IF(G11="","",IF(G11&lt;E11,"🔴 PEDIR",IF(G11&lt;E11*1.5,"🟡 BAJO","🟢 OK")))</f>
        <v/>
      </c>
      <c r="I11" s="8">
        <f>IF(G11="","",IF(G11&lt;E11,F11-G11,0))</f>
        <v/>
      </c>
      <c r="J11" s="8" t="n"/>
      <c r="K11" s="8" t="n"/>
      <c r="L11" s="8" t="n"/>
    </row>
    <row r="12">
      <c r="A12" s="9" t="n">
        <v>8</v>
      </c>
      <c r="B12" s="9" t="inlineStr">
        <is>
          <t>Lejía alimentaria</t>
        </is>
      </c>
      <c r="C12" s="9" t="inlineStr">
        <is>
          <t>Limpieza</t>
        </is>
      </c>
      <c r="D12" s="9" t="inlineStr">
        <is>
          <t>L</t>
        </is>
      </c>
      <c r="E12" s="9" t="n">
        <v>5</v>
      </c>
      <c r="F12" s="9" t="n">
        <v>15</v>
      </c>
      <c r="G12" s="9" t="inlineStr"/>
      <c r="H12" s="9">
        <f>IF(G12="","",IF(G12&lt;E12,"🔴 PEDIR",IF(G12&lt;E12*1.5,"🟡 BAJO","🟢 OK")))</f>
        <v/>
      </c>
      <c r="I12" s="9">
        <f>IF(G12="","",IF(G12&lt;E12,F12-G12,0))</f>
        <v/>
      </c>
      <c r="J12" s="9" t="n"/>
      <c r="K12" s="9" t="n"/>
      <c r="L12" s="9" t="n"/>
    </row>
    <row r="13">
      <c r="A13" s="8" t="n">
        <v>9</v>
      </c>
      <c r="B13" s="8" t="inlineStr">
        <is>
          <t>Contenedores GN 1/1</t>
        </is>
      </c>
      <c r="C13" s="8" t="inlineStr">
        <is>
          <t>Varios</t>
        </is>
      </c>
      <c r="D13" s="8" t="inlineStr">
        <is>
          <t>kg</t>
        </is>
      </c>
      <c r="E13" s="8" t="n">
        <v>5</v>
      </c>
      <c r="F13" s="8" t="n">
        <v>15</v>
      </c>
      <c r="G13" s="8" t="inlineStr"/>
      <c r="H13" s="8">
        <f>IF(G13="","",IF(G13&lt;E13,"🔴 PEDIR",IF(G13&lt;E13*1.5,"🟡 BAJO","🟢 OK")))</f>
        <v/>
      </c>
      <c r="I13" s="8">
        <f>IF(G13="","",IF(G13&lt;E13,F13-G13,0))</f>
        <v/>
      </c>
      <c r="J13" s="8" t="n"/>
      <c r="K13" s="8" t="n"/>
      <c r="L13" s="8" t="n"/>
    </row>
    <row r="14">
      <c r="A14" s="9" t="n">
        <v>10</v>
      </c>
      <c r="B14" s="9" t="inlineStr">
        <is>
          <t>Etiquetas FIFO</t>
        </is>
      </c>
      <c r="C14" s="9" t="inlineStr">
        <is>
          <t>Cárnicos</t>
        </is>
      </c>
      <c r="D14" s="9" t="inlineStr">
        <is>
          <t>ud</t>
        </is>
      </c>
      <c r="E14" s="9" t="n">
        <v>5</v>
      </c>
      <c r="F14" s="9" t="n">
        <v>15</v>
      </c>
      <c r="G14" s="9" t="inlineStr"/>
      <c r="H14" s="9">
        <f>IF(G14="","",IF(G14&lt;E14,"🔴 PEDIR",IF(G14&lt;E14*1.5,"🟡 BAJO","🟢 OK")))</f>
        <v/>
      </c>
      <c r="I14" s="9">
        <f>IF(G14="","",IF(G14&lt;E14,F14-G14,0))</f>
        <v/>
      </c>
      <c r="J14" s="9" t="n"/>
      <c r="K14" s="9" t="n"/>
      <c r="L14" s="9" t="n"/>
    </row>
    <row r="15">
      <c r="A15" s="8" t="n">
        <v>11</v>
      </c>
      <c r="B15" s="8" t="inlineStr">
        <is>
          <t>Rollos de ticket</t>
        </is>
      </c>
      <c r="C15" s="8" t="inlineStr">
        <is>
          <t>Pescados</t>
        </is>
      </c>
      <c r="D15" s="8" t="inlineStr">
        <is>
          <t>L</t>
        </is>
      </c>
      <c r="E15" s="8" t="n">
        <v>5</v>
      </c>
      <c r="F15" s="8" t="n">
        <v>15</v>
      </c>
      <c r="G15" s="8" t="inlineStr"/>
      <c r="H15" s="8">
        <f>IF(G15="","",IF(G15&lt;E15,"🔴 PEDIR",IF(G15&lt;E15*1.5,"🟡 BAJO","🟢 OK")))</f>
        <v/>
      </c>
      <c r="I15" s="8">
        <f>IF(G15="","",IF(G15&lt;E15,F15-G15,0))</f>
        <v/>
      </c>
      <c r="J15" s="8" t="n"/>
      <c r="K15" s="8" t="n"/>
      <c r="L15" s="8" t="n"/>
    </row>
    <row r="16">
      <c r="A16" s="9" t="n">
        <v>12</v>
      </c>
      <c r="B16" s="9" t="inlineStr">
        <is>
          <t>Servilletas extra</t>
        </is>
      </c>
      <c r="C16" s="9" t="inlineStr">
        <is>
          <t>Lácteos</t>
        </is>
      </c>
      <c r="D16" s="9" t="inlineStr">
        <is>
          <t>kg</t>
        </is>
      </c>
      <c r="E16" s="9" t="n">
        <v>5</v>
      </c>
      <c r="F16" s="9" t="n">
        <v>15</v>
      </c>
      <c r="G16" s="9" t="inlineStr"/>
      <c r="H16" s="9">
        <f>IF(G16="","",IF(G16&lt;E16,"🔴 PEDIR",IF(G16&lt;E16*1.5,"🟡 BAJO","🟢 OK")))</f>
        <v/>
      </c>
      <c r="I16" s="9">
        <f>IF(G16="","",IF(G16&lt;E16,F16-G16,0))</f>
        <v/>
      </c>
      <c r="J16" s="9" t="n"/>
      <c r="K16" s="9" t="n"/>
      <c r="L16" s="9" t="n"/>
    </row>
    <row r="17">
      <c r="A17" s="8" t="n">
        <v>13</v>
      </c>
      <c r="B17" s="8" t="inlineStr">
        <is>
          <t>Aceite girasol (5L)</t>
        </is>
      </c>
      <c r="C17" s="8" t="inlineStr">
        <is>
          <t>Verduras</t>
        </is>
      </c>
      <c r="D17" s="8" t="inlineStr">
        <is>
          <t>ud</t>
        </is>
      </c>
      <c r="E17" s="8" t="n">
        <v>5</v>
      </c>
      <c r="F17" s="8" t="n">
        <v>15</v>
      </c>
      <c r="G17" s="8" t="inlineStr"/>
      <c r="H17" s="8">
        <f>IF(G17="","",IF(G17&lt;E17,"🔴 PEDIR",IF(G17&lt;E17*1.5,"🟡 BAJO","🟢 OK")))</f>
        <v/>
      </c>
      <c r="I17" s="8">
        <f>IF(G17="","",IF(G17&lt;E17,F17-G17,0))</f>
        <v/>
      </c>
      <c r="J17" s="8" t="n"/>
      <c r="K17" s="8" t="n"/>
      <c r="L17" s="8" t="n"/>
    </row>
    <row r="18">
      <c r="A18" s="9" t="n">
        <v>14</v>
      </c>
      <c r="B18" s="9" t="inlineStr">
        <is>
          <t>Vinagre</t>
        </is>
      </c>
      <c r="C18" s="9" t="inlineStr">
        <is>
          <t>Frutas</t>
        </is>
      </c>
      <c r="D18" s="9" t="inlineStr">
        <is>
          <t>L</t>
        </is>
      </c>
      <c r="E18" s="9" t="n">
        <v>5</v>
      </c>
      <c r="F18" s="9" t="n">
        <v>15</v>
      </c>
      <c r="G18" s="9" t="inlineStr"/>
      <c r="H18" s="9">
        <f>IF(G18="","",IF(G18&lt;E18,"🔴 PEDIR",IF(G18&lt;E18*1.5,"🟡 BAJO","🟢 OK")))</f>
        <v/>
      </c>
      <c r="I18" s="9">
        <f>IF(G18="","",IF(G18&lt;E18,F18-G18,0))</f>
        <v/>
      </c>
      <c r="J18" s="9" t="n"/>
      <c r="K18" s="9" t="n"/>
      <c r="L18" s="9" t="n"/>
    </row>
    <row r="19">
      <c r="A19" s="8" t="n">
        <v>15</v>
      </c>
      <c r="B19" s="8" t="inlineStr">
        <is>
          <t>Legumbres secas</t>
        </is>
      </c>
      <c r="C19" s="8" t="inlineStr">
        <is>
          <t>Secos/Granos</t>
        </is>
      </c>
      <c r="D19" s="8" t="inlineStr">
        <is>
          <t>kg</t>
        </is>
      </c>
      <c r="E19" s="8" t="n">
        <v>5</v>
      </c>
      <c r="F19" s="8" t="n">
        <v>15</v>
      </c>
      <c r="G19" s="8" t="inlineStr"/>
      <c r="H19" s="8">
        <f>IF(G19="","",IF(G19&lt;E19,"🔴 PEDIR",IF(G19&lt;E19*1.5,"🟡 BAJO","🟢 OK")))</f>
        <v/>
      </c>
      <c r="I19" s="8">
        <f>IF(G19="","",IF(G19&lt;E19,F19-G19,0))</f>
        <v/>
      </c>
      <c r="J19" s="8" t="n"/>
      <c r="K19" s="8" t="n"/>
      <c r="L19" s="8" t="n"/>
    </row>
    <row r="20"/>
    <row r="21"/>
    <row r="22">
      <c r="A22" s="10" t="inlineStr">
        <is>
          <t>© 2026 AI Chef Pro · aichef.pro</t>
        </is>
      </c>
    </row>
  </sheetData>
  <mergeCells count="3">
    <mergeCell ref="A1:L1"/>
    <mergeCell ref="A22:H22"/>
    <mergeCell ref="A2:L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C853"/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0" customWidth="1" min="3" max="3"/>
    <col width="20" customWidth="1" min="4" max="4"/>
  </cols>
  <sheetData>
    <row r="1">
      <c r="A1" s="5" t="inlineStr">
        <is>
          <t>RESUMEN DE STOCK</t>
        </is>
      </c>
    </row>
    <row r="2"/>
    <row r="3">
      <c r="A3" s="11" t="inlineStr">
        <is>
          <t>Zona</t>
        </is>
      </c>
      <c r="B3" s="11" t="inlineStr">
        <is>
          <t>Productos con stock bajo</t>
        </is>
      </c>
      <c r="C3" s="11" t="inlineStr">
        <is>
          <t>Productos a pedir</t>
        </is>
      </c>
      <c r="D3" s="11" t="inlineStr">
        <is>
          <t>Valor total stock (€)</t>
        </is>
      </c>
    </row>
    <row r="4"/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Inventario de Stock Diario · Kit Control de Inventario y Compras</dc:title>
  <dc:description xmlns:dc="http://purl.org/dc/elements/1.1/">aichef.pro/kit-inventario</dc:description>
  <dc:subject xmlns:dc="http://purl.org/dc/elements/1.1/">Kit Control de Inventario y Compras · v1.1</dc:subject>
  <dcterms:created xmlns:dcterms="http://purl.org/dc/terms/" xmlns:xsi="http://www.w3.org/2001/XMLSchema-instance" xsi:type="dcterms:W3CDTF">2026-04-05T09:47:45Z</dcterms:created>
  <dcterms:modified xmlns:dcterms="http://purl.org/dc/terms/" xmlns:xsi="http://www.w3.org/2001/XMLSchema-instance" xsi:type="dcterms:W3CDTF">2026-08-22T09:11:37Z</dcterms:modified>
  <cp:lastModifiedBy>AI Chef Pro</cp:lastModifiedBy>
  <cp:category>AI Chef Pro · Productos digitales</cp:category>
  <cp:keywords>kit inventario, AI Chef Pro</cp:keywords>
</cp:coreProperties>
</file>