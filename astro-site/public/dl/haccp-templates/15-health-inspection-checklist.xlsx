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25-Point Self-Inspection" sheetId="2" state="visible" r:id="rId2"/>
  </sheets>
  <definedNames>
    <definedName name="_xlnm.Print_Area" localSheetId="0">'Instructions'!$A$1:$B$26</definedName>
    <definedName name="_xlnm.Print_Titles" localSheetId="1">'25-Point Self-Inspection'!$4:$4</definedName>
    <definedName name="_xlnm.Print_Area" localSheetId="1">'25-Point Self-Inspection'!$A$1:$E$83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color rgb="00FFFFFF"/>
      <sz val="12"/>
    </font>
    <font>
      <name val="Calibri"/>
      <b val="1"/>
      <sz val="11"/>
    </font>
    <font>
      <name val="Calibri"/>
      <sz val="11"/>
    </font>
    <font>
      <name val="Calibri"/>
      <b val="1"/>
      <color rgb="00FF4444"/>
      <sz val="11"/>
    </font>
    <font>
      <name val="Calibri"/>
      <b val="1"/>
      <color rgb="00FF9800"/>
      <sz val="11"/>
    </font>
    <font>
      <name val="Calibri"/>
      <color rgb="00999999"/>
      <sz val="9"/>
    </font>
    <font>
      <b val="1"/>
      <sz val="16"/>
    </font>
    <font>
      <sz val="10"/>
    </font>
    <font>
      <b val="1"/>
      <color rgb="00FFFFFF"/>
      <sz val="11"/>
    </font>
    <font>
      <b val="1"/>
      <sz val="11"/>
    </font>
    <font>
      <b val="1"/>
      <sz val="12"/>
    </font>
    <font>
      <sz val="11"/>
    </font>
    <font>
      <sz val="9"/>
    </font>
    <font>
      <b val="1"/>
      <sz val="18"/>
    </font>
  </fonts>
  <fills count="7">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3F2FD"/>
      </patternFill>
    </fill>
    <fill>
      <patternFill patternType="solid">
        <fgColor rgb="00E8F5E9"/>
      </patternFill>
    </fill>
  </fills>
  <borders count="7">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2" borderId="1" pivotButton="0" quotePrefix="0" xfId="0"/>
    <xf numFmtId="0" fontId="0" fillId="2" borderId="1"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0" fillId="3" borderId="1" pivotButton="0" quotePrefix="0" xfId="0"/>
    <xf numFmtId="0" fontId="11"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11" fillId="0" borderId="0" pivotButton="0" quotePrefix="0" xfId="0"/>
    <xf numFmtId="0" fontId="10" fillId="0" borderId="0" pivotButton="0" quotePrefix="0" xfId="0"/>
    <xf numFmtId="0" fontId="12" fillId="0" borderId="0" pivotButton="0" quotePrefix="0" xfId="0"/>
    <xf numFmtId="0" fontId="0" fillId="0" borderId="4" pivotButton="0" quotePrefix="0" xfId="0"/>
    <xf numFmtId="0" fontId="0" fillId="0" borderId="5" pivotButton="0" quotePrefix="0" xfId="0"/>
    <xf numFmtId="0" fontId="20" fillId="0" borderId="0" applyAlignment="1" pivotButton="0" quotePrefix="0" xfId="0">
      <alignment vertical="center" wrapText="1"/>
    </xf>
    <xf numFmtId="0" fontId="17" fillId="0" borderId="0" pivotButton="0" quotePrefix="0" xfId="0"/>
    <xf numFmtId="0" fontId="18" fillId="0" borderId="0" applyAlignment="1" pivotButton="0" quotePrefix="0" xfId="0">
      <alignment vertical="top" wrapText="1"/>
    </xf>
    <xf numFmtId="0" fontId="13" fillId="0" borderId="0" pivotButton="0" quotePrefix="0" xfId="0"/>
    <xf numFmtId="0" fontId="14" fillId="0" borderId="0" pivotButton="0" quotePrefix="0" xfId="0"/>
    <xf numFmtId="0" fontId="15" fillId="4" borderId="6" applyAlignment="1" pivotButton="0" quotePrefix="0" xfId="0">
      <alignment horizontal="center" vertical="center" wrapText="1"/>
    </xf>
    <xf numFmtId="0" fontId="16" fillId="5" borderId="0" pivotButton="0" quotePrefix="0" xfId="0"/>
    <xf numFmtId="1" fontId="0" fillId="0" borderId="6" applyAlignment="1" pivotButton="0" quotePrefix="0" xfId="0">
      <alignment horizontal="center" vertical="center" wrapText="1"/>
    </xf>
    <xf numFmtId="0" fontId="0" fillId="0" borderId="6" applyAlignment="1" pivotButton="0" quotePrefix="0" xfId="0">
      <alignment horizontal="left" vertical="center" wrapText="1"/>
    </xf>
    <xf numFmtId="0" fontId="16" fillId="0" borderId="6" applyAlignment="1" pivotButton="0" quotePrefix="0" xfId="0">
      <alignment horizontal="center" vertical="center" wrapText="1"/>
    </xf>
    <xf numFmtId="49" fontId="0" fillId="6" borderId="6" applyAlignment="1" applyProtection="1" pivotButton="0" quotePrefix="0" xfId="0">
      <alignment horizontal="center" vertical="center" wrapText="1"/>
      <protection locked="0" hidden="0"/>
    </xf>
    <xf numFmtId="0" fontId="16" fillId="0" borderId="0" applyAlignment="1" pivotButton="0" quotePrefix="0" xfId="0">
      <alignment horizontal="left" vertical="center"/>
    </xf>
    <xf numFmtId="1" fontId="17" fillId="0" borderId="6" applyAlignment="1" pivotButton="0" quotePrefix="0" xfId="0">
      <alignment horizontal="center" vertical="center" wrapText="1"/>
    </xf>
    <xf numFmtId="9" fontId="17" fillId="0" borderId="6" applyAlignment="1" pivotButton="0" quotePrefix="0" xfId="0">
      <alignment horizontal="center" vertical="center" wrapText="1"/>
    </xf>
    <xf numFmtId="0" fontId="16" fillId="0" borderId="0" applyAlignment="1" pivotButton="0" quotePrefix="0" xfId="0">
      <alignment horizontal="center" vertical="top"/>
    </xf>
    <xf numFmtId="0" fontId="18" fillId="0" borderId="0" applyAlignment="1" pivotButton="0" quotePrefix="0" xfId="0">
      <alignment horizontal="left" vertical="top" wrapText="1"/>
    </xf>
    <xf numFmtId="0" fontId="19"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6"/>
  <sheetViews>
    <sheetView workbookViewId="0">
      <selection activeCell="A1" sqref="A1"/>
    </sheetView>
  </sheetViews>
  <sheetFormatPr baseColWidth="8" defaultRowHeight="15"/>
  <cols>
    <col width="3" customWidth="1" min="1" max="1"/>
    <col width="95" customWidth="1" min="2" max="2"/>
  </cols>
  <sheetData>
    <row r="2" ht="26" customHeight="1">
      <c r="B2" s="21" t="inlineStr">
        <is>
          <t>Health Inspection Self-Checklist</t>
        </is>
      </c>
    </row>
    <row r="4">
      <c r="B4" s="22" t="inlineStr">
        <is>
          <t>What you will find in this guide</t>
        </is>
      </c>
    </row>
    <row r="6">
      <c r="B6" s="23" t="inlineStr">
        <is>
          <t>▸ The 25 points the inspector checks, with what they look at in each one and its category under the FDA Food Code (Priority / Priority foundation / Core).</t>
        </is>
      </c>
    </row>
    <row r="7">
      <c r="B7" s="23" t="inlineStr">
        <is>
          <t>▸ An automatic summary that separates Priority violations from Priority foundation violations, counts the points left unanswered and calculates your compliance percentage.</t>
        </is>
      </c>
    </row>
    <row r="8">
      <c r="B8" s="23" t="inlineStr">
        <is>
          <t>▸ What to do in the 24 hours before an inspection.</t>
        </is>
      </c>
    </row>
    <row r="9">
      <c r="B9" s="23" t="inlineStr">
        <is>
          <t>▸ Which documents to have ready, in one binder and within reach.</t>
        </is>
      </c>
    </row>
    <row r="10">
      <c r="B10" s="23" t="inlineStr">
        <is>
          <t>▸ The mistakes that get cited most, so none of them catches you out.</t>
        </is>
      </c>
    </row>
    <row r="11">
      <c r="B11" s="23" t="inlineStr">
        <is>
          <t>▸ Based on the experience of John Guerrero: food service consultant since 2010, working in kitchens since he was 17.</t>
        </is>
      </c>
    </row>
    <row r="12">
      <c r="B12" s="2" t="n"/>
    </row>
    <row r="13">
      <c r="B13" s="22" t="inlineStr">
        <is>
          <t>How to use it</t>
        </is>
      </c>
    </row>
    <row r="14">
      <c r="B14" s="2" t="n"/>
    </row>
    <row r="15">
      <c r="B15" s="23" t="inlineStr">
        <is>
          <t>▸ Walk through the premises with the printed sheet or on your phone and mark each point with the drop-down: ✓ Compliant, ⚠ Needs work or ✗ Not compliant. They color themselves.</t>
        </is>
      </c>
    </row>
    <row r="16">
      <c r="B16" s="23" t="inlineStr">
        <is>
          <t>▸ Look first at the "Priority violations" box: if it is not zero, that is what needs fixing today.</t>
        </is>
      </c>
    </row>
    <row r="17">
      <c r="B17" s="23" t="inlineStr">
        <is>
          <t>▸ Repeat the self-assessment every quarter and keep the sheets. The series shows that you verify your own system, which is exactly what HACCP principle 6 asks for.</t>
        </is>
      </c>
    </row>
    <row r="19">
      <c r="B19" s="22" t="inlineStr">
        <is>
          <t>About the severity categories</t>
        </is>
      </c>
    </row>
    <row r="21">
      <c r="B21" s="23" t="inlineStr">
        <is>
          <t>The FDA Food Code (2022), as adopted by your state or local health department, sorts violations into three categories. Priority: the item directly controls a hazard (cooking, cooling, hot and cold holding, handwashing). Priority foundation: it supports a Priority item (written plans, records, training, equipment). Core: general sanitation and facilities. Closure is not the normal consequence of a violation: it is reserved for an imminent health hazard (§8-404.11). The category is always decided by the inspector. UK: your local authority scores each inspection under the Food Hygiene Rating Scheme, from 0 to 5.</t>
        </is>
      </c>
    </row>
    <row r="22">
      <c r="B22" s="23" t="inlineStr">
        <is>
          <t>▸ Keep these records for at least 2 years (house rule of this kit). FDA Food Code minimum: 90 days for shellstock tags and parasite-destruction records (§3-203.12, §3-402.12); follow your health department if it asks for longer.</t>
        </is>
      </c>
    </row>
    <row r="24">
      <c r="B24" s="22" t="inlineStr">
        <is>
          <t>— HACCP Food Safety Kit Pro · AI Chef Pro · aichef.pro</t>
        </is>
      </c>
    </row>
    <row r="26">
      <c r="B26" s="22"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44336"/>
    <outlinePr summaryBelow="1" summaryRight="1"/>
    <pageSetUpPr fitToPage="1"/>
  </sheetPr>
  <dimension ref="A1:E83"/>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56" customWidth="1" min="3" max="3"/>
    <col width="20" customWidth="1" min="4" max="4"/>
    <col width="18" customWidth="1" min="5" max="5"/>
  </cols>
  <sheetData>
    <row r="1">
      <c r="A1" s="24" t="inlineStr">
        <is>
          <t>The 25 Points the Health Inspector Checks</t>
        </is>
      </c>
    </row>
    <row r="2">
      <c r="A2" s="25" t="inlineStr">
        <is>
          <t>Self-assess your establishment BEFORE the inspection. Below the table you have the automatic summary and three blocks: what to do in the last 24 hours, which documents to have ready and the mistakes that get cited most.</t>
        </is>
      </c>
    </row>
    <row r="4" ht="30" customHeight="1">
      <c r="A4" s="26" t="inlineStr">
        <is>
          <t>No.</t>
        </is>
      </c>
      <c r="B4" s="26" t="inlineStr">
        <is>
          <t>Inspection point</t>
        </is>
      </c>
      <c r="C4" s="26" t="inlineStr">
        <is>
          <t>What the inspector checks</t>
        </is>
      </c>
      <c r="D4" s="26" t="inlineStr">
        <is>
          <t>Food Code category</t>
        </is>
      </c>
      <c r="E4" s="26" t="inlineStr">
        <is>
          <t>Your status</t>
        </is>
      </c>
    </row>
    <row r="5" ht="20" customHeight="1">
      <c r="A5" s="27" t="inlineStr">
        <is>
          <t>DOCUMENTATION &amp; RECORDS</t>
        </is>
      </c>
    </row>
    <row r="6" ht="32" customHeight="1">
      <c r="A6" s="28" t="n">
        <v>1</v>
      </c>
      <c r="B6" s="29" t="inlineStr">
        <is>
          <t>Complete, up-to-date HACCP plan</t>
        </is>
      </c>
      <c r="C6" s="29" t="inlineStr">
        <is>
          <t>Hazard analysis, CCPs, critical limits, monitoring, corrective actions and verification, in template 12 (HACCP Plan). Food Code §8-201.13 says when a written plan is required; UK: Reg. 852/2004, art. 5.</t>
        </is>
      </c>
      <c r="D6" s="30" t="inlineStr">
        <is>
          <t>Priority foundation</t>
        </is>
      </c>
      <c r="E6" s="31" t="n"/>
    </row>
    <row r="7" ht="32" customHeight="1">
      <c r="A7" s="28" t="n">
        <v>2</v>
      </c>
      <c r="B7" s="29" t="inlineStr">
        <is>
          <t>Monitoring records up to date and signed</t>
        </is>
      </c>
      <c r="C7" s="29" t="inlineStr">
        <is>
          <t>Temperature, cleaning, traceability and corrective action records for the past year, signed. FSMA 204: traceability records for foods on the Food Traceability List must reach the FDA within 24 hours (required from July 20, 2028). UK: "one step back, one step forward".</t>
        </is>
      </c>
      <c r="D7" s="30" t="inlineStr">
        <is>
          <t>Priority foundation</t>
        </is>
      </c>
      <c r="E7" s="31" t="n"/>
    </row>
    <row r="8" ht="46" customHeight="1">
      <c r="A8" s="28" t="n">
        <v>3</v>
      </c>
      <c r="B8" s="29" t="inlineStr">
        <is>
          <t>Food safety training documented by the business</t>
        </is>
      </c>
      <c r="C8" s="29" t="inlineStr">
        <is>
          <t>Proof of training for every food handler and the training log in BONUS-01 (Food Safety Training Log). At least one supervisory employee must be a Certified Food Protection Manager (CFPM, §2-102.12(A)), plus a food handler card where your state requires it. UK: no legal certificate; Level 2 is the usual standard.</t>
        </is>
      </c>
      <c r="D8" s="30" t="inlineStr">
        <is>
          <t>Priority foundation</t>
        </is>
      </c>
      <c r="E8" s="31" t="n"/>
    </row>
    <row r="9" ht="32" customHeight="1">
      <c r="A9" s="28" t="n">
        <v>4</v>
      </c>
      <c r="B9" s="29" t="inlineStr">
        <is>
          <t>Allergen guide available and up to date</t>
        </is>
      </c>
      <c r="C9" s="29" t="inlineStr">
        <is>
          <t>Available to any customer who asks, consistent with the allergen matrix in template 08 (Menu Allergen Matrix) and the current menu. US: the 9 major allergens, in writing (Food Code §3-602.12); UK: the 14 allergens.</t>
        </is>
      </c>
      <c r="D9" s="30" t="inlineStr">
        <is>
          <t>Priority foundation</t>
        </is>
      </c>
      <c r="E9" s="31" t="n"/>
    </row>
    <row r="10" ht="32" customHeight="1">
      <c r="A10" s="28" t="n">
        <v>5</v>
      </c>
      <c r="B10" s="29" t="inlineStr">
        <is>
          <t>Contract with a licensed pest control operator, with license number and certificates</t>
        </is>
      </c>
      <c r="C10" s="29" t="inlineStr">
        <is>
          <t>Contract in force, operator holding a state applicator license (UK: BPCA or NPTA member), a service report for every visit and the bait station map in template 07 (Pest Control Log &amp; Bait Station Map)</t>
        </is>
      </c>
      <c r="D10" s="30" t="inlineStr">
        <is>
          <t>Priority foundation</t>
        </is>
      </c>
      <c r="E10" s="31" t="n"/>
    </row>
    <row r="11" ht="20" customHeight="1">
      <c r="A11" s="27" t="inlineStr">
        <is>
          <t>TEMPERATURES &amp; EQUIPMENT</t>
        </is>
      </c>
    </row>
    <row r="12" ht="32" customHeight="1">
      <c r="A12" s="28" t="n">
        <v>6</v>
      </c>
      <c r="B12" s="29" t="inlineStr">
        <is>
          <t>Walk-in coolers (32 °F to 41 °F)</t>
        </is>
      </c>
      <c r="C12" s="29" t="inlineStr">
        <is>
          <t>On-site reading with the inspector's thermometer, checked against your template 01 (Food Temperature Log)</t>
        </is>
      </c>
      <c r="D12" s="30" t="inlineStr">
        <is>
          <t>Priority</t>
        </is>
      </c>
      <c r="E12" s="31" t="n"/>
    </row>
    <row r="13" ht="32" customHeight="1">
      <c r="A13" s="28" t="n">
        <v>7</v>
      </c>
      <c r="B13" s="29" t="inlineStr">
        <is>
          <t>Freezers (0 °F or below)</t>
        </is>
      </c>
      <c r="C13" s="29" t="inlineStr">
        <is>
          <t>On-site reading and food properly frozen, with no heavy frost and no signs of thawing and refreezing</t>
        </is>
      </c>
      <c r="D13" s="30" t="inlineStr">
        <is>
          <t>Priority foundation</t>
        </is>
      </c>
      <c r="E13" s="31" t="n"/>
    </row>
    <row r="14" ht="32" customHeight="1">
      <c r="A14" s="28" t="n">
        <v>8</v>
      </c>
      <c r="B14" s="29" t="inlineStr">
        <is>
          <t>Hot holding (135 °F or above)</t>
        </is>
      </c>
      <c r="C14" s="29" t="inlineStr">
        <is>
          <t>Holding temperature of the hot dishes at the time of the visit (UK: 145 °F (63 °C) or above)</t>
        </is>
      </c>
      <c r="D14" s="30" t="inlineStr">
        <is>
          <t>Priority</t>
        </is>
      </c>
      <c r="E14" s="31" t="n"/>
    </row>
    <row r="15" ht="32" customHeight="1">
      <c r="A15" s="28" t="n">
        <v>9</v>
      </c>
      <c r="B15" s="29" t="inlineStr">
        <is>
          <t>Clean, accessible probe thermometer in use</t>
        </is>
      </c>
      <c r="C15" s="29" t="inlineStr">
        <is>
          <t>It exists, it is within reach, it is clean and staff know how to use it</t>
        </is>
      </c>
      <c r="D15" s="30" t="inlineStr">
        <is>
          <t>Priority foundation</t>
        </is>
      </c>
      <c r="E15" s="31" t="n"/>
    </row>
    <row r="16" ht="32" customHeight="1">
      <c r="A16" s="28" t="n">
        <v>10</v>
      </c>
      <c r="B16" s="29" t="inlineStr">
        <is>
          <t>Thermometer calibration log</t>
        </is>
      </c>
      <c r="C16" s="29" t="inlineStr">
        <is>
          <t>Regular probe check in an ice bath or boiling water, with the deviation recorded in template 19 (Thermometer Calibration Log)</t>
        </is>
      </c>
      <c r="D16" s="30" t="inlineStr">
        <is>
          <t>Priority foundation</t>
        </is>
      </c>
      <c r="E16" s="31" t="n"/>
    </row>
    <row r="17" ht="20" customHeight="1">
      <c r="A17" s="27" t="inlineStr">
        <is>
          <t>HYGIENE &amp; CLEANING</t>
        </is>
      </c>
    </row>
    <row r="18" ht="32" customHeight="1">
      <c r="A18" s="28" t="n">
        <v>11</v>
      </c>
      <c r="B18" s="29" t="inlineStr">
        <is>
          <t>General cleanliness of the premises</t>
        </is>
      </c>
      <c r="C18" s="29" t="inlineStr">
        <is>
          <t>Floors, walls, ceilings and equipment free of grease buildup, including the back of the machinery</t>
        </is>
      </c>
      <c r="D18" s="30" t="inlineStr">
        <is>
          <t>Core</t>
        </is>
      </c>
      <c r="E18" s="31" t="n"/>
    </row>
    <row r="19" ht="32" customHeight="1">
      <c r="A19" s="28" t="n">
        <v>12</v>
      </c>
      <c r="B19" s="29" t="inlineStr">
        <is>
          <t>Condition of work surfaces</t>
        </is>
      </c>
      <c r="C19" s="29" t="inlineStr">
        <is>
          <t>No cracks or damage, food-grade (smooth, durable, nonabsorbent) and easy to clean</t>
        </is>
      </c>
      <c r="D19" s="30" t="inlineStr">
        <is>
          <t>Core</t>
        </is>
      </c>
      <c r="E19" s="31" t="n"/>
    </row>
    <row r="20" ht="32" customHeight="1">
      <c r="A20" s="28" t="n">
        <v>13</v>
      </c>
      <c r="B20" s="29" t="inlineStr">
        <is>
          <t>Handwashing sink in the food prep area</t>
        </is>
      </c>
      <c r="C20" s="29" t="inlineStr">
        <is>
          <t>Accessible and used only for handwashing, with hot water, soap, single-use paper towels and a foot-pedal trash can</t>
        </is>
      </c>
      <c r="D20" s="30" t="inlineStr">
        <is>
          <t>Priority foundation</t>
        </is>
      </c>
      <c r="E20" s="31" t="n"/>
    </row>
    <row r="21" ht="32" customHeight="1">
      <c r="A21" s="28" t="n">
        <v>14</v>
      </c>
      <c r="B21" s="29" t="inlineStr">
        <is>
          <t>Separation of dirty and clean areas</t>
        </is>
      </c>
      <c r="C21" s="29" t="inlineStr">
        <is>
          <t>Workflow with no crossover between raw and cooked food, in space or in time</t>
        </is>
      </c>
      <c r="D21" s="30" t="inlineStr">
        <is>
          <t>Priority</t>
        </is>
      </c>
      <c r="E21" s="31" t="n"/>
    </row>
    <row r="22" ht="32" customHeight="1">
      <c r="A22" s="28" t="n">
        <v>15</v>
      </c>
      <c r="B22" s="29" t="inlineStr">
        <is>
          <t>Staff changing rooms</t>
        </is>
      </c>
      <c r="C22" s="29" t="inlineStr">
        <is>
          <t>Street clothes kept apart from work clothes, lockers and cleanliness</t>
        </is>
      </c>
      <c r="D22" s="30" t="inlineStr">
        <is>
          <t>Core</t>
        </is>
      </c>
      <c r="E22" s="31" t="n"/>
    </row>
    <row r="23" ht="20" customHeight="1">
      <c r="A23" s="27" t="inlineStr">
        <is>
          <t>STORAGE</t>
        </is>
      </c>
    </row>
    <row r="24" ht="32" customHeight="1">
      <c r="A24" s="28" t="n">
        <v>16</v>
      </c>
      <c r="B24" s="29" t="inlineStr">
        <is>
          <t>FIFO followed, no expired product</t>
        </is>
      </c>
      <c r="C24" s="29" t="inlineStr">
        <is>
          <t>Oldest stock in front; nothing past its date in the cooler or the storeroom, not even if it is "set aside to throw out"</t>
        </is>
      </c>
      <c r="D24" s="30" t="inlineStr">
        <is>
          <t>Priority</t>
        </is>
      </c>
      <c r="E24" s="31" t="n"/>
    </row>
    <row r="25" ht="32" customHeight="1">
      <c r="A25" s="28" t="n">
        <v>17</v>
      </c>
      <c r="B25" s="29" t="inlineStr">
        <is>
          <t>Raw and cooked food kept apart</t>
        </is>
      </c>
      <c r="C25" s="29" t="inlineStr">
        <is>
          <t>Never on the same shelf; raw food always below ready-to-eat food</t>
        </is>
      </c>
      <c r="D25" s="30" t="inlineStr">
        <is>
          <t>Priority</t>
        </is>
      </c>
      <c r="E25" s="31" t="n"/>
    </row>
    <row r="26" ht="32" customHeight="1">
      <c r="A26" s="28" t="n">
        <v>18</v>
      </c>
      <c r="B26" s="29" t="inlineStr">
        <is>
          <t>Labeling of prepared food</t>
        </is>
      </c>
      <c r="C26" s="29" t="inlineStr">
        <is>
          <t>Everything identified with its name, preparation date and use-by date</t>
        </is>
      </c>
      <c r="D26" s="30" t="inlineStr">
        <is>
          <t>Priority foundation</t>
        </is>
      </c>
      <c r="E26" s="31" t="n"/>
    </row>
    <row r="27" ht="32" customHeight="1">
      <c r="A27" s="28" t="n">
        <v>19</v>
      </c>
      <c r="B27" s="29" t="inlineStr">
        <is>
          <t>Product kept off the floor</t>
        </is>
      </c>
      <c r="C27" s="29" t="inlineStr">
        <is>
          <t>Everything on shelves or pallets, nothing directly on the floor</t>
        </is>
      </c>
      <c r="D27" s="30" t="inlineStr">
        <is>
          <t>Core</t>
        </is>
      </c>
      <c r="E27" s="31" t="n"/>
    </row>
    <row r="28" ht="32" customHeight="1">
      <c r="A28" s="28" t="n">
        <v>20</v>
      </c>
      <c r="B28" s="29" t="inlineStr">
        <is>
          <t>Cleaning products stored separately in a closed cabinet</t>
        </is>
      </c>
      <c r="C28" s="29" t="inlineStr">
        <is>
          <t>Never next to food, in the original container with its label and its Safety Data Sheet (SDS)</t>
        </is>
      </c>
      <c r="D28" s="30" t="inlineStr">
        <is>
          <t>Priority</t>
        </is>
      </c>
      <c r="E28" s="31" t="n"/>
    </row>
    <row r="29" ht="20" customHeight="1">
      <c r="A29" s="27" t="inlineStr">
        <is>
          <t>FOOD HANDLING &amp; SERVICE</t>
        </is>
      </c>
    </row>
    <row r="30" ht="32" customHeight="1">
      <c r="A30" s="28" t="n">
        <v>21</v>
      </c>
      <c r="B30" s="29" t="inlineStr">
        <is>
          <t>Uniform &amp; staff hygiene</t>
        </is>
      </c>
      <c r="C30" s="29" t="inlineStr">
        <is>
          <t>Clean uniform, hair restraint, no jewelry (a plain ring band is allowed), closed-toe shoes, trimmed fingernails (Pf, §2-302.11) and covered wounds</t>
        </is>
      </c>
      <c r="D30" s="30" t="inlineStr">
        <is>
          <t>Priority foundation</t>
        </is>
      </c>
      <c r="E30" s="31" t="n"/>
    </row>
    <row r="31" ht="32" customHeight="1">
      <c r="A31" s="28" t="n">
        <v>22</v>
      </c>
      <c r="B31" s="29" t="inlineStr">
        <is>
          <t>Fryer oil</t>
        </is>
      </c>
      <c r="C31" s="29" t="inlineStr">
        <is>
          <t>Total polar materials (TPM) test, oil change log in template 09 (Fryer Oil Log) and a pickup receipt from a used-oil collector or recycler</t>
        </is>
      </c>
      <c r="D31" s="30" t="inlineStr">
        <is>
          <t>Core</t>
        </is>
      </c>
      <c r="E31" s="31" t="n"/>
    </row>
    <row r="32" ht="32" customHeight="1">
      <c r="A32" s="28" t="n">
        <v>23</v>
      </c>
      <c r="B32" s="29" t="inlineStr">
        <is>
          <t>Proper thawing</t>
        </is>
      </c>
      <c r="C32" s="29" t="inlineStr">
        <is>
          <t>In the refrigerator at 41 °F or below, covered and on a tray; never at room temperature, in standing water or under warm running water</t>
        </is>
      </c>
      <c r="D32" s="30" t="inlineStr">
        <is>
          <t>Priority foundation</t>
        </is>
      </c>
      <c r="E32" s="31" t="n"/>
    </row>
    <row r="33" ht="32" customHeight="1">
      <c r="A33" s="28" t="n">
        <v>24</v>
      </c>
      <c r="B33" s="29" t="inlineStr">
        <is>
          <t>Parasite destruction (fish served raw)</t>
        </is>
      </c>
      <c r="C33" s="29" t="inlineStr">
        <is>
          <t>Fish served raw, marinated or partly cooked: frozen at -4 °F for 168 hours, at -31 °F for 15 hours, or at -31 °F until solid and then -4 °F for 24 hours, with a log in template 18 (Parasite Destruction Log). UK/EU: 24 hours at -4 °F (-20 °C)</t>
        </is>
      </c>
      <c r="D33" s="30" t="inlineStr">
        <is>
          <t>Priority</t>
        </is>
      </c>
      <c r="E33" s="31" t="n"/>
    </row>
    <row r="34" ht="32" customHeight="1">
      <c r="A34" s="28" t="n">
        <v>25</v>
      </c>
      <c r="B34" s="29" t="inlineStr">
        <is>
          <t>Allergen control during service</t>
        </is>
      </c>
      <c r="C34" s="29" t="inlineStr">
        <is>
          <t>Trained staff, a written protocol and dedicated utensils when an allergy is declared; chart in template 14 (Allergen Chart &amp; Allergic Reaction Protocol)</t>
        </is>
      </c>
      <c r="D34" s="30" t="inlineStr">
        <is>
          <t>Priority foundation</t>
        </is>
      </c>
      <c r="E34" s="31" t="n"/>
    </row>
    <row r="36">
      <c r="A36" s="27" t="inlineStr">
        <is>
          <t>SELF-ASSESSMENT SUMMARY</t>
        </is>
      </c>
    </row>
    <row r="37">
      <c r="A37" s="32" t="inlineStr">
        <is>
          <t>Points compliant</t>
        </is>
      </c>
      <c r="E37" s="33">
        <f>COUNTIF($E$5:$E$34,"✓ Compliant")</f>
        <v>0.0</v>
      </c>
    </row>
    <row r="38">
      <c r="A38" s="32" t="inlineStr">
        <is>
          <t>Points needing work</t>
        </is>
      </c>
      <c r="E38" s="33">
        <f>COUNTIF($E$5:$E$34,"⚠ Needs work")</f>
        <v>0.0</v>
      </c>
    </row>
    <row r="39">
      <c r="A39" s="32" t="inlineStr">
        <is>
          <t>Points not compliant</t>
        </is>
      </c>
      <c r="E39" s="33">
        <f>COUNTIF($E$5:$E$34,"✗ Not compliant")</f>
        <v>0.0</v>
      </c>
    </row>
    <row r="40">
      <c r="A40" s="32" t="inlineStr">
        <is>
          <t>Unanswered (of 25)</t>
        </is>
      </c>
      <c r="E40" s="33">
        <f>MAX(0,25-(E37+E38+E39))</f>
        <v>25.0</v>
      </c>
    </row>
    <row r="41">
      <c r="A41" s="32" t="inlineStr">
        <is>
          <t>Priority violations (risk of closure)</t>
        </is>
      </c>
      <c r="E41" s="33">
        <f>COUNTIFS($D$5:$D$34,"Priority",$E$5:$E$34,"✗ Not compliant")</f>
        <v>0.0</v>
      </c>
    </row>
    <row r="42">
      <c r="A42" s="32" t="inlineStr">
        <is>
          <t>Priority foundation violations</t>
        </is>
      </c>
      <c r="E42" s="33">
        <f>COUNTIFS($D$5:$D$34,"Priority foundation",$E$5:$E$34,"✗ Not compliant")</f>
        <v>0.0</v>
      </c>
    </row>
    <row r="43">
      <c r="A43" s="32" t="inlineStr">
        <is>
          <t>% compliance (of the points answered)</t>
        </is>
      </c>
      <c r="E43" s="34">
        <f>IF((E37+E38+E39)=0,"",E37/(E37+E38+E39))</f>
        <v/>
      </c>
    </row>
    <row r="45" ht="20" customHeight="1">
      <c r="A45" s="27" t="inlineStr">
        <is>
          <t>BEFORE THE INSPECTION: THE LAST 24 HOURS</t>
        </is>
      </c>
    </row>
    <row r="46" ht="20" customHeight="1">
      <c r="A46" s="35" t="n">
        <v>1</v>
      </c>
      <c r="B46" s="36" t="inlineStr">
        <is>
          <t>Fill in this self-assessment yourself and fix whatever shows up red: the inspector is going to look at exactly the same things.</t>
        </is>
      </c>
    </row>
    <row r="47" ht="20" customHeight="1">
      <c r="A47" s="35" t="n">
        <v>2</v>
      </c>
      <c r="B47" s="36" t="inlineStr">
        <is>
          <t>Bring this month's records up to date and sign them. A sheet without a signature counts as not done.</t>
        </is>
      </c>
    </row>
    <row r="48" ht="20" customHeight="1">
      <c r="A48" s="35" t="n">
        <v>3</v>
      </c>
      <c r="B48" s="36" t="inlineStr">
        <is>
          <t>Check the temperatures of coolers, freezers and the steam table with a probe and enter them in template 01 (Food Temperature Log).</t>
        </is>
      </c>
    </row>
    <row r="49" ht="20" customHeight="1">
      <c r="A49" s="35" t="n">
        <v>4</v>
      </c>
      <c r="B49" s="36" t="inlineStr">
        <is>
          <t>Check use-by dates and the labeling of everything made in house.</t>
        </is>
      </c>
    </row>
    <row r="50" ht="20" customHeight="1">
      <c r="A50" s="35" t="n">
        <v>5</v>
      </c>
      <c r="B50" s="36" t="inlineStr">
        <is>
          <t>Organize the walk-in: raw food at the bottom, everything covered, labeled and kept apart from ready-to-eat food.</t>
        </is>
      </c>
    </row>
    <row r="51" ht="20" customHeight="1">
      <c r="A51" s="35" t="n">
        <v>6</v>
      </c>
      <c r="B51" s="36" t="inlineStr">
        <is>
          <t>Go over floor drains, the hood, door gaskets and the back of the equipment: that is where inspectors look once the obvious is clean.</t>
        </is>
      </c>
    </row>
    <row r="52" ht="20" customHeight="1">
      <c r="A52" s="35" t="n">
        <v>7</v>
      </c>
      <c r="B52" s="36" t="inlineStr">
        <is>
          <t>Put cleaning products back in their closed cabinet and keep the Safety Data Sheets (SDS) within reach.</t>
        </is>
      </c>
    </row>
    <row r="53" ht="32" customHeight="1">
      <c r="A53" s="35" t="n">
        <v>8</v>
      </c>
      <c r="B53" s="36" t="inlineStr">
        <is>
          <t>Decide who walks with the inspector and who keeps working. Choose someone who knows where every record is and does not improvise answers.</t>
        </is>
      </c>
    </row>
    <row r="55" ht="20" customHeight="1">
      <c r="A55" s="27" t="inlineStr">
        <is>
          <t>DOCUMENTS TO HAVE READY, IN ONE BINDER AND WITHIN REACH</t>
        </is>
      </c>
    </row>
    <row r="56" ht="20" customHeight="1">
      <c r="A56" s="35" t="n">
        <v>1</v>
      </c>
      <c r="B56" s="36" t="inlineStr">
        <is>
          <t>HACCP plan: hazard analysis in template 12 (HACCP Plan) and cleaning &amp; sanitizing schedule in template 03 (Master Cleaning &amp; Sanitizing Schedule), with its list of chemicals.</t>
        </is>
      </c>
    </row>
    <row r="57" ht="20" customHeight="1">
      <c r="A57" s="35" t="n">
        <v>2</v>
      </c>
      <c r="B57" s="36" t="inlineStr">
        <is>
          <t>Temperature logs for the past year: daily in template 01 (Food Temperature Log) and receiving in template 02 (Receiving Temperature Log).</t>
        </is>
      </c>
    </row>
    <row r="58" ht="20" customHeight="1">
      <c r="A58" s="35" t="n">
        <v>3</v>
      </c>
      <c r="B58" s="36" t="inlineStr">
        <is>
          <t>Receiving checklist in template 05 (Receiving Checklist for Deliveries), together with its invoices / packing slips.</t>
        </is>
      </c>
    </row>
    <row r="59" ht="20" customHeight="1">
      <c r="A59" s="35" t="n">
        <v>4</v>
      </c>
      <c r="B59" s="36" t="inlineStr">
        <is>
          <t>Traceability log for lots in and out: template 06 (Food Traceability Log).</t>
        </is>
      </c>
    </row>
    <row r="60" ht="20" customHeight="1">
      <c r="A60" s="35" t="n">
        <v>5</v>
      </c>
      <c r="B60" s="36" t="inlineStr">
        <is>
          <t>Daily cleaning checklist and weekly tasks: template 04 (Daily Cleaning Checklist).</t>
        </is>
      </c>
    </row>
    <row r="61" ht="20" customHeight="1">
      <c r="A61" s="35" t="n">
        <v>6</v>
      </c>
      <c r="B61" s="36" t="inlineStr">
        <is>
          <t>Pest control: contract with the operator's license number, a service report for every visit and the bait station map in template 07 (Pest Control Log &amp; Bait Station Map).</t>
        </is>
      </c>
    </row>
    <row r="62" ht="20" customHeight="1">
      <c r="A62" s="35" t="n">
        <v>7</v>
      </c>
      <c r="B62" s="36" t="inlineStr">
        <is>
          <t>Fryer oil log in template 09 (Fryer Oil Log) and used-oil pickup receipts.</t>
        </is>
      </c>
    </row>
    <row r="63" ht="20" customHeight="1">
      <c r="A63" s="35" t="n">
        <v>8</v>
      </c>
      <c r="B63" s="36" t="inlineStr">
        <is>
          <t>Water quality log in template 10 (Water Quality Log) and lab test reports if you have your own well or private water supply.</t>
        </is>
      </c>
    </row>
    <row r="64" ht="20" customHeight="1">
      <c r="A64" s="35" t="n">
        <v>9</v>
      </c>
      <c r="B64" s="36" t="inlineStr">
        <is>
          <t>Allergen matrix in template 08 (Menu Allergen Matrix) and the allergen guide available to customers.</t>
        </is>
      </c>
    </row>
    <row r="65" ht="20" customHeight="1">
      <c r="A65" s="35" t="n">
        <v>10</v>
      </c>
      <c r="B65" s="36" t="inlineStr">
        <is>
          <t>Cooking and reheating logs in template 16 (Cooking &amp; Reheating Temperature Log), cooling and thawing logs in template 17 (Cooling &amp; Thawing Log) and parasite destruction logs in template 18 (Parasite Destruction Log); keep the parasite destruction records for 90 days (§3-402.12).</t>
        </is>
      </c>
    </row>
    <row r="66" ht="20" customHeight="1">
      <c r="A66" s="35" t="n">
        <v>11</v>
      </c>
      <c r="B66" s="36" t="inlineStr">
        <is>
          <t>Thermometer calibration log in template 19 (Thermometer Calibration Log), corrective action log in template 11 (Corrective Action Log) and staff training log in BONUS-01 (Food Safety Training Log).</t>
        </is>
      </c>
    </row>
    <row r="68" ht="20" customHeight="1">
      <c r="A68" s="27" t="inlineStr">
        <is>
          <t>THE MISTAKES THAT GET CITED MOST</t>
        </is>
      </c>
    </row>
    <row r="69" ht="20" customHeight="1">
      <c r="A69" s="35" t="n">
        <v>1</v>
      </c>
      <c r="B69" s="36" t="inlineStr">
        <is>
          <t>Records filled in after the fact, all in the same handwriting and the same pen. It shows, and it wipes out the value of the whole series.</t>
        </is>
      </c>
    </row>
    <row r="70" ht="20" customHeight="1">
      <c r="A70" s="35" t="n">
        <v>2</v>
      </c>
      <c r="B70" s="36" t="inlineStr">
        <is>
          <t>HACCP plan bought and left in a drawer, without a single signature and without a single corrective action recorded all year.</t>
        </is>
      </c>
    </row>
    <row r="71" ht="20" customHeight="1">
      <c r="A71" s="35" t="n">
        <v>3</v>
      </c>
      <c r="B71" s="36" t="inlineStr">
        <is>
          <t>Food uncovered, unlabeled or with raw food above cooked food in the cooler.</t>
        </is>
      </c>
    </row>
    <row r="72" ht="20" customHeight="1">
      <c r="A72" s="35" t="n">
        <v>4</v>
      </c>
      <c r="B72" s="36" t="inlineStr">
        <is>
          <t>Expired product in the cooler or the storeroom, even if it is "set aside to throw out": if it is inside, it counts.</t>
        </is>
      </c>
    </row>
    <row r="73" ht="20" customHeight="1">
      <c r="A73" s="35" t="n">
        <v>5</v>
      </c>
      <c r="B73" s="36" t="inlineStr">
        <is>
          <t>Thawing at room temperature, in standing water or under warm running water.</t>
        </is>
      </c>
    </row>
    <row r="74" ht="20" customHeight="1">
      <c r="A74" s="35" t="n">
        <v>6</v>
      </c>
      <c r="B74" s="36" t="inlineStr">
        <is>
          <t>Serving fish raw, marinated or partly cooked without documented parasite destruction.</t>
        </is>
      </c>
    </row>
    <row r="75" ht="20" customHeight="1">
      <c r="A75" s="35" t="n">
        <v>7</v>
      </c>
      <c r="B75" s="36" t="inlineStr">
        <is>
          <t>Saying an item "contains no" allergen without having checked it in the matrix, or having no allergen guide.</t>
        </is>
      </c>
    </row>
    <row r="76" ht="20" customHeight="1">
      <c r="A76" s="35" t="n">
        <v>8</v>
      </c>
      <c r="B76" s="36" t="inlineStr">
        <is>
          <t>Handwashing sink used as a utility sink, with no soap, no single-use paper towels or no foot-pedal trash can.</t>
        </is>
      </c>
    </row>
    <row r="77" ht="20" customHeight="1">
      <c r="A77" s="35" t="n">
        <v>9</v>
      </c>
      <c r="B77" s="36" t="inlineStr">
        <is>
          <t>Cleaning products next to food, or poured into unlabeled bottles.</t>
        </is>
      </c>
    </row>
    <row r="79" ht="36.7" customHeight="1">
      <c r="A79" s="37" t="inlineStr">
        <is>
          <t>Severity categories under the FDA Food Code 2022: Priority = the item directly controls a hazard (temperatures, cooking, handwashing, cross-contamination); Priority foundation = it supports a Priority item (written plans, records, training, equipment); Core = general sanitation and facilities. UK: the Food Hygiene Rating Scheme goes from 0 (urgent improvement necessary) to 5 (very good).</t>
        </is>
      </c>
    </row>
    <row r="80" ht="24.5" customHeight="1">
      <c r="A80" s="37" t="inlineStr">
        <is>
          <t>Priority violations that are not corrected, and any imminent health hazard (fire, flood, sewage backup, loss of water or power, suspected outbreak), can lead to suspension of the permit and closure of the establishment (Food Code §8-404.11). Your local or state health department sets the penalties.</t>
        </is>
      </c>
    </row>
    <row r="81" ht="24.5" customHeight="1">
      <c r="A81" s="37" t="inlineStr">
        <is>
          <t>This guide is a readiness self-check, not an official finding: the category of a violation is always decided by the health department (UK: the local authority), weighing the risk, intent and repeat violations.</t>
        </is>
      </c>
    </row>
    <row r="82" ht="24.5" customHeight="1">
      <c r="A82" s="37" t="inlineStr">
        <is>
          <t>Keep these records for at least 2 years (house rule of this kit). FDA Food Code minimum: 90 days for shellstock tags and parasite-destruction records (§3-203.12, §3-402.12); follow your health department if it asks for longer.</t>
        </is>
      </c>
    </row>
    <row r="83" ht="12.2" customHeight="1">
      <c r="A83" s="37" t="inlineStr">
        <is>
          <t>— HACCP Food Safety Kit Pro · AI Chef Pro · aichef.pro</t>
        </is>
      </c>
    </row>
  </sheetData>
  <mergeCells count="50">
    <mergeCell ref="A83:E83"/>
    <mergeCell ref="B49:E49"/>
    <mergeCell ref="B65:E65"/>
    <mergeCell ref="A82:E82"/>
    <mergeCell ref="B74:E74"/>
    <mergeCell ref="A38:D38"/>
    <mergeCell ref="B64:E64"/>
    <mergeCell ref="A11:E11"/>
    <mergeCell ref="A45:E45"/>
    <mergeCell ref="A1:E1"/>
    <mergeCell ref="A43:D43"/>
    <mergeCell ref="B51:E51"/>
    <mergeCell ref="A36:E36"/>
    <mergeCell ref="A79:E79"/>
    <mergeCell ref="B76:E76"/>
    <mergeCell ref="B63:E63"/>
    <mergeCell ref="A40:D40"/>
    <mergeCell ref="B50:E50"/>
    <mergeCell ref="B75:E75"/>
    <mergeCell ref="A39:D39"/>
    <mergeCell ref="B62:E62"/>
    <mergeCell ref="B72:E72"/>
    <mergeCell ref="B47:E47"/>
    <mergeCell ref="B59:E59"/>
    <mergeCell ref="A80:E80"/>
    <mergeCell ref="B46:E46"/>
    <mergeCell ref="B66:E66"/>
    <mergeCell ref="A55:E55"/>
    <mergeCell ref="B56:E56"/>
    <mergeCell ref="B71:E71"/>
    <mergeCell ref="B58:E58"/>
    <mergeCell ref="B70:E70"/>
    <mergeCell ref="B52:E52"/>
    <mergeCell ref="B48:E48"/>
    <mergeCell ref="B77:E77"/>
    <mergeCell ref="A5:E5"/>
    <mergeCell ref="A23:E23"/>
    <mergeCell ref="A41:D41"/>
    <mergeCell ref="A17:E17"/>
    <mergeCell ref="B60:E60"/>
    <mergeCell ref="A37:D37"/>
    <mergeCell ref="A29:E29"/>
    <mergeCell ref="B57:E57"/>
    <mergeCell ref="B61:E61"/>
    <mergeCell ref="A81:E81"/>
    <mergeCell ref="B53:E53"/>
    <mergeCell ref="B73:E73"/>
    <mergeCell ref="B69:E69"/>
    <mergeCell ref="A68:E68"/>
    <mergeCell ref="A42:D42"/>
  </mergeCells>
  <conditionalFormatting sqref="E6:E10">
    <cfRule type="expression" priority="1" dxfId="0" stopIfTrue="1">
      <formula>OR(E6="ALERT",E6="REJECT",E6="CHANGE",E6="INVESTIGATE",E6="✗",E6="EXPIRED",E6="EXCESS",E6="✗ Not compliant")</formula>
    </cfRule>
    <cfRule type="expression" priority="2" dxfId="1" stopIfTrue="1">
      <formula>OR(E6="WATCH",E6="⚠",E6="INCOMPLETE",E6="EXPIRES SOON",E6="RENEW",E6="CHLORINE MISSING",E6="TEST MISSING",E6="⚠ Needs work")</formula>
    </cfRule>
    <cfRule type="expression" priority="3" dxfId="2" stopIfTrue="1">
      <formula>OR(E6="OK",E6="✓",E6="Compliant",E6="CURRENT",E6="Complete",E6="PASS",E6="✓ Compliant")</formula>
    </cfRule>
  </conditionalFormatting>
  <conditionalFormatting sqref="E12:E16">
    <cfRule type="expression" priority="4" dxfId="0" stopIfTrue="1">
      <formula>OR(E12="ALERT",E12="REJECT",E12="CHANGE",E12="INVESTIGATE",E12="✗",E12="EXPIRED",E12="EXCESS",E12="✗ Not compliant")</formula>
    </cfRule>
    <cfRule type="expression" priority="5" dxfId="1" stopIfTrue="1">
      <formula>OR(E12="WATCH",E12="⚠",E12="INCOMPLETE",E12="EXPIRES SOON",E12="RENEW",E12="CHLORINE MISSING",E12="TEST MISSING",E12="⚠ Needs work")</formula>
    </cfRule>
    <cfRule type="expression" priority="6" dxfId="2" stopIfTrue="1">
      <formula>OR(E12="OK",E12="✓",E12="Compliant",E12="CURRENT",E12="Complete",E12="PASS",E12="✓ Compliant")</formula>
    </cfRule>
  </conditionalFormatting>
  <conditionalFormatting sqref="E18:E22">
    <cfRule type="expression" priority="7" dxfId="0" stopIfTrue="1">
      <formula>OR(E18="ALERT",E18="REJECT",E18="CHANGE",E18="INVESTIGATE",E18="✗",E18="EXPIRED",E18="EXCESS",E18="✗ Not compliant")</formula>
    </cfRule>
    <cfRule type="expression" priority="8" dxfId="1" stopIfTrue="1">
      <formula>OR(E18="WATCH",E18="⚠",E18="INCOMPLETE",E18="EXPIRES SOON",E18="RENEW",E18="CHLORINE MISSING",E18="TEST MISSING",E18="⚠ Needs work")</formula>
    </cfRule>
    <cfRule type="expression" priority="9" dxfId="2" stopIfTrue="1">
      <formula>OR(E18="OK",E18="✓",E18="Compliant",E18="CURRENT",E18="Complete",E18="PASS",E18="✓ Compliant")</formula>
    </cfRule>
  </conditionalFormatting>
  <conditionalFormatting sqref="E24:E28">
    <cfRule type="expression" priority="10" dxfId="0" stopIfTrue="1">
      <formula>OR(E24="ALERT",E24="REJECT",E24="CHANGE",E24="INVESTIGATE",E24="✗",E24="EXPIRED",E24="EXCESS",E24="✗ Not compliant")</formula>
    </cfRule>
    <cfRule type="expression" priority="11" dxfId="1" stopIfTrue="1">
      <formula>OR(E24="WATCH",E24="⚠",E24="INCOMPLETE",E24="EXPIRES SOON",E24="RENEW",E24="CHLORINE MISSING",E24="TEST MISSING",E24="⚠ Needs work")</formula>
    </cfRule>
    <cfRule type="expression" priority="12" dxfId="2" stopIfTrue="1">
      <formula>OR(E24="OK",E24="✓",E24="Compliant",E24="CURRENT",E24="Complete",E24="PASS",E24="✓ Compliant")</formula>
    </cfRule>
  </conditionalFormatting>
  <conditionalFormatting sqref="E30:E34">
    <cfRule type="expression" priority="13" dxfId="0" stopIfTrue="1">
      <formula>OR(E30="ALERT",E30="REJECT",E30="CHANGE",E30="INVESTIGATE",E30="✗",E30="EXPIRED",E30="EXCESS",E30="✗ Not compliant")</formula>
    </cfRule>
    <cfRule type="expression" priority="14" dxfId="1" stopIfTrue="1">
      <formula>OR(E30="WATCH",E30="⚠",E30="INCOMPLETE",E30="EXPIRES SOON",E30="RENEW",E30="CHLORINE MISSING",E30="TEST MISSING",E30="⚠ Needs work")</formula>
    </cfRule>
    <cfRule type="expression" priority="15" dxfId="2" stopIfTrue="1">
      <formula>OR(E30="OK",E30="✓",E30="Compliant",E30="CURRENT",E30="Complete",E30="PASS",E30="✓ Compliant")</formula>
    </cfRule>
  </conditionalFormatting>
  <conditionalFormatting sqref="D6:D10">
    <cfRule type="expression" priority="16" dxfId="0" stopIfTrue="1">
      <formula>OR(D6="ALERT",D6="REJECT",D6="CHANGE",D6="INVESTIGATE",D6="✗",D6="EXPIRED",D6="EXCESS",D6="Priority")</formula>
    </cfRule>
    <cfRule type="expression" priority="17" dxfId="1" stopIfTrue="1">
      <formula>OR(D6="WATCH",D6="⚠",D6="INCOMPLETE",D6="EXPIRES SOON",D6="RENEW",D6="CHLORINE MISSING",D6="TEST MISSING",D6="Priority foundation")</formula>
    </cfRule>
    <cfRule type="expression" priority="18" dxfId="2" stopIfTrue="1">
      <formula>OR(D6="OK",D6="✓",D6="Compliant",D6="CURRENT",D6="Complete",D6="PASS",D6="Core")</formula>
    </cfRule>
  </conditionalFormatting>
  <conditionalFormatting sqref="D12:D16">
    <cfRule type="expression" priority="19" dxfId="0" stopIfTrue="1">
      <formula>OR(D12="ALERT",D12="REJECT",D12="CHANGE",D12="INVESTIGATE",D12="✗",D12="EXPIRED",D12="EXCESS",D12="Priority")</formula>
    </cfRule>
    <cfRule type="expression" priority="20" dxfId="1" stopIfTrue="1">
      <formula>OR(D12="WATCH",D12="⚠",D12="INCOMPLETE",D12="EXPIRES SOON",D12="RENEW",D12="CHLORINE MISSING",D12="TEST MISSING",D12="Priority foundation")</formula>
    </cfRule>
    <cfRule type="expression" priority="21" dxfId="2" stopIfTrue="1">
      <formula>OR(D12="OK",D12="✓",D12="Compliant",D12="CURRENT",D12="Complete",D12="PASS",D12="Core")</formula>
    </cfRule>
  </conditionalFormatting>
  <conditionalFormatting sqref="D18:D22">
    <cfRule type="expression" priority="22" dxfId="0" stopIfTrue="1">
      <formula>OR(D18="ALERT",D18="REJECT",D18="CHANGE",D18="INVESTIGATE",D18="✗",D18="EXPIRED",D18="EXCESS",D18="Priority")</formula>
    </cfRule>
    <cfRule type="expression" priority="23" dxfId="1" stopIfTrue="1">
      <formula>OR(D18="WATCH",D18="⚠",D18="INCOMPLETE",D18="EXPIRES SOON",D18="RENEW",D18="CHLORINE MISSING",D18="TEST MISSING",D18="Priority foundation")</formula>
    </cfRule>
    <cfRule type="expression" priority="24" dxfId="2" stopIfTrue="1">
      <formula>OR(D18="OK",D18="✓",D18="Compliant",D18="CURRENT",D18="Complete",D18="PASS",D18="Core")</formula>
    </cfRule>
  </conditionalFormatting>
  <conditionalFormatting sqref="D24:D28">
    <cfRule type="expression" priority="25" dxfId="0" stopIfTrue="1">
      <formula>OR(D24="ALERT",D24="REJECT",D24="CHANGE",D24="INVESTIGATE",D24="✗",D24="EXPIRED",D24="EXCESS",D24="Priority")</formula>
    </cfRule>
    <cfRule type="expression" priority="26" dxfId="1" stopIfTrue="1">
      <formula>OR(D24="WATCH",D24="⚠",D24="INCOMPLETE",D24="EXPIRES SOON",D24="RENEW",D24="CHLORINE MISSING",D24="TEST MISSING",D24="Priority foundation")</formula>
    </cfRule>
    <cfRule type="expression" priority="27" dxfId="2" stopIfTrue="1">
      <formula>OR(D24="OK",D24="✓",D24="Compliant",D24="CURRENT",D24="Complete",D24="PASS",D24="Core")</formula>
    </cfRule>
  </conditionalFormatting>
  <conditionalFormatting sqref="D30:D34">
    <cfRule type="expression" priority="28" dxfId="0" stopIfTrue="1">
      <formula>OR(D30="ALERT",D30="REJECT",D30="CHANGE",D30="INVESTIGATE",D30="✗",D30="EXPIRED",D30="EXCESS",D30="Priority")</formula>
    </cfRule>
    <cfRule type="expression" priority="29" dxfId="1" stopIfTrue="1">
      <formula>OR(D30="WATCH",D30="⚠",D30="INCOMPLETE",D30="EXPIRES SOON",D30="RENEW",D30="CHLORINE MISSING",D30="TEST MISSING",D30="Priority foundation")</formula>
    </cfRule>
    <cfRule type="expression" priority="30" dxfId="2" stopIfTrue="1">
      <formula>OR(D30="OK",D30="✓",D30="Compliant",D30="CURRENT",D30="Complete",D30="PASS",D30="Core")</formula>
    </cfRule>
  </conditionalFormatting>
  <conditionalFormatting sqref="E40">
    <cfRule type="expression" priority="31" dxfId="0" stopIfTrue="1">
      <formula>E40&gt;0</formula>
    </cfRule>
  </conditionalFormatting>
  <conditionalFormatting sqref="E41">
    <cfRule type="expression" priority="32" dxfId="0" stopIfTrue="1">
      <formula>E41&gt;0</formula>
    </cfRule>
  </conditionalFormatting>
  <conditionalFormatting sqref="E42">
    <cfRule type="expression" priority="33" dxfId="0" stopIfTrue="1">
      <formula>E42&gt;0</formula>
    </cfRule>
  </conditionalFormatting>
  <dataValidations count="5">
    <dataValidation sqref="E6:E10" showDropDown="0" showInputMessage="0" showErrorMessage="1" allowBlank="1" errorTitle="Your status" error="Choose &quot;✓ Compliant&quot;, &quot;⚠ Needs work&quot; or &quot;✗ Not compliant&quot;. The summary matches the exact text, so anything typed by hand is not counted." type="list" errorStyle="stop">
      <formula1>"✓ Compliant,⚠ Needs work,✗ Not compliant"</formula1>
    </dataValidation>
    <dataValidation sqref="E12:E16" showDropDown="0" showInputMessage="0" showErrorMessage="1" allowBlank="1" errorTitle="Your status" error="Choose &quot;✓ Compliant&quot;, &quot;⚠ Needs work&quot; or &quot;✗ Not compliant&quot;. The summary matches the exact text, so anything typed by hand is not counted." type="list" errorStyle="stop">
      <formula1>"✓ Compliant,⚠ Needs work,✗ Not compliant"</formula1>
    </dataValidation>
    <dataValidation sqref="E18:E22" showDropDown="0" showInputMessage="0" showErrorMessage="1" allowBlank="1" errorTitle="Your status" error="Choose &quot;✓ Compliant&quot;, &quot;⚠ Needs work&quot; or &quot;✗ Not compliant&quot;. The summary matches the exact text, so anything typed by hand is not counted." type="list" errorStyle="stop">
      <formula1>"✓ Compliant,⚠ Needs work,✗ Not compliant"</formula1>
    </dataValidation>
    <dataValidation sqref="E24:E28" showDropDown="0" showInputMessage="0" showErrorMessage="1" allowBlank="1" errorTitle="Your status" error="Choose &quot;✓ Compliant&quot;, &quot;⚠ Needs work&quot; or &quot;✗ Not compliant&quot;. The summary matches the exact text, so anything typed by hand is not counted." type="list" errorStyle="stop">
      <formula1>"✓ Compliant,⚠ Needs work,✗ Not compliant"</formula1>
    </dataValidation>
    <dataValidation sqref="E30:E34" showDropDown="0" showInputMessage="0" showErrorMessage="1" allowBlank="1" errorTitle="Your status" error="Choose &quot;✓ Compliant&quot;, &quot;⚠ Needs work&quot; or &quot;✗ Not compliant&quot;. The summary matches the exact text, so anything typed by hand is not counted." type="list" errorStyle="stop">
      <formula1>"✓ Compliant,⚠ Needs work,✗ Not compliant"</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Health Inspection Self-Checklist</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2026-03-18T23:13:40Z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