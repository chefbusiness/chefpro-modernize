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ining Log" sheetId="2" state="visible" r:id="rId2"/>
  </sheets>
  <definedNames>
    <definedName name="_xlnm.Print_Area" localSheetId="0">'Instructions'!$A$1:$B$29</definedName>
    <definedName name="_xlnm.Print_Titles" localSheetId="1">'Training Log'!$4:$4</definedName>
    <definedName name="_xlnm.Print_Area" localSheetId="1">'Training Log'!$A$1:$K$53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color rgb="00FFFFFF"/>
      <sz val="11"/>
    </font>
    <font>
      <b val="1"/>
      <sz val="11"/>
    </font>
    <font>
      <b val="1"/>
      <sz val="12"/>
    </font>
    <font>
      <sz val="9"/>
    </font>
    <font>
      <b val="1"/>
      <sz val="18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3" fillId="0" borderId="0" applyAlignment="1" pivotButton="0" quotePrefix="0" xfId="0">
      <alignment vertical="center" wrapText="1"/>
    </xf>
    <xf numFmtId="0" fontId="11" fillId="0" borderId="0" pivotButton="0" quotePrefix="0" xfId="0"/>
    <xf numFmtId="0" fontId="1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0" fontId="6" fillId="5" borderId="2" applyAlignment="1" applyProtection="1" pivotButton="0" quotePrefix="0" xfId="0">
      <alignment horizontal="left" vertical="center" wrapText="1"/>
      <protection locked="0" hidden="0"/>
    </xf>
    <xf numFmtId="49" fontId="6" fillId="5" borderId="2" applyAlignment="1" applyProtection="1" pivotButton="0" quotePrefix="0" xfId="0">
      <alignment horizontal="center" vertical="center" wrapText="1"/>
      <protection locked="0" hidden="0"/>
    </xf>
    <xf numFmtId="164" fontId="6" fillId="5" borderId="2" applyAlignment="1" applyProtection="1" pivotButton="0" quotePrefix="0" xfId="0">
      <alignment horizontal="center" vertical="center" wrapText="1"/>
      <protection locked="0" hidden="0"/>
    </xf>
    <xf numFmtId="1" fontId="6" fillId="5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pivotButton="0" quotePrefix="0" xfId="0">
      <alignment horizontal="center" vertical="center" wrapText="1"/>
    </xf>
    <xf numFmtId="49" fontId="0" fillId="5" borderId="2" applyAlignment="1" applyProtection="1" pivotButton="0" quotePrefix="0" xfId="0">
      <alignment horizontal="center" vertical="center" wrapText="1"/>
      <protection locked="0" hidden="0"/>
    </xf>
    <xf numFmtId="0" fontId="10" fillId="0" borderId="0" pivotButton="0" quotePrefix="0" xfId="0"/>
    <xf numFmtId="1" fontId="11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14" fontId="9" fillId="4" borderId="2" applyAlignment="1" pivotButton="0" quotePrefix="0" xfId="0">
      <alignment horizontal="center" vertical="center" wrapText="1"/>
    </xf>
    <xf numFmtId="14" fontId="6" fillId="5" borderId="2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0" t="inlineStr">
        <is>
          <t>BONUS: Food Safety Training Log</t>
        </is>
      </c>
    </row>
    <row r="4">
      <c r="B4" s="11" t="inlineStr">
        <is>
          <t>How to use this template</t>
        </is>
      </c>
    </row>
    <row r="6">
      <c r="B6" s="12" t="inlineStr">
        <is>
          <t>▸ One line per employee and training. Record ALL food safety training: food handler, CFPM, HACCP, allergens, cleaning &amp; sanitizing, first aid.</t>
        </is>
      </c>
    </row>
    <row r="7">
      <c r="B7" s="12" t="inlineStr">
        <is>
          <t>▸ Fill in "Valid until" with the renewal date set by the certificate or by your training plan. It is the data point that turns the table into a warning: the "Status" column calculates itself.</t>
        </is>
      </c>
    </row>
    <row r="8">
      <c r="B8" s="12" t="inlineStr">
        <is>
          <t>▸ Statuses: CURRENT (green), RENEW (amber, fewer than 60 days left) and EXPIRED (red). Below the table there are two counters.</t>
        </is>
      </c>
    </row>
    <row r="9">
      <c r="B9" s="12" t="inlineStr">
        <is>
          <t>▸ Ask for the employee's SIGNATURE: it is what proves they received the training.</t>
        </is>
      </c>
    </row>
    <row r="10">
      <c r="B10" s="12" t="inlineStr">
        <is>
          <t>▸ Keep a copy of every certificate with this log. The inspector may ask for both.</t>
        </is>
      </c>
    </row>
    <row r="12">
      <c r="B12" s="11" t="inlineStr">
        <is>
          <t>What the rules require</t>
        </is>
      </c>
    </row>
    <row r="14">
      <c r="B14" s="12" t="inlineStr">
        <is>
          <t>There is no single federal "food handler card". The Food Code requires the person in charge to demonstrate knowledge, normally by being a Certified Food Protection Manager (CFPM, §2-102.12), and many states and counties also require a food handler card for staff: check what your state requires. UK: no legal certificate; a Level 2 food hygiene course is the usual standard.</t>
        </is>
      </c>
    </row>
    <row r="15">
      <c r="B15" s="12" t="inlineStr">
        <is>
          <t>▸ The rules do not set one expiry period for every certificate: it is set by the certificate itself and by your training plan. The usual renewal is every 2 to 5 years, and whenever your processes change.</t>
        </is>
      </c>
    </row>
    <row r="16">
      <c r="B16" s="12" t="inlineStr">
        <is>
          <t>▸ Allergen training is expected: the person in charge must be able to name the major food allergens (Food Code §2-102.11), and anyone who serves guests must know how to answer allergy questions. UK: the 14 allergens.</t>
        </is>
      </c>
    </row>
    <row r="18">
      <c r="B18" s="11" t="inlineStr">
        <is>
          <t>Note about today's date</t>
        </is>
      </c>
    </row>
    <row r="20">
      <c r="B20" s="12" t="inlineStr">
        <is>
          <t>The "Status" column uses the TODAY() function, so it updates itself every time you open the file in Excel, LibreOffice or Google Sheets. If you view it in a viewer that does not recalculate (the phone preview, for example), you will see the value of the day the template was generated.</t>
        </is>
      </c>
    </row>
    <row r="22">
      <c r="B22" s="11" t="inlineStr">
        <is>
          <t>Frequency &amp; record keeping</t>
        </is>
      </c>
    </row>
    <row r="24">
      <c r="B24" s="12" t="inlineStr">
        <is>
          <t>▸ Review the log at least once a quarter and every time someone new joins. The sheet has 40 rows.</t>
        </is>
      </c>
    </row>
    <row r="25">
      <c r="B25" s="12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7">
      <c r="B27" s="11" t="inlineStr">
        <is>
          <t>— HACCP Food Safety Kit Pro · AI Chef Pro · aichef.pro</t>
        </is>
      </c>
    </row>
    <row r="29">
      <c r="B29" s="11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4" customWidth="1" min="4" max="4"/>
    <col width="14" customWidth="1" min="5" max="5"/>
    <col width="12" customWidth="1" min="6" max="6"/>
    <col width="24" customWidth="1" min="7" max="7"/>
    <col width="18" customWidth="1" min="8" max="8"/>
    <col width="14" customWidth="1" min="9" max="9"/>
    <col width="16" customWidth="1" min="10" max="10"/>
    <col width="20" customWidth="1" min="11" max="11"/>
  </cols>
  <sheetData>
    <row r="1">
      <c r="A1" s="13" t="inlineStr">
        <is>
          <t>BONUS: Food Safety Training Log</t>
        </is>
      </c>
    </row>
    <row r="2">
      <c r="A2" t="inlineStr">
        <is>
          <t>Establishment: ________________________________    Person in charge: _________________________________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14" t="inlineStr">
        <is>
          <t>Employee name</t>
        </is>
      </c>
      <c r="B4" s="14" t="inlineStr">
        <is>
          <t>Job title</t>
        </is>
      </c>
      <c r="C4" s="14" t="inlineStr">
        <is>
          <t>Training received</t>
        </is>
      </c>
      <c r="D4" s="26" t="inlineStr">
        <is>
          <t>Start date</t>
        </is>
      </c>
      <c r="E4" s="26" t="inlineStr">
        <is>
          <t>End date</t>
        </is>
      </c>
      <c r="F4" s="14" t="inlineStr">
        <is>
          <t>Duration (h)</t>
        </is>
      </c>
      <c r="G4" s="14" t="inlineStr">
        <is>
          <t>Training provider</t>
        </is>
      </c>
      <c r="H4" s="14" t="inlineStr">
        <is>
          <t>Certificate no.</t>
        </is>
      </c>
      <c r="I4" s="14" t="inlineStr">
        <is>
          <t>Valid until</t>
        </is>
      </c>
      <c r="J4" s="14" t="inlineStr">
        <is>
          <t>Status</t>
        </is>
      </c>
      <c r="K4" s="14" t="inlineStr">
        <is>
          <t>Employee signature</t>
        </is>
      </c>
    </row>
    <row r="5" ht="20" customHeight="1">
      <c r="A5" s="16" t="inlineStr">
        <is>
          <t>Anna Ross (sample)</t>
        </is>
      </c>
      <c r="B5" s="17" t="inlineStr">
        <is>
          <t>Head chef</t>
        </is>
      </c>
      <c r="C5" s="16" t="inlineStr">
        <is>
          <t>Food handler training</t>
        </is>
      </c>
      <c r="D5" s="27" t="n">
        <v>46068</v>
      </c>
      <c r="E5" s="27" t="n">
        <v>46068</v>
      </c>
      <c r="F5" s="19" t="n">
        <v>6</v>
      </c>
      <c r="G5" s="16" t="inlineStr">
        <is>
          <t>Northside Food Safety Training</t>
        </is>
      </c>
      <c r="H5" s="17" t="inlineStr">
        <is>
          <t>CERT-2026-0046</t>
        </is>
      </c>
      <c r="I5" s="28">
        <f>TODAY()+900</f>
        <v>47198.0</v>
      </c>
      <c r="J5" s="21" t="str">
        <f>IF(NOT(ISNUMBER($I5)),"",IF($I5&lt;TODAY(),"EXPIRED",IF($I5-TODAY()&lt;60,"RENEW","CURRENT")))</f>
        <v>CURRENT</v>
      </c>
      <c r="K5" s="22" t="inlineStr">
        <is>
          <t>A.R.</t>
        </is>
      </c>
    </row>
    <row r="6" ht="20" customHeight="1">
      <c r="A6" s="16" t="inlineStr">
        <is>
          <t>Mark Shaw (sample)</t>
        </is>
      </c>
      <c r="B6" s="17" t="inlineStr">
        <is>
          <t>Cook</t>
        </is>
      </c>
      <c r="C6" s="16" t="inlineStr">
        <is>
          <t>Food allergen awareness</t>
        </is>
      </c>
      <c r="D6" s="27" t="n">
        <v>45198</v>
      </c>
      <c r="E6" s="27" t="n">
        <v>45198</v>
      </c>
      <c r="F6" s="19" t="n">
        <v>4</v>
      </c>
      <c r="G6" s="16" t="inlineStr">
        <is>
          <t>Northside Food Safety Training</t>
        </is>
      </c>
      <c r="H6" s="17" t="inlineStr">
        <is>
          <t>CERT-2023-0272</t>
        </is>
      </c>
      <c r="I6" s="28">
        <f>TODAY()+30</f>
        <v>46328.0</v>
      </c>
      <c r="J6" s="21" t="str">
        <f>IF(NOT(ISNUMBER($I6)),"",IF($I6&lt;TODAY(),"EXPIRED",IF($I6-TODAY()&lt;60,"RENEW","CURRENT")))</f>
        <v>RENEW</v>
      </c>
      <c r="K6" s="22" t="inlineStr">
        <is>
          <t>M.S.</t>
        </is>
      </c>
    </row>
    <row r="7" ht="20" customHeight="1">
      <c r="A7" s="16" t="inlineStr">
        <is>
          <t>Lucy Pratt (sample)</t>
        </is>
      </c>
      <c r="B7" s="17" t="inlineStr">
        <is>
          <t>Server</t>
        </is>
      </c>
      <c r="C7" s="16" t="inlineStr">
        <is>
          <t>Food handler training</t>
        </is>
      </c>
      <c r="D7" s="27" t="n">
        <v>45108</v>
      </c>
      <c r="E7" s="27" t="n">
        <v>45108</v>
      </c>
      <c r="F7" s="19" t="n">
        <v>6</v>
      </c>
      <c r="G7" s="16" t="inlineStr">
        <is>
          <t>Kitchen Skills Academy</t>
        </is>
      </c>
      <c r="H7" s="17" t="inlineStr">
        <is>
          <t>CERT-2023-0182</t>
        </is>
      </c>
      <c r="I7" s="28">
        <f>TODAY()-60</f>
        <v>46238.0</v>
      </c>
      <c r="J7" s="21" t="str">
        <f>IF(NOT(ISNUMBER($I7)),"",IF($I7&lt;TODAY(),"EXPIRED",IF($I7-TODAY()&lt;60,"RENEW","CURRENT")))</f>
        <v>EXPIRED</v>
      </c>
      <c r="K7" s="22" t="inlineStr">
        <is>
          <t>L.P.</t>
        </is>
      </c>
    </row>
    <row r="8" ht="20" customHeight="1">
      <c r="A8" s="16" t="n"/>
      <c r="B8" s="17" t="n"/>
      <c r="C8" s="16" t="n"/>
      <c r="D8" s="27" t="n"/>
      <c r="E8" s="27" t="n"/>
      <c r="F8" s="19" t="n"/>
      <c r="G8" s="16" t="n"/>
      <c r="H8" s="17" t="n"/>
      <c r="I8" s="28" t="n"/>
      <c r="J8" s="21">
        <f>IF(NOT(ISNUMBER($I8)),"",IF($I8&lt;TODAY(),"EXPIRED",IF($I8-TODAY()&lt;60,"RENEW","CURRENT")))</f>
        <v/>
      </c>
      <c r="K8" s="22" t="n"/>
    </row>
    <row r="9" ht="20" customHeight="1">
      <c r="A9" s="16" t="n"/>
      <c r="B9" s="17" t="n"/>
      <c r="C9" s="16" t="n"/>
      <c r="D9" s="27" t="n"/>
      <c r="E9" s="27" t="n"/>
      <c r="F9" s="19" t="n"/>
      <c r="G9" s="16" t="n"/>
      <c r="H9" s="17" t="n"/>
      <c r="I9" s="28" t="n"/>
      <c r="J9" s="21">
        <f>IF(NOT(ISNUMBER($I9)),"",IF($I9&lt;TODAY(),"EXPIRED",IF($I9-TODAY()&lt;60,"RENEW","CURRENT")))</f>
        <v/>
      </c>
      <c r="K9" s="22" t="n"/>
    </row>
    <row r="10" ht="20" customHeight="1">
      <c r="A10" s="16" t="n"/>
      <c r="B10" s="17" t="n"/>
      <c r="C10" s="16" t="n"/>
      <c r="D10" s="27" t="n"/>
      <c r="E10" s="27" t="n"/>
      <c r="F10" s="19" t="n"/>
      <c r="G10" s="16" t="n"/>
      <c r="H10" s="17" t="n"/>
      <c r="I10" s="28" t="n"/>
      <c r="J10" s="21">
        <f>IF(NOT(ISNUMBER($I10)),"",IF($I10&lt;TODAY(),"EXPIRED",IF($I10-TODAY()&lt;60,"RENEW","CURRENT")))</f>
        <v/>
      </c>
      <c r="K10" s="22" t="n"/>
    </row>
    <row r="11" ht="20" customHeight="1">
      <c r="A11" s="16" t="n"/>
      <c r="B11" s="17" t="n"/>
      <c r="C11" s="16" t="n"/>
      <c r="D11" s="27" t="n"/>
      <c r="E11" s="27" t="n"/>
      <c r="F11" s="19" t="n"/>
      <c r="G11" s="16" t="n"/>
      <c r="H11" s="17" t="n"/>
      <c r="I11" s="28" t="n"/>
      <c r="J11" s="21">
        <f>IF(NOT(ISNUMBER($I11)),"",IF($I11&lt;TODAY(),"EXPIRED",IF($I11-TODAY()&lt;60,"RENEW","CURRENT")))</f>
        <v/>
      </c>
      <c r="K11" s="22" t="n"/>
    </row>
    <row r="12" ht="20" customHeight="1">
      <c r="A12" s="16" t="n"/>
      <c r="B12" s="17" t="n"/>
      <c r="C12" s="16" t="n"/>
      <c r="D12" s="27" t="n"/>
      <c r="E12" s="27" t="n"/>
      <c r="F12" s="19" t="n"/>
      <c r="G12" s="16" t="n"/>
      <c r="H12" s="17" t="n"/>
      <c r="I12" s="28" t="n"/>
      <c r="J12" s="21">
        <f>IF(NOT(ISNUMBER($I12)),"",IF($I12&lt;TODAY(),"EXPIRED",IF($I12-TODAY()&lt;60,"RENEW","CURRENT")))</f>
        <v/>
      </c>
      <c r="K12" s="22" t="n"/>
    </row>
    <row r="13" ht="20" customHeight="1">
      <c r="A13" s="16" t="n"/>
      <c r="B13" s="17" t="n"/>
      <c r="C13" s="16" t="n"/>
      <c r="D13" s="27" t="n"/>
      <c r="E13" s="27" t="n"/>
      <c r="F13" s="19" t="n"/>
      <c r="G13" s="16" t="n"/>
      <c r="H13" s="17" t="n"/>
      <c r="I13" s="28" t="n"/>
      <c r="J13" s="21">
        <f>IF(NOT(ISNUMBER($I13)),"",IF($I13&lt;TODAY(),"EXPIRED",IF($I13-TODAY()&lt;60,"RENEW","CURRENT")))</f>
        <v/>
      </c>
      <c r="K13" s="22" t="n"/>
    </row>
    <row r="14" ht="20" customHeight="1">
      <c r="A14" s="16" t="n"/>
      <c r="B14" s="17" t="n"/>
      <c r="C14" s="16" t="n"/>
      <c r="D14" s="27" t="n"/>
      <c r="E14" s="27" t="n"/>
      <c r="F14" s="19" t="n"/>
      <c r="G14" s="16" t="n"/>
      <c r="H14" s="17" t="n"/>
      <c r="I14" s="28" t="n"/>
      <c r="J14" s="21">
        <f>IF(NOT(ISNUMBER($I14)),"",IF($I14&lt;TODAY(),"EXPIRED",IF($I14-TODAY()&lt;60,"RENEW","CURRENT")))</f>
        <v/>
      </c>
      <c r="K14" s="22" t="n"/>
    </row>
    <row r="15" ht="20" customHeight="1">
      <c r="A15" s="16" t="n"/>
      <c r="B15" s="17" t="n"/>
      <c r="C15" s="16" t="n"/>
      <c r="D15" s="27" t="n"/>
      <c r="E15" s="27" t="n"/>
      <c r="F15" s="19" t="n"/>
      <c r="G15" s="16" t="n"/>
      <c r="H15" s="17" t="n"/>
      <c r="I15" s="28" t="n"/>
      <c r="J15" s="21">
        <f>IF(NOT(ISNUMBER($I15)),"",IF($I15&lt;TODAY(),"EXPIRED",IF($I15-TODAY()&lt;60,"RENEW","CURRENT")))</f>
        <v/>
      </c>
      <c r="K15" s="22" t="n"/>
    </row>
    <row r="16" ht="20" customHeight="1">
      <c r="A16" s="16" t="n"/>
      <c r="B16" s="17" t="n"/>
      <c r="C16" s="16" t="n"/>
      <c r="D16" s="27" t="n"/>
      <c r="E16" s="27" t="n"/>
      <c r="F16" s="19" t="n"/>
      <c r="G16" s="16" t="n"/>
      <c r="H16" s="17" t="n"/>
      <c r="I16" s="28" t="n"/>
      <c r="J16" s="21">
        <f>IF(NOT(ISNUMBER($I16)),"",IF($I16&lt;TODAY(),"EXPIRED",IF($I16-TODAY()&lt;60,"RENEW","CURRENT")))</f>
        <v/>
      </c>
      <c r="K16" s="22" t="n"/>
    </row>
    <row r="17" ht="20" customHeight="1">
      <c r="A17" s="16" t="n"/>
      <c r="B17" s="17" t="n"/>
      <c r="C17" s="16" t="n"/>
      <c r="D17" s="27" t="n"/>
      <c r="E17" s="27" t="n"/>
      <c r="F17" s="19" t="n"/>
      <c r="G17" s="16" t="n"/>
      <c r="H17" s="17" t="n"/>
      <c r="I17" s="28" t="n"/>
      <c r="J17" s="21">
        <f>IF(NOT(ISNUMBER($I17)),"",IF($I17&lt;TODAY(),"EXPIRED",IF($I17-TODAY()&lt;60,"RENEW","CURRENT")))</f>
        <v/>
      </c>
      <c r="K17" s="22" t="n"/>
    </row>
    <row r="18" ht="20" customHeight="1">
      <c r="A18" s="16" t="n"/>
      <c r="B18" s="17" t="n"/>
      <c r="C18" s="16" t="n"/>
      <c r="D18" s="27" t="n"/>
      <c r="E18" s="27" t="n"/>
      <c r="F18" s="19" t="n"/>
      <c r="G18" s="16" t="n"/>
      <c r="H18" s="17" t="n"/>
      <c r="I18" s="28" t="n"/>
      <c r="J18" s="21">
        <f>IF(NOT(ISNUMBER($I18)),"",IF($I18&lt;TODAY(),"EXPIRED",IF($I18-TODAY()&lt;60,"RENEW","CURRENT")))</f>
        <v/>
      </c>
      <c r="K18" s="22" t="n"/>
    </row>
    <row r="19" ht="20" customHeight="1">
      <c r="A19" s="16" t="n"/>
      <c r="B19" s="17" t="n"/>
      <c r="C19" s="16" t="n"/>
      <c r="D19" s="27" t="n"/>
      <c r="E19" s="27" t="n"/>
      <c r="F19" s="19" t="n"/>
      <c r="G19" s="16" t="n"/>
      <c r="H19" s="17" t="n"/>
      <c r="I19" s="28" t="n"/>
      <c r="J19" s="21">
        <f>IF(NOT(ISNUMBER($I19)),"",IF($I19&lt;TODAY(),"EXPIRED",IF($I19-TODAY()&lt;60,"RENEW","CURRENT")))</f>
        <v/>
      </c>
      <c r="K19" s="22" t="n"/>
    </row>
    <row r="20" ht="20" customHeight="1">
      <c r="A20" s="16" t="n"/>
      <c r="B20" s="17" t="n"/>
      <c r="C20" s="16" t="n"/>
      <c r="D20" s="27" t="n"/>
      <c r="E20" s="27" t="n"/>
      <c r="F20" s="19" t="n"/>
      <c r="G20" s="16" t="n"/>
      <c r="H20" s="17" t="n"/>
      <c r="I20" s="28" t="n"/>
      <c r="J20" s="21">
        <f>IF(NOT(ISNUMBER($I20)),"",IF($I20&lt;TODAY(),"EXPIRED",IF($I20-TODAY()&lt;60,"RENEW","CURRENT")))</f>
        <v/>
      </c>
      <c r="K20" s="22" t="n"/>
    </row>
    <row r="21" ht="20" customHeight="1">
      <c r="A21" s="16" t="n"/>
      <c r="B21" s="17" t="n"/>
      <c r="C21" s="16" t="n"/>
      <c r="D21" s="27" t="n"/>
      <c r="E21" s="27" t="n"/>
      <c r="F21" s="19" t="n"/>
      <c r="G21" s="16" t="n"/>
      <c r="H21" s="17" t="n"/>
      <c r="I21" s="28" t="n"/>
      <c r="J21" s="21">
        <f>IF(NOT(ISNUMBER($I21)),"",IF($I21&lt;TODAY(),"EXPIRED",IF($I21-TODAY()&lt;60,"RENEW","CURRENT")))</f>
        <v/>
      </c>
      <c r="K21" s="22" t="n"/>
    </row>
    <row r="22" ht="20" customHeight="1">
      <c r="A22" s="16" t="n"/>
      <c r="B22" s="17" t="n"/>
      <c r="C22" s="16" t="n"/>
      <c r="D22" s="27" t="n"/>
      <c r="E22" s="27" t="n"/>
      <c r="F22" s="19" t="n"/>
      <c r="G22" s="16" t="n"/>
      <c r="H22" s="17" t="n"/>
      <c r="I22" s="28" t="n"/>
      <c r="J22" s="21">
        <f>IF(NOT(ISNUMBER($I22)),"",IF($I22&lt;TODAY(),"EXPIRED",IF($I22-TODAY()&lt;60,"RENEW","CURRENT")))</f>
        <v/>
      </c>
      <c r="K22" s="22" t="n"/>
    </row>
    <row r="23" ht="20" customHeight="1">
      <c r="A23" s="16" t="n"/>
      <c r="B23" s="17" t="n"/>
      <c r="C23" s="16" t="n"/>
      <c r="D23" s="27" t="n"/>
      <c r="E23" s="27" t="n"/>
      <c r="F23" s="19" t="n"/>
      <c r="G23" s="16" t="n"/>
      <c r="H23" s="17" t="n"/>
      <c r="I23" s="28" t="n"/>
      <c r="J23" s="21">
        <f>IF(NOT(ISNUMBER($I23)),"",IF($I23&lt;TODAY(),"EXPIRED",IF($I23-TODAY()&lt;60,"RENEW","CURRENT")))</f>
        <v/>
      </c>
      <c r="K23" s="22" t="n"/>
    </row>
    <row r="24" ht="20" customHeight="1">
      <c r="A24" s="16" t="n"/>
      <c r="B24" s="17" t="n"/>
      <c r="C24" s="16" t="n"/>
      <c r="D24" s="27" t="n"/>
      <c r="E24" s="27" t="n"/>
      <c r="F24" s="19" t="n"/>
      <c r="G24" s="16" t="n"/>
      <c r="H24" s="17" t="n"/>
      <c r="I24" s="28" t="n"/>
      <c r="J24" s="21">
        <f>IF(NOT(ISNUMBER($I24)),"",IF($I24&lt;TODAY(),"EXPIRED",IF($I24-TODAY()&lt;60,"RENEW","CURRENT")))</f>
        <v/>
      </c>
      <c r="K24" s="22" t="n"/>
    </row>
    <row r="25" ht="20" customHeight="1">
      <c r="A25" s="16" t="n"/>
      <c r="B25" s="17" t="n"/>
      <c r="C25" s="16" t="n"/>
      <c r="D25" s="27" t="n"/>
      <c r="E25" s="27" t="n"/>
      <c r="F25" s="19" t="n"/>
      <c r="G25" s="16" t="n"/>
      <c r="H25" s="17" t="n"/>
      <c r="I25" s="28" t="n"/>
      <c r="J25" s="21">
        <f>IF(NOT(ISNUMBER($I25)),"",IF($I25&lt;TODAY(),"EXPIRED",IF($I25-TODAY()&lt;60,"RENEW","CURRENT")))</f>
        <v/>
      </c>
      <c r="K25" s="22" t="n"/>
    </row>
    <row r="26" ht="20" customHeight="1">
      <c r="A26" s="16" t="n"/>
      <c r="B26" s="17" t="n"/>
      <c r="C26" s="16" t="n"/>
      <c r="D26" s="27" t="n"/>
      <c r="E26" s="27" t="n"/>
      <c r="F26" s="19" t="n"/>
      <c r="G26" s="16" t="n"/>
      <c r="H26" s="17" t="n"/>
      <c r="I26" s="28" t="n"/>
      <c r="J26" s="21">
        <f>IF(NOT(ISNUMBER($I26)),"",IF($I26&lt;TODAY(),"EXPIRED",IF($I26-TODAY()&lt;60,"RENEW","CURRENT")))</f>
        <v/>
      </c>
      <c r="K26" s="22" t="n"/>
    </row>
    <row r="27" ht="20" customHeight="1">
      <c r="A27" s="16" t="n"/>
      <c r="B27" s="17" t="n"/>
      <c r="C27" s="16" t="n"/>
      <c r="D27" s="27" t="n"/>
      <c r="E27" s="27" t="n"/>
      <c r="F27" s="19" t="n"/>
      <c r="G27" s="16" t="n"/>
      <c r="H27" s="17" t="n"/>
      <c r="I27" s="28" t="n"/>
      <c r="J27" s="21">
        <f>IF(NOT(ISNUMBER($I27)),"",IF($I27&lt;TODAY(),"EXPIRED",IF($I27-TODAY()&lt;60,"RENEW","CURRENT")))</f>
        <v/>
      </c>
      <c r="K27" s="22" t="n"/>
    </row>
    <row r="28" ht="20" customHeight="1">
      <c r="A28" s="16" t="n"/>
      <c r="B28" s="17" t="n"/>
      <c r="C28" s="16" t="n"/>
      <c r="D28" s="27" t="n"/>
      <c r="E28" s="27" t="n"/>
      <c r="F28" s="19" t="n"/>
      <c r="G28" s="16" t="n"/>
      <c r="H28" s="17" t="n"/>
      <c r="I28" s="28" t="n"/>
      <c r="J28" s="21">
        <f>IF(NOT(ISNUMBER($I28)),"",IF($I28&lt;TODAY(),"EXPIRED",IF($I28-TODAY()&lt;60,"RENEW","CURRENT")))</f>
        <v/>
      </c>
      <c r="K28" s="22" t="n"/>
    </row>
    <row r="29" ht="20" customHeight="1">
      <c r="A29" s="16" t="n"/>
      <c r="B29" s="17" t="n"/>
      <c r="C29" s="16" t="n"/>
      <c r="D29" s="27" t="n"/>
      <c r="E29" s="27" t="n"/>
      <c r="F29" s="19" t="n"/>
      <c r="G29" s="16" t="n"/>
      <c r="H29" s="17" t="n"/>
      <c r="I29" s="28" t="n"/>
      <c r="J29" s="21">
        <f>IF(NOT(ISNUMBER($I29)),"",IF($I29&lt;TODAY(),"EXPIRED",IF($I29-TODAY()&lt;60,"RENEW","CURRENT")))</f>
        <v/>
      </c>
      <c r="K29" s="22" t="n"/>
    </row>
    <row r="30" ht="20" customHeight="1">
      <c r="A30" s="16" t="n"/>
      <c r="B30" s="17" t="n"/>
      <c r="C30" s="16" t="n"/>
      <c r="D30" s="27" t="n"/>
      <c r="E30" s="27" t="n"/>
      <c r="F30" s="19" t="n"/>
      <c r="G30" s="16" t="n"/>
      <c r="H30" s="17" t="n"/>
      <c r="I30" s="28" t="n"/>
      <c r="J30" s="21">
        <f>IF(NOT(ISNUMBER($I30)),"",IF($I30&lt;TODAY(),"EXPIRED",IF($I30-TODAY()&lt;60,"RENEW","CURRENT")))</f>
        <v/>
      </c>
      <c r="K30" s="22" t="n"/>
    </row>
    <row r="31" ht="20" customHeight="1">
      <c r="A31" s="16" t="n"/>
      <c r="B31" s="17" t="n"/>
      <c r="C31" s="16" t="n"/>
      <c r="D31" s="27" t="n"/>
      <c r="E31" s="27" t="n"/>
      <c r="F31" s="19" t="n"/>
      <c r="G31" s="16" t="n"/>
      <c r="H31" s="17" t="n"/>
      <c r="I31" s="28" t="n"/>
      <c r="J31" s="21">
        <f>IF(NOT(ISNUMBER($I31)),"",IF($I31&lt;TODAY(),"EXPIRED",IF($I31-TODAY()&lt;60,"RENEW","CURRENT")))</f>
        <v/>
      </c>
      <c r="K31" s="22" t="n"/>
    </row>
    <row r="32" ht="20" customHeight="1">
      <c r="A32" s="16" t="n"/>
      <c r="B32" s="17" t="n"/>
      <c r="C32" s="16" t="n"/>
      <c r="D32" s="27" t="n"/>
      <c r="E32" s="27" t="n"/>
      <c r="F32" s="19" t="n"/>
      <c r="G32" s="16" t="n"/>
      <c r="H32" s="17" t="n"/>
      <c r="I32" s="28" t="n"/>
      <c r="J32" s="21">
        <f>IF(NOT(ISNUMBER($I32)),"",IF($I32&lt;TODAY(),"EXPIRED",IF($I32-TODAY()&lt;60,"RENEW","CURRENT")))</f>
        <v/>
      </c>
      <c r="K32" s="22" t="n"/>
    </row>
    <row r="33" ht="20" customHeight="1">
      <c r="A33" s="16" t="n"/>
      <c r="B33" s="17" t="n"/>
      <c r="C33" s="16" t="n"/>
      <c r="D33" s="27" t="n"/>
      <c r="E33" s="27" t="n"/>
      <c r="F33" s="19" t="n"/>
      <c r="G33" s="16" t="n"/>
      <c r="H33" s="17" t="n"/>
      <c r="I33" s="28" t="n"/>
      <c r="J33" s="21">
        <f>IF(NOT(ISNUMBER($I33)),"",IF($I33&lt;TODAY(),"EXPIRED",IF($I33-TODAY()&lt;60,"RENEW","CURRENT")))</f>
        <v/>
      </c>
      <c r="K33" s="22" t="n"/>
    </row>
    <row r="34" ht="20" customHeight="1">
      <c r="A34" s="16" t="n"/>
      <c r="B34" s="17" t="n"/>
      <c r="C34" s="16" t="n"/>
      <c r="D34" s="27" t="n"/>
      <c r="E34" s="27" t="n"/>
      <c r="F34" s="19" t="n"/>
      <c r="G34" s="16" t="n"/>
      <c r="H34" s="17" t="n"/>
      <c r="I34" s="28" t="n"/>
      <c r="J34" s="21">
        <f>IF(NOT(ISNUMBER($I34)),"",IF($I34&lt;TODAY(),"EXPIRED",IF($I34-TODAY()&lt;60,"RENEW","CURRENT")))</f>
        <v/>
      </c>
      <c r="K34" s="22" t="n"/>
    </row>
    <row r="35" ht="20" customHeight="1">
      <c r="A35" s="16" t="n"/>
      <c r="B35" s="17" t="n"/>
      <c r="C35" s="16" t="n"/>
      <c r="D35" s="27" t="n"/>
      <c r="E35" s="27" t="n"/>
      <c r="F35" s="19" t="n"/>
      <c r="G35" s="16" t="n"/>
      <c r="H35" s="17" t="n"/>
      <c r="I35" s="28" t="n"/>
      <c r="J35" s="21">
        <f>IF(NOT(ISNUMBER($I35)),"",IF($I35&lt;TODAY(),"EXPIRED",IF($I35-TODAY()&lt;60,"RENEW","CURRENT")))</f>
        <v/>
      </c>
      <c r="K35" s="22" t="n"/>
    </row>
    <row r="36" ht="20" customHeight="1">
      <c r="A36" s="16" t="n"/>
      <c r="B36" s="17" t="n"/>
      <c r="C36" s="16" t="n"/>
      <c r="D36" s="27" t="n"/>
      <c r="E36" s="27" t="n"/>
      <c r="F36" s="19" t="n"/>
      <c r="G36" s="16" t="n"/>
      <c r="H36" s="17" t="n"/>
      <c r="I36" s="28" t="n"/>
      <c r="J36" s="21">
        <f>IF(NOT(ISNUMBER($I36)),"",IF($I36&lt;TODAY(),"EXPIRED",IF($I36-TODAY()&lt;60,"RENEW","CURRENT")))</f>
        <v/>
      </c>
      <c r="K36" s="22" t="n"/>
    </row>
    <row r="37" ht="20" customHeight="1">
      <c r="A37" s="16" t="n"/>
      <c r="B37" s="17" t="n"/>
      <c r="C37" s="16" t="n"/>
      <c r="D37" s="27" t="n"/>
      <c r="E37" s="27" t="n"/>
      <c r="F37" s="19" t="n"/>
      <c r="G37" s="16" t="n"/>
      <c r="H37" s="17" t="n"/>
      <c r="I37" s="28" t="n"/>
      <c r="J37" s="21">
        <f>IF(NOT(ISNUMBER($I37)),"",IF($I37&lt;TODAY(),"EXPIRED",IF($I37-TODAY()&lt;60,"RENEW","CURRENT")))</f>
        <v/>
      </c>
      <c r="K37" s="22" t="n"/>
    </row>
    <row r="38" ht="20" customHeight="1">
      <c r="A38" s="16" t="n"/>
      <c r="B38" s="17" t="n"/>
      <c r="C38" s="16" t="n"/>
      <c r="D38" s="27" t="n"/>
      <c r="E38" s="27" t="n"/>
      <c r="F38" s="19" t="n"/>
      <c r="G38" s="16" t="n"/>
      <c r="H38" s="17" t="n"/>
      <c r="I38" s="28" t="n"/>
      <c r="J38" s="21">
        <f>IF(NOT(ISNUMBER($I38)),"",IF($I38&lt;TODAY(),"EXPIRED",IF($I38-TODAY()&lt;60,"RENEW","CURRENT")))</f>
        <v/>
      </c>
      <c r="K38" s="22" t="n"/>
    </row>
    <row r="39" ht="20" customHeight="1">
      <c r="A39" s="16" t="n"/>
      <c r="B39" s="17" t="n"/>
      <c r="C39" s="16" t="n"/>
      <c r="D39" s="27" t="n"/>
      <c r="E39" s="27" t="n"/>
      <c r="F39" s="19" t="n"/>
      <c r="G39" s="16" t="n"/>
      <c r="H39" s="17" t="n"/>
      <c r="I39" s="28" t="n"/>
      <c r="J39" s="21">
        <f>IF(NOT(ISNUMBER($I39)),"",IF($I39&lt;TODAY(),"EXPIRED",IF($I39-TODAY()&lt;60,"RENEW","CURRENT")))</f>
        <v/>
      </c>
      <c r="K39" s="22" t="n"/>
    </row>
    <row r="40" ht="20" customHeight="1">
      <c r="A40" s="16" t="n"/>
      <c r="B40" s="17" t="n"/>
      <c r="C40" s="16" t="n"/>
      <c r="D40" s="27" t="n"/>
      <c r="E40" s="27" t="n"/>
      <c r="F40" s="19" t="n"/>
      <c r="G40" s="16" t="n"/>
      <c r="H40" s="17" t="n"/>
      <c r="I40" s="28" t="n"/>
      <c r="J40" s="21">
        <f>IF(NOT(ISNUMBER($I40)),"",IF($I40&lt;TODAY(),"EXPIRED",IF($I40-TODAY()&lt;60,"RENEW","CURRENT")))</f>
        <v/>
      </c>
      <c r="K40" s="22" t="n"/>
    </row>
    <row r="41" ht="20" customHeight="1">
      <c r="A41" s="16" t="n"/>
      <c r="B41" s="17" t="n"/>
      <c r="C41" s="16" t="n"/>
      <c r="D41" s="27" t="n"/>
      <c r="E41" s="27" t="n"/>
      <c r="F41" s="19" t="n"/>
      <c r="G41" s="16" t="n"/>
      <c r="H41" s="17" t="n"/>
      <c r="I41" s="28" t="n"/>
      <c r="J41" s="21">
        <f>IF(NOT(ISNUMBER($I41)),"",IF($I41&lt;TODAY(),"EXPIRED",IF($I41-TODAY()&lt;60,"RENEW","CURRENT")))</f>
        <v/>
      </c>
      <c r="K41" s="22" t="n"/>
    </row>
    <row r="42" ht="20" customHeight="1">
      <c r="A42" s="16" t="n"/>
      <c r="B42" s="17" t="n"/>
      <c r="C42" s="16" t="n"/>
      <c r="D42" s="27" t="n"/>
      <c r="E42" s="27" t="n"/>
      <c r="F42" s="19" t="n"/>
      <c r="G42" s="16" t="n"/>
      <c r="H42" s="17" t="n"/>
      <c r="I42" s="28" t="n"/>
      <c r="J42" s="21">
        <f>IF(NOT(ISNUMBER($I42)),"",IF($I42&lt;TODAY(),"EXPIRED",IF($I42-TODAY()&lt;60,"RENEW","CURRENT")))</f>
        <v/>
      </c>
      <c r="K42" s="22" t="n"/>
    </row>
    <row r="43" ht="20" customHeight="1">
      <c r="A43" s="16" t="n"/>
      <c r="B43" s="17" t="n"/>
      <c r="C43" s="16" t="n"/>
      <c r="D43" s="27" t="n"/>
      <c r="E43" s="27" t="n"/>
      <c r="F43" s="19" t="n"/>
      <c r="G43" s="16" t="n"/>
      <c r="H43" s="17" t="n"/>
      <c r="I43" s="28" t="n"/>
      <c r="J43" s="21">
        <f>IF(NOT(ISNUMBER($I43)),"",IF($I43&lt;TODAY(),"EXPIRED",IF($I43-TODAY()&lt;60,"RENEW","CURRENT")))</f>
        <v/>
      </c>
      <c r="K43" s="22" t="n"/>
    </row>
    <row r="44" ht="20" customHeight="1">
      <c r="A44" s="16" t="n"/>
      <c r="B44" s="17" t="n"/>
      <c r="C44" s="16" t="n"/>
      <c r="D44" s="27" t="n"/>
      <c r="E44" s="27" t="n"/>
      <c r="F44" s="19" t="n"/>
      <c r="G44" s="16" t="n"/>
      <c r="H44" s="17" t="n"/>
      <c r="I44" s="28" t="n"/>
      <c r="J44" s="21">
        <f>IF(NOT(ISNUMBER($I44)),"",IF($I44&lt;TODAY(),"EXPIRED",IF($I44-TODAY()&lt;60,"RENEW","CURRENT")))</f>
        <v/>
      </c>
      <c r="K44" s="22" t="n"/>
    </row>
    <row r="46">
      <c r="A46" s="23" t="inlineStr">
        <is>
          <t>EXPIRED trainings:</t>
        </is>
      </c>
      <c r="B46" s="24">
        <f>COUNTIF($J$5:$J$44,"EXPIRED")</f>
        <v>1.0</v>
      </c>
      <c r="C46" s="23" t="inlineStr">
        <is>
          <t>Expiring in under 60 days:</t>
        </is>
      </c>
      <c r="D46" s="24">
        <f>COUNTIF($J$5:$J$44,"RENEW")</f>
        <v>1.0</v>
      </c>
    </row>
    <row r="48" ht="12.2" customHeight="1">
      <c r="A48" s="25" t="inlineStr">
        <is>
          <t>Enter "Valid until" as a DATE. The "Status" column compares it with today's date and answers CURRENT, RENEW (fewer than 60 days left) or EXPIRED, color-coded. The two cells above count how many there are of each.</t>
        </is>
      </c>
    </row>
    <row r="49" ht="24.5" customHeight="1">
      <c r="A49" s="25" t="inlineStr">
        <is>
          <t>There is no single federal "food handler card": under the Food Code, at least one supervisory employee must be a Certified Food Protection Manager (§2-102.12(A)), and many states and counties also require a food handler card for staff. The rules do not set a validity period for your own training, so the "Valid until" date is the renewal period set by the certificate or by your training plan; 2 to 5 years is typical. UK: no legal certificate; Level 2 is the usual standard.</t>
        </is>
      </c>
    </row>
    <row r="50" ht="12.2" customHeight="1">
      <c r="A50" s="25" t="inlineStr">
        <is>
          <t>The employee's signature proves they received the training, not just that the company paid for it. Without it, the log is worth half.</t>
        </is>
      </c>
    </row>
    <row r="51" ht="24.5" customHeight="1">
      <c r="A51" s="25" t="inlineStr">
        <is>
          <t>The first three rows are SAMPLES, as their names say, and they deliberately show the three statuses: CURRENT, RENEW and EXPIRED. Their "Valid until" is a formula relative to today's date, so the sample never expires; when you enter your real date the formula disappears and the cell becomes ordinary data.</t>
        </is>
      </c>
    </row>
    <row r="52" ht="12.2" customHeight="1">
      <c r="A52" s="25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53" ht="12.2" customHeight="1">
      <c r="A53" s="25" t="inlineStr">
        <is>
          <t>— HACCP Food Safety Kit Pro · AI Chef Pro · aichef.pro</t>
        </is>
      </c>
    </row>
  </sheetData>
  <mergeCells count="7">
    <mergeCell ref="A53:K53"/>
    <mergeCell ref="A50:K50"/>
    <mergeCell ref="A48:K48"/>
    <mergeCell ref="A49:K49"/>
    <mergeCell ref="A52:K52"/>
    <mergeCell ref="A51:K51"/>
    <mergeCell ref="A1:K1"/>
  </mergeCells>
  <conditionalFormatting sqref="J5:J44">
    <cfRule type="expression" priority="1" dxfId="0" stopIfTrue="1">
      <formula>OR(J5="ALERT",J5="REJECT",J5="CHANGE",J5="INVESTIGATE",J5="✗",J5="EXPIRED",J5="EXCESS")</formula>
    </cfRule>
    <cfRule type="expression" priority="2" dxfId="1" stopIfTrue="1">
      <formula>OR(J5="WATCH",J5="⚠",J5="INCOMPLETE",J5="EXPIRES SOON",J5="RENEW",J5="CHLORINE MISSING",J5="TEST MISSING")</formula>
    </cfRule>
    <cfRule type="expression" priority="3" dxfId="2" stopIfTrue="1">
      <formula>OR(J5="OK",J5="✓",J5="Compliant",J5="CURRENT",J5="Complete",J5="PASS")</formula>
    </cfRule>
  </conditionalFormatting>
  <conditionalFormatting sqref="B46">
    <cfRule type="expression" priority="4" dxfId="0" stopIfTrue="1">
      <formula>B46&gt;0</formula>
    </cfRule>
  </conditionalFormatting>
  <conditionalFormatting sqref="D46">
    <cfRule type="expression" priority="5" dxfId="1" stopIfTrue="1">
      <formula>D46&gt;0</formula>
    </cfRule>
  </conditionalFormatting>
  <dataValidations count="5">
    <dataValidation sqref="C5:C44" showDropDown="0" showInputMessage="0" showErrorMessage="1" allowBlank="1" errorTitle="Training received" error="Pick a training from the list or &quot;Other&quot; and give the details in the certificate name." type="list" errorStyle="stop">
      <formula1>"Food handler training,Certified Food Protection Manager (CFPM),HACCP training,Food allergen awareness,Cleaning &amp; sanitizing,First aid &amp; CPR,Workplace safety (OSHA / HSE),Other"</formula1>
    </dataValidation>
    <dataValidation sqref="D5:D44" showDropDown="0" showInputMessage="0" showErrorMessage="1" allowBlank="1" errorTitle="Date" error="Enter a date (for example 03/15/2026). If the cell stays as text, the &quot;Status&quot; column cannot compare it with today's date and stays blank." type="date" errorStyle="stop" operator="between">
      <formula1>DATE(2000,1,1)</formula1>
      <formula2>DATE(2100,12,31)</formula2>
    </dataValidation>
    <dataValidation sqref="E5:E44" showDropDown="0" showInputMessage="0" showErrorMessage="1" allowBlank="1" errorTitle="Date" error="Enter a date (for example 03/15/2026). If the cell stays as text, the &quot;Status&quot; column cannot compare it with today's date and stays blank." type="date" errorStyle="stop" operator="between">
      <formula1>DATE(2000,1,1)</formula1>
      <formula2>DATE(2100,12,31)</formula2>
    </dataValidation>
    <dataValidation sqref="I5:I44" showDropDown="0" showInputMessage="0" showErrorMessage="1" allowBlank="1" errorTitle="Date" error="Enter a date (for example 03/15/2026). If the cell stays as text, the &quot;Status&quot; column cannot compare it with today's date and stays blank." type="date" errorStyle="stop" operator="between">
      <formula1>DATE(2000,1,1)</formula1>
      <formula2>DATE(2100,12,31)</formula2>
    </dataValidation>
    <dataValidation sqref="F5:F44" showDropDown="0" showInputMessage="0" showErrorMessage="1" allowBlank="1" errorTitle="Duration" error="Enter the duration in hours, between 0 and 500." type="decimal" errorStyle="stop" operator="between">
      <formula1>0</formula1>
      <formula2>500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Food Safety Training Log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2026-10-03T13:22:43Z</dcterms:modified>
  <cp:lastModifiedBy>AI Chef Pro</cp:lastModifiedBy>
  <cp:category>AI Chef Pro · Digital products</cp:category>
  <cp:keywords>haccp plan template, food safety logs, AI Chef Pro</cp:keywords>
</cp:coreProperties>
</file>