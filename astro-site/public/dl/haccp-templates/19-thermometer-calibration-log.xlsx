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alibration Log" sheetId="2" state="visible" r:id="rId2"/>
  </sheets>
  <definedNames>
    <definedName name="_xlnm.Print_Area" localSheetId="0">'Instructions'!$A$1:$B$32</definedName>
    <definedName name="_xlnm.Print_Titles" localSheetId="1">'Calibration Log'!$4:$4</definedName>
    <definedName name="_xlnm.Print_Area" localSheetId="1">'Calibration Log'!$A$1:$J$51</definedName>
  </definedNames>
  <calcPr calcId="124519" fullCalcOnLoad="1"/>
</workbook>
</file>

<file path=xl/styles.xml><?xml version="1.0" encoding="utf-8"?>
<styleSheet xmlns="http://schemas.openxmlformats.org/spreadsheetml/2006/main">
  <numFmts count="2">
    <numFmt numFmtId="164" formatCode="m/d/yyyy"/>
    <numFmt numFmtId="165" formatCode="0.0"/>
  </numFmts>
  <fonts count="9">
    <font>
      <name val="Calibri"/>
      <family val="2"/>
      <color theme="1"/>
      <sz val="11"/>
      <scheme val="minor"/>
    </font>
    <font>
      <b val="1"/>
      <sz val="16"/>
    </font>
    <font>
      <b val="1"/>
      <sz val="11"/>
    </font>
    <font>
      <i val="1"/>
      <sz val="9"/>
    </font>
    <font>
      <b val="1"/>
      <color rgb="00FFFFFF"/>
      <sz val="11"/>
    </font>
    <font>
      <sz val="9"/>
    </font>
    <font>
      <b val="1"/>
      <sz val="18"/>
    </font>
    <font>
      <b val="1"/>
      <sz val="12"/>
    </font>
    <font>
      <sz val="11"/>
    </font>
  </fonts>
  <fills count="4">
    <fill>
      <patternFill/>
    </fill>
    <fill>
      <patternFill patternType="gray125"/>
    </fill>
    <fill>
      <patternFill patternType="solid">
        <fgColor rgb="00E8F5E9"/>
      </patternFill>
    </fill>
    <fill>
      <patternFill patternType="solid">
        <fgColor rgb="002D2D2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6" fillId="0" borderId="0" applyAlignment="1" pivotButton="0" quotePrefix="0" xfId="0">
      <alignment vertical="center" wrapText="1"/>
    </xf>
    <xf numFmtId="0" fontId="7" fillId="0" borderId="0" pivotButton="0" quotePrefix="0" xfId="0"/>
    <xf numFmtId="0" fontId="8" fillId="0" borderId="0" applyAlignment="1" pivotButton="0" quotePrefix="0" xfId="0">
      <alignment vertical="top" wrapText="1"/>
    </xf>
    <xf numFmtId="0" fontId="1" fillId="0" borderId="0" pivotButton="0" quotePrefix="0" xfId="0"/>
    <xf numFmtId="0" fontId="2" fillId="0" borderId="0" pivotButton="0" quotePrefix="0" xfId="0"/>
    <xf numFmtId="1" fontId="0" fillId="2" borderId="1" applyAlignment="1" applyProtection="1" pivotButton="0" quotePrefix="0" xfId="0">
      <alignment horizontal="center" vertical="center" wrapText="1"/>
      <protection locked="0" hidden="0"/>
    </xf>
    <xf numFmtId="0" fontId="3" fillId="0" borderId="0" pivotButton="0" quotePrefix="0" xfId="0"/>
    <xf numFmtId="0" fontId="4" fillId="3" borderId="1" applyAlignment="1" pivotButton="0" quotePrefix="0" xfId="0">
      <alignment horizontal="center" vertical="center" wrapText="1"/>
    </xf>
    <xf numFmtId="164" fontId="0" fillId="2" borderId="1" applyAlignment="1" applyProtection="1" pivotButton="0" quotePrefix="0" xfId="0">
      <alignment horizontal="center" vertical="center" wrapText="1"/>
      <protection locked="0" hidden="0"/>
    </xf>
    <xf numFmtId="49"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165" fontId="0" fillId="0" borderId="1" applyAlignment="1" pivotButton="0" quotePrefix="0" xfId="0">
      <alignment horizontal="center" vertical="center" wrapText="1"/>
    </xf>
    <xf numFmtId="165"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5" fillId="0" borderId="0" applyAlignment="1" pivotButton="0" quotePrefix="0" xfId="0">
      <alignment vertical="top" wrapText="1"/>
    </xf>
    <xf numFmtId="14" fontId="0" fillId="2" borderId="1" applyAlignment="1" applyProtection="1" pivotButton="0" quotePrefix="0" xfId="0">
      <alignment horizontal="center" vertical="center" wrapText="1"/>
      <protection locked="0" hidden="0"/>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32"/>
  <sheetViews>
    <sheetView workbookViewId="0">
      <selection activeCell="A1" sqref="A1"/>
    </sheetView>
  </sheetViews>
  <sheetFormatPr baseColWidth="8" defaultRowHeight="15"/>
  <cols>
    <col width="3" customWidth="1" min="1" max="1"/>
    <col width="95" customWidth="1" min="2" max="2"/>
  </cols>
  <sheetData>
    <row r="2" ht="26" customHeight="1">
      <c r="B2" s="1" t="inlineStr">
        <is>
          <t>Thermometer Calibration Log</t>
        </is>
      </c>
    </row>
    <row r="4">
      <c r="B4" s="2" t="inlineStr">
        <is>
          <t>What this template is for</t>
        </is>
      </c>
    </row>
    <row r="6">
      <c r="B6" s="3" t="inlineStr">
        <is>
          <t>The whole kit decides with temperatures, and every temperature comes from a thermometer. If the thermometer is off, the temperature, cooking, cooling and parasite destruction logs prove the opposite of what happened. This is the sheet that shows your devices tell the truth, and it is one of the 25 points of the health inspection checklist (template 15 (Health Inspection Self-Checklist)).</t>
        </is>
      </c>
    </row>
    <row r="8">
      <c r="B8" s="2" t="inlineStr">
        <is>
          <t>How to use it</t>
        </is>
      </c>
    </row>
    <row r="10">
      <c r="B10" s="3" t="inlineStr">
        <is>
          <t>▸ One line per thermometer or probe and per check. Number your equipment and always use the same number in the other logs.</t>
        </is>
      </c>
    </row>
    <row r="11">
      <c r="B11" s="3" t="inlineStr">
        <is>
          <t>▸ Enter the ELEVATION of your kitchen in feet in the green cell of the header (B3) before anything else. It only affects the boiling-point method, but without it a perfect probe can come out FAIL: in Denver, at 5,280 ft, water boils at about 202 °F.</t>
        </is>
      </c>
    </row>
    <row r="12">
      <c r="B12" s="3" t="inlineStr">
        <is>
          <t>▸ Pick the method from the drop-down. The "Reference" fills itself: 32 °F with an ice bath and 212 minus elevation / 550 with boiling water.</t>
        </is>
      </c>
    </row>
    <row r="13">
      <c r="B13" s="3" t="inlineStr">
        <is>
          <t>▸ Enter the reading of the device. The "Deviation" and the "Status" calculate themselves: PASS in green up to ±2 °F, FAIL in red above that.</t>
        </is>
      </c>
    </row>
    <row r="15">
      <c r="B15" s="2" t="inlineStr">
        <is>
          <t>The two methods, step by step</t>
        </is>
      </c>
    </row>
    <row r="17">
      <c r="B17" s="3" t="inlineStr">
        <is>
          <t>▸ Ice point: fill a glass with crushed ice, add cold water just to cover it, stir, wait two minutes and measure in the center without touching the glass. It must read 32 °F ±2.</t>
        </is>
      </c>
    </row>
    <row r="18">
      <c r="B18" s="3" t="inlineStr">
        <is>
          <t>▸ Boiling point: water at a rolling boil, measure in the center. It must read the "Reference" the sheet calculates ±2 °F, which is 212 °F at sea level and about 202 °F at 5,280 ft. If you are not sure of your elevation, use the ice point.</t>
        </is>
      </c>
    </row>
    <row r="20">
      <c r="B20" s="2" t="inlineStr">
        <is>
          <t>What to do with a FAIL</t>
        </is>
      </c>
    </row>
    <row r="22">
      <c r="B22" s="3" t="inlineStr">
        <is>
          <t>▸ Recalibrate the device if it has an adjustment, or take it out of use and replace it.</t>
        </is>
      </c>
    </row>
    <row r="23">
      <c r="B23" s="3" t="inlineStr">
        <is>
          <t>▸ Review the records taken with that device since its last good check: they may be wrong and you have to assess whether they affected any product (template 11 (Corrective Action Log)).</t>
        </is>
      </c>
    </row>
    <row r="25">
      <c r="B25" s="2" t="inlineStr">
        <is>
          <t>Frequency &amp; record keeping</t>
        </is>
      </c>
    </row>
    <row r="27">
      <c r="B27" s="3" t="inlineStr">
        <is>
          <t>▸ Recommended frequency: monthly for each thermometer and probe, and always after a knock or a drop. The sheet has 40 rows: a year for three or four devices.</t>
        </is>
      </c>
    </row>
    <row r="28">
      <c r="B28" s="3" t="inlineStr">
        <is>
          <t>▸ Keep these records for at least 2 years (house rule of this kit). FDA Food Code minimum: 90 days for shellstock tags and parasite-destruction records (§3-203.12, §3-402.12); follow your health department if it asks for longer.</t>
        </is>
      </c>
    </row>
    <row r="30">
      <c r="B30" s="2" t="inlineStr">
        <is>
          <t>— HACCP Food Safety Kit Pro · AI Chef Pro · aichef.pro</t>
        </is>
      </c>
    </row>
    <row r="32">
      <c r="B32" s="2" t="inlineStr">
        <is>
          <t>Version 2.0 · October 2026 · aichef.pro/en/digital-products/haccp-templates · info@aichef.pro</t>
        </is>
      </c>
    </row>
  </sheetData>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51"/>
  <sheetViews>
    <sheetView workbookViewId="0">
      <pane ySplit="4" topLeftCell="A5" activePane="bottomLeft" state="frozen"/>
      <selection pane="bottomLeft" activeCell="A1" sqref="A1"/>
    </sheetView>
  </sheetViews>
  <sheetFormatPr baseColWidth="8" defaultRowHeight="15"/>
  <cols>
    <col width="14" customWidth="1" min="1" max="1"/>
    <col width="22" customWidth="1" min="2" max="2"/>
    <col width="28" customWidth="1" min="3" max="3"/>
    <col width="15" customWidth="1" min="4" max="4"/>
    <col width="14" customWidth="1" min="5" max="5"/>
    <col width="15" customWidth="1" min="6" max="6"/>
    <col width="14" customWidth="1" min="7" max="7"/>
    <col width="32" customWidth="1" min="8" max="8"/>
    <col width="14" customWidth="1" min="9" max="9"/>
    <col width="28" customWidth="1" min="10" max="10"/>
  </cols>
  <sheetData>
    <row r="1">
      <c r="A1" s="4" t="inlineStr">
        <is>
          <t>Thermometer Calibration Log</t>
        </is>
      </c>
    </row>
    <row r="2">
      <c r="A2" t="inlineStr">
        <is>
          <t>Year: _______________    One monthly check for each thermometer and probe in the establishment. Tolerance: ±2 °F.</t>
        </is>
      </c>
    </row>
    <row r="3">
      <c r="A3" s="5" t="inlineStr">
        <is>
          <t>Elevation of your kitchen (feet above sea level):</t>
        </is>
      </c>
      <c r="B3" s="6" t="n">
        <v>0</v>
      </c>
      <c r="C3" s="7" t="inlineStr">
        <is>
          <t>Corrects the boiling-point reference. Leave 0 at sea level.</t>
        </is>
      </c>
    </row>
    <row r="4" ht="30" customHeight="1">
      <c r="A4" s="8" t="inlineStr">
        <is>
          <t>Date</t>
        </is>
      </c>
      <c r="B4" s="8" t="inlineStr">
        <is>
          <t>Equipment / probe (no.)</t>
        </is>
      </c>
      <c r="C4" s="8" t="inlineStr">
        <is>
          <t>Check method</t>
        </is>
      </c>
      <c r="D4" s="8" t="inlineStr">
        <is>
          <t>Reference (°F)</t>
        </is>
      </c>
      <c r="E4" s="8" t="inlineStr">
        <is>
          <t>Reading (°F)</t>
        </is>
      </c>
      <c r="F4" s="8" t="inlineStr">
        <is>
          <t>Deviation (°F)</t>
        </is>
      </c>
      <c r="G4" s="8" t="inlineStr">
        <is>
          <t>Status</t>
        </is>
      </c>
      <c r="H4" s="8" t="inlineStr">
        <is>
          <t>Action taken</t>
        </is>
      </c>
      <c r="I4" s="8" t="inlineStr">
        <is>
          <t>Initials</t>
        </is>
      </c>
      <c r="J4" s="8" t="inlineStr">
        <is>
          <t>Notes</t>
        </is>
      </c>
    </row>
    <row r="5" ht="20" customHeight="1">
      <c r="A5" s="16" t="n">
        <v>46266</v>
      </c>
      <c r="B5" s="10" t="inlineStr">
        <is>
          <t>Probe S-01</t>
        </is>
      </c>
      <c r="C5" s="11" t="inlineStr">
        <is>
          <t>Ice point (32 °F)</t>
        </is>
      </c>
      <c r="D5" s="12">
        <f>IF($C5="","",IF($C5="Ice point (32 °F)",32,IF($C5="Boiling point (212 °F)",212-IF($B$3="",0,$B$3)/550,"")))</f>
        <v>32.0</v>
      </c>
      <c r="E5" s="13" t="n">
        <v>32.5</v>
      </c>
      <c r="F5" s="12">
        <f>IF(OR($D5="",$E5=""),"",ROUND(ABS($E5-$D5),1))</f>
        <v>0.5</v>
      </c>
      <c r="G5" s="14" t="str">
        <f>IF($F5="","",IF(ABS($E5-$D5)&lt;=2,"PASS","FAIL"))</f>
        <v>PASS</v>
      </c>
      <c r="H5" s="11" t="inlineStr">
        <is>
          <t>None</t>
        </is>
      </c>
      <c r="I5" s="10" t="inlineStr">
        <is>
          <t>A.R.</t>
        </is>
      </c>
      <c r="J5" s="11" t="inlineStr">
        <is>
          <t>(sample)</t>
        </is>
      </c>
    </row>
    <row r="6" ht="20" customHeight="1">
      <c r="A6" s="16" t="n">
        <v>46266</v>
      </c>
      <c r="B6" s="10" t="inlineStr">
        <is>
          <t>Probe S-02</t>
        </is>
      </c>
      <c r="C6" s="11" t="inlineStr">
        <is>
          <t>Boiling point (212 °F)</t>
        </is>
      </c>
      <c r="D6" s="12">
        <f>IF($C6="","",IF($C6="Ice point (32 °F)",32,IF($C6="Boiling point (212 °F)",212-IF($B$3="",0,$B$3)/550,"")))</f>
        <v>212.0</v>
      </c>
      <c r="E6" s="13" t="n">
        <v>211.1</v>
      </c>
      <c r="F6" s="12">
        <f>IF(OR($D6="",$E6=""),"",ROUND(ABS($E6-$D6),1))</f>
        <v>0.9</v>
      </c>
      <c r="G6" s="14" t="str">
        <f>IF($F6="","",IF(ABS($E6-$D6)&lt;=2,"PASS","FAIL"))</f>
        <v>PASS</v>
      </c>
      <c r="H6" s="11" t="inlineStr">
        <is>
          <t>None</t>
        </is>
      </c>
      <c r="I6" s="10" t="inlineStr">
        <is>
          <t>A.R.</t>
        </is>
      </c>
      <c r="J6" s="11" t="inlineStr">
        <is>
          <t>(sample)</t>
        </is>
      </c>
    </row>
    <row r="7" ht="20" customHeight="1">
      <c r="A7" s="16" t="n">
        <v>46266</v>
      </c>
      <c r="B7" s="10" t="inlineStr">
        <is>
          <t>Walk-in 2 thermometer</t>
        </is>
      </c>
      <c r="C7" s="11" t="inlineStr">
        <is>
          <t>Ice point (32 °F)</t>
        </is>
      </c>
      <c r="D7" s="12">
        <f>IF($C7="","",IF($C7="Ice point (32 °F)",32,IF($C7="Boiling point (212 °F)",212-IF($B$3="",0,$B$3)/550,"")))</f>
        <v>32.0</v>
      </c>
      <c r="E7" s="13" t="n">
        <v>28.8</v>
      </c>
      <c r="F7" s="12">
        <f>IF(OR($D7="",$E7=""),"",ROUND(ABS($E7-$D7),1))</f>
        <v>3.2</v>
      </c>
      <c r="G7" s="14" t="str">
        <f>IF($F7="","",IF(ABS($E7-$D7)&lt;=2,"PASS","FAIL"))</f>
        <v>FAIL</v>
      </c>
      <c r="H7" s="11" t="inlineStr">
        <is>
          <t>Taken out of service and replaced · incident INC-006</t>
        </is>
      </c>
      <c r="I7" s="10" t="inlineStr">
        <is>
          <t>M.S.</t>
        </is>
      </c>
      <c r="J7" s="11" t="inlineStr">
        <is>
          <t>(sample)</t>
        </is>
      </c>
    </row>
    <row r="8" ht="20" customHeight="1">
      <c r="A8" s="16" t="n"/>
      <c r="B8" s="10" t="n"/>
      <c r="C8" s="11" t="n"/>
      <c r="D8" s="12">
        <f>IF($C8="","",IF($C8="Ice point (32 °F)",32,IF($C8="Boiling point (212 °F)",212-IF($B$3="",0,$B$3)/550,"")))</f>
        <v/>
      </c>
      <c r="E8" s="13" t="n"/>
      <c r="F8" s="12">
        <f>IF(OR($D8="",$E8=""),"",ROUND(ABS($E8-$D8),1))</f>
        <v/>
      </c>
      <c r="G8" s="14">
        <f>IF($F8="","",IF(ABS($E8-$D8)&lt;=2,"PASS","FAIL"))</f>
        <v/>
      </c>
      <c r="H8" s="11" t="n"/>
      <c r="I8" s="10" t="n"/>
      <c r="J8" s="11" t="n"/>
    </row>
    <row r="9" ht="20" customHeight="1">
      <c r="A9" s="16" t="n"/>
      <c r="B9" s="10" t="n"/>
      <c r="C9" s="11" t="n"/>
      <c r="D9" s="12">
        <f>IF($C9="","",IF($C9="Ice point (32 °F)",32,IF($C9="Boiling point (212 °F)",212-IF($B$3="",0,$B$3)/550,"")))</f>
        <v/>
      </c>
      <c r="E9" s="13" t="n"/>
      <c r="F9" s="12">
        <f>IF(OR($D9="",$E9=""),"",ROUND(ABS($E9-$D9),1))</f>
        <v/>
      </c>
      <c r="G9" s="14">
        <f>IF($F9="","",IF(ABS($E9-$D9)&lt;=2,"PASS","FAIL"))</f>
        <v/>
      </c>
      <c r="H9" s="11" t="n"/>
      <c r="I9" s="10" t="n"/>
      <c r="J9" s="11" t="n"/>
    </row>
    <row r="10" ht="20" customHeight="1">
      <c r="A10" s="16" t="n"/>
      <c r="B10" s="10" t="n"/>
      <c r="C10" s="11" t="n"/>
      <c r="D10" s="12">
        <f>IF($C10="","",IF($C10="Ice point (32 °F)",32,IF($C10="Boiling point (212 °F)",212-IF($B$3="",0,$B$3)/550,"")))</f>
        <v/>
      </c>
      <c r="E10" s="13" t="n"/>
      <c r="F10" s="12">
        <f>IF(OR($D10="",$E10=""),"",ROUND(ABS($E10-$D10),1))</f>
        <v/>
      </c>
      <c r="G10" s="14">
        <f>IF($F10="","",IF(ABS($E10-$D10)&lt;=2,"PASS","FAIL"))</f>
        <v/>
      </c>
      <c r="H10" s="11" t="n"/>
      <c r="I10" s="10" t="n"/>
      <c r="J10" s="11" t="n"/>
    </row>
    <row r="11" ht="20" customHeight="1">
      <c r="A11" s="16" t="n"/>
      <c r="B11" s="10" t="n"/>
      <c r="C11" s="11" t="n"/>
      <c r="D11" s="12">
        <f>IF($C11="","",IF($C11="Ice point (32 °F)",32,IF($C11="Boiling point (212 °F)",212-IF($B$3="",0,$B$3)/550,"")))</f>
        <v/>
      </c>
      <c r="E11" s="13" t="n"/>
      <c r="F11" s="12">
        <f>IF(OR($D11="",$E11=""),"",ROUND(ABS($E11-$D11),1))</f>
        <v/>
      </c>
      <c r="G11" s="14">
        <f>IF($F11="","",IF(ABS($E11-$D11)&lt;=2,"PASS","FAIL"))</f>
        <v/>
      </c>
      <c r="H11" s="11" t="n"/>
      <c r="I11" s="10" t="n"/>
      <c r="J11" s="11" t="n"/>
    </row>
    <row r="12" ht="20" customHeight="1">
      <c r="A12" s="16" t="n"/>
      <c r="B12" s="10" t="n"/>
      <c r="C12" s="11" t="n"/>
      <c r="D12" s="12">
        <f>IF($C12="","",IF($C12="Ice point (32 °F)",32,IF($C12="Boiling point (212 °F)",212-IF($B$3="",0,$B$3)/550,"")))</f>
        <v/>
      </c>
      <c r="E12" s="13" t="n"/>
      <c r="F12" s="12">
        <f>IF(OR($D12="",$E12=""),"",ROUND(ABS($E12-$D12),1))</f>
        <v/>
      </c>
      <c r="G12" s="14">
        <f>IF($F12="","",IF(ABS($E12-$D12)&lt;=2,"PASS","FAIL"))</f>
        <v/>
      </c>
      <c r="H12" s="11" t="n"/>
      <c r="I12" s="10" t="n"/>
      <c r="J12" s="11" t="n"/>
    </row>
    <row r="13" ht="20" customHeight="1">
      <c r="A13" s="16" t="n"/>
      <c r="B13" s="10" t="n"/>
      <c r="C13" s="11" t="n"/>
      <c r="D13" s="12">
        <f>IF($C13="","",IF($C13="Ice point (32 °F)",32,IF($C13="Boiling point (212 °F)",212-IF($B$3="",0,$B$3)/550,"")))</f>
        <v/>
      </c>
      <c r="E13" s="13" t="n"/>
      <c r="F13" s="12">
        <f>IF(OR($D13="",$E13=""),"",ROUND(ABS($E13-$D13),1))</f>
        <v/>
      </c>
      <c r="G13" s="14">
        <f>IF($F13="","",IF(ABS($E13-$D13)&lt;=2,"PASS","FAIL"))</f>
        <v/>
      </c>
      <c r="H13" s="11" t="n"/>
      <c r="I13" s="10" t="n"/>
      <c r="J13" s="11" t="n"/>
    </row>
    <row r="14" ht="20" customHeight="1">
      <c r="A14" s="16" t="n"/>
      <c r="B14" s="10" t="n"/>
      <c r="C14" s="11" t="n"/>
      <c r="D14" s="12">
        <f>IF($C14="","",IF($C14="Ice point (32 °F)",32,IF($C14="Boiling point (212 °F)",212-IF($B$3="",0,$B$3)/550,"")))</f>
        <v/>
      </c>
      <c r="E14" s="13" t="n"/>
      <c r="F14" s="12">
        <f>IF(OR($D14="",$E14=""),"",ROUND(ABS($E14-$D14),1))</f>
        <v/>
      </c>
      <c r="G14" s="14">
        <f>IF($F14="","",IF(ABS($E14-$D14)&lt;=2,"PASS","FAIL"))</f>
        <v/>
      </c>
      <c r="H14" s="11" t="n"/>
      <c r="I14" s="10" t="n"/>
      <c r="J14" s="11" t="n"/>
    </row>
    <row r="15" ht="20" customHeight="1">
      <c r="A15" s="16" t="n"/>
      <c r="B15" s="10" t="n"/>
      <c r="C15" s="11" t="n"/>
      <c r="D15" s="12">
        <f>IF($C15="","",IF($C15="Ice point (32 °F)",32,IF($C15="Boiling point (212 °F)",212-IF($B$3="",0,$B$3)/550,"")))</f>
        <v/>
      </c>
      <c r="E15" s="13" t="n"/>
      <c r="F15" s="12">
        <f>IF(OR($D15="",$E15=""),"",ROUND(ABS($E15-$D15),1))</f>
        <v/>
      </c>
      <c r="G15" s="14">
        <f>IF($F15="","",IF(ABS($E15-$D15)&lt;=2,"PASS","FAIL"))</f>
        <v/>
      </c>
      <c r="H15" s="11" t="n"/>
      <c r="I15" s="10" t="n"/>
      <c r="J15" s="11" t="n"/>
    </row>
    <row r="16" ht="20" customHeight="1">
      <c r="A16" s="16" t="n"/>
      <c r="B16" s="10" t="n"/>
      <c r="C16" s="11" t="n"/>
      <c r="D16" s="12">
        <f>IF($C16="","",IF($C16="Ice point (32 °F)",32,IF($C16="Boiling point (212 °F)",212-IF($B$3="",0,$B$3)/550,"")))</f>
        <v/>
      </c>
      <c r="E16" s="13" t="n"/>
      <c r="F16" s="12">
        <f>IF(OR($D16="",$E16=""),"",ROUND(ABS($E16-$D16),1))</f>
        <v/>
      </c>
      <c r="G16" s="14">
        <f>IF($F16="","",IF(ABS($E16-$D16)&lt;=2,"PASS","FAIL"))</f>
        <v/>
      </c>
      <c r="H16" s="11" t="n"/>
      <c r="I16" s="10" t="n"/>
      <c r="J16" s="11" t="n"/>
    </row>
    <row r="17" ht="20" customHeight="1">
      <c r="A17" s="16" t="n"/>
      <c r="B17" s="10" t="n"/>
      <c r="C17" s="11" t="n"/>
      <c r="D17" s="12">
        <f>IF($C17="","",IF($C17="Ice point (32 °F)",32,IF($C17="Boiling point (212 °F)",212-IF($B$3="",0,$B$3)/550,"")))</f>
        <v/>
      </c>
      <c r="E17" s="13" t="n"/>
      <c r="F17" s="12">
        <f>IF(OR($D17="",$E17=""),"",ROUND(ABS($E17-$D17),1))</f>
        <v/>
      </c>
      <c r="G17" s="14">
        <f>IF($F17="","",IF(ABS($E17-$D17)&lt;=2,"PASS","FAIL"))</f>
        <v/>
      </c>
      <c r="H17" s="11" t="n"/>
      <c r="I17" s="10" t="n"/>
      <c r="J17" s="11" t="n"/>
    </row>
    <row r="18" ht="20" customHeight="1">
      <c r="A18" s="16" t="n"/>
      <c r="B18" s="10" t="n"/>
      <c r="C18" s="11" t="n"/>
      <c r="D18" s="12">
        <f>IF($C18="","",IF($C18="Ice point (32 °F)",32,IF($C18="Boiling point (212 °F)",212-IF($B$3="",0,$B$3)/550,"")))</f>
        <v/>
      </c>
      <c r="E18" s="13" t="n"/>
      <c r="F18" s="12">
        <f>IF(OR($D18="",$E18=""),"",ROUND(ABS($E18-$D18),1))</f>
        <v/>
      </c>
      <c r="G18" s="14">
        <f>IF($F18="","",IF(ABS($E18-$D18)&lt;=2,"PASS","FAIL"))</f>
        <v/>
      </c>
      <c r="H18" s="11" t="n"/>
      <c r="I18" s="10" t="n"/>
      <c r="J18" s="11" t="n"/>
    </row>
    <row r="19" ht="20" customHeight="1">
      <c r="A19" s="16" t="n"/>
      <c r="B19" s="10" t="n"/>
      <c r="C19" s="11" t="n"/>
      <c r="D19" s="12">
        <f>IF($C19="","",IF($C19="Ice point (32 °F)",32,IF($C19="Boiling point (212 °F)",212-IF($B$3="",0,$B$3)/550,"")))</f>
        <v/>
      </c>
      <c r="E19" s="13" t="n"/>
      <c r="F19" s="12">
        <f>IF(OR($D19="",$E19=""),"",ROUND(ABS($E19-$D19),1))</f>
        <v/>
      </c>
      <c r="G19" s="14">
        <f>IF($F19="","",IF(ABS($E19-$D19)&lt;=2,"PASS","FAIL"))</f>
        <v/>
      </c>
      <c r="H19" s="11" t="n"/>
      <c r="I19" s="10" t="n"/>
      <c r="J19" s="11" t="n"/>
    </row>
    <row r="20" ht="20" customHeight="1">
      <c r="A20" s="16" t="n"/>
      <c r="B20" s="10" t="n"/>
      <c r="C20" s="11" t="n"/>
      <c r="D20" s="12">
        <f>IF($C20="","",IF($C20="Ice point (32 °F)",32,IF($C20="Boiling point (212 °F)",212-IF($B$3="",0,$B$3)/550,"")))</f>
        <v/>
      </c>
      <c r="E20" s="13" t="n"/>
      <c r="F20" s="12">
        <f>IF(OR($D20="",$E20=""),"",ROUND(ABS($E20-$D20),1))</f>
        <v/>
      </c>
      <c r="G20" s="14">
        <f>IF($F20="","",IF(ABS($E20-$D20)&lt;=2,"PASS","FAIL"))</f>
        <v/>
      </c>
      <c r="H20" s="11" t="n"/>
      <c r="I20" s="10" t="n"/>
      <c r="J20" s="11" t="n"/>
    </row>
    <row r="21" ht="20" customHeight="1">
      <c r="A21" s="16" t="n"/>
      <c r="B21" s="10" t="n"/>
      <c r="C21" s="11" t="n"/>
      <c r="D21" s="12">
        <f>IF($C21="","",IF($C21="Ice point (32 °F)",32,IF($C21="Boiling point (212 °F)",212-IF($B$3="",0,$B$3)/550,"")))</f>
        <v/>
      </c>
      <c r="E21" s="13" t="n"/>
      <c r="F21" s="12">
        <f>IF(OR($D21="",$E21=""),"",ROUND(ABS($E21-$D21),1))</f>
        <v/>
      </c>
      <c r="G21" s="14">
        <f>IF($F21="","",IF(ABS($E21-$D21)&lt;=2,"PASS","FAIL"))</f>
        <v/>
      </c>
      <c r="H21" s="11" t="n"/>
      <c r="I21" s="10" t="n"/>
      <c r="J21" s="11" t="n"/>
    </row>
    <row r="22" ht="20" customHeight="1">
      <c r="A22" s="16" t="n"/>
      <c r="B22" s="10" t="n"/>
      <c r="C22" s="11" t="n"/>
      <c r="D22" s="12">
        <f>IF($C22="","",IF($C22="Ice point (32 °F)",32,IF($C22="Boiling point (212 °F)",212-IF($B$3="",0,$B$3)/550,"")))</f>
        <v/>
      </c>
      <c r="E22" s="13" t="n"/>
      <c r="F22" s="12">
        <f>IF(OR($D22="",$E22=""),"",ROUND(ABS($E22-$D22),1))</f>
        <v/>
      </c>
      <c r="G22" s="14">
        <f>IF($F22="","",IF(ABS($E22-$D22)&lt;=2,"PASS","FAIL"))</f>
        <v/>
      </c>
      <c r="H22" s="11" t="n"/>
      <c r="I22" s="10" t="n"/>
      <c r="J22" s="11" t="n"/>
    </row>
    <row r="23" ht="20" customHeight="1">
      <c r="A23" s="16" t="n"/>
      <c r="B23" s="10" t="n"/>
      <c r="C23" s="11" t="n"/>
      <c r="D23" s="12">
        <f>IF($C23="","",IF($C23="Ice point (32 °F)",32,IF($C23="Boiling point (212 °F)",212-IF($B$3="",0,$B$3)/550,"")))</f>
        <v/>
      </c>
      <c r="E23" s="13" t="n"/>
      <c r="F23" s="12">
        <f>IF(OR($D23="",$E23=""),"",ROUND(ABS($E23-$D23),1))</f>
        <v/>
      </c>
      <c r="G23" s="14">
        <f>IF($F23="","",IF(ABS($E23-$D23)&lt;=2,"PASS","FAIL"))</f>
        <v/>
      </c>
      <c r="H23" s="11" t="n"/>
      <c r="I23" s="10" t="n"/>
      <c r="J23" s="11" t="n"/>
    </row>
    <row r="24" ht="20" customHeight="1">
      <c r="A24" s="16" t="n"/>
      <c r="B24" s="10" t="n"/>
      <c r="C24" s="11" t="n"/>
      <c r="D24" s="12">
        <f>IF($C24="","",IF($C24="Ice point (32 °F)",32,IF($C24="Boiling point (212 °F)",212-IF($B$3="",0,$B$3)/550,"")))</f>
        <v/>
      </c>
      <c r="E24" s="13" t="n"/>
      <c r="F24" s="12">
        <f>IF(OR($D24="",$E24=""),"",ROUND(ABS($E24-$D24),1))</f>
        <v/>
      </c>
      <c r="G24" s="14">
        <f>IF($F24="","",IF(ABS($E24-$D24)&lt;=2,"PASS","FAIL"))</f>
        <v/>
      </c>
      <c r="H24" s="11" t="n"/>
      <c r="I24" s="10" t="n"/>
      <c r="J24" s="11" t="n"/>
    </row>
    <row r="25" ht="20" customHeight="1">
      <c r="A25" s="16" t="n"/>
      <c r="B25" s="10" t="n"/>
      <c r="C25" s="11" t="n"/>
      <c r="D25" s="12">
        <f>IF($C25="","",IF($C25="Ice point (32 °F)",32,IF($C25="Boiling point (212 °F)",212-IF($B$3="",0,$B$3)/550,"")))</f>
        <v/>
      </c>
      <c r="E25" s="13" t="n"/>
      <c r="F25" s="12">
        <f>IF(OR($D25="",$E25=""),"",ROUND(ABS($E25-$D25),1))</f>
        <v/>
      </c>
      <c r="G25" s="14">
        <f>IF($F25="","",IF(ABS($E25-$D25)&lt;=2,"PASS","FAIL"))</f>
        <v/>
      </c>
      <c r="H25" s="11" t="n"/>
      <c r="I25" s="10" t="n"/>
      <c r="J25" s="11" t="n"/>
    </row>
    <row r="26" ht="20" customHeight="1">
      <c r="A26" s="16" t="n"/>
      <c r="B26" s="10" t="n"/>
      <c r="C26" s="11" t="n"/>
      <c r="D26" s="12">
        <f>IF($C26="","",IF($C26="Ice point (32 °F)",32,IF($C26="Boiling point (212 °F)",212-IF($B$3="",0,$B$3)/550,"")))</f>
        <v/>
      </c>
      <c r="E26" s="13" t="n"/>
      <c r="F26" s="12">
        <f>IF(OR($D26="",$E26=""),"",ROUND(ABS($E26-$D26),1))</f>
        <v/>
      </c>
      <c r="G26" s="14">
        <f>IF($F26="","",IF(ABS($E26-$D26)&lt;=2,"PASS","FAIL"))</f>
        <v/>
      </c>
      <c r="H26" s="11" t="n"/>
      <c r="I26" s="10" t="n"/>
      <c r="J26" s="11" t="n"/>
    </row>
    <row r="27" ht="20" customHeight="1">
      <c r="A27" s="16" t="n"/>
      <c r="B27" s="10" t="n"/>
      <c r="C27" s="11" t="n"/>
      <c r="D27" s="12">
        <f>IF($C27="","",IF($C27="Ice point (32 °F)",32,IF($C27="Boiling point (212 °F)",212-IF($B$3="",0,$B$3)/550,"")))</f>
        <v/>
      </c>
      <c r="E27" s="13" t="n"/>
      <c r="F27" s="12">
        <f>IF(OR($D27="",$E27=""),"",ROUND(ABS($E27-$D27),1))</f>
        <v/>
      </c>
      <c r="G27" s="14">
        <f>IF($F27="","",IF(ABS($E27-$D27)&lt;=2,"PASS","FAIL"))</f>
        <v/>
      </c>
      <c r="H27" s="11" t="n"/>
      <c r="I27" s="10" t="n"/>
      <c r="J27" s="11" t="n"/>
    </row>
    <row r="28" ht="20" customHeight="1">
      <c r="A28" s="16" t="n"/>
      <c r="B28" s="10" t="n"/>
      <c r="C28" s="11" t="n"/>
      <c r="D28" s="12">
        <f>IF($C28="","",IF($C28="Ice point (32 °F)",32,IF($C28="Boiling point (212 °F)",212-IF($B$3="",0,$B$3)/550,"")))</f>
        <v/>
      </c>
      <c r="E28" s="13" t="n"/>
      <c r="F28" s="12">
        <f>IF(OR($D28="",$E28=""),"",ROUND(ABS($E28-$D28),1))</f>
        <v/>
      </c>
      <c r="G28" s="14">
        <f>IF($F28="","",IF(ABS($E28-$D28)&lt;=2,"PASS","FAIL"))</f>
        <v/>
      </c>
      <c r="H28" s="11" t="n"/>
      <c r="I28" s="10" t="n"/>
      <c r="J28" s="11" t="n"/>
    </row>
    <row r="29" ht="20" customHeight="1">
      <c r="A29" s="16" t="n"/>
      <c r="B29" s="10" t="n"/>
      <c r="C29" s="11" t="n"/>
      <c r="D29" s="12">
        <f>IF($C29="","",IF($C29="Ice point (32 °F)",32,IF($C29="Boiling point (212 °F)",212-IF($B$3="",0,$B$3)/550,"")))</f>
        <v/>
      </c>
      <c r="E29" s="13" t="n"/>
      <c r="F29" s="12">
        <f>IF(OR($D29="",$E29=""),"",ROUND(ABS($E29-$D29),1))</f>
        <v/>
      </c>
      <c r="G29" s="14">
        <f>IF($F29="","",IF(ABS($E29-$D29)&lt;=2,"PASS","FAIL"))</f>
        <v/>
      </c>
      <c r="H29" s="11" t="n"/>
      <c r="I29" s="10" t="n"/>
      <c r="J29" s="11" t="n"/>
    </row>
    <row r="30" ht="20" customHeight="1">
      <c r="A30" s="16" t="n"/>
      <c r="B30" s="10" t="n"/>
      <c r="C30" s="11" t="n"/>
      <c r="D30" s="12">
        <f>IF($C30="","",IF($C30="Ice point (32 °F)",32,IF($C30="Boiling point (212 °F)",212-IF($B$3="",0,$B$3)/550,"")))</f>
        <v/>
      </c>
      <c r="E30" s="13" t="n"/>
      <c r="F30" s="12">
        <f>IF(OR($D30="",$E30=""),"",ROUND(ABS($E30-$D30),1))</f>
        <v/>
      </c>
      <c r="G30" s="14">
        <f>IF($F30="","",IF(ABS($E30-$D30)&lt;=2,"PASS","FAIL"))</f>
        <v/>
      </c>
      <c r="H30" s="11" t="n"/>
      <c r="I30" s="10" t="n"/>
      <c r="J30" s="11" t="n"/>
    </row>
    <row r="31" ht="20" customHeight="1">
      <c r="A31" s="16" t="n"/>
      <c r="B31" s="10" t="n"/>
      <c r="C31" s="11" t="n"/>
      <c r="D31" s="12">
        <f>IF($C31="","",IF($C31="Ice point (32 °F)",32,IF($C31="Boiling point (212 °F)",212-IF($B$3="",0,$B$3)/550,"")))</f>
        <v/>
      </c>
      <c r="E31" s="13" t="n"/>
      <c r="F31" s="12">
        <f>IF(OR($D31="",$E31=""),"",ROUND(ABS($E31-$D31),1))</f>
        <v/>
      </c>
      <c r="G31" s="14">
        <f>IF($F31="","",IF(ABS($E31-$D31)&lt;=2,"PASS","FAIL"))</f>
        <v/>
      </c>
      <c r="H31" s="11" t="n"/>
      <c r="I31" s="10" t="n"/>
      <c r="J31" s="11" t="n"/>
    </row>
    <row r="32" ht="20" customHeight="1">
      <c r="A32" s="16" t="n"/>
      <c r="B32" s="10" t="n"/>
      <c r="C32" s="11" t="n"/>
      <c r="D32" s="12">
        <f>IF($C32="","",IF($C32="Ice point (32 °F)",32,IF($C32="Boiling point (212 °F)",212-IF($B$3="",0,$B$3)/550,"")))</f>
        <v/>
      </c>
      <c r="E32" s="13" t="n"/>
      <c r="F32" s="12">
        <f>IF(OR($D32="",$E32=""),"",ROUND(ABS($E32-$D32),1))</f>
        <v/>
      </c>
      <c r="G32" s="14">
        <f>IF($F32="","",IF(ABS($E32-$D32)&lt;=2,"PASS","FAIL"))</f>
        <v/>
      </c>
      <c r="H32" s="11" t="n"/>
      <c r="I32" s="10" t="n"/>
      <c r="J32" s="11" t="n"/>
    </row>
    <row r="33" ht="20" customHeight="1">
      <c r="A33" s="16" t="n"/>
      <c r="B33" s="10" t="n"/>
      <c r="C33" s="11" t="n"/>
      <c r="D33" s="12">
        <f>IF($C33="","",IF($C33="Ice point (32 °F)",32,IF($C33="Boiling point (212 °F)",212-IF($B$3="",0,$B$3)/550,"")))</f>
        <v/>
      </c>
      <c r="E33" s="13" t="n"/>
      <c r="F33" s="12">
        <f>IF(OR($D33="",$E33=""),"",ROUND(ABS($E33-$D33),1))</f>
        <v/>
      </c>
      <c r="G33" s="14">
        <f>IF($F33="","",IF(ABS($E33-$D33)&lt;=2,"PASS","FAIL"))</f>
        <v/>
      </c>
      <c r="H33" s="11" t="n"/>
      <c r="I33" s="10" t="n"/>
      <c r="J33" s="11" t="n"/>
    </row>
    <row r="34" ht="20" customHeight="1">
      <c r="A34" s="16" t="n"/>
      <c r="B34" s="10" t="n"/>
      <c r="C34" s="11" t="n"/>
      <c r="D34" s="12">
        <f>IF($C34="","",IF($C34="Ice point (32 °F)",32,IF($C34="Boiling point (212 °F)",212-IF($B$3="",0,$B$3)/550,"")))</f>
        <v/>
      </c>
      <c r="E34" s="13" t="n"/>
      <c r="F34" s="12">
        <f>IF(OR($D34="",$E34=""),"",ROUND(ABS($E34-$D34),1))</f>
        <v/>
      </c>
      <c r="G34" s="14">
        <f>IF($F34="","",IF(ABS($E34-$D34)&lt;=2,"PASS","FAIL"))</f>
        <v/>
      </c>
      <c r="H34" s="11" t="n"/>
      <c r="I34" s="10" t="n"/>
      <c r="J34" s="11" t="n"/>
    </row>
    <row r="35" ht="20" customHeight="1">
      <c r="A35" s="16" t="n"/>
      <c r="B35" s="10" t="n"/>
      <c r="C35" s="11" t="n"/>
      <c r="D35" s="12">
        <f>IF($C35="","",IF($C35="Ice point (32 °F)",32,IF($C35="Boiling point (212 °F)",212-IF($B$3="",0,$B$3)/550,"")))</f>
        <v/>
      </c>
      <c r="E35" s="13" t="n"/>
      <c r="F35" s="12">
        <f>IF(OR($D35="",$E35=""),"",ROUND(ABS($E35-$D35),1))</f>
        <v/>
      </c>
      <c r="G35" s="14">
        <f>IF($F35="","",IF(ABS($E35-$D35)&lt;=2,"PASS","FAIL"))</f>
        <v/>
      </c>
      <c r="H35" s="11" t="n"/>
      <c r="I35" s="10" t="n"/>
      <c r="J35" s="11" t="n"/>
    </row>
    <row r="36" ht="20" customHeight="1">
      <c r="A36" s="16" t="n"/>
      <c r="B36" s="10" t="n"/>
      <c r="C36" s="11" t="n"/>
      <c r="D36" s="12">
        <f>IF($C36="","",IF($C36="Ice point (32 °F)",32,IF($C36="Boiling point (212 °F)",212-IF($B$3="",0,$B$3)/550,"")))</f>
        <v/>
      </c>
      <c r="E36" s="13" t="n"/>
      <c r="F36" s="12">
        <f>IF(OR($D36="",$E36=""),"",ROUND(ABS($E36-$D36),1))</f>
        <v/>
      </c>
      <c r="G36" s="14">
        <f>IF($F36="","",IF(ABS($E36-$D36)&lt;=2,"PASS","FAIL"))</f>
        <v/>
      </c>
      <c r="H36" s="11" t="n"/>
      <c r="I36" s="10" t="n"/>
      <c r="J36" s="11" t="n"/>
    </row>
    <row r="37" ht="20" customHeight="1">
      <c r="A37" s="16" t="n"/>
      <c r="B37" s="10" t="n"/>
      <c r="C37" s="11" t="n"/>
      <c r="D37" s="12">
        <f>IF($C37="","",IF($C37="Ice point (32 °F)",32,IF($C37="Boiling point (212 °F)",212-IF($B$3="",0,$B$3)/550,"")))</f>
        <v/>
      </c>
      <c r="E37" s="13" t="n"/>
      <c r="F37" s="12">
        <f>IF(OR($D37="",$E37=""),"",ROUND(ABS($E37-$D37),1))</f>
        <v/>
      </c>
      <c r="G37" s="14">
        <f>IF($F37="","",IF(ABS($E37-$D37)&lt;=2,"PASS","FAIL"))</f>
        <v/>
      </c>
      <c r="H37" s="11" t="n"/>
      <c r="I37" s="10" t="n"/>
      <c r="J37" s="11" t="n"/>
    </row>
    <row r="38" ht="20" customHeight="1">
      <c r="A38" s="16" t="n"/>
      <c r="B38" s="10" t="n"/>
      <c r="C38" s="11" t="n"/>
      <c r="D38" s="12">
        <f>IF($C38="","",IF($C38="Ice point (32 °F)",32,IF($C38="Boiling point (212 °F)",212-IF($B$3="",0,$B$3)/550,"")))</f>
        <v/>
      </c>
      <c r="E38" s="13" t="n"/>
      <c r="F38" s="12">
        <f>IF(OR($D38="",$E38=""),"",ROUND(ABS($E38-$D38),1))</f>
        <v/>
      </c>
      <c r="G38" s="14">
        <f>IF($F38="","",IF(ABS($E38-$D38)&lt;=2,"PASS","FAIL"))</f>
        <v/>
      </c>
      <c r="H38" s="11" t="n"/>
      <c r="I38" s="10" t="n"/>
      <c r="J38" s="11" t="n"/>
    </row>
    <row r="39" ht="20" customHeight="1">
      <c r="A39" s="16" t="n"/>
      <c r="B39" s="10" t="n"/>
      <c r="C39" s="11" t="n"/>
      <c r="D39" s="12">
        <f>IF($C39="","",IF($C39="Ice point (32 °F)",32,IF($C39="Boiling point (212 °F)",212-IF($B$3="",0,$B$3)/550,"")))</f>
        <v/>
      </c>
      <c r="E39" s="13" t="n"/>
      <c r="F39" s="12">
        <f>IF(OR($D39="",$E39=""),"",ROUND(ABS($E39-$D39),1))</f>
        <v/>
      </c>
      <c r="G39" s="14">
        <f>IF($F39="","",IF(ABS($E39-$D39)&lt;=2,"PASS","FAIL"))</f>
        <v/>
      </c>
      <c r="H39" s="11" t="n"/>
      <c r="I39" s="10" t="n"/>
      <c r="J39" s="11" t="n"/>
    </row>
    <row r="40" ht="20" customHeight="1">
      <c r="A40" s="16" t="n"/>
      <c r="B40" s="10" t="n"/>
      <c r="C40" s="11" t="n"/>
      <c r="D40" s="12">
        <f>IF($C40="","",IF($C40="Ice point (32 °F)",32,IF($C40="Boiling point (212 °F)",212-IF($B$3="",0,$B$3)/550,"")))</f>
        <v/>
      </c>
      <c r="E40" s="13" t="n"/>
      <c r="F40" s="12">
        <f>IF(OR($D40="",$E40=""),"",ROUND(ABS($E40-$D40),1))</f>
        <v/>
      </c>
      <c r="G40" s="14">
        <f>IF($F40="","",IF(ABS($E40-$D40)&lt;=2,"PASS","FAIL"))</f>
        <v/>
      </c>
      <c r="H40" s="11" t="n"/>
      <c r="I40" s="10" t="n"/>
      <c r="J40" s="11" t="n"/>
    </row>
    <row r="41" ht="20" customHeight="1">
      <c r="A41" s="16" t="n"/>
      <c r="B41" s="10" t="n"/>
      <c r="C41" s="11" t="n"/>
      <c r="D41" s="12">
        <f>IF($C41="","",IF($C41="Ice point (32 °F)",32,IF($C41="Boiling point (212 °F)",212-IF($B$3="",0,$B$3)/550,"")))</f>
        <v/>
      </c>
      <c r="E41" s="13" t="n"/>
      <c r="F41" s="12">
        <f>IF(OR($D41="",$E41=""),"",ROUND(ABS($E41-$D41),1))</f>
        <v/>
      </c>
      <c r="G41" s="14">
        <f>IF($F41="","",IF(ABS($E41-$D41)&lt;=2,"PASS","FAIL"))</f>
        <v/>
      </c>
      <c r="H41" s="11" t="n"/>
      <c r="I41" s="10" t="n"/>
      <c r="J41" s="11" t="n"/>
    </row>
    <row r="42" ht="20" customHeight="1">
      <c r="A42" s="16" t="n"/>
      <c r="B42" s="10" t="n"/>
      <c r="C42" s="11" t="n"/>
      <c r="D42" s="12">
        <f>IF($C42="","",IF($C42="Ice point (32 °F)",32,IF($C42="Boiling point (212 °F)",212-IF($B$3="",0,$B$3)/550,"")))</f>
        <v/>
      </c>
      <c r="E42" s="13" t="n"/>
      <c r="F42" s="12">
        <f>IF(OR($D42="",$E42=""),"",ROUND(ABS($E42-$D42),1))</f>
        <v/>
      </c>
      <c r="G42" s="14">
        <f>IF($F42="","",IF(ABS($E42-$D42)&lt;=2,"PASS","FAIL"))</f>
        <v/>
      </c>
      <c r="H42" s="11" t="n"/>
      <c r="I42" s="10" t="n"/>
      <c r="J42" s="11" t="n"/>
    </row>
    <row r="43" ht="20" customHeight="1">
      <c r="A43" s="16" t="n"/>
      <c r="B43" s="10" t="n"/>
      <c r="C43" s="11" t="n"/>
      <c r="D43" s="12">
        <f>IF($C43="","",IF($C43="Ice point (32 °F)",32,IF($C43="Boiling point (212 °F)",212-IF($B$3="",0,$B$3)/550,"")))</f>
        <v/>
      </c>
      <c r="E43" s="13" t="n"/>
      <c r="F43" s="12">
        <f>IF(OR($D43="",$E43=""),"",ROUND(ABS($E43-$D43),1))</f>
        <v/>
      </c>
      <c r="G43" s="14">
        <f>IF($F43="","",IF(ABS($E43-$D43)&lt;=2,"PASS","FAIL"))</f>
        <v/>
      </c>
      <c r="H43" s="11" t="n"/>
      <c r="I43" s="10" t="n"/>
      <c r="J43" s="11" t="n"/>
    </row>
    <row r="44" ht="20" customHeight="1">
      <c r="A44" s="16" t="n"/>
      <c r="B44" s="10" t="n"/>
      <c r="C44" s="11" t="n"/>
      <c r="D44" s="12">
        <f>IF($C44="","",IF($C44="Ice point (32 °F)",32,IF($C44="Boiling point (212 °F)",212-IF($B$3="",0,$B$3)/550,"")))</f>
        <v/>
      </c>
      <c r="E44" s="13" t="n"/>
      <c r="F44" s="12">
        <f>IF(OR($D44="",$E44=""),"",ROUND(ABS($E44-$D44),1))</f>
        <v/>
      </c>
      <c r="G44" s="14">
        <f>IF($F44="","",IF(ABS($E44-$D44)&lt;=2,"PASS","FAIL"))</f>
        <v/>
      </c>
      <c r="H44" s="11" t="n"/>
      <c r="I44" s="10" t="n"/>
      <c r="J44" s="11" t="n"/>
    </row>
    <row r="46" ht="12.2" customHeight="1">
      <c r="A46" s="15" t="inlineStr">
        <is>
          <t>Ice-point method: fill a glass with crushed ice and add a little cold water to cover it; stir, wait two minutes and measure in the center without touching the bottom or the sides. The reference is 32 °F.</t>
        </is>
      </c>
    </row>
    <row r="47" ht="24.5" customHeight="1">
      <c r="A47" s="15" t="inlineStr">
        <is>
          <t>Boiling-point method: water at a rolling boil. The reference is NOT always 212 °F: water boils about 1 °F lower for every 550 ft of elevation. Enter the elevation of your kitchen in the green cell above (B3) and the "Reference" column corrects itself: in Denver (5,280 ft) it becomes about 202 °F. If you do not know it, use the ice point, which does not depend on elevation.</t>
        </is>
      </c>
    </row>
    <row r="48" ht="24.5" customHeight="1">
      <c r="A48" s="15" t="inlineStr">
        <is>
          <t>If the deviation is more than 2 °F, the status says FAIL: recalibrate the device if it allows it or take it out of use, and note it in the "Action taken" column. A thermometer that FAILS invalidates the readings it has taken since the last good check.</t>
        </is>
      </c>
    </row>
    <row r="49" ht="12.2" customHeight="1">
      <c r="A49" s="15" t="inlineStr">
        <is>
          <t>Every probe must carry a visible number; it is the one entered in templates 01, 02, 16, 17 and 18.</t>
        </is>
      </c>
    </row>
    <row r="50" ht="12.2" customHeight="1">
      <c r="A50" s="15" t="inlineStr">
        <is>
          <t>Keep these records for at least 2 years (house rule of this kit). FDA Food Code minimum: 90 days for shellstock tags and parasite-destruction records (§3-203.12, §3-402.12); follow your health department if it asks for longer.</t>
        </is>
      </c>
    </row>
    <row r="51" ht="12.2" customHeight="1">
      <c r="A51" s="15" t="inlineStr">
        <is>
          <t>— HACCP Food Safety Kit Pro · AI Chef Pro · aichef.pro</t>
        </is>
      </c>
    </row>
  </sheetData>
  <mergeCells count="7">
    <mergeCell ref="A47:J47"/>
    <mergeCell ref="A1:J1"/>
    <mergeCell ref="A46:J46"/>
    <mergeCell ref="A50:J50"/>
    <mergeCell ref="A48:J48"/>
    <mergeCell ref="A51:J51"/>
    <mergeCell ref="A49:J49"/>
  </mergeCells>
  <conditionalFormatting sqref="G5:G44">
    <cfRule type="expression" priority="1" dxfId="0" stopIfTrue="1">
      <formula>OR(G5="ALERT",G5="REJECT",G5="CHANGE",G5="INVESTIGATE",G5="✗",G5="EXPIRED",G5="EXCESS",G5="FAIL")</formula>
    </cfRule>
    <cfRule type="expression" priority="2" dxfId="1" stopIfTrue="1">
      <formula>OR(G5="WATCH",G5="⚠",G5="INCOMPLETE",G5="EXPIRES SOON",G5="RENEW",G5="CHLORINE MISSING",G5="TEST MISSING")</formula>
    </cfRule>
    <cfRule type="expression" priority="3" dxfId="2" stopIfTrue="1">
      <formula>OR(G5="OK",G5="✓",G5="Compliant",G5="CURRENT",G5="Complete",G5="PASS")</formula>
    </cfRule>
  </conditionalFormatting>
  <dataValidations count="3">
    <dataValidation sqref="A5:A44" showDropDown="0" showInputMessage="0" showErrorMessage="1" allowBlank="1" errorTitle="Date" error="Enter a date (for example 09/01/2026)." type="date" errorStyle="stop" operator="between">
      <formula1>DATE(2000,1,1)</formula1>
      <formula2>DATE(2100,12,31)</formula2>
    </dataValidation>
    <dataValidation sqref="C5:C44" showDropDown="0" showInputMessage="0" showErrorMessage="1" allowBlank="1" errorTitle="Check method" error="Pick one of the two methods. The &quot;Reference&quot; column fills itself from it; if you type free text, the row proves nothing." type="list" errorStyle="stop">
      <formula1>"Ice point (32 °F),Boiling point (212 °F)"</formula1>
    </dataValidation>
    <dataValidation sqref="E5:E44" showDropDown="0" showInputMessage="0" showErrorMessage="1" allowBlank="1" errorTitle="Reading" error="Enter the thermometer reading in °F, between -76 and 302." type="decimal" errorStyle="stop" operator="between">
      <formula1>-76</formula1>
      <formula2>302</formula2>
    </dataValidation>
  </dataValidation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Thermometer Calibration Log</dc:title>
  <dc:description xmlns:dc="http://purl.org/dc/elements/1.1/">aichef.pro/en/digital-products/haccp-templates</dc:description>
  <dc:subject xmlns:dc="http://purl.org/dc/elements/1.1/">HACCP Food Safety Kit Pro · v2.0</dc:subject>
  <dcterms:created xmlns:dcterms="http://purl.org/dc/terms/" xmlns:xsi="http://www.w3.org/2001/XMLSchema-instance" xsi:type="dcterms:W3CDTF">2026-08-22T19:31:21Z</dcterms:created>
  <dcterms:modified xmlns:dcterms="http://purl.org/dc/terms/" xmlns:xsi="http://www.w3.org/2001/XMLSchema-instance" xsi:type="dcterms:W3CDTF">2026-10-03T12:46:11Z</dcterms:modified>
  <cp:lastModifiedBy>AI Chef Pro</cp:lastModifiedBy>
  <cp:category>AI Chef Pro · Digital products</cp:category>
  <cp:keywords>haccp plan template, food safety logs, AI Chef Pro</cp:keywords>
</cp:coreProperties>
</file>