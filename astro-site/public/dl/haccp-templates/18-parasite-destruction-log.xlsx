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site Destruction" sheetId="2" state="visible" r:id="rId2"/>
  </sheets>
  <definedNames>
    <definedName name="_xlnm.Print_Area" localSheetId="0">'Instructions'!$A$1:$B$37</definedName>
    <definedName name="_xlnm.Print_Titles" localSheetId="1">'Parasite Destruction'!$4:$4</definedName>
    <definedName name="_xlnm.Print_Area" localSheetId="1">'Parasite Destruction'!$A$1:$K$51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m/d/yyyy h:mm AM/PM"/>
    <numFmt numFmtId="166" formatCode="0.0"/>
    <numFmt numFmtId="167" formatCode="m/d/yy h:mm AM/PM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sz val="9"/>
    </font>
    <font>
      <b val="1"/>
      <sz val="18"/>
    </font>
    <font>
      <b val="1"/>
      <sz val="12"/>
    </font>
    <font>
      <sz val="11"/>
    </font>
    <font>
      <b val="1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3" borderId="1" applyAlignment="1" applyProtection="1" pivotButton="0" quotePrefix="0" xfId="0">
      <alignment horizontal="center" vertical="center" wrapText="1"/>
      <protection locked="0" hidden="0"/>
    </xf>
    <xf numFmtId="0" fontId="0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165" fontId="0" fillId="3" borderId="1" applyAlignment="1" applyProtection="1" pivotButton="0" quotePrefix="0" xfId="0">
      <alignment horizontal="center" vertical="center" wrapText="1"/>
      <protection locked="0" hidden="0"/>
    </xf>
    <xf numFmtId="166" fontId="0" fillId="3" borderId="1" applyAlignment="1" applyProtection="1" pivotButton="0" quotePrefix="0" xfId="0">
      <alignment horizontal="center" vertical="center" wrapText="1"/>
      <protection locked="0" hidden="0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1" fontId="0" fillId="3" borderId="1" applyAlignment="1" applyProtection="1" pivotButton="0" quotePrefix="0" xfId="0">
      <alignment horizontal="center" vertical="center" wrapText="1"/>
      <protection locked="0" hidden="0"/>
    </xf>
    <xf numFmtId="0" fontId="8" fillId="0" borderId="0" pivotButton="0" quotePrefix="0" xfId="0"/>
    <xf numFmtId="14" fontId="0" fillId="3" borderId="1" applyAlignment="1" applyProtection="1" pivotButton="0" quotePrefix="0" xfId="0">
      <alignment horizontal="center" vertical="center" wrapText="1"/>
      <protection locked="0" hidden="0"/>
    </xf>
    <xf numFmtId="167" fontId="0" fillId="3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37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1" t="inlineStr">
        <is>
          <t>Parasite Destruction Log (Fish Served Raw)</t>
        </is>
      </c>
    </row>
    <row r="4">
      <c r="B4" s="2" t="inlineStr">
        <is>
          <t>What this template is for</t>
        </is>
      </c>
    </row>
    <row r="6">
      <c r="B6" s="3" t="inlineStr">
        <is>
          <t>This is the log that documents parasite destruction (freezing) of fish intended to be eaten raw or nearly raw. It is a Food Code requirement (§3-402.11) and one of the first papers an inspector asks for in a place that serves sushi, ceviche or marinated anchovies.</t>
        </is>
      </c>
    </row>
    <row r="8">
      <c r="B8" s="2" t="inlineStr">
        <is>
          <t>How to use it</t>
        </is>
      </c>
    </row>
    <row r="10">
      <c r="B10" s="3" t="inlineStr">
        <is>
          <t>▸ One line per lot and per treatment. Enter the species, the lot and the date and time the fish goes into and comes out of the freezer.</t>
        </is>
      </c>
    </row>
    <row r="11">
      <c r="B11" s="3" t="inlineStr">
        <is>
          <t>▸ Enter in and out with DATE AND TIME (for example 09/05/2026 10:00 AM). The "Hours" column subtracts them for you.</t>
        </is>
      </c>
    </row>
    <row r="12">
      <c r="B12" s="3" t="inlineStr">
        <is>
          <t>▸ Measure and record the freezer temperature for every treatment; the verdict uses it.</t>
        </is>
      </c>
    </row>
    <row r="13">
      <c r="B13" s="3" t="inlineStr">
        <is>
          <t>▸ The "Status" says OK at -4 °F or below for the hours set in cell B3 (168 by default) or more, or at -31 °F or below for 15 hours or more; any other combination is ALERT. The Food Code also allows -31 °F (-35 °C) until solid and then -4 °F (-20 °C) for 24 hours: the Status does not check that route, so note it in "Notes" and verify it yourself before serving the fish raw.</t>
        </is>
      </c>
    </row>
    <row r="15">
      <c r="B15" s="2" t="inlineStr">
        <is>
          <t>When it is required</t>
        </is>
      </c>
    </row>
    <row r="17">
      <c r="B17" s="3" t="inlineStr">
        <is>
          <t>▸ Fish served raw or nearly raw: sashimi, sushi, tartare, carpaccio, ceviche.</t>
        </is>
      </c>
    </row>
    <row r="18">
      <c r="B18" s="3" t="inlineStr">
        <is>
          <t>▸ Marinated fish, lightly cooked pickled fish, light cures, cold-smoked fish and herring.</t>
        </is>
      </c>
    </row>
    <row r="19">
      <c r="B19" s="3" t="inlineStr">
        <is>
          <t>▸ Pickled or marinated anchovies (boquerones): a classic source of anisakiasis.</t>
        </is>
      </c>
    </row>
    <row r="21">
      <c r="B21" s="2" t="inlineStr">
        <is>
          <t>When it is NOT required</t>
        </is>
      </c>
    </row>
    <row r="23">
      <c r="B23" s="3" t="inlineStr">
        <is>
          <t>▸ Fish cooked to 145 °F or above in the center: record it in template 16 (Cooking &amp; Reheating Temperature Log).</t>
        </is>
      </c>
    </row>
    <row r="24">
      <c r="B24" s="3" t="inlineStr">
        <is>
          <t>▸ Exempt under §3-402.11(B): molluscan shellfish; certain tuna species (such as yellowfin, bigeye and albacore); scallop products that are the shucked adductor muscle only; fish roe removed from the skein and rinsed; and fish raised in net-pens or in land-based operations such as ponds or tanks and fed formulated feed that contains no live parasites. For farmed fish, keep the supplier's written statement on file (§3-402.12(C)): it is what the inspector asks for.</t>
        </is>
      </c>
    </row>
    <row r="26">
      <c r="B26" s="2" t="inlineStr">
        <is>
          <t>Consumer advisory</t>
        </is>
      </c>
    </row>
    <row r="28">
      <c r="B28" s="3" t="inlineStr">
        <is>
          <t>Food Code §3-603.11 requires a consumer advisory, on the menu or on a sign, for any animal food served raw or undercooked, fish included: for example, "Consuming raw or undercooked fish may increase your risk of foodborne illness."</t>
        </is>
      </c>
    </row>
    <row r="30">
      <c r="B30" s="2" t="inlineStr">
        <is>
          <t>Frequency &amp; record keeping</t>
        </is>
      </c>
    </row>
    <row r="32">
      <c r="B32" s="3" t="inlineStr">
        <is>
          <t>▸ Frequency: every lot of fish that will be served raw. The sheet has 40 rows.</t>
        </is>
      </c>
    </row>
    <row r="33">
      <c r="B33" s="3" t="inlineStr">
        <is>
          <t>▸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35">
      <c r="B35" s="2" t="inlineStr">
        <is>
          <t>— HACCP Food Safety Kit Pro · AI Chef Pro · aichef.pro</t>
        </is>
      </c>
    </row>
    <row r="37">
      <c r="B37" s="2" t="inlineStr">
        <is>
          <t>Version 2.0 · October 2026 · aichef.pro/en/digital-products/haccp-templates · info@aichef.pro</t>
        </is>
      </c>
    </row>
  </sheetData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4" customWidth="1" min="4" max="4"/>
    <col width="24" customWidth="1" min="5" max="5"/>
    <col width="20" customWidth="1" min="6" max="6"/>
    <col width="10" customWidth="1" min="7" max="7"/>
    <col width="14" customWidth="1" min="8" max="8"/>
    <col width="30" customWidth="1" min="9" max="9"/>
    <col width="14" customWidth="1" min="10" max="10"/>
    <col width="28" customWidth="1" min="11" max="11"/>
  </cols>
  <sheetData>
    <row r="1">
      <c r="A1" s="4" t="inlineStr">
        <is>
          <t>Parasite Destruction Log (Fish Served Raw)</t>
        </is>
      </c>
    </row>
    <row r="2">
      <c r="A2" t="inlineStr">
        <is>
          <t>Month: _______________    Required for all fish served raw, marinated, pickled or lightly cured, unless an exemption applies (§3-402.11(B)).</t>
        </is>
      </c>
    </row>
    <row r="3" ht="45" customHeight="1">
      <c r="A3" s="14" t="inlineStr">
        <is>
          <t>Minimum hours at -4 °F or below:</t>
        </is>
      </c>
      <c r="B3" s="15" t="n">
        <v>168</v>
      </c>
      <c r="C3" s="16" t="inlineStr">
        <is>
          <t>US Food Code §3-402.11: 168 h (7 days). UK and EU rule: 24 h at -4 °F (-20 °C): type 24 if you operate in the UK.</t>
        </is>
      </c>
    </row>
    <row r="4" ht="30" customHeight="1">
      <c r="A4" s="5" t="inlineStr">
        <is>
          <t>Date</t>
        </is>
      </c>
      <c r="B4" s="5" t="inlineStr">
        <is>
          <t>Species / fish</t>
        </is>
      </c>
      <c r="C4" s="5" t="inlineStr">
        <is>
          <t>Lot no.</t>
        </is>
      </c>
      <c r="D4" s="5" t="inlineStr">
        <is>
          <t>In (date and time)</t>
        </is>
      </c>
      <c r="E4" s="5" t="inlineStr">
        <is>
          <t>Out (date and time)</t>
        </is>
      </c>
      <c r="F4" s="5" t="inlineStr">
        <is>
          <t>Freezer Temp (°F)</t>
        </is>
      </c>
      <c r="G4" s="5" t="inlineStr">
        <is>
          <t>Hours</t>
        </is>
      </c>
      <c r="H4" s="5" t="inlineStr">
        <is>
          <t>Status</t>
        </is>
      </c>
      <c r="I4" s="5" t="inlineStr">
        <is>
          <t>Used for (dish)</t>
        </is>
      </c>
      <c r="J4" s="5" t="inlineStr">
        <is>
          <t>Initials</t>
        </is>
      </c>
      <c r="K4" s="5" t="inlineStr">
        <is>
          <t>Notes</t>
        </is>
      </c>
    </row>
    <row r="5" ht="20" customHeight="1">
      <c r="A5" s="17" t="n">
        <v>46270</v>
      </c>
      <c r="B5" s="7" t="inlineStr">
        <is>
          <t>Anchovy (Engraulis encrasicolus)</t>
        </is>
      </c>
      <c r="C5" s="8" t="inlineStr">
        <is>
          <t>L-2026-0930</t>
        </is>
      </c>
      <c r="D5" s="18" t="n">
        <v>46270.41666666666</v>
      </c>
      <c r="E5" s="18" t="n">
        <v>46277.45833333334</v>
      </c>
      <c r="F5" s="10" t="n">
        <v>-8</v>
      </c>
      <c r="G5" s="11">
        <f>IF(NOT(AND(ISNUMBER($D5),ISNUMBER($E5))),"",ROUND(($E5-$D5)*24,1))</f>
        <v>169.0</v>
      </c>
      <c r="H5" s="12" t="str">
        <f>IF(OR($F5="",$G5=""),"",IF(OR(AND($F5&lt;=-4,$G5&gt;=IF($B$3="",168,$B$3)),AND($F5&lt;=-31,$G5&gt;=15)),"OK","ALERT"))</f>
        <v>OK</v>
      </c>
      <c r="I5" s="7" t="inlineStr">
        <is>
          <t>Marinated anchovies (boquerones)</t>
        </is>
      </c>
      <c r="J5" s="8" t="inlineStr">
        <is>
          <t>A.R.</t>
        </is>
      </c>
      <c r="K5" s="7" t="inlineStr">
        <is>
          <t>(sample)</t>
        </is>
      </c>
    </row>
    <row r="6" ht="20" customHeight="1">
      <c r="A6" s="17" t="n">
        <v>46274</v>
      </c>
      <c r="B6" s="7" t="inlineStr">
        <is>
          <t>Salmon (Salmo salar)</t>
        </is>
      </c>
      <c r="C6" s="8" t="inlineStr">
        <is>
          <t>L-2026-0941</t>
        </is>
      </c>
      <c r="D6" s="18" t="n">
        <v>46274.375</v>
      </c>
      <c r="E6" s="18" t="n">
        <v>46275.04166666666</v>
      </c>
      <c r="F6" s="10" t="n">
        <v>-33</v>
      </c>
      <c r="G6" s="11">
        <f>IF(NOT(AND(ISNUMBER($D6),ISNUMBER($E6))),"",ROUND(($E6-$D6)*24,1))</f>
        <v>16.0</v>
      </c>
      <c r="H6" s="12" t="str">
        <f>IF(OR($F6="",$G6=""),"",IF(OR(AND($F6&lt;=-4,$G6&gt;=IF($B$3="",168,$B$3)),AND($F6&lt;=-31,$G6&gt;=15)),"OK","ALERT"))</f>
        <v>OK</v>
      </c>
      <c r="I6" s="7" t="inlineStr">
        <is>
          <t>Salmon tartare</t>
        </is>
      </c>
      <c r="J6" s="8" t="inlineStr">
        <is>
          <t>M.S.</t>
        </is>
      </c>
      <c r="K6" s="7" t="inlineStr">
        <is>
          <t>(sample)</t>
        </is>
      </c>
    </row>
    <row r="7" ht="20" customHeight="1">
      <c r="A7" s="17" t="n"/>
      <c r="B7" s="7" t="n"/>
      <c r="C7" s="8" t="n"/>
      <c r="D7" s="18" t="n"/>
      <c r="E7" s="18" t="n"/>
      <c r="F7" s="10" t="n"/>
      <c r="G7" s="11">
        <f>IF(NOT(AND(ISNUMBER($D7),ISNUMBER($E7))),"",ROUND(($E7-$D7)*24,1))</f>
        <v/>
      </c>
      <c r="H7" s="12">
        <f>IF(OR($F7="",$G7=""),"",IF(OR(AND($F7&lt;=-4,$G7&gt;=IF($B$3="",168,$B$3)),AND($F7&lt;=-31,$G7&gt;=15)),"OK","ALERT"))</f>
        <v/>
      </c>
      <c r="I7" s="7" t="n"/>
      <c r="J7" s="8" t="n"/>
      <c r="K7" s="7" t="n"/>
    </row>
    <row r="8" ht="20" customHeight="1">
      <c r="A8" s="17" t="n"/>
      <c r="B8" s="7" t="n"/>
      <c r="C8" s="8" t="n"/>
      <c r="D8" s="18" t="n"/>
      <c r="E8" s="18" t="n"/>
      <c r="F8" s="10" t="n"/>
      <c r="G8" s="11">
        <f>IF(NOT(AND(ISNUMBER($D8),ISNUMBER($E8))),"",ROUND(($E8-$D8)*24,1))</f>
        <v/>
      </c>
      <c r="H8" s="12">
        <f>IF(OR($F8="",$G8=""),"",IF(OR(AND($F8&lt;=-4,$G8&gt;=IF($B$3="",168,$B$3)),AND($F8&lt;=-31,$G8&gt;=15)),"OK","ALERT"))</f>
        <v/>
      </c>
      <c r="I8" s="7" t="n"/>
      <c r="J8" s="8" t="n"/>
      <c r="K8" s="7" t="n"/>
    </row>
    <row r="9" ht="20" customHeight="1">
      <c r="A9" s="17" t="n"/>
      <c r="B9" s="7" t="n"/>
      <c r="C9" s="8" t="n"/>
      <c r="D9" s="18" t="n"/>
      <c r="E9" s="18" t="n"/>
      <c r="F9" s="10" t="n"/>
      <c r="G9" s="11">
        <f>IF(NOT(AND(ISNUMBER($D9),ISNUMBER($E9))),"",ROUND(($E9-$D9)*24,1))</f>
        <v/>
      </c>
      <c r="H9" s="12">
        <f>IF(OR($F9="",$G9=""),"",IF(OR(AND($F9&lt;=-4,$G9&gt;=IF($B$3="",168,$B$3)),AND($F9&lt;=-31,$G9&gt;=15)),"OK","ALERT"))</f>
        <v/>
      </c>
      <c r="I9" s="7" t="n"/>
      <c r="J9" s="8" t="n"/>
      <c r="K9" s="7" t="n"/>
    </row>
    <row r="10" ht="20" customHeight="1">
      <c r="A10" s="17" t="n"/>
      <c r="B10" s="7" t="n"/>
      <c r="C10" s="8" t="n"/>
      <c r="D10" s="18" t="n"/>
      <c r="E10" s="18" t="n"/>
      <c r="F10" s="10" t="n"/>
      <c r="G10" s="11">
        <f>IF(NOT(AND(ISNUMBER($D10),ISNUMBER($E10))),"",ROUND(($E10-$D10)*24,1))</f>
        <v/>
      </c>
      <c r="H10" s="12">
        <f>IF(OR($F10="",$G10=""),"",IF(OR(AND($F10&lt;=-4,$G10&gt;=IF($B$3="",168,$B$3)),AND($F10&lt;=-31,$G10&gt;=15)),"OK","ALERT"))</f>
        <v/>
      </c>
      <c r="I10" s="7" t="n"/>
      <c r="J10" s="8" t="n"/>
      <c r="K10" s="7" t="n"/>
    </row>
    <row r="11" ht="20" customHeight="1">
      <c r="A11" s="17" t="n"/>
      <c r="B11" s="7" t="n"/>
      <c r="C11" s="8" t="n"/>
      <c r="D11" s="18" t="n"/>
      <c r="E11" s="18" t="n"/>
      <c r="F11" s="10" t="n"/>
      <c r="G11" s="11">
        <f>IF(NOT(AND(ISNUMBER($D11),ISNUMBER($E11))),"",ROUND(($E11-$D11)*24,1))</f>
        <v/>
      </c>
      <c r="H11" s="12">
        <f>IF(OR($F11="",$G11=""),"",IF(OR(AND($F11&lt;=-4,$G11&gt;=IF($B$3="",168,$B$3)),AND($F11&lt;=-31,$G11&gt;=15)),"OK","ALERT"))</f>
        <v/>
      </c>
      <c r="I11" s="7" t="n"/>
      <c r="J11" s="8" t="n"/>
      <c r="K11" s="7" t="n"/>
    </row>
    <row r="12" ht="20" customHeight="1">
      <c r="A12" s="17" t="n"/>
      <c r="B12" s="7" t="n"/>
      <c r="C12" s="8" t="n"/>
      <c r="D12" s="18" t="n"/>
      <c r="E12" s="18" t="n"/>
      <c r="F12" s="10" t="n"/>
      <c r="G12" s="11">
        <f>IF(NOT(AND(ISNUMBER($D12),ISNUMBER($E12))),"",ROUND(($E12-$D12)*24,1))</f>
        <v/>
      </c>
      <c r="H12" s="12">
        <f>IF(OR($F12="",$G12=""),"",IF(OR(AND($F12&lt;=-4,$G12&gt;=IF($B$3="",168,$B$3)),AND($F12&lt;=-31,$G12&gt;=15)),"OK","ALERT"))</f>
        <v/>
      </c>
      <c r="I12" s="7" t="n"/>
      <c r="J12" s="8" t="n"/>
      <c r="K12" s="7" t="n"/>
    </row>
    <row r="13" ht="20" customHeight="1">
      <c r="A13" s="17" t="n"/>
      <c r="B13" s="7" t="n"/>
      <c r="C13" s="8" t="n"/>
      <c r="D13" s="18" t="n"/>
      <c r="E13" s="18" t="n"/>
      <c r="F13" s="10" t="n"/>
      <c r="G13" s="11">
        <f>IF(NOT(AND(ISNUMBER($D13),ISNUMBER($E13))),"",ROUND(($E13-$D13)*24,1))</f>
        <v/>
      </c>
      <c r="H13" s="12">
        <f>IF(OR($F13="",$G13=""),"",IF(OR(AND($F13&lt;=-4,$G13&gt;=IF($B$3="",168,$B$3)),AND($F13&lt;=-31,$G13&gt;=15)),"OK","ALERT"))</f>
        <v/>
      </c>
      <c r="I13" s="7" t="n"/>
      <c r="J13" s="8" t="n"/>
      <c r="K13" s="7" t="n"/>
    </row>
    <row r="14" ht="20" customHeight="1">
      <c r="A14" s="17" t="n"/>
      <c r="B14" s="7" t="n"/>
      <c r="C14" s="8" t="n"/>
      <c r="D14" s="18" t="n"/>
      <c r="E14" s="18" t="n"/>
      <c r="F14" s="10" t="n"/>
      <c r="G14" s="11">
        <f>IF(NOT(AND(ISNUMBER($D14),ISNUMBER($E14))),"",ROUND(($E14-$D14)*24,1))</f>
        <v/>
      </c>
      <c r="H14" s="12">
        <f>IF(OR($F14="",$G14=""),"",IF(OR(AND($F14&lt;=-4,$G14&gt;=IF($B$3="",168,$B$3)),AND($F14&lt;=-31,$G14&gt;=15)),"OK","ALERT"))</f>
        <v/>
      </c>
      <c r="I14" s="7" t="n"/>
      <c r="J14" s="8" t="n"/>
      <c r="K14" s="7" t="n"/>
    </row>
    <row r="15" ht="20" customHeight="1">
      <c r="A15" s="17" t="n"/>
      <c r="B15" s="7" t="n"/>
      <c r="C15" s="8" t="n"/>
      <c r="D15" s="18" t="n"/>
      <c r="E15" s="18" t="n"/>
      <c r="F15" s="10" t="n"/>
      <c r="G15" s="11">
        <f>IF(NOT(AND(ISNUMBER($D15),ISNUMBER($E15))),"",ROUND(($E15-$D15)*24,1))</f>
        <v/>
      </c>
      <c r="H15" s="12">
        <f>IF(OR($F15="",$G15=""),"",IF(OR(AND($F15&lt;=-4,$G15&gt;=IF($B$3="",168,$B$3)),AND($F15&lt;=-31,$G15&gt;=15)),"OK","ALERT"))</f>
        <v/>
      </c>
      <c r="I15" s="7" t="n"/>
      <c r="J15" s="8" t="n"/>
      <c r="K15" s="7" t="n"/>
    </row>
    <row r="16" ht="20" customHeight="1">
      <c r="A16" s="17" t="n"/>
      <c r="B16" s="7" t="n"/>
      <c r="C16" s="8" t="n"/>
      <c r="D16" s="18" t="n"/>
      <c r="E16" s="18" t="n"/>
      <c r="F16" s="10" t="n"/>
      <c r="G16" s="11">
        <f>IF(NOT(AND(ISNUMBER($D16),ISNUMBER($E16))),"",ROUND(($E16-$D16)*24,1))</f>
        <v/>
      </c>
      <c r="H16" s="12">
        <f>IF(OR($F16="",$G16=""),"",IF(OR(AND($F16&lt;=-4,$G16&gt;=IF($B$3="",168,$B$3)),AND($F16&lt;=-31,$G16&gt;=15)),"OK","ALERT"))</f>
        <v/>
      </c>
      <c r="I16" s="7" t="n"/>
      <c r="J16" s="8" t="n"/>
      <c r="K16" s="7" t="n"/>
    </row>
    <row r="17" ht="20" customHeight="1">
      <c r="A17" s="17" t="n"/>
      <c r="B17" s="7" t="n"/>
      <c r="C17" s="8" t="n"/>
      <c r="D17" s="18" t="n"/>
      <c r="E17" s="18" t="n"/>
      <c r="F17" s="10" t="n"/>
      <c r="G17" s="11">
        <f>IF(NOT(AND(ISNUMBER($D17),ISNUMBER($E17))),"",ROUND(($E17-$D17)*24,1))</f>
        <v/>
      </c>
      <c r="H17" s="12">
        <f>IF(OR($F17="",$G17=""),"",IF(OR(AND($F17&lt;=-4,$G17&gt;=IF($B$3="",168,$B$3)),AND($F17&lt;=-31,$G17&gt;=15)),"OK","ALERT"))</f>
        <v/>
      </c>
      <c r="I17" s="7" t="n"/>
      <c r="J17" s="8" t="n"/>
      <c r="K17" s="7" t="n"/>
    </row>
    <row r="18" ht="20" customHeight="1">
      <c r="A18" s="17" t="n"/>
      <c r="B18" s="7" t="n"/>
      <c r="C18" s="8" t="n"/>
      <c r="D18" s="18" t="n"/>
      <c r="E18" s="18" t="n"/>
      <c r="F18" s="10" t="n"/>
      <c r="G18" s="11">
        <f>IF(NOT(AND(ISNUMBER($D18),ISNUMBER($E18))),"",ROUND(($E18-$D18)*24,1))</f>
        <v/>
      </c>
      <c r="H18" s="12">
        <f>IF(OR($F18="",$G18=""),"",IF(OR(AND($F18&lt;=-4,$G18&gt;=IF($B$3="",168,$B$3)),AND($F18&lt;=-31,$G18&gt;=15)),"OK","ALERT"))</f>
        <v/>
      </c>
      <c r="I18" s="7" t="n"/>
      <c r="J18" s="8" t="n"/>
      <c r="K18" s="7" t="n"/>
    </row>
    <row r="19" ht="20" customHeight="1">
      <c r="A19" s="17" t="n"/>
      <c r="B19" s="7" t="n"/>
      <c r="C19" s="8" t="n"/>
      <c r="D19" s="18" t="n"/>
      <c r="E19" s="18" t="n"/>
      <c r="F19" s="10" t="n"/>
      <c r="G19" s="11">
        <f>IF(NOT(AND(ISNUMBER($D19),ISNUMBER($E19))),"",ROUND(($E19-$D19)*24,1))</f>
        <v/>
      </c>
      <c r="H19" s="12">
        <f>IF(OR($F19="",$G19=""),"",IF(OR(AND($F19&lt;=-4,$G19&gt;=IF($B$3="",168,$B$3)),AND($F19&lt;=-31,$G19&gt;=15)),"OK","ALERT"))</f>
        <v/>
      </c>
      <c r="I19" s="7" t="n"/>
      <c r="J19" s="8" t="n"/>
      <c r="K19" s="7" t="n"/>
    </row>
    <row r="20" ht="20" customHeight="1">
      <c r="A20" s="17" t="n"/>
      <c r="B20" s="7" t="n"/>
      <c r="C20" s="8" t="n"/>
      <c r="D20" s="18" t="n"/>
      <c r="E20" s="18" t="n"/>
      <c r="F20" s="10" t="n"/>
      <c r="G20" s="11">
        <f>IF(NOT(AND(ISNUMBER($D20),ISNUMBER($E20))),"",ROUND(($E20-$D20)*24,1))</f>
        <v/>
      </c>
      <c r="H20" s="12">
        <f>IF(OR($F20="",$G20=""),"",IF(OR(AND($F20&lt;=-4,$G20&gt;=IF($B$3="",168,$B$3)),AND($F20&lt;=-31,$G20&gt;=15)),"OK","ALERT"))</f>
        <v/>
      </c>
      <c r="I20" s="7" t="n"/>
      <c r="J20" s="8" t="n"/>
      <c r="K20" s="7" t="n"/>
    </row>
    <row r="21" ht="20" customHeight="1">
      <c r="A21" s="17" t="n"/>
      <c r="B21" s="7" t="n"/>
      <c r="C21" s="8" t="n"/>
      <c r="D21" s="18" t="n"/>
      <c r="E21" s="18" t="n"/>
      <c r="F21" s="10" t="n"/>
      <c r="G21" s="11">
        <f>IF(NOT(AND(ISNUMBER($D21),ISNUMBER($E21))),"",ROUND(($E21-$D21)*24,1))</f>
        <v/>
      </c>
      <c r="H21" s="12">
        <f>IF(OR($F21="",$G21=""),"",IF(OR(AND($F21&lt;=-4,$G21&gt;=IF($B$3="",168,$B$3)),AND($F21&lt;=-31,$G21&gt;=15)),"OK","ALERT"))</f>
        <v/>
      </c>
      <c r="I21" s="7" t="n"/>
      <c r="J21" s="8" t="n"/>
      <c r="K21" s="7" t="n"/>
    </row>
    <row r="22" ht="20" customHeight="1">
      <c r="A22" s="17" t="n"/>
      <c r="B22" s="7" t="n"/>
      <c r="C22" s="8" t="n"/>
      <c r="D22" s="18" t="n"/>
      <c r="E22" s="18" t="n"/>
      <c r="F22" s="10" t="n"/>
      <c r="G22" s="11">
        <f>IF(NOT(AND(ISNUMBER($D22),ISNUMBER($E22))),"",ROUND(($E22-$D22)*24,1))</f>
        <v/>
      </c>
      <c r="H22" s="12">
        <f>IF(OR($F22="",$G22=""),"",IF(OR(AND($F22&lt;=-4,$G22&gt;=IF($B$3="",168,$B$3)),AND($F22&lt;=-31,$G22&gt;=15)),"OK","ALERT"))</f>
        <v/>
      </c>
      <c r="I22" s="7" t="n"/>
      <c r="J22" s="8" t="n"/>
      <c r="K22" s="7" t="n"/>
    </row>
    <row r="23" ht="20" customHeight="1">
      <c r="A23" s="17" t="n"/>
      <c r="B23" s="7" t="n"/>
      <c r="C23" s="8" t="n"/>
      <c r="D23" s="18" t="n"/>
      <c r="E23" s="18" t="n"/>
      <c r="F23" s="10" t="n"/>
      <c r="G23" s="11">
        <f>IF(NOT(AND(ISNUMBER($D23),ISNUMBER($E23))),"",ROUND(($E23-$D23)*24,1))</f>
        <v/>
      </c>
      <c r="H23" s="12">
        <f>IF(OR($F23="",$G23=""),"",IF(OR(AND($F23&lt;=-4,$G23&gt;=IF($B$3="",168,$B$3)),AND($F23&lt;=-31,$G23&gt;=15)),"OK","ALERT"))</f>
        <v/>
      </c>
      <c r="I23" s="7" t="n"/>
      <c r="J23" s="8" t="n"/>
      <c r="K23" s="7" t="n"/>
    </row>
    <row r="24" ht="20" customHeight="1">
      <c r="A24" s="17" t="n"/>
      <c r="B24" s="7" t="n"/>
      <c r="C24" s="8" t="n"/>
      <c r="D24" s="18" t="n"/>
      <c r="E24" s="18" t="n"/>
      <c r="F24" s="10" t="n"/>
      <c r="G24" s="11">
        <f>IF(NOT(AND(ISNUMBER($D24),ISNUMBER($E24))),"",ROUND(($E24-$D24)*24,1))</f>
        <v/>
      </c>
      <c r="H24" s="12">
        <f>IF(OR($F24="",$G24=""),"",IF(OR(AND($F24&lt;=-4,$G24&gt;=IF($B$3="",168,$B$3)),AND($F24&lt;=-31,$G24&gt;=15)),"OK","ALERT"))</f>
        <v/>
      </c>
      <c r="I24" s="7" t="n"/>
      <c r="J24" s="8" t="n"/>
      <c r="K24" s="7" t="n"/>
    </row>
    <row r="25" ht="20" customHeight="1">
      <c r="A25" s="17" t="n"/>
      <c r="B25" s="7" t="n"/>
      <c r="C25" s="8" t="n"/>
      <c r="D25" s="18" t="n"/>
      <c r="E25" s="18" t="n"/>
      <c r="F25" s="10" t="n"/>
      <c r="G25" s="11">
        <f>IF(NOT(AND(ISNUMBER($D25),ISNUMBER($E25))),"",ROUND(($E25-$D25)*24,1))</f>
        <v/>
      </c>
      <c r="H25" s="12">
        <f>IF(OR($F25="",$G25=""),"",IF(OR(AND($F25&lt;=-4,$G25&gt;=IF($B$3="",168,$B$3)),AND($F25&lt;=-31,$G25&gt;=15)),"OK","ALERT"))</f>
        <v/>
      </c>
      <c r="I25" s="7" t="n"/>
      <c r="J25" s="8" t="n"/>
      <c r="K25" s="7" t="n"/>
    </row>
    <row r="26" ht="20" customHeight="1">
      <c r="A26" s="17" t="n"/>
      <c r="B26" s="7" t="n"/>
      <c r="C26" s="8" t="n"/>
      <c r="D26" s="18" t="n"/>
      <c r="E26" s="18" t="n"/>
      <c r="F26" s="10" t="n"/>
      <c r="G26" s="11">
        <f>IF(NOT(AND(ISNUMBER($D26),ISNUMBER($E26))),"",ROUND(($E26-$D26)*24,1))</f>
        <v/>
      </c>
      <c r="H26" s="12">
        <f>IF(OR($F26="",$G26=""),"",IF(OR(AND($F26&lt;=-4,$G26&gt;=IF($B$3="",168,$B$3)),AND($F26&lt;=-31,$G26&gt;=15)),"OK","ALERT"))</f>
        <v/>
      </c>
      <c r="I26" s="7" t="n"/>
      <c r="J26" s="8" t="n"/>
      <c r="K26" s="7" t="n"/>
    </row>
    <row r="27" ht="20" customHeight="1">
      <c r="A27" s="17" t="n"/>
      <c r="B27" s="7" t="n"/>
      <c r="C27" s="8" t="n"/>
      <c r="D27" s="18" t="n"/>
      <c r="E27" s="18" t="n"/>
      <c r="F27" s="10" t="n"/>
      <c r="G27" s="11">
        <f>IF(NOT(AND(ISNUMBER($D27),ISNUMBER($E27))),"",ROUND(($E27-$D27)*24,1))</f>
        <v/>
      </c>
      <c r="H27" s="12">
        <f>IF(OR($F27="",$G27=""),"",IF(OR(AND($F27&lt;=-4,$G27&gt;=IF($B$3="",168,$B$3)),AND($F27&lt;=-31,$G27&gt;=15)),"OK","ALERT"))</f>
        <v/>
      </c>
      <c r="I27" s="7" t="n"/>
      <c r="J27" s="8" t="n"/>
      <c r="K27" s="7" t="n"/>
    </row>
    <row r="28" ht="20" customHeight="1">
      <c r="A28" s="17" t="n"/>
      <c r="B28" s="7" t="n"/>
      <c r="C28" s="8" t="n"/>
      <c r="D28" s="18" t="n"/>
      <c r="E28" s="18" t="n"/>
      <c r="F28" s="10" t="n"/>
      <c r="G28" s="11">
        <f>IF(NOT(AND(ISNUMBER($D28),ISNUMBER($E28))),"",ROUND(($E28-$D28)*24,1))</f>
        <v/>
      </c>
      <c r="H28" s="12">
        <f>IF(OR($F28="",$G28=""),"",IF(OR(AND($F28&lt;=-4,$G28&gt;=IF($B$3="",168,$B$3)),AND($F28&lt;=-31,$G28&gt;=15)),"OK","ALERT"))</f>
        <v/>
      </c>
      <c r="I28" s="7" t="n"/>
      <c r="J28" s="8" t="n"/>
      <c r="K28" s="7" t="n"/>
    </row>
    <row r="29" ht="20" customHeight="1">
      <c r="A29" s="17" t="n"/>
      <c r="B29" s="7" t="n"/>
      <c r="C29" s="8" t="n"/>
      <c r="D29" s="18" t="n"/>
      <c r="E29" s="18" t="n"/>
      <c r="F29" s="10" t="n"/>
      <c r="G29" s="11">
        <f>IF(NOT(AND(ISNUMBER($D29),ISNUMBER($E29))),"",ROUND(($E29-$D29)*24,1))</f>
        <v/>
      </c>
      <c r="H29" s="12">
        <f>IF(OR($F29="",$G29=""),"",IF(OR(AND($F29&lt;=-4,$G29&gt;=IF($B$3="",168,$B$3)),AND($F29&lt;=-31,$G29&gt;=15)),"OK","ALERT"))</f>
        <v/>
      </c>
      <c r="I29" s="7" t="n"/>
      <c r="J29" s="8" t="n"/>
      <c r="K29" s="7" t="n"/>
    </row>
    <row r="30" ht="20" customHeight="1">
      <c r="A30" s="17" t="n"/>
      <c r="B30" s="7" t="n"/>
      <c r="C30" s="8" t="n"/>
      <c r="D30" s="18" t="n"/>
      <c r="E30" s="18" t="n"/>
      <c r="F30" s="10" t="n"/>
      <c r="G30" s="11">
        <f>IF(NOT(AND(ISNUMBER($D30),ISNUMBER($E30))),"",ROUND(($E30-$D30)*24,1))</f>
        <v/>
      </c>
      <c r="H30" s="12">
        <f>IF(OR($F30="",$G30=""),"",IF(OR(AND($F30&lt;=-4,$G30&gt;=IF($B$3="",168,$B$3)),AND($F30&lt;=-31,$G30&gt;=15)),"OK","ALERT"))</f>
        <v/>
      </c>
      <c r="I30" s="7" t="n"/>
      <c r="J30" s="8" t="n"/>
      <c r="K30" s="7" t="n"/>
    </row>
    <row r="31" ht="20" customHeight="1">
      <c r="A31" s="17" t="n"/>
      <c r="B31" s="7" t="n"/>
      <c r="C31" s="8" t="n"/>
      <c r="D31" s="18" t="n"/>
      <c r="E31" s="18" t="n"/>
      <c r="F31" s="10" t="n"/>
      <c r="G31" s="11">
        <f>IF(NOT(AND(ISNUMBER($D31),ISNUMBER($E31))),"",ROUND(($E31-$D31)*24,1))</f>
        <v/>
      </c>
      <c r="H31" s="12">
        <f>IF(OR($F31="",$G31=""),"",IF(OR(AND($F31&lt;=-4,$G31&gt;=IF($B$3="",168,$B$3)),AND($F31&lt;=-31,$G31&gt;=15)),"OK","ALERT"))</f>
        <v/>
      </c>
      <c r="I31" s="7" t="n"/>
      <c r="J31" s="8" t="n"/>
      <c r="K31" s="7" t="n"/>
    </row>
    <row r="32" ht="20" customHeight="1">
      <c r="A32" s="17" t="n"/>
      <c r="B32" s="7" t="n"/>
      <c r="C32" s="8" t="n"/>
      <c r="D32" s="18" t="n"/>
      <c r="E32" s="18" t="n"/>
      <c r="F32" s="10" t="n"/>
      <c r="G32" s="11">
        <f>IF(NOT(AND(ISNUMBER($D32),ISNUMBER($E32))),"",ROUND(($E32-$D32)*24,1))</f>
        <v/>
      </c>
      <c r="H32" s="12">
        <f>IF(OR($F32="",$G32=""),"",IF(OR(AND($F32&lt;=-4,$G32&gt;=IF($B$3="",168,$B$3)),AND($F32&lt;=-31,$G32&gt;=15)),"OK","ALERT"))</f>
        <v/>
      </c>
      <c r="I32" s="7" t="n"/>
      <c r="J32" s="8" t="n"/>
      <c r="K32" s="7" t="n"/>
    </row>
    <row r="33" ht="20" customHeight="1">
      <c r="A33" s="17" t="n"/>
      <c r="B33" s="7" t="n"/>
      <c r="C33" s="8" t="n"/>
      <c r="D33" s="18" t="n"/>
      <c r="E33" s="18" t="n"/>
      <c r="F33" s="10" t="n"/>
      <c r="G33" s="11">
        <f>IF(NOT(AND(ISNUMBER($D33),ISNUMBER($E33))),"",ROUND(($E33-$D33)*24,1))</f>
        <v/>
      </c>
      <c r="H33" s="12">
        <f>IF(OR($F33="",$G33=""),"",IF(OR(AND($F33&lt;=-4,$G33&gt;=IF($B$3="",168,$B$3)),AND($F33&lt;=-31,$G33&gt;=15)),"OK","ALERT"))</f>
        <v/>
      </c>
      <c r="I33" s="7" t="n"/>
      <c r="J33" s="8" t="n"/>
      <c r="K33" s="7" t="n"/>
    </row>
    <row r="34" ht="20" customHeight="1">
      <c r="A34" s="17" t="n"/>
      <c r="B34" s="7" t="n"/>
      <c r="C34" s="8" t="n"/>
      <c r="D34" s="18" t="n"/>
      <c r="E34" s="18" t="n"/>
      <c r="F34" s="10" t="n"/>
      <c r="G34" s="11">
        <f>IF(NOT(AND(ISNUMBER($D34),ISNUMBER($E34))),"",ROUND(($E34-$D34)*24,1))</f>
        <v/>
      </c>
      <c r="H34" s="12">
        <f>IF(OR($F34="",$G34=""),"",IF(OR(AND($F34&lt;=-4,$G34&gt;=IF($B$3="",168,$B$3)),AND($F34&lt;=-31,$G34&gt;=15)),"OK","ALERT"))</f>
        <v/>
      </c>
      <c r="I34" s="7" t="n"/>
      <c r="J34" s="8" t="n"/>
      <c r="K34" s="7" t="n"/>
    </row>
    <row r="35" ht="20" customHeight="1">
      <c r="A35" s="17" t="n"/>
      <c r="B35" s="7" t="n"/>
      <c r="C35" s="8" t="n"/>
      <c r="D35" s="18" t="n"/>
      <c r="E35" s="18" t="n"/>
      <c r="F35" s="10" t="n"/>
      <c r="G35" s="11">
        <f>IF(NOT(AND(ISNUMBER($D35),ISNUMBER($E35))),"",ROUND(($E35-$D35)*24,1))</f>
        <v/>
      </c>
      <c r="H35" s="12">
        <f>IF(OR($F35="",$G35=""),"",IF(OR(AND($F35&lt;=-4,$G35&gt;=IF($B$3="",168,$B$3)),AND($F35&lt;=-31,$G35&gt;=15)),"OK","ALERT"))</f>
        <v/>
      </c>
      <c r="I35" s="7" t="n"/>
      <c r="J35" s="8" t="n"/>
      <c r="K35" s="7" t="n"/>
    </row>
    <row r="36" ht="20" customHeight="1">
      <c r="A36" s="17" t="n"/>
      <c r="B36" s="7" t="n"/>
      <c r="C36" s="8" t="n"/>
      <c r="D36" s="18" t="n"/>
      <c r="E36" s="18" t="n"/>
      <c r="F36" s="10" t="n"/>
      <c r="G36" s="11">
        <f>IF(NOT(AND(ISNUMBER($D36),ISNUMBER($E36))),"",ROUND(($E36-$D36)*24,1))</f>
        <v/>
      </c>
      <c r="H36" s="12">
        <f>IF(OR($F36="",$G36=""),"",IF(OR(AND($F36&lt;=-4,$G36&gt;=IF($B$3="",168,$B$3)),AND($F36&lt;=-31,$G36&gt;=15)),"OK","ALERT"))</f>
        <v/>
      </c>
      <c r="I36" s="7" t="n"/>
      <c r="J36" s="8" t="n"/>
      <c r="K36" s="7" t="n"/>
    </row>
    <row r="37" ht="20" customHeight="1">
      <c r="A37" s="17" t="n"/>
      <c r="B37" s="7" t="n"/>
      <c r="C37" s="8" t="n"/>
      <c r="D37" s="18" t="n"/>
      <c r="E37" s="18" t="n"/>
      <c r="F37" s="10" t="n"/>
      <c r="G37" s="11">
        <f>IF(NOT(AND(ISNUMBER($D37),ISNUMBER($E37))),"",ROUND(($E37-$D37)*24,1))</f>
        <v/>
      </c>
      <c r="H37" s="12">
        <f>IF(OR($F37="",$G37=""),"",IF(OR(AND($F37&lt;=-4,$G37&gt;=IF($B$3="",168,$B$3)),AND($F37&lt;=-31,$G37&gt;=15)),"OK","ALERT"))</f>
        <v/>
      </c>
      <c r="I37" s="7" t="n"/>
      <c r="J37" s="8" t="n"/>
      <c r="K37" s="7" t="n"/>
    </row>
    <row r="38" ht="20" customHeight="1">
      <c r="A38" s="17" t="n"/>
      <c r="B38" s="7" t="n"/>
      <c r="C38" s="8" t="n"/>
      <c r="D38" s="18" t="n"/>
      <c r="E38" s="18" t="n"/>
      <c r="F38" s="10" t="n"/>
      <c r="G38" s="11">
        <f>IF(NOT(AND(ISNUMBER($D38),ISNUMBER($E38))),"",ROUND(($E38-$D38)*24,1))</f>
        <v/>
      </c>
      <c r="H38" s="12">
        <f>IF(OR($F38="",$G38=""),"",IF(OR(AND($F38&lt;=-4,$G38&gt;=IF($B$3="",168,$B$3)),AND($F38&lt;=-31,$G38&gt;=15)),"OK","ALERT"))</f>
        <v/>
      </c>
      <c r="I38" s="7" t="n"/>
      <c r="J38" s="8" t="n"/>
      <c r="K38" s="7" t="n"/>
    </row>
    <row r="39" ht="20" customHeight="1">
      <c r="A39" s="17" t="n"/>
      <c r="B39" s="7" t="n"/>
      <c r="C39" s="8" t="n"/>
      <c r="D39" s="18" t="n"/>
      <c r="E39" s="18" t="n"/>
      <c r="F39" s="10" t="n"/>
      <c r="G39" s="11">
        <f>IF(NOT(AND(ISNUMBER($D39),ISNUMBER($E39))),"",ROUND(($E39-$D39)*24,1))</f>
        <v/>
      </c>
      <c r="H39" s="12">
        <f>IF(OR($F39="",$G39=""),"",IF(OR(AND($F39&lt;=-4,$G39&gt;=IF($B$3="",168,$B$3)),AND($F39&lt;=-31,$G39&gt;=15)),"OK","ALERT"))</f>
        <v/>
      </c>
      <c r="I39" s="7" t="n"/>
      <c r="J39" s="8" t="n"/>
      <c r="K39" s="7" t="n"/>
    </row>
    <row r="40" ht="20" customHeight="1">
      <c r="A40" s="17" t="n"/>
      <c r="B40" s="7" t="n"/>
      <c r="C40" s="8" t="n"/>
      <c r="D40" s="18" t="n"/>
      <c r="E40" s="18" t="n"/>
      <c r="F40" s="10" t="n"/>
      <c r="G40" s="11">
        <f>IF(NOT(AND(ISNUMBER($D40),ISNUMBER($E40))),"",ROUND(($E40-$D40)*24,1))</f>
        <v/>
      </c>
      <c r="H40" s="12">
        <f>IF(OR($F40="",$G40=""),"",IF(OR(AND($F40&lt;=-4,$G40&gt;=IF($B$3="",168,$B$3)),AND($F40&lt;=-31,$G40&gt;=15)),"OK","ALERT"))</f>
        <v/>
      </c>
      <c r="I40" s="7" t="n"/>
      <c r="J40" s="8" t="n"/>
      <c r="K40" s="7" t="n"/>
    </row>
    <row r="41" ht="20" customHeight="1">
      <c r="A41" s="17" t="n"/>
      <c r="B41" s="7" t="n"/>
      <c r="C41" s="8" t="n"/>
      <c r="D41" s="18" t="n"/>
      <c r="E41" s="18" t="n"/>
      <c r="F41" s="10" t="n"/>
      <c r="G41" s="11">
        <f>IF(NOT(AND(ISNUMBER($D41),ISNUMBER($E41))),"",ROUND(($E41-$D41)*24,1))</f>
        <v/>
      </c>
      <c r="H41" s="12">
        <f>IF(OR($F41="",$G41=""),"",IF(OR(AND($F41&lt;=-4,$G41&gt;=IF($B$3="",168,$B$3)),AND($F41&lt;=-31,$G41&gt;=15)),"OK","ALERT"))</f>
        <v/>
      </c>
      <c r="I41" s="7" t="n"/>
      <c r="J41" s="8" t="n"/>
      <c r="K41" s="7" t="n"/>
    </row>
    <row r="42" ht="20" customHeight="1">
      <c r="A42" s="17" t="n"/>
      <c r="B42" s="7" t="n"/>
      <c r="C42" s="8" t="n"/>
      <c r="D42" s="18" t="n"/>
      <c r="E42" s="18" t="n"/>
      <c r="F42" s="10" t="n"/>
      <c r="G42" s="11">
        <f>IF(NOT(AND(ISNUMBER($D42),ISNUMBER($E42))),"",ROUND(($E42-$D42)*24,1))</f>
        <v/>
      </c>
      <c r="H42" s="12">
        <f>IF(OR($F42="",$G42=""),"",IF(OR(AND($F42&lt;=-4,$G42&gt;=IF($B$3="",168,$B$3)),AND($F42&lt;=-31,$G42&gt;=15)),"OK","ALERT"))</f>
        <v/>
      </c>
      <c r="I42" s="7" t="n"/>
      <c r="J42" s="8" t="n"/>
      <c r="K42" s="7" t="n"/>
    </row>
    <row r="43" ht="20" customHeight="1">
      <c r="A43" s="17" t="n"/>
      <c r="B43" s="7" t="n"/>
      <c r="C43" s="8" t="n"/>
      <c r="D43" s="18" t="n"/>
      <c r="E43" s="18" t="n"/>
      <c r="F43" s="10" t="n"/>
      <c r="G43" s="11">
        <f>IF(NOT(AND(ISNUMBER($D43),ISNUMBER($E43))),"",ROUND(($E43-$D43)*24,1))</f>
        <v/>
      </c>
      <c r="H43" s="12">
        <f>IF(OR($F43="",$G43=""),"",IF(OR(AND($F43&lt;=-4,$G43&gt;=IF($B$3="",168,$B$3)),AND($F43&lt;=-31,$G43&gt;=15)),"OK","ALERT"))</f>
        <v/>
      </c>
      <c r="I43" s="7" t="n"/>
      <c r="J43" s="8" t="n"/>
      <c r="K43" s="7" t="n"/>
    </row>
    <row r="44" ht="20" customHeight="1">
      <c r="A44" s="17" t="n"/>
      <c r="B44" s="7" t="n"/>
      <c r="C44" s="8" t="n"/>
      <c r="D44" s="18" t="n"/>
      <c r="E44" s="18" t="n"/>
      <c r="F44" s="10" t="n"/>
      <c r="G44" s="11">
        <f>IF(NOT(AND(ISNUMBER($D44),ISNUMBER($E44))),"",ROUND(($E44-$D44)*24,1))</f>
        <v/>
      </c>
      <c r="H44" s="12">
        <f>IF(OR($F44="",$G44=""),"",IF(OR(AND($F44&lt;=-4,$G44&gt;=IF($B$3="",168,$B$3)),AND($F44&lt;=-31,$G44&gt;=15)),"OK","ALERT"))</f>
        <v/>
      </c>
      <c r="I44" s="7" t="n"/>
      <c r="J44" s="8" t="n"/>
      <c r="K44" s="7" t="n"/>
    </row>
    <row r="46" ht="12.2" customHeight="1">
      <c r="A46" s="13" t="inlineStr">
        <is>
          <t>Legal basis: FDA Food Code 2022 §3-402.11(A); records §3-402.12 (keep 90 days). The treatment must reach -4 °F or below for at least the hours set in cell B3 (168 by default) in ALL parts of the item, or -31 °F or below for at least 15 hours, or -31 °F (-35 °C) until solid and then -4 °F (-20 °C) for 24 hours. The Status does not check this third route: note it in "Notes". UK/EU: 24 hours at -4 °F (-20 °C): type 24 in B3.</t>
        </is>
      </c>
    </row>
    <row r="47" ht="12.2" customHeight="1">
      <c r="A47" s="13" t="inlineStr">
        <is>
          <t>A household freezer does not reliably reach -4 °F under load: measure the temperature of the unit every time and enter it, because it is the column the inspector cross-checks against this log and against template 01 (Food Temperature Log).</t>
        </is>
      </c>
    </row>
    <row r="48" ht="24.5" customHeight="1">
      <c r="A48" s="13" t="inlineStr">
        <is>
          <t>Applies to marinated anchovies, ceviche, tartare, sashimi, sushi, marinated fish, lightly cooked pickled fish, light cures and herring. NOT required for fish cooked to the §3-401.11 temperature (145 °F in the center). Exempt under §3-402.11(B): molluscan shellfish, certain tuna species, scallop adductor muscle only, rinsed fish roe, and fish raised in net-pens or land-based operations on formulated feed, with a written supplier statement kept on file (§3-402.12(C)).</t>
        </is>
      </c>
    </row>
    <row r="49" ht="12.2" customHeight="1">
      <c r="A49" s="13" t="inlineStr">
        <is>
          <t>Tell the customer: Food Code §3-603.11 requires a consumer advisory, on the menu or on a sign, for fish served raw or undercooked.</t>
        </is>
      </c>
    </row>
    <row r="50" ht="12.2" customHeight="1">
      <c r="A50" s="13" t="inlineStr">
        <is>
          <t>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51" ht="12.2" customHeight="1">
      <c r="A51" s="13" t="inlineStr">
        <is>
          <t>— HACCP Food Safety Kit Pro · AI Chef Pro · aichef.pro</t>
        </is>
      </c>
    </row>
  </sheetData>
  <mergeCells count="7">
    <mergeCell ref="A50:K50"/>
    <mergeCell ref="A48:K48"/>
    <mergeCell ref="A49:K49"/>
    <mergeCell ref="A51:K51"/>
    <mergeCell ref="A47:K47"/>
    <mergeCell ref="A46:K46"/>
    <mergeCell ref="A1:K1"/>
  </mergeCells>
  <conditionalFormatting sqref="H5:H44">
    <cfRule type="expression" priority="1" dxfId="0" stopIfTrue="1">
      <formula>OR(H5="ALERT",H5="REJECT",H5="CHANGE",H5="INVESTIGATE",H5="✗",H5="EXPIRED",H5="EXCESS")</formula>
    </cfRule>
    <cfRule type="expression" priority="2" dxfId="1" stopIfTrue="1">
      <formula>OR(H5="WATCH",H5="⚠",H5="INCOMPLETE",H5="EXPIRES SOON",H5="RENEW",H5="CHLORINE MISSING",H5="TEST MISSING")</formula>
    </cfRule>
    <cfRule type="expression" priority="3" dxfId="2" stopIfTrue="1">
      <formula>OR(H5="OK",H5="✓",H5="Compliant",H5="CURRENT",H5="Complete",H5="PASS")</formula>
    </cfRule>
  </conditionalFormatting>
  <dataValidations count="3">
    <dataValidation sqref="A5:A44" showDropDown="0" showInputMessage="0" showErrorMessage="1" allowBlank="1" errorTitle="Date" error="Enter a date (for example 09/05/2026)." type="date" errorStyle="stop" operator="between">
      <formula1>DATE(2000,1,1)</formula1>
      <formula2>DATE(2100,12,31)</formula2>
    </dataValidation>
    <dataValidation sqref="F5:F44" showDropDown="0" showInputMessage="0" showErrorMessage="1" allowBlank="1" errorTitle="Freezer temperature" error="Enter the freezer temperature in °F, between -76 and 32." type="decimal" errorStyle="stop" operator="between">
      <formula1>-76</formula1>
      <formula2>32</formula2>
    </dataValidation>
    <dataValidation sqref="D5:D44 E5:E44" showDropDown="0" showInputMessage="0" showErrorMessage="1" allowBlank="1" errorTitle="Date and time" error="Enter the date WITH the time (for example 09/05/2026 10:00 AM). If the cell stays as text, the &quot;Hours&quot; cannot be calculated and the Status stays blank." type="date" errorStyle="stop" operator="between">
      <formula1>DATE(2000,1,1)</formula1>
      <formula2>DATE(2100,12,31)</formula2>
    </dataValidation>
  </dataValidation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Parasite Destruction Log (Fish Served Raw)</dc:title>
  <dc:description xmlns:dc="http://purl.org/dc/elements/1.1/">aichef.pro/en/digital-products/haccp-templates</dc:description>
  <dc:subject xmlns:dc="http://purl.org/dc/elements/1.1/">HACCP Food Safety Kit Pro · v2.0</dc:subject>
  <dcterms:created xmlns:dcterms="http://purl.org/dc/terms/" xmlns:xsi="http://www.w3.org/2001/XMLSchema-instance" xsi:type="dcterms:W3CDTF">2026-08-22T19:31:21Z</dcterms:created>
  <dcterms:modified xmlns:dcterms="http://purl.org/dc/terms/" xmlns:xsi="http://www.w3.org/2001/XMLSchema-instance" xsi:type="dcterms:W3CDTF">2026-10-03T13:22:43Z</dcterms:modified>
  <cp:lastModifiedBy>AI Chef Pro</cp:lastModifiedBy>
  <cp:category>AI Chef Pro · Digital products</cp:category>
  <cp:keywords>haccp plan template, food safety logs, AI Chef Pro</cp:keywords>
</cp:coreProperties>
</file>