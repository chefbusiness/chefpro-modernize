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Hazard Analysis" sheetId="2" state="visible" r:id="rId2"/>
  </sheets>
  <definedNames>
    <definedName name="_xlnm.Print_Area" localSheetId="0">'Instructions'!$A$1:$B$39</definedName>
    <definedName name="_xlnm.Print_Titles" localSheetId="1">'Hazard Analysis'!$4:$4</definedName>
    <definedName name="_xlnm.Print_Area" localSheetId="1">'Hazard Analysis'!$A$1:$M$46</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
      <name val="Calibri"/>
      <b val="1"/>
      <sz val="11"/>
    </font>
    <font>
      <name val="Calibri"/>
      <b val="1"/>
      <color rgb="00FF4444"/>
      <sz val="11"/>
    </font>
    <font>
      <name val="Calibri"/>
      <color rgb="00999999"/>
      <sz val="9"/>
    </font>
    <font>
      <b val="1"/>
      <sz val="16"/>
    </font>
    <font>
      <sz val="10"/>
    </font>
    <font>
      <b val="1"/>
      <color rgb="00FFFFFF"/>
      <sz val="11"/>
    </font>
    <font>
      <b val="1"/>
      <sz val="11"/>
    </font>
    <font>
      <b val="1"/>
      <sz val="12"/>
    </font>
    <font>
      <sz val="9"/>
    </font>
    <font>
      <b val="1"/>
      <sz val="18"/>
    </font>
    <font>
      <sz val="11"/>
    </font>
  </fonts>
  <fills count="6">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2D2D2D"/>
      </patternFill>
    </fill>
    <fill>
      <patternFill patternType="solid">
        <fgColor rgb="00E8F5E9"/>
      </patternFill>
    </fill>
  </fills>
  <borders count="3">
    <border>
      <left/>
      <right/>
      <top/>
      <bottom/>
      <diagonal/>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10" fillId="0" borderId="0" pivotButton="0" quotePrefix="0" xfId="0"/>
    <xf numFmtId="0" fontId="17" fillId="0" borderId="0" applyAlignment="1" pivotButton="0" quotePrefix="0" xfId="0">
      <alignment vertical="center" wrapText="1"/>
    </xf>
    <xf numFmtId="0" fontId="15" fillId="0" borderId="0" pivotButton="0" quotePrefix="0" xfId="0"/>
    <xf numFmtId="0" fontId="18" fillId="0" borderId="0" applyAlignment="1" pivotButton="0" quotePrefix="0" xfId="0">
      <alignment vertical="top" wrapText="1"/>
    </xf>
    <xf numFmtId="0" fontId="11" fillId="0" borderId="0" pivotButton="0" quotePrefix="0" xfId="0"/>
    <xf numFmtId="0" fontId="12" fillId="0" borderId="0" pivotButton="0" quotePrefix="0" xfId="0"/>
    <xf numFmtId="0" fontId="13" fillId="4" borderId="2" applyAlignment="1" pivotButton="0" quotePrefix="0" xfId="0">
      <alignment horizontal="center" vertical="center" wrapText="1"/>
    </xf>
    <xf numFmtId="0" fontId="0" fillId="5" borderId="2" applyAlignment="1" applyProtection="1" pivotButton="0" quotePrefix="0" xfId="0">
      <alignment horizontal="left" vertical="center" wrapText="1"/>
      <protection locked="0" hidden="0"/>
    </xf>
    <xf numFmtId="0" fontId="0" fillId="5" borderId="2" applyAlignment="1" applyProtection="1" pivotButton="0" quotePrefix="0" xfId="0">
      <alignment horizontal="center" vertical="center" wrapText="1"/>
      <protection locked="0" hidden="0"/>
    </xf>
    <xf numFmtId="0" fontId="0" fillId="0" borderId="2" applyAlignment="1" pivotButton="0" quotePrefix="0" xfId="0">
      <alignment horizontal="center" vertical="center" wrapText="1"/>
    </xf>
    <xf numFmtId="0" fontId="14" fillId="0" borderId="0" applyAlignment="1" pivotButton="0" quotePrefix="0" xfId="0">
      <alignment horizontal="left" vertical="center"/>
    </xf>
    <xf numFmtId="1" fontId="15" fillId="0" borderId="2" applyAlignment="1" pivotButton="0" quotePrefix="0" xfId="0">
      <alignment horizontal="center" vertical="center" wrapText="1"/>
    </xf>
    <xf numFmtId="0" fontId="16" fillId="0" borderId="0" applyAlignment="1" pivotButton="0" quotePrefix="0" xfId="0">
      <alignment vertical="top" wrapText="1"/>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39"/>
  <sheetViews>
    <sheetView workbookViewId="0">
      <selection activeCell="A1" sqref="A1"/>
    </sheetView>
  </sheetViews>
  <sheetFormatPr baseColWidth="8" defaultRowHeight="15"/>
  <cols>
    <col width="3" customWidth="1" min="1" max="1"/>
    <col width="95" customWidth="1" min="2" max="2"/>
  </cols>
  <sheetData>
    <row r="2" ht="26" customHeight="1">
      <c r="B2" s="13" t="inlineStr">
        <is>
          <t>HACCP Plan Template: Hazard Analysis &amp; CCPs</t>
        </is>
      </c>
    </row>
    <row r="4">
      <c r="B4" s="14" t="inlineStr">
        <is>
          <t>What this document is</t>
        </is>
      </c>
    </row>
    <row r="6">
      <c r="B6" s="15" t="inlineStr">
        <is>
          <t>It is the heart of the HACCP system: it identifies the hazards at each step of the process, decides which ones are critical control points and says, for each one, which limit must not be exceeded, who monitors it, what is done if it is exceeded, where it is recorded and who checks that all of this is being done.</t>
        </is>
      </c>
    </row>
    <row r="7">
      <c r="B7" s="15" t="inlineStr">
        <is>
          <t>▸ It comes with 21 hazards analyzed across 7 steps: Receiving, Storage, Thawing, Preparation, Cooking, Holding &amp; cooling, Service.</t>
        </is>
      </c>
    </row>
    <row r="8">
      <c r="B8" s="15" t="inlineStr">
        <is>
          <t>▸ Adapt it to YOUR operation: all the green cells are editable and the drop-downs work on every row, including the pre-filled ones.</t>
        </is>
      </c>
    </row>
    <row r="9">
      <c r="B9" s="3" t="n"/>
    </row>
    <row r="10">
      <c r="B10" s="14" t="inlineStr">
        <is>
          <t>How the risk level is calculated</t>
        </is>
      </c>
    </row>
    <row r="12">
      <c r="B12" s="15" t="inlineStr">
        <is>
          <t>▸ Likelihood and Severity are drop-downs (High / Medium / Low). The "Risk level" calculates itself: High=3, Medium=2, Low=1, and the product of the two gives Critical (9), High (6), Medium (3-4) or Low (1-2). It is color-coded.</t>
        </is>
      </c>
    </row>
    <row r="13">
      <c r="B13" s="15" t="inlineStr">
        <is>
          <t>▸ The CCP decision follows a rule, not the judgment of the day: High or Critical risk with no later step that eliminates the hazard → CCP; High or Critical risk controlled by a prerequisite program (suppliers, cleaning, training) and with no limit that can be measured in real time → OPRP; Low or Medium risk → NO.</t>
        </is>
      </c>
    </row>
    <row r="14">
      <c r="B14" s="15" t="inlineStr">
        <is>
          <t>▸ That is why allergen labeling at receiving and the allergen menu at service are listed as OPRP and not CCP: "complete label" and "up-to-date menu" are not measurable critical limits. The real allergen control is in the kitchen, managed as an OPRP with 100% compliance on every allergy order.</t>
        </is>
      </c>
    </row>
    <row r="15">
      <c r="B15" s="3" t="n"/>
    </row>
    <row r="16">
      <c r="B16" s="14" t="inlineStr">
        <is>
          <t>The 7 HACCP principles and where each one lives</t>
        </is>
      </c>
    </row>
    <row r="17">
      <c r="B17" s="3" t="n"/>
    </row>
    <row r="18">
      <c r="B18" s="15" t="inlineStr">
        <is>
          <t>▸ 1. Hazard analysis → columns "Hazard identified", "Likelihood", "Severity" and "Risk level".</t>
        </is>
      </c>
    </row>
    <row r="19">
      <c r="B19" s="15" t="inlineStr">
        <is>
          <t>▸ 2. Determining the CCPs → "Is it a CCP?" column.</t>
        </is>
      </c>
    </row>
    <row r="20">
      <c r="B20" s="15" t="inlineStr">
        <is>
          <t>▸ 3. Critical limits → "Critical limit" column.</t>
        </is>
      </c>
    </row>
    <row r="21">
      <c r="B21" s="15" t="inlineStr">
        <is>
          <t>▸ 4. Monitoring → "Monitoring (frequency &amp; person)" column and the logs in this kit.</t>
        </is>
      </c>
    </row>
    <row r="22">
      <c r="B22" s="15" t="inlineStr">
        <is>
          <t>▸ 5. Corrective actions → "Corrective action" column and template 11 (Corrective Action Log).</t>
        </is>
      </c>
    </row>
    <row r="23">
      <c r="B23" s="15" t="inlineStr">
        <is>
          <t>▸ 6. Verification → "Verification (what, who, when)" column.</t>
        </is>
      </c>
    </row>
    <row r="24">
      <c r="B24" s="15" t="inlineStr">
        <is>
          <t>▸ 7. Documentation and recordkeeping → "Record (where it is logged)" column, which points only to files that this kit includes.</t>
        </is>
      </c>
    </row>
    <row r="26">
      <c r="B26" s="14" t="inlineStr">
        <is>
          <t>Regulatory framework</t>
        </is>
      </c>
    </row>
    <row r="28">
      <c r="B28" s="15" t="inlineStr">
        <is>
          <t>▸ FDA Food Code 2022 §8-201.13 — when a written HACCP plan is required (as adopted by your state or local health department). UK: Regulation (EC) 852/2004, art. 5 (retained) and Safer Food Better Business (SFBB).</t>
        </is>
      </c>
    </row>
    <row r="29">
      <c r="B29" s="15" t="inlineStr">
        <is>
          <t>▸ FDA "Managing Food Safety" (HACCP guidance for retail and food service) — the model this table follows: the operator sets and justifies its own temperatures and times in its own HACCP plan.</t>
        </is>
      </c>
    </row>
    <row r="30">
      <c r="B30" s="15" t="inlineStr">
        <is>
          <t>▸ FSMA Section 204 (Food Traceability Rule) — traceability records for foods on the FDA Food Traceability List (compliance date July 20, 2028), and notifying your local or state health department and following FDA/USDA recall notices. UK: "one step back, one step forward" and notifying your local authority and the FSA.</t>
        </is>
      </c>
    </row>
    <row r="31">
      <c r="B31" s="15" t="inlineStr">
        <is>
          <t>▸ FALCPA and the FASTER Act (9 major allergens) and FDA Food Code §3-602.12 (written allergen notice) — allergen information for the consumer. UK: Food Information Regulations 2014 (14 allergens).</t>
        </is>
      </c>
    </row>
    <row r="32">
      <c r="B32" s="15" t="inlineStr">
        <is>
          <t>▸ FDA Food Code 2022 §3-402.11 — parasite destruction for fish served raw or undercooked: -4 °F for 168 hours or -31 °F for 15 hours; consumer advisory §3-603.11. UK/EU: 24 hours at -4 °F (-20 °C).</t>
        </is>
      </c>
    </row>
    <row r="33">
      <c r="B33" s="15" t="inlineStr">
        <is>
          <t>▸ Codex Alimentarius CXC 1-1969 (rev. 2020) — General Principles of Food Hygiene, which set out the HACCP system and its 7 principles.</t>
        </is>
      </c>
    </row>
    <row r="34">
      <c r="B34" s="15" t="inlineStr">
        <is>
          <t>▸ Enforcement: your local or state health department (Food Code violations are classed Priority, Priority foundation or Core). UK: Food Hygiene Rating Scheme 0-5.</t>
        </is>
      </c>
    </row>
    <row r="35">
      <c r="B35" s="15" t="inlineStr">
        <is>
          <t>▸ Keep these records for at least 2 years (house rule of this kit). FDA Food Code minimum: 90 days for shellstock tags and parasite-destruction records (§3-203.12, §3-402.12); follow your health department if it asks for longer.</t>
        </is>
      </c>
    </row>
    <row r="37">
      <c r="B37" s="14" t="inlineStr">
        <is>
          <t>— HACCP Food Safety Kit Pro · AI Chef Pro · aichef.pro</t>
        </is>
      </c>
    </row>
    <row r="39">
      <c r="B39" s="14"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5722"/>
    <outlinePr summaryBelow="1" summaryRight="1"/>
    <pageSetUpPr fitToPage="1"/>
  </sheetPr>
  <dimension ref="A1:M46"/>
  <sheetViews>
    <sheetView workbookViewId="0">
      <pane xSplit="2" ySplit="4" topLeftCell="C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4" customWidth="1" min="1" max="1"/>
    <col width="15" customWidth="1" min="2" max="2"/>
    <col width="40" customWidth="1" min="3" max="3"/>
    <col width="40" customWidth="1" min="4" max="4"/>
    <col width="13" customWidth="1" min="5" max="5"/>
    <col width="12" customWidth="1" min="6" max="6"/>
    <col width="15" customWidth="1" min="7" max="7"/>
    <col width="12" customWidth="1" min="8" max="8"/>
    <col width="44" customWidth="1" min="9" max="9"/>
    <col width="30" customWidth="1" min="10" max="10"/>
    <col width="38" customWidth="1" min="11" max="11"/>
    <col width="38" customWidth="1" min="12" max="12"/>
    <col width="40" customWidth="1" min="13" max="13"/>
  </cols>
  <sheetData>
    <row r="1">
      <c r="A1" s="16" t="inlineStr">
        <is>
          <t>HACCP Plan Template: Hazard Analysis &amp; CCPs</t>
        </is>
      </c>
    </row>
    <row r="2">
      <c r="A2" s="17" t="inlineStr">
        <is>
          <t>Establishment: ________________________    Date: ___/___/______    Revision no.: _____    Person in charge of the system: ________________________</t>
        </is>
      </c>
    </row>
    <row r="4" ht="30" customHeight="1">
      <c r="A4" s="18" t="inlineStr">
        <is>
          <t>Process step</t>
        </is>
      </c>
      <c r="B4" s="18" t="inlineStr">
        <is>
          <t>Hazard type</t>
        </is>
      </c>
      <c r="C4" s="18" t="inlineStr">
        <is>
          <t>Hazard identified</t>
        </is>
      </c>
      <c r="D4" s="18" t="inlineStr">
        <is>
          <t>Preventive measure</t>
        </is>
      </c>
      <c r="E4" s="18" t="inlineStr">
        <is>
          <t>Likelihood</t>
        </is>
      </c>
      <c r="F4" s="18" t="inlineStr">
        <is>
          <t>Severity</t>
        </is>
      </c>
      <c r="G4" s="18" t="inlineStr">
        <is>
          <t>Risk level</t>
        </is>
      </c>
      <c r="H4" s="18" t="inlineStr">
        <is>
          <t>Is it a CCP?</t>
        </is>
      </c>
      <c r="I4" s="18" t="inlineStr">
        <is>
          <t>Critical limit</t>
        </is>
      </c>
      <c r="J4" s="18" t="inlineStr">
        <is>
          <t>Record (where it is logged)</t>
        </is>
      </c>
      <c r="K4" s="18" t="inlineStr">
        <is>
          <t>Monitoring (frequency &amp; person)</t>
        </is>
      </c>
      <c r="L4" s="18" t="inlineStr">
        <is>
          <t>Corrective action</t>
        </is>
      </c>
      <c r="M4" s="18" t="inlineStr">
        <is>
          <t>Verification (what, who, when)</t>
        </is>
      </c>
    </row>
    <row r="5" ht="60" customHeight="1">
      <c r="A5" s="19" t="inlineStr">
        <is>
          <t>RECEIVING</t>
        </is>
      </c>
      <c r="B5" s="19" t="inlineStr">
        <is>
          <t>B (Biological)</t>
        </is>
      </c>
      <c r="C5" s="19" t="inlineStr">
        <is>
          <t>Microbial growth from high temperature in refrigerated or frozen product</t>
        </is>
      </c>
      <c r="D5" s="19" t="inlineStr">
        <is>
          <t>Approved suppliers with insulated transport; probe temperature check on every delivery</t>
        </is>
      </c>
      <c r="E5" s="20" t="inlineStr">
        <is>
          <t>High</t>
        </is>
      </c>
      <c r="F5" s="20" t="inlineStr">
        <is>
          <t>High</t>
        </is>
      </c>
      <c r="G5" s="21" t="str">
        <f>IF(OR($E5="",$F5=""),"",IF(IF($E5="High",3,IF($E5="Medium",2,1))*IF($F5="High",3,IF($F5="Medium",2,1))&gt;=9,"Critical",IF(IF($E5="High",3,IF($E5="Medium",2,1))*IF($F5="High",3,IF($F5="Medium",2,1))&gt;=6,"High",IF(IF($E5="High",3,IF($E5="Medium",2,1))*IF($F5="High",3,IF($F5="Medium",2,1))&gt;=3,"Medium","Low"))))</f>
        <v>Critical</v>
      </c>
      <c r="H5" s="20" t="inlineStr">
        <is>
          <t>CCP</t>
        </is>
      </c>
      <c r="I5" s="19" t="inlineStr">
        <is>
          <t>The limit for each product family (the "Limits" sheet of template 02): 41 °F for fish, raw meat, poultry and other cold TCS food; 45 °F for shellstock, shucked shellfish, milk and shell eggs; frozen food received frozen (0 °F)</t>
        </is>
      </c>
      <c r="J5" s="19" t="inlineStr">
        <is>
          <t>02 Receiving temps</t>
        </is>
      </c>
      <c r="K5" s="19" t="inlineStr">
        <is>
          <t>At every delivery; head chef or designated receiver</t>
        </is>
      </c>
      <c r="L5" s="19" t="inlineStr">
        <is>
          <t>Reject the shipment and open an incident in template 11 (Corrective Action Log)</t>
        </is>
      </c>
      <c r="M5" s="19" t="inlineStr">
        <is>
          <t>Monthly review of template 02 (Receiving Temperature Log) by the HACCP person in charge</t>
        </is>
      </c>
    </row>
    <row r="6" ht="52" customHeight="1">
      <c r="A6" s="19" t="inlineStr">
        <is>
          <t>RECEIVING</t>
        </is>
      </c>
      <c r="B6" s="19" t="inlineStr">
        <is>
          <t>C (Chemical)</t>
        </is>
      </c>
      <c r="C6" s="19" t="inlineStr">
        <is>
          <t>Product without allergen labeling or with an illegible label</t>
        </is>
      </c>
      <c r="D6" s="19" t="inlineStr">
        <is>
          <t>Supplier spec sheets and document check of every invoice / packing slip</t>
        </is>
      </c>
      <c r="E6" s="20" t="inlineStr">
        <is>
          <t>Medium</t>
        </is>
      </c>
      <c r="F6" s="20" t="inlineStr">
        <is>
          <t>High</t>
        </is>
      </c>
      <c r="G6" s="21" t="str">
        <f>IF(OR($E6="",$F6=""),"",IF(IF($E6="High",3,IF($E6="Medium",2,1))*IF($F6="High",3,IF($F6="Medium",2,1))&gt;=9,"Critical",IF(IF($E6="High",3,IF($E6="Medium",2,1))*IF($F6="High",3,IF($F6="Medium",2,1))&gt;=6,"High",IF(IF($E6="High",3,IF($E6="Medium",2,1))*IF($F6="High",3,IF($F6="Medium",2,1))&gt;=3,"Medium","Low"))))</f>
        <v>High</v>
      </c>
      <c r="H6" s="20" t="inlineStr">
        <is>
          <t>OPRP</t>
        </is>
      </c>
      <c r="I6" s="19" t="inlineStr">
        <is>
          <t>100% of the items received with a legible label that declares the major allergens (US 9; UK 14)</t>
        </is>
      </c>
      <c r="J6" s="19" t="inlineStr">
        <is>
          <t>05 Receiving checklist</t>
        </is>
      </c>
      <c r="K6" s="19" t="inlineStr">
        <is>
          <t>At every delivery; receiver</t>
        </is>
      </c>
      <c r="L6" s="19" t="inlineStr">
        <is>
          <t>Reject the item and request the spec sheet from the supplier</t>
        </is>
      </c>
      <c r="M6" s="19" t="inlineStr">
        <is>
          <t>Quarterly review of the spec sheets; HACCP person in charge</t>
        </is>
      </c>
    </row>
    <row r="7" ht="52" customHeight="1">
      <c r="A7" s="19" t="inlineStr">
        <is>
          <t>RECEIVING</t>
        </is>
      </c>
      <c r="B7" s="19" t="inlineStr">
        <is>
          <t>P (Physical)</t>
        </is>
      </c>
      <c r="C7" s="19" t="inlineStr">
        <is>
          <t>Damaged packaging or presence of foreign objects</t>
        </is>
      </c>
      <c r="D7" s="19" t="inlineStr">
        <is>
          <t>Visual inspection of the packaging before unloading</t>
        </is>
      </c>
      <c r="E7" s="20" t="inlineStr">
        <is>
          <t>Low</t>
        </is>
      </c>
      <c r="F7" s="20" t="inlineStr">
        <is>
          <t>Medium</t>
        </is>
      </c>
      <c r="G7" s="21" t="str">
        <f>IF(OR($E7="",$F7=""),"",IF(IF($E7="High",3,IF($E7="Medium",2,1))*IF($F7="High",3,IF($F7="Medium",2,1))&gt;=9,"Critical",IF(IF($E7="High",3,IF($E7="Medium",2,1))*IF($F7="High",3,IF($F7="Medium",2,1))&gt;=6,"High",IF(IF($E7="High",3,IF($E7="Medium",2,1))*IF($F7="High",3,IF($F7="Medium",2,1))&gt;=3,"Medium","Low"))))</f>
        <v>Low</v>
      </c>
      <c r="H7" s="20" t="inlineStr">
        <is>
          <t>NO</t>
        </is>
      </c>
      <c r="I7" s="19" t="inlineStr">
        <is>
          <t>Package intact, clean and not swollen</t>
        </is>
      </c>
      <c r="J7" s="19" t="inlineStr">
        <is>
          <t>05 Receiving checklist</t>
        </is>
      </c>
      <c r="K7" s="19" t="inlineStr">
        <is>
          <t>At every delivery; receiver</t>
        </is>
      </c>
      <c r="L7" s="19" t="inlineStr">
        <is>
          <t>Reject the affected unit</t>
        </is>
      </c>
      <c r="M7" s="19" t="inlineStr">
        <is>
          <t>Monthly review of template 05 (Receiving Checklist for Deliveries)</t>
        </is>
      </c>
    </row>
    <row r="8" ht="52" customHeight="1">
      <c r="A8" s="19" t="inlineStr">
        <is>
          <t>STORAGE</t>
        </is>
      </c>
      <c r="B8" s="19" t="inlineStr">
        <is>
          <t>B (Biological)</t>
        </is>
      </c>
      <c r="C8" s="19" t="inlineStr">
        <is>
          <t>Cold chain failure in walk-in coolers, freezers and display cases</t>
        </is>
      </c>
      <c r="D8" s="19" t="inlineStr">
        <is>
          <t>Preventive equipment maintenance and verified probes</t>
        </is>
      </c>
      <c r="E8" s="20" t="inlineStr">
        <is>
          <t>Medium</t>
        </is>
      </c>
      <c r="F8" s="20" t="inlineStr">
        <is>
          <t>High</t>
        </is>
      </c>
      <c r="G8" s="21" t="str">
        <f>IF(OR($E8="",$F8=""),"",IF(IF($E8="High",3,IF($E8="Medium",2,1))*IF($F8="High",3,IF($F8="Medium",2,1))&gt;=9,"Critical",IF(IF($E8="High",3,IF($E8="Medium",2,1))*IF($F8="High",3,IF($F8="Medium",2,1))&gt;=6,"High",IF(IF($E8="High",3,IF($E8="Medium",2,1))*IF($F8="High",3,IF($F8="Medium",2,1))&gt;=3,"Medium","Low"))))</f>
        <v>High</v>
      </c>
      <c r="H8" s="20" t="inlineStr">
        <is>
          <t>CCP</t>
        </is>
      </c>
      <c r="I8" s="19" t="inlineStr">
        <is>
          <t>Cold holding 32-41 °F · freezer ≤ 0 °F · hot holding ≥ 135 °F (UK: 63 °C)</t>
        </is>
      </c>
      <c r="J8" s="19" t="inlineStr">
        <is>
          <t>01 Food temperatures</t>
        </is>
      </c>
      <c r="K8" s="19" t="inlineStr">
        <is>
          <t>Two readings a day per unit (AM and PM); cook on shift</t>
        </is>
      </c>
      <c r="L8" s="19" t="inlineStr">
        <is>
          <t>Move the product, check its core temperature and discard it if needed; open an incident in template 11 (Corrective Action Log)</t>
        </is>
      </c>
      <c r="M8" s="19" t="inlineStr">
        <is>
          <t>Monthly probe verification (template 19, Thermometer Calibration Log) and review of template 01</t>
        </is>
      </c>
    </row>
    <row r="9" ht="52" customHeight="1">
      <c r="A9" s="19" t="inlineStr">
        <is>
          <t>STORAGE</t>
        </is>
      </c>
      <c r="B9" s="19" t="inlineStr">
        <is>
          <t>B (Biological)</t>
        </is>
      </c>
      <c r="C9" s="19" t="inlineStr">
        <is>
          <t>Cross-contamination between raw and cooked food in the walk-in</t>
        </is>
      </c>
      <c r="D9" s="19" t="inlineStr">
        <is>
          <t>Physical separation, raw food on the lowest shelf, product covered and labeled</t>
        </is>
      </c>
      <c r="E9" s="20" t="inlineStr">
        <is>
          <t>Medium</t>
        </is>
      </c>
      <c r="F9" s="20" t="inlineStr">
        <is>
          <t>High</t>
        </is>
      </c>
      <c r="G9" s="21" t="str">
        <f>IF(OR($E9="",$F9=""),"",IF(IF($E9="High",3,IF($E9="Medium",2,1))*IF($F9="High",3,IF($F9="Medium",2,1))&gt;=9,"Critical",IF(IF($E9="High",3,IF($E9="Medium",2,1))*IF($F9="High",3,IF($F9="Medium",2,1))&gt;=6,"High",IF(IF($E9="High",3,IF($E9="Medium",2,1))*IF($F9="High",3,IF($F9="Medium",2,1))&gt;=3,"Medium","Low"))))</f>
        <v>High</v>
      </c>
      <c r="H9" s="20" t="inlineStr">
        <is>
          <t>OPRP</t>
        </is>
      </c>
      <c r="I9" s="19" t="inlineStr">
        <is>
          <t>100% of the product covered and labeled, with raw food below ready-to-eat product</t>
        </is>
      </c>
      <c r="J9" s="19" t="inlineStr">
        <is>
          <t>04 Daily cleaning (weekly block)</t>
        </is>
      </c>
      <c r="K9" s="19" t="inlineStr">
        <is>
          <t>Weekly walk-in check; head chef</t>
        </is>
      </c>
      <c r="L9" s="19" t="inlineStr">
        <is>
          <t>Reorganize the walk-in and discard anything that may have been contaminated</t>
        </is>
      </c>
      <c r="M9" s="19" t="inlineStr">
        <is>
          <t>Quarterly internal audit; HACCP person in charge</t>
        </is>
      </c>
    </row>
    <row r="10" ht="52" customHeight="1">
      <c r="A10" s="19" t="inlineStr">
        <is>
          <t>STORAGE</t>
        </is>
      </c>
      <c r="B10" s="19" t="inlineStr">
        <is>
          <t>C (Chemical)</t>
        </is>
      </c>
      <c r="C10" s="19" t="inlineStr">
        <is>
          <t>Expired or unidentified product in stock</t>
        </is>
      </c>
      <c r="D10" s="19" t="inlineStr">
        <is>
          <t>FIFO and labeling with preparation date and use-by date</t>
        </is>
      </c>
      <c r="E10" s="20" t="inlineStr">
        <is>
          <t>Medium</t>
        </is>
      </c>
      <c r="F10" s="20" t="inlineStr">
        <is>
          <t>Medium</t>
        </is>
      </c>
      <c r="G10" s="21" t="str">
        <f>IF(OR($E10="",$F10=""),"",IF(IF($E10="High",3,IF($E10="Medium",2,1))*IF($F10="High",3,IF($F10="Medium",2,1))&gt;=9,"Critical",IF(IF($E10="High",3,IF($E10="Medium",2,1))*IF($F10="High",3,IF($F10="Medium",2,1))&gt;=6,"High",IF(IF($E10="High",3,IF($E10="Medium",2,1))*IF($F10="High",3,IF($F10="Medium",2,1))&gt;=3,"Medium","Low"))))</f>
        <v>Medium</v>
      </c>
      <c r="H10" s="20" t="inlineStr">
        <is>
          <t>NO</t>
        </is>
      </c>
      <c r="I10" s="19" t="inlineStr">
        <is>
          <t>Zero expired or unlabeled products in the walk-in and storeroom</t>
        </is>
      </c>
      <c r="J10" s="19" t="inlineStr">
        <is>
          <t>06 Traceability</t>
        </is>
      </c>
      <c r="K10" s="19" t="inlineStr">
        <is>
          <t>Weekly check; stock clerk</t>
        </is>
      </c>
      <c r="L10" s="19" t="inlineStr">
        <is>
          <t>Remove the product and log the removal</t>
        </is>
      </c>
      <c r="M10" s="19" t="inlineStr">
        <is>
          <t>Monthly review of template 06 (Food Traceability Log)</t>
        </is>
      </c>
    </row>
    <row r="11" ht="52" customHeight="1">
      <c r="A11" s="19" t="inlineStr">
        <is>
          <t>STORAGE</t>
        </is>
      </c>
      <c r="B11" s="19" t="inlineStr">
        <is>
          <t>B (Biological)</t>
        </is>
      </c>
      <c r="C11" s="19" t="inlineStr">
        <is>
          <t>Contamination by pests and vectors (rodents, insects, birds) in the storeroom, kitchen and waste area</t>
        </is>
      </c>
      <c r="D11" s="19" t="inlineStr">
        <is>
          <t>Pest control program with a licensed pest control operator, physical barriers (screens, door sweeps), closed waste containers and bait station checks</t>
        </is>
      </c>
      <c r="E11" s="20" t="inlineStr">
        <is>
          <t>Medium</t>
        </is>
      </c>
      <c r="F11" s="20" t="inlineStr">
        <is>
          <t>High</t>
        </is>
      </c>
      <c r="G11" s="21" t="str">
        <f>IF(OR($E11="",$F11=""),"",IF(IF($E11="High",3,IF($E11="Medium",2,1))*IF($F11="High",3,IF($F11="Medium",2,1))&gt;=9,"Critical",IF(IF($E11="High",3,IF($E11="Medium",2,1))*IF($F11="High",3,IF($F11="Medium",2,1))&gt;=6,"High",IF(IF($E11="High",3,IF($E11="Medium",2,1))*IF($F11="High",3,IF($F11="Medium",2,1))&gt;=3,"Medium","Low"))))</f>
        <v>High</v>
      </c>
      <c r="H11" s="20" t="inlineStr">
        <is>
          <t>OPRP</t>
        </is>
      </c>
      <c r="I11" s="19" t="inlineStr">
        <is>
          <t>Zero signs at the check (droppings, gnaw marks, live insects) and bait stations intact with no activity</t>
        </is>
      </c>
      <c r="J11" s="19" t="inlineStr">
        <is>
          <t>07 Pest control</t>
        </is>
      </c>
      <c r="K11" s="19" t="inlineStr">
        <is>
          <t>Monthly visual check and visits by the pest control company under contract; HACCP person in charge</t>
        </is>
      </c>
      <c r="L11" s="19" t="inlineStr">
        <is>
          <t>Notify the pest control company, discard the affected product and seal the entry point; open an incident in template 11 (Corrective Action Log)</t>
        </is>
      </c>
      <c r="M11" s="19" t="inlineStr">
        <is>
          <t>Annual review of the pest control company's report and of template 07 (Pest Control Log &amp; Bait Station Map)</t>
        </is>
      </c>
    </row>
    <row r="12" ht="74" customHeight="1">
      <c r="A12" s="19" t="inlineStr">
        <is>
          <t>THAWING</t>
        </is>
      </c>
      <c r="B12" s="19" t="inlineStr">
        <is>
          <t>B (Biological)</t>
        </is>
      </c>
      <c r="C12" s="19" t="inlineStr">
        <is>
          <t>Microbial growth from thawing at room temperature, in standing water or under warm running water. Cold running water at 70 °F (21 °C) or below is allowed (§3-501.13(B))</t>
        </is>
      </c>
      <c r="D12" s="19" t="inlineStr">
        <is>
          <t>Production planning and scheduled thawing in the walk-in</t>
        </is>
      </c>
      <c r="E12" s="20" t="inlineStr">
        <is>
          <t>High</t>
        </is>
      </c>
      <c r="F12" s="20" t="inlineStr">
        <is>
          <t>High</t>
        </is>
      </c>
      <c r="G12" s="21" t="str">
        <f>IF(OR($E12="",$F12=""),"",IF(IF($E12="High",3,IF($E12="Medium",2,1))*IF($F12="High",3,IF($F12="Medium",2,1))&gt;=9,"Critical",IF(IF($E12="High",3,IF($E12="Medium",2,1))*IF($F12="High",3,IF($F12="Medium",2,1))&gt;=6,"High",IF(IF($E12="High",3,IF($E12="Medium",2,1))*IF($F12="High",3,IF($F12="Medium",2,1))&gt;=3,"Medium","Low"))))</f>
        <v>Critical</v>
      </c>
      <c r="H12" s="20" t="inlineStr">
        <is>
          <t>CCP</t>
        </is>
      </c>
      <c r="I12" s="19" t="inlineStr">
        <is>
          <t>In the cooler at ≤ 41 °F, covered and on a rack tray; use within 24 h of the START of thawing (house limit; this is what template 17 measures)</t>
        </is>
      </c>
      <c r="J12" s="19" t="inlineStr">
        <is>
          <t>17 Cooling &amp; thawing</t>
        </is>
      </c>
      <c r="K12" s="19" t="inlineStr">
        <is>
          <t>At every thaw; cook on shift</t>
        </is>
      </c>
      <c r="L12" s="19" t="inlineStr">
        <is>
          <t>Discard product thawed any other way than in the cooler or under cold running water at 70 °F (21 °C) or below (§3-501.13(B)); open an incident in template 11 (Corrective Action Log)</t>
        </is>
      </c>
      <c r="M12" s="19" t="inlineStr">
        <is>
          <t>Weekly review of template 17 (Cooling &amp; Thawing Log); head chef</t>
        </is>
      </c>
    </row>
    <row r="13" ht="74" customHeight="1">
      <c r="A13" s="19" t="inlineStr">
        <is>
          <t>PREPARATION</t>
        </is>
      </c>
      <c r="B13" s="19" t="inlineStr">
        <is>
          <t>B (Biological)</t>
        </is>
      </c>
      <c r="C13" s="19" t="inlineStr">
        <is>
          <t>Parasites in fish served raw, marinated, pickled or lightly cured (pickled anchovies, ceviche, sushi, tataki)</t>
        </is>
      </c>
      <c r="D13" s="19" t="inlineStr">
        <is>
          <t>Buy eviscerated fish and do the parasite-destruction freezing BEFORE preparation</t>
        </is>
      </c>
      <c r="E13" s="20" t="inlineStr">
        <is>
          <t>High</t>
        </is>
      </c>
      <c r="F13" s="20" t="inlineStr">
        <is>
          <t>High</t>
        </is>
      </c>
      <c r="G13" s="21" t="str">
        <f>IF(OR($E13="",$F13=""),"",IF(IF($E13="High",3,IF($E13="Medium",2,1))*IF($F13="High",3,IF($F13="Medium",2,1))&gt;=9,"Critical",IF(IF($E13="High",3,IF($E13="Medium",2,1))*IF($F13="High",3,IF($F13="Medium",2,1))&gt;=6,"High",IF(IF($E13="High",3,IF($E13="Medium",2,1))*IF($F13="High",3,IF($F13="Medium",2,1))&gt;=3,"Medium","Low"))))</f>
        <v>Critical</v>
      </c>
      <c r="H13" s="20" t="inlineStr">
        <is>
          <t>CCP</t>
        </is>
      </c>
      <c r="I13" s="19" t="inlineStr">
        <is>
          <t>-4 °F or below for at least 168 hours (7 days) in all parts of the fish, or -31 °F or below for at least 15 hours (FDA Food Code 2022 §3-402.11). UK/EU: 24 hours at -4 °F (-20 °C)</t>
        </is>
      </c>
      <c r="J13" s="19" t="inlineStr">
        <is>
          <t>18 Parasite destruction</t>
        </is>
      </c>
      <c r="K13" s="19" t="inlineStr">
        <is>
          <t>Every batch intended for raw or semi-raw service; head chef</t>
        </is>
      </c>
      <c r="L13" s="19" t="inlineStr">
        <is>
          <t>Do not serve the fish: repeat the full freezing or discard it</t>
        </is>
      </c>
      <c r="M13" s="19" t="inlineStr">
        <is>
          <t>Monthly review of template 18 (Parasite Destruction Log) and of the freezer temperature (template 01)</t>
        </is>
      </c>
    </row>
    <row r="14" ht="52" customHeight="1">
      <c r="A14" s="19" t="inlineStr">
        <is>
          <t>PREPARATION</t>
        </is>
      </c>
      <c r="B14" s="19" t="inlineStr">
        <is>
          <t>B (Biological)</t>
        </is>
      </c>
      <c r="C14" s="19" t="inlineStr">
        <is>
          <t>Salmonella from shell eggs in preparations without heat treatment (mayonnaise, sauces, desserts)</t>
        </is>
      </c>
      <c r="D14" s="19" t="inlineStr">
        <is>
          <t>Use pasteurized egg product in every preparation that is not cooked to its limit in template 16 (Cooking &amp; Reheating Temperature Log)</t>
        </is>
      </c>
      <c r="E14" s="20" t="inlineStr">
        <is>
          <t>High</t>
        </is>
      </c>
      <c r="F14" s="20" t="inlineStr">
        <is>
          <t>High</t>
        </is>
      </c>
      <c r="G14" s="21" t="str">
        <f>IF(OR($E14="",$F14=""),"",IF(IF($E14="High",3,IF($E14="Medium",2,1))*IF($F14="High",3,IF($F14="Medium",2,1))&gt;=9,"Critical",IF(IF($E14="High",3,IF($E14="Medium",2,1))*IF($F14="High",3,IF($F14="Medium",2,1))&gt;=6,"High",IF(IF($E14="High",3,IF($E14="Medium",2,1))*IF($F14="High",3,IF($F14="Medium",2,1))&gt;=3,"Medium","Low"))))</f>
        <v>Critical</v>
      </c>
      <c r="H14" s="20" t="inlineStr">
        <is>
          <t>CCP</t>
        </is>
      </c>
      <c r="I14" s="19" t="inlineStr">
        <is>
          <t>Pasteurized egg product in every preparation that does not reach its cooking limit at the core (155 °F for eggs that will be hot-held, 145 °F for eggs cooked to order); if it does, this is evidenced in template 16</t>
        </is>
      </c>
      <c r="J14" s="19" t="inlineStr">
        <is>
          <t>05 Receiving checklist (egg product purchase: invoice and labeling)</t>
        </is>
      </c>
      <c r="K14" s="19" t="inlineStr">
        <is>
          <t>At every delivery of egg product and every cold preparation; receiver and cook on shift</t>
        </is>
      </c>
      <c r="L14" s="19" t="inlineStr">
        <is>
          <t>Discard the preparation and remake it with pasteurized egg product</t>
        </is>
      </c>
      <c r="M14" s="19" t="inlineStr">
        <is>
          <t>Monthly review of egg product purchases (template 05) and of template 16</t>
        </is>
      </c>
    </row>
    <row r="15" ht="52" customHeight="1">
      <c r="A15" s="19" t="inlineStr">
        <is>
          <t>PREPARATION</t>
        </is>
      </c>
      <c r="B15" s="19" t="inlineStr">
        <is>
          <t>B (Biological)</t>
        </is>
      </c>
      <c r="C15" s="19" t="inlineStr">
        <is>
          <t>Non-potable water used for washing vegetables, cooking, ice or cleaning surfaces</t>
        </is>
      </c>
      <c r="D15" s="19" t="inlineStr">
        <is>
          <t>Public water supply; with a private well or tank, chlorination and checks of the free residual chlorine and the appearance</t>
        </is>
      </c>
      <c r="E15" s="20" t="inlineStr">
        <is>
          <t>Medium</t>
        </is>
      </c>
      <c r="F15" s="20" t="inlineStr">
        <is>
          <t>High</t>
        </is>
      </c>
      <c r="G15" s="21" t="str">
        <f>IF(OR($E15="",$F15=""),"",IF(IF($E15="High",3,IF($E15="Medium",2,1))*IF($F15="High",3,IF($F15="Medium",2,1))&gt;=9,"Critical",IF(IF($E15="High",3,IF($E15="Medium",2,1))*IF($F15="High",3,IF($F15="Medium",2,1))&gt;=6,"High",IF(IF($E15="High",3,IF($E15="Medium",2,1))*IF($F15="High",3,IF($F15="Medium",2,1))&gt;=3,"Medium","Low"))))</f>
        <v>High</v>
      </c>
      <c r="H15" s="20" t="inlineStr">
        <is>
          <t>OPRP</t>
        </is>
      </c>
      <c r="I15" s="19" t="inlineStr">
        <is>
          <t>Residual chlorine between 0.2 mg/L (entry-point minimum) and 4.0 mg/L, measured as total chlorine if your utility uses chloramine, and water without cloudiness or abnormal color or smell (40 CFR 141.72 and 141.65; in the distribution system a detectable residual is required)</t>
        </is>
      </c>
      <c r="J15" s="19" t="inlineStr">
        <is>
          <t>10 Water quality log</t>
        </is>
      </c>
      <c r="K15" s="19" t="inlineStr">
        <is>
          <t>Daily with a tank or private well, weekly with public water; HACCP person in charge</t>
        </is>
      </c>
      <c r="L15" s="19" t="inlineStr">
        <is>
          <t>Close the point of use, use bottled water and request an outside lab test; open an incident in template 11 (Corrective Action Log)</t>
        </is>
      </c>
      <c r="M15" s="19" t="inlineStr">
        <is>
          <t>Outside lab testing on the schedule your health department sets (private wells: at least yearly, Food Code §5-102.13) and monthly review of template 10 (Water Quality Log)</t>
        </is>
      </c>
    </row>
    <row r="16" ht="52" customHeight="1">
      <c r="A16" s="19" t="inlineStr">
        <is>
          <t>PREPARATION</t>
        </is>
      </c>
      <c r="B16" s="19" t="inlineStr">
        <is>
          <t>B (Biological)</t>
        </is>
      </c>
      <c r="C16" s="19" t="inlineStr">
        <is>
          <t>Cross-contamination from utensils, cutting boards and surfaces</t>
        </is>
      </c>
      <c r="D16" s="19" t="inlineStr">
        <is>
          <t>Color-coded boards and knives, cleaning and sanitizing between uses and staff training</t>
        </is>
      </c>
      <c r="E16" s="20" t="inlineStr">
        <is>
          <t>Medium</t>
        </is>
      </c>
      <c r="F16" s="20" t="inlineStr">
        <is>
          <t>High</t>
        </is>
      </c>
      <c r="G16" s="21" t="str">
        <f>IF(OR($E16="",$F16=""),"",IF(IF($E16="High",3,IF($E16="Medium",2,1))*IF($F16="High",3,IF($F16="Medium",2,1))&gt;=9,"Critical",IF(IF($E16="High",3,IF($E16="Medium",2,1))*IF($F16="High",3,IF($F16="Medium",2,1))&gt;=6,"High",IF(IF($E16="High",3,IF($E16="Medium",2,1))*IF($F16="High",3,IF($F16="Medium",2,1))&gt;=3,"Medium","Low"))))</f>
        <v>High</v>
      </c>
      <c r="H16" s="20" t="inlineStr">
        <is>
          <t>OPRP</t>
        </is>
      </c>
      <c r="I16" s="19" t="inlineStr">
        <is>
          <t>Utensil cleaned and sanitized between raw and cooked; 100% of the tasks in the cleaning schedule (template 03) checked off</t>
        </is>
      </c>
      <c r="J16" s="19" t="inlineStr">
        <is>
          <t>04 Daily cleaning</t>
        </is>
      </c>
      <c r="K16" s="19" t="inlineStr">
        <is>
          <t>Continuous during service; head chef</t>
        </is>
      </c>
      <c r="L16" s="19" t="inlineStr">
        <is>
          <t>Pull and wash the utensil; remake the dish if there was contact</t>
        </is>
      </c>
      <c r="M16" s="19" t="inlineStr">
        <is>
          <t>Weekly review of template 04 (Daily Cleaning Checklist) and quarterly surface test</t>
        </is>
      </c>
    </row>
    <row r="17" ht="60" customHeight="1">
      <c r="A17" s="19" t="inlineStr">
        <is>
          <t>PREPARATION</t>
        </is>
      </c>
      <c r="B17" s="19" t="inlineStr">
        <is>
          <t>C (Chemical)</t>
        </is>
      </c>
      <c r="C17" s="19" t="inlineStr">
        <is>
          <t>Allergen transferred by a shared utensil, fryer or cooking water</t>
        </is>
      </c>
      <c r="D17" s="19" t="inlineStr">
        <is>
          <t>Dedicated utensils, board and work area; fryer, oil and water not shared (protocol in template 14, Allergen Chart &amp; Allergic Reaction Protocol)</t>
        </is>
      </c>
      <c r="E17" s="20" t="inlineStr">
        <is>
          <t>Medium</t>
        </is>
      </c>
      <c r="F17" s="20" t="inlineStr">
        <is>
          <t>High</t>
        </is>
      </c>
      <c r="G17" s="21" t="str">
        <f>IF(OR($E17="",$F17=""),"",IF(IF($E17="High",3,IF($E17="Medium",2,1))*IF($F17="High",3,IF($F17="Medium",2,1))&gt;=9,"Critical",IF(IF($E17="High",3,IF($E17="Medium",2,1))*IF($F17="High",3,IF($F17="Medium",2,1))&gt;=6,"High",IF(IF($E17="High",3,IF($E17="Medium",2,1))*IF($F17="High",3,IF($F17="Medium",2,1))&gt;=3,"Medium","Low"))))</f>
        <v>High</v>
      </c>
      <c r="H17" s="20" t="inlineStr">
        <is>
          <t>OPRP</t>
        </is>
      </c>
      <c r="I17" s="19" t="inlineStr">
        <is>
          <t>Allergen matrix reviewed and dedicated utensils, oil and water used on 100% of the orders with a declared allergy; the staff who prepare them, trained</t>
        </is>
      </c>
      <c r="J17" s="19" t="inlineStr">
        <is>
          <t>08 Allergen matrix + 11 Corrective actions (if there is a deviation)</t>
        </is>
      </c>
      <c r="K17" s="19" t="inlineStr">
        <is>
          <t>At every order with a declared allergy; station chef</t>
        </is>
      </c>
      <c r="L17" s="19" t="inlineStr">
        <is>
          <t>Discard the dish and make it again from scratch; open an incident in template 11 (Corrective Action Log)</t>
        </is>
      </c>
      <c r="M17" s="19" t="inlineStr">
        <is>
          <t>Monthly review of the matrix and annual allergen training</t>
        </is>
      </c>
    </row>
    <row r="18" ht="52" customHeight="1">
      <c r="A18" s="19" t="inlineStr">
        <is>
          <t>PREPARATION</t>
        </is>
      </c>
      <c r="B18" s="19" t="inlineStr">
        <is>
          <t>P (Physical)</t>
        </is>
      </c>
      <c r="C18" s="19" t="inlineStr">
        <is>
          <t>Metal fragments from scouring pads, plastic pieces or other foreign objects</t>
        </is>
      </c>
      <c r="D18" s="19" t="inlineStr">
        <is>
          <t>Food-grade scouring pads and checks of the condition of utensils</t>
        </is>
      </c>
      <c r="E18" s="20" t="inlineStr">
        <is>
          <t>Low</t>
        </is>
      </c>
      <c r="F18" s="20" t="inlineStr">
        <is>
          <t>High</t>
        </is>
      </c>
      <c r="G18" s="21" t="str">
        <f>IF(OR($E18="",$F18=""),"",IF(IF($E18="High",3,IF($E18="Medium",2,1))*IF($F18="High",3,IF($F18="Medium",2,1))&gt;=9,"Critical",IF(IF($E18="High",3,IF($E18="Medium",2,1))*IF($F18="High",3,IF($F18="Medium",2,1))&gt;=6,"High",IF(IF($E18="High",3,IF($E18="Medium",2,1))*IF($F18="High",3,IF($F18="Medium",2,1))&gt;=3,"Medium","Low"))))</f>
        <v>Medium</v>
      </c>
      <c r="H18" s="20" t="inlineStr">
        <is>
          <t>NO</t>
        </is>
      </c>
      <c r="I18" s="19" t="inlineStr">
        <is>
          <t>Utensils intact, with no loose strands or parts</t>
        </is>
      </c>
      <c r="J18" s="19" t="inlineStr">
        <is>
          <t>04 Daily cleaning</t>
        </is>
      </c>
      <c r="K18" s="19" t="inlineStr">
        <is>
          <t>Daily, when setting up service; cook on shift</t>
        </is>
      </c>
      <c r="L18" s="19" t="inlineStr">
        <is>
          <t>Replace the utensil and discard the affected product</t>
        </is>
      </c>
      <c r="M18" s="19" t="inlineStr">
        <is>
          <t>Monthly review of the condition of utensils; head chef</t>
        </is>
      </c>
    </row>
    <row r="19" ht="52" customHeight="1">
      <c r="A19" s="19" t="inlineStr">
        <is>
          <t>COOKING</t>
        </is>
      </c>
      <c r="B19" s="19" t="inlineStr">
        <is>
          <t>B (Biological)</t>
        </is>
      </c>
      <c r="C19" s="19" t="inlineStr">
        <is>
          <t>Pathogen survival due to insufficient temperature at the core of the product</t>
        </is>
      </c>
      <c r="D19" s="19" t="inlineStr">
        <is>
          <t>Verified probe and cooking times from the recipe card of each preparation</t>
        </is>
      </c>
      <c r="E19" s="20" t="inlineStr">
        <is>
          <t>Medium</t>
        </is>
      </c>
      <c r="F19" s="20" t="inlineStr">
        <is>
          <t>High</t>
        </is>
      </c>
      <c r="G19" s="21" t="str">
        <f>IF(OR($E19="",$F19=""),"",IF(IF($E19="High",3,IF($E19="Medium",2,1))*IF($F19="High",3,IF($F19="Medium",2,1))&gt;=9,"Critical",IF(IF($E19="High",3,IF($E19="Medium",2,1))*IF($F19="High",3,IF($F19="Medium",2,1))&gt;=6,"High",IF(IF($E19="High",3,IF($E19="Medium",2,1))*IF($F19="High",3,IF($F19="Medium",2,1))&gt;=3,"Medium","Low"))))</f>
        <v>High</v>
      </c>
      <c r="H19" s="20" t="inlineStr">
        <is>
          <t>CCP</t>
        </is>
      </c>
      <c r="I19" s="19" t="inlineStr">
        <is>
          <t>Core temperature by product: 165 °F poultry and stuffed foods · 155 °F ground meat and eggs that will be hot-held · 145 °F steaks, fish and eggs cooked to order · 135 °F vegetables for hot holding; reheating to 165 °F within 2 hours (FDA Food Code 2022 §3-401.11, §3-403.11)</t>
        </is>
      </c>
      <c r="J19" s="19" t="inlineStr">
        <is>
          <t>16 Cooking &amp; reheating</t>
        </is>
      </c>
      <c r="K19" s="19" t="inlineStr">
        <is>
          <t>At every batch; cook on shift</t>
        </is>
      </c>
      <c r="L19" s="19" t="inlineStr">
        <is>
          <t>Keep cooking until the limit is reached; if it is not reached, discard</t>
        </is>
      </c>
      <c r="M19" s="19" t="inlineStr">
        <is>
          <t>Monthly probe verification (template 19, Thermometer Calibration Log) and review of template 16</t>
        </is>
      </c>
    </row>
    <row r="20" ht="52" customHeight="1">
      <c r="A20" s="19" t="inlineStr">
        <is>
          <t>COOKING</t>
        </is>
      </c>
      <c r="B20" s="19" t="inlineStr">
        <is>
          <t>C (Chemical)</t>
        </is>
      </c>
      <c r="C20" s="19" t="inlineStr">
        <is>
          <t>Total polar material from fryer oil breakdown</t>
        </is>
      </c>
      <c r="D20" s="19" t="inlineStr">
        <is>
          <t>Daily filtering, topping off the oil level, control of the fryer temperature and periodic TPM testing</t>
        </is>
      </c>
      <c r="E20" s="20" t="inlineStr">
        <is>
          <t>Medium</t>
        </is>
      </c>
      <c r="F20" s="20" t="inlineStr">
        <is>
          <t>High</t>
        </is>
      </c>
      <c r="G20" s="21" t="str">
        <f>IF(OR($E20="",$F20=""),"",IF(IF($E20="High",3,IF($E20="Medium",2,1))*IF($F20="High",3,IF($F20="Medium",2,1))&gt;=9,"Critical",IF(IF($E20="High",3,IF($E20="Medium",2,1))*IF($F20="High",3,IF($F20="Medium",2,1))&gt;=6,"High",IF(IF($E20="High",3,IF($E20="Medium",2,1))*IF($F20="High",3,IF($F20="Medium",2,1))&gt;=3,"Medium","Low"))))</f>
        <v>High</v>
      </c>
      <c r="H20" s="20" t="inlineStr">
        <is>
          <t>CCP</t>
        </is>
      </c>
      <c r="I20" s="19" t="inlineStr">
        <is>
          <t>Maximum 25% TPM (this kit's change point; there is no federal limit) and a frying temperature no higher than 375 °F</t>
        </is>
      </c>
      <c r="J20" s="19" t="inlineStr">
        <is>
          <t>09 Fryer oil log</t>
        </is>
      </c>
      <c r="K20" s="19" t="inlineStr">
        <is>
          <t>One test per fryer per week in normal use, daily if breaded food or fish is fried every day; head chef</t>
        </is>
      </c>
      <c r="L20" s="19" t="inlineStr">
        <is>
          <t>Change the oil and hand it to a licensed used-oil collector; open an incident in template 11 (Corrective Action Log)</t>
        </is>
      </c>
      <c r="M20" s="19" t="inlineStr">
        <is>
          <t>Monthly review of template 09 (Fryer Oil Log) and of the pickup receipt</t>
        </is>
      </c>
    </row>
    <row r="21" ht="52" customHeight="1">
      <c r="A21" s="19" t="inlineStr">
        <is>
          <t>HOLDING &amp; COOLING</t>
        </is>
      </c>
      <c r="B21" s="19" t="inlineStr">
        <is>
          <t>B (Biological)</t>
        </is>
      </c>
      <c r="C21" s="19" t="inlineStr">
        <is>
          <t>Microbial growth in hot holding below 135 °F</t>
        </is>
      </c>
      <c r="D21" s="19" t="inlineStr">
        <is>
          <t>Steam tables and hot display cases with the thermostat checked; replenish in small batches</t>
        </is>
      </c>
      <c r="E21" s="20" t="inlineStr">
        <is>
          <t>Medium</t>
        </is>
      </c>
      <c r="F21" s="20" t="inlineStr">
        <is>
          <t>High</t>
        </is>
      </c>
      <c r="G21" s="21" t="str">
        <f>IF(OR($E21="",$F21=""),"",IF(IF($E21="High",3,IF($E21="Medium",2,1))*IF($F21="High",3,IF($F21="Medium",2,1))&gt;=9,"Critical",IF(IF($E21="High",3,IF($E21="Medium",2,1))*IF($F21="High",3,IF($F21="Medium",2,1))&gt;=6,"High",IF(IF($E21="High",3,IF($E21="Medium",2,1))*IF($F21="High",3,IF($F21="Medium",2,1))&gt;=3,"Medium","Low"))))</f>
        <v>High</v>
      </c>
      <c r="H21" s="20" t="inlineStr">
        <is>
          <t>CCP</t>
        </is>
      </c>
      <c r="I21" s="19" t="inlineStr">
        <is>
          <t>≥ 135 °F throughout the product on display, with no upper limit</t>
        </is>
      </c>
      <c r="J21" s="19" t="inlineStr">
        <is>
          <t>01 Food temperatures (hot holding)</t>
        </is>
      </c>
      <c r="K21" s="19" t="inlineStr">
        <is>
          <t>When setting up service and every 2 hours; cook on shift</t>
        </is>
      </c>
      <c r="L21" s="19" t="inlineStr">
        <is>
          <t>Reheat to 165 °F, or discard if it has been below 135 °F for more than 2 hours</t>
        </is>
      </c>
      <c r="M21" s="19" t="inlineStr">
        <is>
          <t>Weekly review of template 01 (Food Temperature Log); head chef</t>
        </is>
      </c>
    </row>
    <row r="22" ht="52" customHeight="1">
      <c r="A22" s="19" t="inlineStr">
        <is>
          <t>HOLDING &amp; COOLING</t>
        </is>
      </c>
      <c r="B22" s="19" t="inlineStr">
        <is>
          <t>B (Biological)</t>
        </is>
      </c>
      <c r="C22" s="19" t="inlineStr">
        <is>
          <t>Slow cooling through the temperature danger zone (135 °F to 41 °F)</t>
        </is>
      </c>
      <c r="D22" s="19" t="inlineStr">
        <is>
          <t>Blast chiller or portioning into shallow pans, uncovered until cooled</t>
        </is>
      </c>
      <c r="E22" s="20" t="inlineStr">
        <is>
          <t>Medium</t>
        </is>
      </c>
      <c r="F22" s="20" t="inlineStr">
        <is>
          <t>High</t>
        </is>
      </c>
      <c r="G22" s="21" t="str">
        <f>IF(OR($E22="",$F22=""),"",IF(IF($E22="High",3,IF($E22="Medium",2,1))*IF($F22="High",3,IF($F22="Medium",2,1))&gt;=9,"Critical",IF(IF($E22="High",3,IF($E22="Medium",2,1))*IF($F22="High",3,IF($F22="Medium",2,1))&gt;=6,"High",IF(IF($E22="High",3,IF($E22="Medium",2,1))*IF($F22="High",3,IF($F22="Medium",2,1))&gt;=3,"Medium","Low"))))</f>
        <v>High</v>
      </c>
      <c r="H22" s="20" t="inlineStr">
        <is>
          <t>CCP</t>
        </is>
      </c>
      <c r="I22" s="19" t="inlineStr">
        <is>
          <t>From 135 °F to 70 °F within 2 hours and to 41 °F within 6 hours in total (FDA Food Code 2022 §3-501.14). UK: below 46 °F (8 °C) within 90 minutes (FSA)</t>
        </is>
      </c>
      <c r="J22" s="19" t="inlineStr">
        <is>
          <t>17 Cooling &amp; thawing</t>
        </is>
      </c>
      <c r="K22" s="19" t="inlineStr">
        <is>
          <t>At every preparation that is cooled for storage; cook on shift</t>
        </is>
      </c>
      <c r="L22" s="19" t="inlineStr">
        <is>
          <t>Discard the preparation if it misses the 2-hour or the 6-hour limit</t>
        </is>
      </c>
      <c r="M22" s="19" t="inlineStr">
        <is>
          <t>Weekly review of template 17 (Cooling &amp; Thawing Log); head chef</t>
        </is>
      </c>
    </row>
    <row r="23" ht="52" customHeight="1">
      <c r="A23" s="19" t="inlineStr">
        <is>
          <t>HOLDING &amp; COOLING</t>
        </is>
      </c>
      <c r="B23" s="19" t="inlineStr">
        <is>
          <t>B (Biological)</t>
        </is>
      </c>
      <c r="C23" s="19" t="inlineStr">
        <is>
          <t>Shelf life exceeded in house-made items</t>
        </is>
      </c>
      <c r="D23" s="19" t="inlineStr">
        <is>
          <t>Labeling of every house-made item with preparation date and use-by date</t>
        </is>
      </c>
      <c r="E23" s="20" t="inlineStr">
        <is>
          <t>Medium</t>
        </is>
      </c>
      <c r="F23" s="20" t="inlineStr">
        <is>
          <t>Medium</t>
        </is>
      </c>
      <c r="G23" s="21" t="str">
        <f>IF(OR($E23="",$F23=""),"",IF(IF($E23="High",3,IF($E23="Medium",2,1))*IF($F23="High",3,IF($F23="Medium",2,1))&gt;=9,"Critical",IF(IF($E23="High",3,IF($E23="Medium",2,1))*IF($F23="High",3,IF($F23="Medium",2,1))&gt;=6,"High",IF(IF($E23="High",3,IF($E23="Medium",2,1))*IF($F23="High",3,IF($F23="Medium",2,1))&gt;=3,"Medium","Low"))))</f>
        <v>Medium</v>
      </c>
      <c r="H23" s="20" t="inlineStr">
        <is>
          <t>NO</t>
        </is>
      </c>
      <c r="I23" s="19" t="inlineStr">
        <is>
          <t>Every house-made item labeled and used within the shelf life on its recipe card</t>
        </is>
      </c>
      <c r="J23" s="19" t="inlineStr">
        <is>
          <t>06 Traceability</t>
        </is>
      </c>
      <c r="K23" s="19" t="inlineStr">
        <is>
          <t>Daily, when setting up and at closing; head chef</t>
        </is>
      </c>
      <c r="L23" s="19" t="inlineStr">
        <is>
          <t>Remove the product and log the removal</t>
        </is>
      </c>
      <c r="M23" s="19" t="inlineStr">
        <is>
          <t>Weekly review of template 06 (Food Traceability Log)</t>
        </is>
      </c>
    </row>
    <row r="24" ht="52" customHeight="1">
      <c r="A24" s="19" t="inlineStr">
        <is>
          <t>SERVICE</t>
        </is>
      </c>
      <c r="B24" s="19" t="inlineStr">
        <is>
          <t>B (Biological)</t>
        </is>
      </c>
      <c r="C24" s="19" t="inlineStr">
        <is>
          <t>Prolonged exposure at room temperature on the service line or buffet</t>
        </is>
      </c>
      <c r="D24" s="19" t="inlineStr">
        <is>
          <t>Replenish in small batches and time control of what is on display</t>
        </is>
      </c>
      <c r="E24" s="20" t="inlineStr">
        <is>
          <t>Medium</t>
        </is>
      </c>
      <c r="F24" s="20" t="inlineStr">
        <is>
          <t>Medium</t>
        </is>
      </c>
      <c r="G24" s="21" t="str">
        <f>IF(OR($E24="",$F24=""),"",IF(IF($E24="High",3,IF($E24="Medium",2,1))*IF($F24="High",3,IF($F24="Medium",2,1))&gt;=9,"Critical",IF(IF($E24="High",3,IF($E24="Medium",2,1))*IF($F24="High",3,IF($F24="Medium",2,1))&gt;=6,"High",IF(IF($E24="High",3,IF($E24="Medium",2,1))*IF($F24="High",3,IF($F24="Medium",2,1))&gt;=3,"Medium","Low"))))</f>
        <v>Medium</v>
      </c>
      <c r="H24" s="20" t="inlineStr">
        <is>
          <t>NO</t>
        </is>
      </c>
      <c r="I24" s="19" t="inlineStr">
        <is>
          <t>Maximum 2 hours at room temperature (kit criterion)</t>
        </is>
      </c>
      <c r="J24" s="19" t="inlineStr">
        <is>
          <t>01 Food temperatures (hot holding)</t>
        </is>
      </c>
      <c r="K24" s="19" t="inlineStr">
        <is>
          <t>Time check at every service; front-of-house manager</t>
        </is>
      </c>
      <c r="L24" s="19" t="inlineStr">
        <is>
          <t>Remove the exposed food</t>
        </is>
      </c>
      <c r="M24" s="19" t="inlineStr">
        <is>
          <t>Weekly review of template 01 (Food Temperature Log)</t>
        </is>
      </c>
    </row>
    <row r="25" ht="52" customHeight="1">
      <c r="A25" s="19" t="inlineStr">
        <is>
          <t>SERVICE</t>
        </is>
      </c>
      <c r="B25" s="19" t="inlineStr">
        <is>
          <t>C (Chemical)</t>
        </is>
      </c>
      <c r="C25" s="19" t="inlineStr">
        <is>
          <t>Allergen not declared to the guest on the menu or verbally</t>
        </is>
      </c>
      <c r="D25" s="19" t="inlineStr">
        <is>
          <t>Allergen menu updated after every recipe change and front-of-house staff trained</t>
        </is>
      </c>
      <c r="E25" s="20" t="inlineStr">
        <is>
          <t>Medium</t>
        </is>
      </c>
      <c r="F25" s="20" t="inlineStr">
        <is>
          <t>High</t>
        </is>
      </c>
      <c r="G25" s="21" t="str">
        <f>IF(OR($E25="",$F25=""),"",IF(IF($E25="High",3,IF($E25="Medium",2,1))*IF($F25="High",3,IF($F25="Medium",2,1))&gt;=9,"Critical",IF(IF($E25="High",3,IF($E25="Medium",2,1))*IF($F25="High",3,IF($F25="Medium",2,1))&gt;=6,"High",IF(IF($E25="High",3,IF($E25="Medium",2,1))*IF($F25="High",3,IF($F25="Medium",2,1))&gt;=3,"Medium","Low"))))</f>
        <v>High</v>
      </c>
      <c r="H25" s="20" t="inlineStr">
        <is>
          <t>OPRP</t>
        </is>
      </c>
      <c r="I25" s="19" t="inlineStr">
        <is>
          <t>Allergen menu reviewed and signed in the last 30 days or after every recipe change</t>
        </is>
      </c>
      <c r="J25" s="19" t="inlineStr">
        <is>
          <t>08 Allergen matrix</t>
        </is>
      </c>
      <c r="K25" s="19" t="inlineStr">
        <is>
          <t>Monthly review and after every menu change; HACCP person in charge</t>
        </is>
      </c>
      <c r="L25" s="19" t="inlineStr">
        <is>
          <t>Update the matrix, tell the front of house and review the day's orders</t>
        </is>
      </c>
      <c r="M25" s="19" t="inlineStr">
        <is>
          <t>Quarterly internal audit and annual allergen training</t>
        </is>
      </c>
    </row>
    <row r="26" ht="30" customHeight="1">
      <c r="A26" s="19" t="n"/>
      <c r="B26" s="19" t="n"/>
      <c r="C26" s="19" t="n"/>
      <c r="D26" s="19" t="n"/>
      <c r="E26" s="20" t="n"/>
      <c r="F26" s="20" t="n"/>
      <c r="G26" s="21">
        <f>IF(OR($E26="",$F26=""),"",IF(IF($E26="High",3,IF($E26="Medium",2,1))*IF($F26="High",3,IF($F26="Medium",2,1))&gt;=9,"Critical",IF(IF($E26="High",3,IF($E26="Medium",2,1))*IF($F26="High",3,IF($F26="Medium",2,1))&gt;=6,"High",IF(IF($E26="High",3,IF($E26="Medium",2,1))*IF($F26="High",3,IF($F26="Medium",2,1))&gt;=3,"Medium","Low"))))</f>
        <v/>
      </c>
      <c r="H26" s="20" t="n"/>
      <c r="I26" s="19" t="n"/>
      <c r="J26" s="19" t="n"/>
      <c r="K26" s="19" t="n"/>
      <c r="L26" s="19" t="n"/>
      <c r="M26" s="19" t="n"/>
    </row>
    <row r="27" ht="30" customHeight="1">
      <c r="A27" s="19" t="n"/>
      <c r="B27" s="19" t="n"/>
      <c r="C27" s="19" t="n"/>
      <c r="D27" s="19" t="n"/>
      <c r="E27" s="20" t="n"/>
      <c r="F27" s="20" t="n"/>
      <c r="G27" s="21">
        <f>IF(OR($E27="",$F27=""),"",IF(IF($E27="High",3,IF($E27="Medium",2,1))*IF($F27="High",3,IF($F27="Medium",2,1))&gt;=9,"Critical",IF(IF($E27="High",3,IF($E27="Medium",2,1))*IF($F27="High",3,IF($F27="Medium",2,1))&gt;=6,"High",IF(IF($E27="High",3,IF($E27="Medium",2,1))*IF($F27="High",3,IF($F27="Medium",2,1))&gt;=3,"Medium","Low"))))</f>
        <v/>
      </c>
      <c r="H27" s="20" t="n"/>
      <c r="I27" s="19" t="n"/>
      <c r="J27" s="19" t="n"/>
      <c r="K27" s="19" t="n"/>
      <c r="L27" s="19" t="n"/>
      <c r="M27" s="19" t="n"/>
    </row>
    <row r="28" ht="30" customHeight="1">
      <c r="A28" s="19" t="n"/>
      <c r="B28" s="19" t="n"/>
      <c r="C28" s="19" t="n"/>
      <c r="D28" s="19" t="n"/>
      <c r="E28" s="20" t="n"/>
      <c r="F28" s="20" t="n"/>
      <c r="G28" s="21">
        <f>IF(OR($E28="",$F28=""),"",IF(IF($E28="High",3,IF($E28="Medium",2,1))*IF($F28="High",3,IF($F28="Medium",2,1))&gt;=9,"Critical",IF(IF($E28="High",3,IF($E28="Medium",2,1))*IF($F28="High",3,IF($F28="Medium",2,1))&gt;=6,"High",IF(IF($E28="High",3,IF($E28="Medium",2,1))*IF($F28="High",3,IF($F28="Medium",2,1))&gt;=3,"Medium","Low"))))</f>
        <v/>
      </c>
      <c r="H28" s="20" t="n"/>
      <c r="I28" s="19" t="n"/>
      <c r="J28" s="19" t="n"/>
      <c r="K28" s="19" t="n"/>
      <c r="L28" s="19" t="n"/>
      <c r="M28" s="19" t="n"/>
    </row>
    <row r="29" ht="30" customHeight="1">
      <c r="A29" s="19" t="n"/>
      <c r="B29" s="19" t="n"/>
      <c r="C29" s="19" t="n"/>
      <c r="D29" s="19" t="n"/>
      <c r="E29" s="20" t="n"/>
      <c r="F29" s="20" t="n"/>
      <c r="G29" s="21">
        <f>IF(OR($E29="",$F29=""),"",IF(IF($E29="High",3,IF($E29="Medium",2,1))*IF($F29="High",3,IF($F29="Medium",2,1))&gt;=9,"Critical",IF(IF($E29="High",3,IF($E29="Medium",2,1))*IF($F29="High",3,IF($F29="Medium",2,1))&gt;=6,"High",IF(IF($E29="High",3,IF($E29="Medium",2,1))*IF($F29="High",3,IF($F29="Medium",2,1))&gt;=3,"Medium","Low"))))</f>
        <v/>
      </c>
      <c r="H29" s="20" t="n"/>
      <c r="I29" s="19" t="n"/>
      <c r="J29" s="19" t="n"/>
      <c r="K29" s="19" t="n"/>
      <c r="L29" s="19" t="n"/>
      <c r="M29" s="19" t="n"/>
    </row>
    <row r="30" ht="30" customHeight="1">
      <c r="A30" s="19" t="n"/>
      <c r="B30" s="19" t="n"/>
      <c r="C30" s="19" t="n"/>
      <c r="D30" s="19" t="n"/>
      <c r="E30" s="20" t="n"/>
      <c r="F30" s="20" t="n"/>
      <c r="G30" s="21">
        <f>IF(OR($E30="",$F30=""),"",IF(IF($E30="High",3,IF($E30="Medium",2,1))*IF($F30="High",3,IF($F30="Medium",2,1))&gt;=9,"Critical",IF(IF($E30="High",3,IF($E30="Medium",2,1))*IF($F30="High",3,IF($F30="Medium",2,1))&gt;=6,"High",IF(IF($E30="High",3,IF($E30="Medium",2,1))*IF($F30="High",3,IF($F30="Medium",2,1))&gt;=3,"Medium","Low"))))</f>
        <v/>
      </c>
      <c r="H30" s="20" t="n"/>
      <c r="I30" s="19" t="n"/>
      <c r="J30" s="19" t="n"/>
      <c r="K30" s="19" t="n"/>
      <c r="L30" s="19" t="n"/>
      <c r="M30" s="19" t="n"/>
    </row>
    <row r="31" ht="30" customHeight="1">
      <c r="A31" s="19" t="n"/>
      <c r="B31" s="19" t="n"/>
      <c r="C31" s="19" t="n"/>
      <c r="D31" s="19" t="n"/>
      <c r="E31" s="20" t="n"/>
      <c r="F31" s="20" t="n"/>
      <c r="G31" s="21">
        <f>IF(OR($E31="",$F31=""),"",IF(IF($E31="High",3,IF($E31="Medium",2,1))*IF($F31="High",3,IF($F31="Medium",2,1))&gt;=9,"Critical",IF(IF($E31="High",3,IF($E31="Medium",2,1))*IF($F31="High",3,IF($F31="Medium",2,1))&gt;=6,"High",IF(IF($E31="High",3,IF($E31="Medium",2,1))*IF($F31="High",3,IF($F31="Medium",2,1))&gt;=3,"Medium","Low"))))</f>
        <v/>
      </c>
      <c r="H31" s="20" t="n"/>
      <c r="I31" s="19" t="n"/>
      <c r="J31" s="19" t="n"/>
      <c r="K31" s="19" t="n"/>
      <c r="L31" s="19" t="n"/>
      <c r="M31" s="19" t="n"/>
    </row>
    <row r="32" ht="30" customHeight="1">
      <c r="A32" s="19" t="n"/>
      <c r="B32" s="19" t="n"/>
      <c r="C32" s="19" t="n"/>
      <c r="D32" s="19" t="n"/>
      <c r="E32" s="20" t="n"/>
      <c r="F32" s="20" t="n"/>
      <c r="G32" s="21">
        <f>IF(OR($E32="",$F32=""),"",IF(IF($E32="High",3,IF($E32="Medium",2,1))*IF($F32="High",3,IF($F32="Medium",2,1))&gt;=9,"Critical",IF(IF($E32="High",3,IF($E32="Medium",2,1))*IF($F32="High",3,IF($F32="Medium",2,1))&gt;=6,"High",IF(IF($E32="High",3,IF($E32="Medium",2,1))*IF($F32="High",3,IF($F32="Medium",2,1))&gt;=3,"Medium","Low"))))</f>
        <v/>
      </c>
      <c r="H32" s="20" t="n"/>
      <c r="I32" s="19" t="n"/>
      <c r="J32" s="19" t="n"/>
      <c r="K32" s="19" t="n"/>
      <c r="L32" s="19" t="n"/>
      <c r="M32" s="19" t="n"/>
    </row>
    <row r="33" ht="30" customHeight="1">
      <c r="A33" s="19" t="n"/>
      <c r="B33" s="19" t="n"/>
      <c r="C33" s="19" t="n"/>
      <c r="D33" s="19" t="n"/>
      <c r="E33" s="20" t="n"/>
      <c r="F33" s="20" t="n"/>
      <c r="G33" s="21">
        <f>IF(OR($E33="",$F33=""),"",IF(IF($E33="High",3,IF($E33="Medium",2,1))*IF($F33="High",3,IF($F33="Medium",2,1))&gt;=9,"Critical",IF(IF($E33="High",3,IF($E33="Medium",2,1))*IF($F33="High",3,IF($F33="Medium",2,1))&gt;=6,"High",IF(IF($E33="High",3,IF($E33="Medium",2,1))*IF($F33="High",3,IF($F33="Medium",2,1))&gt;=3,"Medium","Low"))))</f>
        <v/>
      </c>
      <c r="H33" s="20" t="n"/>
      <c r="I33" s="19" t="n"/>
      <c r="J33" s="19" t="n"/>
      <c r="K33" s="19" t="n"/>
      <c r="L33" s="19" t="n"/>
      <c r="M33" s="19" t="n"/>
    </row>
    <row r="34" ht="30" customHeight="1">
      <c r="A34" s="19" t="n"/>
      <c r="B34" s="19" t="n"/>
      <c r="C34" s="19" t="n"/>
      <c r="D34" s="19" t="n"/>
      <c r="E34" s="20" t="n"/>
      <c r="F34" s="20" t="n"/>
      <c r="G34" s="21">
        <f>IF(OR($E34="",$F34=""),"",IF(IF($E34="High",3,IF($E34="Medium",2,1))*IF($F34="High",3,IF($F34="Medium",2,1))&gt;=9,"Critical",IF(IF($E34="High",3,IF($E34="Medium",2,1))*IF($F34="High",3,IF($F34="Medium",2,1))&gt;=6,"High",IF(IF($E34="High",3,IF($E34="Medium",2,1))*IF($F34="High",3,IF($F34="Medium",2,1))&gt;=3,"Medium","Low"))))</f>
        <v/>
      </c>
      <c r="H34" s="20" t="n"/>
      <c r="I34" s="19" t="n"/>
      <c r="J34" s="19" t="n"/>
      <c r="K34" s="19" t="n"/>
      <c r="L34" s="19" t="n"/>
      <c r="M34" s="19" t="n"/>
    </row>
    <row r="35" ht="30" customHeight="1">
      <c r="A35" s="19" t="n"/>
      <c r="B35" s="19" t="n"/>
      <c r="C35" s="19" t="n"/>
      <c r="D35" s="19" t="n"/>
      <c r="E35" s="20" t="n"/>
      <c r="F35" s="20" t="n"/>
      <c r="G35" s="21">
        <f>IF(OR($E35="",$F35=""),"",IF(IF($E35="High",3,IF($E35="Medium",2,1))*IF($F35="High",3,IF($F35="Medium",2,1))&gt;=9,"Critical",IF(IF($E35="High",3,IF($E35="Medium",2,1))*IF($F35="High",3,IF($F35="Medium",2,1))&gt;=6,"High",IF(IF($E35="High",3,IF($E35="Medium",2,1))*IF($F35="High",3,IF($F35="Medium",2,1))&gt;=3,"Medium","Low"))))</f>
        <v/>
      </c>
      <c r="H35" s="20" t="n"/>
      <c r="I35" s="19" t="n"/>
      <c r="J35" s="19" t="n"/>
      <c r="K35" s="19" t="n"/>
      <c r="L35" s="19" t="n"/>
      <c r="M35" s="19" t="n"/>
    </row>
    <row r="37">
      <c r="A37" s="22" t="inlineStr">
        <is>
          <t>Hazards identified in the analysis:</t>
        </is>
      </c>
      <c r="H37" s="23">
        <f>COUNTIF(H5:H35,"CCP")+COUNTIF(H5:H35,"OPRP")+COUNTIF(H5:H35,"NO")</f>
        <v>21.0</v>
      </c>
    </row>
    <row r="38">
      <c r="A38" s="22" t="inlineStr">
        <is>
          <t>Critical control points (CCP):</t>
        </is>
      </c>
      <c r="H38" s="23">
        <f>COUNTIF(H5:H35,"CCP")</f>
        <v>9.0</v>
      </c>
    </row>
    <row r="39">
      <c r="A39" s="22" t="inlineStr">
        <is>
          <t>Operational prerequisite programs (OPRP):</t>
        </is>
      </c>
      <c r="H39" s="23">
        <f>COUNTIF(H5:H35,"OPRP")</f>
        <v>7.0</v>
      </c>
    </row>
    <row r="41" ht="12.2" customHeight="1">
      <c r="A41" s="24" t="inlineStr">
        <is>
          <t>CCP = Critical Control Point: a step where an essential control can be applied to eliminate a hazard or reduce it to an acceptable level, with a MEASURABLE critical limit monitored in real time. OPRP = Operational Prerequisite Program: the hazard is relevant but is controlled through suppliers, cleaning, training or labeling, and there is no limit that can be measured at the moment.</t>
        </is>
      </c>
    </row>
    <row r="42" ht="12.2" customHeight="1">
      <c r="A42" s="24" t="inlineStr">
        <is>
          <t>How it is decided, and why two rows with the same score can end up as a CCP or an OPRP: High or Critical level with no later step that eliminates the hazard → CCP; High or Critical level but controlled by a prerequisite program → OPRP; Low or Medium level → NO.</t>
        </is>
      </c>
    </row>
    <row r="43" ht="12.2" customHeight="1">
      <c r="A43" s="24" t="inlineStr">
        <is>
          <t>Every row of this table has a log behind it that comes in this same kit (template numbers): receiving → 02, storage and hot holding → 01, pests → 07, water → 10, thawing and cooling → 17, parasite destruction → 18, egg product → 05, cooking and reheating → 16, fryer oil → 09, cleaning → 04, traceability → 06, allergens → 08, and any deviation → 11. A CCP without a record proves nothing.</t>
        </is>
      </c>
    </row>
    <row r="44" ht="12.2" customHeight="1">
      <c r="A44" s="24" t="inlineStr">
        <is>
          <t>Review this analysis at least once a year, and whenever you change the menu, a process, a piece of equipment or a supplier. Write the revision number in the header.</t>
        </is>
      </c>
    </row>
    <row r="45" ht="12.2" customHeight="1">
      <c r="A45" s="24" t="inlineStr">
        <is>
          <t>Keep these records for at least 2 years (house rule of this kit). FDA Food Code minimum: 90 days for shellstock tags and parasite-destruction records (§3-203.12, §3-402.12); follow your health department if it asks for longer.</t>
        </is>
      </c>
    </row>
    <row r="46" ht="12.2" customHeight="1">
      <c r="A46" s="24" t="inlineStr">
        <is>
          <t>— HACCP Food Safety Kit Pro · AI Chef Pro · aichef.pro</t>
        </is>
      </c>
    </row>
  </sheetData>
  <mergeCells count="10">
    <mergeCell ref="A46:M46"/>
    <mergeCell ref="A44:M44"/>
    <mergeCell ref="A1:M1"/>
    <mergeCell ref="A45:M45"/>
    <mergeCell ref="A39:G39"/>
    <mergeCell ref="A42:M42"/>
    <mergeCell ref="A38:G38"/>
    <mergeCell ref="A43:M43"/>
    <mergeCell ref="A41:M41"/>
    <mergeCell ref="A37:G37"/>
  </mergeCells>
  <conditionalFormatting sqref="G5:G35">
    <cfRule type="expression" priority="1" dxfId="0" stopIfTrue="1">
      <formula>OR(G5="ALERT",G5="REJECT",G5="CHANGE",G5="INVESTIGATE",G5="✗",G5="EXPIRED",G5="EXCESS",G5="Critical",G5="High")</formula>
    </cfRule>
    <cfRule type="expression" priority="2" dxfId="1" stopIfTrue="1">
      <formula>OR(G5="WATCH",G5="⚠",G5="INCOMPLETE",G5="EXPIRES SOON",G5="RENEW",G5="CHLORINE MISSING",G5="TEST MISSING",G5="Medium")</formula>
    </cfRule>
    <cfRule type="expression" priority="3" dxfId="2" stopIfTrue="1">
      <formula>OR(G5="OK",G5="✓",G5="Compliant",G5="CURRENT",G5="Complete",G5="PASS",G5="Low")</formula>
    </cfRule>
  </conditionalFormatting>
  <dataValidations count="3">
    <dataValidation sqref="B5:B35" showDropDown="0" showInputMessage="0" showErrorMessage="1" allowBlank="1" errorTitle="Hazard type" error="Pick B (biological), C (chemical) or P (physical)." type="list" errorStyle="stop">
      <formula1>"B (Biological),C (Chemical),P (Physical)"</formula1>
    </dataValidation>
    <dataValidation sqref="E5:E35 F5:F35" showDropDown="0" showInputMessage="0" showErrorMessage="1" allowBlank="1" errorTitle="Likelihood and severity" error="Pick High, Medium or Low. The &quot;Risk level&quot; is calculated from these two columns: if you type free text, the formula will treat it as &quot;Low&quot;." type="list" errorStyle="stop">
      <formula1>"High,Medium,Low"</formula1>
    </dataValidation>
    <dataValidation sqref="H5:H35" showDropDown="0" showInputMessage="0" showErrorMessage="1" allowBlank="1" errorTitle="Is it a CCP?" error="CCP = critical control point · OPRP = operational prerequisite program · NO = covered by the general prerequisite programs." type="list" errorStyle="stop">
      <formula1>"CCP,OPRP,NO"</formula1>
    </dataValidation>
  </dataValidations>
  <pageMargins left="0.55" right="0.55"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HACCP Plan Template: Hazard Analysis &amp; CCPs</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2026-03-18T23:13:40Z</dcterms:created>
  <dcterms:modified xmlns:dcterms="http://purl.org/dc/terms/" xmlns:xsi="http://www.w3.org/2001/XMLSchema-instance" xsi:type="dcterms:W3CDTF">2026-10-03T13:22:43Z</dcterms:modified>
  <cp:lastModifiedBy>AI Chef Pro</cp:lastModifiedBy>
  <cp:category>AI Chef Pro · Digital products</cp:category>
  <cp:keywords>haccp plan template, food safety logs, AI Chef Pro</cp:keywords>
</cp:coreProperties>
</file>