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ooling" sheetId="2" state="visible" r:id="rId2"/>
    <sheet xmlns:r="http://schemas.openxmlformats.org/officeDocument/2006/relationships" name="Thawing" sheetId="3" state="visible" r:id="rId3"/>
  </sheets>
  <definedNames>
    <definedName name="_xlnm.Print_Area" localSheetId="0">'Instructions'!$A$1:$B$28</definedName>
    <definedName name="_xlnm.Print_Titles" localSheetId="1">'Cooling'!$4:$4</definedName>
    <definedName name="_xlnm.Print_Area" localSheetId="1">'Cooling'!$A$1:$K$51</definedName>
    <definedName name="_xlnm.Print_Titles" localSheetId="2">'Thawing'!$4:$4</definedName>
    <definedName name="_xlnm.Print_Area" localSheetId="2">'Thawing'!$A$1:$J$50</definedName>
  </definedNames>
  <calcPr calcId="124519" fullCalcOnLoad="1"/>
</workbook>
</file>

<file path=xl/styles.xml><?xml version="1.0" encoding="utf-8"?>
<styleSheet xmlns="http://schemas.openxmlformats.org/spreadsheetml/2006/main">
  <numFmts count="5">
    <numFmt numFmtId="164" formatCode="m/d/yyyy"/>
    <numFmt numFmtId="165" formatCode="h:mm AM/PM"/>
    <numFmt numFmtId="166" formatCode="0.0"/>
    <numFmt numFmtId="167" formatCode="m/d/yyyy h:mm AM/PM"/>
    <numFmt numFmtId="168" formatCode="m/d/yy h:mm AM/PM"/>
  </numFmts>
  <fonts count="9">
    <font>
      <name val="Calibri"/>
      <family val="2"/>
      <color theme="1"/>
      <sz val="11"/>
      <scheme val="minor"/>
    </font>
    <font>
      <b val="1"/>
      <sz val="16"/>
    </font>
    <font>
      <b val="1"/>
      <color rgb="00FFFFFF"/>
      <sz val="11"/>
    </font>
    <font>
      <sz val="9"/>
    </font>
    <font>
      <b val="1"/>
      <sz val="18"/>
    </font>
    <font>
      <b val="1"/>
      <sz val="12"/>
    </font>
    <font>
      <sz val="11"/>
    </font>
    <font>
      <b val="1"/>
      <sz val="11"/>
    </font>
    <font>
      <i val="1"/>
      <sz val="9"/>
    </font>
  </fonts>
  <fills count="4">
    <fill>
      <patternFill/>
    </fill>
    <fill>
      <patternFill patternType="gray125"/>
    </fill>
    <fill>
      <patternFill patternType="solid">
        <fgColor rgb="002D2D2D"/>
      </patternFill>
    </fill>
    <fill>
      <patternFill patternType="solid">
        <fgColor rgb="00E8F5E9"/>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3">
    <xf numFmtId="0" fontId="0" fillId="0" borderId="0" pivotButton="0" quotePrefix="0" xfId="0"/>
    <xf numFmtId="0" fontId="4" fillId="0" borderId="0" applyAlignment="1" pivotButton="0" quotePrefix="0" xfId="0">
      <alignment vertical="center" wrapText="1"/>
    </xf>
    <xf numFmtId="0" fontId="5" fillId="0" borderId="0" pivotButton="0" quotePrefix="0" xfId="0"/>
    <xf numFmtId="0" fontId="6" fillId="0" borderId="0" applyAlignment="1" pivotButton="0" quotePrefix="0" xfId="0">
      <alignment vertical="top" wrapText="1"/>
    </xf>
    <xf numFmtId="0" fontId="1" fillId="0" borderId="0" pivotButton="0" quotePrefix="0" xfId="0"/>
    <xf numFmtId="0" fontId="2" fillId="2" borderId="1" applyAlignment="1" pivotButton="0" quotePrefix="0" xfId="0">
      <alignment horizontal="center" vertical="center" wrapText="1"/>
    </xf>
    <xf numFmtId="164" fontId="0" fillId="3" borderId="1" applyAlignment="1" applyProtection="1" pivotButton="0" quotePrefix="0" xfId="0">
      <alignment horizontal="center" vertical="center" wrapText="1"/>
      <protection locked="0" hidden="0"/>
    </xf>
    <xf numFmtId="0" fontId="0" fillId="3" borderId="1" applyAlignment="1" applyProtection="1" pivotButton="0" quotePrefix="0" xfId="0">
      <alignment horizontal="left" vertical="center" wrapText="1"/>
      <protection locked="0" hidden="0"/>
    </xf>
    <xf numFmtId="165" fontId="0" fillId="3" borderId="1" applyAlignment="1" applyProtection="1" pivotButton="0" quotePrefix="0" xfId="0">
      <alignment horizontal="center" vertical="center" wrapText="1"/>
      <protection locked="0" hidden="0"/>
    </xf>
    <xf numFmtId="166" fontId="0" fillId="3" borderId="1" applyAlignment="1" applyProtection="1" pivotButton="0" quotePrefix="0" xfId="0">
      <alignment horizontal="center" vertical="center" wrapText="1"/>
      <protection locked="0" hidden="0"/>
    </xf>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49" fontId="0" fillId="3" borderId="1" applyAlignment="1" applyProtection="1" pivotButton="0" quotePrefix="0" xfId="0">
      <alignment horizontal="center" vertical="center" wrapText="1"/>
      <protection locked="0" hidden="0"/>
    </xf>
    <xf numFmtId="0" fontId="3" fillId="0" borderId="0" applyAlignment="1" pivotButton="0" quotePrefix="0" xfId="0">
      <alignment vertical="top" wrapText="1"/>
    </xf>
    <xf numFmtId="167" fontId="0" fillId="3" borderId="1" applyAlignment="1" applyProtection="1" pivotButton="0" quotePrefix="0" xfId="0">
      <alignment horizontal="center" vertical="center" wrapText="1"/>
      <protection locked="0" hidden="0"/>
    </xf>
    <xf numFmtId="166" fontId="0" fillId="0" borderId="1" applyAlignment="1" pivotButton="0" quotePrefix="0" xfId="0">
      <alignment horizontal="center" vertical="center" wrapText="1"/>
    </xf>
    <xf numFmtId="14" fontId="0" fillId="3" borderId="1" applyAlignment="1" applyProtection="1" pivotButton="0" quotePrefix="0" xfId="0">
      <alignment horizontal="center" vertical="center" wrapText="1"/>
      <protection locked="0" hidden="0"/>
    </xf>
    <xf numFmtId="18" fontId="0" fillId="3" borderId="1" applyAlignment="1" applyProtection="1" pivotButton="0" quotePrefix="0" xfId="0">
      <alignment horizontal="center" vertical="center" wrapText="1"/>
      <protection locked="0" hidden="0"/>
    </xf>
    <xf numFmtId="166" fontId="0" fillId="3" borderId="1" applyAlignment="1" applyProtection="1" pivotButton="0" quotePrefix="0" xfId="0">
      <alignment horizontal="left" vertical="center" wrapText="1"/>
      <protection locked="0" hidden="0"/>
    </xf>
    <xf numFmtId="0" fontId="7" fillId="0" borderId="0" applyAlignment="1" pivotButton="0" quotePrefix="0" xfId="0">
      <alignment vertical="center" wrapText="1"/>
    </xf>
    <xf numFmtId="1" fontId="0" fillId="3" borderId="1" applyAlignment="1" applyProtection="1" pivotButton="0" quotePrefix="0" xfId="0">
      <alignment horizontal="center" vertical="center" wrapText="1"/>
      <protection locked="0" hidden="0"/>
    </xf>
    <xf numFmtId="0" fontId="8" fillId="0" borderId="0" pivotButton="0" quotePrefix="0" xfId="0"/>
    <xf numFmtId="168" fontId="0" fillId="3" borderId="1" applyAlignment="1" applyProtection="1" pivotButton="0" quotePrefix="0" xfId="0">
      <alignment horizontal="center" vertical="center" wrapText="1"/>
      <protection locked="0" hidden="0"/>
    </xf>
  </cellXfs>
  <cellStyles count="1">
    <cellStyle name="Normal" xfId="0" builtinId="0" hidden="0"/>
  </cellStyles>
  <dxfs count="3">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B28"/>
  <sheetViews>
    <sheetView workbookViewId="0">
      <selection activeCell="A1" sqref="A1"/>
    </sheetView>
  </sheetViews>
  <sheetFormatPr baseColWidth="8" defaultRowHeight="15"/>
  <cols>
    <col width="3" customWidth="1" min="1" max="1"/>
    <col width="95" customWidth="1" min="2" max="2"/>
  </cols>
  <sheetData>
    <row r="2" ht="26" customHeight="1">
      <c r="B2" s="1" t="inlineStr">
        <is>
          <t>Cooling &amp; Thawing Log (2-Stage Cooling)</t>
        </is>
      </c>
    </row>
    <row r="4">
      <c r="B4" s="2" t="inlineStr">
        <is>
          <t>What this template is for</t>
        </is>
      </c>
    </row>
    <row r="6">
      <c r="B6" s="3" t="inlineStr">
        <is>
          <t>Covers the two moments when food passes slowly through the danger zone (between 135 °F and 41 °F), which is where bacteria multiply. The hazard analysis in template 12 (HACCP Plan) points to these two sheets.</t>
        </is>
      </c>
    </row>
    <row r="8">
      <c r="B8" s="2" t="inlineStr">
        <is>
          <t>Sheet "Cooling"</t>
        </is>
      </c>
    </row>
    <row r="10">
      <c r="B10" s="3" t="inlineStr">
        <is>
          <t>▸ Rule, in two stages (Food Code §3-501.14): from 135 °F to 70 °F or below within 2 hours, then to 41 °F or below within 6 hours in total. It is the critical limit in template 12 (HACCP Plan). UK: below 46 °F (8 °C) within 90 minutes (FSA, Safer Food Better Business).</t>
        </is>
      </c>
    </row>
    <row r="11">
      <c r="B11" s="3" t="inlineStr">
        <is>
          <t>▸ Enter the time and temperature at the start, measure again at 2 hours and once more at 6 hours. The "Status" calculates itself: OK if the product started at 135 °F or above, is at 70 °F or below at 2 h and at 41 °F or below at 6 h; ALERT if not; INCOMPLETE in amber while the starting temperature or the 6 h reading is missing.</t>
        </is>
      </c>
    </row>
    <row r="12">
      <c r="B12" s="3" t="inlineStr">
        <is>
          <t>▸ Enter times as times (4:00 PM), not as text: the "Time (h)" column subtracts them and handles a change of day. The cell no longer accepts text, so if it rejects you, you were typing "4.00" or "4h".</t>
        </is>
      </c>
    </row>
    <row r="13">
      <c r="B13" s="3" t="inlineStr">
        <is>
          <t>▸ If it says ALERT: discard the product and open the incident in template 11 (Corrective Action Log). If you catch it before the 2-hour mark still above 70 °F, reheat it to 165 °F and restart cooling with a faster method (shallow pans, ice bath, blast chiller).</t>
        </is>
      </c>
    </row>
    <row r="15">
      <c r="B15" s="2" t="inlineStr">
        <is>
          <t>Sheet "Thawing"</t>
        </is>
      </c>
    </row>
    <row r="17">
      <c r="B17" s="3" t="inlineStr">
        <is>
          <t>▸ Rule: in the refrigerator at 41 °F or below (Food Code §3-501.13), covered and on a tray, and the product in use within the hours set in cell B3 (24 by default) from the START of thawing. It is the same critical limit that appears in template 12 (HACCP Plan) for this CCP.</t>
        </is>
      </c>
    </row>
    <row r="18">
      <c r="B18" s="3" t="inlineStr">
        <is>
          <t>▸ Enter the start and the end with DATE AND TIME. The "Duration (h)" column and the "Status" calculate themselves.</t>
        </is>
      </c>
    </row>
    <row r="19">
      <c r="B19" s="3" t="inlineStr">
        <is>
          <t>▸ Never at room temperature or under hot running water. A thawed product is not refrozen (house rule of this kit).</t>
        </is>
      </c>
    </row>
    <row r="21">
      <c r="B21" s="2" t="inlineStr">
        <is>
          <t>Frequency &amp; record keeping</t>
        </is>
      </c>
    </row>
    <row r="23">
      <c r="B23" s="3" t="inlineStr">
        <is>
          <t>▸ Frequency: one line for each cooling and each thawing. 40 rows per sheet.</t>
        </is>
      </c>
    </row>
    <row r="24">
      <c r="B24" s="3" t="inlineStr">
        <is>
          <t>▸ Keep these records for at least 2 years (house rule of this kit). FDA Food Code minimum: 90 days for shellstock tags and parasite-destruction records (§3-203.12, §3-402.12); follow your health department if it asks for longer.</t>
        </is>
      </c>
    </row>
    <row r="26">
      <c r="B26" s="2" t="inlineStr">
        <is>
          <t>— HACCP Food Safety Kit Pro · AI Chef Pro · aichef.pro</t>
        </is>
      </c>
    </row>
    <row r="28">
      <c r="B28" s="2" t="inlineStr">
        <is>
          <t>Version 2.0 · October 2026 · aichef.pro/en/digital-products/haccp-templates · info@aichef.pro</t>
        </is>
      </c>
    </row>
  </sheetData>
  <pageMargins left="0.55" right="0.55" top="0.55" bottom="0.55"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K51"/>
  <sheetViews>
    <sheetView workbookViewId="0">
      <pane ySplit="4" topLeftCell="A5" activePane="bottomLeft" state="frozen"/>
      <selection pane="bottomLeft" activeCell="A1" sqref="A1"/>
    </sheetView>
  </sheetViews>
  <sheetFormatPr baseColWidth="8" defaultRowHeight="15"/>
  <cols>
    <col width="14" customWidth="1" min="1" max="1"/>
    <col width="32" customWidth="1" min="2" max="2"/>
    <col width="13" customWidth="1" min="3" max="3"/>
    <col width="14" customWidth="1" min="4" max="4"/>
    <col width="15" customWidth="1" min="5" max="5"/>
    <col width="16" customWidth="1" min="6" max="6"/>
    <col width="12" customWidth="1" min="7" max="7"/>
    <col width="14" customWidth="1" min="8" max="8"/>
    <col width="24" customWidth="1" min="9" max="9"/>
    <col width="16" customWidth="1" min="10" max="10"/>
    <col width="30" customWidth="1" min="11" max="11"/>
  </cols>
  <sheetData>
    <row r="1">
      <c r="A1" s="4" t="inlineStr">
        <is>
          <t>Two-Stage Cooling Log</t>
        </is>
      </c>
    </row>
    <row r="2">
      <c r="A2" t="inlineStr">
        <is>
          <t>Month: _______________    135 °F to 70 °F or below within 2 hours, then to 41 °F or below within 6 hours in total. Critical limit of this establishment's HACCP plan: see template 12 (HACCP Plan).</t>
        </is>
      </c>
    </row>
    <row r="4" ht="30" customHeight="1">
      <c r="A4" s="5" t="inlineStr">
        <is>
          <t>Date</t>
        </is>
      </c>
      <c r="B4" s="5" t="inlineStr">
        <is>
          <t>Product / dish</t>
        </is>
      </c>
      <c r="C4" s="5" t="inlineStr">
        <is>
          <t>Start time</t>
        </is>
      </c>
      <c r="D4" s="5" t="inlineStr">
        <is>
          <t>Start Temp (°F)</t>
        </is>
      </c>
      <c r="E4" s="5" t="inlineStr">
        <is>
          <t>Time at 2 h</t>
        </is>
      </c>
      <c r="F4" s="5" t="inlineStr">
        <is>
          <t>Temp at 2 h (°F)</t>
        </is>
      </c>
      <c r="G4" s="5" t="inlineStr">
        <is>
          <t>Time (h)</t>
        </is>
      </c>
      <c r="H4" s="5" t="inlineStr">
        <is>
          <t>Status</t>
        </is>
      </c>
      <c r="I4" s="5" t="inlineStr">
        <is>
          <t>Temp at 6 h (°F)</t>
        </is>
      </c>
      <c r="J4" s="5" t="inlineStr">
        <is>
          <t>Assigned to</t>
        </is>
      </c>
      <c r="K4" s="5" t="inlineStr">
        <is>
          <t>Notes</t>
        </is>
      </c>
    </row>
    <row r="5" ht="20" customHeight="1">
      <c r="A5" s="16" t="n">
        <v>46270</v>
      </c>
      <c r="B5" s="7" t="inlineStr">
        <is>
          <t>Chicken stock (5-gallon stockpot)</t>
        </is>
      </c>
      <c r="C5" s="17" t="n">
        <v>0.6666666666666666</v>
      </c>
      <c r="D5" s="9" t="n">
        <v>198</v>
      </c>
      <c r="E5" s="17" t="n">
        <v>0.75</v>
      </c>
      <c r="F5" s="9" t="n">
        <v>43</v>
      </c>
      <c r="G5" s="10">
        <f>IF(NOT(AND(ISNUMBER($C5),ISNUMBER($E5))),"",ROUND(MOD($E5-$C5,1)*24,2))</f>
        <v>2.0</v>
      </c>
      <c r="H5" s="11" t="str">
        <f>IF(OR($F5="",$G5=""),"",IF($D5="","INCOMPLETE",IF(AND($D5&gt;=135,$F5&lt;=70,$G5&gt;0,$G5&lt;=2),IF($I5="","INCOMPLETE",IF($I5&lt;=41,"OK","ALERT")),"ALERT")))</f>
        <v>OK</v>
      </c>
      <c r="I5" s="18" t="n">
        <v>38</v>
      </c>
      <c r="J5" s="12" t="inlineStr">
        <is>
          <t>A.R.</t>
        </is>
      </c>
      <c r="K5" s="7" t="inlineStr">
        <is>
          <t>Walk-in 1, for next-day service (sample)</t>
        </is>
      </c>
    </row>
    <row r="6" ht="20" customHeight="1">
      <c r="A6" s="16" t="n">
        <v>46271</v>
      </c>
      <c r="B6" s="7" t="inlineStr">
        <is>
          <t>Cooked rice (9 lb)</t>
        </is>
      </c>
      <c r="C6" s="17" t="n">
        <v>0.5625</v>
      </c>
      <c r="D6" s="9" t="n">
        <v>185</v>
      </c>
      <c r="E6" s="17" t="n">
        <v>0.6458333333333334</v>
      </c>
      <c r="F6" s="9" t="n">
        <v>46</v>
      </c>
      <c r="G6" s="10">
        <f>IF(NOT(AND(ISNUMBER($C6),ISNUMBER($E6))),"",ROUND(MOD($E6-$C6,1)*24,2))</f>
        <v>2.0</v>
      </c>
      <c r="H6" s="11" t="str">
        <f>IF(OR($F6="",$G6=""),"",IF($D6="","INCOMPLETE",IF(AND($D6&gt;=135,$F6&lt;=70,$G6&gt;0,$G6&lt;=2),IF($I6="","INCOMPLETE",IF($I6&lt;=41,"OK","ALERT")),"ALERT")))</f>
        <v>OK</v>
      </c>
      <c r="I6" s="18" t="n">
        <v>39</v>
      </c>
      <c r="J6" s="12" t="inlineStr">
        <is>
          <t>M.S.</t>
        </is>
      </c>
      <c r="K6" s="7" t="inlineStr">
        <is>
          <t>Walk-in 2 (sample)</t>
        </is>
      </c>
    </row>
    <row r="7" ht="20" customHeight="1">
      <c r="A7" s="16" t="n">
        <v>46272</v>
      </c>
      <c r="B7" s="7" t="inlineStr">
        <is>
          <t>Beef stew (18 lb)</t>
        </is>
      </c>
      <c r="C7" s="17" t="n">
        <v>0.7083333333333334</v>
      </c>
      <c r="D7" s="9" t="n">
        <v>190</v>
      </c>
      <c r="E7" s="17" t="n">
        <v>0.7916666666666666</v>
      </c>
      <c r="F7" s="9" t="n">
        <v>78</v>
      </c>
      <c r="G7" s="10">
        <f>IF(NOT(AND(ISNUMBER($C7),ISNUMBER($E7))),"",ROUND(MOD($E7-$C7,1)*24,2))</f>
        <v>2.0</v>
      </c>
      <c r="H7" s="11" t="str">
        <f>IF(OR($F7="",$G7=""),"",IF($D7="","INCOMPLETE",IF(AND($D7&gt;=135,$F7&lt;=70,$G7&gt;0,$G7&lt;=2),IF($I7="","INCOMPLETE",IF($I7&lt;=41,"OK","ALERT")),"ALERT")))</f>
        <v>ALERT</v>
      </c>
      <c r="I7" s="18" t="n"/>
      <c r="J7" s="12" t="inlineStr">
        <is>
          <t>M.S.</t>
        </is>
      </c>
      <c r="K7" s="7" t="inlineStr">
        <is>
          <t>Stockpot too full: divided into pans and discarded · incident INC-005 (sample)</t>
        </is>
      </c>
    </row>
    <row r="8" ht="20" customHeight="1">
      <c r="A8" s="16" t="n"/>
      <c r="B8" s="7" t="n"/>
      <c r="C8" s="17" t="n"/>
      <c r="D8" s="9" t="n"/>
      <c r="E8" s="17" t="n"/>
      <c r="F8" s="9" t="n"/>
      <c r="G8" s="10">
        <f>IF(NOT(AND(ISNUMBER($C8),ISNUMBER($E8))),"",ROUND(MOD($E8-$C8,1)*24,2))</f>
        <v/>
      </c>
      <c r="H8" s="11">
        <f>IF(OR($F8="",$G8=""),"",IF($D8="","INCOMPLETE",IF(AND($D8&gt;=135,$F8&lt;=70,$G8&gt;0,$G8&lt;=2),IF($I8="","INCOMPLETE",IF($I8&lt;=41,"OK","ALERT")),"ALERT")))</f>
        <v/>
      </c>
      <c r="I8" s="18" t="n"/>
      <c r="J8" s="12" t="n"/>
      <c r="K8" s="7" t="n"/>
    </row>
    <row r="9" ht="20" customHeight="1">
      <c r="A9" s="16" t="n"/>
      <c r="B9" s="7" t="n"/>
      <c r="C9" s="17" t="n"/>
      <c r="D9" s="9" t="n"/>
      <c r="E9" s="17" t="n"/>
      <c r="F9" s="9" t="n"/>
      <c r="G9" s="10">
        <f>IF(NOT(AND(ISNUMBER($C9),ISNUMBER($E9))),"",ROUND(MOD($E9-$C9,1)*24,2))</f>
        <v/>
      </c>
      <c r="H9" s="11">
        <f>IF(OR($F9="",$G9=""),"",IF($D9="","INCOMPLETE",IF(AND($D9&gt;=135,$F9&lt;=70,$G9&gt;0,$G9&lt;=2),IF($I9="","INCOMPLETE",IF($I9&lt;=41,"OK","ALERT")),"ALERT")))</f>
        <v/>
      </c>
      <c r="I9" s="18" t="n"/>
      <c r="J9" s="12" t="n"/>
      <c r="K9" s="7" t="n"/>
    </row>
    <row r="10" ht="20" customHeight="1">
      <c r="A10" s="16" t="n"/>
      <c r="B10" s="7" t="n"/>
      <c r="C10" s="17" t="n"/>
      <c r="D10" s="9" t="n"/>
      <c r="E10" s="17" t="n"/>
      <c r="F10" s="9" t="n"/>
      <c r="G10" s="10">
        <f>IF(NOT(AND(ISNUMBER($C10),ISNUMBER($E10))),"",ROUND(MOD($E10-$C10,1)*24,2))</f>
        <v/>
      </c>
      <c r="H10" s="11">
        <f>IF(OR($F10="",$G10=""),"",IF($D10="","INCOMPLETE",IF(AND($D10&gt;=135,$F10&lt;=70,$G10&gt;0,$G10&lt;=2),IF($I10="","INCOMPLETE",IF($I10&lt;=41,"OK","ALERT")),"ALERT")))</f>
        <v/>
      </c>
      <c r="I10" s="18" t="n"/>
      <c r="J10" s="12" t="n"/>
      <c r="K10" s="7" t="n"/>
    </row>
    <row r="11" ht="20" customHeight="1">
      <c r="A11" s="16" t="n"/>
      <c r="B11" s="7" t="n"/>
      <c r="C11" s="17" t="n"/>
      <c r="D11" s="9" t="n"/>
      <c r="E11" s="17" t="n"/>
      <c r="F11" s="9" t="n"/>
      <c r="G11" s="10">
        <f>IF(NOT(AND(ISNUMBER($C11),ISNUMBER($E11))),"",ROUND(MOD($E11-$C11,1)*24,2))</f>
        <v/>
      </c>
      <c r="H11" s="11">
        <f>IF(OR($F11="",$G11=""),"",IF($D11="","INCOMPLETE",IF(AND($D11&gt;=135,$F11&lt;=70,$G11&gt;0,$G11&lt;=2),IF($I11="","INCOMPLETE",IF($I11&lt;=41,"OK","ALERT")),"ALERT")))</f>
        <v/>
      </c>
      <c r="I11" s="18" t="n"/>
      <c r="J11" s="12" t="n"/>
      <c r="K11" s="7" t="n"/>
    </row>
    <row r="12" ht="20" customHeight="1">
      <c r="A12" s="16" t="n"/>
      <c r="B12" s="7" t="n"/>
      <c r="C12" s="17" t="n"/>
      <c r="D12" s="9" t="n"/>
      <c r="E12" s="17" t="n"/>
      <c r="F12" s="9" t="n"/>
      <c r="G12" s="10">
        <f>IF(NOT(AND(ISNUMBER($C12),ISNUMBER($E12))),"",ROUND(MOD($E12-$C12,1)*24,2))</f>
        <v/>
      </c>
      <c r="H12" s="11">
        <f>IF(OR($F12="",$G12=""),"",IF($D12="","INCOMPLETE",IF(AND($D12&gt;=135,$F12&lt;=70,$G12&gt;0,$G12&lt;=2),IF($I12="","INCOMPLETE",IF($I12&lt;=41,"OK","ALERT")),"ALERT")))</f>
        <v/>
      </c>
      <c r="I12" s="18" t="n"/>
      <c r="J12" s="12" t="n"/>
      <c r="K12" s="7" t="n"/>
    </row>
    <row r="13" ht="20" customHeight="1">
      <c r="A13" s="16" t="n"/>
      <c r="B13" s="7" t="n"/>
      <c r="C13" s="17" t="n"/>
      <c r="D13" s="9" t="n"/>
      <c r="E13" s="17" t="n"/>
      <c r="F13" s="9" t="n"/>
      <c r="G13" s="10">
        <f>IF(NOT(AND(ISNUMBER($C13),ISNUMBER($E13))),"",ROUND(MOD($E13-$C13,1)*24,2))</f>
        <v/>
      </c>
      <c r="H13" s="11">
        <f>IF(OR($F13="",$G13=""),"",IF($D13="","INCOMPLETE",IF(AND($D13&gt;=135,$F13&lt;=70,$G13&gt;0,$G13&lt;=2),IF($I13="","INCOMPLETE",IF($I13&lt;=41,"OK","ALERT")),"ALERT")))</f>
        <v/>
      </c>
      <c r="I13" s="18" t="n"/>
      <c r="J13" s="12" t="n"/>
      <c r="K13" s="7" t="n"/>
    </row>
    <row r="14" ht="20" customHeight="1">
      <c r="A14" s="16" t="n"/>
      <c r="B14" s="7" t="n"/>
      <c r="C14" s="17" t="n"/>
      <c r="D14" s="9" t="n"/>
      <c r="E14" s="17" t="n"/>
      <c r="F14" s="9" t="n"/>
      <c r="G14" s="10">
        <f>IF(NOT(AND(ISNUMBER($C14),ISNUMBER($E14))),"",ROUND(MOD($E14-$C14,1)*24,2))</f>
        <v/>
      </c>
      <c r="H14" s="11">
        <f>IF(OR($F14="",$G14=""),"",IF($D14="","INCOMPLETE",IF(AND($D14&gt;=135,$F14&lt;=70,$G14&gt;0,$G14&lt;=2),IF($I14="","INCOMPLETE",IF($I14&lt;=41,"OK","ALERT")),"ALERT")))</f>
        <v/>
      </c>
      <c r="I14" s="18" t="n"/>
      <c r="J14" s="12" t="n"/>
      <c r="K14" s="7" t="n"/>
    </row>
    <row r="15" ht="20" customHeight="1">
      <c r="A15" s="16" t="n"/>
      <c r="B15" s="7" t="n"/>
      <c r="C15" s="17" t="n"/>
      <c r="D15" s="9" t="n"/>
      <c r="E15" s="17" t="n"/>
      <c r="F15" s="9" t="n"/>
      <c r="G15" s="10">
        <f>IF(NOT(AND(ISNUMBER($C15),ISNUMBER($E15))),"",ROUND(MOD($E15-$C15,1)*24,2))</f>
        <v/>
      </c>
      <c r="H15" s="11">
        <f>IF(OR($F15="",$G15=""),"",IF($D15="","INCOMPLETE",IF(AND($D15&gt;=135,$F15&lt;=70,$G15&gt;0,$G15&lt;=2),IF($I15="","INCOMPLETE",IF($I15&lt;=41,"OK","ALERT")),"ALERT")))</f>
        <v/>
      </c>
      <c r="I15" s="18" t="n"/>
      <c r="J15" s="12" t="n"/>
      <c r="K15" s="7" t="n"/>
    </row>
    <row r="16" ht="20" customHeight="1">
      <c r="A16" s="16" t="n"/>
      <c r="B16" s="7" t="n"/>
      <c r="C16" s="17" t="n"/>
      <c r="D16" s="9" t="n"/>
      <c r="E16" s="17" t="n"/>
      <c r="F16" s="9" t="n"/>
      <c r="G16" s="10">
        <f>IF(NOT(AND(ISNUMBER($C16),ISNUMBER($E16))),"",ROUND(MOD($E16-$C16,1)*24,2))</f>
        <v/>
      </c>
      <c r="H16" s="11">
        <f>IF(OR($F16="",$G16=""),"",IF($D16="","INCOMPLETE",IF(AND($D16&gt;=135,$F16&lt;=70,$G16&gt;0,$G16&lt;=2),IF($I16="","INCOMPLETE",IF($I16&lt;=41,"OK","ALERT")),"ALERT")))</f>
        <v/>
      </c>
      <c r="I16" s="18" t="n"/>
      <c r="J16" s="12" t="n"/>
      <c r="K16" s="7" t="n"/>
    </row>
    <row r="17" ht="20" customHeight="1">
      <c r="A17" s="16" t="n"/>
      <c r="B17" s="7" t="n"/>
      <c r="C17" s="17" t="n"/>
      <c r="D17" s="9" t="n"/>
      <c r="E17" s="17" t="n"/>
      <c r="F17" s="9" t="n"/>
      <c r="G17" s="10">
        <f>IF(NOT(AND(ISNUMBER($C17),ISNUMBER($E17))),"",ROUND(MOD($E17-$C17,1)*24,2))</f>
        <v/>
      </c>
      <c r="H17" s="11">
        <f>IF(OR($F17="",$G17=""),"",IF($D17="","INCOMPLETE",IF(AND($D17&gt;=135,$F17&lt;=70,$G17&gt;0,$G17&lt;=2),IF($I17="","INCOMPLETE",IF($I17&lt;=41,"OK","ALERT")),"ALERT")))</f>
        <v/>
      </c>
      <c r="I17" s="18" t="n"/>
      <c r="J17" s="12" t="n"/>
      <c r="K17" s="7" t="n"/>
    </row>
    <row r="18" ht="20" customHeight="1">
      <c r="A18" s="16" t="n"/>
      <c r="B18" s="7" t="n"/>
      <c r="C18" s="17" t="n"/>
      <c r="D18" s="9" t="n"/>
      <c r="E18" s="17" t="n"/>
      <c r="F18" s="9" t="n"/>
      <c r="G18" s="10">
        <f>IF(NOT(AND(ISNUMBER($C18),ISNUMBER($E18))),"",ROUND(MOD($E18-$C18,1)*24,2))</f>
        <v/>
      </c>
      <c r="H18" s="11">
        <f>IF(OR($F18="",$G18=""),"",IF($D18="","INCOMPLETE",IF(AND($D18&gt;=135,$F18&lt;=70,$G18&gt;0,$G18&lt;=2),IF($I18="","INCOMPLETE",IF($I18&lt;=41,"OK","ALERT")),"ALERT")))</f>
        <v/>
      </c>
      <c r="I18" s="18" t="n"/>
      <c r="J18" s="12" t="n"/>
      <c r="K18" s="7" t="n"/>
    </row>
    <row r="19" ht="20" customHeight="1">
      <c r="A19" s="16" t="n"/>
      <c r="B19" s="7" t="n"/>
      <c r="C19" s="17" t="n"/>
      <c r="D19" s="9" t="n"/>
      <c r="E19" s="17" t="n"/>
      <c r="F19" s="9" t="n"/>
      <c r="G19" s="10">
        <f>IF(NOT(AND(ISNUMBER($C19),ISNUMBER($E19))),"",ROUND(MOD($E19-$C19,1)*24,2))</f>
        <v/>
      </c>
      <c r="H19" s="11">
        <f>IF(OR($F19="",$G19=""),"",IF($D19="","INCOMPLETE",IF(AND($D19&gt;=135,$F19&lt;=70,$G19&gt;0,$G19&lt;=2),IF($I19="","INCOMPLETE",IF($I19&lt;=41,"OK","ALERT")),"ALERT")))</f>
        <v/>
      </c>
      <c r="I19" s="18" t="n"/>
      <c r="J19" s="12" t="n"/>
      <c r="K19" s="7" t="n"/>
    </row>
    <row r="20" ht="20" customHeight="1">
      <c r="A20" s="16" t="n"/>
      <c r="B20" s="7" t="n"/>
      <c r="C20" s="17" t="n"/>
      <c r="D20" s="9" t="n"/>
      <c r="E20" s="17" t="n"/>
      <c r="F20" s="9" t="n"/>
      <c r="G20" s="10">
        <f>IF(NOT(AND(ISNUMBER($C20),ISNUMBER($E20))),"",ROUND(MOD($E20-$C20,1)*24,2))</f>
        <v/>
      </c>
      <c r="H20" s="11">
        <f>IF(OR($F20="",$G20=""),"",IF($D20="","INCOMPLETE",IF(AND($D20&gt;=135,$F20&lt;=70,$G20&gt;0,$G20&lt;=2),IF($I20="","INCOMPLETE",IF($I20&lt;=41,"OK","ALERT")),"ALERT")))</f>
        <v/>
      </c>
      <c r="I20" s="18" t="n"/>
      <c r="J20" s="12" t="n"/>
      <c r="K20" s="7" t="n"/>
    </row>
    <row r="21" ht="20" customHeight="1">
      <c r="A21" s="16" t="n"/>
      <c r="B21" s="7" t="n"/>
      <c r="C21" s="17" t="n"/>
      <c r="D21" s="9" t="n"/>
      <c r="E21" s="17" t="n"/>
      <c r="F21" s="9" t="n"/>
      <c r="G21" s="10">
        <f>IF(NOT(AND(ISNUMBER($C21),ISNUMBER($E21))),"",ROUND(MOD($E21-$C21,1)*24,2))</f>
        <v/>
      </c>
      <c r="H21" s="11">
        <f>IF(OR($F21="",$G21=""),"",IF($D21="","INCOMPLETE",IF(AND($D21&gt;=135,$F21&lt;=70,$G21&gt;0,$G21&lt;=2),IF($I21="","INCOMPLETE",IF($I21&lt;=41,"OK","ALERT")),"ALERT")))</f>
        <v/>
      </c>
      <c r="I21" s="18" t="n"/>
      <c r="J21" s="12" t="n"/>
      <c r="K21" s="7" t="n"/>
    </row>
    <row r="22" ht="20" customHeight="1">
      <c r="A22" s="16" t="n"/>
      <c r="B22" s="7" t="n"/>
      <c r="C22" s="17" t="n"/>
      <c r="D22" s="9" t="n"/>
      <c r="E22" s="17" t="n"/>
      <c r="F22" s="9" t="n"/>
      <c r="G22" s="10">
        <f>IF(NOT(AND(ISNUMBER($C22),ISNUMBER($E22))),"",ROUND(MOD($E22-$C22,1)*24,2))</f>
        <v/>
      </c>
      <c r="H22" s="11">
        <f>IF(OR($F22="",$G22=""),"",IF($D22="","INCOMPLETE",IF(AND($D22&gt;=135,$F22&lt;=70,$G22&gt;0,$G22&lt;=2),IF($I22="","INCOMPLETE",IF($I22&lt;=41,"OK","ALERT")),"ALERT")))</f>
        <v/>
      </c>
      <c r="I22" s="18" t="n"/>
      <c r="J22" s="12" t="n"/>
      <c r="K22" s="7" t="n"/>
    </row>
    <row r="23" ht="20" customHeight="1">
      <c r="A23" s="16" t="n"/>
      <c r="B23" s="7" t="n"/>
      <c r="C23" s="17" t="n"/>
      <c r="D23" s="9" t="n"/>
      <c r="E23" s="17" t="n"/>
      <c r="F23" s="9" t="n"/>
      <c r="G23" s="10">
        <f>IF(NOT(AND(ISNUMBER($C23),ISNUMBER($E23))),"",ROUND(MOD($E23-$C23,1)*24,2))</f>
        <v/>
      </c>
      <c r="H23" s="11">
        <f>IF(OR($F23="",$G23=""),"",IF($D23="","INCOMPLETE",IF(AND($D23&gt;=135,$F23&lt;=70,$G23&gt;0,$G23&lt;=2),IF($I23="","INCOMPLETE",IF($I23&lt;=41,"OK","ALERT")),"ALERT")))</f>
        <v/>
      </c>
      <c r="I23" s="18" t="n"/>
      <c r="J23" s="12" t="n"/>
      <c r="K23" s="7" t="n"/>
    </row>
    <row r="24" ht="20" customHeight="1">
      <c r="A24" s="16" t="n"/>
      <c r="B24" s="7" t="n"/>
      <c r="C24" s="17" t="n"/>
      <c r="D24" s="9" t="n"/>
      <c r="E24" s="17" t="n"/>
      <c r="F24" s="9" t="n"/>
      <c r="G24" s="10">
        <f>IF(NOT(AND(ISNUMBER($C24),ISNUMBER($E24))),"",ROUND(MOD($E24-$C24,1)*24,2))</f>
        <v/>
      </c>
      <c r="H24" s="11">
        <f>IF(OR($F24="",$G24=""),"",IF($D24="","INCOMPLETE",IF(AND($D24&gt;=135,$F24&lt;=70,$G24&gt;0,$G24&lt;=2),IF($I24="","INCOMPLETE",IF($I24&lt;=41,"OK","ALERT")),"ALERT")))</f>
        <v/>
      </c>
      <c r="I24" s="18" t="n"/>
      <c r="J24" s="12" t="n"/>
      <c r="K24" s="7" t="n"/>
    </row>
    <row r="25" ht="20" customHeight="1">
      <c r="A25" s="16" t="n"/>
      <c r="B25" s="7" t="n"/>
      <c r="C25" s="17" t="n"/>
      <c r="D25" s="9" t="n"/>
      <c r="E25" s="17" t="n"/>
      <c r="F25" s="9" t="n"/>
      <c r="G25" s="10">
        <f>IF(NOT(AND(ISNUMBER($C25),ISNUMBER($E25))),"",ROUND(MOD($E25-$C25,1)*24,2))</f>
        <v/>
      </c>
      <c r="H25" s="11">
        <f>IF(OR($F25="",$G25=""),"",IF($D25="","INCOMPLETE",IF(AND($D25&gt;=135,$F25&lt;=70,$G25&gt;0,$G25&lt;=2),IF($I25="","INCOMPLETE",IF($I25&lt;=41,"OK","ALERT")),"ALERT")))</f>
        <v/>
      </c>
      <c r="I25" s="18" t="n"/>
      <c r="J25" s="12" t="n"/>
      <c r="K25" s="7" t="n"/>
    </row>
    <row r="26" ht="20" customHeight="1">
      <c r="A26" s="16" t="n"/>
      <c r="B26" s="7" t="n"/>
      <c r="C26" s="17" t="n"/>
      <c r="D26" s="9" t="n"/>
      <c r="E26" s="17" t="n"/>
      <c r="F26" s="9" t="n"/>
      <c r="G26" s="10">
        <f>IF(NOT(AND(ISNUMBER($C26),ISNUMBER($E26))),"",ROUND(MOD($E26-$C26,1)*24,2))</f>
        <v/>
      </c>
      <c r="H26" s="11">
        <f>IF(OR($F26="",$G26=""),"",IF($D26="","INCOMPLETE",IF(AND($D26&gt;=135,$F26&lt;=70,$G26&gt;0,$G26&lt;=2),IF($I26="","INCOMPLETE",IF($I26&lt;=41,"OK","ALERT")),"ALERT")))</f>
        <v/>
      </c>
      <c r="I26" s="18" t="n"/>
      <c r="J26" s="12" t="n"/>
      <c r="K26" s="7" t="n"/>
    </row>
    <row r="27" ht="20" customHeight="1">
      <c r="A27" s="16" t="n"/>
      <c r="B27" s="7" t="n"/>
      <c r="C27" s="17" t="n"/>
      <c r="D27" s="9" t="n"/>
      <c r="E27" s="17" t="n"/>
      <c r="F27" s="9" t="n"/>
      <c r="G27" s="10">
        <f>IF(NOT(AND(ISNUMBER($C27),ISNUMBER($E27))),"",ROUND(MOD($E27-$C27,1)*24,2))</f>
        <v/>
      </c>
      <c r="H27" s="11">
        <f>IF(OR($F27="",$G27=""),"",IF($D27="","INCOMPLETE",IF(AND($D27&gt;=135,$F27&lt;=70,$G27&gt;0,$G27&lt;=2),IF($I27="","INCOMPLETE",IF($I27&lt;=41,"OK","ALERT")),"ALERT")))</f>
        <v/>
      </c>
      <c r="I27" s="18" t="n"/>
      <c r="J27" s="12" t="n"/>
      <c r="K27" s="7" t="n"/>
    </row>
    <row r="28" ht="20" customHeight="1">
      <c r="A28" s="16" t="n"/>
      <c r="B28" s="7" t="n"/>
      <c r="C28" s="17" t="n"/>
      <c r="D28" s="9" t="n"/>
      <c r="E28" s="17" t="n"/>
      <c r="F28" s="9" t="n"/>
      <c r="G28" s="10">
        <f>IF(NOT(AND(ISNUMBER($C28),ISNUMBER($E28))),"",ROUND(MOD($E28-$C28,1)*24,2))</f>
        <v/>
      </c>
      <c r="H28" s="11">
        <f>IF(OR($F28="",$G28=""),"",IF($D28="","INCOMPLETE",IF(AND($D28&gt;=135,$F28&lt;=70,$G28&gt;0,$G28&lt;=2),IF($I28="","INCOMPLETE",IF($I28&lt;=41,"OK","ALERT")),"ALERT")))</f>
        <v/>
      </c>
      <c r="I28" s="18" t="n"/>
      <c r="J28" s="12" t="n"/>
      <c r="K28" s="7" t="n"/>
    </row>
    <row r="29" ht="20" customHeight="1">
      <c r="A29" s="16" t="n"/>
      <c r="B29" s="7" t="n"/>
      <c r="C29" s="17" t="n"/>
      <c r="D29" s="9" t="n"/>
      <c r="E29" s="17" t="n"/>
      <c r="F29" s="9" t="n"/>
      <c r="G29" s="10">
        <f>IF(NOT(AND(ISNUMBER($C29),ISNUMBER($E29))),"",ROUND(MOD($E29-$C29,1)*24,2))</f>
        <v/>
      </c>
      <c r="H29" s="11">
        <f>IF(OR($F29="",$G29=""),"",IF($D29="","INCOMPLETE",IF(AND($D29&gt;=135,$F29&lt;=70,$G29&gt;0,$G29&lt;=2),IF($I29="","INCOMPLETE",IF($I29&lt;=41,"OK","ALERT")),"ALERT")))</f>
        <v/>
      </c>
      <c r="I29" s="18" t="n"/>
      <c r="J29" s="12" t="n"/>
      <c r="K29" s="7" t="n"/>
    </row>
    <row r="30" ht="20" customHeight="1">
      <c r="A30" s="16" t="n"/>
      <c r="B30" s="7" t="n"/>
      <c r="C30" s="17" t="n"/>
      <c r="D30" s="9" t="n"/>
      <c r="E30" s="17" t="n"/>
      <c r="F30" s="9" t="n"/>
      <c r="G30" s="10">
        <f>IF(NOT(AND(ISNUMBER($C30),ISNUMBER($E30))),"",ROUND(MOD($E30-$C30,1)*24,2))</f>
        <v/>
      </c>
      <c r="H30" s="11">
        <f>IF(OR($F30="",$G30=""),"",IF($D30="","INCOMPLETE",IF(AND($D30&gt;=135,$F30&lt;=70,$G30&gt;0,$G30&lt;=2),IF($I30="","INCOMPLETE",IF($I30&lt;=41,"OK","ALERT")),"ALERT")))</f>
        <v/>
      </c>
      <c r="I30" s="18" t="n"/>
      <c r="J30" s="12" t="n"/>
      <c r="K30" s="7" t="n"/>
    </row>
    <row r="31" ht="20" customHeight="1">
      <c r="A31" s="16" t="n"/>
      <c r="B31" s="7" t="n"/>
      <c r="C31" s="17" t="n"/>
      <c r="D31" s="9" t="n"/>
      <c r="E31" s="17" t="n"/>
      <c r="F31" s="9" t="n"/>
      <c r="G31" s="10">
        <f>IF(NOT(AND(ISNUMBER($C31),ISNUMBER($E31))),"",ROUND(MOD($E31-$C31,1)*24,2))</f>
        <v/>
      </c>
      <c r="H31" s="11">
        <f>IF(OR($F31="",$G31=""),"",IF($D31="","INCOMPLETE",IF(AND($D31&gt;=135,$F31&lt;=70,$G31&gt;0,$G31&lt;=2),IF($I31="","INCOMPLETE",IF($I31&lt;=41,"OK","ALERT")),"ALERT")))</f>
        <v/>
      </c>
      <c r="I31" s="18" t="n"/>
      <c r="J31" s="12" t="n"/>
      <c r="K31" s="7" t="n"/>
    </row>
    <row r="32" ht="20" customHeight="1">
      <c r="A32" s="16" t="n"/>
      <c r="B32" s="7" t="n"/>
      <c r="C32" s="17" t="n"/>
      <c r="D32" s="9" t="n"/>
      <c r="E32" s="17" t="n"/>
      <c r="F32" s="9" t="n"/>
      <c r="G32" s="10">
        <f>IF(NOT(AND(ISNUMBER($C32),ISNUMBER($E32))),"",ROUND(MOD($E32-$C32,1)*24,2))</f>
        <v/>
      </c>
      <c r="H32" s="11">
        <f>IF(OR($F32="",$G32=""),"",IF($D32="","INCOMPLETE",IF(AND($D32&gt;=135,$F32&lt;=70,$G32&gt;0,$G32&lt;=2),IF($I32="","INCOMPLETE",IF($I32&lt;=41,"OK","ALERT")),"ALERT")))</f>
        <v/>
      </c>
      <c r="I32" s="18" t="n"/>
      <c r="J32" s="12" t="n"/>
      <c r="K32" s="7" t="n"/>
    </row>
    <row r="33" ht="20" customHeight="1">
      <c r="A33" s="16" t="n"/>
      <c r="B33" s="7" t="n"/>
      <c r="C33" s="17" t="n"/>
      <c r="D33" s="9" t="n"/>
      <c r="E33" s="17" t="n"/>
      <c r="F33" s="9" t="n"/>
      <c r="G33" s="10">
        <f>IF(NOT(AND(ISNUMBER($C33),ISNUMBER($E33))),"",ROUND(MOD($E33-$C33,1)*24,2))</f>
        <v/>
      </c>
      <c r="H33" s="11">
        <f>IF(OR($F33="",$G33=""),"",IF($D33="","INCOMPLETE",IF(AND($D33&gt;=135,$F33&lt;=70,$G33&gt;0,$G33&lt;=2),IF($I33="","INCOMPLETE",IF($I33&lt;=41,"OK","ALERT")),"ALERT")))</f>
        <v/>
      </c>
      <c r="I33" s="18" t="n"/>
      <c r="J33" s="12" t="n"/>
      <c r="K33" s="7" t="n"/>
    </row>
    <row r="34" ht="20" customHeight="1">
      <c r="A34" s="16" t="n"/>
      <c r="B34" s="7" t="n"/>
      <c r="C34" s="17" t="n"/>
      <c r="D34" s="9" t="n"/>
      <c r="E34" s="17" t="n"/>
      <c r="F34" s="9" t="n"/>
      <c r="G34" s="10">
        <f>IF(NOT(AND(ISNUMBER($C34),ISNUMBER($E34))),"",ROUND(MOD($E34-$C34,1)*24,2))</f>
        <v/>
      </c>
      <c r="H34" s="11">
        <f>IF(OR($F34="",$G34=""),"",IF($D34="","INCOMPLETE",IF(AND($D34&gt;=135,$F34&lt;=70,$G34&gt;0,$G34&lt;=2),IF($I34="","INCOMPLETE",IF($I34&lt;=41,"OK","ALERT")),"ALERT")))</f>
        <v/>
      </c>
      <c r="I34" s="18" t="n"/>
      <c r="J34" s="12" t="n"/>
      <c r="K34" s="7" t="n"/>
    </row>
    <row r="35" ht="20" customHeight="1">
      <c r="A35" s="16" t="n"/>
      <c r="B35" s="7" t="n"/>
      <c r="C35" s="17" t="n"/>
      <c r="D35" s="9" t="n"/>
      <c r="E35" s="17" t="n"/>
      <c r="F35" s="9" t="n"/>
      <c r="G35" s="10">
        <f>IF(NOT(AND(ISNUMBER($C35),ISNUMBER($E35))),"",ROUND(MOD($E35-$C35,1)*24,2))</f>
        <v/>
      </c>
      <c r="H35" s="11">
        <f>IF(OR($F35="",$G35=""),"",IF($D35="","INCOMPLETE",IF(AND($D35&gt;=135,$F35&lt;=70,$G35&gt;0,$G35&lt;=2),IF($I35="","INCOMPLETE",IF($I35&lt;=41,"OK","ALERT")),"ALERT")))</f>
        <v/>
      </c>
      <c r="I35" s="18" t="n"/>
      <c r="J35" s="12" t="n"/>
      <c r="K35" s="7" t="n"/>
    </row>
    <row r="36" ht="20" customHeight="1">
      <c r="A36" s="16" t="n"/>
      <c r="B36" s="7" t="n"/>
      <c r="C36" s="17" t="n"/>
      <c r="D36" s="9" t="n"/>
      <c r="E36" s="17" t="n"/>
      <c r="F36" s="9" t="n"/>
      <c r="G36" s="10">
        <f>IF(NOT(AND(ISNUMBER($C36),ISNUMBER($E36))),"",ROUND(MOD($E36-$C36,1)*24,2))</f>
        <v/>
      </c>
      <c r="H36" s="11">
        <f>IF(OR($F36="",$G36=""),"",IF($D36="","INCOMPLETE",IF(AND($D36&gt;=135,$F36&lt;=70,$G36&gt;0,$G36&lt;=2),IF($I36="","INCOMPLETE",IF($I36&lt;=41,"OK","ALERT")),"ALERT")))</f>
        <v/>
      </c>
      <c r="I36" s="18" t="n"/>
      <c r="J36" s="12" t="n"/>
      <c r="K36" s="7" t="n"/>
    </row>
    <row r="37" ht="20" customHeight="1">
      <c r="A37" s="16" t="n"/>
      <c r="B37" s="7" t="n"/>
      <c r="C37" s="17" t="n"/>
      <c r="D37" s="9" t="n"/>
      <c r="E37" s="17" t="n"/>
      <c r="F37" s="9" t="n"/>
      <c r="G37" s="10">
        <f>IF(NOT(AND(ISNUMBER($C37),ISNUMBER($E37))),"",ROUND(MOD($E37-$C37,1)*24,2))</f>
        <v/>
      </c>
      <c r="H37" s="11">
        <f>IF(OR($F37="",$G37=""),"",IF($D37="","INCOMPLETE",IF(AND($D37&gt;=135,$F37&lt;=70,$G37&gt;0,$G37&lt;=2),IF($I37="","INCOMPLETE",IF($I37&lt;=41,"OK","ALERT")),"ALERT")))</f>
        <v/>
      </c>
      <c r="I37" s="18" t="n"/>
      <c r="J37" s="12" t="n"/>
      <c r="K37" s="7" t="n"/>
    </row>
    <row r="38" ht="20" customHeight="1">
      <c r="A38" s="16" t="n"/>
      <c r="B38" s="7" t="n"/>
      <c r="C38" s="17" t="n"/>
      <c r="D38" s="9" t="n"/>
      <c r="E38" s="17" t="n"/>
      <c r="F38" s="9" t="n"/>
      <c r="G38" s="10">
        <f>IF(NOT(AND(ISNUMBER($C38),ISNUMBER($E38))),"",ROUND(MOD($E38-$C38,1)*24,2))</f>
        <v/>
      </c>
      <c r="H38" s="11">
        <f>IF(OR($F38="",$G38=""),"",IF($D38="","INCOMPLETE",IF(AND($D38&gt;=135,$F38&lt;=70,$G38&gt;0,$G38&lt;=2),IF($I38="","INCOMPLETE",IF($I38&lt;=41,"OK","ALERT")),"ALERT")))</f>
        <v/>
      </c>
      <c r="I38" s="18" t="n"/>
      <c r="J38" s="12" t="n"/>
      <c r="K38" s="7" t="n"/>
    </row>
    <row r="39" ht="20" customHeight="1">
      <c r="A39" s="16" t="n"/>
      <c r="B39" s="7" t="n"/>
      <c r="C39" s="17" t="n"/>
      <c r="D39" s="9" t="n"/>
      <c r="E39" s="17" t="n"/>
      <c r="F39" s="9" t="n"/>
      <c r="G39" s="10">
        <f>IF(NOT(AND(ISNUMBER($C39),ISNUMBER($E39))),"",ROUND(MOD($E39-$C39,1)*24,2))</f>
        <v/>
      </c>
      <c r="H39" s="11">
        <f>IF(OR($F39="",$G39=""),"",IF($D39="","INCOMPLETE",IF(AND($D39&gt;=135,$F39&lt;=70,$G39&gt;0,$G39&lt;=2),IF($I39="","INCOMPLETE",IF($I39&lt;=41,"OK","ALERT")),"ALERT")))</f>
        <v/>
      </c>
      <c r="I39" s="18" t="n"/>
      <c r="J39" s="12" t="n"/>
      <c r="K39" s="7" t="n"/>
    </row>
    <row r="40" ht="20" customHeight="1">
      <c r="A40" s="16" t="n"/>
      <c r="B40" s="7" t="n"/>
      <c r="C40" s="17" t="n"/>
      <c r="D40" s="9" t="n"/>
      <c r="E40" s="17" t="n"/>
      <c r="F40" s="9" t="n"/>
      <c r="G40" s="10">
        <f>IF(NOT(AND(ISNUMBER($C40),ISNUMBER($E40))),"",ROUND(MOD($E40-$C40,1)*24,2))</f>
        <v/>
      </c>
      <c r="H40" s="11">
        <f>IF(OR($F40="",$G40=""),"",IF($D40="","INCOMPLETE",IF(AND($D40&gt;=135,$F40&lt;=70,$G40&gt;0,$G40&lt;=2),IF($I40="","INCOMPLETE",IF($I40&lt;=41,"OK","ALERT")),"ALERT")))</f>
        <v/>
      </c>
      <c r="I40" s="18" t="n"/>
      <c r="J40" s="12" t="n"/>
      <c r="K40" s="7" t="n"/>
    </row>
    <row r="41" ht="20" customHeight="1">
      <c r="A41" s="16" t="n"/>
      <c r="B41" s="7" t="n"/>
      <c r="C41" s="17" t="n"/>
      <c r="D41" s="9" t="n"/>
      <c r="E41" s="17" t="n"/>
      <c r="F41" s="9" t="n"/>
      <c r="G41" s="10">
        <f>IF(NOT(AND(ISNUMBER($C41),ISNUMBER($E41))),"",ROUND(MOD($E41-$C41,1)*24,2))</f>
        <v/>
      </c>
      <c r="H41" s="11">
        <f>IF(OR($F41="",$G41=""),"",IF($D41="","INCOMPLETE",IF(AND($D41&gt;=135,$F41&lt;=70,$G41&gt;0,$G41&lt;=2),IF($I41="","INCOMPLETE",IF($I41&lt;=41,"OK","ALERT")),"ALERT")))</f>
        <v/>
      </c>
      <c r="I41" s="18" t="n"/>
      <c r="J41" s="12" t="n"/>
      <c r="K41" s="7" t="n"/>
    </row>
    <row r="42" ht="20" customHeight="1">
      <c r="A42" s="16" t="n"/>
      <c r="B42" s="7" t="n"/>
      <c r="C42" s="17" t="n"/>
      <c r="D42" s="9" t="n"/>
      <c r="E42" s="17" t="n"/>
      <c r="F42" s="9" t="n"/>
      <c r="G42" s="10">
        <f>IF(NOT(AND(ISNUMBER($C42),ISNUMBER($E42))),"",ROUND(MOD($E42-$C42,1)*24,2))</f>
        <v/>
      </c>
      <c r="H42" s="11">
        <f>IF(OR($F42="",$G42=""),"",IF($D42="","INCOMPLETE",IF(AND($D42&gt;=135,$F42&lt;=70,$G42&gt;0,$G42&lt;=2),IF($I42="","INCOMPLETE",IF($I42&lt;=41,"OK","ALERT")),"ALERT")))</f>
        <v/>
      </c>
      <c r="I42" s="18" t="n"/>
      <c r="J42" s="12" t="n"/>
      <c r="K42" s="7" t="n"/>
    </row>
    <row r="43" ht="20" customHeight="1">
      <c r="A43" s="16" t="n"/>
      <c r="B43" s="7" t="n"/>
      <c r="C43" s="17" t="n"/>
      <c r="D43" s="9" t="n"/>
      <c r="E43" s="17" t="n"/>
      <c r="F43" s="9" t="n"/>
      <c r="G43" s="10">
        <f>IF(NOT(AND(ISNUMBER($C43),ISNUMBER($E43))),"",ROUND(MOD($E43-$C43,1)*24,2))</f>
        <v/>
      </c>
      <c r="H43" s="11">
        <f>IF(OR($F43="",$G43=""),"",IF($D43="","INCOMPLETE",IF(AND($D43&gt;=135,$F43&lt;=70,$G43&gt;0,$G43&lt;=2),IF($I43="","INCOMPLETE",IF($I43&lt;=41,"OK","ALERT")),"ALERT")))</f>
        <v/>
      </c>
      <c r="I43" s="18" t="n"/>
      <c r="J43" s="12" t="n"/>
      <c r="K43" s="7" t="n"/>
    </row>
    <row r="44" ht="20" customHeight="1">
      <c r="A44" s="16" t="n"/>
      <c r="B44" s="7" t="n"/>
      <c r="C44" s="17" t="n"/>
      <c r="D44" s="9" t="n"/>
      <c r="E44" s="17" t="n"/>
      <c r="F44" s="9" t="n"/>
      <c r="G44" s="10">
        <f>IF(NOT(AND(ISNUMBER($C44),ISNUMBER($E44))),"",ROUND(MOD($E44-$C44,1)*24,2))</f>
        <v/>
      </c>
      <c r="H44" s="11">
        <f>IF(OR($F44="",$G44=""),"",IF($D44="","INCOMPLETE",IF(AND($D44&gt;=135,$F44&lt;=70,$G44&gt;0,$G44&lt;=2),IF($I44="","INCOMPLETE",IF($I44&lt;=41,"OK","ALERT")),"ALERT")))</f>
        <v/>
      </c>
      <c r="I44" s="18" t="n"/>
      <c r="J44" s="12" t="n"/>
      <c r="K44" s="7" t="n"/>
    </row>
    <row r="46" ht="24.5" customHeight="1">
      <c r="A46" s="13" t="inlineStr">
        <is>
          <t>Enter the time and temperature at the start and measure again at TWO hours and at SIX hours. If at 2 h the product has not dropped to 70 °F or below, or at 6 h to 41 °F or below, the "Status" column says ALERT: discard the product and open the incident in template 11 (Corrective Action Log). If you catch it before the 2-hour mark still above 70 °F, reheat it to 165 °F and restart cooling with a faster method (shallow pans, ice bath, blast chiller).</t>
        </is>
      </c>
    </row>
    <row r="47" ht="12.2" customHeight="1">
      <c r="A47" s="13" t="inlineStr">
        <is>
          <t>"Start Temp" is not optional: without it the row says INCOMPLETE in amber, because there is no way to prove the product started at 135 °F or above. The same happens if the start time and the 2 h time are the same: an interval of zero proves nothing. The 6 h reading is also needed to close the row.</t>
        </is>
      </c>
    </row>
    <row r="48" ht="12.2" customHeight="1">
      <c r="A48" s="13" t="inlineStr">
        <is>
          <t>Tip that avoids almost every alert: pans under 2 in deep, left uncovered until the product drops below 70 °F, and a blast chiller if you have one.</t>
        </is>
      </c>
    </row>
    <row r="49" ht="12.2" customHeight="1">
      <c r="A49" s="13" t="inlineStr">
        <is>
          <t>The sheet calculates the elapsed time even if the cooling crosses midnight.</t>
        </is>
      </c>
    </row>
    <row r="50" ht="12.2" customHeight="1">
      <c r="A50" s="13" t="inlineStr">
        <is>
          <t>Keep these records for at least 2 years (house rule of this kit). FDA Food Code minimum: 90 days for shellstock tags and parasite-destruction records (§3-203.12, §3-402.12); follow your health department if it asks for longer.</t>
        </is>
      </c>
    </row>
    <row r="51" ht="12.2" customHeight="1">
      <c r="A51" s="13" t="inlineStr">
        <is>
          <t>— HACCP Food Safety Kit Pro · AI Chef Pro · aichef.pro</t>
        </is>
      </c>
    </row>
  </sheetData>
  <mergeCells count="7">
    <mergeCell ref="A50:K50"/>
    <mergeCell ref="A48:K48"/>
    <mergeCell ref="A49:K49"/>
    <mergeCell ref="A51:K51"/>
    <mergeCell ref="A47:K47"/>
    <mergeCell ref="A46:K46"/>
    <mergeCell ref="A1:K1"/>
  </mergeCells>
  <conditionalFormatting sqref="H5:H44">
    <cfRule type="expression" priority="1" dxfId="0" stopIfTrue="1">
      <formula>OR(H5="ALERT",H5="REJECT",H5="CHANGE",H5="INVESTIGATE",H5="✗",H5="EXPIRED",H5="EXCESS")</formula>
    </cfRule>
    <cfRule type="expression" priority="2" dxfId="1" stopIfTrue="1">
      <formula>OR(H5="WATCH",H5="⚠",H5="INCOMPLETE",H5="EXPIRES SOON",H5="RENEW",H5="CHLORINE MISSING",H5="TEST MISSING")</formula>
    </cfRule>
    <cfRule type="expression" priority="3" dxfId="2" stopIfTrue="1">
      <formula>OR(H5="OK",H5="✓",H5="Compliant",H5="CURRENT",H5="Complete",H5="PASS")</formula>
    </cfRule>
  </conditionalFormatting>
  <dataValidations count="4">
    <dataValidation sqref="A5:A44" showDropDown="0" showInputMessage="0" showErrorMessage="1" allowBlank="1" errorTitle="Date" error="Enter a date (for example 09/05/2026)." type="date" errorStyle="stop" operator="between">
      <formula1>DATE(2000,1,1)</formula1>
      <formula2>DATE(2100,12,31)</formula2>
    </dataValidation>
    <dataValidation sqref="D5:D44 F5:F44" showDropDown="0" showInputMessage="0" showErrorMessage="1" allowBlank="1" errorTitle="Temperature" error="Enter the temperature in °F, between -22 and 266." type="decimal" errorStyle="stop" operator="between">
      <formula1>-22</formula1>
      <formula2>266</formula2>
    </dataValidation>
    <dataValidation sqref="C5:C44 E5:E44" showDropDown="0" showInputMessage="0" showErrorMessage="1" allowBlank="1" errorTitle="Time" error="Enter the time as a TIME (for example 4:00 PM), not as text: the &quot;Time (h)&quot; column subtracts them and text cannot be subtracted." type="time" errorStyle="stop" operator="between">
      <formula1>TIME(0,0,0)</formula1>
      <formula2>TIME(23,59,59)</formula2>
    </dataValidation>
    <dataValidation sqref="I5:I44" showDropDown="0" showInputMessage="0" showErrorMessage="1" allowBlank="1" errorTitle="Temperature" error="Enter the temperature in °F, between -22 and 266." type="decimal" errorStyle="stop" operator="between">
      <formula1>-22</formula1>
      <formula2>266</formula2>
    </dataValidation>
  </dataValidations>
  <pageMargins left="0.55" right="0.55" top="0.55" bottom="0.55"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50"/>
  <sheetViews>
    <sheetView workbookViewId="0">
      <pane ySplit="4" topLeftCell="A5" activePane="bottomLeft" state="frozen"/>
      <selection pane="bottomLeft" activeCell="A1" sqref="A1"/>
    </sheetView>
  </sheetViews>
  <sheetFormatPr baseColWidth="8" defaultRowHeight="15"/>
  <cols>
    <col width="14" customWidth="1" min="1" max="1"/>
    <col width="30" customWidth="1" min="2" max="2"/>
    <col width="18" customWidth="1" min="3" max="3"/>
    <col width="24" customWidth="1" min="4" max="4"/>
    <col width="26" customWidth="1" min="5" max="5"/>
    <col width="16" customWidth="1" min="6" max="6"/>
    <col width="14" customWidth="1" min="7" max="7"/>
    <col width="14" customWidth="1" min="8" max="8"/>
    <col width="16" customWidth="1" min="9" max="9"/>
    <col width="30" customWidth="1" min="10" max="10"/>
  </cols>
  <sheetData>
    <row r="1">
      <c r="A1" s="4" t="inlineStr">
        <is>
          <t>Controlled Thawing Log</t>
        </is>
      </c>
    </row>
    <row r="2">
      <c r="A2" t="inlineStr">
        <is>
          <t>Month: _______________    In the refrigerator at 41 °F or below, with the product covered and on a tray that catches the drip. Never at room temperature.</t>
        </is>
      </c>
    </row>
    <row r="3" ht="45" customHeight="1">
      <c r="A3" s="19" t="inlineStr">
        <is>
          <t>Max. thawing time (hours):</t>
        </is>
      </c>
      <c r="B3" s="20" t="n">
        <v>24</v>
      </c>
      <c r="C3" s="21" t="inlineStr">
        <is>
          <t>House limit for portions. Large items need longer: allow about 24 h per 4-5 lb (USDA FSIS) and raise this number.</t>
        </is>
      </c>
    </row>
    <row r="4" ht="30" customHeight="1">
      <c r="A4" s="5" t="inlineStr">
        <is>
          <t>Date</t>
        </is>
      </c>
      <c r="B4" s="5" t="inlineStr">
        <is>
          <t>Product</t>
        </is>
      </c>
      <c r="C4" s="5" t="inlineStr">
        <is>
          <t>Lot no.</t>
        </is>
      </c>
      <c r="D4" s="5" t="inlineStr">
        <is>
          <t>Start (date and time)</t>
        </is>
      </c>
      <c r="E4" s="5" t="inlineStr">
        <is>
          <t>End / put into use (date and time)</t>
        </is>
      </c>
      <c r="F4" s="5" t="inlineStr">
        <is>
          <t>Cooler Temp (°F)</t>
        </is>
      </c>
      <c r="G4" s="5" t="inlineStr">
        <is>
          <t>Duration (h)</t>
        </is>
      </c>
      <c r="H4" s="5" t="inlineStr">
        <is>
          <t>Status</t>
        </is>
      </c>
      <c r="I4" s="5" t="inlineStr">
        <is>
          <t>Assigned to</t>
        </is>
      </c>
      <c r="J4" s="5" t="inlineStr">
        <is>
          <t>Notes</t>
        </is>
      </c>
    </row>
    <row r="5" ht="20" customHeight="1">
      <c r="A5" s="16" t="n">
        <v>46270</v>
      </c>
      <c r="B5" s="7" t="inlineStr">
        <is>
          <t>Frozen pork tenderloin</t>
        </is>
      </c>
      <c r="C5" s="12" t="inlineStr">
        <is>
          <t>L-2026-0918</t>
        </is>
      </c>
      <c r="D5" s="22" t="n">
        <v>46270.375</v>
      </c>
      <c r="E5" s="22" t="n">
        <v>46271.33333333334</v>
      </c>
      <c r="F5" s="9" t="n">
        <v>37</v>
      </c>
      <c r="G5" s="15">
        <f>IF(NOT(AND(ISNUMBER($D5),ISNUMBER($E5))),"",ROUND(($E5-$D5)*24,1))</f>
        <v>23.0</v>
      </c>
      <c r="H5" s="11" t="str">
        <f>IF(OR($F5="",$G5=""),"",IF(AND($F5&lt;=41,$G5&lt;=IF($B$3="",24,$B$3)),"OK","ALERT"))</f>
        <v>OK</v>
      </c>
      <c r="I5" s="12" t="inlineStr">
        <is>
          <t>A.R.</t>
        </is>
      </c>
      <c r="J5" s="7" t="inlineStr">
        <is>
          <t>(sample)</t>
        </is>
      </c>
    </row>
    <row r="6" ht="20" customHeight="1">
      <c r="A6" s="16" t="n">
        <v>46272</v>
      </c>
      <c r="B6" s="7" t="inlineStr">
        <is>
          <t>Frozen shrimp</t>
        </is>
      </c>
      <c r="C6" s="12" t="inlineStr">
        <is>
          <t>L-2026-0921</t>
        </is>
      </c>
      <c r="D6" s="22" t="n">
        <v>46272.75</v>
      </c>
      <c r="E6" s="22" t="n">
        <v>46273.45833333334</v>
      </c>
      <c r="F6" s="9" t="n">
        <v>37</v>
      </c>
      <c r="G6" s="15">
        <f>IF(NOT(AND(ISNUMBER($D6),ISNUMBER($E6))),"",ROUND(($E6-$D6)*24,1))</f>
        <v>17.0</v>
      </c>
      <c r="H6" s="11" t="str">
        <f>IF(OR($F6="",$G6=""),"",IF(AND($F6&lt;=41,$G6&lt;=IF($B$3="",24,$B$3)),"OK","ALERT"))</f>
        <v>OK</v>
      </c>
      <c r="I6" s="12" t="inlineStr">
        <is>
          <t>M.S.</t>
        </is>
      </c>
      <c r="J6" s="7" t="inlineStr">
        <is>
          <t>(sample)</t>
        </is>
      </c>
    </row>
    <row r="7" ht="20" customHeight="1">
      <c r="A7" s="16" t="n"/>
      <c r="B7" s="7" t="n"/>
      <c r="C7" s="12" t="n"/>
      <c r="D7" s="22" t="n"/>
      <c r="E7" s="22" t="n"/>
      <c r="F7" s="9" t="n"/>
      <c r="G7" s="15">
        <f>IF(NOT(AND(ISNUMBER($D7),ISNUMBER($E7))),"",ROUND(($E7-$D7)*24,1))</f>
        <v/>
      </c>
      <c r="H7" s="11">
        <f>IF(OR($F7="",$G7=""),"",IF(AND($F7&lt;=41,$G7&lt;=IF($B$3="",24,$B$3)),"OK","ALERT"))</f>
        <v/>
      </c>
      <c r="I7" s="12" t="n"/>
      <c r="J7" s="7" t="n"/>
    </row>
    <row r="8" ht="20" customHeight="1">
      <c r="A8" s="16" t="n"/>
      <c r="B8" s="7" t="n"/>
      <c r="C8" s="12" t="n"/>
      <c r="D8" s="22" t="n"/>
      <c r="E8" s="22" t="n"/>
      <c r="F8" s="9" t="n"/>
      <c r="G8" s="15">
        <f>IF(NOT(AND(ISNUMBER($D8),ISNUMBER($E8))),"",ROUND(($E8-$D8)*24,1))</f>
        <v/>
      </c>
      <c r="H8" s="11">
        <f>IF(OR($F8="",$G8=""),"",IF(AND($F8&lt;=41,$G8&lt;=IF($B$3="",24,$B$3)),"OK","ALERT"))</f>
        <v/>
      </c>
      <c r="I8" s="12" t="n"/>
      <c r="J8" s="7" t="n"/>
    </row>
    <row r="9" ht="20" customHeight="1">
      <c r="A9" s="16" t="n"/>
      <c r="B9" s="7" t="n"/>
      <c r="C9" s="12" t="n"/>
      <c r="D9" s="22" t="n"/>
      <c r="E9" s="22" t="n"/>
      <c r="F9" s="9" t="n"/>
      <c r="G9" s="15">
        <f>IF(NOT(AND(ISNUMBER($D9),ISNUMBER($E9))),"",ROUND(($E9-$D9)*24,1))</f>
        <v/>
      </c>
      <c r="H9" s="11">
        <f>IF(OR($F9="",$G9=""),"",IF(AND($F9&lt;=41,$G9&lt;=IF($B$3="",24,$B$3)),"OK","ALERT"))</f>
        <v/>
      </c>
      <c r="I9" s="12" t="n"/>
      <c r="J9" s="7" t="n"/>
    </row>
    <row r="10" ht="20" customHeight="1">
      <c r="A10" s="16" t="n"/>
      <c r="B10" s="7" t="n"/>
      <c r="C10" s="12" t="n"/>
      <c r="D10" s="22" t="n"/>
      <c r="E10" s="22" t="n"/>
      <c r="F10" s="9" t="n"/>
      <c r="G10" s="15">
        <f>IF(NOT(AND(ISNUMBER($D10),ISNUMBER($E10))),"",ROUND(($E10-$D10)*24,1))</f>
        <v/>
      </c>
      <c r="H10" s="11">
        <f>IF(OR($F10="",$G10=""),"",IF(AND($F10&lt;=41,$G10&lt;=IF($B$3="",24,$B$3)),"OK","ALERT"))</f>
        <v/>
      </c>
      <c r="I10" s="12" t="n"/>
      <c r="J10" s="7" t="n"/>
    </row>
    <row r="11" ht="20" customHeight="1">
      <c r="A11" s="16" t="n"/>
      <c r="B11" s="7" t="n"/>
      <c r="C11" s="12" t="n"/>
      <c r="D11" s="22" t="n"/>
      <c r="E11" s="22" t="n"/>
      <c r="F11" s="9" t="n"/>
      <c r="G11" s="15">
        <f>IF(NOT(AND(ISNUMBER($D11),ISNUMBER($E11))),"",ROUND(($E11-$D11)*24,1))</f>
        <v/>
      </c>
      <c r="H11" s="11">
        <f>IF(OR($F11="",$G11=""),"",IF(AND($F11&lt;=41,$G11&lt;=IF($B$3="",24,$B$3)),"OK","ALERT"))</f>
        <v/>
      </c>
      <c r="I11" s="12" t="n"/>
      <c r="J11" s="7" t="n"/>
    </row>
    <row r="12" ht="20" customHeight="1">
      <c r="A12" s="16" t="n"/>
      <c r="B12" s="7" t="n"/>
      <c r="C12" s="12" t="n"/>
      <c r="D12" s="22" t="n"/>
      <c r="E12" s="22" t="n"/>
      <c r="F12" s="9" t="n"/>
      <c r="G12" s="15">
        <f>IF(NOT(AND(ISNUMBER($D12),ISNUMBER($E12))),"",ROUND(($E12-$D12)*24,1))</f>
        <v/>
      </c>
      <c r="H12" s="11">
        <f>IF(OR($F12="",$G12=""),"",IF(AND($F12&lt;=41,$G12&lt;=IF($B$3="",24,$B$3)),"OK","ALERT"))</f>
        <v/>
      </c>
      <c r="I12" s="12" t="n"/>
      <c r="J12" s="7" t="n"/>
    </row>
    <row r="13" ht="20" customHeight="1">
      <c r="A13" s="16" t="n"/>
      <c r="B13" s="7" t="n"/>
      <c r="C13" s="12" t="n"/>
      <c r="D13" s="22" t="n"/>
      <c r="E13" s="22" t="n"/>
      <c r="F13" s="9" t="n"/>
      <c r="G13" s="15">
        <f>IF(NOT(AND(ISNUMBER($D13),ISNUMBER($E13))),"",ROUND(($E13-$D13)*24,1))</f>
        <v/>
      </c>
      <c r="H13" s="11">
        <f>IF(OR($F13="",$G13=""),"",IF(AND($F13&lt;=41,$G13&lt;=IF($B$3="",24,$B$3)),"OK","ALERT"))</f>
        <v/>
      </c>
      <c r="I13" s="12" t="n"/>
      <c r="J13" s="7" t="n"/>
    </row>
    <row r="14" ht="20" customHeight="1">
      <c r="A14" s="16" t="n"/>
      <c r="B14" s="7" t="n"/>
      <c r="C14" s="12" t="n"/>
      <c r="D14" s="22" t="n"/>
      <c r="E14" s="22" t="n"/>
      <c r="F14" s="9" t="n"/>
      <c r="G14" s="15">
        <f>IF(NOT(AND(ISNUMBER($D14),ISNUMBER($E14))),"",ROUND(($E14-$D14)*24,1))</f>
        <v/>
      </c>
      <c r="H14" s="11">
        <f>IF(OR($F14="",$G14=""),"",IF(AND($F14&lt;=41,$G14&lt;=IF($B$3="",24,$B$3)),"OK","ALERT"))</f>
        <v/>
      </c>
      <c r="I14" s="12" t="n"/>
      <c r="J14" s="7" t="n"/>
    </row>
    <row r="15" ht="20" customHeight="1">
      <c r="A15" s="16" t="n"/>
      <c r="B15" s="7" t="n"/>
      <c r="C15" s="12" t="n"/>
      <c r="D15" s="22" t="n"/>
      <c r="E15" s="22" t="n"/>
      <c r="F15" s="9" t="n"/>
      <c r="G15" s="15">
        <f>IF(NOT(AND(ISNUMBER($D15),ISNUMBER($E15))),"",ROUND(($E15-$D15)*24,1))</f>
        <v/>
      </c>
      <c r="H15" s="11">
        <f>IF(OR($F15="",$G15=""),"",IF(AND($F15&lt;=41,$G15&lt;=IF($B$3="",24,$B$3)),"OK","ALERT"))</f>
        <v/>
      </c>
      <c r="I15" s="12" t="n"/>
      <c r="J15" s="7" t="n"/>
    </row>
    <row r="16" ht="20" customHeight="1">
      <c r="A16" s="16" t="n"/>
      <c r="B16" s="7" t="n"/>
      <c r="C16" s="12" t="n"/>
      <c r="D16" s="22" t="n"/>
      <c r="E16" s="22" t="n"/>
      <c r="F16" s="9" t="n"/>
      <c r="G16" s="15">
        <f>IF(NOT(AND(ISNUMBER($D16),ISNUMBER($E16))),"",ROUND(($E16-$D16)*24,1))</f>
        <v/>
      </c>
      <c r="H16" s="11">
        <f>IF(OR($F16="",$G16=""),"",IF(AND($F16&lt;=41,$G16&lt;=IF($B$3="",24,$B$3)),"OK","ALERT"))</f>
        <v/>
      </c>
      <c r="I16" s="12" t="n"/>
      <c r="J16" s="7" t="n"/>
    </row>
    <row r="17" ht="20" customHeight="1">
      <c r="A17" s="16" t="n"/>
      <c r="B17" s="7" t="n"/>
      <c r="C17" s="12" t="n"/>
      <c r="D17" s="22" t="n"/>
      <c r="E17" s="22" t="n"/>
      <c r="F17" s="9" t="n"/>
      <c r="G17" s="15">
        <f>IF(NOT(AND(ISNUMBER($D17),ISNUMBER($E17))),"",ROUND(($E17-$D17)*24,1))</f>
        <v/>
      </c>
      <c r="H17" s="11">
        <f>IF(OR($F17="",$G17=""),"",IF(AND($F17&lt;=41,$G17&lt;=IF($B$3="",24,$B$3)),"OK","ALERT"))</f>
        <v/>
      </c>
      <c r="I17" s="12" t="n"/>
      <c r="J17" s="7" t="n"/>
    </row>
    <row r="18" ht="20" customHeight="1">
      <c r="A18" s="16" t="n"/>
      <c r="B18" s="7" t="n"/>
      <c r="C18" s="12" t="n"/>
      <c r="D18" s="22" t="n"/>
      <c r="E18" s="22" t="n"/>
      <c r="F18" s="9" t="n"/>
      <c r="G18" s="15">
        <f>IF(NOT(AND(ISNUMBER($D18),ISNUMBER($E18))),"",ROUND(($E18-$D18)*24,1))</f>
        <v/>
      </c>
      <c r="H18" s="11">
        <f>IF(OR($F18="",$G18=""),"",IF(AND($F18&lt;=41,$G18&lt;=IF($B$3="",24,$B$3)),"OK","ALERT"))</f>
        <v/>
      </c>
      <c r="I18" s="12" t="n"/>
      <c r="J18" s="7" t="n"/>
    </row>
    <row r="19" ht="20" customHeight="1">
      <c r="A19" s="16" t="n"/>
      <c r="B19" s="7" t="n"/>
      <c r="C19" s="12" t="n"/>
      <c r="D19" s="22" t="n"/>
      <c r="E19" s="22" t="n"/>
      <c r="F19" s="9" t="n"/>
      <c r="G19" s="15">
        <f>IF(NOT(AND(ISNUMBER($D19),ISNUMBER($E19))),"",ROUND(($E19-$D19)*24,1))</f>
        <v/>
      </c>
      <c r="H19" s="11">
        <f>IF(OR($F19="",$G19=""),"",IF(AND($F19&lt;=41,$G19&lt;=IF($B$3="",24,$B$3)),"OK","ALERT"))</f>
        <v/>
      </c>
      <c r="I19" s="12" t="n"/>
      <c r="J19" s="7" t="n"/>
    </row>
    <row r="20" ht="20" customHeight="1">
      <c r="A20" s="16" t="n"/>
      <c r="B20" s="7" t="n"/>
      <c r="C20" s="12" t="n"/>
      <c r="D20" s="22" t="n"/>
      <c r="E20" s="22" t="n"/>
      <c r="F20" s="9" t="n"/>
      <c r="G20" s="15">
        <f>IF(NOT(AND(ISNUMBER($D20),ISNUMBER($E20))),"",ROUND(($E20-$D20)*24,1))</f>
        <v/>
      </c>
      <c r="H20" s="11">
        <f>IF(OR($F20="",$G20=""),"",IF(AND($F20&lt;=41,$G20&lt;=IF($B$3="",24,$B$3)),"OK","ALERT"))</f>
        <v/>
      </c>
      <c r="I20" s="12" t="n"/>
      <c r="J20" s="7" t="n"/>
    </row>
    <row r="21" ht="20" customHeight="1">
      <c r="A21" s="16" t="n"/>
      <c r="B21" s="7" t="n"/>
      <c r="C21" s="12" t="n"/>
      <c r="D21" s="22" t="n"/>
      <c r="E21" s="22" t="n"/>
      <c r="F21" s="9" t="n"/>
      <c r="G21" s="15">
        <f>IF(NOT(AND(ISNUMBER($D21),ISNUMBER($E21))),"",ROUND(($E21-$D21)*24,1))</f>
        <v/>
      </c>
      <c r="H21" s="11">
        <f>IF(OR($F21="",$G21=""),"",IF(AND($F21&lt;=41,$G21&lt;=IF($B$3="",24,$B$3)),"OK","ALERT"))</f>
        <v/>
      </c>
      <c r="I21" s="12" t="n"/>
      <c r="J21" s="7" t="n"/>
    </row>
    <row r="22" ht="20" customHeight="1">
      <c r="A22" s="16" t="n"/>
      <c r="B22" s="7" t="n"/>
      <c r="C22" s="12" t="n"/>
      <c r="D22" s="22" t="n"/>
      <c r="E22" s="22" t="n"/>
      <c r="F22" s="9" t="n"/>
      <c r="G22" s="15">
        <f>IF(NOT(AND(ISNUMBER($D22),ISNUMBER($E22))),"",ROUND(($E22-$D22)*24,1))</f>
        <v/>
      </c>
      <c r="H22" s="11">
        <f>IF(OR($F22="",$G22=""),"",IF(AND($F22&lt;=41,$G22&lt;=IF($B$3="",24,$B$3)),"OK","ALERT"))</f>
        <v/>
      </c>
      <c r="I22" s="12" t="n"/>
      <c r="J22" s="7" t="n"/>
    </row>
    <row r="23" ht="20" customHeight="1">
      <c r="A23" s="16" t="n"/>
      <c r="B23" s="7" t="n"/>
      <c r="C23" s="12" t="n"/>
      <c r="D23" s="22" t="n"/>
      <c r="E23" s="22" t="n"/>
      <c r="F23" s="9" t="n"/>
      <c r="G23" s="15">
        <f>IF(NOT(AND(ISNUMBER($D23),ISNUMBER($E23))),"",ROUND(($E23-$D23)*24,1))</f>
        <v/>
      </c>
      <c r="H23" s="11">
        <f>IF(OR($F23="",$G23=""),"",IF(AND($F23&lt;=41,$G23&lt;=IF($B$3="",24,$B$3)),"OK","ALERT"))</f>
        <v/>
      </c>
      <c r="I23" s="12" t="n"/>
      <c r="J23" s="7" t="n"/>
    </row>
    <row r="24" ht="20" customHeight="1">
      <c r="A24" s="16" t="n"/>
      <c r="B24" s="7" t="n"/>
      <c r="C24" s="12" t="n"/>
      <c r="D24" s="22" t="n"/>
      <c r="E24" s="22" t="n"/>
      <c r="F24" s="9" t="n"/>
      <c r="G24" s="15">
        <f>IF(NOT(AND(ISNUMBER($D24),ISNUMBER($E24))),"",ROUND(($E24-$D24)*24,1))</f>
        <v/>
      </c>
      <c r="H24" s="11">
        <f>IF(OR($F24="",$G24=""),"",IF(AND($F24&lt;=41,$G24&lt;=IF($B$3="",24,$B$3)),"OK","ALERT"))</f>
        <v/>
      </c>
      <c r="I24" s="12" t="n"/>
      <c r="J24" s="7" t="n"/>
    </row>
    <row r="25" ht="20" customHeight="1">
      <c r="A25" s="16" t="n"/>
      <c r="B25" s="7" t="n"/>
      <c r="C25" s="12" t="n"/>
      <c r="D25" s="22" t="n"/>
      <c r="E25" s="22" t="n"/>
      <c r="F25" s="9" t="n"/>
      <c r="G25" s="15">
        <f>IF(NOT(AND(ISNUMBER($D25),ISNUMBER($E25))),"",ROUND(($E25-$D25)*24,1))</f>
        <v/>
      </c>
      <c r="H25" s="11">
        <f>IF(OR($F25="",$G25=""),"",IF(AND($F25&lt;=41,$G25&lt;=IF($B$3="",24,$B$3)),"OK","ALERT"))</f>
        <v/>
      </c>
      <c r="I25" s="12" t="n"/>
      <c r="J25" s="7" t="n"/>
    </row>
    <row r="26" ht="20" customHeight="1">
      <c r="A26" s="16" t="n"/>
      <c r="B26" s="7" t="n"/>
      <c r="C26" s="12" t="n"/>
      <c r="D26" s="22" t="n"/>
      <c r="E26" s="22" t="n"/>
      <c r="F26" s="9" t="n"/>
      <c r="G26" s="15">
        <f>IF(NOT(AND(ISNUMBER($D26),ISNUMBER($E26))),"",ROUND(($E26-$D26)*24,1))</f>
        <v/>
      </c>
      <c r="H26" s="11">
        <f>IF(OR($F26="",$G26=""),"",IF(AND($F26&lt;=41,$G26&lt;=IF($B$3="",24,$B$3)),"OK","ALERT"))</f>
        <v/>
      </c>
      <c r="I26" s="12" t="n"/>
      <c r="J26" s="7" t="n"/>
    </row>
    <row r="27" ht="20" customHeight="1">
      <c r="A27" s="16" t="n"/>
      <c r="B27" s="7" t="n"/>
      <c r="C27" s="12" t="n"/>
      <c r="D27" s="22" t="n"/>
      <c r="E27" s="22" t="n"/>
      <c r="F27" s="9" t="n"/>
      <c r="G27" s="15">
        <f>IF(NOT(AND(ISNUMBER($D27),ISNUMBER($E27))),"",ROUND(($E27-$D27)*24,1))</f>
        <v/>
      </c>
      <c r="H27" s="11">
        <f>IF(OR($F27="",$G27=""),"",IF(AND($F27&lt;=41,$G27&lt;=IF($B$3="",24,$B$3)),"OK","ALERT"))</f>
        <v/>
      </c>
      <c r="I27" s="12" t="n"/>
      <c r="J27" s="7" t="n"/>
    </row>
    <row r="28" ht="20" customHeight="1">
      <c r="A28" s="16" t="n"/>
      <c r="B28" s="7" t="n"/>
      <c r="C28" s="12" t="n"/>
      <c r="D28" s="22" t="n"/>
      <c r="E28" s="22" t="n"/>
      <c r="F28" s="9" t="n"/>
      <c r="G28" s="15">
        <f>IF(NOT(AND(ISNUMBER($D28),ISNUMBER($E28))),"",ROUND(($E28-$D28)*24,1))</f>
        <v/>
      </c>
      <c r="H28" s="11">
        <f>IF(OR($F28="",$G28=""),"",IF(AND($F28&lt;=41,$G28&lt;=IF($B$3="",24,$B$3)),"OK","ALERT"))</f>
        <v/>
      </c>
      <c r="I28" s="12" t="n"/>
      <c r="J28" s="7" t="n"/>
    </row>
    <row r="29" ht="20" customHeight="1">
      <c r="A29" s="16" t="n"/>
      <c r="B29" s="7" t="n"/>
      <c r="C29" s="12" t="n"/>
      <c r="D29" s="22" t="n"/>
      <c r="E29" s="22" t="n"/>
      <c r="F29" s="9" t="n"/>
      <c r="G29" s="15">
        <f>IF(NOT(AND(ISNUMBER($D29),ISNUMBER($E29))),"",ROUND(($E29-$D29)*24,1))</f>
        <v/>
      </c>
      <c r="H29" s="11">
        <f>IF(OR($F29="",$G29=""),"",IF(AND($F29&lt;=41,$G29&lt;=IF($B$3="",24,$B$3)),"OK","ALERT"))</f>
        <v/>
      </c>
      <c r="I29" s="12" t="n"/>
      <c r="J29" s="7" t="n"/>
    </row>
    <row r="30" ht="20" customHeight="1">
      <c r="A30" s="16" t="n"/>
      <c r="B30" s="7" t="n"/>
      <c r="C30" s="12" t="n"/>
      <c r="D30" s="22" t="n"/>
      <c r="E30" s="22" t="n"/>
      <c r="F30" s="9" t="n"/>
      <c r="G30" s="15">
        <f>IF(NOT(AND(ISNUMBER($D30),ISNUMBER($E30))),"",ROUND(($E30-$D30)*24,1))</f>
        <v/>
      </c>
      <c r="H30" s="11">
        <f>IF(OR($F30="",$G30=""),"",IF(AND($F30&lt;=41,$G30&lt;=IF($B$3="",24,$B$3)),"OK","ALERT"))</f>
        <v/>
      </c>
      <c r="I30" s="12" t="n"/>
      <c r="J30" s="7" t="n"/>
    </row>
    <row r="31" ht="20" customHeight="1">
      <c r="A31" s="16" t="n"/>
      <c r="B31" s="7" t="n"/>
      <c r="C31" s="12" t="n"/>
      <c r="D31" s="22" t="n"/>
      <c r="E31" s="22" t="n"/>
      <c r="F31" s="9" t="n"/>
      <c r="G31" s="15">
        <f>IF(NOT(AND(ISNUMBER($D31),ISNUMBER($E31))),"",ROUND(($E31-$D31)*24,1))</f>
        <v/>
      </c>
      <c r="H31" s="11">
        <f>IF(OR($F31="",$G31=""),"",IF(AND($F31&lt;=41,$G31&lt;=IF($B$3="",24,$B$3)),"OK","ALERT"))</f>
        <v/>
      </c>
      <c r="I31" s="12" t="n"/>
      <c r="J31" s="7" t="n"/>
    </row>
    <row r="32" ht="20" customHeight="1">
      <c r="A32" s="16" t="n"/>
      <c r="B32" s="7" t="n"/>
      <c r="C32" s="12" t="n"/>
      <c r="D32" s="22" t="n"/>
      <c r="E32" s="22" t="n"/>
      <c r="F32" s="9" t="n"/>
      <c r="G32" s="15">
        <f>IF(NOT(AND(ISNUMBER($D32),ISNUMBER($E32))),"",ROUND(($E32-$D32)*24,1))</f>
        <v/>
      </c>
      <c r="H32" s="11">
        <f>IF(OR($F32="",$G32=""),"",IF(AND($F32&lt;=41,$G32&lt;=IF($B$3="",24,$B$3)),"OK","ALERT"))</f>
        <v/>
      </c>
      <c r="I32" s="12" t="n"/>
      <c r="J32" s="7" t="n"/>
    </row>
    <row r="33" ht="20" customHeight="1">
      <c r="A33" s="16" t="n"/>
      <c r="B33" s="7" t="n"/>
      <c r="C33" s="12" t="n"/>
      <c r="D33" s="22" t="n"/>
      <c r="E33" s="22" t="n"/>
      <c r="F33" s="9" t="n"/>
      <c r="G33" s="15">
        <f>IF(NOT(AND(ISNUMBER($D33),ISNUMBER($E33))),"",ROUND(($E33-$D33)*24,1))</f>
        <v/>
      </c>
      <c r="H33" s="11">
        <f>IF(OR($F33="",$G33=""),"",IF(AND($F33&lt;=41,$G33&lt;=IF($B$3="",24,$B$3)),"OK","ALERT"))</f>
        <v/>
      </c>
      <c r="I33" s="12" t="n"/>
      <c r="J33" s="7" t="n"/>
    </row>
    <row r="34" ht="20" customHeight="1">
      <c r="A34" s="16" t="n"/>
      <c r="B34" s="7" t="n"/>
      <c r="C34" s="12" t="n"/>
      <c r="D34" s="22" t="n"/>
      <c r="E34" s="22" t="n"/>
      <c r="F34" s="9" t="n"/>
      <c r="G34" s="15">
        <f>IF(NOT(AND(ISNUMBER($D34),ISNUMBER($E34))),"",ROUND(($E34-$D34)*24,1))</f>
        <v/>
      </c>
      <c r="H34" s="11">
        <f>IF(OR($F34="",$G34=""),"",IF(AND($F34&lt;=41,$G34&lt;=IF($B$3="",24,$B$3)),"OK","ALERT"))</f>
        <v/>
      </c>
      <c r="I34" s="12" t="n"/>
      <c r="J34" s="7" t="n"/>
    </row>
    <row r="35" ht="20" customHeight="1">
      <c r="A35" s="16" t="n"/>
      <c r="B35" s="7" t="n"/>
      <c r="C35" s="12" t="n"/>
      <c r="D35" s="22" t="n"/>
      <c r="E35" s="22" t="n"/>
      <c r="F35" s="9" t="n"/>
      <c r="G35" s="15">
        <f>IF(NOT(AND(ISNUMBER($D35),ISNUMBER($E35))),"",ROUND(($E35-$D35)*24,1))</f>
        <v/>
      </c>
      <c r="H35" s="11">
        <f>IF(OR($F35="",$G35=""),"",IF(AND($F35&lt;=41,$G35&lt;=IF($B$3="",24,$B$3)),"OK","ALERT"))</f>
        <v/>
      </c>
      <c r="I35" s="12" t="n"/>
      <c r="J35" s="7" t="n"/>
    </row>
    <row r="36" ht="20" customHeight="1">
      <c r="A36" s="16" t="n"/>
      <c r="B36" s="7" t="n"/>
      <c r="C36" s="12" t="n"/>
      <c r="D36" s="22" t="n"/>
      <c r="E36" s="22" t="n"/>
      <c r="F36" s="9" t="n"/>
      <c r="G36" s="15">
        <f>IF(NOT(AND(ISNUMBER($D36),ISNUMBER($E36))),"",ROUND(($E36-$D36)*24,1))</f>
        <v/>
      </c>
      <c r="H36" s="11">
        <f>IF(OR($F36="",$G36=""),"",IF(AND($F36&lt;=41,$G36&lt;=IF($B$3="",24,$B$3)),"OK","ALERT"))</f>
        <v/>
      </c>
      <c r="I36" s="12" t="n"/>
      <c r="J36" s="7" t="n"/>
    </row>
    <row r="37" ht="20" customHeight="1">
      <c r="A37" s="16" t="n"/>
      <c r="B37" s="7" t="n"/>
      <c r="C37" s="12" t="n"/>
      <c r="D37" s="22" t="n"/>
      <c r="E37" s="22" t="n"/>
      <c r="F37" s="9" t="n"/>
      <c r="G37" s="15">
        <f>IF(NOT(AND(ISNUMBER($D37),ISNUMBER($E37))),"",ROUND(($E37-$D37)*24,1))</f>
        <v/>
      </c>
      <c r="H37" s="11">
        <f>IF(OR($F37="",$G37=""),"",IF(AND($F37&lt;=41,$G37&lt;=IF($B$3="",24,$B$3)),"OK","ALERT"))</f>
        <v/>
      </c>
      <c r="I37" s="12" t="n"/>
      <c r="J37" s="7" t="n"/>
    </row>
    <row r="38" ht="20" customHeight="1">
      <c r="A38" s="16" t="n"/>
      <c r="B38" s="7" t="n"/>
      <c r="C38" s="12" t="n"/>
      <c r="D38" s="22" t="n"/>
      <c r="E38" s="22" t="n"/>
      <c r="F38" s="9" t="n"/>
      <c r="G38" s="15">
        <f>IF(NOT(AND(ISNUMBER($D38),ISNUMBER($E38))),"",ROUND(($E38-$D38)*24,1))</f>
        <v/>
      </c>
      <c r="H38" s="11">
        <f>IF(OR($F38="",$G38=""),"",IF(AND($F38&lt;=41,$G38&lt;=IF($B$3="",24,$B$3)),"OK","ALERT"))</f>
        <v/>
      </c>
      <c r="I38" s="12" t="n"/>
      <c r="J38" s="7" t="n"/>
    </row>
    <row r="39" ht="20" customHeight="1">
      <c r="A39" s="16" t="n"/>
      <c r="B39" s="7" t="n"/>
      <c r="C39" s="12" t="n"/>
      <c r="D39" s="22" t="n"/>
      <c r="E39" s="22" t="n"/>
      <c r="F39" s="9" t="n"/>
      <c r="G39" s="15">
        <f>IF(NOT(AND(ISNUMBER($D39),ISNUMBER($E39))),"",ROUND(($E39-$D39)*24,1))</f>
        <v/>
      </c>
      <c r="H39" s="11">
        <f>IF(OR($F39="",$G39=""),"",IF(AND($F39&lt;=41,$G39&lt;=IF($B$3="",24,$B$3)),"OK","ALERT"))</f>
        <v/>
      </c>
      <c r="I39" s="12" t="n"/>
      <c r="J39" s="7" t="n"/>
    </row>
    <row r="40" ht="20" customHeight="1">
      <c r="A40" s="16" t="n"/>
      <c r="B40" s="7" t="n"/>
      <c r="C40" s="12" t="n"/>
      <c r="D40" s="22" t="n"/>
      <c r="E40" s="22" t="n"/>
      <c r="F40" s="9" t="n"/>
      <c r="G40" s="15">
        <f>IF(NOT(AND(ISNUMBER($D40),ISNUMBER($E40))),"",ROUND(($E40-$D40)*24,1))</f>
        <v/>
      </c>
      <c r="H40" s="11">
        <f>IF(OR($F40="",$G40=""),"",IF(AND($F40&lt;=41,$G40&lt;=IF($B$3="",24,$B$3)),"OK","ALERT"))</f>
        <v/>
      </c>
      <c r="I40" s="12" t="n"/>
      <c r="J40" s="7" t="n"/>
    </row>
    <row r="41" ht="20" customHeight="1">
      <c r="A41" s="16" t="n"/>
      <c r="B41" s="7" t="n"/>
      <c r="C41" s="12" t="n"/>
      <c r="D41" s="22" t="n"/>
      <c r="E41" s="22" t="n"/>
      <c r="F41" s="9" t="n"/>
      <c r="G41" s="15">
        <f>IF(NOT(AND(ISNUMBER($D41),ISNUMBER($E41))),"",ROUND(($E41-$D41)*24,1))</f>
        <v/>
      </c>
      <c r="H41" s="11">
        <f>IF(OR($F41="",$G41=""),"",IF(AND($F41&lt;=41,$G41&lt;=IF($B$3="",24,$B$3)),"OK","ALERT"))</f>
        <v/>
      </c>
      <c r="I41" s="12" t="n"/>
      <c r="J41" s="7" t="n"/>
    </row>
    <row r="42" ht="20" customHeight="1">
      <c r="A42" s="16" t="n"/>
      <c r="B42" s="7" t="n"/>
      <c r="C42" s="12" t="n"/>
      <c r="D42" s="22" t="n"/>
      <c r="E42" s="22" t="n"/>
      <c r="F42" s="9" t="n"/>
      <c r="G42" s="15">
        <f>IF(NOT(AND(ISNUMBER($D42),ISNUMBER($E42))),"",ROUND(($E42-$D42)*24,1))</f>
        <v/>
      </c>
      <c r="H42" s="11">
        <f>IF(OR($F42="",$G42=""),"",IF(AND($F42&lt;=41,$G42&lt;=IF($B$3="",24,$B$3)),"OK","ALERT"))</f>
        <v/>
      </c>
      <c r="I42" s="12" t="n"/>
      <c r="J42" s="7" t="n"/>
    </row>
    <row r="43" ht="20" customHeight="1">
      <c r="A43" s="16" t="n"/>
      <c r="B43" s="7" t="n"/>
      <c r="C43" s="12" t="n"/>
      <c r="D43" s="22" t="n"/>
      <c r="E43" s="22" t="n"/>
      <c r="F43" s="9" t="n"/>
      <c r="G43" s="15">
        <f>IF(NOT(AND(ISNUMBER($D43),ISNUMBER($E43))),"",ROUND(($E43-$D43)*24,1))</f>
        <v/>
      </c>
      <c r="H43" s="11">
        <f>IF(OR($F43="",$G43=""),"",IF(AND($F43&lt;=41,$G43&lt;=IF($B$3="",24,$B$3)),"OK","ALERT"))</f>
        <v/>
      </c>
      <c r="I43" s="12" t="n"/>
      <c r="J43" s="7" t="n"/>
    </row>
    <row r="44" ht="20" customHeight="1">
      <c r="A44" s="16" t="n"/>
      <c r="B44" s="7" t="n"/>
      <c r="C44" s="12" t="n"/>
      <c r="D44" s="22" t="n"/>
      <c r="E44" s="22" t="n"/>
      <c r="F44" s="9" t="n"/>
      <c r="G44" s="15">
        <f>IF(NOT(AND(ISNUMBER($D44),ISNUMBER($E44))),"",ROUND(($E44-$D44)*24,1))</f>
        <v/>
      </c>
      <c r="H44" s="11">
        <f>IF(OR($F44="",$G44=""),"",IF(AND($F44&lt;=41,$G44&lt;=IF($B$3="",24,$B$3)),"OK","ALERT"))</f>
        <v/>
      </c>
      <c r="I44" s="12" t="n"/>
      <c r="J44" s="7" t="n"/>
    </row>
    <row r="46" ht="24.5" customHeight="1">
      <c r="A46" s="13" t="inlineStr">
        <is>
          <t>The sheet gives OK when the cooler is at 41 °F or below AND the product goes into use within the hours set in cell B3 (24 by default) from the START of thawing. It is the same criterion declared by the hazard analysis in template 12 (HACCP Plan). Large items need longer: allow about 24 h per 4-5 lb (USDA FSIS) and raise B3. A thawed product is NOT refrozen (house rule of this kit).</t>
        </is>
      </c>
    </row>
    <row r="47" ht="12.2" customHeight="1">
      <c r="A47" s="13" t="inlineStr">
        <is>
          <t>Enter the start and the end with date AND time (for example 09/05/2026 9:00 AM): the "Duration" column subtracts them.</t>
        </is>
      </c>
    </row>
    <row r="48" ht="12.2" customHeight="1">
      <c r="A48" s="13" t="inlineStr">
        <is>
          <t>Thawing at room temperature is a Priority foundation violation (§3-501.13): it appears as such in the health inspection checklist, template 15 (Health Inspection Self-Checklist), and as a CCP in the hazard analysis, template 12 (HACCP Plan).</t>
        </is>
      </c>
    </row>
    <row r="49" ht="12.2" customHeight="1">
      <c r="A49" s="13" t="inlineStr">
        <is>
          <t>Keep these records for at least 2 years (house rule of this kit). FDA Food Code minimum: 90 days for shellstock tags and parasite-destruction records (§3-203.12, §3-402.12); follow your health department if it asks for longer.</t>
        </is>
      </c>
    </row>
    <row r="50" ht="12.2" customHeight="1">
      <c r="A50" s="13" t="inlineStr">
        <is>
          <t>— HACCP Food Safety Kit Pro · AI Chef Pro · aichef.pro</t>
        </is>
      </c>
    </row>
  </sheetData>
  <mergeCells count="6">
    <mergeCell ref="A47:J47"/>
    <mergeCell ref="A1:J1"/>
    <mergeCell ref="A46:J46"/>
    <mergeCell ref="A50:J50"/>
    <mergeCell ref="A48:J48"/>
    <mergeCell ref="A49:J49"/>
  </mergeCells>
  <conditionalFormatting sqref="H5:H44">
    <cfRule type="expression" priority="1" dxfId="0" stopIfTrue="1">
      <formula>OR(H5="ALERT",H5="REJECT",H5="CHANGE",H5="INVESTIGATE",H5="✗",H5="EXPIRED",H5="EXCESS")</formula>
    </cfRule>
    <cfRule type="expression" priority="2" dxfId="1" stopIfTrue="1">
      <formula>OR(H5="WATCH",H5="⚠",H5="INCOMPLETE",H5="EXPIRES SOON",H5="RENEW",H5="CHLORINE MISSING",H5="TEST MISSING")</formula>
    </cfRule>
    <cfRule type="expression" priority="3" dxfId="2" stopIfTrue="1">
      <formula>OR(H5="OK",H5="✓",H5="Compliant",H5="CURRENT",H5="Complete",H5="PASS")</formula>
    </cfRule>
  </conditionalFormatting>
  <dataValidations count="3">
    <dataValidation sqref="A5:A44" showDropDown="0" showInputMessage="0" showErrorMessage="1" allowBlank="1" errorTitle="Date" error="Enter a date (for example 09/05/2026). If the cell stays as text, the sheet cannot calculate anything." type="date" errorStyle="stop" operator="between">
      <formula1>DATE(2000,1,1)</formula1>
      <formula2>DATE(2100,12,31)</formula2>
    </dataValidation>
    <dataValidation sqref="F5:F44" showDropDown="0" showInputMessage="0" showErrorMessage="1" allowBlank="1" errorTitle="Cooler temperature" error="Enter the cooler temperature in °F, between 23 and 68." type="decimal" errorStyle="stop" operator="between">
      <formula1>23</formula1>
      <formula2>68</formula2>
    </dataValidation>
    <dataValidation sqref="D5:D44 E5:E44" showDropDown="0" showInputMessage="0" showErrorMessage="1" allowBlank="1" errorTitle="Date and time" error="Enter the date WITH the time (for example 09/05/2026 9:00 AM). If the cell stays as text, the &quot;Duration (h)&quot; cannot be calculated and the Status stays blank." type="date" errorStyle="stop" operator="between">
      <formula1>DATE(2000,1,1)</formula1>
      <formula2>DATE(2100,12,31)</formula2>
    </dataValidation>
  </dataValidations>
  <pageMargins left="0.55" right="0.55" top="0.55" bottom="0.55"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Cooling &amp; Thawing Log (2-Stage Cooling)</dc:title>
  <dc:description xmlns:dc="http://purl.org/dc/elements/1.1/">aichef.pro/en/digital-products/haccp-templates</dc:description>
  <dc:subject xmlns:dc="http://purl.org/dc/elements/1.1/">HACCP Food Safety Kit Pro · v2.0</dc:subject>
  <dcterms:created xmlns:dcterms="http://purl.org/dc/terms/" xmlns:xsi="http://www.w3.org/2001/XMLSchema-instance" xsi:type="dcterms:W3CDTF">2026-08-22T19:31:21Z</dcterms:created>
  <dcterms:modified xmlns:dcterms="http://purl.org/dc/terms/" xmlns:xsi="http://www.w3.org/2001/XMLSchema-instance" xsi:type="dcterms:W3CDTF">2026-10-03T13:22:43Z</dcterms:modified>
  <cp:lastModifiedBy>AI Chef Pro</cp:lastModifiedBy>
  <cp:category>AI Chef Pro · Digital products</cp:category>
  <cp:keywords>haccp plan template, food safety logs, AI Chef Pro</cp:keywords>
</cp:coreProperties>
</file>