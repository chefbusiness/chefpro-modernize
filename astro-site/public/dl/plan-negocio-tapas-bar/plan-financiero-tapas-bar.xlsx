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5" fontId="10" fillId="0" borderId="3" pivotButton="0" quotePrefix="0" xfId="0"/>
    <xf numFmtId="0" fontId="9" fillId="0" borderId="3" pivotButton="0" quotePrefix="0" xfId="0"/>
    <xf numFmtId="164" fontId="9" fillId="4" borderId="3" applyProtection="1" pivotButton="0" quotePrefix="0" xfId="0">
      <protection locked="0" hidden="0"/>
    </xf>
    <xf numFmtId="165"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5"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6" fontId="9" fillId="0" borderId="3" pivotButton="0" quotePrefix="0" xfId="0"/>
    <xf numFmtId="3" fontId="0" fillId="0" borderId="0" pivotButton="0" quotePrefix="0" xfId="0"/>
    <xf numFmtId="165"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6" fontId="10" fillId="0" borderId="3" pivotButton="0" quotePrefix="0" xfId="0"/>
    <xf numFmtId="167" fontId="0" fillId="0" borderId="0" pivotButton="0" quotePrefix="0" xfId="0"/>
    <xf numFmtId="3" fontId="9" fillId="4" borderId="3" applyProtection="1" pivotButton="0" quotePrefix="0" xfId="0">
      <protection locked="0" hidden="0"/>
    </xf>
    <xf numFmtId="166"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4" borderId="3" applyProtection="1" pivotButton="0" quotePrefix="0" xfId="0">
      <protection locked="0" hidden="0"/>
    </xf>
    <xf numFmtId="4" fontId="9"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Cubiertos/día (media del año 1)</t>
        </is>
      </c>
      <c r="B4" s="18" t="n">
        <v>56</v>
      </c>
      <c r="C4" t="inlineStr">
        <is>
          <t>Clientes servidos al día de media del año, tapeo de barra y raciones de mesa incluidos. Son 1,24 servicios por plaza y día sobre el aforo de esta misma hoja; el documento de este plan describe rotaciones de 1,8 en el almuerzo y 1,5 en la cena con ocupaciones del 65 % y el 75 %, así que el caso base se proyecta muy por debajo, a propósito</t>
        </is>
      </c>
    </row>
    <row r="5">
      <c r="A5" t="inlineStr">
        <is>
          <t>Ticket medio SIN IVA (€)</t>
        </is>
      </c>
      <c r="B5" s="19" t="n">
        <v>18</v>
      </c>
      <c r="C5" t="inlineStr">
        <is>
          <t>SIN IVA. Es el mismo 18 € del fichero v1.1: declarar que es SIN IVA no cambia ningún número, sólo aclara qué era. Con el IVA de sala son 19,80 € de PVP —lo calcula la celda «PVP equivalente con IVA» de abajo—, dentro del rango de 15-22 € que la hoja «Instrucciones» publica como ticket medio de un tapas bar</t>
        </is>
      </c>
    </row>
    <row r="6">
      <c r="A6" t="inlineStr">
        <is>
          <t>Días de apertura al año</t>
        </is>
      </c>
      <c r="B6" s="18" t="n">
        <v>300</v>
      </c>
      <c r="C6" t="inlineStr">
        <is>
          <t>El MISMO dato lo usan el P&amp;L, el punto de equilibrio y los escenarios: el fichero v1.1 tenía DOS calendarios distintos (Escenarios!B7:D7: 310-320 días/año; 'PyG 3 Años'!B10 = 270.000 € está calculado con 300 días). Se elige 300 por ser el más prudente de los dos y el que la propia cuenta de resultados ya usaba, no un dato nuevo</t>
        </is>
      </c>
    </row>
    <row r="7">
      <c r="A7" t="inlineStr">
        <is>
          <t>Crecimiento de volumen del año 2</t>
        </is>
      </c>
      <c r="B7" s="20" t="n">
        <v>0.15</v>
      </c>
      <c r="C7" t="inlineStr">
        <is>
          <t>El fichero v1.1 proyectaba 320.000 € en el año 2 sobre 270.000 € (+18,5 %): se redondea a la baja para no depender de la consolidación de la clientela afterwork en el primer año</t>
        </is>
      </c>
    </row>
    <row r="8">
      <c r="A8" t="inlineStr">
        <is>
          <t>Crecimiento de volumen del año 3</t>
        </is>
      </c>
      <c r="B8" s="20" t="n">
        <v>0.1</v>
      </c>
      <c r="C8" t="inlineStr">
        <is>
          <t>El fichero v1.1 proyectaba 370.000 € sobre 320.000 € (+15,6 %): igual, redondeado a la baja</t>
        </is>
      </c>
    </row>
    <row r="9">
      <c r="A9" t="inlineStr">
        <is>
          <t>PVP equivalente con IVA (calculado)</t>
        </is>
      </c>
      <c r="B9" s="21">
        <f>IFERROR(IF($B$5="","",$B$5*(1+SUMPRODUCT('PyG 3 Años'!$E$10:$E$11,'PyG 3 Años'!$G$10:$G$11))),"")</f>
        <v>19.8</v>
      </c>
      <c r="C9" t="str">
        <f>IFERROR("Ticket sin IVA más el IVA medio ponderado de tus líneas de venta: "&amp;TEXT(SUMPRODUCT('PyG 3 Años'!$E$10:$E$11,'PyG 3 Años'!$G$10:$G$11)*100,"0")&amp;"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16" t="inlineStr">
        <is>
          <t>MIX Y COSTE DE MERCANCÍA</t>
        </is>
      </c>
    </row>
    <row r="11">
      <c r="A11" t="inlineStr">
        <is>
          <t>Ventas de COMIDA sobre el total</t>
        </is>
      </c>
      <c r="B11" s="20" t="n">
        <v>0.5556</v>
      </c>
      <c r="C11" t="inlineStr">
        <is>
          <t>Peso de la COMIDA sobre el total de ventas. Es un INPUT: cámbialo aquí y el P&amp;L, la tesorería y el IVA repercutido se recalculan solos</t>
        </is>
      </c>
    </row>
    <row r="12">
      <c r="A12" t="inlineStr">
        <is>
          <t>Ventas de BEBIDA sobre el total</t>
        </is>
      </c>
      <c r="B12" s="22">
        <f>IFERROR(IF(COUNT(B11)=0,"",1-B11),"")</f>
        <v>0.4444</v>
      </c>
      <c r="C12" t="inlineStr">
        <is>
          <t>Se calcula como el resto: comida + bebida = 100 %</t>
        </is>
      </c>
    </row>
    <row r="13">
      <c r="A13" t="inlineStr">
        <is>
          <t>Coste de mercancía sobre las ventas de COMIDA</t>
        </is>
      </c>
      <c r="B13" s="20" t="n">
        <v>0.3</v>
      </c>
      <c r="C13" t="inlineStr">
        <is>
          <t>Food cost de tapas y raciones: dentro del 28-32 % que la hoja «Instrucciones» de este mismo libro declara para tapas y raciones. Coincide con el 43.500/145.000 = 30 % que ya tenía la v1.1</t>
        </is>
      </c>
    </row>
    <row r="14">
      <c r="A14" t="inlineStr">
        <is>
          <t>Coste de mercancía sobre las ventas de BEBIDA</t>
        </is>
      </c>
      <c r="B14" s="20" t="n">
        <v>0.25</v>
      </c>
      <c r="C14" t="inlineStr">
        <is>
          <t>Coste de cerveza, vino, vermut y cócteles sobre sus propias ventas: media ponderada entre el 22-28 % de cerveza y vino y el 18-25 % de cócteles que publica la hoja «Instrucciones». Coincide con (23.750+6.250)/(95.000+25.000) = 25 % de la v1.1</t>
        </is>
      </c>
    </row>
    <row r="15">
      <c r="A15" t="inlineStr">
        <is>
          <t>Consumibles sobre ventas</t>
        </is>
      </c>
      <c r="B15" s="20" t="n">
        <v>0.01</v>
      </c>
      <c r="C15" t="inlineStr">
        <is>
          <t>Vajilla desechable de take-away, servilletas y papel de barra</t>
        </is>
      </c>
    </row>
    <row r="16">
      <c r="A16" t="inlineStr">
        <is>
          <t>Ventas por delivery sobre el total</t>
        </is>
      </c>
      <c r="B16" s="20" t="n">
        <v>0</v>
      </c>
      <c r="C16" t="inlineStr">
        <is>
          <t>A CERO por defecto: el checklist de este plan lo deja para el mes 2-3 y sólo si el margen lo permite, no para el día 1. Súbelo al peso real del canal cuando lo actives</t>
        </is>
      </c>
    </row>
    <row r="17">
      <c r="A17" t="inlineStr">
        <is>
          <t>Comisión de la plataforma de delivery</t>
        </is>
      </c>
      <c r="B17" s="20" t="n">
        <v>0.3</v>
      </c>
      <c r="C17" t="inlineStr">
        <is>
          <t>El propio checklist v1.1 ya cita el rango: «Solo si margen lo permite (comisiones 25-35%)» — se toma el punto medio</t>
        </is>
      </c>
    </row>
    <row r="18">
      <c r="A18" t="inlineStr">
        <is>
          <t>Comisión de los medios de pago</t>
        </is>
      </c>
      <c r="B18" s="20" t="n">
        <v>0.008</v>
      </c>
      <c r="C18" t="inlineStr">
        <is>
          <t>Tarjeta y bizum sobre el total facturado; un tapas bar con barra prominente cobra en tarjeta la mayoría de las consumiciones</t>
        </is>
      </c>
    </row>
    <row r="19">
      <c r="A19" s="16" t="inlineStr">
        <is>
          <t>PERSONAL</t>
        </is>
      </c>
    </row>
    <row r="20">
      <c r="A20" t="inlineStr">
        <is>
          <t>Seguridad Social a cargo de la empresa</t>
        </is>
      </c>
      <c r="B20" s="20"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2500</v>
      </c>
      <c r="C24" t="inlineStr">
        <is>
          <t>Local de tapas bar/gastrobar de 60-80 m² con barra prominente + terraza. 9,9 % de las ventas del caso base, por debajo del techo del 12 % que fija la hoja «Instrucciones» de este mismo libro</t>
        </is>
      </c>
    </row>
    <row r="25">
      <c r="A25" t="inlineStr">
        <is>
          <t>Fianza del alquiler (meses)</t>
        </is>
      </c>
      <c r="B25" s="18" t="n">
        <v>3</v>
      </c>
      <c r="C25" t="inlineStr">
        <is>
          <t>Tres meses de renta, como en el contrato tipo de local de negocio</t>
        </is>
      </c>
    </row>
    <row r="26">
      <c r="A26" t="inlineStr">
        <is>
          <t>Suministros mensuales de luz, agua y gas (€)</t>
        </is>
      </c>
      <c r="B26" s="23" t="n">
        <v>800</v>
      </c>
      <c r="C26" t="inlineStr">
        <is>
          <t>Luz, agua y gas de cocina con plancha, freidora y horno + barra de grifos de cerveza (enfriador): pide el histórico del local antes de firmar</t>
        </is>
      </c>
    </row>
    <row r="27">
      <c r="A27" t="inlineStr">
        <is>
          <t>Seguros (€/año)</t>
        </is>
      </c>
      <c r="B27" s="23" t="n">
        <v>2400</v>
      </c>
      <c r="C27" t="inlineStr">
        <is>
          <t>Responsabilidad civil (mínimo 300.000 €, como pide el checklist en su fase de local) + multirriesgo del local</t>
        </is>
      </c>
    </row>
    <row r="28">
      <c r="A28" t="inlineStr">
        <is>
          <t>Varios e imprevistos sobre ventas</t>
        </is>
      </c>
      <c r="B28" s="20" t="n">
        <v>0.01</v>
      </c>
      <c r="C28" t="inlineStr">
        <is>
          <t>Colchón de gasto corriente no presupuestado. Es un coste VARIABLE: sube y baja con la facturación, así que no puede vivir entre los costes fijos; la v1.1 lo llevaba ahí como una fila de importe fijo</t>
        </is>
      </c>
    </row>
    <row r="29">
      <c r="A29" s="16" t="inlineStr">
        <is>
          <t>FINANCIACIÓN</t>
        </is>
      </c>
    </row>
    <row r="30">
      <c r="A30" t="inlineStr">
        <is>
          <t>Recursos propios aportados (€)</t>
        </is>
      </c>
      <c r="B30" s="23" t="n">
        <v>50000</v>
      </c>
      <c r="C30" t="inlineStr">
        <is>
          <t>Aportación de los socios. Con menos, el banco no entra: pide un 25-30 % de fondos propios sobre la necesidad de caja de este plan. En el caso base son el 29 %</t>
        </is>
      </c>
    </row>
    <row r="31">
      <c r="A31" t="inlineStr">
        <is>
          <t>Préstamo bancario solicitado (€)</t>
        </is>
      </c>
      <c r="B31" s="23" t="n">
        <v>129000</v>
      </c>
      <c r="C31" t="inlineStr">
        <is>
          <t>Principal solicitado. La hoja de Financiación comprueba que origen y usos cuadran con la necesidad de caja calculada en la hoja de Inversión, y trae una celda que calcula el importe exacto que los ajusta</t>
        </is>
      </c>
    </row>
    <row r="32">
      <c r="A32" t="inlineStr">
        <is>
          <t>Tipo de interés nominal anual</t>
        </is>
      </c>
      <c r="B32" s="20" t="n">
        <v>0.06</v>
      </c>
      <c r="C32" t="inlineStr">
        <is>
          <t>Tipo nominal anual; pide oferta a dos entidades y a una línea ICO antes de fijarlo</t>
        </is>
      </c>
    </row>
    <row r="33">
      <c r="A33" t="inlineStr">
        <is>
          <t>Plazo del préstamo (años)</t>
        </is>
      </c>
      <c r="B33" s="18" t="n">
        <v>7</v>
      </c>
      <c r="C33" t="inlineStr">
        <is>
          <t>Años totales, carencia incluida</t>
        </is>
      </c>
    </row>
    <row r="34">
      <c r="A34" t="inlineStr">
        <is>
          <t>Carencia de principal (años)</t>
        </is>
      </c>
      <c r="B34" s="18" t="n">
        <v>1</v>
      </c>
      <c r="C34" t="inlineStr">
        <is>
          <t>Primer año sólo intereses, que es cuando la caja está más tensa (obra + primeras semanas de rodaje)</t>
        </is>
      </c>
    </row>
    <row r="35">
      <c r="A35" t="inlineStr">
        <is>
          <t>Fondo de maniobra (meses de costes fijos)</t>
        </is>
      </c>
      <c r="B35" s="18" t="n">
        <v>3</v>
      </c>
      <c r="C35" t="inlineStr">
        <is>
          <t>Mínimo que exige este mismo libro (Instrucciones): un colchón por debajo de 3 meses no cubre un bache de temporada baja</t>
        </is>
      </c>
    </row>
    <row r="36">
      <c r="A36" s="16" t="inlineStr">
        <is>
          <t>FISCAL</t>
        </is>
      </c>
    </row>
    <row r="37">
      <c r="A37" t="inlineStr">
        <is>
          <t>Impuesto de Sociedades, nueva creación</t>
        </is>
      </c>
      <c r="B37" s="20"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0"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0" t="n">
        <v>0.1</v>
      </c>
      <c r="C39" t="inlineStr">
        <is>
          <t>Tipo reducido de hostelería</t>
        </is>
      </c>
    </row>
    <row r="40">
      <c r="A40" t="inlineStr">
        <is>
          <t>IVA repercutido/soportado general</t>
        </is>
      </c>
      <c r="B40" s="20"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0"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instalaciones, extracción y decoración de un tapas bar con cocina clasificada. Coincide con los «10 años» que ya citaba la v1.1. Coeficientes de la tabla del art. 12.1 LIS: confírmalo con tu asesor</t>
        </is>
      </c>
    </row>
    <row r="45">
      <c r="A45" t="inlineStr">
        <is>
          <t>Vida útil de maquinaria y mobiliario (años)</t>
        </is>
      </c>
      <c r="B45" s="18" t="n">
        <v>8</v>
      </c>
      <c r="C45" t="inlineStr">
        <is>
          <t>Plancha, freidora, horno, cámaras, grifos de cerveza y mobiliario de barra. Coeficiente lineal máximo del art. 12.1 LIS: 12 % maquinaria, 10 % mobiliario — por debajo de 8-10 años el exceso no es deducible. Confírmalo con tu asesor</t>
        </is>
      </c>
    </row>
    <row r="46"/>
    <row r="47">
      <c r="A47" s="16" t="inlineStr">
        <is>
          <t>CRECIMIENTO Y ACTUALIZACIÓN DE COSTES</t>
        </is>
      </c>
    </row>
    <row r="48">
      <c r="A48" t="inlineStr">
        <is>
          <t>Subida anual de los costes fijos</t>
        </is>
      </c>
      <c r="B48" s="20"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1.2444444444444445</v>
      </c>
      <c r="C50" t="str">
        <f>IFERROR("Son "&amp;TEXT(INT(ROUND(B50,1)),"0")&amp;","&amp;TEXT(ROUND(MOD(ROUND(B50,1),1)*10,0),"0")&amp;" servicios por plaza y día sobre las "&amp;TEXT($B$51,"0")&amp;" plazas de la celda de arriba. El documento de este plan pide 1,8 servicios por cubierto en el almuerzo y 1,5 en la cena, que sumados son unas 3,3 rotaciones al día: por encima del techo de 3 que trae por defecto la hoja «Punto Equilibrio». Ajusta ese techo a tu horario y a tu aforo reales antes de dar por buena ninguna de las dos cifras.","")</f>
        <v>Son 1,2 servicios por plaza y día sobre las 45 plazas de la celda de arriba. El documento de este plan pide 1,8 servicios por cubierto en el almuerzo y 1,5 en la cena, que sumados son unas 3,3 rotaciones al día: por encima del techo de 3 que trae por defecto la hoja «Punto Equilibrio». Ajusta ese techo a tu horario y a tu aforo reales antes de dar por buena ninguna de las dos cifras.</v>
      </c>
    </row>
    <row r="51">
      <c r="A51" t="inlineStr">
        <is>
          <t>Aforo del local (plazas sentadas + barra)</t>
        </is>
      </c>
      <c r="B51" s="18" t="n">
        <v>45</v>
      </c>
      <c r="C51" t="inlineStr">
        <is>
          <t>Aforo TOTAL del local: sala, barra y terraza. El documento de este plan describe «una capacidad total de 40 a 50 plazas» para un local de 60-80 m² con terraza, y 45 es el punto medio. De aquí sale la rotación implícita: clientes/día ÷ aforo. Cuéntalo sobre el plano de tu local, no lo copies: si tu terraza es grande, el aforo sube y la rotación baja</t>
        </is>
      </c>
    </row>
    <row r="52">
      <c r="A52" t="inlineStr">
        <is>
          <t>Actividad del mes 1 sobre la de crucero</t>
        </is>
      </c>
      <c r="B52" s="20"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18" t="n">
        <v>6</v>
      </c>
      <c r="C53" t="inlineStr">
        <is>
          <t>La rampa sube en línea recta desde el porcentaje de arriba hasta el 100 % en este número de meses</t>
        </is>
      </c>
    </row>
    <row r="54">
      <c r="A54" t="inlineStr">
        <is>
          <t>Meses de alquiler ANTES de abrir (obra y licencias)</t>
        </is>
      </c>
      <c r="B54" s="18" t="n">
        <v>1</v>
      </c>
      <c r="C54" t="inlineStr">
        <is>
          <t>El local se paga desde que se firma. Estos meses son inversión: NO se solapan con el P&amp;L, que arranca el día de la apertura</t>
        </is>
      </c>
    </row>
    <row r="55">
      <c r="A55" t="inlineStr">
        <is>
          <t>Imprevistos sobre las partidas de OBRA del bloque de local (%)</t>
        </is>
      </c>
      <c r="B55" s="20" t="n">
        <v>0.1</v>
      </c>
      <c r="C55" t="inlineStr">
        <is>
          <t>Colchón sobre la partida de obra y acondicionamiento. Un banco no financia una reforma sin él</t>
        </is>
      </c>
    </row>
    <row r="56"/>
    <row r="57">
      <c r="A57" s="16" t="inlineStr">
        <is>
          <t>COBROS, PAGOS Y DESGLOSE DEL IVA</t>
        </is>
      </c>
    </row>
    <row r="58">
      <c r="A58" t="inlineStr">
        <is>
          <t>Días medios de cobro</t>
        </is>
      </c>
      <c r="B58" s="18" t="n">
        <v>0</v>
      </c>
      <c r="C58" t="inlineStr">
        <is>
          <t>En barra y sala se cobra al contado (0 días). Súbelo si trabajas con plataformas de reserva o de reparto, que liquidan a D+1/D+30</t>
        </is>
      </c>
    </row>
    <row r="59">
      <c r="A59" t="inlineStr">
        <is>
          <t>Días medios de pago a proveedor</t>
        </is>
      </c>
      <c r="B59" s="18" t="n">
        <v>30</v>
      </c>
      <c r="C59" t="inlineStr">
        <is>
          <t>Lo que te financian tus proveedores. Es lo primero que se pierde si te retrasas en un pago</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20" t="n">
        <v>0.85</v>
      </c>
      <c r="C62" t="inlineStr">
        <is>
          <t>Bebida ALCOHÓLICA sobre el total de bebida: la línea de bebida de este plan es cerveza, vino, vermut y cócteles/destilados — un tapas bar con la «barra prominente» que describe el documento de este plan vende sobre todo alcohol. El resto —refrescos, agua, algún café— va al IVA reducido de hostelería</t>
        </is>
      </c>
    </row>
    <row r="63">
      <c r="A63" t="inlineStr">
        <is>
          <t>IVA de la bebida ALCOHÓLICA servida en sala</t>
        </is>
      </c>
      <c r="B63" s="20" t="n">
        <v>0.1</v>
      </c>
      <c r="C63" t="inlineStr">
        <is>
          <t>10 %, igual que el resto del consumo en sala: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20" t="n">
        <v>0.15</v>
      </c>
      <c r="C67" t="inlineStr">
        <is>
          <t>Cuánto puedes caer sobre lo previsto antes de entrar en pérdidas</t>
        </is>
      </c>
    </row>
    <row r="68">
      <c r="A68" t="inlineStr">
        <is>
          <t>Suelo salarial anual del convenio provincial (€)</t>
        </is>
      </c>
      <c r="B68" s="23" t="n">
        <v>0</v>
      </c>
      <c r="C68" t="inlineStr">
        <is>
          <t>El convenio PROVINCIAL de hostelería, no el SMI, es el suelo real del sector: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TAPAS BAR / GASTROBAR</t>
        </is>
      </c>
    </row>
    <row r="2">
      <c r="A2" s="2" t="inlineStr">
        <is>
          <t>Inversión Inicial Estimada — España 2026</t>
        </is>
      </c>
    </row>
    <row r="3">
      <c r="A3" s="3" t="inlineStr">
        <is>
          <t>Ajusta las cifras a tu proyecto. Rangos mercado español actual.</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109450.0</v>
      </c>
      <c r="C6" s="28">
        <f>IFERROR(B6/$B$30,"")</f>
        <v>0.7138333667042551</v>
      </c>
      <c r="D6" s="29" t="n"/>
      <c r="E6" s="29" t="n"/>
    </row>
    <row r="7">
      <c r="A7" s="29" t="inlineStr">
        <is>
          <t>Constitución SL + notaría + registro</t>
        </is>
      </c>
      <c r="B7" s="30" t="n">
        <v>800</v>
      </c>
      <c r="C7" s="31">
        <f>IFERROR(B7/$B$30,"")</f>
        <v>0.00521760341126911</v>
      </c>
      <c r="D7" s="29" t="inlineStr">
        <is>
          <t>SL unipersonal express 3-5 días</t>
        </is>
      </c>
      <c r="E7" s="32" t="inlineStr">
        <is>
          <t>No</t>
        </is>
      </c>
    </row>
    <row r="8">
      <c r="A8" s="29" t="inlineStr">
        <is>
          <t>Licencia de actividad (clasificada)</t>
        </is>
      </c>
      <c r="B8" s="30" t="n">
        <v>1200</v>
      </c>
      <c r="C8" s="31">
        <f>IFERROR(B8/$B$30,"")</f>
        <v>0.007826405116903665</v>
      </c>
      <c r="D8" s="29" t="inlineStr">
        <is>
          <t>Tapas bar con cocina elaborada = actividad clasificada</t>
        </is>
      </c>
      <c r="E8" s="32" t="inlineStr">
        <is>
          <t>No</t>
        </is>
      </c>
    </row>
    <row r="9">
      <c r="A9" s="29" t="inlineStr">
        <is>
          <t>Proyecto técnico + certificación</t>
        </is>
      </c>
      <c r="B9" s="30" t="n">
        <v>3500</v>
      </c>
      <c r="C9" s="31">
        <f>IFERROR(B9/$B$30,"")</f>
        <v>0.022827014924302357</v>
      </c>
      <c r="D9" s="29" t="inlineStr">
        <is>
          <t>Obligatorio para actividad clasificada con cocina</t>
        </is>
      </c>
      <c r="E9" s="32" t="inlineStr">
        <is>
          <t>Sí</t>
        </is>
      </c>
    </row>
    <row r="10">
      <c r="A10" s="29" t="inlineStr">
        <is>
          <t>Obra civil y adecuación local</t>
        </is>
      </c>
      <c r="B10" s="30" t="n">
        <v>22000</v>
      </c>
      <c r="C10" s="31">
        <f>IFERROR(B10/$B$30,"")</f>
        <v>0.14348409380990051</v>
      </c>
      <c r="D10" s="29" t="inlineStr">
        <is>
          <t>Suelo, pintura, instalaciones, baño accesible y extracciones</t>
        </is>
      </c>
      <c r="E10" s="32" t="inlineStr">
        <is>
          <t>Sí</t>
        </is>
      </c>
    </row>
    <row r="11">
      <c r="A11" s="29" t="inlineStr">
        <is>
          <t>Instalación eléctrica + climatización</t>
        </is>
      </c>
      <c r="B11" s="30" t="n">
        <v>6000</v>
      </c>
      <c r="C11" s="31">
        <f>IFERROR(B11/$B$30,"")</f>
        <v>0.03913202558451832</v>
      </c>
      <c r="D11" s="29" t="inlineStr">
        <is>
          <t>Potencia 20-25 kW para cocina + climatización</t>
        </is>
      </c>
      <c r="E11" s="32" t="inlineStr">
        <is>
          <t>Sí</t>
        </is>
      </c>
    </row>
    <row r="12">
      <c r="A12" s="29" t="inlineStr">
        <is>
          <t>Fontanería + evacuación + extracciones</t>
        </is>
      </c>
      <c r="B12" s="30" t="n">
        <v>4000</v>
      </c>
      <c r="C12" s="31">
        <f>IFERROR(B12/$B$30,"")</f>
        <v>0.02608801705634555</v>
      </c>
      <c r="D12" s="29" t="inlineStr">
        <is>
          <t>Campana extractora, salida humos, trampa grasas</t>
        </is>
      </c>
      <c r="E12" s="32" t="inlineStr">
        <is>
          <t>Sí</t>
        </is>
      </c>
    </row>
    <row r="13">
      <c r="A13" s="29" t="inlineStr">
        <is>
          <t>Equipamiento cocina (plancha, freidora, horno)</t>
        </is>
      </c>
      <c r="B13" s="30" t="n">
        <v>12000</v>
      </c>
      <c r="C13" s="31">
        <f>IFERROR(B13/$B$30,"")</f>
        <v>0.07826405116903665</v>
      </c>
      <c r="D13" s="29" t="inlineStr">
        <is>
          <t>Plancha industrial, freidora, horno rational, salamandra</t>
        </is>
      </c>
      <c r="E13" s="32" t="inlineStr">
        <is>
          <t>Sí</t>
        </is>
      </c>
    </row>
    <row r="14">
      <c r="A14" s="29" t="inlineStr">
        <is>
          <t>Equipamiento frío (cámaras, neveras barra)</t>
        </is>
      </c>
      <c r="B14" s="30" t="n">
        <v>5000</v>
      </c>
      <c r="C14" s="31">
        <f>IFERROR(B14/$B$30,"")</f>
        <v>0.03261002132043194</v>
      </c>
      <c r="D14" s="29" t="inlineStr">
        <is>
          <t>Cámara frigorífica + 3-4 neveras bajo barra</t>
        </is>
      </c>
      <c r="E14" s="32" t="inlineStr">
        <is>
          <t>Sí</t>
        </is>
      </c>
    </row>
    <row r="15">
      <c r="A15" s="29" t="inlineStr">
        <is>
          <t>Barra y mostrador de tapas</t>
        </is>
      </c>
      <c r="B15" s="30" t="n">
        <v>8000</v>
      </c>
      <c r="C15" s="31">
        <f>IFERROR(B15/$B$30,"")</f>
        <v>0.0521760341126911</v>
      </c>
      <c r="D15" s="29" t="inlineStr">
        <is>
          <t>Barra con vitrina de tapas calientes/frías, grifo cerveza</t>
        </is>
      </c>
      <c r="E15" s="32" t="inlineStr">
        <is>
          <t>Sí</t>
        </is>
      </c>
    </row>
    <row r="16">
      <c r="A16" s="29" t="inlineStr">
        <is>
          <t>Grifos cerveza + instalación</t>
        </is>
      </c>
      <c r="B16" s="30" t="n">
        <v>3000</v>
      </c>
      <c r="C16" s="31">
        <f>IFERROR(B16/$B$30,"")</f>
        <v>0.01956601279225916</v>
      </c>
      <c r="D16" s="29" t="inlineStr">
        <is>
          <t>4-6 grifos, enfriador, barrilería, CO2</t>
        </is>
      </c>
      <c r="E16" s="32" t="inlineStr">
        <is>
          <t>Sí</t>
        </is>
      </c>
    </row>
    <row r="17">
      <c r="A17" s="29" t="inlineStr">
        <is>
          <t>Mobiliario sala (mesas altas + bajas + taburetes)</t>
        </is>
      </c>
      <c r="B17" s="30" t="n">
        <v>7000</v>
      </c>
      <c r="C17" s="31">
        <f>IFERROR(B17/$B$30,"")</f>
        <v>0.04565402984860471</v>
      </c>
      <c r="D17" s="29" t="inlineStr">
        <is>
          <t>Mesas altas barra, mesas bajas sala, 40-50 plazas</t>
        </is>
      </c>
      <c r="E17" s="32" t="inlineStr">
        <is>
          <t>Sí</t>
        </is>
      </c>
    </row>
    <row r="18">
      <c r="A18" s="29" t="inlineStr">
        <is>
          <t>Terraza (mobiliario + toldo)</t>
        </is>
      </c>
      <c r="B18" s="30" t="n">
        <v>5000</v>
      </c>
      <c r="C18" s="31">
        <f>IFERROR(B18/$B$30,"")</f>
        <v>0.03261002132043194</v>
      </c>
      <c r="D18" s="29" t="inlineStr">
        <is>
          <t>10-12 mesas exterior si hay licencia</t>
        </is>
      </c>
      <c r="E18" s="32" t="inlineStr">
        <is>
          <t>Sí</t>
        </is>
      </c>
    </row>
    <row r="19">
      <c r="A19" s="29" t="inlineStr">
        <is>
          <t>Vajilla, cristalería tapas, cubertería</t>
        </is>
      </c>
      <c r="B19" s="30" t="n">
        <v>3000</v>
      </c>
      <c r="C19" s="31">
        <f>IFERROR(B19/$B$30,"")</f>
        <v>0.01956601279225916</v>
      </c>
      <c r="D19" s="29" t="inlineStr">
        <is>
          <t>Platos tapas/raciones, catavinos, cañas, copas</t>
        </is>
      </c>
      <c r="E19" s="32" t="inlineStr">
        <is>
          <t>Sí</t>
        </is>
      </c>
    </row>
    <row r="20">
      <c r="A20" s="29" t="inlineStr">
        <is>
          <t>Decoración + iluminación ambiente</t>
        </is>
      </c>
      <c r="B20" s="30" t="n">
        <v>4000</v>
      </c>
      <c r="C20" s="31">
        <f>IFERROR(B20/$B$30,"")</f>
        <v>0.02608801705634555</v>
      </c>
      <c r="D20" s="29" t="inlineStr">
        <is>
          <t>Iluminación cálida, azulejos, madera y pizarras</t>
        </is>
      </c>
      <c r="E20" s="32" t="inlineStr">
        <is>
          <t>Sí</t>
        </is>
      </c>
    </row>
    <row r="21">
      <c r="A21" s="29" t="inlineStr">
        <is>
          <t>Rotulación + imagen exterior</t>
        </is>
      </c>
      <c r="B21" s="30" t="n">
        <v>2000</v>
      </c>
      <c r="C21" s="31">
        <f>IFERROR(B21/$B$30,"")</f>
        <v>0.013044008528172776</v>
      </c>
      <c r="D21" s="29" t="inlineStr">
        <is>
          <t>Rótulo, pizarra de tapas y vinilo de escaparate</t>
        </is>
      </c>
      <c r="E21" s="32" t="inlineStr">
        <is>
          <t>Sí</t>
        </is>
      </c>
    </row>
    <row r="22">
      <c r="A22" s="29" t="inlineStr">
        <is>
          <t>Marketing lanzamiento</t>
        </is>
      </c>
      <c r="B22" s="30" t="n">
        <v>2500</v>
      </c>
      <c r="C22" s="31">
        <f>IFERROR(B22/$B$30,"")</f>
        <v>0.01630501066021597</v>
      </c>
      <c r="D22" s="29" t="inlineStr">
        <is>
          <t>Web, Google My Business, RRSS, evento inauguración</t>
        </is>
      </c>
      <c r="E22" s="32" t="inlineStr">
        <is>
          <t>Sí</t>
        </is>
      </c>
    </row>
    <row r="23">
      <c r="A23" s="29" t="inlineStr">
        <is>
          <t>Stock inicial (producto, vinos, cervezas)</t>
        </is>
      </c>
      <c r="B23" s="30" t="n">
        <v>4000</v>
      </c>
      <c r="C23" s="31">
        <f>IFERROR(B23/$B$30,"")</f>
        <v>0.02608801705634555</v>
      </c>
      <c r="D23" s="29" t="inlineStr">
        <is>
          <t>Género perecedero, bodega de vinos y barrilería de cerveza</t>
        </is>
      </c>
      <c r="E23" s="32" t="inlineStr">
        <is>
          <t>Sí</t>
        </is>
      </c>
    </row>
    <row r="24">
      <c r="A24" s="29" t="inlineStr">
        <is>
          <t>TPV + software gestión + comandero</t>
        </is>
      </c>
      <c r="B24" s="30" t="n">
        <v>2000</v>
      </c>
      <c r="C24" s="31">
        <f>IFERROR(B24/$B$30,"")</f>
        <v>0.013044008528172776</v>
      </c>
      <c r="D24" s="29" t="inlineStr">
        <is>
          <t>TPV táctil de barra + comandero inalámbrico + software de gestión</t>
        </is>
      </c>
      <c r="E24" s="32" t="inlineStr">
        <is>
          <t>Sí</t>
        </is>
      </c>
    </row>
    <row r="25">
      <c r="A25" s="29" t="inlineStr">
        <is>
          <t>Fianza del alquiler</t>
        </is>
      </c>
      <c r="B25" s="33">
        <f>IFERROR(IF('0. Supuestos'!$B$24="","",'0. Supuestos'!$B$24*'0. Supuestos'!$B$25),"")</f>
        <v>7500.0</v>
      </c>
      <c r="C25" s="31">
        <f>IFERROR(B25/$B$30,"")</f>
        <v>0.04891503198064791</v>
      </c>
      <c r="D25" s="29" t="str">
        <f>IFERROR(""&amp;TEXT('0. Supuestos'!$B$25,"0")&amp;" meses de renta, al tipo de la hoja de Supuestos. Es un activo recuperable al cerrar: ni se amortiza ni lleva IVA","")</f>
        <v>3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2500.0</v>
      </c>
      <c r="C26" s="31">
        <f>IFERROR(B26/$B$30,"")</f>
        <v>0.01630501066021597</v>
      </c>
      <c r="D26" s="29"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6" s="29" t="inlineStr">
        <is>
          <t>Sí</t>
        </is>
      </c>
    </row>
    <row r="27">
      <c r="A27" s="34" t="inlineStr">
        <is>
          <t>Imprevistos de obra y acondicionamiento</t>
        </is>
      </c>
      <c r="B27" s="35">
        <f>IFERROR(IF(COUNT(B9,B10,B11,B12,B16,B20,B21)=0,"",ROUND((B9+B10+B11+B12+B16+B20+B21)*'0. Supuestos'!$B$55,0)),"")</f>
        <v>4450.0</v>
      </c>
      <c r="C27" s="22">
        <f>IFERROR(B27/$B$30,"")</f>
        <v>0.029022918975184425</v>
      </c>
      <c r="D27" t="str">
        <f>IFERROR("Al "&amp;TEXT('0. Supuestos'!$B$55,"0%")&amp;" de las partidas de OBRA Y ACONDICIONAMIENTO de este bloque (Proyecto técnico + certificación, Obra civil y adecuación local, Instalación eléctrica + climatización, Fontanería + evacuación + extracciones, Grifos cerveza + instalación, Decoración + iluminación ambiente y Rotulación + imagen exterior), no del bloque entero: el resto de partidas del bloque quedan fuera. Un banco no financia una reforma sin colchón: el porcentaje está en la hoja de Supuestos","")</f>
        <v>Al 10% de las partidas de OBRA Y ACONDICIONAMIENTO de este bloque (Proyecto técnico + certificación, Obra civil y adecuación local, Instalación eléctrica + climatización, Fontanería + evacuación + extracciones, Grifos cerveza + instalación, Decoración + iluminación ambiente y Rotulación + imagen exterior), no del bloque entero: el resto de partidas del bloque quedan fuera. Un banco no financia una reforma sin colchón: el porcentaje está en la hoja de Supuestos</v>
      </c>
      <c r="E27" s="34" t="inlineStr">
        <is>
          <t>Sí</t>
        </is>
      </c>
    </row>
    <row r="28">
      <c r="A28" s="16" t="inlineStr">
        <is>
          <t>FONDO DE MANIOBRA</t>
        </is>
      </c>
      <c r="B28" s="36">
        <f>IFERROR(IF(B29="","",B29),"")</f>
        <v>43877.100000000006</v>
      </c>
      <c r="C28" s="37">
        <f>IFERROR(B28/$B$30,"")</f>
        <v>0.2861666332957449</v>
      </c>
    </row>
    <row r="29">
      <c r="A29" s="34" t="inlineStr">
        <is>
          <t>Colchón operativo hasta alcanzar el equilibrio</t>
        </is>
      </c>
      <c r="B29" s="35">
        <f>IFERROR(IF('0. Supuestos'!$B$35*('PyG 3 Años'!$B$37-'PyG 3 Años'!$B$35)=0,"",'0. Supuestos'!$B$35*('PyG 3 Años'!$B$37-'PyG 3 Años'!$B$35)/12),"")</f>
        <v>43877.100000000006</v>
      </c>
      <c r="C29" s="22">
        <f>IFERROR(B29/$B$30,"")</f>
        <v>0.2861666332957449</v>
      </c>
      <c r="D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34" t="inlineStr">
        <is>
          <t>No</t>
        </is>
      </c>
    </row>
    <row r="30">
      <c r="A30" s="16" t="inlineStr">
        <is>
          <t>INVERSIÓN TOTAL (suma de los bloques)</t>
        </is>
      </c>
      <c r="B30" s="36">
        <f>IFERROR(B6+B28,"")</f>
        <v>153327.1</v>
      </c>
      <c r="D30" s="38"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(29% del total). Para comparar el desglose con otro plan, usa la fila de CAPEX de abajo.</v>
      </c>
    </row>
    <row r="31">
      <c r="A31" s="16" t="inlineStr">
        <is>
          <t>CAPEX (inversión sin el fondo de maniobra)</t>
        </is>
      </c>
      <c r="B31" s="36">
        <f>IFERROR(B30-B28,"")</f>
        <v>109450.0</v>
      </c>
      <c r="D31" s="16" t="inlineStr">
        <is>
          <t>Es lo que se compra: obra, equipamiento, lanzamiento y gastos de constitución. El colchón de caja no es inversión, es circulante</t>
        </is>
      </c>
    </row>
    <row r="32">
      <c r="A32" s="34" t="inlineStr">
        <is>
          <t>IVA soportado sobre la inversión (recuperable)</t>
        </is>
      </c>
      <c r="B32" s="35">
        <f>IFERROR(IF(B30="","",SUMIF($E$7:$E$27,"Sí",$B$7:$B$27)*'0. Supuestos'!$B$41),"")</f>
        <v>20989.5</v>
      </c>
      <c r="D32"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33">
      <c r="A33" s="16" t="inlineStr">
        <is>
          <t>NECESIDAD TOTAL DE CAJA AL ARRANQUE</t>
        </is>
      </c>
      <c r="B33" s="36">
        <f>IFERROR(B30+B32,"")</f>
        <v>174316.6</v>
      </c>
      <c r="D33" s="16" t="inlineStr">
        <is>
          <t>Es la cifra que tiene que cubrir la hoja de Financiación</t>
        </is>
      </c>
    </row>
    <row r="34">
      <c r="A34" s="16" t="inlineStr">
        <is>
          <t>BASES DE AMORTIZACIÓN (no suman a la inversión)</t>
        </is>
      </c>
    </row>
    <row r="35">
      <c r="A35" s="34" t="inlineStr">
        <is>
          <t>Obra, instalaciones y acondicionamiento</t>
        </is>
      </c>
      <c r="B35" s="35">
        <f>IFERROR(IF(B9="","",B9+B10+B11+B12+B16+B20+B21+B27),"")</f>
        <v>48950.0</v>
      </c>
      <c r="D35" t="str">
        <f>IFERROR("Se amortiza en "&amp;TEXT('0. Supuestos'!$B$44,"0")&amp;" años","")</f>
        <v>Se amortiza en 10 años</v>
      </c>
    </row>
    <row r="36">
      <c r="A36" s="34" t="inlineStr">
        <is>
          <t>Maquinaria, mobiliario y equipos</t>
        </is>
      </c>
      <c r="B36" s="35">
        <f>IFERROR(IF(B13="","",B13+B14+B15+B17+B18+B19+B24),"")</f>
        <v>42000.0</v>
      </c>
      <c r="D36" t="str">
        <f>IFERROR("Se amortiza en "&amp;TEXT('0. Supuestos'!$B$45,"0")&amp;" años","")</f>
        <v>Se amortiza en 8 años</v>
      </c>
    </row>
    <row r="37">
      <c r="A37" s="16" t="inlineStr">
        <is>
          <t>Amortización anual del inmovilizado</t>
        </is>
      </c>
      <c r="B37" s="36">
        <f>IFERROR(B35/MAX(1,'0. Supuestos'!$B$44)+B36/MAX(1,'0. Supuestos'!$B$45),"")</f>
        <v>10145.0</v>
      </c>
      <c r="D37" s="38" t="str">
        <f>IFERROR("No se amortizan, por no ser inmovilizado, Constitución SL + notaría + registro, Licencia de actividad (clasificada), Marketing lanzamiento, Stock inicial (producto, vinos, cervezas), Fianza del alquiler, Alquiler de los meses previos a la apertura ni Colchón operativo hasta alcanzar el equilibrio. Suman "&amp;TEXT(B30-B35-B36,"0")&amp;" € de los "&amp;TEXT(B30,"0")&amp;" € de inversión.","")</f>
        <v>No se amortizan, por no ser inmovilizado, Constitución SL + notaría + registro, Licencia de actividad (clasificada), Marketing lanzamiento, Stock inicial (producto, vinos, cervezas), Fianza del alquiler, Alquiler de los meses previos a la apertura ni Colchón operativo hasta alcanzar el equilibrio. Suman 62377 € de los 153327 €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Tapas Bar / Gastrobar 40-50 plazas</t>
        </is>
      </c>
    </row>
    <row r="3"/>
    <row r="4">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29" t="n"/>
    </row>
    <row r="5">
      <c r="A5" s="26" t="inlineStr">
        <is>
          <t>INGRESOS</t>
        </is>
      </c>
      <c r="B5" s="29" t="n"/>
      <c r="C5" s="29" t="n"/>
      <c r="D5" s="29" t="n"/>
      <c r="E5" s="29" t="n"/>
      <c r="F5" s="29" t="n"/>
      <c r="G5" s="29" t="n"/>
      <c r="H5" s="29" t="n"/>
    </row>
    <row r="6">
      <c r="A6" s="29" t="inlineStr">
        <is>
          <t>Cubiertos/día (media)</t>
        </is>
      </c>
      <c r="B6" s="41">
        <f>IFERROR(IF('0. Supuestos'!$B$4="","",'0. Supuestos'!$B$4),"")</f>
        <v>56.0</v>
      </c>
      <c r="C6" s="41">
        <f>IFERROR(B6*(1+'0. Supuestos'!$B$7),"")</f>
        <v>64.39999999999999</v>
      </c>
      <c r="D6" s="41">
        <f>IFERROR(C6*(1+'0. Supuestos'!$B$8),"")</f>
        <v>70.84</v>
      </c>
      <c r="E6" s="29" t="n"/>
      <c r="F6" s="29" t="inlineStr">
        <is>
          <t>El crecimiento de los años 2 y 3 está en la hoja de Supuestos</t>
        </is>
      </c>
      <c r="G6" s="29" t="n"/>
      <c r="H6" s="29" t="n"/>
    </row>
    <row r="7">
      <c r="A7" s="29" t="inlineStr">
        <is>
          <t>Ticket medio sin IVA</t>
        </is>
      </c>
      <c r="B7" s="42">
        <f>IFERROR(IF('0. Supuestos'!$B$5="","",'0. Supuestos'!$B$5),"")</f>
        <v>18.0</v>
      </c>
      <c r="C7" s="42">
        <f>IFERROR(IF(B7="","",B7),"")</f>
        <v>18.0</v>
      </c>
      <c r="D7" s="42">
        <f>IFERROR(IF(C7="","",C7),"")</f>
        <v>18.0</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302400.0</v>
      </c>
      <c r="C9" s="27">
        <f>IFERROR(IF(C6*C7*C8=0,"",C6*C7*C8),"")</f>
        <v>347759.99999999994</v>
      </c>
      <c r="D9" s="27">
        <f>IFERROR(IF(D6*D7*D8=0,"",D6*D7*D8),"")</f>
        <v>382536.00000000006</v>
      </c>
      <c r="E9" s="28">
        <f>IFERROR(IF(B9="","",1),"")</f>
        <v>1.0</v>
      </c>
      <c r="F9" s="29" t="n"/>
      <c r="G9" s="29" t="n"/>
      <c r="H9" s="29" t="n"/>
    </row>
    <row r="10">
      <c r="A10" s="29" t="inlineStr">
        <is>
          <t>Ventas de comida (tapas, raciones y otros)</t>
        </is>
      </c>
      <c r="B10" s="33">
        <f>IFERROR(IF(B9="","",B9*$E$10),"")</f>
        <v>168013.44</v>
      </c>
      <c r="C10" s="33">
        <f>IFERROR(IF(C9="","",C9*$E$10),"")</f>
        <v>193215.45599999995</v>
      </c>
      <c r="D10" s="33">
        <f>IFERROR(IF(D9="","",D9*$E$10),"")</f>
        <v>212537.00160000002</v>
      </c>
      <c r="E10" s="31">
        <f>IFERROR(IF('0. Supuestos'!$B$11="","",'0. Supuestos'!$B$11),"")</f>
        <v>0.5556</v>
      </c>
      <c r="F10" s="29" t="inlineStr">
        <is>
          <t>Tapas y raciones de barra y mesa, más eventos, catering mini y take-away (la línea "Otros" de la v1.1)</t>
        </is>
      </c>
      <c r="G10" s="31">
        <f>IFERROR(IF(B9="","",'0. Supuestos'!$B$39),"")</f>
        <v>0.1</v>
      </c>
      <c r="H10" s="29" t="n"/>
    </row>
    <row r="11">
      <c r="A11" s="29" t="inlineStr">
        <is>
          <t>Ventas de bebida (cerveza, vino, vermut y cócteles)</t>
        </is>
      </c>
      <c r="B11" s="33">
        <f>IFERROR(IF(B9="","",B9*$E$11),"")</f>
        <v>134386.56</v>
      </c>
      <c r="C11" s="33">
        <f>IFERROR(IF(C9="","",C9*$E$11),"")</f>
        <v>154544.544</v>
      </c>
      <c r="D11" s="33">
        <f>IFERROR(IF(D9="","",D9*$E$11),"")</f>
        <v>169998.99840000004</v>
      </c>
      <c r="E11" s="31">
        <f>IFERROR(IF('0. Supuestos'!$B$12="","",'0. Supuestos'!$B$12),"")</f>
        <v>0.4444</v>
      </c>
      <c r="F11" s="29" t="inlineStr">
        <is>
          <t>Grifos de cerveza, vino y vermut de barra, más cócteles y destilados (coste más alto por elaboración: el 18-25 % que publica la hoja «Instrucciones»)</t>
        </is>
      </c>
      <c r="G11" s="31">
        <f>IFERROR(IF(B9="","",('0. Supuestos'!$B$62*((1-'0. Supuestos'!$B$16)*'0. Supuestos'!$B$63+'0. Supuestos'!$B$16*'0. Supuestos'!$B$40)+(1-'0. Supuestos'!$B$62)*'0. Supuestos'!$B$39)),"")</f>
        <v>0.1</v>
      </c>
      <c r="H11" s="29" t="n"/>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50404.032</v>
      </c>
      <c r="C13" s="33">
        <f>IFERROR(IF(C9="","",C9*'0. Supuestos'!$B$11*'0. Supuestos'!$B$13),"")</f>
        <v>57964.636799999986</v>
      </c>
      <c r="D13" s="33">
        <f>IFERROR(IF(D9="","",D9*'0. Supuestos'!$B$11*'0. Supuestos'!$B$13),"")</f>
        <v>63761.10048</v>
      </c>
      <c r="E13" s="31">
        <f>IFERROR(B13/$B$9,"")</f>
        <v>0.16668</v>
      </c>
      <c r="F13" s="29" t="str">
        <f>IFERROR("Al "&amp;TEXT('0. Supuestos'!$B$13,"0%")&amp;" de las ventas de COMIDA, no del total: la bebida tiene su propia línea","")</f>
        <v>Al 30% de las ventas de COMIDA, no del total: la bebida tiene su propia línea</v>
      </c>
      <c r="G13" s="31">
        <f>IFERROR(IF(B9="","",'0. Supuestos'!$B$39),"")</f>
        <v>0.1</v>
      </c>
      <c r="H13" s="29" t="n"/>
    </row>
    <row r="14">
      <c r="A14" s="29" t="inlineStr">
        <is>
          <t>Coste de mercancía — bebida</t>
        </is>
      </c>
      <c r="B14" s="33">
        <f>IFERROR(IF(B9="","",B9*'0. Supuestos'!$B$12*'0. Supuestos'!$B$14),"")</f>
        <v>33596.64</v>
      </c>
      <c r="C14" s="33">
        <f>IFERROR(IF(C9="","",C9*'0. Supuestos'!$B$12*'0. Supuestos'!$B$14),"")</f>
        <v>38636.136</v>
      </c>
      <c r="D14" s="33">
        <f>IFERROR(IF(D9="","",D9*'0. Supuestos'!$B$12*'0. Supuestos'!$B$14),"")</f>
        <v>42499.74960000001</v>
      </c>
      <c r="E14" s="31">
        <f>IFERROR(B14/$B$9,"")</f>
        <v>0.1111</v>
      </c>
      <c r="F14" s="29" t="str">
        <f>IFERROR("Al "&amp;TEXT('0. Supuestos'!$B$14,"0%")&amp;" de las ventas de BEBIDA","")</f>
        <v>Al 25% de las ventas de BEBIDA</v>
      </c>
      <c r="G14" s="31">
        <f>IFERROR(IF(B9="","",('0. Supuestos'!$B$62*'0. Supuestos'!$B$40+(1-'0. Supuestos'!$B$62)*'0. Supuestos'!$B$39)),"")</f>
        <v>0.1935</v>
      </c>
      <c r="H14" s="29" t="n"/>
    </row>
    <row r="15">
      <c r="A15" s="29" t="inlineStr">
        <is>
          <t>Consumibles y envases</t>
        </is>
      </c>
      <c r="B15" s="33">
        <f>IFERROR(IF(B9="","",B9*'0. Supuestos'!$B$15),"")</f>
        <v>3024.0</v>
      </c>
      <c r="C15" s="33">
        <f>IFERROR(IF(C9="","",C9*'0. Supuestos'!$B$15),"")</f>
        <v>3477.5999999999995</v>
      </c>
      <c r="D15" s="33">
        <f>IFERROR(IF(D9="","",D9*'0. Supuestos'!$B$15),"")</f>
        <v>3825.3600000000006</v>
      </c>
      <c r="E15" s="31">
        <f>IFERROR(B15/$B$9,"")</f>
        <v>0.01</v>
      </c>
      <c r="F15" s="29" t="n"/>
      <c r="G15" s="31">
        <f>IFERROR(IF(B9="","",'0. Supuestos'!$B$41),"")</f>
        <v>0.21</v>
      </c>
      <c r="H15" s="29" t="n"/>
    </row>
    <row r="16">
      <c r="A16" s="29" t="inlineStr">
        <is>
          <t>Comisiones de delivery</t>
        </is>
      </c>
      <c r="B16" s="33">
        <f>IFERROR(IF(B9="","",B9*'0. Supuestos'!$B$16*'0. Supuestos'!$B$17),"")</f>
        <v>0.0</v>
      </c>
      <c r="C16" s="33">
        <f>IFERROR(IF(C9="","",C9*'0. Supuestos'!$B$16*'0. Supuestos'!$B$17),"")</f>
        <v>0.0</v>
      </c>
      <c r="D16" s="33">
        <f>IFERROR(IF(D9="","",D9*'0. Supuestos'!$B$16*'0. Supuestos'!$B$17),"")</f>
        <v>0.0</v>
      </c>
      <c r="E16" s="31">
        <f>IFERROR(B16/$B$9,"")</f>
        <v>0.0</v>
      </c>
      <c r="F16" s="29" t="inlineStr">
        <is>
          <t>Sobre las ventas DEL CANAL. Con 0 % de delivery en Supuestos, esta línea vale cero</t>
        </is>
      </c>
      <c r="G16" s="31">
        <f>IFERROR(IF(B9="","",'0. Supuestos'!$B$41),"")</f>
        <v>0.21</v>
      </c>
      <c r="H16" s="29" t="n"/>
    </row>
    <row r="17">
      <c r="A17" s="29" t="inlineStr">
        <is>
          <t>Comisiones de los medios de pago</t>
        </is>
      </c>
      <c r="B17" s="33">
        <f>IFERROR(IF(B9="","",B9*'0. Supuestos'!$B$18),"")</f>
        <v>2419.2000000000003</v>
      </c>
      <c r="C17" s="33">
        <f>IFERROR(IF(C9="","",C9*'0. Supuestos'!$B$18),"")</f>
        <v>2782.0799999999995</v>
      </c>
      <c r="D17" s="33">
        <f>IFERROR(IF(D9="","",D9*'0. Supuestos'!$B$18),"")</f>
        <v>3060.2880000000005</v>
      </c>
      <c r="E17" s="31">
        <f>IFERROR(B17/$B$9,"")</f>
        <v>0.008</v>
      </c>
      <c r="F17" s="29" t="inlineStr">
        <is>
          <t>Las comisiones de los medios de pago están EXENTAS de IVA (art. 20.Uno.18 LIVA): no se deduce nada por ellas</t>
        </is>
      </c>
      <c r="G17" s="31" t="n">
        <v>0</v>
      </c>
      <c r="H17" s="29" t="n"/>
    </row>
    <row r="18">
      <c r="A18" s="29" t="inlineStr">
        <is>
          <t>Varios e imprevistos</t>
        </is>
      </c>
      <c r="B18" s="33">
        <f>IFERROR(IF(B9="","",B9*'0. Supuestos'!$B$28),"")</f>
        <v>3024.0</v>
      </c>
      <c r="C18" s="33">
        <f>IFERROR(IF(C9="","",C9*'0. Supuestos'!$B$28),"")</f>
        <v>3477.5999999999995</v>
      </c>
      <c r="D18" s="33">
        <f>IFERROR(IF(D9="","",D9*'0. Supuestos'!$B$28),"")</f>
        <v>3825.3600000000006</v>
      </c>
      <c r="E18" s="31">
        <f>IFERROR(B18/$B$9,"")</f>
        <v>0.01</v>
      </c>
      <c r="F18" s="29" t="str">
        <f>IFERROR("Al "&amp;TEXT('0. Supuestos'!$B$28,"0%")&amp;" de las ventas. Es un coste VARIABLE: sube y baja con la facturación, así que no puede vivir en los costes fijos","")</f>
        <v>Al 1% de las ventas. Es un coste VARIABLE: sube y baja con la facturación, así que no puede vivir en los costes fijos</v>
      </c>
      <c r="G18" s="31">
        <f>IFERROR(IF(B9="","",'0. Supuestos'!$B$41),"")</f>
        <v>0.21</v>
      </c>
      <c r="H18" s="29" t="n"/>
    </row>
    <row r="19">
      <c r="A19" s="26" t="inlineStr">
        <is>
          <t>TOTAL COSTES VARIABLES</t>
        </is>
      </c>
      <c r="B19" s="27">
        <f>IFERROR(IF(B9="","",SUM(B13:B18)),"")</f>
        <v>92467.87199999999</v>
      </c>
      <c r="C19" s="27">
        <f>IFERROR(IF(C9="","",SUM(C13:C18)),"")</f>
        <v>106338.05279999999</v>
      </c>
      <c r="D19" s="27">
        <f>IFERROR(IF(D9="","",SUM(D13:D18)),"")</f>
        <v>116971.85808</v>
      </c>
      <c r="E19" s="28">
        <f>IFERROR(B19/$B$9,"")</f>
        <v>0.30577999999999994</v>
      </c>
      <c r="F19" s="29" t="n"/>
      <c r="G19" s="29" t="n"/>
      <c r="H19" s="29" t="n"/>
    </row>
    <row r="20">
      <c r="A20" s="26" t="inlineStr">
        <is>
          <t>MARGEN BRUTO</t>
        </is>
      </c>
      <c r="B20" s="27">
        <f>IFERROR(IF(B9="","",B9-B19),"")</f>
        <v>209932.12800000003</v>
      </c>
      <c r="C20" s="27">
        <f>IFERROR(IF(C9="","",C9-C19),"")</f>
        <v>241421.94719999994</v>
      </c>
      <c r="D20" s="27">
        <f>IFERROR(IF(D9="","",D9-D19),"")</f>
        <v>265564.1419200001</v>
      </c>
      <c r="E20" s="28">
        <f>IFERROR(B20/$B$9,"")</f>
        <v>0.6942200000000001</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30000.0</v>
      </c>
      <c r="C22" s="33">
        <f>IFERROR(IF(C9="","",B22*(1+'0. Supuestos'!$B$48)),"")</f>
        <v>30000.0</v>
      </c>
      <c r="D22" s="33">
        <f>IFERROR(IF(D9="","",C22*(1+'0. Supuestos'!$B$48)),"")</f>
        <v>30000.0</v>
      </c>
      <c r="E22" s="31">
        <f>IFERROR(B22/$B$9,"")</f>
        <v>0.0992063492063492</v>
      </c>
      <c r="F22" s="29" t="inlineStr">
        <is>
          <t>El importe mensual está en la hoja de Supuestos; aquí se multiplica por doce. La renta de los meses de obra, que es anterior a la apertura, está en la hoja de Inversión y NO se cuenta dos veces</t>
        </is>
      </c>
      <c r="G22" s="31">
        <f>IFERROR(IF(B9="","",'0. Supuestos'!$B$41),"")</f>
        <v>0.21</v>
      </c>
      <c r="H22" s="29" t="n"/>
    </row>
    <row r="23">
      <c r="A23" s="29" t="inlineStr">
        <is>
          <t>Personal (nóminas + Seguridad Social)</t>
        </is>
      </c>
      <c r="B23" s="33">
        <f>IFERROR(IF(B9="","",'Personal'!$G$12),"")</f>
        <v>108368.40000000001</v>
      </c>
      <c r="C23" s="33">
        <f>IFERROR(IF(C9="","",'Personal'!$B$16),"")</f>
        <v>114368.40000000001</v>
      </c>
      <c r="D23" s="33">
        <f>IFERROR(IF(D9="","",'Personal'!$B$17),"")</f>
        <v>120368.40000000001</v>
      </c>
      <c r="E23" s="31">
        <f>IFERROR(B23/$B$9,"")</f>
        <v>0.35836111111111113</v>
      </c>
      <c r="F23" s="29" t="inlineStr">
        <is>
          <t>Sale de la hoja de Personal: es el MISMO número, no una estimación aparte. Los años 2 y 3 suman las INCORPORACIONES declaradas en esa hoja, no un porcentaje de volumen</t>
        </is>
      </c>
      <c r="G23" s="31" t="n">
        <v>0</v>
      </c>
      <c r="H23" s="29" t="n"/>
    </row>
    <row r="24">
      <c r="A24" s="29" t="inlineStr">
        <is>
          <t>Suministros (luz, agua, gas)</t>
        </is>
      </c>
      <c r="B24" s="33">
        <f>IFERROR(IF(B9="","",'0. Supuestos'!$B$26*12),"")</f>
        <v>9600.0</v>
      </c>
      <c r="C24" s="33">
        <f>IFERROR(IF(C9="","",B24*(1+'0. Supuestos'!$B$48)),"")</f>
        <v>9600.0</v>
      </c>
      <c r="D24" s="33">
        <f>IFERROR(IF(D9="","",C24*(1+'0. Supuestos'!$B$48)),"")</f>
        <v>9600.0</v>
      </c>
      <c r="E24" s="31">
        <f>IFERROR(B24/$B$9,"")</f>
        <v>0.031746031746031744</v>
      </c>
      <c r="F24" s="29" t="inlineStr">
        <is>
          <t>Luz y gas van al 21 %; la factura del agua, al 10 %. El libro aplica a toda esta partida el tipo de la columna de al lado (21 %): si el agua pesa mucho en tu local, sepárala en su línea</t>
        </is>
      </c>
      <c r="G24" s="31">
        <f>IFERROR(IF(B9="","",'0. Supuestos'!$B$41),"")</f>
        <v>0.21</v>
      </c>
      <c r="H24" s="29" t="n"/>
    </row>
    <row r="25">
      <c r="A25" s="29" t="inlineStr">
        <is>
          <t>Seguros (RC + multirriesgo)</t>
        </is>
      </c>
      <c r="B25" s="33">
        <f>IFERROR(IF(B9="","",'0. Supuestos'!$B$27),"")</f>
        <v>2400.0</v>
      </c>
      <c r="C25" s="33">
        <f>IFERROR(IF(C9="","",B25*(1+'0. Supuestos'!$B$48)),"")</f>
        <v>2400.0</v>
      </c>
      <c r="D25" s="33">
        <f>IFERROR(IF(D9="","",C25*(1+'0. Supuestos'!$B$48)),"")</f>
        <v>2400.0</v>
      </c>
      <c r="E25" s="31">
        <f>IFERROR(B25/$B$9,"")</f>
        <v>0.007936507936507936</v>
      </c>
      <c r="F25" s="29" t="inlineStr">
        <is>
          <t>Las operaciones de seguro están EXENTAS de IVA (art. 20.Uno.16 LIVA): la prima no lleva IVA deducible</t>
        </is>
      </c>
      <c r="G25" s="31" t="n">
        <v>0</v>
      </c>
      <c r="H25" s="29" t="n"/>
    </row>
    <row r="26">
      <c r="A26" s="29" t="inlineStr">
        <is>
          <t>Gestoría + contabilidad</t>
        </is>
      </c>
      <c r="B26" s="30" t="n">
        <v>2400</v>
      </c>
      <c r="C26" s="33">
        <f>IFERROR(IF(C9="","",B26*(1+'0. Supuestos'!$B$48)),"")</f>
        <v>2400.0</v>
      </c>
      <c r="D26" s="33">
        <f>IFERROR(IF(D9="","",C26*(1+'0. Supuestos'!$B$48)),"")</f>
        <v>2400.0</v>
      </c>
      <c r="E26" s="31">
        <f>IFERROR(B26/$B$9,"")</f>
        <v>0.007936507936507936</v>
      </c>
      <c r="F26" s="29" t="n"/>
      <c r="G26" s="31">
        <f>IFERROR(IF(B9="","",'0. Supuestos'!$B$41),"")</f>
        <v>0.21</v>
      </c>
      <c r="H26" s="29" t="n"/>
    </row>
    <row r="27">
      <c r="A27" s="29" t="inlineStr">
        <is>
          <t>Mantenimiento equipos</t>
        </is>
      </c>
      <c r="B27" s="30" t="n">
        <v>2000</v>
      </c>
      <c r="C27" s="33">
        <f>IFERROR(IF(C9="","",B27*(1+'0. Supuestos'!$B$48)),"")</f>
        <v>2000.0</v>
      </c>
      <c r="D27" s="33">
        <f>IFERROR(IF(D9="","",C27*(1+'0. Supuestos'!$B$48)),"")</f>
        <v>2000.0</v>
      </c>
      <c r="E27" s="31">
        <f>IFERROR(B27/$B$9,"")</f>
        <v>0.006613756613756613</v>
      </c>
      <c r="F27" s="29" t="n"/>
      <c r="G27" s="31">
        <f>IFERROR(IF(B9="","",'0. Supuestos'!$B$41),"")</f>
        <v>0.21</v>
      </c>
      <c r="H27" s="29" t="n"/>
    </row>
    <row r="28">
      <c r="A28" s="29" t="inlineStr">
        <is>
          <t>Marketing y publicidad</t>
        </is>
      </c>
      <c r="B28" s="30" t="n">
        <v>6000</v>
      </c>
      <c r="C28" s="33">
        <f>IFERROR(IF(C9="","",B28*(1+'0. Supuestos'!$B$48)),"")</f>
        <v>6000.0</v>
      </c>
      <c r="D28" s="33">
        <f>IFERROR(IF(D9="","",C28*(1+'0. Supuestos'!$B$48)),"")</f>
        <v>6000.0</v>
      </c>
      <c r="E28" s="31">
        <f>IFERROR(B28/$B$9,"")</f>
        <v>0.01984126984126984</v>
      </c>
      <c r="F28" s="29" t="n"/>
      <c r="G28" s="31">
        <f>IFERROR(IF(B9="","",'0. Supuestos'!$B$41),"")</f>
        <v>0.21</v>
      </c>
      <c r="H28" s="29" t="n"/>
    </row>
    <row r="29">
      <c r="A29" s="29" t="inlineStr">
        <is>
          <t>Software (TPV, reservas, delivery)</t>
        </is>
      </c>
      <c r="B29" s="30" t="n">
        <v>1800</v>
      </c>
      <c r="C29" s="33">
        <f>IFERROR(IF(C9="","",B29*(1+'0. Supuestos'!$B$48)),"")</f>
        <v>1800.0</v>
      </c>
      <c r="D29" s="33">
        <f>IFERROR(IF(D9="","",C29*(1+'0. Supuestos'!$B$48)),"")</f>
        <v>1800.0</v>
      </c>
      <c r="E29" s="31">
        <f>IFERROR(B29/$B$9,"")</f>
        <v>0.005952380952380952</v>
      </c>
      <c r="F29" s="29" t="n"/>
      <c r="G29" s="31">
        <f>IFERROR(IF(B9="","",'0. Supuestos'!$B$41),"")</f>
        <v>0.21</v>
      </c>
      <c r="H29" s="29" t="n"/>
    </row>
    <row r="30">
      <c r="A30" s="29" t="inlineStr">
        <is>
          <t>Limpieza y productos</t>
        </is>
      </c>
      <c r="B30" s="30" t="n">
        <v>2400</v>
      </c>
      <c r="C30" s="33">
        <f>IFERROR(IF(C9="","",B30*(1+'0. Supuestos'!$B$48)),"")</f>
        <v>2400.0</v>
      </c>
      <c r="D30" s="33">
        <f>IFERROR(IF(D9="","",C30*(1+'0. Supuestos'!$B$48)),"")</f>
        <v>2400.0</v>
      </c>
      <c r="E30" s="31">
        <f>IFERROR(B30/$B$9,"")</f>
        <v>0.007936507936507936</v>
      </c>
      <c r="F30" s="29" t="n"/>
      <c r="G30" s="31">
        <f>IFERROR(IF(B9="","",'0. Supuestos'!$B$41),"")</f>
        <v>0.21</v>
      </c>
      <c r="H30" s="29" t="n"/>
    </row>
    <row r="31">
      <c r="A31" s="29" t="inlineStr">
        <is>
          <t>Gestión de residuos (orgánico, cartón y aceite usado)</t>
        </is>
      </c>
      <c r="B31" s="30" t="n">
        <v>900</v>
      </c>
      <c r="C31" s="33">
        <f>IFERROR(IF(C9="","",B31*(1+'0. Supuestos'!$B$48)),"")</f>
        <v>900.0</v>
      </c>
      <c r="D31" s="33">
        <f>IFERROR(IF(D9="","",C31*(1+'0. Supuestos'!$B$48)),"")</f>
        <v>900.0</v>
      </c>
      <c r="E31" s="31">
        <f>IFERROR(B31/$B$9,"")</f>
        <v>0.002976190476190476</v>
      </c>
      <c r="F31" s="29" t="inlineStr">
        <is>
          <t>Gestor autorizado; el checklist lo pide antes de abrir. Con plancha y freidora en marcha, un tapas bar genera MÁS aceite usado que una cafetería — pide presupuesto en tu zona</t>
        </is>
      </c>
      <c r="G31" s="31">
        <f>IFERROR(IF(B9="","",'0. Supuestos'!$B$41),"")</f>
        <v>0.21</v>
      </c>
      <c r="H31" s="29" t="n"/>
    </row>
    <row r="32">
      <c r="A32" s="29" t="inlineStr">
        <is>
          <t>Desinsectación, desratización y desinfección (DDD)</t>
        </is>
      </c>
      <c r="B32" s="30" t="n">
        <v>700</v>
      </c>
      <c r="C32" s="33">
        <f>IFERROR(IF(C9="","",B32*(1+'0. Supuestos'!$B$48)),"")</f>
        <v>700.0</v>
      </c>
      <c r="D32" s="33">
        <f>IFERROR(IF(D9="","",C32*(1+'0. Supuestos'!$B$48)),"")</f>
        <v>700.0</v>
      </c>
      <c r="E32" s="31">
        <f>IFERROR(B32/$B$9,"")</f>
        <v>0.0023148148148148147</v>
      </c>
      <c r="F32" s="29" t="inlineStr">
        <is>
          <t>Empresa inscrita en el ROESB; forma parte del plan APPCC que el checklist ya exige en su fase de personal («Formación alérgenos + APPCC»)</t>
        </is>
      </c>
      <c r="G32" s="31">
        <f>IFERROR(IF(B9="","",'0. Supuestos'!$B$41),"")</f>
        <v>0.21</v>
      </c>
      <c r="H32" s="29" t="n"/>
    </row>
    <row r="33">
      <c r="A33" s="29" t="inlineStr">
        <is>
          <t>Derechos de autor por música ambiental (SGAE/AGEDI-AIE)</t>
        </is>
      </c>
      <c r="B33" s="30" t="n">
        <v>700</v>
      </c>
      <c r="C33" s="33">
        <f>IFERROR(IF(C9="","",B33*(1+'0. Supuestos'!$B$48)),"")</f>
        <v>700.0</v>
      </c>
      <c r="D33" s="33">
        <f>IFERROR(IF(D9="","",C33*(1+'0. Supuestos'!$B$48)),"")</f>
        <v>700.0</v>
      </c>
      <c r="E33" s="31">
        <f>IFERROR(B33/$B$9,"")</f>
        <v>0.0023148148148148147</v>
      </c>
      <c r="F33" s="29" t="inlineStr">
        <is>
          <t>Es una licencia DISTINTA de la municipal de música ambiente que el checklist ya tiene en su fase de local: esa es administrativa, ésta es de propiedad intelectual. Se pagan las dos si hay hilo musical o DJ</t>
        </is>
      </c>
      <c r="G33" s="31">
        <f>IFERROR(IF(B9="","",'0. Supuestos'!$B$41),"")</f>
        <v>0.21</v>
      </c>
      <c r="H33" s="29" t="n"/>
    </row>
    <row r="34">
      <c r="A34" s="29" t="inlineStr">
        <is>
          <t>Prevención de riesgos laborales y vigilancia de la salud</t>
        </is>
      </c>
      <c r="B34" s="30" t="n">
        <v>500</v>
      </c>
      <c r="C34" s="33">
        <f>IFERROR(IF(C9="","",B34*(1+'0. Supuestos'!$B$48)),"")</f>
        <v>500.0</v>
      </c>
      <c r="D34" s="33">
        <f>IFERROR(IF(D9="","",C34*(1+'0. Supuestos'!$B$48)),"")</f>
        <v>500.0</v>
      </c>
      <c r="E34" s="31">
        <f>IFERROR(B34/$B$9,"")</f>
        <v>0.0016534391534391533</v>
      </c>
      <c r="F34" s="29" t="inlineStr">
        <is>
          <t>El plan de prevención es obligatorio; el proveedor externo, no (art. 30.5 de la Ley 31/1995) — la fase de personal del checklist lo corrige</t>
        </is>
      </c>
      <c r="G34" s="31">
        <f>IFERROR(IF(B9="","",'0. Supuestos'!$B$41),"")</f>
        <v>0.21</v>
      </c>
      <c r="H34" s="29" t="n"/>
    </row>
    <row r="35">
      <c r="A35" s="29" t="inlineStr">
        <is>
          <t>Amortización del inmovilizado</t>
        </is>
      </c>
      <c r="B35" s="33">
        <f>IFERROR(IF(B9="","",'Inversión Inicial'!$B$37),"")</f>
        <v>10145.0</v>
      </c>
      <c r="C35" s="33">
        <f>IFERROR(IF(C9="","",B35),"")</f>
        <v>10145.0</v>
      </c>
      <c r="D35" s="33">
        <f>IFERROR(IF(D9="","",B35),"")</f>
        <v>10145.0</v>
      </c>
      <c r="E35" s="31">
        <f>IFERROR(B35/$B$9,"")</f>
        <v>0.033548280423280424</v>
      </c>
      <c r="F35" s="29" t="inlineStr">
        <is>
          <t>Sale de las bases de amortización de la hoja de Inversión: sólo inmovilizado real. NO sube con el IPC: es una cuota sobre el coste HISTÓRICO del inmovilizado</t>
        </is>
      </c>
      <c r="G35" s="31" t="n">
        <v>0</v>
      </c>
      <c r="H35" s="29" t="n"/>
    </row>
    <row r="36">
      <c r="A36" s="29" t="inlineStr">
        <is>
          <t>Gastos financieros (intereses del préstamo)</t>
        </is>
      </c>
      <c r="B36" s="33">
        <f>IFERROR(IF(B9="","",'Financiación'!$B$44),"")</f>
        <v>7740.0</v>
      </c>
      <c r="C36" s="33">
        <f>IFERROR(IF(C9="","",'Financiación'!$B$46),"")</f>
        <v>7740.0</v>
      </c>
      <c r="D36" s="33">
        <f>IFERROR(IF(D9="","",'Financiación'!$B$48),"")</f>
        <v>6630.37325560431</v>
      </c>
      <c r="E36" s="31">
        <f>IFERROR(B36/$B$9,"")</f>
        <v>0.025595238095238095</v>
      </c>
      <c r="F36" s="29" t="inlineStr">
        <is>
          <t>Sólo los INTERESES son gasto. La devolución del principal va en la hoja de Tesorería</t>
        </is>
      </c>
      <c r="G36" s="31" t="n">
        <v>0</v>
      </c>
      <c r="H36" s="29" t="n"/>
    </row>
    <row r="37">
      <c r="A37" s="26" t="inlineStr">
        <is>
          <t>TOTAL COSTES FIJOS</t>
        </is>
      </c>
      <c r="B37" s="27">
        <f>IFERROR(IF(B9="","",SUM(B22:B36)),"")</f>
        <v>185653.40000000002</v>
      </c>
      <c r="C37" s="27">
        <f>IFERROR(IF(C9="","",SUM(C22:C36)),"")</f>
        <v>191653.40000000002</v>
      </c>
      <c r="D37" s="27">
        <f>IFERROR(IF(D9="","",SUM(D22:D36)),"")</f>
        <v>196543.77325560432</v>
      </c>
      <c r="E37" s="28">
        <f>IFERROR(B37/$B$9,"")</f>
        <v>0.6139332010582012</v>
      </c>
      <c r="F37" s="29" t="n"/>
      <c r="G37" s="29" t="n"/>
      <c r="H37" s="29" t="n"/>
    </row>
    <row r="38">
      <c r="A38" s="29" t="inlineStr">
        <is>
          <t>IVA soportado de los costes variables</t>
        </is>
      </c>
      <c r="B38" s="33">
        <f>IFERROR(IF(B9="","",SUMPRODUCT(B13:B18,G13:G18)),"")</f>
        <v>12811.433040000004</v>
      </c>
      <c r="C38" s="33">
        <f>IFERROR(IF(C9="","",SUMPRODUCT(C13:C18,G13:G18)),"")</f>
        <v>14733.147996</v>
      </c>
      <c r="D38" s="33">
        <f>IFERROR(IF(D9="","",SUMPRODUCT(D13:D18,G13:G18)),"")</f>
        <v>16206.462795600002</v>
      </c>
      <c r="E38" s="29" t="n"/>
      <c r="F38" s="29" t="inlineStr">
        <is>
          <t>Cada línea a SU tipo, leído de la columna de al lado. Es lo que la hoja de Tesorería paga de más a los proveedores y luego se deduce</t>
        </is>
      </c>
      <c r="G38" s="29" t="n"/>
      <c r="H38" s="29" t="n"/>
    </row>
    <row r="39">
      <c r="A39" s="34" t="inlineStr">
        <is>
          <t>IVA soportado de los costes fijos</t>
        </is>
      </c>
      <c r="B39" s="35">
        <f>IFERROR(IF(B9="","",SUMPRODUCT(B22:B36,G22:G36)),"")</f>
        <v>11970.0</v>
      </c>
      <c r="C39" s="35">
        <f>IFERROR(IF(C9="","",SUMPRODUCT(C22:C36,G22:G36)),"")</f>
        <v>11970.0</v>
      </c>
      <c r="D39" s="35">
        <f>IFERROR(IF(D9="","",SUMPRODUCT(D22:D36,G22:G36)),"")</f>
        <v>11970.0</v>
      </c>
    </row>
    <row r="40">
      <c r="A40" s="16" t="inlineStr">
        <is>
          <t>RESULTADO ANTES DE IMPUESTOS</t>
        </is>
      </c>
      <c r="B40" s="36">
        <f>IFERROR(IF(B9="","",B20-B37),"")</f>
        <v>24278.728000000003</v>
      </c>
      <c r="C40" s="36">
        <f>IFERROR(IF(C9="","",C20-C37),"")</f>
        <v>49768.54719999991</v>
      </c>
      <c r="D40" s="36">
        <f>IFERROR(IF(D9="","",D20-D37),"")</f>
        <v>69020.36866439576</v>
      </c>
      <c r="E40" s="37">
        <f>IFERROR(B40/$B$9,"")</f>
        <v>0.08028679894179895</v>
      </c>
    </row>
    <row r="41">
      <c r="A41" s="34" t="inlineStr">
        <is>
          <t>Bases negativas pendientes al inicio</t>
        </is>
      </c>
      <c r="B41" s="35">
        <f>IFERROR(IF(B9="","",'0. Supuestos'!$B$42),"")</f>
        <v>0.0</v>
      </c>
      <c r="C41" s="35">
        <f>IFERROR(IF(C9="","",B46),"")</f>
        <v>0.0</v>
      </c>
      <c r="D41" s="35">
        <f>IFERROR(IF(D9="","",C46),"")</f>
        <v>0.0</v>
      </c>
      <c r="F41" s="34" t="inlineStr">
        <is>
          <t>Art. 26 LIS: las pérdidas de un ejercicio se compensan con los beneficios de los siguientes</t>
        </is>
      </c>
    </row>
    <row r="42">
      <c r="A42" s="34" t="inlineStr">
        <is>
          <t>Base imponible (después de compensar)</t>
        </is>
      </c>
      <c r="B42" s="35">
        <f>IFERROR(IF(B9="","",MAX(0,B40-B41)),"")</f>
        <v>24278.728000000003</v>
      </c>
      <c r="C42" s="35">
        <f>IFERROR(IF(C9="","",MAX(0,C40-C41)),"")</f>
        <v>49768.54719999991</v>
      </c>
      <c r="D42" s="35">
        <f>IFERROR(IF(D9="","",MAX(0,D40-D41)),"")</f>
        <v>69020.36866439576</v>
      </c>
    </row>
    <row r="43">
      <c r="A43" s="34" t="inlineStr">
        <is>
          <t>Ejercicios con base positiva (acumulado)</t>
        </is>
      </c>
      <c r="B43" s="43">
        <f>IFERROR(IF(B9="","",IF(B42&gt;0,1,0)),"")</f>
        <v>1.0</v>
      </c>
      <c r="C43" s="43">
        <f>IFERROR(IF(C9="","",B43+IF(C42&gt;0,1,0)),"")</f>
        <v>2.0</v>
      </c>
      <c r="D43" s="43">
        <f>IFERROR(IF(D9="","",C43+IF(D42&gt;0,1,0)),"")</f>
        <v>3.0</v>
      </c>
    </row>
    <row r="44">
      <c r="A44" s="34" t="inlineStr">
        <is>
          <t>Tipo de Impuesto de Sociedades aplicado</t>
        </is>
      </c>
      <c r="B44" s="22">
        <f>IFERROR(IF(B9="","",IF(B42&lt;=0,"",IF(B43&lt;=2,'0. Supuestos'!$B$37,'0. Supuestos'!$B$38))),"")</f>
        <v>0.15</v>
      </c>
      <c r="C44" s="22">
        <f>IFERROR(IF(C9="","",IF(C42&lt;=0,"",IF(C43&lt;=2,'0. Supuestos'!$B$37,'0. Supuestos'!$B$38))),"")</f>
        <v>0.15</v>
      </c>
      <c r="D44" s="22">
        <f>IFERROR(IF(D9="","",IF(D42&lt;=0,"",IF(D43&lt;=2,'0. Supuestos'!$B$37,'0. Supuestos'!$B$38))),"")</f>
        <v>0.25</v>
      </c>
      <c r="F44" s="34" t="inlineStr">
        <is>
          <t>Art. 29.1 LIS: el 15 % de entidad de nueva creación se aplica al PRIMER ejercicio con base positiva y al SIGUIENTE, no al primer año de vida. El libro lo aproxima contando los dos primeros ejercicios con base positiva</t>
        </is>
      </c>
    </row>
    <row r="45">
      <c r="A45" s="34" t="inlineStr">
        <is>
          <t>Impuesto de Sociedades</t>
        </is>
      </c>
      <c r="B45" s="35">
        <f>IFERROR(IF(B9="","",IF(B44="",0,B42*B44)),"")</f>
        <v>3641.8092</v>
      </c>
      <c r="C45" s="35">
        <f>IFERROR(IF(C9="","",IF(C44="",0,C42*C44)),"")</f>
        <v>7465.282079999986</v>
      </c>
      <c r="D45" s="35">
        <f>IFERROR(IF(D9="","",IF(D44="",0,D42*D44)),"")</f>
        <v>17255.09216609894</v>
      </c>
    </row>
    <row r="46">
      <c r="A46" s="34" t="inlineStr">
        <is>
          <t>Bases negativas pendientes al cierre</t>
        </is>
      </c>
      <c r="B46" s="35">
        <f>IFERROR(IF(B9="","",MAX(0,B41-B40)),"")</f>
        <v>0.0</v>
      </c>
      <c r="C46" s="35">
        <f>IFERROR(IF(C9="","",MAX(0,C41-C40)),"")</f>
        <v>0.0</v>
      </c>
      <c r="D46" s="35">
        <f>IFERROR(IF(D9="","",MAX(0,D41-D40)),"")</f>
        <v>0.0</v>
      </c>
    </row>
    <row r="47">
      <c r="A47" s="16" t="inlineStr">
        <is>
          <t>RESULTADO NETO</t>
        </is>
      </c>
      <c r="B47" s="36">
        <f>IFERROR(IF(B9="","",B40-B45),"")</f>
        <v>20636.918800000003</v>
      </c>
      <c r="C47" s="36">
        <f>IFERROR(IF(C9="","",C40-C45),"")</f>
        <v>42303.26511999992</v>
      </c>
      <c r="D47" s="36">
        <f>IFERROR(IF(D9="","",D40-D45),"")</f>
        <v>51765.27649829682</v>
      </c>
      <c r="E47" s="37">
        <f>IFERROR(B47/$B$9,"")</f>
        <v>0.06824377910052912</v>
      </c>
    </row>
    <row r="48">
      <c r="A48" s="16" t="inlineStr">
        <is>
          <t>RATIOS CLAVE</t>
        </is>
      </c>
    </row>
    <row r="49">
      <c r="A49" s="16" t="inlineStr">
        <is>
          <t>Ratio</t>
        </is>
      </c>
      <c r="B49" s="16" t="inlineStr">
        <is>
          <t>Año 1</t>
        </is>
      </c>
      <c r="C49" s="16" t="inlineStr">
        <is>
          <t>Año 2</t>
        </is>
      </c>
      <c r="D49" s="16" t="inlineStr">
        <is>
          <t>Año 3</t>
        </is>
      </c>
      <c r="E49" s="16" t="inlineStr">
        <is>
          <t>Umbral</t>
        </is>
      </c>
      <c r="F49" s="16" t="inlineStr">
        <is>
          <t>Comentario</t>
        </is>
      </c>
    </row>
    <row r="50">
      <c r="A50" s="34" t="inlineStr">
        <is>
          <t>Margen bruto / Ventas</t>
        </is>
      </c>
      <c r="B50" s="22">
        <f>IFERROR(IF(B9="","",B20/B9),"")</f>
        <v>0.6942200000000001</v>
      </c>
      <c r="C50" s="22">
        <f>IFERROR(IF(C9="","",C20/C9),"")</f>
        <v>0.69422</v>
      </c>
      <c r="D50" s="22">
        <f>IFERROR(IF(D9="","",D20/D9),"")</f>
        <v>0.6942200000000001</v>
      </c>
      <c r="E50" s="44" t="n">
        <v>0.68</v>
      </c>
      <c r="F50" s="34" t="inlineStr">
        <is>
          <t>Suelo del propio libro: la hoja «Instrucciones» fija un margen bruto objetivo por encima del 68 %</t>
        </is>
      </c>
    </row>
    <row r="51">
      <c r="A51" s="34" t="inlineStr">
        <is>
          <t>Coste de mercancía (comida + bebida)</t>
        </is>
      </c>
      <c r="B51" s="35">
        <f>IFERROR(IF(B9="","",B13+B14),"")</f>
        <v>84000.67199999999</v>
      </c>
      <c r="C51" s="35">
        <f>IFERROR(IF(C9="","",C13+C14),"")</f>
        <v>96600.77279999998</v>
      </c>
      <c r="D51" s="35">
        <f>IFERROR(IF(D9="","",D13+D14),"")</f>
        <v>106260.85008</v>
      </c>
    </row>
    <row r="52">
      <c r="A52" s="34" t="inlineStr">
        <is>
          <t>Coste de mercancía / Ventas</t>
        </is>
      </c>
      <c r="B52" s="22">
        <f>IFERROR(IF(B9="","",B51/B9),"")</f>
        <v>0.27777999999999997</v>
      </c>
      <c r="C52" s="22">
        <f>IFERROR(IF(C9="","",C51/C9),"")</f>
        <v>0.27777999999999997</v>
      </c>
      <c r="D52" s="22">
        <f>IFERROR(IF(D9="","",D51/D9),"")</f>
        <v>0.27777999999999997</v>
      </c>
      <c r="E52" s="44" t="n">
        <v>0.3</v>
      </c>
      <c r="F52" s="34" t="inlineStr">
        <is>
          <t>Blend de los tres food cost que este producto publica en la hoja «Instrucciones» (comida 28-32 %, cerveza y vino 22-28 %, cócteles 18-25 %): el 30 % coincide, con margen, con el 28,1 % que la propia v1.1 ya declaraba en su cuenta de resultados</t>
        </is>
      </c>
    </row>
    <row r="53">
      <c r="A53" s="34" t="inlineStr">
        <is>
          <t>Coste de personal / Ventas</t>
        </is>
      </c>
      <c r="B53" s="22">
        <f>IFERROR(IF(B9="","",B23/B9),"")</f>
        <v>0.35836111111111113</v>
      </c>
      <c r="C53" s="22">
        <f>IFERROR(IF(C9="","",C23/C9),"")</f>
        <v>0.3288716356107661</v>
      </c>
      <c r="D53" s="22">
        <f>IFERROR(IF(D9="","",D23/D9),"")</f>
        <v>0.3146590124850994</v>
      </c>
      <c r="E53" s="44" t="n">
        <v>0.36</v>
      </c>
      <c r="F53" s="34" t="inlineStr">
        <is>
          <t>Dentro del rango 32-38 % que la hoja «Instrucciones» de este mismo libro publica para el coste de personal: cerca del extremo estricto, pero dejando margen realista para retribuir un jefe de cocina cualificado a jornada completa</t>
        </is>
      </c>
    </row>
    <row r="54">
      <c r="A54" s="34" t="inlineStr">
        <is>
          <t>Alquiler / Ventas</t>
        </is>
      </c>
      <c r="B54" s="22">
        <f>IFERROR(IF(B9="","",B22/B9),"")</f>
        <v>0.0992063492063492</v>
      </c>
      <c r="C54" s="22">
        <f>IFERROR(IF(C9="","",C22/C9),"")</f>
        <v>0.08626639061421672</v>
      </c>
      <c r="D54" s="22">
        <f>IFERROR(IF(D9="","",D22/D9),"")</f>
        <v>0.07842399146746971</v>
      </c>
      <c r="E54" s="44" t="n">
        <v>0.12</v>
      </c>
      <c r="F54" s="34" t="inlineStr">
        <is>
          <t>Techo del propio libro: la hoja «Instrucciones» sitúa el alquiler entre el 8 % y el 12 % de las ventas y pide no pasar del 12 % para ser viable</t>
        </is>
      </c>
    </row>
    <row r="55">
      <c r="A55" s="34" t="inlineStr">
        <is>
          <t>Resultado neto / Ventas</t>
        </is>
      </c>
      <c r="B55" s="22">
        <f>IFERROR(IF(B9="","",B47/B9),"")</f>
        <v>0.06824377910052912</v>
      </c>
      <c r="C55" s="22">
        <f>IFERROR(IF(C9="","",C47/C9),"")</f>
        <v>0.12164499976995609</v>
      </c>
      <c r="D55" s="22">
        <f>IFERROR(IF(D9="","",D47/D9),"")</f>
        <v>0.1353213200804547</v>
      </c>
      <c r="E55" s="44" t="n">
        <v>0.05</v>
      </c>
      <c r="F55" s="34" t="inlineStr">
        <is>
          <t>Derivado del EBITDA objetivo del 15-22 % que la hoja «Instrucciones» declara para el año 2: descontando amortización, intereses e Impuesto de Sociedades, un EBITDA en la franja baja del rango deja un resultado neto en torno al 5 % ya en el año 1</t>
        </is>
      </c>
    </row>
    <row r="56">
      <c r="A56" s="34" t="inlineStr">
        <is>
          <t>Punto de equilibrio alcanzado</t>
        </is>
      </c>
      <c r="B56" t="str">
        <f>IFERROR(IF(B9="","",IF(B9&gt;='Punto Equilibrio'!$B$16,"Sí","No")),"")</f>
        <v>Sí</v>
      </c>
      <c r="C56" t="str">
        <f>IFERROR(IF(C9="","",IF(C9&gt;='Punto Equilibrio'!$C$16,"Sí","No")),"")</f>
        <v>Sí</v>
      </c>
      <c r="D56" t="str">
        <f>IFERROR(IF(D9="","",IF(D9&gt;='Punto Equilibrio'!$D$16,"Sí","No")),"")</f>
        <v>Sí</v>
      </c>
      <c r="F56" s="34" t="inlineStr">
        <is>
          <t>Compara las ventas de CADA año con el umbral de ese mismo año, que calcula la hoja de Punto de Equilibrio con los costes fijos del año</t>
        </is>
      </c>
    </row>
    <row r="57"/>
    <row r="58" ht="165" customHeight="1">
      <c r="A58" s="17"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Break-even mensual y diario — Tapas Bar / Gastrobar</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42">
        <f>IFERROR(IF('PyG 3 Años'!$B$9="","",'PyG 3 Años'!$B$37),"")</f>
        <v>185653.40000000002</v>
      </c>
      <c r="C6" s="42">
        <f>IFERROR(IF('PyG 3 Años'!$C$9="","",'PyG 3 Años'!$C$37),"")</f>
        <v>191653.40000000002</v>
      </c>
      <c r="D6" s="42">
        <f>IFERROR(IF('PyG 3 Años'!$D$9="","",'PyG 3 Años'!$D$37),"")</f>
        <v>196543.77325560432</v>
      </c>
      <c r="E6" s="29" t="inlineStr">
        <is>
          <t>Los MISMOS costes fijos del P&amp;L. Cada año tiene los suyos: por eso el umbral no puede ser uno solo para los tres</t>
        </is>
      </c>
      <c r="F6" s="29" t="n"/>
    </row>
    <row r="7">
      <c r="A7" s="29" t="inlineStr">
        <is>
          <t>Costes fijos mensuales</t>
        </is>
      </c>
      <c r="B7" s="42">
        <f>IFERROR(IF('PyG 3 Años'!$B$9="","",B6/12),"")</f>
        <v>15471.116666666669</v>
      </c>
      <c r="C7" s="42">
        <f>IFERROR(IF('PyG 3 Años'!$C$9="","",C6/12),"")</f>
        <v>15971.116666666669</v>
      </c>
      <c r="D7" s="42">
        <f>IFERROR(IF('PyG 3 Años'!$D$9="","",D6/12),"")</f>
        <v>16378.64777130036</v>
      </c>
      <c r="E7" s="29" t="n"/>
      <c r="F7" s="29" t="n"/>
    </row>
    <row r="8">
      <c r="A8" s="29" t="inlineStr">
        <is>
          <t>Ticket medio sin IVA</t>
        </is>
      </c>
      <c r="B8" s="42">
        <f>IFERROR(IF('PyG 3 Años'!$B$9="","",'PyG 3 Años'!$B$7),"")</f>
        <v>18.0</v>
      </c>
      <c r="C8" s="42">
        <f>IFERROR(IF('PyG 3 Años'!$C$9="","",'PyG 3 Años'!$C$7),"")</f>
        <v>18.0</v>
      </c>
      <c r="D8" s="42">
        <f>IFERROR(IF('PyG 3 Años'!$D$9="","",'PyG 3 Años'!$D$7),"")</f>
        <v>18.0</v>
      </c>
      <c r="E8" s="29" t="n"/>
      <c r="F8" s="29" t="n"/>
    </row>
    <row r="9">
      <c r="A9" s="29" t="inlineStr">
        <is>
          <t>Coste variable por cubierto</t>
        </is>
      </c>
      <c r="B9" s="42">
        <f>IFERROR(IF('PyG 3 Años'!$B$9="","",'PyG 3 Años'!$B$19/('PyG 3 Años'!$B$6*'PyG 3 Años'!$B$8)),"")</f>
        <v>5.504039999999999</v>
      </c>
      <c r="C9" s="42">
        <f>IFERROR(IF('PyG 3 Años'!$C$9="","",'PyG 3 Años'!$C$19/('PyG 3 Años'!$C$6*'PyG 3 Años'!$C$8)),"")</f>
        <v>5.504040000000001</v>
      </c>
      <c r="D9" s="42">
        <f>IFERROR(IF('PyG 3 Años'!$D$9="","",'PyG 3 Años'!$D$19/('PyG 3 Años'!$D$6*'PyG 3 Años'!$D$8)),"")</f>
        <v>5.50404</v>
      </c>
      <c r="E9" s="29" t="inlineStr">
        <is>
          <t>Sale del total de costes variables del P&amp;L, no de una estimación aparte. Incluye los varios e imprevistos, que son un porcentaje de las ventas</t>
        </is>
      </c>
      <c r="F9" s="29" t="n"/>
    </row>
    <row r="10">
      <c r="A10" s="29" t="inlineStr">
        <is>
          <t>Margen de contribución por cubierto</t>
        </is>
      </c>
      <c r="B10" s="42">
        <f>IFERROR(IF('PyG 3 Años'!$B$9="","",B8-B9),"")</f>
        <v>12.49596</v>
      </c>
      <c r="C10" s="42">
        <f>IFERROR(IF('PyG 3 Años'!$C$9="","",C8-C9),"")</f>
        <v>12.49596</v>
      </c>
      <c r="D10" s="42">
        <f>IFERROR(IF('PyG 3 Años'!$D$9="","",D8-D9),"")</f>
        <v>12.49596</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42">
        <f>IFERROR(IF('PyG 3 Años'!$B$9="","",'Financiación'!$B$45),"")</f>
        <v>0.0</v>
      </c>
      <c r="C12" s="42">
        <f>IFERROR(IF('PyG 3 Años'!$C$9="","",'Financiación'!$B$47),"")</f>
        <v>18493.7790732615</v>
      </c>
      <c r="D12" s="42">
        <f>IFERROR(IF('PyG 3 Años'!$D$9="","",'Financiación'!$B$49),"")</f>
        <v>19603.40581765719</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Cubiertos necesarios al año</t>
        </is>
      </c>
      <c r="B14" s="41">
        <f>IFERROR(IF('PyG 3 Años'!$B$9="","",IF(B10&lt;=0,"",B6/B10)),"")</f>
        <v>14857.073806254182</v>
      </c>
      <c r="C14" s="41">
        <f>IFERROR(IF('PyG 3 Años'!$C$9="","",IF(C10&lt;=0,"",C6/C10)),"")</f>
        <v>15337.228992410348</v>
      </c>
      <c r="D14" s="41">
        <f>IFERROR(IF('PyG 3 Años'!$D$9="","",IF(D10&lt;=0,"",D6/D10)),"")</f>
        <v>15728.585339229985</v>
      </c>
      <c r="E14" s="29" t="n"/>
      <c r="F14" s="29" t="n"/>
    </row>
    <row r="15">
      <c r="A15" s="29" t="inlineStr">
        <is>
          <t>Cubiertos necesarios al día</t>
        </is>
      </c>
      <c r="B15" s="45">
        <f>IFERROR(IF('PyG 3 Años'!$B$9="","",B14/B11),"")</f>
        <v>49.523579354180605</v>
      </c>
      <c r="C15" s="45">
        <f>IFERROR(IF('PyG 3 Años'!$C$9="","",C14/C11),"")</f>
        <v>51.12409664136783</v>
      </c>
      <c r="D15" s="45">
        <f>IFERROR(IF('PyG 3 Años'!$D$9="","",D14/D11),"")</f>
        <v>52.42861779743328</v>
      </c>
      <c r="E15" s="29" t="n"/>
      <c r="F15" s="29" t="n"/>
    </row>
    <row r="16">
      <c r="A16" s="26" t="inlineStr">
        <is>
          <t>Ingresos necesarios al año</t>
        </is>
      </c>
      <c r="B16" s="27">
        <f>IFERROR(IF('PyG 3 Años'!$B$9="","",B14*B8),"")</f>
        <v>267427.3285125753</v>
      </c>
      <c r="C16" s="27">
        <f>IFERROR(IF('PyG 3 Años'!$C$9="","",C14*C8),"")</f>
        <v>276070.12186338624</v>
      </c>
      <c r="D16" s="27">
        <f>IFERROR(IF('PyG 3 Años'!$D$9="","",D14*D8),"")</f>
        <v>283114.5361061397</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42">
        <f>IFERROR(IF('PyG 3 Años'!$B$9="","",B6-'PyG 3 Años'!$B$35+B12),"")</f>
        <v>175508.40000000002</v>
      </c>
      <c r="C18" s="42">
        <f>IFERROR(IF('PyG 3 Años'!$C$9="","",C6-'PyG 3 Años'!$C$35+C12),"")</f>
        <v>200002.17907326153</v>
      </c>
      <c r="D18" s="42">
        <f>IFERROR(IF('PyG 3 Años'!$D$9="","",D6-'PyG 3 Años'!$D$35+D12),"")</f>
        <v>206002.1790732615</v>
      </c>
      <c r="E18" s="29" t="inlineStr">
        <is>
          <t>Los fijos del P&amp;L sin la amortización (que no se paga) y CON la devolución de principal (que sí). Es el umbral que decide si la caja aguanta</t>
        </is>
      </c>
      <c r="F18" s="29" t="n"/>
    </row>
    <row r="19">
      <c r="A19" s="29" t="inlineStr">
        <is>
          <t>Cubiertos necesarios al año (caja)</t>
        </is>
      </c>
      <c r="B19" s="41">
        <f>IFERROR(IF('PyG 3 Años'!$B$9="","",IF(B10&lt;=0,"",B18/B10)),"")</f>
        <v>14045.211412328466</v>
      </c>
      <c r="C19" s="41">
        <f>IFERROR(IF('PyG 3 Años'!$C$9="","",IF(C10&lt;=0,"",C18/C10)),"")</f>
        <v>16005.347254093445</v>
      </c>
      <c r="D19" s="41">
        <f>IFERROR(IF('PyG 3 Años'!$D$9="","",IF(D10&lt;=0,"",D18/D10)),"")</f>
        <v>16485.50244024961</v>
      </c>
      <c r="E19" s="29" t="n"/>
      <c r="F19" s="29" t="n"/>
    </row>
    <row r="20">
      <c r="A20" s="26" t="inlineStr">
        <is>
          <t>Cubiertos necesarios al día (caja)</t>
        </is>
      </c>
      <c r="B20" s="46">
        <f>IFERROR(IF('PyG 3 Años'!$B$9="","",B19/B11),"")</f>
        <v>46.81737137442822</v>
      </c>
      <c r="C20" s="46">
        <f>IFERROR(IF('PyG 3 Años'!$C$9="","",C19/C11),"")</f>
        <v>53.351157513644814</v>
      </c>
      <c r="D20" s="46">
        <f>IFERROR(IF('PyG 3 Años'!$D$9="","",D19/D11),"")</f>
        <v>54.95167480083203</v>
      </c>
      <c r="E20" s="29" t="n"/>
      <c r="F20" s="29" t="n"/>
    </row>
    <row r="21">
      <c r="A21" s="29" t="inlineStr">
        <is>
          <t>Ingresos necesarios al año (caja)</t>
        </is>
      </c>
      <c r="B21" s="33">
        <f>IFERROR(IF('PyG 3 Años'!$B$9="","",B19*B8),"")</f>
        <v>252813.8054219124</v>
      </c>
      <c r="C21" s="33">
        <f>IFERROR(IF('PyG 3 Años'!$C$9="","",C19*C8),"")</f>
        <v>288096.250573682</v>
      </c>
      <c r="D21" s="33">
        <f>IFERROR(IF('PyG 3 Años'!$D$9="","",D19*D8),"")</f>
        <v>296739.04392449296</v>
      </c>
      <c r="E21" s="29" t="n"/>
      <c r="F21" s="29" t="n"/>
    </row>
    <row r="22">
      <c r="A22" s="26" t="inlineStr">
        <is>
          <t>CONTRASTE CON EL PLAN</t>
        </is>
      </c>
      <c r="B22" s="29" t="n"/>
      <c r="C22" s="29" t="n"/>
      <c r="D22" s="29" t="n"/>
      <c r="E22" s="29" t="n"/>
      <c r="F22" s="29" t="n"/>
    </row>
    <row r="23">
      <c r="A23" s="29" t="inlineStr">
        <is>
          <t>Cubiertos/día previstos en el plan</t>
        </is>
      </c>
      <c r="B23" s="41">
        <f>IFERROR(IF('PyG 3 Años'!$B$9="","",'PyG 3 Años'!$B$6),"")</f>
        <v>56.0</v>
      </c>
      <c r="C23" s="41">
        <f>IFERROR(IF('PyG 3 Años'!$C$9="","",'PyG 3 Años'!$C$6),"")</f>
        <v>64.39999999999999</v>
      </c>
      <c r="D23" s="41">
        <f>IFERROR(IF('PyG 3 Años'!$D$9="","",'PyG 3 Años'!$D$6),"")</f>
        <v>70.84</v>
      </c>
      <c r="E23" s="29" t="n"/>
      <c r="F23" s="29" t="n"/>
    </row>
    <row r="24">
      <c r="A24" s="29" t="inlineStr">
        <is>
          <t>Holgura sobre el equilibrio de CAJA (%)</t>
        </is>
      </c>
      <c r="B24" s="31">
        <f>IFERROR(IF('PyG 3 Años'!$B$9="","",B23/B20-1),"")</f>
        <v>0.19613721052667543</v>
      </c>
      <c r="C24" s="31">
        <f>IFERROR(IF('PyG 3 Años'!$C$9="","",C23/C20-1),"")</f>
        <v>0.2070965842405459</v>
      </c>
      <c r="D24" s="31">
        <f>IFERROR(IF('PyG 3 Años'!$D$9="","",D23/D20-1),"")</f>
        <v>0.28913268352154775</v>
      </c>
      <c r="E24" s="29" t="inlineStr">
        <is>
          <t>Cuánto puedes caer antes de no poder pagar los costes fijos y la cuota.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llegar a hacer con tu horario. Es el techo físico del local, no un objetivo</t>
        </is>
      </c>
      <c r="F25" s="29" t="n"/>
    </row>
    <row r="26">
      <c r="A26" s="29" t="inlineStr">
        <is>
          <t>Rotaciones al día que exige el equilibrio de caja</t>
        </is>
      </c>
      <c r="B26" s="45">
        <f>IFERROR(IF('PyG 3 Años'!$B$9="","",B20/'0. Supuestos'!$B$51),"")</f>
        <v>1.0403860305428494</v>
      </c>
      <c r="C26" s="45">
        <f>IFERROR(IF('PyG 3 Años'!$C$9="","",C20/'0. Supuestos'!$B$51),"")</f>
        <v>1.1855812780809958</v>
      </c>
      <c r="D26" s="45">
        <f>IFERROR(IF('PyG 3 Años'!$D$9="","",D20/'0. Supuestos'!$B$51),"")</f>
        <v>1.2211483289073786</v>
      </c>
      <c r="E26" s="29" t="inlineStr">
        <is>
          <t>Cubiertos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cubiertos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50 cubiertos al día durante los 300 días que abres para no perder dinero (equilibrio contable, con la amortización dentro), y 47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Cubiertos/día necesarios para cubrir costes según el ticket medio (columnas) y el coste variable por cubierto (filas). En verde, los que están por debajo de los cubiertos que prevé el plan.</t>
        </is>
      </c>
      <c r="B31" s="29" t="n"/>
      <c r="C31" s="29" t="n"/>
      <c r="D31" s="29" t="n"/>
      <c r="E31" s="29" t="n"/>
      <c r="F31" s="29" t="n"/>
    </row>
    <row r="32">
      <c r="A32" s="29" t="n"/>
      <c r="B32" s="29" t="n"/>
      <c r="C32" s="29" t="n"/>
      <c r="D32" s="29" t="n"/>
      <c r="E32" s="29" t="n"/>
      <c r="F32" s="29" t="n"/>
    </row>
    <row r="33" ht="45" customHeight="1">
      <c r="A33" s="40" t="inlineStr">
        <is>
          <t>Cubiertos/día necesarios: ticket medio sin IVA (columnas) × coste variable por cubierto (filas)</t>
        </is>
      </c>
      <c r="B33" s="49">
        <f>IFERROR($B$8-2,"")</f>
        <v>16.0</v>
      </c>
      <c r="C33" s="49">
        <f>IFERROR(IF($B$8="","",$B$8),"")</f>
        <v>18.0</v>
      </c>
      <c r="D33" s="49">
        <f>IFERROR($B$8+2,"")</f>
        <v>20.0</v>
      </c>
      <c r="E33" s="49">
        <f>IFERROR($B$8+4,"")</f>
        <v>22.0</v>
      </c>
      <c r="F33" s="29" t="n"/>
    </row>
    <row r="34">
      <c r="A34" s="21">
        <f>IFERROR($B$9*0.85,"")</f>
        <v>4.678433999999999</v>
      </c>
      <c r="B34" s="50">
        <f>IFERROR(IF($B$33-$A34&lt;=0,"",$B$6/($B$33-$A34)/$B$11),"")</f>
        <v>54.6606950546123</v>
      </c>
      <c r="C34" s="50">
        <f>IFERROR(IF($C$33-$A34&lt;=0,"",$B$6/($C$33-$A34)/$B$11),"")</f>
        <v>46.454348285079</v>
      </c>
      <c r="D34" s="50">
        <f>IFERROR(IF($D$33-$A34&lt;=0,"",$B$6/($D$33-$A34)/$B$11),"")</f>
        <v>40.390431804860334</v>
      </c>
      <c r="E34" s="50">
        <f>IFERROR(IF($E$33-$A34&lt;=0,"",$B$6/($E$33-$A34)/$B$11),"")</f>
        <v>35.72683131921598</v>
      </c>
    </row>
    <row r="35">
      <c r="A35" s="21">
        <f>IFERROR($B$9*0.925,"")</f>
        <v>5.091237</v>
      </c>
      <c r="B35" s="50">
        <f>IFERROR(IF($B$33-$A35&lt;=0,"",$B$6/($B$33-$A35)/$B$11),"")</f>
        <v>56.72913296096603</v>
      </c>
      <c r="C35" s="50">
        <f>IFERROR(IF($C$33-$A35&lt;=0,"",$B$6/($C$33-$A35)/$B$11),"")</f>
        <v>47.93988910220652</v>
      </c>
      <c r="D35" s="50">
        <f>IFERROR(IF($D$33-$A35&lt;=0,"",$B$6/($D$33-$A35)/$B$11),"")</f>
        <v>41.50878692394981</v>
      </c>
      <c r="E35" s="50">
        <f>IFERROR(IF($E$33-$A35&lt;=0,"",$B$6/($E$33-$A35)/$B$11),"")</f>
        <v>36.599050247890204</v>
      </c>
    </row>
    <row r="36">
      <c r="A36" s="21">
        <f>IFERROR($B$9*1.0,"")</f>
        <v>5.504039999999999</v>
      </c>
      <c r="B36" s="50">
        <f>IFERROR(IF($B$33-$A36&lt;=0,"",$B$6/($B$33-$A36)/$B$11),"")</f>
        <v>58.96027296851995</v>
      </c>
      <c r="C36" s="50">
        <f>IFERROR(IF($C$33-$A36&lt;=0,"",$B$6/($C$33-$A36)/$B$11),"")</f>
        <v>49.523579354180605</v>
      </c>
      <c r="D36" s="50">
        <f>IFERROR(IF($D$33-$A36&lt;=0,"",$B$6/($D$33-$A36)/$B$11),"")</f>
        <v>42.6908370792046</v>
      </c>
      <c r="E36" s="50">
        <f>IFERROR(IF($E$33-$A36&lt;=0,"",$B$6/($E$33-$A36)/$B$11),"")</f>
        <v>37.514922845755365</v>
      </c>
    </row>
    <row r="37">
      <c r="A37" s="21">
        <f>IFERROR($B$9*1.075,"")</f>
        <v>5.916842999999998</v>
      </c>
      <c r="B37" s="50">
        <f>IFERROR(IF($B$33-$A37&lt;=0,"",$B$6/($B$33-$A37)/$B$11),"")</f>
        <v>61.37409807926889</v>
      </c>
      <c r="C37" s="50">
        <f>IFERROR(IF($C$33-$A37&lt;=0,"",$B$6/($C$33-$A37)/$B$11),"")</f>
        <v>51.2154784272576</v>
      </c>
      <c r="D37" s="50">
        <f>IFERROR(IF($D$33-$A37&lt;=0,"",$B$6/($D$33-$A37)/$B$11),"")</f>
        <v>43.942183323431436</v>
      </c>
      <c r="E37" s="50">
        <f>IFERROR(IF($E$33-$A37&lt;=0,"",$B$6/($E$33-$A37)/$B$11),"")</f>
        <v>38.47781046138309</v>
      </c>
    </row>
    <row r="38">
      <c r="A38" s="21">
        <f>IFERROR($B$9*1.15,"")</f>
        <v>6.3296459999999986</v>
      </c>
      <c r="B38" s="50">
        <f>IFERROR(IF($B$33-$A38&lt;=0,"",$B$6/($B$33-$A38)/$B$11),"")</f>
        <v>63.9940033908445</v>
      </c>
      <c r="C38" s="50">
        <f>IFERROR(IF($C$33-$A38&lt;=0,"",$B$6/($C$33-$A38)/$B$11),"")</f>
        <v>53.02706898751029</v>
      </c>
      <c r="D38" s="50">
        <f>IFERROR(IF($D$33-$A38&lt;=0,"",$B$6/($D$33-$A38)/$B$11),"")</f>
        <v>45.26910324828945</v>
      </c>
      <c r="E38" s="50">
        <f>IFERROR(IF($E$33-$A38&lt;=0,"",$B$6/($E$33-$A38)/$B$11),"")</f>
        <v>39.49142863439248</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Cubiertos/día</t>
        </is>
      </c>
      <c r="B5" s="51" t="n">
        <v>42</v>
      </c>
      <c r="C5" s="41">
        <f>IFERROR(IF('PyG 3 Años'!$B$6="","",'PyG 3 Años'!$B$6),"")</f>
        <v>56.0</v>
      </c>
      <c r="D5" s="51" t="n">
        <v>70</v>
      </c>
      <c r="E5" s="29" t="n"/>
      <c r="F5" s="29" t="n"/>
    </row>
    <row r="6">
      <c r="A6" s="29" t="inlineStr">
        <is>
          <t>Ticket medio sin IVA</t>
        </is>
      </c>
      <c r="B6" s="52" t="n">
        <v>16</v>
      </c>
      <c r="C6" s="42">
        <f>IFERROR(IF('PyG 3 Años'!$B$7="","",'PyG 3 Años'!$B$7),"")</f>
        <v>18.0</v>
      </c>
      <c r="D6" s="52" t="n">
        <v>20</v>
      </c>
      <c r="E6" s="29" t="n"/>
      <c r="F6" s="29" t="n"/>
    </row>
    <row r="7">
      <c r="A7" s="29" t="inlineStr">
        <is>
          <t>Días de apertura al año</t>
        </is>
      </c>
      <c r="B7" s="51" t="n">
        <v>300</v>
      </c>
      <c r="C7" s="41">
        <f>IFERROR(IF('PyG 3 Años'!$B$8="","",'PyG 3 Años'!$B$8),"")</f>
        <v>300.0</v>
      </c>
      <c r="D7" s="51" t="n">
        <v>300</v>
      </c>
      <c r="E7" s="29" t="n"/>
      <c r="F7" s="29" t="n"/>
    </row>
    <row r="8">
      <c r="A8" s="26" t="inlineStr">
        <is>
          <t>INGRESOS ANUALES (sin IVA)</t>
        </is>
      </c>
      <c r="B8" s="27">
        <f>IFERROR(IF(B5*B6*B7=0,"",B5*B6*B7),"")</f>
        <v>201600.0</v>
      </c>
      <c r="C8" s="27">
        <f>IFERROR(IF(C5*C6*C7=0,"",C5*C6*C7),"")</f>
        <v>302400.0</v>
      </c>
      <c r="D8" s="27">
        <f>IFERROR(IF(D5*D6*D7=0,"",D5*D6*D7),"")</f>
        <v>420000.0</v>
      </c>
      <c r="E8" s="29" t="n"/>
      <c r="F8" s="29" t="n"/>
    </row>
    <row r="9">
      <c r="A9" s="29" t="inlineStr">
        <is>
          <t>Coste de mercancía — comida</t>
        </is>
      </c>
      <c r="B9" s="33">
        <f>IFERROR(IF(B8="","",B8*'0. Supuestos'!$B$11*'0. Supuestos'!$B$13),"")</f>
        <v>33602.687999999995</v>
      </c>
      <c r="C9" s="33">
        <f>IFERROR(IF(C8="","",C8*'0. Supuestos'!$B$11*'0. Supuestos'!$B$13),"")</f>
        <v>50404.032</v>
      </c>
      <c r="D9" s="33">
        <f>IFERROR(IF(D8="","",D8*'0. Supuestos'!$B$11*'0. Supuestos'!$B$13),"")</f>
        <v>70005.59999999999</v>
      </c>
      <c r="E9" s="29" t="n"/>
      <c r="F9" s="29" t="n"/>
    </row>
    <row r="10">
      <c r="A10" s="29" t="inlineStr">
        <is>
          <t>Coste de mercancía — bebida</t>
        </is>
      </c>
      <c r="B10" s="33">
        <f>IFERROR(IF(B8="","",B8*'0. Supuestos'!$B$12*'0. Supuestos'!$B$14),"")</f>
        <v>22397.760000000002</v>
      </c>
      <c r="C10" s="33">
        <f>IFERROR(IF(C8="","",C8*'0. Supuestos'!$B$12*'0. Supuestos'!$B$14),"")</f>
        <v>33596.64</v>
      </c>
      <c r="D10" s="33">
        <f>IFERROR(IF(D8="","",D8*'0. Supuestos'!$B$12*'0. Supuestos'!$B$14),"")</f>
        <v>46662.0</v>
      </c>
      <c r="E10" s="29" t="n"/>
      <c r="F10" s="29" t="n"/>
    </row>
    <row r="11">
      <c r="A11" s="29" t="inlineStr">
        <is>
          <t>Consumibles y envases</t>
        </is>
      </c>
      <c r="B11" s="33">
        <f>IFERROR(IF(B8="","",B8*'0. Supuestos'!$B$15),"")</f>
        <v>2016.0</v>
      </c>
      <c r="C11" s="33">
        <f>IFERROR(IF(C8="","",C8*'0. Supuestos'!$B$15),"")</f>
        <v>3024.0</v>
      </c>
      <c r="D11" s="33">
        <f>IFERROR(IF(D8="","",D8*'0. Supuestos'!$B$15),"")</f>
        <v>4200.0</v>
      </c>
      <c r="E11" s="29" t="n"/>
      <c r="F11" s="29" t="n"/>
    </row>
    <row r="12">
      <c r="A12" s="29" t="inlineStr">
        <is>
          <t>Comisiones de delivery</t>
        </is>
      </c>
      <c r="B12" s="33">
        <f>IFERROR(IF(B8="","",B8*'0. Supuestos'!$B$16*'0. Supuestos'!$B$17),"")</f>
        <v>0.0</v>
      </c>
      <c r="C12" s="33">
        <f>IFERROR(IF(C8="","",C8*'0. Supuestos'!$B$16*'0. Supuestos'!$B$17),"")</f>
        <v>0.0</v>
      </c>
      <c r="D12" s="33">
        <f>IFERROR(IF(D8="","",D8*'0. Supuestos'!$B$16*'0. Supuestos'!$B$17),"")</f>
        <v>0.0</v>
      </c>
      <c r="E12" s="29" t="n"/>
      <c r="F12" s="29" t="n"/>
    </row>
    <row r="13">
      <c r="A13" s="29" t="inlineStr">
        <is>
          <t>Comisiones de los medios de pago</t>
        </is>
      </c>
      <c r="B13" s="33">
        <f>IFERROR(IF(B8="","",B8*'0. Supuestos'!$B$18),"")</f>
        <v>1612.8</v>
      </c>
      <c r="C13" s="33">
        <f>IFERROR(IF(C8="","",C8*'0. Supuestos'!$B$18),"")</f>
        <v>2419.2000000000003</v>
      </c>
      <c r="D13" s="33">
        <f>IFERROR(IF(D8="","",D8*'0. Supuestos'!$B$18),"")</f>
        <v>3360.0</v>
      </c>
      <c r="E13" s="29" t="n"/>
      <c r="F13" s="29" t="n"/>
    </row>
    <row r="14">
      <c r="A14" s="29" t="inlineStr">
        <is>
          <t>Varios e imprevistos</t>
        </is>
      </c>
      <c r="B14" s="33">
        <f>IFERROR(IF(B8="","",B8*'0. Supuestos'!$B$28),"")</f>
        <v>2016.0</v>
      </c>
      <c r="C14" s="33">
        <f>IFERROR(IF(C8="","",C8*'0. Supuestos'!$B$28),"")</f>
        <v>3024.0</v>
      </c>
      <c r="D14" s="33">
        <f>IFERROR(IF(D8="","",D8*'0. Supuestos'!$B$28),"")</f>
        <v>4200.0</v>
      </c>
      <c r="E14" s="29" t="n"/>
      <c r="F14" s="29" t="n"/>
    </row>
    <row r="15">
      <c r="A15" s="34" t="inlineStr">
        <is>
          <t>TOTAL COSTES VARIABLES</t>
        </is>
      </c>
      <c r="B15" s="35">
        <f>IFERROR(IF(B8="","",SUM(B9:B14)),"")</f>
        <v>61645.248</v>
      </c>
      <c r="C15" s="35">
        <f>IFERROR(IF(C8="","",SUM(C9:C14)),"")</f>
        <v>92467.87199999999</v>
      </c>
      <c r="D15" s="35">
        <f>IFERROR(IF(D8="","",SUM(D9:D14)),"")</f>
        <v>128427.59999999999</v>
      </c>
    </row>
    <row r="16">
      <c r="A16" s="34" t="inlineStr">
        <is>
          <t>MARGEN BRUTO</t>
        </is>
      </c>
      <c r="B16" s="35">
        <f>IFERROR(IF(B8="","",B8-B15),"")</f>
        <v>139954.752</v>
      </c>
      <c r="C16" s="35">
        <f>IFERROR(IF(C8="","",C8-C15),"")</f>
        <v>209932.12800000003</v>
      </c>
      <c r="D16" s="35">
        <f>IFERROR(IF(D8="","",D8-D15),"")</f>
        <v>291572.4</v>
      </c>
    </row>
    <row r="17">
      <c r="A17" s="34" t="inlineStr">
        <is>
          <t>COSTES FIJOS (los del P&amp;L)</t>
        </is>
      </c>
      <c r="B17" s="35">
        <f>IFERROR(IF(B8="","",'PyG 3 Años'!$B$37),"")</f>
        <v>185653.40000000002</v>
      </c>
      <c r="C17" s="35">
        <f>IFERROR(IF(C8="","",'PyG 3 Años'!$B$37),"")</f>
        <v>185653.40000000002</v>
      </c>
      <c r="D17" s="35">
        <f>IFERROR(IF(D8="","",'PyG 3 Años'!$B$37),"")</f>
        <v>185653.40000000002</v>
      </c>
      <c r="E17" s="34" t="inlineStr">
        <is>
          <t>Los costes fijos no cambian con el escenario: por eso son fijos</t>
        </is>
      </c>
    </row>
    <row r="18">
      <c r="A18" s="16" t="inlineStr">
        <is>
          <t>RESULTADO ANTES DE IMPUESTOS</t>
        </is>
      </c>
      <c r="B18" s="36">
        <f>IFERROR(IF(B8="","",B16-B17),"")</f>
        <v>-45698.648000000016</v>
      </c>
      <c r="C18" s="36">
        <f>IFERROR(IF(C8="","",C16-C17),"")</f>
        <v>24278.728000000003</v>
      </c>
      <c r="D18" s="36">
        <f>IFERROR(IF(D8="","",D16-D17),"")</f>
        <v>105919.0</v>
      </c>
    </row>
    <row r="19">
      <c r="A19" s="34" t="inlineStr">
        <is>
          <t>Impuesto de Sociedades</t>
        </is>
      </c>
      <c r="B19" s="35">
        <f>IFERROR(IF(B8="","",MAX(0,B18-'0. Supuestos'!$B$42)*'0. Supuestos'!$B$37),"")</f>
        <v>0.0</v>
      </c>
      <c r="C19" s="35">
        <f>IFERROR(IF(C8="","",MAX(0,C18-'0. Supuestos'!$B$42)*'0. Supuestos'!$B$37),"")</f>
        <v>3641.8092</v>
      </c>
      <c r="D19" s="35">
        <f>IFERROR(IF(D8="","",MAX(0,D18-'0. Supuestos'!$B$42)*'0. Supuestos'!$B$37),"")</f>
        <v>15887.849999999999</v>
      </c>
      <c r="E19" s="34" t="inlineStr">
        <is>
          <t>Al tipo de entidad de nueva creación, compensando las bases negativas anteriores</t>
        </is>
      </c>
    </row>
    <row r="20">
      <c r="A20" s="16" t="inlineStr">
        <is>
          <t>RESULTADO NETO</t>
        </is>
      </c>
      <c r="B20" s="36">
        <f>IFERROR(IF(B8="","",B18-B19),"")</f>
        <v>-45698.648000000016</v>
      </c>
      <c r="C20" s="36">
        <f>IFERROR(IF(C8="","",C18-C19),"")</f>
        <v>20636.918800000003</v>
      </c>
      <c r="D20" s="36">
        <f>IFERROR(IF(D8="","",D18-D19),"")</f>
        <v>90031.15</v>
      </c>
    </row>
    <row r="21">
      <c r="A21" s="34" t="inlineStr">
        <is>
          <t>Cubiertos/día para el equilibrio</t>
        </is>
      </c>
      <c r="B21" s="50">
        <f>IFERROR(IF(B8="","",IF(B6-B15/(B5*B7)&lt;=0,"",B17/(B6-B15/(B5*B7))/B7)),"")</f>
        <v>55.714026773453185</v>
      </c>
      <c r="C21" s="50">
        <f>IFERROR(IF(C8="","",IF(C6-C15/(C5*C7)&lt;=0,"",C17/(C6-C15/(C5*C7))/C7)),"")</f>
        <v>49.523579354180605</v>
      </c>
      <c r="D21" s="50">
        <f>IFERROR(IF(D8="","",IF(D6-D15/(D5*D7)&lt;=0,"",D17/(D6-D15/(D5*D7))/D7)),"")</f>
        <v>44.57122141876255</v>
      </c>
    </row>
    <row r="22">
      <c r="A22" s="16" t="inlineStr">
        <is>
          <t>LO QUE CADA ESCENARIO EXIGE</t>
        </is>
      </c>
    </row>
    <row r="23">
      <c r="A23" s="34" t="inlineStr">
        <is>
          <t>Coste de personal / Ventas</t>
        </is>
      </c>
      <c r="B23" s="22">
        <f>IFERROR(IF(B8="","",'PyG 3 Años'!$B$23/B8),"")</f>
        <v>0.5375416666666667</v>
      </c>
      <c r="C23" s="22">
        <f>IFERROR(IF(C8="","",'PyG 3 Años'!$B$23/C8),"")</f>
        <v>0.35836111111111113</v>
      </c>
      <c r="D23" s="22">
        <f>IFERROR(IF(D8="","",'PyG 3 Años'!$B$23/D8),"")</f>
        <v>0.25802</v>
      </c>
      <c r="E23" s="34" t="inlineStr">
        <is>
          <t>La MISMA plantilla en los tres escenarios. Si en el pesimista se dispara, el ajuste hay que hacerlo en la hoja de Personal, no aquí</t>
        </is>
      </c>
    </row>
    <row r="24">
      <c r="A24" s="34" t="inlineStr">
        <is>
          <t>Cubiertos al año por jornada equivalente</t>
        </is>
      </c>
      <c r="B24" s="43">
        <f>IFERROR(IF(B8="","",B5*B7/'Personal'!$C$12),"")</f>
        <v>2930.232558139535</v>
      </c>
      <c r="C24" s="43">
        <f>IFERROR(IF(C8="","",C5*C7/'Personal'!$C$12),"")</f>
        <v>3906.9767441860467</v>
      </c>
      <c r="D24" s="43">
        <f>IFERROR(IF(D8="","",D5*D7/'Personal'!$C$12),"")</f>
        <v>4883.720930232558</v>
      </c>
      <c r="E24" s="34" t="inlineStr">
        <is>
          <t>Cubiertos que tendría que sacar cada jornada completa del cuadro de Personal. En el optimista dice si hace falta contratar</t>
        </is>
      </c>
    </row>
    <row r="25">
      <c r="A25" s="16" t="inlineStr">
        <is>
          <t>Saldo de caja al cierre del año 1 (estimado, el mismo método en los tres escenarios)</t>
        </is>
      </c>
      <c r="B25" s="36">
        <f>IFERROR(IF(B8="","",'Inversión Inicial'!$B$29+B20+'PyG 3 Años'!$B$35-'Financiación'!$B$45),"")</f>
        <v>8323.45199999999</v>
      </c>
      <c r="C25" s="36">
        <f>IFERROR(IF(C8="","",'Inversión Inicial'!$B$29+C20+'PyG 3 Años'!$B$35-'Financiación'!$B$45),"")</f>
        <v>74659.0188</v>
      </c>
      <c r="D25" s="36">
        <f>IFERROR(IF(D8="","",'Inversión Inicial'!$B$29+D20+'PyG 3 Años'!$B$35-'Financiación'!$B$45),"")</f>
        <v>144053.25</v>
      </c>
      <c r="E25" s="1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4" t="inlineStr">
        <is>
          <t>Saldo real del mes 12 de la hoja de Tesorería (sólo realista)</t>
        </is>
      </c>
      <c r="C26" s="35">
        <f>IFERROR(IF(C8="","",'Tesorería 12 meses'!$M$22),"")</f>
        <v>95411.52275351874</v>
      </c>
      <c r="E26" s="34"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17" t="inlineStr">
        <is>
          <t>La columna «Realista» lee sus tres datos de la hoja de Supuestos, así que reproduce EXACTAMENTE el año 1 del P&amp;L. Los otros dos escenarios usan las mismas tasas de coste: lo único que cambia son los cubiertos,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Propietario/a y encargado/a de sala</t>
        </is>
      </c>
      <c r="B5" s="51" t="n">
        <v>1</v>
      </c>
      <c r="C5" s="53" t="n">
        <v>1</v>
      </c>
      <c r="D5" s="52" t="n">
        <v>1380</v>
      </c>
      <c r="E5" s="42">
        <f>IFERROR(IF(D5="","",D5*'0. Supuestos'!$B$20),"")</f>
        <v>455.40000000000003</v>
      </c>
      <c r="F5" s="42">
        <f>IFERROR(IF(D5="","",D5+E5),"")</f>
        <v>1835.4</v>
      </c>
      <c r="G5" s="42">
        <f>IFERROR(IF(D5="","",F5*MAX(12,'0. Supuestos'!$B$21)),"")</f>
        <v>25695.600000000002</v>
      </c>
      <c r="H5" s="45">
        <f>IFERROR(IF(D5="","",C5*$B$19),"")</f>
        <v>40.0</v>
      </c>
      <c r="I5" s="41">
        <f>IFERROR(IF(D5="","",H5*B5*$B$20),"")</f>
        <v>1840.0</v>
      </c>
      <c r="J5" s="29" t="inlineStr">
        <is>
          <t>Gestiona compras, caja, proveedores y RRSS, y cubre barra/sala en el turno fuerte de tarde-noche</t>
        </is>
      </c>
    </row>
    <row r="6">
      <c r="A6" s="29" t="inlineStr">
        <is>
          <t>Jefe de cocina</t>
        </is>
      </c>
      <c r="B6" s="51" t="n">
        <v>1</v>
      </c>
      <c r="C6" s="53" t="n">
        <v>1</v>
      </c>
      <c r="D6" s="52" t="n">
        <v>1480</v>
      </c>
      <c r="E6" s="42">
        <f>IFERROR(IF(D6="","",D6*'0. Supuestos'!$B$20),"")</f>
        <v>488.40000000000003</v>
      </c>
      <c r="F6" s="42">
        <f>IFERROR(IF(D6="","",D6+E6),"")</f>
        <v>1968.4</v>
      </c>
      <c r="G6" s="42">
        <f>IFERROR(IF(D6="","",F6*MAX(12,'0. Supuestos'!$B$21)),"")</f>
        <v>27557.600000000002</v>
      </c>
      <c r="H6" s="45">
        <f>IFERROR(IF(D6="","",C6*$B$19),"")</f>
        <v>40.0</v>
      </c>
      <c r="I6" s="41">
        <f>IFERROR(IF(D6="","",H6*B6*$B$20),"")</f>
        <v>1840.0</v>
      </c>
      <c r="J6" s="29" t="inlineStr">
        <is>
          <t>Diseña la carta de tapas, coordina la línea de cocina y controla el food cost semanal, que el checklist marca como tarea SEMANAL de los primeros 90 días. Es el puesto cualificado del equipo y el único claramente por encima del suelo del convenio</t>
        </is>
      </c>
    </row>
    <row r="7">
      <c r="A7" s="29" t="inlineStr">
        <is>
          <t>Camarero/a de barra (turno fuerte)</t>
        </is>
      </c>
      <c r="B7" s="51" t="n">
        <v>1</v>
      </c>
      <c r="C7" s="53" t="n">
        <v>1</v>
      </c>
      <c r="D7" s="52" t="n">
        <v>1280</v>
      </c>
      <c r="E7" s="42">
        <f>IFERROR(IF(D7="","",D7*'0. Supuestos'!$B$20),"")</f>
        <v>422.40000000000003</v>
      </c>
      <c r="F7" s="42">
        <f>IFERROR(IF(D7="","",D7+E7),"")</f>
        <v>1702.4</v>
      </c>
      <c r="G7" s="42">
        <f>IFERROR(IF(D7="","",F7*MAX(12,'0. Supuestos'!$B$21)),"")</f>
        <v>23833.600000000002</v>
      </c>
      <c r="H7" s="45">
        <f>IFERROR(IF(D7="","",C7*$B$19),"")</f>
        <v>40.0</v>
      </c>
      <c r="I7" s="41">
        <f>IFERROR(IF(D7="","",H7*B7*$B$20),"")</f>
        <v>1840.0</v>
      </c>
      <c r="J7" s="29" t="inlineStr">
        <is>
          <t>Tiraje de cerveza, vermut y cócteles: el afterwork representa el 25-30 % de la facturación de un gastrobar, según el documento de este plan</t>
        </is>
      </c>
    </row>
    <row r="8">
      <c r="A8" s="29" t="inlineStr">
        <is>
          <t>Camarero/a de sala y terraza</t>
        </is>
      </c>
      <c r="B8" s="51" t="n">
        <v>1</v>
      </c>
      <c r="C8" s="53" t="n">
        <v>0.6</v>
      </c>
      <c r="D8" s="52" t="n">
        <v>790</v>
      </c>
      <c r="E8" s="42">
        <f>IFERROR(IF(D8="","",D8*'0. Supuestos'!$B$20),"")</f>
        <v>260.7</v>
      </c>
      <c r="F8" s="42">
        <f>IFERROR(IF(D8="","",D8+E8),"")</f>
        <v>1050.7</v>
      </c>
      <c r="G8" s="42">
        <f>IFERROR(IF(D8="","",F8*MAX(12,'0. Supuestos'!$B$21)),"")</f>
        <v>14709.800000000001</v>
      </c>
      <c r="H8" s="45">
        <f>IFERROR(IF(D8="","",C8*$B$19),"")</f>
        <v>24.0</v>
      </c>
      <c r="I8" s="41">
        <f>IFERROR(IF(D8="","",H8*B8*$B$20),"")</f>
        <v>1104.0</v>
      </c>
      <c r="J8" s="29" t="inlineStr">
        <is>
          <t>Cubre el servicio de mesa y terraza en el turno de tarde-noche, 24 horas semanales; la hoja «Instrucciones» sitúa la ocupación media de entre semana en el 50-65 %</t>
        </is>
      </c>
    </row>
    <row r="9">
      <c r="A9" s="29" t="inlineStr">
        <is>
          <t>Ayudante de cocina</t>
        </is>
      </c>
      <c r="B9" s="51" t="n">
        <v>1</v>
      </c>
      <c r="C9" s="53" t="n">
        <v>0.45</v>
      </c>
      <c r="D9" s="52" t="n">
        <v>565</v>
      </c>
      <c r="E9" s="42">
        <f>IFERROR(IF(D9="","",D9*'0. Supuestos'!$B$20),"")</f>
        <v>186.45000000000002</v>
      </c>
      <c r="F9" s="42">
        <f>IFERROR(IF(D9="","",D9+E9),"")</f>
        <v>751.45</v>
      </c>
      <c r="G9" s="42">
        <f>IFERROR(IF(D9="","",F9*MAX(12,'0. Supuestos'!$B$21)),"")</f>
        <v>10520.300000000001</v>
      </c>
      <c r="H9" s="45">
        <f>IFERROR(IF(D9="","",C9*$B$19),"")</f>
        <v>18.0</v>
      </c>
      <c r="I9" s="41">
        <f>IFERROR(IF(D9="","",H9*B9*$B$20),"")</f>
        <v>828.0</v>
      </c>
      <c r="J9" s="29" t="inlineStr">
        <is>
          <t>Mise en place, limpieza y apoyo en plancha/freidora en el turno fuerte, 18 horas semanales</t>
        </is>
      </c>
    </row>
    <row r="10">
      <c r="A10" s="29" t="inlineStr">
        <is>
          <t>Extra de fin de semana (barra y sala)</t>
        </is>
      </c>
      <c r="B10" s="51" t="n">
        <v>1</v>
      </c>
      <c r="C10" s="53" t="n">
        <v>0.15</v>
      </c>
      <c r="D10" s="52" t="n">
        <v>195</v>
      </c>
      <c r="E10" s="42">
        <f>IFERROR(IF(D10="","",D10*'0. Supuestos'!$B$20),"")</f>
        <v>64.35000000000001</v>
      </c>
      <c r="F10" s="42">
        <f>IFERROR(IF(D10="","",D10+E10),"")</f>
        <v>259.35</v>
      </c>
      <c r="G10" s="42">
        <f>IFERROR(IF(D10="","",F10*MAX(12,'0. Supuestos'!$B$21)),"")</f>
        <v>3630.9000000000005</v>
      </c>
      <c r="H10" s="45">
        <f>IFERROR(IF(D10="","",C10*$B$19),"")</f>
        <v>6.0</v>
      </c>
      <c r="I10" s="41">
        <f>IFERROR(IF(D10="","",H10*B10*$B$20),"")</f>
        <v>276.0</v>
      </c>
      <c r="J10" s="29" t="inlineStr">
        <is>
          <t>Refuerzo de los picos de viernes-sábado, cuando la ocupación sube al 80-95 % que publica la hoja «Instrucciones». Seis horas semanales</t>
        </is>
      </c>
    </row>
    <row r="11">
      <c r="A11" s="29" t="inlineStr">
        <is>
          <t>Suplencias de vacaciones y descansos</t>
        </is>
      </c>
      <c r="B11" s="51" t="n">
        <v>1</v>
      </c>
      <c r="C11" s="53" t="n">
        <v>0.1</v>
      </c>
      <c r="D11" s="52" t="n">
        <v>130</v>
      </c>
      <c r="E11" s="42">
        <f>IFERROR(IF(D11="","",D11*'0. Supuestos'!$B$20),"")</f>
        <v>42.9</v>
      </c>
      <c r="F11" s="42">
        <f>IFERROR(IF(D11="","",D11+E11),"")</f>
        <v>172.9</v>
      </c>
      <c r="G11" s="42">
        <f>IFERROR(IF(D11="","",F11*MAX(12,'0. Supuestos'!$B$21)),"")</f>
        <v>2420.6</v>
      </c>
      <c r="H11" s="45">
        <f>IFERROR(IF(D11="","",C11*$B$19),"")</f>
        <v>4.0</v>
      </c>
      <c r="I11" s="41">
        <f>IFERROR(IF(D11="","",H11*B11*$B$20),"")</f>
        <v>184.0</v>
      </c>
      <c r="J11" s="29" t="inlineStr">
        <is>
          <t>Cobertura de los 30 días de vacaciones (art. 38 ET) y del descanso semanal del equipo</t>
        </is>
      </c>
    </row>
    <row r="12">
      <c r="A12" s="26" t="inlineStr">
        <is>
          <t>TOTAL PLANTILLA</t>
        </is>
      </c>
      <c r="B12" s="54">
        <f>IFERROR(IF(COUNT(D5:D11)=0,"",SUM(B5:B11)),"")</f>
        <v>7.0</v>
      </c>
      <c r="C12" s="55">
        <f>IFERROR(IF(COUNT(D5:D11)=0,"",SUM(C5:C11)),"")</f>
        <v>4.3</v>
      </c>
      <c r="D12" s="49">
        <f>IFERROR(IF(COUNT(D5:D11)=0,"",SUM(D5:D11)),"")</f>
        <v>5820.0</v>
      </c>
      <c r="E12" s="49">
        <f>IFERROR(IF(COUNT(D5:D11)=0,"",SUM(E5:E11)),"")</f>
        <v>1920.6000000000001</v>
      </c>
      <c r="F12" s="49">
        <f>IFERROR(IF(COUNT(D5:D11)=0,"",SUM(F5:F11)),"")</f>
        <v>7740.6</v>
      </c>
      <c r="G12" s="49">
        <f>IFERROR(IF(COUNT(D5:D11)=0,"",SUM(G5:G11)),"")</f>
        <v>108368.40000000001</v>
      </c>
      <c r="H12" s="29" t="n"/>
      <c r="I12" s="54">
        <f>IFERROR(IF(COUNT(D5:D11)=0,"",SUM(I5:I11)),"")</f>
        <v>7912.0</v>
      </c>
      <c r="J12" s="29" t="n"/>
    </row>
    <row r="13">
      <c r="A13" s="16" t="inlineStr">
        <is>
          <t>CRECIMIENTO DE LA PLANTILLA (coste escalonado)</t>
        </is>
      </c>
    </row>
    <row r="14">
      <c r="A14" s="34" t="inlineStr">
        <is>
          <t>Coste anual de las incorporaciones del año 2 (€)</t>
        </is>
      </c>
      <c r="B14" s="56" t="n">
        <v>6000</v>
      </c>
      <c r="J14" s="34" t="inlineStr">
        <is>
          <t>Coste ANUAL completo (bruto + Seguridad Social × pagas) de lo que se contrate ese año. El P&amp;L lo suma al coste del año anterior: la plantilla no crece con un porcentaje, crece con personas</t>
        </is>
      </c>
    </row>
    <row r="15">
      <c r="A15" s="34" t="inlineStr">
        <is>
          <t>Coste anual de las incorporaciones del año 3 (€)</t>
        </is>
      </c>
      <c r="B15" s="56" t="n">
        <v>6000</v>
      </c>
      <c r="J15" s="34" t="inlineStr">
        <is>
          <t>Coste ANUAL completo (bruto + Seguridad Social × pagas) de lo que se contrate ese año. El P&amp;L lo suma al coste del año anterior: la plantilla no crece con un porcentaje, crece con personas</t>
        </is>
      </c>
    </row>
    <row r="16">
      <c r="A16" s="34" t="inlineStr">
        <is>
          <t>Coste de personal del año 2</t>
        </is>
      </c>
      <c r="B16" s="35">
        <f>IFERROR(IF(G12="","",G12*(1+'0. Supuestos'!$B$48)+B14),"")</f>
        <v>114368.40000000001</v>
      </c>
    </row>
    <row r="17">
      <c r="A17" s="34" t="inlineStr">
        <is>
          <t>Coste de personal del año 3</t>
        </is>
      </c>
      <c r="B17" s="35">
        <f>IFERROR(IF(B16="","",B16*(1+'0. Supuestos'!$B$48)+B15),"")</f>
        <v>120368.40000000001</v>
      </c>
    </row>
    <row r="18">
      <c r="A18" s="16" t="inlineStr">
        <is>
          <t>COBERTURA POR HORAS DE SERVICIO</t>
        </is>
      </c>
    </row>
    <row r="19">
      <c r="A19" s="34" t="inlineStr">
        <is>
          <t>Jornada completa del convenio (horas/semana)</t>
        </is>
      </c>
      <c r="B19" s="57" t="n">
        <v>40</v>
      </c>
      <c r="J19" s="34" t="inlineStr">
        <is>
          <t>Art. 34.1 del Estatuto de los Trabajadores; tu convenio provincial puede fijar menos</t>
        </is>
      </c>
    </row>
    <row r="20">
      <c r="A20" s="34" t="inlineStr">
        <is>
          <t>Semanas trabajadas al año por persona</t>
        </is>
      </c>
      <c r="B20" s="57" t="n">
        <v>46</v>
      </c>
      <c r="J20" s="34" t="inlineStr">
        <is>
          <t>46 semanas: 52 menos las vacaciones (30 días naturales, art. 38 ET), los festivos y las ausencias medias</t>
        </is>
      </c>
    </row>
    <row r="21">
      <c r="A21" s="34" t="inlineStr">
        <is>
          <t>Horas de servicio al día que hay que cubrir</t>
        </is>
      </c>
      <c r="B21" s="58" t="n">
        <v>9.5</v>
      </c>
      <c r="J21" s="34" t="inlineStr">
        <is>
          <t>Horas con el local abierto al público, sumando el servicio de mediodía y el de la noche; la tarde de cierre entre los dos no se cuenta. Es una estimación para un gastrobar con dos servicios: cuéntalas sobre tu horario real</t>
        </is>
      </c>
    </row>
    <row r="22">
      <c r="A22" s="34" t="inlineStr">
        <is>
          <t>Personas necesarias a la vez en cada franja</t>
        </is>
      </c>
      <c r="B22" s="58" t="n">
        <v>2</v>
      </c>
      <c r="J22" s="34" t="inlineStr">
        <is>
          <t>Media de presencia simultánea entre barra y sala en los dos servicios. En las puntas hará falta más y al final de cada turno, menos</t>
        </is>
      </c>
    </row>
    <row r="23">
      <c r="A23" s="34" t="inlineStr">
        <is>
          <t>Horas de producción al día ANTES de abrir</t>
        </is>
      </c>
      <c r="B23" s="58" t="n">
        <v>3.5</v>
      </c>
      <c r="J23" s="34" t="inlineStr">
        <is>
          <t>Mise en place de tapas, raciones y elaboraciones antes de abrir: en un local con plancha, freidora, horno y salamandra el pase no se improvisa. Es tiempo de trabajo que no se solapa con la atención al público</t>
        </is>
      </c>
    </row>
    <row r="24">
      <c r="A24" s="34" t="inlineStr">
        <is>
          <t>Personas en el turno de producción</t>
        </is>
      </c>
      <c r="B24" s="58" t="n">
        <v>2</v>
      </c>
      <c r="J24" s="34" t="inlineStr">
        <is>
          <t>Jefe de cocina y ayudante. El cierre, la limpieza y la gestión de compras y caja quedan FUERA de este cuadrante: son el margen que separa las horas contratadas de las necesarias</t>
        </is>
      </c>
    </row>
    <row r="25">
      <c r="A25" s="34" t="inlineStr">
        <is>
          <t>Horas de servicio a cubrir al año</t>
        </is>
      </c>
      <c r="B25" s="43">
        <f>IFERROR(IF(OR(B21="",B22="",'0. Supuestos'!$B$6=""),"",B21*B22*'0. Supuestos'!$B$6+B23*B24*'0. Supuestos'!$B$6),"")</f>
        <v>7800.0</v>
      </c>
    </row>
    <row r="26">
      <c r="A26" s="34" t="inlineStr">
        <is>
          <t>Horas contratadas al año</t>
        </is>
      </c>
      <c r="B26" s="43">
        <f>IFERROR(IF(I12="","",I12),"")</f>
        <v>7912.0</v>
      </c>
    </row>
    <row r="27">
      <c r="A27" s="16" t="inlineStr">
        <is>
          <t>Cobertura (contratadas / necesarias)</t>
        </is>
      </c>
      <c r="B27" s="37">
        <f>IFERROR(B26/B25,"")</f>
        <v>1.0143589743589743</v>
      </c>
      <c r="J27" s="16" t="inlineStr">
        <is>
          <t>Por debajo del 100 % la plantilla no llega a cubrir el horario que declara el plan: o se contrata más o se recorta el horario</t>
        </is>
      </c>
    </row>
    <row r="28"/>
    <row r="29" ht="150" customHeight="1">
      <c r="A29" s="17"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30" ht="150" customHeight="1">
      <c r="A30" s="17"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Tapas Bar / Gastrobar</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cubiertos,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10" customHeight="1">
      <c r="A8" s="48"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45" customHeight="1">
      <c r="A10" s="48" t="inlineStr">
        <is>
          <t>6. La hoja «Tesorería 12 meses» responde la pregunta que decide una operación bancaria: en qué mes se agota la caja. El saldo mínimo del año nunca puede salir en rojo.</t>
        </is>
      </c>
      <c r="B10" s="29" t="n"/>
      <c r="C10" s="29" t="n"/>
      <c r="D10" s="29" t="n"/>
      <c r="E10" s="29" t="n"/>
    </row>
    <row r="11" ht="75" customHeight="1">
      <c r="A11" s="48" t="inlineStr">
        <is>
          <t>7. La hoja «Financiación» cuadra lo que hace falta con lo que se aporta y monta el cuadro de amortización del préstamo. Si la diferencia sale en rojo, el plan no está financiado; muy por encima de cero tampoco es gratis, porque se pagan intereses por un dinero que no se usa.</t>
        </is>
      </c>
      <c r="B11" s="29" t="n"/>
      <c r="C11" s="29" t="n"/>
      <c r="D11" s="29" t="n"/>
      <c r="E11" s="29" t="n"/>
    </row>
    <row r="12" ht="45" customHeight="1">
      <c r="A12" s="48" t="inlineStr">
        <is>
          <t>8. El documento Word de este pack es el de la versión 1.1: las cifras válidas son las de este Excel, que es el que se recalcula solo. Donde una y otra no coincidan, manda esta hoja de cálculo.</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31">
        <f>IFERROR(IF('PyG 3 Años'!$B$52="","",'PyG 3 Años'!$B$52),"")</f>
        <v>0.27777999999999997</v>
      </c>
      <c r="C18" s="31">
        <f>IFERROR(IF('PyG 3 Años'!$E$52="","",'PyG 3 Años'!$E$52),"")</f>
        <v>0.3</v>
      </c>
      <c r="D18" s="29" t="str">
        <f>IFERROR(IF(OR(B18="",C18=""),"",IF(B18&lt;=C18,"CUMPLE","REVISAR")),"")</f>
        <v>CUMPLE</v>
      </c>
      <c r="E18" s="29" t="n"/>
    </row>
    <row r="19">
      <c r="A19" s="29" t="inlineStr">
        <is>
          <t>Coste de personal / Ventas</t>
        </is>
      </c>
      <c r="B19" s="31">
        <f>IFERROR(IF('PyG 3 Años'!$B$53="","",'PyG 3 Años'!$B$53),"")</f>
        <v>0.35836111111111113</v>
      </c>
      <c r="C19" s="31">
        <f>IFERROR(IF('PyG 3 Años'!$E$53="","",'PyG 3 Años'!$E$53),"")</f>
        <v>0.36</v>
      </c>
      <c r="D19" s="29" t="str">
        <f>IFERROR(IF(OR(B19="",C19=""),"",IF(B19&lt;=C19,"CUMPLE","REVISAR")),"")</f>
        <v>CUMPLE</v>
      </c>
      <c r="E19" s="29" t="n"/>
    </row>
    <row r="20">
      <c r="A20" s="29" t="inlineStr">
        <is>
          <t>Alquiler / Ventas</t>
        </is>
      </c>
      <c r="B20" s="31">
        <f>IFERROR(IF('PyG 3 Años'!$B$54="","",'PyG 3 Años'!$B$54),"")</f>
        <v>0.0992063492063492</v>
      </c>
      <c r="C20" s="31">
        <f>IFERROR(IF('PyG 3 Años'!$E$54="","",'PyG 3 Años'!$E$54),"")</f>
        <v>0.12</v>
      </c>
      <c r="D20" s="29" t="str">
        <f>IFERROR(IF(OR(B20="",C20=""),"",IF(B20&lt;=C20,"CUMPLE","REVISAR")),"")</f>
        <v>CUMPLE</v>
      </c>
      <c r="E20" s="29" t="n"/>
    </row>
    <row r="21">
      <c r="A21" s="29" t="inlineStr">
        <is>
          <t>Resultado neto / Ventas</t>
        </is>
      </c>
      <c r="B21" s="31">
        <f>IFERROR(IF('PyG 3 Años'!$B$55="","",'PyG 3 Años'!$B$55),"")</f>
        <v>0.06824377910052912</v>
      </c>
      <c r="C21" s="31">
        <f>IFERROR(IF('PyG 3 Años'!$E$55="","",'PyG 3 Años'!$E$55),"")</f>
        <v>0.05</v>
      </c>
      <c r="D21" s="29" t="str">
        <f>IFERROR(IF(OR(B21="",C21=""),"",IF(B21&gt;=C21,"CUMPLE","REVISAR")),"")</f>
        <v>CUMPLE</v>
      </c>
      <c r="E21" s="29" t="n"/>
    </row>
    <row r="22">
      <c r="A22" s="29" t="inlineStr">
        <is>
          <t>Margen bruto / Ventas</t>
        </is>
      </c>
      <c r="B22" s="31">
        <f>IFERROR(IF('PyG 3 Años'!$B$50="","",'PyG 3 Años'!$B$50),"")</f>
        <v>0.6942200000000001</v>
      </c>
      <c r="C22" s="31">
        <f>IFERROR(IF('PyG 3 Años'!$E$50="","",'PyG 3 Años'!$E$50),"")</f>
        <v>0.68</v>
      </c>
      <c r="D22" s="29" t="str">
        <f>IFERROR(IF(OR(B22="",C22=""),"",IF(B22&gt;=C22,"CUMPLE","REVISAR")),"")</f>
        <v>CUMPLE</v>
      </c>
      <c r="E22" s="29" t="n"/>
    </row>
    <row r="23"/>
    <row r="24">
      <c r="A24" s="16" t="inlineStr">
        <is>
          <t>CIFRAS DE ESTE PLAN</t>
        </is>
      </c>
    </row>
    <row r="25">
      <c r="A25" t="inlineStr">
        <is>
          <t>Inversión total (suma de los bloques)</t>
        </is>
      </c>
      <c r="B25" s="35">
        <f>IFERROR(IF('Inversión Inicial'!$B$30="","",'Inversión Inicial'!$B$30),"")</f>
        <v>153327.1</v>
      </c>
    </row>
    <row r="26">
      <c r="A26" t="inlineStr">
        <is>
          <t>Necesidad total de caja al arranque</t>
        </is>
      </c>
      <c r="B26" s="35">
        <f>IFERROR(IF('Inversión Inicial'!$B$33="","",'Inversión Inicial'!$B$33),"")</f>
        <v>174316.6</v>
      </c>
    </row>
    <row r="27">
      <c r="A27" t="inlineStr">
        <is>
          <t>Fondo de maniobra dotado</t>
        </is>
      </c>
      <c r="B27" s="35">
        <f>IFERROR(IF('Inversión Inicial'!$B$29="","",'Inversión Inicial'!$B$29),"")</f>
        <v>43877.100000000006</v>
      </c>
    </row>
    <row r="28">
      <c r="A28" t="inlineStr">
        <is>
          <t>Facturación prevista del año 1</t>
        </is>
      </c>
      <c r="B28" s="35">
        <f>IFERROR(IF('PyG 3 Años'!$B$9="","",'PyG 3 Años'!$B$9),"")</f>
        <v>302400.0</v>
      </c>
    </row>
    <row r="29">
      <c r="A29" t="inlineStr">
        <is>
          <t>Resultado neto del año 1</t>
        </is>
      </c>
      <c r="B29" s="35">
        <f>IFERROR(IF('PyG 3 Años'!$B$47="","",'PyG 3 Años'!$B$47),"")</f>
        <v>20636.918800000003</v>
      </c>
    </row>
    <row r="30">
      <c r="A30" t="inlineStr">
        <is>
          <t>Cubiertos/día para el punto de equilibrio CONTABLE (con la amortización dentro)</t>
        </is>
      </c>
      <c r="B30" s="50">
        <f>IFERROR(IF('Punto Equilibrio'!$B$15="","",'Punto Equilibrio'!$B$15),"")</f>
        <v>49.523579354180605</v>
      </c>
    </row>
    <row r="31">
      <c r="A31" t="inlineStr">
        <is>
          <t>Payback del proyecto (años), antes de la deuda</t>
        </is>
      </c>
      <c r="B31">
        <f>IFERROR(IF('Tesorería 12 meses'!$B$31="","",'Tesorería 12 meses'!$B$31),"")</f>
        <v>2.8</v>
      </c>
    </row>
    <row r="32"/>
    <row r="33">
      <c r="A33" s="16" t="inlineStr">
        <is>
          <t>QUÉ HA CAMBIADO RESPECTO DE LA VERSIÓN 1.1</t>
        </is>
      </c>
    </row>
    <row r="34">
      <c r="A34" s="16" t="inlineStr">
        <is>
          <t>Concepto</t>
        </is>
      </c>
      <c r="B34" s="16" t="inlineStr">
        <is>
          <t>v1.1</t>
        </is>
      </c>
      <c r="C34" s="16" t="inlineStr">
        <is>
          <t>v2.2</t>
        </is>
      </c>
      <c r="D34" s="16" t="inlineStr">
        <is>
          <t>Por qué</t>
        </is>
      </c>
    </row>
    <row r="35" ht="60" customHeight="1">
      <c r="A35" s="59" t="inlineStr">
        <is>
          <t>Coste de personal en la cuenta de resultados</t>
        </is>
      </c>
      <c r="B35" s="59" t="inlineStr">
        <is>
          <t>96.000 €</t>
        </is>
      </c>
      <c r="C35" s="59" t="inlineStr">
        <is>
          <t>El que suma la hoja «Personal»: 108.368 €</t>
        </is>
      </c>
      <c r="D35" s="17" t="inlineStr">
        <is>
          <t>La cuenta de resultados llevaba una cifra tecleada a mano que no era la que sumaba su propia hoja de Personal (209.174 €). Ahora las dos son el mismo número y se recalcula sola cada vez que cambias un sueldo.</t>
        </is>
      </c>
    </row>
    <row r="36" ht="165" customHeight="1">
      <c r="A36" s="59" t="inlineStr">
        <is>
          <t>Plantilla</t>
        </is>
      </c>
      <c r="B36" s="59" t="inlineStr">
        <is>
          <t>7 puestos / 209.174 € al año</t>
        </is>
      </c>
      <c r="C36" s="59" t="inlineStr">
        <is>
          <t>7 puestos, cuatro de ellos a jornada parcial / 108.368 € al año</t>
        </is>
      </c>
      <c r="D36" s="17" t="inlineStr">
        <is>
          <t>Dimensionada por horas, con el cuadrante a la vista en la hoja de Personal: las 9,5 horas de los dos servicios con público más las 3,5 de mise en place anterior a la apertura, con dos personas a la vez, los 300 días que abre el local. Las horas contratadas cubren esas horas necesarias y dejan un margen mínimo para el cierre, la limpieza y la gestión. Ningún sueldo baja del salario mínimo, y las jornadas parciales lo respetan en proporción. Con la estructura anterior el coste laboral era el 77,5 % de las ventas; ahora es el 35,8 %, dentro del 32-38 % que este mismo libro publica como referencia.</t>
        </is>
      </c>
    </row>
    <row r="37" ht="150" customHeight="1">
      <c r="A37" s="59" t="inlineStr">
        <is>
          <t>Clientes al día del año 1</t>
        </is>
      </c>
      <c r="B37" s="59" t="inlineStr">
        <is>
          <t>50</t>
        </is>
      </c>
      <c r="C37" s="59" t="inlineStr">
        <is>
          <t>56</t>
        </is>
      </c>
      <c r="D37" s="17" t="inlineStr">
        <is>
          <t>Son 1,24 servicios por plaza y día sobre las 45 plazas del aforo, la mitad de la ocupación que describe el documento (1,8 servicios en el almuerzo y 1,5 en la cena). Suben porque el equipo mínimo de un tapas bar con cocina propia que abre dos servicios los 300 días del calendario cuesta 108.368 € al año pagando al menos el salario mínimo, y eso sobre los 270.000 € de la versión anterior era el 40,1 % de las ventas: por encima del 32-38 % que este mismo libro publica como referencia. Sobre la facturación recalibrada es el 35,8 %.</t>
        </is>
      </c>
    </row>
    <row r="38" ht="45" customHeight="1">
      <c r="A38" s="59" t="inlineStr">
        <is>
          <t>Ticket medio</t>
        </is>
      </c>
      <c r="B38" s="59" t="inlineStr">
        <is>
          <t>18 € (sin decir si llevaba IVA)</t>
        </is>
      </c>
      <c r="C38" s="59" t="inlineStr">
        <is>
          <t>18 € SIN IVA (el mismo número)</t>
        </is>
      </c>
      <c r="D38" s="17" t="inlineStr">
        <is>
          <t>Se declara qué era esa cifra, no se cambia: con el IVA de sala son 19,80 € de precio de venta, dentro del rango de 15-22 € que publica este mismo libro.</t>
        </is>
      </c>
    </row>
    <row r="39" ht="45" customHeight="1">
      <c r="A39" s="59" t="inlineStr">
        <is>
          <t>Facturación del año 1</t>
        </is>
      </c>
      <c r="B39" s="59" t="inlineStr">
        <is>
          <t>270.000 €</t>
        </is>
      </c>
      <c r="C39" s="59" t="inlineStr">
        <is>
          <t>302.400 €</t>
        </is>
      </c>
      <c r="D39" s="17" t="inlineStr">
        <is>
          <t>56 clientes × 18 € × 300 días. Sube por el número de clientes, no por el precio: el ticket es exactamente el mismo.</t>
        </is>
      </c>
    </row>
    <row r="40" ht="45" customHeight="1">
      <c r="A40" s="59" t="inlineStr">
        <is>
          <t>Alquiler</t>
        </is>
      </c>
      <c r="B40" s="59" t="inlineStr">
        <is>
          <t>2.500 €/mes</t>
        </is>
      </c>
      <c r="C40" s="59" t="inlineStr">
        <is>
          <t>2.500 €/mes (sin cambio)</t>
        </is>
      </c>
      <c r="D40" s="17" t="inlineStr">
        <is>
          <t>Con la facturación recalibrada son el 9,9 % de las ventas, por debajo del techo del 12 % que fija este mismo libro.</t>
        </is>
      </c>
    </row>
    <row r="41" ht="45" customHeight="1">
      <c r="A41" s="59" t="inlineStr">
        <is>
          <t>Calendario de apertura</t>
        </is>
      </c>
      <c r="B41" s="59" t="inlineStr">
        <is>
          <t>Escenarios: 310-320 días/año · cuenta de resultados: 300 implícitos</t>
        </is>
      </c>
      <c r="C41" s="59" t="inlineStr">
        <is>
          <t>300 días al año, un único dato en «0. Supuestos»</t>
        </is>
      </c>
      <c r="D41" s="17" t="inlineStr">
        <is>
          <t>El libro traía dos calendarios distintos y las hojas no cuadraban entre sí. Se toma el más prudente, que además es el que la cuenta de resultados ya usaba.</t>
        </is>
      </c>
    </row>
    <row r="42" ht="45" customHeight="1">
      <c r="A42" s="59" t="inlineStr">
        <is>
          <t>Fondo de maniobra</t>
        </is>
      </c>
      <c r="B42" s="59" t="inlineStr">
        <is>
          <t>12.000 € etiquetados «3 meses»</t>
        </is>
      </c>
      <c r="C42" s="59" t="inlineStr">
        <is>
          <t>3 × los costes fijos de caja de un mes, por fórmula</t>
        </is>
      </c>
      <c r="D42" s="17" t="inlineStr">
        <is>
          <t>Los 12.000 € no llegaban a cubrir un solo mes de los costes fijos de caja de este plan, no tres. Ahora se recalcula solo cada vez que cambias un coste fijo.</t>
        </is>
      </c>
    </row>
    <row r="43" ht="45" customHeight="1">
      <c r="A43" s="59" t="inlineStr">
        <is>
          <t>Amortización</t>
        </is>
      </c>
      <c r="B43" s="59" t="inlineStr">
        <is>
          <t>11.550 € al año, 10 años planos sobre toda la inversión</t>
        </is>
      </c>
      <c r="C43" s="59" t="inlineStr">
        <is>
          <t>Sólo sobre la obra (10 años) y la maquinaria (8 años), por fórmula</t>
        </is>
      </c>
      <c r="D43" s="17" t="inlineStr">
        <is>
          <t>El fondo de maniobra, la fianza, las existencias iniciales y el marketing de lanzamiento no son inmovilizado y no se amortizan.</t>
        </is>
      </c>
    </row>
    <row r="44" ht="30" customHeight="1">
      <c r="A44" s="59" t="inlineStr">
        <is>
          <t>Imprevistos de obra</t>
        </is>
      </c>
      <c r="B44" s="59" t="inlineStr">
        <is>
          <t>8.500 € tecleados a mano</t>
        </is>
      </c>
      <c r="C44" s="59" t="inlineStr">
        <is>
          <t>Un porcentaje sobre las partidas de obra, editable en «0. Supuestos»</t>
        </is>
      </c>
      <c r="D44" s="17" t="inlineStr">
        <is>
          <t>El porcentaje vivía dentro del rótulo de la fila, así que mentía cada vez que se tocaba cualquier partida.</t>
        </is>
      </c>
    </row>
    <row r="45" ht="45" customHeight="1">
      <c r="A45" s="59" t="inlineStr">
        <is>
          <t>Impuesto de Sociedades</t>
        </is>
      </c>
      <c r="B45" s="59" t="inlineStr">
        <is>
          <t>25 % los tres años, sin compensar pérdidas</t>
        </is>
      </c>
      <c r="C45" s="59" t="inlineStr">
        <is>
          <t>15 % los dos primeros ejercicios con beneficio, compensando las pérdidas anteriores</t>
        </is>
      </c>
      <c r="D45" s="17" t="inlineStr">
        <is>
          <t>Es el tipo de entidad de nueva creación y la compensación de bases negativas que permiten los artículos 26 y 29.1 de la Ley del Impuesto sobre Sociedades.</t>
        </is>
      </c>
    </row>
    <row r="46" ht="30" customHeight="1">
      <c r="A46" s="59" t="inlineStr">
        <is>
          <t>Plan de financiación</t>
        </is>
      </c>
      <c r="B46" s="59" t="inlineStr">
        <is>
          <t>no existía</t>
        </is>
      </c>
      <c r="C46" s="59" t="inlineStr">
        <is>
          <t>Hoja «Financiación»: de dónde sale el dinero, si cuadra con lo que hace falta, y el cuadro de amortización del préstamo</t>
        </is>
      </c>
      <c r="D46" s="17" t="inlineStr">
        <is>
          <t>La ficha del producto lo prometía y ningún fichero de la familia lo traía.</t>
        </is>
      </c>
    </row>
    <row r="47" ht="75" customHeight="1">
      <c r="A47" s="59" t="inlineStr">
        <is>
          <t>Dinero que hay que poner</t>
        </is>
      </c>
      <c r="B47" s="59" t="inlineStr">
        <is>
          <t>no se declaraba</t>
        </is>
      </c>
      <c r="C47" s="59" t="inlineStr">
        <is>
          <t>50.000 € de los socios y 129.000 € de préstamo</t>
        </is>
      </c>
      <c r="D47" s="17" t="inlineStr">
        <is>
          <t>Se ajusta a la necesidad de caja que calcula la hoja de Inversión: ni por debajo, porque entonces el proyecto no está financiado, ni muy por encima, porque se pagan intereses por un dinero que no se usa. Los socios ponen el 29 %, que es lo que suele pedir una entidad.</t>
        </is>
      </c>
    </row>
    <row r="48" ht="30" customHeight="1">
      <c r="A48" s="59" t="inlineStr">
        <is>
          <t>Tesorería mes a mes</t>
        </is>
      </c>
      <c r="B48" s="59" t="inlineStr">
        <is>
          <t>no existía</t>
        </is>
      </c>
      <c r="C48" s="59" t="inlineStr">
        <is>
          <t>Hoja «Tesorería 12 meses»: cobros, pagos, IVA trimestral y saldo acumulado</t>
        </is>
      </c>
      <c r="D48" s="17" t="inlineStr">
        <is>
          <t>Es la hoja que responde en qué mes se agota la caja, que es lo que decide una operación bancaria.</t>
        </is>
      </c>
    </row>
    <row r="49" ht="45" customHeight="1">
      <c r="A49" s="59" t="inlineStr">
        <is>
          <t>Varios e imprevistos</t>
        </is>
      </c>
      <c r="B49" s="59" t="inlineStr">
        <is>
          <t>2.500 € al año dentro de los costes fijos</t>
        </is>
      </c>
      <c r="C49" s="59" t="inlineStr">
        <is>
          <t>1 % de las ventas, como coste variable</t>
        </is>
      </c>
      <c r="D49" s="17" t="inlineStr">
        <is>
          <t>Un gasto que sube y baja con la facturación no puede vivir en los costes fijos: movía el punto de equilibrio sin motivo.</t>
        </is>
      </c>
    </row>
    <row r="50" ht="60" customHeight="1">
      <c r="A50" s="59" t="inlineStr">
        <is>
          <t>Sueldos y horario cubierto</t>
        </is>
      </c>
      <c r="B50" s="59" t="inlineStr">
        <is>
          <t>sin ninguna comprobación</t>
        </is>
      </c>
      <c r="C50" s="59" t="inlineStr">
        <is>
          <t>Semáforo por sueldo y contador de horas contratadas frente a las necesarias</t>
        </is>
      </c>
      <c r="D50" s="17" t="inlineStr">
        <is>
          <t>La hoja de Personal avisa en rojo si un sueldo queda por debajo del mínimo legal en proporción a su jornada, y en ámbar si el equipo no llega a cubrir el horario que el propio proyecto declara.</t>
        </is>
      </c>
    </row>
    <row r="51"/>
    <row r="52">
      <c r="A52" s="16" t="inlineStr">
        <is>
          <t>DATOS DE REFERENCIA DEL SECTOR</t>
        </is>
      </c>
    </row>
    <row r="53">
      <c r="A53" s="16" t="inlineStr">
        <is>
          <t>Referencia</t>
        </is>
      </c>
      <c r="B53" s="16" t="inlineStr">
        <is>
          <t>Valor</t>
        </is>
      </c>
      <c r="C53" s="16" t="inlineStr">
        <is>
          <t>Fuente</t>
        </is>
      </c>
      <c r="D53" s="16" t="inlineStr">
        <is>
          <t>Nota</t>
        </is>
      </c>
    </row>
    <row r="54" ht="30" customHeight="1">
      <c r="A54" t="inlineStr">
        <is>
          <t>Food cost comida (tapas/raciones)</t>
        </is>
      </c>
      <c r="B54" t="inlineStr">
        <is>
          <t>28-32 %</t>
        </is>
      </c>
      <c r="C54" t="inlineStr">
        <is>
          <t>Fichero v1.1</t>
        </is>
      </c>
      <c r="D54" s="17" t="inlineStr">
        <is>
          <t>Las tapas permiten aprovechar recortes y género de menor coste</t>
        </is>
      </c>
    </row>
    <row r="55" ht="15" customHeight="1">
      <c r="A55" t="inlineStr">
        <is>
          <t>Food cost bebidas (cerveza/vino)</t>
        </is>
      </c>
      <c r="B55" t="inlineStr">
        <is>
          <t>22-28 %</t>
        </is>
      </c>
      <c r="C55" t="inlineStr">
        <is>
          <t>Fichero v1.1</t>
        </is>
      </c>
      <c r="D55" s="17" t="inlineStr">
        <is>
          <t>La cerveza de grifo tiene mejor margen que la de botella</t>
        </is>
      </c>
    </row>
    <row r="56">
      <c r="A56" t="inlineStr">
        <is>
          <t>Food cost cócteles</t>
        </is>
      </c>
      <c r="B56" t="inlineStr">
        <is>
          <t>18-25 %</t>
        </is>
      </c>
      <c r="C56" t="inlineStr">
        <is>
          <t>Fichero v1.1</t>
        </is>
      </c>
      <c r="D56" s="17" t="inlineStr">
        <is>
          <t>Margen alto si se estandarizan recetas</t>
        </is>
      </c>
    </row>
    <row r="57" ht="15" customHeight="1">
      <c r="A57" t="inlineStr">
        <is>
          <t>Coste de personal sobre ventas</t>
        </is>
      </c>
      <c r="B57" t="inlineStr">
        <is>
          <t>32-38 %</t>
        </is>
      </c>
      <c r="C57" t="inlineStr">
        <is>
          <t>Fichero v1.1</t>
        </is>
      </c>
      <c r="D57" s="17" t="inlineStr">
        <is>
          <t>Incluye los extras de fin de semana en el cálculo</t>
        </is>
      </c>
    </row>
    <row r="58">
      <c r="A58" t="inlineStr">
        <is>
          <t>Alquiler sobre ventas</t>
        </is>
      </c>
      <c r="B58" t="inlineStr">
        <is>
          <t>8-12 %</t>
        </is>
      </c>
      <c r="C58" t="inlineStr">
        <is>
          <t>Fichero v1.1</t>
        </is>
      </c>
      <c r="D58" s="17" t="inlineStr">
        <is>
          <t>No superar el 12 % para ser viable</t>
        </is>
      </c>
    </row>
    <row r="59" ht="30" customHeight="1">
      <c r="A59" t="inlineStr">
        <is>
          <t>Ticket medio tapas bar</t>
        </is>
      </c>
      <c r="B59" t="inlineStr">
        <is>
          <t>15-22 €</t>
        </is>
      </c>
      <c r="C59" t="inlineStr">
        <is>
          <t>Fichero v1.1</t>
        </is>
      </c>
      <c r="D59" s="17" t="inlineStr">
        <is>
          <t>2-3 tapas + 2 bebidas por persona. Va con IVA: el PVP equivalente de ESTE plan lo calcula la hoja «0. Supuestos»</t>
        </is>
      </c>
    </row>
    <row r="60">
      <c r="A60" t="inlineStr">
        <is>
          <t>Ticket medio gastrobar</t>
        </is>
      </c>
      <c r="B60" t="inlineStr">
        <is>
          <t>22-30 €</t>
        </is>
      </c>
      <c r="C60" t="inlineStr">
        <is>
          <t>Fichero v1.1</t>
        </is>
      </c>
      <c r="D60" s="17" t="inlineStr">
        <is>
          <t>Raciones + maridaje de vino o vermut</t>
        </is>
      </c>
    </row>
    <row r="61" ht="15" customHeight="1">
      <c r="A61" t="inlineStr">
        <is>
          <t>Consumiciones de barra sobre ventas</t>
        </is>
      </c>
      <c r="B61" t="inlineStr">
        <is>
          <t>35-45 %</t>
        </is>
      </c>
      <c r="C61" t="inlineStr">
        <is>
          <t>Fichero v1.1</t>
        </is>
      </c>
      <c r="D61" s="17" t="inlineStr">
        <is>
          <t>La barra es clave en un tapas bar, con alto margen</t>
        </is>
      </c>
    </row>
    <row r="62" ht="60" customHeight="1">
      <c r="A62" t="inlineStr">
        <is>
          <t>Rotación de mesa</t>
        </is>
      </c>
      <c r="B62" t="inlineStr">
        <is>
          <t>2-3 turnos</t>
        </is>
      </c>
      <c r="C62" t="inlineStr">
        <is>
          <t>Fichero v1.1</t>
        </is>
      </c>
      <c r="D62" s="17" t="inlineStr">
        <is>
          <t>Servicios completos por plaza y día. Es de donde sale el techo de rotaciones que trae por defecto la hoja «Punto Equilibrio»: si tu horario y tu aforo dan para más, súbelo en esa celda verde</t>
        </is>
      </c>
    </row>
    <row r="63" ht="15" customHeight="1">
      <c r="A63" t="inlineStr">
        <is>
          <t>Ocupación media semana</t>
        </is>
      </c>
      <c r="B63" t="inlineStr">
        <is>
          <t>50-65 %</t>
        </is>
      </c>
      <c r="C63" t="inlineStr">
        <is>
          <t>Fichero v1.1</t>
        </is>
      </c>
      <c r="D63" s="17" t="inlineStr">
        <is>
          <t>El afterwork de jueves-viernes es muy fuerte</t>
        </is>
      </c>
    </row>
    <row r="64" ht="15" customHeight="1">
      <c r="A64" t="inlineStr">
        <is>
          <t>Ocupación fin de semana</t>
        </is>
      </c>
      <c r="B64" t="inlineStr">
        <is>
          <t>80-95 %</t>
        </is>
      </c>
      <c r="C64" t="inlineStr">
        <is>
          <t>Fichero v1.1</t>
        </is>
      </c>
      <c r="D64" s="17" t="inlineStr">
        <is>
          <t>Vermut de sábado + cenas de fin de semana</t>
        </is>
      </c>
    </row>
    <row r="65" ht="30" customHeight="1">
      <c r="A65" t="inlineStr">
        <is>
          <t>Margen bruto objetivo</t>
        </is>
      </c>
      <c r="B65" t="inlineStr">
        <is>
          <t>&gt; 68 %</t>
        </is>
      </c>
      <c r="C65" t="inlineStr">
        <is>
          <t>Fichero v1.1</t>
        </is>
      </c>
      <c r="D65" s="17" t="inlineStr">
        <is>
          <t>Un tapas bar tiene margen superior al de un restaurante casual</t>
        </is>
      </c>
    </row>
    <row r="66" ht="30" customHeight="1">
      <c r="A66" t="inlineStr">
        <is>
          <t>EBITDA objetivo (año 2)</t>
        </is>
      </c>
      <c r="B66" t="inlineStr">
        <is>
          <t>15-22 %</t>
        </is>
      </c>
      <c r="C66" t="inlineStr">
        <is>
          <t>Fichero v1.1</t>
        </is>
      </c>
      <c r="D66" s="17" t="inlineStr">
        <is>
          <t>Más rentable que un restaurante por el ticket rápido de barra</t>
        </is>
      </c>
    </row>
    <row r="67" ht="150" customHeight="1">
      <c r="A67" t="inlineStr">
        <is>
          <t>Retorno de la inversión</t>
        </is>
      </c>
      <c r="B67" t="inlineStr">
        <is>
          <t>18-30 meses</t>
        </is>
      </c>
      <c r="C67" t="inlineStr">
        <is>
          <t>Fichero v1.1</t>
        </is>
      </c>
      <c r="D67" s="17" t="inlineStr">
        <is>
          <t>Es la referencia del sector, medida sobre lo que se COMPRA: obra y equipamiento. Lo comparable con ella es la fila «Payback sobre el CAPEX» de la hoja de Tesorería, que mide exactamente eso. El «Payback del proyecto» del bloque de arriba mide algo más amplio, porque recupera además el fondo de maniobra de tres meses, que queda inmovilizado hasta que se cierra el negocio: por eso sale más largo. El IVA de la inversión no entra en ninguno de los dos, porque se recupera con el modelo 303. La cifra que publica ESTE plan es la de arriba</t>
        </is>
      </c>
    </row>
    <row r="68" ht="30" customHeight="1">
      <c r="A68" t="inlineStr">
        <is>
          <t>Merma media</t>
        </is>
      </c>
      <c r="B68" t="inlineStr">
        <is>
          <t>3-5 %</t>
        </is>
      </c>
      <c r="C68" t="inlineStr">
        <is>
          <t>Fichero v1.1</t>
        </is>
      </c>
      <c r="D68" s="17" t="inlineStr">
        <is>
          <t>Las tapas permiten aprovechar recortes: menor merma que en un restaurante de carta</t>
        </is>
      </c>
    </row>
    <row r="69" ht="30" customHeight="1">
      <c r="A69" t="inlineStr">
        <is>
          <t>Convenio colectivo aplicable</t>
        </is>
      </c>
      <c r="B69" t="inlineStr">
        <is>
          <t>PROVINCIAL de hostelería</t>
        </is>
      </c>
      <c r="C69" t="inlineStr">
        <is>
          <t>Checklist de apertura, fase de personal</t>
        </is>
      </c>
      <c r="D69" s="17" t="inlineStr">
        <is>
          <t>No existe una tabla salarial estatal única: copia la tabla de tu provincia en la celda de Supuestos</t>
        </is>
      </c>
    </row>
    <row r="70"/>
    <row r="71">
      <c r="A71" s="60" t="inlineStr">
        <is>
          <t>Para editar una celda que no esté en verde: Revisar → Desproteger hoja (no tiene contraseña).</t>
        </is>
      </c>
    </row>
    <row r="72">
      <c r="A72" s="60" t="inlineStr">
        <is>
          <t>Más plantillas y kits del catálogo en aichef.pro/productos-digitales</t>
        </is>
      </c>
    </row>
    <row r="73">
      <c r="A73" s="60" t="inlineStr">
        <is>
          <t>Diseñado por John Guerrero — chef y consultor gastronómico desde 2010, en cocina desde los 17 años · johnguerrero.es</t>
        </is>
      </c>
    </row>
    <row r="74">
      <c r="A74" s="60" t="inlineStr">
        <is>
          <t>Versión 2.2 · septiembre 2026 · aichef.pro/plan-negocio-tapas-bar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61" t="n">
        <v>0.064</v>
      </c>
      <c r="C5" s="61" t="n">
        <v>0.068</v>
      </c>
      <c r="D5" s="61" t="n">
        <v>0.078</v>
      </c>
      <c r="E5" s="61" t="n">
        <v>0.08</v>
      </c>
      <c r="F5" s="61" t="n">
        <v>0.08599999999999999</v>
      </c>
      <c r="G5" s="61" t="n">
        <v>0.093</v>
      </c>
      <c r="H5" s="61" t="n">
        <v>0.098</v>
      </c>
      <c r="I5" s="61" t="n">
        <v>0.093</v>
      </c>
      <c r="J5" s="61" t="n">
        <v>0.083</v>
      </c>
      <c r="K5" s="61" t="n">
        <v>0.08</v>
      </c>
      <c r="L5" s="61" t="n">
        <v>0.077</v>
      </c>
      <c r="M5" s="61" t="n">
        <v>0.1</v>
      </c>
      <c r="N5" s="31">
        <f>IFERROR(IF('PyG 3 Años'!$B$9="","",SUM(B5:M5)),"")</f>
        <v>0.9999999999999998</v>
      </c>
      <c r="O5" s="29" t="inlineStr">
        <is>
          <t>Perfil de tu zona: agosto flojo en ciudad y fuerte en costa. Tiene que sumar 100 %</t>
        </is>
      </c>
    </row>
    <row r="6">
      <c r="A6" s="29" t="inlineStr">
        <is>
          <t>Rampa de arranque (% de la actividad de crucero)</t>
        </is>
      </c>
      <c r="B6" s="31">
        <f>IFERROR(IF('PyG 3 Años'!$B$9="","",MIN(1,'0. Supuestos'!$B$52+(1-'0. Supuestos'!$B$52)*0/MAX(1,'0. Supuestos'!$B$53-1))),"")</f>
        <v>0.55</v>
      </c>
      <c r="C6" s="31">
        <f>IFERROR(IF('PyG 3 Años'!$B$9="","",MIN(1,'0. Supuestos'!$B$52+(1-'0. Supuestos'!$B$52)*1/MAX(1,'0. Supuestos'!$B$53-1))),"")</f>
        <v>0.64</v>
      </c>
      <c r="D6" s="31">
        <f>IFERROR(IF('PyG 3 Años'!$B$9="","",MIN(1,'0. Supuestos'!$B$52+(1-'0. Supuestos'!$B$52)*2/MAX(1,'0. Supuestos'!$B$53-1))),"")</f>
        <v>0.73</v>
      </c>
      <c r="E6" s="31">
        <f>IFERROR(IF('PyG 3 Años'!$B$9="","",MIN(1,'0. Supuestos'!$B$52+(1-'0. Supuestos'!$B$52)*3/MAX(1,'0. Supuestos'!$B$53-1))),"")</f>
        <v>0.8200000000000001</v>
      </c>
      <c r="F6" s="31">
        <f>IFERROR(IF('PyG 3 Años'!$B$9="","",MIN(1,'0. Supuestos'!$B$52+(1-'0. Supuestos'!$B$52)*4/MAX(1,'0. Supuestos'!$B$53-1))),"")</f>
        <v>0.91</v>
      </c>
      <c r="G6" s="31">
        <f>IFERROR(IF('PyG 3 Años'!$B$9="","",MIN(1,'0. Supuestos'!$B$52+(1-'0. Supuestos'!$B$52)*5/MAX(1,'0. Supuestos'!$B$53-1))),"")</f>
        <v>1.0</v>
      </c>
      <c r="H6" s="31">
        <f>IFERROR(IF('PyG 3 Años'!$B$9="","",MIN(1,'0. Supuestos'!$B$52+(1-'0. Supuestos'!$B$52)*6/MAX(1,'0. Supuestos'!$B$53-1))),"")</f>
        <v>1.0</v>
      </c>
      <c r="I6" s="31">
        <f>IFERROR(IF('PyG 3 Años'!$B$9="","",MIN(1,'0. Supuestos'!$B$52+(1-'0. Supuestos'!$B$52)*7/MAX(1,'0. Supuestos'!$B$53-1))),"")</f>
        <v>1.0</v>
      </c>
      <c r="J6" s="31">
        <f>IFERROR(IF('PyG 3 Años'!$B$9="","",MIN(1,'0. Supuestos'!$B$52+(1-'0. Supuestos'!$B$52)*8/MAX(1,'0. Supuestos'!$B$53-1))),"")</f>
        <v>1.0</v>
      </c>
      <c r="K6" s="31">
        <f>IFERROR(IF('PyG 3 Años'!$B$9="","",MIN(1,'0. Supuestos'!$B$52+(1-'0. Supuestos'!$B$52)*9/MAX(1,'0. Supuestos'!$B$53-1))),"")</f>
        <v>1.0</v>
      </c>
      <c r="L6" s="31">
        <f>IFERROR(IF('PyG 3 Años'!$B$9="","",MIN(1,'0. Supuestos'!$B$52+(1-'0. Supuestos'!$B$52)*10/MAX(1,'0. Supuestos'!$B$53-1))),"")</f>
        <v>1.0</v>
      </c>
      <c r="M6" s="31">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31">
        <f>IFERROR(IF('PyG 3 Años'!$B$9="","",B5*B6/SUMPRODUCT($B$5:$M$5,$B$6:$M$6)),"")</f>
        <v>0.03895873915353286</v>
      </c>
      <c r="C7" s="31">
        <f>IFERROR(IF('PyG 3 Años'!$B$9="","",C5*C6/SUMPRODUCT($B$5:$M$5,$B$6:$M$6)),"")</f>
        <v>0.04816716840800426</v>
      </c>
      <c r="D7" s="31">
        <f>IFERROR(IF('PyG 3 Años'!$B$9="","",D5*D6/SUMPRODUCT($B$5:$M$5,$B$6:$M$6)),"")</f>
        <v>0.06302018771028865</v>
      </c>
      <c r="E7" s="31">
        <f>IFERROR(IF('PyG 3 Años'!$B$9="","",E5*E6/SUMPRODUCT($B$5:$M$5,$B$6:$M$6)),"")</f>
        <v>0.0726049229679476</v>
      </c>
      <c r="F7" s="31">
        <f>IFERROR(IF('PyG 3 Años'!$B$9="","",F5*F6/SUMPRODUCT($B$5:$M$5,$B$6:$M$6)),"")</f>
        <v>0.08661678767487162</v>
      </c>
      <c r="G7" s="31">
        <f>IFERROR(IF('PyG 3 Años'!$B$9="","",G5*G6/SUMPRODUCT($B$5:$M$5,$B$6:$M$6)),"")</f>
        <v>0.1029307596954135</v>
      </c>
      <c r="H7" s="31">
        <f>IFERROR(IF('PyG 3 Años'!$B$9="","",H5*H6/SUMPRODUCT($B$5:$M$5,$B$6:$M$6)),"")</f>
        <v>0.10846467150699489</v>
      </c>
      <c r="I7" s="31">
        <f>IFERROR(IF('PyG 3 Años'!$B$9="","",I5*I6/SUMPRODUCT($B$5:$M$5,$B$6:$M$6)),"")</f>
        <v>0.1029307596954135</v>
      </c>
      <c r="J7" s="31">
        <f>IFERROR(IF('PyG 3 Años'!$B$9="","",J5*J6/SUMPRODUCT($B$5:$M$5,$B$6:$M$6)),"")</f>
        <v>0.09186293607225077</v>
      </c>
      <c r="K7" s="31">
        <f>IFERROR(IF('PyG 3 Años'!$B$9="","",K5*K6/SUMPRODUCT($B$5:$M$5,$B$6:$M$6)),"")</f>
        <v>0.08854258898530194</v>
      </c>
      <c r="L7" s="31">
        <f>IFERROR(IF('PyG 3 Años'!$B$9="","",L5*L6/SUMPRODUCT($B$5:$M$5,$B$6:$M$6)),"")</f>
        <v>0.08522224189835312</v>
      </c>
      <c r="M7" s="31">
        <f>IFERROR(IF('PyG 3 Años'!$B$9="","",M5*M6/SUMPRODUCT($B$5:$M$5,$B$6:$M$6)),"")</f>
        <v>0.11067823623162744</v>
      </c>
      <c r="N7" s="31">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12959.23499203117</v>
      </c>
      <c r="C9" s="33">
        <f>IFERROR(IF('PyG 3 Años'!$B$9="","",('PyG 3 Años'!$B$9+'PyG 3 Años'!$B$9*SUMPRODUCT('PyG 3 Años'!$E$10:$E$11,'PyG 3 Años'!$G$10:$G$11))*(C7*(1-MIN(30,'0. Supuestos'!$B$58)/30)+B7*MIN(30,'0. Supuestos'!$B$58)/30)),"")</f>
        <v>16022.326899238536</v>
      </c>
      <c r="D9" s="33">
        <f>IFERROR(IF('PyG 3 Años'!$B$9="","",('PyG 3 Años'!$B$9+'PyG 3 Años'!$B$9*SUMPRODUCT('PyG 3 Años'!$E$10:$E$11,'PyG 3 Años'!$G$10:$G$11))*(D7*(1-MIN(30,'0. Supuestos'!$B$58)/30)+C7*MIN(30,'0. Supuestos'!$B$58)/30)),"")</f>
        <v>20963.03523995042</v>
      </c>
      <c r="E9" s="33">
        <f>IFERROR(IF('PyG 3 Años'!$B$9="","",('PyG 3 Años'!$B$9+'PyG 3 Años'!$B$9*SUMPRODUCT('PyG 3 Años'!$E$10:$E$11,'PyG 3 Años'!$G$10:$G$11))*(E7*(1-MIN(30,'0. Supuestos'!$B$58)/30)+D7*MIN(30,'0. Supuestos'!$B$58)/30)),"")</f>
        <v>24151.30157605809</v>
      </c>
      <c r="F9" s="33">
        <f>IFERROR(IF('PyG 3 Años'!$B$9="","",('PyG 3 Años'!$B$9+'PyG 3 Años'!$B$9*SUMPRODUCT('PyG 3 Años'!$E$10:$E$11,'PyG 3 Años'!$G$10:$G$11))*(F7*(1-MIN(30,'0. Supuestos'!$B$58)/30)+E7*MIN(30,'0. Supuestos'!$B$58)/30)),"")</f>
        <v>28812.208252169294</v>
      </c>
      <c r="G9" s="33">
        <f>IFERROR(IF('PyG 3 Años'!$B$9="","",('PyG 3 Años'!$B$9+'PyG 3 Años'!$B$9*SUMPRODUCT('PyG 3 Años'!$E$10:$E$11,'PyG 3 Años'!$G$10:$G$11))*(G7*(1-MIN(30,'0. Supuestos'!$B$58)/30)+F7*MIN(30,'0. Supuestos'!$B$58)/30)),"")</f>
        <v>34238.887905082345</v>
      </c>
      <c r="H9" s="33">
        <f>IFERROR(IF('PyG 3 Años'!$B$9="","",('PyG 3 Años'!$B$9+'PyG 3 Años'!$B$9*SUMPRODUCT('PyG 3 Años'!$E$10:$E$11,'PyG 3 Años'!$G$10:$G$11))*(H7*(1-MIN(30,'0. Supuestos'!$B$58)/30)+G7*MIN(30,'0. Supuestos'!$B$58)/30)),"")</f>
        <v>36079.68833008678</v>
      </c>
      <c r="I9" s="33">
        <f>IFERROR(IF('PyG 3 Años'!$B$9="","",('PyG 3 Años'!$B$9+'PyG 3 Años'!$B$9*SUMPRODUCT('PyG 3 Años'!$E$10:$E$11,'PyG 3 Años'!$G$10:$G$11))*(I7*(1-MIN(30,'0. Supuestos'!$B$58)/30)+H7*MIN(30,'0. Supuestos'!$B$58)/30)),"")</f>
        <v>34238.887905082345</v>
      </c>
      <c r="J9" s="33">
        <f>IFERROR(IF('PyG 3 Años'!$B$9="","",('PyG 3 Años'!$B$9+'PyG 3 Años'!$B$9*SUMPRODUCT('PyG 3 Años'!$E$10:$E$11,'PyG 3 Años'!$G$10:$G$11))*(J7*(1-MIN(30,'0. Supuestos'!$B$58)/30)+I7*MIN(30,'0. Supuestos'!$B$58)/30)),"")</f>
        <v>30557.287055073495</v>
      </c>
      <c r="K9" s="33">
        <f>IFERROR(IF('PyG 3 Años'!$B$9="","",('PyG 3 Años'!$B$9+'PyG 3 Años'!$B$9*SUMPRODUCT('PyG 3 Años'!$E$10:$E$11,'PyG 3 Años'!$G$10:$G$11))*(K7*(1-MIN(30,'0. Supuestos'!$B$58)/30)+J7*MIN(30,'0. Supuestos'!$B$58)/30)),"")</f>
        <v>29452.806800070837</v>
      </c>
      <c r="L9" s="33">
        <f>IFERROR(IF('PyG 3 Años'!$B$9="","",('PyG 3 Años'!$B$9+'PyG 3 Años'!$B$9*SUMPRODUCT('PyG 3 Años'!$E$10:$E$11,'PyG 3 Años'!$G$10:$G$11))*(L7*(1-MIN(30,'0. Supuestos'!$B$58)/30)+K7*MIN(30,'0. Supuestos'!$B$58)/30)),"")</f>
        <v>28348.326545068183</v>
      </c>
      <c r="M9" s="33">
        <f>IFERROR(IF('PyG 3 Años'!$B$9="","",('PyG 3 Años'!$B$9+'PyG 3 Años'!$B$9*SUMPRODUCT('PyG 3 Años'!$E$10:$E$11,'PyG 3 Años'!$G$10:$G$11))*(M7*(1-MIN(30,'0. Supuestos'!$B$58)/30)+L7*MIN(30,'0. Supuestos'!$B$58)/30)),"")</f>
        <v>36816.00850008855</v>
      </c>
      <c r="N9" s="33">
        <f>IFERROR(IF('PyG 3 Años'!$B$9="","",SUM(B9:M9)),"")</f>
        <v>332640.00000000006</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-4101.548983318577</v>
      </c>
      <c r="D11" s="33">
        <f>IFERROR(IF('PyG 3 Años'!$B$9="","",-('PyG 3 Años'!$B$13*(1+'PyG 3 Años'!$G$13)+'PyG 3 Años'!$B$14*(1+'PyG 3 Años'!$G$14)+'PyG 3 Años'!$B$15*(1+'PyG 3 Años'!$G$15)+'PyG 3 Años'!$B$16*(1+'PyG 3 Años'!$G$16)+'PyG 3 Años'!$B$17*(1+'PyG 3 Años'!$G$17)+'PyG 3 Años'!$B$18*(1+'PyG 3 Años'!$G$18))*(D7*(1-MIN(30,'0. Supuestos'!$B$59)/30)+C7*MIN(30,'0. Supuestos'!$B$59)/30)),"")</f>
        <v>-5071.006015739331</v>
      </c>
      <c r="E11" s="33">
        <f>IFERROR(IF('PyG 3 Años'!$B$9="","",-('PyG 3 Años'!$B$13*(1+'PyG 3 Años'!$G$13)+'PyG 3 Años'!$B$14*(1+'PyG 3 Años'!$G$14)+'PyG 3 Años'!$B$15*(1+'PyG 3 Años'!$G$15)+'PyG 3 Años'!$B$16*(1+'PyG 3 Años'!$G$16)+'PyG 3 Años'!$B$17*(1+'PyG 3 Años'!$G$17)+'PyG 3 Años'!$B$18*(1+'PyG 3 Años'!$G$18))*(E7*(1-MIN(30,'0. Supuestos'!$B$59)/30)+D7*MIN(30,'0. Supuestos'!$B$59)/30)),"")</f>
        <v>-6634.7215656295375</v>
      </c>
      <c r="F11" s="33">
        <f>IFERROR(IF('PyG 3 Años'!$B$9="","",-('PyG 3 Años'!$B$13*(1+'PyG 3 Años'!$G$13)+'PyG 3 Años'!$B$14*(1+'PyG 3 Años'!$G$14)+'PyG 3 Años'!$B$15*(1+'PyG 3 Años'!$G$15)+'PyG 3 Años'!$B$16*(1+'PyG 3 Años'!$G$16)+'PyG 3 Años'!$B$17*(1+'PyG 3 Años'!$G$17)+'PyG 3 Años'!$B$18*(1+'PyG 3 Años'!$G$18))*(F7*(1-MIN(30,'0. Supuestos'!$B$59)/30)+E7*MIN(30,'0. Supuestos'!$B$59)/30)),"")</f>
        <v>-7643.795832548257</v>
      </c>
      <c r="G11" s="33">
        <f>IFERROR(IF('PyG 3 Años'!$B$9="","",-('PyG 3 Años'!$B$13*(1+'PyG 3 Años'!$G$13)+'PyG 3 Años'!$B$14*(1+'PyG 3 Años'!$G$14)+'PyG 3 Años'!$B$15*(1+'PyG 3 Años'!$G$15)+'PyG 3 Años'!$B$16*(1+'PyG 3 Años'!$G$16)+'PyG 3 Años'!$B$17*(1+'PyG 3 Años'!$G$17)+'PyG 3 Años'!$B$18*(1+'PyG 3 Años'!$G$18))*(G7*(1-MIN(30,'0. Supuestos'!$B$59)/30)+F7*MIN(30,'0. Supuestos'!$B$59)/30)),"")</f>
        <v>-9118.95521120772</v>
      </c>
      <c r="H11" s="33">
        <f>IFERROR(IF('PyG 3 Años'!$B$9="","",-('PyG 3 Años'!$B$13*(1+'PyG 3 Años'!$G$13)+'PyG 3 Años'!$B$14*(1+'PyG 3 Años'!$G$14)+'PyG 3 Años'!$B$15*(1+'PyG 3 Años'!$G$15)+'PyG 3 Años'!$B$16*(1+'PyG 3 Años'!$G$16)+'PyG 3 Años'!$B$17*(1+'PyG 3 Años'!$G$17)+'PyG 3 Años'!$B$18*(1+'PyG 3 Años'!$G$18))*(H7*(1-MIN(30,'0. Supuestos'!$B$59)/30)+G7*MIN(30,'0. Supuestos'!$B$59)/30)),"")</f>
        <v>-10836.478847972374</v>
      </c>
      <c r="I11" s="33">
        <f>IFERROR(IF('PyG 3 Años'!$B$9="","",-('PyG 3 Años'!$B$13*(1+'PyG 3 Años'!$G$13)+'PyG 3 Años'!$B$14*(1+'PyG 3 Años'!$G$14)+'PyG 3 Años'!$B$15*(1+'PyG 3 Años'!$G$15)+'PyG 3 Años'!$B$16*(1+'PyG 3 Años'!$G$16)+'PyG 3 Años'!$B$17*(1+'PyG 3 Años'!$G$17)+'PyG 3 Años'!$B$18*(1+'PyG 3 Años'!$G$18))*(I7*(1-MIN(30,'0. Supuestos'!$B$59)/30)+H7*MIN(30,'0. Supuestos'!$B$59)/30)),"")</f>
        <v>-11419.08523764831</v>
      </c>
      <c r="J11" s="33">
        <f>IFERROR(IF('PyG 3 Años'!$B$9="","",-('PyG 3 Años'!$B$13*(1+'PyG 3 Años'!$G$13)+'PyG 3 Años'!$B$14*(1+'PyG 3 Años'!$G$14)+'PyG 3 Años'!$B$15*(1+'PyG 3 Años'!$G$15)+'PyG 3 Años'!$B$16*(1+'PyG 3 Años'!$G$16)+'PyG 3 Años'!$B$17*(1+'PyG 3 Años'!$G$17)+'PyG 3 Años'!$B$18*(1+'PyG 3 Años'!$G$18))*(J7*(1-MIN(30,'0. Supuestos'!$B$59)/30)+I7*MIN(30,'0. Supuestos'!$B$59)/30)),"")</f>
        <v>-10836.478847972374</v>
      </c>
      <c r="K11" s="33">
        <f>IFERROR(IF('PyG 3 Años'!$B$9="","",-('PyG 3 Años'!$B$13*(1+'PyG 3 Años'!$G$13)+'PyG 3 Años'!$B$14*(1+'PyG 3 Años'!$G$14)+'PyG 3 Años'!$B$15*(1+'PyG 3 Años'!$G$15)+'PyG 3 Años'!$B$16*(1+'PyG 3 Años'!$G$16)+'PyG 3 Años'!$B$17*(1+'PyG 3 Años'!$G$17)+'PyG 3 Años'!$B$18*(1+'PyG 3 Años'!$G$18))*(K7*(1-MIN(30,'0. Supuestos'!$B$59)/30)+J7*MIN(30,'0. Supuestos'!$B$59)/30)),"")</f>
        <v>-9671.266068620507</v>
      </c>
      <c r="L11" s="33">
        <f>IFERROR(IF('PyG 3 Años'!$B$9="","",-('PyG 3 Años'!$B$13*(1+'PyG 3 Años'!$G$13)+'PyG 3 Años'!$B$14*(1+'PyG 3 Años'!$G$14)+'PyG 3 Años'!$B$15*(1+'PyG 3 Años'!$G$15)+'PyG 3 Años'!$B$16*(1+'PyG 3 Años'!$G$16)+'PyG 3 Años'!$B$17*(1+'PyG 3 Años'!$G$17)+'PyG 3 Años'!$B$18*(1+'PyG 3 Años'!$G$18))*(L7*(1-MIN(30,'0. Supuestos'!$B$59)/30)+K7*MIN(30,'0. Supuestos'!$B$59)/30)),"")</f>
        <v>-9321.702234814946</v>
      </c>
      <c r="M11" s="33">
        <f>IFERROR(IF('PyG 3 Años'!$B$9="","",-('PyG 3 Años'!$B$13*(1+'PyG 3 Años'!$G$13)+'PyG 3 Años'!$B$14*(1+'PyG 3 Años'!$G$14)+'PyG 3 Años'!$B$15*(1+'PyG 3 Años'!$G$15)+'PyG 3 Años'!$B$16*(1+'PyG 3 Años'!$G$16)+'PyG 3 Años'!$B$17*(1+'PyG 3 Años'!$G$17)+'PyG 3 Años'!$B$18*(1+'PyG 3 Años'!$G$18))*(M7*(1-MIN(30,'0. Supuestos'!$B$59)/30)+L7*MIN(30,'0. Supuestos'!$B$59)/30)),"")</f>
        <v>-8972.138401009386</v>
      </c>
      <c r="N11" s="33">
        <f>IFERROR(IF('PyG 3 Años'!$B$9="","",SUM(B11:M11)),"")</f>
        <v>-93627.17724648133</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-5947.500000000001</v>
      </c>
      <c r="C12" s="33">
        <f>IFERROR(IF('PyG 3 Años'!$B$9="","",-('PyG 3 Años'!$B$37-'PyG 3 Años'!$B$23-'PyG 3 Años'!$B$35-'PyG 3 Años'!$B$36+'PyG 3 Años'!$B$39)/12),"")</f>
        <v>-5947.500000000001</v>
      </c>
      <c r="D12" s="33">
        <f>IFERROR(IF('PyG 3 Años'!$B$9="","",-('PyG 3 Años'!$B$37-'PyG 3 Años'!$B$23-'PyG 3 Años'!$B$35-'PyG 3 Años'!$B$36+'PyG 3 Años'!$B$39)/12),"")</f>
        <v>-5947.500000000001</v>
      </c>
      <c r="E12" s="33">
        <f>IFERROR(IF('PyG 3 Años'!$B$9="","",-('PyG 3 Años'!$B$37-'PyG 3 Años'!$B$23-'PyG 3 Años'!$B$35-'PyG 3 Años'!$B$36+'PyG 3 Años'!$B$39)/12),"")</f>
        <v>-5947.500000000001</v>
      </c>
      <c r="F12" s="33">
        <f>IFERROR(IF('PyG 3 Años'!$B$9="","",-('PyG 3 Años'!$B$37-'PyG 3 Años'!$B$23-'PyG 3 Años'!$B$35-'PyG 3 Años'!$B$36+'PyG 3 Años'!$B$39)/12),"")</f>
        <v>-5947.500000000001</v>
      </c>
      <c r="G12" s="33">
        <f>IFERROR(IF('PyG 3 Años'!$B$9="","",-('PyG 3 Años'!$B$37-'PyG 3 Años'!$B$23-'PyG 3 Años'!$B$35-'PyG 3 Años'!$B$36+'PyG 3 Años'!$B$39)/12),"")</f>
        <v>-5947.500000000001</v>
      </c>
      <c r="H12" s="33">
        <f>IFERROR(IF('PyG 3 Años'!$B$9="","",-('PyG 3 Años'!$B$37-'PyG 3 Años'!$B$23-'PyG 3 Años'!$B$35-'PyG 3 Años'!$B$36+'PyG 3 Años'!$B$39)/12),"")</f>
        <v>-5947.500000000001</v>
      </c>
      <c r="I12" s="33">
        <f>IFERROR(IF('PyG 3 Años'!$B$9="","",-('PyG 3 Años'!$B$37-'PyG 3 Años'!$B$23-'PyG 3 Años'!$B$35-'PyG 3 Años'!$B$36+'PyG 3 Años'!$B$39)/12),"")</f>
        <v>-5947.500000000001</v>
      </c>
      <c r="J12" s="33">
        <f>IFERROR(IF('PyG 3 Años'!$B$9="","",-('PyG 3 Años'!$B$37-'PyG 3 Años'!$B$23-'PyG 3 Años'!$B$35-'PyG 3 Años'!$B$36+'PyG 3 Años'!$B$39)/12),"")</f>
        <v>-5947.500000000001</v>
      </c>
      <c r="K12" s="33">
        <f>IFERROR(IF('PyG 3 Años'!$B$9="","",-('PyG 3 Años'!$B$37-'PyG 3 Años'!$B$23-'PyG 3 Años'!$B$35-'PyG 3 Años'!$B$36+'PyG 3 Años'!$B$39)/12),"")</f>
        <v>-5947.500000000001</v>
      </c>
      <c r="L12" s="33">
        <f>IFERROR(IF('PyG 3 Años'!$B$9="","",-('PyG 3 Años'!$B$37-'PyG 3 Años'!$B$23-'PyG 3 Años'!$B$35-'PyG 3 Años'!$B$36+'PyG 3 Años'!$B$39)/12),"")</f>
        <v>-5947.500000000001</v>
      </c>
      <c r="M12" s="33">
        <f>IFERROR(IF('PyG 3 Años'!$B$9="","",-('PyG 3 Años'!$B$37-'PyG 3 Años'!$B$23-'PyG 3 Años'!$B$35-'PyG 3 Años'!$B$36+'PyG 3 Años'!$B$39)/12),"")</f>
        <v>-5947.500000000001</v>
      </c>
      <c r="N12" s="33">
        <f>IFERROR(IF('PyG 3 Años'!$B$9="","",SUM(B12:M12)),"")</f>
        <v>-71370.00000000001</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-7740.6</v>
      </c>
      <c r="C13" s="33">
        <f>IFERROR(IF('PyG 3 Años'!$B$9="","",-'PyG 3 Años'!$B$23/MAX(12,'0. Supuestos'!$B$21)*(1+IF(2='0. Supuestos'!$B$60,(MAX(12,'0. Supuestos'!$B$21)-12)/2,0)+IF(2='0. Supuestos'!$B$61,(MAX(12,'0. Supuestos'!$B$21)-12)/2,0))),"")</f>
        <v>-7740.6</v>
      </c>
      <c r="D13" s="33">
        <f>IFERROR(IF('PyG 3 Años'!$B$9="","",-'PyG 3 Años'!$B$23/MAX(12,'0. Supuestos'!$B$21)*(1+IF(3='0. Supuestos'!$B$60,(MAX(12,'0. Supuestos'!$B$21)-12)/2,0)+IF(3='0. Supuestos'!$B$61,(MAX(12,'0. Supuestos'!$B$21)-12)/2,0))),"")</f>
        <v>-7740.6</v>
      </c>
      <c r="E13" s="33">
        <f>IFERROR(IF('PyG 3 Años'!$B$9="","",-'PyG 3 Años'!$B$23/MAX(12,'0. Supuestos'!$B$21)*(1+IF(4='0. Supuestos'!$B$60,(MAX(12,'0. Supuestos'!$B$21)-12)/2,0)+IF(4='0. Supuestos'!$B$61,(MAX(12,'0. Supuestos'!$B$21)-12)/2,0))),"")</f>
        <v>-7740.6</v>
      </c>
      <c r="F13" s="33">
        <f>IFERROR(IF('PyG 3 Años'!$B$9="","",-'PyG 3 Años'!$B$23/MAX(12,'0. Supuestos'!$B$21)*(1+IF(5='0. Supuestos'!$B$60,(MAX(12,'0. Supuestos'!$B$21)-12)/2,0)+IF(5='0. Supuestos'!$B$61,(MAX(12,'0. Supuestos'!$B$21)-12)/2,0))),"")</f>
        <v>-7740.6</v>
      </c>
      <c r="G13" s="33">
        <f>IFERROR(IF('PyG 3 Años'!$B$9="","",-'PyG 3 Años'!$B$23/MAX(12,'0. Supuestos'!$B$21)*(1+IF(6='0. Supuestos'!$B$60,(MAX(12,'0. Supuestos'!$B$21)-12)/2,0)+IF(6='0. Supuestos'!$B$61,(MAX(12,'0. Supuestos'!$B$21)-12)/2,0))),"")</f>
        <v>-7740.6</v>
      </c>
      <c r="H13" s="33">
        <f>IFERROR(IF('PyG 3 Años'!$B$9="","",-'PyG 3 Años'!$B$23/MAX(12,'0. Supuestos'!$B$21)*(1+IF(7='0. Supuestos'!$B$60,(MAX(12,'0. Supuestos'!$B$21)-12)/2,0)+IF(7='0. Supuestos'!$B$61,(MAX(12,'0. Supuestos'!$B$21)-12)/2,0))),"")</f>
        <v>-15481.2</v>
      </c>
      <c r="I13" s="33">
        <f>IFERROR(IF('PyG 3 Años'!$B$9="","",-'PyG 3 Años'!$B$23/MAX(12,'0. Supuestos'!$B$21)*(1+IF(8='0. Supuestos'!$B$60,(MAX(12,'0. Supuestos'!$B$21)-12)/2,0)+IF(8='0. Supuestos'!$B$61,(MAX(12,'0. Supuestos'!$B$21)-12)/2,0))),"")</f>
        <v>-7740.6</v>
      </c>
      <c r="J13" s="33">
        <f>IFERROR(IF('PyG 3 Años'!$B$9="","",-'PyG 3 Años'!$B$23/MAX(12,'0. Supuestos'!$B$21)*(1+IF(9='0. Supuestos'!$B$60,(MAX(12,'0. Supuestos'!$B$21)-12)/2,0)+IF(9='0. Supuestos'!$B$61,(MAX(12,'0. Supuestos'!$B$21)-12)/2,0))),"")</f>
        <v>-7740.6</v>
      </c>
      <c r="K13" s="33">
        <f>IFERROR(IF('PyG 3 Años'!$B$9="","",-'PyG 3 Años'!$B$23/MAX(12,'0. Supuestos'!$B$21)*(1+IF(10='0. Supuestos'!$B$60,(MAX(12,'0. Supuestos'!$B$21)-12)/2,0)+IF(10='0. Supuestos'!$B$61,(MAX(12,'0. Supuestos'!$B$21)-12)/2,0))),"")</f>
        <v>-7740.6</v>
      </c>
      <c r="L13" s="33">
        <f>IFERROR(IF('PyG 3 Años'!$B$9="","",-'PyG 3 Años'!$B$23/MAX(12,'0. Supuestos'!$B$21)*(1+IF(11='0. Supuestos'!$B$60,(MAX(12,'0. Supuestos'!$B$21)-12)/2,0)+IF(11='0. Supuestos'!$B$61,(MAX(12,'0. Supuestos'!$B$21)-12)/2,0))),"")</f>
        <v>-7740.6</v>
      </c>
      <c r="M13" s="33">
        <f>IFERROR(IF('PyG 3 Años'!$B$9="","",-'PyG 3 Años'!$B$23/MAX(12,'0. Supuestos'!$B$21)*(1+IF(12='0. Supuestos'!$B$60,(MAX(12,'0. Supuestos'!$B$21)-12)/2,0)+IF(12='0. Supuestos'!$B$61,(MAX(12,'0. Supuestos'!$B$21)-12)/2,0))),"")</f>
        <v>-15481.2</v>
      </c>
      <c r="N13" s="33">
        <f>IFERROR(IF('PyG 3 Años'!$B$9="","",SUM(B13:M13)),"")</f>
        <v>-108368.40000000002</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-645.0</v>
      </c>
      <c r="C14" s="33">
        <f>IFERROR(IF('PyG 3 Años'!$B$9="","",-'Financiación'!$B$44/12),"")</f>
        <v>-645.0</v>
      </c>
      <c r="D14" s="33">
        <f>IFERROR(IF('PyG 3 Años'!$B$9="","",-'Financiación'!$B$44/12),"")</f>
        <v>-645.0</v>
      </c>
      <c r="E14" s="33">
        <f>IFERROR(IF('PyG 3 Años'!$B$9="","",-'Financiación'!$B$44/12),"")</f>
        <v>-645.0</v>
      </c>
      <c r="F14" s="33">
        <f>IFERROR(IF('PyG 3 Años'!$B$9="","",-'Financiación'!$B$44/12),"")</f>
        <v>-645.0</v>
      </c>
      <c r="G14" s="33">
        <f>IFERROR(IF('PyG 3 Años'!$B$9="","",-'Financiación'!$B$44/12),"")</f>
        <v>-645.0</v>
      </c>
      <c r="H14" s="33">
        <f>IFERROR(IF('PyG 3 Años'!$B$9="","",-'Financiación'!$B$44/12),"")</f>
        <v>-645.0</v>
      </c>
      <c r="I14" s="33">
        <f>IFERROR(IF('PyG 3 Años'!$B$9="","",-'Financiación'!$B$44/12),"")</f>
        <v>-645.0</v>
      </c>
      <c r="J14" s="33">
        <f>IFERROR(IF('PyG 3 Años'!$B$9="","",-'Financiación'!$B$44/12),"")</f>
        <v>-645.0</v>
      </c>
      <c r="K14" s="33">
        <f>IFERROR(IF('PyG 3 Años'!$B$9="","",-'Financiación'!$B$44/12),"")</f>
        <v>-645.0</v>
      </c>
      <c r="L14" s="33">
        <f>IFERROR(IF('PyG 3 Años'!$B$9="","",-'Financiación'!$B$44/12),"")</f>
        <v>-645.0</v>
      </c>
      <c r="M14" s="33">
        <f>IFERROR(IF('PyG 3 Años'!$B$9="","",-'Financiación'!$B$44/12),"")</f>
        <v>-645.0</v>
      </c>
      <c r="N14" s="33">
        <f>IFERROR(IF('PyG 3 Años'!$B$9="","",SUM(B14:M14)),"")</f>
        <v>-7740.0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1178.1122720028338</v>
      </c>
      <c r="C16" s="33">
        <f>IFERROR(IF('PyG 3 Años'!$B$9="","",'PyG 3 Años'!$B$9*C7*SUMPRODUCT('PyG 3 Años'!$E$10:$E$11,'PyG 3 Años'!$G$10:$G$11)),"")</f>
        <v>1456.5751726580488</v>
      </c>
      <c r="D16" s="33">
        <f>IFERROR(IF('PyG 3 Años'!$B$9="","",'PyG 3 Años'!$B$9*D7*SUMPRODUCT('PyG 3 Años'!$E$10:$E$11,'PyG 3 Años'!$G$10:$G$11)),"")</f>
        <v>1905.730476359129</v>
      </c>
      <c r="E16" s="33">
        <f>IFERROR(IF('PyG 3 Años'!$B$9="","",'PyG 3 Años'!$B$9*E7*SUMPRODUCT('PyG 3 Años'!$E$10:$E$11,'PyG 3 Años'!$G$10:$G$11)),"")</f>
        <v>2195.5728705507354</v>
      </c>
      <c r="F16" s="33">
        <f>IFERROR(IF('PyG 3 Años'!$B$9="","",'PyG 3 Años'!$B$9*F7*SUMPRODUCT('PyG 3 Años'!$E$10:$E$11,'PyG 3 Años'!$G$10:$G$11)),"")</f>
        <v>2619.291659288118</v>
      </c>
      <c r="G16" s="33">
        <f>IFERROR(IF('PyG 3 Años'!$B$9="","",'PyG 3 Años'!$B$9*G7*SUMPRODUCT('PyG 3 Años'!$E$10:$E$11,'PyG 3 Años'!$G$10:$G$11)),"")</f>
        <v>3112.6261731893046</v>
      </c>
      <c r="H16" s="33">
        <f>IFERROR(IF('PyG 3 Años'!$B$9="","",'PyG 3 Años'!$B$9*H7*SUMPRODUCT('PyG 3 Años'!$E$10:$E$11,'PyG 3 Años'!$G$10:$G$11)),"")</f>
        <v>3279.9716663715258</v>
      </c>
      <c r="I16" s="33">
        <f>IFERROR(IF('PyG 3 Años'!$B$9="","",'PyG 3 Años'!$B$9*I7*SUMPRODUCT('PyG 3 Años'!$E$10:$E$11,'PyG 3 Años'!$G$10:$G$11)),"")</f>
        <v>3112.6261731893046</v>
      </c>
      <c r="J16" s="33">
        <f>IFERROR(IF('PyG 3 Años'!$B$9="","",'PyG 3 Años'!$B$9*J7*SUMPRODUCT('PyG 3 Años'!$E$10:$E$11,'PyG 3 Años'!$G$10:$G$11)),"")</f>
        <v>2777.935186824863</v>
      </c>
      <c r="K16" s="33">
        <f>IFERROR(IF('PyG 3 Años'!$B$9="","",'PyG 3 Años'!$B$9*K7*SUMPRODUCT('PyG 3 Años'!$E$10:$E$11,'PyG 3 Años'!$G$10:$G$11)),"")</f>
        <v>2677.527890915531</v>
      </c>
      <c r="L16" s="33">
        <f>IFERROR(IF('PyG 3 Años'!$B$9="","",'PyG 3 Años'!$B$9*L7*SUMPRODUCT('PyG 3 Años'!$E$10:$E$11,'PyG 3 Años'!$G$10:$G$11)),"")</f>
        <v>2577.1205950061985</v>
      </c>
      <c r="M16" s="33">
        <f>IFERROR(IF('PyG 3 Años'!$B$9="","",'PyG 3 Años'!$B$9*M7*SUMPRODUCT('PyG 3 Años'!$E$10:$E$11,'PyG 3 Años'!$G$10:$G$11)),"")</f>
        <v>3346.9098636444137</v>
      </c>
      <c r="N16" s="33">
        <f>IFERROR(IF('PyG 3 Años'!$B$9="","",SUM(B16:M16)),"")</f>
        <v>30240.00000000001</v>
      </c>
      <c r="O16" s="29"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29" t="inlineStr">
        <is>
          <t>IVA soportado del mes (memoria)</t>
        </is>
      </c>
      <c r="B17" s="33">
        <f>IFERROR(IF('PyG 3 Años'!$B$9="","",'PyG 3 Años'!$B$38*B7+'PyG 3 Años'!$B$39/12),"")</f>
        <v>1496.6172779883127</v>
      </c>
      <c r="C17" s="33">
        <f>IFERROR(IF('PyG 3 Años'!$B$9="","",'PyG 3 Años'!$B$38*C7+'PyG 3 Años'!$B$39/12),"")</f>
        <v>1614.59045278555</v>
      </c>
      <c r="D17" s="33">
        <f>IFERROR(IF('PyG 3 Años'!$B$9="","",'PyG 3 Años'!$B$38*D7+'PyG 3 Años'!$B$39/12),"")</f>
        <v>1804.8789150185942</v>
      </c>
      <c r="E17" s="33">
        <f>IFERROR(IF('PyG 3 Años'!$B$9="","",'PyG 3 Años'!$B$38*E7+'PyG 3 Años'!$B$39/12),"")</f>
        <v>1927.673108978219</v>
      </c>
      <c r="F17" s="33">
        <f>IFERROR(IF('PyG 3 Años'!$B$9="","",'PyG 3 Años'!$B$38*F7+'PyG 3 Años'!$B$39/12),"")</f>
        <v>2107.1851754365152</v>
      </c>
      <c r="G17" s="33">
        <f>IFERROR(IF('PyG 3 Años'!$B$9="","",'PyG 3 Años'!$B$38*G7+'PyG 3 Años'!$B$39/12),"")</f>
        <v>2316.1905355941212</v>
      </c>
      <c r="H17" s="33">
        <f>IFERROR(IF('PyG 3 Años'!$B$9="","",'PyG 3 Años'!$B$38*H7+'PyG 3 Años'!$B$39/12),"")</f>
        <v>2387.0878762174616</v>
      </c>
      <c r="I17" s="33">
        <f>IFERROR(IF('PyG 3 Años'!$B$9="","",'PyG 3 Años'!$B$38*I7+'PyG 3 Años'!$B$39/12),"")</f>
        <v>2316.1905355941212</v>
      </c>
      <c r="J17" s="33">
        <f>IFERROR(IF('PyG 3 Años'!$B$9="","",'PyG 3 Años'!$B$38*J7+'PyG 3 Años'!$B$39/12),"")</f>
        <v>2174.395854347442</v>
      </c>
      <c r="K17" s="33">
        <f>IFERROR(IF('PyG 3 Años'!$B$9="","",'PyG 3 Años'!$B$38*K7+'PyG 3 Años'!$B$39/12),"")</f>
        <v>2131.8574499734377</v>
      </c>
      <c r="L17" s="33">
        <f>IFERROR(IF('PyG 3 Años'!$B$9="","",'PyG 3 Años'!$B$38*L7+'PyG 3 Años'!$B$39/12),"")</f>
        <v>2089.3190455994336</v>
      </c>
      <c r="M17" s="33">
        <f>IFERROR(IF('PyG 3 Años'!$B$9="","",'PyG 3 Años'!$B$38*M7+'PyG 3 Años'!$B$39/12),"")</f>
        <v>2415.4468124667974</v>
      </c>
      <c r="N17" s="33">
        <f>IFERROR(IF('PyG 3 Años'!$B$9="","",SUM(B17:M17)),"")</f>
        <v>24781.43304000001</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20989.5</v>
      </c>
      <c r="F18" s="29" t="n"/>
      <c r="G18" s="29" t="n"/>
      <c r="H18" s="33">
        <f>IFERROR(IF('PyG 3 Años'!$B$9="","",MAX(0,-E19)),"")</f>
        <v>21365.168724772444</v>
      </c>
      <c r="I18" s="29" t="n"/>
      <c r="J18" s="29" t="n"/>
      <c r="K18" s="33">
        <f>IFERROR(IF('PyG 3 Años'!$B$9="","",MAX(0,-H19)),"")</f>
        <v>19788.72684175314</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-21365.168724772444</v>
      </c>
      <c r="F19" s="29" t="n"/>
      <c r="G19" s="29" t="n"/>
      <c r="H19" s="33">
        <f>IFERROR(IF('PyG 3 Años'!$B$9="","",SUM(E16:G16)-SUM(E17:G17)-H18),"")</f>
        <v>-19788.72684175314</v>
      </c>
      <c r="I19" s="29" t="n"/>
      <c r="J19" s="29" t="n"/>
      <c r="K19" s="33">
        <f>IFERROR(IF('PyG 3 Años'!$B$9="","",SUM(H16:J16)-SUM(H17:J17)-K18),"")</f>
        <v>-17495.868081526474</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-1373.8650079688314</v>
      </c>
      <c r="C21" s="27">
        <f>IFERROR(IF('PyG 3 Años'!$B$9="","",SUM(C9:C15)+IF(C20="",0,C20)),"")</f>
        <v>-2412.3220840800413</v>
      </c>
      <c r="D21" s="27">
        <f>IFERROR(IF('PyG 3 Años'!$B$9="","",SUM(D9:D15)+IF(D20="",0,D20)),"")</f>
        <v>1558.9292242110878</v>
      </c>
      <c r="E21" s="27">
        <f>IFERROR(IF('PyG 3 Años'!$B$9="","",SUM(E9:E15)+IF(E20="",0,E20)),"")</f>
        <v>3183.4800104285514</v>
      </c>
      <c r="F21" s="27">
        <f>IFERROR(IF('PyG 3 Años'!$B$9="","",SUM(F9:F15)+IF(F20="",0,F20)),"")</f>
        <v>6835.312419621036</v>
      </c>
      <c r="G21" s="27">
        <f>IFERROR(IF('PyG 3 Años'!$B$9="","",SUM(G9:G15)+IF(G20="",0,G20)),"")</f>
        <v>10786.832693874623</v>
      </c>
      <c r="H21" s="27">
        <f>IFERROR(IF('PyG 3 Años'!$B$9="","",SUM(H9:H15)+IF(H20="",0,H20)),"")</f>
        <v>3169.509482114405</v>
      </c>
      <c r="I21" s="27">
        <f>IFERROR(IF('PyG 3 Años'!$B$9="","",SUM(I9:I15)+IF(I20="",0,I20)),"")</f>
        <v>8486.702667434036</v>
      </c>
      <c r="J21" s="27">
        <f>IFERROR(IF('PyG 3 Años'!$B$9="","",SUM(J9:J15)+IF(J20="",0,J20)),"")</f>
        <v>5387.708207101123</v>
      </c>
      <c r="K21" s="27">
        <f>IFERROR(IF('PyG 3 Años'!$B$9="","",SUM(K9:K15)+IF(K20="",0,K20)),"")</f>
        <v>5448.440731450331</v>
      </c>
      <c r="L21" s="27">
        <f>IFERROR(IF('PyG 3 Años'!$B$9="","",SUM(L9:L15)+IF(L20="",0,L20)),"")</f>
        <v>4693.524310253239</v>
      </c>
      <c r="M21" s="27">
        <f>IFERROR(IF('PyG 3 Años'!$B$9="","",SUM(M9:M15)+IF(M20="",0,M20)),"")</f>
        <v>5770.170099079165</v>
      </c>
      <c r="N21" s="27">
        <f>IFERROR(IF('PyG 3 Años'!$B$9="","",SUM(B21:M21)),"")</f>
        <v>51534.42275351873</v>
      </c>
      <c r="O21" s="29" t="n"/>
    </row>
    <row r="22">
      <c r="A22" s="26" t="inlineStr">
        <is>
          <t>SALDO ACUMULADO DE CAJA</t>
        </is>
      </c>
      <c r="B22" s="27">
        <f>IFERROR(IF('PyG 3 Años'!$B$9="","",'Inversión Inicial'!$B$29+B21),"")</f>
        <v>42503.234992031175</v>
      </c>
      <c r="C22" s="27">
        <f>IFERROR(IF('PyG 3 Años'!$B$9="","",B22+C21),"")</f>
        <v>40090.91290795113</v>
      </c>
      <c r="D22" s="27">
        <f>IFERROR(IF('PyG 3 Años'!$B$9="","",C22+D21),"")</f>
        <v>41649.84213216222</v>
      </c>
      <c r="E22" s="27">
        <f>IFERROR(IF('PyG 3 Años'!$B$9="","",D22+E21),"")</f>
        <v>44833.322142590776</v>
      </c>
      <c r="F22" s="27">
        <f>IFERROR(IF('PyG 3 Años'!$B$9="","",E22+F21),"")</f>
        <v>51668.63456221181</v>
      </c>
      <c r="G22" s="27">
        <f>IFERROR(IF('PyG 3 Años'!$B$9="","",F22+G21),"")</f>
        <v>62455.467256086435</v>
      </c>
      <c r="H22" s="27">
        <f>IFERROR(IF('PyG 3 Años'!$B$9="","",G22+H21),"")</f>
        <v>65624.97673820084</v>
      </c>
      <c r="I22" s="27">
        <f>IFERROR(IF('PyG 3 Años'!$B$9="","",H22+I21),"")</f>
        <v>74111.67940563487</v>
      </c>
      <c r="J22" s="27">
        <f>IFERROR(IF('PyG 3 Años'!$B$9="","",I22+J21),"")</f>
        <v>79499.387612736</v>
      </c>
      <c r="K22" s="27">
        <f>IFERROR(IF('PyG 3 Años'!$B$9="","",J22+K21),"")</f>
        <v>84947.82834418633</v>
      </c>
      <c r="L22" s="27">
        <f>IFERROR(IF('PyG 3 Años'!$B$9="","",K22+L21),"")</f>
        <v>89641.35265443957</v>
      </c>
      <c r="M22" s="27">
        <f>IFERROR(IF('PyG 3 Años'!$B$9="","",L22+M21),"")</f>
        <v>95411.52275351874</v>
      </c>
      <c r="N22" s="29" t="n"/>
      <c r="O22" s="29" t="n"/>
    </row>
    <row r="23">
      <c r="A23" s="29" t="inlineStr">
        <is>
          <t>Saldo mínimo del año</t>
        </is>
      </c>
      <c r="B23" s="33">
        <f>IFERROR(IF('PyG 3 Años'!$B$9="","",IF(COUNT(B22:M22)=0,"",MIN(B22:M22))),"")</f>
        <v>40090.91290795113</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2.0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38521.9188</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60188.26511999992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68540.64975390113</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59274.42275351873</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153327.1</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2.8</v>
      </c>
      <c r="C31" s="29" t="n"/>
      <c r="D31" s="26"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2.2</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50000.0</v>
      </c>
      <c r="C6" s="29" t="n"/>
      <c r="D6" s="29" t="n"/>
      <c r="E6" s="29" t="n"/>
      <c r="F6" s="29" t="n"/>
      <c r="G6" s="29" t="n"/>
      <c r="H6" s="29" t="n"/>
    </row>
    <row r="7">
      <c r="A7" s="29" t="inlineStr">
        <is>
          <t>Préstamo bancario</t>
        </is>
      </c>
      <c r="B7" s="33">
        <f>IFERROR(IF('0. Supuestos'!$B$31="","",'0. Supuestos'!$B$31),"")</f>
        <v>129000.0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179000.0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174316.6</v>
      </c>
      <c r="C14" s="29" t="inlineStr">
        <is>
          <t>Inversión más el IVA que hay que adelantar</t>
        </is>
      </c>
      <c r="D14" s="29" t="n"/>
      <c r="E14" s="29" t="n"/>
      <c r="F14" s="29" t="n"/>
      <c r="G14" s="29" t="n"/>
      <c r="H14" s="29" t="n"/>
    </row>
    <row r="15">
      <c r="A15" s="26" t="inlineStr">
        <is>
          <t>Diferencia (origen - usos)</t>
        </is>
      </c>
      <c r="B15" s="27">
        <f>IFERROR(B12-B14,"")</f>
        <v>4683.399999999994</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31">
        <f>IFERROR(B15/B14,"")</f>
        <v>0.02686720599185616</v>
      </c>
      <c r="C16" s="29" t="inlineStr">
        <is>
          <t>Ámbar por encima del margen que fijes: es deuda que pagas sin necesitarla</t>
        </is>
      </c>
      <c r="D16" s="29" t="n"/>
      <c r="E16" s="29" t="n"/>
      <c r="F16" s="29" t="n"/>
      <c r="G16" s="29" t="n"/>
      <c r="H16" s="29" t="n"/>
    </row>
    <row r="17">
      <c r="A17" s="29" t="inlineStr">
        <is>
          <t>Exceso de financiación admisible (%)</t>
        </is>
      </c>
      <c r="B17" s="61"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124316.6</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129000.0</v>
      </c>
      <c r="C20" s="29" t="n"/>
      <c r="D20" s="29" t="n"/>
      <c r="E20" s="29" t="n"/>
      <c r="F20" s="29" t="n"/>
      <c r="G20" s="29" t="n"/>
      <c r="H20" s="29" t="n"/>
    </row>
    <row r="21">
      <c r="A21" s="29" t="inlineStr">
        <is>
          <t>Tipo de interés nominal anual</t>
        </is>
      </c>
      <c r="B21" s="31">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49">
        <f>IFERROR(IF(B22-B23&lt;=0,"",IF(B21=0,B20/(B22-B23),B20*B21/(1-(1+B21)^-(B22-B23)))),"")</f>
        <v>26233.7790732615</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42">
        <f>IFERROR(IF(B20="","",B20),"")</f>
        <v>129000.0</v>
      </c>
      <c r="C27" s="42">
        <f>IFERROR(IF(OR(1&gt;B22,B27=""),"",B27*B21),"")</f>
        <v>7740.0</v>
      </c>
      <c r="D27" s="42">
        <f>IFERROR(IF(OR(1&gt;B22,B27=""),"",IF(1&lt;=B23,0,MIN(B27,B24-C27))),"")</f>
        <v>0.0</v>
      </c>
      <c r="E27" s="42">
        <f>IFERROR(IF(C27="","",C27+D27),"")</f>
        <v>7740.0</v>
      </c>
      <c r="F27" s="42">
        <f>IFERROR(IF(D27="","",B27-D27),"")</f>
        <v>129000.0</v>
      </c>
      <c r="G27" s="42">
        <f>IFERROR(IF(E27="","",'PyG 3 Años'!$B$40-'PyG 3 Años'!$B$45+'PyG 3 Años'!$B$35+'PyG 3 Años'!$B$36),"")</f>
        <v>38521.9188</v>
      </c>
      <c r="H27" s="62">
        <f>IFERROR(IF(OR(E27="",E27=0),"",G27/E27),"")</f>
        <v>4.976992093023256</v>
      </c>
    </row>
    <row r="28">
      <c r="A28" s="41" t="n">
        <v>2</v>
      </c>
      <c r="B28" s="42">
        <f>IFERROR(IF(OR(2&gt;B22,F27=""),"",F27),"")</f>
        <v>129000.0</v>
      </c>
      <c r="C28" s="42">
        <f>IFERROR(IF(OR(2&gt;B22,B28=""),"",B28*B21),"")</f>
        <v>7740.0</v>
      </c>
      <c r="D28" s="42">
        <f>IFERROR(IF(OR(2&gt;B22,B28=""),"",IF(2&lt;=B23,0,MIN(B28,B24-C28))),"")</f>
        <v>18493.7790732615</v>
      </c>
      <c r="E28" s="42">
        <f>IFERROR(IF(C28="","",C28+D28),"")</f>
        <v>26233.7790732615</v>
      </c>
      <c r="F28" s="42">
        <f>IFERROR(IF(D28="","",B28-D28),"")</f>
        <v>110506.2209267385</v>
      </c>
      <c r="G28" s="42">
        <f>IFERROR(IF(E28="","",'PyG 3 Años'!$C$40-'PyG 3 Años'!$C$45+'PyG 3 Años'!$C$35+'PyG 3 Años'!$C$36),"")</f>
        <v>60188.26511999992</v>
      </c>
      <c r="H28" s="62">
        <f>IFERROR(IF(OR(E28="",E28=0),"",G28/E28),"")</f>
        <v>2.294304032671609</v>
      </c>
    </row>
    <row r="29">
      <c r="A29" s="41" t="n">
        <v>3</v>
      </c>
      <c r="B29" s="42">
        <f>IFERROR(IF(OR(3&gt;B22,F28=""),"",F28),"")</f>
        <v>110506.2209267385</v>
      </c>
      <c r="C29" s="42">
        <f>IFERROR(IF(OR(3&gt;B22,B29=""),"",B29*B21),"")</f>
        <v>6630.37325560431</v>
      </c>
      <c r="D29" s="42">
        <f>IFERROR(IF(OR(3&gt;B22,B29=""),"",IF(3&lt;=B23,0,MIN(B29,B24-C29))),"")</f>
        <v>19603.40581765719</v>
      </c>
      <c r="E29" s="42">
        <f>IFERROR(IF(C29="","",C29+D29),"")</f>
        <v>26233.7790732615</v>
      </c>
      <c r="F29" s="42">
        <f>IFERROR(IF(D29="","",B29-D29),"")</f>
        <v>90902.81510908132</v>
      </c>
      <c r="G29" s="42">
        <f>IFERROR(IF(E29="","",'PyG 3 Años'!$D$40-'PyG 3 Años'!$D$45+'PyG 3 Años'!$D$35+'PyG 3 Años'!$D$36),"")</f>
        <v>68540.64975390113</v>
      </c>
      <c r="H29" s="62">
        <f>IFERROR(IF(OR(E29="",E29=0),"",G29/E29),"")</f>
        <v>2.6126868554656872</v>
      </c>
    </row>
    <row r="30">
      <c r="A30" s="41" t="n">
        <v>4</v>
      </c>
      <c r="B30" s="42">
        <f>IFERROR(IF(OR(4&gt;B22,F29=""),"",F29),"")</f>
        <v>90902.81510908132</v>
      </c>
      <c r="C30" s="42">
        <f>IFERROR(IF(OR(4&gt;B22,B30=""),"",B30*B21),"")</f>
        <v>5454.168906544879</v>
      </c>
      <c r="D30" s="42">
        <f>IFERROR(IF(OR(4&gt;B22,B30=""),"",IF(4&lt;=B23,0,MIN(B30,B24-C30))),"")</f>
        <v>20779.610166716622</v>
      </c>
      <c r="E30" s="42">
        <f>IFERROR(IF(C30="","",C30+D30),"")</f>
        <v>26233.779073261503</v>
      </c>
      <c r="F30" s="42">
        <f>IFERROR(IF(D30="","",B30-D30),"")</f>
        <v>70123.2049423647</v>
      </c>
      <c r="G30" s="42">
        <f>IFERROR(IF(E30="","",'PyG 3 Años'!$D$40-'PyG 3 Años'!$D$45+'PyG 3 Años'!$D$35+'PyG 3 Años'!$D$36),"")</f>
        <v>68540.64975390113</v>
      </c>
      <c r="H30" s="62">
        <f>IFERROR(IF(OR(E30="",E30=0),"",G30/E30),"")</f>
        <v>2.612686855465687</v>
      </c>
    </row>
    <row r="31">
      <c r="A31" s="41" t="n">
        <v>5</v>
      </c>
      <c r="B31" s="42">
        <f>IFERROR(IF(OR(5&gt;B22,F30=""),"",F30),"")</f>
        <v>70123.2049423647</v>
      </c>
      <c r="C31" s="42">
        <f>IFERROR(IF(OR(5&gt;B22,B31=""),"",B31*B21),"")</f>
        <v>4207.3922965418815</v>
      </c>
      <c r="D31" s="42">
        <f>IFERROR(IF(OR(5&gt;B22,B31=""),"",IF(5&lt;=B23,0,MIN(B31,B24-C31))),"")</f>
        <v>22026.386776719617</v>
      </c>
      <c r="E31" s="42">
        <f>IFERROR(IF(C31="","",C31+D31),"")</f>
        <v>26233.7790732615</v>
      </c>
      <c r="F31" s="42">
        <f>IFERROR(IF(D31="","",B31-D31),"")</f>
        <v>48096.818165645076</v>
      </c>
      <c r="G31" s="42">
        <f>IFERROR(IF(E31="","",'PyG 3 Años'!$D$40-'PyG 3 Años'!$D$45+'PyG 3 Años'!$D$35+'PyG 3 Años'!$D$36),"")</f>
        <v>68540.64975390113</v>
      </c>
      <c r="H31" s="62">
        <f>IFERROR(IF(OR(E31="",E31=0),"",G31/E31),"")</f>
        <v>2.6126868554656872</v>
      </c>
    </row>
    <row r="32">
      <c r="A32" s="41" t="n">
        <v>6</v>
      </c>
      <c r="B32" s="42">
        <f>IFERROR(IF(OR(6&gt;B22,F31=""),"",F31),"")</f>
        <v>48096.818165645076</v>
      </c>
      <c r="C32" s="42">
        <f>IFERROR(IF(OR(6&gt;B22,B32=""),"",B32*B21),"")</f>
        <v>2885.8090899387043</v>
      </c>
      <c r="D32" s="42">
        <f>IFERROR(IF(OR(6&gt;B22,B32=""),"",IF(6&lt;=B23,0,MIN(B32,B24-C32))),"")</f>
        <v>23347.969983322793</v>
      </c>
      <c r="E32" s="42">
        <f>IFERROR(IF(C32="","",C32+D32),"")</f>
        <v>26233.779073261496</v>
      </c>
      <c r="F32" s="42">
        <f>IFERROR(IF(D32="","",B32-D32),"")</f>
        <v>24748.848182322283</v>
      </c>
      <c r="G32" s="42">
        <f>IFERROR(IF(E32="","",'PyG 3 Años'!$D$40-'PyG 3 Años'!$D$45+'PyG 3 Años'!$D$35+'PyG 3 Años'!$D$36),"")</f>
        <v>68540.64975390113</v>
      </c>
      <c r="H32" s="62">
        <f>IFERROR(IF(OR(E32="",E32=0),"",G32/E32),"")</f>
        <v>2.6126868554656872</v>
      </c>
    </row>
    <row r="33">
      <c r="A33" s="41" t="n">
        <v>7</v>
      </c>
      <c r="B33" s="42">
        <f>IFERROR(IF(OR(7&gt;B22,F32=""),"",F32),"")</f>
        <v>24748.848182322283</v>
      </c>
      <c r="C33" s="42">
        <f>IFERROR(IF(OR(7&gt;B22,B33=""),"",B33*B21),"")</f>
        <v>1484.930890939337</v>
      </c>
      <c r="D33" s="42">
        <f>IFERROR(IF(OR(7&gt;B22,B33=""),"",IF(7&lt;=B23,0,MIN(B33,B24-C33))),"")</f>
        <v>24748.848182322163</v>
      </c>
      <c r="E33" s="42">
        <f>IFERROR(IF(C33="","",C33+D33),"")</f>
        <v>26233.7790732615</v>
      </c>
      <c r="F33" s="42">
        <f>IFERROR(IF(D33="","",B33-D33),"")</f>
        <v>1.2005330063402653e-10</v>
      </c>
      <c r="G33" s="42">
        <f>IFERROR(IF(E33="","",'PyG 3 Años'!$D$40-'PyG 3 Años'!$D$45+'PyG 3 Años'!$D$35+'PyG 3 Años'!$D$36),"")</f>
        <v>68540.64975390113</v>
      </c>
      <c r="H33" s="62">
        <f>IFERROR(IF(OR(E33="",E33=0),"",G33/E33),"")</f>
        <v>2.6126868554656872</v>
      </c>
    </row>
    <row r="34">
      <c r="A34" s="41" t="n">
        <v>8</v>
      </c>
      <c r="B34" s="42">
        <f>IFERROR(IF(OR(8&gt;B22,F33=""),"",F33),"")</f>
        <v/>
      </c>
      <c r="C34" s="42">
        <f>IFERROR(IF(OR(8&gt;B22,B34=""),"",B34*B21),"")</f>
        <v/>
      </c>
      <c r="D34" s="42">
        <f>IFERROR(IF(OR(8&gt;B22,B34=""),"",IF(8&lt;=B23,0,MIN(B34,B24-C34))),"")</f>
        <v/>
      </c>
      <c r="E34" s="42">
        <f>IFERROR(IF(C34="","",C34+D34),"")</f>
        <v/>
      </c>
      <c r="F34" s="42">
        <f>IFERROR(IF(D34="","",B34-D34),"")</f>
        <v/>
      </c>
      <c r="G34" s="42">
        <f>IFERROR(IF(E34="","",'PyG 3 Años'!$D$40-'PyG 3 Años'!$D$45+'PyG 3 Años'!$D$35+'PyG 3 Años'!$D$36),"")</f>
        <v/>
      </c>
      <c r="H34" s="62">
        <f>IFERROR(IF(OR(E34="",E34=0),"",G34/E34),"")</f>
        <v/>
      </c>
    </row>
    <row r="35">
      <c r="A35" s="41" t="n">
        <v>9</v>
      </c>
      <c r="B35" s="42">
        <f>IFERROR(IF(OR(9&gt;B22,F34=""),"",F34),"")</f>
        <v/>
      </c>
      <c r="C35" s="42">
        <f>IFERROR(IF(OR(9&gt;B22,B35=""),"",B35*B21),"")</f>
        <v/>
      </c>
      <c r="D35" s="42">
        <f>IFERROR(IF(OR(9&gt;B22,B35=""),"",IF(9&lt;=B23,0,MIN(B35,B24-C35))),"")</f>
        <v/>
      </c>
      <c r="E35" s="42">
        <f>IFERROR(IF(C35="","",C35+D35),"")</f>
        <v/>
      </c>
      <c r="F35" s="42">
        <f>IFERROR(IF(D35="","",B35-D35),"")</f>
        <v/>
      </c>
      <c r="G35" s="42">
        <f>IFERROR(IF(E35="","",'PyG 3 Años'!$D$40-'PyG 3 Años'!$D$45+'PyG 3 Años'!$D$35+'PyG 3 Años'!$D$36),"")</f>
        <v/>
      </c>
      <c r="H35" s="62">
        <f>IFERROR(IF(OR(E35="",E35=0),"",G35/E35),"")</f>
        <v/>
      </c>
    </row>
    <row r="36">
      <c r="A36" s="41" t="n">
        <v>10</v>
      </c>
      <c r="B36" s="42">
        <f>IFERROR(IF(OR(10&gt;B22,F35=""),"",F35),"")</f>
        <v/>
      </c>
      <c r="C36" s="42">
        <f>IFERROR(IF(OR(10&gt;B22,B36=""),"",B36*B21),"")</f>
        <v/>
      </c>
      <c r="D36" s="42">
        <f>IFERROR(IF(OR(10&gt;B22,B36=""),"",IF(10&lt;=B23,0,MIN(B36,B24-C36))),"")</f>
        <v/>
      </c>
      <c r="E36" s="42">
        <f>IFERROR(IF(C36="","",C36+D36),"")</f>
        <v/>
      </c>
      <c r="F36" s="42">
        <f>IFERROR(IF(D36="","",B36-D36),"")</f>
        <v/>
      </c>
      <c r="G36" s="42">
        <f>IFERROR(IF(E36="","",'PyG 3 Años'!$D$40-'PyG 3 Años'!$D$45+'PyG 3 Años'!$D$35+'PyG 3 Años'!$D$36),"")</f>
        <v/>
      </c>
      <c r="H36" s="62">
        <f>IFERROR(IF(OR(E36="",E36=0),"",G36/E36),"")</f>
        <v/>
      </c>
    </row>
    <row r="37">
      <c r="A37" s="41" t="n">
        <v>11</v>
      </c>
      <c r="B37" s="42">
        <f>IFERROR(IF(OR(11&gt;B22,F36=""),"",F36),"")</f>
        <v/>
      </c>
      <c r="C37" s="42">
        <f>IFERROR(IF(OR(11&gt;B22,B37=""),"",B37*B21),"")</f>
        <v/>
      </c>
      <c r="D37" s="42">
        <f>IFERROR(IF(OR(11&gt;B22,B37=""),"",IF(11&lt;=B23,0,MIN(B37,B24-C37))),"")</f>
        <v/>
      </c>
      <c r="E37" s="42">
        <f>IFERROR(IF(C37="","",C37+D37),"")</f>
        <v/>
      </c>
      <c r="F37" s="42">
        <f>IFERROR(IF(D37="","",B37-D37),"")</f>
        <v/>
      </c>
      <c r="G37" s="42">
        <f>IFERROR(IF(E37="","",'PyG 3 Años'!$D$40-'PyG 3 Años'!$D$45+'PyG 3 Años'!$D$35+'PyG 3 Años'!$D$36),"")</f>
        <v/>
      </c>
      <c r="H37" s="62">
        <f>IFERROR(IF(OR(E37="",E37=0),"",G37/E37),"")</f>
        <v/>
      </c>
    </row>
    <row r="38">
      <c r="A38" s="41" t="n">
        <v>12</v>
      </c>
      <c r="B38" s="42">
        <f>IFERROR(IF(OR(12&gt;B22,F37=""),"",F37),"")</f>
        <v/>
      </c>
      <c r="C38" s="42">
        <f>IFERROR(IF(OR(12&gt;B22,B38=""),"",B38*B21),"")</f>
        <v/>
      </c>
      <c r="D38" s="42">
        <f>IFERROR(IF(OR(12&gt;B22,B38=""),"",IF(12&lt;=B23,0,MIN(B38,B24-C38))),"")</f>
        <v/>
      </c>
      <c r="E38" s="42">
        <f>IFERROR(IF(C38="","",C38+D38),"")</f>
        <v/>
      </c>
      <c r="F38" s="42">
        <f>IFERROR(IF(D38="","",B38-D38),"")</f>
        <v/>
      </c>
      <c r="G38" s="42">
        <f>IFERROR(IF(E38="","",'PyG 3 Años'!$D$40-'PyG 3 Años'!$D$45+'PyG 3 Años'!$D$35+'PyG 3 Años'!$D$36),"")</f>
        <v/>
      </c>
      <c r="H38" s="62">
        <f>IFERROR(IF(OR(E38="",E38=0),"",G38/E38),"")</f>
        <v/>
      </c>
    </row>
    <row r="39">
      <c r="A39" s="41" t="n">
        <v>13</v>
      </c>
      <c r="B39" s="42">
        <f>IFERROR(IF(OR(13&gt;B22,F38=""),"",F38),"")</f>
        <v/>
      </c>
      <c r="C39" s="42">
        <f>IFERROR(IF(OR(13&gt;B22,B39=""),"",B39*B21),"")</f>
        <v/>
      </c>
      <c r="D39" s="42">
        <f>IFERROR(IF(OR(13&gt;B22,B39=""),"",IF(13&lt;=B23,0,MIN(B39,B24-C39))),"")</f>
        <v/>
      </c>
      <c r="E39" s="42">
        <f>IFERROR(IF(C39="","",C39+D39),"")</f>
        <v/>
      </c>
      <c r="F39" s="42">
        <f>IFERROR(IF(D39="","",B39-D39),"")</f>
        <v/>
      </c>
      <c r="G39" s="42">
        <f>IFERROR(IF(E39="","",'PyG 3 Años'!$D$40-'PyG 3 Años'!$D$45+'PyG 3 Años'!$D$35+'PyG 3 Años'!$D$36),"")</f>
        <v/>
      </c>
      <c r="H39" s="62">
        <f>IFERROR(IF(OR(E39="",E39=0),"",G39/E39),"")</f>
        <v/>
      </c>
    </row>
    <row r="40">
      <c r="A40" s="41" t="n">
        <v>14</v>
      </c>
      <c r="B40" s="42">
        <f>IFERROR(IF(OR(14&gt;B22,F39=""),"",F39),"")</f>
        <v/>
      </c>
      <c r="C40" s="42">
        <f>IFERROR(IF(OR(14&gt;B22,B40=""),"",B40*B21),"")</f>
        <v/>
      </c>
      <c r="D40" s="42">
        <f>IFERROR(IF(OR(14&gt;B22,B40=""),"",IF(14&lt;=B23,0,MIN(B40,B24-C40))),"")</f>
        <v/>
      </c>
      <c r="E40" s="42">
        <f>IFERROR(IF(C40="","",C40+D40),"")</f>
        <v/>
      </c>
      <c r="F40" s="42">
        <f>IFERROR(IF(D40="","",B40-D40),"")</f>
        <v/>
      </c>
      <c r="G40" s="42">
        <f>IFERROR(IF(E40="","",'PyG 3 Años'!$D$40-'PyG 3 Años'!$D$45+'PyG 3 Años'!$D$35+'PyG 3 Años'!$D$36),"")</f>
        <v/>
      </c>
      <c r="H40" s="62">
        <f>IFERROR(IF(OR(E40="",E40=0),"",G40/E40),"")</f>
        <v/>
      </c>
    </row>
    <row r="41">
      <c r="A41" s="41" t="n">
        <v>15</v>
      </c>
      <c r="B41" s="42">
        <f>IFERROR(IF(OR(15&gt;B22,F40=""),"",F40),"")</f>
        <v/>
      </c>
      <c r="C41" s="42">
        <f>IFERROR(IF(OR(15&gt;B22,B41=""),"",B41*B21),"")</f>
        <v/>
      </c>
      <c r="D41" s="42">
        <f>IFERROR(IF(OR(15&gt;B22,B41=""),"",IF(15&lt;=B23,0,MIN(B41,B24-C41))),"")</f>
        <v/>
      </c>
      <c r="E41" s="42">
        <f>IFERROR(IF(C41="","",C41+D41),"")</f>
        <v/>
      </c>
      <c r="F41" s="42">
        <f>IFERROR(IF(D41="","",B41-D41),"")</f>
        <v/>
      </c>
      <c r="G41" s="42">
        <f>IFERROR(IF(E41="","",'PyG 3 Años'!$D$40-'PyG 3 Años'!$D$45+'PyG 3 Años'!$D$35+'PyG 3 Años'!$D$36),"")</f>
        <v/>
      </c>
      <c r="H41" s="62">
        <f>IFERROR(IF(OR(E41="",E41=0),"",G41/E41),"")</f>
        <v/>
      </c>
    </row>
    <row r="42">
      <c r="A42" s="29" t="inlineStr">
        <is>
          <t>Tolerancia de cierre del cuadro (€)</t>
        </is>
      </c>
      <c r="B42" s="52" t="n">
        <v>0.01</v>
      </c>
      <c r="C42" s="29" t="inlineStr">
        <is>
          <t>Margen por redondeo. Por encima, el cuadro no cierra y hay capital sin devolver</t>
        </is>
      </c>
      <c r="D42" s="29" t="n"/>
      <c r="E42" s="29" t="n"/>
      <c r="F42" s="29" t="n"/>
      <c r="G42" s="29" t="n"/>
      <c r="H42" s="29" t="n"/>
    </row>
    <row r="43">
      <c r="A43" s="29" t="inlineStr">
        <is>
          <t>Capital pendiente al vencimiento</t>
        </is>
      </c>
      <c r="B43" s="42">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7740.0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7740.0</v>
      </c>
      <c r="C46" s="29" t="n"/>
      <c r="D46" s="29" t="n"/>
      <c r="E46" s="29" t="n"/>
      <c r="F46" s="29" t="n"/>
      <c r="G46" s="29" t="n"/>
      <c r="H46" s="29" t="n"/>
    </row>
    <row r="47">
      <c r="A47" s="29" t="inlineStr">
        <is>
          <t>Devolución de principal del año 2</t>
        </is>
      </c>
      <c r="B47" s="33">
        <f>IFERROR(IF(B20="","",IF(D28="",0,D28)),"")</f>
        <v>18493.7790732615</v>
      </c>
      <c r="C47" s="29" t="n"/>
      <c r="D47" s="29" t="n"/>
      <c r="E47" s="29" t="n"/>
      <c r="F47" s="29" t="n"/>
      <c r="G47" s="29" t="n"/>
      <c r="H47" s="29" t="n"/>
    </row>
    <row r="48">
      <c r="A48" s="29" t="inlineStr">
        <is>
          <t>Intereses del año 3</t>
        </is>
      </c>
      <c r="B48" s="33">
        <f>IFERROR(IF(B20="","",IF(C29="",0,C29)),"")</f>
        <v>6630.37325560431</v>
      </c>
      <c r="C48" s="29" t="n"/>
      <c r="D48" s="29" t="n"/>
      <c r="E48" s="29" t="n"/>
      <c r="F48" s="29" t="n"/>
      <c r="G48" s="29" t="n"/>
      <c r="H48" s="29" t="n"/>
    </row>
    <row r="49">
      <c r="A49" s="29" t="inlineStr">
        <is>
          <t>Devolución de principal del año 3</t>
        </is>
      </c>
      <c r="B49" s="33">
        <f>IFERROR(IF(B20="","",IF(D29="",0,D29)),"")</f>
        <v>19603.40581765719</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4.976992093023256</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2.294304032671609</v>
      </c>
      <c r="C52" s="29" t="n"/>
      <c r="D52" s="29" t="n"/>
      <c r="E52" s="29" t="n"/>
      <c r="F52" s="29" t="n"/>
      <c r="G52" s="29" t="n"/>
      <c r="H52" s="29" t="n"/>
    </row>
    <row r="53">
      <c r="A53" s="29" t="inlineStr">
        <is>
          <t>DSCR del año 3</t>
        </is>
      </c>
      <c r="B53" s="62">
        <f>IFERROR(('PyG 3 Años'!$D$40-'PyG 3 Años'!$D$45+'PyG 3 Años'!$D$35+B48)/(B48+B49),"")</f>
        <v>2.6126868554656872</v>
      </c>
      <c r="C53" s="29" t="n"/>
      <c r="D53" s="29" t="n"/>
      <c r="E53" s="29" t="n"/>
      <c r="F53" s="29" t="n"/>
      <c r="G53" s="29" t="n"/>
      <c r="H53" s="29" t="n"/>
    </row>
    <row r="54">
      <c r="A54" s="26" t="inlineStr">
        <is>
          <t>DSCR mínimo de todo el cuadro</t>
        </is>
      </c>
      <c r="B54" s="55">
        <f>IFERROR(IF(COUNT(H27:H41)=0,"",MIN(H27:H41)),"")</f>
        <v>2.294304032671609</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Tapas Bar / Gastrobar · v2.2</dc:title>
  <dc:description xmlns:dc="http://purl.org/dc/elements/1.1/">aichef.pro/plan-negocio-tapas-bar</dc:description>
  <dc:subject xmlns:dc="http://purl.org/dc/elements/1.1/">Plan financiero — Tapas Bar / Gastrobar · v2.2</dc:subject>
  <dcterms:created xmlns:dcterms="http://purl.org/dc/terms/" xmlns:xsi="http://www.w3.org/2001/XMLSchema-instance" xsi:type="dcterms:W3CDTF">2026-03-26T14:15:52Z</dcterms:created>
  <dcterms:modified xmlns:dcterms="http://purl.org/dc/terms/" xmlns:xsi="http://www.w3.org/2001/XMLSchema-instance" xsi:type="dcterms:W3CDTF">2026-09-05T15:29:39Z</dcterms:modified>
  <cp:lastModifiedBy>AI Chef Pro</cp:lastModifiedBy>
  <cp:category>AI Chef Pro · Productos digitales</cp:category>
  <cp:keywords>plan negocio tapas bar, AI Chef Pro</cp:keywords>
</cp:coreProperties>
</file>