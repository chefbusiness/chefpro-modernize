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1 - Constitución" sheetId="1" state="visible" r:id="rId1"/>
    <sheet xmlns:r="http://schemas.openxmlformats.org/officeDocument/2006/relationships" name="F2 - Local" sheetId="2" state="visible" r:id="rId2"/>
    <sheet xmlns:r="http://schemas.openxmlformats.org/officeDocument/2006/relationships" name="F3 - Equipamiento" sheetId="3" state="visible" r:id="rId3"/>
    <sheet xmlns:r="http://schemas.openxmlformats.org/officeDocument/2006/relationships" name="F4 - Personal" sheetId="4" state="visible" r:id="rId4"/>
    <sheet xmlns:r="http://schemas.openxmlformats.org/officeDocument/2006/relationships" name="F5 - Marketing" sheetId="5" state="visible" r:id="rId5"/>
    <sheet xmlns:r="http://schemas.openxmlformats.org/officeDocument/2006/relationships" name="F6 - 90 Días" sheetId="6" state="visible" r:id="rId6"/>
    <sheet xmlns:r="http://schemas.openxmlformats.org/officeDocument/2006/relationships" name="Instrucciones" sheetId="7" state="visible" r:id="rId7"/>
  </sheets>
  <definedNames>
    <definedName name="_xlnm.Print_Titles" localSheetId="0">'F1 - Constitución'!$4:$4</definedName>
    <definedName name="_xlnm.Print_Titles" localSheetId="1">'F2 - Local'!$4:$4</definedName>
    <definedName name="_xlnm.Print_Titles" localSheetId="2">'F3 - Equipamiento'!$4:$4</definedName>
    <definedName name="_xlnm.Print_Titles" localSheetId="3">'F4 - Personal'!$4:$4</definedName>
    <definedName name="_xlnm.Print_Titles" localSheetId="4">'F5 - Marketing'!$4:$4</definedName>
    <definedName name="_xlnm.Print_Titles" localSheetId="5">'F6 - 90 Días'!$4:$4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Georgia"/>
      <b val="1"/>
      <color rgb="001A1A1A"/>
      <sz val="16"/>
    </font>
    <font>
      <name val="Georgia"/>
      <b val="1"/>
      <color rgb="001A1A1A"/>
      <sz val="13"/>
    </font>
    <font>
      <name val="Calibri"/>
      <b val="1"/>
      <color rgb="00FFFFFF"/>
      <sz val="10"/>
    </font>
    <font>
      <name val="Calibri"/>
      <color rgb="001A1A1A"/>
      <sz val="10"/>
    </font>
    <font>
      <name val="Calibri"/>
      <b val="1"/>
      <sz val="10"/>
    </font>
    <font>
      <b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5F0E8"/>
        <bgColor rgb="00F5F0E8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bottom style="thin">
        <color rgb="00F5F0E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4" fillId="3" borderId="1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4" fillId="4" borderId="1" applyAlignment="1" applyProtection="1" pivotButton="0" quotePrefix="0" xfId="0">
      <alignment horizontal="center" vertical="center"/>
      <protection locked="0" hidden="0"/>
    </xf>
    <xf numFmtId="0" fontId="0" fillId="4" borderId="0" applyAlignment="1" applyProtection="1" pivotButton="0" quotePrefix="0" xfId="0">
      <alignment horizontal="general" vertical="top" wrapText="1"/>
      <protection locked="0" hidden="0"/>
    </xf>
    <xf numFmtId="0" fontId="0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3" fontId="0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 ht="90" customHeight="1">
      <c r="A1" s="9" t="inlineStr">
        <is>
          <t>CHECKLIST APERTURA — TAPAS BAR / GASTROBAR</t>
        </is>
      </c>
    </row>
    <row r="2">
      <c r="A2" s="2" t="inlineStr">
        <is>
          <t>FASE 1: CONSTITUCIÓN Y TRÁMITES LEGALES</t>
        </is>
      </c>
    </row>
    <row r="3"/>
    <row r="4">
      <c r="A4" s="3" t="inlineStr">
        <is>
          <t>OK</t>
        </is>
      </c>
      <c r="B4" s="3" t="inlineStr">
        <is>
          <t>TRÁMITE / ACCIÓN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10" t="inlineStr">
        <is>
          <t>☐</t>
        </is>
      </c>
      <c r="B5" s="5" t="inlineStr">
        <is>
          <t>Elegir forma jurídica (SL recomendada)</t>
        </is>
      </c>
      <c r="C5" s="5" t="inlineStr">
        <is>
          <t>Gestor</t>
        </is>
      </c>
      <c r="D5" s="5" t="inlineStr">
        <is>
          <t>Semana 1</t>
        </is>
      </c>
      <c r="E5" s="5" t="inlineStr">
        <is>
          <t>SL unipersonal, capital 1 € (Ley Crea y Crece)</t>
        </is>
      </c>
    </row>
    <row r="6">
      <c r="A6" s="10" t="inlineStr">
        <is>
          <t>☐</t>
        </is>
      </c>
      <c r="B6" s="7" t="inlineStr">
        <is>
          <t>Constitución SL ante notario</t>
        </is>
      </c>
      <c r="C6" s="7" t="inlineStr">
        <is>
          <t>Notario</t>
        </is>
      </c>
      <c r="D6" s="7" t="inlineStr">
        <is>
          <t>1-3 días</t>
        </is>
      </c>
      <c r="E6" s="7" t="inlineStr">
        <is>
          <t>Llevar certificación nombre, estatutos, DNI</t>
        </is>
      </c>
    </row>
    <row r="7">
      <c r="A7" s="10" t="inlineStr">
        <is>
          <t>☐</t>
        </is>
      </c>
      <c r="B7" s="5" t="inlineStr">
        <is>
          <t>Inscripción en Registro Mercantil</t>
        </is>
      </c>
      <c r="C7" s="5" t="inlineStr">
        <is>
          <t>Notario/Gestor</t>
        </is>
      </c>
      <c r="D7" s="5" t="inlineStr">
        <is>
          <t>3-7 días</t>
        </is>
      </c>
      <c r="E7" s="5" t="inlineStr">
        <is>
          <t>Solicitar CIF provisional</t>
        </is>
      </c>
    </row>
    <row r="8">
      <c r="A8" s="10" t="inlineStr">
        <is>
          <t>☐</t>
        </is>
      </c>
      <c r="B8" s="7" t="inlineStr">
        <is>
          <t>Alta Hacienda: modelo 036/037</t>
        </is>
      </c>
      <c r="C8" s="7" t="inlineStr">
        <is>
          <t>Gestor</t>
        </is>
      </c>
      <c r="D8" s="7" t="inlineStr">
        <is>
          <t>1 día</t>
        </is>
      </c>
      <c r="E8" s="7" t="inlineStr">
        <is>
          <t>Epígrafe IAE: 671.5 (restaurantes de un tenedor) o 673.2 (otros cafés y bares), según el peso de la barra frente al servicio de mesa — la elección la valida tu gestor: condiciona inspecciones y licencia</t>
        </is>
      </c>
    </row>
    <row r="9">
      <c r="A9" s="10" t="inlineStr">
        <is>
          <t>☐</t>
        </is>
      </c>
      <c r="B9" s="5" t="inlineStr">
        <is>
          <t>Alta Seguridad Social (autónomo + empresa)</t>
        </is>
      </c>
      <c r="C9" s="5" t="inlineStr">
        <is>
          <t>Gestor</t>
        </is>
      </c>
      <c r="D9" s="5" t="inlineStr">
        <is>
          <t>1 día</t>
        </is>
      </c>
      <c r="E9" s="5" t="inlineStr">
        <is>
          <t>Cuota según la base mínima del tramo que te corresponda. Consulta el importe del ejercicio en curso y verifica con tu gestoría si te aplica la cuota reducida de inicio de actividad</t>
        </is>
      </c>
    </row>
    <row r="10">
      <c r="A10" s="10" t="inlineStr">
        <is>
          <t>☐</t>
        </is>
      </c>
      <c r="B10" s="7" t="inlineStr">
        <is>
          <t>Apertura cuenta bancaria empresa</t>
        </is>
      </c>
      <c r="C10" s="7" t="inlineStr">
        <is>
          <t>Titular</t>
        </is>
      </c>
      <c r="D10" s="7" t="inlineStr">
        <is>
          <t>1-3 días</t>
        </is>
      </c>
      <c r="E10" s="7" t="inlineStr">
        <is>
          <t>Separar finanzas personales/empresa</t>
        </is>
      </c>
    </row>
    <row r="11">
      <c r="A11" s="10" t="inlineStr">
        <is>
          <t>☐</t>
        </is>
      </c>
      <c r="B11" s="5" t="inlineStr">
        <is>
          <t>Obtener certificado digital</t>
        </is>
      </c>
      <c r="C11" s="5" t="inlineStr">
        <is>
          <t>FNMT</t>
        </is>
      </c>
      <c r="D11" s="5" t="inlineStr">
        <is>
          <t>1-3 días</t>
        </is>
      </c>
      <c r="E11" s="5" t="inlineStr">
        <is>
          <t>Imprescindible para trámites telemáticos</t>
        </is>
      </c>
    </row>
    <row r="12">
      <c r="A12" s="10" t="inlineStr">
        <is>
          <t>☐</t>
        </is>
      </c>
      <c r="B12" s="7" t="inlineStr">
        <is>
          <t>Inscripción en el Registro Sanitario de tu Comunidad Autónoma (declaración responsable de inicio de actividad alimentaria)</t>
        </is>
      </c>
      <c r="C12" s="7" t="inlineStr">
        <is>
          <t>Sanidad</t>
        </is>
      </c>
      <c r="D12" s="7" t="inlineStr">
        <is>
          <t>Variable</t>
        </is>
      </c>
      <c r="E12" s="7" t="inlineStr">
        <is>
          <t>El Registro General Sanitario estatal NO aplica al minorista que sirve al consumidor final (art. 2.2 del RD 191/2011): el que te toca es el autonómico</t>
        </is>
      </c>
    </row>
    <row r="13">
      <c r="A13" s="10" t="inlineStr">
        <is>
          <t>☐</t>
        </is>
      </c>
      <c r="B13" s="5" t="inlineStr">
        <is>
          <t>Registro de marca (opcional)</t>
        </is>
      </c>
      <c r="C13" s="5" t="inlineStr">
        <is>
          <t>OEPM</t>
        </is>
      </c>
      <c r="D13" s="5" t="inlineStr">
        <is>
          <t>4-6 meses</t>
        </is>
      </c>
      <c r="E13" s="5" t="inlineStr">
        <is>
          <t>Proteger nombre del gastrobar</t>
        </is>
      </c>
    </row>
    <row r="14" ht="45" customHeight="1">
      <c r="A14" s="11" t="inlineStr">
        <is>
          <t>☐</t>
        </is>
      </c>
      <c r="B14" s="12" t="inlineStr">
        <is>
          <t>Registro de actividades de tratamiento de datos personales</t>
        </is>
      </c>
      <c r="C14" s="12" t="inlineStr">
        <is>
          <t>Titular</t>
        </is>
      </c>
      <c r="D14" s="12" t="inlineStr">
        <is>
          <t>Antes de abrir</t>
        </is>
      </c>
      <c r="E14" s="12" t="inlineStr">
        <is>
          <t>Art. 30 del RGPD y art. 31 de la LOPDGDD: lo pide la AEPD en la primera inspección. Incluye clientes, personal y proveedores</t>
        </is>
      </c>
    </row>
    <row r="15" ht="75" customHeight="1">
      <c r="A15" s="11" t="inlineStr">
        <is>
          <t>☐</t>
        </is>
      </c>
      <c r="B15" s="13" t="inlineStr">
        <is>
          <t>Adaptar el TPV y la facturación al sistema Veri*factu / factura electrónica</t>
        </is>
      </c>
      <c r="C15" s="12" t="inlineStr">
        <is>
          <t>Gestor</t>
        </is>
      </c>
      <c r="D15" s="12" t="inlineStr">
        <is>
          <t>Antes de abrir</t>
        </is>
      </c>
      <c r="E15" s="12" t="inlineStr">
        <is>
          <t>El RD 1007/2023 y su calendario escalonado obligan a que el software de facturación sea verificable. Consulta la fecha que te aplica antes de comprar el TPV + comandero que presupuesta la hoja de Inversión</t>
        </is>
      </c>
    </row>
    <row r="16"/>
    <row r="17">
      <c r="B17" t="inlineStr">
        <is>
          <t>Tareas completadas:</t>
        </is>
      </c>
      <c r="C17" s="14">
        <f>COUNTIF(A5:A15,"✓")</f>
        <v>0.0</v>
      </c>
      <c r="D17" t="inlineStr">
        <is>
          <t>de</t>
        </is>
      </c>
      <c r="E17" s="14">
        <f>COUNTIF(B5:B15,"?*")-COUNTIF(A5:A15,"N/A")</f>
        <v>11.0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E15">
    <cfRule type="expression" priority="1" dxfId="0">
      <formula>$A5="✓"</formula>
    </cfRule>
  </conditionalFormatting>
  <conditionalFormatting sqref="A5:A15">
    <cfRule type="containsText" priority="2" operator="containsText" dxfId="1" stopIfTrue="1" text="✓">
      <formula>NOT(ISERROR(SEARCH("✓",A5)))</formula>
    </cfRule>
  </conditionalFormatting>
  <dataValidations count="1">
    <dataValidation sqref="A5 A6 A7 A8 A9 A10 A11 A12 A13 A14 A15" showDropDown="0" showInputMessage="0" showErrorMessage="1" allowBlank="1" errorTitle="Marca no válida" error="Usa el desplegable: ✓, ☐, N/A. N/A = no aplica, sale del total." type="list">
      <formula1>"✓,☐,N/A"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 ht="90" customHeight="1">
      <c r="A1" s="9" t="inlineStr">
        <is>
          <t>CHECKLIST APERTURA — TAPAS BAR / GASTROBAR</t>
        </is>
      </c>
    </row>
    <row r="2">
      <c r="A2" s="2" t="inlineStr">
        <is>
          <t>FASE 2: LOCAL Y LICENCIAS</t>
        </is>
      </c>
    </row>
    <row r="3"/>
    <row r="4">
      <c r="A4" s="3" t="inlineStr">
        <is>
          <t>OK</t>
        </is>
      </c>
      <c r="B4" s="3" t="inlineStr">
        <is>
          <t>TRÁMITE / ACCIÓN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10" t="inlineStr">
        <is>
          <t>☐</t>
        </is>
      </c>
      <c r="B5" s="5" t="inlineStr">
        <is>
          <t>Búsqueda y selección de local</t>
        </is>
      </c>
      <c r="C5" s="5" t="inlineStr">
        <is>
          <t>Titular</t>
        </is>
      </c>
      <c r="D5" s="5" t="inlineStr">
        <is>
          <t>1-3 meses</t>
        </is>
      </c>
      <c r="E5" s="5" t="inlineStr">
        <is>
          <t>Zona con vida nocturna, paso peatonal, terrazas</t>
        </is>
      </c>
    </row>
    <row r="6">
      <c r="A6" s="10" t="inlineStr">
        <is>
          <t>☐</t>
        </is>
      </c>
      <c r="B6" s="7" t="inlineStr">
        <is>
          <t>Negociación contrato alquiler</t>
        </is>
      </c>
      <c r="C6" s="7" t="inlineStr">
        <is>
          <t>Titular/Abogado</t>
        </is>
      </c>
      <c r="D6" s="7" t="inlineStr">
        <is>
          <t>1-2 semanas</t>
        </is>
      </c>
      <c r="E6" s="7" t="inlineStr">
        <is>
          <t>Carencia 2-3 meses para obra</t>
        </is>
      </c>
    </row>
    <row r="7">
      <c r="A7" s="10" t="inlineStr">
        <is>
          <t>☐</t>
        </is>
      </c>
      <c r="B7" s="5" t="inlineStr">
        <is>
          <t>Verificar uso urbanístico</t>
        </is>
      </c>
      <c r="C7" s="5" t="inlineStr">
        <is>
          <t>Ayuntamiento</t>
        </is>
      </c>
      <c r="D7" s="5" t="inlineStr">
        <is>
          <t>Variable</t>
        </is>
      </c>
      <c r="E7" s="5" t="inlineStr">
        <is>
          <t>Informe urbanístico ANTES de firmar</t>
        </is>
      </c>
    </row>
    <row r="8">
      <c r="A8" s="10" t="inlineStr">
        <is>
          <t>☐</t>
        </is>
      </c>
      <c r="B8" s="7" t="inlineStr">
        <is>
          <t>Solicitar licencia de actividad CLASIFICADA</t>
        </is>
      </c>
      <c r="C8" s="7" t="inlineStr">
        <is>
          <t>Ingeniero</t>
        </is>
      </c>
      <c r="D8" s="7" t="inlineStr">
        <is>
          <t>2-4 meses</t>
        </is>
      </c>
      <c r="E8" s="7" t="inlineStr">
        <is>
          <t>Tapas bar con cocina = actividad clasificada (más exigente)</t>
        </is>
      </c>
    </row>
    <row r="9">
      <c r="A9" s="10" t="inlineStr">
        <is>
          <t>☐</t>
        </is>
      </c>
      <c r="B9" s="5" t="inlineStr">
        <is>
          <t>Licencia de terraza</t>
        </is>
      </c>
      <c r="C9" s="5" t="inlineStr">
        <is>
          <t>Ayuntamiento</t>
        </is>
      </c>
      <c r="D9" s="5" t="inlineStr">
        <is>
          <t>1-3 meses</t>
        </is>
      </c>
      <c r="E9" s="5" t="inlineStr">
        <is>
          <t>Terraza = facturación extra 20-30%, renovación anual</t>
        </is>
      </c>
    </row>
    <row r="10">
      <c r="A10" s="10" t="inlineStr">
        <is>
          <t>☐</t>
        </is>
      </c>
      <c r="B10" s="7" t="inlineStr">
        <is>
          <t>Licencia de música ambiente</t>
        </is>
      </c>
      <c r="C10" s="7" t="inlineStr">
        <is>
          <t>Ayuntamiento</t>
        </is>
      </c>
      <c r="D10" s="7" t="inlineStr">
        <is>
          <t>1 mes</t>
        </is>
      </c>
      <c r="E10" s="7" t="inlineStr">
        <is>
          <t>Si quieres hilo musical o DJ en gastrobar</t>
        </is>
      </c>
    </row>
    <row r="11">
      <c r="A11" s="10" t="inlineStr">
        <is>
          <t>☐</t>
        </is>
      </c>
      <c r="B11" s="5" t="inlineStr">
        <is>
          <t>Seguro responsabilidad civil</t>
        </is>
      </c>
      <c r="C11" s="5" t="inlineStr">
        <is>
          <t>Aseguradora</t>
        </is>
      </c>
      <c r="D11" s="5" t="inlineStr">
        <is>
          <t>1 día</t>
        </is>
      </c>
      <c r="E11" s="5" t="inlineStr">
        <is>
          <t>Mínimo 300.000 € RC</t>
        </is>
      </c>
    </row>
    <row r="12">
      <c r="A12" s="10" t="inlineStr">
        <is>
          <t>☐</t>
        </is>
      </c>
      <c r="B12" s="7" t="inlineStr">
        <is>
          <t>Seguro multirriesgo del local</t>
        </is>
      </c>
      <c r="C12" s="7" t="inlineStr">
        <is>
          <t>Aseguradora</t>
        </is>
      </c>
      <c r="D12" s="7" t="inlineStr">
        <is>
          <t>1 día</t>
        </is>
      </c>
      <c r="E12" s="7" t="inlineStr">
        <is>
          <t>Incendio, robo, daños agua</t>
        </is>
      </c>
    </row>
    <row r="13">
      <c r="A13" s="10" t="inlineStr">
        <is>
          <t>☐</t>
        </is>
      </c>
      <c r="B13" s="5" t="inlineStr">
        <is>
          <t>Medición acústica (si aplica)</t>
        </is>
      </c>
      <c r="C13" s="5" t="inlineStr">
        <is>
          <t>Técnico</t>
        </is>
      </c>
      <c r="D13" s="5" t="inlineStr">
        <is>
          <t>1-2 semanas</t>
        </is>
      </c>
      <c r="E13" s="5" t="inlineStr">
        <is>
          <t>Obligatorio si zona residencial mixta</t>
        </is>
      </c>
    </row>
    <row r="14" ht="30" customHeight="1">
      <c r="A14" s="11" t="inlineStr">
        <is>
          <t>☐</t>
        </is>
      </c>
      <c r="B14" s="12" t="inlineStr">
        <is>
          <t>Hojas de reclamaciones oficiales y su cartel anunciador</t>
        </is>
      </c>
      <c r="C14" s="12" t="inlineStr">
        <is>
          <t>Titular</t>
        </is>
      </c>
      <c r="D14" s="12" t="inlineStr">
        <is>
          <t>1 día</t>
        </is>
      </c>
      <c r="E14" s="12" t="inlineStr">
        <is>
          <t>El modelo y el texto del cartel los aprueba tu Comunidad Autónoma</t>
        </is>
      </c>
    </row>
    <row r="15" ht="45" customHeight="1">
      <c r="A15" s="11" t="inlineStr">
        <is>
          <t>☐</t>
        </is>
      </c>
      <c r="B15" s="13" t="inlineStr">
        <is>
          <t>Contrato con gestor autorizado de residuos</t>
        </is>
      </c>
      <c r="C15" s="12" t="inlineStr">
        <is>
          <t>Titular</t>
        </is>
      </c>
      <c r="D15" s="12" t="inlineStr">
        <is>
          <t>2 semanas</t>
        </is>
      </c>
      <c r="E15" s="12" t="inlineStr">
        <is>
          <t>Se comprueba en la inspección. Cartón, orgánico y el aceite usado de plancha y freidora, que no puede ir al desagüe</t>
        </is>
      </c>
    </row>
    <row r="16" ht="30" customHeight="1">
      <c r="A16" s="11" t="inlineStr">
        <is>
          <t>☐</t>
        </is>
      </c>
      <c r="B16" s="12" t="inlineStr">
        <is>
          <t>Contrato de desinsectación, desratización y desinfección (DDD)</t>
        </is>
      </c>
      <c r="C16" s="12" t="inlineStr">
        <is>
          <t>Titular</t>
        </is>
      </c>
      <c r="D16" s="12" t="inlineStr">
        <is>
          <t>1 semana</t>
        </is>
      </c>
      <c r="E16" s="12" t="inlineStr">
        <is>
          <t>Empresa inscrita en el ROESB; el certificado forma parte del plan APPCC</t>
        </is>
      </c>
    </row>
    <row r="17" ht="45" customHeight="1">
      <c r="A17" s="11" t="inlineStr">
        <is>
          <t>☐</t>
        </is>
      </c>
      <c r="B17" s="12" t="inlineStr">
        <is>
          <t>Cartel y contrato de videovigilancia con la empresa de seguridad</t>
        </is>
      </c>
      <c r="C17" s="12" t="inlineStr">
        <is>
          <t>Titular</t>
        </is>
      </c>
      <c r="D17" s="12" t="inlineStr">
        <is>
          <t>Con la obra</t>
        </is>
      </c>
      <c r="E17" s="12" t="inlineStr">
        <is>
          <t>Cartel homologado en zona visible, contrato de encargado de tratamiento y plazo máximo de conservación de 30 días</t>
        </is>
      </c>
    </row>
    <row r="18"/>
    <row r="19">
      <c r="B19" t="inlineStr">
        <is>
          <t>Tareas completadas:</t>
        </is>
      </c>
      <c r="C19" s="14">
        <f>COUNTIF(A5:A17,"✓")</f>
        <v>0.0</v>
      </c>
      <c r="D19" t="inlineStr">
        <is>
          <t>de</t>
        </is>
      </c>
      <c r="E19" s="14">
        <f>COUNTIF(B5:B17,"?*")-COUNTIF(A5:A17,"N/A")</f>
        <v>13.0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E17">
    <cfRule type="expression" priority="1" dxfId="0">
      <formula>$A5="✓"</formula>
    </cfRule>
  </conditionalFormatting>
  <conditionalFormatting sqref="A5:A17">
    <cfRule type="containsText" priority="2" operator="containsText" dxfId="1" stopIfTrue="1" text="✓">
      <formula>NOT(ISERROR(SEARCH("✓",A5)))</formula>
    </cfRule>
  </conditionalFormatting>
  <dataValidations count="1">
    <dataValidation sqref="A5 A6 A7 A8 A9 A10 A11 A12 A13 A14 A15 A16 A17" showDropDown="0" showInputMessage="0" showErrorMessage="1" allowBlank="1" errorTitle="Marca no válida" error="Usa el desplegable: ✓, ☐, N/A. N/A = no aplica, sale del total." type="list">
      <formula1>"✓,☐,N/A"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 ht="90" customHeight="1">
      <c r="A1" s="9" t="inlineStr">
        <is>
          <t>CHECKLIST APERTURA — TAPAS BAR / GASTROBAR</t>
        </is>
      </c>
    </row>
    <row r="2">
      <c r="A2" s="2" t="inlineStr">
        <is>
          <t>FASE 3: OBRA Y EQUIPAMIENTO</t>
        </is>
      </c>
    </row>
    <row r="3"/>
    <row r="4">
      <c r="A4" s="3" t="inlineStr">
        <is>
          <t>OK</t>
        </is>
      </c>
      <c r="B4" s="3" t="inlineStr">
        <is>
          <t>TRÁMITE / ACCIÓN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10" t="inlineStr">
        <is>
          <t>☐</t>
        </is>
      </c>
      <c r="B5" s="5" t="inlineStr">
        <is>
          <t>Proyecto técnico actividad clasificada</t>
        </is>
      </c>
      <c r="C5" s="5" t="inlineStr">
        <is>
          <t>Ingeniero</t>
        </is>
      </c>
      <c r="D5" s="5" t="inlineStr">
        <is>
          <t>2-4 semanas</t>
        </is>
      </c>
      <c r="E5" s="5" t="inlineStr">
        <is>
          <t>Planos, memoria, instalaciones, salida humos</t>
        </is>
      </c>
    </row>
    <row r="6">
      <c r="A6" s="10" t="inlineStr">
        <is>
          <t>☐</t>
        </is>
      </c>
      <c r="B6" s="7" t="inlineStr">
        <is>
          <t>Obra civil: suelos, paredes, techos</t>
        </is>
      </c>
      <c r="C6" s="7" t="inlineStr">
        <is>
          <t>Constructor</t>
        </is>
      </c>
      <c r="D6" s="7" t="inlineStr">
        <is>
          <t>4-8 semanas</t>
        </is>
      </c>
      <c r="E6" s="7" t="inlineStr">
        <is>
          <t>Materiales lavables en cocina</t>
        </is>
      </c>
    </row>
    <row r="7">
      <c r="A7" s="10" t="inlineStr">
        <is>
          <t>☐</t>
        </is>
      </c>
      <c r="B7" s="5" t="inlineStr">
        <is>
          <t>Instalación eléctrica (potencia 20-25 kW)</t>
        </is>
      </c>
      <c r="C7" s="5" t="inlineStr">
        <is>
          <t>Electricista</t>
        </is>
      </c>
      <c r="D7" s="5" t="inlineStr">
        <is>
          <t>1-2 semanas</t>
        </is>
      </c>
      <c r="E7" s="5" t="inlineStr">
        <is>
          <t>Cocina industrial + climatización = alta potencia</t>
        </is>
      </c>
    </row>
    <row r="8">
      <c r="A8" s="10" t="inlineStr">
        <is>
          <t>☐</t>
        </is>
      </c>
      <c r="B8" s="7" t="inlineStr">
        <is>
          <t>Salida de humos + campana extractora</t>
        </is>
      </c>
      <c r="C8" s="7" t="inlineStr">
        <is>
          <t>Instalador</t>
        </is>
      </c>
      <c r="D8" s="7" t="inlineStr">
        <is>
          <t>1-2 semanas</t>
        </is>
      </c>
      <c r="E8" s="7" t="inlineStr">
        <is>
          <t>Crítico en tapas bar: plancha, freidora generan mucho humo</t>
        </is>
      </c>
    </row>
    <row r="9">
      <c r="A9" s="10" t="inlineStr">
        <is>
          <t>☐</t>
        </is>
      </c>
      <c r="B9" s="5" t="inlineStr">
        <is>
          <t>Fontanería, evacuación y trampa grasas</t>
        </is>
      </c>
      <c r="C9" s="5" t="inlineStr">
        <is>
          <t>Fontanero</t>
        </is>
      </c>
      <c r="D9" s="5" t="inlineStr">
        <is>
          <t>1 semana</t>
        </is>
      </c>
      <c r="E9" s="5" t="inlineStr">
        <is>
          <t>Trampa grasas obligatoria con cocina elaborada</t>
        </is>
      </c>
    </row>
    <row r="10">
      <c r="A10" s="10" t="inlineStr">
        <is>
          <t>☐</t>
        </is>
      </c>
      <c r="B10" s="7" t="inlineStr">
        <is>
          <t>Climatización (AA + calefacción)</t>
        </is>
      </c>
      <c r="C10" s="7" t="inlineStr">
        <is>
          <t>Instalador</t>
        </is>
      </c>
      <c r="D10" s="7" t="inlineStr">
        <is>
          <t>1 semana</t>
        </is>
      </c>
      <c r="E10" s="7" t="inlineStr">
        <is>
          <t>Barra genera calor, necesita buen flujo aire</t>
        </is>
      </c>
    </row>
    <row r="11">
      <c r="A11" s="10" t="inlineStr">
        <is>
          <t>☐</t>
        </is>
      </c>
      <c r="B11" s="5" t="inlineStr">
        <is>
          <t>Instalación grifos cerveza (4-6 grifos)</t>
        </is>
      </c>
      <c r="C11" s="5" t="inlineStr">
        <is>
          <t>Proveedor cerveza</t>
        </is>
      </c>
      <c r="D11" s="5" t="inlineStr">
        <is>
          <t>1 semana</t>
        </is>
      </c>
      <c r="E11" s="5" t="inlineStr">
        <is>
          <t>Negociar con distribuidores (Mahou, Estrella, craft)</t>
        </is>
      </c>
    </row>
    <row r="12">
      <c r="A12" s="10" t="inlineStr">
        <is>
          <t>☐</t>
        </is>
      </c>
      <c r="B12" s="7" t="inlineStr">
        <is>
          <t>Compra equipamiento cocina</t>
        </is>
      </c>
      <c r="C12" s="7" t="inlineStr">
        <is>
          <t>Titular</t>
        </is>
      </c>
      <c r="D12" s="7" t="inlineStr">
        <is>
          <t>2-3 semanas</t>
        </is>
      </c>
      <c r="E12" s="7" t="inlineStr">
        <is>
          <t>Plancha, freidora, horno, salamandra y baño maría</t>
        </is>
      </c>
    </row>
    <row r="13">
      <c r="A13" s="10" t="inlineStr">
        <is>
          <t>☐</t>
        </is>
      </c>
      <c r="B13" s="5" t="inlineStr">
        <is>
          <t>Compra equipamiento frío</t>
        </is>
      </c>
      <c r="C13" s="5" t="inlineStr">
        <is>
          <t>Titular</t>
        </is>
      </c>
      <c r="D13" s="5" t="inlineStr">
        <is>
          <t>1-2 semanas</t>
        </is>
      </c>
      <c r="E13" s="5" t="inlineStr">
        <is>
          <t>Cámara + neveras bajo barra + congelador</t>
        </is>
      </c>
    </row>
    <row r="14">
      <c r="A14" s="10" t="inlineStr">
        <is>
          <t>☐</t>
        </is>
      </c>
      <c r="B14" s="7" t="inlineStr">
        <is>
          <t>Construcción barra + mostrador tapas</t>
        </is>
      </c>
      <c r="C14" s="7" t="inlineStr">
        <is>
          <t>Carpintero</t>
        </is>
      </c>
      <c r="D14" s="7" t="inlineStr">
        <is>
          <t>3-4 semanas</t>
        </is>
      </c>
      <c r="E14" s="7" t="inlineStr">
        <is>
          <t>Barra con vitrina tapas, zona tiraje, fregadero</t>
        </is>
      </c>
    </row>
    <row r="15">
      <c r="A15" s="10" t="inlineStr">
        <is>
          <t>☐</t>
        </is>
      </c>
      <c r="B15" s="5" t="inlineStr">
        <is>
          <t>Mobiliario sala + terraza</t>
        </is>
      </c>
      <c r="C15" s="5" t="inlineStr">
        <is>
          <t>Proveedor</t>
        </is>
      </c>
      <c r="D15" s="5" t="inlineStr">
        <is>
          <t>2-3 semanas</t>
        </is>
      </c>
      <c r="E15" s="5" t="inlineStr">
        <is>
          <t>Mesas altas + bajas, taburetes, terraza</t>
        </is>
      </c>
    </row>
    <row r="16">
      <c r="A16" s="10" t="inlineStr">
        <is>
          <t>☐</t>
        </is>
      </c>
      <c r="B16" s="7" t="inlineStr">
        <is>
          <t>Instalación TPV + comandero</t>
        </is>
      </c>
      <c r="C16" s="7" t="inlineStr">
        <is>
          <t>Proveedor</t>
        </is>
      </c>
      <c r="D16" s="7" t="inlineStr">
        <is>
          <t>1 semana</t>
        </is>
      </c>
      <c r="E16" s="7" t="inlineStr">
        <is>
          <t>TPV barra + comandero sala</t>
        </is>
      </c>
    </row>
    <row r="17">
      <c r="A17" s="10" t="inlineStr">
        <is>
          <t>☐</t>
        </is>
      </c>
      <c r="B17" s="5" t="inlineStr">
        <is>
          <t>Decoración, iluminación, pizarras</t>
        </is>
      </c>
      <c r="C17" s="5" t="inlineStr">
        <is>
          <t>Interiorista</t>
        </is>
      </c>
      <c r="D17" s="5" t="inlineStr">
        <is>
          <t>2-3 semanas</t>
        </is>
      </c>
      <c r="E17" s="5" t="inlineStr">
        <is>
          <t>Azulejos, madera, pizarras tapas del día</t>
        </is>
      </c>
    </row>
    <row r="18"/>
    <row r="19">
      <c r="B19" s="8" t="inlineStr">
        <is>
          <t>Tareas completadas:</t>
        </is>
      </c>
      <c r="C19" s="14">
        <f>COUNTIF(A5:A17,"✓")</f>
        <v>0.0</v>
      </c>
      <c r="D19" t="inlineStr">
        <is>
          <t>de</t>
        </is>
      </c>
      <c r="E19" s="14">
        <f>COUNTIF(B5:B17,"?*")-COUNTIF(A5:A17,"N/A")</f>
        <v>13.0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E17">
    <cfRule type="expression" priority="1" dxfId="0">
      <formula>$A5="✓"</formula>
    </cfRule>
  </conditionalFormatting>
  <conditionalFormatting sqref="A5:A17">
    <cfRule type="containsText" priority="2" operator="containsText" dxfId="1" stopIfTrue="1" text="✓">
      <formula>NOT(ISERROR(SEARCH("✓",A5)))</formula>
    </cfRule>
  </conditionalFormatting>
  <dataValidations count="1">
    <dataValidation sqref="A5 A6 A7 A8 A9 A10 A11 A12 A13 A14 A15 A16 A17" showDropDown="0" showInputMessage="0" showErrorMessage="1" allowBlank="1" errorTitle="Marca no válida" error="Usa el desplegable: ✓, ☐, N/A. N/A = no aplica, sale del total." type="list">
      <formula1>"✓,☐,N/A"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 ht="90" customHeight="1">
      <c r="A1" s="9" t="inlineStr">
        <is>
          <t>CHECKLIST APERTURA — TAPAS BAR / GASTROBAR</t>
        </is>
      </c>
    </row>
    <row r="2">
      <c r="A2" s="2" t="inlineStr">
        <is>
          <t>FASE 4: PERSONAL Y FORMACIÓN</t>
        </is>
      </c>
    </row>
    <row r="3"/>
    <row r="4">
      <c r="A4" s="3" t="inlineStr">
        <is>
          <t>OK</t>
        </is>
      </c>
      <c r="B4" s="3" t="inlineStr">
        <is>
          <t>TRÁMITE / ACCIÓN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10" t="inlineStr">
        <is>
          <t>☐</t>
        </is>
      </c>
      <c r="B5" s="5" t="inlineStr">
        <is>
          <t>Definir organigrama y turnos</t>
        </is>
      </c>
      <c r="C5" s="5" t="inlineStr">
        <is>
          <t>Titular</t>
        </is>
      </c>
      <c r="D5" s="5" t="inlineStr">
        <is>
          <t>1 semana</t>
        </is>
      </c>
      <c r="E5" s="5" t="inlineStr">
        <is>
          <t>Turno partido (almuerzo + cena) o continuo</t>
        </is>
      </c>
    </row>
    <row r="6">
      <c r="A6" s="10" t="inlineStr">
        <is>
          <t>☐</t>
        </is>
      </c>
      <c r="B6" s="7" t="inlineStr">
        <is>
          <t>Publicar ofertas empleo</t>
        </is>
      </c>
      <c r="C6" s="7" t="inlineStr">
        <is>
          <t>Titular</t>
        </is>
      </c>
      <c r="D6" s="7" t="inlineStr">
        <is>
          <t>1-2 semanas</t>
        </is>
      </c>
      <c r="E6" s="7" t="inlineStr">
        <is>
          <t>Buscar cocinero con experiencia en tapas</t>
        </is>
      </c>
    </row>
    <row r="7">
      <c r="A7" s="10" t="inlineStr">
        <is>
          <t>☐</t>
        </is>
      </c>
      <c r="B7" s="5" t="inlineStr">
        <is>
          <t>Selección y entrevistas</t>
        </is>
      </c>
      <c r="C7" s="5" t="inlineStr">
        <is>
          <t>Titular</t>
        </is>
      </c>
      <c r="D7" s="5" t="inlineStr">
        <is>
          <t>2 semanas</t>
        </is>
      </c>
      <c r="E7" s="5" t="inlineStr">
        <is>
          <t>Prueba práctica: elaborar 3 tapas en 20 min</t>
        </is>
      </c>
    </row>
    <row r="8">
      <c r="A8" s="10" t="inlineStr">
        <is>
          <t>☐</t>
        </is>
      </c>
      <c r="B8" s="7" t="inlineStr">
        <is>
          <t>Contratos de trabajo</t>
        </is>
      </c>
      <c r="C8" s="7" t="inlineStr">
        <is>
          <t>Gestor</t>
        </is>
      </c>
      <c r="D8" s="7" t="inlineStr">
        <is>
          <t>1 día</t>
        </is>
      </c>
      <c r="E8" s="7" t="inlineStr">
        <is>
          <t>Convenio provincial hostelería</t>
        </is>
      </c>
    </row>
    <row r="9">
      <c r="A9" s="10" t="inlineStr">
        <is>
          <t>☐</t>
        </is>
      </c>
      <c r="B9" s="5" t="inlineStr">
        <is>
          <t>Alta trabajadores Seguridad Social</t>
        </is>
      </c>
      <c r="C9" s="5" t="inlineStr">
        <is>
          <t>Gestor</t>
        </is>
      </c>
      <c r="D9" s="5" t="inlineStr">
        <is>
          <t>Antes del alta</t>
        </is>
      </c>
      <c r="E9" s="5" t="inlineStr">
        <is>
          <t>Mínimo 1 día antes de empezar</t>
        </is>
      </c>
    </row>
    <row r="10">
      <c r="A10" s="10" t="inlineStr">
        <is>
          <t>☐</t>
        </is>
      </c>
      <c r="B10" s="7" t="inlineStr">
        <is>
          <t>Formación en higiene alimentaria de todo el equipo</t>
        </is>
      </c>
      <c r="C10" s="7" t="inlineStr">
        <is>
          <t>Titular</t>
        </is>
      </c>
      <c r="D10" s="7" t="inlineStr">
        <is>
          <t>1 día</t>
        </is>
      </c>
      <c r="E10" s="7" t="inlineStr">
        <is>
          <t>El «carnet de manipulador» está derogado (RD 109/2010): la formación la acredita la EMPRESA y se documenta en el plan APPCC</t>
        </is>
      </c>
    </row>
    <row r="11">
      <c r="A11" s="10" t="inlineStr">
        <is>
          <t>☐</t>
        </is>
      </c>
      <c r="B11" s="5" t="inlineStr">
        <is>
          <t>Plan prevención riesgos (PRL)</t>
        </is>
      </c>
      <c r="C11" s="5" t="inlineStr">
        <is>
          <t>Titular o servicio ajeno</t>
        </is>
      </c>
      <c r="D11" s="5" t="inlineStr">
        <is>
          <t>1-2 semanas</t>
        </is>
      </c>
      <c r="E11" s="5" t="inlineStr">
        <is>
          <t>El plan de prevención es obligatorio; el proveedor externo, no: con menos de 25 trabajadores y un solo centro el titular puede asumir la actividad preventiva (art. 30.5 de la Ley 31/1995 y art. 11 del RD 39/1997)</t>
        </is>
      </c>
    </row>
    <row r="12">
      <c r="A12" s="10" t="inlineStr">
        <is>
          <t>☐</t>
        </is>
      </c>
      <c r="B12" s="7" t="inlineStr">
        <is>
          <t>Formación cocina tapas</t>
        </is>
      </c>
      <c r="C12" s="7" t="inlineStr">
        <is>
          <t>Jefe cocina</t>
        </is>
      </c>
      <c r="D12" s="7" t="inlineStr">
        <is>
          <t>1-2 semanas</t>
        </is>
      </c>
      <c r="E12" s="7" t="inlineStr">
        <is>
          <t>Estandarizar recetas, presentaciones, tiempos</t>
        </is>
      </c>
    </row>
    <row r="13">
      <c r="A13" s="10" t="inlineStr">
        <is>
          <t>☐</t>
        </is>
      </c>
      <c r="B13" s="5" t="inlineStr">
        <is>
          <t>Formación servicio y barra</t>
        </is>
      </c>
      <c r="C13" s="5" t="inlineStr">
        <is>
          <t>Titular</t>
        </is>
      </c>
      <c r="D13" s="5" t="inlineStr">
        <is>
          <t>1 semana</t>
        </is>
      </c>
      <c r="E13" s="5" t="inlineStr">
        <is>
          <t>Tiraje cerveza, vermut, servicio tapas en barra</t>
        </is>
      </c>
    </row>
    <row r="14">
      <c r="A14" s="10" t="inlineStr">
        <is>
          <t>☐</t>
        </is>
      </c>
      <c r="B14" s="7" t="inlineStr">
        <is>
          <t>Formación alérgenos + APPCC</t>
        </is>
      </c>
      <c r="C14" s="7" t="inlineStr">
        <is>
          <t>Titular</t>
        </is>
      </c>
      <c r="D14" s="7" t="inlineStr">
        <is>
          <t>1 día</t>
        </is>
      </c>
      <c r="E14" s="7" t="inlineStr">
        <is>
          <t>14 alérgenos, registro temperaturas, trazabilidad</t>
        </is>
      </c>
    </row>
    <row r="15" ht="30" customHeight="1">
      <c r="A15" s="11" t="inlineStr">
        <is>
          <t>☐</t>
        </is>
      </c>
      <c r="B15" s="12" t="inlineStr">
        <is>
          <t>Registro horario diario de la jornada de todo el equipo</t>
        </is>
      </c>
      <c r="C15" s="12" t="inlineStr">
        <is>
          <t>Gestor</t>
        </is>
      </c>
      <c r="D15" s="12" t="inlineStr">
        <is>
          <t>Desde el primer contrato</t>
        </is>
      </c>
      <c r="E15" s="12" t="inlineStr">
        <is>
          <t>Art. 34.9 del Estatuto de los Trabajadores; se conserva cuatro años</t>
        </is>
      </c>
    </row>
    <row r="16" ht="45" customHeight="1">
      <c r="A16" s="11" t="inlineStr">
        <is>
          <t>☐</t>
        </is>
      </c>
      <c r="B16" s="13" t="inlineStr">
        <is>
          <t>Informar al equipo del registro horario y del tratamiento de sus datos</t>
        </is>
      </c>
      <c r="C16" s="12" t="inlineStr">
        <is>
          <t>Gestor</t>
        </is>
      </c>
      <c r="D16" s="12" t="inlineStr">
        <is>
          <t>Desde el primer contrato</t>
        </is>
      </c>
      <c r="E16" s="12" t="inlineStr">
        <is>
          <t>La cláusula informativa se entrega con el contrato; el fichaje es un tratamiento de datos, no sólo una obligación laboral</t>
        </is>
      </c>
    </row>
    <row r="17"/>
    <row r="18">
      <c r="B18" t="inlineStr">
        <is>
          <t>Tareas completadas:</t>
        </is>
      </c>
      <c r="C18" s="14">
        <f>COUNTIF(A5:A16,"✓")</f>
        <v>0.0</v>
      </c>
      <c r="D18" t="inlineStr">
        <is>
          <t>de</t>
        </is>
      </c>
      <c r="E18" s="14">
        <f>COUNTIF(B5:B16,"?*")-COUNTIF(A5:A16,"N/A")</f>
        <v>12.0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E16">
    <cfRule type="expression" priority="1" dxfId="0">
      <formula>$A5="✓"</formula>
    </cfRule>
  </conditionalFormatting>
  <conditionalFormatting sqref="A5:A16">
    <cfRule type="containsText" priority="2" operator="containsText" dxfId="1" stopIfTrue="1" text="✓">
      <formula>NOT(ISERROR(SEARCH("✓",A5)))</formula>
    </cfRule>
  </conditionalFormatting>
  <dataValidations count="1">
    <dataValidation sqref="A5 A6 A7 A8 A9 A10 A11 A12 A13 A14 A15 A16" showDropDown="0" showInputMessage="0" showErrorMessage="1" allowBlank="1" errorTitle="Marca no válida" error="Usa el desplegable: ✓, ☐, N/A. N/A = no aplica, sale del total." type="list">
      <formula1>"✓,☐,N/A"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 ht="90" customHeight="1">
      <c r="A1" s="9" t="inlineStr">
        <is>
          <t>CHECKLIST APERTURA — TAPAS BAR / GASTROBAR</t>
        </is>
      </c>
    </row>
    <row r="2">
      <c r="A2" s="2" t="inlineStr">
        <is>
          <t>FASE 5: MARKETING Y LANZAMIENTO</t>
        </is>
      </c>
    </row>
    <row r="3"/>
    <row r="4">
      <c r="A4" s="3" t="inlineStr">
        <is>
          <t>OK</t>
        </is>
      </c>
      <c r="B4" s="3" t="inlineStr">
        <is>
          <t>TRÁMITE / ACCIÓN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10" t="inlineStr">
        <is>
          <t>☐</t>
        </is>
      </c>
      <c r="B5" s="5" t="inlineStr">
        <is>
          <t>Diseñar identidad visual</t>
        </is>
      </c>
      <c r="C5" s="5" t="inlineStr">
        <is>
          <t>Diseñador</t>
        </is>
      </c>
      <c r="D5" s="5" t="inlineStr">
        <is>
          <t>2-3 semanas</t>
        </is>
      </c>
      <c r="E5" s="5" t="inlineStr">
        <is>
          <t>Logo, colores, tipografía y estilo visual</t>
        </is>
      </c>
    </row>
    <row r="6">
      <c r="A6" s="10" t="inlineStr">
        <is>
          <t>☐</t>
        </is>
      </c>
      <c r="B6" s="7" t="inlineStr">
        <is>
          <t>Ficha Google My Business (CRÍTICO)</t>
        </is>
      </c>
      <c r="C6" s="7" t="inlineStr">
        <is>
          <t>Titular</t>
        </is>
      </c>
      <c r="D6" s="7" t="inlineStr">
        <is>
          <t>1 día</t>
        </is>
      </c>
      <c r="E6" s="7" t="inlineStr">
        <is>
          <t>Categoría: Bar de tapas. Fotos, horario, carta</t>
        </is>
      </c>
    </row>
    <row r="7">
      <c r="A7" s="10" t="inlineStr">
        <is>
          <t>☐</t>
        </is>
      </c>
      <c r="B7" s="5" t="inlineStr">
        <is>
          <t>Perfiles RRSS (Instagram + TikTok)</t>
        </is>
      </c>
      <c r="C7" s="5" t="inlineStr">
        <is>
          <t>Titular</t>
        </is>
      </c>
      <c r="D7" s="5" t="inlineStr">
        <is>
          <t>1 día</t>
        </is>
      </c>
      <c r="E7" s="5" t="inlineStr">
        <is>
          <t>Instagram para fotos de tapas, TikTok para vídeos de cocina</t>
        </is>
      </c>
    </row>
    <row r="8">
      <c r="A8" s="10" t="inlineStr">
        <is>
          <t>☐</t>
        </is>
      </c>
      <c r="B8" s="7" t="inlineStr">
        <is>
          <t>Página web básica</t>
        </is>
      </c>
      <c r="C8" s="7" t="inlineStr">
        <is>
          <t>Dev/Diseñador</t>
        </is>
      </c>
      <c r="D8" s="7" t="inlineStr">
        <is>
          <t>1-2 semanas</t>
        </is>
      </c>
      <c r="E8" s="7" t="inlineStr">
        <is>
          <t>Con carta, ubicación, reservas, horario</t>
        </is>
      </c>
    </row>
    <row r="9">
      <c r="A9" s="10" t="inlineStr">
        <is>
          <t>☐</t>
        </is>
      </c>
      <c r="B9" s="5" t="inlineStr">
        <is>
          <t>Sesión fotos profesional</t>
        </is>
      </c>
      <c r="C9" s="5" t="inlineStr">
        <is>
          <t>Fotógrafo</t>
        </is>
      </c>
      <c r="D9" s="5" t="inlineStr">
        <is>
          <t>1 día</t>
        </is>
      </c>
      <c r="E9" s="5" t="inlineStr">
        <is>
          <t>Tapas, raciones, barra, ambiente, terraza</t>
        </is>
      </c>
    </row>
    <row r="10">
      <c r="A10" s="10" t="inlineStr">
        <is>
          <t>☐</t>
        </is>
      </c>
      <c r="B10" s="7" t="inlineStr">
        <is>
          <t>Diseñar carta / pizarras tapas</t>
        </is>
      </c>
      <c r="C10" s="7" t="inlineStr">
        <is>
          <t>Diseñador</t>
        </is>
      </c>
      <c r="D10" s="7" t="inlineStr">
        <is>
          <t>1 semana</t>
        </is>
      </c>
      <c r="E10" s="7" t="inlineStr">
        <is>
          <t>Carta física + pizarra de tapas del día + QR digital</t>
        </is>
      </c>
    </row>
    <row r="11">
      <c r="A11" s="10" t="inlineStr">
        <is>
          <t>☐</t>
        </is>
      </c>
      <c r="B11" s="5" t="inlineStr">
        <is>
          <t>Rotulación exterior</t>
        </is>
      </c>
      <c r="C11" s="5" t="inlineStr">
        <is>
          <t>Rotulista</t>
        </is>
      </c>
      <c r="D11" s="5" t="inlineStr">
        <is>
          <t>1 semana</t>
        </is>
      </c>
      <c r="E11" s="5" t="inlineStr">
        <is>
          <t>Rótulo + pizarra exterior + vinilo</t>
        </is>
      </c>
    </row>
    <row r="12">
      <c r="A12" s="10" t="inlineStr">
        <is>
          <t>☐</t>
        </is>
      </c>
      <c r="B12" s="7" t="inlineStr">
        <is>
          <t>Campaña pre-apertura RRSS</t>
        </is>
      </c>
      <c r="C12" s="7" t="inlineStr">
        <is>
          <t>Titular</t>
        </is>
      </c>
      <c r="D12" s="7" t="inlineStr">
        <is>
          <t>2-4 semanas</t>
        </is>
      </c>
      <c r="E12" s="7" t="inlineStr">
        <is>
          <t>Cocina a la vista, cuenta atrás y sorteo inaugural</t>
        </is>
      </c>
    </row>
    <row r="13">
      <c r="A13" s="10" t="inlineStr">
        <is>
          <t>☐</t>
        </is>
      </c>
      <c r="B13" s="5" t="inlineStr">
        <is>
          <t>Acuerdos proveedores (cerveza, vino, vermut)</t>
        </is>
      </c>
      <c r="C13" s="5" t="inlineStr">
        <is>
          <t>Titular</t>
        </is>
      </c>
      <c r="D13" s="5" t="inlineStr">
        <is>
          <t>2 semanas</t>
        </is>
      </c>
      <c r="E13" s="5" t="inlineStr">
        <is>
          <t>Negociar exclusividad cerveza por grifos gratis</t>
        </is>
      </c>
    </row>
    <row r="14">
      <c r="A14" s="10" t="inlineStr">
        <is>
          <t>☐</t>
        </is>
      </c>
      <c r="B14" s="7" t="inlineStr">
        <is>
          <t>Registrarse en Google Maps, TripAdvisor, TheFork</t>
        </is>
      </c>
      <c r="C14" s="7" t="inlineStr">
        <is>
          <t>Titular</t>
        </is>
      </c>
      <c r="D14" s="7" t="inlineStr">
        <is>
          <t>1 día</t>
        </is>
      </c>
      <c r="E14" s="7" t="inlineStr">
        <is>
          <t>TheFork importante para tapas con reserva</t>
        </is>
      </c>
    </row>
    <row r="15">
      <c r="A15" s="10" t="inlineStr">
        <is>
          <t>☐</t>
        </is>
      </c>
      <c r="B15" s="5" t="inlineStr">
        <is>
          <t>Evento inauguración</t>
        </is>
      </c>
      <c r="C15" s="5" t="inlineStr">
        <is>
          <t>Titular</t>
        </is>
      </c>
      <c r="D15" s="5" t="inlineStr">
        <is>
          <t>1 día</t>
        </is>
      </c>
      <c r="E15" s="5" t="inlineStr">
        <is>
          <t>Invitar vecinos, influencers foodie, prensa barrio</t>
        </is>
      </c>
    </row>
    <row r="16">
      <c r="A16" s="10" t="inlineStr">
        <is>
          <t>☐</t>
        </is>
      </c>
      <c r="B16" s="7" t="inlineStr">
        <is>
          <t>Programa fidelización</t>
        </is>
      </c>
      <c r="C16" s="7" t="inlineStr">
        <is>
          <t>Titular</t>
        </is>
      </c>
      <c r="D16" s="7" t="inlineStr">
        <is>
          <t>1 semana</t>
        </is>
      </c>
      <c r="E16" s="7" t="inlineStr">
        <is>
          <t>Tarjeta tapas 10a gratis o app de puntos</t>
        </is>
      </c>
    </row>
    <row r="17" ht="75" customHeight="1">
      <c r="A17" s="11" t="inlineStr">
        <is>
          <t>☐</t>
        </is>
      </c>
      <c r="B17" s="12" t="inlineStr">
        <is>
          <t>Licencia de derechos de autor por la música ambiental (SGAE/AGEDI-AIE)</t>
        </is>
      </c>
      <c r="C17" s="12" t="inlineStr">
        <is>
          <t>Titular</t>
        </is>
      </c>
      <c r="D17" s="12" t="inlineStr">
        <is>
          <t>2 semanas</t>
        </is>
      </c>
      <c r="E17" s="12" t="inlineStr">
        <is>
          <t>Distinta de la licencia municipal de música que ya tiene este checklist: ésta es de propiedad intelectual y se paga aunque el ayuntamiento ya haya autorizado el hilo musical o el DJ</t>
        </is>
      </c>
    </row>
    <row r="18" ht="45" customHeight="1">
      <c r="A18" s="11" t="inlineStr">
        <is>
          <t>☐</t>
        </is>
      </c>
      <c r="B18" s="13" t="inlineStr">
        <is>
          <t>Cláusula informativa y consentimiento en TheFork y en la lista de correo</t>
        </is>
      </c>
      <c r="C18" s="12" t="inlineStr">
        <is>
          <t>Titular</t>
        </is>
      </c>
      <c r="D18" s="12" t="inlineStr">
        <is>
          <t>Antes de abrir</t>
        </is>
      </c>
      <c r="E18" s="12" t="inlineStr">
        <is>
          <t>TheFork, WhatsApp y newsletter tratan datos: cada canal necesita su información previa</t>
        </is>
      </c>
    </row>
    <row r="19"/>
    <row r="20">
      <c r="B20" t="inlineStr">
        <is>
          <t>Tareas completadas:</t>
        </is>
      </c>
      <c r="C20" s="14">
        <f>COUNTIF(A5:A18,"✓")</f>
        <v>0.0</v>
      </c>
      <c r="D20" t="inlineStr">
        <is>
          <t>de</t>
        </is>
      </c>
      <c r="E20" s="14">
        <f>COUNTIF(B5:B18,"?*")-COUNTIF(A5:A18,"N/A")</f>
        <v>14.0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E18">
    <cfRule type="expression" priority="1" dxfId="0">
      <formula>$A5="✓"</formula>
    </cfRule>
  </conditionalFormatting>
  <conditionalFormatting sqref="A5:A18">
    <cfRule type="containsText" priority="2" operator="containsText" dxfId="1" stopIfTrue="1" text="✓">
      <formula>NOT(ISERROR(SEARCH("✓",A5)))</formula>
    </cfRule>
  </conditionalFormatting>
  <dataValidations count="1">
    <dataValidation sqref="A5 A6 A7 A8 A9 A10 A11 A12 A13 A14 A15 A16 A17 A18" showDropDown="0" showInputMessage="0" showErrorMessage="1" allowBlank="1" errorTitle="Marca no válida" error="Usa el desplegable: ✓, ☐, N/A. N/A = no aplica, sale del total." type="list">
      <formula1>"✓,☐,N/A"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 ht="90" customHeight="1">
      <c r="A1" s="9" t="inlineStr">
        <is>
          <t>CHECKLIST APERTURA — TAPAS BAR / GASTROBAR</t>
        </is>
      </c>
    </row>
    <row r="2">
      <c r="A2" s="2" t="inlineStr">
        <is>
          <t>FASE 6: PRIMEROS 90 DÍAS</t>
        </is>
      </c>
    </row>
    <row r="3"/>
    <row r="4">
      <c r="A4" s="3" t="inlineStr">
        <is>
          <t>OK</t>
        </is>
      </c>
      <c r="B4" s="3" t="inlineStr">
        <is>
          <t>TRÁMITE / ACCIÓN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10" t="inlineStr">
        <is>
          <t>☐</t>
        </is>
      </c>
      <c r="B5" s="5" t="inlineStr">
        <is>
          <t>Revisión diaria caja y ventas</t>
        </is>
      </c>
      <c r="C5" s="5" t="inlineStr">
        <is>
          <t>Titular</t>
        </is>
      </c>
      <c r="D5" s="5" t="inlineStr">
        <is>
          <t>Diario</t>
        </is>
      </c>
      <c r="E5" s="5" t="inlineStr">
        <is>
          <t>Comparar con previsiones plan financiero</t>
        </is>
      </c>
    </row>
    <row r="6">
      <c r="A6" s="10" t="inlineStr">
        <is>
          <t>☐</t>
        </is>
      </c>
      <c r="B6" s="7" t="inlineStr">
        <is>
          <t>Control food cost semanal</t>
        </is>
      </c>
      <c r="C6" s="7" t="inlineStr">
        <is>
          <t>Jefe cocina</t>
        </is>
      </c>
      <c r="D6" s="7" t="inlineStr">
        <is>
          <t>Semanal</t>
        </is>
      </c>
      <c r="E6" s="7" t="inlineStr">
        <is>
          <t>Pesar el género: carnes, pescado y embutidos</t>
        </is>
      </c>
    </row>
    <row r="7">
      <c r="A7" s="10" t="inlineStr">
        <is>
          <t>☐</t>
        </is>
      </c>
      <c r="B7" s="5" t="inlineStr">
        <is>
          <t>Análisis de las tapas más vendidas frente a las menos vendidas</t>
        </is>
      </c>
      <c r="C7" s="5" t="inlineStr">
        <is>
          <t>Titular</t>
        </is>
      </c>
      <c r="D7" s="5" t="inlineStr">
        <is>
          <t>Mes 1</t>
        </is>
      </c>
      <c r="E7" s="5" t="inlineStr">
        <is>
          <t>Aplicar ingeniería de menú: Stars, Puzzles, Dogs</t>
        </is>
      </c>
    </row>
    <row r="8">
      <c r="A8" s="10" t="inlineStr">
        <is>
          <t>☐</t>
        </is>
      </c>
      <c r="B8" s="7" t="inlineStr">
        <is>
          <t>Ajustar carta tapas del día</t>
        </is>
      </c>
      <c r="C8" s="7" t="inlineStr">
        <is>
          <t>Jefe cocina</t>
        </is>
      </c>
      <c r="D8" s="7" t="inlineStr">
        <is>
          <t>Semanal</t>
        </is>
      </c>
      <c r="E8" s="7" t="inlineStr">
        <is>
          <t>Rotar tapas según temporada y producto disponible</t>
        </is>
      </c>
    </row>
    <row r="9">
      <c r="A9" s="10" t="inlineStr">
        <is>
          <t>☐</t>
        </is>
      </c>
      <c r="B9" s="5" t="inlineStr">
        <is>
          <t>Encuestas clientes + reseñas Google</t>
        </is>
      </c>
      <c r="C9" s="5" t="inlineStr">
        <is>
          <t>Titular</t>
        </is>
      </c>
      <c r="D9" s="5" t="inlineStr">
        <is>
          <t>Mes 1-3</t>
        </is>
      </c>
      <c r="E9" s="5" t="inlineStr">
        <is>
          <t>Pedir reseñas, responder TODAS</t>
        </is>
      </c>
    </row>
    <row r="10">
      <c r="A10" s="10" t="inlineStr">
        <is>
          <t>☐</t>
        </is>
      </c>
      <c r="B10" s="7" t="inlineStr">
        <is>
          <t>Optimizar turnos personal</t>
        </is>
      </c>
      <c r="C10" s="7" t="inlineStr">
        <is>
          <t>Titular</t>
        </is>
      </c>
      <c r="D10" s="7" t="inlineStr">
        <is>
          <t>Mes 1-2</t>
        </is>
      </c>
      <c r="E10" s="7" t="inlineStr">
        <is>
          <t>Reforzar viernes-sábado, reducir lunes-martes</t>
        </is>
      </c>
    </row>
    <row r="11">
      <c r="A11" s="10" t="inlineStr">
        <is>
          <t>☐</t>
        </is>
      </c>
      <c r="B11" s="5" t="inlineStr">
        <is>
          <t>Revisar proveedores y negociar</t>
        </is>
      </c>
      <c r="C11" s="5" t="inlineStr">
        <is>
          <t>Titular</t>
        </is>
      </c>
      <c r="D11" s="5" t="inlineStr">
        <is>
          <t>Mes 2</t>
        </is>
      </c>
      <c r="E11" s="5" t="inlineStr">
        <is>
          <t>Con volumen real, renegociar precios cerveza, vino</t>
        </is>
      </c>
    </row>
    <row r="12">
      <c r="A12" s="10" t="inlineStr">
        <is>
          <t>☐</t>
        </is>
      </c>
      <c r="B12" s="7" t="inlineStr">
        <is>
          <t>Evaluar delivery (Glovo, Uber Eats)</t>
        </is>
      </c>
      <c r="C12" s="7" t="inlineStr">
        <is>
          <t>Titular</t>
        </is>
      </c>
      <c r="D12" s="7" t="inlineStr">
        <is>
          <t>Mes 2-3</t>
        </is>
      </c>
      <c r="E12" s="7" t="inlineStr">
        <is>
          <t>Solo si margen lo permite (comisiones 25-35%)</t>
        </is>
      </c>
    </row>
    <row r="13">
      <c r="A13" s="10" t="inlineStr">
        <is>
          <t>☐</t>
        </is>
      </c>
      <c r="B13" s="5" t="inlineStr">
        <is>
          <t>Analizar competencia local</t>
        </is>
      </c>
      <c r="C13" s="5" t="inlineStr">
        <is>
          <t>Titular</t>
        </is>
      </c>
      <c r="D13" s="5" t="inlineStr">
        <is>
          <t>Mes 1</t>
        </is>
      </c>
      <c r="E13" s="5" t="inlineStr">
        <is>
          <t>Visitar otros tapas bars zona, comparar</t>
        </is>
      </c>
    </row>
    <row r="14">
      <c r="A14" s="10" t="inlineStr">
        <is>
          <t>☐</t>
        </is>
      </c>
      <c r="B14" s="7" t="inlineStr">
        <is>
          <t>Primer cierre contable trimestral</t>
        </is>
      </c>
      <c r="C14" s="7" t="inlineStr">
        <is>
          <t>Gestor</t>
        </is>
      </c>
      <c r="D14" s="7" t="inlineStr">
        <is>
          <t>Mes 3</t>
        </is>
      </c>
      <c r="E14" s="7" t="inlineStr">
        <is>
          <t>Comparar P&amp;L real vs plan financiero</t>
        </is>
      </c>
    </row>
    <row r="15"/>
    <row r="16">
      <c r="B16" s="8" t="inlineStr">
        <is>
          <t>Tareas completadas:</t>
        </is>
      </c>
      <c r="C16" s="14">
        <f>COUNTIF(A5:A14,"✓")</f>
        <v>0.0</v>
      </c>
      <c r="D16" t="inlineStr">
        <is>
          <t>de</t>
        </is>
      </c>
      <c r="E16" s="14">
        <f>COUNTIF(B5:B14,"?*")-COUNTIF(A5:A14,"N/A")</f>
        <v>10.0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E14">
    <cfRule type="expression" priority="1" dxfId="0">
      <formula>$A5="✓"</formula>
    </cfRule>
  </conditionalFormatting>
  <conditionalFormatting sqref="A5:A14">
    <cfRule type="containsText" priority="2" operator="containsText" dxfId="1" stopIfTrue="1" text="✓">
      <formula>NOT(ISERROR(SEARCH("✓",A5)))</formula>
    </cfRule>
  </conditionalFormatting>
  <dataValidations count="1">
    <dataValidation sqref="A5 A6 A7 A8 A9 A10 A11 A12 A13 A14" showDropDown="0" showInputMessage="0" showErrorMessage="1" allowBlank="1" errorTitle="Marca no válida" error="Usa el desplegable: ✓, ☐, N/A. N/A = no aplica, sale del total." type="list">
      <formula1>"✓,☐,N/A"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5" t="inlineStr">
        <is>
          <t>INSTRUCCIONES DE USO</t>
        </is>
      </c>
    </row>
    <row r="2"/>
    <row r="3" ht="15" customHeight="1">
      <c r="A3" s="12" t="inlineStr">
        <is>
          <t>Este fichero forma parte del producto «plan-negocio-tapas-bar» de AI Chef Pro.</t>
        </is>
      </c>
    </row>
    <row r="4" ht="15" customHeight="1">
      <c r="A4" s="12" t="inlineStr">
        <is>
          <t>Las celdas VERDES son las editables: cambia esas y el resto del libro se recalcula solo.</t>
        </is>
      </c>
    </row>
    <row r="5" ht="15" customHeight="1">
      <c r="A5" s="12" t="inlineStr">
        <is>
          <t>Columna OK: elige ✓ (hecho), ☐ (pendiente) o N/A (no aplica). Las N/A no cuentan en el total.</t>
        </is>
      </c>
    </row>
    <row r="6" ht="15" customHeight="1">
      <c r="A6" s="12" t="inlineStr">
        <is>
          <t>El contador de cada pestaña cuenta sólo las ✓; las N/A salen del total.</t>
        </is>
      </c>
    </row>
    <row r="7"/>
    <row r="8">
      <c r="A8" s="16" t="inlineStr">
        <is>
          <t>Para editar una celda que no esté en verde: Revisar → Desproteger hoja (no tiene contraseña).</t>
        </is>
      </c>
    </row>
    <row r="9">
      <c r="A9" s="16" t="inlineStr">
        <is>
          <t>Más plantillas y kits del catálogo en aichef.pro/productos-digitales</t>
        </is>
      </c>
    </row>
    <row r="10">
      <c r="A10" s="16" t="inlineStr">
        <is>
          <t>Diseñado por John Guerrero — chef y consultor gastronómico desde 2010, en cocina desde los 17 años · johnguerrero.es</t>
        </is>
      </c>
    </row>
    <row r="11">
      <c r="A11" s="16" t="inlineStr">
        <is>
          <t>Versión 2.2 · septiembre 2026 · aichef.pro/plan-negocio-tapas-bar · info@aichef.pro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pageMargins left="0.59" right="0.59" top="0.59" bottom="0.59" header="0.3" footer="0.3"/>
  <pageSetup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Checklist de apertura — Tapas Bar / Gastrobar · v2.2</dc:title>
  <dc:description xmlns:dc="http://purl.org/dc/elements/1.1/">aichef.pro/plan-negocio-tapas-bar</dc:description>
  <dc:subject xmlns:dc="http://purl.org/dc/elements/1.1/">Checklist de apertura — Tapas Bar / Gastrobar · v2.2</dc:subject>
  <dcterms:created xmlns:dcterms="http://purl.org/dc/terms/" xmlns:xsi="http://www.w3.org/2001/XMLSchema-instance" xsi:type="dcterms:W3CDTF">2026-03-26T14:15:52Z</dcterms:created>
  <dcterms:modified xmlns:dcterms="http://purl.org/dc/terms/" xmlns:xsi="http://www.w3.org/2001/XMLSchema-instance" xsi:type="dcterms:W3CDTF">2026-09-05T15:29:38Z</dcterms:modified>
  <cp:lastModifiedBy>AI Chef Pro</cp:lastModifiedBy>
  <cp:category>AI Chef Pro · Productos digitales</cp:category>
  <cp:keywords>plan negocio tapas bar, AI Chef Pro</cp:keywords>
</cp:coreProperties>
</file>