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ntes del Evento" sheetId="2" state="visible" r:id="rId2"/>
    <sheet xmlns:r="http://schemas.openxmlformats.org/officeDocument/2006/relationships" name="Después del Evento" sheetId="3" state="visible" r:id="rId3"/>
    <sheet xmlns:r="http://schemas.openxmlformats.org/officeDocument/2006/relationships" name="Liquidación del Evento" sheetId="4" state="visible" r:id="rId4"/>
    <sheet xmlns:r="http://schemas.openxmlformats.org/officeDocument/2006/relationships" name="Registro de Eventos" sheetId="5" state="visible" r:id="rId5"/>
  </sheets>
  <definedNames>
    <definedName name="_xlnm.Print_Area" localSheetId="0">'Instrucciones'!$A$1:$B$60</definedName>
    <definedName name="_xlnm.Print_Titles" localSheetId="1">'Antes del Evento'!$4:$4</definedName>
    <definedName name="_xlnm.Print_Area" localSheetId="1">'Antes del Evento'!$A$1:$G$26</definedName>
    <definedName name="_xlnm.Print_Titles" localSheetId="2">'Después del Evento'!$4:$4</definedName>
    <definedName name="_xlnm.Print_Area" localSheetId="2">'Después del Evento'!$A$1:$G$26</definedName>
    <definedName name="_xlnm.Print_Area" localSheetId="3">'Liquidación del Evento'!$A$1:$D$51</definedName>
    <definedName name="_xlnm.Print_Titles" localSheetId="4">'Registro de Eventos'!$5:$5</definedName>
    <definedName name="_xlnm.Print_Area" localSheetId="4">'Registro de Eventos'!$A$1:$K$37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 €"/>
    <numFmt numFmtId="166" formatCode="0 %"/>
  </numFmts>
  <fonts count="12">
    <font>
      <name val="Calibri"/>
      <family val="2"/>
      <color theme="1"/>
      <sz val="11"/>
      <scheme val="minor"/>
    </font>
    <font>
      <b val="1"/>
      <color rgb="00FFD700"/>
      <sz val="18"/>
    </font>
    <font>
      <b val="1"/>
      <color rgb="00333333"/>
      <sz val="12"/>
    </font>
    <font>
      <color rgb="00555555"/>
      <sz val="11"/>
    </font>
    <font>
      <name val="Calibri"/>
      <b val="1"/>
      <color rgb="00FFFFFF"/>
      <sz val="16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color rgb="00888888"/>
      <sz val="9"/>
    </font>
    <font>
      <name val="Calibri"/>
      <color rgb="00666666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</fonts>
  <fills count="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D700"/>
      </patternFill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5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0" fillId="7" borderId="1" pivotButton="0" quotePrefix="0" xfId="0"/>
    <xf numFmtId="164" fontId="7" fillId="6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left" vertical="center" wrapText="1"/>
    </xf>
    <xf numFmtId="1" fontId="7" fillId="6" borderId="1" applyAlignment="1" pivotButton="0" quotePrefix="0" xfId="0">
      <alignment horizontal="right" vertical="center" wrapText="1"/>
    </xf>
    <xf numFmtId="0" fontId="10" fillId="3" borderId="0" applyAlignment="1" pivotButton="0" quotePrefix="0" xfId="0">
      <alignment horizontal="left" vertical="center" wrapText="1"/>
    </xf>
    <xf numFmtId="165" fontId="7" fillId="6" borderId="1" applyAlignment="1" pivotButton="0" quotePrefix="0" xfId="0">
      <alignment horizontal="right" vertical="center" wrapText="1"/>
    </xf>
    <xf numFmtId="165" fontId="7" fillId="5" borderId="1" applyAlignment="1" pivotButton="0" quotePrefix="0" xfId="0">
      <alignment horizontal="right" vertical="center" wrapText="1"/>
    </xf>
    <xf numFmtId="165" fontId="7" fillId="7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165" fontId="5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165" fontId="6" fillId="2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166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" fontId="7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right" vertical="center" wrapText="1"/>
    </xf>
    <xf numFmtId="1" fontId="5" fillId="5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left" vertical="center" wrapText="1"/>
      <protection locked="0" hidden="0"/>
    </xf>
    <xf numFmtId="0" fontId="7" fillId="6" borderId="1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applyProtection="1" pivotButton="0" quotePrefix="0" xfId="0">
      <alignment horizontal="left" vertical="center" wrapText="1"/>
      <protection locked="0" hidden="0"/>
    </xf>
    <xf numFmtId="0" fontId="7" fillId="6" borderId="1" applyAlignment="1" applyProtection="1" pivotButton="0" quotePrefix="0" xfId="0">
      <alignment horizontal="left" vertical="center" wrapText="1"/>
      <protection locked="0" hidden="0"/>
    </xf>
    <xf numFmtId="164" fontId="7" fillId="6" borderId="1" applyAlignment="1" applyProtection="1" pivotButton="0" quotePrefix="0" xfId="0">
      <alignment horizontal="right" vertical="center" wrapText="1"/>
      <protection locked="0" hidden="0"/>
    </xf>
    <xf numFmtId="1" fontId="7" fillId="6" borderId="1" applyAlignment="1" applyProtection="1" pivotButton="0" quotePrefix="0" xfId="0">
      <alignment horizontal="right" vertical="center" wrapText="1"/>
      <protection locked="0" hidden="0"/>
    </xf>
    <xf numFmtId="165" fontId="7" fillId="6" borderId="1" applyAlignment="1" applyProtection="1" pivotButton="0" quotePrefix="0" xfId="0">
      <alignment horizontal="right" vertical="center" wrapText="1"/>
      <protection locked="0" hidden="0"/>
    </xf>
    <xf numFmtId="166" fontId="7" fillId="6" borderId="1" applyAlignment="1" applyProtection="1" pivotButton="0" quotePrefix="0" xfId="0">
      <alignment horizontal="center" vertical="center" wrapText="1"/>
      <protection locked="0" hidden="0"/>
    </xf>
    <xf numFmtId="164" fontId="7" fillId="6" borderId="1" applyAlignment="1" applyProtection="1" pivotButton="0" quotePrefix="0" xfId="0">
      <alignment horizontal="center" vertical="center" wrapText="1"/>
      <protection locked="0" hidden="0"/>
    </xf>
    <xf numFmtId="1" fontId="7" fillId="6" borderId="1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4">
    <dxf>
      <fill>
        <patternFill patternType="solid">
          <fgColor rgb="00FFF3CD"/>
          <bgColor rgb="00FFF3CD"/>
        </patternFill>
      </fill>
    </dxf>
    <dxf>
      <font>
        <b val="1"/>
        <color rgb="00721C24"/>
      </font>
      <fill>
        <patternFill patternType="solid">
          <fgColor rgb="00F8D7DA"/>
          <bgColor rgb="00F8D7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45" t="inlineStr">
        <is>
          <t>Cobros y Facturación por Evento — Catering / Eventos</t>
        </is>
      </c>
    </row>
    <row r="3"/>
    <row r="4" ht="18" customHeight="1">
      <c r="B4" s="46" t="inlineStr">
        <is>
          <t>Qué resuelve</t>
        </is>
      </c>
    </row>
    <row r="5"/>
    <row r="6" ht="48" customHeight="1">
      <c r="B6" s="47" t="inlineStr">
        <is>
          <t>▸ El dinero de cada EVENTO de principio a fin: qué hay que tener cerrado antes (presupuesto firmado, anticipo cobrado, datos de facturación), qué hay que hacer después (comensales reales, extras, factura, saldo) y cuánto queda por cobrar.</t>
        </is>
      </c>
    </row>
    <row r="7" ht="48" customHeight="1">
      <c r="B7" s="47" t="inlineStr">
        <is>
          <t>▸ No es un arqueo de caja: una empresa de catering no tiene mostrador ni turno de TPV. Cobra por evento y casi siempre por transferencia, así que lo que hay que vigilar es el SALDO pendiente y su vencimiento, no el descuadre del cajón.</t>
        </is>
      </c>
    </row>
    <row r="8">
      <c r="B8" s="2" t="n"/>
    </row>
    <row r="9" ht="18" customHeight="1">
      <c r="B9" s="46" t="inlineStr">
        <is>
          <t>Cómo usar — Antes del Evento</t>
        </is>
      </c>
    </row>
    <row r="10">
      <c r="B10" s="2" t="n"/>
    </row>
    <row r="11" ht="48" customHeight="1">
      <c r="B11" s="47" t="inlineStr">
        <is>
          <t>▸ Repásalo con el calendario en la mano: la columna «Cuándo» va en días ANTES del evento (D-15, D-7, D-3, D-1), no en horas. Nada sale de aquí sin presupuesto aceptado por escrito y sin el anticipo cobrado y registrado.</t>
        </is>
      </c>
    </row>
    <row r="13" ht="18" customHeight="1">
      <c r="B13" s="46" t="inlineStr">
        <is>
          <t>Cómo usar — Después del Evento</t>
        </is>
      </c>
    </row>
    <row r="15" ht="32" customHeight="1">
      <c r="B15" s="47" t="inlineStr">
        <is>
          <t>▸ Los días siguientes (D+0, D+1, D+7, D+30): comensales reales frente a contratados, extras consumidos, factura emitida, saldo comunicado, cobro registrado y conciliación con el banco.</t>
        </is>
      </c>
    </row>
    <row r="17" ht="18" customHeight="1">
      <c r="B17" s="46" t="inlineStr">
        <is>
          <t>Cómo usar — Liquidación del Evento</t>
        </is>
      </c>
    </row>
    <row r="19" ht="48" customHeight="1">
      <c r="B19" s="47" t="inlineStr">
        <is>
          <t>▸ Escribe sólo las celdas VERDES: presupuesto y extras (base, sin IVA), cómo se reparte esa base entre el 10 % y el 21 %, el anticipo ya cobrado, lo cobrado tras el evento y la fecha de vencimiento del saldo. El total, los IVA, el saldo, el pendiente y el ESTADO son fórmula.</t>
        </is>
      </c>
    </row>
    <row r="20" ht="48" customHeight="1">
      <c r="B20" s="47" t="inlineStr">
        <is>
          <t>▸ El reparto del IVA lo decides tú con tu asesor: la comida y las bebidas no alcohólicas del servicio de catering suelen ir al 10 % y los alquileres, la decoración, los servicios y las bebidas alcohólicas al 21 %. Si las dos bases no suman presupuesto + extras, la hoja te avisa.</t>
        </is>
      </c>
    </row>
    <row r="21" ht="32" customHeight="1">
      <c r="B21" s="47" t="inlineStr">
        <is>
          <t>▸ PENDIENTE DE COBRO se pone en ÁMBAR mientras quede saldo, y el ESTADO pasa a «VENCIDO» solo cuando la fecha de vencimiento ya ha pasado: es el aviso de que toca reclamar.</t>
        </is>
      </c>
    </row>
    <row r="22" ht="63" customHeight="1">
      <c r="B22" s="47" t="inlineStr">
        <is>
          <t>▸ Si el evento llevaba barra con cobro en EFECTIVO, cuenta el dinero en la tabla opcional del final (denominaciones, menos el fondo) y, si quieres, suma tú ese efectivo neto a «Cobrado tras el evento». No se enlaza solo a propósito: en la mayoría de los eventos no hay efectivo y una fórmula fija te dejaría un 0 restando donde no debe.</t>
        </is>
      </c>
    </row>
    <row r="24" ht="18" customHeight="1">
      <c r="B24" s="46" t="inlineStr">
        <is>
          <t>Registro de Eventos</t>
        </is>
      </c>
    </row>
    <row r="26" ht="32" customHeight="1">
      <c r="B26" s="47" t="inlineStr">
        <is>
          <t>▸ Una fila por evento: de un vistazo ves cuánto se facturó, qué anticipos entraron, qué queda pendiente y cuántos eventos están VENCIDOS. La fila TOTALES suma el año y cuenta los pendientes.</t>
        </is>
      </c>
    </row>
    <row r="28" ht="18" customHeight="1">
      <c r="B28" s="46" t="inlineStr">
        <is>
          <t>Celdas editables</t>
        </is>
      </c>
    </row>
    <row r="30" ht="32" customHeight="1">
      <c r="B30" s="47" t="inlineStr">
        <is>
          <t>▸ Todo lo que se rellena va en VERDE: Responsable, Cuándo, ✓ Completada, Firma, los importes de la liquidación y las filas del registro de eventos.</t>
        </is>
      </c>
    </row>
    <row r="32" ht="18" customHeight="1">
      <c r="B32" s="46" t="inlineStr">
        <is>
          <t>Cómo cuenta el contador</t>
        </is>
      </c>
    </row>
    <row r="34" ht="32" customHeight="1">
      <c r="B34" s="47" t="inlineStr">
        <is>
          <t>▸ Marca con ✓ en la columna «✓ Completada» (desplegable): es la que cuenta el total de tareas completadas.</t>
        </is>
      </c>
    </row>
    <row r="35" ht="32" customHeight="1">
      <c r="B35" s="47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36" ht="32" customHeight="1">
      <c r="B36" s="47" t="inlineStr">
        <is>
          <t>▸ El denominador cuenta las tareas escritas en la columna «Tarea», no un número fijo: si añades o borras tareas, el total se ajusta solo.</t>
        </is>
      </c>
    </row>
    <row r="38" ht="18" customHeight="1">
      <c r="B38" s="46" t="inlineStr">
        <is>
          <t>Filas libres</t>
        </is>
      </c>
    </row>
    <row r="40" ht="32" customHeight="1">
      <c r="B40" s="47" t="inlineStr">
        <is>
          <t>▸ Al final de cada tabla hay 5 filas verdes libres DENTRO del rango que cuenta el contador: escribe ahí tus tareas propias.</t>
        </is>
      </c>
    </row>
    <row r="41" ht="32" customHeight="1">
      <c r="B41" s="47" t="inlineStr">
        <is>
          <t>▸ Si necesitas más, inserta filas DENTRO de la tabla (clic derecho → Insertar), nunca por debajo de la última: lo que se escriba fuera del rango no lo cuenta nadie.</t>
        </is>
      </c>
    </row>
    <row r="43" ht="18" customHeight="1">
      <c r="B43" s="46" t="inlineStr">
        <is>
          <t>Protección de la hoja</t>
        </is>
      </c>
    </row>
    <row r="45" ht="32" customHeight="1">
      <c r="B45" s="47" t="inlineStr">
        <is>
          <t>▸ Las hojas con fórmulas van protegidas SIN contraseña: las celdas de entrada (las verdes) están desbloqueadas y los cálculos no se pisan por accidente.</t>
        </is>
      </c>
    </row>
    <row r="46" ht="32" customHeight="1">
      <c r="B46" s="47" t="inlineStr">
        <is>
          <t>▸ Puedes insertar y borrar filas con la protección puesta. Para cambiar la estructura: Revisar → Desproteger hoja.</t>
        </is>
      </c>
    </row>
    <row r="48" ht="18" customHeight="1">
      <c r="B48" s="46" t="inlineStr">
        <is>
          <t>Se conecta con</t>
        </is>
      </c>
    </row>
    <row r="50" ht="16" customHeight="1">
      <c r="B50" s="47" t="inlineStr">
        <is>
          <t>▸ 08-apertura-cierre-negocio.xlsx — checklist del LOCAL completo: es el MARCO del día.</t>
        </is>
      </c>
    </row>
    <row r="51" ht="32" customHeight="1">
      <c r="B51" s="47" t="inlineStr">
        <is>
          <t>▸ 09-cobros-facturacion-eventos.xlsx — la FACTURACIÓN: anticipos, liquidación y cobro de cada evento.</t>
        </is>
      </c>
    </row>
    <row r="52" ht="48" customHeight="1">
      <c r="B52" s="47" t="inlineStr">
        <is>
          <t>▸ Orden de uso: local → eventos. Cada fichero cubre un nivel: el de negocio marca el HITO (abrir, montar, cerrar) y el de cobros lleva el DINERO de cada evento (anticipo, factura y saldo). Si una tarea aparece en los dos, es a propósito: una es el hito y la otra el detalle.</t>
        </is>
      </c>
    </row>
    <row r="53" ht="48" customHeight="1">
      <c r="B53" s="47" t="inlineStr">
        <is>
          <t>▸ Estás en 09-cobros-facturacion-eventos.xlsx: esta es la FACTURACIÓN — el DINERO de cada evento (anticipo, liquidación, factura y saldo pendiente); el marco del día está en 08-apertura-cierre-negocio.xlsx.</t>
        </is>
      </c>
    </row>
    <row r="55" ht="18" customHeight="1">
      <c r="B55" s="46" t="inlineStr">
        <is>
          <t>— Kit de Tareas Recurrentes · Catering / Eventos · AI Chef Pro · aichef.pro</t>
        </is>
      </c>
    </row>
    <row r="57" ht="35" customHeight="1">
      <c r="B57" s="46" t="inlineStr">
        <is>
          <t>Diseñado por John Guerrero — chef y consultor gastronómico desde 2010, en cocina desde los 17 años · johnguerrero.es</t>
        </is>
      </c>
    </row>
    <row r="58" ht="18" customHeight="1">
      <c r="B58" s="46" t="inlineStr">
        <is>
          <t>Contacto: info@aichef.pro</t>
        </is>
      </c>
    </row>
    <row r="60" ht="18" customHeight="1">
      <c r="B60" s="46" t="inlineStr">
        <is>
          <t>Versión 2.0 · agosto 2026 · aichef.pro/kit-tareas-catering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4" t="inlineStr">
        <is>
          <t>Antes del Evento — Catering / Eventos</t>
        </is>
      </c>
    </row>
    <row r="2" ht="28" customHeight="1">
      <c r="A2" s="5" t="inlineStr">
        <is>
          <t>Evento / Cliente: _________________________</t>
        </is>
      </c>
      <c r="D2" s="5" t="inlineStr">
        <is>
          <t>Fecha del evento: ____/____/________    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Cuándo</t>
        </is>
      </c>
      <c r="E4" s="7" t="inlineStr">
        <is>
          <t>✓ Completada</t>
        </is>
      </c>
      <c r="F4" s="7" t="inlineStr">
        <is>
          <t>Firma</t>
        </is>
      </c>
      <c r="G4" s="7" t="inlineStr">
        <is>
          <t>Notas</t>
        </is>
      </c>
    </row>
    <row r="5">
      <c r="A5" s="48" t="n">
        <v>1</v>
      </c>
      <c r="B5" s="49" t="inlineStr">
        <is>
          <t>Presupuesto del evento firmado o aceptado por escrito (email o PDF firmado vale; una confirmación de palabra, no)</t>
        </is>
      </c>
      <c r="C5" s="50" t="inlineStr">
        <is>
          <t>Comercial</t>
        </is>
      </c>
      <c r="D5" s="50" t="inlineStr">
        <is>
          <t>D-15</t>
        </is>
      </c>
      <c r="E5" s="50" t="n"/>
      <c r="F5" s="50" t="n"/>
      <c r="G5" s="50" t="n"/>
    </row>
    <row r="6">
      <c r="A6" s="51" t="n">
        <v>2</v>
      </c>
      <c r="B6" s="52" t="inlineStr">
        <is>
          <t>Nº de comensales confirmado y fecha límite de cambios comunicada por escrito al cliente</t>
        </is>
      </c>
      <c r="C6" s="50" t="inlineStr">
        <is>
          <t>Comercial</t>
        </is>
      </c>
      <c r="D6" s="50" t="inlineStr">
        <is>
          <t>D-15</t>
        </is>
      </c>
      <c r="E6" s="50" t="n"/>
      <c r="F6" s="50" t="n"/>
      <c r="G6" s="50" t="n"/>
    </row>
    <row r="7">
      <c r="A7" s="48" t="n">
        <v>3</v>
      </c>
      <c r="B7" s="49" t="inlineStr">
        <is>
          <t>Anticipo del 30-50 % cobrado y registrado: fecha, importe y medio de pago</t>
        </is>
      </c>
      <c r="C7" s="50" t="inlineStr">
        <is>
          <t>Administración</t>
        </is>
      </c>
      <c r="D7" s="50" t="inlineStr">
        <is>
          <t>D-15</t>
        </is>
      </c>
      <c r="E7" s="50" t="n"/>
      <c r="F7" s="50" t="n"/>
      <c r="G7" s="50" t="n"/>
    </row>
    <row r="8">
      <c r="A8" s="51" t="n">
        <v>4</v>
      </c>
      <c r="B8" s="52" t="inlineStr">
        <is>
          <t>Forma de pago del saldo acordada (transferencia, tarjeta o efectivo) y plazo de pago por escrito</t>
        </is>
      </c>
      <c r="C8" s="50" t="inlineStr">
        <is>
          <t>Administración</t>
        </is>
      </c>
      <c r="D8" s="50" t="inlineStr">
        <is>
          <t>D-15</t>
        </is>
      </c>
      <c r="E8" s="50" t="n"/>
      <c r="F8" s="50" t="n"/>
      <c r="G8" s="50" t="n"/>
    </row>
    <row r="9">
      <c r="A9" s="48" t="n">
        <v>5</v>
      </c>
      <c r="B9" s="49" t="inlineStr">
        <is>
          <t>Datos de facturación completos: razón social, CIF/NIF, dirección y email de facturación</t>
        </is>
      </c>
      <c r="C9" s="50" t="inlineStr">
        <is>
          <t>Administración</t>
        </is>
      </c>
      <c r="D9" s="50" t="inlineStr">
        <is>
          <t>D-15</t>
        </is>
      </c>
      <c r="E9" s="50" t="n"/>
      <c r="F9" s="50" t="n"/>
      <c r="G9" s="50" t="n"/>
    </row>
    <row r="10">
      <c r="A10" s="51" t="n">
        <v>6</v>
      </c>
      <c r="B10" s="52" t="inlineStr">
        <is>
          <t>Comprobado que el cliente no arrastra facturas anteriores pendientes (mira el «Registro de Eventos»)</t>
        </is>
      </c>
      <c r="C10" s="50" t="inlineStr">
        <is>
          <t>Administración</t>
        </is>
      </c>
      <c r="D10" s="50" t="inlineStr">
        <is>
          <t>D-15</t>
        </is>
      </c>
      <c r="E10" s="50" t="n"/>
      <c r="F10" s="50" t="n"/>
      <c r="G10" s="50" t="n"/>
    </row>
    <row r="11">
      <c r="A11" s="48" t="n">
        <v>7</v>
      </c>
      <c r="B11" s="49" t="inlineStr">
        <is>
          <t>Condiciones de cancelación y de modificación comunicadas por escrito y aceptadas</t>
        </is>
      </c>
      <c r="C11" s="50" t="inlineStr">
        <is>
          <t>Comercial</t>
        </is>
      </c>
      <c r="D11" s="50" t="inlineStr">
        <is>
          <t>D-7</t>
        </is>
      </c>
      <c r="E11" s="50" t="n"/>
      <c r="F11" s="50" t="n"/>
      <c r="G11" s="50" t="n"/>
    </row>
    <row r="12">
      <c r="A12" s="51" t="n">
        <v>8</v>
      </c>
      <c r="B12" s="52" t="inlineStr">
        <is>
          <t>Proveedores externos del evento (carpa, sonido, alquiler de menaje) con el pedido cerrado y su pago o anticipo hecho</t>
        </is>
      </c>
      <c r="C12" s="50" t="inlineStr">
        <is>
          <t>Event Manager</t>
        </is>
      </c>
      <c r="D12" s="50" t="inlineStr">
        <is>
          <t>D-7</t>
        </is>
      </c>
      <c r="E12" s="50" t="n"/>
      <c r="F12" s="50" t="n"/>
      <c r="G12" s="50" t="n"/>
    </row>
    <row r="13">
      <c r="A13" s="48" t="n">
        <v>9</v>
      </c>
      <c r="B13" s="49" t="inlineStr">
        <is>
          <t>Escandallo del evento cerrado y margen comprobado antes de producir</t>
        </is>
      </c>
      <c r="C13" s="50" t="inlineStr">
        <is>
          <t>Dirección</t>
        </is>
      </c>
      <c r="D13" s="50" t="inlineStr">
        <is>
          <t>D-7</t>
        </is>
      </c>
      <c r="E13" s="50" t="n"/>
      <c r="F13" s="50" t="n"/>
      <c r="G13" s="50" t="n"/>
    </row>
    <row r="14">
      <c r="A14" s="51" t="n">
        <v>10</v>
      </c>
      <c r="B14" s="52" t="inlineStr">
        <is>
          <t>Seguro de responsabilidad civil del evento en vigor (y el que exija el recinto, si lo pide)</t>
        </is>
      </c>
      <c r="C14" s="50" t="inlineStr">
        <is>
          <t>Dirección</t>
        </is>
      </c>
      <c r="D14" s="50" t="inlineStr">
        <is>
          <t>D-7</t>
        </is>
      </c>
      <c r="E14" s="50" t="n"/>
      <c r="F14" s="50" t="n"/>
      <c r="G14" s="50" t="n"/>
    </row>
    <row r="15">
      <c r="A15" s="48" t="n">
        <v>11</v>
      </c>
      <c r="B15" s="49" t="inlineStr">
        <is>
          <t>Alérgenos e intolerancias recibidos por escrito del cliente y pasados a cocina</t>
        </is>
      </c>
      <c r="C15" s="50" t="inlineStr">
        <is>
          <t>Event Manager</t>
        </is>
      </c>
      <c r="D15" s="50" t="inlineStr">
        <is>
          <t>D-3</t>
        </is>
      </c>
      <c r="E15" s="50" t="n"/>
      <c r="F15" s="50" t="n"/>
      <c r="G15" s="50" t="n"/>
    </row>
    <row r="16">
      <c r="A16" s="51" t="n">
        <v>12</v>
      </c>
      <c r="B16" s="52" t="inlineStr">
        <is>
          <t>Solo si habrá barra con cobro en efectivo: fondo de caja preparado y anotado en la sección opcional de «Liquidación del Evento»</t>
        </is>
      </c>
      <c r="C16" s="50" t="inlineStr">
        <is>
          <t>Administración</t>
        </is>
      </c>
      <c r="D16" s="50" t="inlineStr">
        <is>
          <t>D-1</t>
        </is>
      </c>
      <c r="E16" s="50" t="n"/>
      <c r="F16" s="50" t="n"/>
      <c r="G16" s="50" t="n"/>
    </row>
    <row r="17">
      <c r="A17" s="50" t="n"/>
      <c r="B17" s="53" t="n"/>
      <c r="C17" s="50" t="n"/>
      <c r="D17" s="50" t="n"/>
      <c r="E17" s="50" t="n"/>
      <c r="F17" s="50" t="n"/>
      <c r="G17" s="50" t="n"/>
    </row>
    <row r="18">
      <c r="A18" s="50" t="n"/>
      <c r="B18" s="53" t="n"/>
      <c r="C18" s="50" t="n"/>
      <c r="D18" s="50" t="n"/>
      <c r="E18" s="50" t="n"/>
      <c r="F18" s="50" t="n"/>
      <c r="G18" s="50" t="n"/>
    </row>
    <row r="19">
      <c r="A19" s="50" t="n"/>
      <c r="B19" s="53" t="n"/>
      <c r="C19" s="50" t="n"/>
      <c r="D19" s="50" t="n"/>
      <c r="E19" s="50" t="n"/>
      <c r="F19" s="50" t="n"/>
      <c r="G19" s="50" t="n"/>
    </row>
    <row r="20">
      <c r="A20" s="50" t="n"/>
      <c r="B20" s="53" t="n"/>
      <c r="C20" s="50" t="n"/>
      <c r="D20" s="50" t="n"/>
      <c r="E20" s="50" t="n"/>
      <c r="F20" s="50" t="n"/>
      <c r="G20" s="50" t="n"/>
    </row>
    <row r="21">
      <c r="A21" s="50" t="n"/>
      <c r="B21" s="53" t="n"/>
      <c r="C21" s="50" t="n"/>
      <c r="D21" s="50" t="n"/>
      <c r="E21" s="50" t="n"/>
      <c r="F21" s="50" t="n"/>
      <c r="G21" s="50" t="n"/>
    </row>
    <row r="22"/>
    <row r="23" ht="22" customHeight="1">
      <c r="A23" s="13" t="inlineStr">
        <is>
          <t>Tareas completadas:</t>
        </is>
      </c>
      <c r="C23">
        <f>COUNTIFS(B5:B21,"?*",E5:E21,"✓")</f>
        <v>0.0</v>
      </c>
      <c r="D23" t="inlineStr">
        <is>
          <t>de</t>
        </is>
      </c>
      <c r="E23">
        <f>COUNTIF(B5:B21,"?*")-COUNTIF(E5:E21,"N/A")</f>
        <v>12.0</v>
      </c>
    </row>
    <row r="24"/>
    <row r="25" ht="30" customHeight="1">
      <c r="A25" s="5" t="inlineStr">
        <is>
          <t>Firma del responsable: _________________________     Fecha: ____/____/________</t>
        </is>
      </c>
    </row>
    <row r="26">
      <c r="A26" s="14" t="inlineStr">
        <is>
          <t>— Kit de Tareas Recurrentes · Catering / Eventos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1:G1"/>
    <mergeCell ref="A23:B23"/>
    <mergeCell ref="A2:C2"/>
    <mergeCell ref="A25:G25"/>
    <mergeCell ref="D2:G2"/>
    <mergeCell ref="A26:G26"/>
  </mergeCells>
  <conditionalFormatting sqref="A5:G21">
    <cfRule type="expression" priority="1" dxfId="3">
      <formula>$E5="✓"</formula>
    </cfRule>
  </conditionalFormatting>
  <dataValidations count="1">
    <dataValidation sqref="E5 E6 E7 E8 E9 E10 E11 E12 E13 E14 E15 E16 E17 E18 E19 E20 E21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4" t="inlineStr">
        <is>
          <t>Después del Evento — Catering / Eventos</t>
        </is>
      </c>
    </row>
    <row r="2" ht="28" customHeight="1">
      <c r="A2" s="5" t="inlineStr">
        <is>
          <t>Evento / Cliente: _________________________</t>
        </is>
      </c>
      <c r="D2" s="5" t="inlineStr">
        <is>
          <t>Fecha del evento: ____/____/________    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Cuándo</t>
        </is>
      </c>
      <c r="E4" s="7" t="inlineStr">
        <is>
          <t>✓ Completada</t>
        </is>
      </c>
      <c r="F4" s="7" t="inlineStr">
        <is>
          <t>Firma</t>
        </is>
      </c>
      <c r="G4" s="7" t="inlineStr">
        <is>
          <t>Notas</t>
        </is>
      </c>
    </row>
    <row r="5">
      <c r="A5" s="48" t="n">
        <v>1</v>
      </c>
      <c r="B5" s="49" t="inlineStr">
        <is>
          <t>Recuento de comensales REALES frente a los contratados, con el dato anotado el mismo día</t>
        </is>
      </c>
      <c r="C5" s="50" t="inlineStr">
        <is>
          <t>Event Manager</t>
        </is>
      </c>
      <c r="D5" s="50" t="inlineStr">
        <is>
          <t>D+0</t>
        </is>
      </c>
      <c r="E5" s="50" t="n"/>
      <c r="F5" s="50" t="n"/>
      <c r="G5" s="50" t="n"/>
    </row>
    <row r="6">
      <c r="A6" s="51" t="n">
        <v>2</v>
      </c>
      <c r="B6" s="52" t="inlineStr">
        <is>
          <t>Extras consumidos anotados: horas extra de personal, bebidas, suplementos y roturas</t>
        </is>
      </c>
      <c r="C6" s="50" t="inlineStr">
        <is>
          <t>Event Manager</t>
        </is>
      </c>
      <c r="D6" s="50" t="inlineStr">
        <is>
          <t>D+0</t>
        </is>
      </c>
      <c r="E6" s="50" t="n"/>
      <c r="F6" s="50" t="n"/>
      <c r="G6" s="50" t="n"/>
    </row>
    <row r="7">
      <c r="A7" s="48" t="n">
        <v>3</v>
      </c>
      <c r="B7" s="49" t="inlineStr">
        <is>
          <t>Solo si hubo barra con cobro en efectivo: arqueo en la sección opcional de «Liquidación del Evento»</t>
        </is>
      </c>
      <c r="C7" s="50" t="inlineStr">
        <is>
          <t>Administración</t>
        </is>
      </c>
      <c r="D7" s="50" t="inlineStr">
        <is>
          <t>D+0</t>
        </is>
      </c>
      <c r="E7" s="50" t="n"/>
      <c r="F7" s="50" t="n"/>
      <c r="G7" s="50" t="n"/>
    </row>
    <row r="8">
      <c r="A8" s="51" t="n">
        <v>4</v>
      </c>
      <c r="B8" s="52" t="inlineStr">
        <is>
          <t>Cargos por roturas o incidencias comunicados al cliente antes de facturar, no dentro de la factura</t>
        </is>
      </c>
      <c r="C8" s="50" t="inlineStr">
        <is>
          <t>Event Manager</t>
        </is>
      </c>
      <c r="D8" s="50" t="inlineStr">
        <is>
          <t>D+1</t>
        </is>
      </c>
      <c r="E8" s="50" t="n"/>
      <c r="F8" s="50" t="n"/>
      <c r="G8" s="50" t="n"/>
    </row>
    <row r="9">
      <c r="A9" s="48" t="n">
        <v>5</v>
      </c>
      <c r="B9" s="49" t="inlineStr">
        <is>
          <t>Factura emitida con el desglose de IVA: 10 % en alimentos y bebidas no alcohólicas del servicio de catering y 21 % en alquileres, decoración, servicios y bebidas alcohólicas, tal y como lo trate tu asesor</t>
        </is>
      </c>
      <c r="C9" s="50" t="inlineStr">
        <is>
          <t>Administración</t>
        </is>
      </c>
      <c r="D9" s="50" t="inlineStr">
        <is>
          <t>D+1</t>
        </is>
      </c>
      <c r="E9" s="50" t="n"/>
      <c r="F9" s="50" t="n"/>
      <c r="G9" s="50" t="n"/>
    </row>
    <row r="10">
      <c r="A10" s="51" t="n">
        <v>6</v>
      </c>
      <c r="B10" s="52" t="inlineStr">
        <is>
          <t>Saldo (total − anticipo) comunicado al cliente con su fecha de vencimiento</t>
        </is>
      </c>
      <c r="C10" s="50" t="inlineStr">
        <is>
          <t>Administración</t>
        </is>
      </c>
      <c r="D10" s="50" t="inlineStr">
        <is>
          <t>D+1</t>
        </is>
      </c>
      <c r="E10" s="50" t="n"/>
      <c r="F10" s="50" t="n"/>
      <c r="G10" s="50" t="n"/>
    </row>
    <row r="11">
      <c r="A11" s="48" t="n">
        <v>7</v>
      </c>
      <c r="B11" s="49" t="inlineStr">
        <is>
          <t>«Liquidación del Evento» rellenada y volcada como una fila del «Registro de Eventos»</t>
        </is>
      </c>
      <c r="C11" s="50" t="inlineStr">
        <is>
          <t>Administración</t>
        </is>
      </c>
      <c r="D11" s="50" t="inlineStr">
        <is>
          <t>D+1</t>
        </is>
      </c>
      <c r="E11" s="50" t="n"/>
      <c r="F11" s="50" t="n"/>
      <c r="G11" s="50" t="n"/>
    </row>
    <row r="12">
      <c r="A12" s="51" t="n">
        <v>8</v>
      </c>
      <c r="B12" s="52" t="inlineStr">
        <is>
          <t>Cobro del saldo registrado: fecha, medio de pago y referencia</t>
        </is>
      </c>
      <c r="C12" s="50" t="inlineStr">
        <is>
          <t>Administración</t>
        </is>
      </c>
      <c r="D12" s="50" t="inlineStr">
        <is>
          <t>D+7</t>
        </is>
      </c>
      <c r="E12" s="50" t="n"/>
      <c r="F12" s="50" t="n"/>
      <c r="G12" s="50" t="n"/>
    </row>
    <row r="13">
      <c r="A13" s="48" t="n">
        <v>9</v>
      </c>
      <c r="B13" s="49" t="inlineStr">
        <is>
          <t>Cobro conciliado con el extracto bancario (que el importe esté en la cuenta, no solo prometido)</t>
        </is>
      </c>
      <c r="C13" s="50" t="inlineStr">
        <is>
          <t>Administración</t>
        </is>
      </c>
      <c r="D13" s="50" t="inlineStr">
        <is>
          <t>D+7</t>
        </is>
      </c>
      <c r="E13" s="50" t="n"/>
      <c r="F13" s="50" t="n"/>
      <c r="G13" s="50" t="n"/>
    </row>
    <row r="14">
      <c r="A14" s="51" t="n">
        <v>10</v>
      </c>
      <c r="B14" s="52" t="inlineStr">
        <is>
          <t>Valoración o reseña pedida al cliente mientras el evento está reciente</t>
        </is>
      </c>
      <c r="C14" s="50" t="inlineStr">
        <is>
          <t>Comercial</t>
        </is>
      </c>
      <c r="D14" s="50" t="inlineStr">
        <is>
          <t>D+7</t>
        </is>
      </c>
      <c r="E14" s="50" t="n"/>
      <c r="F14" s="50" t="n"/>
      <c r="G14" s="50" t="n"/>
    </row>
    <row r="15">
      <c r="A15" s="48" t="n">
        <v>11</v>
      </c>
      <c r="B15" s="49" t="inlineStr">
        <is>
          <t>Expediente del evento archivado: presupuesto, factura, BEO e incidencias</t>
        </is>
      </c>
      <c r="C15" s="50" t="inlineStr">
        <is>
          <t>Administración</t>
        </is>
      </c>
      <c r="D15" s="50" t="inlineStr">
        <is>
          <t>D+30</t>
        </is>
      </c>
      <c r="E15" s="50" t="n"/>
      <c r="F15" s="50" t="n"/>
      <c r="G15" s="50" t="n"/>
    </row>
    <row r="16">
      <c r="A16" s="51" t="n">
        <v>12</v>
      </c>
      <c r="B16" s="52" t="inlineStr">
        <is>
          <t>Saldos en estado VENCIDO del «Registro de Eventos» revisados y reclamados uno a uno</t>
        </is>
      </c>
      <c r="C16" s="50" t="inlineStr">
        <is>
          <t>Dirección</t>
        </is>
      </c>
      <c r="D16" s="50" t="inlineStr">
        <is>
          <t>D+30</t>
        </is>
      </c>
      <c r="E16" s="50" t="n"/>
      <c r="F16" s="50" t="n"/>
      <c r="G16" s="50" t="n"/>
    </row>
    <row r="17">
      <c r="A17" s="50" t="n"/>
      <c r="B17" s="53" t="n"/>
      <c r="C17" s="50" t="n"/>
      <c r="D17" s="50" t="n"/>
      <c r="E17" s="50" t="n"/>
      <c r="F17" s="50" t="n"/>
      <c r="G17" s="50" t="n"/>
    </row>
    <row r="18">
      <c r="A18" s="50" t="n"/>
      <c r="B18" s="53" t="n"/>
      <c r="C18" s="50" t="n"/>
      <c r="D18" s="50" t="n"/>
      <c r="E18" s="50" t="n"/>
      <c r="F18" s="50" t="n"/>
      <c r="G18" s="50" t="n"/>
    </row>
    <row r="19">
      <c r="A19" s="50" t="n"/>
      <c r="B19" s="53" t="n"/>
      <c r="C19" s="50" t="n"/>
      <c r="D19" s="50" t="n"/>
      <c r="E19" s="50" t="n"/>
      <c r="F19" s="50" t="n"/>
      <c r="G19" s="50" t="n"/>
    </row>
    <row r="20">
      <c r="A20" s="50" t="n"/>
      <c r="B20" s="53" t="n"/>
      <c r="C20" s="50" t="n"/>
      <c r="D20" s="50" t="n"/>
      <c r="E20" s="50" t="n"/>
      <c r="F20" s="50" t="n"/>
      <c r="G20" s="50" t="n"/>
    </row>
    <row r="21">
      <c r="A21" s="50" t="n"/>
      <c r="B21" s="53" t="n"/>
      <c r="C21" s="50" t="n"/>
      <c r="D21" s="50" t="n"/>
      <c r="E21" s="50" t="n"/>
      <c r="F21" s="50" t="n"/>
      <c r="G21" s="50" t="n"/>
    </row>
    <row r="22"/>
    <row r="23" ht="22" customHeight="1">
      <c r="A23" s="13" t="inlineStr">
        <is>
          <t>Tareas completadas:</t>
        </is>
      </c>
      <c r="C23">
        <f>COUNTIFS(B5:B21,"?*",E5:E21,"✓")</f>
        <v>0.0</v>
      </c>
      <c r="D23" t="inlineStr">
        <is>
          <t>de</t>
        </is>
      </c>
      <c r="E23">
        <f>COUNTIF(B5:B21,"?*")-COUNTIF(E5:E21,"N/A")</f>
        <v>12.0</v>
      </c>
    </row>
    <row r="24"/>
    <row r="25" ht="30" customHeight="1">
      <c r="A25" s="5" t="inlineStr">
        <is>
          <t>Firma del responsable: _________________________     Fecha: ____/____/________</t>
        </is>
      </c>
    </row>
    <row r="26">
      <c r="A26" s="14" t="inlineStr">
        <is>
          <t>— Kit de Tareas Recurrentes · Catering / Eventos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1:G1"/>
    <mergeCell ref="A23:B23"/>
    <mergeCell ref="A2:C2"/>
    <mergeCell ref="A25:G25"/>
    <mergeCell ref="D2:G2"/>
    <mergeCell ref="A26:G26"/>
  </mergeCells>
  <conditionalFormatting sqref="A5:G21">
    <cfRule type="expression" priority="1" dxfId="3">
      <formula>$E5="✓"</formula>
    </cfRule>
  </conditionalFormatting>
  <dataValidations count="1">
    <dataValidation sqref="E5 E6 E7 E8 E9 E10 E11 E12 E13 E14 E15 E16 E17 E18 E19 E20 E21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46" customWidth="1" min="4" max="4"/>
  </cols>
  <sheetData>
    <row r="1" ht="40" customHeight="1">
      <c r="A1" s="4" t="inlineStr">
        <is>
          <t>Liquidación del Evento — Catering / Eventos</t>
        </is>
      </c>
    </row>
    <row r="2" ht="28" customHeight="1">
      <c r="A2" s="5" t="inlineStr">
        <is>
          <t>Rellena SOLO las celdas verdes</t>
        </is>
      </c>
      <c r="C2" s="5" t="inlineStr">
        <is>
          <t>Nº de factura: ______________</t>
        </is>
      </c>
    </row>
    <row r="3" ht="8" customHeight="1"/>
    <row r="4" ht="28" customHeight="1">
      <c r="A4" s="7" t="inlineStr">
        <is>
          <t>Concepto</t>
        </is>
      </c>
      <c r="B4" s="15" t="n"/>
      <c r="C4" s="7" t="inlineStr">
        <is>
          <t>Importe (€)</t>
        </is>
      </c>
      <c r="D4" s="7" t="inlineStr">
        <is>
          <t>Qué escribir aquí</t>
        </is>
      </c>
    </row>
    <row r="5" ht="22" customHeight="1">
      <c r="A5" s="9" t="inlineStr">
        <is>
          <t>Evento / Cliente</t>
        </is>
      </c>
      <c r="B5" s="15" t="n"/>
      <c r="C5" s="50" t="n"/>
      <c r="D5" s="17" t="inlineStr">
        <is>
          <t>Nombre del evento y del cliente que factura.</t>
        </is>
      </c>
    </row>
    <row r="6" ht="22" customHeight="1">
      <c r="A6" s="12" t="inlineStr">
        <is>
          <t>Fecha del evento</t>
        </is>
      </c>
      <c r="B6" s="15" t="n"/>
      <c r="C6" s="54" t="n"/>
      <c r="D6" s="20" t="inlineStr">
        <is>
          <t>El día del servicio, no el de la firma del presupuesto.</t>
        </is>
      </c>
    </row>
    <row r="7" ht="22" customHeight="1">
      <c r="A7" s="9" t="inlineStr">
        <is>
          <t>Comensales contratados</t>
        </is>
      </c>
      <c r="B7" s="15" t="n"/>
      <c r="C7" s="55" t="n"/>
      <c r="D7" s="17" t="inlineStr">
        <is>
          <t>Los comensales que figuran en el presupuesto aceptado.</t>
        </is>
      </c>
    </row>
    <row r="8" ht="22" customHeight="1">
      <c r="A8" s="12" t="inlineStr">
        <is>
          <t>Comensales reales</t>
        </is>
      </c>
      <c r="B8" s="15" t="n"/>
      <c r="C8" s="55" t="n"/>
      <c r="D8" s="20" t="inlineStr">
        <is>
          <t>Los que hubo de verdad. La diferencia es lo que se discute al facturar: anótala el mismo día.</t>
        </is>
      </c>
    </row>
    <row r="9" ht="26" customHeight="1">
      <c r="A9" s="22" t="inlineStr">
        <is>
          <t>🧾 Base imponible e IVA</t>
        </is>
      </c>
    </row>
    <row r="10" ht="22" customHeight="1">
      <c r="A10" s="12" t="inlineStr">
        <is>
          <t>Presupuesto aceptado (base, sin IVA)</t>
        </is>
      </c>
      <c r="B10" s="15" t="n"/>
      <c r="C10" s="56" t="n">
        <v>0</v>
      </c>
      <c r="D10" s="20" t="inlineStr">
        <is>
          <t>El importe aceptado SIN IVA.</t>
        </is>
      </c>
    </row>
    <row r="11" ht="22" customHeight="1">
      <c r="A11" s="9" t="inlineStr">
        <is>
          <t>Extras (base, sin IVA)</t>
        </is>
      </c>
      <c r="B11" s="15" t="n"/>
      <c r="C11" s="56" t="n">
        <v>0</v>
      </c>
      <c r="D11" s="17" t="inlineStr">
        <is>
          <t>Horas extra de personal, bebidas de más, suplementos y cargos por roturas. Sin IVA.</t>
        </is>
      </c>
    </row>
    <row r="12" ht="22" customHeight="1">
      <c r="A12" s="12" t="inlineStr">
        <is>
          <t>Base imponible al 10 %</t>
        </is>
      </c>
      <c r="B12" s="15" t="n"/>
      <c r="C12" s="56" t="n">
        <v>0</v>
      </c>
      <c r="D12" s="20" t="inlineStr">
        <is>
          <t>Alimentos y bebidas no alcohólicas del servicio de catering.</t>
        </is>
      </c>
    </row>
    <row r="13" ht="22" customHeight="1">
      <c r="A13" s="9" t="inlineStr">
        <is>
          <t>Base imponible al 21 %</t>
        </is>
      </c>
      <c r="B13" s="15" t="n"/>
      <c r="C13" s="56" t="n">
        <v>0</v>
      </c>
      <c r="D13" s="17" t="inlineStr">
        <is>
          <t>Alquileres, decoración, servicios y bebidas alcohólicas.</t>
        </is>
      </c>
    </row>
    <row r="14" ht="30" customHeight="1">
      <c r="A14" s="12" t="inlineStr">
        <is>
          <t>Comprobación: las dos bases deben sumar presupuesto + extras</t>
        </is>
      </c>
      <c r="B14" s="15" t="n"/>
      <c r="C14" s="11">
        <f>IF(C10+C11+C12+C13=0,"",IF(ABS(C12+C13-C10-C11)&lt;=0.01,"OK: las dos bases suman presupuesto + extras","REVISA: las dos bases no suman presupuesto + extras"))</f>
        <v/>
      </c>
      <c r="D14" s="20" t="inlineStr">
        <is>
          <t>Si no cuadra, revisa el reparto: el total facturado sale de estas dos bases, no del presupuesto.</t>
        </is>
      </c>
    </row>
    <row r="15" ht="22" customHeight="1">
      <c r="A15" s="9" t="inlineStr">
        <is>
          <t>IVA 10 %</t>
        </is>
      </c>
      <c r="B15" s="15" t="n"/>
      <c r="C15" s="24">
        <f>IFERROR(ROUND(C12*0.1,2),0)</f>
        <v>0.0</v>
      </c>
      <c r="D15" s="17" t="inlineStr">
        <is>
          <t>Fórmula.</t>
        </is>
      </c>
    </row>
    <row r="16" ht="22" customHeight="1">
      <c r="A16" s="12" t="inlineStr">
        <is>
          <t>IVA 21 %</t>
        </is>
      </c>
      <c r="B16" s="15" t="n"/>
      <c r="C16" s="25">
        <f>IFERROR(ROUND(C13*0.21,2),0)</f>
        <v>0.0</v>
      </c>
      <c r="D16" s="20" t="inlineStr">
        <is>
          <t>Fórmula.</t>
        </is>
      </c>
    </row>
    <row r="17" ht="22" customHeight="1">
      <c r="A17" s="26" t="inlineStr">
        <is>
          <t>TOTAL FACTURA</t>
        </is>
      </c>
      <c r="B17" s="15" t="n"/>
      <c r="C17" s="28">
        <f>IFERROR(C12+C13+C15+C16,0)</f>
        <v>0.0</v>
      </c>
      <c r="D17" s="17" t="inlineStr">
        <is>
          <t>Las dos bases más sus dos IVA. Es lo que dice la factura.</t>
        </is>
      </c>
    </row>
    <row r="18" ht="26" customHeight="1">
      <c r="A18" s="22" t="inlineStr">
        <is>
          <t>💶 Anticipo, saldo y cobro</t>
        </is>
      </c>
    </row>
    <row r="19" ht="22" customHeight="1">
      <c r="A19" s="9" t="inlineStr">
        <is>
          <t>Anticipo cobrado (−)</t>
        </is>
      </c>
      <c r="B19" s="15" t="n"/>
      <c r="C19" s="56" t="n">
        <v>0</v>
      </c>
      <c r="D19" s="17" t="inlineStr">
        <is>
          <t>Lo cobrado al firmar (el 30-50 % habitual). Se resta del total.</t>
        </is>
      </c>
    </row>
    <row r="20" ht="22" customHeight="1">
      <c r="A20" s="12" t="inlineStr">
        <is>
          <t>Saldo tras anticipo</t>
        </is>
      </c>
      <c r="B20" s="15" t="n"/>
      <c r="C20" s="25">
        <f>IFERROR(C17-C19,0)</f>
        <v>0.0</v>
      </c>
      <c r="D20" s="20" t="inlineStr">
        <is>
          <t>Fórmula: total − anticipo. Es lo que se factura al final.</t>
        </is>
      </c>
    </row>
    <row r="21" ht="22" customHeight="1">
      <c r="A21" s="9" t="inlineStr">
        <is>
          <t>Cobrado tras el evento</t>
        </is>
      </c>
      <c r="B21" s="15" t="n"/>
      <c r="C21" s="56" t="n">
        <v>0</v>
      </c>
      <c r="D21" s="17" t="inlineStr">
        <is>
          <t>Lo que ha entrado DESPUÉS del evento y está conciliado con el banco.</t>
        </is>
      </c>
    </row>
    <row r="22" ht="22" customHeight="1">
      <c r="A22" s="26" t="inlineStr">
        <is>
          <t>PENDIENTE DE COBRO</t>
        </is>
      </c>
      <c r="B22" s="15" t="n"/>
      <c r="C22" s="28">
        <f>IFERROR(C20-C21,0)</f>
        <v>0.0</v>
      </c>
      <c r="D22" s="20" t="inlineStr">
        <is>
          <t>Fórmula: saldo − cobrado. En ámbar mientras quede algo por cobrar.</t>
        </is>
      </c>
    </row>
    <row r="23" ht="22" customHeight="1">
      <c r="A23" s="9" t="inlineStr">
        <is>
          <t>Fecha de vencimiento del saldo</t>
        </is>
      </c>
      <c r="B23" s="15" t="n"/>
      <c r="C23" s="54" t="n"/>
      <c r="D23" s="17" t="inlineStr">
        <is>
          <t>La fecha que acordaste con el cliente. Sin ella el estado nunca puede decir VENCIDO.</t>
        </is>
      </c>
    </row>
    <row r="24" ht="26" customHeight="1">
      <c r="A24" s="26" t="inlineStr">
        <is>
          <t>ESTADO</t>
        </is>
      </c>
      <c r="B24" s="15" t="n"/>
      <c r="C24" s="29">
        <f>IF(C17&lt;=0,"",IF(C22&lt;=0.01,"Cobrado",IF(C23="","Pendiente",IF(TODAY()&gt;C23,"VENCIDO","Pendiente"))))</f>
        <v/>
      </c>
      <c r="D24" s="20" t="inlineStr">
        <is>
          <t>«Cobrado» si no queda ni un céntimo · «Pendiente» si aún hay saldo · «VENCIDO» si además ya pasó el vencimiento.</t>
        </is>
      </c>
    </row>
    <row r="25"/>
    <row r="26" ht="26" customHeight="1">
      <c r="A26" s="22" t="inlineStr">
        <is>
          <t>💰 Solo si hubo barra con cobro en EFECTIVO</t>
        </is>
      </c>
    </row>
    <row r="27" ht="30" customHeight="1">
      <c r="A27" s="30" t="inlineStr">
        <is>
          <t>Cuenta el efectivo y, si quieres, suma tú el «Efectivo neto del evento» a «Cobrado tras el evento». NO se enlaza solo: en la mayoría de los eventos no hay barra en efectivo y una fórmula fija dejaría un 0 restando donde no debe.</t>
        </is>
      </c>
    </row>
    <row r="28" ht="28" customHeight="1">
      <c r="A28" s="7" t="inlineStr">
        <is>
          <t>Denominación</t>
        </is>
      </c>
      <c r="B28" s="7" t="inlineStr">
        <is>
          <t>Cantidad</t>
        </is>
      </c>
      <c r="C28" s="7" t="inlineStr">
        <is>
          <t>Subtotal (€)</t>
        </is>
      </c>
      <c r="D28" s="7" t="inlineStr">
        <is>
          <t>Anota sólo lo que haya en el cajón</t>
        </is>
      </c>
    </row>
    <row r="29" ht="20" customHeight="1">
      <c r="A29" s="31" t="inlineStr">
        <is>
          <t>BILLETES</t>
        </is>
      </c>
    </row>
    <row r="30" ht="20" customHeight="1">
      <c r="A30" s="32" t="inlineStr">
        <is>
          <t>500 €</t>
        </is>
      </c>
      <c r="B30" s="55" t="n">
        <v>0</v>
      </c>
      <c r="C30" s="25">
        <f>IFERROR(B30*500,0)</f>
        <v>0.0</v>
      </c>
      <c r="D30" s="18" t="n"/>
    </row>
    <row r="31" ht="20" customHeight="1">
      <c r="A31" s="33" t="inlineStr">
        <is>
          <t>200 €</t>
        </is>
      </c>
      <c r="B31" s="55" t="n">
        <v>0</v>
      </c>
      <c r="C31" s="24">
        <f>IFERROR(B31*200,0)</f>
        <v>0.0</v>
      </c>
      <c r="D31" s="16" t="n"/>
    </row>
    <row r="32" ht="20" customHeight="1">
      <c r="A32" s="32" t="inlineStr">
        <is>
          <t>100 €</t>
        </is>
      </c>
      <c r="B32" s="55" t="n">
        <v>0</v>
      </c>
      <c r="C32" s="25">
        <f>IFERROR(B32*100,0)</f>
        <v>0.0</v>
      </c>
      <c r="D32" s="18" t="n"/>
    </row>
    <row r="33" ht="20" customHeight="1">
      <c r="A33" s="33" t="inlineStr">
        <is>
          <t>50 €</t>
        </is>
      </c>
      <c r="B33" s="55" t="n">
        <v>0</v>
      </c>
      <c r="C33" s="24">
        <f>IFERROR(B33*50,0)</f>
        <v>0.0</v>
      </c>
      <c r="D33" s="16" t="n"/>
    </row>
    <row r="34" ht="20" customHeight="1">
      <c r="A34" s="32" t="inlineStr">
        <is>
          <t>20 €</t>
        </is>
      </c>
      <c r="B34" s="55" t="n">
        <v>0</v>
      </c>
      <c r="C34" s="25">
        <f>IFERROR(B34*20,0)</f>
        <v>0.0</v>
      </c>
      <c r="D34" s="18" t="n"/>
    </row>
    <row r="35" ht="20" customHeight="1">
      <c r="A35" s="33" t="inlineStr">
        <is>
          <t>10 €</t>
        </is>
      </c>
      <c r="B35" s="55" t="n">
        <v>0</v>
      </c>
      <c r="C35" s="24">
        <f>IFERROR(B35*10,0)</f>
        <v>0.0</v>
      </c>
      <c r="D35" s="16" t="n"/>
    </row>
    <row r="36" ht="20" customHeight="1">
      <c r="A36" s="32" t="inlineStr">
        <is>
          <t>5 €</t>
        </is>
      </c>
      <c r="B36" s="55" t="n">
        <v>0</v>
      </c>
      <c r="C36" s="25">
        <f>IFERROR(B36*5,0)</f>
        <v>0.0</v>
      </c>
      <c r="D36" s="18" t="n"/>
    </row>
    <row r="37" ht="20" customHeight="1">
      <c r="A37" s="31" t="inlineStr">
        <is>
          <t>MONEDAS</t>
        </is>
      </c>
    </row>
    <row r="38" ht="20" customHeight="1">
      <c r="A38" s="32" t="inlineStr">
        <is>
          <t>2 €</t>
        </is>
      </c>
      <c r="B38" s="55" t="n">
        <v>0</v>
      </c>
      <c r="C38" s="25">
        <f>IFERROR(B38*2,0)</f>
        <v>0.0</v>
      </c>
      <c r="D38" s="18" t="n"/>
    </row>
    <row r="39" ht="20" customHeight="1">
      <c r="A39" s="33" t="inlineStr">
        <is>
          <t>1 €</t>
        </is>
      </c>
      <c r="B39" s="55" t="n">
        <v>0</v>
      </c>
      <c r="C39" s="24">
        <f>IFERROR(B39*1,0)</f>
        <v>0.0</v>
      </c>
      <c r="D39" s="16" t="n"/>
    </row>
    <row r="40" ht="20" customHeight="1">
      <c r="A40" s="32" t="inlineStr">
        <is>
          <t>0,50 €</t>
        </is>
      </c>
      <c r="B40" s="55" t="n">
        <v>0</v>
      </c>
      <c r="C40" s="25">
        <f>IFERROR(B40*0.5,0)</f>
        <v>0.0</v>
      </c>
      <c r="D40" s="18" t="n"/>
    </row>
    <row r="41" ht="20" customHeight="1">
      <c r="A41" s="33" t="inlineStr">
        <is>
          <t>0,20 €</t>
        </is>
      </c>
      <c r="B41" s="55" t="n">
        <v>0</v>
      </c>
      <c r="C41" s="24">
        <f>IFERROR(B41*0.2,0)</f>
        <v>0.0</v>
      </c>
      <c r="D41" s="16" t="n"/>
    </row>
    <row r="42" ht="20" customHeight="1">
      <c r="A42" s="32" t="inlineStr">
        <is>
          <t>0,10 €</t>
        </is>
      </c>
      <c r="B42" s="55" t="n">
        <v>0</v>
      </c>
      <c r="C42" s="25">
        <f>IFERROR(B42*0.1,0)</f>
        <v>0.0</v>
      </c>
      <c r="D42" s="18" t="n"/>
    </row>
    <row r="43" ht="20" customHeight="1">
      <c r="A43" s="33" t="inlineStr">
        <is>
          <t>0,05 €</t>
        </is>
      </c>
      <c r="B43" s="55" t="n">
        <v>0</v>
      </c>
      <c r="C43" s="24">
        <f>IFERROR(B43*0.05,0)</f>
        <v>0.0</v>
      </c>
      <c r="D43" s="16" t="n"/>
    </row>
    <row r="44" ht="20" customHeight="1">
      <c r="A44" s="32" t="inlineStr">
        <is>
          <t>0,02 €</t>
        </is>
      </c>
      <c r="B44" s="55" t="n">
        <v>0</v>
      </c>
      <c r="C44" s="25">
        <f>IFERROR(B44*0.02,0)</f>
        <v>0.0</v>
      </c>
      <c r="D44" s="18" t="n"/>
    </row>
    <row r="45" ht="20" customHeight="1">
      <c r="A45" s="33" t="inlineStr">
        <is>
          <t>0,01 €</t>
        </is>
      </c>
      <c r="B45" s="55" t="n">
        <v>0</v>
      </c>
      <c r="C45" s="24">
        <f>IFERROR(B45*0.01,0)</f>
        <v>0.0</v>
      </c>
      <c r="D45" s="16" t="n"/>
    </row>
    <row r="46" ht="24" customHeight="1">
      <c r="A46" s="34" t="inlineStr">
        <is>
          <t>TOTAL EFECTIVO</t>
        </is>
      </c>
      <c r="C46" s="36">
        <f>IFERROR(SUM(C30:C45),0)</f>
        <v>0.0</v>
      </c>
      <c r="D46" s="35" t="n"/>
    </row>
    <row r="47" ht="22" customHeight="1">
      <c r="A47" s="9" t="inlineStr">
        <is>
          <t>Fondo de la barra (−)</t>
        </is>
      </c>
      <c r="B47" s="15" t="n"/>
      <c r="C47" s="56" t="n">
        <v>0</v>
      </c>
      <c r="D47" s="17" t="inlineStr">
        <is>
          <t>El cambio con el que salió la barra. No es venta.</t>
        </is>
      </c>
    </row>
    <row r="48" ht="22" customHeight="1">
      <c r="A48" s="26" t="inlineStr">
        <is>
          <t>Efectivo neto del evento</t>
        </is>
      </c>
      <c r="B48" s="15" t="n"/>
      <c r="C48" s="28">
        <f>IFERROR(C46-C47,0)</f>
        <v>0.0</v>
      </c>
      <c r="D48" s="20" t="inlineStr">
        <is>
          <t>Fórmula: total contado − fondo. Esto sí es cobro del evento.</t>
        </is>
      </c>
    </row>
    <row r="49"/>
    <row r="50" ht="30" customHeight="1">
      <c r="A50" s="5" t="inlineStr">
        <is>
          <t>Firma del responsable: _________________________     Fecha: ____/____/________</t>
        </is>
      </c>
    </row>
    <row r="51">
      <c r="A51" s="14" t="inlineStr">
        <is>
          <t>— Kit de Tareas Recurrentes · Catering / Eventos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33">
    <mergeCell ref="A1:D1"/>
    <mergeCell ref="A22:B22"/>
    <mergeCell ref="C2:D2"/>
    <mergeCell ref="A5:B5"/>
    <mergeCell ref="A50:D50"/>
    <mergeCell ref="A18:D18"/>
    <mergeCell ref="A29:D29"/>
    <mergeCell ref="A37:D37"/>
    <mergeCell ref="A7:B7"/>
    <mergeCell ref="A2:B2"/>
    <mergeCell ref="A14:B14"/>
    <mergeCell ref="A46:B46"/>
    <mergeCell ref="A13:B13"/>
    <mergeCell ref="A21:B21"/>
    <mergeCell ref="A47:B47"/>
    <mergeCell ref="A16:B16"/>
    <mergeCell ref="A48:B48"/>
    <mergeCell ref="A51:D51"/>
    <mergeCell ref="A23:B23"/>
    <mergeCell ref="A26:D26"/>
    <mergeCell ref="A8:B8"/>
    <mergeCell ref="A4:B4"/>
    <mergeCell ref="A9:D9"/>
    <mergeCell ref="A6:B6"/>
    <mergeCell ref="A27:D27"/>
    <mergeCell ref="A24:B24"/>
    <mergeCell ref="A11:B11"/>
    <mergeCell ref="A19:B19"/>
    <mergeCell ref="A12:B12"/>
    <mergeCell ref="A20:B20"/>
    <mergeCell ref="A15:B15"/>
    <mergeCell ref="A17:B17"/>
    <mergeCell ref="A10:B10"/>
  </mergeCells>
  <conditionalFormatting sqref="C22">
    <cfRule type="cellIs" priority="1" operator="greaterThan" dxfId="0">
      <formula>0.01</formula>
    </cfRule>
  </conditionalFormatting>
  <conditionalFormatting sqref="C24">
    <cfRule type="cellIs" priority="2" operator="equal" dxfId="1">
      <formula>"VENCIDO"</formula>
    </cfRule>
  </conditionalFormatting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2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</cols>
  <sheetData>
    <row r="1" ht="40" customHeight="1">
      <c r="A1" s="4" t="inlineStr">
        <is>
          <t>Registro de Eventos — Catering / Eventos</t>
        </is>
      </c>
    </row>
    <row r="2" ht="28" customHeight="1">
      <c r="A2" s="5" t="inlineStr">
        <is>
          <t>Año: ________</t>
        </is>
      </c>
      <c r="G2" s="5" t="inlineStr">
        <is>
          <t>Responsable de facturación: ______________</t>
        </is>
      </c>
    </row>
    <row r="3" ht="26" customHeight="1">
      <c r="A3" s="37" t="inlineStr">
        <is>
          <t>IVA medio aplicado a «Total factura»</t>
        </is>
      </c>
      <c r="C3" s="57" t="n">
        <v>0.1</v>
      </c>
      <c r="D3" s="30" t="inlineStr">
        <is>
          <t>Cámbialo si tus eventos no son mayoritariamente al 10 %. El desglose exacto de cada factura está en «Liquidación del Evento».</t>
        </is>
      </c>
    </row>
    <row r="4" ht="8" customHeight="1"/>
    <row r="5" ht="28" customHeight="1">
      <c r="A5" s="7" t="inlineStr">
        <is>
          <t>Fecha</t>
        </is>
      </c>
      <c r="B5" s="7" t="inlineStr">
        <is>
          <t>Evento / Cliente</t>
        </is>
      </c>
      <c r="C5" s="7" t="inlineStr">
        <is>
          <t>Comensales</t>
        </is>
      </c>
      <c r="D5" s="7" t="inlineStr">
        <is>
          <t>Base (presupuesto + extras)</t>
        </is>
      </c>
      <c r="E5" s="7" t="inlineStr">
        <is>
          <t>Total factura</t>
        </is>
      </c>
      <c r="F5" s="7" t="inlineStr">
        <is>
          <t>Anticipo</t>
        </is>
      </c>
      <c r="G5" s="7" t="inlineStr">
        <is>
          <t>Cobrado</t>
        </is>
      </c>
      <c r="H5" s="7" t="inlineStr">
        <is>
          <t>Pendiente</t>
        </is>
      </c>
      <c r="I5" s="7" t="inlineStr">
        <is>
          <t>Medio de pago</t>
        </is>
      </c>
      <c r="J5" s="7" t="inlineStr">
        <is>
          <t>Vencimiento</t>
        </is>
      </c>
      <c r="K5" s="7" t="inlineStr">
        <is>
          <t>Estado</t>
        </is>
      </c>
    </row>
    <row r="6" ht="22" customHeight="1">
      <c r="A6" s="58" t="n"/>
      <c r="B6" s="53" t="n"/>
      <c r="C6" s="59" t="n"/>
      <c r="D6" s="56" t="n">
        <v>0</v>
      </c>
      <c r="E6" s="25">
        <f>IFERROR(IF(D6=0,0,ROUND(D6*(1+$C$3),2)),0)</f>
        <v>0.0</v>
      </c>
      <c r="F6" s="56" t="n">
        <v>0</v>
      </c>
      <c r="G6" s="56" t="n">
        <v>0</v>
      </c>
      <c r="H6" s="25">
        <f>IFERROR(IF(E6=0,0,E6-F6-G6),0)</f>
        <v>0.0</v>
      </c>
      <c r="I6" s="50" t="n"/>
      <c r="J6" s="58" t="n"/>
      <c r="K6" s="11">
        <f>IF(E6=0,"",IF(H6&lt;=0.01,"Cobrado",IF(J6="","Pendiente",IF(TODAY()&gt;J6,"VENCIDO","Pendiente"))))</f>
        <v/>
      </c>
    </row>
    <row r="7" ht="22" customHeight="1">
      <c r="A7" s="58" t="n"/>
      <c r="B7" s="53" t="n"/>
      <c r="C7" s="59" t="n"/>
      <c r="D7" s="56" t="n">
        <v>0</v>
      </c>
      <c r="E7" s="24">
        <f>IFERROR(IF(D7=0,0,ROUND(D7*(1+$C$3),2)),0)</f>
        <v>0.0</v>
      </c>
      <c r="F7" s="56" t="n">
        <v>0</v>
      </c>
      <c r="G7" s="56" t="n">
        <v>0</v>
      </c>
      <c r="H7" s="24">
        <f>IFERROR(IF(E7=0,0,E7-F7-G7),0)</f>
        <v>0.0</v>
      </c>
      <c r="I7" s="50" t="n"/>
      <c r="J7" s="58" t="n"/>
      <c r="K7" s="8">
        <f>IF(E7=0,"",IF(H7&lt;=0.01,"Cobrado",IF(J7="","Pendiente",IF(TODAY()&gt;J7,"VENCIDO","Pendiente"))))</f>
        <v/>
      </c>
    </row>
    <row r="8" ht="22" customHeight="1">
      <c r="A8" s="58" t="n"/>
      <c r="B8" s="53" t="n"/>
      <c r="C8" s="59" t="n"/>
      <c r="D8" s="56" t="n">
        <v>0</v>
      </c>
      <c r="E8" s="25">
        <f>IFERROR(IF(D8=0,0,ROUND(D8*(1+$C$3),2)),0)</f>
        <v>0.0</v>
      </c>
      <c r="F8" s="56" t="n">
        <v>0</v>
      </c>
      <c r="G8" s="56" t="n">
        <v>0</v>
      </c>
      <c r="H8" s="25">
        <f>IFERROR(IF(E8=0,0,E8-F8-G8),0)</f>
        <v>0.0</v>
      </c>
      <c r="I8" s="50" t="n"/>
      <c r="J8" s="58" t="n"/>
      <c r="K8" s="11">
        <f>IF(E8=0,"",IF(H8&lt;=0.01,"Cobrado",IF(J8="","Pendiente",IF(TODAY()&gt;J8,"VENCIDO","Pendiente"))))</f>
        <v/>
      </c>
    </row>
    <row r="9" ht="22" customHeight="1">
      <c r="A9" s="58" t="n"/>
      <c r="B9" s="53" t="n"/>
      <c r="C9" s="59" t="n"/>
      <c r="D9" s="56" t="n">
        <v>0</v>
      </c>
      <c r="E9" s="24">
        <f>IFERROR(IF(D9=0,0,ROUND(D9*(1+$C$3),2)),0)</f>
        <v>0.0</v>
      </c>
      <c r="F9" s="56" t="n">
        <v>0</v>
      </c>
      <c r="G9" s="56" t="n">
        <v>0</v>
      </c>
      <c r="H9" s="24">
        <f>IFERROR(IF(E9=0,0,E9-F9-G9),0)</f>
        <v>0.0</v>
      </c>
      <c r="I9" s="50" t="n"/>
      <c r="J9" s="58" t="n"/>
      <c r="K9" s="8">
        <f>IF(E9=0,"",IF(H9&lt;=0.01,"Cobrado",IF(J9="","Pendiente",IF(TODAY()&gt;J9,"VENCIDO","Pendiente"))))</f>
        <v/>
      </c>
    </row>
    <row r="10" ht="22" customHeight="1">
      <c r="A10" s="58" t="n"/>
      <c r="B10" s="53" t="n"/>
      <c r="C10" s="59" t="n"/>
      <c r="D10" s="56" t="n">
        <v>0</v>
      </c>
      <c r="E10" s="25">
        <f>IFERROR(IF(D10=0,0,ROUND(D10*(1+$C$3),2)),0)</f>
        <v>0.0</v>
      </c>
      <c r="F10" s="56" t="n">
        <v>0</v>
      </c>
      <c r="G10" s="56" t="n">
        <v>0</v>
      </c>
      <c r="H10" s="25">
        <f>IFERROR(IF(E10=0,0,E10-F10-G10),0)</f>
        <v>0.0</v>
      </c>
      <c r="I10" s="50" t="n"/>
      <c r="J10" s="58" t="n"/>
      <c r="K10" s="11">
        <f>IF(E10=0,"",IF(H10&lt;=0.01,"Cobrado",IF(J10="","Pendiente",IF(TODAY()&gt;J10,"VENCIDO","Pendiente"))))</f>
        <v/>
      </c>
    </row>
    <row r="11" ht="22" customHeight="1">
      <c r="A11" s="58" t="n"/>
      <c r="B11" s="53" t="n"/>
      <c r="C11" s="59" t="n"/>
      <c r="D11" s="56" t="n">
        <v>0</v>
      </c>
      <c r="E11" s="24">
        <f>IFERROR(IF(D11=0,0,ROUND(D11*(1+$C$3),2)),0)</f>
        <v>0.0</v>
      </c>
      <c r="F11" s="56" t="n">
        <v>0</v>
      </c>
      <c r="G11" s="56" t="n">
        <v>0</v>
      </c>
      <c r="H11" s="24">
        <f>IFERROR(IF(E11=0,0,E11-F11-G11),0)</f>
        <v>0.0</v>
      </c>
      <c r="I11" s="50" t="n"/>
      <c r="J11" s="58" t="n"/>
      <c r="K11" s="8">
        <f>IF(E11=0,"",IF(H11&lt;=0.01,"Cobrado",IF(J11="","Pendiente",IF(TODAY()&gt;J11,"VENCIDO","Pendiente"))))</f>
        <v/>
      </c>
    </row>
    <row r="12" ht="22" customHeight="1">
      <c r="A12" s="58" t="n"/>
      <c r="B12" s="53" t="n"/>
      <c r="C12" s="59" t="n"/>
      <c r="D12" s="56" t="n">
        <v>0</v>
      </c>
      <c r="E12" s="25">
        <f>IFERROR(IF(D12=0,0,ROUND(D12*(1+$C$3),2)),0)</f>
        <v>0.0</v>
      </c>
      <c r="F12" s="56" t="n">
        <v>0</v>
      </c>
      <c r="G12" s="56" t="n">
        <v>0</v>
      </c>
      <c r="H12" s="25">
        <f>IFERROR(IF(E12=0,0,E12-F12-G12),0)</f>
        <v>0.0</v>
      </c>
      <c r="I12" s="50" t="n"/>
      <c r="J12" s="58" t="n"/>
      <c r="K12" s="11">
        <f>IF(E12=0,"",IF(H12&lt;=0.01,"Cobrado",IF(J12="","Pendiente",IF(TODAY()&gt;J12,"VENCIDO","Pendiente"))))</f>
        <v/>
      </c>
    </row>
    <row r="13" ht="22" customHeight="1">
      <c r="A13" s="58" t="n"/>
      <c r="B13" s="53" t="n"/>
      <c r="C13" s="59" t="n"/>
      <c r="D13" s="56" t="n">
        <v>0</v>
      </c>
      <c r="E13" s="24">
        <f>IFERROR(IF(D13=0,0,ROUND(D13*(1+$C$3),2)),0)</f>
        <v>0.0</v>
      </c>
      <c r="F13" s="56" t="n">
        <v>0</v>
      </c>
      <c r="G13" s="56" t="n">
        <v>0</v>
      </c>
      <c r="H13" s="24">
        <f>IFERROR(IF(E13=0,0,E13-F13-G13),0)</f>
        <v>0.0</v>
      </c>
      <c r="I13" s="50" t="n"/>
      <c r="J13" s="58" t="n"/>
      <c r="K13" s="8">
        <f>IF(E13=0,"",IF(H13&lt;=0.01,"Cobrado",IF(J13="","Pendiente",IF(TODAY()&gt;J13,"VENCIDO","Pendiente"))))</f>
        <v/>
      </c>
    </row>
    <row r="14" ht="22" customHeight="1">
      <c r="A14" s="58" t="n"/>
      <c r="B14" s="53" t="n"/>
      <c r="C14" s="59" t="n"/>
      <c r="D14" s="56" t="n">
        <v>0</v>
      </c>
      <c r="E14" s="25">
        <f>IFERROR(IF(D14=0,0,ROUND(D14*(1+$C$3),2)),0)</f>
        <v>0.0</v>
      </c>
      <c r="F14" s="56" t="n">
        <v>0</v>
      </c>
      <c r="G14" s="56" t="n">
        <v>0</v>
      </c>
      <c r="H14" s="25">
        <f>IFERROR(IF(E14=0,0,E14-F14-G14),0)</f>
        <v>0.0</v>
      </c>
      <c r="I14" s="50" t="n"/>
      <c r="J14" s="58" t="n"/>
      <c r="K14" s="11">
        <f>IF(E14=0,"",IF(H14&lt;=0.01,"Cobrado",IF(J14="","Pendiente",IF(TODAY()&gt;J14,"VENCIDO","Pendiente"))))</f>
        <v/>
      </c>
    </row>
    <row r="15" ht="22" customHeight="1">
      <c r="A15" s="58" t="n"/>
      <c r="B15" s="53" t="n"/>
      <c r="C15" s="59" t="n"/>
      <c r="D15" s="56" t="n">
        <v>0</v>
      </c>
      <c r="E15" s="24">
        <f>IFERROR(IF(D15=0,0,ROUND(D15*(1+$C$3),2)),0)</f>
        <v>0.0</v>
      </c>
      <c r="F15" s="56" t="n">
        <v>0</v>
      </c>
      <c r="G15" s="56" t="n">
        <v>0</v>
      </c>
      <c r="H15" s="24">
        <f>IFERROR(IF(E15=0,0,E15-F15-G15),0)</f>
        <v>0.0</v>
      </c>
      <c r="I15" s="50" t="n"/>
      <c r="J15" s="58" t="n"/>
      <c r="K15" s="8">
        <f>IF(E15=0,"",IF(H15&lt;=0.01,"Cobrado",IF(J15="","Pendiente",IF(TODAY()&gt;J15,"VENCIDO","Pendiente"))))</f>
        <v/>
      </c>
    </row>
    <row r="16" ht="22" customHeight="1">
      <c r="A16" s="58" t="n"/>
      <c r="B16" s="53" t="n"/>
      <c r="C16" s="59" t="n"/>
      <c r="D16" s="56" t="n">
        <v>0</v>
      </c>
      <c r="E16" s="25">
        <f>IFERROR(IF(D16=0,0,ROUND(D16*(1+$C$3),2)),0)</f>
        <v>0.0</v>
      </c>
      <c r="F16" s="56" t="n">
        <v>0</v>
      </c>
      <c r="G16" s="56" t="n">
        <v>0</v>
      </c>
      <c r="H16" s="25">
        <f>IFERROR(IF(E16=0,0,E16-F16-G16),0)</f>
        <v>0.0</v>
      </c>
      <c r="I16" s="50" t="n"/>
      <c r="J16" s="58" t="n"/>
      <c r="K16" s="11">
        <f>IF(E16=0,"",IF(H16&lt;=0.01,"Cobrado",IF(J16="","Pendiente",IF(TODAY()&gt;J16,"VENCIDO","Pendiente"))))</f>
        <v/>
      </c>
    </row>
    <row r="17" ht="22" customHeight="1">
      <c r="A17" s="58" t="n"/>
      <c r="B17" s="53" t="n"/>
      <c r="C17" s="59" t="n"/>
      <c r="D17" s="56" t="n">
        <v>0</v>
      </c>
      <c r="E17" s="24">
        <f>IFERROR(IF(D17=0,0,ROUND(D17*(1+$C$3),2)),0)</f>
        <v>0.0</v>
      </c>
      <c r="F17" s="56" t="n">
        <v>0</v>
      </c>
      <c r="G17" s="56" t="n">
        <v>0</v>
      </c>
      <c r="H17" s="24">
        <f>IFERROR(IF(E17=0,0,E17-F17-G17),0)</f>
        <v>0.0</v>
      </c>
      <c r="I17" s="50" t="n"/>
      <c r="J17" s="58" t="n"/>
      <c r="K17" s="8">
        <f>IF(E17=0,"",IF(H17&lt;=0.01,"Cobrado",IF(J17="","Pendiente",IF(TODAY()&gt;J17,"VENCIDO","Pendiente"))))</f>
        <v/>
      </c>
    </row>
    <row r="18" ht="22" customHeight="1">
      <c r="A18" s="58" t="n"/>
      <c r="B18" s="53" t="n"/>
      <c r="C18" s="59" t="n"/>
      <c r="D18" s="56" t="n">
        <v>0</v>
      </c>
      <c r="E18" s="25">
        <f>IFERROR(IF(D18=0,0,ROUND(D18*(1+$C$3),2)),0)</f>
        <v>0.0</v>
      </c>
      <c r="F18" s="56" t="n">
        <v>0</v>
      </c>
      <c r="G18" s="56" t="n">
        <v>0</v>
      </c>
      <c r="H18" s="25">
        <f>IFERROR(IF(E18=0,0,E18-F18-G18),0)</f>
        <v>0.0</v>
      </c>
      <c r="I18" s="50" t="n"/>
      <c r="J18" s="58" t="n"/>
      <c r="K18" s="11">
        <f>IF(E18=0,"",IF(H18&lt;=0.01,"Cobrado",IF(J18="","Pendiente",IF(TODAY()&gt;J18,"VENCIDO","Pendiente"))))</f>
        <v/>
      </c>
    </row>
    <row r="19" ht="22" customHeight="1">
      <c r="A19" s="58" t="n"/>
      <c r="B19" s="53" t="n"/>
      <c r="C19" s="59" t="n"/>
      <c r="D19" s="56" t="n">
        <v>0</v>
      </c>
      <c r="E19" s="24">
        <f>IFERROR(IF(D19=0,0,ROUND(D19*(1+$C$3),2)),0)</f>
        <v>0.0</v>
      </c>
      <c r="F19" s="56" t="n">
        <v>0</v>
      </c>
      <c r="G19" s="56" t="n">
        <v>0</v>
      </c>
      <c r="H19" s="24">
        <f>IFERROR(IF(E19=0,0,E19-F19-G19),0)</f>
        <v>0.0</v>
      </c>
      <c r="I19" s="50" t="n"/>
      <c r="J19" s="58" t="n"/>
      <c r="K19" s="8">
        <f>IF(E19=0,"",IF(H19&lt;=0.01,"Cobrado",IF(J19="","Pendiente",IF(TODAY()&gt;J19,"VENCIDO","Pendiente"))))</f>
        <v/>
      </c>
    </row>
    <row r="20" ht="22" customHeight="1">
      <c r="A20" s="58" t="n"/>
      <c r="B20" s="53" t="n"/>
      <c r="C20" s="59" t="n"/>
      <c r="D20" s="56" t="n">
        <v>0</v>
      </c>
      <c r="E20" s="25">
        <f>IFERROR(IF(D20=0,0,ROUND(D20*(1+$C$3),2)),0)</f>
        <v>0.0</v>
      </c>
      <c r="F20" s="56" t="n">
        <v>0</v>
      </c>
      <c r="G20" s="56" t="n">
        <v>0</v>
      </c>
      <c r="H20" s="25">
        <f>IFERROR(IF(E20=0,0,E20-F20-G20),0)</f>
        <v>0.0</v>
      </c>
      <c r="I20" s="50" t="n"/>
      <c r="J20" s="58" t="n"/>
      <c r="K20" s="11">
        <f>IF(E20=0,"",IF(H20&lt;=0.01,"Cobrado",IF(J20="","Pendiente",IF(TODAY()&gt;J20,"VENCIDO","Pendiente"))))</f>
        <v/>
      </c>
    </row>
    <row r="21" ht="22" customHeight="1">
      <c r="A21" s="58" t="n"/>
      <c r="B21" s="53" t="n"/>
      <c r="C21" s="59" t="n"/>
      <c r="D21" s="56" t="n">
        <v>0</v>
      </c>
      <c r="E21" s="24">
        <f>IFERROR(IF(D21=0,0,ROUND(D21*(1+$C$3),2)),0)</f>
        <v>0.0</v>
      </c>
      <c r="F21" s="56" t="n">
        <v>0</v>
      </c>
      <c r="G21" s="56" t="n">
        <v>0</v>
      </c>
      <c r="H21" s="24">
        <f>IFERROR(IF(E21=0,0,E21-F21-G21),0)</f>
        <v>0.0</v>
      </c>
      <c r="I21" s="50" t="n"/>
      <c r="J21" s="58" t="n"/>
      <c r="K21" s="8">
        <f>IF(E21=0,"",IF(H21&lt;=0.01,"Cobrado",IF(J21="","Pendiente",IF(TODAY()&gt;J21,"VENCIDO","Pendiente"))))</f>
        <v/>
      </c>
    </row>
    <row r="22" ht="22" customHeight="1">
      <c r="A22" s="58" t="n"/>
      <c r="B22" s="53" t="n"/>
      <c r="C22" s="59" t="n"/>
      <c r="D22" s="56" t="n">
        <v>0</v>
      </c>
      <c r="E22" s="25">
        <f>IFERROR(IF(D22=0,0,ROUND(D22*(1+$C$3),2)),0)</f>
        <v>0.0</v>
      </c>
      <c r="F22" s="56" t="n">
        <v>0</v>
      </c>
      <c r="G22" s="56" t="n">
        <v>0</v>
      </c>
      <c r="H22" s="25">
        <f>IFERROR(IF(E22=0,0,E22-F22-G22),0)</f>
        <v>0.0</v>
      </c>
      <c r="I22" s="50" t="n"/>
      <c r="J22" s="58" t="n"/>
      <c r="K22" s="11">
        <f>IF(E22=0,"",IF(H22&lt;=0.01,"Cobrado",IF(J22="","Pendiente",IF(TODAY()&gt;J22,"VENCIDO","Pendiente"))))</f>
        <v/>
      </c>
    </row>
    <row r="23" ht="22" customHeight="1">
      <c r="A23" s="58" t="n"/>
      <c r="B23" s="53" t="n"/>
      <c r="C23" s="59" t="n"/>
      <c r="D23" s="56" t="n">
        <v>0</v>
      </c>
      <c r="E23" s="24">
        <f>IFERROR(IF(D23=0,0,ROUND(D23*(1+$C$3),2)),0)</f>
        <v>0.0</v>
      </c>
      <c r="F23" s="56" t="n">
        <v>0</v>
      </c>
      <c r="G23" s="56" t="n">
        <v>0</v>
      </c>
      <c r="H23" s="24">
        <f>IFERROR(IF(E23=0,0,E23-F23-G23),0)</f>
        <v>0.0</v>
      </c>
      <c r="I23" s="50" t="n"/>
      <c r="J23" s="58" t="n"/>
      <c r="K23" s="8">
        <f>IF(E23=0,"",IF(H23&lt;=0.01,"Cobrado",IF(J23="","Pendiente",IF(TODAY()&gt;J23,"VENCIDO","Pendiente"))))</f>
        <v/>
      </c>
    </row>
    <row r="24" ht="22" customHeight="1">
      <c r="A24" s="58" t="n"/>
      <c r="B24" s="53" t="n"/>
      <c r="C24" s="59" t="n"/>
      <c r="D24" s="56" t="n">
        <v>0</v>
      </c>
      <c r="E24" s="25">
        <f>IFERROR(IF(D24=0,0,ROUND(D24*(1+$C$3),2)),0)</f>
        <v>0.0</v>
      </c>
      <c r="F24" s="56" t="n">
        <v>0</v>
      </c>
      <c r="G24" s="56" t="n">
        <v>0</v>
      </c>
      <c r="H24" s="25">
        <f>IFERROR(IF(E24=0,0,E24-F24-G24),0)</f>
        <v>0.0</v>
      </c>
      <c r="I24" s="50" t="n"/>
      <c r="J24" s="58" t="n"/>
      <c r="K24" s="11">
        <f>IF(E24=0,"",IF(H24&lt;=0.01,"Cobrado",IF(J24="","Pendiente",IF(TODAY()&gt;J24,"VENCIDO","Pendiente"))))</f>
        <v/>
      </c>
    </row>
    <row r="25" ht="22" customHeight="1">
      <c r="A25" s="58" t="n"/>
      <c r="B25" s="53" t="n"/>
      <c r="C25" s="59" t="n"/>
      <c r="D25" s="56" t="n">
        <v>0</v>
      </c>
      <c r="E25" s="24">
        <f>IFERROR(IF(D25=0,0,ROUND(D25*(1+$C$3),2)),0)</f>
        <v>0.0</v>
      </c>
      <c r="F25" s="56" t="n">
        <v>0</v>
      </c>
      <c r="G25" s="56" t="n">
        <v>0</v>
      </c>
      <c r="H25" s="24">
        <f>IFERROR(IF(E25=0,0,E25-F25-G25),0)</f>
        <v>0.0</v>
      </c>
      <c r="I25" s="50" t="n"/>
      <c r="J25" s="58" t="n"/>
      <c r="K25" s="8">
        <f>IF(E25=0,"",IF(H25&lt;=0.01,"Cobrado",IF(J25="","Pendiente",IF(TODAY()&gt;J25,"VENCIDO","Pendiente"))))</f>
        <v/>
      </c>
    </row>
    <row r="26" ht="22" customHeight="1">
      <c r="A26" s="58" t="n"/>
      <c r="B26" s="53" t="n"/>
      <c r="C26" s="59" t="n"/>
      <c r="D26" s="56" t="n">
        <v>0</v>
      </c>
      <c r="E26" s="25">
        <f>IFERROR(IF(D26=0,0,ROUND(D26*(1+$C$3),2)),0)</f>
        <v>0.0</v>
      </c>
      <c r="F26" s="56" t="n">
        <v>0</v>
      </c>
      <c r="G26" s="56" t="n">
        <v>0</v>
      </c>
      <c r="H26" s="25">
        <f>IFERROR(IF(E26=0,0,E26-F26-G26),0)</f>
        <v>0.0</v>
      </c>
      <c r="I26" s="50" t="n"/>
      <c r="J26" s="58" t="n"/>
      <c r="K26" s="11">
        <f>IF(E26=0,"",IF(H26&lt;=0.01,"Cobrado",IF(J26="","Pendiente",IF(TODAY()&gt;J26,"VENCIDO","Pendiente"))))</f>
        <v/>
      </c>
    </row>
    <row r="27" ht="22" customHeight="1">
      <c r="A27" s="58" t="n"/>
      <c r="B27" s="53" t="n"/>
      <c r="C27" s="59" t="n"/>
      <c r="D27" s="56" t="n">
        <v>0</v>
      </c>
      <c r="E27" s="24">
        <f>IFERROR(IF(D27=0,0,ROUND(D27*(1+$C$3),2)),0)</f>
        <v>0.0</v>
      </c>
      <c r="F27" s="56" t="n">
        <v>0</v>
      </c>
      <c r="G27" s="56" t="n">
        <v>0</v>
      </c>
      <c r="H27" s="24">
        <f>IFERROR(IF(E27=0,0,E27-F27-G27),0)</f>
        <v>0.0</v>
      </c>
      <c r="I27" s="50" t="n"/>
      <c r="J27" s="58" t="n"/>
      <c r="K27" s="8">
        <f>IF(E27=0,"",IF(H27&lt;=0.01,"Cobrado",IF(J27="","Pendiente",IF(TODAY()&gt;J27,"VENCIDO","Pendiente"))))</f>
        <v/>
      </c>
    </row>
    <row r="28" ht="22" customHeight="1">
      <c r="A28" s="58" t="n"/>
      <c r="B28" s="53" t="n"/>
      <c r="C28" s="59" t="n"/>
      <c r="D28" s="56" t="n">
        <v>0</v>
      </c>
      <c r="E28" s="25">
        <f>IFERROR(IF(D28=0,0,ROUND(D28*(1+$C$3),2)),0)</f>
        <v>0.0</v>
      </c>
      <c r="F28" s="56" t="n">
        <v>0</v>
      </c>
      <c r="G28" s="56" t="n">
        <v>0</v>
      </c>
      <c r="H28" s="25">
        <f>IFERROR(IF(E28=0,0,E28-F28-G28),0)</f>
        <v>0.0</v>
      </c>
      <c r="I28" s="50" t="n"/>
      <c r="J28" s="58" t="n"/>
      <c r="K28" s="11">
        <f>IF(E28=0,"",IF(H28&lt;=0.01,"Cobrado",IF(J28="","Pendiente",IF(TODAY()&gt;J28,"VENCIDO","Pendiente"))))</f>
        <v/>
      </c>
    </row>
    <row r="29" ht="22" customHeight="1">
      <c r="A29" s="58" t="n"/>
      <c r="B29" s="53" t="n"/>
      <c r="C29" s="59" t="n"/>
      <c r="D29" s="56" t="n">
        <v>0</v>
      </c>
      <c r="E29" s="24">
        <f>IFERROR(IF(D29=0,0,ROUND(D29*(1+$C$3),2)),0)</f>
        <v>0.0</v>
      </c>
      <c r="F29" s="56" t="n">
        <v>0</v>
      </c>
      <c r="G29" s="56" t="n">
        <v>0</v>
      </c>
      <c r="H29" s="24">
        <f>IFERROR(IF(E29=0,0,E29-F29-G29),0)</f>
        <v>0.0</v>
      </c>
      <c r="I29" s="50" t="n"/>
      <c r="J29" s="58" t="n"/>
      <c r="K29" s="8">
        <f>IF(E29=0,"",IF(H29&lt;=0.01,"Cobrado",IF(J29="","Pendiente",IF(TODAY()&gt;J29,"VENCIDO","Pendiente"))))</f>
        <v/>
      </c>
    </row>
    <row r="30" ht="22" customHeight="1">
      <c r="A30" s="58" t="n"/>
      <c r="B30" s="53" t="n"/>
      <c r="C30" s="59" t="n"/>
      <c r="D30" s="56" t="n">
        <v>0</v>
      </c>
      <c r="E30" s="25">
        <f>IFERROR(IF(D30=0,0,ROUND(D30*(1+$C$3),2)),0)</f>
        <v>0.0</v>
      </c>
      <c r="F30" s="56" t="n">
        <v>0</v>
      </c>
      <c r="G30" s="56" t="n">
        <v>0</v>
      </c>
      <c r="H30" s="25">
        <f>IFERROR(IF(E30=0,0,E30-F30-G30),0)</f>
        <v>0.0</v>
      </c>
      <c r="I30" s="50" t="n"/>
      <c r="J30" s="58" t="n"/>
      <c r="K30" s="11">
        <f>IF(E30=0,"",IF(H30&lt;=0.01,"Cobrado",IF(J30="","Pendiente",IF(TODAY()&gt;J30,"VENCIDO","Pendiente"))))</f>
        <v/>
      </c>
    </row>
    <row r="31" ht="28" customHeight="1">
      <c r="A31" s="34" t="inlineStr">
        <is>
          <t>TOTALES</t>
        </is>
      </c>
      <c r="D31" s="36">
        <f>IFERROR(SUM(D6:D30),0)</f>
        <v>0.0</v>
      </c>
      <c r="E31" s="36">
        <f>IFERROR(SUM(E6:E30),0)</f>
        <v>0.0</v>
      </c>
      <c r="F31" s="36">
        <f>IFERROR(SUM(F6:F30),0)</f>
        <v>0.0</v>
      </c>
      <c r="G31" s="36">
        <f>IFERROR(SUM(G6:G30),0)</f>
        <v>0.0</v>
      </c>
      <c r="H31" s="36">
        <f>IFERROR(SUM(H6:H30),0)</f>
        <v>0.0</v>
      </c>
      <c r="I31" s="42" t="n"/>
      <c r="J31" s="42" t="n"/>
      <c r="K31" s="42" t="n"/>
    </row>
    <row r="32"/>
    <row r="33" ht="22" customHeight="1">
      <c r="A33" s="13" t="inlineStr">
        <is>
          <t>Eventos PENDIENTES de cobro</t>
        </is>
      </c>
      <c r="D33" s="43">
        <f>COUNTIF(K6:K30,"Pendiente")</f>
        <v>0.0</v>
      </c>
      <c r="E33" s="30" t="inlineStr">
        <is>
          <t>Con saldo por cobrar y todavía en plazo.</t>
        </is>
      </c>
    </row>
    <row r="34" ht="22" customHeight="1">
      <c r="A34" s="13" t="inlineStr">
        <is>
          <t>Eventos VENCIDOS</t>
        </is>
      </c>
      <c r="D34" s="44">
        <f>COUNTIF(K6:K30,"VENCIDO")</f>
        <v>0.0</v>
      </c>
      <c r="E34" s="30" t="inlineStr">
        <is>
          <t>Pasado el vencimiento y sin cobrar: reclámalos hoy.</t>
        </is>
      </c>
    </row>
    <row r="35"/>
    <row r="36" ht="30" customHeight="1">
      <c r="A36" s="5" t="inlineStr">
        <is>
          <t>Firma del responsable: _________________________     Fecha: ____/____/________</t>
        </is>
      </c>
    </row>
    <row r="37">
      <c r="A37" s="14" t="inlineStr">
        <is>
          <t>— Kit de Tareas Recurrentes · Catering / Eventos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12">
    <mergeCell ref="E33:K33"/>
    <mergeCell ref="A2:F2"/>
    <mergeCell ref="A36:K36"/>
    <mergeCell ref="G2:K2"/>
    <mergeCell ref="A1:K1"/>
    <mergeCell ref="A3:B3"/>
    <mergeCell ref="A37:K37"/>
    <mergeCell ref="A34:C34"/>
    <mergeCell ref="A33:C33"/>
    <mergeCell ref="E34:K34"/>
    <mergeCell ref="D3:K3"/>
    <mergeCell ref="A31:C31"/>
  </mergeCells>
  <conditionalFormatting sqref="H6:H30">
    <cfRule type="cellIs" priority="1" operator="greaterThan" dxfId="0">
      <formula>0.01</formula>
    </cfRule>
  </conditionalFormatting>
  <conditionalFormatting sqref="A6:K30">
    <cfRule type="expression" priority="2" dxfId="2">
      <formula>$K6="VENCIDO"</formula>
    </cfRule>
  </conditionalFormatting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Cobros y Facturación por Evento — Catering / Eventos · Kit de Tareas Recurrentes — Checklists Operativos para Catering / Eventos</dc:title>
  <dc:subject xmlns:dc="http://purl.org/dc/elements/1.1/">Kit de Tareas Recurrentes — Checklists Operativos para Catering / Eventos · v2.0</dc:subject>
  <dcterms:created xmlns:dcterms="http://purl.org/dc/terms/" xmlns:xsi="http://www.w3.org/2001/XMLSchema-instance" xsi:type="dcterms:W3CDTF">2026-08-23T00:00:00Z</dcterms:created>
  <dcterms:modified xmlns:dcterms="http://purl.org/dc/terms/" xmlns:xsi="http://www.w3.org/2001/XMLSchema-instance" xsi:type="dcterms:W3CDTF">2026-08-23T18:38:16Z</dcterms:modified>
  <cp:lastModifiedBy>AI Chef Pro</cp:lastModifiedBy>
  <cp:keywords>kit tareas catering, AI Chef Pro</cp:keywords>
</cp:coreProperties>
</file>