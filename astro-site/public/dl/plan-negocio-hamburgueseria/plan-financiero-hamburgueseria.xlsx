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Comensales/día (media del año 1)</t>
        </is>
      </c>
      <c r="B4" s="18" t="n">
        <v>95</v>
      </c>
      <c r="C4" t="inlineStr">
        <is>
          <t>Comensales equivalentes al día, media del año: unos 53 en sala (mesas y barra de ventana) y unos 42 de para llevar y domicilio, que son los pedidos (unos 13 para recoger y 12 de plataforma al día) contando cada pedido como 1,7 comensales. Un sábado, unos 138 con los pedidos; un martes, unos 61. Contrástalo con el paso de gente de tu calle un viernes por la noche y un martes a mediodía</t>
        </is>
      </c>
    </row>
    <row r="5">
      <c r="A5" t="inlineStr">
        <is>
          <t>Ticket medio SIN IVA (€)</t>
        </is>
      </c>
      <c r="B5" s="63" t="n">
        <v>16</v>
      </c>
      <c r="C5" t="inlineStr">
        <is>
          <t>SIN IVA, por comensal: en sala, la hamburguesa con patatas, bebida y algún extra, con el descuento del menú, deja unos 17,00 € con IVA (15,45 € sin IVA); el pedido para llevar (de media 29,10 € con IVA: casi dos menús) sale a 15,56 € por comensal equivalente y el de plataforma, con la carta un 15 % más cara (33,47 € con IVA), a 17,90 €. La media de los tres canales da 16,00 €. El precio con IVA está en la fila «PVP equivalente con IVA» de abajo</t>
        </is>
      </c>
    </row>
    <row r="6">
      <c r="A6" t="inlineStr">
        <is>
          <t>Días de apertura al año</t>
        </is>
      </c>
      <c r="B6" s="18" t="n">
        <v>300</v>
      </c>
      <c r="C6" t="inlineStr">
        <is>
          <t>365 días menos los 52 lunes de cierre, 10 días de cierre en la segunda quincena de enero y 3 festivos sueltos (Navidad, Año Nuevo y Reyes). El año de la apertura, la rampa del arranque absorbe ese enero. Es el MISMO dato para la cuenta de resultados, el punto de equilibrio, los escenarios y las horas de personal</t>
        </is>
      </c>
    </row>
    <row r="7">
      <c r="A7" t="inlineStr">
        <is>
          <t>Crecimiento de volumen del año 2</t>
        </is>
      </c>
      <c r="B7" s="64" t="n">
        <v>0.06</v>
      </c>
      <c r="C7" t="inlineStr">
        <is>
          <t>Clientela que repite y más pedidos para recoger el segundo año. Se aplica a los comensales con el mismo ticket; el personal NO sube con este porcentaje: sale de la hoja Personal</t>
        </is>
      </c>
    </row>
    <row r="8">
      <c r="A8" t="inlineStr">
        <is>
          <t>Crecimiento de volumen del año 3</t>
        </is>
      </c>
      <c r="B8" s="64" t="n">
        <v>0.04</v>
      </c>
      <c r="C8" t="inlineStr">
        <is>
          <t>Sobre el año 2. Conservador: el techo lo ponen la plancha, las 36 plazas los viernes y los sábados por la noche y los pedidos que caben en una hora punta</t>
        </is>
      </c>
    </row>
    <row r="9">
      <c r="A9" t="inlineStr">
        <is>
          <t>PVP equivalente con IVA (calculado)</t>
        </is>
      </c>
      <c r="B9" s="65">
        <f>IFERROR(IF($B$5="","",$B$5*(1+SUMPRODUCT('PyG 3 Años'!$E$10:$E$11,'PyG 3 Años'!$G$10:$G$11))),"")</f>
        <v>17.678848</v>
      </c>
      <c r="C9" t="str">
        <f>IFERROR("Ticket sin IVA más el IVA medio ponderado de tus líneas de venta: "&amp;TEXT(SUMPRODUCT('PyG 3 Años'!$E$10:$E$11,'PyG 3 Años'!$G$10:$G$11)*100,"0")&amp;" %. En sala todo va al 10 % (art. 91.Uno.2.2.º de la Ley 37/1992, alcohol incluido); la bebida que sale para llevar o a domicilio (columna H de su línea en el P&amp;L) mueve la media. Aquí va redondeado. Compáralo con el rango del sector, que va con IVA.","")</f>
        <v>Ticket sin IVA más el IVA medio ponderado de tus líneas de venta: 10 %. En sala todo va al 10 % (art. 91.Uno.2.2.º de la Ley 37/1992, alcohol incluido); la bebida que sale para llevar o a domicilio (columna H de su línea en el P&amp;L) mueve la media. Aquí va redondeado. Compáralo con el rango del sector, que va con IVA.</v>
      </c>
    </row>
    <row r="10">
      <c r="A10" s="16" t="inlineStr">
        <is>
          <t>MIX Y COSTE DE MERCANCÍA</t>
        </is>
      </c>
    </row>
    <row r="11">
      <c r="A11" t="inlineStr">
        <is>
          <t>Ventas de COMIDA sobre el total</t>
        </is>
      </c>
      <c r="B11" s="64" t="n">
        <v>0.84</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0.16000000000000003</v>
      </c>
      <c r="C12" t="inlineStr">
        <is>
          <t>Se calcula como el resto: comida + bebida = 100 %</t>
        </is>
      </c>
    </row>
    <row r="13">
      <c r="A13" t="inlineStr">
        <is>
          <t>Coste de mercancía sobre las ventas de COMIDA</t>
        </is>
      </c>
      <c r="B13" s="64" t="n">
        <v>0.28</v>
      </c>
      <c r="C13" t="inlineStr">
        <is>
          <t>Materia prima de la comida sobre sus ventas: un 28 %, el lado prudente. El escandallo teórico de la calculadora del pack sale en un 24,4 % de media ponderada (la smash doble con queso, en un 26,8 %; la ración de patatas congeladas, en un 8 %), pero la cuenta real es lo que compras frente a lo que vendes: entre la receta y la caja se pierden las bolas, el pan y las salsas que se tiran al cierre, las comidas del personal, las invitaciones, los errores y las reclamaciones de la plataforma y sus promociones (el dos por uno, la primera compra), unos 4 puntos en el caso. La carne es un precio estimado por el kit. Mide tu consumo el primer trimestre y cambia esta celda: cada punto vale unos 3.800 € al año</t>
        </is>
      </c>
    </row>
    <row r="14">
      <c r="A14" t="inlineStr">
        <is>
          <t>Coste de mercancía sobre las ventas de BEBIDA</t>
        </is>
      </c>
      <c r="B14" s="64" t="n">
        <v>0.25</v>
      </c>
      <c r="C14" t="inlineStr">
        <is>
          <t>La lata de refresco ronda un 19 % de su precio de venta, el tercio de cerveza un 22 % y el batido un 18 %, pero en el menú la bebida se vende con descuento y la cerveza de tirador tiene merma: el caso cuenta un 25 %. Pide por escrito las condiciones de la cervecera (si te cede el tirador, el volumen mínimo y los descuentos)</t>
        </is>
      </c>
    </row>
    <row r="15">
      <c r="A15" t="inlineStr">
        <is>
          <t>Consumibles sobre ventas</t>
        </is>
      </c>
      <c r="B15" s="64" t="n">
        <v>0.03</v>
      </c>
      <c r="C15" t="inlineStr">
        <is>
          <t>Cajas de hamburguesa, cucuruchos de patatas, tarrinas de salsa, bolsas, precinto, papel, servilletas y guantes (unos 1,10 € por pedido que sale del local y 0,20 € por comensal de sala) y los envases para que el cliente se lleve lo que no consuma (Ley 1/2025, art. 8). El envase de plástico de un solo uso se cobra aparte en el tique (Ley 7/2022, art. 55)</t>
        </is>
      </c>
    </row>
    <row r="16">
      <c r="A16" t="inlineStr">
        <is>
          <t>Ventas por delivery sobre el total</t>
        </is>
      </c>
      <c r="B16" s="64" t="n">
        <v>0.24</v>
      </c>
      <c r="C16" t="inlineStr">
        <is>
          <t>Ventas por PLATAFORMA con su reparto (Glovo, Just Eat, Uber Eats) sobre el total: unos 12 pedidos al día. Lo que se recoge en el local (unos 13 pedidos al día, por la web o por teléfono) NO paga comisión y no va aquí: empújalo. La hamburguesa viaja bien; las patatas, peor (cucurucho ventilado y fritas al final). Si la plataforma llegara al 33 % de las ventas, pagarías unos 12.300 € más de comisión al año</t>
        </is>
      </c>
    </row>
    <row r="17">
      <c r="A17" t="inlineStr">
        <is>
          <t>Comisión de la plataforma de delivery</t>
        </is>
      </c>
      <c r="B17" s="64" t="n">
        <v>0.3</v>
      </c>
      <c r="C17" t="inlineStr">
        <is>
          <t>Comisión de la plataforma con su reparto sobre lo que vende ese canal: el plan básico de Uber Eats ronda el 30 % más IVA, Glovo va del 15 al 35 % según la zona y Just Eat, del 13 al 35 %. Compruébala en tu contrato. Si repartes tú, pon 0 y suma el repartidor, con contrato laboral, a la hoja Personal</t>
        </is>
      </c>
    </row>
    <row r="18">
      <c r="A18" t="inlineStr">
        <is>
          <t>Comisión de los medios de pago</t>
        </is>
      </c>
      <c r="B18" s="64" t="n">
        <v>0.008</v>
      </c>
      <c r="C18" t="inlineStr">
        <is>
          <t>Tarjeta y bizum sobre el total facturado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1500</v>
      </c>
      <c r="C24" t="inlineStr">
        <is>
          <t>Local de 90 m² que ya fue de restauración, con salida de humos a cubierta posible: cocina a la vista con la plancha y dos freidoras, mostrador de pedidos con pantalla de turnos, sala de 30 plazas y 6 taburetes en una barra de ventana, y una zona de empaquetado y de recogida de los repartidores junto a la puerta, en un barrio con vida de noche o una zona universitaria de una ciudad de 150.000 a 500.000 habitantes, sin traspaso: unos 16,7 € el m². El peso sobre las ventas lo calcula el propio libro en la fila «Alquiler / Ventas» del P&amp;L</t>
        </is>
      </c>
    </row>
    <row r="25">
      <c r="A25" t="inlineStr">
        <is>
          <t>Fianza del alquiler (meses)</t>
        </is>
      </c>
      <c r="B25" s="18" t="n">
        <v>2</v>
      </c>
      <c r="C25" t="inlineStr">
        <is>
          <t>Dos meses de renta, lo habitual en un contrato de local de negocio: compruébalo con tu abogado</t>
        </is>
      </c>
    </row>
    <row r="26">
      <c r="A26" t="inlineStr">
        <is>
          <t>Suministros mensuales de luz, agua y gas (€)</t>
        </is>
      </c>
      <c r="B26" s="23" t="n">
        <v>1100</v>
      </c>
      <c r="C26" t="inlineStr">
        <is>
          <t>Gas de la plancha, luz de las freidoras eléctricas, de la extracción (potente: la plancha y las freidoras echan mucha grasa), del frío y de la climatización, y agua. Pide el histórico del local</t>
        </is>
      </c>
    </row>
    <row r="27">
      <c r="A27" t="inlineStr">
        <is>
          <t>Seguros (€/año)</t>
        </is>
      </c>
      <c r="B27" s="23" t="n">
        <v>1500</v>
      </c>
      <c r="C27" t="inlineStr">
        <is>
          <t>Responsabilidad civil de al menos 300.000 € y multirriesgo con incendio y avería del frío. Dile a la aseguradora que trabajas con una plancha de gas y dos freidoras: cambia la prima y las condiciones</t>
        </is>
      </c>
    </row>
    <row r="28">
      <c r="A28" t="inlineStr">
        <is>
          <t>Varios e imprevistos sobre ventas</t>
        </is>
      </c>
      <c r="B28" s="64" t="n">
        <v>0.02</v>
      </c>
      <c r="C28" t="inlineStr">
        <is>
          <t>Colchón de gasto corriente no presupuestado (pequeñas reparaciones, utillaje que se rompe, pruebas de carta)</t>
        </is>
      </c>
    </row>
    <row r="29">
      <c r="A29" s="16" t="inlineStr">
        <is>
          <t>FINANCIACIÓN</t>
        </is>
      </c>
    </row>
    <row r="30">
      <c r="A30" t="inlineStr">
        <is>
          <t>Recursos propios aportados (€)</t>
        </is>
      </c>
      <c r="B30" s="23" t="n">
        <v>55000</v>
      </c>
      <c r="C30" t="inlineStr">
        <is>
          <t>Aportación de los socios. Un banco pide entre el 25 y el 30 % de la necesidad de caja con dinero propio</t>
        </is>
      </c>
    </row>
    <row r="31">
      <c r="A31" t="inlineStr">
        <is>
          <t>Préstamo bancario solicitado (€)</t>
        </is>
      </c>
      <c r="B31" s="23" t="n">
        <v>130000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v>
      </c>
      <c r="C32" t="inlineStr">
        <is>
          <t>Tipo nominal anual. Pide oferta a dos entidades y a una línea ICO antes de fijarlo; la plancha, las freidoras y el frío se pueden pagar con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la obra, el conducto de extracción y la cocina antes de facturar. Desde el segundo año se devuelve el principal: mira la holgura de caja de ese año en el Punto de Equilibrio</t>
        </is>
      </c>
    </row>
    <row r="35">
      <c r="A35" t="inlineStr">
        <is>
          <t>Fondo de maniobra (meses de costes fijos)</t>
        </is>
      </c>
      <c r="B35" s="18" t="n">
        <v>3</v>
      </c>
      <c r="C35" t="inlineStr">
        <is>
          <t>Tres meses de costes fijos: el colchón para la rampa del arranque, que con el Mes 1 en enero va de enero a abril, y para agosto, cuando la ciudad se vacía</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la bebida que sale para llevar o a domicilio (es una entrega de bienes). El alcohol servido en sala va al reducido, como fija la línea de bebida del P&amp;L. Suministros, equipamiento y servicios tienen su tipo en la celda de abajo. En las compras, el libro manda al general la parte de la bebida que declara la celda «Bebida que compras al 21 %» de esta hoja: la cerveza y los refrescos con azúcares o edulcorantes añadidos (también los zero), cuya factura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con el mostrador y la cocina a la vista, conducto de extracción hasta cubierta, instalación eléctrica y de gas, fontanería, climatización, rótulo y fachada. Coeficientes de la tabla del art. 12.1 de la Ley del Impuesto sobre Sociedades: confírmalo con tu asesor</t>
        </is>
      </c>
    </row>
    <row r="45">
      <c r="A45" t="inlineStr">
        <is>
          <t>Vida útil de maquinaria y mobiliario (años)</t>
        </is>
      </c>
      <c r="B45" s="18" t="n">
        <v>10</v>
      </c>
      <c r="C45" t="inlineStr">
        <is>
          <t>Plancha, freidoras, campana extractora, mesa refrigerada, frío, barra de bebidas, lavavajillas, utillaje,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AFORO</t>
        </is>
      </c>
    </row>
    <row r="50">
      <c r="A50" t="inlineStr">
        <is>
          <t>Rotaciones al día implícitas (calculado)</t>
        </is>
      </c>
      <c r="B50" s="24">
        <f>IFERROR($B$4/$B$51,"")</f>
        <v>2.638888888888889</v>
      </c>
      <c r="C50" t="str">
        <f>IFERROR("Son "&amp;TEXT(INT(ROUND(B50,1)),"0")&amp;","&amp;TEXT(ROUND(MOD(ROUND(B50,1),1)*10,0),"0")&amp;" servicios por plaza y día sobre las "&amp;TEXT($B$51,"0")&amp;" plazas de la celda de arriba. Incluye los pedidos para llevar y a domicilio (1 pedido = 1,7 comensales), que no ocupan mesa: la rotación real de tu sala ronda 1,5 por plaza y día.","")</f>
        <v>Son 2,6 servicios por plaza y día sobre las 36 plazas de la celda de arriba. Incluye los pedidos para llevar y a domicilio (1 pedido = 1,7 comensales), que no ocupan mesa: la rotación real de tu sala ronda 1,5 por plaza y día.</v>
      </c>
    </row>
    <row r="51">
      <c r="A51" t="inlineStr">
        <is>
          <t>Aforo del local (plazas sentadas, con la barra de ventana)</t>
        </is>
      </c>
      <c r="B51" s="18" t="n">
        <v>36</v>
      </c>
      <c r="C51" t="inlineStr">
        <is>
          <t>Plazas interiores: 30 en mesa y 6 taburetes en la barra de ventana. Quien se lleva el pedido o lo recibe en casa no ocupa mesa: por eso la rotación de la fila de arriba es más alta que la real de tu sala</t>
        </is>
      </c>
    </row>
    <row r="52">
      <c r="A52" t="inlineStr">
        <is>
          <t>Actividad del mes 1 sobre la de crucero</t>
        </is>
      </c>
      <c r="B52" s="64" t="n">
        <v>0.75</v>
      </c>
      <c r="C52" t="inlineStr">
        <is>
          <t>Una hamburguesería que abre trae curiosos el primer mes, pero la clientela fija y la nota en las plataformas tardan un trimestre: el Mes 1 (enero) factura un 75 % de lo que facturará a los cuatro meses. Con 100 % se elimina la rampa</t>
        </is>
      </c>
    </row>
    <row r="53">
      <c r="A53" t="inlineStr">
        <is>
          <t>Meses hasta alcanzar el régimen de crucero</t>
        </is>
      </c>
      <c r="B53" s="18" t="n">
        <v>4</v>
      </c>
      <c r="C53" t="inlineStr">
        <is>
          <t>Cuatro meses hasta el ritmo de crucero: de enero a abril</t>
        </is>
      </c>
    </row>
    <row r="54">
      <c r="A54" t="inlineStr">
        <is>
          <t>Meses de alquiler ANTES de abrir (obra y licencias)</t>
        </is>
      </c>
      <c r="B54" s="18" t="n">
        <v>2</v>
      </c>
      <c r="C54" t="inlineStr">
        <is>
          <t>Dos meses de renta antes de abrir: la obra, el conducto de extracción, la instalación de gas y la licencia. Si el banco te da el préstamo al empezar la obra, súmale los intereses de esos meses, que este libro no cuenta, y ten en cuenta que la carencia corre desde la firma</t>
        </is>
      </c>
    </row>
    <row r="55">
      <c r="A55" t="inlineStr">
        <is>
          <t>Imprevistos sobre las partidas de OBRA del bloque de local (%)</t>
        </is>
      </c>
      <c r="B55" s="64" t="n">
        <v>0.1</v>
      </c>
      <c r="C55" t="inlineStr">
        <is>
          <t>Colchón sobre la obra y las instalaciones del local, que es donde aparecen las sorpresas (el conducto hasta cubierta, la potencia de las freidoras, la acometida de gas, el separador de grasas). Un banco no financia una reforma sin él</t>
        </is>
      </c>
    </row>
    <row r="56"/>
    <row r="57">
      <c r="A57" s="16" t="inlineStr">
        <is>
          <t>COBROS, PAGOS Y DESGLOSE DEL IVA</t>
        </is>
      </c>
    </row>
    <row r="58">
      <c r="A58" t="inlineStr">
        <is>
          <t>Días medios de cobro</t>
        </is>
      </c>
      <c r="B58" s="18" t="n">
        <v>2</v>
      </c>
      <c r="C58" t="inlineStr">
        <is>
          <t>Media ponderada: la sala y lo que se recoge en el local cobran al momento y la plataforma liquida cada semana o cada quince días lo que vende por ella (un 24 % de las ventas). Con liquidación semanal salen unos 2 días</t>
        </is>
      </c>
    </row>
    <row r="59">
      <c r="A59" t="inlineStr">
        <is>
          <t>Días medios de pago a proveedor</t>
        </is>
      </c>
      <c r="B59" s="18" t="n">
        <v>30</v>
      </c>
      <c r="C59" t="inlineStr">
        <is>
          <t>Plazo de pago a los proveedores de carne, pan, patatas y bebida: lo que te financian. Negócialo por escrito: si el proveedor de carne te pide pago semanal, baja esta cifra</t>
        </is>
      </c>
    </row>
    <row r="60">
      <c r="A60" t="inlineStr">
        <is>
          <t>Mes de la paga extra de verano</t>
        </is>
      </c>
      <c r="B60" s="18" t="n">
        <v>7</v>
      </c>
      <c r="C60" t="inlineStr">
        <is>
          <t>Mes de la TESORERÍA en el que sale la paga extra de verano: julio es el Mes 7, porque el Mes 1 del plan es enero</t>
        </is>
      </c>
    </row>
    <row r="61">
      <c r="A61" t="inlineStr">
        <is>
          <t>Mes de la paga extra de Navidad</t>
        </is>
      </c>
      <c r="B61" s="18" t="n">
        <v>12</v>
      </c>
      <c r="C61" t="inlineStr">
        <is>
          <t>Mes de la TESORERÍA en el que sale la paga extra de Navidad: diciembre es el Mes 12, porque el Mes 1 del plan es enero</t>
        </is>
      </c>
    </row>
    <row r="62">
      <c r="A62" t="inlineStr">
        <is>
          <t>Bebida que compras al 21 % (cerveza y refrescos con azúcares o edulcorantes añadidos) sobre el total de bebida</t>
        </is>
      </c>
      <c r="B62" s="64" t="n">
        <v>0.75</v>
      </c>
      <c r="C62" t="inlineStr">
        <is>
          <t>Sólo mueve el IVA que SOPORTAS al comprar la bebida: la cerveza y los refrescos con azúcares o edulcorantes añadidos (también los zero) te los facturan al 21 %; el agua, la leche y el helado de los batidos, al 10 % o al 4 %. El IVA que REPERCUTES lo fija la línea de bebida del P&amp;L (columna H)</t>
        </is>
      </c>
    </row>
    <row r="63">
      <c r="A63" t="inlineStr">
        <is>
          <t>IVA de la bebida ALCOHÓLICA servida en sala</t>
        </is>
      </c>
      <c r="B63" s="64" t="n">
        <v>0.1</v>
      </c>
      <c r="C63" t="inlineStr">
        <is>
          <t>SIN EFECTO en este libro: el IVA que repercute la bebida lo fija su línea del P&amp;L. En sala, todo al 10 % (art. 91.Uno.2.2.º de la Ley 37/1992); para llevar o a domicilio, la cerveza y los refrescos con azúcares o edulcorantes añadidos (también los zero), al 21 %, en la columna H de esa línea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23" t="n">
        <v>0</v>
      </c>
      <c r="C68" t="inlineStr">
        <is>
          <t>Las hamburgueserías van al convenio PROVINCIAL de hostelería: el art. 4 del VI Acuerdo Laboral de ámbito Estatal para el sector de Hostelería las nombra expresamente.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HAMBURGUESERÍA SMASH</t>
        </is>
      </c>
    </row>
    <row r="2">
      <c r="A2" s="2" t="inlineStr">
        <is>
          <t>Inversión inicial estimada — hamburguesería de smash burgers con sala, para llevar y a domicilio</t>
        </is>
      </c>
    </row>
    <row r="3">
      <c r="A3" s="3" t="inlineStr">
        <is>
          <t>Ajusta las cifras a tu proyecto: son las de un caso tipo en una ciudad media, sin traspaso. Pon tus presupuestos reales en las celdas de importe.</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110350.0</v>
      </c>
      <c r="C6" s="67">
        <f>IFERROR(B6/$B$30,"")</f>
        <v>0.6805696111699513</v>
      </c>
      <c r="D6" s="29" t="n"/>
      <c r="E6" s="29" t="n"/>
    </row>
    <row r="7">
      <c r="A7" s="29" t="inlineStr">
        <is>
          <t>Proyecto técnico de actividad y de extracción, y dirección de obra</t>
        </is>
      </c>
      <c r="B7" s="30" t="n">
        <v>3500</v>
      </c>
      <c r="C7" s="68">
        <f>IFERROR(B7/$B$30,"")</f>
        <v>0.02158580551966316</v>
      </c>
      <c r="D7" s="29" t="inlineStr">
        <is>
          <t>Proyecto de la actividad y del conducto de extracción, memoria para la licencia o la declaración responsable y certificado final de obra</t>
        </is>
      </c>
      <c r="E7" s="32" t="inlineStr">
        <is>
          <t>Sí</t>
        </is>
      </c>
    </row>
    <row r="8">
      <c r="A8" s="29" t="inlineStr">
        <is>
          <t>Obra del local con mostrador de pedidos y cocina a la vista, rótulo y fachada</t>
        </is>
      </c>
      <c r="B8" s="30" t="n">
        <v>26000</v>
      </c>
      <c r="C8" s="68">
        <f>IFERROR(B8/$B$30,"")</f>
        <v>0.16035169814606917</v>
      </c>
      <c r="D8" s="29" t="inlineStr">
        <is>
          <t>Mostrador de pedidos con la cocina a la vista, cocina alicatada, suelo antideslizante, aseos (uno adaptado), falsos techos y aislamiento acústico, más el rótulo y la fachada. Estimación del kit: pide dos presupuestos</t>
        </is>
      </c>
      <c r="E8" s="32" t="inlineStr">
        <is>
          <t>Sí</t>
        </is>
      </c>
    </row>
    <row r="9">
      <c r="A9" s="29" t="inlineStr">
        <is>
          <t>Conducto de extracción exclusivo hasta cubierta</t>
        </is>
      </c>
      <c r="B9" s="30" t="n">
        <v>6000</v>
      </c>
      <c r="C9" s="68">
        <f>IFERROR(B9/$B$30,"")</f>
        <v>0.037004238033708274</v>
      </c>
      <c r="D9" s="29" t="inlineStr">
        <is>
          <t>Conducto exclusivo hasta la cubierta para la plancha y las freidoras, que echan mucha grasa: Madrid pide superar en 1 m lo que haya en 15 m (Ordenanza 4/2021). Ningún fabricante da precio por metro: pide oferta con tu proyecto</t>
        </is>
      </c>
      <c r="E9" s="32" t="inlineStr">
        <is>
          <t>Sí</t>
        </is>
      </c>
    </row>
    <row r="10">
      <c r="A10" s="29" t="inlineStr">
        <is>
          <t>Instalación eléctrica, cuadro y boletín</t>
        </is>
      </c>
      <c r="B10" s="30" t="n">
        <v>4500</v>
      </c>
      <c r="C10" s="68">
        <f>IFERROR(B10/$B$30,"")</f>
        <v>0.027753178525281204</v>
      </c>
      <c r="D10" s="29" t="inlineStr">
        <is>
          <t>Las freidoras eléctricas suelen pedir corriente trifásica, más el frío, la extracción y la climatización. Pregunta la potencia disponible ANTES de firmar: una acometida nueva tarda</t>
        </is>
      </c>
      <c r="E10" s="32" t="inlineStr">
        <is>
          <t>Sí</t>
        </is>
      </c>
    </row>
    <row r="11">
      <c r="A11" s="29" t="inlineStr">
        <is>
          <t>Fontanería, separador de grasas, climatización e instalación de gas</t>
        </is>
      </c>
      <c r="B11" s="30" t="n">
        <v>8500</v>
      </c>
      <c r="C11" s="68">
        <f>IFERROR(B11/$B$30,"")</f>
        <v>0.05242267054775338</v>
      </c>
      <c r="D11" s="29" t="inlineStr">
        <is>
          <t>Agua fría y caliente en la cocina, desagües con separador de grasas, climatización de la sala y la instalación de gas de la plancha por una empresa instaladora habilitada, con su certificado (RD 919/2006)</t>
        </is>
      </c>
      <c r="E11" s="32" t="inlineStr">
        <is>
          <t>Sí</t>
        </is>
      </c>
    </row>
    <row r="12">
      <c r="A12" s="29" t="inlineStr">
        <is>
          <t>Plancha fry-top de acero a gas y tostador de pan</t>
        </is>
      </c>
      <c r="B12" s="30" t="n">
        <v>4000</v>
      </c>
      <c r="C12" s="68">
        <f>IFERROR(B12/$B$30,"")</f>
        <v>0.02466949202247218</v>
      </c>
      <c r="D12" s="29" t="inlineStr">
        <is>
          <t>La plancha de acero (fry-top) donde se aplasta cada bola: una de 60 a 80 cm va de unos 771 a 1.399 € sin IVA según la gama; el caso cuenta una de 100 cm, más el tostador del pan. Estimación del kit</t>
        </is>
      </c>
      <c r="E12" s="32" t="inlineStr">
        <is>
          <t>Sí</t>
        </is>
      </c>
    </row>
    <row r="13">
      <c r="A13" s="29" t="inlineStr">
        <is>
          <t>Dos freidoras eléctricas de doble cuba y mantenedor de patatas</t>
        </is>
      </c>
      <c r="B13" s="30" t="n">
        <v>3500</v>
      </c>
      <c r="C13" s="68">
        <f>IFERROR(B13/$B$30,"")</f>
        <v>0.02158580551966316</v>
      </c>
      <c r="D13" s="29" t="inlineStr">
        <is>
          <t>Dos freidoras para no mezclar las patatas con los rebozados (alérgenos y contacto cruzado) y el mantenedor de patatas. Las de gama ligera bajan de 300 € sin IVA, pero aguantan poco en un servicio fuerte: pide la ficha técnica</t>
        </is>
      </c>
      <c r="E13" s="32" t="inlineStr">
        <is>
          <t>Sí</t>
        </is>
      </c>
    </row>
    <row r="14">
      <c r="A14" s="29" t="inlineStr">
        <is>
          <t>Campana extractora con motor y filtros</t>
        </is>
      </c>
      <c r="B14" s="30" t="n">
        <v>2200</v>
      </c>
      <c r="C14" s="68">
        <f>IFERROR(B14/$B$30,"")</f>
        <v>0.0135682206123597</v>
      </c>
      <c r="D14" s="29" t="inlineStr">
        <is>
          <t>Campana extractora con motor y filtros de grasa sobre la plancha y las freidoras (una de 1,5 a 2 m va de unos 543 a 813 € sin IVA; el caso cuenta una de 3 m)</t>
        </is>
      </c>
      <c r="E14" s="32" t="inlineStr">
        <is>
          <t>Sí</t>
        </is>
      </c>
    </row>
    <row r="15">
      <c r="A15" s="29" t="inlineStr">
        <is>
          <t>Mesa refrigerada de montaje y bajo plancha refrigerado para las bolas</t>
        </is>
      </c>
      <c r="B15" s="30" t="n">
        <v>3800</v>
      </c>
      <c r="C15" s="68">
        <f>IFERROR(B15/$B$30,"")</f>
        <v>0.02343601742134857</v>
      </c>
      <c r="D15" s="29" t="inlineStr">
        <is>
          <t>La línea de montaje con los ingredientes en frío y el bajo plancha con cajones para tener las bolas a mano y en frío durante el servicio (una mesa refrigerada va de unos 1.177 a 1.948 € sin IVA)</t>
        </is>
      </c>
      <c r="E15" s="32" t="inlineStr">
        <is>
          <t>Sí</t>
        </is>
      </c>
    </row>
    <row r="16">
      <c r="A16" s="29" t="inlineStr">
        <is>
          <t>Frío: armario de carne, armarios de cocina, congelador de patatas y nevera de bebidas</t>
        </is>
      </c>
      <c r="B16" s="30" t="n">
        <v>5000</v>
      </c>
      <c r="C16" s="68">
        <f>IFERROR(B16/$B$30,"")</f>
        <v>0.030836865028090226</v>
      </c>
      <c r="D16" s="29" t="inlineStr">
        <is>
          <t>Armario de carne a 2 °C o menos (la carne picada va a esa temperatura y los preparados de carne, a 4 °C o menos: RD 1021/2022, art. 4.1), armarios refrigerados de cocina, congelador de patatas y nevera de bebidas</t>
        </is>
      </c>
      <c r="E16" s="32" t="inlineStr">
        <is>
          <t>Sí</t>
        </is>
      </c>
    </row>
    <row r="17">
      <c r="A17" s="29" t="inlineStr">
        <is>
          <t>Barra: batidora de batidos, arcón de helado, tirador de cerveza y botellero</t>
        </is>
      </c>
      <c r="B17" s="30" t="n">
        <v>2500</v>
      </c>
      <c r="C17" s="68">
        <f>IFERROR(B17/$B$30,"")</f>
        <v>0.015418432514045113</v>
      </c>
      <c r="D17" s="29" t="inlineStr">
        <is>
          <t>La batidora y el arcón de helado de los batidos, el tirador de cerveza (si no te lo cede la cervecera) y el botellero</t>
        </is>
      </c>
      <c r="E17" s="32" t="inlineStr">
        <is>
          <t>Sí</t>
        </is>
      </c>
    </row>
    <row r="18">
      <c r="A18" s="29" t="inlineStr">
        <is>
          <t>Lavavajillas de capota, fregaderos, lavamanos, mesas inox y estanterías</t>
        </is>
      </c>
      <c r="B18" s="30" t="n">
        <v>5500</v>
      </c>
      <c r="C18" s="68">
        <f>IFERROR(B18/$B$30,"")</f>
        <v>0.03392055153089925</v>
      </c>
      <c r="D18" s="29" t="inlineStr">
        <is>
          <t>Lavavajillas, fregaderos, lavamanos de accionamiento no manual, mesas de acero inoxidable y estanterías</t>
        </is>
      </c>
      <c r="E18" s="32" t="inlineStr">
        <is>
          <t>Sí</t>
        </is>
      </c>
    </row>
    <row r="19">
      <c r="A19" s="29" t="inlineStr">
        <is>
          <t>Utillaje: smashers, espátulas, básculas, sondas, medidor de compuestos polares y etiquetadora</t>
        </is>
      </c>
      <c r="B19" s="30" t="n">
        <v>2000</v>
      </c>
      <c r="C19" s="68">
        <f>IFERROR(B19/$B$30,"")</f>
        <v>0.01233474601123609</v>
      </c>
      <c r="D19" s="29" t="inlineStr">
        <is>
          <t>Smashers (las prensas para aplastar la bola), espátulas y raspadores, básculas de porcionado, termómetros sonda, el medidor de compuestos polares del aceite (de 399 a 499 € sin IVA; tu APPCC puede elegir tiras), cubetas GN, dispensadores de salsa y la etiquetadora</t>
        </is>
      </c>
      <c r="E19" s="32" t="inlineStr">
        <is>
          <t>Sí</t>
        </is>
      </c>
    </row>
    <row r="20">
      <c r="A20" s="29" t="inlineStr">
        <is>
          <t>Mobiliario de sala, barra de ventana y mostrador</t>
        </is>
      </c>
      <c r="B20" s="30" t="n">
        <v>8000</v>
      </c>
      <c r="C20" s="68">
        <f>IFERROR(B20/$B$30,"")</f>
        <v>0.04933898404494436</v>
      </c>
      <c r="D20" s="29" t="inlineStr">
        <is>
          <t>Mesas y sillas para 30 plazas, 6 taburetes en la barra de ventana y el mueble del mostrador</t>
        </is>
      </c>
      <c r="E20" s="32" t="inlineStr">
        <is>
          <t>Sí</t>
        </is>
      </c>
    </row>
    <row r="21">
      <c r="A21" s="29" t="inlineStr">
        <is>
          <t>TPV con Veri*factu, pantalla de turnos, datáfono, impresora de comandas e integrador de plataformas</t>
        </is>
      </c>
      <c r="B21" s="30" t="n">
        <v>3500</v>
      </c>
      <c r="C21" s="68">
        <f>IFERROR(B21/$B$30,"")</f>
        <v>0.02158580551966316</v>
      </c>
      <c r="D21" s="29" t="inlineStr">
        <is>
          <t>Software de facturación conforme a Veri*factu, la pantalla que llama los turnos, datáfono, impresora de cocina y el integrador que junta los pedidos de las plataformas</t>
        </is>
      </c>
      <c r="E21" s="32" t="inlineStr">
        <is>
          <t>Sí</t>
        </is>
      </c>
    </row>
    <row r="22">
      <c r="A22" s="29" t="inlineStr">
        <is>
          <t>Constitución de la SL, licencia, tasas, registro sanitario y APPCC</t>
        </is>
      </c>
      <c r="B22" s="30" t="n">
        <v>3000</v>
      </c>
      <c r="C22" s="68">
        <f>IFERROR(B22/$B$30,"")</f>
        <v>0.018502119016854137</v>
      </c>
      <c r="D22" s="29" t="inlineStr">
        <is>
          <t>SL unipersonal, licencia o declaración responsable, tasas municipales, registro sanitario autonómico y redacción del plan APPCC con la carne picada, la cocción y la freidora. Las tasas no llevan IVA; los honorarios sí: cambia la columna de al lado si tu presupuesto es sobre todo de honorarios</t>
        </is>
      </c>
      <c r="E22" s="32" t="inlineStr">
        <is>
          <t>No</t>
        </is>
      </c>
    </row>
    <row r="23">
      <c r="A23" s="29" t="inlineStr">
        <is>
          <t>Marca, web, fotos y vídeo de lanzamiento</t>
        </is>
      </c>
      <c r="B23" s="30" t="n">
        <v>5000</v>
      </c>
      <c r="C23" s="68">
        <f>IFERROR(B23/$B$30,"")</f>
        <v>0.030836865028090226</v>
      </c>
      <c r="D23" s="29" t="inlineStr">
        <is>
          <t>Identidad, web con la carta, los alérgenos y los pedidos para recoger, sesión de fotos y el vídeo de la apertura (la smash se vende en vídeo)</t>
        </is>
      </c>
      <c r="E23" s="32" t="inlineStr">
        <is>
          <t>Sí</t>
        </is>
      </c>
    </row>
    <row r="24">
      <c r="A24" s="29" t="inlineStr">
        <is>
          <t>Stock inicial: carne, pan, patatas, aceite, salsas, envases y bebida</t>
        </is>
      </c>
      <c r="B24" s="30" t="n">
        <v>3000</v>
      </c>
      <c r="C24" s="68">
        <f>IFERROR(B24/$B$30,"")</f>
        <v>0.018502119016854137</v>
      </c>
      <c r="D24" s="29" t="inlineStr">
        <is>
          <t>Carne, pan, patatas, aceite, salsas, el primer pedido de cajas y bolsas para llevar y a domicilio y la bebida</t>
        </is>
      </c>
      <c r="E24" s="32" t="inlineStr">
        <is>
          <t>Sí</t>
        </is>
      </c>
    </row>
    <row r="25">
      <c r="A25" s="29" t="inlineStr">
        <is>
          <t>Fianza del alquiler</t>
        </is>
      </c>
      <c r="B25" s="33">
        <f>IFERROR(IF('0. Supuestos'!$B$24="","",'0. Supuestos'!$B$24*'0. Supuestos'!$B$25),"")</f>
        <v>3000.0</v>
      </c>
      <c r="C25" s="68">
        <f>IFERROR(B25/$B$30,"")</f>
        <v>0.018502119016854137</v>
      </c>
      <c r="D25" s="29" t="str">
        <f>IFERROR(""&amp;TEXT('0. Supuestos'!$B$25,"0")&amp;" meses de renta, al tipo de la hoja de Supuestos. Es un activo recuperable al cerrar: ni se amortiza ni lleva IVA","")</f>
        <v>2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3000.0</v>
      </c>
      <c r="C26" s="68">
        <f>IFERROR(B26/$B$30,"")</f>
        <v>0.018502119016854137</v>
      </c>
      <c r="D26" s="29"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6" s="29" t="inlineStr">
        <is>
          <t>Sí</t>
        </is>
      </c>
    </row>
    <row r="27">
      <c r="A27" s="29" t="inlineStr">
        <is>
          <t>Imprevistos de obra y acondicionamiento</t>
        </is>
      </c>
      <c r="B27" s="33">
        <f>IFERROR(IF(COUNT(B7,B8,B9,B10,B11)=0,"",ROUND((B7+B8+B9+B10+B11)*'0. Supuestos'!$B$55,0)),"")</f>
        <v>4850.0</v>
      </c>
      <c r="C27" s="68">
        <f>IFERROR(B27/$B$30,"")</f>
        <v>0.02991175907724752</v>
      </c>
      <c r="D27" s="29" t="str">
        <f>IFERROR("Al "&amp;TEXT('0. Supuestos'!$B$55,"0%")&amp;" de las partidas de OBRA Y ACONDICIONAMIENTO de este bloque (Proyecto técnico de actividad y de extracción, y dirección de obra, Obra del local con mostrador de pedidos y cocina a la vista, rótulo y fachada, Conducto de extracción "&amp;"exclusivo hasta cubierta, Instalación eléctrica, cuadro y boletín y Fontanería, separador de grasas, climatización e instalación de gas), no del bloque entero: el resto de partidas del bloque quedan fuera. Un banco no financia una reforma "&amp;"sin colchón: el porcentaje está en la hoja de Supuestos","")</f>
        <v>Al 10% de las partidas de OBRA Y ACONDICIONAMIENTO de este bloque (Proyecto técnico de actividad y de extracción, y dirección de obra, Obra del local con mostrador de pedidos y cocina a la vista, rótulo y fachada, Conducto de extracción exclusivo hasta cubierta, Instalación eléctrica, cuadro y boletín y Fontanería, separador de grasas, climatización e instalación de gas), no del bloque entero: el resto de partidas del bloque quedan fuera. Un banco no financia una reforma sin colchón: el porcentaje está en la hoja de Supuestos</v>
      </c>
      <c r="E27" s="29" t="inlineStr">
        <is>
          <t>Sí</t>
        </is>
      </c>
    </row>
    <row r="28">
      <c r="A28" s="26" t="inlineStr">
        <is>
          <t>FONDO DE MANIOBRA</t>
        </is>
      </c>
      <c r="B28" s="27">
        <f>IFERROR(IF(B29="","",B29),"")</f>
        <v>51793.59</v>
      </c>
      <c r="C28" s="67">
        <f>IFERROR(B28/$B$30,"")</f>
        <v>0.3194303888300487</v>
      </c>
      <c r="D28" s="29" t="n"/>
      <c r="E28" s="29" t="n"/>
    </row>
    <row r="29">
      <c r="A29" s="29" t="inlineStr">
        <is>
          <t>Colchón operativo hasta alcanzar el equilibrio</t>
        </is>
      </c>
      <c r="B29" s="33">
        <f>IFERROR(IF('0. Supuestos'!$B$35*('PyG 3 Años'!$B$37-'PyG 3 Años'!$B$35)=0,"",'0. Supuestos'!$B$35*('PyG 3 Años'!$B$37-'PyG 3 Años'!$B$35)/12),"")</f>
        <v>51793.59</v>
      </c>
      <c r="C29" s="68">
        <f>IFERROR(B29/$B$30,"")</f>
        <v>0.3194303888300487</v>
      </c>
      <c r="D29" s="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29" t="inlineStr">
        <is>
          <t>No</t>
        </is>
      </c>
    </row>
    <row r="30">
      <c r="A30" s="26" t="inlineStr">
        <is>
          <t>INVERSIÓN TOTAL (suma de los bloques)</t>
        </is>
      </c>
      <c r="B30" s="27">
        <f>IFERROR(B6+B28,"")</f>
        <v>162143.59</v>
      </c>
      <c r="C30" s="29" t="n"/>
      <c r="D30" s="26"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(32% del total). Para comparar el desglose con otro plan, usa la fila de CAPEX de abajo.</v>
      </c>
      <c r="E30" s="29" t="n"/>
    </row>
    <row r="31">
      <c r="A31" s="26" t="inlineStr">
        <is>
          <t>CAPEX (inversión sin el fondo de maniobra)</t>
        </is>
      </c>
      <c r="B31" s="27">
        <f>IFERROR(B30-B28,"")</f>
        <v>110350.0</v>
      </c>
      <c r="C31" s="29" t="n"/>
      <c r="D31" s="26" t="inlineStr">
        <is>
          <t>Es lo que se compra: obra, equipamiento, lanzamiento y gastos de constitución. El colchón de caja no es inversión, es circulante</t>
        </is>
      </c>
      <c r="E31" s="29" t="n"/>
    </row>
    <row r="32">
      <c r="A32" s="29" t="inlineStr">
        <is>
          <t>IVA soportado sobre la inversión (recuperable)</t>
        </is>
      </c>
      <c r="B32" s="33">
        <f>IFERROR(IF(B30="","",SUMIF($E$7:$E$27,"Sí",$B$7:$B$27)*'0. Supuestos'!$B$41),"")</f>
        <v>21913.5</v>
      </c>
      <c r="C32" s="29" t="n"/>
      <c r="D32" s="29"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2" s="29" t="n"/>
    </row>
    <row r="33">
      <c r="A33" s="26" t="inlineStr">
        <is>
          <t>NECESIDAD TOTAL DE CAJA AL ARRANQUE</t>
        </is>
      </c>
      <c r="B33" s="27">
        <f>IFERROR(B30+B32,"")</f>
        <v>184057.09</v>
      </c>
      <c r="C33" s="29" t="n"/>
      <c r="D33" s="26" t="inlineStr">
        <is>
          <t>Es la cifra que tiene que cubrir la hoja de Financiación</t>
        </is>
      </c>
      <c r="E33" s="29" t="n"/>
    </row>
    <row r="34">
      <c r="A34" s="26" t="inlineStr">
        <is>
          <t>BASES DE AMORTIZACIÓN (no suman a la inversión)</t>
        </is>
      </c>
      <c r="B34" s="29" t="n"/>
      <c r="C34" s="29" t="n"/>
      <c r="D34" s="29" t="n"/>
      <c r="E34" s="29" t="n"/>
    </row>
    <row r="35">
      <c r="A35" s="29" t="inlineStr">
        <is>
          <t>Obra, instalaciones y acondicionamiento</t>
        </is>
      </c>
      <c r="B35" s="33">
        <f>IFERROR(IF(B7="","",B7+B8+B9+B10+B11+B27),"")</f>
        <v>53350.0</v>
      </c>
      <c r="C35" s="29" t="n"/>
      <c r="D35" s="29" t="str">
        <f>IFERROR("Se amortiza en "&amp;TEXT('0. Supuestos'!$B$44,"0")&amp;" años","")</f>
        <v>Se amortiza en 10 años</v>
      </c>
      <c r="E35" s="29" t="n"/>
    </row>
    <row r="36">
      <c r="A36" s="29" t="inlineStr">
        <is>
          <t>Maquinaria, mobiliario y equipos</t>
        </is>
      </c>
      <c r="B36" s="33">
        <f>IFERROR(IF(B12="","",B12+B13+B14+B15+B16+B17+B18+B19+B20+B21),"")</f>
        <v>40000.0</v>
      </c>
      <c r="C36" s="29" t="n"/>
      <c r="D36" s="29" t="str">
        <f>IFERROR("Se amortiza en "&amp;TEXT('0. Supuestos'!$B$45,"0")&amp;" años","")</f>
        <v>Se amortiza en 10 años</v>
      </c>
      <c r="E36" s="29" t="n"/>
    </row>
    <row r="37">
      <c r="A37" s="26" t="inlineStr">
        <is>
          <t>Amortización anual del inmovilizado</t>
        </is>
      </c>
      <c r="B37" s="27">
        <f>IFERROR(B35/MAX(1,'0. Supuestos'!$B$44)+B36/MAX(1,'0. Supuestos'!$B$45),"")</f>
        <v>9335.0</v>
      </c>
      <c r="C37" s="29" t="n"/>
      <c r="D37" s="26" t="str">
        <f>IFERROR("No se amortizan, por no ser inmovilizado, Constitución de la SL, licencia, tasas, registro sanitario y APPCC, Marca, web, fotos y vídeo de lanzamiento, Stock inicial: carne, pan, patatas, aceite, salsas, envases y bebida, Fianza del "&amp;"alquiler, Alquiler de los meses previos a la apertura ni Colchón operativo hasta alcanzar el equilibrio. Suman "&amp;TEXT(B30-B35-B36,"0")&amp;" € de los "&amp;TEXT(B30,"0")&amp;" € de inversión.","")</f>
        <v>No se amortizan, por no ser inmovilizado, Constitución de la SL, licencia, tasas, registro sanitario y APPCC, Marca, web, fotos y vídeo de lanzamiento, Stock inicial: carne, pan, patatas, aceite, salsas, envases y bebida, Fianza del alquiler, Alquiler de los meses previos a la apertura ni Colchón operativo hasta alcanzar el equilibrio. Suman 68794 € de los 162144 € de inversión.</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hamburguesería de smash burgers con sala, para llevar y a domicilio</t>
        </is>
      </c>
    </row>
    <row r="3"/>
    <row r="4" ht="45" customHeight="1">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40" t="inlineStr">
        <is>
          <t>Bebida para llevar o a domicilio al 21 % (%)</t>
        </is>
      </c>
    </row>
    <row r="5">
      <c r="A5" s="26" t="inlineStr">
        <is>
          <t>INGRESOS</t>
        </is>
      </c>
      <c r="B5" s="29" t="n"/>
      <c r="C5" s="29" t="n"/>
      <c r="D5" s="29" t="n"/>
      <c r="E5" s="29" t="n"/>
      <c r="F5" s="29" t="n"/>
      <c r="G5" s="29" t="n"/>
      <c r="H5" s="29" t="n"/>
    </row>
    <row r="6">
      <c r="A6" s="29" t="inlineStr">
        <is>
          <t>Comensales/día (media)</t>
        </is>
      </c>
      <c r="B6" s="41">
        <f>IFERROR(IF('0. Supuestos'!$B$4="","",'0. Supuestos'!$B$4),"")</f>
        <v>95.0</v>
      </c>
      <c r="C6" s="41">
        <f>IFERROR(B6*(1+'0. Supuestos'!$B$7),"")</f>
        <v>100.7</v>
      </c>
      <c r="D6" s="41">
        <f>IFERROR(C6*(1+'0. Supuestos'!$B$8),"")</f>
        <v>104.72800000000001</v>
      </c>
      <c r="E6" s="29" t="n"/>
      <c r="F6" s="29" t="inlineStr">
        <is>
          <t>El crecimiento de los años 2 y 3 está en la hoja de Supuestos</t>
        </is>
      </c>
      <c r="G6" s="29" t="n"/>
      <c r="H6" s="29" t="n"/>
    </row>
    <row r="7">
      <c r="A7" s="29" t="inlineStr">
        <is>
          <t>Ticket medio sin IVA</t>
        </is>
      </c>
      <c r="B7" s="70">
        <f>IFERROR(IF('0. Supuestos'!$B$5="","",'0. Supuestos'!$B$5),"")</f>
        <v>16.0</v>
      </c>
      <c r="C7" s="70">
        <f>IFERROR(IF(B7="","",B7),"")</f>
        <v>16.0</v>
      </c>
      <c r="D7" s="70">
        <f>IFERROR(IF(C7="","",C7),"")</f>
        <v>16.0</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456000.0</v>
      </c>
      <c r="C9" s="27">
        <f>IFERROR(IF(C6*C7*C8=0,"",C6*C7*C8),"")</f>
        <v>483360.0</v>
      </c>
      <c r="D9" s="27">
        <f>IFERROR(IF(D6*D7*D8=0,"",D6*D7*D8),"")</f>
        <v>502694.4</v>
      </c>
      <c r="E9" s="67">
        <f>IFERROR(IF(B9="","",1),"")</f>
        <v>1.0</v>
      </c>
      <c r="F9" s="29" t="n"/>
      <c r="G9" s="29" t="n"/>
      <c r="H9" s="29" t="n"/>
    </row>
    <row r="10">
      <c r="A10" s="29" t="inlineStr">
        <is>
          <t>Ventas de hamburguesas y cocina (sala, para llevar y a domicilio)</t>
        </is>
      </c>
      <c r="B10" s="33">
        <f>IFERROR(IF(B9="","",B9*$E$10),"")</f>
        <v>383040.0</v>
      </c>
      <c r="C10" s="33">
        <f>IFERROR(IF(C9="","",C9*$E$10),"")</f>
        <v>406022.39999999997</v>
      </c>
      <c r="D10" s="33">
        <f>IFERROR(IF(D9="","",D9*$E$10),"")</f>
        <v>422263.29600000003</v>
      </c>
      <c r="E10" s="68">
        <f>IFERROR(IF('0. Supuestos'!$B$11="","",'0. Supuestos'!$B$11),"")</f>
        <v>0.84</v>
      </c>
      <c r="F10" s="29" t="inlineStr">
        <is>
          <t>Hamburguesas, patatas, entrantes y postres: en sala, alrededor del 54 % de las ventas; para llevar, del 22 %, y por plataforma, del 24 %. Todo al 10 % de IVA, se coma en el local o salga de él (art. 91.Uno.1.1.º y 2.2.º de la Ley 37/1992)</t>
        </is>
      </c>
      <c r="G10" s="68">
        <f>IFERROR(IF(B9="","",'0. Supuestos'!$B$39),"")</f>
        <v>0.1</v>
      </c>
      <c r="H10" s="29" t="n"/>
    </row>
    <row r="11">
      <c r="A11" s="29" t="inlineStr">
        <is>
          <t>Ventas de bebida (refrescos, cerveza, batidos y agua)</t>
        </is>
      </c>
      <c r="B11" s="33">
        <f>IFERROR(IF(B9="","",B9*$E$11),"")</f>
        <v>72960.00000000001</v>
      </c>
      <c r="C11" s="33">
        <f>IFERROR(IF(C9="","",C9*$E$11),"")</f>
        <v>77337.60000000002</v>
      </c>
      <c r="D11" s="33">
        <f>IFERROR(IF(D9="","",D9*$E$11),"")</f>
        <v>80431.10400000002</v>
      </c>
      <c r="E11" s="68">
        <f>IFERROR(IF('0. Supuestos'!$B$12="","",'0. Supuestos'!$B$12),"")</f>
        <v>0.16000000000000003</v>
      </c>
      <c r="F11" s="29" t="inlineStr">
        <is>
          <t>Bebida de sala y la que sale con los pedidos · La columna H es la parte de la bebida que sale del local y va al 21 %: la cerveza y los refrescos con azúcares o edulcorantes añadidos, también los zero (art. 91.Uno.1.1.º a y b de la Ley 37/1992); el agua, el batido de leche (confírmalo con tu gestoría) y toda la bebida en sala, al 10 %. Un 28 % = un 4,5 % de las ventas. El menú para llevar se desglosa: cada parte, a su tipo</t>
        </is>
      </c>
      <c r="G11" s="68">
        <f>IFERROR(IF(B9="","",H11*0.21+(1-H11)*'0. Supuestos'!$B$39),"")</f>
        <v>0.1308</v>
      </c>
      <c r="H11" s="74" t="n">
        <v>0.28</v>
      </c>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107251.20000000001</v>
      </c>
      <c r="C13" s="33">
        <f>IFERROR(IF(C9="","",C9*'0. Supuestos'!$B$11*'0. Supuestos'!$B$13),"")</f>
        <v>113686.272</v>
      </c>
      <c r="D13" s="33">
        <f>IFERROR(IF(D9="","",D9*'0. Supuestos'!$B$11*'0. Supuestos'!$B$13),"")</f>
        <v>118233.72288000002</v>
      </c>
      <c r="E13" s="68">
        <f>IFERROR(B13/$B$9,"")</f>
        <v>0.23520000000000002</v>
      </c>
      <c r="F13" s="29" t="str">
        <f>IFERROR("Al "&amp;TEXT('0. Supuestos'!$B$13,"0%")&amp;" de las ventas de COMIDA, no del total: la bebida tiene su propia línea · Carne, pan de hamburguesa (no es pan común), salsas, bacon, patata congelada, aceite de girasol y helado al 10 %; queso, huevo, patata fresca, verdura y leche al 4 "&amp;"% (art. 91.Dos.1.1.º de la Ley 37/1992). Ajústalo a tus facturas","")</f>
        <v>Al 28% de las ventas de COMIDA, no del total: la bebida tiene su propia línea · Carne, pan de hamburguesa (no es pan común), salsas, bacon, patata congelada, aceite de girasol y helado al 10 %; queso, huevo, patata fresca, verdura y leche al 4 % (art. 91.Dos.1.1.º de la Ley 37/1992). Ajústalo a tus facturas</v>
      </c>
      <c r="G13" s="74" t="n">
        <v>0.09</v>
      </c>
      <c r="H13" s="29" t="n"/>
    </row>
    <row r="14">
      <c r="A14" s="29" t="inlineStr">
        <is>
          <t>Coste de mercancía — bebida</t>
        </is>
      </c>
      <c r="B14" s="33">
        <f>IFERROR(IF(B9="","",B9*'0. Supuestos'!$B$12*'0. Supuestos'!$B$14),"")</f>
        <v>18240.000000000004</v>
      </c>
      <c r="C14" s="33">
        <f>IFERROR(IF(C9="","",C9*'0. Supuestos'!$B$12*'0. Supuestos'!$B$14),"")</f>
        <v>19334.400000000005</v>
      </c>
      <c r="D14" s="33">
        <f>IFERROR(IF(D9="","",D9*'0. Supuestos'!$B$12*'0. Supuestos'!$B$14),"")</f>
        <v>20107.776000000005</v>
      </c>
      <c r="E14" s="68">
        <f>IFERROR(B14/$B$9,"")</f>
        <v>0.04000000000000001</v>
      </c>
      <c r="F14" s="29" t="str">
        <f>IFERROR("Al "&amp;TEXT('0. Supuestos'!$B$14,"0%")&amp;" de las ventas de BEBIDA","")</f>
        <v>Al 25% de las ventas de BEBIDA</v>
      </c>
      <c r="G14" s="68">
        <f>IFERROR(IF(B9="","",('0. Supuestos'!$B$62*'0. Supuestos'!$B$40+(1-'0. Supuestos'!$B$62)*'0. Supuestos'!$B$39)),"")</f>
        <v>0.1825</v>
      </c>
      <c r="H14" s="29" t="n"/>
    </row>
    <row r="15">
      <c r="A15" s="29" t="inlineStr">
        <is>
          <t>Consumibles y envases</t>
        </is>
      </c>
      <c r="B15" s="33">
        <f>IFERROR(IF(B9="","",B9*'0. Supuestos'!$B$15),"")</f>
        <v>13680.0</v>
      </c>
      <c r="C15" s="33">
        <f>IFERROR(IF(C9="","",C9*'0. Supuestos'!$B$15),"")</f>
        <v>14500.8</v>
      </c>
      <c r="D15" s="33">
        <f>IFERROR(IF(D9="","",D9*'0. Supuestos'!$B$15),"")</f>
        <v>15080.832</v>
      </c>
      <c r="E15" s="68">
        <f>IFERROR(B15/$B$9,"")</f>
        <v>0.03</v>
      </c>
      <c r="F15" s="29" t="n"/>
      <c r="G15" s="68">
        <f>IFERROR(IF(B9="","",'0. Supuestos'!$B$41),"")</f>
        <v>0.21</v>
      </c>
      <c r="H15" s="29" t="n"/>
    </row>
    <row r="16">
      <c r="A16" s="29" t="inlineStr">
        <is>
          <t>Comisiones de delivery</t>
        </is>
      </c>
      <c r="B16" s="33">
        <f>IFERROR(IF(B9="","",B9*'0. Supuestos'!$B$16*'0. Supuestos'!$B$17),"")</f>
        <v>32832.0</v>
      </c>
      <c r="C16" s="33">
        <f>IFERROR(IF(C9="","",C9*'0. Supuestos'!$B$16*'0. Supuestos'!$B$17),"")</f>
        <v>34801.92</v>
      </c>
      <c r="D16" s="33">
        <f>IFERROR(IF(D9="","",D9*'0. Supuestos'!$B$16*'0. Supuestos'!$B$17),"")</f>
        <v>36193.9968</v>
      </c>
      <c r="E16" s="68">
        <f>IFERROR(B16/$B$9,"")</f>
        <v>0.072</v>
      </c>
      <c r="F16" s="29" t="inlineStr">
        <is>
          <t>Sobre las ventas DEL CANAL. Con 0 % de delivery en Supuestos, esta línea vale cero</t>
        </is>
      </c>
      <c r="G16" s="68">
        <f>IFERROR(IF(B9="","",'0. Supuestos'!$B$41),"")</f>
        <v>0.21</v>
      </c>
      <c r="H16" s="29" t="n"/>
    </row>
    <row r="17">
      <c r="A17" s="29" t="inlineStr">
        <is>
          <t>Comisiones de los medios de pago</t>
        </is>
      </c>
      <c r="B17" s="33">
        <f>IFERROR(IF(B9="","",B9*'0. Supuestos'!$B$18),"")</f>
        <v>3648.0</v>
      </c>
      <c r="C17" s="33">
        <f>IFERROR(IF(C9="","",C9*'0. Supuestos'!$B$18),"")</f>
        <v>3866.88</v>
      </c>
      <c r="D17" s="33">
        <f>IFERROR(IF(D9="","",D9*'0. Supuestos'!$B$18),"")</f>
        <v>4021.5552000000002</v>
      </c>
      <c r="E17" s="68">
        <f>IFERROR(B17/$B$9,"")</f>
        <v>0.008</v>
      </c>
      <c r="F17" s="29" t="inlineStr">
        <is>
          <t>Las comisiones de los medios de pago están EXENTAS de IVA (art. 20.Uno.18 LIVA): no se deduce nada por ellas</t>
        </is>
      </c>
      <c r="G17" s="68" t="n">
        <v>0</v>
      </c>
      <c r="H17" s="29" t="n"/>
    </row>
    <row r="18">
      <c r="A18" s="29" t="inlineStr">
        <is>
          <t>Varios e imprevistos</t>
        </is>
      </c>
      <c r="B18" s="33">
        <f>IFERROR(IF(B9="","",B9*'0. Supuestos'!$B$28),"")</f>
        <v>9120.0</v>
      </c>
      <c r="C18" s="33">
        <f>IFERROR(IF(C9="","",C9*'0. Supuestos'!$B$28),"")</f>
        <v>9667.2</v>
      </c>
      <c r="D18" s="33">
        <f>IFERROR(IF(D9="","",D9*'0. Supuestos'!$B$28),"")</f>
        <v>10053.888</v>
      </c>
      <c r="E18" s="68">
        <f>IFERROR(B18/$B$9,"")</f>
        <v>0.02</v>
      </c>
      <c r="F18" s="29"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8">
        <f>IFERROR(IF(B9="","",'0. Supuestos'!$B$41),"")</f>
        <v>0.21</v>
      </c>
      <c r="H18" s="29" t="n"/>
    </row>
    <row r="19">
      <c r="A19" s="26" t="inlineStr">
        <is>
          <t>TOTAL COSTES VARIABLES</t>
        </is>
      </c>
      <c r="B19" s="27">
        <f>IFERROR(IF(B9="","",SUM(B13:B18)),"")</f>
        <v>184771.2</v>
      </c>
      <c r="C19" s="27">
        <f>IFERROR(IF(C9="","",SUM(C13:C18)),"")</f>
        <v>195857.472</v>
      </c>
      <c r="D19" s="27">
        <f>IFERROR(IF(D9="","",SUM(D13:D18)),"")</f>
        <v>203691.77088000003</v>
      </c>
      <c r="E19" s="67">
        <f>IFERROR(B19/$B$9,"")</f>
        <v>0.4052</v>
      </c>
      <c r="F19" s="29" t="n"/>
      <c r="G19" s="29" t="n"/>
      <c r="H19" s="29" t="n"/>
    </row>
    <row r="20">
      <c r="A20" s="26" t="inlineStr">
        <is>
          <t>MARGEN BRUTO</t>
        </is>
      </c>
      <c r="B20" s="27">
        <f>IFERROR(IF(B9="","",B9-B19),"")</f>
        <v>271228.8</v>
      </c>
      <c r="C20" s="27">
        <f>IFERROR(IF(C9="","",C9-C19),"")</f>
        <v>287502.528</v>
      </c>
      <c r="D20" s="27">
        <f>IFERROR(IF(D9="","",D9-D19),"")</f>
        <v>299002.62912</v>
      </c>
      <c r="E20" s="67">
        <f>IFERROR(B20/$B$9,"")</f>
        <v>0.5948</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18000.0</v>
      </c>
      <c r="C22" s="33">
        <f>IFERROR(IF(C9="","",B22*(1+'0. Supuestos'!$B$48)),"")</f>
        <v>18000.0</v>
      </c>
      <c r="D22" s="33">
        <f>IFERROR(IF(D9="","",C22*(1+'0. Supuestos'!$B$48)),"")</f>
        <v>18000.0</v>
      </c>
      <c r="E22" s="68">
        <f>IFERROR(B22/$B$9,"")</f>
        <v>0.039473684210526314</v>
      </c>
      <c r="F22" s="29" t="inlineStr">
        <is>
          <t>El importe mensual está en la hoja de Supuestos; aquí se multiplica por doce. Los dos meses de renta previos a la apertura están en la hoja de Inversión y NO se cuentan dos veces</t>
        </is>
      </c>
      <c r="G22" s="68">
        <f>IFERROR(IF(B9="","",'0. Supuestos'!$B$41),"")</f>
        <v>0.21</v>
      </c>
      <c r="H22" s="29" t="n"/>
    </row>
    <row r="23">
      <c r="A23" s="29" t="inlineStr">
        <is>
          <t>Personal (nóminas + Seguridad Social)</t>
        </is>
      </c>
      <c r="B23" s="33">
        <f>IFERROR(IF(B9="","",'Personal'!$G$12),"")</f>
        <v>152274.36</v>
      </c>
      <c r="C23" s="33">
        <f>IFERROR(IF(C9="","",'Personal'!$B$16),"")</f>
        <v>158274.36</v>
      </c>
      <c r="D23" s="33">
        <f>IFERROR(IF(D9="","",'Personal'!$B$17),"")</f>
        <v>164274.36</v>
      </c>
      <c r="E23" s="68">
        <f>IFERROR(B23/$B$9,"")</f>
        <v>0.333935</v>
      </c>
      <c r="F23" s="29" t="inlineStr">
        <is>
          <t>Sale de la hoja de Personal: es el MISMO número, no una estimación aparte. Los años 2 y 3 suman las INCORPORACIONES declaradas en esa hoja, no un porcentaje de volumen</t>
        </is>
      </c>
      <c r="G23" s="68" t="n">
        <v>0</v>
      </c>
      <c r="H23" s="29" t="n"/>
    </row>
    <row r="24">
      <c r="A24" s="29" t="inlineStr">
        <is>
          <t>Suministros (luz, agua, gas)</t>
        </is>
      </c>
      <c r="B24" s="33">
        <f>IFERROR(IF(B9="","",'0. Supuestos'!$B$26*12),"")</f>
        <v>13200.0</v>
      </c>
      <c r="C24" s="33">
        <f>IFERROR(IF(C9="","",B24*(1+'0. Supuestos'!$B$48)),"")</f>
        <v>13200.0</v>
      </c>
      <c r="D24" s="33">
        <f>IFERROR(IF(D9="","",C24*(1+'0. Supuestos'!$B$48)),"")</f>
        <v>13200.0</v>
      </c>
      <c r="E24" s="68">
        <f>IFERROR(B24/$B$9,"")</f>
        <v>0.02894736842105263</v>
      </c>
      <c r="F24" s="29" t="inlineStr">
        <is>
          <t>Luz y gas van al 21 %; la factura del agua, al 10 %. El libro aplica a toda esta partida el tipo de la columna de al lado (21 %): si el agua pesa mucho en tu local, sepárala en su línea</t>
        </is>
      </c>
      <c r="G24" s="68">
        <f>IFERROR(IF(B9="","",'0. Supuestos'!$B$41),"")</f>
        <v>0.21</v>
      </c>
      <c r="H24" s="29" t="n"/>
    </row>
    <row r="25">
      <c r="A25" s="29" t="inlineStr">
        <is>
          <t>Seguros (RC + multirriesgo)</t>
        </is>
      </c>
      <c r="B25" s="33">
        <f>IFERROR(IF(B9="","",'0. Supuestos'!$B$27),"")</f>
        <v>1500.0</v>
      </c>
      <c r="C25" s="33">
        <f>IFERROR(IF(C9="","",B25*(1+'0. Supuestos'!$B$48)),"")</f>
        <v>1500.0</v>
      </c>
      <c r="D25" s="33">
        <f>IFERROR(IF(D9="","",C25*(1+'0. Supuestos'!$B$48)),"")</f>
        <v>1500.0</v>
      </c>
      <c r="E25" s="68">
        <f>IFERROR(B25/$B$9,"")</f>
        <v>0.003289473684210526</v>
      </c>
      <c r="F25" s="29" t="inlineStr">
        <is>
          <t>Las operaciones de seguro están EXENTAS de IVA (art. 20.Uno.16 LIVA): la prima no lleva IVA deducible</t>
        </is>
      </c>
      <c r="G25" s="68" t="n">
        <v>0</v>
      </c>
      <c r="H25" s="29" t="n"/>
    </row>
    <row r="26">
      <c r="A26" s="29" t="inlineStr">
        <is>
          <t>Gestoría laboral, fiscal y contable</t>
        </is>
      </c>
      <c r="B26" s="30" t="n">
        <v>2400</v>
      </c>
      <c r="C26" s="33">
        <f>IFERROR(IF(C9="","",B26*(1+'0. Supuestos'!$B$48)),"")</f>
        <v>2400.0</v>
      </c>
      <c r="D26" s="33">
        <f>IFERROR(IF(D9="","",C26*(1+'0. Supuestos'!$B$48)),"")</f>
        <v>2400.0</v>
      </c>
      <c r="E26" s="68">
        <f>IFERROR(B26/$B$9,"")</f>
        <v>0.005263157894736842</v>
      </c>
      <c r="F26" s="29" t="inlineStr">
        <is>
          <t>Contabilidad, impuestos de la SL, nóminas y contratos de la plantilla</t>
        </is>
      </c>
      <c r="G26" s="68">
        <f>IFERROR(IF(B9="","",'0. Supuestos'!$B$41),"")</f>
        <v>0.21</v>
      </c>
      <c r="H26" s="29" t="n"/>
    </row>
    <row r="27">
      <c r="A27" s="29" t="inlineStr">
        <is>
          <t>Mantenimiento de la campana extractora y el conducto, la plancha y el gas, las freidoras y el frío</t>
        </is>
      </c>
      <c r="B27" s="30" t="n">
        <v>2000</v>
      </c>
      <c r="C27" s="33">
        <f>IFERROR(IF(C9="","",B27*(1+'0. Supuestos'!$B$48)),"")</f>
        <v>2000.0</v>
      </c>
      <c r="D27" s="33">
        <f>IFERROR(IF(D9="","",C27*(1+'0. Supuestos'!$B$48)),"")</f>
        <v>2000.0</v>
      </c>
      <c r="E27" s="68">
        <f>IFERROR(B27/$B$9,"")</f>
        <v>0.0043859649122807015</v>
      </c>
      <c r="F27" s="29" t="inlineStr">
        <is>
          <t>La limpieza de la campana extractora y del conducto al menos una vez al año (Madrid lo exige en su Ordenanza 4/2021, art. 23; mira la de tu ayuntamiento), la revisión de la plancha y de la instalación de gas, las freidoras y el frigorista para los armarios, el congelador y la mesa refrigerada</t>
        </is>
      </c>
      <c r="G27" s="68">
        <f>IFERROR(IF(B9="","",'0. Supuestos'!$B$41),"")</f>
        <v>0.21</v>
      </c>
      <c r="H27" s="29" t="n"/>
    </row>
    <row r="28">
      <c r="A28" s="29" t="inlineStr">
        <is>
          <t>Marketing y publicidad</t>
        </is>
      </c>
      <c r="B28" s="30" t="n">
        <v>4500</v>
      </c>
      <c r="C28" s="33">
        <f>IFERROR(IF(C9="","",B28*(1+'0. Supuestos'!$B$48)),"")</f>
        <v>4500.0</v>
      </c>
      <c r="D28" s="33">
        <f>IFERROR(IF(D9="","",C28*(1+'0. Supuestos'!$B$48)),"")</f>
        <v>4500.0</v>
      </c>
      <c r="E28" s="68">
        <f>IFERROR(B28/$B$9,"")</f>
        <v>0.009868421052631578</v>
      </c>
      <c r="F28" s="29" t="inlineStr">
        <is>
          <t>Ficha de Google Business, redes sociales con vídeo (la smash se vende en vídeo), fotos y las promociones de las plataformas; la campaña de apertura va en la inversión</t>
        </is>
      </c>
      <c r="G28" s="68">
        <f>IFERROR(IF(B9="","",'0. Supuestos'!$B$41),"")</f>
        <v>0.21</v>
      </c>
      <c r="H28" s="29" t="n"/>
    </row>
    <row r="29">
      <c r="A29" s="29" t="inlineStr">
        <is>
          <t>Software, TPV, integrador de plataformas, teléfono e internet</t>
        </is>
      </c>
      <c r="B29" s="30" t="n">
        <v>1800</v>
      </c>
      <c r="C29" s="33">
        <f>IFERROR(IF(C9="","",B29*(1+'0. Supuestos'!$B$48)),"")</f>
        <v>1800.0</v>
      </c>
      <c r="D29" s="33">
        <f>IFERROR(IF(D9="","",C29*(1+'0. Supuestos'!$B$48)),"")</f>
        <v>1800.0</v>
      </c>
      <c r="E29" s="68">
        <f>IFERROR(B29/$B$9,"")</f>
        <v>0.003947368421052632</v>
      </c>
      <c r="F29" s="29" t="inlineStr">
        <is>
          <t>Cuota del TPV con Veri*factu, el integrador que junta los pedidos de las plataformas en una pantalla, teléfono e internet</t>
        </is>
      </c>
      <c r="G29" s="68">
        <f>IFERROR(IF(B9="","",'0. Supuestos'!$B$41),"")</f>
        <v>0.21</v>
      </c>
      <c r="H29" s="29" t="n"/>
    </row>
    <row r="30">
      <c r="A30" s="29" t="inlineStr">
        <is>
          <t>Limpieza, lavandería, EPI y análisis de autocontrol</t>
        </is>
      </c>
      <c r="B30" s="30" t="n">
        <v>1500</v>
      </c>
      <c r="C30" s="33">
        <f>IFERROR(IF(C9="","",B30*(1+'0. Supuestos'!$B$48)),"")</f>
        <v>1500.0</v>
      </c>
      <c r="D30" s="33">
        <f>IFERROR(IF(D9="","",C30*(1+'0. Supuestos'!$B$48)),"")</f>
        <v>1500.0</v>
      </c>
      <c r="E30" s="68">
        <f>IFERROR(B30/$B$9,"")</f>
        <v>0.003289473684210526</v>
      </c>
      <c r="F30" s="29" t="inlineStr">
        <is>
          <t>Productos de limpieza y desengrasantes, lavado de uniformes y paños, guantes y los análisis de autocontrol que fije tu APPCC</t>
        </is>
      </c>
      <c r="G30" s="68">
        <f>IFERROR(IF(B9="","",'0. Supuestos'!$B$41),"")</f>
        <v>0.21</v>
      </c>
      <c r="H30" s="29" t="n"/>
    </row>
    <row r="31">
      <c r="A31" s="29" t="inlineStr">
        <is>
          <t>Gestión de residuos y del aceite usado de las freidoras</t>
        </is>
      </c>
      <c r="B31" s="30" t="n">
        <v>600</v>
      </c>
      <c r="C31" s="33">
        <f>IFERROR(IF(C9="","",B31*(1+'0. Supuestos'!$B$48)),"")</f>
        <v>600.0</v>
      </c>
      <c r="D31" s="33">
        <f>IFERROR(IF(D9="","",C31*(1+'0. Supuestos'!$B$48)),"")</f>
        <v>600.0</v>
      </c>
      <c r="E31" s="68">
        <f>IFERROR(B31/$B$9,"")</f>
        <v>0.0013157894736842105</v>
      </c>
      <c r="F31" s="29" t="inlineStr">
        <is>
          <t>La tasa de basuras, el cartón de las cajas y el aceite usado de las freidoras, que recoge un gestor autorizado: nunca al desagüe ni de vuelta a la cocina. Pon las de tu ayuntamiento</t>
        </is>
      </c>
      <c r="G31" s="68">
        <f>IFERROR(IF(B9="","",'0. Supuestos'!$B$41),"")</f>
        <v>0.21</v>
      </c>
      <c r="H31" s="29" t="n"/>
    </row>
    <row r="32">
      <c r="A32" s="29" t="inlineStr">
        <is>
          <t>Desinsectación, desratización y desinfección (DDD)</t>
        </is>
      </c>
      <c r="B32" s="30" t="n">
        <v>450</v>
      </c>
      <c r="C32" s="33">
        <f>IFERROR(IF(C9="","",B32*(1+'0. Supuestos'!$B$48)),"")</f>
        <v>450.0</v>
      </c>
      <c r="D32" s="33">
        <f>IFERROR(IF(D9="","",C32*(1+'0. Supuestos'!$B$48)),"")</f>
        <v>450.0</v>
      </c>
      <c r="E32" s="68">
        <f>IFERROR(B32/$B$9,"")</f>
        <v>0.000986842105263158</v>
      </c>
      <c r="F32" s="29" t="inlineStr">
        <is>
          <t>Contrato con una empresa inscrita en el ROESB: forma parte de los prerrequisitos del APPCC</t>
        </is>
      </c>
      <c r="G32" s="68">
        <f>IFERROR(IF(B9="","",'0. Supuestos'!$B$41),"")</f>
        <v>0.21</v>
      </c>
      <c r="H32" s="29" t="n"/>
    </row>
    <row r="33">
      <c r="A33" s="29" t="inlineStr">
        <is>
          <t>Derechos de autor por música ambiental (SGAE y AGEDI-AIE)</t>
        </is>
      </c>
      <c r="B33" s="30" t="n">
        <v>500</v>
      </c>
      <c r="C33" s="33">
        <f>IFERROR(IF(C9="","",B33*(1+'0. Supuestos'!$B$48)),"")</f>
        <v>500.0</v>
      </c>
      <c r="D33" s="33">
        <f>IFERROR(IF(D9="","",C33*(1+'0. Supuestos'!$B$48)),"")</f>
        <v>500.0</v>
      </c>
      <c r="E33" s="68">
        <f>IFERROR(B33/$B$9,"")</f>
        <v>0.0010964912280701754</v>
      </c>
      <c r="F33" s="29" t="inlineStr">
        <is>
          <t>SGAE y AGEDI-AIE son dos licencias distintas; el importe depende de los metros y del aforo de tu sala</t>
        </is>
      </c>
      <c r="G33" s="68">
        <f>IFERROR(IF(B9="","",'0. Supuestos'!$B$41),"")</f>
        <v>0.21</v>
      </c>
      <c r="H33" s="29" t="n"/>
    </row>
    <row r="34">
      <c r="A34" s="29" t="inlineStr">
        <is>
          <t>Prevención de riesgos laborales, vigilancia de la salud y formación</t>
        </is>
      </c>
      <c r="B34" s="30" t="n">
        <v>650</v>
      </c>
      <c r="C34" s="33">
        <f>IFERROR(IF(C9="","",B34*(1+'0. Supuestos'!$B$48)),"")</f>
        <v>650.0</v>
      </c>
      <c r="D34" s="33">
        <f>IFERROR(IF(D9="","",C34*(1+'0. Supuestos'!$B$48)),"")</f>
        <v>650.0</v>
      </c>
      <c r="E34" s="68">
        <f>IFERROR(B34/$B$9,"")</f>
        <v>0.0014254385964912282</v>
      </c>
      <c r="F34" s="29" t="inlineStr">
        <is>
          <t>El plan de prevención es obligatorio (Ley 31/1995): quemaduras de la plancha y de las freidoras, cortes, resbalones con la grasa y cargas; los reconocimientos médicos de la plantilla y la formación en higiene de la carne picada y en alérgenos</t>
        </is>
      </c>
      <c r="G34" s="68">
        <f>IFERROR(IF(B9="","",'0. Supuestos'!$B$41),"")</f>
        <v>0.21</v>
      </c>
      <c r="H34" s="29" t="n"/>
    </row>
    <row r="35">
      <c r="A35" s="29" t="inlineStr">
        <is>
          <t>Amortización del inmovilizado</t>
        </is>
      </c>
      <c r="B35" s="33">
        <f>IFERROR(IF(B9="","",'Inversión Inicial'!$B$37),"")</f>
        <v>9335.0</v>
      </c>
      <c r="C35" s="33">
        <f>IFERROR(IF(C9="","",B35),"")</f>
        <v>9335.0</v>
      </c>
      <c r="D35" s="33">
        <f>IFERROR(IF(D9="","",B35),"")</f>
        <v>9335.0</v>
      </c>
      <c r="E35" s="68">
        <f>IFERROR(B35/$B$9,"")</f>
        <v>0.020471491228070175</v>
      </c>
      <c r="F35" s="29" t="inlineStr">
        <is>
          <t>Sale de las bases de amortización de la hoja de Inversión: sólo inmovilizado real. NO sube con el IPC: es una cuota sobre el coste HISTÓRICO del inmovilizado</t>
        </is>
      </c>
      <c r="G35" s="68" t="n">
        <v>0</v>
      </c>
      <c r="H35" s="29" t="n"/>
    </row>
    <row r="36">
      <c r="A36" s="29" t="inlineStr">
        <is>
          <t>Gastos financieros (intereses del préstamo)</t>
        </is>
      </c>
      <c r="B36" s="33">
        <f>IFERROR(IF(B9="","",'Financiación'!$B$44),"")</f>
        <v>7800.0</v>
      </c>
      <c r="C36" s="33">
        <f>IFERROR(IF(C9="","",'Financiación'!$B$46),"")</f>
        <v>7800.0</v>
      </c>
      <c r="D36" s="33">
        <f>IFERROR(IF(D9="","",'Financiación'!$B$48),"")</f>
        <v>6681.771497895816</v>
      </c>
      <c r="E36" s="68">
        <f>IFERROR(B36/$B$9,"")</f>
        <v>0.017105263157894738</v>
      </c>
      <c r="F36" s="29" t="inlineStr">
        <is>
          <t>Sólo los INTERESES son gasto. La devolución del principal va en la hoja de Tesorería</t>
        </is>
      </c>
      <c r="G36" s="68" t="n">
        <v>0</v>
      </c>
      <c r="H36" s="29" t="n"/>
    </row>
    <row r="37">
      <c r="A37" s="26" t="inlineStr">
        <is>
          <t>TOTAL COSTES FIJOS</t>
        </is>
      </c>
      <c r="B37" s="27">
        <f>IFERROR(IF(B9="","",SUM(B22:B36)),"")</f>
        <v>216509.36</v>
      </c>
      <c r="C37" s="27">
        <f>IFERROR(IF(C9="","",SUM(C22:C36)),"")</f>
        <v>222509.36</v>
      </c>
      <c r="D37" s="27">
        <f>IFERROR(IF(D9="","",SUM(D22:D36)),"")</f>
        <v>227391.1314978958</v>
      </c>
      <c r="E37" s="67">
        <f>IFERROR(B37/$B$9,"")</f>
        <v>0.4748012280701754</v>
      </c>
      <c r="F37" s="29" t="n"/>
      <c r="G37" s="29" t="n"/>
      <c r="H37" s="29" t="n"/>
    </row>
    <row r="38">
      <c r="A38" s="29" t="inlineStr">
        <is>
          <t>IVA soportado de los costes variables</t>
        </is>
      </c>
      <c r="B38" s="33">
        <f>IFERROR(IF(B9="","",SUMPRODUCT(B13:B18,G13:G18)),"")</f>
        <v>24664.128</v>
      </c>
      <c r="C38" s="33">
        <f>IFERROR(IF(C9="","",SUMPRODUCT(C13:C18,G13:G18)),"")</f>
        <v>26143.975680000003</v>
      </c>
      <c r="D38" s="33">
        <f>IFERROR(IF(D9="","",SUMPRODUCT(D13:D18,G13:G18)),"")</f>
        <v>27189.7347072</v>
      </c>
      <c r="E38" s="29" t="n"/>
      <c r="F38" s="29" t="inlineStr">
        <is>
          <t>Cada línea a SU tipo, leído de la columna de al lado. Es lo que la hoja de Tesorería paga de más a los proveedores y luego se deduce</t>
        </is>
      </c>
      <c r="G38" s="29" t="n"/>
      <c r="H38" s="29" t="n"/>
    </row>
    <row r="39">
      <c r="A39" s="29" t="inlineStr">
        <is>
          <t>IVA soportado de los costes fijos</t>
        </is>
      </c>
      <c r="B39" s="33">
        <f>IFERROR(IF(B9="","",SUMPRODUCT(B22:B36,G22:G36)),"")</f>
        <v>9576.0</v>
      </c>
      <c r="C39" s="33">
        <f>IFERROR(IF(C9="","",SUMPRODUCT(C22:C36,G22:G36)),"")</f>
        <v>9576.0</v>
      </c>
      <c r="D39" s="33">
        <f>IFERROR(IF(D9="","",SUMPRODUCT(D22:D36,G22:G36)),"")</f>
        <v>9576.0</v>
      </c>
      <c r="E39" s="29" t="n"/>
      <c r="F39" s="29" t="n"/>
      <c r="G39" s="29" t="n"/>
      <c r="H39" s="29" t="n"/>
    </row>
    <row r="40">
      <c r="A40" s="26" t="inlineStr">
        <is>
          <t>RESULTADO ANTES DE IMPUESTOS</t>
        </is>
      </c>
      <c r="B40" s="27">
        <f>IFERROR(IF(B9="","",B20-B37),"")</f>
        <v>54719.44</v>
      </c>
      <c r="C40" s="27">
        <f>IFERROR(IF(C9="","",C20-C37),"")</f>
        <v>64993.168000000005</v>
      </c>
      <c r="D40" s="27">
        <f>IFERROR(IF(D9="","",D20-D37),"")</f>
        <v>71611.49762210419</v>
      </c>
      <c r="E40" s="67">
        <f>IFERROR(B40/$B$9,"")</f>
        <v>0.11999877192982457</v>
      </c>
      <c r="F40" s="29" t="n"/>
      <c r="G40" s="29" t="n"/>
      <c r="H40" s="29" t="n"/>
    </row>
    <row r="41">
      <c r="A41" s="29" t="inlineStr">
        <is>
          <t>Bases negativas pendientes al inicio</t>
        </is>
      </c>
      <c r="B41" s="33">
        <f>IFERROR(IF(B9="","",'0. Supuestos'!$B$42),"")</f>
        <v>0.0</v>
      </c>
      <c r="C41" s="33">
        <f>IFERROR(IF(C9="","",B46),"")</f>
        <v>0.0</v>
      </c>
      <c r="D41" s="33">
        <f>IFERROR(IF(D9="","",C46),"")</f>
        <v>0.0</v>
      </c>
      <c r="E41" s="29" t="n"/>
      <c r="F41" s="29" t="inlineStr">
        <is>
          <t>Art. 26 LIS: las pérdidas de un ejercicio se compensan con los beneficios de los siguientes</t>
        </is>
      </c>
      <c r="G41" s="29" t="n"/>
      <c r="H41" s="29" t="n"/>
    </row>
    <row r="42">
      <c r="A42" s="29" t="inlineStr">
        <is>
          <t>Base imponible (después de compensar)</t>
        </is>
      </c>
      <c r="B42" s="33">
        <f>IFERROR(IF(B9="","",MAX(0,B40-B41)),"")</f>
        <v>54719.44</v>
      </c>
      <c r="C42" s="33">
        <f>IFERROR(IF(C9="","",MAX(0,C40-C41)),"")</f>
        <v>64993.168000000005</v>
      </c>
      <c r="D42" s="33">
        <f>IFERROR(IF(D9="","",MAX(0,D40-D41)),"")</f>
        <v>71611.49762210419</v>
      </c>
      <c r="E42" s="29" t="n"/>
      <c r="F42" s="29" t="n"/>
      <c r="G42" s="29" t="n"/>
      <c r="H42" s="29" t="n"/>
    </row>
    <row r="43">
      <c r="A43" s="29" t="inlineStr">
        <is>
          <t>Ejercicios con base positiva (acumulado)</t>
        </is>
      </c>
      <c r="B43" s="41">
        <f>IFERROR(IF(B9="","",IF(B42&gt;0,1,0)),"")</f>
        <v>1.0</v>
      </c>
      <c r="C43" s="41">
        <f>IFERROR(IF(C9="","",B43+IF(C42&gt;0,1,0)),"")</f>
        <v>2.0</v>
      </c>
      <c r="D43" s="41">
        <f>IFERROR(IF(D9="","",C43+IF(D42&gt;0,1,0)),"")</f>
        <v>3.0</v>
      </c>
      <c r="E43" s="29" t="n"/>
      <c r="F43" s="29" t="n"/>
      <c r="G43" s="29" t="n"/>
      <c r="H43" s="29" t="n"/>
    </row>
    <row r="44">
      <c r="A44" s="29" t="inlineStr">
        <is>
          <t>Tipo de Impuesto de Sociedades aplicado</t>
        </is>
      </c>
      <c r="B44" s="68">
        <f>IFERROR(IF(B9="","",IF(B42&lt;=0,"",IF(B43&lt;=2,'0. Supuestos'!$B$37,'0. Supuestos'!$B$38))),"")</f>
        <v>0.15</v>
      </c>
      <c r="C44" s="68">
        <f>IFERROR(IF(C9="","",IF(C42&lt;=0,"",IF(C43&lt;=2,'0. Supuestos'!$B$37,'0. Supuestos'!$B$38))),"")</f>
        <v>0.15</v>
      </c>
      <c r="D44" s="68">
        <f>IFERROR(IF(D9="","",IF(D42&lt;=0,"",IF(D43&lt;=2,'0. Supuestos'!$B$37,'0. Supuestos'!$B$38))),"")</f>
        <v>0.25</v>
      </c>
      <c r="E44" s="29" t="n"/>
      <c r="F44" s="29" t="inlineStr">
        <is>
          <t>Art. 29.1 LIS: el 15 % de entidad de nueva creación se aplica al PRIMER ejercicio con base positiva y al SIGUIENTE, no al primer año de vida. El libro lo aproxima contando los dos primeros ejercicios con base positiva</t>
        </is>
      </c>
      <c r="G44" s="29" t="n"/>
      <c r="H44" s="29" t="n"/>
    </row>
    <row r="45">
      <c r="A45" s="29" t="inlineStr">
        <is>
          <t>Impuesto de Sociedades</t>
        </is>
      </c>
      <c r="B45" s="33">
        <f>IFERROR(IF(B9="","",IF(B44="",0,B42*B44)),"")</f>
        <v>8207.916</v>
      </c>
      <c r="C45" s="33">
        <f>IFERROR(IF(C9="","",IF(C44="",0,C42*C44)),"")</f>
        <v>9748.9752</v>
      </c>
      <c r="D45" s="33">
        <f>IFERROR(IF(D9="","",IF(D44="",0,D42*D44)),"")</f>
        <v>17902.874405526047</v>
      </c>
      <c r="E45" s="29" t="n"/>
      <c r="F45" s="29" t="n"/>
      <c r="G45" s="29" t="n"/>
      <c r="H45" s="29" t="n"/>
    </row>
    <row r="46">
      <c r="A46" s="29" t="inlineStr">
        <is>
          <t>Bases negativas pendientes al cierre</t>
        </is>
      </c>
      <c r="B46" s="33">
        <f>IFERROR(IF(B9="","",MAX(0,B41-B40)),"")</f>
        <v>0.0</v>
      </c>
      <c r="C46" s="33">
        <f>IFERROR(IF(C9="","",MAX(0,C41-C40)),"")</f>
        <v>0.0</v>
      </c>
      <c r="D46" s="33">
        <f>IFERROR(IF(D9="","",MAX(0,D41-D40)),"")</f>
        <v>0.0</v>
      </c>
      <c r="E46" s="29" t="n"/>
      <c r="F46" s="29" t="n"/>
      <c r="G46" s="29" t="n"/>
      <c r="H46" s="29" t="n"/>
    </row>
    <row r="47">
      <c r="A47" s="26" t="inlineStr">
        <is>
          <t>RESULTADO NETO</t>
        </is>
      </c>
      <c r="B47" s="27">
        <f>IFERROR(IF(B9="","",B40-B45),"")</f>
        <v>46511.524000000005</v>
      </c>
      <c r="C47" s="27">
        <f>IFERROR(IF(C9="","",C40-C45),"")</f>
        <v>55244.192800000004</v>
      </c>
      <c r="D47" s="27">
        <f>IFERROR(IF(D9="","",D40-D45),"")</f>
        <v>53708.62321657814</v>
      </c>
      <c r="E47" s="67">
        <f>IFERROR(B47/$B$9,"")</f>
        <v>0.10199895614035089</v>
      </c>
      <c r="F47" s="29" t="n"/>
      <c r="G47" s="29" t="n"/>
      <c r="H47" s="29" t="n"/>
    </row>
    <row r="48">
      <c r="A48" s="26" t="inlineStr">
        <is>
          <t>RATIOS CLAVE</t>
        </is>
      </c>
      <c r="B48" s="29" t="n"/>
      <c r="C48" s="29" t="n"/>
      <c r="D48" s="29" t="n"/>
      <c r="E48" s="29" t="n"/>
      <c r="F48" s="29" t="n"/>
      <c r="G48" s="29" t="n"/>
      <c r="H48" s="29" t="n"/>
    </row>
    <row r="49">
      <c r="A49" s="26" t="inlineStr">
        <is>
          <t>Ratio</t>
        </is>
      </c>
      <c r="B49" s="26" t="inlineStr">
        <is>
          <t>Año 1</t>
        </is>
      </c>
      <c r="C49" s="26" t="inlineStr">
        <is>
          <t>Año 2</t>
        </is>
      </c>
      <c r="D49" s="26" t="inlineStr">
        <is>
          <t>Año 3</t>
        </is>
      </c>
      <c r="E49" s="26" t="inlineStr">
        <is>
          <t>Umbral</t>
        </is>
      </c>
      <c r="F49" s="26" t="inlineStr">
        <is>
          <t>Comentario</t>
        </is>
      </c>
      <c r="G49" s="29" t="n"/>
      <c r="H49" s="29" t="n"/>
    </row>
    <row r="50">
      <c r="A50" s="29" t="inlineStr">
        <is>
          <t>Margen bruto / Ventas</t>
        </is>
      </c>
      <c r="B50" s="68">
        <f>IFERROR(IF(B9="","",B20/B9),"")</f>
        <v>0.5948</v>
      </c>
      <c r="C50" s="68">
        <f>IFERROR(IF(C9="","",C20/C9),"")</f>
        <v>0.5948</v>
      </c>
      <c r="D50" s="68">
        <f>IFERROR(IF(D9="","",D20/D9),"")</f>
        <v>0.5948</v>
      </c>
      <c r="E50" s="74" t="n">
        <v>0.52</v>
      </c>
      <c r="F50" s="29" t="inlineStr">
        <is>
          <t>Suelo del margen tras TODOS los costes variables (mercancía, envases, plataforma, medios de pago y varios). Con casi un cuarto de las ventas por plataforma, una hamburguesería deja menos que una sala sola. Estimación del kit</t>
        </is>
      </c>
      <c r="G50" s="29" t="n"/>
      <c r="H50" s="29" t="n"/>
    </row>
    <row r="51">
      <c r="A51" s="29" t="inlineStr">
        <is>
          <t>Coste de mercancía (comida + bebida)</t>
        </is>
      </c>
      <c r="B51" s="33">
        <f>IFERROR(IF(B9="","",B13+B14),"")</f>
        <v>125491.20000000001</v>
      </c>
      <c r="C51" s="33">
        <f>IFERROR(IF(C9="","",C13+C14),"")</f>
        <v>133020.672</v>
      </c>
      <c r="D51" s="33">
        <f>IFERROR(IF(D9="","",D13+D14),"")</f>
        <v>138341.49888000003</v>
      </c>
      <c r="E51" s="29" t="n"/>
      <c r="F51" s="29" t="n"/>
      <c r="G51" s="29" t="n"/>
      <c r="H51" s="29" t="n"/>
    </row>
    <row r="52">
      <c r="A52" s="29" t="inlineStr">
        <is>
          <t>Coste de mercancía / Ventas</t>
        </is>
      </c>
      <c r="B52" s="68">
        <f>IFERROR(IF(B9="","",B51/B9),"")</f>
        <v>0.2752</v>
      </c>
      <c r="C52" s="68">
        <f>IFERROR(IF(C9="","",C51/C9),"")</f>
        <v>0.2752</v>
      </c>
      <c r="D52" s="68">
        <f>IFERROR(IF(D9="","",D51/D9),"")</f>
        <v>0.27520000000000006</v>
      </c>
      <c r="E52" s="74" t="n">
        <v>0.3</v>
      </c>
      <c r="F52" s="29" t="inlineStr">
        <is>
          <t>Techo de la materia prima sobre ventas: la carne es más de la mitad de la compra de comida y su precio manda. Estimación del kit</t>
        </is>
      </c>
      <c r="G52" s="29" t="n"/>
      <c r="H52" s="29" t="n"/>
    </row>
    <row r="53">
      <c r="A53" s="29" t="inlineStr">
        <is>
          <t>Coste de personal / Ventas</t>
        </is>
      </c>
      <c r="B53" s="68">
        <f>IFERROR(IF(B9="","",B23/B9),"")</f>
        <v>0.333935</v>
      </c>
      <c r="C53" s="68">
        <f>IFERROR(IF(C9="","",C23/C9),"")</f>
        <v>0.32744612711022836</v>
      </c>
      <c r="D53" s="68">
        <f>IFERROR(IF(D9="","",D23/D9),"")</f>
        <v>0.3267877263005118</v>
      </c>
      <c r="E53" s="74" t="n">
        <v>0.38</v>
      </c>
      <c r="F53" s="29" t="inlineStr">
        <is>
          <t>Techo del personal sobre ventas con plancha, montaje, mostrador y dos servicios. Estimación del kit</t>
        </is>
      </c>
      <c r="G53" s="29" t="n"/>
      <c r="H53" s="29" t="n"/>
    </row>
    <row r="54">
      <c r="A54" s="29" t="inlineStr">
        <is>
          <t>Alquiler / Ventas</t>
        </is>
      </c>
      <c r="B54" s="68">
        <f>IFERROR(IF(B9="","",B22/B9),"")</f>
        <v>0.039473684210526314</v>
      </c>
      <c r="C54" s="68">
        <f>IFERROR(IF(C9="","",C22/C9),"")</f>
        <v>0.03723932472691162</v>
      </c>
      <c r="D54" s="68">
        <f>IFERROR(IF(D9="","",D22/D9),"")</f>
        <v>0.035807043006645785</v>
      </c>
      <c r="E54" s="74" t="n">
        <v>0.1</v>
      </c>
      <c r="F54" s="29" t="inlineStr">
        <is>
          <t>Techo del alquiler sobre ventas para un local con salida de humos a cubierta: estimación del kit</t>
        </is>
      </c>
      <c r="G54" s="29" t="n"/>
      <c r="H54" s="29" t="n"/>
    </row>
    <row r="55">
      <c r="A55" s="29" t="inlineStr">
        <is>
          <t>Resultado neto / Ventas</t>
        </is>
      </c>
      <c r="B55" s="68">
        <f>IFERROR(IF(B9="","",B47/B9),"")</f>
        <v>0.10199895614035089</v>
      </c>
      <c r="C55" s="68">
        <f>IFERROR(IF(C9="","",C47/C9),"")</f>
        <v>0.11429202416418405</v>
      </c>
      <c r="D55" s="68">
        <f>IFERROR(IF(D9="","",D47/D9),"")</f>
        <v>0.10684149896354155</v>
      </c>
      <c r="E55" s="74" t="n">
        <v>0.05</v>
      </c>
      <c r="F55" s="29" t="inlineStr">
        <is>
          <t>Suelo de resultado neto a régimen para que el plan se sostenga. Una hamburguesería bien llevada deja en torno a un 8-10 %. Estimación del kit</t>
        </is>
      </c>
      <c r="G55" s="29" t="n"/>
      <c r="H55" s="29" t="n"/>
    </row>
    <row r="56">
      <c r="A56" s="29" t="inlineStr">
        <is>
          <t>Punto de equilibrio alcanzado</t>
        </is>
      </c>
      <c r="B56" s="29" t="str">
        <f>IFERROR(IF(B9="","",IF(B9&gt;='Punto Equilibrio'!$B$16,"Sí","No")),"")</f>
        <v>Sí</v>
      </c>
      <c r="C56" s="29" t="str">
        <f>IFERROR(IF(C9="","",IF(C9&gt;='Punto Equilibrio'!$C$16,"Sí","No")),"")</f>
        <v>Sí</v>
      </c>
      <c r="D56" s="29" t="str">
        <f>IFERROR(IF(D9="","",IF(D9&gt;='Punto Equilibrio'!$D$16,"Sí","No")),"")</f>
        <v>Sí</v>
      </c>
      <c r="E56" s="29" t="n"/>
      <c r="F56" s="29" t="inlineStr">
        <is>
          <t>Compara las ventas de CADA año con el umbral de ese mismo año, que calcula la hoja de Punto de Equilibrio con los costes fijos del año</t>
        </is>
      </c>
      <c r="G56" s="29" t="n"/>
      <c r="H56" s="29" t="n"/>
    </row>
    <row r="57">
      <c r="A57" s="29" t="n"/>
      <c r="B57" s="29" t="n"/>
      <c r="C57" s="29" t="n"/>
      <c r="D57" s="29" t="n"/>
      <c r="E57" s="29" t="n"/>
      <c r="F57" s="29" t="n"/>
      <c r="G57" s="29" t="n"/>
      <c r="H57" s="29" t="n"/>
    </row>
    <row r="58" ht="165" customHeight="1">
      <c r="A58" s="48"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G13 H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mensual y diario — hamburguesería de smash burgers con sala, para llevar y a domicilio</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70">
        <f>IFERROR(IF('PyG 3 Años'!$B$9="","",'PyG 3 Años'!$B$37),"")</f>
        <v>216509.36</v>
      </c>
      <c r="C6" s="70">
        <f>IFERROR(IF('PyG 3 Años'!$C$9="","",'PyG 3 Años'!$C$37),"")</f>
        <v>222509.36</v>
      </c>
      <c r="D6" s="70">
        <f>IFERROR(IF('PyG 3 Años'!$D$9="","",'PyG 3 Años'!$D$37),"")</f>
        <v>227391.1314978958</v>
      </c>
      <c r="E6" s="29" t="inlineStr">
        <is>
          <t>Los MISMOS costes fijos del P&amp;L. Cada año tiene los suyos: por eso el umbral no puede ser uno solo para los tres</t>
        </is>
      </c>
      <c r="F6" s="29" t="n"/>
    </row>
    <row r="7">
      <c r="A7" s="29" t="inlineStr">
        <is>
          <t>Costes fijos mensuales</t>
        </is>
      </c>
      <c r="B7" s="70">
        <f>IFERROR(IF('PyG 3 Años'!$B$9="","",B6/12),"")</f>
        <v>18042.446666666667</v>
      </c>
      <c r="C7" s="70">
        <f>IFERROR(IF('PyG 3 Años'!$C$9="","",C6/12),"")</f>
        <v>18542.446666666667</v>
      </c>
      <c r="D7" s="70">
        <f>IFERROR(IF('PyG 3 Años'!$D$9="","",D6/12),"")</f>
        <v>18949.260958157985</v>
      </c>
      <c r="E7" s="29" t="n"/>
      <c r="F7" s="29" t="n"/>
    </row>
    <row r="8">
      <c r="A8" s="29" t="inlineStr">
        <is>
          <t>Ticket medio sin IVA</t>
        </is>
      </c>
      <c r="B8" s="70">
        <f>IFERROR(IF('PyG 3 Años'!$B$9="","",'PyG 3 Años'!$B$7),"")</f>
        <v>16.0</v>
      </c>
      <c r="C8" s="70">
        <f>IFERROR(IF('PyG 3 Años'!$C$9="","",'PyG 3 Años'!$C$7),"")</f>
        <v>16.0</v>
      </c>
      <c r="D8" s="70">
        <f>IFERROR(IF('PyG 3 Años'!$D$9="","",'PyG 3 Años'!$D$7),"")</f>
        <v>16.0</v>
      </c>
      <c r="E8" s="29" t="n"/>
      <c r="F8" s="29" t="n"/>
    </row>
    <row r="9">
      <c r="A9" s="29" t="inlineStr">
        <is>
          <t>Coste variable por comensal</t>
        </is>
      </c>
      <c r="B9" s="70">
        <f>IFERROR(IF('PyG 3 Años'!$B$9="","",'PyG 3 Años'!$B$19/('PyG 3 Años'!$B$6*'PyG 3 Años'!$B$8)),"")</f>
        <v>6.4832</v>
      </c>
      <c r="C9" s="70">
        <f>IFERROR(IF('PyG 3 Años'!$C$9="","",'PyG 3 Años'!$C$19/('PyG 3 Años'!$C$6*'PyG 3 Años'!$C$8)),"")</f>
        <v>6.4832</v>
      </c>
      <c r="D9" s="70">
        <f>IFERROR(IF('PyG 3 Años'!$D$9="","",'PyG 3 Años'!$D$19/('PyG 3 Años'!$D$6*'PyG 3 Años'!$D$8)),"")</f>
        <v>6.4832</v>
      </c>
      <c r="E9" s="29" t="inlineStr">
        <is>
          <t>Sale del total de costes variables del P&amp;L, no de una estimación aparte. Incluye los varios e imprevistos, que son un porcentaje de las ventas</t>
        </is>
      </c>
      <c r="F9" s="29" t="n"/>
    </row>
    <row r="10">
      <c r="A10" s="29" t="inlineStr">
        <is>
          <t>Margen de contribución por comensal</t>
        </is>
      </c>
      <c r="B10" s="70">
        <f>IFERROR(IF('PyG 3 Años'!$B$9="","",B8-B9),"")</f>
        <v>9.5168</v>
      </c>
      <c r="C10" s="70">
        <f>IFERROR(IF('PyG 3 Años'!$C$9="","",C8-C9),"")</f>
        <v>9.5168</v>
      </c>
      <c r="D10" s="70">
        <f>IFERROR(IF('PyG 3 Años'!$D$9="","",D8-D9),"")</f>
        <v>9.5168</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70">
        <f>IFERROR(IF('PyG 3 Años'!$B$9="","",'Financiación'!$B$45),"")</f>
        <v>0.0</v>
      </c>
      <c r="C12" s="70">
        <f>IFERROR(IF('PyG 3 Años'!$C$9="","",'Financiación'!$B$47),"")</f>
        <v>18637.141701736393</v>
      </c>
      <c r="D12" s="70">
        <f>IFERROR(IF('PyG 3 Años'!$D$9="","",'Financiación'!$B$49),"")</f>
        <v>19755.370203840575</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Comensales necesarios al año</t>
        </is>
      </c>
      <c r="B14" s="41">
        <f>IFERROR(IF('PyG 3 Años'!$B$9="","",IF(B10&lt;=0,"",B6/B10)),"")</f>
        <v>22750.226967047747</v>
      </c>
      <c r="C14" s="41">
        <f>IFERROR(IF('PyG 3 Años'!$C$9="","",IF(C10&lt;=0,"",C6/C10)),"")</f>
        <v>23380.690988567585</v>
      </c>
      <c r="D14" s="41">
        <f>IFERROR(IF('PyG 3 Años'!$D$9="","",IF(D10&lt;=0,"",D6/D10)),"")</f>
        <v>23893.654537018305</v>
      </c>
      <c r="E14" s="29" t="n"/>
      <c r="F14" s="29" t="n"/>
    </row>
    <row r="15">
      <c r="A15" s="29" t="inlineStr">
        <is>
          <t>Comensales necesarios al día</t>
        </is>
      </c>
      <c r="B15" s="45">
        <f>IFERROR(IF('PyG 3 Años'!$B$9="","",B14/B11),"")</f>
        <v>75.83408989015916</v>
      </c>
      <c r="C15" s="45">
        <f>IFERROR(IF('PyG 3 Años'!$C$9="","",C14/C11),"")</f>
        <v>77.93563662855861</v>
      </c>
      <c r="D15" s="45">
        <f>IFERROR(IF('PyG 3 Años'!$D$9="","",D14/D11),"")</f>
        <v>79.64551512339435</v>
      </c>
      <c r="E15" s="29" t="n"/>
      <c r="F15" s="29" t="n"/>
    </row>
    <row r="16">
      <c r="A16" s="26" t="inlineStr">
        <is>
          <t>Ingresos necesarios al año</t>
        </is>
      </c>
      <c r="B16" s="27">
        <f>IFERROR(IF('PyG 3 Años'!$B$9="","",B14*B8),"")</f>
        <v>364003.63147276395</v>
      </c>
      <c r="C16" s="27">
        <f>IFERROR(IF('PyG 3 Años'!$C$9="","",C14*C8),"")</f>
        <v>374091.05581708136</v>
      </c>
      <c r="D16" s="27">
        <f>IFERROR(IF('PyG 3 Años'!$D$9="","",D14*D8),"")</f>
        <v>382298.4725922929</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70">
        <f>IFERROR(IF('PyG 3 Años'!$B$9="","",B6-'PyG 3 Años'!$B$35+B12),"")</f>
        <v>207174.36</v>
      </c>
      <c r="C18" s="70">
        <f>IFERROR(IF('PyG 3 Años'!$C$9="","",C6-'PyG 3 Años'!$C$35+C12),"")</f>
        <v>231811.5017017364</v>
      </c>
      <c r="D18" s="70">
        <f>IFERROR(IF('PyG 3 Años'!$D$9="","",D6-'PyG 3 Años'!$D$35+D12),"")</f>
        <v>237811.5017017364</v>
      </c>
      <c r="E18" s="29" t="inlineStr">
        <is>
          <t>Los fijos del P&amp;L sin la amortización (que no se paga) y CON la devolución de principal (que sí). Es el umbral que decide si la caja aguanta</t>
        </is>
      </c>
      <c r="F18" s="29" t="n"/>
    </row>
    <row r="19">
      <c r="A19" s="29" t="inlineStr">
        <is>
          <t>Comensales necesarios al año (caja)</t>
        </is>
      </c>
      <c r="B19" s="41">
        <f>IFERROR(IF('PyG 3 Años'!$B$9="","",IF(B10&lt;=0,"",B18/B10)),"")</f>
        <v>21769.330026899795</v>
      </c>
      <c r="C19" s="41">
        <f>IFERROR(IF('PyG 3 Años'!$C$9="","",IF(C10&lt;=0,"",C18/C10)),"")</f>
        <v>24358.13526623827</v>
      </c>
      <c r="D19" s="41">
        <f>IFERROR(IF('PyG 3 Años'!$D$9="","",IF(D10&lt;=0,"",D18/D10)),"")</f>
        <v>24988.599287758112</v>
      </c>
      <c r="E19" s="29" t="n"/>
      <c r="F19" s="29" t="n"/>
    </row>
    <row r="20">
      <c r="A20" s="26" t="inlineStr">
        <is>
          <t>Comensales necesarios al día (caja)</t>
        </is>
      </c>
      <c r="B20" s="46">
        <f>IFERROR(IF('PyG 3 Años'!$B$9="","",B19/B11),"")</f>
        <v>72.56443342299931</v>
      </c>
      <c r="C20" s="46">
        <f>IFERROR(IF('PyG 3 Años'!$C$9="","",C19/C11),"")</f>
        <v>81.19378422079423</v>
      </c>
      <c r="D20" s="46">
        <f>IFERROR(IF('PyG 3 Años'!$D$9="","",D19/D11),"")</f>
        <v>83.2953309591937</v>
      </c>
      <c r="E20" s="29" t="n"/>
      <c r="F20" s="29" t="n"/>
    </row>
    <row r="21">
      <c r="A21" s="29" t="inlineStr">
        <is>
          <t>Ingresos necesarios al año (caja)</t>
        </is>
      </c>
      <c r="B21" s="33">
        <f>IFERROR(IF('PyG 3 Años'!$B$9="","",B19*B8),"")</f>
        <v>348309.2804303967</v>
      </c>
      <c r="C21" s="33">
        <f>IFERROR(IF('PyG 3 Años'!$C$9="","",C19*C8),"")</f>
        <v>389730.1642598123</v>
      </c>
      <c r="D21" s="33">
        <f>IFERROR(IF('PyG 3 Años'!$D$9="","",D19*D8),"")</f>
        <v>399817.5886041298</v>
      </c>
      <c r="E21" s="29" t="n"/>
      <c r="F21" s="29" t="n"/>
    </row>
    <row r="22">
      <c r="A22" s="26" t="inlineStr">
        <is>
          <t>CONTRASTE CON EL PLAN</t>
        </is>
      </c>
      <c r="B22" s="29" t="n"/>
      <c r="C22" s="29" t="n"/>
      <c r="D22" s="29" t="n"/>
      <c r="E22" s="29" t="n"/>
      <c r="F22" s="29" t="n"/>
    </row>
    <row r="23">
      <c r="A23" s="29" t="inlineStr">
        <is>
          <t>Comensales/día previstos en el plan</t>
        </is>
      </c>
      <c r="B23" s="41">
        <f>IFERROR(IF('PyG 3 Años'!$B$9="","",'PyG 3 Años'!$B$6),"")</f>
        <v>95.0</v>
      </c>
      <c r="C23" s="41">
        <f>IFERROR(IF('PyG 3 Años'!$C$9="","",'PyG 3 Años'!$C$6),"")</f>
        <v>100.7</v>
      </c>
      <c r="D23" s="41">
        <f>IFERROR(IF('PyG 3 Años'!$D$9="","",'PyG 3 Años'!$D$6),"")</f>
        <v>104.72800000000001</v>
      </c>
      <c r="E23" s="29" t="n"/>
      <c r="F23" s="29" t="n"/>
    </row>
    <row r="24">
      <c r="A24" s="29" t="inlineStr">
        <is>
          <t>Holgura sobre el equilibrio de CAJA (%)</t>
        </is>
      </c>
      <c r="B24" s="68">
        <f>IFERROR(IF('PyG 3 Años'!$B$9="","",B23/B20-1),"")</f>
        <v>0.3091813098879612</v>
      </c>
      <c r="C24" s="68">
        <f>IFERROR(IF('PyG 3 Años'!$C$9="","",C23/C20-1),"")</f>
        <v>0.24024272259760138</v>
      </c>
      <c r="D24" s="68">
        <f>IFERROR(IF('PyG 3 Años'!$D$9="","",D23/D20-1),"")</f>
        <v>0.25730936889255096</v>
      </c>
      <c r="E24" s="29" t="inlineStr">
        <is>
          <t>Cuánto superan tus ventas previstas a las del equilibrio de caja. La caída que aguantas antes de no poder pagar los costes fijos y la cuota es algo menor: con un 25 % de holgura, un 20 %. El mínimo exigible está en la hoja de Supuestos</t>
        </is>
      </c>
      <c r="F24" s="29" t="n"/>
    </row>
    <row r="25">
      <c r="A25" s="29" t="inlineStr">
        <is>
          <t>Rotaciones al día que da el local como máximo</t>
        </is>
      </c>
      <c r="B25" s="47" t="n">
        <v>3.5</v>
      </c>
      <c r="C25" s="29" t="n"/>
      <c r="D25" s="29" t="n"/>
      <c r="E25" s="29" t="inlineStr">
        <is>
          <t>Servicios completos por plaza y día que puedes hacer con comidas y cenas, pedido en el mostrador y estancias de 30-40 minutos. Es el techo físico del local, no un objetivo</t>
        </is>
      </c>
      <c r="F25" s="29" t="n"/>
    </row>
    <row r="26">
      <c r="A26" s="29" t="inlineStr">
        <is>
          <t>Rotaciones al día que exige el equilibrio de caja</t>
        </is>
      </c>
      <c r="B26" s="45">
        <f>IFERROR(IF('PyG 3 Años'!$B$9="","",B20/'0. Supuestos'!$B$51),"")</f>
        <v>2.0156787061944255</v>
      </c>
      <c r="C26" s="45">
        <f>IFERROR(IF('PyG 3 Años'!$C$9="","",C20/'0. Supuestos'!$B$51),"")</f>
        <v>2.255382895022062</v>
      </c>
      <c r="D26" s="45">
        <f>IFERROR(IF('PyG 3 Años'!$D$9="","",D20/'0. Supuestos'!$B$51),"")</f>
        <v>2.3137591933109363</v>
      </c>
      <c r="E26" s="29" t="inlineStr">
        <is>
          <t>Comensales de equilibrio entre las plazas que declara la hoja de Supuestos. Por encima del techo de arriba, el punto de equilibrio está fuera del alcance del local</t>
        </is>
      </c>
      <c r="F26" s="29" t="n"/>
    </row>
    <row r="27">
      <c r="A27" s="26" t="inlineStr">
        <is>
          <t>INTERPRETACIÓN</t>
        </is>
      </c>
      <c r="B27" s="29" t="n"/>
      <c r="C27" s="29" t="n"/>
      <c r="D27" s="29" t="n"/>
      <c r="E27" s="29" t="n"/>
      <c r="F27" s="29" t="n"/>
    </row>
    <row r="28" ht="46" customHeight="1">
      <c r="A28" s="29" t="str">
        <f>IFERROR("Con el ticket medio sin IVA de la fila de arriba necesitas "&amp;TEXT(ROUNDUP(B15,0),"0")&amp;" comensales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76 comensales al día durante los 300 días que abres para no perder dinero (equilibrio contable, con la amortización dentro), y 73 para que la caja aguante (equilibrio de caja: sin la amortización, que no se paga, y con la cuota del préstamo del año; este año sólo intereses, porque el préstamo está en carencia). En las filas «Ingresos necesarios al año» tienes esas mismas cifras en euros.</v>
      </c>
      <c r="B28" s="29" t="n"/>
      <c r="C28" s="29" t="n"/>
      <c r="D28" s="29" t="n"/>
      <c r="E28" s="29" t="n"/>
      <c r="F28" s="29" t="n"/>
    </row>
    <row r="29">
      <c r="A29" s="29" t="n"/>
      <c r="B29" s="29" t="n"/>
      <c r="C29" s="29" t="n"/>
      <c r="D29" s="29" t="n"/>
      <c r="E29" s="29" t="n"/>
      <c r="F29" s="29" t="n"/>
    </row>
    <row r="30">
      <c r="A30" s="26" t="inlineStr">
        <is>
          <t>SENSIBILIDAD DEL PUNTO DE EQUILIBRIO</t>
        </is>
      </c>
      <c r="B30" s="29" t="n"/>
      <c r="C30" s="29" t="n"/>
      <c r="D30" s="29" t="n"/>
      <c r="E30" s="29" t="n"/>
      <c r="F30" s="29" t="n"/>
    </row>
    <row r="31" ht="75" customHeight="1">
      <c r="A31" s="48" t="inlineStr">
        <is>
          <t>Comensales/día necesarios para cubrir costes según el ticket medio (columnas) y el coste variable por comensal (filas). En verde, los que están por debajo de los comensales que prevé el plan.</t>
        </is>
      </c>
      <c r="B31" s="29" t="n"/>
      <c r="C31" s="29" t="n"/>
      <c r="D31" s="29" t="n"/>
      <c r="E31" s="29" t="n"/>
      <c r="F31" s="29" t="n"/>
    </row>
    <row r="32">
      <c r="A32" s="29" t="n"/>
      <c r="B32" s="29" t="n"/>
      <c r="C32" s="29" t="n"/>
      <c r="D32" s="29" t="n"/>
      <c r="E32" s="29" t="n"/>
      <c r="F32" s="29" t="n"/>
    </row>
    <row r="33" ht="45" customHeight="1">
      <c r="A33" s="40" t="inlineStr">
        <is>
          <t>Comensales/día necesarios: ticket medio sin IVA (columnas) × coste variable por comensal (filas)</t>
        </is>
      </c>
      <c r="B33" s="72">
        <f>IFERROR($B$8-2,"")</f>
        <v>14.0</v>
      </c>
      <c r="C33" s="72">
        <f>IFERROR(IF($B$8="","",$B$8),"")</f>
        <v>16.0</v>
      </c>
      <c r="D33" s="72">
        <f>IFERROR($B$8+2,"")</f>
        <v>18.0</v>
      </c>
      <c r="E33" s="72">
        <f>IFERROR($B$8+4,"")</f>
        <v>20.0</v>
      </c>
      <c r="F33" s="29" t="n"/>
    </row>
    <row r="34">
      <c r="A34" s="70">
        <f>IFERROR($B$9*0.85,"")</f>
        <v>5.51072</v>
      </c>
      <c r="B34" s="45">
        <f>IFERROR(IF($B$33-$A34&lt;=0,"",$B$6/($B$33-$A34)/$B$11),"")</f>
        <v>85.01284757560907</v>
      </c>
      <c r="C34" s="45">
        <f>IFERROR(IF($C$33-$A34&lt;=0,"",$B$6/($C$33-$A34)/$B$11),"")</f>
        <v>68.80337512838504</v>
      </c>
      <c r="D34" s="45">
        <f>IFERROR(IF($D$33-$A34&lt;=0,"",$B$6/($D$33-$A34)/$B$11),"")</f>
        <v>57.785386080435906</v>
      </c>
      <c r="E34" s="45">
        <f>IFERROR(IF($E$33-$A34&lt;=0,"",$B$6/($E$33-$A34)/$B$11),"")</f>
        <v>49.80909104294116</v>
      </c>
      <c r="F34" s="29" t="n"/>
    </row>
    <row r="35">
      <c r="A35" s="70">
        <f>IFERROR($B$9*0.925,"")</f>
        <v>5.9969600000000005</v>
      </c>
      <c r="B35" s="45">
        <f>IFERROR(IF($B$33-$A35&lt;=0,"",$B$6/($B$33-$A35)/$B$11),"")</f>
        <v>90.17796570636492</v>
      </c>
      <c r="C35" s="45">
        <f>IFERROR(IF($C$33-$A35&lt;=0,"",$B$6/($C$33-$A35)/$B$11),"")</f>
        <v>72.14785371913605</v>
      </c>
      <c r="D35" s="45">
        <f>IFERROR(IF($D$33-$A35&lt;=0,"",$B$6/($D$33-$A35)/$B$11),"")</f>
        <v>60.12625690380659</v>
      </c>
      <c r="E35" s="45">
        <f>IFERROR(IF($E$33-$A35&lt;=0,"",$B$6/($E$33-$A35)/$B$11),"")</f>
        <v>51.53865636795058</v>
      </c>
      <c r="F35" s="29" t="n"/>
    </row>
    <row r="36">
      <c r="A36" s="70">
        <f>IFERROR($B$9*1.0,"")</f>
        <v>6.4832</v>
      </c>
      <c r="B36" s="45">
        <f>IFERROR(IF($B$33-$A36&lt;=0,"",$B$6/($B$33-$A36)/$B$11),"")</f>
        <v>96.01131687242797</v>
      </c>
      <c r="C36" s="45">
        <f>IFERROR(IF($C$33-$A36&lt;=0,"",$B$6/($C$33-$A36)/$B$11),"")</f>
        <v>75.83408989015916</v>
      </c>
      <c r="D36" s="45">
        <f>IFERROR(IF($D$33-$A36&lt;=0,"",$B$6/($D$33-$A36)/$B$11),"")</f>
        <v>62.66479114568861</v>
      </c>
      <c r="E36" s="45">
        <f>IFERROR(IF($E$33-$A36&lt;=0,"",$B$6/($E$33-$A36)/$B$11),"")</f>
        <v>53.39265703914141</v>
      </c>
      <c r="F36" s="29" t="n"/>
    </row>
    <row r="37">
      <c r="A37" s="70">
        <f>IFERROR($B$9*1.075,"")</f>
        <v>6.96944</v>
      </c>
      <c r="B37" s="45">
        <f>IFERROR(IF($B$33-$A37&lt;=0,"",$B$6/($B$33-$A37)/$B$11),"")</f>
        <v>102.6515479089385</v>
      </c>
      <c r="C37" s="45">
        <f>IFERROR(IF($C$33-$A37&lt;=0,"",$B$6/($C$33-$A37)/$B$11),"")</f>
        <v>79.91728825971663</v>
      </c>
      <c r="D37" s="45">
        <f>IFERROR(IF($D$33-$A37&lt;=0,"",$B$6/($D$33-$A37)/$B$11),"")</f>
        <v>65.42712851085226</v>
      </c>
      <c r="E37" s="45">
        <f>IFERROR(IF($E$33-$A37&lt;=0,"",$B$6/($E$33-$A37)/$B$11),"")</f>
        <v>55.385023104660625</v>
      </c>
      <c r="F37" s="29" t="n"/>
    </row>
    <row r="38">
      <c r="A38" s="70">
        <f>IFERROR($B$9*1.15,"")</f>
        <v>7.455679999999999</v>
      </c>
      <c r="B38" s="45">
        <f>IFERROR(IF($B$33-$A38&lt;=0,"",$B$6/($B$33-$A38)/$B$11),"")</f>
        <v>110.27851123824425</v>
      </c>
      <c r="C38" s="45">
        <f>IFERROR(IF($C$33-$A38&lt;=0,"",$B$6/($C$33-$A38)/$B$11),"")</f>
        <v>84.46521977953384</v>
      </c>
      <c r="D38" s="45">
        <f>IFERROR(IF($D$33-$A38&lt;=0,"",$B$6/($D$33-$A38)/$B$11),"")</f>
        <v>68.44423032179093</v>
      </c>
      <c r="E38" s="45">
        <f>IFERROR(IF($E$33-$A38&lt;=0,"",$B$6/($E$33-$A38)/$B$11),"")</f>
        <v>57.53184442573743</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row r="79">
      <c r="A79" s="29" t="n"/>
      <c r="B79" s="29" t="n"/>
      <c r="C79" s="29" t="n"/>
      <c r="D79" s="29" t="n"/>
      <c r="E79" s="29" t="n"/>
      <c r="F79" s="29" t="n"/>
    </row>
    <row r="80">
      <c r="A80" s="29" t="n"/>
      <c r="B80" s="29" t="n"/>
      <c r="C80" s="29" t="n"/>
      <c r="D80" s="29" t="n"/>
      <c r="E80" s="29" t="n"/>
      <c r="F80" s="29" t="n"/>
    </row>
    <row r="81">
      <c r="A81" s="29" t="n"/>
      <c r="B81" s="29" t="n"/>
      <c r="C81" s="29" t="n"/>
      <c r="D81" s="29" t="n"/>
      <c r="E81" s="29" t="n"/>
      <c r="F81" s="29" t="n"/>
    </row>
    <row r="82">
      <c r="A82" s="29" t="n"/>
      <c r="B82" s="29" t="n"/>
      <c r="C82" s="29" t="n"/>
      <c r="D82" s="29" t="n"/>
      <c r="E82" s="29" t="n"/>
      <c r="F82" s="29" t="n"/>
    </row>
    <row r="83">
      <c r="A83" s="29" t="n"/>
      <c r="B83" s="29" t="n"/>
      <c r="C83" s="29" t="n"/>
      <c r="D83" s="29" t="n"/>
      <c r="E83" s="29" t="n"/>
      <c r="F83" s="29" t="n"/>
    </row>
    <row r="84">
      <c r="A84" s="29" t="n"/>
      <c r="B84" s="29" t="n"/>
      <c r="C84" s="29" t="n"/>
      <c r="D84" s="29" t="n"/>
      <c r="E84" s="29" t="n"/>
      <c r="F84" s="29" t="n"/>
    </row>
    <row r="85">
      <c r="A85" s="29" t="n"/>
      <c r="B85" s="29" t="n"/>
      <c r="C85" s="29" t="n"/>
      <c r="D85" s="29" t="n"/>
      <c r="E85" s="29" t="n"/>
      <c r="F85" s="29" t="n"/>
    </row>
    <row r="86">
      <c r="A86" s="29" t="n"/>
      <c r="B86" s="29" t="n"/>
      <c r="C86" s="29" t="n"/>
      <c r="D86" s="29" t="n"/>
      <c r="E86" s="29" t="n"/>
      <c r="F86" s="29" t="n"/>
    </row>
    <row r="87">
      <c r="A87" s="29" t="n"/>
      <c r="B87" s="29" t="n"/>
      <c r="C87" s="29" t="n"/>
      <c r="D87" s="29" t="n"/>
      <c r="E87" s="29" t="n"/>
      <c r="F87" s="29" t="n"/>
    </row>
    <row r="88">
      <c r="A88" s="29" t="n"/>
      <c r="B88" s="29" t="n"/>
      <c r="C88" s="29" t="n"/>
      <c r="D88" s="29" t="n"/>
      <c r="E88" s="29" t="n"/>
      <c r="F88" s="29" t="n"/>
    </row>
    <row r="89">
      <c r="A89" s="29" t="n"/>
      <c r="B89" s="29" t="n"/>
      <c r="C89" s="29" t="n"/>
      <c r="D89" s="29" t="n"/>
      <c r="E89" s="29" t="n"/>
      <c r="F89" s="29" t="n"/>
    </row>
    <row r="90">
      <c r="A90" s="29" t="n"/>
      <c r="B90" s="29" t="n"/>
      <c r="C90" s="29" t="n"/>
      <c r="D90" s="29" t="n"/>
      <c r="E90" s="29" t="n"/>
      <c r="F90" s="29" t="n"/>
    </row>
    <row r="91">
      <c r="A91" s="29" t="n"/>
      <c r="B91" s="29" t="n"/>
      <c r="C91" s="29" t="n"/>
      <c r="D91" s="29" t="n"/>
      <c r="E91" s="29" t="n"/>
      <c r="F91" s="29" t="n"/>
    </row>
    <row r="92">
      <c r="A92" s="29" t="n"/>
      <c r="B92" s="29" t="n"/>
      <c r="C92" s="29" t="n"/>
      <c r="D92" s="29" t="n"/>
      <c r="E92" s="29" t="n"/>
      <c r="F92" s="29" t="n"/>
    </row>
    <row r="93">
      <c r="A93" s="29" t="n"/>
      <c r="B93" s="29" t="n"/>
      <c r="C93" s="29" t="n"/>
      <c r="D93" s="29" t="n"/>
      <c r="E93" s="29" t="n"/>
      <c r="F93" s="29" t="n"/>
    </row>
    <row r="94">
      <c r="A94" s="29" t="n"/>
      <c r="B94" s="29" t="n"/>
      <c r="C94" s="29" t="n"/>
      <c r="D94" s="29" t="n"/>
      <c r="E94" s="29" t="n"/>
      <c r="F94" s="29" t="n"/>
    </row>
    <row r="95">
      <c r="A95" s="29" t="n"/>
      <c r="B95" s="29" t="n"/>
      <c r="C95" s="29" t="n"/>
      <c r="D95" s="29" t="n"/>
      <c r="E95" s="29" t="n"/>
      <c r="F95" s="29" t="n"/>
    </row>
    <row r="96">
      <c r="A96" s="29" t="n"/>
      <c r="B96" s="29" t="n"/>
      <c r="C96" s="29" t="n"/>
      <c r="D96" s="29" t="n"/>
      <c r="E96" s="29" t="n"/>
      <c r="F96" s="29" t="n"/>
    </row>
    <row r="97">
      <c r="A97" s="29" t="n"/>
      <c r="B97" s="29" t="n"/>
      <c r="C97" s="29" t="n"/>
      <c r="D97" s="29" t="n"/>
      <c r="E97" s="29" t="n"/>
      <c r="F97" s="29" t="n"/>
    </row>
    <row r="98">
      <c r="A98" s="29" t="n"/>
      <c r="B98" s="29" t="n"/>
      <c r="C98" s="29" t="n"/>
      <c r="D98" s="29" t="n"/>
      <c r="E98" s="29" t="n"/>
      <c r="F98" s="29" t="n"/>
    </row>
    <row r="99">
      <c r="A99" s="29" t="n"/>
      <c r="B99" s="29" t="n"/>
      <c r="C99" s="29" t="n"/>
      <c r="D99" s="29" t="n"/>
      <c r="E99" s="29" t="n"/>
      <c r="F99" s="29" t="n"/>
    </row>
    <row r="100">
      <c r="A100" s="29" t="n"/>
      <c r="B100" s="29" t="n"/>
      <c r="C100" s="29" t="n"/>
      <c r="D100" s="29" t="n"/>
      <c r="E100" s="29" t="n"/>
      <c r="F100" s="29" t="n"/>
    </row>
    <row r="101">
      <c r="A101" s="29" t="n"/>
      <c r="B101" s="29" t="n"/>
      <c r="C101" s="29" t="n"/>
      <c r="D101" s="29" t="n"/>
      <c r="E101" s="29" t="n"/>
      <c r="F101" s="29" t="n"/>
    </row>
    <row r="102">
      <c r="A102" s="29" t="n"/>
      <c r="B102" s="29" t="n"/>
      <c r="C102" s="29" t="n"/>
      <c r="D102" s="29" t="n"/>
      <c r="E102" s="29" t="n"/>
      <c r="F102" s="29" t="n"/>
    </row>
    <row r="103">
      <c r="A103" s="29" t="n"/>
      <c r="B103" s="29" t="n"/>
      <c r="C103" s="29" t="n"/>
      <c r="D103" s="29" t="n"/>
      <c r="E103" s="29" t="n"/>
      <c r="F103" s="29" t="n"/>
    </row>
    <row r="104">
      <c r="A104" s="29" t="n"/>
      <c r="B104" s="29" t="n"/>
      <c r="C104" s="29" t="n"/>
      <c r="D104" s="29" t="n"/>
      <c r="E104" s="29" t="n"/>
      <c r="F104" s="29" t="n"/>
    </row>
    <row r="105">
      <c r="A105" s="29" t="n"/>
      <c r="B105" s="29" t="n"/>
      <c r="C105" s="29" t="n"/>
      <c r="D105" s="29" t="n"/>
      <c r="E105" s="29" t="n"/>
      <c r="F105" s="29" t="n"/>
    </row>
    <row r="106">
      <c r="A106" s="29" t="n"/>
      <c r="B106" s="29" t="n"/>
      <c r="C106" s="29" t="n"/>
      <c r="D106" s="29" t="n"/>
      <c r="E106" s="29" t="n"/>
      <c r="F106" s="29" t="n"/>
    </row>
    <row r="107">
      <c r="A107" s="29" t="n"/>
      <c r="B107" s="29" t="n"/>
      <c r="C107" s="29" t="n"/>
      <c r="D107" s="29" t="n"/>
      <c r="E107" s="29" t="n"/>
      <c r="F107" s="29" t="n"/>
    </row>
    <row r="108">
      <c r="A108" s="29" t="n"/>
      <c r="B108" s="29" t="n"/>
      <c r="C108" s="29" t="n"/>
      <c r="D108" s="29" t="n"/>
      <c r="E108" s="29" t="n"/>
      <c r="F108" s="29" t="n"/>
    </row>
    <row r="109">
      <c r="A109" s="29" t="n"/>
      <c r="B109" s="29" t="n"/>
      <c r="C109" s="29" t="n"/>
      <c r="D109" s="29" t="n"/>
      <c r="E109" s="29" t="n"/>
      <c r="F109" s="29" t="n"/>
    </row>
    <row r="110">
      <c r="A110" s="29" t="n"/>
      <c r="B110" s="29" t="n"/>
      <c r="C110" s="29" t="n"/>
      <c r="D110" s="29" t="n"/>
      <c r="E110" s="29" t="n"/>
      <c r="F110" s="29" t="n"/>
    </row>
    <row r="111">
      <c r="A111" s="29" t="n"/>
      <c r="B111" s="29" t="n"/>
      <c r="C111" s="29" t="n"/>
      <c r="D111" s="29" t="n"/>
      <c r="E111" s="29" t="n"/>
      <c r="F111" s="29" t="n"/>
    </row>
    <row r="112">
      <c r="A112" s="29" t="n"/>
      <c r="B112" s="29" t="n"/>
      <c r="C112" s="29" t="n"/>
      <c r="D112" s="29" t="n"/>
      <c r="E112" s="29" t="n"/>
      <c r="F112" s="29" t="n"/>
    </row>
    <row r="113">
      <c r="A113" s="29" t="n"/>
      <c r="B113" s="29" t="n"/>
      <c r="C113" s="29" t="n"/>
      <c r="D113" s="29" t="n"/>
      <c r="E113" s="29" t="n"/>
      <c r="F113" s="29" t="n"/>
    </row>
    <row r="114">
      <c r="A114" s="29" t="n"/>
      <c r="B114" s="29" t="n"/>
      <c r="C114" s="29" t="n"/>
      <c r="D114" s="29" t="n"/>
      <c r="E114" s="29" t="n"/>
      <c r="F114" s="29" t="n"/>
    </row>
    <row r="115">
      <c r="A115" s="29" t="n"/>
      <c r="B115" s="29" t="n"/>
      <c r="C115" s="29" t="n"/>
      <c r="D115" s="29" t="n"/>
      <c r="E115" s="29" t="n"/>
      <c r="F115" s="29" t="n"/>
    </row>
    <row r="116">
      <c r="A116" s="29" t="n"/>
      <c r="B116" s="29" t="n"/>
      <c r="C116" s="29" t="n"/>
      <c r="D116" s="29" t="n"/>
      <c r="E116" s="29" t="n"/>
      <c r="F116" s="29" t="n"/>
    </row>
    <row r="117">
      <c r="A117" s="29" t="n"/>
      <c r="B117" s="29" t="n"/>
      <c r="C117" s="29" t="n"/>
      <c r="D117" s="29" t="n"/>
      <c r="E117" s="29" t="n"/>
      <c r="F117" s="29" t="n"/>
    </row>
    <row r="118">
      <c r="A118" s="29" t="n"/>
      <c r="B118" s="29" t="n"/>
      <c r="C118" s="29" t="n"/>
      <c r="D118" s="29" t="n"/>
      <c r="E118" s="29" t="n"/>
      <c r="F11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Comensales/día</t>
        </is>
      </c>
      <c r="B5" s="51" t="n">
        <v>80</v>
      </c>
      <c r="C5" s="41">
        <f>IFERROR(IF('PyG 3 Años'!$B$6="","",'PyG 3 Años'!$B$6),"")</f>
        <v>95.0</v>
      </c>
      <c r="D5" s="51" t="n">
        <v>110</v>
      </c>
      <c r="E5" s="29" t="n"/>
      <c r="F5" s="29" t="n"/>
    </row>
    <row r="6">
      <c r="A6" s="29" t="inlineStr">
        <is>
          <t>Ticket medio sin IVA</t>
        </is>
      </c>
      <c r="B6" s="73" t="n">
        <v>15.25</v>
      </c>
      <c r="C6" s="70">
        <f>IFERROR(IF('PyG 3 Años'!$B$7="","",'PyG 3 Años'!$B$7),"")</f>
        <v>16.0</v>
      </c>
      <c r="D6" s="73" t="n">
        <v>16.75</v>
      </c>
      <c r="E6" s="29" t="n"/>
      <c r="F6" s="29" t="n"/>
    </row>
    <row r="7">
      <c r="A7" s="29" t="inlineStr">
        <is>
          <t>Días de apertura al año</t>
        </is>
      </c>
      <c r="B7" s="51" t="n">
        <v>295</v>
      </c>
      <c r="C7" s="41">
        <f>IFERROR(IF('PyG 3 Años'!$B$8="","",'PyG 3 Años'!$B$8),"")</f>
        <v>300.0</v>
      </c>
      <c r="D7" s="51" t="n">
        <v>305</v>
      </c>
      <c r="E7" s="29" t="n"/>
      <c r="F7" s="29" t="n"/>
    </row>
    <row r="8">
      <c r="A8" s="26" t="inlineStr">
        <is>
          <t>INGRESOS ANUALES (sin IVA)</t>
        </is>
      </c>
      <c r="B8" s="27">
        <f>IFERROR(IF(B5*B6*B7=0,"",B5*B6*B7),"")</f>
        <v>359900.0</v>
      </c>
      <c r="C8" s="27">
        <f>IFERROR(IF(C5*C6*C7=0,"",C5*C6*C7),"")</f>
        <v>456000.0</v>
      </c>
      <c r="D8" s="27">
        <f>IFERROR(IF(D5*D6*D7=0,"",D5*D6*D7),"")</f>
        <v>561962.5</v>
      </c>
      <c r="E8" s="29" t="n"/>
      <c r="F8" s="29" t="n"/>
    </row>
    <row r="9">
      <c r="A9" s="29" t="inlineStr">
        <is>
          <t>Coste de mercancía — comida</t>
        </is>
      </c>
      <c r="B9" s="33">
        <f>IFERROR(IF(B8="","",B8*'0. Supuestos'!$B$11*'0. Supuestos'!$B$13),"")</f>
        <v>84648.48000000001</v>
      </c>
      <c r="C9" s="33">
        <f>IFERROR(IF(C8="","",C8*'0. Supuestos'!$B$11*'0. Supuestos'!$B$13),"")</f>
        <v>107251.20000000001</v>
      </c>
      <c r="D9" s="33">
        <f>IFERROR(IF(D8="","",D8*'0. Supuestos'!$B$11*'0. Supuestos'!$B$13),"")</f>
        <v>132173.58000000002</v>
      </c>
      <c r="E9" s="29" t="n"/>
      <c r="F9" s="29" t="n"/>
    </row>
    <row r="10">
      <c r="A10" s="29" t="inlineStr">
        <is>
          <t>Coste de mercancía — bebida</t>
        </is>
      </c>
      <c r="B10" s="33">
        <f>IFERROR(IF(B8="","",B8*'0. Supuestos'!$B$12*'0. Supuestos'!$B$14),"")</f>
        <v>14396.000000000004</v>
      </c>
      <c r="C10" s="33">
        <f>IFERROR(IF(C8="","",C8*'0. Supuestos'!$B$12*'0. Supuestos'!$B$14),"")</f>
        <v>18240.000000000004</v>
      </c>
      <c r="D10" s="33">
        <f>IFERROR(IF(D8="","",D8*'0. Supuestos'!$B$12*'0. Supuestos'!$B$14),"")</f>
        <v>22478.500000000004</v>
      </c>
      <c r="E10" s="29" t="n"/>
      <c r="F10" s="29" t="n"/>
    </row>
    <row r="11">
      <c r="A11" s="29" t="inlineStr">
        <is>
          <t>Consumibles y envases</t>
        </is>
      </c>
      <c r="B11" s="33">
        <f>IFERROR(IF(B8="","",B8*'0. Supuestos'!$B$15),"")</f>
        <v>10797.0</v>
      </c>
      <c r="C11" s="33">
        <f>IFERROR(IF(C8="","",C8*'0. Supuestos'!$B$15),"")</f>
        <v>13680.0</v>
      </c>
      <c r="D11" s="33">
        <f>IFERROR(IF(D8="","",D8*'0. Supuestos'!$B$15),"")</f>
        <v>16858.875</v>
      </c>
      <c r="E11" s="29" t="n"/>
      <c r="F11" s="29" t="n"/>
    </row>
    <row r="12">
      <c r="A12" s="29" t="inlineStr">
        <is>
          <t>Comisiones de delivery</t>
        </is>
      </c>
      <c r="B12" s="33">
        <f>IFERROR(IF(B8="","",B8*'0. Supuestos'!$B$16*'0. Supuestos'!$B$17),"")</f>
        <v>25912.8</v>
      </c>
      <c r="C12" s="33">
        <f>IFERROR(IF(C8="","",C8*'0. Supuestos'!$B$16*'0. Supuestos'!$B$17),"")</f>
        <v>32832.0</v>
      </c>
      <c r="D12" s="33">
        <f>IFERROR(IF(D8="","",D8*'0. Supuestos'!$B$16*'0. Supuestos'!$B$17),"")</f>
        <v>40461.299999999996</v>
      </c>
      <c r="E12" s="29" t="n"/>
      <c r="F12" s="29" t="n"/>
    </row>
    <row r="13">
      <c r="A13" s="29" t="inlineStr">
        <is>
          <t>Comisiones de los medios de pago</t>
        </is>
      </c>
      <c r="B13" s="33">
        <f>IFERROR(IF(B8="","",B8*'0. Supuestos'!$B$18),"")</f>
        <v>2879.2000000000003</v>
      </c>
      <c r="C13" s="33">
        <f>IFERROR(IF(C8="","",C8*'0. Supuestos'!$B$18),"")</f>
        <v>3648.0</v>
      </c>
      <c r="D13" s="33">
        <f>IFERROR(IF(D8="","",D8*'0. Supuestos'!$B$18),"")</f>
        <v>4495.7</v>
      </c>
      <c r="E13" s="29" t="n"/>
      <c r="F13" s="29" t="n"/>
    </row>
    <row r="14">
      <c r="A14" s="29" t="inlineStr">
        <is>
          <t>Varios e imprevistos</t>
        </is>
      </c>
      <c r="B14" s="33">
        <f>IFERROR(IF(B8="","",B8*'0. Supuestos'!$B$28),"")</f>
        <v>7198.0</v>
      </c>
      <c r="C14" s="33">
        <f>IFERROR(IF(C8="","",C8*'0. Supuestos'!$B$28),"")</f>
        <v>9120.0</v>
      </c>
      <c r="D14" s="33">
        <f>IFERROR(IF(D8="","",D8*'0. Supuestos'!$B$28),"")</f>
        <v>11239.25</v>
      </c>
      <c r="E14" s="29" t="n"/>
      <c r="F14" s="29" t="n"/>
    </row>
    <row r="15">
      <c r="A15" s="29" t="inlineStr">
        <is>
          <t>TOTAL COSTES VARIABLES</t>
        </is>
      </c>
      <c r="B15" s="33">
        <f>IFERROR(IF(B8="","",SUM(B9:B14)),"")</f>
        <v>145831.48</v>
      </c>
      <c r="C15" s="33">
        <f>IFERROR(IF(C8="","",SUM(C9:C14)),"")</f>
        <v>184771.2</v>
      </c>
      <c r="D15" s="33">
        <f>IFERROR(IF(D8="","",SUM(D9:D14)),"")</f>
        <v>227707.20500000002</v>
      </c>
      <c r="E15" s="29" t="n"/>
      <c r="F15" s="29" t="n"/>
    </row>
    <row r="16">
      <c r="A16" s="29" t="inlineStr">
        <is>
          <t>MARGEN BRUTO</t>
        </is>
      </c>
      <c r="B16" s="33">
        <f>IFERROR(IF(B8="","",B8-B15),"")</f>
        <v>214068.52</v>
      </c>
      <c r="C16" s="33">
        <f>IFERROR(IF(C8="","",C8-C15),"")</f>
        <v>271228.8</v>
      </c>
      <c r="D16" s="33">
        <f>IFERROR(IF(D8="","",D8-D15),"")</f>
        <v>334255.295</v>
      </c>
      <c r="E16" s="29" t="n"/>
      <c r="F16" s="29" t="n"/>
    </row>
    <row r="17">
      <c r="A17" s="29" t="inlineStr">
        <is>
          <t>COSTES FIJOS (los del P&amp;L)</t>
        </is>
      </c>
      <c r="B17" s="33">
        <f>IFERROR(IF(B8="","",'PyG 3 Años'!$B$37),"")</f>
        <v>216509.36</v>
      </c>
      <c r="C17" s="33">
        <f>IFERROR(IF(C8="","",'PyG 3 Años'!$B$37),"")</f>
        <v>216509.36</v>
      </c>
      <c r="D17" s="33">
        <f>IFERROR(IF(D8="","",'PyG 3 Años'!$B$37),"")</f>
        <v>216509.36</v>
      </c>
      <c r="E17" s="29" t="inlineStr">
        <is>
          <t>Los costes fijos no cambian con el escenario: por eso son fijos</t>
        </is>
      </c>
      <c r="F17" s="29" t="n"/>
    </row>
    <row r="18">
      <c r="A18" s="26" t="inlineStr">
        <is>
          <t>RESULTADO ANTES DE IMPUESTOS</t>
        </is>
      </c>
      <c r="B18" s="27">
        <f>IFERROR(IF(B8="","",B16-B17),"")</f>
        <v>-2440.8399999999965</v>
      </c>
      <c r="C18" s="27">
        <f>IFERROR(IF(C8="","",C16-C17),"")</f>
        <v>54719.44</v>
      </c>
      <c r="D18" s="27">
        <f>IFERROR(IF(D8="","",D16-D17),"")</f>
        <v>117745.935</v>
      </c>
      <c r="E18" s="29" t="n"/>
      <c r="F18" s="29" t="n"/>
    </row>
    <row r="19">
      <c r="A19" s="29" t="inlineStr">
        <is>
          <t>Impuesto de Sociedades</t>
        </is>
      </c>
      <c r="B19" s="33">
        <f>IFERROR(IF(B8="","",MAX(0,B18-'0. Supuestos'!$B$42)*'0. Supuestos'!$B$37),"")</f>
        <v>0.0</v>
      </c>
      <c r="C19" s="33">
        <f>IFERROR(IF(C8="","",MAX(0,C18-'0. Supuestos'!$B$42)*'0. Supuestos'!$B$37),"")</f>
        <v>8207.916</v>
      </c>
      <c r="D19" s="33">
        <f>IFERROR(IF(D8="","",MAX(0,D18-'0. Supuestos'!$B$42)*'0. Supuestos'!$B$37),"")</f>
        <v>17661.89025</v>
      </c>
      <c r="E19" s="29" t="inlineStr">
        <is>
          <t>Al tipo de entidad de nueva creación, compensando las bases negativas anteriores</t>
        </is>
      </c>
      <c r="F19" s="29" t="n"/>
    </row>
    <row r="20">
      <c r="A20" s="26" t="inlineStr">
        <is>
          <t>RESULTADO NETO</t>
        </is>
      </c>
      <c r="B20" s="27">
        <f>IFERROR(IF(B8="","",B18-B19),"")</f>
        <v>-2440.8399999999965</v>
      </c>
      <c r="C20" s="27">
        <f>IFERROR(IF(C8="","",C18-C19),"")</f>
        <v>46511.524000000005</v>
      </c>
      <c r="D20" s="27">
        <f>IFERROR(IF(D8="","",D18-D19),"")</f>
        <v>100084.04475</v>
      </c>
      <c r="E20" s="29" t="n"/>
      <c r="F20" s="29" t="n"/>
    </row>
    <row r="21">
      <c r="A21" s="29" t="inlineStr">
        <is>
          <t>Comensales/día para el equilibrio</t>
        </is>
      </c>
      <c r="B21" s="45">
        <f>IFERROR(IF(B8="","",IF(B6-B15/(B5*B7)&lt;=0,"",B17/(B6-B15/(B5*B7))/B7)),"")</f>
        <v>80.912171486027</v>
      </c>
      <c r="C21" s="45">
        <f>IFERROR(IF(C8="","",IF(C6-C15/(C5*C7)&lt;=0,"",C17/(C6-C15/(C5*C7))/C7)),"")</f>
        <v>75.83408989015916</v>
      </c>
      <c r="D21" s="45">
        <f>IFERROR(IF(D8="","",IF(D6-D15/(D5*D7)&lt;=0,"",D17/(D6-D15/(D5*D7))/D7)),"")</f>
        <v>71.25101668172526</v>
      </c>
      <c r="E21" s="29" t="n"/>
      <c r="F21" s="29" t="n"/>
    </row>
    <row r="22">
      <c r="A22" s="26" t="inlineStr">
        <is>
          <t>LO QUE CADA ESCENARIO EXIGE</t>
        </is>
      </c>
      <c r="B22" s="29" t="n"/>
      <c r="C22" s="29" t="n"/>
      <c r="D22" s="29" t="n"/>
      <c r="E22" s="29" t="n"/>
      <c r="F22" s="29" t="n"/>
    </row>
    <row r="23">
      <c r="A23" s="29" t="inlineStr">
        <is>
          <t>Coste de personal / Ventas</t>
        </is>
      </c>
      <c r="B23" s="68">
        <f>IFERROR(IF(B8="","",'PyG 3 Años'!$B$23/B8),"")</f>
        <v>0.42310186162823005</v>
      </c>
      <c r="C23" s="68">
        <f>IFERROR(IF(C8="","",'PyG 3 Años'!$B$23/C8),"")</f>
        <v>0.333935</v>
      </c>
      <c r="D23" s="68">
        <f>IFERROR(IF(D8="","",'PyG 3 Años'!$B$23/D8),"")</f>
        <v>0.2709688991703183</v>
      </c>
      <c r="E23" s="29" t="inlineStr">
        <is>
          <t>La MISMA plantilla en los tres escenarios. Si en el pesimista se dispara, el ajuste hay que hacerlo en la hoja de Personal, no aquí</t>
        </is>
      </c>
      <c r="F23" s="29" t="n"/>
    </row>
    <row r="24">
      <c r="A24" s="29" t="inlineStr">
        <is>
          <t>Comensales al año por jornada equivalente</t>
        </is>
      </c>
      <c r="B24" s="41">
        <f>IFERROR(IF(B8="","",B5*B7/'Personal'!$C$12),"")</f>
        <v>4411.214953271028</v>
      </c>
      <c r="C24" s="41">
        <f>IFERROR(IF(C8="","",C5*C7/'Personal'!$C$12),"")</f>
        <v>5327.1028037383185</v>
      </c>
      <c r="D24" s="41">
        <f>IFERROR(IF(D8="","",D5*D7/'Personal'!$C$12),"")</f>
        <v>6271.028037383178</v>
      </c>
      <c r="E24" s="29" t="inlineStr">
        <is>
          <t>Comensales que tendría que sacar cada jornada completa del cuadro de Personal. En el optimista dice si hace falta contratar</t>
        </is>
      </c>
      <c r="F24" s="29" t="n"/>
    </row>
    <row r="25">
      <c r="A25" s="26" t="inlineStr">
        <is>
          <t>Saldo de caja al cierre del año 1 (estimado, el mismo método en los tres escenarios)</t>
        </is>
      </c>
      <c r="B25" s="27">
        <f>IFERROR(IF(B8="","",'Inversión Inicial'!$B$29+B20+'PyG 3 Años'!$B$35-'Financiación'!$B$45),"")</f>
        <v>58687.75</v>
      </c>
      <c r="C25" s="27">
        <f>IFERROR(IF(C8="","",'Inversión Inicial'!$B$29+C20+'PyG 3 Años'!$B$35-'Financiación'!$B$45),"")</f>
        <v>107640.114</v>
      </c>
      <c r="D25" s="27">
        <f>IFERROR(IF(D8="","",'Inversión Inicial'!$B$29+D20+'PyG 3 Años'!$B$35-'Financiación'!$B$45),"")</f>
        <v>161212.63475</v>
      </c>
      <c r="E25" s="2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9" t="n"/>
    </row>
    <row r="26">
      <c r="A26" s="29" t="inlineStr">
        <is>
          <t>Saldo real del mes 12 de la hoja de Tesorería (sólo realista)</t>
        </is>
      </c>
      <c r="B26" s="29" t="n"/>
      <c r="C26" s="33">
        <f>IFERROR(IF(C8="","",'Tesorería 12 meses'!$M$22),"")</f>
        <v>144816.2174940983</v>
      </c>
      <c r="D26" s="29" t="n"/>
      <c r="E26" s="29"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9" t="n"/>
    </row>
    <row r="27">
      <c r="A27" s="29" t="n"/>
      <c r="B27" s="29" t="n"/>
      <c r="C27" s="29" t="n"/>
      <c r="D27" s="29" t="n"/>
      <c r="E27" s="29" t="n"/>
      <c r="F27" s="29" t="n"/>
    </row>
    <row r="28" ht="150" customHeight="1">
      <c r="A28" s="48" t="inlineStr">
        <is>
          <t>La columna «Realista» lee sus tres datos de la hoja de Supuestos, así que reproduce EXACTAMENTE el año 1 del P&amp;L. Los otros dos escenarios usan las mismas tasas de coste: lo único que cambia son los comensales, el ticket y los días. Los COSTES FIJOS sí son los mismos en los tres: los varios e imprevistos, que son un porcentaje de las ventas, van arriba con los variables y cada escenario carga los suyos.</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Titular — gerente y jefe/a de plancha: compra de la carne, carta y gestión</t>
        </is>
      </c>
      <c r="B5" s="51" t="n">
        <v>1</v>
      </c>
      <c r="C5" s="53" t="n">
        <v>1</v>
      </c>
      <c r="D5" s="73" t="n">
        <v>2000</v>
      </c>
      <c r="E5" s="70">
        <f>IFERROR(IF(D5="","",D5*'0. Supuestos'!$B$20),"")</f>
        <v>660.0</v>
      </c>
      <c r="F5" s="70">
        <f>IFERROR(IF(D5="","",D5+E5),"")</f>
        <v>2660.0</v>
      </c>
      <c r="G5" s="70">
        <f>IFERROR(IF(D5="","",F5*MAX(12,'0. Supuestos'!$B$21)),"")</f>
        <v>37240.0</v>
      </c>
      <c r="H5" s="45">
        <f>IFERROR(IF(D5="","",C5*$B$19),"")</f>
        <v>40.0</v>
      </c>
      <c r="I5" s="41">
        <f>IFERROR(IF(D5="","",H5*B5*$B$20),"")</f>
        <v>1840.0</v>
      </c>
      <c r="J5" s="29" t="inlineStr">
        <is>
          <t>El jefe de plancha y gerente: compra la carne y elige el blend (la mezcla de cortes) y los proveedores, firma la carta y el APPCC, lleva la plancha en el servicio fuerte, las plataformas y la gestión. Como administrador de la SL cotiza en el régimen de autónomos: el libro le imputa el 33 % de Seguridad Social sobre 14 pagas como si fuera nómina, que es el lado prudente. Confirma con tu gestoría la cuota real y si te aplica la reducida de inicio</t>
        </is>
      </c>
    </row>
    <row r="6">
      <c r="A6" s="29" t="inlineStr">
        <is>
          <t>Cocinero/a de plancha: smash, costra y tiempos</t>
        </is>
      </c>
      <c r="B6" s="51" t="n">
        <v>1</v>
      </c>
      <c r="C6" s="53" t="n">
        <v>1</v>
      </c>
      <c r="D6" s="73" t="n">
        <v>1500</v>
      </c>
      <c r="E6" s="70">
        <f>IFERROR(IF(D6="","",D6*'0. Supuestos'!$B$20),"")</f>
        <v>495.0</v>
      </c>
      <c r="F6" s="70">
        <f>IFERROR(IF(D6="","",D6+E6),"")</f>
        <v>1995.0</v>
      </c>
      <c r="G6" s="70">
        <f>IFERROR(IF(D6="","",F6*MAX(12,'0. Supuestos'!$B$21)),"")</f>
        <v>27930.0</v>
      </c>
      <c r="H6" s="45">
        <f>IFERROR(IF(D6="","",C6*$B$19),"")</f>
        <v>40.0</v>
      </c>
      <c r="I6" s="41">
        <f>IFERROR(IF(D6="","",H6*B6*$B$20),"")</f>
        <v>1840.0</v>
      </c>
      <c r="J6" s="29" t="inlineStr">
        <is>
          <t>La plancha en los dos servicios: aplasta cada bola, saca la costra y lleva los tiempos de la comanda. Es inversión, no gasto: si sólo el titular sabe llevar la plancha, una baja la cierra</t>
        </is>
      </c>
    </row>
    <row r="7">
      <c r="A7" s="29" t="inlineStr">
        <is>
          <t>Cocinero/a de montaje y freidora</t>
        </is>
      </c>
      <c r="B7" s="51" t="n">
        <v>1</v>
      </c>
      <c r="C7" s="53" t="n">
        <v>1</v>
      </c>
      <c r="D7" s="73" t="n">
        <v>1400</v>
      </c>
      <c r="E7" s="70">
        <f>IFERROR(IF(D7="","",D7*'0. Supuestos'!$B$20),"")</f>
        <v>462.0</v>
      </c>
      <c r="F7" s="70">
        <f>IFERROR(IF(D7="","",D7+E7),"")</f>
        <v>1862.0</v>
      </c>
      <c r="G7" s="70">
        <f>IFERROR(IF(D7="","",F7*MAX(12,'0. Supuestos'!$B$21)),"")</f>
        <v>26068.0</v>
      </c>
      <c r="H7" s="45">
        <f>IFERROR(IF(D7="","",C7*$B$19),"")</f>
        <v>40.0</v>
      </c>
      <c r="I7" s="41">
        <f>IFERROR(IF(D7="","",H7*B7*$B$20),"")</f>
        <v>1840.0</v>
      </c>
      <c r="J7" s="29" t="inlineStr">
        <is>
          <t>La línea de montaje, las patatas, las salsas, el porcionado de las bolas y la mise en place</t>
        </is>
      </c>
    </row>
    <row r="8">
      <c r="A8" s="29" t="inlineStr">
        <is>
          <t>Encargado/a de mostrador y pedidos</t>
        </is>
      </c>
      <c r="B8" s="51" t="n">
        <v>1</v>
      </c>
      <c r="C8" s="53" t="n">
        <v>1</v>
      </c>
      <c r="D8" s="73" t="n">
        <v>1450</v>
      </c>
      <c r="E8" s="70">
        <f>IFERROR(IF(D8="","",D8*'0. Supuestos'!$B$20),"")</f>
        <v>478.5</v>
      </c>
      <c r="F8" s="70">
        <f>IFERROR(IF(D8="","",D8+E8),"")</f>
        <v>1928.5</v>
      </c>
      <c r="G8" s="70">
        <f>IFERROR(IF(D8="","",F8*MAX(12,'0. Supuestos'!$B$21)),"")</f>
        <v>26999.0</v>
      </c>
      <c r="H8" s="45">
        <f>IFERROR(IF(D8="","",C8*$B$19),"")</f>
        <v>40.0</v>
      </c>
      <c r="I8" s="41">
        <f>IFERROR(IF(D8="","",H8*B8*$B$20),"")</f>
        <v>1840.0</v>
      </c>
      <c r="J8" s="29" t="inlineStr">
        <is>
          <t>Todo el año: caja, pantalla de turnos, los pedidos para recoger, las tablets de las plataformas, el empaquetado y la información de alérgenos</t>
        </is>
      </c>
    </row>
    <row r="9">
      <c r="A9" s="29" t="inlineStr">
        <is>
          <t>Auxiliar de sala y empaquetado</t>
        </is>
      </c>
      <c r="B9" s="51" t="n">
        <v>1</v>
      </c>
      <c r="C9" s="53" t="n">
        <v>0.75</v>
      </c>
      <c r="D9" s="73" t="n">
        <v>1013</v>
      </c>
      <c r="E9" s="70">
        <f>IFERROR(IF(D9="","",D9*'0. Supuestos'!$B$20),"")</f>
        <v>334.29</v>
      </c>
      <c r="F9" s="70">
        <f>IFERROR(IF(D9="","",D9+E9),"")</f>
        <v>1347.29</v>
      </c>
      <c r="G9" s="70">
        <f>IFERROR(IF(D9="","",F9*MAX(12,'0. Supuestos'!$B$21)),"")</f>
        <v>18862.059999999998</v>
      </c>
      <c r="H9" s="45">
        <f>IFERROR(IF(D9="","",C9*$B$19),"")</f>
        <v>30.0</v>
      </c>
      <c r="I9" s="41">
        <f>IFERROR(IF(D9="","",H9*B9*$B$20),"")</f>
        <v>1380.0</v>
      </c>
      <c r="J9" s="29" t="inlineStr">
        <is>
          <t>30 horas a la semana: lleva las bandejas a la mesa, recoge, friega y ayuda a empaquetar en las horas fuertes</t>
        </is>
      </c>
    </row>
    <row r="10">
      <c r="A10" s="29" t="inlineStr">
        <is>
          <t>Refuerzo de viernes a domingo: segunda plancha y empaquetado</t>
        </is>
      </c>
      <c r="B10" s="51" t="n">
        <v>1</v>
      </c>
      <c r="C10" s="53" t="n">
        <v>0.5</v>
      </c>
      <c r="D10" s="73" t="n">
        <v>675</v>
      </c>
      <c r="E10" s="70">
        <f>IFERROR(IF(D10="","",D10*'0. Supuestos'!$B$20),"")</f>
        <v>222.75</v>
      </c>
      <c r="F10" s="70">
        <f>IFERROR(IF(D10="","",D10+E10),"")</f>
        <v>897.75</v>
      </c>
      <c r="G10" s="70">
        <f>IFERROR(IF(D10="","",F10*MAX(12,'0. Supuestos'!$B$21)),"")</f>
        <v>12568.5</v>
      </c>
      <c r="H10" s="45">
        <f>IFERROR(IF(D10="","",C10*$B$19),"")</f>
        <v>20.0</v>
      </c>
      <c r="I10" s="41">
        <f>IFERROR(IF(D10="","",H10*B10*$B$20),"")</f>
        <v>920.0</v>
      </c>
      <c r="J10" s="29" t="inlineStr">
        <is>
          <t>Segunda plancha y empaquetado de las noches fuertes. Este plan NO tiene reparto propio: si lo pones, el repartidor va con contrato laboral del convenio de hostelería, nunca como autónomo</t>
        </is>
      </c>
    </row>
    <row r="11">
      <c r="A11" s="29" t="inlineStr">
        <is>
          <t>Suplencias de vacaciones y descansos</t>
        </is>
      </c>
      <c r="B11" s="51" t="n">
        <v>1</v>
      </c>
      <c r="C11" s="53" t="n">
        <v>0.1</v>
      </c>
      <c r="D11" s="73" t="n">
        <v>140</v>
      </c>
      <c r="E11" s="70">
        <f>IFERROR(IF(D11="","",D11*'0. Supuestos'!$B$20),"")</f>
        <v>46.2</v>
      </c>
      <c r="F11" s="70">
        <f>IFERROR(IF(D11="","",D11+E11),"")</f>
        <v>186.2</v>
      </c>
      <c r="G11" s="70">
        <f>IFERROR(IF(D11="","",F11*MAX(12,'0. Supuestos'!$B$21)),"")</f>
        <v>2606.7999999999997</v>
      </c>
      <c r="H11" s="45">
        <f>IFERROR(IF(D11="","",C11*$B$19),"")</f>
        <v>4.0</v>
      </c>
      <c r="I11" s="41">
        <f>IFERROR(IF(D11="","",H11*B11*$B$20),"")</f>
        <v>184.0</v>
      </c>
      <c r="J11" s="29" t="inlineStr">
        <is>
          <t>Cobertura de los 30 días de vacaciones (art. 38 ET) y del descanso semanal del equipo de todo el año</t>
        </is>
      </c>
    </row>
    <row r="12">
      <c r="A12" s="26" t="inlineStr">
        <is>
          <t>TOTAL PLANTILLA</t>
        </is>
      </c>
      <c r="B12" s="54">
        <f>IFERROR(IF(COUNT(D5:D11)=0,"",SUM(B5:B11)),"")</f>
        <v>7.0</v>
      </c>
      <c r="C12" s="55">
        <f>IFERROR(IF(COUNT(D5:D11)=0,"",SUM(C5:C11)),"")</f>
        <v>5.35</v>
      </c>
      <c r="D12" s="72">
        <f>IFERROR(IF(COUNT(D5:D11)=0,"",SUM(D5:D11)),"")</f>
        <v>8178.0</v>
      </c>
      <c r="E12" s="72">
        <f>IFERROR(IF(COUNT(D5:D11)=0,"",SUM(E5:E11)),"")</f>
        <v>2698.7400000000002</v>
      </c>
      <c r="F12" s="72">
        <f>IFERROR(IF(COUNT(D5:D11)=0,"",SUM(F5:F11)),"")</f>
        <v>10876.74</v>
      </c>
      <c r="G12" s="72">
        <f>IFERROR(IF(COUNT(D5:D11)=0,"",SUM(G5:G11)),"")</f>
        <v>152274.36</v>
      </c>
      <c r="H12" s="29" t="n"/>
      <c r="I12" s="54">
        <f>IFERROR(IF(COUNT(D5:D11)=0,"",SUM(I5:I11)),"")</f>
        <v>9844.0</v>
      </c>
      <c r="J12" s="29" t="n"/>
    </row>
    <row r="13">
      <c r="A13" s="26" t="inlineStr">
        <is>
          <t>CRECIMIENTO DE LA PLANTILLA (coste escalonado)</t>
        </is>
      </c>
      <c r="B13" s="29" t="n"/>
      <c r="C13" s="29" t="n"/>
      <c r="D13" s="29" t="n"/>
      <c r="E13" s="29" t="n"/>
      <c r="F13" s="29" t="n"/>
      <c r="G13" s="29" t="n"/>
      <c r="H13" s="29" t="n"/>
      <c r="I13" s="29" t="n"/>
      <c r="J13" s="29" t="n"/>
    </row>
    <row r="14">
      <c r="A14" s="29" t="inlineStr">
        <is>
          <t>Coste anual de las incorporaciones del año 2 (€)</t>
        </is>
      </c>
      <c r="B14" s="30" t="n">
        <v>6000</v>
      </c>
      <c r="C14" s="29" t="n"/>
      <c r="D14" s="29" t="n"/>
      <c r="E14" s="29" t="n"/>
      <c r="F14" s="29" t="n"/>
      <c r="G14" s="29" t="n"/>
      <c r="H14" s="29" t="n"/>
      <c r="I14" s="29" t="n"/>
      <c r="J14" s="29" t="inlineStr">
        <is>
          <t>Coste ANUAL completo (bruto + Seguridad Social × pagas) de lo que se contrate ese año. El P&amp;L lo suma al coste del año anterior: la plantilla no crece con un porcentaje, crece con personas</t>
        </is>
      </c>
    </row>
    <row r="15">
      <c r="A15" s="29" t="inlineStr">
        <is>
          <t>Coste anual de las incorporaciones del año 3 (€)</t>
        </is>
      </c>
      <c r="B15" s="30" t="n">
        <v>6000</v>
      </c>
      <c r="C15" s="29" t="n"/>
      <c r="D15" s="29" t="n"/>
      <c r="E15" s="29" t="n"/>
      <c r="F15" s="29" t="n"/>
      <c r="G15" s="29" t="n"/>
      <c r="H15" s="29" t="n"/>
      <c r="I15" s="29" t="n"/>
      <c r="J15" s="29" t="inlineStr">
        <is>
          <t>Coste ANUAL completo (bruto + Seguridad Social × pagas) de lo que se contrate ese año. El P&amp;L lo suma al coste del año anterior: la plantilla no crece con un porcentaje, crece con personas</t>
        </is>
      </c>
    </row>
    <row r="16">
      <c r="A16" s="29" t="inlineStr">
        <is>
          <t>Coste de personal del año 2</t>
        </is>
      </c>
      <c r="B16" s="33">
        <f>IFERROR(IF(G12="","",G12*(1+'0. Supuestos'!$B$48)+B14),"")</f>
        <v>158274.36</v>
      </c>
      <c r="C16" s="29" t="n"/>
      <c r="D16" s="29" t="n"/>
      <c r="E16" s="29" t="n"/>
      <c r="F16" s="29" t="n"/>
      <c r="G16" s="29" t="n"/>
      <c r="H16" s="29" t="n"/>
      <c r="I16" s="29" t="n"/>
      <c r="J16" s="29" t="n"/>
    </row>
    <row r="17">
      <c r="A17" s="29" t="inlineStr">
        <is>
          <t>Coste de personal del año 3</t>
        </is>
      </c>
      <c r="B17" s="33">
        <f>IFERROR(IF(B16="","",B16*(1+'0. Supuestos'!$B$48)+B15),"")</f>
        <v>164274.36</v>
      </c>
      <c r="C17" s="29" t="n"/>
      <c r="D17" s="29" t="n"/>
      <c r="E17" s="29" t="n"/>
      <c r="F17" s="29" t="n"/>
      <c r="G17" s="29" t="n"/>
      <c r="H17" s="29" t="n"/>
      <c r="I17" s="29" t="n"/>
      <c r="J17" s="29" t="n"/>
    </row>
    <row r="18">
      <c r="A18" s="26" t="inlineStr">
        <is>
          <t>COBERTURA POR HORAS DE SERVICIO</t>
        </is>
      </c>
      <c r="B18" s="29" t="n"/>
      <c r="C18" s="29" t="n"/>
      <c r="D18" s="29" t="n"/>
      <c r="E18" s="29" t="n"/>
      <c r="F18" s="29" t="n"/>
      <c r="G18" s="29" t="n"/>
      <c r="H18" s="29" t="n"/>
      <c r="I18" s="29" t="n"/>
      <c r="J18" s="29" t="n"/>
    </row>
    <row r="19">
      <c r="A19" s="29" t="inlineStr">
        <is>
          <t>Jornada completa del convenio (horas/semana)</t>
        </is>
      </c>
      <c r="B19" s="51" t="n">
        <v>40</v>
      </c>
      <c r="C19" s="29" t="n"/>
      <c r="D19" s="29" t="n"/>
      <c r="E19" s="29" t="n"/>
      <c r="F19" s="29" t="n"/>
      <c r="G19" s="29" t="n"/>
      <c r="H19" s="29" t="n"/>
      <c r="I19" s="29" t="n"/>
      <c r="J19" s="29" t="inlineStr">
        <is>
          <t>Art. 34.1 del Estatuto de los Trabajadores; tu convenio provincial puede fijar menos</t>
        </is>
      </c>
    </row>
    <row r="20">
      <c r="A20" s="29" t="inlineStr">
        <is>
          <t>Semanas trabajadas al año por persona</t>
        </is>
      </c>
      <c r="B20" s="51" t="n">
        <v>46</v>
      </c>
      <c r="C20" s="29" t="n"/>
      <c r="D20" s="29" t="n"/>
      <c r="E20" s="29" t="n"/>
      <c r="F20" s="29" t="n"/>
      <c r="G20" s="29" t="n"/>
      <c r="H20" s="29" t="n"/>
      <c r="I20" s="29" t="n"/>
      <c r="J20" s="29" t="inlineStr">
        <is>
          <t>46 semanas: 52 menos las vacaciones (30 días naturales, art. 38 ET), los festivos y las ausencias medias</t>
        </is>
      </c>
    </row>
    <row r="21">
      <c r="A21" s="29" t="inlineStr">
        <is>
          <t>Horas de servicio al día que hay que cubrir</t>
        </is>
      </c>
      <c r="B21" s="47" t="n">
        <v>7.5</v>
      </c>
      <c r="C21" s="29" t="n"/>
      <c r="D21" s="29" t="n"/>
      <c r="E21" s="29" t="n"/>
      <c r="F21" s="29" t="n"/>
      <c r="G21" s="29" t="n"/>
      <c r="H21" s="29" t="n"/>
      <c r="I21" s="29" t="n"/>
      <c r="J21" s="29" t="inlineStr">
        <is>
          <t>Horas con el local abierto al público, sumando las comidas (13:00-16:30) y las cenas (20:00-24:00). La tarde de cierre entre los dos servicios no se cuenta</t>
        </is>
      </c>
    </row>
    <row r="22">
      <c r="A22" s="29" t="inlineStr">
        <is>
          <t>Personas necesarias a la vez en cada franja</t>
        </is>
      </c>
      <c r="B22" s="47" t="n">
        <v>3.5</v>
      </c>
      <c r="C22" s="29" t="n"/>
      <c r="D22" s="29" t="n"/>
      <c r="E22" s="29" t="n"/>
      <c r="F22" s="29" t="n"/>
      <c r="G22" s="29" t="n"/>
      <c r="H22" s="29" t="n"/>
      <c r="I22" s="29" t="n"/>
      <c r="J22" s="29" t="inlineStr">
        <is>
          <t>Presencia media a la vez entre la plancha, el montaje y la freidora, el mostrador y la sala. El viernes y el sábado por la noche hacen falta seis (dos en la plancha, uno en montaje y freidora, uno en el mostrador, uno empaquetando y uno llevando bandejas): entran el refuerzo y el auxiliar (el cuadrante anual no lo ve: ponlo en el turno)</t>
        </is>
      </c>
    </row>
    <row r="23">
      <c r="A23" s="29" t="inlineStr">
        <is>
          <t>Horas de producción al día ANTES de abrir</t>
        </is>
      </c>
      <c r="B23" s="47" t="n">
        <v>2.5</v>
      </c>
      <c r="C23" s="29" t="n"/>
      <c r="D23" s="29" t="n"/>
      <c r="E23" s="29" t="n"/>
      <c r="F23" s="29" t="n"/>
      <c r="G23" s="29" t="n"/>
      <c r="H23" s="29" t="n"/>
      <c r="I23" s="29" t="n"/>
      <c r="J23" s="29" t="inlineStr">
        <is>
          <t>El porcionado de las bolas, las salsas, la verdura cortada y reponer la línea antes de abrir</t>
        </is>
      </c>
    </row>
    <row r="24">
      <c r="A24" s="29" t="inlineStr">
        <is>
          <t>Personas en el turno de producción</t>
        </is>
      </c>
      <c r="B24" s="47" t="n">
        <v>1.5</v>
      </c>
      <c r="C24" s="29" t="n"/>
      <c r="D24" s="29" t="n"/>
      <c r="E24" s="29" t="n"/>
      <c r="F24" s="29" t="n"/>
      <c r="G24" s="29" t="n"/>
      <c r="H24" s="29" t="n"/>
      <c r="I24" s="29" t="n"/>
      <c r="J24" s="29" t="inlineStr">
        <is>
          <t>El cocinero de montaje con el de plancha o el titular. El cierre, la limpieza de la plancha y de las freidoras y las compras quedan fuera de este cuadrante: son el margen entre las horas contratadas y las necesarias</t>
        </is>
      </c>
    </row>
    <row r="25">
      <c r="A25" s="29" t="inlineStr">
        <is>
          <t>Horas de servicio a cubrir al año</t>
        </is>
      </c>
      <c r="B25" s="41">
        <f>IFERROR(IF(OR(B21="",B22="",'0. Supuestos'!$B$6=""),"",B21*B22*'0. Supuestos'!$B$6+B23*B24*'0. Supuestos'!$B$6),"")</f>
        <v>9000.0</v>
      </c>
      <c r="C25" s="29" t="n"/>
      <c r="D25" s="29" t="n"/>
      <c r="E25" s="29" t="n"/>
      <c r="F25" s="29" t="n"/>
      <c r="G25" s="29" t="n"/>
      <c r="H25" s="29" t="n"/>
      <c r="I25" s="29" t="n"/>
      <c r="J25" s="29" t="n"/>
    </row>
    <row r="26">
      <c r="A26" s="29" t="inlineStr">
        <is>
          <t>Horas contratadas al año</t>
        </is>
      </c>
      <c r="B26" s="41">
        <f>IFERROR(IF(I12="","",I12),"")</f>
        <v>9844.0</v>
      </c>
      <c r="C26" s="29" t="n"/>
      <c r="D26" s="29" t="n"/>
      <c r="E26" s="29" t="n"/>
      <c r="F26" s="29" t="n"/>
      <c r="G26" s="29" t="n"/>
      <c r="H26" s="29" t="n"/>
      <c r="I26" s="29" t="n"/>
      <c r="J26" s="29" t="n"/>
    </row>
    <row r="27">
      <c r="A27" s="26" t="inlineStr">
        <is>
          <t>Cobertura (contratadas / necesarias)</t>
        </is>
      </c>
      <c r="B27" s="67">
        <f>IFERROR(B26/B25,"")</f>
        <v>1.0937777777777777</v>
      </c>
      <c r="C27" s="29" t="n"/>
      <c r="D27" s="29" t="n"/>
      <c r="E27" s="29" t="n"/>
      <c r="F27" s="29" t="n"/>
      <c r="G27" s="29" t="n"/>
      <c r="H27" s="29" t="n"/>
      <c r="I27" s="29" t="n"/>
      <c r="J27" s="26" t="inlineStr">
        <is>
          <t>Por debajo del 100 % la plantilla no llega a cubrir el horario que declara el plan: o se contrata más o se recorta el horario</t>
        </is>
      </c>
    </row>
    <row r="28">
      <c r="A28" s="29" t="n"/>
      <c r="B28" s="29" t="n"/>
      <c r="C28" s="29" t="n"/>
      <c r="D28" s="29" t="n"/>
      <c r="E28" s="29" t="n"/>
      <c r="F28" s="29" t="n"/>
      <c r="G28" s="29" t="n"/>
      <c r="H28" s="29" t="n"/>
      <c r="I28" s="29" t="n"/>
      <c r="J28" s="29" t="n"/>
    </row>
    <row r="29" ht="150" customHeight="1">
      <c r="A29" s="48"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9" s="29" t="n"/>
      <c r="C29" s="29" t="n"/>
      <c r="D29" s="29" t="n"/>
      <c r="E29" s="29" t="n"/>
      <c r="F29" s="29" t="n"/>
      <c r="G29" s="29" t="n"/>
      <c r="H29" s="29" t="n"/>
      <c r="I29" s="29" t="n"/>
      <c r="J29" s="29" t="n"/>
    </row>
    <row r="30" ht="150" customHeight="1">
      <c r="A30" s="48"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Hamburguesería Smash</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comensales,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105" customHeight="1">
      <c r="A7" s="48"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25" customHeight="1">
      <c r="A8" s="48" t="inlineStr">
        <is>
          <t>4. Todas las cifras van SIN IVA. Para pasar un PVP a precio sin IVA, divide por el tipo que le corresponda: entre 1,10 en sala (comida y bebida, alcohol incluido: art. 91.Uno.2.2.º de la Ley 37/1992 del IVA) y, cuando se venden para llevar, los alimentos —las hamburguesas y las patatas incluidas—, que son productos alimenticios al tipo reducido por el art. 91.Uno.1.1.º; y entre 1,21 el tipo general, que en hostelería sólo alcanza a lo que sale del local como entrega de bienes excluida del reducido: el alcohol y los refrescos o los zumos con azúcares o edulcorantes añadidos para llevar o a domicilio (la comida para llevar sigue al 10 %); el libro lo aplica a la parte de la bebida que declara la columna H de su línea en el P&amp;L.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120" customHeight="1">
      <c r="A10" s="48" t="inlineStr">
        <is>
          <t>6. La hoja «Tesorería 12 meses» responde la pregunta que decide una operación bancaria: en qué mes se agota la caja. Su Mes 1 es ENERO, en el orden del calendario: la rampa del arranque va de enero a abril, enero es el mes más flojo (cierre de 10 días y cuesta de enero), agosto baja con la ciudad vacía y mayo es el pico; por eso el fondo de maniobra cuenta. Si abres en otro mes, gira la fila de estacionalidad. El saldo mínimo del año nunca puede salir en rojo.</t>
        </is>
      </c>
      <c r="B10" s="29" t="n"/>
      <c r="C10" s="29" t="n"/>
      <c r="D10" s="29" t="n"/>
      <c r="E10" s="29" t="n"/>
    </row>
    <row r="11" ht="45" customHeight="1">
      <c r="A11" s="48" t="inlineStr">
        <is>
          <t>7. La hoja «Financiación» cuadra lo que hace falta con lo que se aporta y monta el cuadro de amortización del préstamo. Si la diferencia sale en rojo, el plan no está financiado.</t>
        </is>
      </c>
      <c r="B11" s="29" t="n"/>
      <c r="C11" s="29" t="n"/>
      <c r="D11" s="29" t="n"/>
      <c r="E11" s="29" t="n"/>
    </row>
    <row r="12" ht="180" customHeight="1">
      <c r="A12" s="48" t="inlineStr">
        <is>
          <t>8. El plan de negocio en Word de este pack cita las cifras de este Excel: si cambias una celda verde, el Excel manda. La calculadora de la carne, las patatas y el escandallo del pack va aparte: saca el coste por kilo útil de la carne, las bolas que salen de cada kilo, el coste de cada ración de patatas y del aceite, y ESCANDALLA cada hamburguesa y el menú en cada canal. No copies el food cost de una hamburguesa en la hoja de Supuestos: la celda «Coste de mercancía sobre las ventas de COMIDA» es la media ponderada de TODA la carta más lo que se tira al cierre, las comidas del personal y las promociones de la plataforma, y por eso sale más alta que el escandallo teórico. Con los escandallos de tu carta, comprueba que esa media cuadra.</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68">
        <f>IFERROR(IF('PyG 3 Años'!$B$52="","",'PyG 3 Años'!$B$52),"")</f>
        <v>0.2752</v>
      </c>
      <c r="C18" s="68">
        <f>IFERROR(IF('PyG 3 Años'!$E$52="","",'PyG 3 Años'!$E$52),"")</f>
        <v>0.3</v>
      </c>
      <c r="D18" s="29" t="str">
        <f>IFERROR(IF(OR(B18="",C18=""),"",IF(B18&lt;=C18,"CUMPLE","REVISAR")),"")</f>
        <v>CUMPLE</v>
      </c>
      <c r="E18" s="29" t="n"/>
    </row>
    <row r="19">
      <c r="A19" s="29" t="inlineStr">
        <is>
          <t>Coste de personal / Ventas</t>
        </is>
      </c>
      <c r="B19" s="68">
        <f>IFERROR(IF('PyG 3 Años'!$B$53="","",'PyG 3 Años'!$B$53),"")</f>
        <v>0.333935</v>
      </c>
      <c r="C19" s="68">
        <f>IFERROR(IF('PyG 3 Años'!$E$53="","",'PyG 3 Años'!$E$53),"")</f>
        <v>0.38</v>
      </c>
      <c r="D19" s="29" t="str">
        <f>IFERROR(IF(OR(B19="",C19=""),"",IF(B19&lt;=C19,"CUMPLE","REVISAR")),"")</f>
        <v>CUMPLE</v>
      </c>
      <c r="E19" s="29" t="n"/>
    </row>
    <row r="20">
      <c r="A20" s="29" t="inlineStr">
        <is>
          <t>Alquiler / Ventas</t>
        </is>
      </c>
      <c r="B20" s="68">
        <f>IFERROR(IF('PyG 3 Años'!$B$54="","",'PyG 3 Años'!$B$54),"")</f>
        <v>0.039473684210526314</v>
      </c>
      <c r="C20" s="68">
        <f>IFERROR(IF('PyG 3 Años'!$E$54="","",'PyG 3 Años'!$E$54),"")</f>
        <v>0.1</v>
      </c>
      <c r="D20" s="29" t="str">
        <f>IFERROR(IF(OR(B20="",C20=""),"",IF(B20&lt;=C20,"CUMPLE","REVISAR")),"")</f>
        <v>CUMPLE</v>
      </c>
      <c r="E20" s="29" t="n"/>
    </row>
    <row r="21">
      <c r="A21" s="29" t="inlineStr">
        <is>
          <t>Resultado neto / Ventas</t>
        </is>
      </c>
      <c r="B21" s="68">
        <f>IFERROR(IF('PyG 3 Años'!$B$55="","",'PyG 3 Años'!$B$55),"")</f>
        <v>0.10199895614035089</v>
      </c>
      <c r="C21" s="68">
        <f>IFERROR(IF('PyG 3 Años'!$E$55="","",'PyG 3 Años'!$E$55),"")</f>
        <v>0.05</v>
      </c>
      <c r="D21" s="29" t="str">
        <f>IFERROR(IF(OR(B21="",C21=""),"",IF(B21&gt;=C21,"CUMPLE","REVISAR")),"")</f>
        <v>CUMPLE</v>
      </c>
      <c r="E21" s="29" t="n"/>
    </row>
    <row r="22">
      <c r="A22" s="29" t="inlineStr">
        <is>
          <t>Margen bruto / Ventas</t>
        </is>
      </c>
      <c r="B22" s="68">
        <f>IFERROR(IF('PyG 3 Años'!$B$50="","",'PyG 3 Años'!$B$50),"")</f>
        <v>0.5948</v>
      </c>
      <c r="C22" s="68">
        <f>IFERROR(IF('PyG 3 Años'!$E$50="","",'PyG 3 Años'!$E$50),"")</f>
        <v>0.52</v>
      </c>
      <c r="D22" s="29" t="str">
        <f>IFERROR(IF(OR(B22="",C22=""),"",IF(B22&gt;=C22,"CUMPLE","REVISAR")),"")</f>
        <v>CUMPLE</v>
      </c>
      <c r="E22" s="29" t="n"/>
    </row>
    <row r="23">
      <c r="A23" s="29" t="n"/>
      <c r="B23" s="29" t="n"/>
      <c r="C23" s="29" t="n"/>
      <c r="D23" s="29" t="n"/>
      <c r="E23" s="29" t="n"/>
    </row>
    <row r="24">
      <c r="A24" s="26" t="inlineStr">
        <is>
          <t>CIFRAS DE ESTE PLAN</t>
        </is>
      </c>
      <c r="B24" s="29" t="n"/>
      <c r="C24" s="29" t="n"/>
      <c r="D24" s="29" t="n"/>
      <c r="E24" s="29" t="n"/>
    </row>
    <row r="25">
      <c r="A25" s="29" t="inlineStr">
        <is>
          <t>Inversión total (suma de los bloques)</t>
        </is>
      </c>
      <c r="B25" s="33">
        <f>IFERROR(IF('Inversión Inicial'!$B$30="","",'Inversión Inicial'!$B$30),"")</f>
        <v>162143.59</v>
      </c>
      <c r="C25" s="29" t="n"/>
      <c r="D25" s="29" t="n"/>
      <c r="E25" s="29" t="n"/>
    </row>
    <row r="26">
      <c r="A26" s="29" t="inlineStr">
        <is>
          <t>Necesidad total de caja al arranque</t>
        </is>
      </c>
      <c r="B26" s="33">
        <f>IFERROR(IF('Inversión Inicial'!$B$33="","",'Inversión Inicial'!$B$33),"")</f>
        <v>184057.09</v>
      </c>
      <c r="C26" s="29" t="n"/>
      <c r="D26" s="29" t="n"/>
      <c r="E26" s="29" t="n"/>
    </row>
    <row r="27">
      <c r="A27" s="29" t="inlineStr">
        <is>
          <t>Fondo de maniobra dotado</t>
        </is>
      </c>
      <c r="B27" s="33">
        <f>IFERROR(IF('Inversión Inicial'!$B$29="","",'Inversión Inicial'!$B$29),"")</f>
        <v>51793.59</v>
      </c>
      <c r="C27" s="29" t="n"/>
      <c r="D27" s="29" t="n"/>
      <c r="E27" s="29" t="n"/>
    </row>
    <row r="28">
      <c r="A28" s="29" t="inlineStr">
        <is>
          <t>Facturación prevista del año 1</t>
        </is>
      </c>
      <c r="B28" s="33">
        <f>IFERROR(IF('PyG 3 Años'!$B$9="","",'PyG 3 Años'!$B$9),"")</f>
        <v>456000.0</v>
      </c>
      <c r="C28" s="29" t="n"/>
      <c r="D28" s="29" t="n"/>
      <c r="E28" s="29" t="n"/>
    </row>
    <row r="29">
      <c r="A29" s="29" t="inlineStr">
        <is>
          <t>Resultado neto del año 1</t>
        </is>
      </c>
      <c r="B29" s="33">
        <f>IFERROR(IF('PyG 3 Años'!$B$47="","",'PyG 3 Años'!$B$47),"")</f>
        <v>46511.524000000005</v>
      </c>
      <c r="C29" s="29" t="n"/>
      <c r="D29" s="29" t="n"/>
      <c r="E29" s="29" t="n"/>
    </row>
    <row r="30">
      <c r="A30" s="29" t="inlineStr">
        <is>
          <t>Comensales/día para el punto de equilibrio CONTABLE (con la amortización dentro)</t>
        </is>
      </c>
      <c r="B30" s="45">
        <f>IFERROR(IF('Punto Equilibrio'!$B$15="","",'Punto Equilibrio'!$B$15),"")</f>
        <v>75.83408989015916</v>
      </c>
      <c r="C30" s="29" t="n"/>
      <c r="D30" s="29" t="n"/>
      <c r="E30" s="29" t="n"/>
    </row>
    <row r="31">
      <c r="A31" s="29" t="inlineStr">
        <is>
          <t>Payback del proyecto (años), antes de la deuda</t>
        </is>
      </c>
      <c r="B31" s="29">
        <f>IFERROR(IF('Tesorería 12 meses'!$B$31="","",'Tesorería 12 meses'!$B$31),"")</f>
        <v>2.4</v>
      </c>
      <c r="C31" s="29" t="n"/>
      <c r="D31" s="29" t="n"/>
      <c r="E31" s="29" t="n"/>
    </row>
    <row r="32">
      <c r="A32" s="29" t="n"/>
      <c r="B32" s="29" t="n"/>
      <c r="C32" s="29" t="n"/>
      <c r="D32" s="29" t="n"/>
      <c r="E32" s="29" t="n"/>
    </row>
    <row r="33">
      <c r="A33" s="26" t="inlineStr">
        <is>
          <t>DATOS DE REFERENCIA DEL SECTOR</t>
        </is>
      </c>
      <c r="B33" s="29" t="n"/>
      <c r="C33" s="29" t="n"/>
      <c r="D33" s="29" t="n"/>
      <c r="E33" s="29" t="n"/>
    </row>
    <row r="34">
      <c r="A34" s="26" t="inlineStr">
        <is>
          <t>Referencia</t>
        </is>
      </c>
      <c r="B34" s="26" t="inlineStr">
        <is>
          <t>Valor</t>
        </is>
      </c>
      <c r="C34" s="26" t="inlineStr">
        <is>
          <t>Fuente</t>
        </is>
      </c>
      <c r="D34" s="26" t="inlineStr">
        <is>
          <t>Nota</t>
        </is>
      </c>
      <c r="E34" s="29" t="n"/>
    </row>
    <row r="35" ht="45" customHeight="1">
      <c r="A35" s="29" t="inlineStr">
        <is>
          <t>Mes 1 del plan</t>
        </is>
      </c>
      <c r="B35" s="29" t="inlineStr">
        <is>
          <t>Enero</t>
        </is>
      </c>
      <c r="C35" s="29" t="inlineStr">
        <is>
          <t>Decisión del plan</t>
        </is>
      </c>
      <c r="D35" s="48" t="inlineStr">
        <is>
          <t>En el orden del calendario: la rampa cae sobre enero-abril, enero es el mes más flojo y mayo el pico. Si abres en otro mes, gira la fila de estacionalidad de la Tesorería</t>
        </is>
      </c>
      <c r="E35" s="29" t="n"/>
    </row>
    <row r="36" ht="30" customHeight="1">
      <c r="A36" s="29" t="inlineStr">
        <is>
          <t>Hamburguesa en el reparto a domicilio</t>
        </is>
      </c>
      <c r="B36" s="29" t="inlineStr">
        <is>
          <t>El plato más pedido por tercer año</t>
        </is>
      </c>
      <c r="C36" s="29" t="inlineStr">
        <is>
          <t>Gastrómetro de Just Eat 2025, publicado en prensa en diciembre de 2025</t>
        </is>
      </c>
      <c r="D36" s="48" t="inlineStr">
        <is>
          <t>Por eso el caso cuenta un 24 % de las ventas por plataforma, con techo</t>
        </is>
      </c>
      <c r="E36" s="29" t="n"/>
    </row>
    <row r="37" ht="30" customHeight="1">
      <c r="A37" s="29" t="inlineStr">
        <is>
          <t>Smash y menú en carta</t>
        </is>
      </c>
      <c r="B37" s="29" t="inlineStr">
        <is>
          <t>11,50-13,00 € la hamburguesa · 13,90-15,00 € el menú</t>
        </is>
      </c>
      <c r="C37" s="29" t="inlineStr">
        <is>
          <t>Cartas de una cadena de smash burgers en Málaga y Barcelona leídas en octubre de 2026</t>
        </is>
      </c>
      <c r="D37" s="48" t="inlineStr">
        <is>
          <t>El caso: menú de smash doble con patatas y bebida a 15,90 € con IVA</t>
        </is>
      </c>
      <c r="E37" s="29" t="n"/>
    </row>
    <row r="38" ht="15" customHeight="1">
      <c r="A38" s="29" t="inlineStr">
        <is>
          <t>Bola de carne de una smash</t>
        </is>
      </c>
      <c r="B38" s="29" t="inlineStr">
        <is>
          <t>80-100 g</t>
        </is>
      </c>
      <c r="C38" s="29" t="inlineStr">
        <is>
          <t>Cartas de hamburgueserías de smash leídas en octubre de 2026</t>
        </is>
      </c>
      <c r="D38" s="48" t="inlineStr">
        <is>
          <t>El caso usa bolas de 100 g: la smash doble lleva dos</t>
        </is>
      </c>
      <c r="E38" s="29" t="n"/>
    </row>
    <row r="39" ht="30" customHeight="1">
      <c r="A39" s="29" t="inlineStr">
        <is>
          <t>Hamburguesas por kilo de carne</t>
        </is>
      </c>
      <c r="B39" s="29" t="inlineStr">
        <is>
          <t>10 bolas de 100 g</t>
        </is>
      </c>
      <c r="C39" s="29" t="inlineStr">
        <is>
          <t>Cálculo de la calculadora del pack</t>
        </is>
      </c>
      <c r="D39" s="48" t="inlineStr">
        <is>
          <t>Cinco hamburguesas dobles. Con la merma de cierre salen menos: pesa tus bolas y lleva tus gramos a la calculadora</t>
        </is>
      </c>
      <c r="E39" s="29" t="n"/>
    </row>
    <row r="40" ht="30" customHeight="1">
      <c r="A40" s="29" t="inlineStr">
        <is>
          <t>Comisión de la plataforma con su reparto</t>
        </is>
      </c>
      <c r="B40" s="29" t="inlineStr">
        <is>
          <t>13-35 % más IVA</t>
        </is>
      </c>
      <c r="C40" s="29" t="inlineStr">
        <is>
          <t>Guías del sector, 2025-2026: compruébalo en tu contrato</t>
        </is>
      </c>
      <c r="D40" s="48" t="inlineStr">
        <is>
          <t>El plan básico de Uber Eats ronda el 30 %. Lo que se recoge en el local no paga comisión</t>
        </is>
      </c>
      <c r="E40" s="29" t="n"/>
    </row>
    <row r="41" ht="90" customHeight="1">
      <c r="A41" s="29" t="inlineStr">
        <is>
          <t>IVA de la hamburguesería</t>
        </is>
      </c>
      <c r="B41" s="29" t="inlineStr">
        <is>
          <t>10 % en la venta · 21 % la cerveza y los refrescos para llevar</t>
        </is>
      </c>
      <c r="C41" s="29" t="inlineStr">
        <is>
          <t>Ley 37/1992, art. 91.Uno.1.1.º, 91.Uno.2.2.º y 91.Dos.1.1.º</t>
        </is>
      </c>
      <c r="D41" s="48" t="inlineStr">
        <is>
          <t>La comida, al 10 % en sala, para llevar y a domicilio. La cerveza y los refrescos con azúcares o edulcorantes añadidos (también los zero) que salen del local, al 21 %. El queso, el huevo, la leche, la patata fresca y la verdura se compran al 4 %; el pan de hamburguesa no es pan común: va al 10 %</t>
        </is>
      </c>
      <c r="E41" s="29" t="n"/>
    </row>
    <row r="42" ht="60" customHeight="1">
      <c r="A42" s="29" t="inlineStr">
        <is>
          <t>Carne picada</t>
        </is>
      </c>
      <c r="B42" s="29" t="inlineStr">
        <is>
          <t>2 °C o menos · del día si la picas tú</t>
        </is>
      </c>
      <c r="C42" s="29" t="inlineStr">
        <is>
          <t>Real Decreto 1021/2022, arts. 4.1 y 7.2</t>
        </is>
      </c>
      <c r="D42" s="48" t="inlineStr">
        <is>
          <t>Los preparados de carne (la bola salada o aliñada antes de la plancha), a 4 °C o menos. Si picas en el local, sólo lo que vayas a vender ese día: nunca de un día para otro</t>
        </is>
      </c>
      <c r="E42" s="29" t="n"/>
    </row>
    <row r="43" ht="45" customHeight="1">
      <c r="A43" s="29" t="inlineStr">
        <is>
          <t>Temperatura de fritura</t>
        </is>
      </c>
      <c r="B43" s="29" t="inlineStr">
        <is>
          <t>Por debajo de 175 °C</t>
        </is>
      </c>
      <c r="C43" s="29" t="inlineStr">
        <is>
          <t>Reglamento (UE) 2017/2158, anexo II, parte A</t>
        </is>
      </c>
      <c r="D43" s="48" t="inlineStr">
        <is>
          <t>Contra la acrilamida: patatas guardadas a más de 6 °C, la fresca en remojo o escaldada y una guía de colores a la vista del personal</t>
        </is>
      </c>
      <c r="E43" s="29" t="n"/>
    </row>
    <row r="44" ht="45" customHeight="1">
      <c r="A44" s="29" t="inlineStr">
        <is>
          <t>Aceite de fritura</t>
        </is>
      </c>
      <c r="B44" s="29" t="inlineStr">
        <is>
          <t>Menos de un 25 % de compuestos polares</t>
        </is>
      </c>
      <c r="C44" s="29" t="inlineStr">
        <is>
          <t>Orden de 26 de enero de 1989, art. 6.3</t>
        </is>
      </c>
      <c r="D44" s="48" t="inlineStr">
        <is>
          <t>Cámbialo antes de llegar ahí y anota cada cambio; el usado, a un gestor autorizado. Tu APPCC elige cómo lo controlas: tiras, medidor o cambio por frecuencia</t>
        </is>
      </c>
      <c r="E44" s="29" t="n"/>
    </row>
    <row r="45">
      <c r="A45" s="29" t="inlineStr">
        <is>
          <t>Salario mínimo interprofesional 2026</t>
        </is>
      </c>
      <c r="B45" s="29" t="inlineStr">
        <is>
          <t>1.221 € al mes en 14 pagas</t>
        </is>
      </c>
      <c r="C45" s="29" t="inlineStr">
        <is>
          <t>Real Decreto 126/2026</t>
        </is>
      </c>
      <c r="D45" s="48" t="inlineStr">
        <is>
          <t>A prorrata en jornada parcial</t>
        </is>
      </c>
      <c r="E45" s="29" t="n"/>
    </row>
    <row r="46" ht="30" customHeight="1">
      <c r="A46" s="29" t="inlineStr">
        <is>
          <t>Convenio colectivo aplicable</t>
        </is>
      </c>
      <c r="B46" s="29" t="inlineStr">
        <is>
          <t>Provincial de hostelería</t>
        </is>
      </c>
      <c r="C46" s="29" t="inlineStr">
        <is>
          <t>VI Acuerdo Laboral de ámbito Estatal para el sector de Hostelería, art. 4</t>
        </is>
      </c>
      <c r="D46" s="48" t="inlineStr">
        <is>
          <t>Nombra expresamente las hamburgueserías. Copia tu tabla salarial en la celda de Supuestos</t>
        </is>
      </c>
      <c r="E46" s="29" t="n"/>
    </row>
    <row r="47">
      <c r="A47" s="29" t="n"/>
      <c r="B47" s="29" t="n"/>
      <c r="C47" s="29" t="n"/>
      <c r="D47" s="29" t="n"/>
      <c r="E47" s="29" t="n"/>
    </row>
    <row r="48">
      <c r="A48" s="75" t="inlineStr">
        <is>
          <t>Para editar una celda que no esté en verde: Revisar → Desproteger hoja (no tiene contraseña).</t>
        </is>
      </c>
      <c r="B48" s="29" t="n"/>
      <c r="C48" s="29" t="n"/>
      <c r="D48" s="29" t="n"/>
      <c r="E48" s="29" t="n"/>
    </row>
    <row r="49">
      <c r="A49" s="75" t="inlineStr">
        <is>
          <t>Más plantillas y kits del catálogo en aichef.pro/productos-digitales</t>
        </is>
      </c>
      <c r="B49" s="29" t="n"/>
      <c r="C49" s="29" t="n"/>
      <c r="D49" s="29" t="n"/>
      <c r="E49" s="29" t="n"/>
    </row>
    <row r="50">
      <c r="A50" s="75" t="inlineStr">
        <is>
          <t>Diseñado por John Guerrero — chef y consultor gastronómico desde 2010, en cocina desde los 17 años · johnguerrero.es</t>
        </is>
      </c>
      <c r="B50" s="29" t="n"/>
      <c r="C50" s="29" t="n"/>
      <c r="D50" s="29" t="n"/>
      <c r="E50" s="29" t="n"/>
    </row>
    <row r="51">
      <c r="A51" s="75" t="inlineStr">
        <is>
          <t>Versión 1.0 · noviembre 2026 · aichef.pro/plan-negocio-hamburgueseria · info@aichef.pro</t>
        </is>
      </c>
      <c r="B51" s="29" t="n"/>
      <c r="C51" s="29" t="n"/>
      <c r="D51" s="29" t="n"/>
      <c r="E51" s="29" t="n"/>
    </row>
    <row r="52">
      <c r="A52" s="29" t="n"/>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74" t="n">
        <v>0.07199999999999999</v>
      </c>
      <c r="C5" s="74" t="n">
        <v>0.08</v>
      </c>
      <c r="D5" s="74" t="n">
        <v>0.08500000000000001</v>
      </c>
      <c r="E5" s="74" t="n">
        <v>0.08599999999999999</v>
      </c>
      <c r="F5" s="74" t="n">
        <v>0.089</v>
      </c>
      <c r="G5" s="74" t="n">
        <v>0.08799999999999999</v>
      </c>
      <c r="H5" s="74" t="n">
        <v>0.08599999999999999</v>
      </c>
      <c r="I5" s="74" t="n">
        <v>0.076</v>
      </c>
      <c r="J5" s="74" t="n">
        <v>0.08500000000000001</v>
      </c>
      <c r="K5" s="74" t="n">
        <v>0.08699999999999999</v>
      </c>
      <c r="L5" s="74" t="n">
        <v>0.082</v>
      </c>
      <c r="M5" s="74" t="n">
        <v>0.08400000000000001</v>
      </c>
      <c r="N5" s="68">
        <f>IFERROR(IF('PyG 3 Años'!$B$9="","",SUM(B5:M5)),"")</f>
        <v>1.0</v>
      </c>
      <c r="O5" s="29" t="inlineStr">
        <is>
          <t>Mes 1 = ENERO, en el orden del calendario: enero es el mes más flojo (cierre de 10 días y cuesta de enero) y agosto baja con la ciudad vacía; mayo y junio son los picos (buen tiempo y fin de curso). En la costa, julio y agosto suben. Si abres en otro mes, gira la fila. Tiene que sumar 100 %</t>
        </is>
      </c>
    </row>
    <row r="6">
      <c r="A6" s="29" t="inlineStr">
        <is>
          <t>Rampa de arranque (% de la actividad de crucero)</t>
        </is>
      </c>
      <c r="B6" s="68">
        <f>IFERROR(IF('PyG 3 Años'!$B$9="","",MIN(1,'0. Supuestos'!$B$52+(1-'0. Supuestos'!$B$52)*0/MAX(1,'0. Supuestos'!$B$53-1))),"")</f>
        <v>0.75</v>
      </c>
      <c r="C6" s="68">
        <f>IFERROR(IF('PyG 3 Años'!$B$9="","",MIN(1,'0. Supuestos'!$B$52+(1-'0. Supuestos'!$B$52)*1/MAX(1,'0. Supuestos'!$B$53-1))),"")</f>
        <v>0.8333333333333334</v>
      </c>
      <c r="D6" s="68">
        <f>IFERROR(IF('PyG 3 Años'!$B$9="","",MIN(1,'0. Supuestos'!$B$52+(1-'0. Supuestos'!$B$52)*2/MAX(1,'0. Supuestos'!$B$53-1))),"")</f>
        <v>0.9166666666666666</v>
      </c>
      <c r="E6" s="68">
        <f>IFERROR(IF('PyG 3 Años'!$B$9="","",MIN(1,'0. Supuestos'!$B$52+(1-'0. Supuestos'!$B$52)*3/MAX(1,'0. Supuestos'!$B$53-1))),"")</f>
        <v>1.0</v>
      </c>
      <c r="F6" s="68">
        <f>IFERROR(IF('PyG 3 Años'!$B$9="","",MIN(1,'0. Supuestos'!$B$52+(1-'0. Supuestos'!$B$52)*4/MAX(1,'0. Supuestos'!$B$53-1))),"")</f>
        <v>1.0</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68">
        <f>IFERROR(IF('PyG 3 Años'!$B$9="","",B5*B6/SUMPRODUCT($B$5:$M$5,$B$6:$M$6)),"")</f>
        <v>0.0561573793222983</v>
      </c>
      <c r="C7" s="68">
        <f>IFERROR(IF('PyG 3 Años'!$B$9="","",C5*C6/SUMPRODUCT($B$5:$M$5,$B$6:$M$6)),"")</f>
        <v>0.06933009792876334</v>
      </c>
      <c r="D7" s="68">
        <f>IFERROR(IF('PyG 3 Años'!$B$9="","",D5*D6/SUMPRODUCT($B$5:$M$5,$B$6:$M$6)),"")</f>
        <v>0.08102955195424216</v>
      </c>
      <c r="E7" s="68">
        <f>IFERROR(IF('PyG 3 Años'!$B$9="","",E5*E6/SUMPRODUCT($B$5:$M$5,$B$6:$M$6)),"")</f>
        <v>0.0894358263281047</v>
      </c>
      <c r="F7" s="68">
        <f>IFERROR(IF('PyG 3 Años'!$B$9="","",F5*F6/SUMPRODUCT($B$5:$M$5,$B$6:$M$6)),"")</f>
        <v>0.09255568073489906</v>
      </c>
      <c r="G7" s="68">
        <f>IFERROR(IF('PyG 3 Años'!$B$9="","",G5*G6/SUMPRODUCT($B$5:$M$5,$B$6:$M$6)),"")</f>
        <v>0.0915157292659676</v>
      </c>
      <c r="H7" s="68">
        <f>IFERROR(IF('PyG 3 Años'!$B$9="","",H5*H6/SUMPRODUCT($B$5:$M$5,$B$6:$M$6)),"")</f>
        <v>0.0894358263281047</v>
      </c>
      <c r="I7" s="68">
        <f>IFERROR(IF('PyG 3 Años'!$B$9="","",I5*I6/SUMPRODUCT($B$5:$M$5,$B$6:$M$6)),"")</f>
        <v>0.0790363116387902</v>
      </c>
      <c r="J7" s="68">
        <f>IFERROR(IF('PyG 3 Años'!$B$9="","",J5*J6/SUMPRODUCT($B$5:$M$5,$B$6:$M$6)),"")</f>
        <v>0.08839587485917326</v>
      </c>
      <c r="K7" s="68">
        <f>IFERROR(IF('PyG 3 Años'!$B$9="","",K5*K6/SUMPRODUCT($B$5:$M$5,$B$6:$M$6)),"")</f>
        <v>0.09047577779703615</v>
      </c>
      <c r="L7" s="68">
        <f>IFERROR(IF('PyG 3 Años'!$B$9="","",L5*L6/SUMPRODUCT($B$5:$M$5,$B$6:$M$6)),"")</f>
        <v>0.0852760204523789</v>
      </c>
      <c r="M7" s="68">
        <f>IFERROR(IF('PyG 3 Años'!$B$9="","",M5*M6/SUMPRODUCT($B$5:$M$5,$B$6:$M$6)),"")</f>
        <v>0.08735592339024181</v>
      </c>
      <c r="N7" s="68">
        <f>IFERROR(IF('PyG 3 Años'!$B$9="","",SUM(B7:M7)),"")</f>
        <v>1.0000000000000002</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26408.420764918974</v>
      </c>
      <c r="C9" s="33">
        <f>IFERROR(IF('PyG 3 Años'!$B$9="","",('PyG 3 Años'!$B$9+'PyG 3 Años'!$B$9*SUMPRODUCT('PyG 3 Años'!$E$10:$E$11,'PyG 3 Años'!$G$10:$G$11))*(C7*(1-MIN(30,'0. Supuestos'!$B$58)/30)+B7*MIN(30,'0. Supuestos'!$B$58)/30)),"")</f>
        <v>34489.304367588185</v>
      </c>
      <c r="D9" s="33">
        <f>IFERROR(IF('PyG 3 Años'!$B$9="","",('PyG 3 Años'!$B$9+'PyG 3 Años'!$B$9*SUMPRODUCT('PyG 3 Años'!$E$10:$E$11,'PyG 3 Años'!$G$10:$G$11))*(D7*(1-MIN(30,'0. Supuestos'!$B$58)/30)+C7*MIN(30,'0. Supuestos'!$B$58)/30)),"")</f>
        <v>40433.527824594865</v>
      </c>
      <c r="E9" s="33">
        <f>IFERROR(IF('PyG 3 Años'!$B$9="","",('PyG 3 Años'!$B$9+'PyG 3 Años'!$B$9*SUMPRODUCT('PyG 3 Años'!$E$10:$E$11,'PyG 3 Años'!$G$10:$G$11))*(E7*(1-MIN(30,'0. Supuestos'!$B$58)/30)+D7*MIN(30,'0. Supuestos'!$B$58)/30)),"")</f>
        <v>44779.62264404195</v>
      </c>
      <c r="F9" s="33">
        <f>IFERROR(IF('PyG 3 Años'!$B$9="","",('PyG 3 Años'!$B$9+'PyG 3 Años'!$B$9*SUMPRODUCT('PyG 3 Años'!$E$10:$E$11,'PyG 3 Años'!$G$10:$G$11))*(F7*(1-MIN(30,'0. Supuestos'!$B$58)/30)+E7*MIN(30,'0. Supuestos'!$B$58)/30)),"")</f>
        <v>46529.12230009534</v>
      </c>
      <c r="G9" s="33">
        <f>IFERROR(IF('PyG 3 Años'!$B$9="","",('PyG 3 Años'!$B$9+'PyG 3 Años'!$B$9*SUMPRODUCT('PyG 3 Años'!$E$10:$E$11,'PyG 3 Años'!$G$10:$G$11))*(G7*(1-MIN(30,'0. Supuestos'!$B$58)/30)+F7*MIN(30,'0. Supuestos'!$B$58)/30)),"")</f>
        <v>46144.872791611066</v>
      </c>
      <c r="H9" s="33">
        <f>IFERROR(IF('PyG 3 Años'!$B$9="","",('PyG 3 Años'!$B$9+'PyG 3 Años'!$B$9*SUMPRODUCT('PyG 3 Años'!$E$10:$E$11,'PyG 3 Años'!$G$10:$G$11))*(H7*(1-MIN(30,'0. Supuestos'!$B$58)/30)+G7*MIN(30,'0. Supuestos'!$B$58)/30)),"")</f>
        <v>45131.851360152534</v>
      </c>
      <c r="I9" s="33">
        <f>IFERROR(IF('PyG 3 Años'!$B$9="","",('PyG 3 Años'!$B$9+'PyG 3 Años'!$B$9*SUMPRODUCT('PyG 3 Años'!$E$10:$E$11,'PyG 3 Años'!$G$10:$G$11))*(I7*(1-MIN(30,'0. Supuestos'!$B$58)/30)+H7*MIN(30,'0. Supuestos'!$B$58)/30)),"")</f>
        <v>40171.53952335558</v>
      </c>
      <c r="J9" s="33">
        <f>IFERROR(IF('PyG 3 Años'!$B$9="","",('PyG 3 Años'!$B$9+'PyG 3 Años'!$B$9*SUMPRODUCT('PyG 3 Años'!$E$10:$E$11,'PyG 3 Años'!$G$10:$G$11))*(J7*(1-MIN(30,'0. Supuestos'!$B$58)/30)+I7*MIN(30,'0. Supuestos'!$B$58)/30)),"")</f>
        <v>44223.62524918972</v>
      </c>
      <c r="K9" s="33">
        <f>IFERROR(IF('PyG 3 Años'!$B$9="","",('PyG 3 Años'!$B$9+'PyG 3 Años'!$B$9*SUMPRODUCT('PyG 3 Años'!$E$10:$E$11,'PyG 3 Años'!$G$10:$G$11))*(K7*(1-MIN(30,'0. Supuestos'!$B$58)/30)+J7*MIN(30,'0. Supuestos'!$B$58)/30)),"")</f>
        <v>45516.1008686368</v>
      </c>
      <c r="L9" s="33">
        <f>IFERROR(IF('PyG 3 Años'!$B$9="","",('PyG 3 Años'!$B$9+'PyG 3 Años'!$B$9*SUMPRODUCT('PyG 3 Años'!$E$10:$E$11,'PyG 3 Años'!$G$10:$G$11))*(L7*(1-MIN(30,'0. Supuestos'!$B$58)/30)+K7*MIN(30,'0. Supuestos'!$B$58)/30)),"")</f>
        <v>43140.740270734044</v>
      </c>
      <c r="M9" s="33">
        <f>IFERROR(IF('PyG 3 Años'!$B$9="","",('PyG 3 Años'!$B$9+'PyG 3 Años'!$B$9*SUMPRODUCT('PyG 3 Años'!$E$10:$E$11,'PyG 3 Años'!$G$10:$G$11))*(M7*(1-MIN(30,'0. Supuestos'!$B$58)/30)+L7*MIN(30,'0. Supuestos'!$B$58)/30)),"")</f>
        <v>43944.17106120116</v>
      </c>
      <c r="N9" s="33">
        <f>IFERROR(IF('PyG 3 Años'!$B$9="","",SUM(B9:M9)),"")</f>
        <v>500912.89902612026</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-11761.339157985964</v>
      </c>
      <c r="D11" s="33">
        <f>IFERROR(IF('PyG 3 Años'!$B$9="","",-('PyG 3 Años'!$B$13*(1+'PyG 3 Años'!$G$13)+'PyG 3 Años'!$B$14*(1+'PyG 3 Años'!$G$14)+'PyG 3 Años'!$B$15*(1+'PyG 3 Años'!$G$15)+'PyG 3 Años'!$B$16*(1+'PyG 3 Años'!$G$16)+'PyG 3 Años'!$B$17*(1+'PyG 3 Años'!$G$17)+'PyG 3 Años'!$B$18*(1+'PyG 3 Años'!$G$18))*(D7*(1-MIN(30,'0. Supuestos'!$B$59)/30)+C7*MIN(30,'0. Supuestos'!$B$59)/30)),"")</f>
        <v>-14520.171799982672</v>
      </c>
      <c r="E11" s="33">
        <f>IFERROR(IF('PyG 3 Años'!$B$9="","",-('PyG 3 Años'!$B$13*(1+'PyG 3 Años'!$G$13)+'PyG 3 Años'!$B$14*(1+'PyG 3 Años'!$G$14)+'PyG 3 Años'!$B$15*(1+'PyG 3 Años'!$G$15)+'PyG 3 Años'!$B$16*(1+'PyG 3 Años'!$G$16)+'PyG 3 Años'!$B$17*(1+'PyG 3 Años'!$G$17)+'PyG 3 Años'!$B$18*(1+'PyG 3 Años'!$G$18))*(E7*(1-MIN(30,'0. Supuestos'!$B$59)/30)+D7*MIN(30,'0. Supuestos'!$B$59)/30)),"")</f>
        <v>-16970.450791229752</v>
      </c>
      <c r="F11" s="33">
        <f>IFERROR(IF('PyG 3 Años'!$B$9="","",-('PyG 3 Años'!$B$13*(1+'PyG 3 Años'!$G$13)+'PyG 3 Años'!$B$14*(1+'PyG 3 Años'!$G$14)+'PyG 3 Años'!$B$15*(1+'PyG 3 Años'!$G$15)+'PyG 3 Años'!$B$16*(1+'PyG 3 Años'!$G$16)+'PyG 3 Años'!$B$17*(1+'PyG 3 Años'!$G$17)+'PyG 3 Años'!$B$18*(1+'PyG 3 Años'!$G$18))*(F7*(1-MIN(30,'0. Supuestos'!$B$59)/30)+E7*MIN(30,'0. Supuestos'!$B$59)/30)),"")</f>
        <v>-18731.02162197765</v>
      </c>
      <c r="G11" s="33">
        <f>IFERROR(IF('PyG 3 Años'!$B$9="","",-('PyG 3 Años'!$B$13*(1+'PyG 3 Años'!$G$13)+'PyG 3 Años'!$B$14*(1+'PyG 3 Años'!$G$14)+'PyG 3 Años'!$B$15*(1+'PyG 3 Años'!$G$15)+'PyG 3 Años'!$B$16*(1+'PyG 3 Años'!$G$16)+'PyG 3 Años'!$B$17*(1+'PyG 3 Años'!$G$17)+'PyG 3 Años'!$B$18*(1+'PyG 3 Años'!$G$18))*(G7*(1-MIN(30,'0. Supuestos'!$B$59)/30)+F7*MIN(30,'0. Supuestos'!$B$59)/30)),"")</f>
        <v>-19384.42935297687</v>
      </c>
      <c r="H11" s="33">
        <f>IFERROR(IF('PyG 3 Años'!$B$9="","",-('PyG 3 Años'!$B$13*(1+'PyG 3 Años'!$G$13)+'PyG 3 Años'!$B$14*(1+'PyG 3 Años'!$G$14)+'PyG 3 Años'!$B$15*(1+'PyG 3 Años'!$G$15)+'PyG 3 Años'!$B$16*(1+'PyG 3 Años'!$G$16)+'PyG 3 Años'!$B$17*(1+'PyG 3 Años'!$G$17)+'PyG 3 Años'!$B$18*(1+'PyG 3 Años'!$G$18))*(H7*(1-MIN(30,'0. Supuestos'!$B$59)/30)+G7*MIN(30,'0. Supuestos'!$B$59)/30)),"")</f>
        <v>-19166.626775977125</v>
      </c>
      <c r="I11" s="33">
        <f>IFERROR(IF('PyG 3 Años'!$B$9="","",-('PyG 3 Años'!$B$13*(1+'PyG 3 Años'!$G$13)+'PyG 3 Años'!$B$14*(1+'PyG 3 Años'!$G$14)+'PyG 3 Años'!$B$15*(1+'PyG 3 Años'!$G$15)+'PyG 3 Años'!$B$16*(1+'PyG 3 Años'!$G$16)+'PyG 3 Años'!$B$17*(1+'PyG 3 Años'!$G$17)+'PyG 3 Años'!$B$18*(1+'PyG 3 Años'!$G$18))*(I7*(1-MIN(30,'0. Supuestos'!$B$59)/30)+H7*MIN(30,'0. Supuestos'!$B$59)/30)),"")</f>
        <v>-18731.02162197765</v>
      </c>
      <c r="J11" s="33">
        <f>IFERROR(IF('PyG 3 Años'!$B$9="","",-('PyG 3 Años'!$B$13*(1+'PyG 3 Años'!$G$13)+'PyG 3 Años'!$B$14*(1+'PyG 3 Años'!$G$14)+'PyG 3 Años'!$B$15*(1+'PyG 3 Años'!$G$15)+'PyG 3 Años'!$B$16*(1+'PyG 3 Años'!$G$16)+'PyG 3 Años'!$B$17*(1+'PyG 3 Años'!$G$17)+'PyG 3 Años'!$B$18*(1+'PyG 3 Años'!$G$18))*(J7*(1-MIN(30,'0. Supuestos'!$B$59)/30)+I7*MIN(30,'0. Supuestos'!$B$59)/30)),"")</f>
        <v>-16552.995851980246</v>
      </c>
      <c r="K11" s="33">
        <f>IFERROR(IF('PyG 3 Años'!$B$9="","",-('PyG 3 Años'!$B$13*(1+'PyG 3 Años'!$G$13)+'PyG 3 Años'!$B$14*(1+'PyG 3 Años'!$G$14)+'PyG 3 Años'!$B$15*(1+'PyG 3 Años'!$G$15)+'PyG 3 Años'!$B$16*(1+'PyG 3 Años'!$G$16)+'PyG 3 Años'!$B$17*(1+'PyG 3 Años'!$G$17)+'PyG 3 Años'!$B$18*(1+'PyG 3 Años'!$G$18))*(K7*(1-MIN(30,'0. Supuestos'!$B$59)/30)+J7*MIN(30,'0. Supuestos'!$B$59)/30)),"")</f>
        <v>-18513.21904497791</v>
      </c>
      <c r="L11" s="33">
        <f>IFERROR(IF('PyG 3 Años'!$B$9="","",-('PyG 3 Años'!$B$13*(1+'PyG 3 Años'!$G$13)+'PyG 3 Años'!$B$14*(1+'PyG 3 Años'!$G$14)+'PyG 3 Años'!$B$15*(1+'PyG 3 Años'!$G$15)+'PyG 3 Años'!$B$16*(1+'PyG 3 Años'!$G$16)+'PyG 3 Años'!$B$17*(1+'PyG 3 Años'!$G$17)+'PyG 3 Años'!$B$18*(1+'PyG 3 Años'!$G$18))*(L7*(1-MIN(30,'0. Supuestos'!$B$59)/30)+K7*MIN(30,'0. Supuestos'!$B$59)/30)),"")</f>
        <v>-18948.82419897739</v>
      </c>
      <c r="M11" s="33">
        <f>IFERROR(IF('PyG 3 Años'!$B$9="","",-('PyG 3 Años'!$B$13*(1+'PyG 3 Años'!$G$13)+'PyG 3 Años'!$B$14*(1+'PyG 3 Años'!$G$14)+'PyG 3 Años'!$B$15*(1+'PyG 3 Años'!$G$15)+'PyG 3 Años'!$B$16*(1+'PyG 3 Años'!$G$16)+'PyG 3 Años'!$B$17*(1+'PyG 3 Años'!$G$17)+'PyG 3 Años'!$B$18*(1+'PyG 3 Años'!$G$18))*(M7*(1-MIN(30,'0. Supuestos'!$B$59)/30)+L7*MIN(30,'0. Supuestos'!$B$59)/30)),"")</f>
        <v>-17859.811313978687</v>
      </c>
      <c r="N11" s="33">
        <f>IFERROR(IF('PyG 3 Años'!$B$9="","",SUM(B11:M11)),"")</f>
        <v>-191139.9115320219</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-4723.0</v>
      </c>
      <c r="C12" s="33">
        <f>IFERROR(IF('PyG 3 Años'!$B$9="","",-('PyG 3 Años'!$B$37-'PyG 3 Años'!$B$23-'PyG 3 Años'!$B$35-'PyG 3 Años'!$B$36+'PyG 3 Años'!$B$39)/12),"")</f>
        <v>-4723.0</v>
      </c>
      <c r="D12" s="33">
        <f>IFERROR(IF('PyG 3 Años'!$B$9="","",-('PyG 3 Años'!$B$37-'PyG 3 Años'!$B$23-'PyG 3 Años'!$B$35-'PyG 3 Años'!$B$36+'PyG 3 Años'!$B$39)/12),"")</f>
        <v>-4723.0</v>
      </c>
      <c r="E12" s="33">
        <f>IFERROR(IF('PyG 3 Años'!$B$9="","",-('PyG 3 Años'!$B$37-'PyG 3 Años'!$B$23-'PyG 3 Años'!$B$35-'PyG 3 Años'!$B$36+'PyG 3 Años'!$B$39)/12),"")</f>
        <v>-4723.0</v>
      </c>
      <c r="F12" s="33">
        <f>IFERROR(IF('PyG 3 Años'!$B$9="","",-('PyG 3 Años'!$B$37-'PyG 3 Años'!$B$23-'PyG 3 Años'!$B$35-'PyG 3 Años'!$B$36+'PyG 3 Años'!$B$39)/12),"")</f>
        <v>-4723.0</v>
      </c>
      <c r="G12" s="33">
        <f>IFERROR(IF('PyG 3 Años'!$B$9="","",-('PyG 3 Años'!$B$37-'PyG 3 Años'!$B$23-'PyG 3 Años'!$B$35-'PyG 3 Años'!$B$36+'PyG 3 Años'!$B$39)/12),"")</f>
        <v>-4723.0</v>
      </c>
      <c r="H12" s="33">
        <f>IFERROR(IF('PyG 3 Años'!$B$9="","",-('PyG 3 Años'!$B$37-'PyG 3 Años'!$B$23-'PyG 3 Años'!$B$35-'PyG 3 Años'!$B$36+'PyG 3 Años'!$B$39)/12),"")</f>
        <v>-4723.0</v>
      </c>
      <c r="I12" s="33">
        <f>IFERROR(IF('PyG 3 Años'!$B$9="","",-('PyG 3 Años'!$B$37-'PyG 3 Años'!$B$23-'PyG 3 Años'!$B$35-'PyG 3 Años'!$B$36+'PyG 3 Años'!$B$39)/12),"")</f>
        <v>-4723.0</v>
      </c>
      <c r="J12" s="33">
        <f>IFERROR(IF('PyG 3 Años'!$B$9="","",-('PyG 3 Años'!$B$37-'PyG 3 Años'!$B$23-'PyG 3 Años'!$B$35-'PyG 3 Años'!$B$36+'PyG 3 Años'!$B$39)/12),"")</f>
        <v>-4723.0</v>
      </c>
      <c r="K12" s="33">
        <f>IFERROR(IF('PyG 3 Años'!$B$9="","",-('PyG 3 Años'!$B$37-'PyG 3 Años'!$B$23-'PyG 3 Años'!$B$35-'PyG 3 Años'!$B$36+'PyG 3 Años'!$B$39)/12),"")</f>
        <v>-4723.0</v>
      </c>
      <c r="L12" s="33">
        <f>IFERROR(IF('PyG 3 Años'!$B$9="","",-('PyG 3 Años'!$B$37-'PyG 3 Años'!$B$23-'PyG 3 Años'!$B$35-'PyG 3 Años'!$B$36+'PyG 3 Años'!$B$39)/12),"")</f>
        <v>-4723.0</v>
      </c>
      <c r="M12" s="33">
        <f>IFERROR(IF('PyG 3 Años'!$B$9="","",-('PyG 3 Años'!$B$37-'PyG 3 Años'!$B$23-'PyG 3 Años'!$B$35-'PyG 3 Años'!$B$36+'PyG 3 Años'!$B$39)/12),"")</f>
        <v>-4723.0</v>
      </c>
      <c r="N12" s="33">
        <f>IFERROR(IF('PyG 3 Años'!$B$9="","",SUM(B12:M12)),"")</f>
        <v>-56676.0</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-10876.74</v>
      </c>
      <c r="C13" s="33">
        <f>IFERROR(IF('PyG 3 Años'!$B$9="","",-'PyG 3 Años'!$B$23/MAX(12,'0. Supuestos'!$B$21)*(1+IF(2='0. Supuestos'!$B$60,(MAX(12,'0. Supuestos'!$B$21)-12)/2,0)+IF(2='0. Supuestos'!$B$61,(MAX(12,'0. Supuestos'!$B$21)-12)/2,0))),"")</f>
        <v>-10876.74</v>
      </c>
      <c r="D13" s="33">
        <f>IFERROR(IF('PyG 3 Años'!$B$9="","",-'PyG 3 Años'!$B$23/MAX(12,'0. Supuestos'!$B$21)*(1+IF(3='0. Supuestos'!$B$60,(MAX(12,'0. Supuestos'!$B$21)-12)/2,0)+IF(3='0. Supuestos'!$B$61,(MAX(12,'0. Supuestos'!$B$21)-12)/2,0))),"")</f>
        <v>-10876.74</v>
      </c>
      <c r="E13" s="33">
        <f>IFERROR(IF('PyG 3 Años'!$B$9="","",-'PyG 3 Años'!$B$23/MAX(12,'0. Supuestos'!$B$21)*(1+IF(4='0. Supuestos'!$B$60,(MAX(12,'0. Supuestos'!$B$21)-12)/2,0)+IF(4='0. Supuestos'!$B$61,(MAX(12,'0. Supuestos'!$B$21)-12)/2,0))),"")</f>
        <v>-10876.74</v>
      </c>
      <c r="F13" s="33">
        <f>IFERROR(IF('PyG 3 Años'!$B$9="","",-'PyG 3 Años'!$B$23/MAX(12,'0. Supuestos'!$B$21)*(1+IF(5='0. Supuestos'!$B$60,(MAX(12,'0. Supuestos'!$B$21)-12)/2,0)+IF(5='0. Supuestos'!$B$61,(MAX(12,'0. Supuestos'!$B$21)-12)/2,0))),"")</f>
        <v>-10876.74</v>
      </c>
      <c r="G13" s="33">
        <f>IFERROR(IF('PyG 3 Años'!$B$9="","",-'PyG 3 Años'!$B$23/MAX(12,'0. Supuestos'!$B$21)*(1+IF(6='0. Supuestos'!$B$60,(MAX(12,'0. Supuestos'!$B$21)-12)/2,0)+IF(6='0. Supuestos'!$B$61,(MAX(12,'0. Supuestos'!$B$21)-12)/2,0))),"")</f>
        <v>-10876.74</v>
      </c>
      <c r="H13" s="33">
        <f>IFERROR(IF('PyG 3 Años'!$B$9="","",-'PyG 3 Años'!$B$23/MAX(12,'0. Supuestos'!$B$21)*(1+IF(7='0. Supuestos'!$B$60,(MAX(12,'0. Supuestos'!$B$21)-12)/2,0)+IF(7='0. Supuestos'!$B$61,(MAX(12,'0. Supuestos'!$B$21)-12)/2,0))),"")</f>
        <v>-21753.48</v>
      </c>
      <c r="I13" s="33">
        <f>IFERROR(IF('PyG 3 Años'!$B$9="","",-'PyG 3 Años'!$B$23/MAX(12,'0. Supuestos'!$B$21)*(1+IF(8='0. Supuestos'!$B$60,(MAX(12,'0. Supuestos'!$B$21)-12)/2,0)+IF(8='0. Supuestos'!$B$61,(MAX(12,'0. Supuestos'!$B$21)-12)/2,0))),"")</f>
        <v>-10876.74</v>
      </c>
      <c r="J13" s="33">
        <f>IFERROR(IF('PyG 3 Años'!$B$9="","",-'PyG 3 Años'!$B$23/MAX(12,'0. Supuestos'!$B$21)*(1+IF(9='0. Supuestos'!$B$60,(MAX(12,'0. Supuestos'!$B$21)-12)/2,0)+IF(9='0. Supuestos'!$B$61,(MAX(12,'0. Supuestos'!$B$21)-12)/2,0))),"")</f>
        <v>-10876.74</v>
      </c>
      <c r="K13" s="33">
        <f>IFERROR(IF('PyG 3 Años'!$B$9="","",-'PyG 3 Años'!$B$23/MAX(12,'0. Supuestos'!$B$21)*(1+IF(10='0. Supuestos'!$B$60,(MAX(12,'0. Supuestos'!$B$21)-12)/2,0)+IF(10='0. Supuestos'!$B$61,(MAX(12,'0. Supuestos'!$B$21)-12)/2,0))),"")</f>
        <v>-10876.74</v>
      </c>
      <c r="L13" s="33">
        <f>IFERROR(IF('PyG 3 Años'!$B$9="","",-'PyG 3 Años'!$B$23/MAX(12,'0. Supuestos'!$B$21)*(1+IF(11='0. Supuestos'!$B$60,(MAX(12,'0. Supuestos'!$B$21)-12)/2,0)+IF(11='0. Supuestos'!$B$61,(MAX(12,'0. Supuestos'!$B$21)-12)/2,0))),"")</f>
        <v>-10876.74</v>
      </c>
      <c r="M13" s="33">
        <f>IFERROR(IF('PyG 3 Años'!$B$9="","",-'PyG 3 Años'!$B$23/MAX(12,'0. Supuestos'!$B$21)*(1+IF(12='0. Supuestos'!$B$60,(MAX(12,'0. Supuestos'!$B$21)-12)/2,0)+IF(12='0. Supuestos'!$B$61,(MAX(12,'0. Supuestos'!$B$21)-12)/2,0))),"")</f>
        <v>-21753.48</v>
      </c>
      <c r="N13" s="33">
        <f>IFERROR(IF('PyG 3 Años'!$B$9="","",SUM(B13:M13)),"")</f>
        <v>-152274.36</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-650.0</v>
      </c>
      <c r="C14" s="33">
        <f>IFERROR(IF('PyG 3 Años'!$B$9="","",-'Financiación'!$B$44/12),"")</f>
        <v>-650.0</v>
      </c>
      <c r="D14" s="33">
        <f>IFERROR(IF('PyG 3 Años'!$B$9="","",-'Financiación'!$B$44/12),"")</f>
        <v>-650.0</v>
      </c>
      <c r="E14" s="33">
        <f>IFERROR(IF('PyG 3 Años'!$B$9="","",-'Financiación'!$B$44/12),"")</f>
        <v>-650.0</v>
      </c>
      <c r="F14" s="33">
        <f>IFERROR(IF('PyG 3 Años'!$B$9="","",-'Financiación'!$B$44/12),"")</f>
        <v>-650.0</v>
      </c>
      <c r="G14" s="33">
        <f>IFERROR(IF('PyG 3 Años'!$B$9="","",-'Financiación'!$B$44/12),"")</f>
        <v>-650.0</v>
      </c>
      <c r="H14" s="33">
        <f>IFERROR(IF('PyG 3 Años'!$B$9="","",-'Financiación'!$B$44/12),"")</f>
        <v>-650.0</v>
      </c>
      <c r="I14" s="33">
        <f>IFERROR(IF('PyG 3 Años'!$B$9="","",-'Financiación'!$B$44/12),"")</f>
        <v>-650.0</v>
      </c>
      <c r="J14" s="33">
        <f>IFERROR(IF('PyG 3 Años'!$B$9="","",-'Financiación'!$B$44/12),"")</f>
        <v>-650.0</v>
      </c>
      <c r="K14" s="33">
        <f>IFERROR(IF('PyG 3 Años'!$B$9="","",-'Financiación'!$B$44/12),"")</f>
        <v>-650.0</v>
      </c>
      <c r="L14" s="33">
        <f>IFERROR(IF('PyG 3 Años'!$B$9="","",-'Financiación'!$B$44/12),"")</f>
        <v>-650.0</v>
      </c>
      <c r="M14" s="33">
        <f>IFERROR(IF('PyG 3 Años'!$B$9="","",-'Financiación'!$B$44/12),"")</f>
        <v>-650.0</v>
      </c>
      <c r="N14" s="33">
        <f>IFERROR(IF('PyG 3 Años'!$B$9="","",SUM(B14:M14)),"")</f>
        <v>-7800.0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2686.971562873733</v>
      </c>
      <c r="C16" s="33">
        <f>IFERROR(IF('PyG 3 Años'!$B$9="","",'PyG 3 Años'!$B$9*C7*SUMPRODUCT('PyG 3 Años'!$E$10:$E$11,'PyG 3 Años'!$G$10:$G$11)),"")</f>
        <v>3317.2488430539915</v>
      </c>
      <c r="D16" s="33">
        <f>IFERROR(IF('PyG 3 Años'!$B$9="","",'PyG 3 Años'!$B$9*D7*SUMPRODUCT('PyG 3 Años'!$E$10:$E$11,'PyG 3 Años'!$G$10:$G$11)),"")</f>
        <v>3877.034585319353</v>
      </c>
      <c r="E16" s="33">
        <f>IFERROR(IF('PyG 3 Años'!$B$9="","",'PyG 3 Años'!$B$9*E7*SUMPRODUCT('PyG 3 Años'!$E$10:$E$11,'PyG 3 Años'!$G$10:$G$11)),"")</f>
        <v>4279.2510075396485</v>
      </c>
      <c r="F16" s="33">
        <f>IFERROR(IF('PyG 3 Años'!$B$9="","",'PyG 3 Años'!$B$9*F7*SUMPRODUCT('PyG 3 Años'!$E$10:$E$11,'PyG 3 Años'!$G$10:$G$11)),"")</f>
        <v>4428.527205477079</v>
      </c>
      <c r="G16" s="33">
        <f>IFERROR(IF('PyG 3 Años'!$B$9="","",'PyG 3 Años'!$B$9*G7*SUMPRODUCT('PyG 3 Años'!$E$10:$E$11,'PyG 3 Años'!$G$10:$G$11)),"")</f>
        <v>4378.768472831269</v>
      </c>
      <c r="H16" s="33">
        <f>IFERROR(IF('PyG 3 Años'!$B$9="","",'PyG 3 Años'!$B$9*H7*SUMPRODUCT('PyG 3 Años'!$E$10:$E$11,'PyG 3 Años'!$G$10:$G$11)),"")</f>
        <v>4279.2510075396485</v>
      </c>
      <c r="I16" s="33">
        <f>IFERROR(IF('PyG 3 Años'!$B$9="","",'PyG 3 Años'!$B$9*I7*SUMPRODUCT('PyG 3 Años'!$E$10:$E$11,'PyG 3 Años'!$G$10:$G$11)),"")</f>
        <v>3781.66368108155</v>
      </c>
      <c r="J16" s="33">
        <f>IFERROR(IF('PyG 3 Años'!$B$9="","",'PyG 3 Años'!$B$9*J7*SUMPRODUCT('PyG 3 Años'!$E$10:$E$11,'PyG 3 Años'!$G$10:$G$11)),"")</f>
        <v>4229.49227489384</v>
      </c>
      <c r="K16" s="33">
        <f>IFERROR(IF('PyG 3 Años'!$B$9="","",'PyG 3 Años'!$B$9*K7*SUMPRODUCT('PyG 3 Años'!$E$10:$E$11,'PyG 3 Años'!$G$10:$G$11)),"")</f>
        <v>4329.009740185459</v>
      </c>
      <c r="L16" s="33">
        <f>IFERROR(IF('PyG 3 Años'!$B$9="","",'PyG 3 Años'!$B$9*L7*SUMPRODUCT('PyG 3 Años'!$E$10:$E$11,'PyG 3 Años'!$G$10:$G$11)),"")</f>
        <v>4080.21607695641</v>
      </c>
      <c r="M16" s="33">
        <f>IFERROR(IF('PyG 3 Años'!$B$9="","",'PyG 3 Años'!$B$9*M7*SUMPRODUCT('PyG 3 Años'!$E$10:$E$11,'PyG 3 Años'!$G$10:$G$11)),"")</f>
        <v>4179.73354224803</v>
      </c>
      <c r="N16" s="33">
        <f>IFERROR(IF('PyG 3 Años'!$B$9="","",SUM(B16:M16)),"")</f>
        <v>47847.16800000001</v>
      </c>
      <c r="O16" s="29" t="inlineStr">
        <is>
          <t>Cada línea de venta a SU tipo, leído de la columna de IVA del P&amp;L: en sala, alcohol incluido, el reducido (art. 91.Uno.2.2.º de la Ley 37/1992 del IVA); la parte de la bebida que sale para llevar o a domicilio y declara la columna H de su línea (cerveza y refrescos con azúcares o edulcorantes añadidos, también los zero), al general (art. 91.Uno.1.1.º a y b); la comida, también la que sale para llevar o a domicilio, al reducido (art. 91.Uno.1.1.º y 2.2.º)</t>
        </is>
      </c>
    </row>
    <row r="17">
      <c r="A17" s="29" t="inlineStr">
        <is>
          <t>IVA soportado del mes (memoria)</t>
        </is>
      </c>
      <c r="B17" s="33">
        <f>IFERROR(IF('PyG 3 Años'!$B$9="","",'PyG 3 Años'!$B$38*B7+'PyG 3 Años'!$B$39/12),"")</f>
        <v>2183.072791749719</v>
      </c>
      <c r="C17" s="33">
        <f>IFERROR(IF('PyG 3 Años'!$B$9="","",'PyG 3 Años'!$B$38*C7+'PyG 3 Años'!$B$39/12),"")</f>
        <v>2507.966409567554</v>
      </c>
      <c r="D17" s="33">
        <f>IFERROR(IF('PyG 3 Años'!$B$9="","",'PyG 3 Años'!$B$38*D7+'PyG 3 Años'!$B$39/12),"")</f>
        <v>2796.523241182079</v>
      </c>
      <c r="E17" s="33">
        <f>IFERROR(IF('PyG 3 Años'!$B$9="","",'PyG 3 Años'!$B$38*E7+'PyG 3 Años'!$B$39/12),"")</f>
        <v>3003.8566683421445</v>
      </c>
      <c r="F17" s="33">
        <f>IFERROR(IF('PyG 3 Años'!$B$9="","",'PyG 3 Años'!$B$38*F7+'PyG 3 Años'!$B$39/12),"")</f>
        <v>3080.8051567726843</v>
      </c>
      <c r="G17" s="33">
        <f>IFERROR(IF('PyG 3 Años'!$B$9="","",'PyG 3 Años'!$B$38*G7+'PyG 3 Años'!$B$39/12),"")</f>
        <v>3055.155660629171</v>
      </c>
      <c r="H17" s="33">
        <f>IFERROR(IF('PyG 3 Años'!$B$9="","",'PyG 3 Años'!$B$38*H7+'PyG 3 Años'!$B$39/12),"")</f>
        <v>3003.8566683421445</v>
      </c>
      <c r="I17" s="33">
        <f>IFERROR(IF('PyG 3 Años'!$B$9="","",'PyG 3 Años'!$B$38*I7+'PyG 3 Años'!$B$39/12),"")</f>
        <v>2747.3617069070115</v>
      </c>
      <c r="J17" s="33">
        <f>IFERROR(IF('PyG 3 Años'!$B$9="","",'PyG 3 Años'!$B$38*J7+'PyG 3 Años'!$B$39/12),"")</f>
        <v>2978.2071721986313</v>
      </c>
      <c r="K17" s="33">
        <f>IFERROR(IF('PyG 3 Años'!$B$9="","",'PyG 3 Años'!$B$38*K7+'PyG 3 Años'!$B$39/12),"")</f>
        <v>3029.506164485658</v>
      </c>
      <c r="L17" s="33">
        <f>IFERROR(IF('PyG 3 Años'!$B$9="","",'PyG 3 Años'!$B$38*L7+'PyG 3 Años'!$B$39/12),"")</f>
        <v>2901.2586837680915</v>
      </c>
      <c r="M17" s="33">
        <f>IFERROR(IF('PyG 3 Años'!$B$9="","",'PyG 3 Años'!$B$38*M7+'PyG 3 Años'!$B$39/12),"")</f>
        <v>2952.557676055118</v>
      </c>
      <c r="N17" s="33">
        <f>IFERROR(IF('PyG 3 Años'!$B$9="","",SUM(B17:M17)),"")</f>
        <v>34240.128000000004</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21913.5</v>
      </c>
      <c r="F18" s="29" t="n"/>
      <c r="G18" s="29" t="n"/>
      <c r="H18" s="33">
        <f>IFERROR(IF('PyG 3 Años'!$B$9="","",MAX(0,-E19)),"")</f>
        <v>19519.807451252273</v>
      </c>
      <c r="I18" s="29" t="n"/>
      <c r="J18" s="29" t="n"/>
      <c r="K18" s="33">
        <f>IFERROR(IF('PyG 3 Años'!$B$9="","",MAX(0,-H19)),"")</f>
        <v>15573.078251148274</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-19519.807451252273</v>
      </c>
      <c r="F19" s="29" t="n"/>
      <c r="G19" s="29" t="n"/>
      <c r="H19" s="33">
        <f>IFERROR(IF('PyG 3 Años'!$B$9="","",SUM(E16:G16)-SUM(E17:G17)-H18),"")</f>
        <v>-15573.078251148274</v>
      </c>
      <c r="I19" s="29" t="n"/>
      <c r="J19" s="29" t="n"/>
      <c r="K19" s="33">
        <f>IFERROR(IF('PyG 3 Años'!$B$9="","",SUM(H16:J16)-SUM(H17:J17)-K18),"")</f>
        <v>-12012.096835081024</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10158.680764918974</v>
      </c>
      <c r="C21" s="27">
        <f>IFERROR(IF('PyG 3 Años'!$B$9="","",SUM(C9:C15)+IF(C20="",0,C20)),"")</f>
        <v>6478.225209602222</v>
      </c>
      <c r="D21" s="27">
        <f>IFERROR(IF('PyG 3 Años'!$B$9="","",SUM(D9:D15)+IF(D20="",0,D20)),"")</f>
        <v>9663.616024612193</v>
      </c>
      <c r="E21" s="27">
        <f>IFERROR(IF('PyG 3 Años'!$B$9="","",SUM(E9:E15)+IF(E20="",0,E20)),"")</f>
        <v>11559.431852812197</v>
      </c>
      <c r="F21" s="27">
        <f>IFERROR(IF('PyG 3 Años'!$B$9="","",SUM(F9:F15)+IF(F20="",0,F20)),"")</f>
        <v>11548.360678117691</v>
      </c>
      <c r="G21" s="27">
        <f>IFERROR(IF('PyG 3 Años'!$B$9="","",SUM(G9:G15)+IF(G20="",0,G20)),"")</f>
        <v>10510.703438634197</v>
      </c>
      <c r="H21" s="27">
        <f>IFERROR(IF('PyG 3 Años'!$B$9="","",SUM(H9:H15)+IF(H20="",0,H20)),"")</f>
        <v>-1161.2554158245912</v>
      </c>
      <c r="I21" s="27">
        <f>IFERROR(IF('PyG 3 Años'!$B$9="","",SUM(I9:I15)+IF(I20="",0,I20)),"")</f>
        <v>5190.7779013779345</v>
      </c>
      <c r="J21" s="27">
        <f>IFERROR(IF('PyG 3 Años'!$B$9="","",SUM(J9:J15)+IF(J20="",0,J20)),"")</f>
        <v>11420.889397209472</v>
      </c>
      <c r="K21" s="27">
        <f>IFERROR(IF('PyG 3 Años'!$B$9="","",SUM(K9:K15)+IF(K20="",0,K20)),"")</f>
        <v>10753.141823658892</v>
      </c>
      <c r="L21" s="27">
        <f>IFERROR(IF('PyG 3 Años'!$B$9="","",SUM(L9:L15)+IF(L20="",0,L20)),"")</f>
        <v>7942.176071756656</v>
      </c>
      <c r="M21" s="27">
        <f>IFERROR(IF('PyG 3 Años'!$B$9="","",SUM(M9:M15)+IF(M20="",0,M20)),"")</f>
        <v>-1042.1202527775276</v>
      </c>
      <c r="N21" s="27">
        <f>IFERROR(IF('PyG 3 Años'!$B$9="","",SUM(B21:M21)),"")</f>
        <v>93022.6274940983</v>
      </c>
      <c r="O21" s="29" t="n"/>
    </row>
    <row r="22">
      <c r="A22" s="26" t="inlineStr">
        <is>
          <t>SALDO ACUMULADO DE CAJA</t>
        </is>
      </c>
      <c r="B22" s="27">
        <f>IFERROR(IF('PyG 3 Años'!$B$9="","",'Inversión Inicial'!$B$29+B21),"")</f>
        <v>61952.27076491897</v>
      </c>
      <c r="C22" s="27">
        <f>IFERROR(IF('PyG 3 Años'!$B$9="","",B22+C21),"")</f>
        <v>68430.4959745212</v>
      </c>
      <c r="D22" s="27">
        <f>IFERROR(IF('PyG 3 Años'!$B$9="","",C22+D21),"")</f>
        <v>78094.11199913338</v>
      </c>
      <c r="E22" s="27">
        <f>IFERROR(IF('PyG 3 Años'!$B$9="","",D22+E21),"")</f>
        <v>89653.54385194558</v>
      </c>
      <c r="F22" s="27">
        <f>IFERROR(IF('PyG 3 Años'!$B$9="","",E22+F21),"")</f>
        <v>101201.90453006327</v>
      </c>
      <c r="G22" s="27">
        <f>IFERROR(IF('PyG 3 Años'!$B$9="","",F22+G21),"")</f>
        <v>111712.60796869747</v>
      </c>
      <c r="H22" s="27">
        <f>IFERROR(IF('PyG 3 Años'!$B$9="","",G22+H21),"")</f>
        <v>110551.35255287288</v>
      </c>
      <c r="I22" s="27">
        <f>IFERROR(IF('PyG 3 Años'!$B$9="","",H22+I21),"")</f>
        <v>115742.13045425082</v>
      </c>
      <c r="J22" s="27">
        <f>IFERROR(IF('PyG 3 Años'!$B$9="","",I22+J21),"")</f>
        <v>127163.01985146028</v>
      </c>
      <c r="K22" s="27">
        <f>IFERROR(IF('PyG 3 Años'!$B$9="","",J22+K21),"")</f>
        <v>137916.16167511916</v>
      </c>
      <c r="L22" s="27">
        <f>IFERROR(IF('PyG 3 Años'!$B$9="","",K22+L21),"")</f>
        <v>145858.33774687583</v>
      </c>
      <c r="M22" s="27">
        <f>IFERROR(IF('PyG 3 Años'!$B$9="","",L22+M21),"")</f>
        <v>144816.2174940983</v>
      </c>
      <c r="N22" s="29" t="n"/>
      <c r="O22" s="29" t="n"/>
    </row>
    <row r="23">
      <c r="A23" s="29" t="inlineStr">
        <is>
          <t>Saldo mínimo del año</t>
        </is>
      </c>
      <c r="B23" s="33">
        <f>IFERROR(IF('PyG 3 Años'!$B$9="","",IF(COUNT(B22:M22)=0,"",MIN(B22:M22))),"")</f>
        <v>61952.27076491897</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1.0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63646.524000000005</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72379.1928</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69725.39471447395</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100822.6274940983</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162143.59</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f>IFERROR(IF('PyG 3 Años'!$B$9="","",IF(B26&gt;=B30,ROUND(B30/B26,1),IF(B26+B27&gt;=B30,ROUND(1+(B30-B26)/B27,1),IF(B26+B27+B28&gt;=B30,ROUND(2+(B30-B26-B27)/B28,1),"Más de 3 años")))),"")</f>
        <v>2.4</v>
      </c>
      <c r="C31" s="29" t="n"/>
      <c r="D31" s="26"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1.6</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20" customHeight="1">
      <c r="A34" s="48"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55000.0</v>
      </c>
      <c r="C6" s="29" t="n"/>
      <c r="D6" s="29" t="n"/>
      <c r="E6" s="29" t="n"/>
      <c r="F6" s="29" t="n"/>
      <c r="G6" s="29" t="n"/>
      <c r="H6" s="29" t="n"/>
    </row>
    <row r="7">
      <c r="A7" s="29" t="inlineStr">
        <is>
          <t>Préstamo bancario</t>
        </is>
      </c>
      <c r="B7" s="33">
        <f>IFERROR(IF('0. Supuestos'!$B$31="","",'0. Supuestos'!$B$31),"")</f>
        <v>130000.0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185000.0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184057.09</v>
      </c>
      <c r="C14" s="29" t="inlineStr">
        <is>
          <t>Inversión más el IVA que hay que adelantar</t>
        </is>
      </c>
      <c r="D14" s="29" t="n"/>
      <c r="E14" s="29" t="n"/>
      <c r="F14" s="29" t="n"/>
      <c r="G14" s="29" t="n"/>
      <c r="H14" s="29" t="n"/>
    </row>
    <row r="15">
      <c r="A15" s="26" t="inlineStr">
        <is>
          <t>Diferencia (origen - usos)</t>
        </is>
      </c>
      <c r="B15" s="27">
        <f>IFERROR(B12-B14,"")</f>
        <v>942.9100000000035</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68">
        <f>IFERROR(B15/B14,"")</f>
        <v>0.0051229213718417665</v>
      </c>
      <c r="C16" s="29" t="inlineStr">
        <is>
          <t>Ámbar por encima del margen que fijes: es deuda que pagas sin necesitarla</t>
        </is>
      </c>
      <c r="D16" s="29" t="n"/>
      <c r="E16" s="29" t="n"/>
      <c r="F16" s="29" t="n"/>
      <c r="G16" s="29" t="n"/>
      <c r="H16" s="29" t="n"/>
    </row>
    <row r="17">
      <c r="A17" s="29" t="inlineStr">
        <is>
          <t>Exceso de financiación admisible (%)</t>
        </is>
      </c>
      <c r="B17" s="74"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129057.09</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130000.0</v>
      </c>
      <c r="C20" s="29" t="n"/>
      <c r="D20" s="29" t="n"/>
      <c r="E20" s="29" t="n"/>
      <c r="F20" s="29" t="n"/>
      <c r="G20" s="29" t="n"/>
      <c r="H20" s="29" t="n"/>
    </row>
    <row r="21">
      <c r="A21" s="29" t="inlineStr">
        <is>
          <t>Tipo de interés nominal anual</t>
        </is>
      </c>
      <c r="B21" s="68">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72">
        <f>IFERROR(IF(B22-B23&lt;=0,"",IF(B21=0,B20/(B22-B23),B20*B21/(1-(1+B21)^-(B22-B23)))),"")</f>
        <v>26437.141701736393</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70">
        <f>IFERROR(IF(B20="","",B20),"")</f>
        <v>130000.0</v>
      </c>
      <c r="C27" s="70">
        <f>IFERROR(IF(OR(1&gt;B22,B27=""),"",B27*B21),"")</f>
        <v>7800.0</v>
      </c>
      <c r="D27" s="70">
        <f>IFERROR(IF(OR(1&gt;B22,B27=""),"",IF(1&lt;=B23,0,MIN(B27,B24-C27))),"")</f>
        <v>0.0</v>
      </c>
      <c r="E27" s="70">
        <f>IFERROR(IF(C27="","",C27+D27),"")</f>
        <v>7800.0</v>
      </c>
      <c r="F27" s="70">
        <f>IFERROR(IF(D27="","",B27-D27),"")</f>
        <v>130000.0</v>
      </c>
      <c r="G27" s="70">
        <f>IFERROR(IF(E27="","",'PyG 3 Años'!$B$40-'PyG 3 Años'!$B$45+'PyG 3 Años'!$B$35+'PyG 3 Años'!$B$36),"")</f>
        <v>63646.524000000005</v>
      </c>
      <c r="H27" s="62">
        <f>IFERROR(IF(OR(E27="",E27=0),"",G27/E27),"")</f>
        <v>8.15981076923077</v>
      </c>
    </row>
    <row r="28">
      <c r="A28" s="41" t="n">
        <v>2</v>
      </c>
      <c r="B28" s="70">
        <f>IFERROR(IF(OR(2&gt;B22,F27=""),"",F27),"")</f>
        <v>130000.0</v>
      </c>
      <c r="C28" s="70">
        <f>IFERROR(IF(OR(2&gt;B22,B28=""),"",B28*B21),"")</f>
        <v>7800.0</v>
      </c>
      <c r="D28" s="70">
        <f>IFERROR(IF(OR(2&gt;B22,B28=""),"",IF(2&lt;=B23,0,MIN(B28,B24-C28))),"")</f>
        <v>18637.141701736393</v>
      </c>
      <c r="E28" s="70">
        <f>IFERROR(IF(C28="","",C28+D28),"")</f>
        <v>26437.141701736393</v>
      </c>
      <c r="F28" s="70">
        <f>IFERROR(IF(D28="","",B28-D28),"")</f>
        <v>111362.8582982636</v>
      </c>
      <c r="G28" s="70">
        <f>IFERROR(IF(E28="","",'PyG 3 Años'!$C$40-'PyG 3 Años'!$C$45+'PyG 3 Años'!$C$35+'PyG 3 Años'!$C$36),"")</f>
        <v>72379.1928</v>
      </c>
      <c r="H28" s="62">
        <f>IFERROR(IF(OR(E28="",E28=0),"",G28/E28),"")</f>
        <v>2.737784349631342</v>
      </c>
    </row>
    <row r="29">
      <c r="A29" s="41" t="n">
        <v>3</v>
      </c>
      <c r="B29" s="70">
        <f>IFERROR(IF(OR(3&gt;B22,F28=""),"",F28),"")</f>
        <v>111362.8582982636</v>
      </c>
      <c r="C29" s="70">
        <f>IFERROR(IF(OR(3&gt;B22,B29=""),"",B29*B21),"")</f>
        <v>6681.771497895816</v>
      </c>
      <c r="D29" s="70">
        <f>IFERROR(IF(OR(3&gt;B22,B29=""),"",IF(3&lt;=B23,0,MIN(B29,B24-C29))),"")</f>
        <v>19755.370203840575</v>
      </c>
      <c r="E29" s="70">
        <f>IFERROR(IF(C29="","",C29+D29),"")</f>
        <v>26437.141701736393</v>
      </c>
      <c r="F29" s="70">
        <f>IFERROR(IF(D29="","",B29-D29),"")</f>
        <v>91607.48809442302</v>
      </c>
      <c r="G29" s="70">
        <f>IFERROR(IF(E29="","",'PyG 3 Años'!$D$40-'PyG 3 Años'!$D$45+'PyG 3 Años'!$D$35+'PyG 3 Años'!$D$36),"")</f>
        <v>69725.39471447395</v>
      </c>
      <c r="H29" s="62">
        <f>IFERROR(IF(OR(E29="",E29=0),"",G29/E29),"")</f>
        <v>2.637402919767774</v>
      </c>
    </row>
    <row r="30">
      <c r="A30" s="41" t="n">
        <v>4</v>
      </c>
      <c r="B30" s="70">
        <f>IFERROR(IF(OR(4&gt;B22,F29=""),"",F29),"")</f>
        <v>91607.48809442302</v>
      </c>
      <c r="C30" s="70">
        <f>IFERROR(IF(OR(4&gt;B22,B30=""),"",B30*B21),"")</f>
        <v>5496.4492856653815</v>
      </c>
      <c r="D30" s="70">
        <f>IFERROR(IF(OR(4&gt;B22,B30=""),"",IF(4&lt;=B23,0,MIN(B30,B24-C30))),"")</f>
        <v>20940.69241607101</v>
      </c>
      <c r="E30" s="70">
        <f>IFERROR(IF(C30="","",C30+D30),"")</f>
        <v>26437.141701736393</v>
      </c>
      <c r="F30" s="70">
        <f>IFERROR(IF(D30="","",B30-D30),"")</f>
        <v>70666.795678352</v>
      </c>
      <c r="G30" s="70">
        <f>IFERROR(IF(E30="","",'PyG 3 Años'!$D$40-'PyG 3 Años'!$D$45+'PyG 3 Años'!$D$35+'PyG 3 Años'!$D$36),"")</f>
        <v>69725.39471447395</v>
      </c>
      <c r="H30" s="62">
        <f>IFERROR(IF(OR(E30="",E30=0),"",G30/E30),"")</f>
        <v>2.637402919767774</v>
      </c>
    </row>
    <row r="31">
      <c r="A31" s="41" t="n">
        <v>5</v>
      </c>
      <c r="B31" s="70">
        <f>IFERROR(IF(OR(5&gt;B22,F30=""),"",F30),"")</f>
        <v>70666.795678352</v>
      </c>
      <c r="C31" s="70">
        <f>IFERROR(IF(OR(5&gt;B22,B31=""),"",B31*B21),"")</f>
        <v>4240.00774070112</v>
      </c>
      <c r="D31" s="70">
        <f>IFERROR(IF(OR(5&gt;B22,B31=""),"",IF(5&lt;=B23,0,MIN(B31,B24-C31))),"")</f>
        <v>22197.133961035273</v>
      </c>
      <c r="E31" s="70">
        <f>IFERROR(IF(C31="","",C31+D31),"")</f>
        <v>26437.141701736393</v>
      </c>
      <c r="F31" s="70">
        <f>IFERROR(IF(D31="","",B31-D31),"")</f>
        <v>48469.66171731673</v>
      </c>
      <c r="G31" s="70">
        <f>IFERROR(IF(E31="","",'PyG 3 Años'!$D$40-'PyG 3 Años'!$D$45+'PyG 3 Años'!$D$35+'PyG 3 Años'!$D$36),"")</f>
        <v>69725.39471447395</v>
      </c>
      <c r="H31" s="62">
        <f>IFERROR(IF(OR(E31="",E31=0),"",G31/E31),"")</f>
        <v>2.637402919767774</v>
      </c>
    </row>
    <row r="32">
      <c r="A32" s="41" t="n">
        <v>6</v>
      </c>
      <c r="B32" s="70">
        <f>IFERROR(IF(OR(6&gt;B22,F31=""),"",F31),"")</f>
        <v>48469.66171731673</v>
      </c>
      <c r="C32" s="70">
        <f>IFERROR(IF(OR(6&gt;B22,B32=""),"",B32*B21),"")</f>
        <v>2908.179703039004</v>
      </c>
      <c r="D32" s="70">
        <f>IFERROR(IF(OR(6&gt;B22,B32=""),"",IF(6&lt;=B23,0,MIN(B32,B24-C32))),"")</f>
        <v>23528.96199869739</v>
      </c>
      <c r="E32" s="70">
        <f>IFERROR(IF(C32="","",C32+D32),"")</f>
        <v>26437.141701736393</v>
      </c>
      <c r="F32" s="70">
        <f>IFERROR(IF(D32="","",B32-D32),"")</f>
        <v>24940.699718619344</v>
      </c>
      <c r="G32" s="70">
        <f>IFERROR(IF(E32="","",'PyG 3 Años'!$D$40-'PyG 3 Años'!$D$45+'PyG 3 Años'!$D$35+'PyG 3 Años'!$D$36),"")</f>
        <v>69725.39471447395</v>
      </c>
      <c r="H32" s="62">
        <f>IFERROR(IF(OR(E32="",E32=0),"",G32/E32),"")</f>
        <v>2.637402919767774</v>
      </c>
    </row>
    <row r="33">
      <c r="A33" s="41" t="n">
        <v>7</v>
      </c>
      <c r="B33" s="70">
        <f>IFERROR(IF(OR(7&gt;B22,F32=""),"",F32),"")</f>
        <v>24940.699718619344</v>
      </c>
      <c r="C33" s="70">
        <f>IFERROR(IF(OR(7&gt;B22,B33=""),"",B33*B21),"")</f>
        <v>1496.4419831171606</v>
      </c>
      <c r="D33" s="70">
        <f>IFERROR(IF(OR(7&gt;B22,B33=""),"",IF(7&lt;=B23,0,MIN(B33,B24-C33))),"")</f>
        <v>24940.69971861923</v>
      </c>
      <c r="E33" s="70">
        <f>IFERROR(IF(C33="","",C33+D33),"")</f>
        <v>26437.141701736393</v>
      </c>
      <c r="F33" s="70">
        <f>IFERROR(IF(D33="","",B33-D33),"")</f>
        <v>1.127773430198431e-10</v>
      </c>
      <c r="G33" s="70">
        <f>IFERROR(IF(E33="","",'PyG 3 Años'!$D$40-'PyG 3 Años'!$D$45+'PyG 3 Años'!$D$35+'PyG 3 Años'!$D$36),"")</f>
        <v>69725.39471447395</v>
      </c>
      <c r="H33" s="62">
        <f>IFERROR(IF(OR(E33="",E33=0),"",G33/E33),"")</f>
        <v>2.637402919767774</v>
      </c>
    </row>
    <row r="34">
      <c r="A34" s="41" t="n">
        <v>8</v>
      </c>
      <c r="B34" s="70">
        <f>IFERROR(IF(OR(8&gt;B22,F33=""),"",F33),"")</f>
        <v/>
      </c>
      <c r="C34" s="70">
        <f>IFERROR(IF(OR(8&gt;B22,B34=""),"",B34*B21),"")</f>
        <v/>
      </c>
      <c r="D34" s="70">
        <f>IFERROR(IF(OR(8&gt;B22,B34=""),"",IF(8&lt;=B23,0,MIN(B34,B24-C34))),"")</f>
        <v/>
      </c>
      <c r="E34" s="70">
        <f>IFERROR(IF(C34="","",C34+D34),"")</f>
        <v/>
      </c>
      <c r="F34" s="70">
        <f>IFERROR(IF(D34="","",B34-D34),"")</f>
        <v/>
      </c>
      <c r="G34" s="70">
        <f>IFERROR(IF(E34="","",'PyG 3 Años'!$D$40-'PyG 3 Años'!$D$45+'PyG 3 Años'!$D$35+'PyG 3 Años'!$D$36),"")</f>
        <v/>
      </c>
      <c r="H34" s="62">
        <f>IFERROR(IF(OR(E34="",E34=0),"",G34/E34),"")</f>
        <v/>
      </c>
    </row>
    <row r="35">
      <c r="A35" s="41" t="n">
        <v>9</v>
      </c>
      <c r="B35" s="70">
        <f>IFERROR(IF(OR(9&gt;B22,F34=""),"",F34),"")</f>
        <v/>
      </c>
      <c r="C35" s="70">
        <f>IFERROR(IF(OR(9&gt;B22,B35=""),"",B35*B21),"")</f>
        <v/>
      </c>
      <c r="D35" s="70">
        <f>IFERROR(IF(OR(9&gt;B22,B35=""),"",IF(9&lt;=B23,0,MIN(B35,B24-C35))),"")</f>
        <v/>
      </c>
      <c r="E35" s="70">
        <f>IFERROR(IF(C35="","",C35+D35),"")</f>
        <v/>
      </c>
      <c r="F35" s="70">
        <f>IFERROR(IF(D35="","",B35-D35),"")</f>
        <v/>
      </c>
      <c r="G35" s="70">
        <f>IFERROR(IF(E35="","",'PyG 3 Años'!$D$40-'PyG 3 Años'!$D$45+'PyG 3 Años'!$D$35+'PyG 3 Años'!$D$36),"")</f>
        <v/>
      </c>
      <c r="H35" s="62">
        <f>IFERROR(IF(OR(E35="",E35=0),"",G35/E35),"")</f>
        <v/>
      </c>
    </row>
    <row r="36">
      <c r="A36" s="41" t="n">
        <v>10</v>
      </c>
      <c r="B36" s="70">
        <f>IFERROR(IF(OR(10&gt;B22,F35=""),"",F35),"")</f>
        <v/>
      </c>
      <c r="C36" s="70">
        <f>IFERROR(IF(OR(10&gt;B22,B36=""),"",B36*B21),"")</f>
        <v/>
      </c>
      <c r="D36" s="70">
        <f>IFERROR(IF(OR(10&gt;B22,B36=""),"",IF(10&lt;=B23,0,MIN(B36,B24-C36))),"")</f>
        <v/>
      </c>
      <c r="E36" s="70">
        <f>IFERROR(IF(C36="","",C36+D36),"")</f>
        <v/>
      </c>
      <c r="F36" s="70">
        <f>IFERROR(IF(D36="","",B36-D36),"")</f>
        <v/>
      </c>
      <c r="G36" s="70">
        <f>IFERROR(IF(E36="","",'PyG 3 Años'!$D$40-'PyG 3 Años'!$D$45+'PyG 3 Años'!$D$35+'PyG 3 Años'!$D$36),"")</f>
        <v/>
      </c>
      <c r="H36" s="62">
        <f>IFERROR(IF(OR(E36="",E36=0),"",G36/E36),"")</f>
        <v/>
      </c>
    </row>
    <row r="37">
      <c r="A37" s="41" t="n">
        <v>11</v>
      </c>
      <c r="B37" s="70">
        <f>IFERROR(IF(OR(11&gt;B22,F36=""),"",F36),"")</f>
        <v/>
      </c>
      <c r="C37" s="70">
        <f>IFERROR(IF(OR(11&gt;B22,B37=""),"",B37*B21),"")</f>
        <v/>
      </c>
      <c r="D37" s="70">
        <f>IFERROR(IF(OR(11&gt;B22,B37=""),"",IF(11&lt;=B23,0,MIN(B37,B24-C37))),"")</f>
        <v/>
      </c>
      <c r="E37" s="70">
        <f>IFERROR(IF(C37="","",C37+D37),"")</f>
        <v/>
      </c>
      <c r="F37" s="70">
        <f>IFERROR(IF(D37="","",B37-D37),"")</f>
        <v/>
      </c>
      <c r="G37" s="70">
        <f>IFERROR(IF(E37="","",'PyG 3 Años'!$D$40-'PyG 3 Años'!$D$45+'PyG 3 Años'!$D$35+'PyG 3 Años'!$D$36),"")</f>
        <v/>
      </c>
      <c r="H37" s="62">
        <f>IFERROR(IF(OR(E37="",E37=0),"",G37/E37),"")</f>
        <v/>
      </c>
    </row>
    <row r="38">
      <c r="A38" s="41" t="n">
        <v>12</v>
      </c>
      <c r="B38" s="70">
        <f>IFERROR(IF(OR(12&gt;B22,F37=""),"",F37),"")</f>
        <v/>
      </c>
      <c r="C38" s="70">
        <f>IFERROR(IF(OR(12&gt;B22,B38=""),"",B38*B21),"")</f>
        <v/>
      </c>
      <c r="D38" s="70">
        <f>IFERROR(IF(OR(12&gt;B22,B38=""),"",IF(12&lt;=B23,0,MIN(B38,B24-C38))),"")</f>
        <v/>
      </c>
      <c r="E38" s="70">
        <f>IFERROR(IF(C38="","",C38+D38),"")</f>
        <v/>
      </c>
      <c r="F38" s="70">
        <f>IFERROR(IF(D38="","",B38-D38),"")</f>
        <v/>
      </c>
      <c r="G38" s="70">
        <f>IFERROR(IF(E38="","",'PyG 3 Años'!$D$40-'PyG 3 Años'!$D$45+'PyG 3 Años'!$D$35+'PyG 3 Años'!$D$36),"")</f>
        <v/>
      </c>
      <c r="H38" s="62">
        <f>IFERROR(IF(OR(E38="",E38=0),"",G38/E38),"")</f>
        <v/>
      </c>
    </row>
    <row r="39">
      <c r="A39" s="41" t="n">
        <v>13</v>
      </c>
      <c r="B39" s="70">
        <f>IFERROR(IF(OR(13&gt;B22,F38=""),"",F38),"")</f>
        <v/>
      </c>
      <c r="C39" s="70">
        <f>IFERROR(IF(OR(13&gt;B22,B39=""),"",B39*B21),"")</f>
        <v/>
      </c>
      <c r="D39" s="70">
        <f>IFERROR(IF(OR(13&gt;B22,B39=""),"",IF(13&lt;=B23,0,MIN(B39,B24-C39))),"")</f>
        <v/>
      </c>
      <c r="E39" s="70">
        <f>IFERROR(IF(C39="","",C39+D39),"")</f>
        <v/>
      </c>
      <c r="F39" s="70">
        <f>IFERROR(IF(D39="","",B39-D39),"")</f>
        <v/>
      </c>
      <c r="G39" s="70">
        <f>IFERROR(IF(E39="","",'PyG 3 Años'!$D$40-'PyG 3 Años'!$D$45+'PyG 3 Años'!$D$35+'PyG 3 Años'!$D$36),"")</f>
        <v/>
      </c>
      <c r="H39" s="62">
        <f>IFERROR(IF(OR(E39="",E39=0),"",G39/E39),"")</f>
        <v/>
      </c>
    </row>
    <row r="40">
      <c r="A40" s="41" t="n">
        <v>14</v>
      </c>
      <c r="B40" s="70">
        <f>IFERROR(IF(OR(14&gt;B22,F39=""),"",F39),"")</f>
        <v/>
      </c>
      <c r="C40" s="70">
        <f>IFERROR(IF(OR(14&gt;B22,B40=""),"",B40*B21),"")</f>
        <v/>
      </c>
      <c r="D40" s="70">
        <f>IFERROR(IF(OR(14&gt;B22,B40=""),"",IF(14&lt;=B23,0,MIN(B40,B24-C40))),"")</f>
        <v/>
      </c>
      <c r="E40" s="70">
        <f>IFERROR(IF(C40="","",C40+D40),"")</f>
        <v/>
      </c>
      <c r="F40" s="70">
        <f>IFERROR(IF(D40="","",B40-D40),"")</f>
        <v/>
      </c>
      <c r="G40" s="70">
        <f>IFERROR(IF(E40="","",'PyG 3 Años'!$D$40-'PyG 3 Años'!$D$45+'PyG 3 Años'!$D$35+'PyG 3 Años'!$D$36),"")</f>
        <v/>
      </c>
      <c r="H40" s="62">
        <f>IFERROR(IF(OR(E40="",E40=0),"",G40/E40),"")</f>
        <v/>
      </c>
    </row>
    <row r="41">
      <c r="A41" s="41" t="n">
        <v>15</v>
      </c>
      <c r="B41" s="70">
        <f>IFERROR(IF(OR(15&gt;B22,F40=""),"",F40),"")</f>
        <v/>
      </c>
      <c r="C41" s="70">
        <f>IFERROR(IF(OR(15&gt;B22,B41=""),"",B41*B21),"")</f>
        <v/>
      </c>
      <c r="D41" s="70">
        <f>IFERROR(IF(OR(15&gt;B22,B41=""),"",IF(15&lt;=B23,0,MIN(B41,B24-C41))),"")</f>
        <v/>
      </c>
      <c r="E41" s="70">
        <f>IFERROR(IF(C41="","",C41+D41),"")</f>
        <v/>
      </c>
      <c r="F41" s="70">
        <f>IFERROR(IF(D41="","",B41-D41),"")</f>
        <v/>
      </c>
      <c r="G41" s="70">
        <f>IFERROR(IF(E41="","",'PyG 3 Años'!$D$40-'PyG 3 Años'!$D$45+'PyG 3 Años'!$D$35+'PyG 3 Años'!$D$36),"")</f>
        <v/>
      </c>
      <c r="H41" s="62">
        <f>IFERROR(IF(OR(E41="",E41=0),"",G41/E41),"")</f>
        <v/>
      </c>
    </row>
    <row r="42">
      <c r="A42" s="29" t="inlineStr">
        <is>
          <t>Tolerancia de cierre del cuadro (€)</t>
        </is>
      </c>
      <c r="B42" s="73" t="n">
        <v>0.01</v>
      </c>
      <c r="C42" s="29" t="inlineStr">
        <is>
          <t>Margen por redondeo. Por encima, el cuadro no cierra y hay capital sin devolver</t>
        </is>
      </c>
      <c r="D42" s="29" t="n"/>
      <c r="E42" s="29" t="n"/>
      <c r="F42" s="29" t="n"/>
      <c r="G42" s="29" t="n"/>
      <c r="H42" s="29" t="n"/>
    </row>
    <row r="43">
      <c r="A43" s="29" t="inlineStr">
        <is>
          <t>Capital pendiente al vencimiento</t>
        </is>
      </c>
      <c r="B43" s="70">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7800.0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7800.0</v>
      </c>
      <c r="C46" s="29" t="n"/>
      <c r="D46" s="29" t="n"/>
      <c r="E46" s="29" t="n"/>
      <c r="F46" s="29" t="n"/>
      <c r="G46" s="29" t="n"/>
      <c r="H46" s="29" t="n"/>
    </row>
    <row r="47">
      <c r="A47" s="29" t="inlineStr">
        <is>
          <t>Devolución de principal del año 2</t>
        </is>
      </c>
      <c r="B47" s="33">
        <f>IFERROR(IF(B20="","",IF(D28="",0,D28)),"")</f>
        <v>18637.141701736393</v>
      </c>
      <c r="C47" s="29" t="n"/>
      <c r="D47" s="29" t="n"/>
      <c r="E47" s="29" t="n"/>
      <c r="F47" s="29" t="n"/>
      <c r="G47" s="29" t="n"/>
      <c r="H47" s="29" t="n"/>
    </row>
    <row r="48">
      <c r="A48" s="29" t="inlineStr">
        <is>
          <t>Intereses del año 3</t>
        </is>
      </c>
      <c r="B48" s="33">
        <f>IFERROR(IF(B20="","",IF(C29="",0,C29)),"")</f>
        <v>6681.771497895816</v>
      </c>
      <c r="C48" s="29" t="n"/>
      <c r="D48" s="29" t="n"/>
      <c r="E48" s="29" t="n"/>
      <c r="F48" s="29" t="n"/>
      <c r="G48" s="29" t="n"/>
      <c r="H48" s="29" t="n"/>
    </row>
    <row r="49">
      <c r="A49" s="29" t="inlineStr">
        <is>
          <t>Devolución de principal del año 3</t>
        </is>
      </c>
      <c r="B49" s="33">
        <f>IFERROR(IF(B20="","",IF(D29="",0,D29)),"")</f>
        <v>19755.370203840575</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8.15981076923077</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2.737784349631342</v>
      </c>
      <c r="C52" s="29" t="n"/>
      <c r="D52" s="29" t="n"/>
      <c r="E52" s="29" t="n"/>
      <c r="F52" s="29" t="n"/>
      <c r="G52" s="29" t="n"/>
      <c r="H52" s="29" t="n"/>
    </row>
    <row r="53">
      <c r="A53" s="29" t="inlineStr">
        <is>
          <t>DSCR del año 3</t>
        </is>
      </c>
      <c r="B53" s="62">
        <f>IFERROR(('PyG 3 Años'!$D$40-'PyG 3 Años'!$D$45+'PyG 3 Años'!$D$35+B48)/(B48+B49),"")</f>
        <v>2.637402919767774</v>
      </c>
      <c r="C53" s="29" t="n"/>
      <c r="D53" s="29" t="n"/>
      <c r="E53" s="29" t="n"/>
      <c r="F53" s="29" t="n"/>
      <c r="G53" s="29" t="n"/>
      <c r="H53" s="29" t="n"/>
    </row>
    <row r="54">
      <c r="A54" s="26" t="inlineStr">
        <is>
          <t>DSCR mínimo de todo el cuadro</t>
        </is>
      </c>
      <c r="B54" s="55">
        <f>IFERROR(IF(COUNT(H27:H41)=0,"",MIN(H27:H41)),"")</f>
        <v>2.637402919767774</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Hamburguesería Smash · v1.0</dc:title>
  <dc:description xmlns:dc="http://purl.org/dc/elements/1.1/">aichef.pro/plan-negocio-hamburgueseria</dc:description>
  <dc:subject xmlns:dc="http://purl.org/dc/elements/1.1/">Plan financiero — Hamburguesería Smash · v1.0</dc:subject>
  <dcterms:created xmlns:dcterms="http://purl.org/dc/terms/" xmlns:xsi="http://www.w3.org/2001/XMLSchema-instance" xsi:type="dcterms:W3CDTF">2026-03-26T14:15:52Z</dcterms:created>
  <dcterms:modified xmlns:dcterms="http://purl.org/dc/terms/" xmlns:xsi="http://www.w3.org/2001/XMLSchema-instance" xsi:type="dcterms:W3CDTF">2026-10-31T22:00:33Z</dcterms:modified>
  <cp:lastModifiedBy>AI Chef Pro</cp:lastModifiedBy>
  <cp:category>AI Chef Pro · Productos digitales</cp:category>
  <cp:keywords>plan de negocio hamburguesería, cómo montar una hamburguesería, smash burger, AI Chef Pro</cp:keywords>
</cp:coreProperties>
</file>