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ne" sheetId="1" state="visible" r:id="rId1"/>
    <sheet xmlns:r="http://schemas.openxmlformats.org/officeDocument/2006/relationships" name="Patatas" sheetId="2" state="visible" r:id="rId2"/>
    <sheet xmlns:r="http://schemas.openxmlformats.org/officeDocument/2006/relationships" name="Escandallo" sheetId="3" state="visible" r:id="rId3"/>
    <sheet xmlns:r="http://schemas.openxmlformats.org/officeDocument/2006/relationships" name="Instrucciones" sheetId="4" state="visible" r:id="rId4"/>
  </sheets>
  <definedNames/>
  <calcPr calcId="124519" fullCalcOnLoad="1"/>
</workbook>
</file>

<file path=xl/styles.xml><?xml version="1.0" encoding="utf-8"?>
<styleSheet xmlns="http://schemas.openxmlformats.org/spreadsheetml/2006/main">
  <numFmts count="6">
    <numFmt numFmtId="164" formatCode="#,##0.00 €"/>
    <numFmt numFmtId="165" formatCode="0.0%"/>
    <numFmt numFmtId="166" formatCode="#,##0.0"/>
    <numFmt numFmtId="167" formatCode="#,##0.000 €"/>
    <numFmt numFmtId="168" formatCode="#,##0.000"/>
    <numFmt numFmtId="169" formatCode="#,##0.0;-#,##0.0;&quot;-&quot;"/>
  </numFmts>
  <fonts count="6">
    <font>
      <name val="Calibri"/>
      <family val="2"/>
      <color theme="1"/>
      <sz val="11"/>
      <scheme val="minor"/>
    </font>
    <font>
      <name val="Calibri"/>
      <b val="1"/>
      <sz val="14"/>
    </font>
    <font>
      <name val="Calibri"/>
      <sz val="11"/>
    </font>
    <font>
      <name val="Calibri"/>
      <b val="1"/>
      <sz val="11"/>
    </font>
    <font>
      <name val="Calibri"/>
      <i val="1"/>
      <sz val="11"/>
    </font>
    <font>
      <name val="Calibri"/>
      <b val="1"/>
      <sz val="13"/>
    </font>
  </fonts>
  <fills count="4">
    <fill>
      <patternFill/>
    </fill>
    <fill>
      <patternFill patternType="gray125"/>
    </fill>
    <fill>
      <patternFill patternType="solid">
        <fgColor rgb="00F2F2F2"/>
      </patternFill>
    </fill>
    <fill>
      <patternFill patternType="solid">
        <fgColor rgb="00E8F5E9"/>
      </patternFill>
    </fill>
  </fills>
  <borders count="1">
    <border>
      <left/>
      <right/>
      <top/>
      <bottom/>
      <diagonal/>
    </border>
  </borders>
  <cellStyleXfs count="1">
    <xf numFmtId="0" fontId="0" fillId="0" borderId="0"/>
  </cellStyleXfs>
  <cellXfs count="33">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2" borderId="0" applyAlignment="1" pivotButton="0" quotePrefix="0" xfId="0">
      <alignment vertical="top" wrapText="1"/>
    </xf>
    <xf numFmtId="0" fontId="3" fillId="2" borderId="0" applyAlignment="1" pivotButton="0" quotePrefix="0" xfId="0">
      <alignment vertical="top"/>
    </xf>
    <xf numFmtId="0" fontId="3" fillId="3" borderId="0" applyAlignment="1" applyProtection="1" pivotButton="0" quotePrefix="0" xfId="0">
      <alignment vertical="top" wrapText="1"/>
      <protection locked="0" hidden="0"/>
    </xf>
    <xf numFmtId="0" fontId="2" fillId="0" borderId="0" applyAlignment="1" pivotButton="0" quotePrefix="0" xfId="0">
      <alignment vertical="top"/>
    </xf>
    <xf numFmtId="164" fontId="2" fillId="3" borderId="0" applyAlignment="1" applyProtection="1" pivotButton="0" quotePrefix="0" xfId="0">
      <alignment vertical="top"/>
      <protection locked="0" hidden="0"/>
    </xf>
    <xf numFmtId="165" fontId="2" fillId="3" borderId="0" applyAlignment="1" applyProtection="1" pivotButton="0" quotePrefix="0" xfId="0">
      <alignment vertical="top"/>
      <protection locked="0" hidden="0"/>
    </xf>
    <xf numFmtId="166" fontId="2" fillId="3" borderId="0" applyAlignment="1" applyProtection="1" pivotButton="0" quotePrefix="0" xfId="0">
      <alignment vertical="top"/>
      <protection locked="0" hidden="0"/>
    </xf>
    <xf numFmtId="4" fontId="2" fillId="3" borderId="0" applyAlignment="1" applyProtection="1" pivotButton="0" quotePrefix="0" xfId="0">
      <alignment vertical="top"/>
      <protection locked="0" hidden="0"/>
    </xf>
    <xf numFmtId="3" fontId="2" fillId="3" borderId="0" applyAlignment="1" applyProtection="1" pivotButton="0" quotePrefix="0" xfId="0">
      <alignment vertical="top"/>
      <protection locked="0" hidden="0"/>
    </xf>
    <xf numFmtId="0" fontId="2" fillId="3" borderId="0" applyAlignment="1" applyProtection="1" pivotButton="0" quotePrefix="0" xfId="0">
      <alignment vertical="top" wrapText="1"/>
      <protection locked="0" hidden="0"/>
    </xf>
    <xf numFmtId="0" fontId="0" fillId="0" borderId="0" applyProtection="1" pivotButton="0" quotePrefix="0" xfId="0">
      <protection locked="0" hidden="0"/>
    </xf>
    <xf numFmtId="3" fontId="2" fillId="2" borderId="0" applyAlignment="1" pivotButton="0" quotePrefix="0" xfId="0">
      <alignment vertical="top"/>
    </xf>
    <xf numFmtId="0" fontId="3" fillId="0" borderId="0" applyAlignment="1" pivotButton="0" quotePrefix="0" xfId="0">
      <alignment vertical="top"/>
    </xf>
    <xf numFmtId="164" fontId="3" fillId="0" borderId="0" applyAlignment="1" pivotButton="0" quotePrefix="0" xfId="0">
      <alignment vertical="top"/>
    </xf>
    <xf numFmtId="167" fontId="2" fillId="0" borderId="0" applyAlignment="1" pivotButton="0" quotePrefix="0" xfId="0">
      <alignment vertical="top"/>
    </xf>
    <xf numFmtId="0" fontId="3" fillId="0" borderId="0" applyAlignment="1" pivotButton="0" quotePrefix="0" xfId="0">
      <alignment vertical="top" wrapText="1"/>
    </xf>
    <xf numFmtId="166" fontId="3" fillId="0" borderId="0" applyAlignment="1" pivotButton="0" quotePrefix="0" xfId="0">
      <alignment vertical="top"/>
    </xf>
    <xf numFmtId="166" fontId="2" fillId="0" borderId="0" applyAlignment="1" pivotButton="0" quotePrefix="0" xfId="0">
      <alignment vertical="top"/>
    </xf>
    <xf numFmtId="3" fontId="2" fillId="0" borderId="0" applyAlignment="1" pivotButton="0" quotePrefix="0" xfId="0">
      <alignment vertical="top"/>
    </xf>
    <xf numFmtId="164" fontId="2" fillId="0" borderId="0" applyAlignment="1" pivotButton="0" quotePrefix="0" xfId="0">
      <alignment vertical="top"/>
    </xf>
    <xf numFmtId="167" fontId="3" fillId="0" borderId="0" applyAlignment="1" pivotButton="0" quotePrefix="0" xfId="0">
      <alignment vertical="top"/>
    </xf>
    <xf numFmtId="168" fontId="2" fillId="0" borderId="0" applyAlignment="1" pivotButton="0" quotePrefix="0" xfId="0">
      <alignment vertical="top"/>
    </xf>
    <xf numFmtId="3" fontId="3" fillId="0" borderId="0" applyAlignment="1" pivotButton="0" quotePrefix="0" xfId="0">
      <alignment vertical="top"/>
    </xf>
    <xf numFmtId="1" fontId="2" fillId="3" borderId="0" applyAlignment="1" applyProtection="1" pivotButton="0" quotePrefix="0" xfId="0">
      <alignment vertical="top"/>
      <protection locked="0" hidden="0"/>
    </xf>
    <xf numFmtId="0" fontId="3" fillId="3" borderId="0" applyAlignment="1" applyProtection="1" pivotButton="0" quotePrefix="0" xfId="0">
      <alignment vertical="top"/>
      <protection locked="0" hidden="0"/>
    </xf>
    <xf numFmtId="169" fontId="2" fillId="3" borderId="0" applyAlignment="1" applyProtection="1" pivotButton="0" quotePrefix="0" xfId="0">
      <alignment vertical="top"/>
      <protection locked="0" hidden="0"/>
    </xf>
    <xf numFmtId="164" fontId="3" fillId="3" borderId="0" applyAlignment="1" applyProtection="1" pivotButton="0" quotePrefix="0" xfId="0">
      <alignment vertical="top"/>
      <protection locked="0" hidden="0"/>
    </xf>
    <xf numFmtId="165" fontId="3" fillId="0" borderId="0" applyAlignment="1" pivotButton="0" quotePrefix="0" xfId="0">
      <alignment vertical="top"/>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dxfs count="3">
    <dxf>
      <fill>
        <patternFill patternType="solid">
          <fgColor rgb="00C6E0B4"/>
          <bgColor rgb="00C6E0B4"/>
        </patternFill>
      </fill>
    </dxf>
    <dxf>
      <fill>
        <patternFill patternType="solid">
          <fgColor rgb="00F8CBAD"/>
          <bgColor rgb="00F8CBAD"/>
        </patternFill>
      </fill>
    </dxf>
    <dxf>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3"/>
  <sheetViews>
    <sheetView showGridLines="0" workbookViewId="0">
      <selection activeCell="A1" sqref="A1"/>
    </sheetView>
  </sheetViews>
  <sheetFormatPr baseColWidth="8" defaultRowHeight="15"/>
  <cols>
    <col width="62" customWidth="1" min="1" max="1"/>
    <col width="19" customWidth="1" min="2" max="2"/>
    <col width="19" customWidth="1" min="3" max="3"/>
    <col width="19" customWidth="1" min="4" max="4"/>
    <col width="19" customWidth="1" min="5" max="5"/>
    <col width="72" customWidth="1" min="6" max="6"/>
  </cols>
  <sheetData>
    <row r="1">
      <c r="A1" s="1" t="inlineStr">
        <is>
          <t>CALCULADORA DE LA CARNE — COSTE POR KILO ÚTIL, POR BOLA, BOLAS POR KILO Y KILOS AL DÍA</t>
        </is>
      </c>
    </row>
    <row r="2" ht="32" customHeight="1">
      <c r="A2" s="2" t="inlineStr">
        <is>
          <t>Escribe solo en las celdas VERDES: todo lo demás se calcula. Importes sin IVA. Todos los valores por defecto son una estimación del kit, editable: cámbialos por los de tu proveedor y, sobre todo, por lo que midas en tus propias bolas.</t>
        </is>
      </c>
    </row>
    <row r="3" ht="64" customHeight="1">
      <c r="A3" s="3" t="inlineStr">
        <is>
          <t>AVISO FIJO. Carne picada (RD 1021/2022, arts. 4.1, 7.2 y 7.3): comprada picada o picada en el local, se conserva a 2 °C o menos; la bola salada antes de la plancha es un preparado de carne, a 4 °C o menos; la picada en el local es del día y nunca de un día para otro. Nada de carne madurada más de 15 días (Inf26008). Los minutos de limpiar y picar (6) y la merma de cocción no tienen fuente: mídelos.</t>
        </is>
      </c>
    </row>
    <row r="5" ht="62" customHeight="1">
      <c r="A5" s="4" t="inlineStr">
        <is>
          <t>A. TRES CARNES Y UNA LIBRE</t>
        </is>
      </c>
      <c r="B5" s="5" t="inlineStr">
        <is>
          <t>Blend comprado ya picado</t>
        </is>
      </c>
      <c r="C5" s="5" t="inlineStr">
        <is>
          <t>Pieza para picar en el local (aguja o falda)</t>
        </is>
      </c>
      <c r="D5" s="5" t="inlineStr">
        <is>
          <t>Bolas compradas porcionadas</t>
        </is>
      </c>
      <c r="E5" s="5" t="inlineStr">
        <is>
          <t>Otra carne (escribe la tuya)</t>
        </is>
      </c>
      <c r="F5" s="4" t="inlineStr">
        <is>
          <t>Notas</t>
        </is>
      </c>
    </row>
    <row r="6" ht="90" customHeight="1">
      <c r="A6" s="6" t="inlineStr">
        <is>
          <t>Precio de compra (€/kg, sin IVA)</t>
        </is>
      </c>
      <c r="B6" s="7" t="n">
        <v>8.9</v>
      </c>
      <c r="C6" s="7" t="n">
        <v>7.5</v>
      </c>
      <c r="D6" s="7" t="n">
        <v>10.4</v>
      </c>
      <c r="E6" s="7" t="n">
        <v>9.5</v>
      </c>
      <c r="F6" s="2" t="inlineStr">
        <is>
          <t>Carne picada de vacuno: la «burger meat» minorista sale a 8,03 €/kg en oferta y el precio profesional no está publicado. El kit pone 8,90 €/kg el blend de aguja, falda y pecho con un 20 % de grasa, 7,50 €/kg la pieza para picar (sin fuente: mídelo) y 10,40 €/kg las bolas porcionadas (sin fuente: pídelo a tu proveedor). Escribe el precio por kilo también de las bolas. Estimación del kit, editable.</t>
        </is>
      </c>
    </row>
    <row r="7" ht="45" customHeight="1">
      <c r="A7" s="6" t="inlineStr">
        <is>
          <t>Parte útil tras limpiar y picar (% del peso comprado)</t>
        </is>
      </c>
      <c r="B7" s="8" t="n">
        <v>1</v>
      </c>
      <c r="C7" s="8" t="n">
        <v>0.9</v>
      </c>
      <c r="D7" s="8" t="n">
        <v>1</v>
      </c>
      <c r="E7" s="8" t="n">
        <v>1</v>
      </c>
      <c r="F7" s="2" t="inlineStr">
        <is>
          <t>Parte de la carne comprada que queda tras limpiar y picar. 100 % si la compras ya picada; 90 % en la pieza (sin fuente: mídelo): pesa la pieza antes y la carne limpia después. Estimación del kit, editable.</t>
        </is>
      </c>
    </row>
    <row r="8" ht="45" customHeight="1">
      <c r="A8" s="6" t="inlineStr">
        <is>
          <t>Minutos de limpiar y picar un kilo comprado (min)</t>
        </is>
      </c>
      <c r="B8" s="9" t="n">
        <v>0</v>
      </c>
      <c r="C8" s="9" t="n">
        <v>6</v>
      </c>
      <c r="D8" s="9" t="n">
        <v>0</v>
      </c>
      <c r="E8" s="9" t="n">
        <v>0</v>
      </c>
      <c r="F8" s="2" t="inlineStr">
        <is>
          <t>Minutos de limpiar y picar un kilo comprado. Sin fuente: mídelo. Cronometra 3 kilos y usa la media. Solo la pieza para picar lleva mano de obra. Estimación del kit, editable.</t>
        </is>
      </c>
    </row>
    <row r="9" ht="30" customHeight="1">
      <c r="A9" s="6" t="inlineStr">
        <is>
          <t>Grasa de la carne (%, informativo)</t>
        </is>
      </c>
      <c r="B9" s="8" t="n">
        <v>0.2</v>
      </c>
      <c r="C9" s="8" t="n">
        <v>0.2</v>
      </c>
      <c r="D9" s="8" t="n">
        <v>0.2</v>
      </c>
      <c r="E9" s="8" t="n">
        <v>0.2</v>
      </c>
      <c r="F9" s="2" t="inlineStr">
        <is>
          <t>Informativo: no cambia ningún cálculo. El blend del plan lleva alrededor de un 20 % de grasa. Estimación del kit, editable.</t>
        </is>
      </c>
    </row>
    <row r="11">
      <c r="A11" s="4" t="inlineStr">
        <is>
          <t>B. DATOS COMUNES</t>
        </is>
      </c>
      <c r="B11" s="4" t="inlineStr">
        <is>
          <t>Valor</t>
        </is>
      </c>
      <c r="C11" s="4" t="inlineStr">
        <is>
          <t>Notas</t>
        </is>
      </c>
    </row>
    <row r="12" ht="16" customHeight="1">
      <c r="A12" s="6" t="inlineStr">
        <is>
          <t>Merma de cierre (% de las bolas, el pan y las salsas que se tiran)</t>
        </is>
      </c>
      <c r="B12" s="8" t="n">
        <v>0.03</v>
      </c>
      <c r="C12" s="2" t="inlineStr">
        <is>
          <t>Las bolas que sobran al cierre y no se pueden guardar. Estimación del kit, editable.</t>
        </is>
      </c>
    </row>
    <row r="13" ht="16" customHeight="1">
      <c r="A13" s="6" t="inlineStr">
        <is>
          <t>Gramos por bola (g)</t>
        </is>
      </c>
      <c r="B13" s="9" t="n">
        <v>100</v>
      </c>
      <c r="C13" s="2" t="inlineStr">
        <is>
          <t>Bola de 80-100 g; 100 g es la de Smash Hiro. Pesa 10 bolas y usa la media. Estimación del kit, editable.</t>
        </is>
      </c>
    </row>
    <row r="14" ht="30" customHeight="1">
      <c r="A14" s="6" t="inlineStr">
        <is>
          <t>Merma de cocción en plancha (% del peso de la bola)</t>
        </is>
      </c>
      <c r="B14" s="8" t="n">
        <v>0.25</v>
      </c>
      <c r="C14" s="2" t="inlineStr">
        <is>
          <t>Sin fuente: mídelo. Pesa 10 bolas antes de la plancha y después, y usa la media. Solo cambia los gramos servidos. Estimación del kit, editable.</t>
        </is>
      </c>
    </row>
    <row r="15" ht="30" customHeight="1">
      <c r="A15" s="6" t="inlineStr">
        <is>
          <t>Coste por hora del cocinero (€/h)</t>
        </is>
      </c>
      <c r="B15" s="7" t="n">
        <v>16</v>
      </c>
      <c r="C15" s="2" t="inlineStr">
        <is>
          <t>22.000 € brutos al año (lo más bajo de un cocinero de cadena, que gana de 22.000 a 25.000 €) + 33 % de cargas ÷ 1.840 h ≈ 16 €/h. Estimación del kit, editable.</t>
        </is>
      </c>
    </row>
    <row r="16" ht="30" customHeight="1">
      <c r="A16" s="6" t="inlineStr">
        <is>
          <t>Bolas por comensal</t>
        </is>
      </c>
      <c r="B16" s="10" t="n">
        <v>1.6</v>
      </c>
      <c r="C16" s="2" t="inlineStr">
        <is>
          <t>Criterio del plan, mídelo: con el 90 % de tus comensales en sencilla o doble y los menús, salen unas 1,6 bolas por comensal. Estimación del kit, editable.</t>
        </is>
      </c>
    </row>
    <row r="17" ht="16" customHeight="1">
      <c r="A17" s="6" t="inlineStr">
        <is>
          <t>Comensales equivalentes al día</t>
        </is>
      </c>
      <c r="B17" s="11" t="n">
        <v>95</v>
      </c>
      <c r="C17" s="2" t="inlineStr">
        <is>
          <t>El del caso del plan de negocio: 95 comensales equivalentes. Cámbialo por el tuyo. Estimación del kit, editable.</t>
        </is>
      </c>
    </row>
    <row r="18" ht="32" customHeight="1">
      <c r="A18" s="6" t="inlineStr">
        <is>
          <t>¿Compras la carne picada o la picas en el local? (desplegable)</t>
        </is>
      </c>
      <c r="B18" s="12" t="inlineStr">
        <is>
          <t>Compro la carne ya picada</t>
        </is>
      </c>
      <c r="C18" s="13" t="n"/>
      <c r="D18" s="13" t="n"/>
      <c r="E18" s="13" t="n"/>
    </row>
    <row r="19" ht="16" customHeight="1">
      <c r="A19" s="6" t="inlineStr">
        <is>
          <t>Gramos por kilo (constante)</t>
        </is>
      </c>
      <c r="B19" s="14" t="n">
        <v>1000</v>
      </c>
      <c r="C19" s="2" t="inlineStr">
        <is>
          <t>Constante: un kilo son 1.000 gramos. No se edita.</t>
        </is>
      </c>
    </row>
    <row r="20" ht="16" customHeight="1">
      <c r="A20" s="6" t="inlineStr">
        <is>
          <t>Minutos por hora (constante)</t>
        </is>
      </c>
      <c r="B20" s="14" t="n">
        <v>60</v>
      </c>
      <c r="C20" s="2" t="inlineStr">
        <is>
          <t>Constante: una hora son 60 minutos. No se edita.</t>
        </is>
      </c>
    </row>
    <row r="22" ht="62" customHeight="1">
      <c r="A22" s="4" t="inlineStr">
        <is>
          <t>C. COSTE POR KG ÚTIL Y POR BOLA</t>
        </is>
      </c>
      <c r="B22" s="3" t="str">
        <f>B5</f>
        <v>Blend comprado ya picado</v>
      </c>
      <c r="C22" s="3" t="str">
        <f>C5</f>
        <v>Pieza para picar en el local (aguja o falda)</v>
      </c>
      <c r="D22" s="3" t="str">
        <f>D5</f>
        <v>Bolas compradas porcionadas</v>
      </c>
      <c r="E22" s="3" t="str">
        <f>E5</f>
        <v>Otra carne (escribe la tuya)</v>
      </c>
      <c r="F22" s="4" t="inlineStr">
        <is>
          <t>Notas</t>
        </is>
      </c>
    </row>
    <row r="23" ht="16" customHeight="1">
      <c r="A23" s="15" t="inlineStr">
        <is>
          <t>COSTE POR KG ÚTIL (€)</t>
        </is>
      </c>
      <c r="B23" s="16">
        <f>B$6/B$7/(1-$B$12)</f>
        <v>9.175257731958764</v>
      </c>
      <c r="C23" s="16">
        <f>C$6/C$7/(1-$B$12)</f>
        <v>8.591065292096221</v>
      </c>
      <c r="D23" s="16">
        <f>D$6/D$7/(1-$B$12)</f>
        <v>10.721649484536083</v>
      </c>
      <c r="E23" s="16">
        <f>E$6/E$7/(1-$B$12)</f>
        <v>9.793814432989691</v>
      </c>
      <c r="F23" s="2" t="inlineStr">
        <is>
          <t>Precio ÷ útil ÷ (1 − merma de cierre).</t>
        </is>
      </c>
    </row>
    <row r="24" ht="30" customHeight="1">
      <c r="A24" s="15" t="inlineStr">
        <is>
          <t>Coste por kg útil con la mano de obra de limpiar y picar (€)</t>
        </is>
      </c>
      <c r="B24" s="16">
        <f>(B$6+B$8/$B$20*$B$15)/B$7/(1-$B$12)</f>
        <v>9.175257731958764</v>
      </c>
      <c r="C24" s="16">
        <f>(C$6+C$8/$B$20*$B$15)/C$7/(1-$B$12)</f>
        <v>10.423825887743414</v>
      </c>
      <c r="D24" s="16">
        <f>(D$6+D$8/$B$20*$B$15)/D$7/(1-$B$12)</f>
        <v>10.721649484536083</v>
      </c>
      <c r="E24" s="16">
        <f>(E$6+E$8/$B$20*$B$15)/E$7/(1-$B$12)</f>
        <v>9.793814432989691</v>
      </c>
      <c r="F24" s="2" t="inlineStr">
        <is>
          <t>(Precio + minutos ÷ 60 × coste por hora) ÷ útil ÷ (1 − merma de cierre). Alimenta el escandallo.</t>
        </is>
      </c>
    </row>
    <row r="25" ht="16" customHeight="1">
      <c r="A25" s="6" t="inlineStr">
        <is>
          <t>Coste de la carne de una bola (€)</t>
        </is>
      </c>
      <c r="B25" s="17">
        <f>B$24*$B$13/$B$19</f>
        <v>0.9175257731958764</v>
      </c>
      <c r="C25" s="17">
        <f>C$24*$B$13/$B$19</f>
        <v>1.0423825887743414</v>
      </c>
      <c r="D25" s="17">
        <f>D$24*$B$13/$B$19</f>
        <v>1.0721649484536082</v>
      </c>
      <c r="E25" s="17">
        <f>E$24*$B$13/$B$19</f>
        <v>0.979381443298969</v>
      </c>
      <c r="F25" s="2" t="inlineStr">
        <is>
          <t>Coste por kg útil con mano de obra × gramos ÷ 1.000.</t>
        </is>
      </c>
    </row>
    <row r="26" ht="16" customHeight="1">
      <c r="A26" s="6" t="inlineStr">
        <is>
          <t>Coste de la carne de una hamburguesa doble (2 bolas, €)</t>
        </is>
      </c>
      <c r="B26" s="17">
        <f>B$25+B$25</f>
        <v>1.8350515463917527</v>
      </c>
      <c r="C26" s="17">
        <f>C$25+C$25</f>
        <v>2.084765177548683</v>
      </c>
      <c r="D26" s="17">
        <f>D$25+D$25</f>
        <v>2.1443298969072164</v>
      </c>
      <c r="E26" s="17">
        <f>E$25+E$25</f>
        <v>1.958762886597938</v>
      </c>
      <c r="F26" s="2" t="inlineStr">
        <is>
          <t>Dos bolas.</t>
        </is>
      </c>
    </row>
    <row r="27" ht="16" customHeight="1">
      <c r="A27" s="6" t="inlineStr">
        <is>
          <t>Coste de la carne de una hamburguesa triple (3 bolas, €)</t>
        </is>
      </c>
      <c r="B27" s="17">
        <f>B$25+B$25+B$25</f>
        <v>2.752577319587629</v>
      </c>
      <c r="C27" s="17">
        <f>C$25+C$25+C$25</f>
        <v>3.1271477663230245</v>
      </c>
      <c r="D27" s="17">
        <f>D$25+D$25+D$25</f>
        <v>3.216494845360825</v>
      </c>
      <c r="E27" s="17">
        <f>E$25+E$25+E$25</f>
        <v>2.938144329896907</v>
      </c>
      <c r="F27" s="2" t="inlineStr">
        <is>
          <t>Tres bolas.</t>
        </is>
      </c>
    </row>
    <row r="29">
      <c r="A29" s="4" t="inlineStr">
        <is>
          <t>D. BOLAS POR KILO, KILOS AL DÍA Y ¿PICAR EN EL LOCAL?</t>
        </is>
      </c>
      <c r="B29" s="4" t="inlineStr">
        <is>
          <t>Valor</t>
        </is>
      </c>
      <c r="C29" s="4" t="inlineStr">
        <is>
          <t>Notas</t>
        </is>
      </c>
    </row>
    <row r="30" ht="16" customHeight="1">
      <c r="A30" s="18" t="inlineStr">
        <is>
          <t>BOLAS POR KILO EN CRUDO (bolas)</t>
        </is>
      </c>
      <c r="B30" s="19">
        <f>$B$19/$B$13</f>
        <v>10.0</v>
      </c>
      <c r="C30" s="2" t="inlineStr">
        <is>
          <t>1.000 ÷ gramos por bola. Es la cifra de la ficha técnica del proveedor.</t>
        </is>
      </c>
    </row>
    <row r="31" ht="16" customHeight="1">
      <c r="A31" s="2" t="inlineStr">
        <is>
          <t>Bolas por kilo contando la merma de cierre (bolas)</t>
        </is>
      </c>
      <c r="B31" s="20">
        <f>$B$19*(1-$B$12)/$B$13</f>
        <v>9.7</v>
      </c>
      <c r="C31" s="2" t="inlineStr">
        <is>
          <t>1.000 × (1 − merma de cierre) ÷ gramos por bola.</t>
        </is>
      </c>
    </row>
    <row r="32" ht="16" customHeight="1">
      <c r="A32" s="2" t="inlineStr">
        <is>
          <t>Gramos de carne que sirves tras la plancha (g)</t>
        </is>
      </c>
      <c r="B32" s="20">
        <f>$B$13*(1-$B$14)</f>
        <v>75.0</v>
      </c>
      <c r="C32" s="2" t="inlineStr">
        <is>
          <t>Gramos por bola × (1 − merma de cocción).</t>
        </is>
      </c>
    </row>
    <row r="33" ht="16" customHeight="1">
      <c r="A33" s="2" t="inlineStr">
        <is>
          <t>Bolas que vendes al día (bolas)</t>
        </is>
      </c>
      <c r="B33" s="21">
        <f>$B$17*$B$16</f>
        <v>152.0</v>
      </c>
      <c r="C33" s="2" t="inlineStr">
        <is>
          <t>Comensales equivalentes al día × bolas por comensal.</t>
        </is>
      </c>
    </row>
    <row r="34" ht="16" customHeight="1">
      <c r="A34" s="18" t="inlineStr">
        <is>
          <t>KG DE CARNE AL DÍA</t>
        </is>
      </c>
      <c r="B34" s="19">
        <f>$B$33*$B$13/$B$19</f>
        <v>15.2</v>
      </c>
      <c r="C34" s="2" t="inlineStr">
        <is>
          <t>Bolas al día × gramos por bola ÷ 1.000. Dimensiona el pedido diario y el picado del día si picas en el local.</t>
        </is>
      </c>
    </row>
    <row r="35" ht="16" customHeight="1">
      <c r="A35" s="2" t="inlineStr">
        <is>
          <t>Mano de obra de picar por kg útil de la pieza (€)</t>
        </is>
      </c>
      <c r="B35" s="22">
        <f>$C$24-$C$23</f>
        <v>1.8327605956471924</v>
      </c>
      <c r="C35" s="2" t="inlineStr">
        <is>
          <t>Coste por kg útil de la pieza con mano de obra − sin ella.</t>
        </is>
      </c>
    </row>
    <row r="36" ht="32" customHeight="1">
      <c r="A36" s="18" t="inlineStr">
        <is>
          <t>PICAR EN EL LOCAL TE COMPENSA MIENTRAS LIMPIARLO CUESTE MENOS DE (€ por kg útil)</t>
        </is>
      </c>
      <c r="B36" s="16">
        <f>$B$24-$C$23</f>
        <v>0.5841924398625427</v>
      </c>
      <c r="C36" s="2" t="inlineStr">
        <is>
          <t>Coste por kg útil del blend comprado − coste por kg útil de la pieza (sin mano de obra).</t>
        </is>
      </c>
    </row>
    <row r="37" ht="32" customHeight="1">
      <c r="A37" s="18" t="inlineStr">
        <is>
          <t>Veredicto con tu mano de obra</t>
        </is>
      </c>
      <c r="B37" s="18" t="str">
        <f>IF($B$35&lt;$B$36,"Picar en el local compensa","Compra el blend ya picado")</f>
        <v>Compra el blend ya picado</v>
      </c>
      <c r="C37" s="2" t="inlineStr">
        <is>
          <t>Picar compensa si limpiarlo y picarlo cuesta menos que esa diferencia.</t>
        </is>
      </c>
    </row>
    <row r="38" ht="48" customHeight="1">
      <c r="A38" s="2" t="inlineStr">
        <is>
          <t>Recordatorio de tu caso</t>
        </is>
      </c>
      <c r="B38" s="2" t="str">
        <f>INDEX($B$41:$B$43,MATCH($B$18,$A$41:$A$43,0))</f>
        <v>RD 1021/2022, art. 4.1: la carne picada se conserva a 2 °C o menos y la bola salada antes de la plancha es un preparado de carne: 4 °C o menos. Pide al proveedor la ficha técnica con el blend, el % de grasa y la fecha de sacrificio o de envasado.</v>
      </c>
    </row>
    <row r="40">
      <c r="A40" s="4" t="inlineStr">
        <is>
          <t>LISTA DEL DESPLEGABLE DE CARNE PICADA</t>
        </is>
      </c>
      <c r="B40" s="4" t="inlineStr">
        <is>
          <t>Recordatorio</t>
        </is>
      </c>
    </row>
    <row r="41" ht="32" customHeight="1">
      <c r="A41" s="2" t="inlineStr">
        <is>
          <t>Compro la carne ya picada</t>
        </is>
      </c>
      <c r="B41" s="2" t="inlineStr">
        <is>
          <t>RD 1021/2022, art. 4.1: la carne picada se conserva a 2 °C o menos y la bola salada antes de la plancha es un preparado de carne: 4 °C o menos. Pide al proveedor la ficha técnica con el blend, el % de grasa y la fecha de sacrificio o de envasado.</t>
        </is>
      </c>
    </row>
    <row r="42" ht="32" customHeight="1">
      <c r="A42" s="2" t="inlineStr">
        <is>
          <t>Pico la carne en el local</t>
        </is>
      </c>
      <c r="B42" s="2" t="inlineStr">
        <is>
          <t>RD 1021/2022, arts. 7.2 y 7.3: la carne que picas en el local es del día y nunca de un día para otro; músculo sin recortes, con como máximo 6 días desde el sacrificio o 15 si va envasada al vacío. Nada de carne madurada más de 15 días (Inf26008).</t>
        </is>
      </c>
    </row>
    <row r="43" ht="32" customHeight="1">
      <c r="A43" s="2" t="inlineStr">
        <is>
          <t>Compro bolas porcionadas</t>
        </is>
      </c>
      <c r="B43" s="2" t="inlineStr">
        <is>
          <t>La bola salada antes de la plancha es un preparado de carne: 4 °C o menos (RD 1021/2022). Guarda la ficha técnica y la etiqueta con la fecha de cada lote.</t>
        </is>
      </c>
    </row>
  </sheetData>
  <sheetProtection selectLockedCells="0" selectUnlockedCells="0" sheet="1" objects="0" insertRows="1" insertHyperlinks="1" autoFilter="1" scenarios="0" formatColumns="1" deleteColumns="1" insertColumns="1" pivotTables="1" deleteRows="1" formatCells="1" formatRows="1" sort="1"/>
  <mergeCells count="25">
    <mergeCell ref="C17:F17"/>
    <mergeCell ref="C38:F38"/>
    <mergeCell ref="C32:F32"/>
    <mergeCell ref="A3:F3"/>
    <mergeCell ref="C19:F19"/>
    <mergeCell ref="C37:F37"/>
    <mergeCell ref="C13:F13"/>
    <mergeCell ref="A2:F2"/>
    <mergeCell ref="C18:F18"/>
    <mergeCell ref="B43:F43"/>
    <mergeCell ref="C34:F34"/>
    <mergeCell ref="B42:F42"/>
    <mergeCell ref="C30:F30"/>
    <mergeCell ref="C15:F15"/>
    <mergeCell ref="C33:F33"/>
    <mergeCell ref="B41:F41"/>
    <mergeCell ref="C14:F14"/>
    <mergeCell ref="B18:E18"/>
    <mergeCell ref="C35:F35"/>
    <mergeCell ref="C20:F20"/>
    <mergeCell ref="C16:F16"/>
    <mergeCell ref="C31:F31"/>
    <mergeCell ref="C12:F12"/>
    <mergeCell ref="B38:E38"/>
    <mergeCell ref="C36:F36"/>
  </mergeCells>
  <conditionalFormatting sqref="B37">
    <cfRule type="expression" priority="1" dxfId="0">
      <formula>$B$37="Picar en el local compensa"</formula>
    </cfRule>
    <cfRule type="expression" priority="2" dxfId="1">
      <formula>$B$37="Compra el blend ya picado"</formula>
    </cfRule>
  </conditionalFormatting>
  <dataValidations count="8">
    <dataValidation sqref="B6 C6 D6 E6" showDropDown="0" showInputMessage="0" showErrorMessage="1" allowBlank="0" errorTitle="Valor no válido" error="Escribe un número mayor que 0." type="decimal" operator="greaterThan">
      <formula1>0</formula1>
    </dataValidation>
    <dataValidation sqref="B7 C7 D7 E7" showDropDown="0" showInputMessage="0" showErrorMessage="1" allowBlank="0" errorTitle="Porcentaje no válido" error="Escribe entre 0,3 y 1 (0,9 = 90 %)." type="decimal" operator="between">
      <formula1>0.3</formula1>
      <formula2>1</formula2>
    </dataValidation>
    <dataValidation sqref="B8 C8 D8 E8" showDropDown="0" showInputMessage="0" showErrorMessage="1" allowBlank="0" errorTitle="Valor no válido" error="Escribe un número mayor o igual que 0." type="decimal" operator="greaterThanOrEqual">
      <formula1>0</formula1>
    </dataValidation>
    <dataValidation sqref="B9 B12 B14 C9 D9 E9" showDropDown="0" showInputMessage="0" showErrorMessage="1" allowBlank="0" errorTitle="Porcentaje no válido" error="Escribe un porcentaje entre 0 y 0,5 (0,05 = 5 %)." type="decimal" operator="between">
      <formula1>0</formula1>
      <formula2>0.5</formula2>
    </dataValidation>
    <dataValidation sqref="B13 B16" showDropDown="0" showInputMessage="0" showErrorMessage="1" allowBlank="0" errorTitle="Valor no válido" error="Escribe un número mayor que 0." type="decimal" operator="greaterThan">
      <formula1>0</formula1>
    </dataValidation>
    <dataValidation sqref="B15" showDropDown="0" showInputMessage="0" showErrorMessage="1" allowBlank="0" errorTitle="Valor no válido" error="Escribe un número mayor o igual que 0." type="decimal" operator="greaterThanOrEqual">
      <formula1>0</formula1>
    </dataValidation>
    <dataValidation sqref="B17" showDropDown="0" showInputMessage="0" showErrorMessage="1" allowBlank="0" errorTitle="Número no válido" error="Escribe un número entero de 1 o más." type="whole" operator="between">
      <formula1>1</formula1>
      <formula2>1000000</formula2>
    </dataValidation>
    <dataValidation sqref="B18" showDropDown="0" showInputMessage="0" showErrorMessage="1" allowBlank="0" errorTitle="Opción no válida" error="Elige una opción de la lista." type="list">
      <formula1>$A$41:$A$43</formula1>
    </dataValidation>
  </dataValidations>
  <printOptions horizontalCentered="1"/>
  <pageMargins left="0.75" right="0.75" top="1" bottom="1" header="0.5" footer="0.5"/>
  <pageSetup orientation="landscape" paperSize="9" fitToHeight="0" fitToWidth="1"/>
  <headerFooter>
    <oddHeader/>
    <oddFooter>&amp;Caichef.pro/plan-negocio-hamburgueseria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43"/>
  <sheetViews>
    <sheetView showGridLines="0" workbookViewId="0">
      <selection activeCell="A1" sqref="A1"/>
    </sheetView>
  </sheetViews>
  <sheetFormatPr baseColWidth="8" defaultRowHeight="15"/>
  <cols>
    <col width="66" customWidth="1" min="1" max="1"/>
    <col width="15" customWidth="1" min="2" max="2"/>
    <col width="15" customWidth="1" min="3" max="3"/>
    <col width="16" customWidth="1" min="4" max="4"/>
    <col width="14" customWidth="1" min="5" max="5"/>
    <col width="14" customWidth="1" min="6" max="6"/>
    <col width="14" customWidth="1" min="7" max="7"/>
    <col width="12" customWidth="1" min="8" max="8"/>
    <col width="15" customWidth="1" min="9" max="9"/>
  </cols>
  <sheetData>
    <row r="1">
      <c r="A1" s="1" t="inlineStr">
        <is>
          <t>CALCULADORA DE LAS PATATAS Y EL ACEITE — COSTE POR RACIÓN, KILOS AL DÍA Y LITROS AL MES</t>
        </is>
      </c>
    </row>
    <row r="2" ht="32" customHeight="1">
      <c r="A2" s="2" t="inlineStr">
        <is>
          <t>Escribe solo en las celdas VERDES: todo lo demás se calcula. Importes sin IVA. Todos los valores por defecto son una estimación del kit, editable: pesa tus raciones, cronometra el pelado y cambia los datos por los tuyos.</t>
        </is>
      </c>
    </row>
    <row r="3" ht="50" customHeight="1">
      <c r="A3" s="3" t="inlineStr">
        <is>
          <t>AVISO FIJO. Acrilamida (Reglamento (UE) 2017/2158): fríe a menos de 175 °C, guarda la patata fresca a más de 6 °C, remójala o escáldala antes de freírla y compara el color con la guía de colores de patatas. Aceite (Orden de 26 de enero de 1989): polares por debajo del 25 %, nada ajeno al aceite añadido al baño y el usado, a un gestor autorizado; la norma no obliga a tener un medidor.</t>
        </is>
      </c>
    </row>
    <row r="5">
      <c r="A5" s="4" t="inlineStr">
        <is>
          <t>A. LA PATATA Y EL ACEITE</t>
        </is>
      </c>
      <c r="B5" s="4" t="inlineStr">
        <is>
          <t>Valor</t>
        </is>
      </c>
      <c r="C5" s="4" t="inlineStr">
        <is>
          <t>Notas</t>
        </is>
      </c>
    </row>
    <row r="6" ht="30" customHeight="1">
      <c r="A6" s="6" t="inlineStr">
        <is>
          <t>Patata congelada (€/kg, sin IVA)</t>
        </is>
      </c>
      <c r="B6" s="7" t="n">
        <v>1.5</v>
      </c>
      <c r="C6" s="2" t="inlineStr">
        <is>
          <t>Minorista a 1,76 €/kg (2,5 kg), McCain a 3,85 €/kg y el lineal a 2,10 €/kg de media (Circana, marzo de 2024); el kit pone 1,50 €/kg. Estimación del kit, editable.</t>
        </is>
      </c>
    </row>
    <row r="7" ht="16" customHeight="1">
      <c r="A7" s="6" t="inlineStr">
        <is>
          <t>Gramos de patata congelada por ración (g)</t>
        </is>
      </c>
      <c r="B7" s="9" t="n">
        <v>150</v>
      </c>
      <c r="C7" s="2" t="inlineStr">
        <is>
          <t>Pesa 10 raciones y usa la media. Estimación del kit, editable.</t>
        </is>
      </c>
    </row>
    <row r="8" ht="16" customHeight="1">
      <c r="A8" s="6" t="inlineStr">
        <is>
          <t>Aceite que se queda en la ración congelada (% del peso, 1 g ≈ 1 ml)</t>
        </is>
      </c>
      <c r="B8" s="8" t="n">
        <v>0.05</v>
      </c>
      <c r="C8" s="2" t="inlineStr">
        <is>
          <t>Lo que absorbe la patata al freírse. Estimación del kit, editable.</t>
        </is>
      </c>
    </row>
    <row r="9" ht="16" customHeight="1">
      <c r="A9" s="6" t="inlineStr">
        <is>
          <t>Patata fresca (€/kg, sin IVA)</t>
        </is>
      </c>
      <c r="B9" s="7" t="n">
        <v>0.6</v>
      </c>
      <c r="C9" s="2" t="inlineStr">
        <is>
          <t>Sin fuente: precio profesional no publicado. Pídelo a tu proveedor. Estimación del kit, editable.</t>
        </is>
      </c>
    </row>
    <row r="10" ht="16" customHeight="1">
      <c r="A10" s="6" t="inlineStr">
        <is>
          <t>Gramos de patata fresca ya cortada por ración (g)</t>
        </is>
      </c>
      <c r="B10" s="9" t="n">
        <v>150</v>
      </c>
      <c r="C10" s="2" t="inlineStr">
        <is>
          <t>Pesa 10 raciones y usa la media. Estimación del kit, editable.</t>
        </is>
      </c>
    </row>
    <row r="11" ht="16" customHeight="1">
      <c r="A11" s="6" t="inlineStr">
        <is>
          <t>Aprovechamiento de la patata fresca tras pelar y cortar (%)</t>
        </is>
      </c>
      <c r="B11" s="8" t="n">
        <v>0.75</v>
      </c>
      <c r="C11" s="2" t="inlineStr">
        <is>
          <t>Sin fuente: mídelo. Pesa 10 kg sin pelar y lo que queda cortado. Estimación del kit, editable.</t>
        </is>
      </c>
    </row>
    <row r="12" ht="16" customHeight="1">
      <c r="A12" s="6" t="inlineStr">
        <is>
          <t>Aceite que se queda en la ración fresca (% del peso, 1 g ≈ 1 ml)</t>
        </is>
      </c>
      <c r="B12" s="8" t="n">
        <v>0.1</v>
      </c>
      <c r="C12" s="2" t="inlineStr">
        <is>
          <t>La fresca absorbe más aceite que la congelada. Estimación del kit, editable.</t>
        </is>
      </c>
    </row>
    <row r="13" ht="16" customHeight="1">
      <c r="A13" s="6" t="inlineStr">
        <is>
          <t>Minutos de pelar, cortar y remojar un kilo de patata fresca (min)</t>
        </is>
      </c>
      <c r="B13" s="9" t="n">
        <v>6</v>
      </c>
      <c r="C13" s="2" t="inlineStr">
        <is>
          <t>Sin fuente: mídelo. Cronometra 3 kilos y usa la media. Estimación del kit, editable.</t>
        </is>
      </c>
    </row>
    <row r="14" ht="16" customHeight="1">
      <c r="A14" s="6" t="inlineStr">
        <is>
          <t>Coste por hora del cocinero (€/h)</t>
        </is>
      </c>
      <c r="B14" s="7" t="n">
        <v>16</v>
      </c>
      <c r="C14" s="2" t="inlineStr">
        <is>
          <t>Igual que en la hoja Carne. Estimación del kit, editable.</t>
        </is>
      </c>
    </row>
    <row r="15" ht="16" customHeight="1">
      <c r="A15" s="6" t="inlineStr">
        <is>
          <t>Litros de aceite por cuba (l)</t>
        </is>
      </c>
      <c r="B15" s="9" t="n">
        <v>10</v>
      </c>
      <c r="C15" s="2" t="inlineStr">
        <is>
          <t>Una cuba de freidora de 8 a 10 litros. Estimación del kit, editable.</t>
        </is>
      </c>
    </row>
    <row r="16" ht="16" customHeight="1">
      <c r="A16" s="6" t="inlineStr">
        <is>
          <t>Cubas de la freidora</t>
        </is>
      </c>
      <c r="B16" s="11" t="n">
        <v>2</v>
      </c>
      <c r="C16" s="2" t="inlineStr">
        <is>
          <t>Freidora de dos cubas. Estimación del kit, editable.</t>
        </is>
      </c>
    </row>
    <row r="17" ht="16" customHeight="1">
      <c r="A17" s="6" t="inlineStr">
        <is>
          <t>Aceite de girasol alto oleico (€/l, sin IVA)</t>
        </is>
      </c>
      <c r="B17" s="7" t="n">
        <v>1.8</v>
      </c>
      <c r="C17" s="2" t="inlineStr">
        <is>
          <t>Minorista a 2,25 €/l; en garrafa, el kit pone 1,80 €/l. Estimación del kit, editable.</t>
        </is>
      </c>
    </row>
    <row r="18" ht="30" customHeight="1">
      <c r="A18" s="6" t="inlineStr">
        <is>
          <t>Raciones entre dos cambios de aceite</t>
        </is>
      </c>
      <c r="B18" s="11" t="n">
        <v>900</v>
      </c>
      <c r="C18" s="2" t="inlineStr">
        <is>
          <t>Las que aguante el aceite con los polares por debajo del 25 %. Sin fuente: mídelo con tus propias mediciones. Estimación del kit, editable.</t>
        </is>
      </c>
    </row>
    <row r="19" ht="16" customHeight="1">
      <c r="A19" s="6" t="inlineStr">
        <is>
          <t>Raciones de patata por comensal</t>
        </is>
      </c>
      <c r="B19" s="10" t="n">
        <v>0.8</v>
      </c>
      <c r="C19" s="2" t="inlineStr">
        <is>
          <t>Criterio del plan, mídelo: cuatro de cada cinco comensales piden patatas. Estimación del kit, editable.</t>
        </is>
      </c>
    </row>
    <row r="20" ht="16" customHeight="1">
      <c r="A20" s="6" t="inlineStr">
        <is>
          <t>Días de apertura al mes</t>
        </is>
      </c>
      <c r="B20" s="11" t="n">
        <v>25</v>
      </c>
      <c r="C20" s="2" t="inlineStr">
        <is>
          <t>El caso del plan abre 300 días al año. Estimación del kit, editable.</t>
        </is>
      </c>
    </row>
    <row r="21" ht="16" customHeight="1">
      <c r="A21" s="6" t="inlineStr">
        <is>
          <t>Gramos por kilo (constante)</t>
        </is>
      </c>
      <c r="B21" s="14" t="n">
        <v>1000</v>
      </c>
      <c r="C21" s="2" t="inlineStr">
        <is>
          <t>Constante: un kilo son 1.000 gramos. No se edita.</t>
        </is>
      </c>
    </row>
    <row r="22" ht="16" customHeight="1">
      <c r="A22" s="6" t="inlineStr">
        <is>
          <t>Mililitros por litro (constante)</t>
        </is>
      </c>
      <c r="B22" s="14" t="n">
        <v>1000</v>
      </c>
      <c r="C22" s="2" t="inlineStr">
        <is>
          <t>Constante: un litro son 1.000 ml. No se edita.</t>
        </is>
      </c>
    </row>
    <row r="23" ht="16" customHeight="1">
      <c r="A23" s="6" t="inlineStr">
        <is>
          <t>Minutos por hora (constante)</t>
        </is>
      </c>
      <c r="B23" s="14" t="n">
        <v>60</v>
      </c>
      <c r="C23" s="2" t="inlineStr">
        <is>
          <t>Constante: una hora son 60 minutos. No se edita.</t>
        </is>
      </c>
    </row>
    <row r="25">
      <c r="A25" s="4" t="inlineStr">
        <is>
          <t>RESULTADOS</t>
        </is>
      </c>
      <c r="B25" s="4" t="inlineStr">
        <is>
          <t>Valor</t>
        </is>
      </c>
      <c r="C25" s="4" t="inlineStr">
        <is>
          <t>Notas</t>
        </is>
      </c>
    </row>
    <row r="26" ht="16" customHeight="1">
      <c r="A26" s="6" t="inlineStr">
        <is>
          <t>Comensales equivalentes al día (de la hoja Carne)</t>
        </is>
      </c>
      <c r="B26" s="21">
        <f>'Carne'!$B$17</f>
        <v>95.0</v>
      </c>
      <c r="C26" s="2" t="inlineStr">
        <is>
          <t>Se escribe en la hoja Carne.</t>
        </is>
      </c>
    </row>
    <row r="27" ht="16" customHeight="1">
      <c r="A27" s="6" t="inlineStr">
        <is>
          <t>Coste del aceite de un cambio completo (€)</t>
        </is>
      </c>
      <c r="B27" s="22">
        <f>$B$15*$B$16*$B$17</f>
        <v>36.0</v>
      </c>
      <c r="C27" s="2" t="inlineStr">
        <is>
          <t>Litros por cuba × cubas × €/l.</t>
        </is>
      </c>
    </row>
    <row r="28" ht="16" customHeight="1">
      <c r="A28" s="15" t="inlineStr">
        <is>
          <t>ACEITE POR RACIÓN CONGELADA (€)</t>
        </is>
      </c>
      <c r="B28" s="23">
        <f>$B$27/$B$18+$B$7*$B$8/$B$22*$B$17</f>
        <v>0.0535</v>
      </c>
      <c r="C28" s="2" t="inlineStr">
        <is>
          <t>Cambio de aceite ÷ raciones entre cambios + aceite que se queda en la ración.</t>
        </is>
      </c>
    </row>
    <row r="29" ht="16" customHeight="1">
      <c r="A29" s="6" t="inlineStr">
        <is>
          <t>Patata de una ración congelada (€)</t>
        </is>
      </c>
      <c r="B29" s="17">
        <f>$B$7*$B$6/$B$21</f>
        <v>0.225</v>
      </c>
      <c r="C29" s="2" t="inlineStr">
        <is>
          <t>Gramos × €/kg ÷ 1.000.</t>
        </is>
      </c>
    </row>
    <row r="30" ht="16" customHeight="1">
      <c r="A30" s="15" t="inlineStr">
        <is>
          <t>COSTE POR RACIÓN CONGELADA (€)</t>
        </is>
      </c>
      <c r="B30" s="16">
        <f>$B$29+$B$28</f>
        <v>0.2785</v>
      </c>
      <c r="C30" s="2" t="inlineStr">
        <is>
          <t>Patata + aceite.</t>
        </is>
      </c>
    </row>
    <row r="31" ht="16" customHeight="1">
      <c r="A31" s="6" t="inlineStr">
        <is>
          <t>Kilos de patata sin pelar por ración fresca (kg)</t>
        </is>
      </c>
      <c r="B31" s="24">
        <f>$B$10/$B$11/$B$21</f>
        <v>0.2</v>
      </c>
      <c r="C31" s="2" t="inlineStr">
        <is>
          <t>Gramos cortados ÷ aprovechamiento ÷ 1.000.</t>
        </is>
      </c>
    </row>
    <row r="32" ht="16" customHeight="1">
      <c r="A32" s="6" t="inlineStr">
        <is>
          <t>Patata de una ración fresca (€)</t>
        </is>
      </c>
      <c r="B32" s="17">
        <f>$B$31*$B$9</f>
        <v>0.12</v>
      </c>
      <c r="C32" s="2" t="inlineStr">
        <is>
          <t>Kilos sin pelar × €/kg.</t>
        </is>
      </c>
    </row>
    <row r="33" ht="16" customHeight="1">
      <c r="A33" s="6" t="inlineStr">
        <is>
          <t>Aceite por ración fresca (€)</t>
        </is>
      </c>
      <c r="B33" s="17">
        <f>$B$27/$B$18+$B$10*$B$12/$B$22*$B$17</f>
        <v>0.067</v>
      </c>
      <c r="C33" s="2" t="inlineStr">
        <is>
          <t>Cambio de aceite ÷ raciones entre cambios + aceite que se queda en la ración.</t>
        </is>
      </c>
    </row>
    <row r="34" ht="16" customHeight="1">
      <c r="A34" s="15" t="inlineStr">
        <is>
          <t>COSTE POR RACIÓN FRESCA, SIN MANO DE OBRA (€)</t>
        </is>
      </c>
      <c r="B34" s="16">
        <f>$B$32+$B$33</f>
        <v>0.187</v>
      </c>
      <c r="C34" s="2" t="inlineStr">
        <is>
          <t>Patata + aceite.</t>
        </is>
      </c>
    </row>
    <row r="35" ht="16" customHeight="1">
      <c r="A35" s="6" t="inlineStr">
        <is>
          <t>Mano de obra de pelar, cortar y remojar una ración fresca (€)</t>
        </is>
      </c>
      <c r="B35" s="22">
        <f>$B$13/$B$23*$B$14*$B$31</f>
        <v>0.32000000000000006</v>
      </c>
      <c r="C35" s="2" t="inlineStr">
        <is>
          <t>Minutos por kilo ÷ 60 × coste por hora × kilos sin pelar.</t>
        </is>
      </c>
    </row>
    <row r="36" ht="16" customHeight="1">
      <c r="A36" s="6" t="inlineStr">
        <is>
          <t>Coste por ración fresca con la mano de obra (€)</t>
        </is>
      </c>
      <c r="B36" s="22">
        <f>$B$34+$B$35</f>
        <v>0.5070000000000001</v>
      </c>
      <c r="C36" s="2" t="inlineStr">
        <is>
          <t>Alimenta el escandallo si eliges la fresca.</t>
        </is>
      </c>
    </row>
    <row r="37" ht="16" customHeight="1">
      <c r="A37" s="6" t="inlineStr">
        <is>
          <t>Mano de obra por kilo de patata fresca sin pelar (€)</t>
        </is>
      </c>
      <c r="B37" s="22">
        <f>$B$13/$B$23*$B$14</f>
        <v>1.6</v>
      </c>
      <c r="C37" s="2" t="inlineStr">
        <is>
          <t>Minutos por kilo ÷ 60 × coste por hora.</t>
        </is>
      </c>
    </row>
    <row r="38" ht="32" customHeight="1">
      <c r="A38" s="15" t="inlineStr">
        <is>
          <t>LA FRESCA TE COMPENSA MIENTRAS PELAR Y CORTAR CUESTE MENOS DE (€ por kg sin pelar)</t>
        </is>
      </c>
      <c r="B38" s="16">
        <f>($B$30-$B$34)/$B$31</f>
        <v>0.45750000000000013</v>
      </c>
      <c r="C38" s="2" t="inlineStr">
        <is>
          <t>(Coste de la ración congelada − coste de la ración fresca sin mano de obra) ÷ kilos sin pelar por ración.</t>
        </is>
      </c>
    </row>
    <row r="39" ht="32" customHeight="1">
      <c r="A39" s="15" t="inlineStr">
        <is>
          <t>Veredicto con tu mano de obra</t>
        </is>
      </c>
      <c r="B39" s="18" t="str">
        <f>IF($B$37&lt;$B$38,"La fresca compensa","La congelada compensa")</f>
        <v>La congelada compensa</v>
      </c>
      <c r="C39" s="2" t="inlineStr">
        <is>
          <t>La fresca compensa si pelarla y cortarla cuesta menos que esa diferencia.</t>
        </is>
      </c>
    </row>
    <row r="40" ht="16" customHeight="1">
      <c r="A40" s="15" t="inlineStr">
        <is>
          <t>RACIONES DE PATATA AL DÍA</t>
        </is>
      </c>
      <c r="B40" s="25">
        <f>$B$26*$B$19</f>
        <v>76.0</v>
      </c>
      <c r="C40" s="2" t="inlineStr">
        <is>
          <t>Comensales equivalentes al día × raciones por comensal.</t>
        </is>
      </c>
    </row>
    <row r="41" ht="16" customHeight="1">
      <c r="A41" s="6" t="inlineStr">
        <is>
          <t>Kilos de patata congelada al día (kg)</t>
        </is>
      </c>
      <c r="B41" s="20">
        <f>$B$40*$B$7/$B$21</f>
        <v>11.4</v>
      </c>
      <c r="C41" s="2" t="inlineStr">
        <is>
          <t>Raciones al día × gramos ÷ 1.000.</t>
        </is>
      </c>
    </row>
    <row r="42" ht="16" customHeight="1">
      <c r="A42" s="6" t="inlineStr">
        <is>
          <t>Kilos de patata fresca sin pelar al día (kg)</t>
        </is>
      </c>
      <c r="B42" s="20">
        <f>$B$40*$B$31</f>
        <v>15.200000000000001</v>
      </c>
      <c r="C42" s="2" t="inlineStr">
        <is>
          <t>Raciones al día × kilos sin pelar por ración.</t>
        </is>
      </c>
    </row>
    <row r="43" ht="16" customHeight="1">
      <c r="A43" s="15" t="inlineStr">
        <is>
          <t>LITROS DE ACEITE AL MES (patata congelada)</t>
        </is>
      </c>
      <c r="B43" s="25">
        <f>$B$40*$B$20*($B$15*$B$16/$B$18+$B$7*$B$8/$B$22)</f>
        <v>56.47222222222222</v>
      </c>
      <c r="C43" s="2" t="inlineStr">
        <is>
          <t>Raciones al mes × (litros de un cambio ÷ raciones entre cambios + aceite que se queda en la ración).</t>
        </is>
      </c>
    </row>
  </sheetData>
  <sheetProtection selectLockedCells="0" selectUnlockedCells="0" sheet="1" objects="0" insertRows="1" insertHyperlinks="1" autoFilter="1" scenarios="0" formatColumns="1" deleteColumns="1" insertColumns="1" pivotTables="1" deleteRows="1" formatCells="1" formatRows="1" sort="1"/>
  <mergeCells count="38">
    <mergeCell ref="C36:I36"/>
    <mergeCell ref="C23:I23"/>
    <mergeCell ref="C17:I17"/>
    <mergeCell ref="C39:I39"/>
    <mergeCell ref="C8:I8"/>
    <mergeCell ref="C32:I32"/>
    <mergeCell ref="C7:I7"/>
    <mergeCell ref="A3:I3"/>
    <mergeCell ref="C38:I38"/>
    <mergeCell ref="C19:I19"/>
    <mergeCell ref="C37:I37"/>
    <mergeCell ref="C28:I28"/>
    <mergeCell ref="C13:I13"/>
    <mergeCell ref="A2:I2"/>
    <mergeCell ref="C18:I18"/>
    <mergeCell ref="C34:I34"/>
    <mergeCell ref="C6:I6"/>
    <mergeCell ref="C30:I30"/>
    <mergeCell ref="C42:I42"/>
    <mergeCell ref="C15:I15"/>
    <mergeCell ref="C33:I33"/>
    <mergeCell ref="C14:I14"/>
    <mergeCell ref="C26:I26"/>
    <mergeCell ref="C35:I35"/>
    <mergeCell ref="C20:I20"/>
    <mergeCell ref="C29:I29"/>
    <mergeCell ref="C10:I10"/>
    <mergeCell ref="C16:I16"/>
    <mergeCell ref="C41:I41"/>
    <mergeCell ref="C31:I31"/>
    <mergeCell ref="C22:I22"/>
    <mergeCell ref="C40:I40"/>
    <mergeCell ref="C9:I9"/>
    <mergeCell ref="C21:I21"/>
    <mergeCell ref="C43:I43"/>
    <mergeCell ref="C12:I12"/>
    <mergeCell ref="C11:I11"/>
    <mergeCell ref="C27:I27"/>
  </mergeCells>
  <conditionalFormatting sqref="B39">
    <cfRule type="expression" priority="1" dxfId="0">
      <formula>$B$39="La fresca compensa"</formula>
    </cfRule>
    <cfRule type="expression" priority="2" dxfId="1">
      <formula>$B$39="La congelada compensa"</formula>
    </cfRule>
  </conditionalFormatting>
  <dataValidations count="6">
    <dataValidation sqref="B6 B7 B9 B10 B14 B15 B17 B18 B19" showDropDown="0" showInputMessage="0" showErrorMessage="1" allowBlank="0" errorTitle="Valor no válido" error="Escribe un número mayor que 0." type="decimal" operator="greaterThan">
      <formula1>0</formula1>
    </dataValidation>
    <dataValidation sqref="B11" showDropDown="0" showInputMessage="0" showErrorMessage="1" allowBlank="0" errorTitle="Porcentaje no válido" error="Escribe entre 0,3 y 1 (0,75 = 75 %)." type="decimal" operator="between">
      <formula1>0.3</formula1>
      <formula2>1</formula2>
    </dataValidation>
    <dataValidation sqref="B13" showDropDown="0" showInputMessage="0" showErrorMessage="1" allowBlank="0" errorTitle="Valor no válido" error="Escribe un número mayor o igual que 0." type="decimal" operator="greaterThanOrEqual">
      <formula1>0</formula1>
    </dataValidation>
    <dataValidation sqref="B8 B12" showDropDown="0" showInputMessage="0" showErrorMessage="1" allowBlank="0" errorTitle="Porcentaje no válido" error="Escribe un porcentaje entre 0 y 0,5 (0,05 = 5 %)." type="decimal" operator="between">
      <formula1>0</formula1>
      <formula2>0.5</formula2>
    </dataValidation>
    <dataValidation sqref="B16" showDropDown="0" showInputMessage="0" showErrorMessage="1" allowBlank="0" errorTitle="Número no válido" error="Escribe un número entero de 1 a 20." type="whole" operator="between">
      <formula1>1</formula1>
      <formula2>20</formula2>
    </dataValidation>
    <dataValidation sqref="B20" showDropDown="0" showInputMessage="0" showErrorMessage="1" allowBlank="0" errorTitle="Número no válido" error="Escribe un número entero de 1 a 31." type="whole" operator="between">
      <formula1>1</formula1>
      <formula2>31</formula2>
    </dataValidation>
  </dataValidations>
  <printOptions horizontalCentered="1"/>
  <pageMargins left="0.75" right="0.75" top="1" bottom="1" header="0.5" footer="0.5"/>
  <pageSetup orientation="landscape" paperSize="9" fitToHeight="0" fitToWidth="1"/>
  <headerFooter>
    <oddHeader/>
    <oddFooter>&amp;Caichef.pro/plan-negocio-hamburgueseria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Q42"/>
  <sheetViews>
    <sheetView showGridLines="0" workbookViewId="0">
      <pane xSplit="1" ySplit="20" topLeftCell="B21" activePane="bottomRight" state="frozen"/>
      <selection pane="topRight"/>
      <selection pane="bottomLeft"/>
      <selection pane="bottomRight" activeCell="A1" sqref="A1"/>
    </sheetView>
  </sheetViews>
  <sheetFormatPr baseColWidth="8" defaultRowHeight="15"/>
  <cols>
    <col width="44" customWidth="1" min="1" max="1"/>
    <col width="11" customWidth="1" min="2" max="2"/>
    <col width="11" customWidth="1" min="3" max="3"/>
    <col width="10" customWidth="1" min="4" max="4"/>
    <col width="13" customWidth="1" min="5" max="5"/>
    <col width="12" customWidth="1" min="6" max="6"/>
    <col width="13" customWidth="1" min="7" max="7"/>
    <col width="14" customWidth="1" min="8" max="8"/>
    <col width="12" customWidth="1" min="9" max="9"/>
    <col width="12" customWidth="1" min="10" max="10"/>
    <col width="11" customWidth="1" min="11" max="11"/>
    <col width="17" customWidth="1" min="12" max="12"/>
    <col width="14" customWidth="1" min="13" max="13"/>
    <col width="12" customWidth="1" min="14" max="14"/>
    <col width="12" customWidth="1" min="15" max="15"/>
    <col width="13" customWidth="1" min="16" max="16"/>
    <col width="10" customWidth="1" min="17" max="17"/>
  </cols>
  <sheetData>
    <row r="1">
      <c r="A1" s="1" t="inlineStr">
        <is>
          <t>ESCANDALLO DE LA HAMBURGUESERÍA — 14 PRODUCTOS, POR PRODUCTO Y POR CANAL</t>
        </is>
      </c>
    </row>
    <row r="2" ht="32" customHeight="1">
      <c r="A2" s="2" t="inlineStr">
        <is>
          <t>Escribe solo en las celdas VERDES (nombres, bolas, queso, pan, otros ingredientes, patatas, precios de carta y ventas). Importes sin IVA salvo el precio de carta. Todos los valores por defecto son una estimación del kit, editable: pon los tuyos. El coste de la bola viene de la hoja «Carne», el de la ración de patata de la hoja «Patatas».</t>
        </is>
      </c>
    </row>
    <row r="4">
      <c r="A4" s="4" t="inlineStr">
        <is>
          <t>DATOS GENERALES</t>
        </is>
      </c>
      <c r="B4" s="4" t="inlineStr">
        <is>
          <t>Valor</t>
        </is>
      </c>
      <c r="D4" s="4" t="inlineStr">
        <is>
          <t>Notas</t>
        </is>
      </c>
    </row>
    <row r="5" ht="16" customHeight="1">
      <c r="A5" s="6" t="inlineStr">
        <is>
          <t>IVA de la comida (%)</t>
        </is>
      </c>
      <c r="B5" s="8" t="n">
        <v>0.1</v>
      </c>
      <c r="D5" s="2" t="inlineStr">
        <is>
          <t>Comida preparada, en sala, para llevar y a domicilio: 10 % (Ley 37/1992, art. 91).</t>
        </is>
      </c>
    </row>
    <row r="6" ht="16" customHeight="1">
      <c r="A6" s="6" t="inlineStr">
        <is>
          <t>Food cost objetivo (% sobre el precio sin IVA)</t>
        </is>
      </c>
      <c r="B6" s="8" t="n">
        <v>0.28</v>
      </c>
      <c r="D6" s="2" t="inlineStr">
        <is>
          <t>El del plan de negocio: 28 %, el lado prudente. Estimación del kit, editable.</t>
        </is>
      </c>
    </row>
    <row r="7" ht="16" customHeight="1">
      <c r="A7" s="6" t="inlineStr">
        <is>
          <t>Margen de vigilancia sobre el objetivo (puntos)</t>
        </is>
      </c>
      <c r="B7" s="8" t="n">
        <v>0.03</v>
      </c>
      <c r="D7" s="2" t="inlineStr">
        <is>
          <t>Hasta este margen por encima del objetivo, el semáforo dice «Vigila el coste».</t>
        </is>
      </c>
    </row>
    <row r="8" ht="16" customHeight="1">
      <c r="A8" s="6" t="inlineStr">
        <is>
          <t>Carne del escandallo (1 a 4: la columna de la hoja Carne)</t>
        </is>
      </c>
      <c r="B8" s="26" t="n">
        <v>1</v>
      </c>
      <c r="D8" s="2" t="inlineStr">
        <is>
          <t>1 = blend comprado ya picado, 2 = pieza para picar, 3 = bolas porcionadas, 4 = libre.</t>
        </is>
      </c>
    </row>
    <row r="9" ht="16" customHeight="1">
      <c r="A9" s="6" t="inlineStr">
        <is>
          <t>Patata del escandallo (1 congelada, 2 fresca con mano de obra)</t>
        </is>
      </c>
      <c r="B9" s="26" t="n">
        <v>1</v>
      </c>
      <c r="D9" s="2" t="inlineStr">
        <is>
          <t>1 = ración congelada, 2 = ración fresca con la mano de obra de pelar y cortar.</t>
        </is>
      </c>
    </row>
    <row r="10" ht="16" customHeight="1">
      <c r="A10" s="6" t="inlineStr">
        <is>
          <t>Pan de hamburguesa (€ por pan, sin IVA)</t>
        </is>
      </c>
      <c r="B10" s="7" t="n">
        <v>0.5</v>
      </c>
      <c r="D10" s="2" t="inlineStr">
        <is>
          <t>Brioche minorista a 0,94 € la pieza; el kit pone 0,50 € en compra profesional. Estimación del kit, editable.</t>
        </is>
      </c>
    </row>
    <row r="11" ht="16" customHeight="1">
      <c r="A11" s="6" t="inlineStr">
        <is>
          <t>Queso cheddar en lonchas (€/kg, sin IVA)</t>
        </is>
      </c>
      <c r="B11" s="7" t="n">
        <v>8</v>
      </c>
      <c r="D11" s="2" t="inlineStr">
        <is>
          <t>Minorista de 8,75 a 23 €/kg; el kit pone 8,00 €/kg. Estimación del kit, editable.</t>
        </is>
      </c>
    </row>
    <row r="12" ht="16" customHeight="1">
      <c r="A12" s="6" t="inlineStr">
        <is>
          <t>Gramos de queso por loncha (g)</t>
        </is>
      </c>
      <c r="B12" s="9" t="n">
        <v>20</v>
      </c>
      <c r="D12" s="2" t="inlineStr">
        <is>
          <t>Una loncha de 20 g por bola. Pesa 10 lonchas y usa la media. Estimación del kit, editable.</t>
        </is>
      </c>
    </row>
    <row r="13" ht="16" customHeight="1">
      <c r="A13" s="6" t="inlineStr">
        <is>
          <t>Caja para llevar por pedido (€, sin IVA)</t>
        </is>
      </c>
      <c r="B13" s="7" t="n">
        <v>0.45</v>
      </c>
      <c r="D13" s="2" t="inlineStr">
        <is>
          <t>Caja, bolsa y servilletas de un pedido para llevar. Estimación del kit, editable.</t>
        </is>
      </c>
    </row>
    <row r="14" ht="16" customHeight="1">
      <c r="A14" s="6" t="inlineStr">
        <is>
          <t>Caja de plataforma por pedido (€, sin IVA)</t>
        </is>
      </c>
      <c r="B14" s="7" t="n">
        <v>0.6</v>
      </c>
      <c r="D14" s="2" t="inlineStr">
        <is>
          <t>Envase de reparto más sellado. Estimación del kit, editable.</t>
        </is>
      </c>
    </row>
    <row r="15" ht="16" customHeight="1">
      <c r="A15" s="6" t="inlineStr">
        <is>
          <t>Recargo de precio en la plataforma (%)</t>
        </is>
      </c>
      <c r="B15" s="8" t="n">
        <v>0.15</v>
      </c>
      <c r="D15" s="2" t="inlineStr">
        <is>
          <t>Lo que subes el precio en la plataforma para compensar. Estimación del kit, editable.</t>
        </is>
      </c>
    </row>
    <row r="16" ht="16" customHeight="1">
      <c r="A16" s="6" t="inlineStr">
        <is>
          <t>Comisión de la plataforma de reparto (%)</t>
        </is>
      </c>
      <c r="B16" s="8" t="n">
        <v>0.3</v>
      </c>
      <c r="D16" s="2" t="inlineStr">
        <is>
          <t>Sobre el precio sin IVA del pedido. Revisa tu contrato. Estimación del kit, editable.</t>
        </is>
      </c>
    </row>
    <row r="17">
      <c r="A17" s="6" t="inlineStr">
        <is>
          <t>Coste de la carne de una bola (€, de la hoja Carne)</t>
        </is>
      </c>
      <c r="B17" s="17">
        <f>CHOOSE($B$8,'Carne'!$B$25,'Carne'!$C$25,'Carne'!$D$25,'Carne'!$E$25)</f>
        <v>0.9175257731958764</v>
      </c>
    </row>
    <row r="18">
      <c r="A18" s="6" t="inlineStr">
        <is>
          <t>Coste de una ración de patata (€, de la hoja Patatas)</t>
        </is>
      </c>
      <c r="B18" s="17">
        <f>CHOOSE($B$9,'Patatas'!$B$30,'Patatas'!$B$36)</f>
        <v>0.2785</v>
      </c>
    </row>
    <row r="20" ht="48" customHeight="1">
      <c r="A20" s="3" t="inlineStr">
        <is>
          <t>PRODUCTO</t>
        </is>
      </c>
      <c r="B20" s="3" t="inlineStr">
        <is>
          <t>Bolas de carne (nº)</t>
        </is>
      </c>
      <c r="C20" s="3" t="inlineStr">
        <is>
          <t>Lonchas de queso (nº)</t>
        </is>
      </c>
      <c r="D20" s="3" t="inlineStr">
        <is>
          <t>Panes (nº)</t>
        </is>
      </c>
      <c r="E20" s="3" t="inlineStr">
        <is>
          <t>Otros ingredientes (€)</t>
        </is>
      </c>
      <c r="F20" s="3" t="inlineStr">
        <is>
          <t>Raciones de patata (nº)</t>
        </is>
      </c>
      <c r="G20" s="3" t="inlineStr">
        <is>
          <t>PVP con IVA de sala (€)</t>
        </is>
      </c>
      <c r="H20" s="3" t="inlineStr">
        <is>
          <t>Vendidos a la semana (nº)</t>
        </is>
      </c>
      <c r="I20" s="3" t="inlineStr">
        <is>
          <t>COSTE (€)</t>
        </is>
      </c>
      <c r="J20" s="3" t="inlineStr">
        <is>
          <t>PVP sin IVA (€)</t>
        </is>
      </c>
      <c r="K20" s="3" t="inlineStr">
        <is>
          <t>FOOD COST (%)</t>
        </is>
      </c>
      <c r="L20" s="3" t="inlineStr">
        <is>
          <t>Semáforo</t>
        </is>
      </c>
      <c r="M20" s="3" t="inlineStr">
        <is>
          <t>PVP con IVA sugerido (€)</t>
        </is>
      </c>
      <c r="N20" s="3" t="inlineStr">
        <is>
          <t>Margen en sala (€)</t>
        </is>
      </c>
      <c r="O20" s="3" t="inlineStr">
        <is>
          <t>Margen para llevar (€)</t>
        </is>
      </c>
      <c r="P20" s="3" t="inlineStr">
        <is>
          <t>Margen en plataforma (€)</t>
        </is>
      </c>
      <c r="Q20" s="3" t="inlineStr">
        <is>
          <t>Puesto por margen</t>
        </is>
      </c>
    </row>
    <row r="21" ht="32" customHeight="1">
      <c r="A21" s="27" t="inlineStr">
        <is>
          <t>Hamburguesa simple (1 bola)</t>
        </is>
      </c>
      <c r="B21" s="28" t="n">
        <v>1</v>
      </c>
      <c r="C21" s="28" t="n">
        <v>1</v>
      </c>
      <c r="D21" s="28" t="n">
        <v>1</v>
      </c>
      <c r="E21" s="7" t="n">
        <v>0.22</v>
      </c>
      <c r="F21" s="28" t="n">
        <v>0</v>
      </c>
      <c r="G21" s="29" t="n">
        <v>8.9</v>
      </c>
      <c r="H21" s="11" t="n">
        <v>140</v>
      </c>
      <c r="I21" s="23">
        <f>B21*$B$17+D21*$B$10+C21*$B$12*$B$11/'Carne'!$B$19+E21+F21*$B$18</f>
        <v>1.7975257731958763</v>
      </c>
      <c r="J21" s="22">
        <f>G21/(1+$B$5)</f>
        <v>8.09090909090909</v>
      </c>
      <c r="K21" s="30">
        <f>I21/J21</f>
        <v>0.22216610679949034</v>
      </c>
      <c r="L21" s="2" t="str">
        <f>IF(K21&lt;=$B$6,"En objetivo",IF(K21&lt;=$B$6+$B$7,"Vigila el coste","Por encima del objetivo"))</f>
        <v>En objetivo</v>
      </c>
      <c r="M21" s="22">
        <f>I21/$B$6*(1+$B$5)</f>
        <v>7.061708394698085</v>
      </c>
      <c r="N21" s="22">
        <f>J21-I21</f>
        <v>6.2933833177132135</v>
      </c>
      <c r="O21" s="22">
        <f>N21-$B$13</f>
        <v>5.843383317713213</v>
      </c>
      <c r="P21" s="22">
        <f>J21*(1+$B$15)*(1-$B$16)-I21-$B$14</f>
        <v>4.115656044985941</v>
      </c>
      <c r="Q21" s="25">
        <f>1+COUNTIF($N$21:$N$34,"&gt;"&amp;N21)</f>
        <v>10.0</v>
      </c>
    </row>
    <row r="22" ht="32" customHeight="1">
      <c r="A22" s="27" t="inlineStr">
        <is>
          <t>Hamburguesa doble (2 bolas)</t>
        </is>
      </c>
      <c r="B22" s="28" t="n">
        <v>2</v>
      </c>
      <c r="C22" s="28" t="n">
        <v>2</v>
      </c>
      <c r="D22" s="28" t="n">
        <v>1</v>
      </c>
      <c r="E22" s="7" t="n">
        <v>0.24</v>
      </c>
      <c r="F22" s="28" t="n">
        <v>0</v>
      </c>
      <c r="G22" s="29" t="n">
        <v>11.9</v>
      </c>
      <c r="H22" s="11" t="n">
        <v>240</v>
      </c>
      <c r="I22" s="23">
        <f>B22*$B$17+D22*$B$10+C22*$B$12*$B$11/'Carne'!$B$19+E22+F22*$B$18</f>
        <v>2.8950515463917528</v>
      </c>
      <c r="J22" s="22">
        <f>G22/(1+$B$5)</f>
        <v>10.818181818181818</v>
      </c>
      <c r="K22" s="30">
        <f>I22/J22</f>
        <v>0.26760980680932167</v>
      </c>
      <c r="L22" s="2" t="str">
        <f>IF(K22&lt;=$B$6,"En objetivo",IF(K22&lt;=$B$6+$B$7,"Vigila el coste","Por encima del objetivo"))</f>
        <v>En objetivo</v>
      </c>
      <c r="M22" s="22">
        <f>I22/$B$6*(1+$B$5)</f>
        <v>11.373416789396172</v>
      </c>
      <c r="N22" s="22">
        <f>J22-I22</f>
        <v>7.923130271790066</v>
      </c>
      <c r="O22" s="22">
        <f>N22-$B$13</f>
        <v>7.473130271790065</v>
      </c>
      <c r="P22" s="22">
        <f>J22*(1+$B$15)*(1-$B$16)-I22-$B$14</f>
        <v>5.21358481724461</v>
      </c>
      <c r="Q22" s="25">
        <f>1+COUNTIF($N$21:$N$34,"&gt;"&amp;N22)</f>
        <v>7.0</v>
      </c>
    </row>
    <row r="23" ht="32" customHeight="1">
      <c r="A23" s="27" t="inlineStr">
        <is>
          <t>Hamburguesa triple (3 bolas)</t>
        </is>
      </c>
      <c r="B23" s="28" t="n">
        <v>3</v>
      </c>
      <c r="C23" s="28" t="n">
        <v>3</v>
      </c>
      <c r="D23" s="28" t="n">
        <v>1</v>
      </c>
      <c r="E23" s="7" t="n">
        <v>0.26</v>
      </c>
      <c r="F23" s="28" t="n">
        <v>0</v>
      </c>
      <c r="G23" s="29" t="n">
        <v>14.5</v>
      </c>
      <c r="H23" s="11" t="n">
        <v>40</v>
      </c>
      <c r="I23" s="23">
        <f>B23*$B$17+D23*$B$10+C23*$B$12*$B$11/'Carne'!$B$19+E23+F23*$B$18</f>
        <v>3.992577319587629</v>
      </c>
      <c r="J23" s="22">
        <f>G23/(1+$B$5)</f>
        <v>13.18181818181818</v>
      </c>
      <c r="K23" s="30">
        <f>I23/J23</f>
        <v>0.3028851759687167</v>
      </c>
      <c r="L23" s="2" t="str">
        <f>IF(K23&lt;=$B$6,"En objetivo",IF(K23&lt;=$B$6+$B$7,"Vigila el coste","Por encima del objetivo"))</f>
        <v>Vigila el coste</v>
      </c>
      <c r="M23" s="22">
        <f>I23/$B$6*(1+$B$5)</f>
        <v>15.685125184094257</v>
      </c>
      <c r="N23" s="22">
        <f>J23-I23</f>
        <v>9.189240862230552</v>
      </c>
      <c r="O23" s="22">
        <f>N23-$B$13</f>
        <v>8.739240862230552</v>
      </c>
      <c r="P23" s="22">
        <f>J23*(1+$B$15)*(1-$B$16)-I23-$B$14</f>
        <v>6.018786316776006</v>
      </c>
      <c r="Q23" s="25">
        <f>1+COUNTIF($N$21:$N$34,"&gt;"&amp;N23)</f>
        <v>3.0</v>
      </c>
    </row>
    <row r="24" ht="32" customHeight="1">
      <c r="A24" s="27" t="inlineStr">
        <is>
          <t>Hamburguesa doble con bacon</t>
        </is>
      </c>
      <c r="B24" s="28" t="n">
        <v>2</v>
      </c>
      <c r="C24" s="28" t="n">
        <v>2</v>
      </c>
      <c r="D24" s="28" t="n">
        <v>1</v>
      </c>
      <c r="E24" s="7" t="n">
        <v>0.51</v>
      </c>
      <c r="F24" s="28" t="n">
        <v>0</v>
      </c>
      <c r="G24" s="29" t="n">
        <v>12.9</v>
      </c>
      <c r="H24" s="11" t="n">
        <v>90</v>
      </c>
      <c r="I24" s="23">
        <f>B24*$B$17+D24*$B$10+C24*$B$12*$B$11/'Carne'!$B$19+E24+F24*$B$18</f>
        <v>3.1650515463917523</v>
      </c>
      <c r="J24" s="22">
        <f>G24/(1+$B$5)</f>
        <v>11.727272727272727</v>
      </c>
      <c r="K24" s="30">
        <f>I24/J24</f>
        <v>0.26988811635898663</v>
      </c>
      <c r="L24" s="2" t="str">
        <f>IF(K24&lt;=$B$6,"En objetivo",IF(K24&lt;=$B$6+$B$7,"Vigila el coste","Por encima del objetivo"))</f>
        <v>En objetivo</v>
      </c>
      <c r="M24" s="22">
        <f>I24/$B$6*(1+$B$5)</f>
        <v>12.434131075110455</v>
      </c>
      <c r="N24" s="22">
        <f>J24-I24</f>
        <v>8.562221180880975</v>
      </c>
      <c r="O24" s="22">
        <f>N24-$B$13</f>
        <v>8.112221180880976</v>
      </c>
      <c r="P24" s="22">
        <f>J24*(1+$B$15)*(1-$B$16)-I24-$B$14</f>
        <v>5.675402999062791</v>
      </c>
      <c r="Q24" s="25">
        <f>1+COUNTIF($N$21:$N$34,"&gt;"&amp;N24)</f>
        <v>5.0</v>
      </c>
    </row>
    <row r="25" ht="32" customHeight="1">
      <c r="A25" s="27" t="inlineStr">
        <is>
          <t>Hamburguesa estilo Oklahoma (2 bolas)</t>
        </is>
      </c>
      <c r="B25" s="28" t="n">
        <v>2</v>
      </c>
      <c r="C25" s="28" t="n">
        <v>2</v>
      </c>
      <c r="D25" s="28" t="n">
        <v>1</v>
      </c>
      <c r="E25" s="7" t="n">
        <v>0.4</v>
      </c>
      <c r="F25" s="28" t="n">
        <v>0</v>
      </c>
      <c r="G25" s="29" t="n">
        <v>12.5</v>
      </c>
      <c r="H25" s="11" t="n">
        <v>50</v>
      </c>
      <c r="I25" s="23">
        <f>B25*$B$17+D25*$B$10+C25*$B$12*$B$11/'Carne'!$B$19+E25+F25*$B$18</f>
        <v>3.0550515463917525</v>
      </c>
      <c r="J25" s="22">
        <f>G25/(1+$B$5)</f>
        <v>11.363636363636363</v>
      </c>
      <c r="K25" s="30">
        <f>I25/J25</f>
        <v>0.2688445360824742</v>
      </c>
      <c r="L25" s="2" t="str">
        <f>IF(K25&lt;=$B$6,"En objetivo",IF(K25&lt;=$B$6+$B$7,"Vigila el coste","Por encima del objetivo"))</f>
        <v>En objetivo</v>
      </c>
      <c r="M25" s="22">
        <f>I25/$B$6*(1+$B$5)</f>
        <v>12.001988217967599</v>
      </c>
      <c r="N25" s="22">
        <f>J25-I25</f>
        <v>8.308584817244611</v>
      </c>
      <c r="O25" s="22">
        <f>N25-$B$13</f>
        <v>7.858584817244611</v>
      </c>
      <c r="P25" s="22">
        <f>J25*(1+$B$15)*(1-$B$16)-I25-$B$14</f>
        <v>5.49267572633552</v>
      </c>
      <c r="Q25" s="25">
        <f>1+COUNTIF($N$21:$N$34,"&gt;"&amp;N25)</f>
        <v>6.0</v>
      </c>
    </row>
    <row r="26" ht="32" customHeight="1">
      <c r="A26" s="27" t="inlineStr">
        <is>
          <t>Hamburguesa de la casa (2 bolas)</t>
        </is>
      </c>
      <c r="B26" s="28" t="n">
        <v>2</v>
      </c>
      <c r="C26" s="28" t="n">
        <v>2</v>
      </c>
      <c r="D26" s="28" t="n">
        <v>1</v>
      </c>
      <c r="E26" s="7" t="n">
        <v>0.65</v>
      </c>
      <c r="F26" s="28" t="n">
        <v>0</v>
      </c>
      <c r="G26" s="29" t="n">
        <v>13.5</v>
      </c>
      <c r="H26" s="11" t="n">
        <v>70</v>
      </c>
      <c r="I26" s="23">
        <f>B26*$B$17+D26*$B$10+C26*$B$12*$B$11/'Carne'!$B$19+E26+F26*$B$18</f>
        <v>3.3050515463917525</v>
      </c>
      <c r="J26" s="22">
        <f>G26/(1+$B$5)</f>
        <v>12.272727272727272</v>
      </c>
      <c r="K26" s="30">
        <f>I26/J26</f>
        <v>0.26930049637266135</v>
      </c>
      <c r="L26" s="2" t="str">
        <f>IF(K26&lt;=$B$6,"En objetivo",IF(K26&lt;=$B$6+$B$7,"Vigila el coste","Por encima del objetivo"))</f>
        <v>En objetivo</v>
      </c>
      <c r="M26" s="22">
        <f>I26/$B$6*(1+$B$5)</f>
        <v>12.984131075110456</v>
      </c>
      <c r="N26" s="22">
        <f>J26-I26</f>
        <v>8.96767572633552</v>
      </c>
      <c r="O26" s="22">
        <f>N26-$B$13</f>
        <v>8.51767572633552</v>
      </c>
      <c r="P26" s="22">
        <f>J26*(1+$B$15)*(1-$B$16)-I26-$B$14</f>
        <v>5.9744939081537005</v>
      </c>
      <c r="Q26" s="25">
        <f>1+COUNTIF($N$21:$N$34,"&gt;"&amp;N26)</f>
        <v>4.0</v>
      </c>
    </row>
    <row r="27" ht="32" customHeight="1">
      <c r="A27" s="27" t="inlineStr">
        <is>
          <t>Hamburguesa de pollo crujiente</t>
        </is>
      </c>
      <c r="B27" s="28" t="n">
        <v>0</v>
      </c>
      <c r="C27" s="28" t="n">
        <v>1</v>
      </c>
      <c r="D27" s="28" t="n">
        <v>1</v>
      </c>
      <c r="E27" s="7" t="n">
        <v>1.75</v>
      </c>
      <c r="F27" s="28" t="n">
        <v>0</v>
      </c>
      <c r="G27" s="29" t="n">
        <v>10.9</v>
      </c>
      <c r="H27" s="11" t="n">
        <v>60</v>
      </c>
      <c r="I27" s="23">
        <f>B27*$B$17+D27*$B$10+C27*$B$12*$B$11/'Carne'!$B$19+E27+F27*$B$18</f>
        <v>2.41</v>
      </c>
      <c r="J27" s="22">
        <f>G27/(1+$B$5)</f>
        <v>9.909090909090908</v>
      </c>
      <c r="K27" s="30">
        <f>I27/J27</f>
        <v>0.24321100917431196</v>
      </c>
      <c r="L27" s="2" t="str">
        <f>IF(K27&lt;=$B$6,"En objetivo",IF(K27&lt;=$B$6+$B$7,"Vigila el coste","Por encima del objetivo"))</f>
        <v>En objetivo</v>
      </c>
      <c r="M27" s="22">
        <f>I27/$B$6*(1+$B$5)</f>
        <v>9.467857142857143</v>
      </c>
      <c r="N27" s="22">
        <f>J27-I27</f>
        <v>7.499090909090908</v>
      </c>
      <c r="O27" s="22">
        <f>N27-$B$13</f>
        <v>7.049090909090908</v>
      </c>
      <c r="P27" s="22">
        <f>J27*(1+$B$15)*(1-$B$16)-I27-$B$14</f>
        <v>4.96681818181818</v>
      </c>
      <c r="Q27" s="25">
        <f>1+COUNTIF($N$21:$N$34,"&gt;"&amp;N27)</f>
        <v>8.0</v>
      </c>
    </row>
    <row r="28" ht="32" customHeight="1">
      <c r="A28" s="27" t="inlineStr">
        <is>
          <t>Hamburguesa vegetal</t>
        </is>
      </c>
      <c r="B28" s="28" t="n">
        <v>0</v>
      </c>
      <c r="C28" s="28" t="n">
        <v>1</v>
      </c>
      <c r="D28" s="28" t="n">
        <v>1</v>
      </c>
      <c r="E28" s="7" t="n">
        <v>1.55</v>
      </c>
      <c r="F28" s="28" t="n">
        <v>0</v>
      </c>
      <c r="G28" s="29" t="n">
        <v>10.5</v>
      </c>
      <c r="H28" s="11" t="n">
        <v>20</v>
      </c>
      <c r="I28" s="23">
        <f>B28*$B$17+D28*$B$10+C28*$B$12*$B$11/'Carne'!$B$19+E28+F28*$B$18</f>
        <v>2.21</v>
      </c>
      <c r="J28" s="22">
        <f>G28/(1+$B$5)</f>
        <v>9.545454545454545</v>
      </c>
      <c r="K28" s="30">
        <f>I28/J28</f>
        <v>0.23152380952380952</v>
      </c>
      <c r="L28" s="2" t="str">
        <f>IF(K28&lt;=$B$6,"En objetivo",IF(K28&lt;=$B$6+$B$7,"Vigila el coste","Por encima del objetivo"))</f>
        <v>En objetivo</v>
      </c>
      <c r="M28" s="22">
        <f>I28/$B$6*(1+$B$5)</f>
        <v>8.682142857142857</v>
      </c>
      <c r="N28" s="22">
        <f>J28-I28</f>
        <v>7.335454545454545</v>
      </c>
      <c r="O28" s="22">
        <f>N28-$B$13</f>
        <v>6.885454545454545</v>
      </c>
      <c r="P28" s="22">
        <f>J28*(1+$B$15)*(1-$B$16)-I28-$B$14</f>
        <v>4.874090909090908</v>
      </c>
      <c r="Q28" s="25">
        <f>1+COUNTIF($N$21:$N$34,"&gt;"&amp;N28)</f>
        <v>9.0</v>
      </c>
    </row>
    <row r="29" ht="32" customHeight="1">
      <c r="A29" s="27" t="inlineStr">
        <is>
          <t>Ración de patatas</t>
        </is>
      </c>
      <c r="B29" s="28" t="n">
        <v>0</v>
      </c>
      <c r="C29" s="28" t="n">
        <v>0</v>
      </c>
      <c r="D29" s="28" t="n">
        <v>0</v>
      </c>
      <c r="E29" s="7" t="n">
        <v>0</v>
      </c>
      <c r="F29" s="28" t="n">
        <v>1</v>
      </c>
      <c r="G29" s="29" t="n">
        <v>3.9</v>
      </c>
      <c r="H29" s="11" t="n">
        <v>170</v>
      </c>
      <c r="I29" s="23">
        <f>B29*$B$17+D29*$B$10+C29*$B$12*$B$11/'Carne'!$B$19+E29+F29*$B$18</f>
        <v>0.2785</v>
      </c>
      <c r="J29" s="22">
        <f>G29/(1+$B$5)</f>
        <v>3.545454545454545</v>
      </c>
      <c r="K29" s="30">
        <f>I29/J29</f>
        <v>0.07855128205128208</v>
      </c>
      <c r="L29" s="2" t="str">
        <f>IF(K29&lt;=$B$6,"En objetivo",IF(K29&lt;=$B$6+$B$7,"Vigila el coste","Por encima del objetivo"))</f>
        <v>En objetivo</v>
      </c>
      <c r="M29" s="22">
        <f>I29/$B$6*(1+$B$5)</f>
        <v>1.094107142857143</v>
      </c>
      <c r="N29" s="22">
        <f>J29-I29</f>
        <v>3.266954545454545</v>
      </c>
      <c r="O29" s="22">
        <f>N29-$B$13</f>
        <v>2.8169545454545446</v>
      </c>
      <c r="P29" s="22">
        <f>J29*(1+$B$15)*(1-$B$16)-I29-$B$14</f>
        <v>1.9755909090909078</v>
      </c>
      <c r="Q29" s="25">
        <f>1+COUNTIF($N$21:$N$34,"&gt;"&amp;N29)</f>
        <v>13.0</v>
      </c>
    </row>
    <row r="30" ht="32" customHeight="1">
      <c r="A30" s="27" t="inlineStr">
        <is>
          <t>Ración de patatas con queso y bacon</t>
        </is>
      </c>
      <c r="B30" s="28" t="n">
        <v>0</v>
      </c>
      <c r="C30" s="28" t="n">
        <v>0</v>
      </c>
      <c r="D30" s="28" t="n">
        <v>0</v>
      </c>
      <c r="E30" s="7" t="n">
        <v>0.64</v>
      </c>
      <c r="F30" s="28" t="n">
        <v>1</v>
      </c>
      <c r="G30" s="29" t="n">
        <v>6.5</v>
      </c>
      <c r="H30" s="11" t="n">
        <v>90</v>
      </c>
      <c r="I30" s="23">
        <f>B30*$B$17+D30*$B$10+C30*$B$12*$B$11/'Carne'!$B$19+E30+F30*$B$18</f>
        <v>0.9185000000000001</v>
      </c>
      <c r="J30" s="22">
        <f>G30/(1+$B$5)</f>
        <v>5.909090909090908</v>
      </c>
      <c r="K30" s="30">
        <f>I30/J30</f>
        <v>0.15543846153846158</v>
      </c>
      <c r="L30" s="2" t="str">
        <f>IF(K30&lt;=$B$6,"En objetivo",IF(K30&lt;=$B$6+$B$7,"Vigila el coste","Por encima del objetivo"))</f>
        <v>En objetivo</v>
      </c>
      <c r="M30" s="22">
        <f>I30/$B$6*(1+$B$5)</f>
        <v>3.6083928571428574</v>
      </c>
      <c r="N30" s="22">
        <f>J30-I30</f>
        <v>4.990590909090908</v>
      </c>
      <c r="O30" s="22">
        <f>N30-$B$13</f>
        <v>4.540590909090908</v>
      </c>
      <c r="P30" s="22">
        <f>J30*(1+$B$15)*(1-$B$16)-I30-$B$14</f>
        <v>3.238318181818181</v>
      </c>
      <c r="Q30" s="25">
        <f>1+COUNTIF($N$21:$N$34,"&gt;"&amp;N30)</f>
        <v>11.0</v>
      </c>
    </row>
    <row r="31" ht="32" customHeight="1">
      <c r="A31" s="27" t="inlineStr">
        <is>
          <t>Batido</t>
        </is>
      </c>
      <c r="B31" s="28" t="n">
        <v>0</v>
      </c>
      <c r="C31" s="28" t="n">
        <v>0</v>
      </c>
      <c r="D31" s="28" t="n">
        <v>0</v>
      </c>
      <c r="E31" s="7" t="n">
        <v>1.15</v>
      </c>
      <c r="F31" s="28" t="n">
        <v>0</v>
      </c>
      <c r="G31" s="29" t="n">
        <v>4.9</v>
      </c>
      <c r="H31" s="11" t="n">
        <v>60</v>
      </c>
      <c r="I31" s="23">
        <f>B31*$B$17+D31*$B$10+C31*$B$12*$B$11/'Carne'!$B$19+E31+F31*$B$18</f>
        <v>1.15</v>
      </c>
      <c r="J31" s="22">
        <f>G31/(1+$B$5)</f>
        <v>4.454545454545454</v>
      </c>
      <c r="K31" s="30">
        <f>I31/J31</f>
        <v>0.25816326530612244</v>
      </c>
      <c r="L31" s="2" t="str">
        <f>IF(K31&lt;=$B$6,"En objetivo",IF(K31&lt;=$B$6+$B$7,"Vigila el coste","Por encima del objetivo"))</f>
        <v>En objetivo</v>
      </c>
      <c r="M31" s="22">
        <f>I31/$B$6*(1+$B$5)</f>
        <v>4.517857142857143</v>
      </c>
      <c r="N31" s="22">
        <f>J31-I31</f>
        <v>3.3045454545454542</v>
      </c>
      <c r="O31" s="22">
        <f>N31-$B$13</f>
        <v>2.854545454545454</v>
      </c>
      <c r="P31" s="22">
        <f>J31*(1+$B$15)*(1-$B$16)-I31-$B$14</f>
        <v>1.83590909090909</v>
      </c>
      <c r="Q31" s="25">
        <f>1+COUNTIF($N$21:$N$34,"&gt;"&amp;N31)</f>
        <v>12.0</v>
      </c>
    </row>
    <row r="32" ht="32" customHeight="1">
      <c r="A32" s="27" t="inlineStr">
        <is>
          <t>Postre</t>
        </is>
      </c>
      <c r="B32" s="28" t="n">
        <v>0</v>
      </c>
      <c r="C32" s="28" t="n">
        <v>0</v>
      </c>
      <c r="D32" s="28" t="n">
        <v>0</v>
      </c>
      <c r="E32" s="7" t="n">
        <v>1</v>
      </c>
      <c r="F32" s="28" t="n">
        <v>0</v>
      </c>
      <c r="G32" s="29" t="n">
        <v>4.5</v>
      </c>
      <c r="H32" s="11" t="n">
        <v>55</v>
      </c>
      <c r="I32" s="23">
        <f>B32*$B$17+D32*$B$10+C32*$B$12*$B$11/'Carne'!$B$19+E32+F32*$B$18</f>
        <v>1.0</v>
      </c>
      <c r="J32" s="22">
        <f>G32/(1+$B$5)</f>
        <v>4.090909090909091</v>
      </c>
      <c r="K32" s="30">
        <f>I32/J32</f>
        <v>0.24444444444444444</v>
      </c>
      <c r="L32" s="2" t="str">
        <f>IF(K32&lt;=$B$6,"En objetivo",IF(K32&lt;=$B$6+$B$7,"Vigila el coste","Por encima del objetivo"))</f>
        <v>En objetivo</v>
      </c>
      <c r="M32" s="22">
        <f>I32/$B$6*(1+$B$5)</f>
        <v>3.928571428571429</v>
      </c>
      <c r="N32" s="22">
        <f>J32-I32</f>
        <v>3.090909090909091</v>
      </c>
      <c r="O32" s="22">
        <f>N32-$B$13</f>
        <v>2.6409090909090907</v>
      </c>
      <c r="P32" s="22">
        <f>J32*(1+$B$15)*(1-$B$16)-I32-$B$14</f>
        <v>1.6931818181818175</v>
      </c>
      <c r="Q32" s="25">
        <f>1+COUNTIF($N$21:$N$34,"&gt;"&amp;N32)</f>
        <v>14.0</v>
      </c>
    </row>
    <row r="33" ht="32" customHeight="1">
      <c r="A33" s="27" t="inlineStr">
        <is>
          <t>Menú: doble + patatas + refresco</t>
        </is>
      </c>
      <c r="B33" s="28" t="n">
        <v>2</v>
      </c>
      <c r="C33" s="28" t="n">
        <v>2</v>
      </c>
      <c r="D33" s="28" t="n">
        <v>1</v>
      </c>
      <c r="E33" s="7" t="n">
        <v>0.6899999999999999</v>
      </c>
      <c r="F33" s="28" t="n">
        <v>1</v>
      </c>
      <c r="G33" s="29" t="n">
        <v>15.9</v>
      </c>
      <c r="H33" s="11" t="n">
        <v>230</v>
      </c>
      <c r="I33" s="23">
        <f>B33*$B$17+D33*$B$10+C33*$B$12*$B$11/'Carne'!$B$19+E33+F33*$B$18</f>
        <v>3.6235515463917527</v>
      </c>
      <c r="J33" s="22">
        <f>G33/(1+$B$5)</f>
        <v>14.454545454545453</v>
      </c>
      <c r="K33" s="30">
        <f>I33/J33</f>
        <v>0.250685956039681</v>
      </c>
      <c r="L33" s="2" t="str">
        <f>IF(K33&lt;=$B$6,"En objetivo",IF(K33&lt;=$B$6+$B$7,"Vigila el coste","Por encima del objetivo"))</f>
        <v>En objetivo</v>
      </c>
      <c r="M33" s="22">
        <f>I33/$B$6*(1+$B$5)</f>
        <v>14.235381075110457</v>
      </c>
      <c r="N33" s="22">
        <f>J33-I33</f>
        <v>10.830993908153701</v>
      </c>
      <c r="O33" s="22">
        <f>N33-$B$13</f>
        <v>10.380993908153702</v>
      </c>
      <c r="P33" s="22">
        <f>J33*(1+$B$15)*(1-$B$16)-I33-$B$14</f>
        <v>7.412357544517338</v>
      </c>
      <c r="Q33" s="25">
        <f>1+COUNTIF($N$21:$N$34,"&gt;"&amp;N33)</f>
        <v>2.0</v>
      </c>
    </row>
    <row r="34" ht="32" customHeight="1">
      <c r="A34" s="27" t="inlineStr">
        <is>
          <t>Pedido para dos: 2 dobles + 2 patatas</t>
        </is>
      </c>
      <c r="B34" s="28" t="n">
        <v>4</v>
      </c>
      <c r="C34" s="28" t="n">
        <v>4</v>
      </c>
      <c r="D34" s="28" t="n">
        <v>2</v>
      </c>
      <c r="E34" s="7" t="n">
        <v>0.48</v>
      </c>
      <c r="F34" s="28" t="n">
        <v>2</v>
      </c>
      <c r="G34" s="29" t="n">
        <v>29.9</v>
      </c>
      <c r="H34" s="11" t="n">
        <v>35</v>
      </c>
      <c r="I34" s="23">
        <f>B34*$B$17+D34*$B$10+C34*$B$12*$B$11/'Carne'!$B$19+E34+F34*$B$18</f>
        <v>6.347103092783506</v>
      </c>
      <c r="J34" s="22">
        <f>G34/(1+$B$5)</f>
        <v>27.18181818181818</v>
      </c>
      <c r="K34" s="30">
        <f>I34/J34</f>
        <v>0.23350546495190158</v>
      </c>
      <c r="L34" s="2" t="str">
        <f>IF(K34&lt;=$B$6,"En objetivo",IF(K34&lt;=$B$6+$B$7,"Vigila el coste","Por encima del objetivo"))</f>
        <v>En objetivo</v>
      </c>
      <c r="M34" s="22">
        <f>I34/$B$6*(1+$B$5)</f>
        <v>24.93504786450663</v>
      </c>
      <c r="N34" s="22">
        <f>J34-I34</f>
        <v>20.834715089034674</v>
      </c>
      <c r="O34" s="22">
        <f>N34-$B$13</f>
        <v>20.384715089034675</v>
      </c>
      <c r="P34" s="22">
        <f>J34*(1+$B$15)*(1-$B$16)-I34-$B$14</f>
        <v>14.934260543580125</v>
      </c>
      <c r="Q34" s="25">
        <f>1+COUNTIF($N$21:$N$34,"&gt;"&amp;N34)</f>
        <v>1.0</v>
      </c>
    </row>
    <row r="36">
      <c r="A36" s="4" t="inlineStr">
        <is>
          <t>FOOD COST PONDERADO DE LA SEMANA (suma de costes × ventas ÷ suma de PVP sin IVA × ventas)</t>
        </is>
      </c>
      <c r="B36" s="4" t="inlineStr">
        <is>
          <t>Valor</t>
        </is>
      </c>
    </row>
    <row r="37">
      <c r="A37" s="6" t="inlineStr">
        <is>
          <t>Ventas de la semana sin IVA (€)</t>
        </is>
      </c>
      <c r="B37" s="22">
        <f>SUMPRODUCT($J$21:$J$34,$H$21:$H$34)</f>
        <v>13427.272727272726</v>
      </c>
    </row>
    <row r="38">
      <c r="A38" s="6" t="inlineStr">
        <is>
          <t>Coste de la comida vendida en la semana (€)</t>
        </is>
      </c>
      <c r="B38" s="22">
        <f>SUMPRODUCT($I$21:$I$34,$H$21:$H$34)</f>
        <v>3273.505360824742</v>
      </c>
    </row>
    <row r="39">
      <c r="A39" s="15" t="inlineStr">
        <is>
          <t>FOOD COST PONDERADO (%)</t>
        </is>
      </c>
      <c r="B39" s="30">
        <f>IF($B$37=0,0,$B$38/$B$37)</f>
        <v>0.24379525368363011</v>
      </c>
    </row>
    <row r="40" ht="32" customHeight="1">
      <c r="A40" s="6" t="inlineStr">
        <is>
          <t>Semáforo del food cost ponderado</t>
        </is>
      </c>
      <c r="B40" s="2" t="str">
        <f>IF($B$39&lt;=$B$6,"En objetivo",IF($B$39&lt;=$B$6+$B$7,"Vigila el coste","Por encima del objetivo"))</f>
        <v>En objetivo</v>
      </c>
    </row>
    <row r="42" ht="66" customHeight="1">
      <c r="A42" s="31" t="inlineStr">
        <is>
          <t>El food cost de la tabla es el del producto servido en sala. En el pedido para llevar se descuenta la caja; en la plataforma, además, se sube el precio con el recargo y se descuenta la comisión sobre ese precio. El margen se ordena por el de sala. AVISO FIJO: las patatas viajan mal; en la plataforma, envase ventilado o déjalas fuera del pedido de reparto. El menú se calcula con un solo IVA, el de la comida; si vendes mucha bebida, separa las dos bases. Este coste es TEÓRICO: el plan de negocio trabaja con un 28 %, el lado prudente; la diferencia entre la receta y la caja está explicada en la hoja «Instrucciones».</t>
        </is>
      </c>
    </row>
  </sheetData>
  <sheetProtection selectLockedCells="0" selectUnlockedCells="0" sheet="1" objects="0" insertRows="1" insertHyperlinks="1" autoFilter="1" scenarios="0" formatColumns="1" deleteColumns="1" insertColumns="1" pivotTables="1" deleteRows="1" formatCells="1" formatRows="1" sort="1"/>
  <mergeCells count="14">
    <mergeCell ref="D9:Q9"/>
    <mergeCell ref="D12:Q12"/>
    <mergeCell ref="D8:Q8"/>
    <mergeCell ref="D6:Q6"/>
    <mergeCell ref="D16:Q16"/>
    <mergeCell ref="D7:Q7"/>
    <mergeCell ref="D10:Q10"/>
    <mergeCell ref="A2:Q2"/>
    <mergeCell ref="D15:Q15"/>
    <mergeCell ref="D11:Q11"/>
    <mergeCell ref="D13:Q13"/>
    <mergeCell ref="A42:Q42"/>
    <mergeCell ref="D5:Q5"/>
    <mergeCell ref="D14:Q14"/>
  </mergeCells>
  <conditionalFormatting sqref="L21:L34">
    <cfRule type="expression" priority="1" dxfId="0">
      <formula>L21="En objetivo"</formula>
    </cfRule>
    <cfRule type="expression" priority="2" dxfId="2">
      <formula>L21="Vigila el coste"</formula>
    </cfRule>
    <cfRule type="expression" priority="3" dxfId="1">
      <formula>L21="Por encima del objetivo"</formula>
    </cfRule>
  </conditionalFormatting>
  <conditionalFormatting sqref="B40">
    <cfRule type="expression" priority="4" dxfId="0">
      <formula>$B$40="En objetivo"</formula>
    </cfRule>
    <cfRule type="expression" priority="5" dxfId="2">
      <formula>$B$40="Vigila el coste"</formula>
    </cfRule>
    <cfRule type="expression" priority="6" dxfId="1">
      <formula>$B$40="Por encima del objetivo"</formula>
    </cfRule>
  </conditionalFormatting>
  <dataValidations count="5">
    <dataValidation sqref="B5 B7 B15 B16" showDropDown="0" showInputMessage="0" showErrorMessage="1" allowBlank="0" errorTitle="Porcentaje no válido" error="Escribe un porcentaje entre 0 y 0,9 (0,1 = 10 %)." type="decimal" operator="between">
      <formula1>0</formula1>
      <formula2>0.9</formula2>
    </dataValidation>
    <dataValidation sqref="B6" showDropDown="0" showInputMessage="0" showErrorMessage="1" allowBlank="0" errorTitle="Objetivo no válido" error="El objetivo no puede ser 0 (se divide entre él): escribe entre 0,01 y 0,9." type="decimal" operator="between">
      <formula1>0.01</formula1>
      <formula2>0.9</formula2>
    </dataValidation>
    <dataValidation sqref="B10 B11 B12 B13 B14 B21 B22 B23 B24 B25 B26 B27 B28 B29 B30 B31 B32 B33 B34 C21 C22 C23 C24 C25 C26 C27 C28 C29 C30 C31 C32 C33 C34 D21 D22 D23 D24 D25 D26 D27 D28 D29 D30 D31 D32 D33 D34 E21 E22 E23 E24 E25 E26 E27 E28 E29 E30 E31 E32 E33 E34 F21 F22 F23 F24 F25 F26 F27 F28 F29 F30 F31 F32 F33 F34 G21 G22 G23 G24 G25 G26 G27 G28 G29 G30 G31 G32 G33 G34 H21 H22 H23 H24 H25 H26 H27 H28 H29 H30 H31 H32 H33 H34" showDropDown="0" showInputMessage="0" showErrorMessage="1" allowBlank="0" errorTitle="Importe no válido" error="Escribe un número mayor o igual que 0." type="decimal" operator="greaterThanOrEqual">
      <formula1>0</formula1>
    </dataValidation>
    <dataValidation sqref="B8" showDropDown="0" showInputMessage="0" showErrorMessage="1" allowBlank="0" errorTitle="Carne no válida" error="Escribe 1, 2, 3 o 4, el número de la columna de la hoja Carne." type="whole" operator="between">
      <formula1>1</formula1>
      <formula2>4</formula2>
    </dataValidation>
    <dataValidation sqref="B9" showDropDown="0" showInputMessage="0" showErrorMessage="1" allowBlank="0" errorTitle="Patata no válida" error="Escribe 1 (congelada) o 2 (fresca)." type="whole" operator="between">
      <formula1>1</formula1>
      <formula2>2</formula2>
    </dataValidation>
  </dataValidations>
  <printOptions horizontalCentered="1"/>
  <pageMargins left="0.75" right="0.75" top="1" bottom="1" header="0.5" footer="0.5"/>
  <pageSetup orientation="landscape" paperSize="9" fitToHeight="0" fitToWidth="1"/>
  <headerFooter>
    <oddHeader/>
    <oddFooter>&amp;Caichef.pro/plan-negocio-hamburgueseria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35"/>
  <sheetViews>
    <sheetView showGridLines="0" workbookViewId="0">
      <selection activeCell="A1" sqref="A1"/>
    </sheetView>
  </sheetViews>
  <sheetFormatPr baseColWidth="8" defaultRowHeight="15"/>
  <cols>
    <col width="110" customWidth="1" min="1" max="1"/>
  </cols>
  <sheetData>
    <row r="1">
      <c r="A1" s="32" t="inlineStr">
        <is>
          <t>INSTRUCCIONES DE USO — Calculadora de la carne, las patatas y el escandallo</t>
        </is>
      </c>
    </row>
    <row r="2" ht="90" customHeight="1">
      <c r="A2" s="2" t="inlineStr">
        <is>
          <t>Tres herramientas en un libro: la hoja «Carne» te dice cuánto cuesta el kilo útil del blend comprado ya picado, de la pieza para picar en el local y de las bolas porcionadas, cuánto vale cada bola, cuántas bolas salen de un kilo, cuántos kilos de carne necesitas al día y si te compensa picar en el local; la hoja «Patatas» calcula el coste de la ración congelada y de la fresca, el aceite por ración, los kilos de patata al día y los litros de aceite al mes; la hoja «Escandallo» calcula el coste, el food cost, el margen y el precio de carta de 14 productos, con el margen en sala, para llevar y en plataforma, y el food cost ponderado de tu semana. Solo se escribe en las celdas VERDES; lo demás se calcula.</t>
        </is>
      </c>
    </row>
    <row r="3" ht="45" customHeight="1">
      <c r="A3" s="2" t="inlineStr">
        <is>
          <t>Todos los valores por defecto son estimación del kit, editable: son ejemplos coherentes con el caso del plan de negocio, no precios de nadie. Cámbialos por los de tu proveedor y por lo que midas en tu plancha y tu freidora antes de decidir precios.</t>
        </is>
      </c>
    </row>
    <row r="4">
      <c r="A4" s="18" t="inlineStr">
        <is>
          <t>HOJA «CARNE»</t>
        </is>
      </c>
    </row>
    <row r="6" ht="45" customHeight="1">
      <c r="A6" s="2" t="inlineStr">
        <is>
          <t>1. Pesa 10 bolas y usa la media en los gramos por bola. Pesa también 10 bolas antes y después de la plancha para medir la merma de cocción (sin fuente: mídelo). Si picas en el local, pesa la pieza antes de limpiarla y la carne limpia después, y cronometra cuánto tardas en limpiar y picar un kilo.</t>
        </is>
      </c>
    </row>
    <row r="7" ht="45" customHeight="1">
      <c r="A7" s="2" t="inlineStr">
        <is>
          <t>2. El coste por kilo útil es el precio ÷ útil ÷ (1 − merma de cierre). Con los valores del kit sale a 9,18 €/kg el blend comprado ya picado y a 8,59 €/kg la pieza para picar, sin contar la mano de obra. El coste de una bola es ese coste por kilo útil con la mano de obra × los gramos ÷ 1.000: 0,918 € con el blend.</t>
        </is>
      </c>
    </row>
    <row r="8" ht="45" customHeight="1">
      <c r="A8" s="2" t="inlineStr">
        <is>
          <t>3. Bolas por kilo. En crudo son 1.000 ÷ gramos por bola: 10 bolas de 100 g por kilo, la cifra de la ficha técnica del proveedor. Contando la merma de cierre del 3 % salen 9,7. Con 1,6 bolas por comensal y 95 comensales equivalentes al día, necesitas unos 15,2 kg de carne al día: es el pedido diario y, si picas en el local, el picado del día.</t>
        </is>
      </c>
    </row>
    <row r="9" ht="45" customHeight="1">
      <c r="A9" s="2" t="inlineStr">
        <is>
          <t>4. ¿Picar o comprar? Con los valores del kit, picar en el local solo te compensa mientras limpiar y picar un kilo cueste menos de 0,58 € por kilo útil; con 6 minutos por kilo y 16 € la hora cuesta 1,83 €: el veredicto es «Compra el blend ya picado». Mide tus minutos antes de comprar la picadora.</t>
        </is>
      </c>
    </row>
    <row r="10" ht="75" customHeight="1">
      <c r="A10" s="2" t="inlineStr">
        <is>
          <t>5. Carne picada (RD 1021/2022, arts. 4.1, 7.2 y 7.3). Comprada picada o picada en el local, se conserva a 2 °C o menos; la bola salada antes de la plancha es un preparado de carne, a 4 °C o menos; la picada en el local es del día y nunca de un día para otro, con músculo sin recortes y como máximo 6 días desde el sacrificio, o 15 si va envasada al vacío. Nada de carne madurada más de 15 días (Inf26008). El desplegable de la hoja es solo un recordatorio: no cambia ningún cálculo.</t>
        </is>
      </c>
    </row>
    <row r="11">
      <c r="A11" s="18" t="inlineStr">
        <is>
          <t>HOJA «PATATAS»</t>
        </is>
      </c>
    </row>
    <row r="13" ht="45" customHeight="1">
      <c r="A13" s="2" t="inlineStr">
        <is>
          <t>1. Pesa 10 raciones de patata y usa la media. Si usas fresca, pesa 10 kg sin pelar y lo que queda cortado para medir el aprovechamiento, y cronometra el pelado, el corte y el remojo de un kilo. Para el aceite, anota cuántas raciones aguanta cada cambio con los polares por debajo del 25 % (sin fuente: mídelo).</t>
        </is>
      </c>
    </row>
    <row r="14" ht="45" customHeight="1">
      <c r="A14" s="2" t="inlineStr">
        <is>
          <t>2. Con los valores del kit, una ración congelada cuesta 0,28 € (de ellos, 0,05 € de aceite) y una fresca 0,19 € sin mano de obra y 0,51 € con ella. La fresca solo te compensa mientras pelar y cortar un kilo cueste menos de 0,46 €; con 6 minutos por kilo y 16 € la hora cuesta 1,60 €: el veredicto es «La congelada compensa».</t>
        </is>
      </c>
    </row>
    <row r="15" ht="30" customHeight="1">
      <c r="A15" s="2" t="inlineStr">
        <is>
          <t>3. Con 76 raciones al día (comensales × 0,8) necesitas unos 11,4 kg de patata congelada al día, o 15,2 kg de fresca sin pelar, y unos 56 litros de aceite al mes.</t>
        </is>
      </c>
    </row>
    <row r="16" ht="60" customHeight="1">
      <c r="A16" s="2" t="inlineStr">
        <is>
          <t>4. Acrilamida (Reglamento (UE) 2017/2158): fríe a menos de 175 °C, guarda la patata fresca a más de 6 °C, remójala o escáldala antes de freírla y compara el color con la guía de colores de patatas. Aceite (Orden de 26 de enero de 1989): polares por debajo del 25 %, nada ajeno al aceite añadido al baño y el usado, a un gestor autorizado; la norma no obliga a tener un medidor, pero conviene medir.</t>
        </is>
      </c>
    </row>
    <row r="17">
      <c r="A17" s="18" t="inlineStr">
        <is>
          <t>HOJA «ESCANDALLO»</t>
        </is>
      </c>
    </row>
    <row r="19" ht="30" customHeight="1">
      <c r="A19" s="2" t="inlineStr">
        <is>
          <t>1. Escribe el IVA, el food cost objetivo, el margen de vigilancia, qué carne y qué patata usas (los números de las hojas anteriores), el pan, el queso, las cajas de para llevar y de plataforma, el recargo y la comisión de la plataforma.</t>
        </is>
      </c>
    </row>
    <row r="20" ht="45" customHeight="1">
      <c r="A20" s="2" t="inlineStr">
        <is>
          <t>2. En la tabla, cada fila es un producto. Escribe las bolas, las lonchas de queso (20 g cada una, una por bola), los panes, lo que cuesta el resto de ingredientes (salsa, encurtido, cebolla, mantequilla del pan y papel), las raciones de patata, el precio de carta con IVA y los productos que vendes a la semana.</t>
        </is>
      </c>
    </row>
    <row r="21" ht="75" customHeight="1">
      <c r="A21" s="2" t="inlineStr">
        <is>
          <t>3. Para cada producto ves el coste, el precio sin IVA, el food cost con semáforo, el precio de carta con IVA que necesitarías para llegar a tu objetivo y el margen en sala, para llevar y en plataforma, con el puesto de cada producto por margen en sala. Abajo, el food cost ponderado de tu semana. Con los valores del kit, la hamburguesa doble (2 bolas) cuesta 2,90 € y tiene un food cost del 26,8 %; el menú deja 10,83 € en sala, 10,38 € para llevar y 7,41 € en plataforma: en plataforma el margen cae casi un tercio.</t>
        </is>
      </c>
    </row>
    <row r="22">
      <c r="A22" s="18" t="inlineStr">
        <is>
          <t>DEL FOOD COST TEÓRICO AL 28 % DEL PLAN</t>
        </is>
      </c>
    </row>
    <row r="24" ht="90" customHeight="1">
      <c r="A24" s="2" t="inlineStr">
        <is>
          <t>El food cost de esta hoja es teórico: el que saldría si todo lo que compras se vendiera tal como está en el escandallo. Con los valores del kit, la semana ponderada sale en un 24,4 %. El plan de negocio trabaja con un 28 %, el lado prudente: entre la receta y la caja se pierden las bolas, el pan y las salsas que se tiran al cierre, las comidas del personal, las invitaciones, los errores y las reclamaciones de plataforma y las promociones de plataforma (2 × 1, primera compra); en el plan suman unos 4 puntos. Cada euro por kilo que sube la carne pone unos 0,21 € en la hamburguesa doble (cerca de 2 puntos de food cost).</t>
        </is>
      </c>
    </row>
    <row r="25" ht="45" customHeight="1">
      <c r="A25" s="2" t="inlineStr">
        <is>
          <t>Tu comparación real es esta: las compras de comida del mes ÷ las ventas de comida sin IVA del mes. Si después del primer trimestre sale por encima o por debajo del 28 %, cambia la celda de coste de mercancía sobre las ventas de comida del plan.</t>
        </is>
      </c>
    </row>
    <row r="26">
      <c r="A26" s="18" t="inlineStr">
        <is>
          <t>PRECIOS, IVA Y FUENTES</t>
        </is>
      </c>
    </row>
    <row r="28" ht="45" customHeight="1">
      <c r="A28" s="2" t="inlineStr">
        <is>
          <t>El IVA de la comida preparada para consumir en el local, para llevar o a domicilio es el 10 % (Ley 37/1992, art. 91). La cerveza y los refrescos con azúcares o edulcorantes añadidos que salen del local, también los zero, van al 21 %: esta calculadora usa un solo IVA, el de la comida. Los importes van sin IVA, salvo el precio de carta.</t>
        </is>
      </c>
    </row>
    <row r="29" ht="30" customHeight="1">
      <c r="A29" s="2" t="inlineStr">
        <is>
          <t>Cocción. La norma no fija una cifra para la hamburguesa: la AESAN recomienda 70 °C o más durante al menos 2 minutos, tu APPCC decide el punto crítico con una sonda y la smash fina sale hecha por su grosor.</t>
        </is>
      </c>
    </row>
    <row r="30" ht="45" customHeight="1">
      <c r="A30" s="2" t="inlineStr">
        <is>
          <t>Los precios y rendimientos salen del estudio de mercado del kit (octubre de 2026): carne picada y patata de minorista y mayorista, queso y pan de minorista y la carta de varias hamburgueserías de smash como referencia de precios. Ninguna cifra de esta calculadora es un dato publicado de tu negocio: sustitúyelas por las tuyas.</t>
        </is>
      </c>
    </row>
    <row r="32">
      <c r="A32" s="2" t="inlineStr">
        <is>
          <t>Para editar una celda que no esté en verde: Revisar → Desproteger hoja (no tiene contraseña).</t>
        </is>
      </c>
    </row>
    <row r="33">
      <c r="A33" s="2" t="inlineStr">
        <is>
          <t>Más plantillas y kits del catálogo en aichef.pro/productos-digitales</t>
        </is>
      </c>
    </row>
    <row r="34">
      <c r="A34" s="2" t="inlineStr">
        <is>
          <t>Diseñado por John Guerrero — chef y consultor gastronómico desde 2010, en cocina desde los 17 años · johnguerrero.es</t>
        </is>
      </c>
    </row>
    <row r="35">
      <c r="A35" s="2" t="inlineStr">
        <is>
          <t>Versión 1.0 · noviembre 2026 · aichef.pro/plan-negocio-hamburgueseria · info@aichef.pro</t>
        </is>
      </c>
    </row>
  </sheetData>
  <sheetProtection selectLockedCells="0" selectUnlockedCells="0" sheet="1" objects="0" insertRows="1" insertHyperlinks="1" autoFilter="1" scenarios="0" formatColumns="1" deleteColumns="1" insertColumns="1" pivotTables="1" deleteRows="1" formatCells="1" formatRows="1" sort="1"/>
  <printOptions horizontalCentered="1"/>
  <pageMargins left="0.75" right="0.75" top="1" bottom="1" header="0.5" footer="0.5"/>
  <pageSetup orientation="portrait" paperSize="9" fitToHeight="0" fitToWidth="1"/>
  <headerFooter>
    <oddHeader/>
    <oddFooter>&amp;Caichef.pro/plan-negocio-hamburgueseria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Calculadora de la carne, las patatas y el escandallo · v1.0</dc:title>
  <dc:description xmlns:dc="http://purl.org/dc/elements/1.1/">aichef.pro/plan-negocio-hamburgueseria</dc:description>
  <dc:subject xmlns:dc="http://purl.org/dc/elements/1.1/">Plan de Negocio: Hamburguesería Smash</dc:subject>
  <dcterms:created xmlns:dcterms="http://purl.org/dc/terms/" xmlns:xsi="http://www.w3.org/2001/XMLSchema-instance" xsi:type="dcterms:W3CDTF">2026-10-31T21:44:53Z</dcterms:created>
  <dcterms:modified xmlns:dcterms="http://purl.org/dc/terms/" xmlns:xsi="http://www.w3.org/2001/XMLSchema-instance" xsi:type="dcterms:W3CDTF">2026-10-31T21:44:53Z</dcterms:modified>
  <cp:lastModifiedBy>AI Chef Pro</cp:lastModifiedBy>
  <cp:keywords>plan de negocio hamburguesería, calculadora de carne y patatas, escandallo de hamburguesas, smash burger, AI Chef Pro</cp:keywords>
</cp:coreProperties>
</file>