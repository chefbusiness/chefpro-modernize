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&amp;L Año 1" sheetId="2" state="visible" r:id="rId2"/>
    <sheet xmlns:r="http://schemas.openxmlformats.org/officeDocument/2006/relationships" name="Proyección 3 años" sheetId="3" state="visible" r:id="rId3"/>
    <sheet xmlns:r="http://schemas.openxmlformats.org/officeDocument/2006/relationships" name="Break-even" sheetId="4" state="visible" r:id="rId4"/>
    <sheet xmlns:r="http://schemas.openxmlformats.org/officeDocument/2006/relationships" name="Mix B2C-B2B" sheetId="5" state="visible" r:id="rId5"/>
    <sheet xmlns:r="http://schemas.openxmlformats.org/officeDocument/2006/relationships" name="KPIs" sheetId="6" state="visible" r:id="rId6"/>
  </sheets>
  <definedNames>
    <definedName name="_xlnm.Print_Titles" localSheetId="0">'Resumen'!$5:$5</definedName>
    <definedName name="_xlnm.Print_Titles" localSheetId="1">'P&amp;L Año 1'!$4:$4</definedName>
    <definedName name="_xlnm.Print_Titles" localSheetId="2">'Proyección 3 años'!$4:$4</definedName>
    <definedName name="_xlnm.Print_Titles" localSheetId="4">'Mix B2C-B2B'!$4:$4</definedName>
    <definedName name="_xlnm.Print_Titles" localSheetId="5">'KPIs'!$4:$4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b val="1"/>
      <color rgb="00FFFFFF"/>
      <sz val="12"/>
    </font>
    <font>
      <name val="Calibri"/>
      <color rgb="000A0908"/>
      <sz val="11"/>
    </font>
  </fonts>
  <fills count="5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0A0908"/>
      </patternFill>
    </fill>
    <fill>
      <patternFill patternType="solid">
        <fgColor rgb="00E8E0D2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0" borderId="0" pivotButton="0" quotePrefix="0" xfId="0"/>
    <xf numFmtId="0" fontId="3" fillId="4" borderId="0" pivotButton="0" quotePrefix="0" xfId="0"/>
    <xf numFmtId="164" fontId="3" fillId="4" borderId="0" pivotButton="0" quotePrefix="0" xfId="0"/>
    <xf numFmtId="164" fontId="3" fillId="2" borderId="0" pivotButton="0" quotePrefix="0" xfId="0"/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8" customWidth="1" min="3" max="3"/>
    <col width="16" customWidth="1" min="4" max="4"/>
    <col width="12" customWidth="1" min="5" max="5"/>
    <col width="32" customWidth="1" min="6" max="6"/>
  </cols>
  <sheetData>
    <row r="1" ht="28" customHeight="1">
      <c r="A1" s="1" t="inlineStr">
        <is>
          <t>Plan Financiero — Paellero / Paella para Eventos</t>
        </is>
      </c>
    </row>
    <row r="2">
      <c r="A2" s="2" t="inlineStr">
        <is>
          <t>Modelo híbrido B2C + B2B · Estacionalidad mayo-octubre + Falles · 3 escenarios de inversión</t>
        </is>
      </c>
    </row>
    <row r="4">
      <c r="A4" s="3" t="inlineStr">
        <is>
          <t>ESCENARIOS DE INVERSIÓN INICIAL</t>
        </is>
      </c>
    </row>
    <row r="5" ht="26" customHeight="1">
      <c r="A5" s="4" t="inlineStr">
        <is>
          <t>Concepto</t>
        </is>
      </c>
      <c r="B5" s="4" t="inlineStr">
        <is>
          <t>Mín. Viable (€)</t>
        </is>
      </c>
      <c r="C5" s="4" t="inlineStr">
        <is>
          <t>Recomendado (€)</t>
        </is>
      </c>
      <c r="D5" s="4" t="inlineStr">
        <is>
          <t>Premium (€)</t>
        </is>
      </c>
      <c r="E5" s="4" t="inlineStr">
        <is>
          <t>% Premium</t>
        </is>
      </c>
      <c r="F5" s="4" t="inlineStr">
        <is>
          <t>Notas</t>
        </is>
      </c>
    </row>
    <row r="6">
      <c r="A6" s="5" t="inlineStr">
        <is>
          <t>Constitución autónomo + IAE 677.9 + APPCC</t>
        </is>
      </c>
      <c r="B6" s="6" t="n">
        <v>350</v>
      </c>
      <c r="C6" s="6" t="n">
        <v>600</v>
      </c>
      <c r="D6" s="6" t="n">
        <v>850</v>
      </c>
      <c r="E6" s="7">
        <f>D6/$D$15</f>
        <v>0.03678061445261791</v>
      </c>
      <c r="F6" s="5" t="inlineStr">
        <is>
          <t>Tarifa plana 80€/mes</t>
        </is>
      </c>
    </row>
    <row r="7">
      <c r="A7" s="5" t="inlineStr">
        <is>
          <t>Paelleras profesionales (3 tamaños)</t>
        </is>
      </c>
      <c r="B7" s="6" t="n">
        <v>380</v>
      </c>
      <c r="C7" s="6" t="n">
        <v>720</v>
      </c>
      <c r="D7" s="6" t="n">
        <v>1450</v>
      </c>
      <c r="E7" s="7">
        <f>D7/$D$15</f>
        <v>0.06274340112505408</v>
      </c>
      <c r="F7" s="5" t="inlineStr">
        <is>
          <t>Garcima 60+90+120cm acero pulido</t>
        </is>
      </c>
    </row>
    <row r="8">
      <c r="A8" s="5" t="inlineStr">
        <is>
          <t>Paellero de gas profesional + bombonas</t>
        </is>
      </c>
      <c r="B8" s="6" t="n">
        <v>280</v>
      </c>
      <c r="C8" s="6" t="n">
        <v>640</v>
      </c>
      <c r="D8" s="6" t="n">
        <v>1250</v>
      </c>
      <c r="E8" s="7">
        <f>D8/$D$15</f>
        <v>0.0540891389009087</v>
      </c>
      <c r="F8" s="5" t="inlineStr">
        <is>
          <t>Vaello/Garcima + repuesto bombonas</t>
        </is>
      </c>
    </row>
    <row r="9">
      <c r="A9" s="5" t="inlineStr">
        <is>
          <t>Trípode + accesorios fuego de leña</t>
        </is>
      </c>
      <c r="B9" s="6" t="n">
        <v>180</v>
      </c>
      <c r="C9" s="6" t="n">
        <v>320</v>
      </c>
      <c r="D9" s="6" t="n">
        <v>580</v>
      </c>
      <c r="E9" s="7">
        <f>D9/$D$15</f>
        <v>0.025097360450021637</v>
      </c>
      <c r="F9" s="5" t="inlineStr">
        <is>
          <t>Trípode + utensilios + caja transporte</t>
        </is>
      </c>
    </row>
    <row r="10">
      <c r="A10" s="5" t="inlineStr">
        <is>
          <t>Vajilla eventos + utensilios serving</t>
        </is>
      </c>
      <c r="B10" s="6" t="n">
        <v>350</v>
      </c>
      <c r="C10" s="6" t="n">
        <v>850</v>
      </c>
      <c r="D10" s="6" t="n">
        <v>1850</v>
      </c>
      <c r="E10" s="7">
        <f>D10/$D$15</f>
        <v>0.08005192557334487</v>
      </c>
      <c r="F10" s="5" t="inlineStr">
        <is>
          <t>Platos hondos cerámica + cucharas</t>
        </is>
      </c>
    </row>
    <row r="11">
      <c r="A11" s="5" t="inlineStr">
        <is>
          <t>Cuchillos + tablas + utensilios cocina</t>
        </is>
      </c>
      <c r="B11" s="6" t="n">
        <v>220</v>
      </c>
      <c r="C11" s="6" t="n">
        <v>480</v>
      </c>
      <c r="D11" s="6" t="n">
        <v>950</v>
      </c>
      <c r="E11" s="7">
        <f>D11/$D$15</f>
        <v>0.04110774556469061</v>
      </c>
      <c r="F11" s="5" t="inlineStr">
        <is>
          <t>Arcos profesional + tablas técnicas</t>
        </is>
      </c>
    </row>
    <row r="12">
      <c r="A12" s="5" t="inlineStr">
        <is>
          <t>EPI + uniformidad + delantales</t>
        </is>
      </c>
      <c r="B12" s="6" t="n">
        <v>180</v>
      </c>
      <c r="C12" s="6" t="n">
        <v>360</v>
      </c>
      <c r="D12" s="6" t="n">
        <v>680</v>
      </c>
      <c r="E12" s="7">
        <f>D12/$D$15</f>
        <v>0.02942449156209433</v>
      </c>
      <c r="F12" s="5" t="inlineStr">
        <is>
          <t>Delantal cuero + chaqueta + gorra</t>
        </is>
      </c>
    </row>
    <row r="13">
      <c r="A13" s="5" t="inlineStr">
        <is>
          <t>Marca + web + branding inicial</t>
        </is>
      </c>
      <c r="B13" s="6" t="n">
        <v>350</v>
      </c>
      <c r="C13" s="6" t="n">
        <v>1200</v>
      </c>
      <c r="D13" s="6" t="n">
        <v>3500</v>
      </c>
      <c r="E13" s="7">
        <f>D13/$D$15</f>
        <v>0.15144958892254434</v>
      </c>
      <c r="F13" s="5" t="inlineStr">
        <is>
          <t>Logo + identidad + landing + Stripe</t>
        </is>
      </c>
    </row>
    <row r="14">
      <c r="A14" s="5" t="inlineStr">
        <is>
          <t>Furgoneta usada / leasing primer año</t>
        </is>
      </c>
      <c r="B14" s="6" t="n">
        <v>1500</v>
      </c>
      <c r="C14" s="6" t="n">
        <v>4500</v>
      </c>
      <c r="D14" s="6" t="n">
        <v>12000</v>
      </c>
      <c r="E14" s="7">
        <f>D14/$D$15</f>
        <v>0.5192557334487234</v>
      </c>
      <c r="F14" s="5" t="inlineStr">
        <is>
          <t>Renault Kangoo / Peugeot Partner</t>
        </is>
      </c>
    </row>
    <row r="15">
      <c r="A15" s="8" t="inlineStr">
        <is>
          <t>TOTAL INVERSIÓN</t>
        </is>
      </c>
      <c r="B15" s="9">
        <f>SUM(B6:B14)</f>
        <v>3790.0</v>
      </c>
      <c r="C15" s="9">
        <f>SUM(C6:C14)</f>
        <v>9670.0</v>
      </c>
      <c r="D15" s="9">
        <f>SUM(D6:D14)</f>
        <v>23110.0</v>
      </c>
      <c r="E15" s="10" t="inlineStr">
        <is>
          <t>100%</t>
        </is>
      </c>
      <c r="F15" s="8" t="inlineStr"/>
    </row>
  </sheetData>
  <mergeCells count="3">
    <mergeCell ref="A1:J1"/>
    <mergeCell ref="A4:F4"/>
    <mergeCell ref="A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8" customHeight="1">
      <c r="A1" s="1" t="inlineStr">
        <is>
          <t>P&amp;L mensual Año 1</t>
        </is>
      </c>
    </row>
    <row r="2">
      <c r="A2" s="2" t="inlineStr">
        <is>
          <t>Estacionalidad eventos · mix B2C 35% + B2B 65%</t>
        </is>
      </c>
    </row>
    <row r="4" ht="26" customHeight="1">
      <c r="A4" s="4" t="inlineStr">
        <is>
          <t>Concepto</t>
        </is>
      </c>
      <c r="B4" s="4" t="inlineStr">
        <is>
          <t>Ene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Abr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Jul</t>
        </is>
      </c>
      <c r="I4" s="4" t="inlineStr">
        <is>
          <t>Ago</t>
        </is>
      </c>
      <c r="J4" s="4" t="inlineStr">
        <is>
          <t>Sep</t>
        </is>
      </c>
      <c r="K4" s="4" t="inlineStr">
        <is>
          <t>Oct</t>
        </is>
      </c>
      <c r="L4" s="4" t="inlineStr">
        <is>
          <t>Nov</t>
        </is>
      </c>
      <c r="M4" s="4" t="inlineStr">
        <is>
          <t>Dic</t>
        </is>
      </c>
      <c r="N4" s="4" t="inlineStr">
        <is>
          <t>Total</t>
        </is>
      </c>
    </row>
    <row r="5">
      <c r="A5" s="11" t="inlineStr">
        <is>
          <t>Ingresos B2C (eventos privados)</t>
        </is>
      </c>
      <c r="B5" s="12" t="n">
        <v>850</v>
      </c>
      <c r="C5" s="12" t="n">
        <v>850</v>
      </c>
      <c r="D5" s="12" t="n">
        <v>2550</v>
      </c>
      <c r="E5" s="12" t="n">
        <v>3400</v>
      </c>
      <c r="F5" s="12" t="n">
        <v>5950</v>
      </c>
      <c r="G5" s="12" t="n">
        <v>7650</v>
      </c>
      <c r="H5" s="12" t="n">
        <v>6800</v>
      </c>
      <c r="I5" s="12" t="n">
        <v>4250</v>
      </c>
      <c r="J5" s="12" t="n">
        <v>6800</v>
      </c>
      <c r="K5" s="12" t="n">
        <v>5100</v>
      </c>
      <c r="L5" s="12" t="n">
        <v>1700</v>
      </c>
      <c r="M5" s="12" t="n">
        <v>2550</v>
      </c>
      <c r="N5" s="12">
        <f>SUM(B5:M5)</f>
        <v>48450.0</v>
      </c>
    </row>
    <row r="6">
      <c r="A6" s="11" t="inlineStr">
        <is>
          <t>Ingresos B2B (planners/agencias/empresas)</t>
        </is>
      </c>
      <c r="B6" s="12" t="n">
        <v>3700</v>
      </c>
      <c r="C6" s="12" t="n">
        <v>3700</v>
      </c>
      <c r="D6" s="12" t="n">
        <v>9250</v>
      </c>
      <c r="E6" s="12" t="n">
        <v>11100</v>
      </c>
      <c r="F6" s="12" t="n">
        <v>20350</v>
      </c>
      <c r="G6" s="12" t="n">
        <v>24050</v>
      </c>
      <c r="H6" s="12" t="n">
        <v>22200</v>
      </c>
      <c r="I6" s="12" t="n">
        <v>14800</v>
      </c>
      <c r="J6" s="12" t="n">
        <v>22200</v>
      </c>
      <c r="K6" s="12" t="n">
        <v>18500</v>
      </c>
      <c r="L6" s="12" t="n">
        <v>7400</v>
      </c>
      <c r="M6" s="12" t="n">
        <v>9250</v>
      </c>
      <c r="N6" s="12">
        <f>SUM(B6:M6)</f>
        <v>166500.0</v>
      </c>
    </row>
    <row r="7">
      <c r="A7" s="13" t="inlineStr">
        <is>
          <t>TOTAL INGRESOS</t>
        </is>
      </c>
      <c r="B7" s="14">
        <f>SUM(B5:B6)</f>
        <v>4550.0</v>
      </c>
      <c r="C7" s="14">
        <f>SUM(C5:C6)</f>
        <v>4550.0</v>
      </c>
      <c r="D7" s="14">
        <f>SUM(D5:D6)</f>
        <v>11800.0</v>
      </c>
      <c r="E7" s="14">
        <f>SUM(E5:E6)</f>
        <v>14500.0</v>
      </c>
      <c r="F7" s="14">
        <f>SUM(F5:F6)</f>
        <v>26300.0</v>
      </c>
      <c r="G7" s="14">
        <f>SUM(G5:G6)</f>
        <v>31700.0</v>
      </c>
      <c r="H7" s="14">
        <f>SUM(H5:H6)</f>
        <v>29000.0</v>
      </c>
      <c r="I7" s="14">
        <f>SUM(I5:I6)</f>
        <v>19050.0</v>
      </c>
      <c r="J7" s="14">
        <f>SUM(J5:J6)</f>
        <v>29000.0</v>
      </c>
      <c r="K7" s="14">
        <f>SUM(K5:K6)</f>
        <v>23600.0</v>
      </c>
      <c r="L7" s="14">
        <f>SUM(L5:L6)</f>
        <v>9100.0</v>
      </c>
      <c r="M7" s="14">
        <f>SUM(M5:M6)</f>
        <v>11800.0</v>
      </c>
      <c r="N7" s="14">
        <f>SUM(N5:N6)</f>
        <v>214950.0</v>
      </c>
    </row>
    <row r="9">
      <c r="A9" s="11" t="inlineStr">
        <is>
          <t>Food cost (arroz, mariscos, ingredientes — 28%)</t>
        </is>
      </c>
      <c r="B9" s="12">
        <f>B7*0.28</f>
        <v>1274.0000000000002</v>
      </c>
      <c r="C9" s="12">
        <f>C7*0.28</f>
        <v>1274.0000000000002</v>
      </c>
      <c r="D9" s="12">
        <f>D7*0.28</f>
        <v>3304.0000000000005</v>
      </c>
      <c r="E9" s="12">
        <f>E7*0.28</f>
        <v>4060.0000000000005</v>
      </c>
      <c r="F9" s="12">
        <f>F7*0.28</f>
        <v>7364.000000000001</v>
      </c>
      <c r="G9" s="12">
        <f>G7*0.28</f>
        <v>8876.0</v>
      </c>
      <c r="H9" s="12">
        <f>H7*0.28</f>
        <v>8120.000000000001</v>
      </c>
      <c r="I9" s="12">
        <f>I7*0.28</f>
        <v>5334.000000000001</v>
      </c>
      <c r="J9" s="12">
        <f>J7*0.28</f>
        <v>8120.000000000001</v>
      </c>
      <c r="K9" s="12">
        <f>K7*0.28</f>
        <v>6608.000000000001</v>
      </c>
      <c r="L9" s="12">
        <f>L7*0.28</f>
        <v>2548.0000000000005</v>
      </c>
      <c r="M9" s="12">
        <f>M7*0.28</f>
        <v>3304.0000000000005</v>
      </c>
      <c r="N9" s="12">
        <f>N7*0.28</f>
        <v>60186.00000000001</v>
      </c>
    </row>
    <row r="10">
      <c r="A10" s="11" t="inlineStr">
        <is>
          <t>Logística + transporte + bombonas (5%)</t>
        </is>
      </c>
      <c r="B10" s="12">
        <f>B7*0.05</f>
        <v>227.5</v>
      </c>
      <c r="C10" s="12">
        <f>C7*0.05</f>
        <v>227.5</v>
      </c>
      <c r="D10" s="12">
        <f>D7*0.05</f>
        <v>590.0</v>
      </c>
      <c r="E10" s="12">
        <f>E7*0.05</f>
        <v>725.0</v>
      </c>
      <c r="F10" s="12">
        <f>F7*0.05</f>
        <v>1315.0</v>
      </c>
      <c r="G10" s="12">
        <f>G7*0.05</f>
        <v>1585.0</v>
      </c>
      <c r="H10" s="12">
        <f>H7*0.05</f>
        <v>1450.0</v>
      </c>
      <c r="I10" s="12">
        <f>I7*0.05</f>
        <v>952.5</v>
      </c>
      <c r="J10" s="12">
        <f>J7*0.05</f>
        <v>1450.0</v>
      </c>
      <c r="K10" s="12">
        <f>K7*0.05</f>
        <v>1180.0</v>
      </c>
      <c r="L10" s="12">
        <f>L7*0.05</f>
        <v>455.0</v>
      </c>
      <c r="M10" s="12">
        <f>M7*0.05</f>
        <v>590.0</v>
      </c>
      <c r="N10" s="12">
        <f>N7*0.05</f>
        <v>10747.5</v>
      </c>
    </row>
    <row r="11">
      <c r="A11" s="11" t="inlineStr">
        <is>
          <t>Ayudantes freelance (12% en eventos grandes)</t>
        </is>
      </c>
      <c r="B11" s="12">
        <f>B7*0.12</f>
        <v>546.0</v>
      </c>
      <c r="C11" s="12">
        <f>C7*0.12</f>
        <v>546.0</v>
      </c>
      <c r="D11" s="12">
        <f>D7*0.12</f>
        <v>1416.0</v>
      </c>
      <c r="E11" s="12">
        <f>E7*0.12</f>
        <v>1740.0</v>
      </c>
      <c r="F11" s="12">
        <f>F7*0.12</f>
        <v>3156.0</v>
      </c>
      <c r="G11" s="12">
        <f>G7*0.12</f>
        <v>3804.0</v>
      </c>
      <c r="H11" s="12">
        <f>H7*0.12</f>
        <v>3480.0</v>
      </c>
      <c r="I11" s="12">
        <f>I7*0.12</f>
        <v>2286.0</v>
      </c>
      <c r="J11" s="12">
        <f>J7*0.12</f>
        <v>3480.0</v>
      </c>
      <c r="K11" s="12">
        <f>K7*0.12</f>
        <v>2832.0</v>
      </c>
      <c r="L11" s="12">
        <f>L7*0.12</f>
        <v>1092.0</v>
      </c>
      <c r="M11" s="12">
        <f>M7*0.12</f>
        <v>1416.0</v>
      </c>
      <c r="N11" s="12">
        <f>N7*0.12</f>
        <v>25794.0</v>
      </c>
    </row>
    <row r="13">
      <c r="A13" s="11" t="inlineStr">
        <is>
          <t>Cuota autónomo (TGSS)</t>
        </is>
      </c>
      <c r="B13" s="12" t="n">
        <v>80</v>
      </c>
      <c r="C13" s="12" t="n">
        <v>80</v>
      </c>
      <c r="D13" s="12" t="n">
        <v>80</v>
      </c>
      <c r="E13" s="12" t="n">
        <v>80</v>
      </c>
      <c r="F13" s="12" t="n">
        <v>80</v>
      </c>
      <c r="G13" s="12" t="n">
        <v>80</v>
      </c>
      <c r="H13" s="12" t="n">
        <v>80</v>
      </c>
      <c r="I13" s="12" t="n">
        <v>80</v>
      </c>
      <c r="J13" s="12" t="n">
        <v>80</v>
      </c>
      <c r="K13" s="12" t="n">
        <v>80</v>
      </c>
      <c r="L13" s="12" t="n">
        <v>80</v>
      </c>
      <c r="M13" s="12" t="n">
        <v>80</v>
      </c>
      <c r="N13" s="12">
        <f>SUM(B13:M13)</f>
        <v>960.0</v>
      </c>
    </row>
    <row r="14">
      <c r="A14" s="11" t="inlineStr">
        <is>
          <t>Seguro RC eventos + furgo</t>
        </is>
      </c>
      <c r="B14" s="12" t="n">
        <v>120</v>
      </c>
      <c r="C14" s="12" t="n">
        <v>120</v>
      </c>
      <c r="D14" s="12" t="n">
        <v>120</v>
      </c>
      <c r="E14" s="12" t="n">
        <v>120</v>
      </c>
      <c r="F14" s="12" t="n">
        <v>120</v>
      </c>
      <c r="G14" s="12" t="n">
        <v>120</v>
      </c>
      <c r="H14" s="12" t="n">
        <v>120</v>
      </c>
      <c r="I14" s="12" t="n">
        <v>120</v>
      </c>
      <c r="J14" s="12" t="n">
        <v>120</v>
      </c>
      <c r="K14" s="12" t="n">
        <v>120</v>
      </c>
      <c r="L14" s="12" t="n">
        <v>120</v>
      </c>
      <c r="M14" s="12" t="n">
        <v>120</v>
      </c>
      <c r="N14" s="12">
        <f>SUM(B14:M14)</f>
        <v>1440.0</v>
      </c>
    </row>
    <row r="15">
      <c r="A15" s="11" t="inlineStr">
        <is>
          <t>Marketing + ads + Hosply.pro</t>
        </is>
      </c>
      <c r="B15" s="12" t="n">
        <v>180</v>
      </c>
      <c r="C15" s="12" t="n">
        <v>180</v>
      </c>
      <c r="D15" s="12" t="n">
        <v>180</v>
      </c>
      <c r="E15" s="12" t="n">
        <v>180</v>
      </c>
      <c r="F15" s="12" t="n">
        <v>180</v>
      </c>
      <c r="G15" s="12" t="n">
        <v>180</v>
      </c>
      <c r="H15" s="12" t="n">
        <v>180</v>
      </c>
      <c r="I15" s="12" t="n">
        <v>180</v>
      </c>
      <c r="J15" s="12" t="n">
        <v>180</v>
      </c>
      <c r="K15" s="12" t="n">
        <v>180</v>
      </c>
      <c r="L15" s="12" t="n">
        <v>180</v>
      </c>
      <c r="M15" s="12" t="n">
        <v>180</v>
      </c>
      <c r="N15" s="12">
        <f>SUM(B15:M15)</f>
        <v>2160.0</v>
      </c>
    </row>
    <row r="16">
      <c r="A16" s="11" t="inlineStr">
        <is>
          <t>Furgoneta (mantenimiento + combustible)</t>
        </is>
      </c>
      <c r="B16" s="12" t="n">
        <v>320</v>
      </c>
      <c r="C16" s="12" t="n">
        <v>320</v>
      </c>
      <c r="D16" s="12" t="n">
        <v>320</v>
      </c>
      <c r="E16" s="12" t="n">
        <v>320</v>
      </c>
      <c r="F16" s="12" t="n">
        <v>320</v>
      </c>
      <c r="G16" s="12" t="n">
        <v>320</v>
      </c>
      <c r="H16" s="12" t="n">
        <v>320</v>
      </c>
      <c r="I16" s="12" t="n">
        <v>320</v>
      </c>
      <c r="J16" s="12" t="n">
        <v>320</v>
      </c>
      <c r="K16" s="12" t="n">
        <v>320</v>
      </c>
      <c r="L16" s="12" t="n">
        <v>320</v>
      </c>
      <c r="M16" s="12" t="n">
        <v>320</v>
      </c>
      <c r="N16" s="12">
        <f>SUM(B16:M16)</f>
        <v>3840.0</v>
      </c>
    </row>
    <row r="18">
      <c r="A18" s="13" t="inlineStr">
        <is>
          <t>TOTAL COSTES</t>
        </is>
      </c>
      <c r="B18" s="14">
        <f>SUM(B9:B11)+SUM(B13:B16)</f>
        <v>2747.5</v>
      </c>
      <c r="C18" s="14">
        <f>SUM(C9:C11)+SUM(C13:C16)</f>
        <v>2747.5</v>
      </c>
      <c r="D18" s="14">
        <f>SUM(D9:D11)+SUM(D13:D16)</f>
        <v>6010.0</v>
      </c>
      <c r="E18" s="14">
        <f>SUM(E9:E11)+SUM(E13:E16)</f>
        <v>7225.0</v>
      </c>
      <c r="F18" s="14">
        <f>SUM(F9:F11)+SUM(F13:F16)</f>
        <v>12535.0</v>
      </c>
      <c r="G18" s="14">
        <f>SUM(G9:G11)+SUM(G13:G16)</f>
        <v>14965.0</v>
      </c>
      <c r="H18" s="14">
        <f>SUM(H9:H11)+SUM(H13:H16)</f>
        <v>13750.0</v>
      </c>
      <c r="I18" s="14">
        <f>SUM(I9:I11)+SUM(I13:I16)</f>
        <v>9272.5</v>
      </c>
      <c r="J18" s="14">
        <f>SUM(J9:J11)+SUM(J13:J16)</f>
        <v>13750.0</v>
      </c>
      <c r="K18" s="14">
        <f>SUM(K9:K11)+SUM(K13:K16)</f>
        <v>11320.0</v>
      </c>
      <c r="L18" s="14">
        <f>SUM(L9:L11)+SUM(L13:L16)</f>
        <v>4795.0</v>
      </c>
      <c r="M18" s="14">
        <f>SUM(M9:M11)+SUM(M13:M16)</f>
        <v>6010.0</v>
      </c>
      <c r="N18" s="14">
        <f>SUM(N9:N11)+SUM(N13:N16)</f>
        <v>105127.5</v>
      </c>
    </row>
    <row r="19">
      <c r="A19" s="3" t="inlineStr">
        <is>
          <t>BENEFICIO NETO</t>
        </is>
      </c>
      <c r="B19" s="15">
        <f>B7-B18</f>
        <v>1802.5</v>
      </c>
      <c r="C19" s="15">
        <f>C7-C18</f>
        <v>1802.5</v>
      </c>
      <c r="D19" s="15">
        <f>D7-D18</f>
        <v>5790.0</v>
      </c>
      <c r="E19" s="15">
        <f>E7-E18</f>
        <v>7275.0</v>
      </c>
      <c r="F19" s="15">
        <f>F7-F18</f>
        <v>13765.0</v>
      </c>
      <c r="G19" s="15">
        <f>G7-G18</f>
        <v>16735.0</v>
      </c>
      <c r="H19" s="15">
        <f>H7-H18</f>
        <v>15250.0</v>
      </c>
      <c r="I19" s="15">
        <f>I7-I18</f>
        <v>9777.5</v>
      </c>
      <c r="J19" s="15">
        <f>J7-J18</f>
        <v>15250.0</v>
      </c>
      <c r="K19" s="15">
        <f>K7-K18</f>
        <v>12280.0</v>
      </c>
      <c r="L19" s="15">
        <f>L7-L18</f>
        <v>4305.0</v>
      </c>
      <c r="M19" s="15">
        <f>M7-M18</f>
        <v>5790.0</v>
      </c>
      <c r="N19" s="15">
        <f>N7-N18</f>
        <v>109822.5</v>
      </c>
    </row>
  </sheetData>
  <mergeCells count="2">
    <mergeCell ref="A1:J1"/>
    <mergeCell ref="A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1" t="inlineStr">
        <is>
          <t>Proyección financiera 3 años</t>
        </is>
      </c>
    </row>
    <row r="2">
      <c r="A2" s="2" t="inlineStr">
        <is>
          <t>Crecimiento conservador 25% año 2, 18% año 3</t>
        </is>
      </c>
    </row>
    <row r="4" ht="26" customHeight="1">
      <c r="A4" s="4" t="inlineStr">
        <is>
          <t>Concepto</t>
        </is>
      </c>
      <c r="B4" s="4" t="inlineStr">
        <is>
          <t>Año 1</t>
        </is>
      </c>
      <c r="C4" s="4" t="inlineStr">
        <is>
          <t>Año 2</t>
        </is>
      </c>
      <c r="D4" s="4" t="inlineStr">
        <is>
          <t>Año 3</t>
        </is>
      </c>
    </row>
    <row r="5">
      <c r="A5" s="5" t="inlineStr">
        <is>
          <t>Eventos B2C totales</t>
        </is>
      </c>
      <c r="B5" s="24" t="n">
        <v>57</v>
      </c>
      <c r="C5" s="24" t="n">
        <v>72</v>
      </c>
      <c r="D5" s="24" t="n">
        <v>86</v>
      </c>
    </row>
    <row r="6">
      <c r="A6" s="5" t="inlineStr">
        <is>
          <t>Eventos B2B totales</t>
        </is>
      </c>
      <c r="B6" s="24" t="n">
        <v>90</v>
      </c>
      <c r="C6" s="24" t="n">
        <v>115</v>
      </c>
      <c r="D6" s="24" t="n">
        <v>138</v>
      </c>
    </row>
    <row r="7">
      <c r="A7" s="5" t="inlineStr">
        <is>
          <t>Ticket medio B2C</t>
        </is>
      </c>
      <c r="B7" s="6" t="n">
        <v>850</v>
      </c>
      <c r="C7" s="6" t="n">
        <v>920</v>
      </c>
      <c r="D7" s="6" t="n">
        <v>990</v>
      </c>
    </row>
    <row r="8">
      <c r="A8" s="5" t="inlineStr">
        <is>
          <t>Ticket medio B2B</t>
        </is>
      </c>
      <c r="B8" s="6" t="n">
        <v>1850</v>
      </c>
      <c r="C8" s="6" t="n">
        <v>1980</v>
      </c>
      <c r="D8" s="6" t="n">
        <v>2100</v>
      </c>
    </row>
    <row r="9">
      <c r="A9" s="5" t="inlineStr">
        <is>
          <t>Ingresos B2C</t>
        </is>
      </c>
      <c r="B9" s="6">
        <f>B5*B7</f>
        <v>48450.0</v>
      </c>
      <c r="C9" s="6">
        <f>C5*C7</f>
        <v>66240.0</v>
      </c>
      <c r="D9" s="6">
        <f>D5*D7</f>
        <v>85140.0</v>
      </c>
    </row>
    <row r="10">
      <c r="A10" s="5" t="inlineStr">
        <is>
          <t>Ingresos B2B</t>
        </is>
      </c>
      <c r="B10" s="6">
        <f>B6*B8</f>
        <v>166500.0</v>
      </c>
      <c r="C10" s="6">
        <f>C6*C8</f>
        <v>227700.0</v>
      </c>
      <c r="D10" s="6">
        <f>D6*D8</f>
        <v>289800.0</v>
      </c>
    </row>
    <row r="11">
      <c r="A11" s="8" t="inlineStr">
        <is>
          <t>TOTAL INGRESOS</t>
        </is>
      </c>
      <c r="B11" s="9">
        <f>B9+B10</f>
        <v>214950.0</v>
      </c>
      <c r="C11" s="9">
        <f>C9+C10</f>
        <v>293940.0</v>
      </c>
      <c r="D11" s="9">
        <f>D9+D10</f>
        <v>374940.0</v>
      </c>
    </row>
    <row r="12">
      <c r="A12" s="5" t="inlineStr">
        <is>
          <t>Food cost (28%)</t>
        </is>
      </c>
      <c r="B12" s="6">
        <f>B11*0.28</f>
        <v>60186.00000000001</v>
      </c>
      <c r="C12" s="6">
        <f>C11*0.28</f>
        <v>82303.20000000001</v>
      </c>
      <c r="D12" s="6">
        <f>D11*0.27</f>
        <v>101233.8</v>
      </c>
    </row>
    <row r="13">
      <c r="A13" s="5" t="inlineStr">
        <is>
          <t>Logística (5%)</t>
        </is>
      </c>
      <c r="B13" s="6">
        <f>B11*0.05</f>
        <v>10747.5</v>
      </c>
      <c r="C13" s="6">
        <f>C11*0.05</f>
        <v>14697.0</v>
      </c>
      <c r="D13" s="6">
        <f>D11*0.05</f>
        <v>18747.0</v>
      </c>
    </row>
    <row r="14">
      <c r="A14" s="5" t="inlineStr">
        <is>
          <t>Ayudantes freelance (12%)</t>
        </is>
      </c>
      <c r="B14" s="6">
        <f>B11*0.12</f>
        <v>25794.0</v>
      </c>
      <c r="C14" s="6">
        <f>C11*0.13</f>
        <v>38212.200000000004</v>
      </c>
      <c r="D14" s="6">
        <f>D11*0.14</f>
        <v>52491.600000000006</v>
      </c>
    </row>
    <row r="15">
      <c r="A15" s="5" t="inlineStr">
        <is>
          <t>Costes fijos anuales</t>
        </is>
      </c>
      <c r="B15" s="6" t="n">
        <v>8400</v>
      </c>
      <c r="C15" s="6" t="n">
        <v>9200</v>
      </c>
      <c r="D15" s="6" t="n">
        <v>10800</v>
      </c>
    </row>
    <row r="16">
      <c r="A16" s="8" t="inlineStr">
        <is>
          <t>TOTAL COSTES</t>
        </is>
      </c>
      <c r="B16" s="9">
        <f>SUM(B12:B15)</f>
        <v>105127.5</v>
      </c>
      <c r="C16" s="9">
        <f>SUM(C12:C15)</f>
        <v>144412.40000000002</v>
      </c>
      <c r="D16" s="9">
        <f>SUM(D12:D15)</f>
        <v>183272.40000000002</v>
      </c>
    </row>
    <row r="17">
      <c r="A17" s="16" t="inlineStr">
        <is>
          <t>BENEFICIO NETO</t>
        </is>
      </c>
      <c r="B17" s="17">
        <f>B11-B16</f>
        <v>109822.5</v>
      </c>
      <c r="C17" s="17">
        <f>C11-C16</f>
        <v>149527.59999999998</v>
      </c>
      <c r="D17" s="17">
        <f>D11-D16</f>
        <v>191667.59999999998</v>
      </c>
    </row>
    <row r="18">
      <c r="A18" s="18" t="inlineStr">
        <is>
          <t>Margen neto</t>
        </is>
      </c>
      <c r="B18" s="19">
        <f>B17/B11</f>
        <v>0.5109211444521982</v>
      </c>
      <c r="C18" s="19">
        <f>C17/C11</f>
        <v>0.5087010954616588</v>
      </c>
      <c r="D18" s="19">
        <f>D17/D11</f>
        <v>0.5111953912626019</v>
      </c>
    </row>
  </sheetData>
  <mergeCells count="2">
    <mergeCell ref="A1:J1"/>
    <mergeCell ref="A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 ht="28" customHeight="1">
      <c r="A1" s="1" t="inlineStr">
        <is>
          <t>Punto de equilibrio</t>
        </is>
      </c>
    </row>
    <row r="2">
      <c r="A2" s="2" t="inlineStr">
        <is>
          <t>Eventos mínimos para cubrir costes fijos anuales</t>
        </is>
      </c>
    </row>
    <row r="4" ht="26" customHeight="1">
      <c r="A4" s="4" t="inlineStr">
        <is>
          <t>Variable</t>
        </is>
      </c>
      <c r="B4" s="4" t="inlineStr">
        <is>
          <t>Valor</t>
        </is>
      </c>
    </row>
    <row r="5">
      <c r="A5" s="5" t="inlineStr">
        <is>
          <t>Costes fijos anuales (cuota + seguros + marketing + furgo)</t>
        </is>
      </c>
      <c r="B5" s="6" t="n">
        <v>8400</v>
      </c>
    </row>
    <row r="6">
      <c r="A6" s="5" t="inlineStr">
        <is>
          <t>Ticket medio mixto (35% B2C 850€ + 65% B2B 1850€)</t>
        </is>
      </c>
      <c r="B6" s="6">
        <f>850*0.35+1850*0.65</f>
        <v>1500.0</v>
      </c>
    </row>
    <row r="7">
      <c r="A7" s="5" t="inlineStr">
        <is>
          <t>Margen contribución (1 - food cost 28% - logística 5% - ayudantes 12%)</t>
        </is>
      </c>
      <c r="B7" s="7">
        <f>1-0.28-0.05-0.12</f>
        <v>0.5499999999999999</v>
      </c>
    </row>
    <row r="8">
      <c r="A8" s="5" t="inlineStr">
        <is>
          <t>Margen contribución por evento (€)</t>
        </is>
      </c>
      <c r="B8" s="6">
        <f>B6*B7</f>
        <v>824.9999999999999</v>
      </c>
    </row>
    <row r="9">
      <c r="A9" s="16" t="inlineStr">
        <is>
          <t>Eventos break-even AÑO 1</t>
        </is>
      </c>
      <c r="B9" s="20">
        <f>B5/B8</f>
        <v>10.181818181818183</v>
      </c>
    </row>
    <row r="10">
      <c r="A10" s="5" t="inlineStr">
        <is>
          <t>Eventos break-even MES (10 meses activos)</t>
        </is>
      </c>
      <c r="B10" s="21">
        <f>B9/10</f>
        <v>1.0181818181818183</v>
      </c>
    </row>
  </sheetData>
  <mergeCells count="2">
    <mergeCell ref="A1:J1"/>
    <mergeCell ref="A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4" customWidth="1" min="4" max="4"/>
    <col width="24" customWidth="1" min="5" max="5"/>
    <col width="12" customWidth="1" min="6" max="6"/>
  </cols>
  <sheetData>
    <row r="1" ht="28" customHeight="1">
      <c r="A1" s="1" t="inlineStr">
        <is>
          <t>Mix B2C / B2B detallado</t>
        </is>
      </c>
    </row>
    <row r="2">
      <c r="A2" s="2" t="inlineStr">
        <is>
          <t>Tipologías de cliente, ticket medio y volumen mensual</t>
        </is>
      </c>
    </row>
    <row r="4" ht="26" customHeight="1">
      <c r="A4" s="4" t="inlineStr">
        <is>
          <t>Segmento</t>
        </is>
      </c>
      <c r="B4" s="4" t="inlineStr">
        <is>
          <t>Tipo cliente</t>
        </is>
      </c>
      <c r="C4" s="4" t="inlineStr">
        <is>
          <t>Ticket medio</t>
        </is>
      </c>
      <c r="D4" s="4" t="inlineStr">
        <is>
          <t>Eventos/año</t>
        </is>
      </c>
      <c r="E4" s="4" t="inlineStr">
        <is>
          <t>Estacionalidad</t>
        </is>
      </c>
      <c r="F4" s="4" t="inlineStr">
        <is>
          <t>Margen</t>
        </is>
      </c>
    </row>
    <row r="5">
      <c r="A5" s="5" t="inlineStr">
        <is>
          <t>B2C</t>
        </is>
      </c>
      <c r="B5" s="5" t="inlineStr">
        <is>
          <t>Boda íntima en finca (40-60 pax)</t>
        </is>
      </c>
      <c r="C5" s="22" t="n">
        <v>1450</v>
      </c>
      <c r="D5" s="23" t="n">
        <v>12</v>
      </c>
      <c r="E5" s="5" t="inlineStr">
        <is>
          <t>Mayo-octubre</t>
        </is>
      </c>
      <c r="F5" s="23" t="inlineStr">
        <is>
          <t>55%</t>
        </is>
      </c>
    </row>
    <row r="6">
      <c r="A6" s="5" t="inlineStr">
        <is>
          <t>B2C</t>
        </is>
      </c>
      <c r="B6" s="5" t="inlineStr">
        <is>
          <t>Cumpleaños familiar / aniversario (20-40 pax)</t>
        </is>
      </c>
      <c r="C6" s="22" t="n">
        <v>650</v>
      </c>
      <c r="D6" s="23" t="n">
        <v>18</v>
      </c>
      <c r="E6" s="5" t="inlineStr">
        <is>
          <t>Todo el año</t>
        </is>
      </c>
      <c r="F6" s="23" t="inlineStr">
        <is>
          <t>60%</t>
        </is>
      </c>
    </row>
    <row r="7">
      <c r="A7" s="5" t="inlineStr">
        <is>
          <t>B2C</t>
        </is>
      </c>
      <c r="B7" s="5" t="inlineStr">
        <is>
          <t>Comunión / bautizo (50-80 pax)</t>
        </is>
      </c>
      <c r="C7" s="22" t="n">
        <v>1100</v>
      </c>
      <c r="D7" s="23" t="n">
        <v>9</v>
      </c>
      <c r="E7" s="5" t="inlineStr">
        <is>
          <t>Mayo-julio</t>
        </is>
      </c>
      <c r="F7" s="23" t="inlineStr">
        <is>
          <t>55%</t>
        </is>
      </c>
    </row>
    <row r="8">
      <c r="A8" s="5" t="inlineStr">
        <is>
          <t>B2C</t>
        </is>
      </c>
      <c r="B8" s="5" t="inlineStr">
        <is>
          <t>Fiesta privada particular (30-50 pax)</t>
        </is>
      </c>
      <c r="C8" s="22" t="n">
        <v>750</v>
      </c>
      <c r="D8" s="23" t="n">
        <v>18</v>
      </c>
      <c r="E8" s="5" t="inlineStr">
        <is>
          <t>Junio-septiembre</t>
        </is>
      </c>
      <c r="F8" s="23" t="inlineStr">
        <is>
          <t>58%</t>
        </is>
      </c>
    </row>
    <row r="9">
      <c r="A9" s="5" t="inlineStr">
        <is>
          <t>B2B</t>
        </is>
      </c>
      <c r="B9" s="5" t="inlineStr">
        <is>
          <t>Wedding planner — boda 80-150 pax</t>
        </is>
      </c>
      <c r="C9" s="22" t="n">
        <v>2850</v>
      </c>
      <c r="D9" s="23" t="n">
        <v>28</v>
      </c>
      <c r="E9" s="5" t="inlineStr">
        <is>
          <t>Mayo-octubre</t>
        </is>
      </c>
      <c r="F9" s="23" t="inlineStr">
        <is>
          <t>52%</t>
        </is>
      </c>
    </row>
    <row r="10">
      <c r="A10" s="5" t="inlineStr">
        <is>
          <t>B2B</t>
        </is>
      </c>
      <c r="B10" s="5" t="inlineStr">
        <is>
          <t>Agencia eventos — corporate team-building</t>
        </is>
      </c>
      <c r="C10" s="22" t="n">
        <v>2200</v>
      </c>
      <c r="D10" s="23" t="n">
        <v>22</v>
      </c>
      <c r="E10" s="5" t="inlineStr">
        <is>
          <t>Marzo-junio + sept-nov</t>
        </is>
      </c>
      <c r="F10" s="23" t="inlineStr">
        <is>
          <t>50%</t>
        </is>
      </c>
    </row>
    <row r="11">
      <c r="A11" s="5" t="inlineStr">
        <is>
          <t>B2B</t>
        </is>
      </c>
      <c r="B11" s="5" t="inlineStr">
        <is>
          <t>Hotel / restaurante show cooking</t>
        </is>
      </c>
      <c r="C11" s="22" t="n">
        <v>1450</v>
      </c>
      <c r="D11" s="23" t="n">
        <v>14</v>
      </c>
      <c r="E11" s="5" t="inlineStr">
        <is>
          <t>Todo el año</t>
        </is>
      </c>
      <c r="F11" s="23" t="inlineStr">
        <is>
          <t>53%</t>
        </is>
      </c>
    </row>
    <row r="12">
      <c r="A12" s="5" t="inlineStr">
        <is>
          <t>B2B</t>
        </is>
      </c>
      <c r="B12" s="5" t="inlineStr">
        <is>
          <t>Ayuntamiento — fiesta del pueblo</t>
        </is>
      </c>
      <c r="C12" s="22" t="n">
        <v>3800</v>
      </c>
      <c r="D12" s="23" t="n">
        <v>8</v>
      </c>
      <c r="E12" s="5" t="inlineStr">
        <is>
          <t>Junio-septiembre</t>
        </is>
      </c>
      <c r="F12" s="23" t="inlineStr">
        <is>
          <t>48%</t>
        </is>
      </c>
    </row>
    <row r="13">
      <c r="A13" s="5" t="inlineStr">
        <is>
          <t>B2B</t>
        </is>
      </c>
      <c r="B13" s="5" t="inlineStr">
        <is>
          <t>Empresa — comida/cena anual plantilla</t>
        </is>
      </c>
      <c r="C13" s="22" t="n">
        <v>2100</v>
      </c>
      <c r="D13" s="23" t="n">
        <v>18</v>
      </c>
      <c r="E13" s="5" t="inlineStr">
        <is>
          <t>Junio + diciembre</t>
        </is>
      </c>
      <c r="F13" s="23" t="inlineStr">
        <is>
          <t>50%</t>
        </is>
      </c>
    </row>
  </sheetData>
  <mergeCells count="2">
    <mergeCell ref="A1:J1"/>
    <mergeCell ref="A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8" customWidth="1" min="4" max="4"/>
  </cols>
  <sheetData>
    <row r="1" ht="28" customHeight="1">
      <c r="A1" s="1" t="inlineStr">
        <is>
          <t>KPIs y ratios sector</t>
        </is>
      </c>
    </row>
    <row r="2">
      <c r="A2" s="2" t="inlineStr">
        <is>
          <t>Benchmarks paellero eventos España 2026</t>
        </is>
      </c>
    </row>
    <row r="4" ht="26" customHeight="1">
      <c r="A4" s="4" t="inlineStr">
        <is>
          <t>KPI</t>
        </is>
      </c>
      <c r="B4" s="4" t="inlineStr">
        <is>
          <t>Tu objetivo</t>
        </is>
      </c>
      <c r="C4" s="4" t="inlineStr">
        <is>
          <t>Sector top 25%</t>
        </is>
      </c>
      <c r="D4" s="4" t="inlineStr">
        <is>
          <t>Notas</t>
        </is>
      </c>
    </row>
    <row r="5">
      <c r="A5" s="5" t="inlineStr">
        <is>
          <t>Eventos / mes (temporada alta)</t>
        </is>
      </c>
      <c r="B5" s="23" t="n">
        <v>18</v>
      </c>
      <c r="C5" s="23" t="n">
        <v>22</v>
      </c>
      <c r="D5" s="5" t="inlineStr">
        <is>
          <t>Mayo-julio en zona Levante alcanza 25-30</t>
        </is>
      </c>
    </row>
    <row r="6">
      <c r="A6" s="5" t="inlineStr">
        <is>
          <t>Ticket medio</t>
        </is>
      </c>
      <c r="B6" s="23" t="inlineStr">
        <is>
          <t>1.200 €</t>
        </is>
      </c>
      <c r="C6" s="23" t="inlineStr">
        <is>
          <t>1.450 €</t>
        </is>
      </c>
      <c r="D6" s="5" t="inlineStr">
        <is>
          <t>Subir gama vía B2B premium / show cooking</t>
        </is>
      </c>
    </row>
    <row r="7">
      <c r="A7" s="5" t="inlineStr">
        <is>
          <t>Food cost %</t>
        </is>
      </c>
      <c r="B7" s="23" t="inlineStr">
        <is>
          <t>28 %</t>
        </is>
      </c>
      <c r="C7" s="23" t="inlineStr">
        <is>
          <t>24 %</t>
        </is>
      </c>
      <c r="D7" s="5" t="inlineStr">
        <is>
          <t>Compra directa arroceros DO + acuerdo carnicero</t>
        </is>
      </c>
    </row>
    <row r="8">
      <c r="A8" s="5" t="inlineStr">
        <is>
          <t>Margen neto %</t>
        </is>
      </c>
      <c r="B8" s="23" t="inlineStr">
        <is>
          <t>27 %</t>
        </is>
      </c>
      <c r="C8" s="23" t="inlineStr">
        <is>
          <t>32 %</t>
        </is>
      </c>
      <c r="D8" s="5" t="inlineStr">
        <is>
          <t>Premium con menos fondos perdidos</t>
        </is>
      </c>
    </row>
    <row r="9">
      <c r="A9" s="5" t="inlineStr">
        <is>
          <t>Tasa cancelación</t>
        </is>
      </c>
      <c r="B9" s="23" t="inlineStr">
        <is>
          <t>&lt; 8 %</t>
        </is>
      </c>
      <c r="C9" s="23" t="inlineStr">
        <is>
          <t>&lt; 5 %</t>
        </is>
      </c>
      <c r="D9" s="5" t="inlineStr">
        <is>
          <t>Anticipo 30 % + cláusula 30 días</t>
        </is>
      </c>
    </row>
    <row r="10">
      <c r="A10" s="5" t="inlineStr">
        <is>
          <t>NPS clientes B2C</t>
        </is>
      </c>
      <c r="B10" s="23" t="inlineStr">
        <is>
          <t>&gt; 70</t>
        </is>
      </c>
      <c r="C10" s="23" t="inlineStr">
        <is>
          <t>&gt; 80</t>
        </is>
      </c>
      <c r="D10" s="5" t="inlineStr">
        <is>
          <t>Sticker post-evento con QR a reseña Google</t>
        </is>
      </c>
    </row>
    <row r="11">
      <c r="A11" s="5" t="inlineStr">
        <is>
          <t>Tasa repetición B2B</t>
        </is>
      </c>
      <c r="B11" s="23" t="inlineStr">
        <is>
          <t>&gt; 35 %</t>
        </is>
      </c>
      <c r="C11" s="23" t="inlineStr">
        <is>
          <t>&gt; 50 %</t>
        </is>
      </c>
      <c r="D11" s="5" t="inlineStr">
        <is>
          <t>Wedding planner top contrata 4-6 eventos/año</t>
        </is>
      </c>
    </row>
    <row r="12">
      <c r="A12" s="5" t="inlineStr">
        <is>
          <t>Coste captación cliente B2C (CAC)</t>
        </is>
      </c>
      <c r="B12" s="23" t="inlineStr">
        <is>
          <t>85 €</t>
        </is>
      </c>
      <c r="C12" s="23" t="inlineStr">
        <is>
          <t>55 €</t>
        </is>
      </c>
      <c r="D12" s="5" t="inlineStr">
        <is>
          <t>SEO local + Google Ads + Pinterest</t>
        </is>
      </c>
    </row>
    <row r="13">
      <c r="A13" s="5" t="inlineStr">
        <is>
          <t>Lifetime Value B2B</t>
        </is>
      </c>
      <c r="B13" s="23" t="inlineStr">
        <is>
          <t>8.500 €</t>
        </is>
      </c>
      <c r="C13" s="23" t="inlineStr">
        <is>
          <t>14.000 €</t>
        </is>
      </c>
      <c r="D13" s="5" t="inlineStr">
        <is>
          <t>5 eventos × 1.700 € de ticket medio</t>
        </is>
      </c>
    </row>
  </sheetData>
  <mergeCells count="2">
    <mergeCell ref="A1:J1"/>
    <mergeCell ref="A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 Financiero — Paellero / Paella para Eventos · v1.2</dc:title>
  <dc:description xmlns:dc="http://purl.org/dc/elements/1.1/">aichef.pro/plan-negocio-paellero-eventos</dc:description>
  <dc:subject xmlns:dc="http://purl.org/dc/elements/1.1/">Plan de Negocio &amp; Kit de Paellero / Paella para Eventos · v1.1</dc:subject>
  <dcterms:created xmlns:dcterms="http://purl.org/dc/terms/" xmlns:xsi="http://www.w3.org/2001/XMLSchema-instance" xsi:type="dcterms:W3CDTF">2026-04-27T22:09:02Z</dcterms:created>
  <dcterms:modified xmlns:dcterms="http://purl.org/dc/terms/" xmlns:xsi="http://www.w3.org/2001/XMLSchema-instance" xsi:type="dcterms:W3CDTF">2026-10-11T08:19:52Z</dcterms:modified>
  <cp:lastModifiedBy>AI Chef Pro</cp:lastModifiedBy>
  <cp:category>AI Chef Pro · Productos digitales</cp:category>
  <cp:keywords>plan negocio paellero eventos, AI Chef Pro</cp:keywords>
</cp:coreProperties>
</file>