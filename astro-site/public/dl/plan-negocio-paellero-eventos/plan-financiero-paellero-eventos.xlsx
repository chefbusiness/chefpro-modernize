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94</v>
      </c>
      <c r="C4" t="inlineStr">
        <is>
          <t>Invitados (raciones) de media por evento en el año 1. Sale de la mezcla de cuatro tipos de evento de la tabla de referencias de la hoja de Instrucciones: bodas de 120, comidas de empresa de 70, fiestas privadas de 40 y fiestas populares de 400 raciones</t>
        </is>
      </c>
    </row>
    <row r="5">
      <c r="A5" t="inlineStr">
        <is>
          <t>Precio medio por invitado SIN IVA (€)</t>
        </is>
      </c>
      <c r="B5" s="63" t="n">
        <v>16</v>
      </c>
      <c r="C5" t="inlineStr">
        <is>
          <t>SIN IVA, por ración. Media ponderada de la misma mezcla: 28 € la boda (dos variedades y entrantes), 24 € la comida de empresa, 18 € la fiesta privada y 5 € la ración de una fiesta popular. Por eso la media baja: no es el precio de un menú de boda. El precio con IVA (10 % en un servicio de comidas) está en la fila «PVP equivalente con IVA» de abajo</t>
        </is>
      </c>
    </row>
    <row r="6">
      <c r="A6" t="inlineStr">
        <is>
          <t>Eventos al año</t>
        </is>
      </c>
      <c r="B6" s="18" t="n">
        <v>105</v>
      </c>
      <c r="C6" t="inlineStr">
        <is>
          <t>Eventos servidos en el año: 15 bodas, 30 comidas de empresa, 50 fiestas privadas (cumpleaños, comuniones, peñas, urbanizaciones) y 10 fiestas populares. Es el MISMO dato para la cuenta de resultados, el punto de equilibrio, los escenarios y las horas de personal</t>
        </is>
      </c>
    </row>
    <row r="7">
      <c r="A7" t="inlineStr">
        <is>
          <t>Crecimiento de volumen del año 2</t>
        </is>
      </c>
      <c r="B7" s="64" t="n">
        <v>0.1</v>
      </c>
      <c r="C7" t="inlineStr">
        <is>
          <t>Más volumen el segundo año: repetición de empresas, peñas y comisiones de fiestas, y bodas que llegan por recomendación. El libro lo aplica a las raciones por evento con los mismos eventos; en euros da lo mismo que hacer más eventos del mismo tamaño</t>
        </is>
      </c>
    </row>
    <row r="8">
      <c r="A8" t="inlineStr">
        <is>
          <t>Crecimiento de volumen del año 3</t>
        </is>
      </c>
      <c r="B8" s="64" t="n">
        <v>0.06</v>
      </c>
      <c r="C8" t="inlineStr">
        <is>
          <t>Sobre el año 2. Conservador: el techo lo ponen los fines de semana de temporada y un solo paellero titular</t>
        </is>
      </c>
    </row>
    <row r="9">
      <c r="A9" t="inlineStr">
        <is>
          <t>PVP equivalente con IVA (calculado)</t>
        </is>
      </c>
      <c r="B9" s="65">
        <f>IFERROR(IF($B$5="","",$B$5*(1+SUMPRODUCT('PyG 3 Años'!$E$10:$E$11,'PyG 3 Años'!$G$10:$G$11))),"")</f>
        <v>17.60352</v>
      </c>
      <c r="C9" t="str">
        <f>IFERROR("Precio por invitado sin IVA más el IVA medio ponderado de tus líneas de venta: "&amp;TEXT(SUMPRODUCT('PyG 3 Años'!$E$10:$E$11,'PyG 3 Años'!$G$10:$G$11)*100,"0")&amp;" %. En el servicio de paella todo va al 10 % (art. 91.Uno.2.2.º de la Ley 37/1992, alcohol incluido); el alcohol que sale en la paella para recoger mueve la media. Aquí va redondeado. Compáralo con el rango del sector, que va con IVA.","")</f>
        <v>Precio por invitado sin IVA más el IVA medio ponderado de tus líneas de venta: 10 %. En el servicio de paella todo va al 10 % (art. 91.Uno.2.2.º de la Ley 37/1992, alcohol incluido); el alcohol que sale en la paella para recoger mueve la media. Aquí va redondeado. Compáralo con el rango del sector, que va con IVA.</v>
      </c>
    </row>
    <row r="10">
      <c r="A10" s="16" t="inlineStr">
        <is>
          <t>MIX Y COSTE DE MERCANCÍA</t>
        </is>
      </c>
    </row>
    <row r="11">
      <c r="A11" t="inlineStr">
        <is>
          <t>Ventas de COMIDA sobre el total</t>
        </is>
      </c>
      <c r="B11" s="64" t="n">
        <v>0.92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0.07999999999999996</v>
      </c>
      <c r="C12" t="inlineStr">
        <is>
          <t>Se calcula como el resto: comida + bebida = 100 %</t>
        </is>
      </c>
    </row>
    <row r="13">
      <c r="A13" t="inlineStr">
        <is>
          <t>Coste de mercancía sobre las ventas de COMIDA</t>
        </is>
      </c>
      <c r="B13" s="64" t="n">
        <v>0.28</v>
      </c>
      <c r="C13" t="inlineStr">
        <is>
          <t>Materia prima de la comida sobre las ventas de comida: arroz, carne, marisco, verdura, caldo, azafrán, aceite, entrantes y pan. En las fiestas populares sube al 45 % (paella sola a precio de volumen); la media de la mezcla queda en el 28 %. Escandalla cada arroz con la calculadora de este kit</t>
        </is>
      </c>
    </row>
    <row r="14">
      <c r="A14" t="inlineStr">
        <is>
          <t>Coste de mercancía sobre las ventas de BEBIDA</t>
        </is>
      </c>
      <c r="B14" s="64" t="n">
        <v>0.3</v>
      </c>
      <c r="C14" t="inlineStr">
        <is>
          <t>Bebida sobre las ventas de bebida: el pack opcional de vino, cerveza, refrescos y agua. Si el cliente pone la bebida, esta línea baja</t>
        </is>
      </c>
    </row>
    <row r="15">
      <c r="A15" t="inlineStr">
        <is>
          <t>Consumibles sobre ventas</t>
        </is>
      </c>
      <c r="B15" s="64" t="n">
        <v>0.03</v>
      </c>
      <c r="C15" t="inlineStr">
        <is>
          <t>Gas, leña, desechables, hielo y papel: unos 45 € por evento. Una paellera de 90 cm gasta 1-1,5 kg de gas por cocción (propano de 35 kg a 78,80 € en julio de 2026, boletín del IDAE)</t>
        </is>
      </c>
    </row>
    <row r="16">
      <c r="A16" t="inlineStr">
        <is>
          <t>Ventas de paella para recoger (sin servicio) sobre el total</t>
        </is>
      </c>
      <c r="B16" s="64" t="n">
        <v>0.05</v>
      </c>
      <c r="C16" t="inlineStr">
        <is>
          <t>Parte de las ventas que se entrega SIN servicio: paella para recoger o entregada en su paellera, sin paellero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 la paella para recoger que entra por plataformas de pedidos o intermediarios. Si todos los pedidos los vendes tú, pon 0</t>
        </is>
      </c>
    </row>
    <row r="18">
      <c r="A18" t="inlineStr">
        <is>
          <t>Comisión de los medios de pago</t>
        </is>
      </c>
      <c r="B18" s="64" t="n">
        <v>0.005</v>
      </c>
      <c r="C18" t="inlineStr">
        <is>
          <t>Casi todo se cobra por transferencia (anticipos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900</v>
      </c>
      <c r="C24" t="inlineStr">
        <is>
          <t>Cuota de una cocina de apoyo compartida y autorizada: unas 35 horas al mes para caldos, sofritos y preparación, cámara frigorífica y almacén de paelleras y quemadores. La paella se cocina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gas de las paellas va en los consumibles, porque sube y baja con los eventos</t>
        </is>
      </c>
    </row>
    <row r="27">
      <c r="A27" t="inlineStr">
        <is>
          <t>Seguros (€/año)</t>
        </is>
      </c>
      <c r="B27" s="23" t="n">
        <v>1750</v>
      </c>
      <c r="C27" t="inlineStr">
        <is>
          <t>Responsabilidad civil de explotación con incendio y explosión (por el gas) y daños al recinto, y de producto con intoxicación alimentaria de al menos 600.000 € (unos 700 €); seguro de la furgoneta de uso comercial (900 €) y de los equipos que salen a cada evento (150 €). La cancelación por una prohibición de fuego no se asegura: va en la cláusula de fuerza mayor del contrato</t>
        </is>
      </c>
    </row>
    <row r="28">
      <c r="A28" t="inlineStr">
        <is>
          <t>Varios e imprevistos sobre ventas</t>
        </is>
      </c>
      <c r="B28" s="64" t="n">
        <v>0.045</v>
      </c>
      <c r="C28" t="inlineStr">
        <is>
          <t>Combustible de la furgoneta e imprevistos (3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20000</v>
      </c>
      <c r="C30" t="inlineStr">
        <is>
          <t>Aportación del socio. Un banco pide entre el 25 y el 30 % de la necesidad de caja con dinero propio</t>
        </is>
      </c>
    </row>
    <row r="31">
      <c r="A31" t="inlineStr">
        <is>
          <t>Préstamo bancario solicitado (€)</t>
        </is>
      </c>
      <c r="B31" s="23" t="n">
        <v>51600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fiestas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paella para recoger (es una entrega de bienes). El alcohol servido en el servicio de paella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isoterma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Paelleras, quemadores,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500</v>
      </c>
      <c r="C51" t="inlineStr">
        <is>
          <t>DATO INFORMATIVO: no entra en ningún cálculo. Es la fiesta más grande que puedes servir con dos paelleros, los dos auxiliares y tus paelleras (incluida la de 150 cm, de 90-120 raciones)</t>
        </is>
      </c>
    </row>
    <row r="52">
      <c r="A52" t="inlineStr">
        <is>
          <t>Actividad del mes 1 sobre la de crucero</t>
        </is>
      </c>
      <c r="B52" s="64" t="n">
        <v>0.55</v>
      </c>
      <c r="C52" t="inlineStr">
        <is>
          <t>Un negocio de paellas que arranca factura poco el primer mes: las bodas se reservan con meses de antelación y las empresas y ayuntamientos tardan en repetir. Con 100 % se elimina la rampa</t>
        </is>
      </c>
    </row>
    <row r="53">
      <c r="A53" t="inlineStr">
        <is>
          <t>Meses hasta alcanzar el régimen de crucero</t>
        </is>
      </c>
      <c r="B53" s="18" t="n">
        <v>6</v>
      </c>
      <c r="C53" t="inlineStr">
        <is>
          <t>Seis meses hasta el ritmo de crucero: una temporada de bodas y fiestas</t>
        </is>
      </c>
    </row>
    <row r="54">
      <c r="A54" t="inlineStr">
        <is>
          <t>Meses de cuota de la cocina de apoyo ANTES del primer evento</t>
        </is>
      </c>
      <c r="B54" s="18" t="n">
        <v>1</v>
      </c>
      <c r="C54" t="inlineStr">
        <is>
          <t>Un mes de cuota para montar el almacén, probar los caldos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t>
        </is>
      </c>
    </row>
    <row r="56"/>
    <row r="57">
      <c r="A57" s="16" t="inlineStr">
        <is>
          <t>COBROS, PAGOS Y DESGLOSE DEL IVA</t>
        </is>
      </c>
    </row>
    <row r="58">
      <c r="A58" t="inlineStr">
        <is>
          <t>Días medios de cobro</t>
        </is>
      </c>
      <c r="B58" s="18" t="n">
        <v>20</v>
      </c>
      <c r="C58" t="inlineStr">
        <is>
          <t>Media ponderada: los particulares pagan el 30 % al firmar y el 70 % el día del evento (contratos del kit); las empresas, a 30 días de la factura, y los ayuntamientos, a 30 días desde la conformidad (art. 198.4 de la Ley 9/2017), unos 45 días en la práctica. Empresas y ayuntamientos son el 45 % de las ventas. El libro no admite días negativos, así que los anticipos no se modelan: tu caja real será algo MEJOR que la de la hoja de Tesorería</t>
        </is>
      </c>
    </row>
    <row r="59">
      <c r="A59" t="inlineStr">
        <is>
          <t>Días medios de pago a proveedor</t>
        </is>
      </c>
      <c r="B59" s="18" t="n">
        <v>20</v>
      </c>
      <c r="C59" t="inlineStr">
        <is>
          <t>Plazo de pago a proveedores: el marisco y la carne se pagan a plazo corto; el arroz y el gas,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0.5</v>
      </c>
      <c r="C62" t="inlineStr">
        <is>
          <t>Parte ALCOHÓLICA de la bebida (vino y cerveza del pack). Reparte el IVA que soportas al comprarla (21 % el alcohol) y el que repercutes en la paella para recoger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paella en directo lo es. El libro aplica el 21 % sólo al alcohol de la paella para recoger,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PAELLERO / PAELLA PARA EVENTOS</t>
        </is>
      </c>
    </row>
    <row r="2">
      <c r="A2" s="2" t="inlineStr">
        <is>
          <t>Inversión inicial estimada — paella y arroces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42686.0</v>
      </c>
      <c r="C6" s="67">
        <f>IFERROR(B6/$B$26,"")</f>
        <v>0.6763623128688284</v>
      </c>
      <c r="D6" s="28" t="n"/>
      <c r="E6" s="28" t="n"/>
    </row>
    <row r="7">
      <c r="A7" s="28" t="inlineStr">
        <is>
          <t>Furgoneta isoterma usada con certificado ATP</t>
        </is>
      </c>
      <c r="B7" s="29" t="n">
        <v>18000</v>
      </c>
      <c r="C7" s="68">
        <f>IFERROR(B7/$B$26,"")</f>
        <v>0.28521111445529945</v>
      </c>
      <c r="D7" s="28" t="inlineStr">
        <is>
          <t>Furgoneta usada con caja isoterma y equipo de frío, con el certificado ATP vigente (RD 237/2000) para llevar carne y marisco. Estimación del kit</t>
        </is>
      </c>
      <c r="E7" s="31" t="inlineStr">
        <is>
          <t>Sí</t>
        </is>
      </c>
    </row>
    <row r="8">
      <c r="A8" s="28" t="inlineStr">
        <is>
          <t>Rotulación, estanterías y anclajes de botellas</t>
        </is>
      </c>
      <c r="B8" s="29" t="n">
        <v>1200</v>
      </c>
      <c r="C8" s="68">
        <f>IFERROR(B8/$B$26,"")</f>
        <v>0.019014074297019963</v>
      </c>
      <c r="D8" s="28" t="inlineStr">
        <is>
          <t>Rotulación con la marca, estanterías con amarres y anclajes para llevar las botellas de gas en pie y sujetas</t>
        </is>
      </c>
      <c r="E8" s="31" t="inlineStr">
        <is>
          <t>Sí</t>
        </is>
      </c>
    </row>
    <row r="9">
      <c r="A9" s="28" t="inlineStr">
        <is>
          <t>Paelleras de 60 a 150 cm</t>
        </is>
      </c>
      <c r="B9" s="29" t="n">
        <v>2400</v>
      </c>
      <c r="C9" s="68">
        <f>IFERROR(B9/$B$26,"")</f>
        <v>0.038028148594039926</v>
      </c>
      <c r="D9" s="28" t="inlineStr">
        <is>
          <t>Diez paelleras de 60 a 120 cm y una de 150 cm para fiestas populares (90-120 raciones). Una de 90 cm ronda los 61 € (ManoMano, octubre de 2026)</t>
        </is>
      </c>
      <c r="E9" s="31" t="inlineStr">
        <is>
          <t>Sí</t>
        </is>
      </c>
    </row>
    <row r="10">
      <c r="A10" s="28" t="inlineStr">
        <is>
          <t>Quemadores de anillos, patas y trípodes de leña</t>
        </is>
      </c>
      <c r="B10" s="29" t="n">
        <v>2100</v>
      </c>
      <c r="C10" s="68">
        <f>IFERROR(B10/$B$26,"")</f>
        <v>0.03327463001978494</v>
      </c>
      <c r="D10" s="28" t="inlineStr">
        <is>
          <t>Quemadores de 2 a 5 anillos con sus patas y dos trípodes para cocinar con leña donde esté permitido</t>
        </is>
      </c>
      <c r="E10" s="31" t="inlineStr">
        <is>
          <t>Sí</t>
        </is>
      </c>
    </row>
    <row r="11">
      <c r="A11" s="28" t="inlineStr">
        <is>
          <t>Gas y seguridad: reguladores, flexibles, extintores y manta ignífuga</t>
        </is>
      </c>
      <c r="B11" s="29" t="n">
        <v>950</v>
      </c>
      <c r="C11" s="68">
        <f>IFERROR(B11/$B$26,"")</f>
        <v>0.015052808818474137</v>
      </c>
      <c r="D11" s="28" t="inlineStr">
        <is>
          <t>Reguladores, tubos flexibles en fecha, tres extintores de polvo ABC, manta ignífuga, cortavientos y el depósito de los envases de propano</t>
        </is>
      </c>
      <c r="E11" s="31" t="inlineStr">
        <is>
          <t>Sí</t>
        </is>
      </c>
    </row>
    <row r="12">
      <c r="A12" s="28" t="inlineStr">
        <is>
          <t>Neveras, isotermos GN, sondas y acumuladores</t>
        </is>
      </c>
      <c r="B12" s="29" t="n">
        <v>1500</v>
      </c>
      <c r="C12" s="68">
        <f>IFERROR(B12/$B$26,"")</f>
        <v>0.023767592871274952</v>
      </c>
      <c r="D12" s="28" t="inlineStr">
        <is>
          <t>Cadena de frío del marisco y la carne desde la cocina de apoyo hasta el evento, y sondas para el registro del APPCC</t>
        </is>
      </c>
      <c r="E12" s="31" t="inlineStr">
        <is>
          <t>Sí</t>
        </is>
      </c>
    </row>
    <row r="13">
      <c r="A13" s="28" t="inlineStr">
        <is>
          <t>Carpa, mesas plegables, lavamanos portátil y protector de suelo</t>
        </is>
      </c>
      <c r="B13" s="29" t="n">
        <v>1800</v>
      </c>
      <c r="C13" s="68">
        <f>IFERROR(B13/$B$26,"")</f>
        <v>0.028521111445529945</v>
      </c>
      <c r="D13" s="28" t="inlineStr">
        <is>
          <t>Zona de cocción bajo carpa, mesa de show cooking, lavamanos para el personal y protector del césped o del pavimento</t>
        </is>
      </c>
      <c r="E13" s="31" t="inlineStr">
        <is>
          <t>Sí</t>
        </is>
      </c>
    </row>
    <row r="14">
      <c r="A14" s="28" t="inlineStr">
        <is>
          <t>Utensilios, ollas de caldo, cuchillería y básculas</t>
        </is>
      </c>
      <c r="B14" s="29" t="n">
        <v>1600</v>
      </c>
      <c r="C14" s="68">
        <f>IFERROR(B14/$B$26,"")</f>
        <v>0.025352099062693284</v>
      </c>
      <c r="D14" s="28" t="inlineStr">
        <is>
          <t>Paletas, cucharas, ollas de caldo de 50 litros, cuchillería, tablas de colores y básculas</t>
        </is>
      </c>
      <c r="E14" s="31" t="inlineStr">
        <is>
          <t>Sí</t>
        </is>
      </c>
    </row>
    <row r="15">
      <c r="A15" s="28" t="inlineStr">
        <is>
          <t>Uniformes y EPI térmicos</t>
        </is>
      </c>
      <c r="B15" s="29" t="n">
        <v>400</v>
      </c>
      <c r="C15" s="68">
        <f>IFERROR(B15/$B$26,"")</f>
        <v>0.006338024765673321</v>
      </c>
      <c r="D15" s="28" t="inlineStr">
        <is>
          <t>Chaquetas, delantales y guantes resistentes al calor</t>
        </is>
      </c>
      <c r="E15" s="31" t="inlineStr">
        <is>
          <t>Sí</t>
        </is>
      </c>
    </row>
    <row r="16">
      <c r="A16" s="28" t="inlineStr">
        <is>
          <t>Marca, web, fotos, dossier y lanzamiento</t>
        </is>
      </c>
      <c r="B16" s="29" t="n">
        <v>4500</v>
      </c>
      <c r="C16" s="68">
        <f>IFERROR(B16/$B$26,"")</f>
        <v>0.07130277861382486</v>
      </c>
      <c r="D16" s="28" t="inlineStr">
        <is>
          <t>Identidad, web con formulario de presupuesto, sesión de fotos y vídeo, dossier para bodas, empresas y ayuntamientos, y degustaciones de lanzamiento</t>
        </is>
      </c>
      <c r="E16" s="31" t="inlineStr">
        <is>
          <t>Sí</t>
        </is>
      </c>
    </row>
    <row r="17">
      <c r="A17" s="28" t="inlineStr">
        <is>
          <t>Software, tablet y datáfono</t>
        </is>
      </c>
      <c r="B17" s="29" t="n">
        <v>800</v>
      </c>
      <c r="C17" s="68">
        <f>IFERROR(B17/$B$26,"")</f>
        <v>0.012676049531346642</v>
      </c>
      <c r="D17" s="28" t="inlineStr">
        <is>
          <t>Presupuestos, agenda y facturación conforme a Veri*factu</t>
        </is>
      </c>
      <c r="E17" s="31" t="inlineStr">
        <is>
          <t>Sí</t>
        </is>
      </c>
    </row>
    <row r="18">
      <c r="A18" s="28" t="inlineStr">
        <is>
          <t>Constitución SL + notaría + registro</t>
        </is>
      </c>
      <c r="B18" s="29" t="n">
        <v>1000</v>
      </c>
      <c r="C18" s="68">
        <f>IFERROR(B18/$B$26,"")</f>
        <v>0.015845061914183303</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0.019014074297019963</v>
      </c>
      <c r="D19" s="28" t="inlineStr">
        <is>
          <t>Redacción del plan APPCC, fichas de alérgenos de cada arroz, formación en higiene alimentaria del equipo y trámites sanitarios</t>
        </is>
      </c>
      <c r="E19" s="31" t="inlineStr">
        <is>
          <t>Sí</t>
        </is>
      </c>
    </row>
    <row r="20">
      <c r="A20" s="28" t="inlineStr">
        <is>
          <t>Stock inicial de producto</t>
        </is>
      </c>
      <c r="B20" s="29" t="n">
        <v>1000</v>
      </c>
      <c r="C20" s="68">
        <f>IFERROR(B20/$B$26,"")</f>
        <v>0.015845061914183303</v>
      </c>
      <c r="D20" s="28" t="inlineStr">
        <is>
          <t>Arroz, especias, aceite, desechables y la primera carga de gas</t>
        </is>
      </c>
      <c r="E20" s="31" t="inlineStr">
        <is>
          <t>Sí</t>
        </is>
      </c>
    </row>
    <row r="21">
      <c r="A21" s="28" t="inlineStr">
        <is>
          <t>Fianza de la cocina de apoyo</t>
        </is>
      </c>
      <c r="B21" s="32">
        <f>IFERROR(IF('0. Supuestos'!$B$24="","",'0. Supuestos'!$B$24*'0. Supuestos'!$B$25),"")</f>
        <v>1800.0</v>
      </c>
      <c r="C21" s="68">
        <f>IFERROR(B21/$B$26,"")</f>
        <v>0.028521111445529945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900.0</v>
      </c>
      <c r="C22" s="68">
        <f>IFERROR(B22/$B$26,"")</f>
        <v>0.014260555722764972</v>
      </c>
      <c r="D22" s="28" t="str">
        <f>IFERROR("Renta "&amp;IF('0. Supuestos'!$B$54=1,"del mes","de los "&amp;TEXT('0. Supuestos'!$B$54,"0")&amp;" meses")&amp;" de puesta en marcha (pruebas de arroz y degustaciones). NO se solapa con el P&amp;L, que arranca el día de la apertura: los doce meses del P&amp;L son los doce de explotación","")</f>
        <v>Renta del mes de puesta en marcha (pruebas de arroz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1536.0</v>
      </c>
      <c r="C23" s="68">
        <f>IFERROR(B23/$B$26,"")</f>
        <v>0.024338015100185552</v>
      </c>
      <c r="D23" s="28" t="str">
        <f>IFERROR("Al "&amp;TEXT('0. Supuestos'!$B$55,"0%")&amp;" de las partidas de la furgoneta de este bloque (Furgoneta isoterma usada con certificado ATP y Rotulación, estanterías y anclajes de botellas), no del bloque entero: el resto de partidas del bloque quedan fuera. Un banco no financia una "&amp;"compra así sin colchón: el porcentaje está en la hoja de Supuestos","")</f>
        <v>Al 8%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20425.145</v>
      </c>
      <c r="C24" s="67">
        <f>IFERROR(B24/$B$26,"")</f>
        <v>0.3236376871311715</v>
      </c>
      <c r="D24" s="28" t="n"/>
      <c r="E24" s="28" t="n"/>
    </row>
    <row r="25">
      <c r="A25" s="28" t="inlineStr">
        <is>
          <t>Colchón operativo hasta alcanzar el equilibrio</t>
        </is>
      </c>
      <c r="B25" s="32">
        <f>IFERROR(IF('0. Supuestos'!$B$35*('PyG 3 Años'!$B$38-'PyG 3 Años'!$B$36)=0,"",'0. Supuestos'!$B$35*('PyG 3 Años'!$B$38-'PyG 3 Años'!$B$36)/12),"")</f>
        <v>20425.145</v>
      </c>
      <c r="C25" s="68">
        <f>IFERROR(B25/$B$26,"")</f>
        <v>0.3236376871311715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63111.145000000004</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(32% del total). Para comparar el desglose con otro plan, usa la fila de CAPEX de abajo.</v>
      </c>
      <c r="E26" s="28" t="n"/>
    </row>
    <row r="27">
      <c r="A27" s="25" t="inlineStr">
        <is>
          <t>CAPEX (inversión sin el fondo de maniobra)</t>
        </is>
      </c>
      <c r="B27" s="26">
        <f>IFERROR(B26-B24,"")</f>
        <v>42686.0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8376.06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71487.205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20736.0</v>
      </c>
      <c r="C31" s="28" t="n"/>
      <c r="D31" s="28" t="str">
        <f>IFERROR("Se amortiza en "&amp;TEXT('0. Supuestos'!$B$44,"0")&amp;" años","")</f>
        <v>Se amortiza en 8 años</v>
      </c>
      <c r="E31" s="28" t="n"/>
    </row>
    <row r="32">
      <c r="A32" s="28" t="inlineStr">
        <is>
          <t>Maquinaria, mobiliario y equipos</t>
        </is>
      </c>
      <c r="B32" s="32">
        <f>IFERROR(IF(B9="","",B9+B10+B11+B12+B13+B14+B15+B17),"")</f>
        <v>11550.0</v>
      </c>
      <c r="C32" s="28" t="n"/>
      <c r="D32" s="28" t="str">
        <f>IFERROR("Se amortiza en "&amp;TEXT('0. Supuestos'!$B$45,"0")&amp;" años","")</f>
        <v>Se amortiza en 10 años</v>
      </c>
      <c r="E32" s="28" t="n"/>
    </row>
    <row r="33">
      <c r="A33" s="25" t="inlineStr">
        <is>
          <t>Amortización anual del inmovilizado</t>
        </is>
      </c>
      <c r="B33" s="26">
        <f>IFERROR(B31/MAX(1,'0. Supuestos'!$B$44)+B32/MAX(1,'0. Supuestos'!$B$45),"")</f>
        <v>3747.0</v>
      </c>
      <c r="C33" s="28" t="n"/>
      <c r="D33" s="25" t="str">
        <f>IFERROR("No se amortizan, por no ser inmovilizado, Marca, web, fotos, dossier y lanzamiento, Constitución SL + notaría + registro, Declaración responsable, plan APPCC, alérgenos y formación, Stock inicial de producto, Fianza de la cocina de apoyo, "&amp;"Cuota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30825 € de los 63111 €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paellero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94.0</v>
      </c>
      <c r="C6" s="40">
        <f>IFERROR(B6*(1+'0. Supuestos'!$B$7),"")</f>
        <v>103.4</v>
      </c>
      <c r="D6" s="40">
        <f>IFERROR(C6*(1+'0. Supuestos'!$B$8),"")</f>
        <v>109.60400000000001</v>
      </c>
      <c r="E6" s="28" t="n"/>
      <c r="F6" s="28" t="inlineStr">
        <is>
          <t>El crecimiento de los años 2 y 3 está en la hoja de Supuestos</t>
        </is>
      </c>
      <c r="G6" s="28" t="n"/>
      <c r="H6" s="28" t="n"/>
    </row>
    <row r="7">
      <c r="A7" s="28" t="inlineStr">
        <is>
          <t>Precio medio por invitado sin IVA</t>
        </is>
      </c>
      <c r="B7" s="70">
        <f>IFERROR(IF('0. Supuestos'!$B$5="","",'0. Supuestos'!$B$5),"")</f>
        <v>16.0</v>
      </c>
      <c r="C7" s="70">
        <f>IFERROR(IF(B7="","",B7),"")</f>
        <v>16.0</v>
      </c>
      <c r="D7" s="70">
        <f>IFERROR(IF(C7="","",C7),"")</f>
        <v>16.0</v>
      </c>
      <c r="E7" s="28" t="n"/>
      <c r="F7" s="28" t="inlineStr">
        <is>
          <t>Constante en euros del año 1: una subida de precios es una decisión aparte</t>
        </is>
      </c>
      <c r="G7" s="28" t="n"/>
      <c r="H7" s="28" t="n"/>
    </row>
    <row r="8">
      <c r="A8" s="28" t="inlineStr">
        <is>
          <t>Eventos al año</t>
        </is>
      </c>
      <c r="B8" s="40">
        <f>IFERROR(IF('0. Supuestos'!$B$6="","",'0. Supuestos'!$B$6),"")</f>
        <v>105.0</v>
      </c>
      <c r="C8" s="40">
        <f>IFERROR(IF(B8="","",B8),"")</f>
        <v>105.0</v>
      </c>
      <c r="D8" s="40">
        <f>IFERROR(IF(C8="","",C8),"")</f>
        <v>105.0</v>
      </c>
      <c r="E8" s="28" t="n"/>
      <c r="F8" s="28" t="n"/>
      <c r="G8" s="28" t="n"/>
      <c r="H8" s="28" t="n"/>
    </row>
    <row r="9">
      <c r="A9" s="25" t="inlineStr">
        <is>
          <t>INGRESOS TOTALES (sin IVA)</t>
        </is>
      </c>
      <c r="B9" s="26">
        <f>IFERROR(IF(B6*B7*B8=0,"",B6*B7*B8),"")</f>
        <v>157920.0</v>
      </c>
      <c r="C9" s="26">
        <f>IFERROR(IF(C6*C7*C8=0,"",C6*C7*C8),"")</f>
        <v>173712.0</v>
      </c>
      <c r="D9" s="26">
        <f>IFERROR(IF(D6*D7*D8=0,"",D6*D7*D8),"")</f>
        <v>184134.72000000003</v>
      </c>
      <c r="E9" s="67">
        <f>IFERROR(IF(B9="","",1),"")</f>
        <v>1.0</v>
      </c>
      <c r="F9" s="28" t="n"/>
      <c r="G9" s="28" t="n"/>
      <c r="H9" s="28" t="n"/>
    </row>
    <row r="10">
      <c r="A10" s="28" t="inlineStr">
        <is>
          <t>Ventas de comida (paellas y arroces en directo, entrantes y postre)</t>
        </is>
      </c>
      <c r="B10" s="32">
        <f>IFERROR(IF(B9="","",B9*$E$10),"")</f>
        <v>145286.4</v>
      </c>
      <c r="C10" s="32">
        <f>IFERROR(IF(C9="","",C9*$E$10),"")</f>
        <v>159815.04</v>
      </c>
      <c r="D10" s="32">
        <f>IFERROR(IF(D9="","",D9*$E$10),"")</f>
        <v>169403.94240000003</v>
      </c>
      <c r="E10" s="68">
        <f>IFERROR(IF('0. Supuestos'!$B$11="","",'0. Supuestos'!$B$11),"")</f>
        <v>0.92</v>
      </c>
      <c r="F10" s="28" t="inlineStr">
        <is>
          <t>Paellas y arroces cocinados en el evento, con show cooking cuando se contrata, entrantes, pan, alioli y postre. Las fiestas populares son paella sola por ración</t>
        </is>
      </c>
      <c r="G10" s="68">
        <f>IFERROR(IF(B9="","",'0. Supuestos'!$B$39),"")</f>
        <v>0.1</v>
      </c>
      <c r="H10" s="28" t="n"/>
    </row>
    <row r="11">
      <c r="A11" s="28" t="inlineStr">
        <is>
          <t>Ventas de bebida (pack opcional de vino, cerveza y refrescos)</t>
        </is>
      </c>
      <c r="B11" s="32">
        <f>IFERROR(IF(B9="","",B9*$E$11),"")</f>
        <v>12633.599999999993</v>
      </c>
      <c r="C11" s="32">
        <f>IFERROR(IF(C9="","",C9*$E$11),"")</f>
        <v>13896.959999999994</v>
      </c>
      <c r="D11" s="32">
        <f>IFERROR(IF(D9="","",D9*$E$11),"")</f>
        <v>14730.777599999996</v>
      </c>
      <c r="E11" s="68">
        <f>IFERROR(IF('0. Supuestos'!$B$12="","",'0. Supuestos'!$B$12),"")</f>
        <v>0.07999999999999996</v>
      </c>
      <c r="F11" s="28" t="inlineStr">
        <is>
          <t>Pack de bebida que algunos clientes contratan con la paella; en muchas fiestas la bebida la pone el cliente</t>
        </is>
      </c>
      <c r="G11" s="68">
        <f>IFERROR(IF(B9="","",('0. Supuestos'!$B$62*((1-'0. Supuestos'!$B$16)*'0. Supuestos'!$B$63+'0. Supuestos'!$B$16*'0. Supuestos'!$B$40)+(1-'0. Supuestos'!$B$62)*'0. Supuestos'!$B$39)),"")</f>
        <v>0.10275000000000001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40680.192</v>
      </c>
      <c r="C13" s="32">
        <f>IFERROR(IF(C9="","",C9*'0. Supuestos'!$B$11*'0. Supuestos'!$B$13),"")</f>
        <v>44748.211200000005</v>
      </c>
      <c r="D13" s="32">
        <f>IFERROR(IF(D9="","",D9*'0. Supuestos'!$B$11*'0. Supuestos'!$B$13),"")</f>
        <v>47433.103872000014</v>
      </c>
      <c r="E13" s="68">
        <f>IFERROR(B13/$B$9,"")</f>
        <v>0.2576</v>
      </c>
      <c r="F13" s="28" t="str">
        <f>IFERROR("Al "&amp;TEXT('0. Supuestos'!$B$13,"0%")&amp;" de las ventas de COMIDA, no del total: la bebida tiene su propia línea","")</f>
        <v>Al 28% de las ventas de COMIDA, no del total: la bebida tiene su propia línea</v>
      </c>
      <c r="G13" s="68">
        <f>IFERROR(IF(B9="","",'0. Supuestos'!$B$39),"")</f>
        <v>0.1</v>
      </c>
      <c r="H13" s="28" t="n"/>
    </row>
    <row r="14">
      <c r="A14" s="28" t="inlineStr">
        <is>
          <t>Coste de mercancía — bebida</t>
        </is>
      </c>
      <c r="B14" s="32">
        <f>IFERROR(IF(B9="","",B9*'0. Supuestos'!$B$12*'0. Supuestos'!$B$14),"")</f>
        <v>3790.0799999999977</v>
      </c>
      <c r="C14" s="32">
        <f>IFERROR(IF(C9="","",C9*'0. Supuestos'!$B$12*'0. Supuestos'!$B$14),"")</f>
        <v>4169.087999999998</v>
      </c>
      <c r="D14" s="32">
        <f>IFERROR(IF(D9="","",D9*'0. Supuestos'!$B$12*'0. Supuestos'!$B$14),"")</f>
        <v>4419.233279999999</v>
      </c>
      <c r="E14" s="68">
        <f>IFERROR(B14/$B$9,"")</f>
        <v>0.023999999999999987</v>
      </c>
      <c r="F14" s="28" t="str">
        <f>IFERROR("Al "&amp;TEXT('0. Supuestos'!$B$14,"0%")&amp;" de las ventas de BEBIDA","")</f>
        <v>Al 30% de las ventas de BEBIDA</v>
      </c>
      <c r="G14" s="68">
        <f>IFERROR(IF(B9="","",('0. Supuestos'!$B$62*'0. Supuestos'!$B$40+(1-'0. Supuestos'!$B$62)*'0. Supuestos'!$B$39)),"")</f>
        <v>0.155</v>
      </c>
      <c r="H14" s="28" t="n"/>
    </row>
    <row r="15">
      <c r="A15" s="28" t="inlineStr">
        <is>
          <t>Consumibles y envases</t>
        </is>
      </c>
      <c r="B15" s="32">
        <f>IFERROR(IF(B9="","",B9*'0. Supuestos'!$B$15),"")</f>
        <v>4737.599999999999</v>
      </c>
      <c r="C15" s="32">
        <f>IFERROR(IF(C9="","",C9*'0. Supuestos'!$B$15),"")</f>
        <v>5211.36</v>
      </c>
      <c r="D15" s="32">
        <f>IFERROR(IF(D9="","",D9*'0. Supuestos'!$B$15),"")</f>
        <v>5524.0416000000005</v>
      </c>
      <c r="E15" s="68">
        <f>IFERROR(B15/$B$9,"")</f>
        <v>0.029999999999999995</v>
      </c>
      <c r="F15" s="28" t="n"/>
      <c r="G15" s="68">
        <f>IFERROR(IF(B9="","",'0. Supuestos'!$B$41),"")</f>
        <v>0.21</v>
      </c>
      <c r="H15" s="28" t="n"/>
    </row>
    <row r="16">
      <c r="A16" s="28" t="inlineStr">
        <is>
          <t>Comisiones de la paella para recoger</t>
        </is>
      </c>
      <c r="B16" s="32">
        <f>IFERROR(IF(B9="","",B9*'0. Supuestos'!$B$16*'0. Supuestos'!$B$17),"")</f>
        <v>789.6</v>
      </c>
      <c r="C16" s="32">
        <f>IFERROR(IF(C9="","",C9*'0. Supuestos'!$B$16*'0. Supuestos'!$B$17),"")</f>
        <v>868.5600000000001</v>
      </c>
      <c r="D16" s="32">
        <f>IFERROR(IF(D9="","",D9*'0. Supuestos'!$B$16*'0. Supuestos'!$B$17),"")</f>
        <v>920.6736000000003</v>
      </c>
      <c r="E16" s="68">
        <f>IFERROR(B16/$B$9,"")</f>
        <v>0.005</v>
      </c>
      <c r="F16" s="28" t="inlineStr">
        <is>
          <t>Sobre las ventas DEL CANAL. Con 0 % de paella para recoger en Supuestos, esta línea vale cero</t>
        </is>
      </c>
      <c r="G16" s="68">
        <f>IFERROR(IF(B9="","",'0. Supuestos'!$B$41),"")</f>
        <v>0.21</v>
      </c>
      <c r="H16" s="28" t="n"/>
    </row>
    <row r="17">
      <c r="A17" s="28" t="inlineStr">
        <is>
          <t>Comisiones de los medios de pago</t>
        </is>
      </c>
      <c r="B17" s="32">
        <f>IFERROR(IF(B9="","",B9*'0. Supuestos'!$B$18),"")</f>
        <v>789.6</v>
      </c>
      <c r="C17" s="32">
        <f>IFERROR(IF(C9="","",C9*'0. Supuestos'!$B$18),"")</f>
        <v>868.5600000000001</v>
      </c>
      <c r="D17" s="32">
        <f>IFERROR(IF(D9="","",D9*'0. Supuestos'!$B$18),"")</f>
        <v>920.6736000000002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7106.4</v>
      </c>
      <c r="C18" s="32">
        <f>IFERROR(IF(C9="","",C9*'0. Supuestos'!$B$28),"")</f>
        <v>7817.04</v>
      </c>
      <c r="D18" s="32">
        <f>IFERROR(IF(D9="","",D9*'0. Supuestos'!$B$28),"")</f>
        <v>8286.0624</v>
      </c>
      <c r="E18" s="68">
        <f>IFERROR(B18/$B$9,"")</f>
        <v>0.045</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57893.472</v>
      </c>
      <c r="C19" s="26">
        <f>IFERROR(IF(C9="","",SUM(C13:C18)),"")</f>
        <v>63682.819200000005</v>
      </c>
      <c r="D19" s="26">
        <f>IFERROR(IF(D9="","",SUM(D13:D18)),"")</f>
        <v>67503.78835200002</v>
      </c>
      <c r="E19" s="67">
        <f>IFERROR(B19/$B$9,"")</f>
        <v>0.36660000000000004</v>
      </c>
      <c r="F19" s="28" t="n"/>
      <c r="G19" s="28" t="n"/>
      <c r="H19" s="28" t="n"/>
    </row>
    <row r="20">
      <c r="A20" s="25" t="inlineStr">
        <is>
          <t>MARGEN BRUTO</t>
        </is>
      </c>
      <c r="B20" s="26">
        <f>IFERROR(IF(B9="","",B9-B19),"")</f>
        <v>100026.52799999999</v>
      </c>
      <c r="C20" s="26">
        <f>IFERROR(IF(C9="","",C9-C19),"")</f>
        <v>110029.1808</v>
      </c>
      <c r="D20" s="26">
        <f>IFERROR(IF(D9="","",D9-D19),"")</f>
        <v>116630.93164800001</v>
      </c>
      <c r="E20" s="67">
        <f>IFERROR(B20/$B$9,"")</f>
        <v>0.6334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10800.0</v>
      </c>
      <c r="C22" s="32">
        <f>IFERROR(IF(C9="","",B22*(1+'0. Supuestos'!$B$48)),"")</f>
        <v>10800.0</v>
      </c>
      <c r="D22" s="32">
        <f>IFERROR(IF(D9="","",C22*(1+'0. Supuestos'!$B$48)),"")</f>
        <v>10800.0</v>
      </c>
      <c r="E22" s="68">
        <f>IFERROR(B22/$B$9,"")</f>
        <v>0.06838905775075987</v>
      </c>
      <c r="F22" s="28" t="inlineStr">
        <is>
          <t>El importe mensual está en la hoja de Supuestos; aquí se multiplica por doce. Es el contrato de uso de una cocina de apoyo compartida y autorizada (horas de cocina, cámara y almacén de paelleras y quemadores). El mes previo al primer evento está en la hoja de Inversión y NO se cuenta dos veces</t>
        </is>
      </c>
      <c r="G22" s="68">
        <f>IFERROR(IF(B9="","",'0. Supuestos'!$B$41),"")</f>
        <v>0.21</v>
      </c>
      <c r="H22" s="28" t="n"/>
    </row>
    <row r="23">
      <c r="A23" s="28" t="inlineStr">
        <is>
          <t>Personal (nóminas + Seguridad Social)</t>
        </is>
      </c>
      <c r="B23" s="32">
        <f>IFERROR(IF(B9="","",'Personal'!$G$9),"")</f>
        <v>55096.58</v>
      </c>
      <c r="C23" s="32">
        <f>IFERROR(IF(C9="","",'Personal'!$B$13),"")</f>
        <v>61096.58</v>
      </c>
      <c r="D23" s="32">
        <f>IFERROR(IF(D9="","",'Personal'!$B$14),"")</f>
        <v>67096.58</v>
      </c>
      <c r="E23" s="68">
        <f>IFERROR(B23/$B$9,"")</f>
        <v>0.34888918439716315</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0.003799392097264438</v>
      </c>
      <c r="F24" s="28" t="inlineStr">
        <is>
          <t>Consumos propios fuera de la cuota de la cocina. El gas de las paellas va en los consumibles. Va al 21 % de IVA</t>
        </is>
      </c>
      <c r="G24" s="68">
        <f>IFERROR(IF(B9="","",'0. Supuestos'!$B$41),"")</f>
        <v>0.21</v>
      </c>
      <c r="H24" s="28" t="n"/>
    </row>
    <row r="25">
      <c r="A25" s="28" t="inlineStr">
        <is>
          <t>Seguros (RC + multirriesgo)</t>
        </is>
      </c>
      <c r="B25" s="32">
        <f>IFERROR(IF(B9="","",'0. Supuestos'!$B$27),"")</f>
        <v>1750.0</v>
      </c>
      <c r="C25" s="32">
        <f>IFERROR(IF(C9="","",B25*(1+'0. Supuestos'!$B$48)),"")</f>
        <v>1750.0</v>
      </c>
      <c r="D25" s="32">
        <f>IFERROR(IF(D9="","",C25*(1+'0. Supuestos'!$B$48)),"")</f>
        <v>1750.0</v>
      </c>
      <c r="E25" s="68">
        <f>IFERROR(B25/$B$9,"")</f>
        <v>0.011081560283687944</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0.011398176291793313</v>
      </c>
      <c r="F26" s="28" t="inlineStr">
        <is>
          <t>Contabilidad, impuestos de la SL y nóminas de los fijos discontinuos de cada mes con llamamientos</t>
        </is>
      </c>
      <c r="G26" s="68">
        <f>IFERROR(IF(B9="","",'0. Supuestos'!$B$41),"")</f>
        <v>0.21</v>
      </c>
      <c r="H26" s="28" t="n"/>
    </row>
    <row r="27">
      <c r="A27" s="28" t="inlineStr">
        <is>
          <t>Furgoneta: mantenimiento, ITV e inspección ATP</t>
        </is>
      </c>
      <c r="B27" s="29" t="n">
        <v>1200</v>
      </c>
      <c r="C27" s="32">
        <f>IFERROR(IF(C9="","",B27*(1+'0. Supuestos'!$B$48)),"")</f>
        <v>1200.0</v>
      </c>
      <c r="D27" s="32">
        <f>IFERROR(IF(D9="","",C27*(1+'0. Supuestos'!$B$48)),"")</f>
        <v>1200.0</v>
      </c>
      <c r="E27" s="68">
        <f>IFERROR(B27/$B$9,"")</f>
        <v>0.007598784194528876</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4000</v>
      </c>
      <c r="C28" s="32">
        <f>IFERROR(IF(C9="","",B28*(1+'0. Supuestos'!$B$48)),"")</f>
        <v>4000.0</v>
      </c>
      <c r="D28" s="32">
        <f>IFERROR(IF(D9="","",C28*(1+'0. Supuestos'!$B$48)),"")</f>
        <v>4000.0</v>
      </c>
      <c r="E28" s="68">
        <f>IFERROR(B28/$B$9,"")</f>
        <v>0.025329280648429583</v>
      </c>
      <c r="F28" s="28" t="inlineStr">
        <is>
          <t>Google Ads local, un escaparate de bodas,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0.0056990881458966565</v>
      </c>
      <c r="F29" s="28" t="inlineStr">
        <is>
          <t>Presupuestos, agenda de eventos, CRM de clientes y línea de teléfono</t>
        </is>
      </c>
      <c r="G29" s="68">
        <f>IFERROR(IF(B9="","",'0. Supuestos'!$B$41),"")</f>
        <v>0.21</v>
      </c>
      <c r="H29" s="28" t="n"/>
    </row>
    <row r="30">
      <c r="A30" s="28" t="inlineStr">
        <is>
          <t>Revisión de gas por instaladora y mantenimiento de extintores</t>
        </is>
      </c>
      <c r="B30" s="29" t="n">
        <v>400</v>
      </c>
      <c r="C30" s="32">
        <f>IFERROR(IF(C9="","",B30*(1+'0. Supuestos'!$B$48)),"")</f>
        <v>400.0</v>
      </c>
      <c r="D30" s="32">
        <f>IFERROR(IF(D9="","",C30*(1+'0. Supuestos'!$B$48)),"")</f>
        <v>400.0</v>
      </c>
      <c r="E30" s="68">
        <f>IFERROR(B30/$B$9,"")</f>
        <v>0.0025329280648429585</v>
      </c>
      <c r="F30" s="28" t="inlineStr">
        <is>
          <t>Revisión de reguladores, flexibles y quemadores por una empresa instaladora de gas y mantenimiento anual de los extintores por una empresa mantenedora. Estimación del kit</t>
        </is>
      </c>
      <c r="G30" s="68">
        <f>IFERROR(IF(B9="","",'0. Supuestos'!$B$41),"")</f>
        <v>0.21</v>
      </c>
      <c r="H30" s="28" t="n"/>
    </row>
    <row r="31">
      <c r="A31" s="28" t="inlineStr">
        <is>
          <t>Uniformes y lavandería</t>
        </is>
      </c>
      <c r="B31" s="29" t="n">
        <v>400</v>
      </c>
      <c r="C31" s="32">
        <f>IFERROR(IF(C9="","",B31*(1+'0. Supuestos'!$B$48)),"")</f>
        <v>400.0</v>
      </c>
      <c r="D31" s="32">
        <f>IFERROR(IF(D9="","",C31*(1+'0. Supuestos'!$B$48)),"")</f>
        <v>400.0</v>
      </c>
      <c r="E31" s="68">
        <f>IFERROR(B31/$B$9,"")</f>
        <v>0.0025329280648429585</v>
      </c>
      <c r="F31" s="28" t="inlineStr">
        <is>
          <t>Chaquetas, delantales y paños: lavado y reposición</t>
        </is>
      </c>
      <c r="G31" s="68">
        <f>IFERROR(IF(B9="","",'0. Supuestos'!$B$41),"")</f>
        <v>0.21</v>
      </c>
      <c r="H31" s="28" t="n"/>
    </row>
    <row r="32">
      <c r="A32" s="28" t="inlineStr">
        <is>
          <t>Gestión de residuos (orgánico y aceite usado)</t>
        </is>
      </c>
      <c r="B32" s="29" t="n">
        <v>200</v>
      </c>
      <c r="C32" s="32">
        <f>IFERROR(IF(C9="","",B32*(1+'0. Supuestos'!$B$48)),"")</f>
        <v>200.0</v>
      </c>
      <c r="D32" s="32">
        <f>IFERROR(IF(D9="","",C32*(1+'0. Supuestos'!$B$48)),"")</f>
        <v>200.0</v>
      </c>
      <c r="E32" s="68">
        <f>IFERROR(B32/$B$9,"")</f>
        <v>0.0012664640324214793</v>
      </c>
      <c r="F32" s="28" t="inlineStr">
        <is>
          <t>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0.0025329280648429585</v>
      </c>
      <c r="F33" s="28" t="inlineStr">
        <is>
          <t>Plan de prevención obligatorio (Ley 31/1995): quemaduras, gas, calor y cargas, y reconocimientos médicos de la plantilla</t>
        </is>
      </c>
      <c r="G33" s="68">
        <f>IFERROR(IF(B9="","",'0. Supuestos'!$B$41),"")</f>
        <v>0.21</v>
      </c>
      <c r="H33" s="28" t="n"/>
    </row>
    <row r="34">
      <c r="A34" s="28" t="inlineStr">
        <is>
          <t>Pruebas de arroz y degustaciones comerciales</t>
        </is>
      </c>
      <c r="B34" s="29" t="n">
        <v>600</v>
      </c>
      <c r="C34" s="32">
        <f>IFERROR(IF(C9="","",B34*(1+'0. Supuestos'!$B$48)),"")</f>
        <v>600.0</v>
      </c>
      <c r="D34" s="32">
        <f>IFERROR(IF(D9="","",C34*(1+'0. Supuestos'!$B$48)),"")</f>
        <v>600.0</v>
      </c>
      <c r="E34" s="68">
        <f>IFERROR(B34/$B$9,"")</f>
        <v>0.003799392097264438</v>
      </c>
      <c r="F34" s="28" t="inlineStr">
        <is>
          <t>Producto y horas de las pruebas para novios y de las degustaciones a empresas y comisiones de fiestas que no se cobran</t>
        </is>
      </c>
      <c r="G34" s="68">
        <f>IFERROR(IF(B9="","",'0. Supuestos'!$B$41),"")</f>
        <v>0.21</v>
      </c>
      <c r="H34" s="28" t="n"/>
    </row>
    <row r="35">
      <c r="A35" s="28" t="inlineStr">
        <is>
          <t>Permisos y autorizaciones municipales</t>
        </is>
      </c>
      <c r="B35" s="29" t="n">
        <v>200</v>
      </c>
      <c r="C35" s="32">
        <f>IFERROR(IF(C9="","",B35*(1+'0. Supuestos'!$B$48)),"")</f>
        <v>200.0</v>
      </c>
      <c r="D35" s="32">
        <f>IFERROR(IF(D9="","",C35*(1+'0. Supuestos'!$B$48)),"")</f>
        <v>200.0</v>
      </c>
      <c r="E35" s="68">
        <f>IFERROR(B35/$B$9,"")</f>
        <v>0.0012664640324214793</v>
      </c>
      <c r="F35" s="28" t="inlineStr">
        <is>
          <t>Autorizaciones de ocupación de la vía pública o de uso del fuego y tasas que no repercutes al cliente. Estimación del kit: varía mucho por municipio</t>
        </is>
      </c>
      <c r="G35" s="68">
        <f>IFERROR(IF(B9="","",'0. Supuestos'!$B$41),"")</f>
        <v>0.21</v>
      </c>
      <c r="H35" s="28" t="n"/>
    </row>
    <row r="36">
      <c r="A36" s="28" t="inlineStr">
        <is>
          <t>Amortización del inmovilizado</t>
        </is>
      </c>
      <c r="B36" s="32">
        <f>IFERROR(IF(B9="","",'Inversión Inicial'!$B$33),"")</f>
        <v>3747.0</v>
      </c>
      <c r="C36" s="32">
        <f>IFERROR(IF(C9="","",B36),"")</f>
        <v>3747.0</v>
      </c>
      <c r="D36" s="32">
        <f>IFERROR(IF(D9="","",B36),"")</f>
        <v>3747.0</v>
      </c>
      <c r="E36" s="68">
        <f>IFERROR(B36/$B$9,"")</f>
        <v>0.023727203647416414</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3354.0</v>
      </c>
      <c r="C37" s="32">
        <f>IFERROR(IF(C9="","",'Financiación'!$B$46),"")</f>
        <v>3354.0</v>
      </c>
      <c r="D37" s="32">
        <f>IFERROR(IF(D9="","",'Financiación'!$B$48),"")</f>
        <v>2764.9217608980293</v>
      </c>
      <c r="E37" s="68">
        <f>IFERROR(B37/$B$9,"")</f>
        <v>0.021238601823708205</v>
      </c>
      <c r="F37" s="28" t="inlineStr">
        <is>
          <t>Sólo los INTERESES son gasto. La devolución del principal va en la hoja de Tesorería</t>
        </is>
      </c>
      <c r="G37" s="68" t="n">
        <v>0</v>
      </c>
      <c r="H37" s="28" t="n"/>
    </row>
    <row r="38">
      <c r="A38" s="25" t="inlineStr">
        <is>
          <t>TOTAL COSTES FIJOS</t>
        </is>
      </c>
      <c r="B38" s="26">
        <f>IFERROR(IF(B9="","",SUM(B22:B37)),"")</f>
        <v>85447.58</v>
      </c>
      <c r="C38" s="26">
        <f>IFERROR(IF(C9="","",SUM(C22:C37)),"")</f>
        <v>91447.58</v>
      </c>
      <c r="D38" s="26">
        <f>IFERROR(IF(D9="","",SUM(D22:D37)),"")</f>
        <v>96858.50176089803</v>
      </c>
      <c r="E38" s="67">
        <f>IFERROR(B38/$B$9,"")</f>
        <v>0.5410814336372847</v>
      </c>
      <c r="F38" s="28" t="n"/>
      <c r="G38" s="28" t="n"/>
      <c r="H38" s="28" t="n"/>
    </row>
    <row r="39">
      <c r="A39" s="28" t="inlineStr">
        <is>
          <t>IVA soportado de los costes variables</t>
        </is>
      </c>
      <c r="B39" s="32">
        <f>IFERROR(IF(B9="","",SUMPRODUCT(B13:B18,G13:G18)),"")</f>
        <v>7308.5376</v>
      </c>
      <c r="C39" s="32">
        <f>IFERROR(IF(C9="","",SUMPRODUCT(C13:C18,G13:G18)),"")</f>
        <v>8039.39136</v>
      </c>
      <c r="D39" s="32">
        <f>IFERROR(IF(D9="","",SUMPRODUCT(D13:D18,G13:G18)),"")</f>
        <v>8521.754841600003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4515.0</v>
      </c>
      <c r="C40" s="32">
        <f>IFERROR(IF(C9="","",SUMPRODUCT(C22:C37,G22:G37)),"")</f>
        <v>4515.0</v>
      </c>
      <c r="D40" s="32">
        <f>IFERROR(IF(D9="","",SUMPRODUCT(D22:D37,G22:G37)),"")</f>
        <v>4515.0</v>
      </c>
      <c r="E40" s="28" t="n"/>
      <c r="F40" s="28" t="n"/>
      <c r="G40" s="28" t="n"/>
      <c r="H40" s="28" t="n"/>
    </row>
    <row r="41">
      <c r="A41" s="25" t="inlineStr">
        <is>
          <t>RESULTADO ANTES DE IMPUESTOS</t>
        </is>
      </c>
      <c r="B41" s="26">
        <f>IFERROR(IF(B9="","",B20-B38),"")</f>
        <v>14578.94799999999</v>
      </c>
      <c r="C41" s="26">
        <f>IFERROR(IF(C9="","",C20-C38),"")</f>
        <v>18581.6008</v>
      </c>
      <c r="D41" s="26">
        <f>IFERROR(IF(D9="","",D20-D38),"")</f>
        <v>19772.429887101986</v>
      </c>
      <c r="E41" s="67">
        <f>IFERROR(B41/$B$9,"")</f>
        <v>0.09231856636271524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14578.94799999999</v>
      </c>
      <c r="C43" s="32">
        <f>IFERROR(IF(C9="","",MAX(0,C41-C42)),"")</f>
        <v>18581.6008</v>
      </c>
      <c r="D43" s="32">
        <f>IFERROR(IF(D9="","",MAX(0,D41-D42)),"")</f>
        <v>19772.429887101986</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2186.8421999999982</v>
      </c>
      <c r="C46" s="32">
        <f>IFERROR(IF(C9="","",IF(C45="",0,C43*C45)),"")</f>
        <v>2787.24012</v>
      </c>
      <c r="D46" s="32">
        <f>IFERROR(IF(D9="","",IF(D45="",0,D43*D45)),"")</f>
        <v>4943.107471775496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12392.10579999999</v>
      </c>
      <c r="C48" s="26">
        <f>IFERROR(IF(C9="","",C41-C46),"")</f>
        <v>15794.36068</v>
      </c>
      <c r="D48" s="26">
        <f>IFERROR(IF(D9="","",D41-D46),"")</f>
        <v>14829.32241532649</v>
      </c>
      <c r="E48" s="67">
        <f>IFERROR(B48/$B$9,"")</f>
        <v>0.07847078140830795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0.6334</v>
      </c>
      <c r="C51" s="68">
        <f>IFERROR(IF(C9="","",C20/C9),"")</f>
        <v>0.6334</v>
      </c>
      <c r="D51" s="68">
        <f>IFERROR(IF(D9="","",D20/D9),"")</f>
        <v>0.6334</v>
      </c>
      <c r="E51" s="75" t="n">
        <v>0.6</v>
      </c>
      <c r="F51" s="28" t="inlineStr">
        <is>
          <t>Los costes variables de la paella incluyen gas, desechables, combustible y cánones de fincas además de la mercancía: un margen bruto por debajo del 60 % no paga la plantilla</t>
        </is>
      </c>
      <c r="G51" s="28" t="n"/>
      <c r="H51" s="28" t="n"/>
    </row>
    <row r="52">
      <c r="A52" s="28" t="inlineStr">
        <is>
          <t>Coste de mercancía (comida + bebida)</t>
        </is>
      </c>
      <c r="B52" s="32">
        <f>IFERROR(IF(B9="","",B13+B14),"")</f>
        <v>44470.272</v>
      </c>
      <c r="C52" s="32">
        <f>IFERROR(IF(C9="","",C13+C14),"")</f>
        <v>48917.2992</v>
      </c>
      <c r="D52" s="32">
        <f>IFERROR(IF(D9="","",D13+D14),"")</f>
        <v>51852.337152000015</v>
      </c>
      <c r="E52" s="28" t="n"/>
      <c r="F52" s="28" t="n"/>
      <c r="G52" s="28" t="n"/>
      <c r="H52" s="28" t="n"/>
    </row>
    <row r="53">
      <c r="A53" s="28" t="inlineStr">
        <is>
          <t>Coste de mercancía / Ventas</t>
        </is>
      </c>
      <c r="B53" s="68">
        <f>IFERROR(IF(B9="","",B52/B9),"")</f>
        <v>0.28159999999999996</v>
      </c>
      <c r="C53" s="68">
        <f>IFERROR(IF(C9="","",C52/C9),"")</f>
        <v>0.2816</v>
      </c>
      <c r="D53" s="68">
        <f>IFERROR(IF(D9="","",D52/D9),"")</f>
        <v>0.2816</v>
      </c>
      <c r="E53" s="75" t="n">
        <v>0.32</v>
      </c>
      <c r="F53" s="28" t="inlineStr">
        <is>
          <t>Techo de la mercancía (comida y bebida) sobre ventas: estimación del kit</t>
        </is>
      </c>
      <c r="G53" s="28" t="n"/>
      <c r="H53" s="28" t="n"/>
    </row>
    <row r="54">
      <c r="A54" s="28" t="inlineStr">
        <is>
          <t>Coste de personal / Ventas</t>
        </is>
      </c>
      <c r="B54" s="68">
        <f>IFERROR(IF(B9="","",B23/B9),"")</f>
        <v>0.34888918439716315</v>
      </c>
      <c r="C54" s="68">
        <f>IFERROR(IF(C9="","",C23/C9),"")</f>
        <v>0.3517119139725523</v>
      </c>
      <c r="D54" s="68">
        <f>IFERROR(IF(D9="","",D23/D9),"")</f>
        <v>0.3643885303108506</v>
      </c>
      <c r="E54" s="75" t="n">
        <v>0.38</v>
      </c>
      <c r="F54" s="28" t="inlineStr">
        <is>
          <t>Techo del personal sobre ventas: montaje, cocción, servicio y recogida en cada evento. Estimación del kit</t>
        </is>
      </c>
      <c r="G54" s="28" t="n"/>
      <c r="H54" s="28" t="n"/>
    </row>
    <row r="55">
      <c r="A55" s="28" t="inlineStr">
        <is>
          <t>Cocina de apoyo / Ventas</t>
        </is>
      </c>
      <c r="B55" s="68">
        <f>IFERROR(IF(B9="","",B22/B9),"")</f>
        <v>0.06838905775075987</v>
      </c>
      <c r="C55" s="68">
        <f>IFERROR(IF(C9="","",C22/C9),"")</f>
        <v>0.06217187068250898</v>
      </c>
      <c r="D55" s="68">
        <f>IFERROR(IF(D9="","",D22/D9),"")</f>
        <v>0.0586527081910462</v>
      </c>
      <c r="E55" s="75" t="n">
        <v>0.08</v>
      </c>
      <c r="F55" s="28" t="inlineStr">
        <is>
          <t>Techo de la cuota de la cocina de apoyo sobre las ventas: estimación del kit</t>
        </is>
      </c>
      <c r="G55" s="28" t="n"/>
      <c r="H55" s="28" t="n"/>
    </row>
    <row r="56">
      <c r="A56" s="28" t="inlineStr">
        <is>
          <t>Resultado neto / Ventas</t>
        </is>
      </c>
      <c r="B56" s="68">
        <f>IFERROR(IF(B9="","",B48/B9),"")</f>
        <v>0.07847078140830795</v>
      </c>
      <c r="C56" s="68">
        <f>IFERROR(IF(C9="","",C48/C9),"")</f>
        <v>0.09092268052869117</v>
      </c>
      <c r="D56" s="68">
        <f>IFERROR(IF(D9="","",D48/D9),"")</f>
        <v>0.08053517780528564</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paellero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85447.58</v>
      </c>
      <c r="C6" s="70">
        <f>IFERROR(IF('PyG 3 Años'!$C$9="","",'PyG 3 Años'!$C$38),"")</f>
        <v>91447.58</v>
      </c>
      <c r="D6" s="70">
        <f>IFERROR(IF('PyG 3 Años'!$D$9="","",'PyG 3 Años'!$D$38),"")</f>
        <v>96858.50176089803</v>
      </c>
      <c r="E6" s="28" t="inlineStr">
        <is>
          <t>Los MISMOS costes fijos del P&amp;L. Cada año tiene los suyos: por eso el umbral no puede ser uno solo para los tres</t>
        </is>
      </c>
      <c r="F6" s="28" t="n"/>
    </row>
    <row r="7">
      <c r="A7" s="28" t="inlineStr">
        <is>
          <t>Costes fijos mensuales</t>
        </is>
      </c>
      <c r="B7" s="70">
        <f>IFERROR(IF('PyG 3 Años'!$B$9="","",B6/12),"")</f>
        <v>7120.631666666667</v>
      </c>
      <c r="C7" s="70">
        <f>IFERROR(IF('PyG 3 Años'!$C$9="","",C6/12),"")</f>
        <v>7620.631666666667</v>
      </c>
      <c r="D7" s="70">
        <f>IFERROR(IF('PyG 3 Años'!$D$9="","",D6/12),"")</f>
        <v>8071.541813408169</v>
      </c>
      <c r="E7" s="28" t="n"/>
      <c r="F7" s="28" t="n"/>
    </row>
    <row r="8">
      <c r="A8" s="28" t="inlineStr">
        <is>
          <t>Precio medio por invitado sin IVA</t>
        </is>
      </c>
      <c r="B8" s="70">
        <f>IFERROR(IF('PyG 3 Años'!$B$9="","",'PyG 3 Años'!$B$7),"")</f>
        <v>16.0</v>
      </c>
      <c r="C8" s="70">
        <f>IFERROR(IF('PyG 3 Años'!$C$9="","",'PyG 3 Años'!$C$7),"")</f>
        <v>16.0</v>
      </c>
      <c r="D8" s="70">
        <f>IFERROR(IF('PyG 3 Años'!$D$9="","",'PyG 3 Años'!$D$7),"")</f>
        <v>16.0</v>
      </c>
      <c r="E8" s="28" t="n"/>
      <c r="F8" s="28" t="n"/>
    </row>
    <row r="9">
      <c r="A9" s="28" t="inlineStr">
        <is>
          <t>Coste variable por invitado</t>
        </is>
      </c>
      <c r="B9" s="70">
        <f>IFERROR(IF('PyG 3 Años'!$B$9="","",'PyG 3 Años'!$B$19/('PyG 3 Años'!$B$6*'PyG 3 Años'!$B$8)),"")</f>
        <v>5.865600000000001</v>
      </c>
      <c r="C9" s="70">
        <f>IFERROR(IF('PyG 3 Años'!$C$9="","",'PyG 3 Años'!$C$19/('PyG 3 Años'!$C$6*'PyG 3 Años'!$C$8)),"")</f>
        <v>5.865600000000001</v>
      </c>
      <c r="D9" s="70">
        <f>IFERROR(IF('PyG 3 Años'!$D$9="","",'PyG 3 Años'!$D$19/('PyG 3 Años'!$D$6*'PyG 3 Años'!$D$8)),"")</f>
        <v>5.865600000000001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10.1344</v>
      </c>
      <c r="C10" s="70">
        <f>IFERROR(IF('PyG 3 Años'!$C$9="","",C8-C9),"")</f>
        <v>10.1344</v>
      </c>
      <c r="D10" s="70">
        <f>IFERROR(IF('PyG 3 Años'!$D$9="","",D8-D9),"")</f>
        <v>10.1344</v>
      </c>
      <c r="E10" s="28" t="inlineStr">
        <is>
          <t>Precio por invitado menos coste variable unitario</t>
        </is>
      </c>
      <c r="F10" s="28" t="n"/>
    </row>
    <row r="11">
      <c r="A11" s="28" t="inlineStr">
        <is>
          <t>Eventos al año</t>
        </is>
      </c>
      <c r="B11" s="40">
        <f>IFERROR(IF('PyG 3 Años'!$B$9="","",'PyG 3 Años'!$B$8),"")</f>
        <v>105.0</v>
      </c>
      <c r="C11" s="40">
        <f>IFERROR(IF('PyG 3 Años'!$C$9="","",'PyG 3 Años'!$C$8),"")</f>
        <v>105.0</v>
      </c>
      <c r="D11" s="40">
        <f>IFERROR(IF('PyG 3 Años'!$D$9="","",'PyG 3 Años'!$D$8),"")</f>
        <v>105.0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9062.742140030323</v>
      </c>
      <c r="D12" s="70">
        <f>IFERROR(IF('PyG 3 Años'!$D$9="","",'Financiación'!$B$49),"")</f>
        <v>9651.820379132294</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8431.439453741712</v>
      </c>
      <c r="C14" s="40">
        <f>IFERROR(IF('PyG 3 Años'!$C$9="","",IF(C10&lt;=0,"",C6/C10)),"")</f>
        <v>9023.482396589834</v>
      </c>
      <c r="D14" s="40">
        <f>IFERROR(IF('PyG 3 Años'!$D$9="","",IF(D10&lt;=0,"",D6/D10)),"")</f>
        <v>9557.398737063668</v>
      </c>
      <c r="E14" s="28" t="n"/>
      <c r="F14" s="28" t="n"/>
    </row>
    <row r="15">
      <c r="A15" s="28" t="inlineStr">
        <is>
          <t>Invitados necesarios por evento</t>
        </is>
      </c>
      <c r="B15" s="44">
        <f>IFERROR(IF('PyG 3 Años'!$B$9="","",B14/B11),"")</f>
        <v>80.29942336896869</v>
      </c>
      <c r="C15" s="44">
        <f>IFERROR(IF('PyG 3 Años'!$C$9="","",C14/C11),"")</f>
        <v>85.93792758656984</v>
      </c>
      <c r="D15" s="44">
        <f>IFERROR(IF('PyG 3 Años'!$D$9="","",D14/D11),"")</f>
        <v>91.02284511489208</v>
      </c>
      <c r="E15" s="28" t="n"/>
      <c r="F15" s="28" t="n"/>
    </row>
    <row r="16">
      <c r="A16" s="25" t="inlineStr">
        <is>
          <t>Ingresos necesarios al año</t>
        </is>
      </c>
      <c r="B16" s="26">
        <f>IFERROR(IF('PyG 3 Años'!$B$9="","",B14*B8),"")</f>
        <v>134903.0312598674</v>
      </c>
      <c r="C16" s="26">
        <f>IFERROR(IF('PyG 3 Años'!$C$9="","",C14*C8),"")</f>
        <v>144375.71834543734</v>
      </c>
      <c r="D16" s="26">
        <f>IFERROR(IF('PyG 3 Años'!$D$9="","",D14*D8),"")</f>
        <v>152918.37979301868</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81700.58</v>
      </c>
      <c r="C18" s="70">
        <f>IFERROR(IF('PyG 3 Años'!$C$9="","",C6-'PyG 3 Años'!$C$36+C12),"")</f>
        <v>96763.32214003033</v>
      </c>
      <c r="D18" s="70">
        <f>IFERROR(IF('PyG 3 Años'!$D$9="","",D6-'PyG 3 Años'!$D$36+D12),"")</f>
        <v>102763.32214003032</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8061.708635933061</v>
      </c>
      <c r="C19" s="40">
        <f>IFERROR(IF('PyG 3 Años'!$C$9="","",IF(C10&lt;=0,"",C18/C10)),"")</f>
        <v>9548.006999924055</v>
      </c>
      <c r="D19" s="40">
        <f>IFERROR(IF('PyG 3 Años'!$D$9="","",IF(D10&lt;=0,"",D18/D10)),"")</f>
        <v>10140.049942772173</v>
      </c>
      <c r="E19" s="28" t="n"/>
      <c r="F19" s="28" t="n"/>
    </row>
    <row r="20">
      <c r="A20" s="25" t="inlineStr">
        <is>
          <t>Invitados necesarios por evento (caja)</t>
        </is>
      </c>
      <c r="B20" s="45">
        <f>IFERROR(IF('PyG 3 Años'!$B$9="","",B19/B11),"")</f>
        <v>76.77817748507677</v>
      </c>
      <c r="C20" s="45">
        <f>IFERROR(IF('PyG 3 Años'!$C$9="","",C19/C11),"")</f>
        <v>90.93339999927672</v>
      </c>
      <c r="D20" s="45">
        <f>IFERROR(IF('PyG 3 Años'!$D$9="","",D19/D11),"")</f>
        <v>96.57190421687784</v>
      </c>
      <c r="E20" s="28" t="n"/>
      <c r="F20" s="28" t="n"/>
    </row>
    <row r="21">
      <c r="A21" s="28" t="inlineStr">
        <is>
          <t>Ingresos necesarios al año (caja)</t>
        </is>
      </c>
      <c r="B21" s="32">
        <f>IFERROR(IF('PyG 3 Años'!$B$9="","",B19*B8),"")</f>
        <v>128987.33817492897</v>
      </c>
      <c r="C21" s="32">
        <f>IFERROR(IF('PyG 3 Años'!$C$9="","",C19*C8),"")</f>
        <v>152768.11199878488</v>
      </c>
      <c r="D21" s="32">
        <f>IFERROR(IF('PyG 3 Años'!$D$9="","",D19*D8),"")</f>
        <v>162240.79908435477</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94.0</v>
      </c>
      <c r="C23" s="40">
        <f>IFERROR(IF('PyG 3 Años'!$C$9="","",'PyG 3 Años'!$C$6),"")</f>
        <v>103.4</v>
      </c>
      <c r="D23" s="40">
        <f>IFERROR(IF('PyG 3 Años'!$D$9="","",'PyG 3 Años'!$D$6),"")</f>
        <v>109.60400000000001</v>
      </c>
      <c r="E23" s="28" t="n"/>
      <c r="F23" s="28" t="n"/>
    </row>
    <row r="24">
      <c r="A24" s="28" t="inlineStr">
        <is>
          <t>Holgura sobre el equilibrio de CAJA (%)</t>
        </is>
      </c>
      <c r="B24" s="68">
        <f>IFERROR(IF('PyG 3 Años'!$B$9="","",B23/B20-1),"")</f>
        <v>0.22430621667557293</v>
      </c>
      <c r="C24" s="68">
        <f>IFERROR(IF('PyG 3 Años'!$C$9="","",C23/C20-1),"")</f>
        <v>0.13709594055454266</v>
      </c>
      <c r="D24" s="68">
        <f>IFERROR(IF('PyG 3 Años'!$D$9="","",D23/D20-1),"")</f>
        <v>0.13494707274131357</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81 invitados por evento durante los 105 eventos del año para no perder dinero (equilibrio contable, con la amortización dentro), y 77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14.0</v>
      </c>
      <c r="C31" s="72">
        <f>IFERROR(IF($B$8="","",$B$8),"")</f>
        <v>16.0</v>
      </c>
      <c r="D31" s="72">
        <f>IFERROR($B$8+2,"")</f>
        <v>18.0</v>
      </c>
      <c r="E31" s="72">
        <f>IFERROR($B$8+4,"")</f>
        <v>20.0</v>
      </c>
      <c r="F31" s="28" t="n"/>
    </row>
    <row r="32">
      <c r="A32" s="70">
        <f>IFERROR($B$9*0.85,"")</f>
        <v>4.98576</v>
      </c>
      <c r="B32" s="44">
        <f>IFERROR(IF($B$31-$A32&lt;=0,"",$B$6/($B$31-$A32)/$B$11),"")</f>
        <v>90.27787990895251</v>
      </c>
      <c r="C32" s="44">
        <f>IFERROR(IF($C$31-$A32&lt;=0,"",$B$6/($C$31-$A32)/$B$11),"")</f>
        <v>73.88494132963112</v>
      </c>
      <c r="D32" s="44">
        <f>IFERROR(IF($D$31-$A32&lt;=0,"",$B$6/($D$31-$A32)/$B$11),"")</f>
        <v>62.53046479782732</v>
      </c>
      <c r="E32" s="44">
        <f>IFERROR(IF($E$31-$A32&lt;=0,"",$B$6/($E$31-$A32)/$B$11),"")</f>
        <v>54.20097695191206</v>
      </c>
      <c r="F32" s="28" t="n"/>
    </row>
    <row r="33">
      <c r="A33" s="70">
        <f>IFERROR($B$9*0.925,"")</f>
        <v>5.425680000000001</v>
      </c>
      <c r="B33" s="44">
        <f>IFERROR(IF($B$31-$A33&lt;=0,"",$B$6/($B$31-$A33)/$B$11),"")</f>
        <v>94.90973933681927</v>
      </c>
      <c r="C33" s="44">
        <f>IFERROR(IF($C$31-$A33&lt;=0,"",$B$6/($C$31-$A33)/$B$11),"")</f>
        <v>76.95875254299816</v>
      </c>
      <c r="D33" s="44">
        <f>IFERROR(IF($D$31-$A33&lt;=0,"",$B$6/($D$31-$A33)/$B$11),"")</f>
        <v>64.71812998161938</v>
      </c>
      <c r="E33" s="44">
        <f>IFERROR(IF($E$31-$A33&lt;=0,"",$B$6/($E$31-$A33)/$B$11),"")</f>
        <v>55.837011688399606</v>
      </c>
      <c r="F33" s="28" t="n"/>
    </row>
    <row r="34">
      <c r="A34" s="70">
        <f>IFERROR($B$9*1.0,"")</f>
        <v>5.865600000000001</v>
      </c>
      <c r="B34" s="44">
        <f>IFERROR(IF($B$31-$A34&lt;=0,"",$B$6/($B$31-$A34)/$B$11),"")</f>
        <v>100.04259394552471</v>
      </c>
      <c r="C34" s="44">
        <f>IFERROR(IF($C$31-$A34&lt;=0,"",$B$6/($C$31-$A34)/$B$11),"")</f>
        <v>80.29942336896869</v>
      </c>
      <c r="D34" s="44">
        <f>IFERROR(IF($D$31-$A34&lt;=0,"",$B$6/($D$31-$A34)/$B$11),"")</f>
        <v>67.0644181987141</v>
      </c>
      <c r="E34" s="44">
        <f>IFERROR(IF($E$31-$A34&lt;=0,"",$B$6/($E$31-$A34)/$B$11),"")</f>
        <v>57.57488653147472</v>
      </c>
      <c r="F34" s="28" t="n"/>
    </row>
    <row r="35">
      <c r="A35" s="70">
        <f>IFERROR($B$9*1.075,"")</f>
        <v>6.3055200000000005</v>
      </c>
      <c r="B35" s="44">
        <f>IFERROR(IF($B$31-$A35&lt;=0,"",$B$6/($B$31-$A35)/$B$11),"")</f>
        <v>105.762374610172</v>
      </c>
      <c r="C35" s="44">
        <f>IFERROR(IF($C$31-$A35&lt;=0,"",$B$6/($C$31-$A35)/$B$11),"")</f>
        <v>83.94328279500048</v>
      </c>
      <c r="D35" s="44">
        <f>IFERROR(IF($D$31-$A35&lt;=0,"",$B$6/($D$31-$A35)/$B$11),"")</f>
        <v>69.5872305729264</v>
      </c>
      <c r="E35" s="44">
        <f>IFERROR(IF($E$31-$A35&lt;=0,"",$B$6/($E$31-$A35)/$B$11),"")</f>
        <v>59.42441598297097</v>
      </c>
      <c r="F35" s="28" t="n"/>
    </row>
    <row r="36">
      <c r="A36" s="70">
        <f>IFERROR($B$9*1.15,"")</f>
        <v>6.74544</v>
      </c>
      <c r="B36" s="44">
        <f>IFERROR(IF($B$31-$A36&lt;=0,"",$B$6/($B$31-$A36)/$B$11),"")</f>
        <v>112.17585576388868</v>
      </c>
      <c r="C36" s="44">
        <f>IFERROR(IF($C$31-$A36&lt;=0,"",$B$6/($C$31-$A36)/$B$11),"")</f>
        <v>87.9335674727352</v>
      </c>
      <c r="D36" s="44">
        <f>IFERROR(IF($D$31-$A36&lt;=0,"",$B$6/($D$31-$A36)/$B$11),"")</f>
        <v>72.30726711577141</v>
      </c>
      <c r="E36" s="44">
        <f>IFERROR(IF($E$31-$A36&lt;=0,"",$B$6/($E$31-$A36)/$B$11),"")</f>
        <v>61.39671752140217</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85</v>
      </c>
      <c r="C5" s="40">
        <f>IFERROR(IF('PyG 3 Años'!$B$6="","",'PyG 3 Años'!$B$6),"")</f>
        <v>94.0</v>
      </c>
      <c r="D5" s="49" t="n">
        <v>100</v>
      </c>
      <c r="E5" s="28" t="n"/>
      <c r="F5" s="28" t="n"/>
    </row>
    <row r="6">
      <c r="A6" s="28" t="inlineStr">
        <is>
          <t>Precio medio por invitado sin IVA</t>
        </is>
      </c>
      <c r="B6" s="73" t="n">
        <v>15</v>
      </c>
      <c r="C6" s="70">
        <f>IFERROR(IF('PyG 3 Años'!$B$7="","",'PyG 3 Años'!$B$7),"")</f>
        <v>16.0</v>
      </c>
      <c r="D6" s="73" t="n">
        <v>17</v>
      </c>
      <c r="E6" s="28" t="n"/>
      <c r="F6" s="28" t="n"/>
    </row>
    <row r="7">
      <c r="A7" s="28" t="inlineStr">
        <is>
          <t>Eventos al año</t>
        </is>
      </c>
      <c r="B7" s="49" t="n">
        <v>85</v>
      </c>
      <c r="C7" s="40">
        <f>IFERROR(IF('PyG 3 Años'!$B$8="","",'PyG 3 Años'!$B$8),"")</f>
        <v>105.0</v>
      </c>
      <c r="D7" s="49" t="n">
        <v>125</v>
      </c>
      <c r="E7" s="28" t="n"/>
      <c r="F7" s="28" t="n"/>
    </row>
    <row r="8">
      <c r="A8" s="25" t="inlineStr">
        <is>
          <t>INGRESOS ANUALES (sin IVA)</t>
        </is>
      </c>
      <c r="B8" s="26">
        <f>IFERROR(IF(B5*B6*B7=0,"",B5*B6*B7),"")</f>
        <v>108375.0</v>
      </c>
      <c r="C8" s="26">
        <f>IFERROR(IF(C5*C6*C7=0,"",C5*C6*C7),"")</f>
        <v>157920.0</v>
      </c>
      <c r="D8" s="26">
        <f>IFERROR(IF(D5*D6*D7=0,"",D5*D6*D7),"")</f>
        <v>212500.0</v>
      </c>
      <c r="E8" s="28" t="n"/>
      <c r="F8" s="28" t="n"/>
    </row>
    <row r="9">
      <c r="A9" s="28" t="inlineStr">
        <is>
          <t>Coste de mercancía — comida</t>
        </is>
      </c>
      <c r="B9" s="32">
        <f>IFERROR(IF(B8="","",B8*'0. Supuestos'!$B$11*'0. Supuestos'!$B$13),"")</f>
        <v>27917.4</v>
      </c>
      <c r="C9" s="32">
        <f>IFERROR(IF(C8="","",C8*'0. Supuestos'!$B$11*'0. Supuestos'!$B$13),"")</f>
        <v>40680.192</v>
      </c>
      <c r="D9" s="32">
        <f>IFERROR(IF(D8="","",D8*'0. Supuestos'!$B$11*'0. Supuestos'!$B$13),"")</f>
        <v>54740.00000000001</v>
      </c>
      <c r="E9" s="28" t="n"/>
      <c r="F9" s="28" t="n"/>
    </row>
    <row r="10">
      <c r="A10" s="28" t="inlineStr">
        <is>
          <t>Coste de mercancía — bebida</t>
        </is>
      </c>
      <c r="B10" s="32">
        <f>IFERROR(IF(B8="","",B8*'0. Supuestos'!$B$12*'0. Supuestos'!$B$14),"")</f>
        <v>2600.9999999999986</v>
      </c>
      <c r="C10" s="32">
        <f>IFERROR(IF(C8="","",C8*'0. Supuestos'!$B$12*'0. Supuestos'!$B$14),"")</f>
        <v>3790.0799999999977</v>
      </c>
      <c r="D10" s="32">
        <f>IFERROR(IF(D8="","",D8*'0. Supuestos'!$B$12*'0. Supuestos'!$B$14),"")</f>
        <v>5099.999999999997</v>
      </c>
      <c r="E10" s="28" t="n"/>
      <c r="F10" s="28" t="n"/>
    </row>
    <row r="11">
      <c r="A11" s="28" t="inlineStr">
        <is>
          <t>Consumibles y envases</t>
        </is>
      </c>
      <c r="B11" s="32">
        <f>IFERROR(IF(B8="","",B8*'0. Supuestos'!$B$15),"")</f>
        <v>3251.25</v>
      </c>
      <c r="C11" s="32">
        <f>IFERROR(IF(C8="","",C8*'0. Supuestos'!$B$15),"")</f>
        <v>4737.599999999999</v>
      </c>
      <c r="D11" s="32">
        <f>IFERROR(IF(D8="","",D8*'0. Supuestos'!$B$15),"")</f>
        <v>6375.0</v>
      </c>
      <c r="E11" s="28" t="n"/>
      <c r="F11" s="28" t="n"/>
    </row>
    <row r="12">
      <c r="A12" s="28" t="inlineStr">
        <is>
          <t>Comisiones de la paella para recoger</t>
        </is>
      </c>
      <c r="B12" s="32">
        <f>IFERROR(IF(B8="","",B8*'0. Supuestos'!$B$16*'0. Supuestos'!$B$17),"")</f>
        <v>541.875</v>
      </c>
      <c r="C12" s="32">
        <f>IFERROR(IF(C8="","",C8*'0. Supuestos'!$B$16*'0. Supuestos'!$B$17),"")</f>
        <v>789.6</v>
      </c>
      <c r="D12" s="32">
        <f>IFERROR(IF(D8="","",D8*'0. Supuestos'!$B$16*'0. Supuestos'!$B$17),"")</f>
        <v>1062.5</v>
      </c>
      <c r="E12" s="28" t="n"/>
      <c r="F12" s="28" t="n"/>
    </row>
    <row r="13">
      <c r="A13" s="28" t="inlineStr">
        <is>
          <t>Comisiones de los medios de pago</t>
        </is>
      </c>
      <c r="B13" s="32">
        <f>IFERROR(IF(B8="","",B8*'0. Supuestos'!$B$18),"")</f>
        <v>541.875</v>
      </c>
      <c r="C13" s="32">
        <f>IFERROR(IF(C8="","",C8*'0. Supuestos'!$B$18),"")</f>
        <v>789.6</v>
      </c>
      <c r="D13" s="32">
        <f>IFERROR(IF(D8="","",D8*'0. Supuestos'!$B$18),"")</f>
        <v>1062.5</v>
      </c>
      <c r="E13" s="28" t="n"/>
      <c r="F13" s="28" t="n"/>
    </row>
    <row r="14">
      <c r="A14" s="28" t="inlineStr">
        <is>
          <t>Varios e imprevistos</t>
        </is>
      </c>
      <c r="B14" s="32">
        <f>IFERROR(IF(B8="","",B8*'0. Supuestos'!$B$28),"")</f>
        <v>4876.875</v>
      </c>
      <c r="C14" s="32">
        <f>IFERROR(IF(C8="","",C8*'0. Supuestos'!$B$28),"")</f>
        <v>7106.4</v>
      </c>
      <c r="D14" s="32">
        <f>IFERROR(IF(D8="","",D8*'0. Supuestos'!$B$28),"")</f>
        <v>9562.5</v>
      </c>
      <c r="E14" s="28" t="n"/>
      <c r="F14" s="28" t="n"/>
    </row>
    <row r="15">
      <c r="A15" s="28" t="inlineStr">
        <is>
          <t>TOTAL COSTES VARIABLES</t>
        </is>
      </c>
      <c r="B15" s="32">
        <f>IFERROR(IF(B8="","",SUM(B9:B14)),"")</f>
        <v>39730.275</v>
      </c>
      <c r="C15" s="32">
        <f>IFERROR(IF(C8="","",SUM(C9:C14)),"")</f>
        <v>57893.472</v>
      </c>
      <c r="D15" s="32">
        <f>IFERROR(IF(D8="","",SUM(D9:D14)),"")</f>
        <v>77902.5</v>
      </c>
      <c r="E15" s="28" t="n"/>
      <c r="F15" s="28" t="n"/>
    </row>
    <row r="16">
      <c r="A16" s="28" t="inlineStr">
        <is>
          <t>MARGEN BRUTO</t>
        </is>
      </c>
      <c r="B16" s="32">
        <f>IFERROR(IF(B8="","",B8-B15),"")</f>
        <v>68644.725</v>
      </c>
      <c r="C16" s="32">
        <f>IFERROR(IF(C8="","",C8-C15),"")</f>
        <v>100026.52799999999</v>
      </c>
      <c r="D16" s="32">
        <f>IFERROR(IF(D8="","",D8-D15),"")</f>
        <v>134597.5</v>
      </c>
      <c r="E16" s="28" t="n"/>
      <c r="F16" s="28" t="n"/>
    </row>
    <row r="17">
      <c r="A17" s="28" t="inlineStr">
        <is>
          <t>COSTES FIJOS (los del P&amp;L)</t>
        </is>
      </c>
      <c r="B17" s="32">
        <f>IFERROR(IF(B8="","",'PyG 3 Años'!$B$38),"")</f>
        <v>85447.58</v>
      </c>
      <c r="C17" s="32">
        <f>IFERROR(IF(C8="","",'PyG 3 Años'!$B$38),"")</f>
        <v>85447.58</v>
      </c>
      <c r="D17" s="32">
        <f>IFERROR(IF(D8="","",'PyG 3 Años'!$B$38),"")</f>
        <v>85447.58</v>
      </c>
      <c r="E17" s="28" t="inlineStr">
        <is>
          <t>Los costes fijos no cambian con el escenario: por eso son fijos</t>
        </is>
      </c>
      <c r="F17" s="28" t="n"/>
    </row>
    <row r="18">
      <c r="A18" s="25" t="inlineStr">
        <is>
          <t>RESULTADO ANTES DE IMPUESTOS</t>
        </is>
      </c>
      <c r="B18" s="26">
        <f>IFERROR(IF(B8="","",B16-B17),"")</f>
        <v>-16802.854999999996</v>
      </c>
      <c r="C18" s="26">
        <f>IFERROR(IF(C8="","",C16-C17),"")</f>
        <v>14578.94799999999</v>
      </c>
      <c r="D18" s="26">
        <f>IFERROR(IF(D8="","",D16-D17),"")</f>
        <v>49149.92</v>
      </c>
      <c r="E18" s="28" t="n"/>
      <c r="F18" s="28" t="n"/>
    </row>
    <row r="19">
      <c r="A19" s="28" t="inlineStr">
        <is>
          <t>Impuesto de Sociedades</t>
        </is>
      </c>
      <c r="B19" s="32">
        <f>IFERROR(IF(B8="","",MAX(0,B18-'0. Supuestos'!$B$42)*'0. Supuestos'!$B$37),"")</f>
        <v>0.0</v>
      </c>
      <c r="C19" s="32">
        <f>IFERROR(IF(C8="","",MAX(0,C18-'0. Supuestos'!$B$42)*'0. Supuestos'!$B$37),"")</f>
        <v>2186.8421999999982</v>
      </c>
      <c r="D19" s="32">
        <f>IFERROR(IF(D8="","",MAX(0,D18-'0. Supuestos'!$B$42)*'0. Supuestos'!$B$37),"")</f>
        <v>7372.487999999999</v>
      </c>
      <c r="E19" s="28" t="inlineStr">
        <is>
          <t>Al tipo de entidad de nueva creación, compensando las bases negativas anteriores</t>
        </is>
      </c>
      <c r="F19" s="28" t="n"/>
    </row>
    <row r="20">
      <c r="A20" s="25" t="inlineStr">
        <is>
          <t>RESULTADO NETO</t>
        </is>
      </c>
      <c r="B20" s="26">
        <f>IFERROR(IF(B8="","",B18-B19),"")</f>
        <v>-16802.854999999996</v>
      </c>
      <c r="C20" s="26">
        <f>IFERROR(IF(C8="","",C18-C19),"")</f>
        <v>12392.10579999999</v>
      </c>
      <c r="D20" s="26">
        <f>IFERROR(IF(D8="","",D18-D19),"")</f>
        <v>41777.432</v>
      </c>
      <c r="E20" s="28" t="n"/>
      <c r="F20" s="28" t="n"/>
    </row>
    <row r="21">
      <c r="A21" s="28" t="inlineStr">
        <is>
          <t>Invitados por evento para el equilibrio</t>
        </is>
      </c>
      <c r="B21" s="44">
        <f>IFERROR(IF(B8="","",IF(B6-B15/(B5*B7)&lt;=0,"",B17/(B6-B15/(B5*B7))/B7)),"")</f>
        <v>105.80629902734697</v>
      </c>
      <c r="C21" s="44">
        <f>IFERROR(IF(C8="","",IF(C6-C15/(C5*C7)&lt;=0,"",C17/(C6-C15/(C5*C7))/C7)),"")</f>
        <v>80.29942336896869</v>
      </c>
      <c r="D21" s="44">
        <f>IFERROR(IF(D8="","",IF(D6-D15/(D5*D7)&lt;=0,"",D17/(D6-D15/(D5*D7))/D7)),"")</f>
        <v>63.48377941640817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0.5083882814302192</v>
      </c>
      <c r="C23" s="68">
        <f>IFERROR(IF(C8="","",'PyG 3 Años'!$B$23/C8),"")</f>
        <v>0.34888918439716315</v>
      </c>
      <c r="D23" s="68">
        <f>IFERROR(IF(D8="","",'PyG 3 Años'!$B$23/D8),"")</f>
        <v>0.25927802352941176</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3991.7127071823206</v>
      </c>
      <c r="C24" s="40">
        <f>IFERROR(IF(C8="","",C5*C7/'Personal'!$C$9),"")</f>
        <v>5453.03867403315</v>
      </c>
      <c r="D24" s="40">
        <f>IFERROR(IF(D8="","",D5*D7/'Personal'!$C$9),"")</f>
        <v>6906.077348066299</v>
      </c>
      <c r="E24" s="28" t="inlineStr">
        <is>
          <t>Raciones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7369.2900000000045</v>
      </c>
      <c r="C25" s="26">
        <f>IFERROR(IF(C8="","",'Inversión Inicial'!$B$25+C20+'PyG 3 Años'!$B$36-'Financiación'!$B$45),"")</f>
        <v>36564.250799999994</v>
      </c>
      <c r="D25" s="26">
        <f>IFERROR(IF(D8="","",'Inversión Inicial'!$B$25+D20+'PyG 3 Años'!$B$36-'Financiación'!$B$45),"")</f>
        <v>65949.577</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37724.77995568862</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paellero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Cocina en cada evento, vende, compra el producto y lleva la agenda. Como administrador de la SL cotiza en el régimen de autónomos: confirma con tu gestoría la cuota y si te aplica la reducida de inicio</t>
        </is>
      </c>
    </row>
    <row r="6">
      <c r="A6" s="28" t="inlineStr">
        <is>
          <t>Ayudante de cocina y 2.º paellero (fijo discontinuo)</t>
        </is>
      </c>
      <c r="B6" s="49" t="n">
        <v>1</v>
      </c>
      <c r="C6" s="51" t="n">
        <v>0.65</v>
      </c>
      <c r="D6" s="73" t="n">
        <v>943</v>
      </c>
      <c r="E6" s="70">
        <f>IFERROR(IF(D6="","",D6*'0. Supuestos'!$B$20),"")</f>
        <v>311.19</v>
      </c>
      <c r="F6" s="70">
        <f>IFERROR(IF(D6="","",D6+E6),"")</f>
        <v>1254.19</v>
      </c>
      <c r="G6" s="70">
        <f>IFERROR(IF(D6="","",F6*MAX(12,'0. Supuestos'!$B$21)),"")</f>
        <v>17558.66</v>
      </c>
      <c r="H6" s="44">
        <f>IFERROR(IF(D6="","",C6*$B$16),"")</f>
        <v>26.0</v>
      </c>
      <c r="I6" s="40">
        <f>IFERROR(IF(D6="","",H6*B6*$B$17),"")</f>
        <v>1196.0</v>
      </c>
      <c r="J6" s="28" t="inlineStr">
        <is>
          <t>Contrato fijo discontinuo (art. 16 del Estatuto de los Trabajadores) al 65 % de jornada en cómputo anual: caldos y preparación en la cocina de apoyo, montaje, fuegos y la segunda tanda de paelleras. Bruto a jornada completa: 1.450 € en 14 pagas</t>
        </is>
      </c>
    </row>
    <row r="7">
      <c r="A7" s="28" t="inlineStr">
        <is>
          <t>Auxiliar de evento: montaje y caldo (fijo discontinuo)</t>
        </is>
      </c>
      <c r="B7" s="49" t="n">
        <v>1</v>
      </c>
      <c r="C7" s="51" t="n">
        <v>0.08</v>
      </c>
      <c r="D7" s="73" t="n">
        <v>108</v>
      </c>
      <c r="E7" s="70">
        <f>IFERROR(IF(D7="","",D7*'0. Supuestos'!$B$20),"")</f>
        <v>35.64</v>
      </c>
      <c r="F7" s="70">
        <f>IFERROR(IF(D7="","",D7+E7),"")</f>
        <v>143.64</v>
      </c>
      <c r="G7" s="70">
        <f>IFERROR(IF(D7="","",F7*MAX(12,'0. Supuestos'!$B$21)),"")</f>
        <v>2010.9599999999998</v>
      </c>
      <c r="H7" s="44">
        <f>IFERROR(IF(D7="","",C7*$B$16),"")</f>
        <v>3.2</v>
      </c>
      <c r="I7" s="40">
        <f>IFERROR(IF(D7="","",H7*B7*$B$17),"")</f>
        <v>147.20000000000002</v>
      </c>
      <c r="J7" s="28" t="inlineStr">
        <is>
          <t>Llamado para las bodas y las fiestas populares (unas 140 horas al año). Bruto a jornada completa: 1.350 €. Nunca como autónomo que te factura: con tu horario y tu dirección es falso autónomo (art. 1.1 ET)</t>
        </is>
      </c>
    </row>
    <row r="8">
      <c r="A8" s="28" t="inlineStr">
        <is>
          <t>Auxiliar de evento: emplatado y servicio (fijo discontinuo)</t>
        </is>
      </c>
      <c r="B8" s="49" t="n">
        <v>1</v>
      </c>
      <c r="C8" s="51" t="n">
        <v>0.08</v>
      </c>
      <c r="D8" s="73" t="n">
        <v>108</v>
      </c>
      <c r="E8" s="70">
        <f>IFERROR(IF(D8="","",D8*'0. Supuestos'!$B$20),"")</f>
        <v>35.64</v>
      </c>
      <c r="F8" s="70">
        <f>IFERROR(IF(D8="","",D8+E8),"")</f>
        <v>143.64</v>
      </c>
      <c r="G8" s="70">
        <f>IFERROR(IF(D8="","",F8*MAX(12,'0. Supuestos'!$B$21)),"")</f>
        <v>2010.9599999999998</v>
      </c>
      <c r="H8" s="44">
        <f>IFERROR(IF(D8="","",C8*$B$16),"")</f>
        <v>3.2</v>
      </c>
      <c r="I8" s="40">
        <f>IFERROR(IF(D8="","",H8*B8*$B$17),"")</f>
        <v>147.20000000000002</v>
      </c>
      <c r="J8" s="28" t="inlineStr">
        <is>
          <t>Mismo contrato y mismas horas que el anterior: sirve la paella, repone y recoge. Por encima del SMI en proporción a su jornada</t>
        </is>
      </c>
    </row>
    <row r="9">
      <c r="A9" s="25" t="inlineStr">
        <is>
          <t>TOTAL PLANTILLA</t>
        </is>
      </c>
      <c r="B9" s="76">
        <f>IFERROR(IF(COUNT(D5:D8)=0,"",SUM(B5:B8)),"")</f>
        <v>4.0</v>
      </c>
      <c r="C9" s="62">
        <f>IFERROR(IF(COUNT(D5:D8)=0,"",SUM(C5:C8)),"")</f>
        <v>1.8099999999999998</v>
      </c>
      <c r="D9" s="72">
        <f>IFERROR(IF(COUNT(D5:D8)=0,"",SUM(D5:D8)),"")</f>
        <v>2959.0</v>
      </c>
      <c r="E9" s="72">
        <f>IFERROR(IF(COUNT(D5:D8)=0,"",SUM(E5:E8)),"")</f>
        <v>976.47</v>
      </c>
      <c r="F9" s="72">
        <f>IFERROR(IF(COUNT(D5:D8)=0,"",SUM(F5:F8)),"")</f>
        <v>3935.4700000000003</v>
      </c>
      <c r="G9" s="72">
        <f>IFERROR(IF(COUNT(D5:D8)=0,"",SUM(G5:G8)),"")</f>
        <v>55096.58</v>
      </c>
      <c r="H9" s="28" t="n"/>
      <c r="I9" s="76">
        <f>IFERROR(IF(COUNT(D5:D8)=0,"",SUM(I5:I8)),"")</f>
        <v>3330.3999999999996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61096.58</v>
      </c>
      <c r="C13" s="28" t="n"/>
      <c r="D13" s="28" t="n"/>
      <c r="E13" s="28" t="n"/>
      <c r="F13" s="28" t="n"/>
      <c r="G13" s="28" t="n"/>
      <c r="H13" s="28" t="n"/>
      <c r="I13" s="28" t="n"/>
      <c r="J13" s="28" t="n"/>
    </row>
    <row r="14">
      <c r="A14" s="28" t="inlineStr">
        <is>
          <t>Coste de personal del año 3</t>
        </is>
      </c>
      <c r="B14" s="32">
        <f>IFERROR(IF(B13="","",B13*(1+'0. Supuestos'!$B$48)+B12),"")</f>
        <v>67096.58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cocción, servicio, recogida y descarga. Los caldos y la preparación en la cocina de apoyo van aparte</t>
        </is>
      </c>
    </row>
    <row r="19">
      <c r="A19" s="28" t="inlineStr">
        <is>
          <t>Personas necesarias a la vez en cada evento</t>
        </is>
      </c>
      <c r="B19" s="77" t="n">
        <v>2</v>
      </c>
      <c r="C19" s="28" t="n"/>
      <c r="D19" s="28" t="n"/>
      <c r="E19" s="28" t="n"/>
      <c r="F19" s="28" t="n"/>
      <c r="G19" s="28" t="n"/>
      <c r="H19" s="28" t="n"/>
      <c r="I19" s="28" t="n"/>
      <c r="J19" s="28" t="inlineStr">
        <is>
          <t>Personas trabajando a la vez en un evento medio de 94 raciones: el paellero titular y el ayudante. En bodas y fiestas populares entran uno o dos auxiliares: súbelo y la hoja te dice si llega la plantilla</t>
        </is>
      </c>
    </row>
    <row r="20">
      <c r="A20" s="28" t="inlineStr">
        <is>
          <t>Horas de servicio a cubrir al año</t>
        </is>
      </c>
      <c r="B20" s="40">
        <f>IFERROR(IF(OR(B18="",B19="",'0. Supuestos'!$B$6=""),"",B18*B19*'0. Supuestos'!$B$6),"")</f>
        <v>1680.0</v>
      </c>
      <c r="C20" s="28" t="n"/>
      <c r="D20" s="28" t="n"/>
      <c r="E20" s="28" t="n"/>
      <c r="F20" s="28" t="n"/>
      <c r="G20" s="28" t="n"/>
      <c r="H20" s="28" t="n"/>
      <c r="I20" s="28" t="n"/>
      <c r="J20" s="28" t="n"/>
    </row>
    <row r="21">
      <c r="A21" s="28" t="inlineStr">
        <is>
          <t>Horas contratadas al año</t>
        </is>
      </c>
      <c r="B21" s="40">
        <f>IFERROR(IF(I9="","",I9),"")</f>
        <v>3330.3999999999996</v>
      </c>
      <c r="C21" s="28" t="n"/>
      <c r="D21" s="28" t="n"/>
      <c r="E21" s="28" t="n"/>
      <c r="F21" s="28" t="n"/>
      <c r="G21" s="28" t="n"/>
      <c r="H21" s="28" t="n"/>
      <c r="I21" s="28" t="n"/>
      <c r="J21" s="28" t="n"/>
    </row>
    <row r="22">
      <c r="A22" s="25" t="inlineStr">
        <is>
          <t>Cobertura (contratadas / necesarias)</t>
        </is>
      </c>
      <c r="B22" s="67">
        <f>IFERROR(B21/B20,"")</f>
        <v>1.9823809523809521</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Paellero / Paella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paella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paella para recoger.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Los anticipos de los particulares (30 % al firmar)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0.28159999999999996</v>
      </c>
      <c r="C18" s="68">
        <f>IFERROR(IF('PyG 3 Años'!$E$53="","",'PyG 3 Años'!$E$53),"")</f>
        <v>0.32</v>
      </c>
      <c r="D18" s="28" t="str">
        <f>IFERROR(IF(OR(B18="",C18=""),"",IF(B18&lt;=C18,"CUMPLE","REVISAR")),"")</f>
        <v>CUMPLE</v>
      </c>
      <c r="E18" s="28" t="n"/>
    </row>
    <row r="19">
      <c r="A19" s="28" t="inlineStr">
        <is>
          <t>Coste de personal / Ventas</t>
        </is>
      </c>
      <c r="B19" s="68">
        <f>IFERROR(IF('PyG 3 Años'!$B$54="","",'PyG 3 Años'!$B$54),"")</f>
        <v>0.34888918439716315</v>
      </c>
      <c r="C19" s="68">
        <f>IFERROR(IF('PyG 3 Años'!$E$54="","",'PyG 3 Años'!$E$54),"")</f>
        <v>0.38</v>
      </c>
      <c r="D19" s="28" t="str">
        <f>IFERROR(IF(OR(B19="",C19=""),"",IF(B19&lt;=C19,"CUMPLE","REVISAR")),"")</f>
        <v>CUMPLE</v>
      </c>
      <c r="E19" s="28" t="n"/>
    </row>
    <row r="20">
      <c r="A20" s="28" t="inlineStr">
        <is>
          <t>Cocina de apoyo / Ventas</t>
        </is>
      </c>
      <c r="B20" s="68">
        <f>IFERROR(IF('PyG 3 Años'!$B$55="","",'PyG 3 Años'!$B$55),"")</f>
        <v>0.06838905775075987</v>
      </c>
      <c r="C20" s="68">
        <f>IFERROR(IF('PyG 3 Años'!$E$55="","",'PyG 3 Años'!$E$55),"")</f>
        <v>0.08</v>
      </c>
      <c r="D20" s="28" t="str">
        <f>IFERROR(IF(OR(B20="",C20=""),"",IF(B20&lt;=C20,"CUMPLE","REVISAR")),"")</f>
        <v>CUMPLE</v>
      </c>
      <c r="E20" s="28" t="n"/>
    </row>
    <row r="21">
      <c r="A21" s="28" t="inlineStr">
        <is>
          <t>Resultado neto / Ventas</t>
        </is>
      </c>
      <c r="B21" s="68">
        <f>IFERROR(IF('PyG 3 Años'!$B$56="","",'PyG 3 Años'!$B$56),"")</f>
        <v>0.07847078140830795</v>
      </c>
      <c r="C21" s="68">
        <f>IFERROR(IF('PyG 3 Años'!$E$56="","",'PyG 3 Años'!$E$56),"")</f>
        <v>0.04</v>
      </c>
      <c r="D21" s="28" t="str">
        <f>IFERROR(IF(OR(B21="",C21=""),"",IF(B21&gt;=C21,"CUMPLE","REVISAR")),"")</f>
        <v>CUMPLE</v>
      </c>
      <c r="E21" s="28" t="n"/>
    </row>
    <row r="22">
      <c r="A22" s="28" t="inlineStr">
        <is>
          <t>Margen bruto / Ventas</t>
        </is>
      </c>
      <c r="B22" s="68">
        <f>IFERROR(IF('PyG 3 Años'!$B$51="","",'PyG 3 Años'!$B$51),"")</f>
        <v>0.6334</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63111.145000000004</v>
      </c>
      <c r="C25" s="28" t="n"/>
      <c r="D25" s="28" t="n"/>
      <c r="E25" s="28" t="n"/>
    </row>
    <row r="26">
      <c r="A26" s="28" t="inlineStr">
        <is>
          <t>Necesidad total de caja al arranque</t>
        </is>
      </c>
      <c r="B26" s="32">
        <f>IFERROR(IF('Inversión Inicial'!$B$29="","",'Inversión Inicial'!$B$29),"")</f>
        <v>71487.205</v>
      </c>
      <c r="C26" s="28" t="n"/>
      <c r="D26" s="28" t="n"/>
      <c r="E26" s="28" t="n"/>
    </row>
    <row r="27">
      <c r="A27" s="28" t="inlineStr">
        <is>
          <t>Fondo de maniobra dotado</t>
        </is>
      </c>
      <c r="B27" s="32">
        <f>IFERROR(IF('Inversión Inicial'!$B$25="","",'Inversión Inicial'!$B$25),"")</f>
        <v>20425.145</v>
      </c>
      <c r="C27" s="28" t="n"/>
      <c r="D27" s="28" t="n"/>
      <c r="E27" s="28" t="n"/>
    </row>
    <row r="28">
      <c r="A28" s="28" t="inlineStr">
        <is>
          <t>Facturación prevista del año 1</t>
        </is>
      </c>
      <c r="B28" s="32">
        <f>IFERROR(IF('PyG 3 Años'!$B$9="","",'PyG 3 Años'!$B$9),"")</f>
        <v>157920.0</v>
      </c>
      <c r="C28" s="28" t="n"/>
      <c r="D28" s="28" t="n"/>
      <c r="E28" s="28" t="n"/>
    </row>
    <row r="29">
      <c r="A29" s="28" t="inlineStr">
        <is>
          <t>Resultado neto del año 1</t>
        </is>
      </c>
      <c r="B29" s="32">
        <f>IFERROR(IF('PyG 3 Años'!$B$48="","",'PyG 3 Años'!$B$48),"")</f>
        <v>12392.10579999999</v>
      </c>
      <c r="C29" s="28" t="n"/>
      <c r="D29" s="28" t="n"/>
      <c r="E29" s="28" t="n"/>
    </row>
    <row r="30">
      <c r="A30" s="28" t="inlineStr">
        <is>
          <t>Invitados por evento para el punto de equilibrio CONTABLE (con la amortización dentro)</t>
        </is>
      </c>
      <c r="B30" s="44">
        <f>IFERROR(IF('Punto Equilibrio'!$B$15="","",'Punto Equilibrio'!$B$15),"")</f>
        <v>80.29942336896869</v>
      </c>
      <c r="C30" s="28" t="n"/>
      <c r="D30" s="28" t="n"/>
      <c r="E30" s="28" t="n"/>
    </row>
    <row r="31">
      <c r="A31" s="28" t="inlineStr">
        <is>
          <t>Payback del proyecto (años), antes de la deuda</t>
        </is>
      </c>
      <c r="B31" s="28">
        <f>IFERROR(IF('Tesorería 12 meses'!$B$31="","",'Tesorería 12 meses'!$B$31),"")</f>
        <v>3.0</v>
      </c>
      <c r="C31" s="28" t="n"/>
      <c r="D31" s="28" t="n"/>
      <c r="E31" s="28" t="n"/>
    </row>
    <row r="32">
      <c r="A32" s="28" t="n"/>
      <c r="B32" s="28" t="n"/>
      <c r="C32" s="28" t="n"/>
      <c r="D32" s="28" t="n"/>
      <c r="E32" s="28" t="n"/>
    </row>
    <row r="33">
      <c r="A33" s="25" t="inlineStr">
        <is>
          <t>QUÉ HA CAMBIADO RESPECTO DE LA VERSIÓN 1.2</t>
        </is>
      </c>
      <c r="B33" s="28" t="n"/>
      <c r="C33" s="28" t="n"/>
      <c r="D33" s="28" t="n"/>
      <c r="E33" s="28" t="n"/>
    </row>
    <row r="34">
      <c r="A34" s="25" t="inlineStr">
        <is>
          <t>Concepto</t>
        </is>
      </c>
      <c r="B34" s="25" t="inlineStr">
        <is>
          <t>v1.2</t>
        </is>
      </c>
      <c r="C34" s="25" t="inlineStr">
        <is>
          <t>v2.2</t>
        </is>
      </c>
      <c r="D34" s="25" t="inlineStr">
        <is>
          <t>Por qué</t>
        </is>
      </c>
      <c r="E34" s="28" t="n"/>
    </row>
    <row r="35" ht="30" customHeight="1">
      <c r="A35" s="78" t="inlineStr">
        <is>
          <t>Modelo de ingresos</t>
        </is>
      </c>
      <c r="B35" s="78" t="inlineStr">
        <is>
          <t>eventos y tickets medios tecleados, con un margen neto irreal (la mitad de las ventas)</t>
        </is>
      </c>
      <c r="C35" s="78" t="inlineStr">
        <is>
          <t>invitados (raciones)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se hacía en casa</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un 12 % de ayudantes subcontratados sobre las ventas y ningún sueldo para el paellero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10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105 eventos: 15 bodas, 30 de empresa, 50 fiestas privadas y 10 populares</t>
        </is>
      </c>
      <c r="C43" s="28" t="inlineStr">
        <is>
          <t>Estimación del kit</t>
        </is>
      </c>
      <c r="D43" s="46" t="inlineStr">
        <is>
          <t>Bodas (15 eventos × 120 raciones × 28 €), comidas de empresa (30 × 70 × 24 €), fiestas privadas (50 × 40 × 18 €) y fiestas populares (10 × 400 × 5 €), precios sin IVA. Media: 94 raciones a 16 €</t>
        </is>
      </c>
      <c r="E43" s="28" t="n"/>
    </row>
    <row r="44" ht="30" customHeight="1">
      <c r="A44" s="28" t="inlineStr">
        <is>
          <t>Fiesta popular contratada por un ayuntamiento</t>
        </is>
      </c>
      <c r="B44" s="28" t="inlineStr">
        <is>
          <t>400 raciones por 1.480 €</t>
        </is>
      </c>
      <c r="C44" s="28" t="inlineStr">
        <is>
          <t>Plataforma de Contratación del Sector Público (contrato menor de Sayalonga, 2025)</t>
        </is>
      </c>
      <c r="D44" s="46" t="inlineStr">
        <is>
          <t>Paella mixta con menaje, pan y servicio: unos 3,70 € por ración</t>
        </is>
      </c>
      <c r="E44" s="28" t="n"/>
    </row>
    <row r="45" ht="30" customHeight="1">
      <c r="A45" s="28" t="inlineStr">
        <is>
          <t>Paella sola para grupos</t>
        </is>
      </c>
      <c r="B45" s="28" t="inlineStr">
        <is>
          <t>11-14 € por persona</t>
        </is>
      </c>
      <c r="C45" s="28" t="inlineStr">
        <is>
          <t>Tarifa publicada de un proveedor de Cataluña (2026)</t>
        </is>
      </c>
      <c r="D45" s="46" t="inlineStr">
        <is>
          <t>14 € de 30 a 49 personas, 12 € de 50 a 99 y 11 € a partir de 100; desplazamiento aparte</t>
        </is>
      </c>
      <c r="E45" s="28" t="n"/>
    </row>
    <row r="46">
      <c r="A46" s="28" t="inlineStr">
        <is>
          <t>Paella en directo con experiencia</t>
        </is>
      </c>
      <c r="B46" s="28" t="inlineStr">
        <is>
          <t>20-39 € por persona</t>
        </is>
      </c>
      <c r="C46" s="28" t="inlineStr">
        <is>
          <t>Fichas de proveedores en plataformas de eventos</t>
        </is>
      </c>
      <c r="D46" s="46" t="inlineStr">
        <is>
          <t>Con show cooking y mínimo de servicio</t>
        </is>
      </c>
      <c r="E46" s="28" t="n"/>
    </row>
    <row r="47">
      <c r="A47" s="28" t="inlineStr">
        <is>
          <t>Raciones por paellera</t>
        </is>
      </c>
      <c r="B47" s="28" t="inlineStr">
        <is>
          <t>90 cm: 30-40 · 120 cm: 60-80 · 150 cm: 90-120</t>
        </is>
      </c>
      <c r="C47" s="28" t="inlineStr">
        <is>
          <t>Manual técnico de este kit (cartas de capacidad de los fabricantes)</t>
        </is>
      </c>
      <c r="D47" s="46" t="inlineStr">
        <is>
          <t>100 g de arroz por ración de evento</t>
        </is>
      </c>
      <c r="E47" s="28" t="n"/>
    </row>
    <row r="48" ht="15" customHeight="1">
      <c r="A48" s="28" t="inlineStr">
        <is>
          <t>Personal por evento</t>
        </is>
      </c>
      <c r="B48" s="28" t="inlineStr">
        <is>
          <t>1 paellero hasta 3 paelleras; ayudante desde 4 paelleras u 80 invitados</t>
        </is>
      </c>
      <c r="C48" s="28" t="inlineStr">
        <is>
          <t>Manual técnico de este kit</t>
        </is>
      </c>
      <c r="D48" s="46" t="inlineStr">
        <is>
          <t>Segundo paellero a partir de unos 150 invitados</t>
        </is>
      </c>
      <c r="E48" s="28" t="n"/>
    </row>
    <row r="49" ht="15" customHeight="1">
      <c r="A49" s="28" t="inlineStr">
        <is>
          <t>Coste de mercancía sobre ventas</t>
        </is>
      </c>
      <c r="B49" s="28" t="inlineStr">
        <is>
          <t>25-28 % con entrantes; 45 % en fiestas populares</t>
        </is>
      </c>
      <c r="C49" s="28" t="inlineStr">
        <is>
          <t>Estimación del kit</t>
        </is>
      </c>
      <c r="D49" s="46" t="inlineStr">
        <is>
          <t>El plan usa el 28 % en comida y el 30 % en bebida</t>
        </is>
      </c>
      <c r="E49" s="28" t="n"/>
    </row>
    <row r="50" ht="30" customHeight="1">
      <c r="A50" s="28" t="inlineStr">
        <is>
          <t>Gas por evento de 100 invitados</t>
        </is>
      </c>
      <c r="B50" s="28" t="inlineStr">
        <is>
          <t>4-6 kg de propano (10-15 €)</t>
        </is>
      </c>
      <c r="C50" s="28" t="inlineStr">
        <is>
          <t>Boletín de precios del IDAE, julio de 2026</t>
        </is>
      </c>
      <c r="D50" s="46" t="inlineStr">
        <is>
          <t>Propano de 35 kg a 78,80 € (≈ 2,25 €/kg); 1-1,5 kg por paellera de 90 cm</t>
        </is>
      </c>
      <c r="E50" s="28" t="n"/>
    </row>
    <row r="51" ht="60" customHeight="1">
      <c r="A51" s="28" t="inlineStr">
        <is>
          <t>Botellas de gas</t>
        </is>
      </c>
      <c r="B51" s="28" t="inlineStr">
        <is>
          <t>Una botella de menos de 15 kg por quemador</t>
        </is>
      </c>
      <c r="C51" s="28" t="inlineStr">
        <is>
          <t>RD 919/2006, art. 2.1.h</t>
        </is>
      </c>
      <c r="D51" s="46" t="inlineStr">
        <is>
          <t>Así no es una instalación y la conectas tú, con regulador y tubo flexible en fecha. Con botellas de 35 kg o varias conectadas, la monta una empresa instaladora (ITC-ICG 06)</t>
        </is>
      </c>
      <c r="E51" s="28" t="n"/>
    </row>
    <row r="52" ht="30" customHeight="1">
      <c r="A52" s="28" t="inlineStr">
        <is>
          <t>IVA de un servicio de paella en el evento</t>
        </is>
      </c>
      <c r="B52" s="28" t="inlineStr">
        <is>
          <t>10 %</t>
        </is>
      </c>
      <c r="C52" s="28" t="inlineStr">
        <is>
          <t>Ley 37/1992, art. 91.Uno.2.2.º</t>
        </is>
      </c>
      <c r="D52" s="46" t="inlineStr">
        <is>
          <t>Alcohol incluido. Paella para recoger: comida al 10 % y alcohol al 21 %</t>
        </is>
      </c>
      <c r="E52" s="28" t="n"/>
    </row>
    <row r="53" ht="45" customHeight="1">
      <c r="A53" s="28" t="inlineStr">
        <is>
          <t>Pago de los ayuntamientos</t>
        </is>
      </c>
      <c r="B53" s="28" t="inlineStr">
        <is>
          <t>30 días desde la conformidad</t>
        </is>
      </c>
      <c r="C53" s="28" t="inlineStr">
        <is>
          <t>Ley 9/2017, art. 198.4</t>
        </is>
      </c>
      <c r="D53" s="46" t="inlineStr">
        <is>
          <t>Contrato menor de servicios por debajo de 15.000 € (art. 118) y factura electrónica por FACe si eres SL (Ley 25/2013, art. 4)</t>
        </is>
      </c>
      <c r="E53" s="28" t="n"/>
    </row>
    <row r="54" ht="45" customHeight="1">
      <c r="A54" s="28" t="inlineStr">
        <is>
          <t>Temperaturas de servicio</t>
        </is>
      </c>
      <c r="B54" s="28" t="inlineStr">
        <is>
          <t>≥ 63 °C en caliente</t>
        </is>
      </c>
      <c r="C54" s="28" t="inlineStr">
        <is>
          <t>RD 1086/2020, art. 30</t>
        </is>
      </c>
      <c r="D54" s="46" t="inlineStr">
        <is>
          <t>Nunca arroz tibio a temperatura ambiente (Bacillus cereus): sírvelo recién hecho o enfríalo de 60 a 10 °C en menos de 2 horas</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septiembre 2026 · aichef.pro/plan-negocio-paellero-eventos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0.03</v>
      </c>
      <c r="C5" s="75" t="n">
        <v>0.035</v>
      </c>
      <c r="D5" s="75" t="n">
        <v>0.06</v>
      </c>
      <c r="E5" s="75" t="n">
        <v>0.07000000000000001</v>
      </c>
      <c r="F5" s="75" t="n">
        <v>0.11</v>
      </c>
      <c r="G5" s="75" t="n">
        <v>0.13</v>
      </c>
      <c r="H5" s="75" t="n">
        <v>0.12</v>
      </c>
      <c r="I5" s="75" t="n">
        <v>0.12</v>
      </c>
      <c r="J5" s="75" t="n">
        <v>0.13</v>
      </c>
      <c r="K5" s="75" t="n">
        <v>0.09</v>
      </c>
      <c r="L5" s="75" t="n">
        <v>0.04</v>
      </c>
      <c r="M5" s="75" t="n">
        <v>0.065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0.017643284858853723</v>
      </c>
      <c r="C7" s="68">
        <f>IFERROR(IF('PyG 3 Años'!$B$9="","",C5*C6/SUMPRODUCT($B$5:$M$5,$B$6:$M$6)),"")</f>
        <v>0.023952095808383235</v>
      </c>
      <c r="D7" s="68">
        <f>IFERROR(IF('PyG 3 Años'!$B$9="","",D5*D6/SUMPRODUCT($B$5:$M$5,$B$6:$M$6)),"")</f>
        <v>0.046834901625320786</v>
      </c>
      <c r="E7" s="68">
        <f>IFERROR(IF('PyG 3 Años'!$B$9="","",E5*E6/SUMPRODUCT($B$5:$M$5,$B$6:$M$6)),"")</f>
        <v>0.06137724550898204</v>
      </c>
      <c r="F7" s="68">
        <f>IFERROR(IF('PyG 3 Años'!$B$9="","",F5*F6/SUMPRODUCT($B$5:$M$5,$B$6:$M$6)),"")</f>
        <v>0.10703592814371259</v>
      </c>
      <c r="G7" s="68">
        <f>IFERROR(IF('PyG 3 Años'!$B$9="","",G5*G6/SUMPRODUCT($B$5:$M$5,$B$6:$M$6)),"")</f>
        <v>0.1390076988879384</v>
      </c>
      <c r="H7" s="68">
        <f>IFERROR(IF('PyG 3 Años'!$B$9="","",H5*H6/SUMPRODUCT($B$5:$M$5,$B$6:$M$6)),"")</f>
        <v>0.1283147989734816</v>
      </c>
      <c r="I7" s="68">
        <f>IFERROR(IF('PyG 3 Años'!$B$9="","",I5*I6/SUMPRODUCT($B$5:$M$5,$B$6:$M$6)),"")</f>
        <v>0.1283147989734816</v>
      </c>
      <c r="J7" s="68">
        <f>IFERROR(IF('PyG 3 Años'!$B$9="","",J5*J6/SUMPRODUCT($B$5:$M$5,$B$6:$M$6)),"")</f>
        <v>0.1390076988879384</v>
      </c>
      <c r="K7" s="68">
        <f>IFERROR(IF('PyG 3 Años'!$B$9="","",K5*K6/SUMPRODUCT($B$5:$M$5,$B$6:$M$6)),"")</f>
        <v>0.0962360992301112</v>
      </c>
      <c r="L7" s="68">
        <f>IFERROR(IF('PyG 3 Años'!$B$9="","",L5*L6/SUMPRODUCT($B$5:$M$5,$B$6:$M$6)),"")</f>
        <v>0.0427715996578272</v>
      </c>
      <c r="M7" s="68">
        <f>IFERROR(IF('PyG 3 Años'!$B$9="","",M5*M6/SUMPRODUCT($B$5:$M$5,$B$6:$M$6)),"")</f>
        <v>0.0695038494439692</v>
      </c>
      <c r="N7" s="68">
        <f>IFERROR(IF('PyG 3 Años'!$B$9="","",SUM(B7:M7)),"")</f>
        <v>1.0</v>
      </c>
      <c r="O7" s="28" t="inlineStr">
        <is>
          <t>Estacionalidad × rampa, normalizado a 100 %: el AÑO factura lo que dice el P&amp;L, pero repartido como lo reparte un negocio de paellas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1021.8210898203594</v>
      </c>
      <c r="C9" s="32">
        <f>IFERROR(IF('PyG 3 Años'!$B$9="","",('PyG 3 Años'!$B$9+'PyG 3 Años'!$B$9*SUMPRODUCT('PyG 3 Años'!$E$10:$E$11,'PyG 3 Años'!$G$10:$G$11))*(C7*(1-MIN(30,'0. Supuestos'!$B$58)/30)+B7*MIN(30,'0. Supuestos'!$B$58)/30)),"")</f>
        <v>3430.8417197604786</v>
      </c>
      <c r="D9" s="32">
        <f>IFERROR(IF('PyG 3 Años'!$B$9="","",('PyG 3 Años'!$B$9+'PyG 3 Años'!$B$9*SUMPRODUCT('PyG 3 Años'!$E$10:$E$11,'PyG 3 Años'!$G$10:$G$11))*(D7*(1-MIN(30,'0. Supuestos'!$B$58)/30)+C7*MIN(30,'0. Supuestos'!$B$58)/30)),"")</f>
        <v>5486.869609580838</v>
      </c>
      <c r="E9" s="32">
        <f>IFERROR(IF('PyG 3 Años'!$B$9="","",('PyG 3 Años'!$B$9+'PyG 3 Años'!$B$9*SUMPRODUCT('PyG 3 Años'!$E$10:$E$11,'PyG 3 Años'!$G$10:$G$11))*(E7*(1-MIN(30,'0. Supuestos'!$B$58)/30)+D7*MIN(30,'0. Supuestos'!$B$58)/30)),"")</f>
        <v>8979.639880239522</v>
      </c>
      <c r="F9" s="32">
        <f>IFERROR(IF('PyG 3 Años'!$B$9="","",('PyG 3 Años'!$B$9+'PyG 3 Años'!$B$9*SUMPRODUCT('PyG 3 Años'!$E$10:$E$11,'PyG 3 Años'!$G$10:$G$11))*(F7*(1-MIN(30,'0. Supuestos'!$B$58)/30)+E7*MIN(30,'0. Supuestos'!$B$58)/30)),"")</f>
        <v>13308.445588023951</v>
      </c>
      <c r="G9" s="32">
        <f>IFERROR(IF('PyG 3 Años'!$B$9="","",('PyG 3 Años'!$B$9+'PyG 3 Años'!$B$9*SUMPRODUCT('PyG 3 Años'!$E$10:$E$11,'PyG 3 Años'!$G$10:$G$11))*(G7*(1-MIN(30,'0. Supuestos'!$B$58)/30)+F7*MIN(30,'0. Supuestos'!$B$58)/30)),"")</f>
        <v>20448.807506586825</v>
      </c>
      <c r="H9" s="32">
        <f>IFERROR(IF('PyG 3 Años'!$B$9="","",('PyG 3 Años'!$B$9+'PyG 3 Años'!$B$9*SUMPRODUCT('PyG 3 Años'!$E$10:$E$11,'PyG 3 Años'!$G$10:$G$11))*(H7*(1-MIN(30,'0. Supuestos'!$B$58)/30)+G7*MIN(30,'0. Supuestos'!$B$58)/30)),"")</f>
        <v>23532.849341317367</v>
      </c>
      <c r="I9" s="32">
        <f>IFERROR(IF('PyG 3 Años'!$B$9="","",('PyG 3 Años'!$B$9+'PyG 3 Años'!$B$9*SUMPRODUCT('PyG 3 Años'!$E$10:$E$11,'PyG 3 Años'!$G$10:$G$11))*(I7*(1-MIN(30,'0. Supuestos'!$B$58)/30)+H7*MIN(30,'0. Supuestos'!$B$58)/30)),"")</f>
        <v>22294.278323353294</v>
      </c>
      <c r="J9" s="32">
        <f>IFERROR(IF('PyG 3 Años'!$B$9="","",('PyG 3 Años'!$B$9+'PyG 3 Años'!$B$9*SUMPRODUCT('PyG 3 Años'!$E$10:$E$11,'PyG 3 Años'!$G$10:$G$11))*(J7*(1-MIN(30,'0. Supuestos'!$B$58)/30)+I7*MIN(30,'0. Supuestos'!$B$58)/30)),"")</f>
        <v>22913.56383233533</v>
      </c>
      <c r="K9" s="32">
        <f>IFERROR(IF('PyG 3 Años'!$B$9="","",('PyG 3 Años'!$B$9+'PyG 3 Años'!$B$9*SUMPRODUCT('PyG 3 Años'!$E$10:$E$11,'PyG 3 Años'!$G$10:$G$11))*(K7*(1-MIN(30,'0. Supuestos'!$B$58)/30)+J7*MIN(30,'0. Supuestos'!$B$58)/30)),"")</f>
        <v>21674.992814371253</v>
      </c>
      <c r="L9" s="32">
        <f>IFERROR(IF('PyG 3 Años'!$B$9="","",('PyG 3 Años'!$B$9+'PyG 3 Años'!$B$9*SUMPRODUCT('PyG 3 Años'!$E$10:$E$11,'PyG 3 Años'!$G$10:$G$11))*(L7*(1-MIN(30,'0. Supuestos'!$B$58)/30)+K7*MIN(30,'0. Supuestos'!$B$58)/30)),"")</f>
        <v>13624.281197604789</v>
      </c>
      <c r="M9" s="32">
        <f>IFERROR(IF('PyG 3 Años'!$B$9="","",('PyG 3 Años'!$B$9+'PyG 3 Años'!$B$9*SUMPRODUCT('PyG 3 Años'!$E$10:$E$11,'PyG 3 Años'!$G$10:$G$11))*(M7*(1-MIN(30,'0. Supuestos'!$B$58)/30)+L7*MIN(30,'0. Supuestos'!$B$58)/30)),"")</f>
        <v>8979.639880239522</v>
      </c>
      <c r="N9" s="32">
        <f>IFERROR(IF('PyG 3 Años'!$B$9="","",SUM(B9:M9)),"")</f>
        <v>165696.03078323352</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-383.4592095808384</v>
      </c>
      <c r="C11" s="32">
        <f>IFERROR(IF('PyG 3 Años'!$B$9="","",-('PyG 3 Años'!$B$13*(1+'PyG 3 Años'!$G$13)+'PyG 3 Años'!$B$14*(1+'PyG 3 Años'!$G$14)+'PyG 3 Años'!$B$15*(1+'PyG 3 Años'!$G$15)+'PyG 3 Años'!$B$16*(1+'PyG 3 Años'!$G$16)+'PyG 3 Años'!$B$17*(1+'PyG 3 Años'!$G$17)+'PyG 3 Años'!$B$18*(1+'PyG 3 Años'!$G$18))*(C7*(1-MIN(30,'0. Supuestos'!$B$59)/30)+B7*MIN(30,'0. Supuestos'!$B$59)/30)),"")</f>
        <v>-1287.4933461077844</v>
      </c>
      <c r="D11" s="32">
        <f>IFERROR(IF('PyG 3 Años'!$B$9="","",-('PyG 3 Años'!$B$13*(1+'PyG 3 Años'!$G$13)+'PyG 3 Años'!$B$14*(1+'PyG 3 Años'!$G$14)+'PyG 3 Años'!$B$15*(1+'PyG 3 Años'!$G$15)+'PyG 3 Años'!$B$16*(1+'PyG 3 Años'!$G$16)+'PyG 3 Años'!$B$17*(1+'PyG 3 Años'!$G$17)+'PyG 3 Años'!$B$18*(1+'PyG 3 Años'!$G$18))*(D7*(1-MIN(30,'0. Supuestos'!$B$59)/30)+C7*MIN(30,'0. Supuestos'!$B$59)/30)),"")</f>
        <v>-2059.0597556886228</v>
      </c>
      <c r="E11" s="32">
        <f>IFERROR(IF('PyG 3 Años'!$B$9="","",-('PyG 3 Años'!$B$13*(1+'PyG 3 Años'!$G$13)+'PyG 3 Años'!$B$14*(1+'PyG 3 Años'!$G$14)+'PyG 3 Años'!$B$15*(1+'PyG 3 Años'!$G$15)+'PyG 3 Años'!$B$16*(1+'PyG 3 Años'!$G$16)+'PyG 3 Años'!$B$17*(1+'PyG 3 Años'!$G$17)+'PyG 3 Años'!$B$18*(1+'PyG 3 Años'!$G$18))*(E7*(1-MIN(30,'0. Supuestos'!$B$59)/30)+D7*MIN(30,'0. Supuestos'!$B$59)/30)),"")</f>
        <v>-3369.7930538922155</v>
      </c>
      <c r="F11" s="32">
        <f>IFERROR(IF('PyG 3 Años'!$B$9="","",-('PyG 3 Años'!$B$13*(1+'PyG 3 Años'!$G$13)+'PyG 3 Años'!$B$14*(1+'PyG 3 Años'!$G$14)+'PyG 3 Años'!$B$15*(1+'PyG 3 Años'!$G$15)+'PyG 3 Años'!$B$16*(1+'PyG 3 Años'!$G$16)+'PyG 3 Años'!$B$17*(1+'PyG 3 Años'!$G$17)+'PyG 3 Años'!$B$18*(1+'PyG 3 Años'!$G$18))*(F7*(1-MIN(30,'0. Supuestos'!$B$59)/30)+E7*MIN(30,'0. Supuestos'!$B$59)/30)),"")</f>
        <v>-4994.265705389221</v>
      </c>
      <c r="G11" s="32">
        <f>IFERROR(IF('PyG 3 Años'!$B$9="","",-('PyG 3 Años'!$B$13*(1+'PyG 3 Años'!$G$13)+'PyG 3 Años'!$B$14*(1+'PyG 3 Años'!$G$14)+'PyG 3 Años'!$B$15*(1+'PyG 3 Años'!$G$15)+'PyG 3 Años'!$B$16*(1+'PyG 3 Años'!$G$16)+'PyG 3 Años'!$B$17*(1+'PyG 3 Años'!$G$17)+'PyG 3 Años'!$B$18*(1+'PyG 3 Años'!$G$18))*(G7*(1-MIN(30,'0. Supuestos'!$B$59)/30)+F7*MIN(30,'0. Supuestos'!$B$59)/30)),"")</f>
        <v>-7673.832182035928</v>
      </c>
      <c r="H11" s="32">
        <f>IFERROR(IF('PyG 3 Años'!$B$9="","",-('PyG 3 Años'!$B$13*(1+'PyG 3 Años'!$G$13)+'PyG 3 Años'!$B$14*(1+'PyG 3 Años'!$G$14)+'PyG 3 Años'!$B$15*(1+'PyG 3 Años'!$G$15)+'PyG 3 Años'!$B$16*(1+'PyG 3 Años'!$G$16)+'PyG 3 Años'!$B$17*(1+'PyG 3 Años'!$G$17)+'PyG 3 Años'!$B$18*(1+'PyG 3 Años'!$G$18))*(H7*(1-MIN(30,'0. Supuestos'!$B$59)/30)+G7*MIN(30,'0. Supuestos'!$B$59)/30)),"")</f>
        <v>-8831.181796407187</v>
      </c>
      <c r="I11" s="32">
        <f>IFERROR(IF('PyG 3 Años'!$B$9="","",-('PyG 3 Años'!$B$13*(1+'PyG 3 Años'!$G$13)+'PyG 3 Años'!$B$14*(1+'PyG 3 Años'!$G$14)+'PyG 3 Años'!$B$15*(1+'PyG 3 Años'!$G$15)+'PyG 3 Años'!$B$16*(1+'PyG 3 Años'!$G$16)+'PyG 3 Años'!$B$17*(1+'PyG 3 Años'!$G$17)+'PyG 3 Años'!$B$18*(1+'PyG 3 Años'!$G$18))*(I7*(1-MIN(30,'0. Supuestos'!$B$59)/30)+H7*MIN(30,'0. Supuestos'!$B$59)/30)),"")</f>
        <v>-8366.382754491018</v>
      </c>
      <c r="J11" s="32">
        <f>IFERROR(IF('PyG 3 Años'!$B$9="","",-('PyG 3 Años'!$B$13*(1+'PyG 3 Años'!$G$13)+'PyG 3 Años'!$B$14*(1+'PyG 3 Años'!$G$14)+'PyG 3 Años'!$B$15*(1+'PyG 3 Años'!$G$15)+'PyG 3 Años'!$B$16*(1+'PyG 3 Años'!$G$16)+'PyG 3 Años'!$B$17*(1+'PyG 3 Años'!$G$17)+'PyG 3 Años'!$B$18*(1+'PyG 3 Años'!$G$18))*(J7*(1-MIN(30,'0. Supuestos'!$B$59)/30)+I7*MIN(30,'0. Supuestos'!$B$59)/30)),"")</f>
        <v>-8598.782275449103</v>
      </c>
      <c r="K11" s="32">
        <f>IFERROR(IF('PyG 3 Años'!$B$9="","",-('PyG 3 Años'!$B$13*(1+'PyG 3 Años'!$G$13)+'PyG 3 Años'!$B$14*(1+'PyG 3 Años'!$G$14)+'PyG 3 Años'!$B$15*(1+'PyG 3 Años'!$G$15)+'PyG 3 Años'!$B$16*(1+'PyG 3 Años'!$G$16)+'PyG 3 Años'!$B$17*(1+'PyG 3 Años'!$G$17)+'PyG 3 Años'!$B$18*(1+'PyG 3 Años'!$G$18))*(K7*(1-MIN(30,'0. Supuestos'!$B$59)/30)+J7*MIN(30,'0. Supuestos'!$B$59)/30)),"")</f>
        <v>-8133.983233532934</v>
      </c>
      <c r="L11" s="32">
        <f>IFERROR(IF('PyG 3 Años'!$B$9="","",-('PyG 3 Años'!$B$13*(1+'PyG 3 Años'!$G$13)+'PyG 3 Años'!$B$14*(1+'PyG 3 Años'!$G$14)+'PyG 3 Años'!$B$15*(1+'PyG 3 Años'!$G$15)+'PyG 3 Años'!$B$16*(1+'PyG 3 Años'!$G$16)+'PyG 3 Años'!$B$17*(1+'PyG 3 Años'!$G$17)+'PyG 3 Años'!$B$18*(1+'PyG 3 Años'!$G$18))*(L7*(1-MIN(30,'0. Supuestos'!$B$59)/30)+K7*MIN(30,'0. Supuestos'!$B$59)/30)),"")</f>
        <v>-5112.789461077844</v>
      </c>
      <c r="M11" s="32">
        <f>IFERROR(IF('PyG 3 Años'!$B$9="","",-('PyG 3 Años'!$B$13*(1+'PyG 3 Años'!$G$13)+'PyG 3 Años'!$B$14*(1+'PyG 3 Años'!$G$14)+'PyG 3 Años'!$B$15*(1+'PyG 3 Años'!$G$15)+'PyG 3 Años'!$B$16*(1+'PyG 3 Años'!$G$16)+'PyG 3 Años'!$B$17*(1+'PyG 3 Años'!$G$17)+'PyG 3 Años'!$B$18*(1+'PyG 3 Años'!$G$18))*(M7*(1-MIN(30,'0. Supuestos'!$B$59)/30)+L7*MIN(30,'0. Supuestos'!$B$59)/30)),"")</f>
        <v>-3369.7930538922155</v>
      </c>
      <c r="N11" s="32">
        <f>IFERROR(IF('PyG 3 Años'!$B$9="","",SUM(B11:M11)),"")</f>
        <v>-62180.81582754491</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20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-2313.75</v>
      </c>
      <c r="C12" s="32">
        <f>IFERROR(IF('PyG 3 Años'!$B$9="","",-('PyG 3 Años'!$B$38-'PyG 3 Años'!$B$23-'PyG 3 Años'!$B$36-'PyG 3 Años'!$B$37+'PyG 3 Años'!$B$40)/12),"")</f>
        <v>-2313.75</v>
      </c>
      <c r="D12" s="32">
        <f>IFERROR(IF('PyG 3 Años'!$B$9="","",-('PyG 3 Años'!$B$38-'PyG 3 Años'!$B$23-'PyG 3 Años'!$B$36-'PyG 3 Años'!$B$37+'PyG 3 Años'!$B$40)/12),"")</f>
        <v>-2313.75</v>
      </c>
      <c r="E12" s="32">
        <f>IFERROR(IF('PyG 3 Años'!$B$9="","",-('PyG 3 Años'!$B$38-'PyG 3 Años'!$B$23-'PyG 3 Años'!$B$36-'PyG 3 Años'!$B$37+'PyG 3 Años'!$B$40)/12),"")</f>
        <v>-2313.75</v>
      </c>
      <c r="F12" s="32">
        <f>IFERROR(IF('PyG 3 Años'!$B$9="","",-('PyG 3 Años'!$B$38-'PyG 3 Años'!$B$23-'PyG 3 Años'!$B$36-'PyG 3 Años'!$B$37+'PyG 3 Años'!$B$40)/12),"")</f>
        <v>-2313.75</v>
      </c>
      <c r="G12" s="32">
        <f>IFERROR(IF('PyG 3 Años'!$B$9="","",-('PyG 3 Años'!$B$38-'PyG 3 Años'!$B$23-'PyG 3 Años'!$B$36-'PyG 3 Años'!$B$37+'PyG 3 Años'!$B$40)/12),"")</f>
        <v>-2313.75</v>
      </c>
      <c r="H12" s="32">
        <f>IFERROR(IF('PyG 3 Años'!$B$9="","",-('PyG 3 Años'!$B$38-'PyG 3 Años'!$B$23-'PyG 3 Años'!$B$36-'PyG 3 Años'!$B$37+'PyG 3 Años'!$B$40)/12),"")</f>
        <v>-2313.75</v>
      </c>
      <c r="I12" s="32">
        <f>IFERROR(IF('PyG 3 Años'!$B$9="","",-('PyG 3 Años'!$B$38-'PyG 3 Años'!$B$23-'PyG 3 Años'!$B$36-'PyG 3 Años'!$B$37+'PyG 3 Años'!$B$40)/12),"")</f>
        <v>-2313.75</v>
      </c>
      <c r="J12" s="32">
        <f>IFERROR(IF('PyG 3 Años'!$B$9="","",-('PyG 3 Años'!$B$38-'PyG 3 Años'!$B$23-'PyG 3 Años'!$B$36-'PyG 3 Años'!$B$37+'PyG 3 Años'!$B$40)/12),"")</f>
        <v>-2313.75</v>
      </c>
      <c r="K12" s="32">
        <f>IFERROR(IF('PyG 3 Años'!$B$9="","",-('PyG 3 Años'!$B$38-'PyG 3 Años'!$B$23-'PyG 3 Años'!$B$36-'PyG 3 Años'!$B$37+'PyG 3 Años'!$B$40)/12),"")</f>
        <v>-2313.75</v>
      </c>
      <c r="L12" s="32">
        <f>IFERROR(IF('PyG 3 Años'!$B$9="","",-('PyG 3 Años'!$B$38-'PyG 3 Años'!$B$23-'PyG 3 Años'!$B$36-'PyG 3 Años'!$B$37+'PyG 3 Años'!$B$40)/12),"")</f>
        <v>-2313.75</v>
      </c>
      <c r="M12" s="32">
        <f>IFERROR(IF('PyG 3 Años'!$B$9="","",-('PyG 3 Años'!$B$38-'PyG 3 Años'!$B$23-'PyG 3 Años'!$B$36-'PyG 3 Años'!$B$37+'PyG 3 Años'!$B$40)/12),"")</f>
        <v>-2313.75</v>
      </c>
      <c r="N12" s="32">
        <f>IFERROR(IF('PyG 3 Años'!$B$9="","",SUM(B12:M12)),"")</f>
        <v>-27765.0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-3935.4700000000003</v>
      </c>
      <c r="C13" s="32">
        <f>IFERROR(IF('PyG 3 Años'!$B$9="","",-'PyG 3 Años'!$B$23/MAX(12,'0. Supuestos'!$B$21)*(1+IF(2='0. Supuestos'!$B$60,(MAX(12,'0. Supuestos'!$B$21)-12)/2,0)+IF(2='0. Supuestos'!$B$61,(MAX(12,'0. Supuestos'!$B$21)-12)/2,0))),"")</f>
        <v>-3935.4700000000003</v>
      </c>
      <c r="D13" s="32">
        <f>IFERROR(IF('PyG 3 Años'!$B$9="","",-'PyG 3 Años'!$B$23/MAX(12,'0. Supuestos'!$B$21)*(1+IF(3='0. Supuestos'!$B$60,(MAX(12,'0. Supuestos'!$B$21)-12)/2,0)+IF(3='0. Supuestos'!$B$61,(MAX(12,'0. Supuestos'!$B$21)-12)/2,0))),"")</f>
        <v>-3935.4700000000003</v>
      </c>
      <c r="E13" s="32">
        <f>IFERROR(IF('PyG 3 Años'!$B$9="","",-'PyG 3 Años'!$B$23/MAX(12,'0. Supuestos'!$B$21)*(1+IF(4='0. Supuestos'!$B$60,(MAX(12,'0. Supuestos'!$B$21)-12)/2,0)+IF(4='0. Supuestos'!$B$61,(MAX(12,'0. Supuestos'!$B$21)-12)/2,0))),"")</f>
        <v>-3935.4700000000003</v>
      </c>
      <c r="F13" s="32">
        <f>IFERROR(IF('PyG 3 Años'!$B$9="","",-'PyG 3 Años'!$B$23/MAX(12,'0. Supuestos'!$B$21)*(1+IF(5='0. Supuestos'!$B$60,(MAX(12,'0. Supuestos'!$B$21)-12)/2,0)+IF(5='0. Supuestos'!$B$61,(MAX(12,'0. Supuestos'!$B$21)-12)/2,0))),"")</f>
        <v>-3935.4700000000003</v>
      </c>
      <c r="G13" s="32">
        <f>IFERROR(IF('PyG 3 Años'!$B$9="","",-'PyG 3 Años'!$B$23/MAX(12,'0. Supuestos'!$B$21)*(1+IF(6='0. Supuestos'!$B$60,(MAX(12,'0. Supuestos'!$B$21)-12)/2,0)+IF(6='0. Supuestos'!$B$61,(MAX(12,'0. Supuestos'!$B$21)-12)/2,0))),"")</f>
        <v>-3935.4700000000003</v>
      </c>
      <c r="H13" s="32">
        <f>IFERROR(IF('PyG 3 Años'!$B$9="","",-'PyG 3 Años'!$B$23/MAX(12,'0. Supuestos'!$B$21)*(1+IF(7='0. Supuestos'!$B$60,(MAX(12,'0. Supuestos'!$B$21)-12)/2,0)+IF(7='0. Supuestos'!$B$61,(MAX(12,'0. Supuestos'!$B$21)-12)/2,0))),"")</f>
        <v>-7870.9400000000005</v>
      </c>
      <c r="I13" s="32">
        <f>IFERROR(IF('PyG 3 Años'!$B$9="","",-'PyG 3 Años'!$B$23/MAX(12,'0. Supuestos'!$B$21)*(1+IF(8='0. Supuestos'!$B$60,(MAX(12,'0. Supuestos'!$B$21)-12)/2,0)+IF(8='0. Supuestos'!$B$61,(MAX(12,'0. Supuestos'!$B$21)-12)/2,0))),"")</f>
        <v>-3935.4700000000003</v>
      </c>
      <c r="J13" s="32">
        <f>IFERROR(IF('PyG 3 Años'!$B$9="","",-'PyG 3 Años'!$B$23/MAX(12,'0. Supuestos'!$B$21)*(1+IF(9='0. Supuestos'!$B$60,(MAX(12,'0. Supuestos'!$B$21)-12)/2,0)+IF(9='0. Supuestos'!$B$61,(MAX(12,'0. Supuestos'!$B$21)-12)/2,0))),"")</f>
        <v>-3935.4700000000003</v>
      </c>
      <c r="K13" s="32">
        <f>IFERROR(IF('PyG 3 Años'!$B$9="","",-'PyG 3 Años'!$B$23/MAX(12,'0. Supuestos'!$B$21)*(1+IF(10='0. Supuestos'!$B$60,(MAX(12,'0. Supuestos'!$B$21)-12)/2,0)+IF(10='0. Supuestos'!$B$61,(MAX(12,'0. Supuestos'!$B$21)-12)/2,0))),"")</f>
        <v>-3935.4700000000003</v>
      </c>
      <c r="L13" s="32">
        <f>IFERROR(IF('PyG 3 Años'!$B$9="","",-'PyG 3 Años'!$B$23/MAX(12,'0. Supuestos'!$B$21)*(1+IF(11='0. Supuestos'!$B$60,(MAX(12,'0. Supuestos'!$B$21)-12)/2,0)+IF(11='0. Supuestos'!$B$61,(MAX(12,'0. Supuestos'!$B$21)-12)/2,0))),"")</f>
        <v>-3935.4700000000003</v>
      </c>
      <c r="M13" s="32">
        <f>IFERROR(IF('PyG 3 Años'!$B$9="","",-'PyG 3 Años'!$B$23/MAX(12,'0. Supuestos'!$B$21)*(1+IF(12='0. Supuestos'!$B$60,(MAX(12,'0. Supuestos'!$B$21)-12)/2,0)+IF(12='0. Supuestos'!$B$61,(MAX(12,'0. Supuestos'!$B$21)-12)/2,0))),"")</f>
        <v>-7870.9400000000005</v>
      </c>
      <c r="N13" s="32">
        <f>IFERROR(IF('PyG 3 Años'!$B$9="","",SUM(B13:M13)),"")</f>
        <v>-55096.58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-279.5</v>
      </c>
      <c r="C14" s="32">
        <f>IFERROR(IF('PyG 3 Años'!$B$9="","",-'Financiación'!$B$44/12),"")</f>
        <v>-279.5</v>
      </c>
      <c r="D14" s="32">
        <f>IFERROR(IF('PyG 3 Años'!$B$9="","",-'Financiación'!$B$44/12),"")</f>
        <v>-279.5</v>
      </c>
      <c r="E14" s="32">
        <f>IFERROR(IF('PyG 3 Años'!$B$9="","",-'Financiación'!$B$44/12),"")</f>
        <v>-279.5</v>
      </c>
      <c r="F14" s="32">
        <f>IFERROR(IF('PyG 3 Años'!$B$9="","",-'Financiación'!$B$44/12),"")</f>
        <v>-279.5</v>
      </c>
      <c r="G14" s="32">
        <f>IFERROR(IF('PyG 3 Años'!$B$9="","",-'Financiación'!$B$44/12),"")</f>
        <v>-279.5</v>
      </c>
      <c r="H14" s="32">
        <f>IFERROR(IF('PyG 3 Años'!$B$9="","",-'Financiación'!$B$44/12),"")</f>
        <v>-279.5</v>
      </c>
      <c r="I14" s="32">
        <f>IFERROR(IF('PyG 3 Años'!$B$9="","",-'Financiación'!$B$44/12),"")</f>
        <v>-279.5</v>
      </c>
      <c r="J14" s="32">
        <f>IFERROR(IF('PyG 3 Años'!$B$9="","",-'Financiación'!$B$44/12),"")</f>
        <v>-279.5</v>
      </c>
      <c r="K14" s="32">
        <f>IFERROR(IF('PyG 3 Años'!$B$9="","",-'Financiación'!$B$44/12),"")</f>
        <v>-279.5</v>
      </c>
      <c r="L14" s="32">
        <f>IFERROR(IF('PyG 3 Años'!$B$9="","",-'Financiación'!$B$44/12),"")</f>
        <v>-279.5</v>
      </c>
      <c r="M14" s="32">
        <f>IFERROR(IF('PyG 3 Años'!$B$9="","",-'Financiación'!$B$44/12),"")</f>
        <v>-279.5</v>
      </c>
      <c r="N14" s="32">
        <f>IFERROR(IF('PyG 3 Años'!$B$9="","",SUM(B14:M14)),"")</f>
        <v>-3354.0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279.2357245508982</v>
      </c>
      <c r="C16" s="32">
        <f>IFERROR(IF('PyG 3 Años'!$B$9="","",'PyG 3 Años'!$B$9*C7*SUMPRODUCT('PyG 3 Años'!$E$10:$E$11,'PyG 3 Años'!$G$10:$G$11)),"")</f>
        <v>379.0836502994012</v>
      </c>
      <c r="D16" s="32">
        <f>IFERROR(IF('PyG 3 Años'!$B$9="","",'PyG 3 Años'!$B$9*D7*SUMPRODUCT('PyG 3 Años'!$E$10:$E$11,'PyG 3 Años'!$G$10:$G$11)),"")</f>
        <v>741.2439233532934</v>
      </c>
      <c r="E16" s="32">
        <f>IFERROR(IF('PyG 3 Años'!$B$9="","",'PyG 3 Años'!$B$9*E7*SUMPRODUCT('PyG 3 Años'!$E$10:$E$11,'PyG 3 Años'!$G$10:$G$11)),"")</f>
        <v>971.4018538922157</v>
      </c>
      <c r="F16" s="32">
        <f>IFERROR(IF('PyG 3 Años'!$B$9="","",'PyG 3 Años'!$B$9*F7*SUMPRODUCT('PyG 3 Años'!$E$10:$E$11,'PyG 3 Años'!$G$10:$G$11)),"")</f>
        <v>1694.0300622754492</v>
      </c>
      <c r="G16" s="32">
        <f>IFERROR(IF('PyG 3 Años'!$B$9="","",'PyG 3 Años'!$B$9*G7*SUMPRODUCT('PyG 3 Años'!$E$10:$E$11,'PyG 3 Años'!$G$10:$G$11)),"")</f>
        <v>2200.0390419161677</v>
      </c>
      <c r="H16" s="32">
        <f>IFERROR(IF('PyG 3 Años'!$B$9="","",'PyG 3 Años'!$B$9*H7*SUMPRODUCT('PyG 3 Años'!$E$10:$E$11,'PyG 3 Años'!$G$10:$G$11)),"")</f>
        <v>2030.8052694610778</v>
      </c>
      <c r="I16" s="32">
        <f>IFERROR(IF('PyG 3 Años'!$B$9="","",'PyG 3 Años'!$B$9*I7*SUMPRODUCT('PyG 3 Años'!$E$10:$E$11,'PyG 3 Años'!$G$10:$G$11)),"")</f>
        <v>2030.8052694610778</v>
      </c>
      <c r="J16" s="32">
        <f>IFERROR(IF('PyG 3 Años'!$B$9="","",'PyG 3 Años'!$B$9*J7*SUMPRODUCT('PyG 3 Años'!$E$10:$E$11,'PyG 3 Años'!$G$10:$G$11)),"")</f>
        <v>2200.0390419161677</v>
      </c>
      <c r="K16" s="32">
        <f>IFERROR(IF('PyG 3 Años'!$B$9="","",'PyG 3 Años'!$B$9*K7*SUMPRODUCT('PyG 3 Años'!$E$10:$E$11,'PyG 3 Años'!$G$10:$G$11)),"")</f>
        <v>1523.1039520958084</v>
      </c>
      <c r="L16" s="32">
        <f>IFERROR(IF('PyG 3 Años'!$B$9="","",'PyG 3 Años'!$B$9*L7*SUMPRODUCT('PyG 3 Años'!$E$10:$E$11,'PyG 3 Años'!$G$10:$G$11)),"")</f>
        <v>676.9350898203593</v>
      </c>
      <c r="M16" s="32">
        <f>IFERROR(IF('PyG 3 Años'!$B$9="","",'PyG 3 Años'!$B$9*M7*SUMPRODUCT('PyG 3 Años'!$E$10:$E$11,'PyG 3 Años'!$G$10:$G$11)),"")</f>
        <v>1100.0195209580838</v>
      </c>
      <c r="N16" s="32">
        <f>IFERROR(IF('PyG 3 Años'!$B$9="","",SUM(B16:M16)),"")</f>
        <v>15826.742399999997</v>
      </c>
      <c r="O16" s="28" t="inlineStr">
        <is>
          <t>Cada línea de venta a SU tipo, leído de la columna de IVA del P&amp;L: en el servicio de paella, alcohol incluido, el reducido (art. 91.Uno.2.2.º de la Ley 37/1992 del IVA); el alcohol que sale por paella para recoger, al general; la carpa o el mobiliario facturados aparte, al general (art. 90)</t>
        </is>
      </c>
    </row>
    <row r="17">
      <c r="A17" s="28" t="inlineStr">
        <is>
          <t>IVA soportado del mes (memoria)</t>
        </is>
      </c>
      <c r="B17" s="32">
        <f>IFERROR(IF('PyG 3 Años'!$B$9="","",'PyG 3 Años'!$B$39*B7+'PyG 3 Años'!$B$40/12),"")</f>
        <v>505.19661077844313</v>
      </c>
      <c r="C17" s="32">
        <f>IFERROR(IF('PyG 3 Años'!$B$9="","",'PyG 3 Años'!$B$39*C7+'PyG 3 Años'!$B$40/12),"")</f>
        <v>551.3047928143712</v>
      </c>
      <c r="D17" s="32">
        <f>IFERROR(IF('PyG 3 Años'!$B$9="","",'PyG 3 Años'!$B$39*D7+'PyG 3 Años'!$B$40/12),"")</f>
        <v>718.5446395209581</v>
      </c>
      <c r="E17" s="32">
        <f>IFERROR(IF('PyG 3 Años'!$B$9="","",'PyG 3 Años'!$B$39*E7+'PyG 3 Años'!$B$40/12),"")</f>
        <v>824.8279065868264</v>
      </c>
      <c r="F17" s="32">
        <f>IFERROR(IF('PyG 3 Años'!$B$9="","",'PyG 3 Años'!$B$39*F7+'PyG 3 Años'!$B$40/12),"")</f>
        <v>1158.5261053892216</v>
      </c>
      <c r="G17" s="32">
        <f>IFERROR(IF('PyG 3 Años'!$B$9="","",'PyG 3 Años'!$B$39*G7+'PyG 3 Años'!$B$40/12),"")</f>
        <v>1392.192994011976</v>
      </c>
      <c r="H17" s="32">
        <f>IFERROR(IF('PyG 3 Años'!$B$9="","",'PyG 3 Años'!$B$39*H7+'PyG 3 Años'!$B$40/12),"")</f>
        <v>1314.0435329341317</v>
      </c>
      <c r="I17" s="32">
        <f>IFERROR(IF('PyG 3 Años'!$B$9="","",'PyG 3 Años'!$B$39*I7+'PyG 3 Años'!$B$40/12),"")</f>
        <v>1314.0435329341317</v>
      </c>
      <c r="J17" s="32">
        <f>IFERROR(IF('PyG 3 Años'!$B$9="","",'PyG 3 Años'!$B$39*J7+'PyG 3 Años'!$B$40/12),"")</f>
        <v>1392.192994011976</v>
      </c>
      <c r="K17" s="32">
        <f>IFERROR(IF('PyG 3 Años'!$B$9="","",'PyG 3 Años'!$B$39*K7+'PyG 3 Años'!$B$40/12),"")</f>
        <v>1079.5951497005988</v>
      </c>
      <c r="L17" s="32">
        <f>IFERROR(IF('PyG 3 Años'!$B$9="","",'PyG 3 Años'!$B$39*L7+'PyG 3 Años'!$B$40/12),"")</f>
        <v>688.8478443113772</v>
      </c>
      <c r="M17" s="32">
        <f>IFERROR(IF('PyG 3 Años'!$B$9="","",'PyG 3 Años'!$B$39*M7+'PyG 3 Años'!$B$40/12),"")</f>
        <v>884.221497005988</v>
      </c>
      <c r="N17" s="32">
        <f>IFERROR(IF('PyG 3 Años'!$B$9="","",SUM(B17:M17)),"")</f>
        <v>11823.537600000001</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8376.06</v>
      </c>
      <c r="F18" s="28" t="n"/>
      <c r="G18" s="28" t="n"/>
      <c r="H18" s="32">
        <f>IFERROR(IF('PyG 3 Años'!$B$9="","",MAX(0,-E19)),"")</f>
        <v>8751.542744910179</v>
      </c>
      <c r="I18" s="28" t="n"/>
      <c r="J18" s="28" t="n"/>
      <c r="K18" s="32">
        <f>IFERROR(IF('PyG 3 Años'!$B$9="","",MAX(0,-H19)),"")</f>
        <v>7261.61879281437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-8751.542744910179</v>
      </c>
      <c r="F19" s="28" t="n"/>
      <c r="G19" s="28" t="n"/>
      <c r="H19" s="32">
        <f>IFERROR(IF('PyG 3 Años'!$B$9="","",SUM(E16:G16)-SUM(E17:G17)-H18),"")</f>
        <v>-7261.61879281437</v>
      </c>
      <c r="I19" s="28" t="n"/>
      <c r="J19" s="28" t="n"/>
      <c r="K19" s="32">
        <f>IFERROR(IF('PyG 3 Años'!$B$9="","",SUM(H16:J16)-SUM(H17:J17)-K18),"")</f>
        <v>-5020.249271856286</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-5890.358119760479</v>
      </c>
      <c r="C21" s="26">
        <f>IFERROR(IF('PyG 3 Años'!$B$9="","",SUM(C9:C15)+IF(C20="",0,C20)),"")</f>
        <v>-4385.371626347306</v>
      </c>
      <c r="D21" s="26">
        <f>IFERROR(IF('PyG 3 Años'!$B$9="","",SUM(D9:D15)+IF(D20="",0,D20)),"")</f>
        <v>-3100.910146107785</v>
      </c>
      <c r="E21" s="26">
        <f>IFERROR(IF('PyG 3 Años'!$B$9="","",SUM(E9:E15)+IF(E20="",0,E20)),"")</f>
        <v>-918.8731736526943</v>
      </c>
      <c r="F21" s="26">
        <f>IFERROR(IF('PyG 3 Años'!$B$9="","",SUM(F9:F15)+IF(F20="",0,F20)),"")</f>
        <v>1785.4598826347292</v>
      </c>
      <c r="G21" s="26">
        <f>IFERROR(IF('PyG 3 Años'!$B$9="","",SUM(G9:G15)+IF(G20="",0,G20)),"")</f>
        <v>6246.255324550898</v>
      </c>
      <c r="H21" s="26">
        <f>IFERROR(IF('PyG 3 Años'!$B$9="","",SUM(H9:H15)+IF(H20="",0,H20)),"")</f>
        <v>4237.47754491018</v>
      </c>
      <c r="I21" s="26">
        <f>IFERROR(IF('PyG 3 Años'!$B$9="","",SUM(I9:I15)+IF(I20="",0,I20)),"")</f>
        <v>7399.175568862275</v>
      </c>
      <c r="J21" s="26">
        <f>IFERROR(IF('PyG 3 Años'!$B$9="","",SUM(J9:J15)+IF(J20="",0,J20)),"")</f>
        <v>7786.061556886228</v>
      </c>
      <c r="K21" s="26">
        <f>IFERROR(IF('PyG 3 Años'!$B$9="","",SUM(K9:K15)+IF(K20="",0,K20)),"")</f>
        <v>7012.289580838319</v>
      </c>
      <c r="L21" s="26">
        <f>IFERROR(IF('PyG 3 Años'!$B$9="","",SUM(L9:L15)+IF(L20="",0,L20)),"")</f>
        <v>1982.7717365269446</v>
      </c>
      <c r="M21" s="26">
        <f>IFERROR(IF('PyG 3 Años'!$B$9="","",SUM(M9:M15)+IF(M20="",0,M20)),"")</f>
        <v>-4854.3431736526945</v>
      </c>
      <c r="N21" s="26">
        <f>IFERROR(IF('PyG 3 Años'!$B$9="","",SUM(B21:M21)),"")</f>
        <v>17299.634955688613</v>
      </c>
      <c r="O21" s="28" t="n"/>
    </row>
    <row r="22">
      <c r="A22" s="25" t="inlineStr">
        <is>
          <t>SALDO ACUMULADO DE CAJA</t>
        </is>
      </c>
      <c r="B22" s="26">
        <f>IFERROR(IF('PyG 3 Años'!$B$9="","",'Inversión Inicial'!$B$25+B21),"")</f>
        <v>14534.78688023952</v>
      </c>
      <c r="C22" s="26">
        <f>IFERROR(IF('PyG 3 Años'!$B$9="","",B22+C21),"")</f>
        <v>10149.415253892214</v>
      </c>
      <c r="D22" s="26">
        <f>IFERROR(IF('PyG 3 Años'!$B$9="","",C22+D21),"")</f>
        <v>7048.505107784429</v>
      </c>
      <c r="E22" s="26">
        <f>IFERROR(IF('PyG 3 Años'!$B$9="","",D22+E21),"")</f>
        <v>6129.631934131735</v>
      </c>
      <c r="F22" s="26">
        <f>IFERROR(IF('PyG 3 Años'!$B$9="","",E22+F21),"")</f>
        <v>7915.091816766464</v>
      </c>
      <c r="G22" s="26">
        <f>IFERROR(IF('PyG 3 Años'!$B$9="","",F22+G21),"")</f>
        <v>14161.347141317361</v>
      </c>
      <c r="H22" s="26">
        <f>IFERROR(IF('PyG 3 Años'!$B$9="","",G22+H21),"")</f>
        <v>18398.82468622754</v>
      </c>
      <c r="I22" s="26">
        <f>IFERROR(IF('PyG 3 Años'!$B$9="","",H22+I21),"")</f>
        <v>25798.000255089817</v>
      </c>
      <c r="J22" s="26">
        <f>IFERROR(IF('PyG 3 Años'!$B$9="","",I22+J21),"")</f>
        <v>33584.06181197605</v>
      </c>
      <c r="K22" s="26">
        <f>IFERROR(IF('PyG 3 Años'!$B$9="","",J22+K21),"")</f>
        <v>40596.351392814366</v>
      </c>
      <c r="L22" s="26">
        <f>IFERROR(IF('PyG 3 Años'!$B$9="","",K22+L21),"")</f>
        <v>42579.12312934131</v>
      </c>
      <c r="M22" s="26">
        <f>IFERROR(IF('PyG 3 Años'!$B$9="","",L22+M21),"")</f>
        <v>37724.77995568862</v>
      </c>
      <c r="N22" s="28" t="n"/>
      <c r="O22" s="28" t="n"/>
    </row>
    <row r="23">
      <c r="A23" s="28" t="inlineStr">
        <is>
          <t>Saldo mínimo del año</t>
        </is>
      </c>
      <c r="B23" s="32">
        <f>IFERROR(IF('PyG 3 Años'!$B$9="","",IF(COUNT(B22:M22)=0,"",MIN(B22:M22))),"")</f>
        <v>6129.631934131735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19493.10579999999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22895.360679999998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21341.244176224518</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20653.634955688613</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63111.145000000004</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3.0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2.0</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20000.0</v>
      </c>
      <c r="C6" s="28" t="n"/>
      <c r="D6" s="28" t="n"/>
      <c r="E6" s="28" t="n"/>
      <c r="F6" s="28" t="n"/>
      <c r="G6" s="28" t="n"/>
      <c r="H6" s="28" t="n"/>
    </row>
    <row r="7">
      <c r="A7" s="28" t="inlineStr">
        <is>
          <t>Préstamo bancario</t>
        </is>
      </c>
      <c r="B7" s="32">
        <f>IFERROR(IF('0. Supuestos'!$B$31="","",'0. Supuestos'!$B$31),"")</f>
        <v>51600.0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71600.0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71487.205</v>
      </c>
      <c r="C14" s="28" t="inlineStr">
        <is>
          <t>Inversión más el IVA que hay que adelantar</t>
        </is>
      </c>
      <c r="D14" s="28" t="n"/>
      <c r="E14" s="28" t="n"/>
      <c r="F14" s="28" t="n"/>
      <c r="G14" s="28" t="n"/>
      <c r="H14" s="28" t="n"/>
    </row>
    <row r="15">
      <c r="A15" s="25" t="inlineStr">
        <is>
          <t>Diferencia (origen - usos)</t>
        </is>
      </c>
      <c r="B15" s="26">
        <f>IFERROR(B12-B14,"")</f>
        <v>112.79499999999825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0.0015778348027454458</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51487.205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51600.0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12416.742140030323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51600.0</v>
      </c>
      <c r="C27" s="70">
        <f>IFERROR(IF(OR(1&gt;B22,B27=""),"",B27*B21),"")</f>
        <v>3354.0</v>
      </c>
      <c r="D27" s="70">
        <f>IFERROR(IF(OR(1&gt;B22,B27=""),"",IF(1&lt;=B23,0,MIN(B27,B24-C27))),"")</f>
        <v>0.0</v>
      </c>
      <c r="E27" s="70">
        <f>IFERROR(IF(C27="","",C27+D27),"")</f>
        <v>3354.0</v>
      </c>
      <c r="F27" s="70">
        <f>IFERROR(IF(D27="","",B27-D27),"")</f>
        <v>51600.0</v>
      </c>
      <c r="G27" s="70">
        <f>IFERROR(IF(E27="","",'PyG 3 Años'!$B$41-'PyG 3 Años'!$B$46+'PyG 3 Años'!$B$36+'PyG 3 Años'!$B$37),"")</f>
        <v>19493.10579999999</v>
      </c>
      <c r="H27" s="61">
        <f>IFERROR(IF(OR(E27="",E27=0),"",G27/E27),"")</f>
        <v>5.811897972570063</v>
      </c>
    </row>
    <row r="28">
      <c r="A28" s="40" t="n">
        <v>2</v>
      </c>
      <c r="B28" s="70">
        <f>IFERROR(IF(OR(2&gt;B22,F27=""),"",F27),"")</f>
        <v>51600.0</v>
      </c>
      <c r="C28" s="70">
        <f>IFERROR(IF(OR(2&gt;B22,B28=""),"",B28*B21),"")</f>
        <v>3354.0</v>
      </c>
      <c r="D28" s="70">
        <f>IFERROR(IF(OR(2&gt;B22,B28=""),"",IF(2&lt;=B23,0,MIN(B28,B24-C28))),"")</f>
        <v>9062.742140030323</v>
      </c>
      <c r="E28" s="70">
        <f>IFERROR(IF(C28="","",C28+D28),"")</f>
        <v>12416.742140030323</v>
      </c>
      <c r="F28" s="70">
        <f>IFERROR(IF(D28="","",B28-D28),"")</f>
        <v>42537.25785996968</v>
      </c>
      <c r="G28" s="70">
        <f>IFERROR(IF(E28="","",'PyG 3 Años'!$C$41-'PyG 3 Años'!$C$46+'PyG 3 Años'!$C$36+'PyG 3 Años'!$C$37),"")</f>
        <v>22895.360679999998</v>
      </c>
      <c r="H28" s="61">
        <f>IFERROR(IF(OR(E28="",E28=0),"",G28/E28),"")</f>
        <v>1.843910457493328</v>
      </c>
    </row>
    <row r="29">
      <c r="A29" s="40" t="n">
        <v>3</v>
      </c>
      <c r="B29" s="70">
        <f>IFERROR(IF(OR(3&gt;B22,F28=""),"",F28),"")</f>
        <v>42537.25785996968</v>
      </c>
      <c r="C29" s="70">
        <f>IFERROR(IF(OR(3&gt;B22,B29=""),"",B29*B21),"")</f>
        <v>2764.9217608980293</v>
      </c>
      <c r="D29" s="70">
        <f>IFERROR(IF(OR(3&gt;B22,B29=""),"",IF(3&lt;=B23,0,MIN(B29,B24-C29))),"")</f>
        <v>9651.820379132294</v>
      </c>
      <c r="E29" s="70">
        <f>IFERROR(IF(C29="","",C29+D29),"")</f>
        <v>12416.742140030323</v>
      </c>
      <c r="F29" s="70">
        <f>IFERROR(IF(D29="","",B29-D29),"")</f>
        <v>32885.43748083738</v>
      </c>
      <c r="G29" s="70">
        <f>IFERROR(IF(E29="","",'PyG 3 Años'!$D$41-'PyG 3 Años'!$D$46+'PyG 3 Años'!$D$36+'PyG 3 Años'!$D$37),"")</f>
        <v>21341.244176224518</v>
      </c>
      <c r="H29" s="61">
        <f>IFERROR(IF(OR(E29="",E29=0),"",G29/E29),"")</f>
        <v>1.718747473012466</v>
      </c>
    </row>
    <row r="30">
      <c r="A30" s="40" t="n">
        <v>4</v>
      </c>
      <c r="B30" s="70">
        <f>IFERROR(IF(OR(4&gt;B22,F29=""),"",F29),"")</f>
        <v>32885.43748083738</v>
      </c>
      <c r="C30" s="70">
        <f>IFERROR(IF(OR(4&gt;B22,B30=""),"",B30*B21),"")</f>
        <v>2137.55343625443</v>
      </c>
      <c r="D30" s="70">
        <f>IFERROR(IF(OR(4&gt;B22,B30=""),"",IF(4&lt;=B23,0,MIN(B30,B24-C30))),"")</f>
        <v>10279.188703775893</v>
      </c>
      <c r="E30" s="70">
        <f>IFERROR(IF(C30="","",C30+D30),"")</f>
        <v>12416.742140030323</v>
      </c>
      <c r="F30" s="70">
        <f>IFERROR(IF(D30="","",B30-D30),"")</f>
        <v>22606.24877706149</v>
      </c>
      <c r="G30" s="70">
        <f>IFERROR(IF(E30="","",'PyG 3 Años'!$D$41-'PyG 3 Años'!$D$46+'PyG 3 Años'!$D$36+'PyG 3 Años'!$D$37),"")</f>
        <v>21341.244176224518</v>
      </c>
      <c r="H30" s="61">
        <f>IFERROR(IF(OR(E30="",E30=0),"",G30/E30),"")</f>
        <v>1.718747473012466</v>
      </c>
    </row>
    <row r="31">
      <c r="A31" s="40" t="n">
        <v>5</v>
      </c>
      <c r="B31" s="70">
        <f>IFERROR(IF(OR(5&gt;B22,F30=""),"",F30),"")</f>
        <v>22606.24877706149</v>
      </c>
      <c r="C31" s="70">
        <f>IFERROR(IF(OR(5&gt;B22,B31=""),"",B31*B21),"")</f>
        <v>1469.4061705089969</v>
      </c>
      <c r="D31" s="70">
        <f>IFERROR(IF(OR(5&gt;B22,B31=""),"",IF(5&lt;=B23,0,MIN(B31,B24-C31))),"")</f>
        <v>10947.335969521326</v>
      </c>
      <c r="E31" s="70">
        <f>IFERROR(IF(C31="","",C31+D31),"")</f>
        <v>12416.742140030323</v>
      </c>
      <c r="F31" s="70">
        <f>IFERROR(IF(D31="","",B31-D31),"")</f>
        <v>11658.912807540164</v>
      </c>
      <c r="G31" s="70">
        <f>IFERROR(IF(E31="","",'PyG 3 Años'!$D$41-'PyG 3 Años'!$D$46+'PyG 3 Años'!$D$36+'PyG 3 Años'!$D$37),"")</f>
        <v>21341.244176224518</v>
      </c>
      <c r="H31" s="61">
        <f>IFERROR(IF(OR(E31="",E31=0),"",G31/E31),"")</f>
        <v>1.718747473012466</v>
      </c>
    </row>
    <row r="32">
      <c r="A32" s="40" t="n">
        <v>6</v>
      </c>
      <c r="B32" s="70">
        <f>IFERROR(IF(OR(6&gt;B22,F31=""),"",F31),"")</f>
        <v>11658.912807540164</v>
      </c>
      <c r="C32" s="70">
        <f>IFERROR(IF(OR(6&gt;B22,B32=""),"",B32*B21),"")</f>
        <v>757.8293324901107</v>
      </c>
      <c r="D32" s="70">
        <f>IFERROR(IF(OR(6&gt;B22,B32=""),"",IF(6&lt;=B23,0,MIN(B32,B24-C32))),"")</f>
        <v>11658.912807540164</v>
      </c>
      <c r="E32" s="70">
        <f>IFERROR(IF(C32="","",C32+D32),"")</f>
        <v>12416.742140030276</v>
      </c>
      <c r="F32" s="70">
        <f>IFERROR(IF(D32="","",B32-D32),"")</f>
        <v>0.0</v>
      </c>
      <c r="G32" s="70">
        <f>IFERROR(IF(E32="","",'PyG 3 Años'!$D$41-'PyG 3 Años'!$D$46+'PyG 3 Años'!$D$36+'PyG 3 Años'!$D$37),"")</f>
        <v>21341.244176224518</v>
      </c>
      <c r="H32" s="61">
        <f>IFERROR(IF(OR(E32="",E32=0),"",G32/E32),"")</f>
        <v>1.7187474730124725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3354.0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3354.0</v>
      </c>
      <c r="C46" s="28" t="n"/>
      <c r="D46" s="28" t="n"/>
      <c r="E46" s="28" t="n"/>
      <c r="F46" s="28" t="n"/>
      <c r="G46" s="28" t="n"/>
      <c r="H46" s="28" t="n"/>
    </row>
    <row r="47">
      <c r="A47" s="28" t="inlineStr">
        <is>
          <t>Devolución de principal del año 2</t>
        </is>
      </c>
      <c r="B47" s="32">
        <f>IFERROR(IF(B20="","",IF(D28="",0,D28)),"")</f>
        <v>9062.742140030323</v>
      </c>
      <c r="C47" s="28" t="n"/>
      <c r="D47" s="28" t="n"/>
      <c r="E47" s="28" t="n"/>
      <c r="F47" s="28" t="n"/>
      <c r="G47" s="28" t="n"/>
      <c r="H47" s="28" t="n"/>
    </row>
    <row r="48">
      <c r="A48" s="28" t="inlineStr">
        <is>
          <t>Intereses del año 3</t>
        </is>
      </c>
      <c r="B48" s="32">
        <f>IFERROR(IF(B20="","",IF(C29="",0,C29)),"")</f>
        <v>2764.9217608980293</v>
      </c>
      <c r="C48" s="28" t="n"/>
      <c r="D48" s="28" t="n"/>
      <c r="E48" s="28" t="n"/>
      <c r="F48" s="28" t="n"/>
      <c r="G48" s="28" t="n"/>
      <c r="H48" s="28" t="n"/>
    </row>
    <row r="49">
      <c r="A49" s="28" t="inlineStr">
        <is>
          <t>Devolución de principal del año 3</t>
        </is>
      </c>
      <c r="B49" s="32">
        <f>IFERROR(IF(B20="","",IF(D29="",0,D29)),"")</f>
        <v>9651.820379132294</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5.811897972570063</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1.843910457493328</v>
      </c>
      <c r="C52" s="28" t="n"/>
      <c r="D52" s="28" t="n"/>
      <c r="E52" s="28" t="n"/>
      <c r="F52" s="28" t="n"/>
      <c r="G52" s="28" t="n"/>
      <c r="H52" s="28" t="n"/>
    </row>
    <row r="53">
      <c r="A53" s="28" t="inlineStr">
        <is>
          <t>DSCR del año 3</t>
        </is>
      </c>
      <c r="B53" s="61">
        <f>IFERROR(('PyG 3 Años'!$D$41-'PyG 3 Años'!$D$46+'PyG 3 Años'!$D$36+B48)/(B48+B49),"")</f>
        <v>1.718747473012466</v>
      </c>
      <c r="C53" s="28" t="n"/>
      <c r="D53" s="28" t="n"/>
      <c r="E53" s="28" t="n"/>
      <c r="F53" s="28" t="n"/>
      <c r="G53" s="28" t="n"/>
      <c r="H53" s="28" t="n"/>
    </row>
    <row r="54">
      <c r="A54" s="25" t="inlineStr">
        <is>
          <t>DSCR mínimo de todo el cuadro</t>
        </is>
      </c>
      <c r="B54" s="62">
        <f>IFERROR(IF(COUNT(H27:H41)=0,"",MIN(H27:H41)),"")</f>
        <v>1.718747473012466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Paellero / Paella para Eventos · v2.2</dc:title>
  <dc:description xmlns:dc="http://purl.org/dc/elements/1.1/">aichef.pro/plan-negocio-paellero-eventos</dc:description>
  <dc:subject xmlns:dc="http://purl.org/dc/elements/1.1/">Plan financiero — Paellero / Paella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2026-10-11T23:08:09Z</dcterms:modified>
  <cp:lastModifiedBy>AI Chef Pro</cp:lastModifiedBy>
  <cp:category>AI Chef Pro · Productos digitales</cp:category>
  <cp:keywords>plan negocio paellero eventos, AI Chef Pro</cp:keywords>
</cp:coreProperties>
</file>