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Supuestos" sheetId="1" state="visible" r:id="rId1"/>
    <sheet xmlns:r="http://schemas.openxmlformats.org/officeDocument/2006/relationships" name="Inversión Inicial" sheetId="2" state="visible" r:id="rId2"/>
    <sheet xmlns:r="http://schemas.openxmlformats.org/officeDocument/2006/relationships" name="PyG 3 Años" sheetId="3" state="visible" r:id="rId3"/>
    <sheet xmlns:r="http://schemas.openxmlformats.org/officeDocument/2006/relationships" name="Punto Equilibrio" sheetId="4" state="visible" r:id="rId4"/>
    <sheet xmlns:r="http://schemas.openxmlformats.org/officeDocument/2006/relationships" name="Escenarios" sheetId="5" state="visible" r:id="rId5"/>
    <sheet xmlns:r="http://schemas.openxmlformats.org/officeDocument/2006/relationships" name="Personal" sheetId="6" state="visible" r:id="rId6"/>
    <sheet xmlns:r="http://schemas.openxmlformats.org/officeDocument/2006/relationships" name="Instrucciones" sheetId="7" state="visible" r:id="rId7"/>
    <sheet xmlns:r="http://schemas.openxmlformats.org/officeDocument/2006/relationships" name="Tesorería 12 meses" sheetId="8" state="visible" r:id="rId8"/>
    <sheet xmlns:r="http://schemas.openxmlformats.org/officeDocument/2006/relationships" name="Financiación" sheetId="9" state="visible" r:id="rId9"/>
  </sheets>
  <definedNames>
    <definedName name="_xlnm.Print_Titles" localSheetId="1">'Inversión Inicial'!$5:$5</definedName>
    <definedName name="_xlnm.Print_Titles" localSheetId="2">'PyG 3 Años'!$4:$4</definedName>
    <definedName name="_xlnm.Print_Titles" localSheetId="3">'Punto Equilibrio'!$4:$4</definedName>
    <definedName name="_xlnm.Print_Titles" localSheetId="4">'Escenarios'!$4:$4</definedName>
    <definedName name="_xlnm.Print_Titles" localSheetId="5">'Personal'!$4:$4</definedName>
    <definedName name="_xlnm.Print_Titles" localSheetId="7">'Tesorería 12 meses'!$4:$4</definedName>
    <definedName name="_xlnm.Print_Titles" localSheetId="8">'Financiación'!$4:$4</definedName>
  </definedNames>
  <calcPr calcId="124519" fullCalcOnLoad="1"/>
</workbook>
</file>

<file path=xl/styles.xml><?xml version="1.0" encoding="utf-8"?>
<styleSheet xmlns="http://schemas.openxmlformats.org/spreadsheetml/2006/main">
  <numFmts count="4">
    <numFmt numFmtId="164" formatCode="#,##0 €"/>
    <numFmt numFmtId="165" formatCode="#,##0.00 €"/>
    <numFmt numFmtId="166" formatCode="0.0%"/>
    <numFmt numFmtId="167" formatCode="#,##0.0"/>
  </numFmts>
  <fonts count="13">
    <font>
      <name val="Calibri"/>
      <family val="2"/>
      <color theme="1"/>
      <sz val="11"/>
      <scheme val="minor"/>
    </font>
    <font>
      <name val="Georgia"/>
      <b val="1"/>
      <color rgb="001A1A1A"/>
      <sz val="16"/>
    </font>
    <font>
      <name val="Georgia"/>
      <b val="1"/>
      <color rgb="001A1A1A"/>
      <sz val="13"/>
    </font>
    <font>
      <name val="Calibri"/>
      <i val="1"/>
      <color rgb="006B6B6B"/>
      <sz val="9"/>
    </font>
    <font>
      <name val="Calibri"/>
      <b val="1"/>
      <color rgb="00FFFFFF"/>
      <sz val="10"/>
    </font>
    <font>
      <name val="Calibri"/>
      <color rgb="001A1A1A"/>
      <sz val="10"/>
    </font>
    <font>
      <name val="Georgia"/>
      <b val="1"/>
      <color rgb="00C6A664"/>
      <sz val="11"/>
    </font>
    <font>
      <name val="Georgia"/>
      <b val="1"/>
      <color rgb="001A1A1A"/>
      <sz val="11"/>
    </font>
    <font>
      <b val="1"/>
      <color theme="1"/>
      <sz val="11"/>
    </font>
    <font/>
    <font>
      <b val="1"/>
    </font>
    <font>
      <b val="1"/>
      <sz val="11"/>
    </font>
    <font>
      <color theme="1"/>
      <sz val="11"/>
    </font>
  </fonts>
  <fills count="5">
    <fill>
      <patternFill/>
    </fill>
    <fill>
      <patternFill patternType="gray125"/>
    </fill>
    <fill>
      <patternFill patternType="solid">
        <fgColor rgb="001A1A1A"/>
        <bgColor rgb="001A1A1A"/>
      </patternFill>
    </fill>
    <fill>
      <patternFill patternType="solid">
        <fgColor rgb="00F5F0E8"/>
        <bgColor rgb="00F5F0E8"/>
      </patternFill>
    </fill>
    <fill>
      <patternFill patternType="solid">
        <fgColor rgb="00E8F5E9"/>
      </patternFill>
    </fill>
  </fills>
  <borders count="4">
    <border>
      <left/>
      <right/>
      <top/>
      <bottom/>
      <diagonal/>
    </border>
    <border>
      <bottom style="thin">
        <color rgb="00F5F0E8"/>
      </bottom>
    </border>
    <border>
      <bottom style="medium">
        <color rgb="00C6A664"/>
      </bottom>
    </border>
    <border/>
  </borders>
  <cellStyleXfs count="1">
    <xf numFmtId="0" fontId="0" fillId="0" borderId="0"/>
  </cellStyleXfs>
  <cellXfs count="8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vertical="center"/>
    </xf>
    <xf numFmtId="0" fontId="5" fillId="0" borderId="1" pivotButton="0" quotePrefix="0" xfId="0"/>
    <xf numFmtId="164" fontId="5" fillId="0" borderId="1" applyAlignment="1" pivotButton="0" quotePrefix="0" xfId="0">
      <alignment horizontal="right" vertical="center"/>
    </xf>
    <xf numFmtId="0" fontId="5" fillId="3" borderId="1" pivotButton="0" quotePrefix="0" xfId="0"/>
    <xf numFmtId="164" fontId="5" fillId="3" borderId="1" applyAlignment="1" pivotButton="0" quotePrefix="0" xfId="0">
      <alignment horizontal="right" vertical="center"/>
    </xf>
    <xf numFmtId="0" fontId="6" fillId="0" borderId="2" pivotButton="0" quotePrefix="0" xfId="0"/>
    <xf numFmtId="164" fontId="6" fillId="0" borderId="2" applyAlignment="1" pivotButton="0" quotePrefix="0" xfId="0">
      <alignment horizontal="right" vertical="center"/>
    </xf>
    <xf numFmtId="0" fontId="7" fillId="3" borderId="0" pivotButton="0" quotePrefix="0" xfId="0"/>
    <xf numFmtId="0" fontId="5" fillId="3" borderId="1" applyAlignment="1" pivotButton="0" quotePrefix="0" xfId="0">
      <alignment horizontal="right" vertical="center"/>
    </xf>
    <xf numFmtId="0" fontId="5" fillId="0" borderId="1" applyAlignment="1" pivotButton="0" quotePrefix="0" xfId="0">
      <alignment horizontal="right" vertical="center"/>
    </xf>
    <xf numFmtId="0" fontId="5" fillId="0" borderId="1" applyAlignment="1" pivotButton="0" quotePrefix="0" xfId="0">
      <alignment horizontal="center" vertical="center"/>
    </xf>
    <xf numFmtId="0" fontId="5" fillId="3" borderId="1" applyAlignment="1" pivotButton="0" quotePrefix="0" xfId="0">
      <alignment horizontal="center" vertical="center"/>
    </xf>
    <xf numFmtId="0" fontId="8" fillId="0" borderId="0" pivotButton="0" quotePrefix="0" xfId="0"/>
    <xf numFmtId="0" fontId="0" fillId="0" borderId="0" applyAlignment="1" pivotButton="0" quotePrefix="0" xfId="0">
      <alignment horizontal="general" vertical="top" wrapText="1"/>
    </xf>
    <xf numFmtId="3" fontId="0" fillId="4" borderId="0" applyProtection="1" pivotButton="0" quotePrefix="0" xfId="0">
      <protection locked="0" hidden="0"/>
    </xf>
    <xf numFmtId="165" fontId="0" fillId="4" borderId="0" applyProtection="1" pivotButton="0" quotePrefix="0" xfId="0">
      <protection locked="0" hidden="0"/>
    </xf>
    <xf numFmtId="166" fontId="0" fillId="4" borderId="0" applyProtection="1" pivotButton="0" quotePrefix="0" xfId="0">
      <protection locked="0" hidden="0"/>
    </xf>
    <xf numFmtId="165" fontId="0" fillId="0" borderId="0" pivotButton="0" quotePrefix="0" xfId="0"/>
    <xf numFmtId="166" fontId="0" fillId="0" borderId="0" pivotButton="0" quotePrefix="0" xfId="0"/>
    <xf numFmtId="164" fontId="0" fillId="4" borderId="0" applyProtection="1" pivotButton="0" quotePrefix="0" xfId="0">
      <protection locked="0" hidden="0"/>
    </xf>
    <xf numFmtId="4" fontId="0" fillId="4" borderId="0" applyProtection="1" pivotButton="0" quotePrefix="0" xfId="0">
      <protection locked="0" hidden="0"/>
    </xf>
    <xf numFmtId="0" fontId="10" fillId="0" borderId="3" pivotButton="0" quotePrefix="0" xfId="0"/>
    <xf numFmtId="164" fontId="10" fillId="0" borderId="3" pivotButton="0" quotePrefix="0" xfId="0"/>
    <xf numFmtId="166" fontId="10" fillId="0" borderId="3" pivotButton="0" quotePrefix="0" xfId="0"/>
    <xf numFmtId="0" fontId="9" fillId="0" borderId="3" pivotButton="0" quotePrefix="0" xfId="0"/>
    <xf numFmtId="164" fontId="9" fillId="4" borderId="3" applyProtection="1" pivotButton="0" quotePrefix="0" xfId="0">
      <protection locked="0" hidden="0"/>
    </xf>
    <xf numFmtId="166" fontId="9" fillId="0" borderId="3" pivotButton="0" quotePrefix="0" xfId="0"/>
    <xf numFmtId="0" fontId="9" fillId="4" borderId="3" applyProtection="1" pivotButton="0" quotePrefix="0" xfId="0">
      <protection locked="0" hidden="0"/>
    </xf>
    <xf numFmtId="164" fontId="9" fillId="0" borderId="3" pivotButton="0" quotePrefix="0" xfId="0"/>
    <xf numFmtId="164" fontId="11" fillId="0" borderId="0" pivotButton="0" quotePrefix="0" xfId="0"/>
    <xf numFmtId="166" fontId="11" fillId="0" borderId="0" pivotButton="0" quotePrefix="0" xfId="0"/>
    <xf numFmtId="0" fontId="12" fillId="0" borderId="0" pivotButton="0" quotePrefix="0" xfId="0"/>
    <xf numFmtId="164" fontId="0" fillId="0" borderId="0" pivotButton="0" quotePrefix="0" xfId="0"/>
    <xf numFmtId="0" fontId="11" fillId="0" borderId="0" pivotButton="0" quotePrefix="0" xfId="0"/>
    <xf numFmtId="0" fontId="1" fillId="0" borderId="0" applyAlignment="1" pivotButton="0" quotePrefix="0" xfId="0">
      <alignment horizontal="left" vertical="top" wrapText="1"/>
    </xf>
    <xf numFmtId="0" fontId="10" fillId="0" borderId="3" applyAlignment="1" pivotButton="0" quotePrefix="0" xfId="0">
      <alignment horizontal="general" vertical="top" wrapText="1"/>
    </xf>
    <xf numFmtId="3" fontId="9" fillId="0" borderId="3" pivotButton="0" quotePrefix="0" xfId="0"/>
    <xf numFmtId="165" fontId="9" fillId="0" borderId="3" pivotButton="0" quotePrefix="0" xfId="0"/>
    <xf numFmtId="3" fontId="0" fillId="0" borderId="0" pivotButton="0" quotePrefix="0" xfId="0"/>
    <xf numFmtId="166" fontId="12" fillId="4" borderId="0" applyProtection="1" pivotButton="0" quotePrefix="0" xfId="0">
      <protection locked="0" hidden="0"/>
    </xf>
    <xf numFmtId="167" fontId="9" fillId="0" borderId="3" pivotButton="0" quotePrefix="0" xfId="0"/>
    <xf numFmtId="167" fontId="10" fillId="0" borderId="3" pivotButton="0" quotePrefix="0" xfId="0"/>
    <xf numFmtId="0" fontId="9" fillId="0" borderId="3" applyAlignment="1" pivotButton="0" quotePrefix="0" xfId="0">
      <alignment horizontal="general" vertical="top" wrapText="1"/>
    </xf>
    <xf numFmtId="165" fontId="10" fillId="0" borderId="3" pivotButton="0" quotePrefix="0" xfId="0"/>
    <xf numFmtId="167" fontId="0" fillId="0" borderId="0" pivotButton="0" quotePrefix="0" xfId="0"/>
    <xf numFmtId="3" fontId="9" fillId="4" borderId="3" applyProtection="1" pivotButton="0" quotePrefix="0" xfId="0">
      <protection locked="0" hidden="0"/>
    </xf>
    <xf numFmtId="165" fontId="9" fillId="4" borderId="3" applyProtection="1" pivotButton="0" quotePrefix="0" xfId="0">
      <protection locked="0" hidden="0"/>
    </xf>
    <xf numFmtId="9" fontId="9" fillId="4" borderId="3" applyProtection="1" pivotButton="0" quotePrefix="0" xfId="0">
      <protection locked="0" hidden="0"/>
    </xf>
    <xf numFmtId="3" fontId="11" fillId="0" borderId="0" pivotButton="0" quotePrefix="0" xfId="0"/>
    <xf numFmtId="4" fontId="11" fillId="0" borderId="0" pivotButton="0" quotePrefix="0" xfId="0"/>
    <xf numFmtId="165" fontId="11" fillId="0" borderId="0" pivotButton="0" quotePrefix="0" xfId="0"/>
    <xf numFmtId="164" fontId="12" fillId="4" borderId="0" applyProtection="1" pivotButton="0" quotePrefix="0" xfId="0">
      <protection locked="0" hidden="0"/>
    </xf>
    <xf numFmtId="3" fontId="12" fillId="4" borderId="0" applyProtection="1" pivotButton="0" quotePrefix="0" xfId="0">
      <protection locked="0" hidden="0"/>
    </xf>
    <xf numFmtId="167" fontId="12" fillId="4" borderId="0" applyProtection="1" pivotButton="0" quotePrefix="0" xfId="0">
      <protection locked="0" hidden="0"/>
    </xf>
    <xf numFmtId="0" fontId="0" fillId="0" borderId="0" applyAlignment="1" pivotButton="0" quotePrefix="0" xfId="0">
      <alignment horizontal="general" vertical="top"/>
    </xf>
    <xf numFmtId="0" fontId="0" fillId="0" borderId="0" applyAlignment="1" pivotButton="0" quotePrefix="0" xfId="0">
      <alignment horizontal="left" vertical="top"/>
    </xf>
    <xf numFmtId="166" fontId="9" fillId="4" borderId="3" applyProtection="1" pivotButton="0" quotePrefix="0" xfId="0">
      <protection locked="0" hidden="0"/>
    </xf>
    <xf numFmtId="4" fontId="9" fillId="0" borderId="3" pivotButton="0" quotePrefix="0" xfId="0"/>
    <xf numFmtId="4" fontId="10" fillId="0" borderId="3" pivotButton="0" quotePrefix="0" xfId="0"/>
    <xf numFmtId="165" fontId="0" fillId="4" borderId="0" applyProtection="1" pivotButton="0" quotePrefix="0" xfId="0">
      <protection locked="0" hidden="0"/>
    </xf>
    <xf numFmtId="166" fontId="0" fillId="4" borderId="0" applyProtection="1" pivotButton="0" quotePrefix="0" xfId="0">
      <protection locked="0" hidden="0"/>
    </xf>
    <xf numFmtId="165" fontId="0" fillId="0" borderId="0" pivotButton="0" quotePrefix="0" xfId="0"/>
    <xf numFmtId="166" fontId="0" fillId="0" borderId="0" pivotButton="0" quotePrefix="0" xfId="0"/>
    <xf numFmtId="166" fontId="10" fillId="0" borderId="3" pivotButton="0" quotePrefix="0" xfId="0"/>
    <xf numFmtId="166" fontId="9" fillId="0" borderId="3" pivotButton="0" quotePrefix="0" xfId="0"/>
    <xf numFmtId="166" fontId="11" fillId="0" borderId="0" pivotButton="0" quotePrefix="0" xfId="0"/>
    <xf numFmtId="165" fontId="9" fillId="0" borderId="3" pivotButton="0" quotePrefix="0" xfId="0"/>
    <xf numFmtId="166" fontId="12" fillId="4" borderId="0" applyProtection="1" pivotButton="0" quotePrefix="0" xfId="0">
      <protection locked="0" hidden="0"/>
    </xf>
    <xf numFmtId="165" fontId="10" fillId="0" borderId="3" pivotButton="0" quotePrefix="0" xfId="0"/>
    <xf numFmtId="165" fontId="9" fillId="4" borderId="3" applyProtection="1" pivotButton="0" quotePrefix="0" xfId="0">
      <protection locked="0" hidden="0"/>
    </xf>
    <xf numFmtId="165" fontId="11" fillId="0" borderId="0" pivotButton="0" quotePrefix="0" xfId="0"/>
    <xf numFmtId="166" fontId="9" fillId="4" borderId="3" applyProtection="1" pivotButton="0" quotePrefix="0" xfId="0">
      <protection locked="0" hidden="0"/>
    </xf>
    <xf numFmtId="3" fontId="10" fillId="0" borderId="3" pivotButton="0" quotePrefix="0" xfId="0"/>
    <xf numFmtId="167" fontId="9" fillId="4" borderId="3" applyProtection="1" pivotButton="0" quotePrefix="0" xfId="0">
      <protection locked="0" hidden="0"/>
    </xf>
    <xf numFmtId="0" fontId="9" fillId="0" borderId="3" applyAlignment="1" pivotButton="0" quotePrefix="0" xfId="0">
      <alignment horizontal="general" vertical="top"/>
    </xf>
    <xf numFmtId="0" fontId="9" fillId="0" borderId="3" applyAlignment="1" pivotButton="0" quotePrefix="0" xfId="0">
      <alignment horizontal="left" vertical="top"/>
    </xf>
  </cellXfs>
  <cellStyles count="1">
    <cellStyle name="Normal" xfId="0" builtinId="0" hidden="0"/>
  </cellStyles>
  <dxfs count="3">
    <dxf>
      <font>
        <b val="1"/>
        <color rgb="00006100"/>
      </font>
      <fill>
        <patternFill patternType="solid">
          <fgColor rgb="00C6EFCE"/>
          <bgColor rgb="00C6EFCE"/>
        </patternFill>
      </fill>
    </dxf>
    <dxf>
      <font>
        <b val="1"/>
        <color rgb="009C0006"/>
      </font>
      <fill>
        <patternFill patternType="solid">
          <fgColor rgb="00FFC7CE"/>
          <bgColor rgb="00FFC7CE"/>
        </patternFill>
      </fill>
    </dxf>
    <dxf>
      <font>
        <b val="1"/>
        <color rgb="009C6500"/>
      </font>
      <fill>
        <patternFill patternType="solid">
          <fgColor rgb="00FFEB9C"/>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68"/>
  <sheetViews>
    <sheetView workbookViewId="0">
      <selection activeCell="A1" sqref="A1"/>
    </sheetView>
  </sheetViews>
  <sheetFormatPr baseColWidth="8" defaultRowHeight="15"/>
  <cols>
    <col width="48" customWidth="1" min="1" max="1"/>
    <col width="16" customWidth="1" min="2" max="2"/>
    <col width="74" customWidth="1" min="3" max="3"/>
  </cols>
  <sheetData>
    <row r="1">
      <c r="A1" s="16" t="inlineStr">
        <is>
          <t>SUPUESTOS — aquí se teclean las TASAS y los DRIVERS del modelo</t>
        </is>
      </c>
    </row>
    <row r="2" ht="45" customHeight="1">
      <c r="A2" s="17" t="inlineStr">
        <is>
          <t>Cambia las celdas VERDES: el resto del libro se recalcula solo. Las partidas de gasto se teclean en su hoja (también en verde) y no se repiten aquí.</t>
        </is>
      </c>
    </row>
    <row r="3">
      <c r="A3" s="16" t="inlineStr">
        <is>
          <t>ACTIVIDAD</t>
        </is>
      </c>
    </row>
    <row r="4">
      <c r="A4" t="inlineStr">
        <is>
          <t>Invitados por evento (media del año 1)</t>
        </is>
      </c>
      <c r="B4" s="18" t="n">
        <v>94</v>
      </c>
      <c r="C4" t="inlineStr">
        <is>
          <t>Invitados (raciones) de media por evento en el año 1. Sale de la mezcla de cuatro tipos de evento de la tabla de referencias de la hoja de Instrucciones: bodas de 120, comidas de empresa de 70, fiestas privadas de 40 y fiestas populares de 400 raciones</t>
        </is>
      </c>
    </row>
    <row r="5">
      <c r="A5" t="inlineStr">
        <is>
          <t>Precio medio por invitado SIN IVA (€)</t>
        </is>
      </c>
      <c r="B5" s="63" t="n">
        <v>16</v>
      </c>
      <c r="C5" t="inlineStr">
        <is>
          <t>SIN IVA, por ración. Media ponderada de la misma mezcla: 28 € la boda (dos variedades y entrantes), 24 € la comida de empresa, 18 € la fiesta privada y 5 € la ración de una fiesta popular. Por eso la media baja: no es el precio de un menú de boda. El precio con IVA (10 % en un servicio de comidas) está en la fila «PVP equivalente con IVA» de abajo</t>
        </is>
      </c>
    </row>
    <row r="6">
      <c r="A6" t="inlineStr">
        <is>
          <t>Eventos al año</t>
        </is>
      </c>
      <c r="B6" s="18" t="n">
        <v>105</v>
      </c>
      <c r="C6" t="inlineStr">
        <is>
          <t>Eventos servidos en el año: 15 bodas, 30 comidas de empresa, 50 fiestas privadas (cumpleaños, comuniones, peñas, urbanizaciones) y 10 fiestas populares. Es el MISMO dato para la cuenta de resultados, el punto de equilibrio, los escenarios y las horas de personal</t>
        </is>
      </c>
    </row>
    <row r="7">
      <c r="A7" t="inlineStr">
        <is>
          <t>Crecimiento de volumen del año 2</t>
        </is>
      </c>
      <c r="B7" s="64" t="n">
        <v>0.1</v>
      </c>
      <c r="C7" t="inlineStr">
        <is>
          <t>Más volumen el segundo año: repetición de empresas, peñas y comisiones de fiestas, y bodas que llegan por recomendación. El libro lo aplica a las raciones por evento con los mismos eventos; en euros da lo mismo que hacer más eventos del mismo tamaño</t>
        </is>
      </c>
    </row>
    <row r="8">
      <c r="A8" t="inlineStr">
        <is>
          <t>Crecimiento de volumen del año 3</t>
        </is>
      </c>
      <c r="B8" s="64" t="n">
        <v>0.06</v>
      </c>
      <c r="C8" t="inlineStr">
        <is>
          <t>Sobre el año 2. Conservador: el techo lo ponen los fines de semana de temporada y un solo paellero titular</t>
        </is>
      </c>
    </row>
    <row r="9">
      <c r="A9" t="inlineStr">
        <is>
          <t>PVP equivalente con IVA (calculado)</t>
        </is>
      </c>
      <c r="B9" s="65">
        <f>IFERROR(IF($B$5="","",$B$5*(1+SUMPRODUCT('PyG 3 Años'!$E$10:$E$11,'PyG 3 Años'!$G$10:$G$11))),"")</f>
        <v>17.60352</v>
      </c>
      <c r="C9" t="str">
        <f>IFERROR("Precio por invitado sin IVA más el IVA medio ponderado de tus líneas de venta: "&amp;TEXT(SUMPRODUCT('PyG 3 Años'!$E$10:$E$11,'PyG 3 Años'!$G$10:$G$11)*100,"0")&amp;" %. En el servicio de paella todo va al 10 % (art. 91.Uno.2.2.º de la Ley 37/1992, alcohol incluido); el alcohol que sale en la paella para recoger mueve la media. Aquí va redondeado. Compáralo con el rango del sector, que va con IVA.","")</f>
        <v>Precio por invitado sin IVA más el IVA medio ponderado de tus líneas de venta: 10 %. En el servicio de paella todo va al 10 % (art. 91.Uno.2.2.º de la Ley 37/1992, alcohol incluido); el alcohol que sale en la paella para recoger mueve la media. Aquí va redondeado. Compáralo con el rango del sector, que va con IVA.</v>
      </c>
    </row>
    <row r="10">
      <c r="A10" s="16" t="inlineStr">
        <is>
          <t>MIX Y COSTE DE MERCANCÍA</t>
        </is>
      </c>
    </row>
    <row r="11">
      <c r="A11" t="inlineStr">
        <is>
          <t>Ventas de COMIDA sobre el total</t>
        </is>
      </c>
      <c r="B11" s="64" t="n">
        <v>0.92</v>
      </c>
      <c r="C11" t="inlineStr">
        <is>
          <t>Peso de la COMIDA sobre el total de ventas. Es un INPUT: cámbialo aquí y el P&amp;L, la tesorería y el IVA repercutido se recalculan solos</t>
        </is>
      </c>
    </row>
    <row r="12">
      <c r="A12" t="inlineStr">
        <is>
          <t>Ventas de BEBIDA sobre el total</t>
        </is>
      </c>
      <c r="B12" s="66">
        <f>IFERROR(IF(COUNT(B11)=0,"",1-B11),"")</f>
        <v>0.07999999999999996</v>
      </c>
      <c r="C12" t="inlineStr">
        <is>
          <t>Se calcula como el resto: comida + bebida = 100 %</t>
        </is>
      </c>
    </row>
    <row r="13">
      <c r="A13" t="inlineStr">
        <is>
          <t>Coste de mercancía sobre las ventas de COMIDA</t>
        </is>
      </c>
      <c r="B13" s="64" t="n">
        <v>0.28</v>
      </c>
      <c r="C13" t="inlineStr">
        <is>
          <t>Materia prima de la comida sobre las ventas de comida: arroz, carne, marisco, verdura, caldo, azafrán, aceite, entrantes y pan. En las fiestas populares sube al 45 % (paella sola a precio de volumen); la media de la mezcla queda en el 28 %. Escandalla cada arroz con la calculadora de este kit</t>
        </is>
      </c>
    </row>
    <row r="14">
      <c r="A14" t="inlineStr">
        <is>
          <t>Coste de mercancía sobre las ventas de BEBIDA</t>
        </is>
      </c>
      <c r="B14" s="64" t="n">
        <v>0.3</v>
      </c>
      <c r="C14" t="inlineStr">
        <is>
          <t>Bebida sobre las ventas de bebida: el pack opcional de vino, cerveza, refrescos y agua. Si el cliente pone la bebida, esta línea baja</t>
        </is>
      </c>
    </row>
    <row r="15">
      <c r="A15" t="inlineStr">
        <is>
          <t>Consumibles sobre ventas</t>
        </is>
      </c>
      <c r="B15" s="64" t="n">
        <v>0.03</v>
      </c>
      <c r="C15" t="inlineStr">
        <is>
          <t>Gas, leña, desechables, hielo y papel: unos 45 € por evento. Una paellera de 90 cm gasta 1-1,5 kg de gas por cocción (propano de 35 kg a 78,80 € en julio de 2026, boletín del IDAE)</t>
        </is>
      </c>
    </row>
    <row r="16">
      <c r="A16" t="inlineStr">
        <is>
          <t>Ventas de paella para recoger (sin servicio) sobre el total</t>
        </is>
      </c>
      <c r="B16" s="64" t="n">
        <v>0.05</v>
      </c>
      <c r="C16" t="inlineStr">
        <is>
          <t>Parte de las ventas que se entrega SIN servicio: paella para recoger o entregada en su paellera, sin paellero en el evento. Es entrega de bienes: la comida va al 10 % y el alcohol y los refrescos, zumos y gaseosas con azúcares o edulcorantes añadidos, al 21 % (art. 91.Uno.1.1.º de la Ley 37/1992); el libro lo aplica al alcohol de esta parte</t>
        </is>
      </c>
    </row>
    <row r="17">
      <c r="A17" t="inlineStr">
        <is>
          <t>Comisión de la plataforma de pedidos</t>
        </is>
      </c>
      <c r="B17" s="64" t="n">
        <v>0.1</v>
      </c>
      <c r="C17" t="inlineStr">
        <is>
          <t>Comisión media de la parte de la paella para recoger que entra por plataformas de pedidos o intermediarios. Si todos los pedidos los vendes tú, pon 0</t>
        </is>
      </c>
    </row>
    <row r="18">
      <c r="A18" t="inlineStr">
        <is>
          <t>Comisión de los medios de pago</t>
        </is>
      </c>
      <c r="B18" s="64" t="n">
        <v>0.005</v>
      </c>
      <c r="C18" t="inlineStr">
        <is>
          <t>Casi todo se cobra por transferencia (anticipos y facturas de empresas y ayuntamientos); el datáfono queda para los cobros del día del evento</t>
        </is>
      </c>
    </row>
    <row r="19">
      <c r="A19" s="16" t="inlineStr">
        <is>
          <t>PERSONAL</t>
        </is>
      </c>
    </row>
    <row r="20">
      <c r="A20" t="inlineStr">
        <is>
          <t>Seguridad Social a cargo de la empresa</t>
        </is>
      </c>
      <c r="B20" s="64" t="n">
        <v>0.33</v>
      </c>
      <c r="C20" t="inlineStr">
        <is>
          <t>Contingencias comunes + AT/EP + desempleo + FOGASA + FP; ajusta a tu convenio y bonificaciones</t>
        </is>
      </c>
    </row>
    <row r="21">
      <c r="A21" t="inlineStr">
        <is>
          <t>Número de pagas anuales</t>
        </is>
      </c>
      <c r="B21" s="18" t="n">
        <v>14</v>
      </c>
      <c r="C21" t="inlineStr">
        <is>
          <t>Salario bruto anual = bruto mensual × pagas</t>
        </is>
      </c>
    </row>
    <row r="22">
      <c r="A22" t="inlineStr">
        <is>
          <t>SMI anual de referencia (€)</t>
        </is>
      </c>
      <c r="B22" s="23" t="n">
        <v>17094</v>
      </c>
      <c r="C22" t="inlineStr">
        <is>
          <t>SMI 2026: 17.094 € al año (1.221 €/mes en 14 pagas), suelo legal por jornada completa. Comprueba el importe vigente si presentas el plan en otro ejercicio</t>
        </is>
      </c>
    </row>
    <row r="23">
      <c r="A23" s="16" t="inlineStr">
        <is>
          <t>COCINA DE APOYO Y FIJOS</t>
        </is>
      </c>
    </row>
    <row r="24">
      <c r="A24" t="inlineStr">
        <is>
          <t>Cuota mensual de la cocina de apoyo (€)</t>
        </is>
      </c>
      <c r="B24" s="23" t="n">
        <v>900</v>
      </c>
      <c r="C24" t="inlineStr">
        <is>
          <t>Cuota de una cocina de apoyo compartida y autorizada: unas 35 horas al mes para caldos, sofritos y preparación, cámara frigorífica y almacén de paelleras y quemadores. La paella se cocina en el evento, pero lo que se prepara antes no se puede hacer en casa (art. 13.5.b del RD 1021/2022). No hay tarifa pública: pide dos presupuestos en tu zona</t>
        </is>
      </c>
    </row>
    <row r="25">
      <c r="A25" t="inlineStr">
        <is>
          <t>Fianza de la cocina de apoyo (meses)</t>
        </is>
      </c>
      <c r="B25" s="18" t="n">
        <v>2</v>
      </c>
      <c r="C25" t="inlineStr">
        <is>
          <t>Dos cuotas de fianza, lo habitual en un contrato de uso de cocina compartida</t>
        </is>
      </c>
    </row>
    <row r="26">
      <c r="A26" t="inlineStr">
        <is>
          <t>Suministros mensuales (consumos propios fuera de la cuota) (€)</t>
        </is>
      </c>
      <c r="B26" s="23" t="n">
        <v>50</v>
      </c>
      <c r="C26" t="inlineStr">
        <is>
          <t>Consumos propios fuera de la cuota de la cocina (datos móviles, luz del almacén). El gas de las paellas va en los consumibles, porque sube y baja con los eventos</t>
        </is>
      </c>
    </row>
    <row r="27">
      <c r="A27" t="inlineStr">
        <is>
          <t>Seguros (€/año)</t>
        </is>
      </c>
      <c r="B27" s="23" t="n">
        <v>1750</v>
      </c>
      <c r="C27" t="inlineStr">
        <is>
          <t>Responsabilidad civil de explotación con incendio y explosión (por el gas) y daños al recinto, y de producto con intoxicación alimentaria de al menos 600.000 € (unos 700 €); seguro de la furgoneta de uso comercial (900 €) y de los equipos que salen a cada evento (150 €). La cancelación por una prohibición de fuego no se asegura: va en la cláusula de fuerza mayor del contrato</t>
        </is>
      </c>
    </row>
    <row r="28">
      <c r="A28" t="inlineStr">
        <is>
          <t>Varios e imprevistos sobre ventas</t>
        </is>
      </c>
      <c r="B28" s="64" t="n">
        <v>0.045</v>
      </c>
      <c r="C28" t="inlineStr">
        <is>
          <t>Combustible de la furgoneta e imprevistos (3 puntos) y el canon que algunas fincas y wedding planners cobran al proveedor externo (1,5 puntos). Es variable: sube y baja con los eventos</t>
        </is>
      </c>
    </row>
    <row r="29">
      <c r="A29" s="16" t="inlineStr">
        <is>
          <t>FINANCIACIÓN</t>
        </is>
      </c>
    </row>
    <row r="30">
      <c r="A30" t="inlineStr">
        <is>
          <t>Recursos propios aportados (€)</t>
        </is>
      </c>
      <c r="B30" s="23" t="n">
        <v>20000</v>
      </c>
      <c r="C30" t="inlineStr">
        <is>
          <t>Aportación del socio. Un banco pide entre el 25 y el 30 % de la necesidad de caja con dinero propio</t>
        </is>
      </c>
    </row>
    <row r="31">
      <c r="A31" t="inlineStr">
        <is>
          <t>Préstamo bancario solicitado (€)</t>
        </is>
      </c>
      <c r="B31" s="23" t="n">
        <v>51600</v>
      </c>
      <c r="C31" t="inlineStr">
        <is>
          <t>Principal solicitado. La hoja de Financiación compara lo que aportas con la necesidad de caja de la hoja de inversión y te dice si sobra o falta: ajústalo con ese dato</t>
        </is>
      </c>
    </row>
    <row r="32">
      <c r="A32" t="inlineStr">
        <is>
          <t>Tipo de interés nominal anual</t>
        </is>
      </c>
      <c r="B32" s="64" t="n">
        <v>0.065</v>
      </c>
      <c r="C32" t="inlineStr">
        <is>
          <t>Tipo nominal anual de un préstamo de empresa sin garantía inmobiliaria. Pide oferta a dos entidades y a una línea ICO o ENISA antes de fijarlo</t>
        </is>
      </c>
    </row>
    <row r="33">
      <c r="A33" t="inlineStr">
        <is>
          <t>Plazo del préstamo (años)</t>
        </is>
      </c>
      <c r="B33" s="18" t="n">
        <v>6</v>
      </c>
      <c r="C33" t="inlineStr">
        <is>
          <t>Años totales, carencia incluida: el plazo de vida de la furgoneta y del equipo</t>
        </is>
      </c>
    </row>
    <row r="34">
      <c r="A34" t="inlineStr">
        <is>
          <t>Carencia de principal (años)</t>
        </is>
      </c>
      <c r="B34" s="18" t="n">
        <v>1</v>
      </c>
      <c r="C34" t="inlineStr">
        <is>
          <t>El primer año sólo intereses: es cuando la caja está más tensa, con la agenda de bodas y fiestas aún por llenar. Desde el segundo año se devuelve el principal: mira la holgura de caja de ese año en el Punto de Equilibrio</t>
        </is>
      </c>
    </row>
    <row r="35">
      <c r="A35" t="inlineStr">
        <is>
          <t>Fondo de maniobra (meses de costes fijos)</t>
        </is>
      </c>
      <c r="B35" s="18" t="n">
        <v>3</v>
      </c>
      <c r="C35" t="inlineStr">
        <is>
          <t>Tres meses de costes fijos: cubren el invierno (enero, febrero y noviembre son los meses más bajos del año) y los 30 días que tardan en pagar empresas y ayuntamientos</t>
        </is>
      </c>
    </row>
    <row r="36">
      <c r="A36" s="16" t="inlineStr">
        <is>
          <t>FISCAL</t>
        </is>
      </c>
    </row>
    <row r="37">
      <c r="A37" t="inlineStr">
        <is>
          <t>Impuesto de Sociedades, nueva creación</t>
        </is>
      </c>
      <c r="B37" s="64" t="n">
        <v>0.15</v>
      </c>
      <c r="C37" t="inlineStr">
        <is>
          <t>Art. 29.1 LIS: el PRIMER ejercicio con base imponible positiva y el SIGUIENTE. El libro lo aproxima contando los dos primeros ejercicios con base positiva: coincide con la ley salvo que entre ellos haya un ejercicio en pérdidas</t>
        </is>
      </c>
    </row>
    <row r="38">
      <c r="A38" t="inlineStr">
        <is>
          <t>Impuesto de Sociedades, tipo general</t>
        </is>
      </c>
      <c r="B38" s="64" t="n">
        <v>0.25</v>
      </c>
      <c r="C38" t="inlineStr">
        <is>
          <t>A partir del tercer ejercicio con base positiva. Es el tipo general del art. 29.1 LIS: si tu cifra de negocios queda por debajo de 1 M € (microempresa) o de 10 M € (reducida dimensión), desde 2025 hay tipos más bajos que se implantan de forma gradual; confirma el de tu ejercicio con tu asesor y cámbialo aquí</t>
        </is>
      </c>
    </row>
    <row r="39">
      <c r="A39" t="inlineStr">
        <is>
          <t>IVA repercutido de restauración</t>
        </is>
      </c>
      <c r="B39" s="64" t="n">
        <v>0.1</v>
      </c>
      <c r="C39" t="inlineStr">
        <is>
          <t>Tipo reducido de hostelería</t>
        </is>
      </c>
    </row>
    <row r="40">
      <c r="A40" t="inlineStr">
        <is>
          <t>IVA repercutido/soportado general</t>
        </is>
      </c>
      <c r="B40" s="64" t="n">
        <v>0.21</v>
      </c>
      <c r="C40" t="inlineStr">
        <is>
          <t>Tipo general. En este libro lo usan dos cosas: el IVA que soportas al comprar el alcohol (el proveedor lo factura al 21 %) y el que repercutes por el alcohol que sale por paella para recoger (es una entrega de bienes). El alcohol servido en el servicio de paella va al reducido: su tipo está en el bloque de desglose del IVA. Suministros, equipamiento y servicios tienen su tipo en la celda de abajo. El libro manda al general sólo el alcohol: si compras refrescos, zumos y gaseosas con azúcares o edulcorantes añadidos, su factura también va al 21 % (art. 91.Uno.1.1.º de la Ley 37/1992)</t>
        </is>
      </c>
    </row>
    <row r="41">
      <c r="A41" t="inlineStr">
        <is>
          <t>IVA soportado en compras e inversión</t>
        </is>
      </c>
      <c r="B41" s="64" t="n">
        <v>0.21</v>
      </c>
      <c r="C41" t="inlineStr">
        <is>
          <t>Recuperable vía modelo 303, pero hay que adelantarlo</t>
        </is>
      </c>
    </row>
    <row r="42">
      <c r="A42" t="inlineStr">
        <is>
          <t>Bases negativas de ejercicios anteriores (€)</t>
        </is>
      </c>
      <c r="B42" s="23" t="n">
        <v>0</v>
      </c>
      <c r="C42" t="inlineStr">
        <is>
          <t>Pérdidas pendientes de compensar al empezar (art. 26 LIS)</t>
        </is>
      </c>
    </row>
    <row r="43">
      <c r="A43" s="16" t="inlineStr">
        <is>
          <t>AMORTIZACIÓN</t>
        </is>
      </c>
    </row>
    <row r="44">
      <c r="A44" t="inlineStr">
        <is>
          <t>Vida útil de la furgoneta y su rotulación (años)</t>
        </is>
      </c>
      <c r="B44" s="18" t="n">
        <v>8</v>
      </c>
      <c r="C44" t="inlineStr">
        <is>
          <t>La furgoneta isoterma y su rotulación se amortizan en ocho años, el 12,5 % anual, por debajo del 16 % máximo para elementos de transporte de la tabla del art. 12.1 de la Ley del Impuesto sobre Sociedades. Confírmalo con tu asesor</t>
        </is>
      </c>
    </row>
    <row r="45">
      <c r="A45" t="inlineStr">
        <is>
          <t>Vida útil de maquinaria y mobiliario (años)</t>
        </is>
      </c>
      <c r="B45" s="18" t="n">
        <v>10</v>
      </c>
      <c r="C45" t="inlineStr">
        <is>
          <t>Paelleras, quemadores, equipos de frío, carpa, utensilios y equipos informáticos: el coeficiente máximo de la tabla del art. 12.1 de la Ley del Impuesto sobre Sociedades es del 12 % para maquinaria y del 10 % para mobiliario</t>
        </is>
      </c>
    </row>
    <row r="46"/>
    <row r="47">
      <c r="A47" s="16" t="inlineStr">
        <is>
          <t>CRECIMIENTO Y ACTUALIZACIÓN DE COSTES</t>
        </is>
      </c>
    </row>
    <row r="48">
      <c r="A48" t="inlineStr">
        <is>
          <t>Subida anual de los costes fijos</t>
        </is>
      </c>
      <c r="B48" s="64" t="n">
        <v>0</v>
      </c>
      <c r="C48" t="inlineStr">
        <is>
          <t>A CERO: las tres columnas están en euros del año 1 (términos reales). Súbela si quieres proyectar en euros corrientes</t>
        </is>
      </c>
    </row>
    <row r="49">
      <c r="A49" s="16" t="inlineStr">
        <is>
          <t>ARRANQUE Y CAPACIDAD</t>
        </is>
      </c>
    </row>
    <row r="50"/>
    <row r="51">
      <c r="A51" t="inlineStr">
        <is>
          <t>Capacidad máxima por evento (invitados)</t>
        </is>
      </c>
      <c r="B51" s="18" t="n">
        <v>500</v>
      </c>
      <c r="C51" t="inlineStr">
        <is>
          <t>DATO INFORMATIVO: no entra en ningún cálculo. Es la fiesta más grande que puedes servir con dos paelleros, los dos auxiliares y tus paelleras (incluida la de 150 cm, de 90-120 raciones)</t>
        </is>
      </c>
    </row>
    <row r="52">
      <c r="A52" t="inlineStr">
        <is>
          <t>Actividad del mes 1 sobre la de crucero</t>
        </is>
      </c>
      <c r="B52" s="64" t="n">
        <v>0.55</v>
      </c>
      <c r="C52" t="inlineStr">
        <is>
          <t>Un negocio de paellas que arranca factura poco el primer mes: las bodas se reservan con meses de antelación y las empresas y ayuntamientos tardan en repetir. Con 100 % se elimina la rampa</t>
        </is>
      </c>
    </row>
    <row r="53">
      <c r="A53" t="inlineStr">
        <is>
          <t>Meses hasta alcanzar el régimen de crucero</t>
        </is>
      </c>
      <c r="B53" s="18" t="n">
        <v>6</v>
      </c>
      <c r="C53" t="inlineStr">
        <is>
          <t>Seis meses hasta el ritmo de crucero: una temporada de bodas y fiestas</t>
        </is>
      </c>
    </row>
    <row r="54">
      <c r="A54" t="inlineStr">
        <is>
          <t>Meses de cuota de la cocina de apoyo ANTES del primer evento</t>
        </is>
      </c>
      <c r="B54" s="18" t="n">
        <v>1</v>
      </c>
      <c r="C54" t="inlineStr">
        <is>
          <t>Un mes de cuota para montar el almacén, probar los caldos y hacer las primeras degustaciones antes de facturar</t>
        </is>
      </c>
    </row>
    <row r="55">
      <c r="A55" t="inlineStr">
        <is>
          <t>Imprevistos sobre la compra y la preparación de la furgoneta (%)</t>
        </is>
      </c>
      <c r="B55" s="64" t="n">
        <v>0.08</v>
      </c>
      <c r="C55" t="inlineStr">
        <is>
          <t>Se calcula sobre la furgoneta y su rotulación: es donde aparecen las sorpresas (revisión del equipo de frío o del certificado ATP, anclajes de las botellas de gas)</t>
        </is>
      </c>
    </row>
    <row r="56"/>
    <row r="57">
      <c r="A57" s="16" t="inlineStr">
        <is>
          <t>COBROS, PAGOS Y DESGLOSE DEL IVA</t>
        </is>
      </c>
    </row>
    <row r="58">
      <c r="A58" t="inlineStr">
        <is>
          <t>Días medios de cobro</t>
        </is>
      </c>
      <c r="B58" s="18" t="n">
        <v>20</v>
      </c>
      <c r="C58" t="inlineStr">
        <is>
          <t>Media ponderada: los particulares pagan el 30 % al firmar y el 70 % el día del evento (contratos del kit); las empresas, a 30 días de la factura, y los ayuntamientos, a 30 días desde la conformidad (art. 198.4 de la Ley 9/2017), unos 45 días en la práctica. Empresas y ayuntamientos son el 45 % de las ventas. El libro no admite días negativos, así que los anticipos no se modelan: tu caja real será algo MEJOR que la de la hoja de Tesorería</t>
        </is>
      </c>
    </row>
    <row r="59">
      <c r="A59" t="inlineStr">
        <is>
          <t>Días medios de pago a proveedor</t>
        </is>
      </c>
      <c r="B59" s="18" t="n">
        <v>20</v>
      </c>
      <c r="C59" t="inlineStr">
        <is>
          <t>Plazo de pago a proveedores: el marisco y la carne se pagan a plazo corto; el arroz y el gas, a 30 días</t>
        </is>
      </c>
    </row>
    <row r="60">
      <c r="A60" t="inlineStr">
        <is>
          <t>Mes de la paga extra de verano</t>
        </is>
      </c>
      <c r="B60" s="18" t="n">
        <v>7</v>
      </c>
      <c r="C60" t="inlineStr">
        <is>
          <t>Mes del año (1-12) en el que sale de caja la primera paga extra</t>
        </is>
      </c>
    </row>
    <row r="61">
      <c r="A61" t="inlineStr">
        <is>
          <t>Mes de la paga extra de Navidad</t>
        </is>
      </c>
      <c r="B61" s="18" t="n">
        <v>12</v>
      </c>
      <c r="C61" t="inlineStr">
        <is>
          <t>Mes del año (1-12) en el que sale de caja la segunda paga extra</t>
        </is>
      </c>
    </row>
    <row r="62">
      <c r="A62" t="inlineStr">
        <is>
          <t>Bebida ALCOHÓLICA sobre el total de bebida</t>
        </is>
      </c>
      <c r="B62" s="64" t="n">
        <v>0.5</v>
      </c>
      <c r="C62" t="inlineStr">
        <is>
          <t>Parte ALCOHÓLICA de la bebida (vino y cerveza del pack). Reparte el IVA que soportas al comprarla (21 % el alcohol) y el que repercutes en la paella para recoger</t>
        </is>
      </c>
    </row>
    <row r="63">
      <c r="A63" t="inlineStr">
        <is>
          <t>IVA de la bebida ALCOHÓLICA servida en el evento</t>
        </is>
      </c>
      <c r="B63" s="64" t="n">
        <v>0.1</v>
      </c>
      <c r="C63" t="inlineStr">
        <is>
          <t>10 %: el art. 91.Uno.2.2.º de la Ley 37/1992 grava al tipo reducido el «suministro de comidas y bebidas para consumir en el acto», sin excluir el alcohol, y un servicio de paella en directo lo es. El libro aplica el 21 % sólo al alcohol de la paella para recoger, que no se sirve</t>
        </is>
      </c>
    </row>
    <row r="64">
      <c r="A64" s="16" t="inlineStr">
        <is>
          <t>UMBRALES Y SUELOS DE CONTROL</t>
        </is>
      </c>
    </row>
    <row r="65">
      <c r="A65" t="inlineStr">
        <is>
          <t>DSCR mínimo aceptable</t>
        </is>
      </c>
      <c r="B65" s="24" t="n">
        <v>1</v>
      </c>
      <c r="C65" t="inlineStr">
        <is>
          <t>Por debajo de 1 el negocio no genera para pagar el préstamo. Ponlo en el covenant que te exija tu banco</t>
        </is>
      </c>
    </row>
    <row r="66">
      <c r="A66" t="inlineStr">
        <is>
          <t>DSCR objetivo (verde)</t>
        </is>
      </c>
      <c r="B66" s="24" t="n">
        <v>1.25</v>
      </c>
      <c r="C66" t="inlineStr">
        <is>
          <t>Lo que suele pedir una entidad para dar el préstamo sin garantías adicionales</t>
        </is>
      </c>
    </row>
    <row r="67">
      <c r="A67" t="inlineStr">
        <is>
          <t>Holgura mínima sobre el punto de equilibrio</t>
        </is>
      </c>
      <c r="B67" s="64" t="n">
        <v>0.15</v>
      </c>
      <c r="C67" t="inlineStr">
        <is>
          <t>Cuánto puedes caer sobre lo previsto antes de entrar en pérdidas</t>
        </is>
      </c>
    </row>
    <row r="68">
      <c r="A68" t="inlineStr">
        <is>
          <t>Suelo salarial anual del convenio provincial (€)</t>
        </is>
      </c>
      <c r="B68" s="23" t="n">
        <v>0</v>
      </c>
      <c r="C68" t="inlineStr">
        <is>
          <t>El servicio de comidas para eventos está dentro del convenio de hostelería (art. 4 del V Acuerdo Laboral de ámbito Estatal para el sector de Hostelería): copia aquí el salario base del grupo más bajo de la tabla de TU provincia. Con 0 el semáforo compara sólo contra el SMI</t>
        </is>
      </c>
    </row>
  </sheetData>
  <sheetProtection selectLockedCells="0" selectUnlockedCells="0" sheet="1" objects="0" insertRows="1" insertHyperlinks="1" autoFilter="1" scenarios="0" formatColumns="0" deleteColumns="1" insertColumns="1" pivotTables="1" deleteRows="1" formatCells="1" formatRows="0" sort="0"/>
  <dataValidations count="10">
    <dataValidation sqref="B4 B5 B22 B24 B26 B27 B30 B31 B42 B51 B65 B66 B68" showDropDown="0" showInputMessage="0" showErrorMessage="1" allowBlank="1" errorTitle="Importe no válido" error="Escribe un número mayor o igual que 0." type="decimal" operator="greaterThanOrEqual">
      <formula1>0</formula1>
    </dataValidation>
    <dataValidation sqref="B7 B8 B11 B13 B14 B15 B16 B17 B18 B20 B28 B32 B37 B38 B39 B40 B41 B48 B52 B55 B62 B63 B67" showDropDown="0" showInputMessage="0" showErrorMessage="1" allowBlank="1" errorTitle="Porcentaje no válido" error="Escribe un porcentaje entre 0 y 1 (0,35 = 35 %)." type="decimal" operator="between">
      <formula1>0</formula1>
      <formula2>1</formula2>
    </dataValidation>
    <dataValidation sqref="B58 B59" showDropDown="0" showInputMessage="0" showErrorMessage="1" allowBlank="1" errorTitle="Días fuera de rango" error="Los días van de 1 a 365." type="whole" operator="between">
      <formula1>1</formula1>
      <formula2>365</formula2>
    </dataValidation>
    <dataValidation sqref="B34" showDropDown="0" showInputMessage="0" showErrorMessage="1" allowBlank="1" errorTitle="Recuento no válido" error="Años enteros de carencia, de 0 a 15. Si iguala o supera al plazo, la hoja la anula." type="whole" operator="between">
      <formula1>0</formula1>
      <formula2>15</formula2>
    </dataValidation>
    <dataValidation sqref="B53" showDropDown="0" showInputMessage="0" showErrorMessage="1" allowBlank="1" errorTitle="Recuento no válido" error="Número entero de meses (0 a 24)." type="whole" operator="between">
      <formula1>0</formula1>
      <formula2>24</formula2>
    </dataValidation>
    <dataValidation sqref="B60 B61" showDropDown="0" showInputMessage="0" showErrorMessage="1" allowBlank="1" errorTitle="Recuento no válido" error="Mes del año, de 1 a 12." type="whole" operator="between">
      <formula1>1</formula1>
      <formula2>12</formula2>
    </dataValidation>
    <dataValidation sqref="B33" showDropDown="0" showInputMessage="0" showErrorMessage="1" allowBlank="1" errorTitle="Recuento no válido" error="Plazo en años enteros: el cuadro de amortización de este libro llega a 15 años." type="whole" operator="between">
      <formula1>1</formula1>
      <formula2>15</formula2>
    </dataValidation>
    <dataValidation sqref="B44 B45" showDropDown="0" showInputMessage="0" showErrorMessage="1" allowBlank="1" errorTitle="Recuento no válido" error="Vida útil en AÑOS ENTEROS (1 a 50). Los coeficientes máximos son los de la tabla del art. 12.1 LIS." type="whole" operator="between">
      <formula1>1</formula1>
      <formula2>50</formula2>
    </dataValidation>
    <dataValidation sqref="B6 B25 B35 B54" showDropDown="0" showInputMessage="0" showErrorMessage="1" allowBlank="1" errorTitle="Recuento no válido" error="Escribe un número ENTERO de 1 en adelante: esta celda es un recuento y varias fórmulas dividen entre ella." type="whole" operator="between">
      <formula1>1</formula1>
      <formula2>100000</formula2>
    </dataValidation>
    <dataValidation sqref="B21" showDropDown="0" showInputMessage="0" showErrorMessage="1" allowBlank="1" errorTitle="Recuento no válido" error="Número de pagas al año: 12, 14 o las que fije tu convenio (12 a 16)." type="whole" operator="between">
      <formula1>12</formula1>
      <formula2>16</formula2>
    </dataValidation>
  </dataValidations>
  <pageMargins left="0.59" right="0.59" top="0.59" bottom="0.59" header="0.3" footer="0.3"/>
  <pageSetup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33"/>
  <sheetViews>
    <sheetView workbookViewId="0">
      <pane ySplit="5" topLeftCell="A6" activePane="bottomLeft" state="frozen"/>
      <selection pane="bottomLeft" activeCell="A1" sqref="A1"/>
    </sheetView>
  </sheetViews>
  <sheetFormatPr baseColWidth="8" defaultRowHeight="15"/>
  <cols>
    <col width="46" customWidth="1" min="1" max="1"/>
    <col width="18" customWidth="1" min="2" max="2"/>
    <col width="45" customWidth="1" min="3" max="3"/>
    <col width="58" customWidth="1" min="4" max="4"/>
    <col width="13" customWidth="1" min="5" max="5"/>
  </cols>
  <sheetData>
    <row r="1" ht="15" customHeight="1">
      <c r="A1" s="38" t="inlineStr">
        <is>
          <t>PLAN DE NEGOCIO: PAELLERO / PAELLA PARA EVENTOS</t>
        </is>
      </c>
    </row>
    <row r="2">
      <c r="A2" s="2" t="inlineStr">
        <is>
          <t>Inversión inicial estimada — paella y arroces en directo para eventos</t>
        </is>
      </c>
    </row>
    <row r="3">
      <c r="A3" s="3" t="inlineStr">
        <is>
          <t>Ajusta las cifras a tu proyecto.</t>
        </is>
      </c>
    </row>
    <row r="4"/>
    <row r="5">
      <c r="A5" s="25" t="inlineStr">
        <is>
          <t>Concepto</t>
        </is>
      </c>
      <c r="B5" s="25" t="inlineStr">
        <is>
          <t>Importe</t>
        </is>
      </c>
      <c r="C5" s="25" t="inlineStr">
        <is>
          <t>% s/inversión</t>
        </is>
      </c>
      <c r="D5" s="25" t="inlineStr">
        <is>
          <t>Notas</t>
        </is>
      </c>
      <c r="E5" s="25" t="inlineStr">
        <is>
          <t>¿Lleva IVA?</t>
        </is>
      </c>
    </row>
    <row r="6">
      <c r="A6" s="25" t="inlineStr">
        <is>
          <t>INVERSIÓN</t>
        </is>
      </c>
      <c r="B6" s="26">
        <f>IFERROR(IF(COUNT(B7:B23)=0,"",SUM(B7:B23)),"")</f>
        <v>42686.0</v>
      </c>
      <c r="C6" s="67">
        <f>IFERROR(B6/$B$26,"")</f>
        <v>0.6763623128688284</v>
      </c>
      <c r="D6" s="28" t="n"/>
      <c r="E6" s="28" t="n"/>
    </row>
    <row r="7">
      <c r="A7" s="28" t="inlineStr">
        <is>
          <t>Furgoneta isoterma usada con certificado ATP</t>
        </is>
      </c>
      <c r="B7" s="29" t="n">
        <v>18000</v>
      </c>
      <c r="C7" s="68">
        <f>IFERROR(B7/$B$26,"")</f>
        <v>0.28521111445529945</v>
      </c>
      <c r="D7" s="28" t="inlineStr">
        <is>
          <t>Furgoneta usada con caja isoterma y equipo de frío, con el certificado ATP vigente (RD 237/2000) para llevar carne y marisco. Estimación del kit</t>
        </is>
      </c>
      <c r="E7" s="31" t="inlineStr">
        <is>
          <t>Sí</t>
        </is>
      </c>
    </row>
    <row r="8">
      <c r="A8" s="28" t="inlineStr">
        <is>
          <t>Rotulación, estanterías y anclajes de botellas</t>
        </is>
      </c>
      <c r="B8" s="29" t="n">
        <v>1200</v>
      </c>
      <c r="C8" s="68">
        <f>IFERROR(B8/$B$26,"")</f>
        <v>0.019014074297019963</v>
      </c>
      <c r="D8" s="28" t="inlineStr">
        <is>
          <t>Rotulación con la marca, estanterías con amarres y anclajes para llevar las botellas de gas en pie y sujetas</t>
        </is>
      </c>
      <c r="E8" s="31" t="inlineStr">
        <is>
          <t>Sí</t>
        </is>
      </c>
    </row>
    <row r="9">
      <c r="A9" s="28" t="inlineStr">
        <is>
          <t>Paelleras de 60 a 150 cm</t>
        </is>
      </c>
      <c r="B9" s="29" t="n">
        <v>2400</v>
      </c>
      <c r="C9" s="68">
        <f>IFERROR(B9/$B$26,"")</f>
        <v>0.038028148594039926</v>
      </c>
      <c r="D9" s="28" t="inlineStr">
        <is>
          <t>Diez paelleras de 60 a 120 cm y una de 150 cm para fiestas populares (90-120 raciones). Una de 90 cm ronda los 61 € (ManoMano, octubre de 2026)</t>
        </is>
      </c>
      <c r="E9" s="31" t="inlineStr">
        <is>
          <t>Sí</t>
        </is>
      </c>
    </row>
    <row r="10">
      <c r="A10" s="28" t="inlineStr">
        <is>
          <t>Quemadores de anillos, patas y trípodes de leña</t>
        </is>
      </c>
      <c r="B10" s="29" t="n">
        <v>2100</v>
      </c>
      <c r="C10" s="68">
        <f>IFERROR(B10/$B$26,"")</f>
        <v>0.03327463001978494</v>
      </c>
      <c r="D10" s="28" t="inlineStr">
        <is>
          <t>Quemadores de 2 a 5 anillos con sus patas y dos trípodes para cocinar con leña donde esté permitido</t>
        </is>
      </c>
      <c r="E10" s="31" t="inlineStr">
        <is>
          <t>Sí</t>
        </is>
      </c>
    </row>
    <row r="11">
      <c r="A11" s="28" t="inlineStr">
        <is>
          <t>Gas y seguridad: reguladores, flexibles, extintores y manta ignífuga</t>
        </is>
      </c>
      <c r="B11" s="29" t="n">
        <v>950</v>
      </c>
      <c r="C11" s="68">
        <f>IFERROR(B11/$B$26,"")</f>
        <v>0.015052808818474137</v>
      </c>
      <c r="D11" s="28" t="inlineStr">
        <is>
          <t>Reguladores, tubos flexibles en fecha, tres extintores de polvo ABC, manta ignífuga, cortavientos y el depósito de los envases de propano</t>
        </is>
      </c>
      <c r="E11" s="31" t="inlineStr">
        <is>
          <t>Sí</t>
        </is>
      </c>
    </row>
    <row r="12">
      <c r="A12" s="28" t="inlineStr">
        <is>
          <t>Neveras, isotermos GN, sondas y acumuladores</t>
        </is>
      </c>
      <c r="B12" s="29" t="n">
        <v>1500</v>
      </c>
      <c r="C12" s="68">
        <f>IFERROR(B12/$B$26,"")</f>
        <v>0.023767592871274952</v>
      </c>
      <c r="D12" s="28" t="inlineStr">
        <is>
          <t>Cadena de frío del marisco y la carne desde la cocina de apoyo hasta el evento, y sondas para el registro del APPCC</t>
        </is>
      </c>
      <c r="E12" s="31" t="inlineStr">
        <is>
          <t>Sí</t>
        </is>
      </c>
    </row>
    <row r="13">
      <c r="A13" s="28" t="inlineStr">
        <is>
          <t>Carpa, mesas plegables, lavamanos portátil y protector de suelo</t>
        </is>
      </c>
      <c r="B13" s="29" t="n">
        <v>1800</v>
      </c>
      <c r="C13" s="68">
        <f>IFERROR(B13/$B$26,"")</f>
        <v>0.028521111445529945</v>
      </c>
      <c r="D13" s="28" t="inlineStr">
        <is>
          <t>Zona de cocción bajo carpa, mesa de show cooking, lavamanos para el personal y protector del césped o del pavimento</t>
        </is>
      </c>
      <c r="E13" s="31" t="inlineStr">
        <is>
          <t>Sí</t>
        </is>
      </c>
    </row>
    <row r="14">
      <c r="A14" s="28" t="inlineStr">
        <is>
          <t>Utensilios, ollas de caldo, cuchillería y básculas</t>
        </is>
      </c>
      <c r="B14" s="29" t="n">
        <v>1600</v>
      </c>
      <c r="C14" s="68">
        <f>IFERROR(B14/$B$26,"")</f>
        <v>0.025352099062693284</v>
      </c>
      <c r="D14" s="28" t="inlineStr">
        <is>
          <t>Paletas, cucharas, ollas de caldo de 50 litros, cuchillería, tablas de colores y básculas</t>
        </is>
      </c>
      <c r="E14" s="31" t="inlineStr">
        <is>
          <t>Sí</t>
        </is>
      </c>
    </row>
    <row r="15">
      <c r="A15" s="28" t="inlineStr">
        <is>
          <t>Uniformes y EPI térmicos</t>
        </is>
      </c>
      <c r="B15" s="29" t="n">
        <v>400</v>
      </c>
      <c r="C15" s="68">
        <f>IFERROR(B15/$B$26,"")</f>
        <v>0.006338024765673321</v>
      </c>
      <c r="D15" s="28" t="inlineStr">
        <is>
          <t>Chaquetas, delantales y guantes resistentes al calor</t>
        </is>
      </c>
      <c r="E15" s="31" t="inlineStr">
        <is>
          <t>Sí</t>
        </is>
      </c>
    </row>
    <row r="16">
      <c r="A16" s="28" t="inlineStr">
        <is>
          <t>Marca, web, fotos, dossier y lanzamiento</t>
        </is>
      </c>
      <c r="B16" s="29" t="n">
        <v>4500</v>
      </c>
      <c r="C16" s="68">
        <f>IFERROR(B16/$B$26,"")</f>
        <v>0.07130277861382486</v>
      </c>
      <c r="D16" s="28" t="inlineStr">
        <is>
          <t>Identidad, web con formulario de presupuesto, sesión de fotos y vídeo, dossier para bodas, empresas y ayuntamientos, y degustaciones de lanzamiento</t>
        </is>
      </c>
      <c r="E16" s="31" t="inlineStr">
        <is>
          <t>Sí</t>
        </is>
      </c>
    </row>
    <row r="17">
      <c r="A17" s="28" t="inlineStr">
        <is>
          <t>Software, tablet y datáfono</t>
        </is>
      </c>
      <c r="B17" s="29" t="n">
        <v>800</v>
      </c>
      <c r="C17" s="68">
        <f>IFERROR(B17/$B$26,"")</f>
        <v>0.012676049531346642</v>
      </c>
      <c r="D17" s="28" t="inlineStr">
        <is>
          <t>Presupuestos, agenda y facturación conforme a Veri*factu</t>
        </is>
      </c>
      <c r="E17" s="31" t="inlineStr">
        <is>
          <t>Sí</t>
        </is>
      </c>
    </row>
    <row r="18">
      <c r="A18" s="28" t="inlineStr">
        <is>
          <t>Constitución SL + notaría + registro</t>
        </is>
      </c>
      <c r="B18" s="29" t="n">
        <v>1000</v>
      </c>
      <c r="C18" s="68">
        <f>IFERROR(B18/$B$26,"")</f>
        <v>0.015845061914183303</v>
      </c>
      <c r="D18" s="28" t="inlineStr">
        <is>
          <t>SL unipersonal. Las tasas y el arancel del Registro no llevan IVA; los honorarios del notario y de la gestoría sí: cambia la columna de al lado a «Sí» si tu presupuesto es sobre todo de honorarios</t>
        </is>
      </c>
      <c r="E18" s="31" t="inlineStr">
        <is>
          <t>No</t>
        </is>
      </c>
    </row>
    <row r="19">
      <c r="A19" s="28" t="inlineStr">
        <is>
          <t>Declaración responsable, plan APPCC, alérgenos y formación</t>
        </is>
      </c>
      <c r="B19" s="29" t="n">
        <v>1200</v>
      </c>
      <c r="C19" s="68">
        <f>IFERROR(B19/$B$26,"")</f>
        <v>0.019014074297019963</v>
      </c>
      <c r="D19" s="28" t="inlineStr">
        <is>
          <t>Redacción del plan APPCC, fichas de alérgenos de cada arroz, formación en higiene alimentaria del equipo y trámites sanitarios</t>
        </is>
      </c>
      <c r="E19" s="31" t="inlineStr">
        <is>
          <t>Sí</t>
        </is>
      </c>
    </row>
    <row r="20">
      <c r="A20" s="28" t="inlineStr">
        <is>
          <t>Stock inicial de producto</t>
        </is>
      </c>
      <c r="B20" s="29" t="n">
        <v>1000</v>
      </c>
      <c r="C20" s="68">
        <f>IFERROR(B20/$B$26,"")</f>
        <v>0.015845061914183303</v>
      </c>
      <c r="D20" s="28" t="inlineStr">
        <is>
          <t>Arroz, especias, aceite, desechables y la primera carga de gas</t>
        </is>
      </c>
      <c r="E20" s="31" t="inlineStr">
        <is>
          <t>Sí</t>
        </is>
      </c>
    </row>
    <row r="21">
      <c r="A21" s="28" t="inlineStr">
        <is>
          <t>Fianza de la cocina de apoyo</t>
        </is>
      </c>
      <c r="B21" s="32">
        <f>IFERROR(IF('0. Supuestos'!$B$24="","",'0. Supuestos'!$B$24*'0. Supuestos'!$B$25),"")</f>
        <v>1800.0</v>
      </c>
      <c r="C21" s="68">
        <f>IFERROR(B21/$B$26,"")</f>
        <v>0.028521111445529945</v>
      </c>
      <c r="D21" s="28" t="str">
        <f>IFERROR(""&amp;TEXT('0. Supuestos'!$B$25,"0")&amp;" meses de renta, al tipo de la hoja de Supuestos. Es un activo recuperable al cerrar: ni se amortiza ni lleva IVA","")</f>
        <v>2 meses de renta, al tipo de la hoja de Supuestos. Es un activo recuperable al cerrar: ni se amortiza ni lleva IVA</v>
      </c>
      <c r="E21" s="28" t="inlineStr">
        <is>
          <t>No</t>
        </is>
      </c>
    </row>
    <row r="22">
      <c r="A22" s="28" t="inlineStr">
        <is>
          <t>Cuota de la cocina de apoyo de los meses previos al arranque</t>
        </is>
      </c>
      <c r="B22" s="32">
        <f>IFERROR(IF('0. Supuestos'!$B$24="","",'0. Supuestos'!$B$24*'0. Supuestos'!$B$54),"")</f>
        <v>900.0</v>
      </c>
      <c r="C22" s="68">
        <f>IFERROR(B22/$B$26,"")</f>
        <v>0.014260555722764972</v>
      </c>
      <c r="D22" s="28" t="str">
        <f>IFERROR("Renta "&amp;IF('0. Supuestos'!$B$54=1,"del mes","de los "&amp;TEXT('0. Supuestos'!$B$54,"0")&amp;" meses")&amp;" de puesta en marcha (pruebas de arroz y degustaciones). NO se solapa con el P&amp;L, que arranca el día de la apertura: los doce meses del P&amp;L son los doce de explotación","")</f>
        <v>Renta del mes de puesta en marcha (pruebas de arroz y degustaciones). NO se solapa con el P&amp;L, que arranca el día de la apertura: los doce meses del P&amp;L son los doce de explotación</v>
      </c>
      <c r="E22" s="28" t="inlineStr">
        <is>
          <t>Sí</t>
        </is>
      </c>
    </row>
    <row r="23">
      <c r="A23" s="28" t="inlineStr">
        <is>
          <t>Imprevistos de la compra y preparación de la furgoneta</t>
        </is>
      </c>
      <c r="B23" s="32">
        <f>IFERROR(IF(COUNT(B7,B8)=0,"",ROUND((B7+B8)*'0. Supuestos'!$B$55,0)),"")</f>
        <v>1536.0</v>
      </c>
      <c r="C23" s="68">
        <f>IFERROR(B23/$B$26,"")</f>
        <v>0.024338015100185552</v>
      </c>
      <c r="D23" s="28" t="str">
        <f>IFERROR("Al "&amp;TEXT('0. Supuestos'!$B$55,"0%")&amp;" de las partidas de la furgoneta de este bloque (Furgoneta isoterma usada con certificado ATP y Rotulación, estanterías y anclajes de botellas), no del bloque entero: el resto de partidas del bloque quedan fuera. Un banco no financia una compra así sin colchón: el porcentaje está en la hoja de Supuestos","")</f>
        <v>Al 8% de las partidas de la furgoneta de este bloque (Furgoneta isoterma usada con certificado ATP y Rotulación, estanterías y anclajes de botellas), no del bloque entero: el resto de partidas del bloque quedan fuera. Un banco no financia una compra así sin colchón: el porcentaje está en la hoja de Supuestos</v>
      </c>
      <c r="E23" s="28" t="inlineStr">
        <is>
          <t>Sí</t>
        </is>
      </c>
    </row>
    <row r="24">
      <c r="A24" s="25" t="inlineStr">
        <is>
          <t>FONDO DE MANIOBRA</t>
        </is>
      </c>
      <c r="B24" s="26">
        <f>IFERROR(IF(B25="","",B25),"")</f>
        <v>20425.145</v>
      </c>
      <c r="C24" s="67">
        <f>IFERROR(B24/$B$26,"")</f>
        <v>0.3236376871311715</v>
      </c>
      <c r="D24" s="28" t="n"/>
      <c r="E24" s="28" t="n"/>
    </row>
    <row r="25">
      <c r="A25" s="28" t="inlineStr">
        <is>
          <t>Colchón operativo hasta alcanzar el equilibrio</t>
        </is>
      </c>
      <c r="B25" s="32">
        <f>IFERROR(IF('0. Supuestos'!$B$35*('PyG 3 Años'!$B$38-'PyG 3 Años'!$B$36)=0,"",'0. Supuestos'!$B$35*('PyG 3 Años'!$B$38-'PyG 3 Años'!$B$36)/12),"")</f>
        <v>20425.145</v>
      </c>
      <c r="C25" s="68">
        <f>IFERROR(B25/$B$26,"")</f>
        <v>0.3236376871311715</v>
      </c>
      <c r="D25" s="28" t="str">
        <f>IFERROR("Cubre "&amp;TEXT('0. Supuestos'!$B$35,"0")&amp;IF('0. Supuestos'!$B$35=1," mes"," meses")&amp;" de costes fijos DE CAJA del año 1 (los del P&amp;L menos la amortización, que no se paga), que es el mínimo que exigen las Instrucciones de este libro","")</f>
        <v>Cubre 3 meses de costes fijos DE CAJA del año 1 (los del P&amp;L menos la amortización, que no se paga), que es el mínimo que exigen las Instrucciones de este libro</v>
      </c>
      <c r="E25" s="28" t="inlineStr">
        <is>
          <t>No</t>
        </is>
      </c>
    </row>
    <row r="26">
      <c r="A26" s="25" t="inlineStr">
        <is>
          <t>INVERSIÓN TOTAL (suma de los bloques)</t>
        </is>
      </c>
      <c r="B26" s="26">
        <f>IFERROR(B6+B24,"")</f>
        <v>63111.145000000004</v>
      </c>
      <c r="C26" s="28" t="n"/>
      <c r="D26" s="25" t="str">
        <f>IFERROR("Los porcentajes de la columna C se leen sobre esta cifra, que incluye el fondo de maniobra ("&amp;TEXT(C24,"0%")&amp;" del total). Para comparar el desglose con otro plan, usa la fila de CAPEX de abajo.","")</f>
        <v>Los porcentajes de la columna C se leen sobre esta cifra, que incluye el fondo de maniobra (32% del total). Para comparar el desglose con otro plan, usa la fila de CAPEX de abajo.</v>
      </c>
      <c r="E26" s="28" t="n"/>
    </row>
    <row r="27">
      <c r="A27" s="25" t="inlineStr">
        <is>
          <t>CAPEX (inversión sin el fondo de maniobra)</t>
        </is>
      </c>
      <c r="B27" s="26">
        <f>IFERROR(B26-B24,"")</f>
        <v>42686.0</v>
      </c>
      <c r="C27" s="28" t="n"/>
      <c r="D27" s="25" t="inlineStr">
        <is>
          <t>Es lo que se compra: furgoneta, equipamiento, lanzamiento y gastos de constitución. El colchón de caja no es inversión, es circulante</t>
        </is>
      </c>
      <c r="E27" s="28" t="n"/>
    </row>
    <row r="28">
      <c r="A28" s="28" t="inlineStr">
        <is>
          <t>IVA soportado sobre la inversión (recuperable)</t>
        </is>
      </c>
      <c r="B28" s="32">
        <f>IFERROR(IF(B26="","",SUMIF($E$7:$E$23,"Sí",$B$7:$B$23)*'0. Supuestos'!$B$41),"")</f>
        <v>8376.06</v>
      </c>
      <c r="C28" s="28" t="n"/>
      <c r="D28" s="28" t="str">
        <f>IFERROR("Al "&amp;TEXT('0. Supuestos'!$B$41,"0%")&amp;" sobre las partidas marcadas con «Sí» en la columna de IVA. Las tasas y licencias no están sujetas y los seguros están exentos (art. 20.Uno.16 LIVA). Las tasas y aranceles registrales no llevan IVA; los honorarios de notaría y gestoría sí (21 %, deducible). Se recupera con el modelo 303, pero hay que adelantarlo","")</f>
        <v>Al 21% sobre las partidas marcadas con «Sí» en la columna de IVA. Las tasas y licencias no están sujetas y los seguros están exentos (art. 20.Uno.16 LIVA). Las tasas y aranceles registrales no llevan IVA; los honorarios de notaría y gestoría sí (21 %, deducible). Se recupera con el modelo 303, pero hay que adelantarlo</v>
      </c>
      <c r="E28" s="28" t="n"/>
    </row>
    <row r="29">
      <c r="A29" s="25" t="inlineStr">
        <is>
          <t>NECESIDAD TOTAL DE CAJA AL ARRANQUE</t>
        </is>
      </c>
      <c r="B29" s="26">
        <f>IFERROR(B26+B28,"")</f>
        <v>71487.205</v>
      </c>
      <c r="C29" s="28" t="n"/>
      <c r="D29" s="25" t="inlineStr">
        <is>
          <t>Es la cifra que tiene que cubrir la hoja de Financiación</t>
        </is>
      </c>
      <c r="E29" s="28" t="n"/>
    </row>
    <row r="30">
      <c r="A30" s="25" t="inlineStr">
        <is>
          <t>BASES DE AMORTIZACIÓN (no suman a la inversión)</t>
        </is>
      </c>
      <c r="B30" s="28" t="n"/>
      <c r="C30" s="28" t="n"/>
      <c r="D30" s="28" t="n"/>
      <c r="E30" s="28" t="n"/>
    </row>
    <row r="31">
      <c r="A31" s="28" t="inlineStr">
        <is>
          <t>Furgoneta, rotulación e imprevistos</t>
        </is>
      </c>
      <c r="B31" s="32">
        <f>IFERROR(IF(B7="","",B7+B8+B23),"")</f>
        <v>20736.0</v>
      </c>
      <c r="C31" s="28" t="n"/>
      <c r="D31" s="28" t="str">
        <f>IFERROR("Se amortiza en "&amp;TEXT('0. Supuestos'!$B$44,"0")&amp;" años","")</f>
        <v>Se amortiza en 8 años</v>
      </c>
      <c r="E31" s="28" t="n"/>
    </row>
    <row r="32">
      <c r="A32" s="28" t="inlineStr">
        <is>
          <t>Maquinaria, mobiliario y equipos</t>
        </is>
      </c>
      <c r="B32" s="32">
        <f>IFERROR(IF(B9="","",B9+B10+B11+B12+B13+B14+B15+B17),"")</f>
        <v>11550.0</v>
      </c>
      <c r="C32" s="28" t="n"/>
      <c r="D32" s="28" t="str">
        <f>IFERROR("Se amortiza en "&amp;TEXT('0. Supuestos'!$B$45,"0")&amp;" años","")</f>
        <v>Se amortiza en 10 años</v>
      </c>
      <c r="E32" s="28" t="n"/>
    </row>
    <row r="33">
      <c r="A33" s="25" t="inlineStr">
        <is>
          <t>Amortización anual del inmovilizado</t>
        </is>
      </c>
      <c r="B33" s="26">
        <f>IFERROR(B31/MAX(1,'0. Supuestos'!$B$44)+B32/MAX(1,'0. Supuestos'!$B$45),"")</f>
        <v>3747.0</v>
      </c>
      <c r="C33" s="28" t="n"/>
      <c r="D33" s="25" t="str">
        <f>IFERROR("No se amortizan, por no ser inmovilizado, Marca, web, fotos, dossier y lanzamiento, Constitución SL + notaría + registro, Declaración responsable, plan APPCC, alérgenos y formación, Stock inicial de producto, Fianza de la cocina de apoyo, Cuota de la cocina de apoyo de los meses previos al arranque ni Colchón operativo hasta alcanzar el equilibrio. Suman "&amp;TEXT(B26-B31-B32,"0")&amp;" € de los "&amp;TEXT(B26,"0")&amp;" € de inversión.","")</f>
        <v>No se amortizan, por no ser inmovilizado, Marca, web, fotos, dossier y lanzamiento, Constitución SL + notaría + registro, Declaración responsable, plan APPCC, alérgenos y formación, Stock inicial de producto, Fianza de la cocina de apoyo, Cuota de la cocina de apoyo de los meses previos al arranque ni Colchón operativo hasta alcanzar el equilibrio. Suman 30825 € de los 63111 € de inversión.</v>
      </c>
      <c r="E33" s="28" t="n"/>
    </row>
  </sheetData>
  <sheetProtection selectLockedCells="0" selectUnlockedCells="0" sheet="1" objects="0" insertRows="1" insertHyperlinks="1" autoFilter="1" scenarios="0" formatColumns="0" deleteColumns="1" insertColumns="1" pivotTables="1" deleteRows="1" formatCells="1" formatRows="0" sort="0"/>
  <mergeCells count="1">
    <mergeCell ref="A1:C1"/>
  </mergeCells>
  <conditionalFormatting sqref="B29">
    <cfRule type="expression" priority="1" dxfId="0" stopIfTrue="1">
      <formula>AND(ISNUMBER(B29),B29&gt;0)</formula>
    </cfRule>
  </conditionalFormatting>
  <dataValidations count="2">
    <dataValidation sqref="E7:E20" showDropDown="0" showInputMessage="0" showErrorMessage="1" allowBlank="1" errorTitle="Marca no válida" error="Escribe «Sí» o «No»: de esta columna sale el IVA soportado de la inversión." type="list">
      <formula1>"Sí,No"</formula1>
    </dataValidation>
    <dataValidation sqref="B7 B8 B9 B10 B11 B12 B13 B14 B15 B16 B17 B18 B19 B20" showDropDown="0" showInputMessage="0" showErrorMessage="1" allowBlank="1" errorTitle="Importe no válido" error="Escribe un número mayor o igual que 0." type="decimal" operator="greaterThanOrEqual">
      <formula1>0</formula1>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H59"/>
  <sheetViews>
    <sheetView workbookViewId="0">
      <pane ySplit="4" topLeftCell="A5" activePane="bottomLeft" state="frozen"/>
      <selection pane="bottomLeft" activeCell="A1" sqref="A1"/>
    </sheetView>
  </sheetViews>
  <sheetFormatPr baseColWidth="8" defaultRowHeight="15"/>
  <cols>
    <col width="42" customWidth="1" min="1" max="1"/>
    <col width="16" customWidth="1" min="2" max="2"/>
    <col width="16" customWidth="1" min="3" max="3"/>
    <col width="16" customWidth="1" min="4" max="4"/>
    <col width="14" customWidth="1" min="5" max="5"/>
    <col width="60" customWidth="1" min="6" max="6"/>
    <col width="14" customWidth="1" min="7" max="7"/>
    <col width="16" customWidth="1" min="8" max="8"/>
  </cols>
  <sheetData>
    <row r="1" ht="15" customHeight="1">
      <c r="A1" s="38" t="inlineStr">
        <is>
          <t>CUENTA DE RESULTADOS PREVISIONAL — 3 AÑOS</t>
        </is>
      </c>
    </row>
    <row r="2">
      <c r="A2" s="3" t="inlineStr">
        <is>
          <t>Escenario realista — paellero para eventos</t>
        </is>
      </c>
    </row>
    <row r="3"/>
    <row r="4">
      <c r="A4" s="39" t="inlineStr">
        <is>
          <t>Concepto</t>
        </is>
      </c>
      <c r="B4" s="39" t="inlineStr">
        <is>
          <t>Año 1</t>
        </is>
      </c>
      <c r="C4" s="39" t="inlineStr">
        <is>
          <t>Año 2</t>
        </is>
      </c>
      <c r="D4" s="39" t="inlineStr">
        <is>
          <t>Año 3</t>
        </is>
      </c>
      <c r="E4" s="39" t="inlineStr">
        <is>
          <t>% s/ventas (año 1)</t>
        </is>
      </c>
      <c r="F4" s="39" t="inlineStr">
        <is>
          <t>Notas</t>
        </is>
      </c>
      <c r="G4" s="39" t="inlineStr">
        <is>
          <t>Tipo de IVA de la línea (%)</t>
        </is>
      </c>
      <c r="H4" s="28" t="n"/>
    </row>
    <row r="5">
      <c r="A5" s="25" t="inlineStr">
        <is>
          <t>INGRESOS</t>
        </is>
      </c>
      <c r="B5" s="28" t="n"/>
      <c r="C5" s="28" t="n"/>
      <c r="D5" s="28" t="n"/>
      <c r="E5" s="28" t="n"/>
      <c r="F5" s="28" t="n"/>
      <c r="G5" s="28" t="n"/>
      <c r="H5" s="28" t="n"/>
    </row>
    <row r="6">
      <c r="A6" s="28" t="inlineStr">
        <is>
          <t>Invitados por evento (media)</t>
        </is>
      </c>
      <c r="B6" s="40">
        <f>IFERROR(IF('0. Supuestos'!$B$4="","",'0. Supuestos'!$B$4),"")</f>
        <v>94.0</v>
      </c>
      <c r="C6" s="40">
        <f>IFERROR(B6*(1+'0. Supuestos'!$B$7),"")</f>
        <v>103.4</v>
      </c>
      <c r="D6" s="40">
        <f>IFERROR(C6*(1+'0. Supuestos'!$B$8),"")</f>
        <v>109.60400000000001</v>
      </c>
      <c r="E6" s="28" t="n"/>
      <c r="F6" s="28" t="inlineStr">
        <is>
          <t>El crecimiento de los años 2 y 3 está en la hoja de Supuestos</t>
        </is>
      </c>
      <c r="G6" s="28" t="n"/>
      <c r="H6" s="28" t="n"/>
    </row>
    <row r="7">
      <c r="A7" s="28" t="inlineStr">
        <is>
          <t>Precio medio por invitado sin IVA</t>
        </is>
      </c>
      <c r="B7" s="70">
        <f>IFERROR(IF('0. Supuestos'!$B$5="","",'0. Supuestos'!$B$5),"")</f>
        <v>16.0</v>
      </c>
      <c r="C7" s="70">
        <f>IFERROR(IF(B7="","",B7),"")</f>
        <v>16.0</v>
      </c>
      <c r="D7" s="70">
        <f>IFERROR(IF(C7="","",C7),"")</f>
        <v>16.0</v>
      </c>
      <c r="E7" s="28" t="n"/>
      <c r="F7" s="28" t="inlineStr">
        <is>
          <t>Constante en euros del año 1: una subida de precios es una decisión aparte</t>
        </is>
      </c>
      <c r="G7" s="28" t="n"/>
      <c r="H7" s="28" t="n"/>
    </row>
    <row r="8">
      <c r="A8" s="28" t="inlineStr">
        <is>
          <t>Eventos al año</t>
        </is>
      </c>
      <c r="B8" s="40">
        <f>IFERROR(IF('0. Supuestos'!$B$6="","",'0. Supuestos'!$B$6),"")</f>
        <v>105.0</v>
      </c>
      <c r="C8" s="40">
        <f>IFERROR(IF(B8="","",B8),"")</f>
        <v>105.0</v>
      </c>
      <c r="D8" s="40">
        <f>IFERROR(IF(C8="","",C8),"")</f>
        <v>105.0</v>
      </c>
      <c r="E8" s="28" t="n"/>
      <c r="F8" s="28" t="n"/>
      <c r="G8" s="28" t="n"/>
      <c r="H8" s="28" t="n"/>
    </row>
    <row r="9">
      <c r="A9" s="25" t="inlineStr">
        <is>
          <t>INGRESOS TOTALES (sin IVA)</t>
        </is>
      </c>
      <c r="B9" s="26">
        <f>IFERROR(IF(B6*B7*B8=0,"",B6*B7*B8),"")</f>
        <v>157920.0</v>
      </c>
      <c r="C9" s="26">
        <f>IFERROR(IF(C6*C7*C8=0,"",C6*C7*C8),"")</f>
        <v>173712.0</v>
      </c>
      <c r="D9" s="26">
        <f>IFERROR(IF(D6*D7*D8=0,"",D6*D7*D8),"")</f>
        <v>184134.72000000003</v>
      </c>
      <c r="E9" s="67">
        <f>IFERROR(IF(B9="","",1),"")</f>
        <v>1.0</v>
      </c>
      <c r="F9" s="28" t="n"/>
      <c r="G9" s="28" t="n"/>
      <c r="H9" s="28" t="n"/>
    </row>
    <row r="10">
      <c r="A10" s="28" t="inlineStr">
        <is>
          <t>Ventas de comida (paellas y arroces en directo, entrantes y postre)</t>
        </is>
      </c>
      <c r="B10" s="32">
        <f>IFERROR(IF(B9="","",B9*$E$10),"")</f>
        <v>145286.4</v>
      </c>
      <c r="C10" s="32">
        <f>IFERROR(IF(C9="","",C9*$E$10),"")</f>
        <v>159815.04</v>
      </c>
      <c r="D10" s="32">
        <f>IFERROR(IF(D9="","",D9*$E$10),"")</f>
        <v>169403.94240000003</v>
      </c>
      <c r="E10" s="68">
        <f>IFERROR(IF('0. Supuestos'!$B$11="","",'0. Supuestos'!$B$11),"")</f>
        <v>0.92</v>
      </c>
      <c r="F10" s="28" t="inlineStr">
        <is>
          <t>Paellas y arroces cocinados en el evento, con show cooking cuando se contrata, entrantes, pan, alioli y postre. Las fiestas populares son paella sola por ración</t>
        </is>
      </c>
      <c r="G10" s="68">
        <f>IFERROR(IF(B9="","",'0. Supuestos'!$B$39),"")</f>
        <v>0.1</v>
      </c>
      <c r="H10" s="28" t="n"/>
    </row>
    <row r="11">
      <c r="A11" s="28" t="inlineStr">
        <is>
          <t>Ventas de bebida (pack opcional de vino, cerveza y refrescos)</t>
        </is>
      </c>
      <c r="B11" s="32">
        <f>IFERROR(IF(B9="","",B9*$E$11),"")</f>
        <v>12633.599999999993</v>
      </c>
      <c r="C11" s="32">
        <f>IFERROR(IF(C9="","",C9*$E$11),"")</f>
        <v>13896.959999999994</v>
      </c>
      <c r="D11" s="32">
        <f>IFERROR(IF(D9="","",D9*$E$11),"")</f>
        <v>14730.777599999996</v>
      </c>
      <c r="E11" s="68">
        <f>IFERROR(IF('0. Supuestos'!$B$12="","",'0. Supuestos'!$B$12),"")</f>
        <v>0.07999999999999996</v>
      </c>
      <c r="F11" s="28" t="inlineStr">
        <is>
          <t>Pack de bebida que algunos clientes contratan con la paella; en muchas fiestas la bebida la pone el cliente</t>
        </is>
      </c>
      <c r="G11" s="68">
        <f>IFERROR(IF(B9="","",('0. Supuestos'!$B$62*((1-'0. Supuestos'!$B$16)*'0. Supuestos'!$B$63+'0. Supuestos'!$B$16*'0. Supuestos'!$B$40)+(1-'0. Supuestos'!$B$62)*'0. Supuestos'!$B$39)),"")</f>
        <v>0.10275000000000001</v>
      </c>
      <c r="H11" s="28" t="n"/>
    </row>
    <row r="12">
      <c r="A12" s="25" t="inlineStr">
        <is>
          <t>COSTES VARIABLES</t>
        </is>
      </c>
      <c r="B12" s="28" t="n"/>
      <c r="C12" s="28" t="n"/>
      <c r="D12" s="28" t="n"/>
      <c r="E12" s="28" t="n"/>
      <c r="F12" s="28" t="n"/>
      <c r="G12" s="28" t="n"/>
      <c r="H12" s="28" t="n"/>
    </row>
    <row r="13">
      <c r="A13" s="28" t="inlineStr">
        <is>
          <t>Coste de mercancía — comida</t>
        </is>
      </c>
      <c r="B13" s="32">
        <f>IFERROR(IF(B9="","",B9*'0. Supuestos'!$B$11*'0. Supuestos'!$B$13),"")</f>
        <v>40680.192</v>
      </c>
      <c r="C13" s="32">
        <f>IFERROR(IF(C9="","",C9*'0. Supuestos'!$B$11*'0. Supuestos'!$B$13),"")</f>
        <v>44748.211200000005</v>
      </c>
      <c r="D13" s="32">
        <f>IFERROR(IF(D9="","",D9*'0. Supuestos'!$B$11*'0. Supuestos'!$B$13),"")</f>
        <v>47433.103872000014</v>
      </c>
      <c r="E13" s="68">
        <f>IFERROR(B13/$B$9,"")</f>
        <v>0.2576</v>
      </c>
      <c r="F13" s="28" t="str">
        <f>IFERROR("Al "&amp;TEXT('0. Supuestos'!$B$13,"0%")&amp;" de las ventas de COMIDA, no del total: la bebida tiene su propia línea","")</f>
        <v>Al 28% de las ventas de COMIDA, no del total: la bebida tiene su propia línea</v>
      </c>
      <c r="G13" s="68">
        <f>IFERROR(IF(B9="","",'0. Supuestos'!$B$39),"")</f>
        <v>0.1</v>
      </c>
      <c r="H13" s="28" t="n"/>
    </row>
    <row r="14">
      <c r="A14" s="28" t="inlineStr">
        <is>
          <t>Coste de mercancía — bebida</t>
        </is>
      </c>
      <c r="B14" s="32">
        <f>IFERROR(IF(B9="","",B9*'0. Supuestos'!$B$12*'0. Supuestos'!$B$14),"")</f>
        <v>3790.0799999999977</v>
      </c>
      <c r="C14" s="32">
        <f>IFERROR(IF(C9="","",C9*'0. Supuestos'!$B$12*'0. Supuestos'!$B$14),"")</f>
        <v>4169.087999999998</v>
      </c>
      <c r="D14" s="32">
        <f>IFERROR(IF(D9="","",D9*'0. Supuestos'!$B$12*'0. Supuestos'!$B$14),"")</f>
        <v>4419.233279999999</v>
      </c>
      <c r="E14" s="68">
        <f>IFERROR(B14/$B$9,"")</f>
        <v>0.023999999999999987</v>
      </c>
      <c r="F14" s="28" t="str">
        <f>IFERROR("Al "&amp;TEXT('0. Supuestos'!$B$14,"0%")&amp;" de las ventas de BEBIDA","")</f>
        <v>Al 30% de las ventas de BEBIDA</v>
      </c>
      <c r="G14" s="68">
        <f>IFERROR(IF(B9="","",('0. Supuestos'!$B$62*'0. Supuestos'!$B$40+(1-'0. Supuestos'!$B$62)*'0. Supuestos'!$B$39)),"")</f>
        <v>0.155</v>
      </c>
      <c r="H14" s="28" t="n"/>
    </row>
    <row r="15">
      <c r="A15" s="28" t="inlineStr">
        <is>
          <t>Consumibles y envases</t>
        </is>
      </c>
      <c r="B15" s="32">
        <f>IFERROR(IF(B9="","",B9*'0. Supuestos'!$B$15),"")</f>
        <v>4737.599999999999</v>
      </c>
      <c r="C15" s="32">
        <f>IFERROR(IF(C9="","",C9*'0. Supuestos'!$B$15),"")</f>
        <v>5211.36</v>
      </c>
      <c r="D15" s="32">
        <f>IFERROR(IF(D9="","",D9*'0. Supuestos'!$B$15),"")</f>
        <v>5524.0416000000005</v>
      </c>
      <c r="E15" s="68">
        <f>IFERROR(B15/$B$9,"")</f>
        <v>0.029999999999999995</v>
      </c>
      <c r="F15" s="28" t="n"/>
      <c r="G15" s="68">
        <f>IFERROR(IF(B9="","",'0. Supuestos'!$B$41),"")</f>
        <v>0.21</v>
      </c>
      <c r="H15" s="28" t="n"/>
    </row>
    <row r="16">
      <c r="A16" s="28" t="inlineStr">
        <is>
          <t>Comisiones de la paella para recoger</t>
        </is>
      </c>
      <c r="B16" s="32">
        <f>IFERROR(IF(B9="","",B9*'0. Supuestos'!$B$16*'0. Supuestos'!$B$17),"")</f>
        <v>789.6</v>
      </c>
      <c r="C16" s="32">
        <f>IFERROR(IF(C9="","",C9*'0. Supuestos'!$B$16*'0. Supuestos'!$B$17),"")</f>
        <v>868.5600000000001</v>
      </c>
      <c r="D16" s="32">
        <f>IFERROR(IF(D9="","",D9*'0. Supuestos'!$B$16*'0. Supuestos'!$B$17),"")</f>
        <v>920.6736000000003</v>
      </c>
      <c r="E16" s="68">
        <f>IFERROR(B16/$B$9,"")</f>
        <v>0.005</v>
      </c>
      <c r="F16" s="28" t="inlineStr">
        <is>
          <t>Sobre las ventas DEL CANAL. Con 0 % de paella para recoger en Supuestos, esta línea vale cero</t>
        </is>
      </c>
      <c r="G16" s="68">
        <f>IFERROR(IF(B9="","",'0. Supuestos'!$B$41),"")</f>
        <v>0.21</v>
      </c>
      <c r="H16" s="28" t="n"/>
    </row>
    <row r="17">
      <c r="A17" s="28" t="inlineStr">
        <is>
          <t>Comisiones de los medios de pago</t>
        </is>
      </c>
      <c r="B17" s="32">
        <f>IFERROR(IF(B9="","",B9*'0. Supuestos'!$B$18),"")</f>
        <v>789.6</v>
      </c>
      <c r="C17" s="32">
        <f>IFERROR(IF(C9="","",C9*'0. Supuestos'!$B$18),"")</f>
        <v>868.5600000000001</v>
      </c>
      <c r="D17" s="32">
        <f>IFERROR(IF(D9="","",D9*'0. Supuestos'!$B$18),"")</f>
        <v>920.6736000000002</v>
      </c>
      <c r="E17" s="68">
        <f>IFERROR(B17/$B$9,"")</f>
        <v>0.005</v>
      </c>
      <c r="F17" s="28" t="inlineStr">
        <is>
          <t>Las comisiones de los medios de pago están EXENTAS de IVA (art. 20.Uno.18 LIVA): no se deduce nada por ellas</t>
        </is>
      </c>
      <c r="G17" s="68" t="n">
        <v>0</v>
      </c>
      <c r="H17" s="28" t="n"/>
    </row>
    <row r="18">
      <c r="A18" s="28" t="inlineStr">
        <is>
          <t>Varios e imprevistos</t>
        </is>
      </c>
      <c r="B18" s="32">
        <f>IFERROR(IF(B9="","",B9*'0. Supuestos'!$B$28),"")</f>
        <v>7106.4</v>
      </c>
      <c r="C18" s="32">
        <f>IFERROR(IF(C9="","",C9*'0. Supuestos'!$B$28),"")</f>
        <v>7817.04</v>
      </c>
      <c r="D18" s="32">
        <f>IFERROR(IF(D9="","",D9*'0. Supuestos'!$B$28),"")</f>
        <v>8286.0624</v>
      </c>
      <c r="E18" s="68">
        <f>IFERROR(B18/$B$9,"")</f>
        <v>0.045</v>
      </c>
      <c r="F18" s="28" t="str">
        <f>IFERROR("Al "&amp;TEXT('0. Supuestos'!$B$28,"0%")&amp;" de las ventas. Es un coste VARIABLE: sube y baja con la facturación, así que no puede vivir en los costes fijos","")</f>
        <v>Al 4% de las ventas. Es un coste VARIABLE: sube y baja con la facturación, así que no puede vivir en los costes fijos</v>
      </c>
      <c r="G18" s="68">
        <f>IFERROR(IF(B9="","",'0. Supuestos'!$B$41),"")</f>
        <v>0.21</v>
      </c>
      <c r="H18" s="28" t="n"/>
    </row>
    <row r="19">
      <c r="A19" s="25" t="inlineStr">
        <is>
          <t>TOTAL COSTES VARIABLES</t>
        </is>
      </c>
      <c r="B19" s="26">
        <f>IFERROR(IF(B9="","",SUM(B13:B18)),"")</f>
        <v>57893.472</v>
      </c>
      <c r="C19" s="26">
        <f>IFERROR(IF(C9="","",SUM(C13:C18)),"")</f>
        <v>63682.819200000005</v>
      </c>
      <c r="D19" s="26">
        <f>IFERROR(IF(D9="","",SUM(D13:D18)),"")</f>
        <v>67503.78835200002</v>
      </c>
      <c r="E19" s="67">
        <f>IFERROR(B19/$B$9,"")</f>
        <v>0.36660000000000004</v>
      </c>
      <c r="F19" s="28" t="n"/>
      <c r="G19" s="28" t="n"/>
      <c r="H19" s="28" t="n"/>
    </row>
    <row r="20">
      <c r="A20" s="25" t="inlineStr">
        <is>
          <t>MARGEN BRUTO</t>
        </is>
      </c>
      <c r="B20" s="26">
        <f>IFERROR(IF(B9="","",B9-B19),"")</f>
        <v>100026.52799999999</v>
      </c>
      <c r="C20" s="26">
        <f>IFERROR(IF(C9="","",C9-C19),"")</f>
        <v>110029.1808</v>
      </c>
      <c r="D20" s="26">
        <f>IFERROR(IF(D9="","",D9-D19),"")</f>
        <v>116630.93164800001</v>
      </c>
      <c r="E20" s="67">
        <f>IFERROR(B20/$B$9,"")</f>
        <v>0.6334</v>
      </c>
      <c r="F20" s="28" t="n"/>
      <c r="G20" s="28" t="n"/>
      <c r="H20" s="28" t="n"/>
    </row>
    <row r="21">
      <c r="A21" s="25" t="inlineStr">
        <is>
          <t>COSTES FIJOS</t>
        </is>
      </c>
      <c r="B21" s="28" t="n"/>
      <c r="C21" s="28" t="n"/>
      <c r="D21" s="28" t="n"/>
      <c r="E21" s="28" t="n"/>
      <c r="F21" s="28" t="n"/>
      <c r="G21" s="28" t="n"/>
      <c r="H21" s="28" t="n"/>
    </row>
    <row r="22">
      <c r="A22" s="28" t="inlineStr">
        <is>
          <t>Cuota de la cocina de apoyo compartida</t>
        </is>
      </c>
      <c r="B22" s="32">
        <f>IFERROR(IF(B9="","",'0. Supuestos'!$B$24*12),"")</f>
        <v>10800.0</v>
      </c>
      <c r="C22" s="32">
        <f>IFERROR(IF(C9="","",B22*(1+'0. Supuestos'!$B$48)),"")</f>
        <v>10800.0</v>
      </c>
      <c r="D22" s="32">
        <f>IFERROR(IF(D9="","",C22*(1+'0. Supuestos'!$B$48)),"")</f>
        <v>10800.0</v>
      </c>
      <c r="E22" s="68">
        <f>IFERROR(B22/$B$9,"")</f>
        <v>0.06838905775075987</v>
      </c>
      <c r="F22" s="28" t="inlineStr">
        <is>
          <t>El importe mensual está en la hoja de Supuestos; aquí se multiplica por doce. Es el contrato de uso de una cocina de apoyo compartida y autorizada (horas de cocina, cámara y almacén de paelleras y quemadores). El mes previo al primer evento está en la hoja de Inversión y NO se cuenta dos veces</t>
        </is>
      </c>
      <c r="G22" s="68">
        <f>IFERROR(IF(B9="","",'0. Supuestos'!$B$41),"")</f>
        <v>0.21</v>
      </c>
      <c r="H22" s="28" t="n"/>
    </row>
    <row r="23">
      <c r="A23" s="28" t="inlineStr">
        <is>
          <t>Personal (nóminas + Seguridad Social)</t>
        </is>
      </c>
      <c r="B23" s="32">
        <f>IFERROR(IF(B9="","",'Personal'!$G$9),"")</f>
        <v>55096.58</v>
      </c>
      <c r="C23" s="32">
        <f>IFERROR(IF(C9="","",'Personal'!$B$13),"")</f>
        <v>61096.58</v>
      </c>
      <c r="D23" s="32">
        <f>IFERROR(IF(D9="","",'Personal'!$B$14),"")</f>
        <v>67096.58</v>
      </c>
      <c r="E23" s="68">
        <f>IFERROR(B23/$B$9,"")</f>
        <v>0.34888918439716315</v>
      </c>
      <c r="F23" s="28" t="inlineStr">
        <is>
          <t>Sale de la hoja de Personal: es el MISMO número, no una estimación aparte. Los años 2 y 3 suman las INCORPORACIONES declaradas en esa hoja, no un porcentaje de volumen</t>
        </is>
      </c>
      <c r="G23" s="68" t="n">
        <v>0</v>
      </c>
      <c r="H23" s="28" t="n"/>
    </row>
    <row r="24">
      <c r="A24" s="28" t="inlineStr">
        <is>
          <t>Suministros (consumos propios fuera de la cuota)</t>
        </is>
      </c>
      <c r="B24" s="32">
        <f>IFERROR(IF(B9="","",'0. Supuestos'!$B$26*12),"")</f>
        <v>600.0</v>
      </c>
      <c r="C24" s="32">
        <f>IFERROR(IF(C9="","",B24*(1+'0. Supuestos'!$B$48)),"")</f>
        <v>600.0</v>
      </c>
      <c r="D24" s="32">
        <f>IFERROR(IF(D9="","",C24*(1+'0. Supuestos'!$B$48)),"")</f>
        <v>600.0</v>
      </c>
      <c r="E24" s="68">
        <f>IFERROR(B24/$B$9,"")</f>
        <v>0.003799392097264438</v>
      </c>
      <c r="F24" s="28" t="inlineStr">
        <is>
          <t>Consumos propios fuera de la cuota de la cocina. El gas de las paellas va en los consumibles. Va al 21 % de IVA</t>
        </is>
      </c>
      <c r="G24" s="68">
        <f>IFERROR(IF(B9="","",'0. Supuestos'!$B$41),"")</f>
        <v>0.21</v>
      </c>
      <c r="H24" s="28" t="n"/>
    </row>
    <row r="25">
      <c r="A25" s="28" t="inlineStr">
        <is>
          <t>Seguros (RC + multirriesgo)</t>
        </is>
      </c>
      <c r="B25" s="32">
        <f>IFERROR(IF(B9="","",'0. Supuestos'!$B$27),"")</f>
        <v>1750.0</v>
      </c>
      <c r="C25" s="32">
        <f>IFERROR(IF(C9="","",B25*(1+'0. Supuestos'!$B$48)),"")</f>
        <v>1750.0</v>
      </c>
      <c r="D25" s="32">
        <f>IFERROR(IF(D9="","",C25*(1+'0. Supuestos'!$B$48)),"")</f>
        <v>1750.0</v>
      </c>
      <c r="E25" s="68">
        <f>IFERROR(B25/$B$9,"")</f>
        <v>0.011081560283687944</v>
      </c>
      <c r="F25" s="28" t="inlineStr">
        <is>
          <t>Las operaciones de seguro están EXENTAS de IVA (art. 20.Uno.16 LIVA): la prima no lleva IVA deducible</t>
        </is>
      </c>
      <c r="G25" s="68" t="n">
        <v>0</v>
      </c>
      <c r="H25" s="28" t="n"/>
    </row>
    <row r="26">
      <c r="A26" s="28" t="inlineStr">
        <is>
          <t>Asesoría fiscal y laboral (nóminas de fijos discontinuos)</t>
        </is>
      </c>
      <c r="B26" s="29" t="n">
        <v>1800</v>
      </c>
      <c r="C26" s="32">
        <f>IFERROR(IF(C9="","",B26*(1+'0. Supuestos'!$B$48)),"")</f>
        <v>1800.0</v>
      </c>
      <c r="D26" s="32">
        <f>IFERROR(IF(D9="","",C26*(1+'0. Supuestos'!$B$48)),"")</f>
        <v>1800.0</v>
      </c>
      <c r="E26" s="68">
        <f>IFERROR(B26/$B$9,"")</f>
        <v>0.011398176291793313</v>
      </c>
      <c r="F26" s="28" t="inlineStr">
        <is>
          <t>Contabilidad, impuestos de la SL y nóminas de los fijos discontinuos de cada mes con llamamientos</t>
        </is>
      </c>
      <c r="G26" s="68">
        <f>IFERROR(IF(B9="","",'0. Supuestos'!$B$41),"")</f>
        <v>0.21</v>
      </c>
      <c r="H26" s="28" t="n"/>
    </row>
    <row r="27">
      <c r="A27" s="28" t="inlineStr">
        <is>
          <t>Furgoneta: mantenimiento, ITV e inspección ATP</t>
        </is>
      </c>
      <c r="B27" s="29" t="n">
        <v>1200</v>
      </c>
      <c r="C27" s="32">
        <f>IFERROR(IF(C9="","",B27*(1+'0. Supuestos'!$B$48)),"")</f>
        <v>1200.0</v>
      </c>
      <c r="D27" s="32">
        <f>IFERROR(IF(D9="","",C27*(1+'0. Supuestos'!$B$48)),"")</f>
        <v>1200.0</v>
      </c>
      <c r="E27" s="68">
        <f>IFERROR(B27/$B$9,"")</f>
        <v>0.007598784194528876</v>
      </c>
      <c r="F27" s="28" t="inlineStr">
        <is>
          <t>Taller, neumáticos, ITV y la inspección periódica del certificado ATP del equipo de frío (RD 237/2000)</t>
        </is>
      </c>
      <c r="G27" s="68">
        <f>IFERROR(IF(B9="","",'0. Supuestos'!$B$41),"")</f>
        <v>0.21</v>
      </c>
      <c r="H27" s="28" t="n"/>
    </row>
    <row r="28">
      <c r="A28" s="28" t="inlineStr">
        <is>
          <t>Marketing y publicidad</t>
        </is>
      </c>
      <c r="B28" s="29" t="n">
        <v>4000</v>
      </c>
      <c r="C28" s="32">
        <f>IFERROR(IF(C9="","",B28*(1+'0. Supuestos'!$B$48)),"")</f>
        <v>4000.0</v>
      </c>
      <c r="D28" s="32">
        <f>IFERROR(IF(D9="","",C28*(1+'0. Supuestos'!$B$48)),"")</f>
        <v>4000.0</v>
      </c>
      <c r="E28" s="68">
        <f>IFERROR(B28/$B$9,"")</f>
        <v>0.025329280648429583</v>
      </c>
      <c r="F28" s="28" t="inlineStr">
        <is>
          <t>Google Ads local, un escaparate de bodas, redes sociales y una feria al año</t>
        </is>
      </c>
      <c r="G28" s="68">
        <f>IFERROR(IF(B9="","",'0. Supuestos'!$B$41),"")</f>
        <v>0.21</v>
      </c>
      <c r="H28" s="28" t="n"/>
    </row>
    <row r="29">
      <c r="A29" s="28" t="inlineStr">
        <is>
          <t>Software de gestión comercial, CRM y teléfono</t>
        </is>
      </c>
      <c r="B29" s="29" t="n">
        <v>900</v>
      </c>
      <c r="C29" s="32">
        <f>IFERROR(IF(C9="","",B29*(1+'0. Supuestos'!$B$48)),"")</f>
        <v>900.0</v>
      </c>
      <c r="D29" s="32">
        <f>IFERROR(IF(D9="","",C29*(1+'0. Supuestos'!$B$48)),"")</f>
        <v>900.0</v>
      </c>
      <c r="E29" s="68">
        <f>IFERROR(B29/$B$9,"")</f>
        <v>0.0056990881458966565</v>
      </c>
      <c r="F29" s="28" t="inlineStr">
        <is>
          <t>Presupuestos, agenda de eventos, CRM de clientes y línea de teléfono</t>
        </is>
      </c>
      <c r="G29" s="68">
        <f>IFERROR(IF(B9="","",'0. Supuestos'!$B$41),"")</f>
        <v>0.21</v>
      </c>
      <c r="H29" s="28" t="n"/>
    </row>
    <row r="30">
      <c r="A30" s="28" t="inlineStr">
        <is>
          <t>Revisión de gas por instaladora y mantenimiento de extintores</t>
        </is>
      </c>
      <c r="B30" s="29" t="n">
        <v>400</v>
      </c>
      <c r="C30" s="32">
        <f>IFERROR(IF(C9="","",B30*(1+'0. Supuestos'!$B$48)),"")</f>
        <v>400.0</v>
      </c>
      <c r="D30" s="32">
        <f>IFERROR(IF(D9="","",C30*(1+'0. Supuestos'!$B$48)),"")</f>
        <v>400.0</v>
      </c>
      <c r="E30" s="68">
        <f>IFERROR(B30/$B$9,"")</f>
        <v>0.0025329280648429585</v>
      </c>
      <c r="F30" s="28" t="inlineStr">
        <is>
          <t>Revisión de reguladores, flexibles y quemadores por una empresa instaladora de gas y mantenimiento anual de los extintores por una empresa mantenedora. Estimación del kit</t>
        </is>
      </c>
      <c r="G30" s="68">
        <f>IFERROR(IF(B9="","",'0. Supuestos'!$B$41),"")</f>
        <v>0.21</v>
      </c>
      <c r="H30" s="28" t="n"/>
    </row>
    <row r="31">
      <c r="A31" s="28" t="inlineStr">
        <is>
          <t>Uniformes y lavandería</t>
        </is>
      </c>
      <c r="B31" s="29" t="n">
        <v>400</v>
      </c>
      <c r="C31" s="32">
        <f>IFERROR(IF(C9="","",B31*(1+'0. Supuestos'!$B$48)),"")</f>
        <v>400.0</v>
      </c>
      <c r="D31" s="32">
        <f>IFERROR(IF(D9="","",C31*(1+'0. Supuestos'!$B$48)),"")</f>
        <v>400.0</v>
      </c>
      <c r="E31" s="68">
        <f>IFERROR(B31/$B$9,"")</f>
        <v>0.0025329280648429585</v>
      </c>
      <c r="F31" s="28" t="inlineStr">
        <is>
          <t>Chaquetas, delantales y paños: lavado y reposición</t>
        </is>
      </c>
      <c r="G31" s="68">
        <f>IFERROR(IF(B9="","",'0. Supuestos'!$B$41),"")</f>
        <v>0.21</v>
      </c>
      <c r="H31" s="28" t="n"/>
    </row>
    <row r="32">
      <c r="A32" s="28" t="inlineStr">
        <is>
          <t>Gestión de residuos (orgánico y aceite usado)</t>
        </is>
      </c>
      <c r="B32" s="29" t="n">
        <v>200</v>
      </c>
      <c r="C32" s="32">
        <f>IFERROR(IF(C9="","",B32*(1+'0. Supuestos'!$B$48)),"")</f>
        <v>200.0</v>
      </c>
      <c r="D32" s="32">
        <f>IFERROR(IF(D9="","",C32*(1+'0. Supuestos'!$B$48)),"")</f>
        <v>200.0</v>
      </c>
      <c r="E32" s="68">
        <f>IFERROR(B32/$B$9,"")</f>
        <v>0.0012664640324214793</v>
      </c>
      <c r="F32" s="28" t="inlineStr">
        <is>
          <t>Gestor autorizado del aceite usado, salvo que la cocina de apoyo lo incluya en la cuota</t>
        </is>
      </c>
      <c r="G32" s="68">
        <f>IFERROR(IF(B9="","",'0. Supuestos'!$B$41),"")</f>
        <v>0.21</v>
      </c>
      <c r="H32" s="28" t="n"/>
    </row>
    <row r="33">
      <c r="A33" s="28" t="inlineStr">
        <is>
          <t>Prevención de riesgos laborales y vigilancia de la salud</t>
        </is>
      </c>
      <c r="B33" s="29" t="n">
        <v>400</v>
      </c>
      <c r="C33" s="32">
        <f>IFERROR(IF(C9="","",B33*(1+'0. Supuestos'!$B$48)),"")</f>
        <v>400.0</v>
      </c>
      <c r="D33" s="32">
        <f>IFERROR(IF(D9="","",C33*(1+'0. Supuestos'!$B$48)),"")</f>
        <v>400.0</v>
      </c>
      <c r="E33" s="68">
        <f>IFERROR(B33/$B$9,"")</f>
        <v>0.0025329280648429585</v>
      </c>
      <c r="F33" s="28" t="inlineStr">
        <is>
          <t>Plan de prevención obligatorio (Ley 31/1995): quemaduras, gas, calor y cargas, y reconocimientos médicos de la plantilla</t>
        </is>
      </c>
      <c r="G33" s="68">
        <f>IFERROR(IF(B9="","",'0. Supuestos'!$B$41),"")</f>
        <v>0.21</v>
      </c>
      <c r="H33" s="28" t="n"/>
    </row>
    <row r="34">
      <c r="A34" s="28" t="inlineStr">
        <is>
          <t>Pruebas de arroz y degustaciones comerciales</t>
        </is>
      </c>
      <c r="B34" s="29" t="n">
        <v>600</v>
      </c>
      <c r="C34" s="32">
        <f>IFERROR(IF(C9="","",B34*(1+'0. Supuestos'!$B$48)),"")</f>
        <v>600.0</v>
      </c>
      <c r="D34" s="32">
        <f>IFERROR(IF(D9="","",C34*(1+'0. Supuestos'!$B$48)),"")</f>
        <v>600.0</v>
      </c>
      <c r="E34" s="68">
        <f>IFERROR(B34/$B$9,"")</f>
        <v>0.003799392097264438</v>
      </c>
      <c r="F34" s="28" t="inlineStr">
        <is>
          <t>Producto y horas de las pruebas para novios y de las degustaciones a empresas y comisiones de fiestas que no se cobran</t>
        </is>
      </c>
      <c r="G34" s="68">
        <f>IFERROR(IF(B9="","",'0. Supuestos'!$B$41),"")</f>
        <v>0.21</v>
      </c>
      <c r="H34" s="28" t="n"/>
    </row>
    <row r="35">
      <c r="A35" s="28" t="inlineStr">
        <is>
          <t>Permisos y autorizaciones municipales</t>
        </is>
      </c>
      <c r="B35" s="29" t="n">
        <v>200</v>
      </c>
      <c r="C35" s="32">
        <f>IFERROR(IF(C9="","",B35*(1+'0. Supuestos'!$B$48)),"")</f>
        <v>200.0</v>
      </c>
      <c r="D35" s="32">
        <f>IFERROR(IF(D9="","",C35*(1+'0. Supuestos'!$B$48)),"")</f>
        <v>200.0</v>
      </c>
      <c r="E35" s="68">
        <f>IFERROR(B35/$B$9,"")</f>
        <v>0.0012664640324214793</v>
      </c>
      <c r="F35" s="28" t="inlineStr">
        <is>
          <t>Autorizaciones de ocupación de la vía pública o de uso del fuego y tasas que no repercutes al cliente. Estimación del kit: varía mucho por municipio</t>
        </is>
      </c>
      <c r="G35" s="68">
        <f>IFERROR(IF(B9="","",'0. Supuestos'!$B$41),"")</f>
        <v>0.21</v>
      </c>
      <c r="H35" s="28" t="n"/>
    </row>
    <row r="36">
      <c r="A36" s="28" t="inlineStr">
        <is>
          <t>Amortización del inmovilizado</t>
        </is>
      </c>
      <c r="B36" s="32">
        <f>IFERROR(IF(B9="","",'Inversión Inicial'!$B$33),"")</f>
        <v>3747.0</v>
      </c>
      <c r="C36" s="32">
        <f>IFERROR(IF(C9="","",B36),"")</f>
        <v>3747.0</v>
      </c>
      <c r="D36" s="32">
        <f>IFERROR(IF(D9="","",B36),"")</f>
        <v>3747.0</v>
      </c>
      <c r="E36" s="68">
        <f>IFERROR(B36/$B$9,"")</f>
        <v>0.023727203647416414</v>
      </c>
      <c r="F36" s="28" t="inlineStr">
        <is>
          <t>Sale de las bases de amortización de la hoja de Inversión: sólo inmovilizado real. NO sube con el IPC: es una cuota sobre el coste HISTÓRICO del inmovilizado</t>
        </is>
      </c>
      <c r="G36" s="68" t="n">
        <v>0</v>
      </c>
      <c r="H36" s="28" t="n"/>
    </row>
    <row r="37">
      <c r="A37" s="28" t="inlineStr">
        <is>
          <t>Gastos financieros (intereses del préstamo)</t>
        </is>
      </c>
      <c r="B37" s="32">
        <f>IFERROR(IF(B9="","",'Financiación'!$B$44),"")</f>
        <v>3354.0</v>
      </c>
      <c r="C37" s="32">
        <f>IFERROR(IF(C9="","",'Financiación'!$B$46),"")</f>
        <v>3354.0</v>
      </c>
      <c r="D37" s="32">
        <f>IFERROR(IF(D9="","",'Financiación'!$B$48),"")</f>
        <v>2764.9217608980293</v>
      </c>
      <c r="E37" s="68">
        <f>IFERROR(B37/$B$9,"")</f>
        <v>0.021238601823708205</v>
      </c>
      <c r="F37" s="28" t="inlineStr">
        <is>
          <t>Sólo los INTERESES son gasto. La devolución del principal va en la hoja de Tesorería</t>
        </is>
      </c>
      <c r="G37" s="68" t="n">
        <v>0</v>
      </c>
      <c r="H37" s="28" t="n"/>
    </row>
    <row r="38">
      <c r="A38" s="25" t="inlineStr">
        <is>
          <t>TOTAL COSTES FIJOS</t>
        </is>
      </c>
      <c r="B38" s="26">
        <f>IFERROR(IF(B9="","",SUM(B22:B37)),"")</f>
        <v>85447.58</v>
      </c>
      <c r="C38" s="26">
        <f>IFERROR(IF(C9="","",SUM(C22:C37)),"")</f>
        <v>91447.58</v>
      </c>
      <c r="D38" s="26">
        <f>IFERROR(IF(D9="","",SUM(D22:D37)),"")</f>
        <v>96858.50176089803</v>
      </c>
      <c r="E38" s="67">
        <f>IFERROR(B38/$B$9,"")</f>
        <v>0.5410814336372847</v>
      </c>
      <c r="F38" s="28" t="n"/>
      <c r="G38" s="28" t="n"/>
      <c r="H38" s="28" t="n"/>
    </row>
    <row r="39">
      <c r="A39" s="28" t="inlineStr">
        <is>
          <t>IVA soportado de los costes variables</t>
        </is>
      </c>
      <c r="B39" s="32">
        <f>IFERROR(IF(B9="","",SUMPRODUCT(B13:B18,G13:G18)),"")</f>
        <v>7308.5376</v>
      </c>
      <c r="C39" s="32">
        <f>IFERROR(IF(C9="","",SUMPRODUCT(C13:C18,G13:G18)),"")</f>
        <v>8039.39136</v>
      </c>
      <c r="D39" s="32">
        <f>IFERROR(IF(D9="","",SUMPRODUCT(D13:D18,G13:G18)),"")</f>
        <v>8521.754841600003</v>
      </c>
      <c r="E39" s="28" t="n"/>
      <c r="F39" s="28" t="inlineStr">
        <is>
          <t>Cada línea a SU tipo, leído de la columna de al lado. Es lo que la hoja de Tesorería paga de más a los proveedores y luego se deduce</t>
        </is>
      </c>
      <c r="G39" s="28" t="n"/>
      <c r="H39" s="28" t="n"/>
    </row>
    <row r="40">
      <c r="A40" s="28" t="inlineStr">
        <is>
          <t>IVA soportado de los costes fijos</t>
        </is>
      </c>
      <c r="B40" s="32">
        <f>IFERROR(IF(B9="","",SUMPRODUCT(B22:B37,G22:G37)),"")</f>
        <v>4515.0</v>
      </c>
      <c r="C40" s="32">
        <f>IFERROR(IF(C9="","",SUMPRODUCT(C22:C37,G22:G37)),"")</f>
        <v>4515.0</v>
      </c>
      <c r="D40" s="32">
        <f>IFERROR(IF(D9="","",SUMPRODUCT(D22:D37,G22:G37)),"")</f>
        <v>4515.0</v>
      </c>
      <c r="E40" s="28" t="n"/>
      <c r="F40" s="28" t="n"/>
      <c r="G40" s="28" t="n"/>
      <c r="H40" s="28" t="n"/>
    </row>
    <row r="41">
      <c r="A41" s="25" t="inlineStr">
        <is>
          <t>RESULTADO ANTES DE IMPUESTOS</t>
        </is>
      </c>
      <c r="B41" s="26">
        <f>IFERROR(IF(B9="","",B20-B38),"")</f>
        <v>14578.94799999999</v>
      </c>
      <c r="C41" s="26">
        <f>IFERROR(IF(C9="","",C20-C38),"")</f>
        <v>18581.6008</v>
      </c>
      <c r="D41" s="26">
        <f>IFERROR(IF(D9="","",D20-D38),"")</f>
        <v>19772.429887101986</v>
      </c>
      <c r="E41" s="67">
        <f>IFERROR(B41/$B$9,"")</f>
        <v>0.09231856636271524</v>
      </c>
      <c r="F41" s="28" t="n"/>
      <c r="G41" s="28" t="n"/>
      <c r="H41" s="28" t="n"/>
    </row>
    <row r="42">
      <c r="A42" s="28" t="inlineStr">
        <is>
          <t>Bases negativas pendientes al inicio</t>
        </is>
      </c>
      <c r="B42" s="32">
        <f>IFERROR(IF(B9="","",'0. Supuestos'!$B$42),"")</f>
        <v>0.0</v>
      </c>
      <c r="C42" s="32">
        <f>IFERROR(IF(C9="","",B47),"")</f>
        <v>0.0</v>
      </c>
      <c r="D42" s="32">
        <f>IFERROR(IF(D9="","",C47),"")</f>
        <v>0.0</v>
      </c>
      <c r="E42" s="28" t="n"/>
      <c r="F42" s="28" t="inlineStr">
        <is>
          <t>Art. 26 LIS: las pérdidas de un ejercicio se compensan con los beneficios de los siguientes</t>
        </is>
      </c>
      <c r="G42" s="28" t="n"/>
      <c r="H42" s="28" t="n"/>
    </row>
    <row r="43">
      <c r="A43" s="28" t="inlineStr">
        <is>
          <t>Base imponible (después de compensar)</t>
        </is>
      </c>
      <c r="B43" s="32">
        <f>IFERROR(IF(B9="","",MAX(0,B41-B42)),"")</f>
        <v>14578.94799999999</v>
      </c>
      <c r="C43" s="32">
        <f>IFERROR(IF(C9="","",MAX(0,C41-C42)),"")</f>
        <v>18581.6008</v>
      </c>
      <c r="D43" s="32">
        <f>IFERROR(IF(D9="","",MAX(0,D41-D42)),"")</f>
        <v>19772.429887101986</v>
      </c>
      <c r="E43" s="28" t="n"/>
      <c r="F43" s="28" t="n"/>
      <c r="G43" s="28" t="n"/>
      <c r="H43" s="28" t="n"/>
    </row>
    <row r="44">
      <c r="A44" s="28" t="inlineStr">
        <is>
          <t>Ejercicios con base positiva (acumulado)</t>
        </is>
      </c>
      <c r="B44" s="40">
        <f>IFERROR(IF(B9="","",IF(B43&gt;0,1,0)),"")</f>
        <v>1.0</v>
      </c>
      <c r="C44" s="40">
        <f>IFERROR(IF(C9="","",B44+IF(C43&gt;0,1,0)),"")</f>
        <v>2.0</v>
      </c>
      <c r="D44" s="40">
        <f>IFERROR(IF(D9="","",C44+IF(D43&gt;0,1,0)),"")</f>
        <v>3.0</v>
      </c>
      <c r="E44" s="28" t="n"/>
      <c r="F44" s="28" t="n"/>
      <c r="G44" s="28" t="n"/>
      <c r="H44" s="28" t="n"/>
    </row>
    <row r="45">
      <c r="A45" s="28" t="inlineStr">
        <is>
          <t>Tipo de Impuesto de Sociedades aplicado</t>
        </is>
      </c>
      <c r="B45" s="68">
        <f>IFERROR(IF(B9="","",IF(B43&lt;=0,"",IF(B44&lt;=2,'0. Supuestos'!$B$37,'0. Supuestos'!$B$38))),"")</f>
        <v>0.15</v>
      </c>
      <c r="C45" s="68">
        <f>IFERROR(IF(C9="","",IF(C43&lt;=0,"",IF(C44&lt;=2,'0. Supuestos'!$B$37,'0. Supuestos'!$B$38))),"")</f>
        <v>0.15</v>
      </c>
      <c r="D45" s="68">
        <f>IFERROR(IF(D9="","",IF(D43&lt;=0,"",IF(D44&lt;=2,'0. Supuestos'!$B$37,'0. Supuestos'!$B$38))),"")</f>
        <v>0.25</v>
      </c>
      <c r="E45" s="28" t="n"/>
      <c r="F45" s="28" t="inlineStr">
        <is>
          <t>Art. 29.1 LIS: el 15 % de entidad de nueva creación se aplica al PRIMER ejercicio con base positiva y al SIGUIENTE, no al primer año de vida. El libro lo aproxima contando los dos primeros ejercicios con base positiva</t>
        </is>
      </c>
      <c r="G45" s="28" t="n"/>
      <c r="H45" s="28" t="n"/>
    </row>
    <row r="46">
      <c r="A46" s="28" t="inlineStr">
        <is>
          <t>Impuesto de Sociedades</t>
        </is>
      </c>
      <c r="B46" s="32">
        <f>IFERROR(IF(B9="","",IF(B45="",0,B43*B45)),"")</f>
        <v>2186.8421999999982</v>
      </c>
      <c r="C46" s="32">
        <f>IFERROR(IF(C9="","",IF(C45="",0,C43*C45)),"")</f>
        <v>2787.24012</v>
      </c>
      <c r="D46" s="32">
        <f>IFERROR(IF(D9="","",IF(D45="",0,D43*D45)),"")</f>
        <v>4943.107471775496</v>
      </c>
      <c r="E46" s="28" t="n"/>
      <c r="F46" s="28" t="n"/>
      <c r="G46" s="28" t="n"/>
      <c r="H46" s="28" t="n"/>
    </row>
    <row r="47">
      <c r="A47" s="28" t="inlineStr">
        <is>
          <t>Bases negativas pendientes al cierre</t>
        </is>
      </c>
      <c r="B47" s="32">
        <f>IFERROR(IF(B9="","",MAX(0,B42-B41)),"")</f>
        <v>0.0</v>
      </c>
      <c r="C47" s="32">
        <f>IFERROR(IF(C9="","",MAX(0,C42-C41)),"")</f>
        <v>0.0</v>
      </c>
      <c r="D47" s="32">
        <f>IFERROR(IF(D9="","",MAX(0,D42-D41)),"")</f>
        <v>0.0</v>
      </c>
      <c r="E47" s="28" t="n"/>
      <c r="F47" s="28" t="n"/>
      <c r="G47" s="28" t="n"/>
      <c r="H47" s="28" t="n"/>
    </row>
    <row r="48">
      <c r="A48" s="25" t="inlineStr">
        <is>
          <t>RESULTADO NETO</t>
        </is>
      </c>
      <c r="B48" s="26">
        <f>IFERROR(IF(B9="","",B41-B46),"")</f>
        <v>12392.10579999999</v>
      </c>
      <c r="C48" s="26">
        <f>IFERROR(IF(C9="","",C41-C46),"")</f>
        <v>15794.36068</v>
      </c>
      <c r="D48" s="26">
        <f>IFERROR(IF(D9="","",D41-D46),"")</f>
        <v>14829.32241532649</v>
      </c>
      <c r="E48" s="67">
        <f>IFERROR(B48/$B$9,"")</f>
        <v>0.07847078140830795</v>
      </c>
      <c r="F48" s="28" t="n"/>
      <c r="G48" s="28" t="n"/>
      <c r="H48" s="28" t="n"/>
    </row>
    <row r="49">
      <c r="A49" s="25" t="inlineStr">
        <is>
          <t>RATIOS CLAVE</t>
        </is>
      </c>
      <c r="B49" s="28" t="n"/>
      <c r="C49" s="28" t="n"/>
      <c r="D49" s="28" t="n"/>
      <c r="E49" s="28" t="n"/>
      <c r="F49" s="28" t="n"/>
      <c r="G49" s="28" t="n"/>
      <c r="H49" s="28" t="n"/>
    </row>
    <row r="50">
      <c r="A50" s="25" t="inlineStr">
        <is>
          <t>Ratio</t>
        </is>
      </c>
      <c r="B50" s="25" t="inlineStr">
        <is>
          <t>Año 1</t>
        </is>
      </c>
      <c r="C50" s="25" t="inlineStr">
        <is>
          <t>Año 2</t>
        </is>
      </c>
      <c r="D50" s="25" t="inlineStr">
        <is>
          <t>Año 3</t>
        </is>
      </c>
      <c r="E50" s="25" t="inlineStr">
        <is>
          <t>Umbral</t>
        </is>
      </c>
      <c r="F50" s="25" t="inlineStr">
        <is>
          <t>Comentario</t>
        </is>
      </c>
      <c r="G50" s="28" t="n"/>
      <c r="H50" s="28" t="n"/>
    </row>
    <row r="51">
      <c r="A51" s="28" t="inlineStr">
        <is>
          <t>Margen bruto / Ventas</t>
        </is>
      </c>
      <c r="B51" s="68">
        <f>IFERROR(IF(B9="","",B20/B9),"")</f>
        <v>0.6334</v>
      </c>
      <c r="C51" s="68">
        <f>IFERROR(IF(C9="","",C20/C9),"")</f>
        <v>0.6334</v>
      </c>
      <c r="D51" s="68">
        <f>IFERROR(IF(D9="","",D20/D9),"")</f>
        <v>0.6334</v>
      </c>
      <c r="E51" s="75" t="n">
        <v>0.6</v>
      </c>
      <c r="F51" s="28" t="inlineStr">
        <is>
          <t>Los costes variables de la paella incluyen gas, desechables, combustible y cánones de fincas además de la mercancía: un margen bruto por debajo del 60 % no paga la plantilla</t>
        </is>
      </c>
      <c r="G51" s="28" t="n"/>
      <c r="H51" s="28" t="n"/>
    </row>
    <row r="52">
      <c r="A52" s="28" t="inlineStr">
        <is>
          <t>Coste de mercancía (comida + bebida)</t>
        </is>
      </c>
      <c r="B52" s="32">
        <f>IFERROR(IF(B9="","",B13+B14),"")</f>
        <v>44470.272</v>
      </c>
      <c r="C52" s="32">
        <f>IFERROR(IF(C9="","",C13+C14),"")</f>
        <v>48917.2992</v>
      </c>
      <c r="D52" s="32">
        <f>IFERROR(IF(D9="","",D13+D14),"")</f>
        <v>51852.337152000015</v>
      </c>
      <c r="E52" s="28" t="n"/>
      <c r="F52" s="28" t="n"/>
      <c r="G52" s="28" t="n"/>
      <c r="H52" s="28" t="n"/>
    </row>
    <row r="53">
      <c r="A53" s="28" t="inlineStr">
        <is>
          <t>Coste de mercancía / Ventas</t>
        </is>
      </c>
      <c r="B53" s="68">
        <f>IFERROR(IF(B9="","",B52/B9),"")</f>
        <v>0.28159999999999996</v>
      </c>
      <c r="C53" s="68">
        <f>IFERROR(IF(C9="","",C52/C9),"")</f>
        <v>0.2816</v>
      </c>
      <c r="D53" s="68">
        <f>IFERROR(IF(D9="","",D52/D9),"")</f>
        <v>0.2816</v>
      </c>
      <c r="E53" s="75" t="n">
        <v>0.32</v>
      </c>
      <c r="F53" s="28" t="inlineStr">
        <is>
          <t>Techo de la mercancía (comida y bebida) sobre ventas: estimación del kit</t>
        </is>
      </c>
      <c r="G53" s="28" t="n"/>
      <c r="H53" s="28" t="n"/>
    </row>
    <row r="54">
      <c r="A54" s="28" t="inlineStr">
        <is>
          <t>Coste de personal / Ventas</t>
        </is>
      </c>
      <c r="B54" s="68">
        <f>IFERROR(IF(B9="","",B23/B9),"")</f>
        <v>0.34888918439716315</v>
      </c>
      <c r="C54" s="68">
        <f>IFERROR(IF(C9="","",C23/C9),"")</f>
        <v>0.3517119139725523</v>
      </c>
      <c r="D54" s="68">
        <f>IFERROR(IF(D9="","",D23/D9),"")</f>
        <v>0.3643885303108506</v>
      </c>
      <c r="E54" s="75" t="n">
        <v>0.38</v>
      </c>
      <c r="F54" s="28" t="inlineStr">
        <is>
          <t>Techo del personal sobre ventas: montaje, cocción, servicio y recogida en cada evento. Estimación del kit</t>
        </is>
      </c>
      <c r="G54" s="28" t="n"/>
      <c r="H54" s="28" t="n"/>
    </row>
    <row r="55">
      <c r="A55" s="28" t="inlineStr">
        <is>
          <t>Cocina de apoyo / Ventas</t>
        </is>
      </c>
      <c r="B55" s="68">
        <f>IFERROR(IF(B9="","",B22/B9),"")</f>
        <v>0.06838905775075987</v>
      </c>
      <c r="C55" s="68">
        <f>IFERROR(IF(C9="","",C22/C9),"")</f>
        <v>0.06217187068250898</v>
      </c>
      <c r="D55" s="68">
        <f>IFERROR(IF(D9="","",D22/D9),"")</f>
        <v>0.0586527081910462</v>
      </c>
      <c r="E55" s="75" t="n">
        <v>0.08</v>
      </c>
      <c r="F55" s="28" t="inlineStr">
        <is>
          <t>Techo de la cuota de la cocina de apoyo sobre las ventas: estimación del kit</t>
        </is>
      </c>
      <c r="G55" s="28" t="n"/>
      <c r="H55" s="28" t="n"/>
    </row>
    <row r="56">
      <c r="A56" s="28" t="inlineStr">
        <is>
          <t>Resultado neto / Ventas</t>
        </is>
      </c>
      <c r="B56" s="68">
        <f>IFERROR(IF(B9="","",B48/B9),"")</f>
        <v>0.07847078140830795</v>
      </c>
      <c r="C56" s="68">
        <f>IFERROR(IF(C9="","",C48/C9),"")</f>
        <v>0.09092268052869117</v>
      </c>
      <c r="D56" s="68">
        <f>IFERROR(IF(D9="","",D48/D9),"")</f>
        <v>0.08053517780528564</v>
      </c>
      <c r="E56" s="75" t="n">
        <v>0.04</v>
      </c>
      <c r="F56" s="28" t="inlineStr">
        <is>
          <t>Suelo de resultado neto para que el plan se sostenga: estimación del kit</t>
        </is>
      </c>
      <c r="G56" s="28" t="n"/>
      <c r="H56" s="28" t="n"/>
    </row>
    <row r="57">
      <c r="A57" s="28" t="inlineStr">
        <is>
          <t>Punto de equilibrio alcanzado</t>
        </is>
      </c>
      <c r="B57" s="28" t="str">
        <f>IFERROR(IF(B9="","",IF(B9&gt;='Punto Equilibrio'!$B$16,"Sí","No")),"")</f>
        <v>Sí</v>
      </c>
      <c r="C57" s="28" t="str">
        <f>IFERROR(IF(C9="","",IF(C9&gt;='Punto Equilibrio'!$C$16,"Sí","No")),"")</f>
        <v>Sí</v>
      </c>
      <c r="D57" s="28" t="str">
        <f>IFERROR(IF(D9="","",IF(D9&gt;='Punto Equilibrio'!$D$16,"Sí","No")),"")</f>
        <v>Sí</v>
      </c>
      <c r="E57" s="28" t="n"/>
      <c r="F57" s="28" t="inlineStr">
        <is>
          <t>Compara las ventas de CADA año con el umbral de ese mismo año, que calcula la hoja de Punto de Equilibrio con los costes fijos del año</t>
        </is>
      </c>
      <c r="G57" s="28" t="n"/>
      <c r="H57" s="28" t="n"/>
    </row>
    <row r="58">
      <c r="A58" s="28" t="n"/>
      <c r="B58" s="28" t="n"/>
      <c r="C58" s="28" t="n"/>
      <c r="D58" s="28" t="n"/>
      <c r="E58" s="28" t="n"/>
      <c r="F58" s="28" t="n"/>
      <c r="G58" s="28" t="n"/>
      <c r="H58" s="28" t="n"/>
    </row>
    <row r="59" ht="165" customHeight="1">
      <c r="A59" s="46" t="inlineStr">
        <is>
          <t>Todas las cifras van SIN IVA. Las columnas de los años 2 y 3 están en euros del año 1 salvo que subas la actualización de costes en la hoja de Supuestos. La columna «Tipo de IVA de la línea» dice, en las líneas de VENTA, a qué tipo se repercute cada una, y en las de COSTE a qué tipo se compra la partida. La lee la hoja de Tesorería: los seguros y las comisiones de los medios de pago están exentos, y las nóminas, la amortización y los intereses no llevan IVA.</t>
        </is>
      </c>
      <c r="B59" s="28" t="n"/>
      <c r="C59" s="28" t="n"/>
      <c r="D59" s="28" t="n"/>
      <c r="E59" s="28" t="n"/>
      <c r="F59" s="28" t="n"/>
      <c r="G59" s="28" t="n"/>
      <c r="H59" s="28" t="n"/>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B51:D51">
    <cfRule type="expression" priority="1" dxfId="1" stopIfTrue="1">
      <formula>AND(ISNUMBER(B51),B51&lt;$E$51)</formula>
    </cfRule>
    <cfRule type="expression" priority="2" dxfId="0" stopIfTrue="1">
      <formula>AND(ISNUMBER(B51),B51&gt;=$E$51)</formula>
    </cfRule>
  </conditionalFormatting>
  <conditionalFormatting sqref="B53:D53">
    <cfRule type="expression" priority="3" dxfId="1" stopIfTrue="1">
      <formula>AND(ISNUMBER(B53),B53&gt;$E$53)</formula>
    </cfRule>
    <cfRule type="expression" priority="4" dxfId="0" stopIfTrue="1">
      <formula>AND(ISNUMBER(B53),B53&lt;=$E$53)</formula>
    </cfRule>
  </conditionalFormatting>
  <conditionalFormatting sqref="B54:D54">
    <cfRule type="expression" priority="5" dxfId="1" stopIfTrue="1">
      <formula>AND(ISNUMBER(B54),B54&gt;$E$54)</formula>
    </cfRule>
    <cfRule type="expression" priority="6" dxfId="0" stopIfTrue="1">
      <formula>AND(ISNUMBER(B54),B54&lt;=$E$54)</formula>
    </cfRule>
  </conditionalFormatting>
  <conditionalFormatting sqref="B55:D55">
    <cfRule type="expression" priority="7" dxfId="1" stopIfTrue="1">
      <formula>AND(ISNUMBER(B55),B55&gt;$E$55)</formula>
    </cfRule>
    <cfRule type="expression" priority="8" dxfId="0" stopIfTrue="1">
      <formula>AND(ISNUMBER(B55),B55&lt;=$E$55)</formula>
    </cfRule>
  </conditionalFormatting>
  <conditionalFormatting sqref="B56:D56">
    <cfRule type="expression" priority="9" dxfId="1" stopIfTrue="1">
      <formula>AND(ISNUMBER(B56),B56&lt;$E$56)</formula>
    </cfRule>
    <cfRule type="expression" priority="10" dxfId="0" stopIfTrue="1">
      <formula>AND(ISNUMBER(B56),B56&gt;=$E$56)</formula>
    </cfRule>
  </conditionalFormatting>
  <conditionalFormatting sqref="B57:D57">
    <cfRule type="containsText" priority="11" operator="containsText" dxfId="0" stopIfTrue="1" text="Sí">
      <formula>NOT(ISERROR(SEARCH("Sí",B57)))</formula>
    </cfRule>
    <cfRule type="containsText" priority="12" operator="containsText" dxfId="1" stopIfTrue="1" text="No">
      <formula>NOT(ISERROR(SEARCH("No",B57)))</formula>
    </cfRule>
  </conditionalFormatting>
  <conditionalFormatting sqref="B41:E41">
    <cfRule type="expression" priority="13" dxfId="1" stopIfTrue="1">
      <formula>AND(ISNUMBER(B41),B41&lt;0)</formula>
    </cfRule>
    <cfRule type="expression" priority="14" dxfId="0" stopIfTrue="1">
      <formula>AND(ISNUMBER(B41),B41&gt;0)</formula>
    </cfRule>
  </conditionalFormatting>
  <conditionalFormatting sqref="B48:E48">
    <cfRule type="expression" priority="15" dxfId="1" stopIfTrue="1">
      <formula>AND(ISNUMBER(B48),B48&lt;0)</formula>
    </cfRule>
    <cfRule type="expression" priority="16" dxfId="0" stopIfTrue="1">
      <formula>AND(ISNUMBER(B48),B48&gt;0)</formula>
    </cfRule>
  </conditionalFormatting>
  <conditionalFormatting sqref="B56:E56">
    <cfRule type="expression" priority="17" dxfId="1" stopIfTrue="1">
      <formula>AND(ISNUMBER(B56),B56&lt;0)</formula>
    </cfRule>
    <cfRule type="expression" priority="18" dxfId="0" stopIfTrue="1">
      <formula>AND(ISNUMBER(B56),B56&gt;0)</formula>
    </cfRule>
  </conditionalFormatting>
  <dataValidations count="2">
    <dataValidation sqref="B26 B27 B28 B29 B30 B31 B32 B33 B34 B35" showDropDown="0" showInputMessage="0" showErrorMessage="1" allowBlank="1" errorTitle="Importe no válido" error="Escribe un número mayor o igual que 0." type="decimal" operator="greaterThanOrEqual">
      <formula1>0</formula1>
    </dataValidation>
    <dataValidation sqref="E51 E53 E54 E55 E56" showDropDown="0" showInputMessage="0" showErrorMessage="1" allowBlank="1" errorTitle="Porcentaje no válido" error="Escribe un porcentaje entre 0 y 1 (0,35 = 35 %)." type="decimal" operator="between">
      <formula1>0</formula1>
      <formula2>1</formula2>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56"/>
  <sheetViews>
    <sheetView workbookViewId="0">
      <pane ySplit="4" topLeftCell="A5" activePane="bottomLeft" state="frozen"/>
      <selection pane="bottomLeft" activeCell="A1" sqref="A1"/>
    </sheetView>
  </sheetViews>
  <sheetFormatPr baseColWidth="8" defaultRowHeight="15"/>
  <cols>
    <col width="44" customWidth="1" min="1" max="1"/>
    <col width="18" customWidth="1" min="2" max="2"/>
    <col width="40" customWidth="1" min="3" max="3"/>
    <col width="16" customWidth="1" min="4" max="4"/>
    <col width="52" customWidth="1" min="5" max="5"/>
    <col width="14" customWidth="1" min="6" max="6"/>
  </cols>
  <sheetData>
    <row r="1">
      <c r="A1" s="1" t="inlineStr">
        <is>
          <t>ANÁLISIS DE PUNTO DE EQUILIBRIO</t>
        </is>
      </c>
    </row>
    <row r="2">
      <c r="A2" s="3" t="inlineStr">
        <is>
          <t>Punto de equilibrio — paellero para eventos</t>
        </is>
      </c>
    </row>
    <row r="3"/>
    <row r="4">
      <c r="A4" s="25" t="inlineStr">
        <is>
          <t>Variable</t>
        </is>
      </c>
      <c r="B4" s="25" t="inlineStr">
        <is>
          <t>Año 1</t>
        </is>
      </c>
      <c r="C4" s="25" t="inlineStr">
        <is>
          <t>Año 2</t>
        </is>
      </c>
      <c r="D4" s="25" t="inlineStr">
        <is>
          <t>Año 3</t>
        </is>
      </c>
      <c r="E4" s="25" t="inlineStr">
        <is>
          <t>Notas</t>
        </is>
      </c>
      <c r="F4" s="28" t="n"/>
    </row>
    <row r="5">
      <c r="A5" s="25" t="inlineStr">
        <is>
          <t>DATOS BASE POR AÑO</t>
        </is>
      </c>
      <c r="B5" s="28" t="n"/>
      <c r="C5" s="28" t="n"/>
      <c r="D5" s="28" t="n"/>
      <c r="E5" s="28" t="n"/>
      <c r="F5" s="28" t="n"/>
    </row>
    <row r="6">
      <c r="A6" s="28" t="inlineStr">
        <is>
          <t>Costes fijos anuales</t>
        </is>
      </c>
      <c r="B6" s="70">
        <f>IFERROR(IF('PyG 3 Años'!$B$9="","",'PyG 3 Años'!$B$38),"")</f>
        <v>85447.58</v>
      </c>
      <c r="C6" s="70">
        <f>IFERROR(IF('PyG 3 Años'!$C$9="","",'PyG 3 Años'!$C$38),"")</f>
        <v>91447.58</v>
      </c>
      <c r="D6" s="70">
        <f>IFERROR(IF('PyG 3 Años'!$D$9="","",'PyG 3 Años'!$D$38),"")</f>
        <v>96858.50176089803</v>
      </c>
      <c r="E6" s="28" t="inlineStr">
        <is>
          <t>Los MISMOS costes fijos del P&amp;L. Cada año tiene los suyos: por eso el umbral no puede ser uno solo para los tres</t>
        </is>
      </c>
      <c r="F6" s="28" t="n"/>
    </row>
    <row r="7">
      <c r="A7" s="28" t="inlineStr">
        <is>
          <t>Costes fijos mensuales</t>
        </is>
      </c>
      <c r="B7" s="70">
        <f>IFERROR(IF('PyG 3 Años'!$B$9="","",B6/12),"")</f>
        <v>7120.631666666667</v>
      </c>
      <c r="C7" s="70">
        <f>IFERROR(IF('PyG 3 Años'!$C$9="","",C6/12),"")</f>
        <v>7620.631666666667</v>
      </c>
      <c r="D7" s="70">
        <f>IFERROR(IF('PyG 3 Años'!$D$9="","",D6/12),"")</f>
        <v>8071.541813408169</v>
      </c>
      <c r="E7" s="28" t="n"/>
      <c r="F7" s="28" t="n"/>
    </row>
    <row r="8">
      <c r="A8" s="28" t="inlineStr">
        <is>
          <t>Precio medio por invitado sin IVA</t>
        </is>
      </c>
      <c r="B8" s="70">
        <f>IFERROR(IF('PyG 3 Años'!$B$9="","",'PyG 3 Años'!$B$7),"")</f>
        <v>16.0</v>
      </c>
      <c r="C8" s="70">
        <f>IFERROR(IF('PyG 3 Años'!$C$9="","",'PyG 3 Años'!$C$7),"")</f>
        <v>16.0</v>
      </c>
      <c r="D8" s="70">
        <f>IFERROR(IF('PyG 3 Años'!$D$9="","",'PyG 3 Años'!$D$7),"")</f>
        <v>16.0</v>
      </c>
      <c r="E8" s="28" t="n"/>
      <c r="F8" s="28" t="n"/>
    </row>
    <row r="9">
      <c r="A9" s="28" t="inlineStr">
        <is>
          <t>Coste variable por invitado</t>
        </is>
      </c>
      <c r="B9" s="70">
        <f>IFERROR(IF('PyG 3 Años'!$B$9="","",'PyG 3 Años'!$B$19/('PyG 3 Años'!$B$6*'PyG 3 Años'!$B$8)),"")</f>
        <v>5.865600000000001</v>
      </c>
      <c r="C9" s="70">
        <f>IFERROR(IF('PyG 3 Años'!$C$9="","",'PyG 3 Años'!$C$19/('PyG 3 Años'!$C$6*'PyG 3 Años'!$C$8)),"")</f>
        <v>5.865600000000001</v>
      </c>
      <c r="D9" s="70">
        <f>IFERROR(IF('PyG 3 Años'!$D$9="","",'PyG 3 Años'!$D$19/('PyG 3 Años'!$D$6*'PyG 3 Años'!$D$8)),"")</f>
        <v>5.865600000000001</v>
      </c>
      <c r="E9" s="28" t="inlineStr">
        <is>
          <t>Sale del total de costes variables del P&amp;L, no de una estimación aparte. Incluye los varios e imprevistos, que son un porcentaje de las ventas</t>
        </is>
      </c>
      <c r="F9" s="28" t="n"/>
    </row>
    <row r="10">
      <c r="A10" s="28" t="inlineStr">
        <is>
          <t>Margen de contribución por invitado</t>
        </is>
      </c>
      <c r="B10" s="70">
        <f>IFERROR(IF('PyG 3 Años'!$B$9="","",B8-B9),"")</f>
        <v>10.1344</v>
      </c>
      <c r="C10" s="70">
        <f>IFERROR(IF('PyG 3 Años'!$C$9="","",C8-C9),"")</f>
        <v>10.1344</v>
      </c>
      <c r="D10" s="70">
        <f>IFERROR(IF('PyG 3 Años'!$D$9="","",D8-D9),"")</f>
        <v>10.1344</v>
      </c>
      <c r="E10" s="28" t="inlineStr">
        <is>
          <t>Precio por invitado menos coste variable unitario</t>
        </is>
      </c>
      <c r="F10" s="28" t="n"/>
    </row>
    <row r="11">
      <c r="A11" s="28" t="inlineStr">
        <is>
          <t>Eventos al año</t>
        </is>
      </c>
      <c r="B11" s="40">
        <f>IFERROR(IF('PyG 3 Años'!$B$9="","",'PyG 3 Años'!$B$8),"")</f>
        <v>105.0</v>
      </c>
      <c r="C11" s="40">
        <f>IFERROR(IF('PyG 3 Años'!$C$9="","",'PyG 3 Años'!$C$8),"")</f>
        <v>105.0</v>
      </c>
      <c r="D11" s="40">
        <f>IFERROR(IF('PyG 3 Años'!$D$9="","",'PyG 3 Años'!$D$8),"")</f>
        <v>105.0</v>
      </c>
      <c r="E11" s="28" t="inlineStr">
        <is>
          <t>El mismo calendario que el P&amp;L y que los escenarios</t>
        </is>
      </c>
      <c r="F11" s="28" t="n"/>
    </row>
    <row r="12">
      <c r="A12" s="28" t="inlineStr">
        <is>
          <t>Devolución de principal del año (cuota)</t>
        </is>
      </c>
      <c r="B12" s="70">
        <f>IFERROR(IF('PyG 3 Años'!$B$9="","",'Financiación'!$B$45),"")</f>
        <v>0.0</v>
      </c>
      <c r="C12" s="70">
        <f>IFERROR(IF('PyG 3 Años'!$C$9="","",'Financiación'!$B$47),"")</f>
        <v>9062.742140030323</v>
      </c>
      <c r="D12" s="70">
        <f>IFERROR(IF('PyG 3 Años'!$D$9="","",'Financiación'!$B$49),"")</f>
        <v>9651.820379132294</v>
      </c>
      <c r="E12" s="28" t="inlineStr">
        <is>
          <t>El principal NO es gasto del P&amp;L, pero sale de la caja. Sin él, el umbral de equilibrio se publica por debajo del real</t>
        </is>
      </c>
      <c r="F12" s="28" t="n"/>
    </row>
    <row r="13">
      <c r="A13" s="25" t="inlineStr">
        <is>
          <t>PUNTO DE EQUILIBRIO CONTABLE (incluye amortización)</t>
        </is>
      </c>
      <c r="B13" s="28" t="n"/>
      <c r="C13" s="28" t="n"/>
      <c r="D13" s="28" t="n"/>
      <c r="E13" s="28" t="n"/>
      <c r="F13" s="28" t="n"/>
    </row>
    <row r="14">
      <c r="A14" s="28" t="inlineStr">
        <is>
          <t>Invitados necesarios al año</t>
        </is>
      </c>
      <c r="B14" s="40">
        <f>IFERROR(IF('PyG 3 Años'!$B$9="","",IF(B10&lt;=0,"",B6/B10)),"")</f>
        <v>8431.439453741712</v>
      </c>
      <c r="C14" s="40">
        <f>IFERROR(IF('PyG 3 Años'!$C$9="","",IF(C10&lt;=0,"",C6/C10)),"")</f>
        <v>9023.482396589834</v>
      </c>
      <c r="D14" s="40">
        <f>IFERROR(IF('PyG 3 Años'!$D$9="","",IF(D10&lt;=0,"",D6/D10)),"")</f>
        <v>9557.398737063668</v>
      </c>
      <c r="E14" s="28" t="n"/>
      <c r="F14" s="28" t="n"/>
    </row>
    <row r="15">
      <c r="A15" s="28" t="inlineStr">
        <is>
          <t>Invitados necesarios por evento</t>
        </is>
      </c>
      <c r="B15" s="44">
        <f>IFERROR(IF('PyG 3 Años'!$B$9="","",B14/B11),"")</f>
        <v>80.29942336896869</v>
      </c>
      <c r="C15" s="44">
        <f>IFERROR(IF('PyG 3 Años'!$C$9="","",C14/C11),"")</f>
        <v>85.93792758656984</v>
      </c>
      <c r="D15" s="44">
        <f>IFERROR(IF('PyG 3 Años'!$D$9="","",D14/D11),"")</f>
        <v>91.02284511489208</v>
      </c>
      <c r="E15" s="28" t="n"/>
      <c r="F15" s="28" t="n"/>
    </row>
    <row r="16">
      <c r="A16" s="25" t="inlineStr">
        <is>
          <t>Ingresos necesarios al año</t>
        </is>
      </c>
      <c r="B16" s="26">
        <f>IFERROR(IF('PyG 3 Años'!$B$9="","",B14*B8),"")</f>
        <v>134903.0312598674</v>
      </c>
      <c r="C16" s="26">
        <f>IFERROR(IF('PyG 3 Años'!$C$9="","",C14*C8),"")</f>
        <v>144375.71834543734</v>
      </c>
      <c r="D16" s="26">
        <f>IFERROR(IF('PyG 3 Años'!$D$9="","",D14*D8),"")</f>
        <v>152918.37979301868</v>
      </c>
      <c r="E16" s="28" t="n"/>
      <c r="F16" s="28" t="n"/>
    </row>
    <row r="17">
      <c r="A17" s="25" t="inlineStr">
        <is>
          <t>PUNTO DE EQUILIBRIO DE CAJA (incluye la cuota del préstamo)</t>
        </is>
      </c>
      <c r="B17" s="28" t="n"/>
      <c r="C17" s="28" t="n"/>
      <c r="D17" s="28" t="n"/>
      <c r="E17" s="28" t="n"/>
      <c r="F17" s="28" t="n"/>
    </row>
    <row r="18">
      <c r="A18" s="28" t="inlineStr">
        <is>
          <t>Costes fijos de caja + principal del año</t>
        </is>
      </c>
      <c r="B18" s="70">
        <f>IFERROR(IF('PyG 3 Años'!$B$9="","",B6-'PyG 3 Años'!$B$36+B12),"")</f>
        <v>81700.58</v>
      </c>
      <c r="C18" s="70">
        <f>IFERROR(IF('PyG 3 Años'!$C$9="","",C6-'PyG 3 Años'!$C$36+C12),"")</f>
        <v>96763.32214003033</v>
      </c>
      <c r="D18" s="70">
        <f>IFERROR(IF('PyG 3 Años'!$D$9="","",D6-'PyG 3 Años'!$D$36+D12),"")</f>
        <v>102763.32214003032</v>
      </c>
      <c r="E18" s="28" t="inlineStr">
        <is>
          <t>Los fijos del P&amp;L sin la amortización (que no se paga) y CON la devolución de principal (que sí). Es el umbral que decide si la caja aguanta</t>
        </is>
      </c>
      <c r="F18" s="28" t="n"/>
    </row>
    <row r="19">
      <c r="A19" s="28" t="inlineStr">
        <is>
          <t>Invitados necesarios al año (caja)</t>
        </is>
      </c>
      <c r="B19" s="40">
        <f>IFERROR(IF('PyG 3 Años'!$B$9="","",IF(B10&lt;=0,"",B18/B10)),"")</f>
        <v>8061.708635933061</v>
      </c>
      <c r="C19" s="40">
        <f>IFERROR(IF('PyG 3 Años'!$C$9="","",IF(C10&lt;=0,"",C18/C10)),"")</f>
        <v>9548.006999924055</v>
      </c>
      <c r="D19" s="40">
        <f>IFERROR(IF('PyG 3 Años'!$D$9="","",IF(D10&lt;=0,"",D18/D10)),"")</f>
        <v>10140.049942772173</v>
      </c>
      <c r="E19" s="28" t="n"/>
      <c r="F19" s="28" t="n"/>
    </row>
    <row r="20">
      <c r="A20" s="25" t="inlineStr">
        <is>
          <t>Invitados necesarios por evento (caja)</t>
        </is>
      </c>
      <c r="B20" s="45">
        <f>IFERROR(IF('PyG 3 Años'!$B$9="","",B19/B11),"")</f>
        <v>76.77817748507677</v>
      </c>
      <c r="C20" s="45">
        <f>IFERROR(IF('PyG 3 Años'!$C$9="","",C19/C11),"")</f>
        <v>90.93339999927672</v>
      </c>
      <c r="D20" s="45">
        <f>IFERROR(IF('PyG 3 Años'!$D$9="","",D19/D11),"")</f>
        <v>96.57190421687784</v>
      </c>
      <c r="E20" s="28" t="n"/>
      <c r="F20" s="28" t="n"/>
    </row>
    <row r="21">
      <c r="A21" s="28" t="inlineStr">
        <is>
          <t>Ingresos necesarios al año (caja)</t>
        </is>
      </c>
      <c r="B21" s="32">
        <f>IFERROR(IF('PyG 3 Años'!$B$9="","",B19*B8),"")</f>
        <v>128987.33817492897</v>
      </c>
      <c r="C21" s="32">
        <f>IFERROR(IF('PyG 3 Años'!$C$9="","",C19*C8),"")</f>
        <v>152768.11199878488</v>
      </c>
      <c r="D21" s="32">
        <f>IFERROR(IF('PyG 3 Años'!$D$9="","",D19*D8),"")</f>
        <v>162240.79908435477</v>
      </c>
      <c r="E21" s="28" t="n"/>
      <c r="F21" s="28" t="n"/>
    </row>
    <row r="22">
      <c r="A22" s="25" t="inlineStr">
        <is>
          <t>CONTRASTE CON EL PLAN</t>
        </is>
      </c>
      <c r="B22" s="28" t="n"/>
      <c r="C22" s="28" t="n"/>
      <c r="D22" s="28" t="n"/>
      <c r="E22" s="28" t="n"/>
      <c r="F22" s="28" t="n"/>
    </row>
    <row r="23">
      <c r="A23" s="28" t="inlineStr">
        <is>
          <t>Invitados por evento previstos en el plan</t>
        </is>
      </c>
      <c r="B23" s="40">
        <f>IFERROR(IF('PyG 3 Años'!$B$9="","",'PyG 3 Años'!$B$6),"")</f>
        <v>94.0</v>
      </c>
      <c r="C23" s="40">
        <f>IFERROR(IF('PyG 3 Años'!$C$9="","",'PyG 3 Años'!$C$6),"")</f>
        <v>103.4</v>
      </c>
      <c r="D23" s="40">
        <f>IFERROR(IF('PyG 3 Años'!$D$9="","",'PyG 3 Años'!$D$6),"")</f>
        <v>109.60400000000001</v>
      </c>
      <c r="E23" s="28" t="n"/>
      <c r="F23" s="28" t="n"/>
    </row>
    <row r="24">
      <c r="A24" s="28" t="inlineStr">
        <is>
          <t>Holgura sobre el equilibrio de CAJA (%)</t>
        </is>
      </c>
      <c r="B24" s="68">
        <f>IFERROR(IF('PyG 3 Años'!$B$9="","",B23/B20-1),"")</f>
        <v>0.22430621667557293</v>
      </c>
      <c r="C24" s="68">
        <f>IFERROR(IF('PyG 3 Años'!$C$9="","",C23/C20-1),"")</f>
        <v>0.13709594055454266</v>
      </c>
      <c r="D24" s="68">
        <f>IFERROR(IF('PyG 3 Años'!$D$9="","",D23/D20-1),"")</f>
        <v>0.13494707274131357</v>
      </c>
      <c r="E24" s="28" t="inlineStr">
        <is>
          <t>Cuánto puedes caer antes de no poder pagar los costes fijos y la cuota. El mínimo exigible está en la hoja de Supuestos</t>
        </is>
      </c>
      <c r="F24" s="28" t="n"/>
    </row>
    <row r="25">
      <c r="A25" s="25" t="inlineStr">
        <is>
          <t>INTERPRETACIÓN</t>
        </is>
      </c>
      <c r="B25" s="28" t="n"/>
      <c r="C25" s="28" t="n"/>
      <c r="D25" s="28" t="n"/>
      <c r="E25" s="28" t="n"/>
      <c r="F25" s="28" t="n"/>
    </row>
    <row r="26" ht="46" customHeight="1">
      <c r="A26" s="28" t="str">
        <f>IFERROR("Con el precio medio por invitado sin IVA de la fila de arriba necesitas "&amp;TEXT(ROUNDUP(B15,0),"0")&amp;" invitados por evento durante los "&amp;TEXT(B11,"0")&amp;" eventos del año para no perder dinero (equilibrio contable, con la amortización dentro), y "&amp;TEXT(ROUNDUP(B20,0),"0")&amp;" para que la caja aguante (equilibrio de caja: sin la amortización, que no se paga, y con la cuota del préstamo del año"&amp;IF(B12=0,"; este año sólo intereses, porque el préstamo está en carencia","")&amp;"). En las filas «Ingresos necesarios al año» tienes esas mismas cifras en euros.","")</f>
        <v>Con el precio medio por invitado sin IVA de la fila de arriba necesitas 81 invitados por evento durante los 105 eventos del año para no perder dinero (equilibrio contable, con la amortización dentro), y 77 para que la caja aguante (equilibrio de caja: sin la amortización, que no se paga, y con la cuota del préstamo del año; este año sólo intereses, porque el préstamo está en carencia). En las filas «Ingresos necesarios al año» tienes esas mismas cifras en euros.</v>
      </c>
      <c r="B26" s="28" t="n"/>
      <c r="C26" s="28" t="n"/>
      <c r="D26" s="28" t="n"/>
      <c r="E26" s="28" t="n"/>
      <c r="F26" s="28" t="n"/>
    </row>
    <row r="27">
      <c r="A27" s="28" t="n"/>
      <c r="B27" s="28" t="n"/>
      <c r="C27" s="28" t="n"/>
      <c r="D27" s="28" t="n"/>
      <c r="E27" s="28" t="n"/>
      <c r="F27" s="28" t="n"/>
    </row>
    <row r="28">
      <c r="A28" s="25" t="inlineStr">
        <is>
          <t>SENSIBILIDAD DEL PUNTO DE EQUILIBRIO</t>
        </is>
      </c>
      <c r="B28" s="28" t="n"/>
      <c r="C28" s="28" t="n"/>
      <c r="D28" s="28" t="n"/>
      <c r="E28" s="28" t="n"/>
      <c r="F28" s="28" t="n"/>
    </row>
    <row r="29" ht="75" customHeight="1">
      <c r="A29" s="46" t="inlineStr">
        <is>
          <t>Invitados por evento necesarios para cubrir costes según el precio medio por invitado (columnas) y el coste variable por invitado (filas). En verde, los que están por debajo de los invitados que prevé el plan.</t>
        </is>
      </c>
      <c r="B29" s="28" t="n"/>
      <c r="C29" s="28" t="n"/>
      <c r="D29" s="28" t="n"/>
      <c r="E29" s="28" t="n"/>
      <c r="F29" s="28" t="n"/>
    </row>
    <row r="30">
      <c r="A30" s="28" t="n"/>
      <c r="B30" s="28" t="n"/>
      <c r="C30" s="28" t="n"/>
      <c r="D30" s="28" t="n"/>
      <c r="E30" s="28" t="n"/>
      <c r="F30" s="28" t="n"/>
    </row>
    <row r="31" ht="45" customHeight="1">
      <c r="A31" s="39" t="inlineStr">
        <is>
          <t>Invitados por evento necesarios: precio medio por invitado sin IVA (columnas) × coste variable por invitado (filas)</t>
        </is>
      </c>
      <c r="B31" s="72">
        <f>IFERROR($B$8-2,"")</f>
        <v>14.0</v>
      </c>
      <c r="C31" s="72">
        <f>IFERROR(IF($B$8="","",$B$8),"")</f>
        <v>16.0</v>
      </c>
      <c r="D31" s="72">
        <f>IFERROR($B$8+2,"")</f>
        <v>18.0</v>
      </c>
      <c r="E31" s="72">
        <f>IFERROR($B$8+4,"")</f>
        <v>20.0</v>
      </c>
      <c r="F31" s="28" t="n"/>
    </row>
    <row r="32">
      <c r="A32" s="70">
        <f>IFERROR($B$9*0.85,"")</f>
        <v>4.98576</v>
      </c>
      <c r="B32" s="44">
        <f>IFERROR(IF($B$31-$A32&lt;=0,"",$B$6/($B$31-$A32)/$B$11),"")</f>
        <v>90.27787990895251</v>
      </c>
      <c r="C32" s="44">
        <f>IFERROR(IF($C$31-$A32&lt;=0,"",$B$6/($C$31-$A32)/$B$11),"")</f>
        <v>73.88494132963112</v>
      </c>
      <c r="D32" s="44">
        <f>IFERROR(IF($D$31-$A32&lt;=0,"",$B$6/($D$31-$A32)/$B$11),"")</f>
        <v>62.53046479782732</v>
      </c>
      <c r="E32" s="44">
        <f>IFERROR(IF($E$31-$A32&lt;=0,"",$B$6/($E$31-$A32)/$B$11),"")</f>
        <v>54.20097695191206</v>
      </c>
      <c r="F32" s="28" t="n"/>
    </row>
    <row r="33">
      <c r="A33" s="70">
        <f>IFERROR($B$9*0.925,"")</f>
        <v>5.425680000000001</v>
      </c>
      <c r="B33" s="44">
        <f>IFERROR(IF($B$31-$A33&lt;=0,"",$B$6/($B$31-$A33)/$B$11),"")</f>
        <v>94.90973933681927</v>
      </c>
      <c r="C33" s="44">
        <f>IFERROR(IF($C$31-$A33&lt;=0,"",$B$6/($C$31-$A33)/$B$11),"")</f>
        <v>76.95875254299816</v>
      </c>
      <c r="D33" s="44">
        <f>IFERROR(IF($D$31-$A33&lt;=0,"",$B$6/($D$31-$A33)/$B$11),"")</f>
        <v>64.71812998161938</v>
      </c>
      <c r="E33" s="44">
        <f>IFERROR(IF($E$31-$A33&lt;=0,"",$B$6/($E$31-$A33)/$B$11),"")</f>
        <v>55.837011688399606</v>
      </c>
      <c r="F33" s="28" t="n"/>
    </row>
    <row r="34">
      <c r="A34" s="70">
        <f>IFERROR($B$9*1.0,"")</f>
        <v>5.865600000000001</v>
      </c>
      <c r="B34" s="44">
        <f>IFERROR(IF($B$31-$A34&lt;=0,"",$B$6/($B$31-$A34)/$B$11),"")</f>
        <v>100.04259394552471</v>
      </c>
      <c r="C34" s="44">
        <f>IFERROR(IF($C$31-$A34&lt;=0,"",$B$6/($C$31-$A34)/$B$11),"")</f>
        <v>80.29942336896869</v>
      </c>
      <c r="D34" s="44">
        <f>IFERROR(IF($D$31-$A34&lt;=0,"",$B$6/($D$31-$A34)/$B$11),"")</f>
        <v>67.0644181987141</v>
      </c>
      <c r="E34" s="44">
        <f>IFERROR(IF($E$31-$A34&lt;=0,"",$B$6/($E$31-$A34)/$B$11),"")</f>
        <v>57.57488653147472</v>
      </c>
      <c r="F34" s="28" t="n"/>
    </row>
    <row r="35">
      <c r="A35" s="70">
        <f>IFERROR($B$9*1.075,"")</f>
        <v>6.3055200000000005</v>
      </c>
      <c r="B35" s="44">
        <f>IFERROR(IF($B$31-$A35&lt;=0,"",$B$6/($B$31-$A35)/$B$11),"")</f>
        <v>105.762374610172</v>
      </c>
      <c r="C35" s="44">
        <f>IFERROR(IF($C$31-$A35&lt;=0,"",$B$6/($C$31-$A35)/$B$11),"")</f>
        <v>83.94328279500048</v>
      </c>
      <c r="D35" s="44">
        <f>IFERROR(IF($D$31-$A35&lt;=0,"",$B$6/($D$31-$A35)/$B$11),"")</f>
        <v>69.5872305729264</v>
      </c>
      <c r="E35" s="44">
        <f>IFERROR(IF($E$31-$A35&lt;=0,"",$B$6/($E$31-$A35)/$B$11),"")</f>
        <v>59.42441598297097</v>
      </c>
      <c r="F35" s="28" t="n"/>
    </row>
    <row r="36">
      <c r="A36" s="70">
        <f>IFERROR($B$9*1.15,"")</f>
        <v>6.74544</v>
      </c>
      <c r="B36" s="44">
        <f>IFERROR(IF($B$31-$A36&lt;=0,"",$B$6/($B$31-$A36)/$B$11),"")</f>
        <v>112.17585576388868</v>
      </c>
      <c r="C36" s="44">
        <f>IFERROR(IF($C$31-$A36&lt;=0,"",$B$6/($C$31-$A36)/$B$11),"")</f>
        <v>87.9335674727352</v>
      </c>
      <c r="D36" s="44">
        <f>IFERROR(IF($D$31-$A36&lt;=0,"",$B$6/($D$31-$A36)/$B$11),"")</f>
        <v>72.30726711577141</v>
      </c>
      <c r="E36" s="44">
        <f>IFERROR(IF($E$31-$A36&lt;=0,"",$B$6/($E$31-$A36)/$B$11),"")</f>
        <v>61.39671752140217</v>
      </c>
      <c r="F36" s="28" t="n"/>
    </row>
    <row r="37">
      <c r="A37" s="28" t="n"/>
      <c r="B37" s="28" t="n"/>
      <c r="C37" s="28" t="n"/>
      <c r="D37" s="28" t="n"/>
      <c r="E37" s="28" t="n"/>
      <c r="F37" s="28" t="n"/>
    </row>
    <row r="38">
      <c r="A38" s="28" t="n"/>
      <c r="B38" s="28" t="n"/>
      <c r="C38" s="28" t="n"/>
      <c r="D38" s="28" t="n"/>
      <c r="E38" s="28" t="n"/>
      <c r="F38" s="28" t="n"/>
    </row>
    <row r="39">
      <c r="A39" s="28" t="n"/>
      <c r="B39" s="28" t="n"/>
      <c r="C39" s="28" t="n"/>
      <c r="D39" s="28" t="n"/>
      <c r="E39" s="28" t="n"/>
      <c r="F39" s="28" t="n"/>
    </row>
    <row r="40">
      <c r="A40" s="28" t="n"/>
      <c r="B40" s="28" t="n"/>
      <c r="C40" s="28" t="n"/>
      <c r="D40" s="28" t="n"/>
      <c r="E40" s="28" t="n"/>
      <c r="F40" s="28" t="n"/>
    </row>
    <row r="41">
      <c r="A41" s="28" t="n"/>
      <c r="B41" s="28" t="n"/>
      <c r="C41" s="28" t="n"/>
      <c r="D41" s="28" t="n"/>
      <c r="E41" s="28" t="n"/>
      <c r="F41" s="28" t="n"/>
    </row>
    <row r="42">
      <c r="A42" s="28" t="n"/>
      <c r="B42" s="28" t="n"/>
      <c r="C42" s="28" t="n"/>
      <c r="D42" s="28" t="n"/>
      <c r="E42" s="28" t="n"/>
      <c r="F42" s="28" t="n"/>
    </row>
    <row r="43">
      <c r="A43" s="28" t="n"/>
      <c r="B43" s="28" t="n"/>
      <c r="C43" s="28" t="n"/>
      <c r="D43" s="28" t="n"/>
      <c r="E43" s="28" t="n"/>
      <c r="F43" s="28" t="n"/>
    </row>
    <row r="44">
      <c r="A44" s="28" t="n"/>
      <c r="B44" s="28" t="n"/>
      <c r="C44" s="28" t="n"/>
      <c r="D44" s="28" t="n"/>
      <c r="E44" s="28" t="n"/>
      <c r="F44" s="28" t="n"/>
    </row>
    <row r="45">
      <c r="A45" s="28" t="n"/>
      <c r="B45" s="28" t="n"/>
      <c r="C45" s="28" t="n"/>
      <c r="D45" s="28" t="n"/>
      <c r="E45" s="28" t="n"/>
      <c r="F45" s="28" t="n"/>
    </row>
    <row r="46">
      <c r="A46" s="28" t="n"/>
      <c r="B46" s="28" t="n"/>
      <c r="C46" s="28" t="n"/>
      <c r="D46" s="28" t="n"/>
      <c r="E46" s="28" t="n"/>
      <c r="F46" s="28" t="n"/>
    </row>
    <row r="47">
      <c r="A47" s="28" t="n"/>
      <c r="B47" s="28" t="n"/>
      <c r="C47" s="28" t="n"/>
      <c r="D47" s="28" t="n"/>
      <c r="E47" s="28" t="n"/>
      <c r="F47" s="28" t="n"/>
    </row>
    <row r="48">
      <c r="A48" s="28" t="n"/>
      <c r="B48" s="28" t="n"/>
      <c r="C48" s="28" t="n"/>
      <c r="D48" s="28" t="n"/>
      <c r="E48" s="28" t="n"/>
      <c r="F48" s="28" t="n"/>
    </row>
    <row r="49">
      <c r="A49" s="28" t="n"/>
      <c r="B49" s="28" t="n"/>
      <c r="C49" s="28" t="n"/>
      <c r="D49" s="28" t="n"/>
      <c r="E49" s="28" t="n"/>
      <c r="F49" s="28" t="n"/>
    </row>
    <row r="50">
      <c r="A50" s="28" t="n"/>
      <c r="B50" s="28" t="n"/>
      <c r="C50" s="28" t="n"/>
      <c r="D50" s="28" t="n"/>
      <c r="E50" s="28" t="n"/>
      <c r="F50" s="28" t="n"/>
    </row>
    <row r="51">
      <c r="A51" s="28" t="n"/>
      <c r="B51" s="28" t="n"/>
      <c r="C51" s="28" t="n"/>
      <c r="D51" s="28" t="n"/>
      <c r="E51" s="28" t="n"/>
      <c r="F51" s="28" t="n"/>
    </row>
    <row r="52">
      <c r="A52" s="28" t="n"/>
      <c r="B52" s="28" t="n"/>
      <c r="C52" s="28" t="n"/>
      <c r="D52" s="28" t="n"/>
      <c r="E52" s="28" t="n"/>
      <c r="F52" s="28" t="n"/>
    </row>
    <row r="53">
      <c r="A53" s="28" t="n"/>
      <c r="B53" s="28" t="n"/>
      <c r="C53" s="28" t="n"/>
      <c r="D53" s="28" t="n"/>
      <c r="E53" s="28" t="n"/>
      <c r="F53" s="28" t="n"/>
    </row>
    <row r="54">
      <c r="A54" s="28" t="n"/>
      <c r="B54" s="28" t="n"/>
      <c r="C54" s="28" t="n"/>
      <c r="D54" s="28" t="n"/>
      <c r="E54" s="28" t="n"/>
      <c r="F54" s="28" t="n"/>
    </row>
    <row r="55">
      <c r="A55" s="28" t="n"/>
      <c r="B55" s="28" t="n"/>
      <c r="C55" s="28" t="n"/>
      <c r="D55" s="28" t="n"/>
      <c r="E55" s="28" t="n"/>
      <c r="F55" s="28" t="n"/>
    </row>
    <row r="56">
      <c r="A56" s="28" t="n"/>
      <c r="B56" s="28" t="n"/>
      <c r="C56" s="28" t="n"/>
      <c r="D56" s="28" t="n"/>
      <c r="E56" s="28" t="n"/>
      <c r="F56" s="28" t="n"/>
    </row>
  </sheetData>
  <sheetProtection selectLockedCells="0" selectUnlockedCells="0" sheet="1" objects="0" insertRows="1" insertHyperlinks="1" autoFilter="1" scenarios="0" formatColumns="0" deleteColumns="1" insertColumns="1" pivotTables="1" deleteRows="1" formatCells="1" formatRows="0" sort="0"/>
  <mergeCells count="1">
    <mergeCell ref="A1:C1"/>
  </mergeCells>
  <conditionalFormatting sqref="B24:D24">
    <cfRule type="expression" priority="1" dxfId="1" stopIfTrue="1">
      <formula>AND(ISNUMBER(B24),B24&lt;0)</formula>
    </cfRule>
    <cfRule type="expression" priority="2" dxfId="2" stopIfTrue="1">
      <formula>AND(ISNUMBER(B24),B24&gt;=0)</formula>
    </cfRule>
    <cfRule type="expression" priority="3" dxfId="0" stopIfTrue="1">
      <formula>AND(ISNUMBER(B24),B24&gt;='0. Supuestos'!$B$67)</formula>
    </cfRule>
  </conditionalFormatting>
  <conditionalFormatting sqref="B32:E36">
    <cfRule type="expression" priority="4" dxfId="1" stopIfTrue="1">
      <formula>AND(ISNUMBER(B32),B32&gt;$B$23)</formula>
    </cfRule>
    <cfRule type="expression" priority="5" dxfId="0" stopIfTrue="1">
      <formula>AND(ISNUMBER(B32),B32&lt;=$B$23)</formula>
    </cfRule>
  </conditionalFormatting>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28"/>
  <sheetViews>
    <sheetView workbookViewId="0">
      <pane ySplit="4" topLeftCell="A5" activePane="bottomLeft" state="frozen"/>
      <selection pane="bottomLeft" activeCell="A1" sqref="A1"/>
    </sheetView>
  </sheetViews>
  <sheetFormatPr baseColWidth="8" defaultRowHeight="15"/>
  <cols>
    <col width="40" customWidth="1" min="1" max="1"/>
    <col width="18" customWidth="1" min="2" max="2"/>
    <col width="18" customWidth="1" min="3" max="3"/>
    <col width="18" customWidth="1" min="4" max="4"/>
    <col width="52" customWidth="1" min="5" max="5"/>
  </cols>
  <sheetData>
    <row r="1">
      <c r="A1" s="1" t="inlineStr">
        <is>
          <t>ANÁLISIS DE ESCENARIOS</t>
        </is>
      </c>
    </row>
    <row r="2"/>
    <row r="3"/>
    <row r="4">
      <c r="A4" s="25" t="inlineStr">
        <is>
          <t>Métrica</t>
        </is>
      </c>
      <c r="B4" s="25" t="inlineStr">
        <is>
          <t>Pesimista</t>
        </is>
      </c>
      <c r="C4" s="25" t="inlineStr">
        <is>
          <t>Realista</t>
        </is>
      </c>
      <c r="D4" s="25" t="inlineStr">
        <is>
          <t>Optimista</t>
        </is>
      </c>
      <c r="E4" s="25" t="inlineStr">
        <is>
          <t>Notas</t>
        </is>
      </c>
      <c r="F4" s="28" t="n"/>
    </row>
    <row r="5">
      <c r="A5" s="28" t="inlineStr">
        <is>
          <t>Invitados por evento</t>
        </is>
      </c>
      <c r="B5" s="49" t="n">
        <v>85</v>
      </c>
      <c r="C5" s="40">
        <f>IFERROR(IF('PyG 3 Años'!$B$6="","",'PyG 3 Años'!$B$6),"")</f>
        <v>94.0</v>
      </c>
      <c r="D5" s="49" t="n">
        <v>100</v>
      </c>
      <c r="E5" s="28" t="n"/>
      <c r="F5" s="28" t="n"/>
    </row>
    <row r="6">
      <c r="A6" s="28" t="inlineStr">
        <is>
          <t>Precio medio por invitado sin IVA</t>
        </is>
      </c>
      <c r="B6" s="73" t="n">
        <v>15</v>
      </c>
      <c r="C6" s="70">
        <f>IFERROR(IF('PyG 3 Años'!$B$7="","",'PyG 3 Años'!$B$7),"")</f>
        <v>16.0</v>
      </c>
      <c r="D6" s="73" t="n">
        <v>17</v>
      </c>
      <c r="E6" s="28" t="n"/>
      <c r="F6" s="28" t="n"/>
    </row>
    <row r="7">
      <c r="A7" s="28" t="inlineStr">
        <is>
          <t>Eventos al año</t>
        </is>
      </c>
      <c r="B7" s="49" t="n">
        <v>85</v>
      </c>
      <c r="C7" s="40">
        <f>IFERROR(IF('PyG 3 Años'!$B$8="","",'PyG 3 Años'!$B$8),"")</f>
        <v>105.0</v>
      </c>
      <c r="D7" s="49" t="n">
        <v>125</v>
      </c>
      <c r="E7" s="28" t="n"/>
      <c r="F7" s="28" t="n"/>
    </row>
    <row r="8">
      <c r="A8" s="25" t="inlineStr">
        <is>
          <t>INGRESOS ANUALES (sin IVA)</t>
        </is>
      </c>
      <c r="B8" s="26">
        <f>IFERROR(IF(B5*B6*B7=0,"",B5*B6*B7),"")</f>
        <v>108375.0</v>
      </c>
      <c r="C8" s="26">
        <f>IFERROR(IF(C5*C6*C7=0,"",C5*C6*C7),"")</f>
        <v>157920.0</v>
      </c>
      <c r="D8" s="26">
        <f>IFERROR(IF(D5*D6*D7=0,"",D5*D6*D7),"")</f>
        <v>212500.0</v>
      </c>
      <c r="E8" s="28" t="n"/>
      <c r="F8" s="28" t="n"/>
    </row>
    <row r="9">
      <c r="A9" s="28" t="inlineStr">
        <is>
          <t>Coste de mercancía — comida</t>
        </is>
      </c>
      <c r="B9" s="32">
        <f>IFERROR(IF(B8="","",B8*'0. Supuestos'!$B$11*'0. Supuestos'!$B$13),"")</f>
        <v>27917.4</v>
      </c>
      <c r="C9" s="32">
        <f>IFERROR(IF(C8="","",C8*'0. Supuestos'!$B$11*'0. Supuestos'!$B$13),"")</f>
        <v>40680.192</v>
      </c>
      <c r="D9" s="32">
        <f>IFERROR(IF(D8="","",D8*'0. Supuestos'!$B$11*'0. Supuestos'!$B$13),"")</f>
        <v>54740.00000000001</v>
      </c>
      <c r="E9" s="28" t="n"/>
      <c r="F9" s="28" t="n"/>
    </row>
    <row r="10">
      <c r="A10" s="28" t="inlineStr">
        <is>
          <t>Coste de mercancía — bebida</t>
        </is>
      </c>
      <c r="B10" s="32">
        <f>IFERROR(IF(B8="","",B8*'0. Supuestos'!$B$12*'0. Supuestos'!$B$14),"")</f>
        <v>2600.9999999999986</v>
      </c>
      <c r="C10" s="32">
        <f>IFERROR(IF(C8="","",C8*'0. Supuestos'!$B$12*'0. Supuestos'!$B$14),"")</f>
        <v>3790.0799999999977</v>
      </c>
      <c r="D10" s="32">
        <f>IFERROR(IF(D8="","",D8*'0. Supuestos'!$B$12*'0. Supuestos'!$B$14),"")</f>
        <v>5099.999999999997</v>
      </c>
      <c r="E10" s="28" t="n"/>
      <c r="F10" s="28" t="n"/>
    </row>
    <row r="11">
      <c r="A11" s="28" t="inlineStr">
        <is>
          <t>Consumibles y envases</t>
        </is>
      </c>
      <c r="B11" s="32">
        <f>IFERROR(IF(B8="","",B8*'0. Supuestos'!$B$15),"")</f>
        <v>3251.25</v>
      </c>
      <c r="C11" s="32">
        <f>IFERROR(IF(C8="","",C8*'0. Supuestos'!$B$15),"")</f>
        <v>4737.599999999999</v>
      </c>
      <c r="D11" s="32">
        <f>IFERROR(IF(D8="","",D8*'0. Supuestos'!$B$15),"")</f>
        <v>6375.0</v>
      </c>
      <c r="E11" s="28" t="n"/>
      <c r="F11" s="28" t="n"/>
    </row>
    <row r="12">
      <c r="A12" s="28" t="inlineStr">
        <is>
          <t>Comisiones de la paella para recoger</t>
        </is>
      </c>
      <c r="B12" s="32">
        <f>IFERROR(IF(B8="","",B8*'0. Supuestos'!$B$16*'0. Supuestos'!$B$17),"")</f>
        <v>541.875</v>
      </c>
      <c r="C12" s="32">
        <f>IFERROR(IF(C8="","",C8*'0. Supuestos'!$B$16*'0. Supuestos'!$B$17),"")</f>
        <v>789.6</v>
      </c>
      <c r="D12" s="32">
        <f>IFERROR(IF(D8="","",D8*'0. Supuestos'!$B$16*'0. Supuestos'!$B$17),"")</f>
        <v>1062.5</v>
      </c>
      <c r="E12" s="28" t="n"/>
      <c r="F12" s="28" t="n"/>
    </row>
    <row r="13">
      <c r="A13" s="28" t="inlineStr">
        <is>
          <t>Comisiones de los medios de pago</t>
        </is>
      </c>
      <c r="B13" s="32">
        <f>IFERROR(IF(B8="","",B8*'0. Supuestos'!$B$18),"")</f>
        <v>541.875</v>
      </c>
      <c r="C13" s="32">
        <f>IFERROR(IF(C8="","",C8*'0. Supuestos'!$B$18),"")</f>
        <v>789.6</v>
      </c>
      <c r="D13" s="32">
        <f>IFERROR(IF(D8="","",D8*'0. Supuestos'!$B$18),"")</f>
        <v>1062.5</v>
      </c>
      <c r="E13" s="28" t="n"/>
      <c r="F13" s="28" t="n"/>
    </row>
    <row r="14">
      <c r="A14" s="28" t="inlineStr">
        <is>
          <t>Varios e imprevistos</t>
        </is>
      </c>
      <c r="B14" s="32">
        <f>IFERROR(IF(B8="","",B8*'0. Supuestos'!$B$28),"")</f>
        <v>4876.875</v>
      </c>
      <c r="C14" s="32">
        <f>IFERROR(IF(C8="","",C8*'0. Supuestos'!$B$28),"")</f>
        <v>7106.4</v>
      </c>
      <c r="D14" s="32">
        <f>IFERROR(IF(D8="","",D8*'0. Supuestos'!$B$28),"")</f>
        <v>9562.5</v>
      </c>
      <c r="E14" s="28" t="n"/>
      <c r="F14" s="28" t="n"/>
    </row>
    <row r="15">
      <c r="A15" s="28" t="inlineStr">
        <is>
          <t>TOTAL COSTES VARIABLES</t>
        </is>
      </c>
      <c r="B15" s="32">
        <f>IFERROR(IF(B8="","",SUM(B9:B14)),"")</f>
        <v>39730.275</v>
      </c>
      <c r="C15" s="32">
        <f>IFERROR(IF(C8="","",SUM(C9:C14)),"")</f>
        <v>57893.472</v>
      </c>
      <c r="D15" s="32">
        <f>IFERROR(IF(D8="","",SUM(D9:D14)),"")</f>
        <v>77902.5</v>
      </c>
      <c r="E15" s="28" t="n"/>
      <c r="F15" s="28" t="n"/>
    </row>
    <row r="16">
      <c r="A16" s="28" t="inlineStr">
        <is>
          <t>MARGEN BRUTO</t>
        </is>
      </c>
      <c r="B16" s="32">
        <f>IFERROR(IF(B8="","",B8-B15),"")</f>
        <v>68644.725</v>
      </c>
      <c r="C16" s="32">
        <f>IFERROR(IF(C8="","",C8-C15),"")</f>
        <v>100026.52799999999</v>
      </c>
      <c r="D16" s="32">
        <f>IFERROR(IF(D8="","",D8-D15),"")</f>
        <v>134597.5</v>
      </c>
      <c r="E16" s="28" t="n"/>
      <c r="F16" s="28" t="n"/>
    </row>
    <row r="17">
      <c r="A17" s="28" t="inlineStr">
        <is>
          <t>COSTES FIJOS (los del P&amp;L)</t>
        </is>
      </c>
      <c r="B17" s="32">
        <f>IFERROR(IF(B8="","",'PyG 3 Años'!$B$38),"")</f>
        <v>85447.58</v>
      </c>
      <c r="C17" s="32">
        <f>IFERROR(IF(C8="","",'PyG 3 Años'!$B$38),"")</f>
        <v>85447.58</v>
      </c>
      <c r="D17" s="32">
        <f>IFERROR(IF(D8="","",'PyG 3 Años'!$B$38),"")</f>
        <v>85447.58</v>
      </c>
      <c r="E17" s="28" t="inlineStr">
        <is>
          <t>Los costes fijos no cambian con el escenario: por eso son fijos</t>
        </is>
      </c>
      <c r="F17" s="28" t="n"/>
    </row>
    <row r="18">
      <c r="A18" s="25" t="inlineStr">
        <is>
          <t>RESULTADO ANTES DE IMPUESTOS</t>
        </is>
      </c>
      <c r="B18" s="26">
        <f>IFERROR(IF(B8="","",B16-B17),"")</f>
        <v>-16802.854999999996</v>
      </c>
      <c r="C18" s="26">
        <f>IFERROR(IF(C8="","",C16-C17),"")</f>
        <v>14578.94799999999</v>
      </c>
      <c r="D18" s="26">
        <f>IFERROR(IF(D8="","",D16-D17),"")</f>
        <v>49149.92</v>
      </c>
      <c r="E18" s="28" t="n"/>
      <c r="F18" s="28" t="n"/>
    </row>
    <row r="19">
      <c r="A19" s="28" t="inlineStr">
        <is>
          <t>Impuesto de Sociedades</t>
        </is>
      </c>
      <c r="B19" s="32">
        <f>IFERROR(IF(B8="","",MAX(0,B18-'0. Supuestos'!$B$42)*'0. Supuestos'!$B$37),"")</f>
        <v>0.0</v>
      </c>
      <c r="C19" s="32">
        <f>IFERROR(IF(C8="","",MAX(0,C18-'0. Supuestos'!$B$42)*'0. Supuestos'!$B$37),"")</f>
        <v>2186.8421999999982</v>
      </c>
      <c r="D19" s="32">
        <f>IFERROR(IF(D8="","",MAX(0,D18-'0. Supuestos'!$B$42)*'0. Supuestos'!$B$37),"")</f>
        <v>7372.487999999999</v>
      </c>
      <c r="E19" s="28" t="inlineStr">
        <is>
          <t>Al tipo de entidad de nueva creación, compensando las bases negativas anteriores</t>
        </is>
      </c>
      <c r="F19" s="28" t="n"/>
    </row>
    <row r="20">
      <c r="A20" s="25" t="inlineStr">
        <is>
          <t>RESULTADO NETO</t>
        </is>
      </c>
      <c r="B20" s="26">
        <f>IFERROR(IF(B8="","",B18-B19),"")</f>
        <v>-16802.854999999996</v>
      </c>
      <c r="C20" s="26">
        <f>IFERROR(IF(C8="","",C18-C19),"")</f>
        <v>12392.10579999999</v>
      </c>
      <c r="D20" s="26">
        <f>IFERROR(IF(D8="","",D18-D19),"")</f>
        <v>41777.432</v>
      </c>
      <c r="E20" s="28" t="n"/>
      <c r="F20" s="28" t="n"/>
    </row>
    <row r="21">
      <c r="A21" s="28" t="inlineStr">
        <is>
          <t>Invitados por evento para el equilibrio</t>
        </is>
      </c>
      <c r="B21" s="44">
        <f>IFERROR(IF(B8="","",IF(B6-B15/(B5*B7)&lt;=0,"",B17/(B6-B15/(B5*B7))/B7)),"")</f>
        <v>105.80629902734697</v>
      </c>
      <c r="C21" s="44">
        <f>IFERROR(IF(C8="","",IF(C6-C15/(C5*C7)&lt;=0,"",C17/(C6-C15/(C5*C7))/C7)),"")</f>
        <v>80.29942336896869</v>
      </c>
      <c r="D21" s="44">
        <f>IFERROR(IF(D8="","",IF(D6-D15/(D5*D7)&lt;=0,"",D17/(D6-D15/(D5*D7))/D7)),"")</f>
        <v>63.48377941640817</v>
      </c>
      <c r="E21" s="28" t="n"/>
      <c r="F21" s="28" t="n"/>
    </row>
    <row r="22">
      <c r="A22" s="25" t="inlineStr">
        <is>
          <t>LO QUE CADA ESCENARIO EXIGE</t>
        </is>
      </c>
      <c r="B22" s="28" t="n"/>
      <c r="C22" s="28" t="n"/>
      <c r="D22" s="28" t="n"/>
      <c r="E22" s="28" t="n"/>
      <c r="F22" s="28" t="n"/>
    </row>
    <row r="23">
      <c r="A23" s="28" t="inlineStr">
        <is>
          <t>Coste de personal / Ventas</t>
        </is>
      </c>
      <c r="B23" s="68">
        <f>IFERROR(IF(B8="","",'PyG 3 Años'!$B$23/B8),"")</f>
        <v>0.5083882814302192</v>
      </c>
      <c r="C23" s="68">
        <f>IFERROR(IF(C8="","",'PyG 3 Años'!$B$23/C8),"")</f>
        <v>0.34888918439716315</v>
      </c>
      <c r="D23" s="68">
        <f>IFERROR(IF(D8="","",'PyG 3 Años'!$B$23/D8),"")</f>
        <v>0.25927802352941176</v>
      </c>
      <c r="E23" s="28" t="inlineStr">
        <is>
          <t>La MISMA plantilla en los tres escenarios. Si en el pesimista se dispara, el ajuste hay que hacerlo en la hoja de Personal, no aquí</t>
        </is>
      </c>
      <c r="F23" s="28" t="n"/>
    </row>
    <row r="24">
      <c r="A24" s="28" t="inlineStr">
        <is>
          <t>Invitados al año por jornada equivalente</t>
        </is>
      </c>
      <c r="B24" s="40">
        <f>IFERROR(IF(B8="","",B5*B7/'Personal'!$C$9),"")</f>
        <v>3991.7127071823206</v>
      </c>
      <c r="C24" s="40">
        <f>IFERROR(IF(C8="","",C5*C7/'Personal'!$C$9),"")</f>
        <v>5453.03867403315</v>
      </c>
      <c r="D24" s="40">
        <f>IFERROR(IF(D8="","",D5*D7/'Personal'!$C$9),"")</f>
        <v>6906.077348066299</v>
      </c>
      <c r="E24" s="28" t="inlineStr">
        <is>
          <t>Raciones que tendría que servir cada jornada completa del cuadro de Personal. En el optimista dice si hace falta contratar</t>
        </is>
      </c>
      <c r="F24" s="28" t="n"/>
    </row>
    <row r="25">
      <c r="A25" s="25" t="inlineStr">
        <is>
          <t>Saldo de caja al cierre del año 1 (estimado, el mismo método en los tres escenarios)</t>
        </is>
      </c>
      <c r="B25" s="26">
        <f>IFERROR(IF(B8="","",'Inversión Inicial'!$B$25+B20+'PyG 3 Años'!$B$36-'Financiación'!$B$45),"")</f>
        <v>7369.2900000000045</v>
      </c>
      <c r="C25" s="26">
        <f>IFERROR(IF(C8="","",'Inversión Inicial'!$B$25+C20+'PyG 3 Años'!$B$36-'Financiación'!$B$45),"")</f>
        <v>36564.250799999994</v>
      </c>
      <c r="D25" s="26">
        <f>IFERROR(IF(D8="","",'Inversión Inicial'!$B$25+D20+'PyG 3 Años'!$B$36-'Financiación'!$B$45),"")</f>
        <v>65949.577</v>
      </c>
      <c r="E25" s="25" t="inlineStr">
        <is>
          <t>Saldo ESTIMADO: fondo de maniobra más el resultado del año, devolviendo la amortización (que no se paga) y restando el principal del préstamo. No incluye el desfase de cobros y pagos ni la liquidación del IVA, así que las tres columnas se pueden comparar entre sí. En rojo, el escenario se queda sin caja</t>
        </is>
      </c>
      <c r="F25" s="28" t="n"/>
    </row>
    <row r="26">
      <c r="A26" s="28" t="inlineStr">
        <is>
          <t>Saldo real del mes 12 de la hoja de Tesorería (sólo realista)</t>
        </is>
      </c>
      <c r="B26" s="28" t="n"/>
      <c r="C26" s="32">
        <f>IFERROR(IF(C8="","",'Tesorería 12 meses'!$M$22),"")</f>
        <v>37724.77995568862</v>
      </c>
      <c r="D26" s="28" t="n"/>
      <c r="E26" s="28" t="inlineStr">
        <is>
          <t>El saldo REAL del caso base, con su desfase de cobros y pagos y su liquidación de IVA. Sólo existe para el escenario realista, que es el único con tesorería mensual propia: por eso no está en la fila de arriba, donde se compararía contra dos estimaciones</t>
        </is>
      </c>
      <c r="F26" s="28" t="n"/>
    </row>
    <row r="27">
      <c r="A27" s="28" t="n"/>
      <c r="B27" s="28" t="n"/>
      <c r="C27" s="28" t="n"/>
      <c r="D27" s="28" t="n"/>
      <c r="E27" s="28" t="n"/>
      <c r="F27" s="28" t="n"/>
    </row>
    <row r="28" ht="165" customHeight="1">
      <c r="A28" s="46" t="inlineStr">
        <is>
          <t>La columna «Realista» lee sus tres datos de la hoja de Supuestos, así que reproduce EXACTAMENTE el año 1 del P&amp;L. Los otros dos escenarios usan las mismas tasas de coste: lo único que cambia son los invitados, el precio por invitado y los eventos. Los COSTES FIJOS sí son los mismos en los tres: los varios e imprevistos, que son un porcentaje de las ventas, van arriba con los variables y cada escenario carga los suyos.</t>
        </is>
      </c>
      <c r="B28" s="28" t="n"/>
      <c r="C28" s="28" t="n"/>
      <c r="D28" s="28" t="n"/>
      <c r="E28" s="28" t="n"/>
      <c r="F28" s="28" t="n"/>
    </row>
  </sheetData>
  <sheetProtection selectLockedCells="0" selectUnlockedCells="0" sheet="1" objects="0" insertRows="1" insertHyperlinks="1" autoFilter="1" scenarios="0" formatColumns="0" deleteColumns="1" insertColumns="1" pivotTables="1" deleteRows="1" formatCells="1" formatRows="0" sort="0"/>
  <mergeCells count="1">
    <mergeCell ref="A1:D1"/>
  </mergeCells>
  <conditionalFormatting sqref="B23:D23">
    <cfRule type="expression" priority="1" dxfId="1" stopIfTrue="1">
      <formula>AND(ISNUMBER(B23),B23&gt;'PyG 3 Años'!$E$54)</formula>
    </cfRule>
    <cfRule type="expression" priority="2" dxfId="0" stopIfTrue="1">
      <formula>AND(ISNUMBER(B23),B23&lt;='PyG 3 Años'!$E$54)</formula>
    </cfRule>
  </conditionalFormatting>
  <conditionalFormatting sqref="B25:D25">
    <cfRule type="expression" priority="3" dxfId="1" stopIfTrue="1">
      <formula>AND(ISNUMBER(B25),B25&lt;=0)</formula>
    </cfRule>
    <cfRule type="expression" priority="4" dxfId="0" stopIfTrue="1">
      <formula>AND(ISNUMBER(B25),B25&gt;0)</formula>
    </cfRule>
  </conditionalFormatting>
  <conditionalFormatting sqref="B18:D18">
    <cfRule type="expression" priority="5" dxfId="1" stopIfTrue="1">
      <formula>AND(ISNUMBER(B18),B18&lt;0)</formula>
    </cfRule>
    <cfRule type="expression" priority="6" dxfId="0" stopIfTrue="1">
      <formula>AND(ISNUMBER(B18),B18&gt;0)</formula>
    </cfRule>
  </conditionalFormatting>
  <conditionalFormatting sqref="B20:D20">
    <cfRule type="expression" priority="7" dxfId="1" stopIfTrue="1">
      <formula>AND(ISNUMBER(B20),B20&lt;0)</formula>
    </cfRule>
    <cfRule type="expression" priority="8" dxfId="0" stopIfTrue="1">
      <formula>AND(ISNUMBER(B20),B20&gt;0)</formula>
    </cfRule>
  </conditionalFormatting>
  <dataValidations count="2">
    <dataValidation sqref="B5 B6 D5 D6" showDropDown="0" showInputMessage="0" showErrorMessage="1" allowBlank="1" errorTitle="Importe no válido" error="Escribe un número mayor o igual que 0." type="decimal" operator="greaterThanOrEqual">
      <formula1>0</formula1>
    </dataValidation>
    <dataValidation sqref="B7 D7" showDropDown="0" showInputMessage="0" showErrorMessage="1" allowBlank="1" errorTitle="Recuento no válido" error="Escribe un número ENTERO de 1 en adelante: esta celda es un recuento y varias fórmulas dividen entre ella." type="whole" operator="between">
      <formula1>1</formula1>
      <formula2>100000</formula2>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J25"/>
  <sheetViews>
    <sheetView workbookViewId="0">
      <pane ySplit="4" topLeftCell="A5" activePane="bottomLeft" state="frozen"/>
      <selection pane="bottomLeft" activeCell="A1" sqref="A1"/>
    </sheetView>
  </sheetViews>
  <sheetFormatPr baseColWidth="8" defaultRowHeight="15"/>
  <cols>
    <col width="34" customWidth="1" min="1" max="1"/>
    <col width="14" customWidth="1" min="2" max="2"/>
    <col width="14" customWidth="1" min="3" max="3"/>
    <col width="16" customWidth="1" min="4" max="4"/>
    <col width="18" customWidth="1" min="5" max="5"/>
    <col width="30" customWidth="1" min="6" max="6"/>
    <col width="16" customWidth="1" min="7" max="7"/>
    <col width="14" customWidth="1" min="8" max="8"/>
    <col width="14" customWidth="1" min="9" max="9"/>
    <col width="40" customWidth="1" min="10" max="10"/>
  </cols>
  <sheetData>
    <row r="1">
      <c r="A1" s="1" t="inlineStr">
        <is>
          <t>ESTRUCTURA DE PERSONAL Y COSTES</t>
        </is>
      </c>
    </row>
    <row r="2">
      <c r="A2" t="str">
        <f>IFERROR("Convenio Hostelería — "&amp;TEXT('0. Supuestos'!$B$21,"0")&amp;" pagas + SS "&amp;TEXT('0. Supuestos'!$B$20*100,"0")&amp;" %","")</f>
        <v>Convenio Hostelería — 14 pagas + SS 33 %</v>
      </c>
    </row>
    <row r="3"/>
    <row r="4">
      <c r="A4" s="39" t="inlineStr">
        <is>
          <t>Puesto</t>
        </is>
      </c>
      <c r="B4" s="39" t="inlineStr">
        <is>
          <t>Personas</t>
        </is>
      </c>
      <c r="C4" s="39" t="inlineStr">
        <is>
          <t>Jornada</t>
        </is>
      </c>
      <c r="D4" s="39" t="inlineStr">
        <is>
          <t>Bruto mes (€, total del puesto)</t>
        </is>
      </c>
      <c r="E4" s="39" t="inlineStr">
        <is>
          <t>Seg. Social a cargo de la empresa (€)</t>
        </is>
      </c>
      <c r="F4" s="39" t="inlineStr">
        <is>
          <t>Coste mes (€, total del puesto)</t>
        </is>
      </c>
      <c r="G4" s="39" t="inlineStr">
        <is>
          <t>Coste año (€)</t>
        </is>
      </c>
      <c r="H4" s="39" t="inlineStr">
        <is>
          <t>Horas/semana por persona</t>
        </is>
      </c>
      <c r="I4" s="39" t="inlineStr">
        <is>
          <t>Horas/año del puesto</t>
        </is>
      </c>
      <c r="J4" s="39" t="inlineStr">
        <is>
          <t>Notas</t>
        </is>
      </c>
    </row>
    <row r="5">
      <c r="A5" s="28" t="inlineStr">
        <is>
          <t>Propietario/a — paellero titular, ventas y compras</t>
        </is>
      </c>
      <c r="B5" s="49" t="n">
        <v>1</v>
      </c>
      <c r="C5" s="51" t="n">
        <v>1</v>
      </c>
      <c r="D5" s="73" t="n">
        <v>1800</v>
      </c>
      <c r="E5" s="70">
        <f>IFERROR(IF(D5="","",D5*'0. Supuestos'!$B$20),"")</f>
        <v>594.0</v>
      </c>
      <c r="F5" s="70">
        <f>IFERROR(IF(D5="","",D5+E5),"")</f>
        <v>2394.0</v>
      </c>
      <c r="G5" s="70">
        <f>IFERROR(IF(D5="","",F5*MAX(12,'0. Supuestos'!$B$21)),"")</f>
        <v>33516.0</v>
      </c>
      <c r="H5" s="44">
        <f>IFERROR(IF(D5="","",C5*$B$16),"")</f>
        <v>40.0</v>
      </c>
      <c r="I5" s="40">
        <f>IFERROR(IF(D5="","",H5*B5*$B$17),"")</f>
        <v>1840.0</v>
      </c>
      <c r="J5" s="28" t="inlineStr">
        <is>
          <t>Cocina en cada evento, vende, compra el producto y lleva la agenda. Como administrador de la SL cotiza en el régimen de autónomos: confirma con tu gestoría la cuota y si te aplica la reducida de inicio</t>
        </is>
      </c>
    </row>
    <row r="6">
      <c r="A6" s="28" t="inlineStr">
        <is>
          <t>Ayudante de cocina y 2.º paellero (fijo discontinuo)</t>
        </is>
      </c>
      <c r="B6" s="49" t="n">
        <v>1</v>
      </c>
      <c r="C6" s="51" t="n">
        <v>0.65</v>
      </c>
      <c r="D6" s="73" t="n">
        <v>943</v>
      </c>
      <c r="E6" s="70">
        <f>IFERROR(IF(D6="","",D6*'0. Supuestos'!$B$20),"")</f>
        <v>311.19</v>
      </c>
      <c r="F6" s="70">
        <f>IFERROR(IF(D6="","",D6+E6),"")</f>
        <v>1254.19</v>
      </c>
      <c r="G6" s="70">
        <f>IFERROR(IF(D6="","",F6*MAX(12,'0. Supuestos'!$B$21)),"")</f>
        <v>17558.66</v>
      </c>
      <c r="H6" s="44">
        <f>IFERROR(IF(D6="","",C6*$B$16),"")</f>
        <v>26.0</v>
      </c>
      <c r="I6" s="40">
        <f>IFERROR(IF(D6="","",H6*B6*$B$17),"")</f>
        <v>1196.0</v>
      </c>
      <c r="J6" s="28" t="inlineStr">
        <is>
          <t>Contrato fijo discontinuo (art. 16 del Estatuto de los Trabajadores) al 65 % de jornada en cómputo anual: caldos y preparación en la cocina de apoyo, montaje, fuegos y la segunda tanda de paelleras. Bruto a jornada completa: 1.450 € en 14 pagas</t>
        </is>
      </c>
    </row>
    <row r="7">
      <c r="A7" s="28" t="inlineStr">
        <is>
          <t>Auxiliar de evento: montaje y caldo (fijo discontinuo)</t>
        </is>
      </c>
      <c r="B7" s="49" t="n">
        <v>1</v>
      </c>
      <c r="C7" s="51" t="n">
        <v>0.08</v>
      </c>
      <c r="D7" s="73" t="n">
        <v>108</v>
      </c>
      <c r="E7" s="70">
        <f>IFERROR(IF(D7="","",D7*'0. Supuestos'!$B$20),"")</f>
        <v>35.64</v>
      </c>
      <c r="F7" s="70">
        <f>IFERROR(IF(D7="","",D7+E7),"")</f>
        <v>143.64</v>
      </c>
      <c r="G7" s="70">
        <f>IFERROR(IF(D7="","",F7*MAX(12,'0. Supuestos'!$B$21)),"")</f>
        <v>2010.9599999999998</v>
      </c>
      <c r="H7" s="44">
        <f>IFERROR(IF(D7="","",C7*$B$16),"")</f>
        <v>3.2</v>
      </c>
      <c r="I7" s="40">
        <f>IFERROR(IF(D7="","",H7*B7*$B$17),"")</f>
        <v>147.20000000000002</v>
      </c>
      <c r="J7" s="28" t="inlineStr">
        <is>
          <t>Llamado para las bodas y las fiestas populares (unas 140 horas al año). Bruto a jornada completa: 1.350 €. Nunca como autónomo que te factura: con tu horario y tu dirección es falso autónomo (art. 1.1 ET)</t>
        </is>
      </c>
    </row>
    <row r="8">
      <c r="A8" s="28" t="inlineStr">
        <is>
          <t>Auxiliar de evento: emplatado y servicio (fijo discontinuo)</t>
        </is>
      </c>
      <c r="B8" s="49" t="n">
        <v>1</v>
      </c>
      <c r="C8" s="51" t="n">
        <v>0.08</v>
      </c>
      <c r="D8" s="73" t="n">
        <v>108</v>
      </c>
      <c r="E8" s="70">
        <f>IFERROR(IF(D8="","",D8*'0. Supuestos'!$B$20),"")</f>
        <v>35.64</v>
      </c>
      <c r="F8" s="70">
        <f>IFERROR(IF(D8="","",D8+E8),"")</f>
        <v>143.64</v>
      </c>
      <c r="G8" s="70">
        <f>IFERROR(IF(D8="","",F8*MAX(12,'0. Supuestos'!$B$21)),"")</f>
        <v>2010.9599999999998</v>
      </c>
      <c r="H8" s="44">
        <f>IFERROR(IF(D8="","",C8*$B$16),"")</f>
        <v>3.2</v>
      </c>
      <c r="I8" s="40">
        <f>IFERROR(IF(D8="","",H8*B8*$B$17),"")</f>
        <v>147.20000000000002</v>
      </c>
      <c r="J8" s="28" t="inlineStr">
        <is>
          <t>Mismo contrato y mismas horas que el anterior: sirve la paella, repone y recoge. Por encima del SMI en proporción a su jornada</t>
        </is>
      </c>
    </row>
    <row r="9">
      <c r="A9" s="25" t="inlineStr">
        <is>
          <t>TOTAL PLANTILLA</t>
        </is>
      </c>
      <c r="B9" s="76">
        <f>IFERROR(IF(COUNT(D5:D8)=0,"",SUM(B5:B8)),"")</f>
        <v>4.0</v>
      </c>
      <c r="C9" s="62">
        <f>IFERROR(IF(COUNT(D5:D8)=0,"",SUM(C5:C8)),"")</f>
        <v>1.8099999999999998</v>
      </c>
      <c r="D9" s="72">
        <f>IFERROR(IF(COUNT(D5:D8)=0,"",SUM(D5:D8)),"")</f>
        <v>2959.0</v>
      </c>
      <c r="E9" s="72">
        <f>IFERROR(IF(COUNT(D5:D8)=0,"",SUM(E5:E8)),"")</f>
        <v>976.47</v>
      </c>
      <c r="F9" s="72">
        <f>IFERROR(IF(COUNT(D5:D8)=0,"",SUM(F5:F8)),"")</f>
        <v>3935.4700000000003</v>
      </c>
      <c r="G9" s="72">
        <f>IFERROR(IF(COUNT(D5:D8)=0,"",SUM(G5:G8)),"")</f>
        <v>55096.58</v>
      </c>
      <c r="H9" s="28" t="n"/>
      <c r="I9" s="76">
        <f>IFERROR(IF(COUNT(D5:D8)=0,"",SUM(I5:I8)),"")</f>
        <v>3330.3999999999996</v>
      </c>
      <c r="J9" s="28" t="n"/>
    </row>
    <row r="10">
      <c r="A10" s="25" t="inlineStr">
        <is>
          <t>CRECIMIENTO DE LA PLANTILLA (coste escalonado)</t>
        </is>
      </c>
      <c r="B10" s="28" t="n"/>
      <c r="C10" s="28" t="n"/>
      <c r="D10" s="28" t="n"/>
      <c r="E10" s="28" t="n"/>
      <c r="F10" s="28" t="n"/>
      <c r="G10" s="28" t="n"/>
      <c r="H10" s="28" t="n"/>
      <c r="I10" s="28" t="n"/>
      <c r="J10" s="28" t="n"/>
    </row>
    <row r="11">
      <c r="A11" s="28" t="inlineStr">
        <is>
          <t>Coste anual de las incorporaciones del año 2 (€)</t>
        </is>
      </c>
      <c r="B11" s="29" t="n">
        <v>6000</v>
      </c>
      <c r="C11" s="28" t="n"/>
      <c r="D11" s="28" t="n"/>
      <c r="E11" s="28" t="n"/>
      <c r="F11" s="28" t="n"/>
      <c r="G11" s="28" t="n"/>
      <c r="H11" s="28" t="n"/>
      <c r="I11" s="28" t="n"/>
      <c r="J11" s="28" t="inlineStr">
        <is>
          <t>Coste ANUAL completo (bruto + Seguridad Social × pagas) de lo que se contrate ese año. El P&amp;L lo suma al coste del año anterior: la plantilla no crece con un porcentaje, crece con personas</t>
        </is>
      </c>
    </row>
    <row r="12">
      <c r="A12" s="28" t="inlineStr">
        <is>
          <t>Coste anual de las incorporaciones del año 3 (€)</t>
        </is>
      </c>
      <c r="B12" s="29" t="n">
        <v>6000</v>
      </c>
      <c r="C12" s="28" t="n"/>
      <c r="D12" s="28" t="n"/>
      <c r="E12" s="28" t="n"/>
      <c r="F12" s="28" t="n"/>
      <c r="G12" s="28" t="n"/>
      <c r="H12" s="28" t="n"/>
      <c r="I12" s="28" t="n"/>
      <c r="J12" s="28" t="inlineStr">
        <is>
          <t>Coste ANUAL completo (bruto + Seguridad Social × pagas) de lo que se contrate ese año. El P&amp;L lo suma al coste del año anterior: la plantilla no crece con un porcentaje, crece con personas</t>
        </is>
      </c>
    </row>
    <row r="13">
      <c r="A13" s="28" t="inlineStr">
        <is>
          <t>Coste de personal del año 2</t>
        </is>
      </c>
      <c r="B13" s="32">
        <f>IFERROR(IF(G9="","",G9*(1+'0. Supuestos'!$B$48)+B11),"")</f>
        <v>61096.58</v>
      </c>
      <c r="C13" s="28" t="n"/>
      <c r="D13" s="28" t="n"/>
      <c r="E13" s="28" t="n"/>
      <c r="F13" s="28" t="n"/>
      <c r="G13" s="28" t="n"/>
      <c r="H13" s="28" t="n"/>
      <c r="I13" s="28" t="n"/>
      <c r="J13" s="28" t="n"/>
    </row>
    <row r="14">
      <c r="A14" s="28" t="inlineStr">
        <is>
          <t>Coste de personal del año 3</t>
        </is>
      </c>
      <c r="B14" s="32">
        <f>IFERROR(IF(B13="","",B13*(1+'0. Supuestos'!$B$48)+B12),"")</f>
        <v>67096.58</v>
      </c>
      <c r="C14" s="28" t="n"/>
      <c r="D14" s="28" t="n"/>
      <c r="E14" s="28" t="n"/>
      <c r="F14" s="28" t="n"/>
      <c r="G14" s="28" t="n"/>
      <c r="H14" s="28" t="n"/>
      <c r="I14" s="28" t="n"/>
      <c r="J14" s="28" t="n"/>
    </row>
    <row r="15">
      <c r="A15" s="25" t="inlineStr">
        <is>
          <t>COBERTURA POR HORAS DE SERVICIO</t>
        </is>
      </c>
      <c r="B15" s="28" t="n"/>
      <c r="C15" s="28" t="n"/>
      <c r="D15" s="28" t="n"/>
      <c r="E15" s="28" t="n"/>
      <c r="F15" s="28" t="n"/>
      <c r="G15" s="28" t="n"/>
      <c r="H15" s="28" t="n"/>
      <c r="I15" s="28" t="n"/>
      <c r="J15" s="28" t="n"/>
    </row>
    <row r="16">
      <c r="A16" s="28" t="inlineStr">
        <is>
          <t>Jornada completa del convenio (horas/semana)</t>
        </is>
      </c>
      <c r="B16" s="49" t="n">
        <v>40</v>
      </c>
      <c r="C16" s="28" t="n"/>
      <c r="D16" s="28" t="n"/>
      <c r="E16" s="28" t="n"/>
      <c r="F16" s="28" t="n"/>
      <c r="G16" s="28" t="n"/>
      <c r="H16" s="28" t="n"/>
      <c r="I16" s="28" t="n"/>
      <c r="J16" s="28" t="inlineStr">
        <is>
          <t>Art. 34.1 del Estatuto de los Trabajadores; tu convenio provincial puede fijar menos</t>
        </is>
      </c>
    </row>
    <row r="17">
      <c r="A17" s="28" t="inlineStr">
        <is>
          <t>Semanas trabajadas al año por persona</t>
        </is>
      </c>
      <c r="B17" s="49" t="n">
        <v>46</v>
      </c>
      <c r="C17" s="28" t="n"/>
      <c r="D17" s="28" t="n"/>
      <c r="E17" s="28" t="n"/>
      <c r="F17" s="28" t="n"/>
      <c r="G17" s="28" t="n"/>
      <c r="H17" s="28" t="n"/>
      <c r="I17" s="28" t="n"/>
      <c r="J17" s="28" t="inlineStr">
        <is>
          <t>46 semanas: 52 menos las vacaciones (30 días naturales, art. 38 ET), los festivos y las ausencias medias</t>
        </is>
      </c>
    </row>
    <row r="18">
      <c r="A18" s="28" t="inlineStr">
        <is>
          <t>Horas de trabajo por evento que hay que cubrir</t>
        </is>
      </c>
      <c r="B18" s="77" t="n">
        <v>8</v>
      </c>
      <c r="C18" s="28" t="n"/>
      <c r="D18" s="28" t="n"/>
      <c r="E18" s="28" t="n"/>
      <c r="F18" s="28" t="n"/>
      <c r="G18" s="28" t="n"/>
      <c r="H18" s="28" t="n"/>
      <c r="I18" s="28" t="n"/>
      <c r="J18" s="28" t="inlineStr">
        <is>
          <t>Horas por evento y persona: carga, viaje, montaje, encendido, cocción, servicio, recogida y descarga. Los caldos y la preparación en la cocina de apoyo van aparte</t>
        </is>
      </c>
    </row>
    <row r="19">
      <c r="A19" s="28" t="inlineStr">
        <is>
          <t>Personas necesarias a la vez en cada evento</t>
        </is>
      </c>
      <c r="B19" s="77" t="n">
        <v>2</v>
      </c>
      <c r="C19" s="28" t="n"/>
      <c r="D19" s="28" t="n"/>
      <c r="E19" s="28" t="n"/>
      <c r="F19" s="28" t="n"/>
      <c r="G19" s="28" t="n"/>
      <c r="H19" s="28" t="n"/>
      <c r="I19" s="28" t="n"/>
      <c r="J19" s="28" t="inlineStr">
        <is>
          <t>Personas trabajando a la vez en un evento medio de 94 raciones: el paellero titular y el ayudante. En bodas y fiestas populares entran uno o dos auxiliares: súbelo y la hoja te dice si llega la plantilla</t>
        </is>
      </c>
    </row>
    <row r="20">
      <c r="A20" s="28" t="inlineStr">
        <is>
          <t>Horas de servicio a cubrir al año</t>
        </is>
      </c>
      <c r="B20" s="40">
        <f>IFERROR(IF(OR(B18="",B19="",'0. Supuestos'!$B$6=""),"",B18*B19*'0. Supuestos'!$B$6),"")</f>
        <v>1680.0</v>
      </c>
      <c r="C20" s="28" t="n"/>
      <c r="D20" s="28" t="n"/>
      <c r="E20" s="28" t="n"/>
      <c r="F20" s="28" t="n"/>
      <c r="G20" s="28" t="n"/>
      <c r="H20" s="28" t="n"/>
      <c r="I20" s="28" t="n"/>
      <c r="J20" s="28" t="n"/>
    </row>
    <row r="21">
      <c r="A21" s="28" t="inlineStr">
        <is>
          <t>Horas contratadas al año</t>
        </is>
      </c>
      <c r="B21" s="40">
        <f>IFERROR(IF(I9="","",I9),"")</f>
        <v>3330.3999999999996</v>
      </c>
      <c r="C21" s="28" t="n"/>
      <c r="D21" s="28" t="n"/>
      <c r="E21" s="28" t="n"/>
      <c r="F21" s="28" t="n"/>
      <c r="G21" s="28" t="n"/>
      <c r="H21" s="28" t="n"/>
      <c r="I21" s="28" t="n"/>
      <c r="J21" s="28" t="n"/>
    </row>
    <row r="22">
      <c r="A22" s="25" t="inlineStr">
        <is>
          <t>Cobertura (contratadas / necesarias)</t>
        </is>
      </c>
      <c r="B22" s="67">
        <f>IFERROR(B21/B20,"")</f>
        <v>1.9823809523809521</v>
      </c>
      <c r="C22" s="28" t="n"/>
      <c r="D22" s="28" t="n"/>
      <c r="E22" s="28" t="n"/>
      <c r="F22" s="28" t="n"/>
      <c r="G22" s="28" t="n"/>
      <c r="H22" s="28" t="n"/>
      <c r="I22" s="28" t="n"/>
      <c r="J22" s="25" t="inlineStr">
        <is>
          <t>Por debajo del 100 % la plantilla no llega a cubrir el horario que declara el plan: o se contrata más o se recorta el horario</t>
        </is>
      </c>
    </row>
    <row r="23">
      <c r="A23" s="28" t="n"/>
      <c r="B23" s="28" t="n"/>
      <c r="C23" s="28" t="n"/>
      <c r="D23" s="28" t="n"/>
      <c r="E23" s="28" t="n"/>
      <c r="F23" s="28" t="n"/>
      <c r="G23" s="28" t="n"/>
      <c r="H23" s="28" t="n"/>
      <c r="I23" s="28" t="n"/>
      <c r="J23" s="28" t="n"/>
    </row>
    <row r="24" ht="150" customHeight="1">
      <c r="A24" s="46" t="inlineStr">
        <is>
          <t>Las columnas «Bruto mes», «Seg. Social», «Coste mes» y «Coste año» son TOTALES de la fila: en un puesto con dos personas incluyen a las dos. «Jornada» es el porcentaje sobre la jornada completa del convenio y sirve para comparar el salario con el suelo legal en proporción. El tipo de Seguridad Social y el número de pagas están en la hoja «0. Supuestos».</t>
        </is>
      </c>
      <c r="B24" s="28" t="n"/>
      <c r="C24" s="28" t="n"/>
      <c r="D24" s="28" t="n"/>
      <c r="E24" s="28" t="n"/>
      <c r="F24" s="28" t="n"/>
      <c r="G24" s="28" t="n"/>
      <c r="H24" s="28" t="n"/>
      <c r="I24" s="28" t="n"/>
      <c r="J24" s="28" t="n"/>
    </row>
    <row r="25" ht="150" customHeight="1">
      <c r="A25" s="46" t="inlineStr">
        <is>
          <t>El suelo salarial es el MAYOR entre el SMI y el salario de convenio, los dos en la hoja «0. Supuestos»; las jornadas parciales lo llevan en proporción. El convenio aplicable es el PROVINCIAL de hostelería: no existe una tabla salarial estatal única, así que la celda del convenio se entrega vacía para que copies la de tu provincia.</t>
        </is>
      </c>
      <c r="B25" s="28" t="n"/>
      <c r="C25" s="28" t="n"/>
      <c r="D25" s="28" t="n"/>
      <c r="E25" s="28" t="n"/>
      <c r="F25" s="28" t="n"/>
      <c r="G25" s="28" t="n"/>
      <c r="H25" s="28" t="n"/>
      <c r="I25" s="28" t="n"/>
      <c r="J25" s="28" t="n"/>
    </row>
  </sheetData>
  <sheetProtection selectLockedCells="0" selectUnlockedCells="0" sheet="1" objects="0" insertRows="1" insertHyperlinks="1" autoFilter="1" scenarios="0" formatColumns="0" deleteColumns="1" insertColumns="1" pivotTables="1" deleteRows="1" formatCells="1" formatRows="0" sort="0"/>
  <mergeCells count="1">
    <mergeCell ref="A1:F1"/>
  </mergeCells>
  <conditionalFormatting sqref="B22">
    <cfRule type="expression" priority="1" dxfId="1" stopIfTrue="1">
      <formula>AND(ISNUMBER(B22),B22&lt;0.9)</formula>
    </cfRule>
    <cfRule type="expression" priority="2" dxfId="2" stopIfTrue="1">
      <formula>AND(ISNUMBER(B22),B22&gt;=0.9)</formula>
    </cfRule>
    <cfRule type="expression" priority="3" dxfId="0" stopIfTrue="1">
      <formula>AND(ISNUMBER(B22),B22&gt;=1)</formula>
    </cfRule>
  </conditionalFormatting>
  <conditionalFormatting sqref="D5:D8">
    <cfRule type="expression" priority="4" dxfId="1" stopIfTrue="1">
      <formula>AND(ISNUMBER(D5),IFERROR(D5/B5,0)*'0. Supuestos'!$B$21&lt;MAX('0. Supuestos'!$B$22,'0. Supuestos'!$B$68)*C5)</formula>
    </cfRule>
  </conditionalFormatting>
  <dataValidations count="3">
    <dataValidation sqref="B5 B6 B7 B8 B11 B12 B16 B17 B18 D5 D6 D7 D8" showDropDown="0" showInputMessage="0" showErrorMessage="1" allowBlank="1" errorTitle="Importe no válido" error="Escribe un número mayor o igual que 0." type="decimal" operator="greaterThanOrEqual">
      <formula1>0</formula1>
    </dataValidation>
    <dataValidation sqref="B19" showDropDown="0" showInputMessage="0" showErrorMessage="1" allowBlank="1" errorTitle="Valor no válido" error="Escribe un número mayor o igual que 0; esta celda admite decimales (1,7 personas es una presencia media, no una persona y media)." type="decimal" operator="greaterThanOrEqual">
      <formula1>0</formula1>
    </dataValidation>
    <dataValidation sqref="C5 C6 C7 C8" showDropDown="0" showInputMessage="0" showErrorMessage="1" allowBlank="1" errorTitle="Porcentaje no válido" error="Escribe un porcentaje entre 0 y 1 (0,35 = 35 %)." type="decimal" operator="between">
      <formula1>0</formula1>
      <formula2>1</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E73"/>
  <sheetViews>
    <sheetView workbookViewId="0">
      <selection activeCell="A1" sqref="A1"/>
    </sheetView>
  </sheetViews>
  <sheetFormatPr baseColWidth="8" defaultRowHeight="15"/>
  <cols>
    <col width="62" customWidth="1" min="1" max="1"/>
    <col width="25" customWidth="1" min="2" max="2"/>
    <col width="35" customWidth="1" min="3" max="3"/>
    <col width="54" customWidth="1" min="4" max="4"/>
  </cols>
  <sheetData>
    <row r="1">
      <c r="A1" s="25" t="inlineStr">
        <is>
          <t>INSTRUCCIONES DE USO — Plan financiero Paellero / Paella para Eventos</t>
        </is>
      </c>
      <c r="B1" s="28" t="n"/>
      <c r="C1" s="28" t="n"/>
      <c r="D1" s="28" t="n"/>
      <c r="E1" s="28" t="n"/>
    </row>
    <row r="2">
      <c r="A2" s="28" t="n"/>
      <c r="B2" s="28" t="n"/>
      <c r="C2" s="28" t="n"/>
      <c r="D2" s="28" t="n"/>
      <c r="E2" s="28" t="n"/>
    </row>
    <row r="3">
      <c r="A3" s="39" t="inlineStr">
        <is>
          <t>CÓMO SE USA ESTE LIBRO</t>
        </is>
      </c>
      <c r="B3" s="28" t="n"/>
      <c r="C3" s="28" t="n"/>
      <c r="D3" s="28" t="n"/>
      <c r="E3" s="28" t="n"/>
    </row>
    <row r="4" ht="30" customHeight="1">
      <c r="A4" s="46" t="inlineStr">
        <is>
          <t>Este plan financiero es un MODELO: sólo se teclea en las celdas VERDES y el resto se recalcula solo.</t>
        </is>
      </c>
      <c r="B4" s="28" t="n"/>
      <c r="C4" s="28" t="n"/>
      <c r="D4" s="28" t="n"/>
      <c r="E4" s="28" t="n"/>
    </row>
    <row r="5" ht="45" customHeight="1">
      <c r="A5" s="46" t="inlineStr">
        <is>
          <t>1. «0. Supuestos» es la hoja de mando: invitados, precio por invitado sin IVA, eventos, mezcla de comida y bebida, coste de mercancía, alquiler, financiación e impuestos.</t>
        </is>
      </c>
      <c r="B5" s="28" t="n"/>
      <c r="C5" s="28" t="n"/>
      <c r="D5" s="28" t="n"/>
      <c r="E5" s="28" t="n"/>
    </row>
    <row r="6" ht="45" customHeight="1">
      <c r="A6" s="46" t="inlineStr">
        <is>
          <t>2. Las partidas de la inversión, los costes fijos y la plantilla se teclean en su propia hoja, también en verde. Ningún número se escribe dos veces.</t>
        </is>
      </c>
      <c r="B6" s="28" t="n"/>
      <c r="C6" s="28" t="n"/>
      <c r="D6" s="28" t="n"/>
      <c r="E6" s="28" t="n"/>
    </row>
    <row r="7" ht="90" customHeight="1">
      <c r="A7" s="46" t="inlineStr">
        <is>
          <t>3. Sólo «Punto Equilibrio» se deriva entera de lo anterior. En las otras tres hojas también hay celdas verdes que puedes tocar: el escenario pesimista y el optimista en «Escenarios», la estacionalidad y la rampa de arranque en «Tesorería 12 meses», y las cuatro fuentes alternativas de financiación en «Financiación». Todo lo demás se calcula.</t>
        </is>
      </c>
      <c r="B7" s="28" t="n"/>
      <c r="C7" s="28" t="n"/>
      <c r="D7" s="28" t="n"/>
      <c r="E7" s="28" t="n"/>
    </row>
    <row r="8" ht="225" customHeight="1">
      <c r="A8" s="46" t="inlineStr">
        <is>
          <t>4. Todas las cifras van SIN IVA. Para pasar un PVP a precio sin IVA, divide por el tipo que le corresponda: entre 1,10 en el servicio de paella (comida y bebida, alcohol incluido: art. 91.Uno.2.2.º de la Ley 37/1992 del IVA) y, cuando se venden para llevar, los alimentos, que son productos alimenticios al tipo reducido por el art. 91.Uno.1.1.º; y entre 1,21 el tipo general, que en hostelería sólo alcanza a lo que sale de la cocina de apoyo como entrega de bienes excluida del reducido: el alcohol y los refrescos, zumos y gaseosas con azúcares o edulcorantes añadidos para llevar o a domicilio (la comida para llevar sigue al 10 %); el libro lo aplica al alcohol del canal de paella para recoger. El tipo de cada línea de venta está en la columna «Tipo de IVA de la línea» del P&amp;L y de ahí salen los cobros, el IVA repercutido y el PVP equivalente. El IVA de la inversión se adelanta y se recupera con el modelo 303.</t>
        </is>
      </c>
      <c r="B8" s="28" t="n"/>
      <c r="C8" s="28" t="n"/>
      <c r="D8" s="28" t="n"/>
      <c r="E8" s="28" t="n"/>
    </row>
    <row r="9" ht="30" customHeight="1">
      <c r="A9" s="46" t="inlineStr">
        <is>
          <t>5. Si cambias la plantilla, el P&amp;L la lee sola: el coste de personal sale de la hoja «Personal», no de una estimación aparte.</t>
        </is>
      </c>
      <c r="B9" s="28" t="n"/>
      <c r="C9" s="28" t="n"/>
      <c r="D9" s="28" t="n"/>
      <c r="E9" s="28" t="n"/>
    </row>
    <row r="10" ht="75" customHeight="1">
      <c r="A10" s="46" t="inlineStr">
        <is>
          <t>6. La hoja «Tesorería 12 meses» responde la pregunta que decide una operación bancaria: en qué mes se agota la caja. El saldo mínimo del año nunca puede salir en rojo. Los anticipos de los particulares (30 % al firmar) no se modelan: tu caja real será algo mejor.</t>
        </is>
      </c>
      <c r="B10" s="28" t="n"/>
      <c r="C10" s="28" t="n"/>
      <c r="D10" s="28" t="n"/>
      <c r="E10" s="28" t="n"/>
    </row>
    <row r="11" ht="45" customHeight="1">
      <c r="A11" s="46" t="inlineStr">
        <is>
          <t>7. La hoja «Financiación» cuadra lo que hace falta con lo que se aporta y monta el cuadro de amortización del préstamo. Si la diferencia sale en rojo, el plan no está financiado.</t>
        </is>
      </c>
      <c r="B11" s="28" t="n"/>
      <c r="C11" s="28" t="n"/>
      <c r="D11" s="28" t="n"/>
      <c r="E11" s="28" t="n"/>
    </row>
    <row r="12" ht="45" customHeight="1">
      <c r="A12" s="46" t="inlineStr">
        <is>
          <t>8. El documento Word de este pack y la calculadora de precios usan las cifras de este Excel: si cambias una celda verde, el Excel manda.</t>
        </is>
      </c>
      <c r="B12" s="28" t="n"/>
      <c r="C12" s="28" t="n"/>
      <c r="D12" s="28" t="n"/>
      <c r="E12" s="28" t="n"/>
    </row>
    <row r="13">
      <c r="A13" s="28" t="n"/>
      <c r="B13" s="28" t="n"/>
      <c r="C13" s="28" t="n"/>
      <c r="D13" s="28" t="n"/>
      <c r="E13" s="28" t="n"/>
    </row>
    <row r="14">
      <c r="A14" s="25" t="inlineStr">
        <is>
          <t>RATIOS QUE AUDITA EL LIBRO</t>
        </is>
      </c>
      <c r="B14" s="28" t="n"/>
      <c r="C14" s="28" t="n"/>
      <c r="D14" s="28" t="n"/>
      <c r="E14" s="28" t="n"/>
    </row>
    <row r="15" ht="30" customHeight="1">
      <c r="A15" s="46" t="inlineStr">
        <is>
          <t>Los umbrales viven en la columna «Umbral» del bloque RATIOS CLAVE del P&amp;L: cámbialos ahí y el semáforo cambia con ellos.</t>
        </is>
      </c>
      <c r="B15" s="28" t="n"/>
      <c r="C15" s="28" t="n"/>
      <c r="D15" s="28" t="n"/>
      <c r="E15" s="28" t="n"/>
    </row>
    <row r="16">
      <c r="A16" s="28" t="n"/>
      <c r="B16" s="28" t="n"/>
      <c r="C16" s="28" t="n"/>
      <c r="D16" s="28" t="n"/>
      <c r="E16" s="28" t="n"/>
    </row>
    <row r="17">
      <c r="A17" s="25" t="inlineStr">
        <is>
          <t>Ratio</t>
        </is>
      </c>
      <c r="B17" s="25" t="inlineStr">
        <is>
          <t>Valor del año 1</t>
        </is>
      </c>
      <c r="C17" s="25" t="inlineStr">
        <is>
          <t>Umbral</t>
        </is>
      </c>
      <c r="D17" s="25" t="inlineStr">
        <is>
          <t>Estado</t>
        </is>
      </c>
      <c r="E17" s="28" t="n"/>
    </row>
    <row r="18">
      <c r="A18" s="28" t="inlineStr">
        <is>
          <t>Coste de mercancía / Ventas</t>
        </is>
      </c>
      <c r="B18" s="68">
        <f>IFERROR(IF('PyG 3 Años'!$B$53="","",'PyG 3 Años'!$B$53),"")</f>
        <v>0.28159999999999996</v>
      </c>
      <c r="C18" s="68">
        <f>IFERROR(IF('PyG 3 Años'!$E$53="","",'PyG 3 Años'!$E$53),"")</f>
        <v>0.32</v>
      </c>
      <c r="D18" s="28" t="str">
        <f>IFERROR(IF(OR(B18="",C18=""),"",IF(B18&lt;=C18,"CUMPLE","REVISAR")),"")</f>
        <v>CUMPLE</v>
      </c>
      <c r="E18" s="28" t="n"/>
    </row>
    <row r="19">
      <c r="A19" s="28" t="inlineStr">
        <is>
          <t>Coste de personal / Ventas</t>
        </is>
      </c>
      <c r="B19" s="68">
        <f>IFERROR(IF('PyG 3 Años'!$B$54="","",'PyG 3 Años'!$B$54),"")</f>
        <v>0.34888918439716315</v>
      </c>
      <c r="C19" s="68">
        <f>IFERROR(IF('PyG 3 Años'!$E$54="","",'PyG 3 Años'!$E$54),"")</f>
        <v>0.38</v>
      </c>
      <c r="D19" s="28" t="str">
        <f>IFERROR(IF(OR(B19="",C19=""),"",IF(B19&lt;=C19,"CUMPLE","REVISAR")),"")</f>
        <v>CUMPLE</v>
      </c>
      <c r="E19" s="28" t="n"/>
    </row>
    <row r="20">
      <c r="A20" s="28" t="inlineStr">
        <is>
          <t>Cocina de apoyo / Ventas</t>
        </is>
      </c>
      <c r="B20" s="68">
        <f>IFERROR(IF('PyG 3 Años'!$B$55="","",'PyG 3 Años'!$B$55),"")</f>
        <v>0.06838905775075987</v>
      </c>
      <c r="C20" s="68">
        <f>IFERROR(IF('PyG 3 Años'!$E$55="","",'PyG 3 Años'!$E$55),"")</f>
        <v>0.08</v>
      </c>
      <c r="D20" s="28" t="str">
        <f>IFERROR(IF(OR(B20="",C20=""),"",IF(B20&lt;=C20,"CUMPLE","REVISAR")),"")</f>
        <v>CUMPLE</v>
      </c>
      <c r="E20" s="28" t="n"/>
    </row>
    <row r="21">
      <c r="A21" s="28" t="inlineStr">
        <is>
          <t>Resultado neto / Ventas</t>
        </is>
      </c>
      <c r="B21" s="68">
        <f>IFERROR(IF('PyG 3 Años'!$B$56="","",'PyG 3 Años'!$B$56),"")</f>
        <v>0.07847078140830795</v>
      </c>
      <c r="C21" s="68">
        <f>IFERROR(IF('PyG 3 Años'!$E$56="","",'PyG 3 Años'!$E$56),"")</f>
        <v>0.04</v>
      </c>
      <c r="D21" s="28" t="str">
        <f>IFERROR(IF(OR(B21="",C21=""),"",IF(B21&gt;=C21,"CUMPLE","REVISAR")),"")</f>
        <v>CUMPLE</v>
      </c>
      <c r="E21" s="28" t="n"/>
    </row>
    <row r="22">
      <c r="A22" s="28" t="inlineStr">
        <is>
          <t>Margen bruto / Ventas</t>
        </is>
      </c>
      <c r="B22" s="68">
        <f>IFERROR(IF('PyG 3 Años'!$B$51="","",'PyG 3 Años'!$B$51),"")</f>
        <v>0.6334</v>
      </c>
      <c r="C22" s="68">
        <f>IFERROR(IF('PyG 3 Años'!$E$51="","",'PyG 3 Años'!$E$51),"")</f>
        <v>0.6</v>
      </c>
      <c r="D22" s="28" t="str">
        <f>IFERROR(IF(OR(B22="",C22=""),"",IF(B22&gt;=C22,"CUMPLE","REVISAR")),"")</f>
        <v>CUMPLE</v>
      </c>
      <c r="E22" s="28" t="n"/>
    </row>
    <row r="23">
      <c r="A23" s="28" t="n"/>
      <c r="B23" s="28" t="n"/>
      <c r="C23" s="28" t="n"/>
      <c r="D23" s="28" t="n"/>
      <c r="E23" s="28" t="n"/>
    </row>
    <row r="24">
      <c r="A24" s="25" t="inlineStr">
        <is>
          <t>CIFRAS DE ESTE PLAN</t>
        </is>
      </c>
      <c r="B24" s="28" t="n"/>
      <c r="C24" s="28" t="n"/>
      <c r="D24" s="28" t="n"/>
      <c r="E24" s="28" t="n"/>
    </row>
    <row r="25">
      <c r="A25" s="28" t="inlineStr">
        <is>
          <t>Inversión total (suma de los bloques)</t>
        </is>
      </c>
      <c r="B25" s="32">
        <f>IFERROR(IF('Inversión Inicial'!$B$26="","",'Inversión Inicial'!$B$26),"")</f>
        <v>63111.145000000004</v>
      </c>
      <c r="C25" s="28" t="n"/>
      <c r="D25" s="28" t="n"/>
      <c r="E25" s="28" t="n"/>
    </row>
    <row r="26">
      <c r="A26" s="28" t="inlineStr">
        <is>
          <t>Necesidad total de caja al arranque</t>
        </is>
      </c>
      <c r="B26" s="32">
        <f>IFERROR(IF('Inversión Inicial'!$B$29="","",'Inversión Inicial'!$B$29),"")</f>
        <v>71487.205</v>
      </c>
      <c r="C26" s="28" t="n"/>
      <c r="D26" s="28" t="n"/>
      <c r="E26" s="28" t="n"/>
    </row>
    <row r="27">
      <c r="A27" s="28" t="inlineStr">
        <is>
          <t>Fondo de maniobra dotado</t>
        </is>
      </c>
      <c r="B27" s="32">
        <f>IFERROR(IF('Inversión Inicial'!$B$25="","",'Inversión Inicial'!$B$25),"")</f>
        <v>20425.145</v>
      </c>
      <c r="C27" s="28" t="n"/>
      <c r="D27" s="28" t="n"/>
      <c r="E27" s="28" t="n"/>
    </row>
    <row r="28">
      <c r="A28" s="28" t="inlineStr">
        <is>
          <t>Facturación prevista del año 1</t>
        </is>
      </c>
      <c r="B28" s="32">
        <f>IFERROR(IF('PyG 3 Años'!$B$9="","",'PyG 3 Años'!$B$9),"")</f>
        <v>157920.0</v>
      </c>
      <c r="C28" s="28" t="n"/>
      <c r="D28" s="28" t="n"/>
      <c r="E28" s="28" t="n"/>
    </row>
    <row r="29">
      <c r="A29" s="28" t="inlineStr">
        <is>
          <t>Resultado neto del año 1</t>
        </is>
      </c>
      <c r="B29" s="32">
        <f>IFERROR(IF('PyG 3 Años'!$B$48="","",'PyG 3 Años'!$B$48),"")</f>
        <v>12392.10579999999</v>
      </c>
      <c r="C29" s="28" t="n"/>
      <c r="D29" s="28" t="n"/>
      <c r="E29" s="28" t="n"/>
    </row>
    <row r="30">
      <c r="A30" s="28" t="inlineStr">
        <is>
          <t>Invitados por evento para el punto de equilibrio CONTABLE (con la amortización dentro)</t>
        </is>
      </c>
      <c r="B30" s="44">
        <f>IFERROR(IF('Punto Equilibrio'!$B$15="","",'Punto Equilibrio'!$B$15),"")</f>
        <v>80.29942336896869</v>
      </c>
      <c r="C30" s="28" t="n"/>
      <c r="D30" s="28" t="n"/>
      <c r="E30" s="28" t="n"/>
    </row>
    <row r="31">
      <c r="A31" s="28" t="inlineStr">
        <is>
          <t>Payback del proyecto (años), antes de la deuda</t>
        </is>
      </c>
      <c r="B31" s="28">
        <f>IFERROR(IF('Tesorería 12 meses'!$B$31="","",'Tesorería 12 meses'!$B$31),"")</f>
        <v>3.0</v>
      </c>
      <c r="C31" s="28" t="n"/>
      <c r="D31" s="28" t="n"/>
      <c r="E31" s="28" t="n"/>
    </row>
    <row r="32">
      <c r="A32" s="28" t="n"/>
      <c r="B32" s="28" t="n"/>
      <c r="C32" s="28" t="n"/>
      <c r="D32" s="28" t="n"/>
      <c r="E32" s="28" t="n"/>
    </row>
    <row r="33">
      <c r="A33" s="25" t="inlineStr">
        <is>
          <t>QUÉ HA CAMBIADO RESPECTO DE LA VERSIÓN 1.2</t>
        </is>
      </c>
      <c r="B33" s="28" t="n"/>
      <c r="C33" s="28" t="n"/>
      <c r="D33" s="28" t="n"/>
      <c r="E33" s="28" t="n"/>
    </row>
    <row r="34">
      <c r="A34" s="25" t="inlineStr">
        <is>
          <t>Concepto</t>
        </is>
      </c>
      <c r="B34" s="25" t="inlineStr">
        <is>
          <t>v1.2</t>
        </is>
      </c>
      <c r="C34" s="25" t="inlineStr">
        <is>
          <t>v2.2</t>
        </is>
      </c>
      <c r="D34" s="25" t="inlineStr">
        <is>
          <t>Por qué</t>
        </is>
      </c>
      <c r="E34" s="28" t="n"/>
    </row>
    <row r="35" ht="30" customHeight="1">
      <c r="A35" s="78" t="inlineStr">
        <is>
          <t>Modelo de ingresos</t>
        </is>
      </c>
      <c r="B35" s="78" t="inlineStr">
        <is>
          <t>eventos y tickets medios tecleados, con un margen neto irreal (la mitad de las ventas)</t>
        </is>
      </c>
      <c r="C35" s="78" t="inlineStr">
        <is>
          <t>invitados (raciones) por evento × precio por invitado × eventos al año, en la hoja de Supuestos</t>
        </is>
      </c>
      <c r="D35" s="46" t="inlineStr">
        <is>
          <t>Ahora cualquier cambio de precio o de volumen recalcula todo el libro</t>
        </is>
      </c>
      <c r="E35" s="28" t="n"/>
    </row>
    <row r="36" ht="30" customHeight="1">
      <c r="A36" s="78" t="inlineStr">
        <is>
          <t>Cocina</t>
        </is>
      </c>
      <c r="B36" s="78" t="inlineStr">
        <is>
          <t>no había ninguna: la mise en place se hacía en casa</t>
        </is>
      </c>
      <c r="C36" s="78" t="inlineStr">
        <is>
          <t>cuota de una cocina de apoyo compartida y autorizada</t>
        </is>
      </c>
      <c r="D36" s="46" t="inlineStr">
        <is>
          <t>Lo que se prepara para un evento no se puede hacer en casa (art. 13.5.b del RD 1021/2022)</t>
        </is>
      </c>
      <c r="E36" s="28" t="n"/>
    </row>
    <row r="37" ht="30" customHeight="1">
      <c r="A37" s="78" t="inlineStr">
        <is>
          <t>Personal</t>
        </is>
      </c>
      <c r="B37" s="78" t="inlineStr">
        <is>
          <t>un 12 % de ayudantes subcontratados sobre las ventas y ningún sueldo para el paellero</t>
        </is>
      </c>
      <c r="C37" s="78" t="inlineStr">
        <is>
          <t>plantilla con el sueldo del titular, fijos discontinuos y Seguridad Social</t>
        </is>
      </c>
      <c r="D37" s="46" t="inlineStr">
        <is>
          <t>Las facturas de autónomo con horario y dirección del empresario son falso autónomo (art. 1.1 ET)</t>
        </is>
      </c>
      <c r="E37" s="28" t="n"/>
    </row>
    <row r="38" ht="30" customHeight="1">
      <c r="A38" s="78" t="inlineStr">
        <is>
          <t>Punto de equilibrio</t>
        </is>
      </c>
      <c r="B38" s="78" t="inlineStr">
        <is>
          <t>10 eventos al año, sin amortización, sueldos ni cocina</t>
        </is>
      </c>
      <c r="C38" s="78" t="inlineStr">
        <is>
          <t>con todos los costes fijos, en invitados por evento, en ingresos y en caja</t>
        </is>
      </c>
      <c r="D38" s="46" t="inlineStr">
        <is>
          <t>El anterior salía irrealmente bajo; éste es el que mira un banco</t>
        </is>
      </c>
      <c r="E38" s="28" t="n"/>
    </row>
    <row r="39" ht="30" customHeight="1">
      <c r="A39" s="78" t="inlineStr">
        <is>
          <t>Impuestos, caja y financiación</t>
        </is>
      </c>
      <c r="B39" s="78" t="inlineStr">
        <is>
          <t>no había IVA, Impuesto de Sociedades, tesorería ni préstamo</t>
        </is>
      </c>
      <c r="C39" s="78" t="inlineStr">
        <is>
          <t>IVA al 10 %, Impuesto de Sociedades, tesorería de 12 meses y préstamo con su cuadro y su DSCR</t>
        </is>
      </c>
      <c r="D39" s="46" t="inlineStr">
        <is>
          <t>Es lo que pide cualquier entidad para estudiar la operación</t>
        </is>
      </c>
      <c r="E39" s="28" t="n"/>
    </row>
    <row r="40">
      <c r="A40" s="28" t="n"/>
      <c r="B40" s="28" t="n"/>
      <c r="C40" s="28" t="n"/>
      <c r="D40" s="28" t="n"/>
      <c r="E40" s="28" t="n"/>
    </row>
    <row r="41">
      <c r="A41" s="25" t="inlineStr">
        <is>
          <t>DATOS DE REFERENCIA DEL SECTOR</t>
        </is>
      </c>
      <c r="B41" s="28" t="n"/>
      <c r="C41" s="28" t="n"/>
      <c r="D41" s="28" t="n"/>
      <c r="E41" s="28" t="n"/>
    </row>
    <row r="42">
      <c r="A42" s="25" t="inlineStr">
        <is>
          <t>Referencia</t>
        </is>
      </c>
      <c r="B42" s="25" t="inlineStr">
        <is>
          <t>Valor</t>
        </is>
      </c>
      <c r="C42" s="25" t="inlineStr">
        <is>
          <t>Fuente</t>
        </is>
      </c>
      <c r="D42" s="25" t="inlineStr">
        <is>
          <t>Nota</t>
        </is>
      </c>
      <c r="E42" s="28" t="n"/>
    </row>
    <row r="43" ht="60" customHeight="1">
      <c r="A43" s="28" t="inlineStr">
        <is>
          <t>Mezcla de eventos del plan</t>
        </is>
      </c>
      <c r="B43" s="28" t="inlineStr">
        <is>
          <t>105 eventos: 15 bodas, 30 de empresa, 50 fiestas privadas y 10 populares</t>
        </is>
      </c>
      <c r="C43" s="28" t="inlineStr">
        <is>
          <t>Estimación del kit</t>
        </is>
      </c>
      <c r="D43" s="46" t="inlineStr">
        <is>
          <t>Bodas (15 eventos × 120 raciones × 28 €), comidas de empresa (30 × 70 × 24 €), fiestas privadas (50 × 40 × 18 €) y fiestas populares (10 × 400 × 5 €), precios sin IVA. Media: 94 raciones a 16 €</t>
        </is>
      </c>
      <c r="E43" s="28" t="n"/>
    </row>
    <row r="44" ht="30" customHeight="1">
      <c r="A44" s="28" t="inlineStr">
        <is>
          <t>Fiesta popular contratada por un ayuntamiento</t>
        </is>
      </c>
      <c r="B44" s="28" t="inlineStr">
        <is>
          <t>400 raciones por 1.480 €</t>
        </is>
      </c>
      <c r="C44" s="28" t="inlineStr">
        <is>
          <t>Plataforma de Contratación del Sector Público (contrato menor de Sayalonga, 2025)</t>
        </is>
      </c>
      <c r="D44" s="46" t="inlineStr">
        <is>
          <t>Paella mixta con menaje, pan y servicio: unos 3,70 € por ración</t>
        </is>
      </c>
      <c r="E44" s="28" t="n"/>
    </row>
    <row r="45" ht="30" customHeight="1">
      <c r="A45" s="28" t="inlineStr">
        <is>
          <t>Paella sola para grupos</t>
        </is>
      </c>
      <c r="B45" s="28" t="inlineStr">
        <is>
          <t>11-14 € por persona</t>
        </is>
      </c>
      <c r="C45" s="28" t="inlineStr">
        <is>
          <t>Tarifa publicada de un proveedor de Cataluña (2026)</t>
        </is>
      </c>
      <c r="D45" s="46" t="inlineStr">
        <is>
          <t>14 € de 30 a 49 personas, 12 € de 50 a 99 y 11 € a partir de 100; desplazamiento aparte</t>
        </is>
      </c>
      <c r="E45" s="28" t="n"/>
    </row>
    <row r="46">
      <c r="A46" s="28" t="inlineStr">
        <is>
          <t>Paella en directo con experiencia</t>
        </is>
      </c>
      <c r="B46" s="28" t="inlineStr">
        <is>
          <t>20-39 € por persona</t>
        </is>
      </c>
      <c r="C46" s="28" t="inlineStr">
        <is>
          <t>Fichas de proveedores en plataformas de eventos</t>
        </is>
      </c>
      <c r="D46" s="46" t="inlineStr">
        <is>
          <t>Con show cooking y mínimo de servicio</t>
        </is>
      </c>
      <c r="E46" s="28" t="n"/>
    </row>
    <row r="47">
      <c r="A47" s="28" t="inlineStr">
        <is>
          <t>Raciones por paellera</t>
        </is>
      </c>
      <c r="B47" s="28" t="inlineStr">
        <is>
          <t>90 cm: 30-40 · 120 cm: 60-80 · 150 cm: 90-120</t>
        </is>
      </c>
      <c r="C47" s="28" t="inlineStr">
        <is>
          <t>Manual técnico de este kit (cartas de capacidad de los fabricantes)</t>
        </is>
      </c>
      <c r="D47" s="46" t="inlineStr">
        <is>
          <t>100 g de arroz por ración de evento</t>
        </is>
      </c>
      <c r="E47" s="28" t="n"/>
    </row>
    <row r="48" ht="15" customHeight="1">
      <c r="A48" s="28" t="inlineStr">
        <is>
          <t>Personal por evento</t>
        </is>
      </c>
      <c r="B48" s="28" t="inlineStr">
        <is>
          <t>1 paellero hasta 3 paelleras; ayudante desde 4 paelleras u 80 invitados</t>
        </is>
      </c>
      <c r="C48" s="28" t="inlineStr">
        <is>
          <t>Manual técnico de este kit</t>
        </is>
      </c>
      <c r="D48" s="46" t="inlineStr">
        <is>
          <t>Segundo paellero a partir de unos 150 invitados</t>
        </is>
      </c>
      <c r="E48" s="28" t="n"/>
    </row>
    <row r="49" ht="15" customHeight="1">
      <c r="A49" s="28" t="inlineStr">
        <is>
          <t>Coste de mercancía sobre ventas</t>
        </is>
      </c>
      <c r="B49" s="28" t="inlineStr">
        <is>
          <t>25-28 % con entrantes; 45 % en fiestas populares</t>
        </is>
      </c>
      <c r="C49" s="28" t="inlineStr">
        <is>
          <t>Estimación del kit</t>
        </is>
      </c>
      <c r="D49" s="46" t="inlineStr">
        <is>
          <t>El plan usa el 28 % en comida y el 30 % en bebida</t>
        </is>
      </c>
      <c r="E49" s="28" t="n"/>
    </row>
    <row r="50" ht="30" customHeight="1">
      <c r="A50" s="28" t="inlineStr">
        <is>
          <t>Gas por evento de 100 invitados</t>
        </is>
      </c>
      <c r="B50" s="28" t="inlineStr">
        <is>
          <t>4-6 kg de propano (10-15 €)</t>
        </is>
      </c>
      <c r="C50" s="28" t="inlineStr">
        <is>
          <t>Boletín de precios del IDAE, julio de 2026</t>
        </is>
      </c>
      <c r="D50" s="46" t="inlineStr">
        <is>
          <t>Propano de 35 kg a 78,80 € (≈ 2,25 €/kg); 1-1,5 kg por paellera de 90 cm</t>
        </is>
      </c>
      <c r="E50" s="28" t="n"/>
    </row>
    <row r="51" ht="60" customHeight="1">
      <c r="A51" s="28" t="inlineStr">
        <is>
          <t>Botellas de gas</t>
        </is>
      </c>
      <c r="B51" s="28" t="inlineStr">
        <is>
          <t>Una botella de menos de 15 kg por quemador</t>
        </is>
      </c>
      <c r="C51" s="28" t="inlineStr">
        <is>
          <t>RD 919/2006, art. 2.1.h</t>
        </is>
      </c>
      <c r="D51" s="46" t="inlineStr">
        <is>
          <t>Así no es una instalación y la conectas tú, con regulador y tubo flexible en fecha. Con botellas de 35 kg o varias conectadas, la monta una empresa instaladora (ITC-ICG 06)</t>
        </is>
      </c>
      <c r="E51" s="28" t="n"/>
    </row>
    <row r="52" ht="30" customHeight="1">
      <c r="A52" s="28" t="inlineStr">
        <is>
          <t>IVA de un servicio de paella en el evento</t>
        </is>
      </c>
      <c r="B52" s="28" t="inlineStr">
        <is>
          <t>10 %</t>
        </is>
      </c>
      <c r="C52" s="28" t="inlineStr">
        <is>
          <t>Ley 37/1992, art. 91.Uno.2.2.º</t>
        </is>
      </c>
      <c r="D52" s="46" t="inlineStr">
        <is>
          <t>Alcohol incluido. Paella para recoger: comida al 10 % y alcohol al 21 %</t>
        </is>
      </c>
      <c r="E52" s="28" t="n"/>
    </row>
    <row r="53" ht="45" customHeight="1">
      <c r="A53" s="28" t="inlineStr">
        <is>
          <t>Pago de los ayuntamientos</t>
        </is>
      </c>
      <c r="B53" s="28" t="inlineStr">
        <is>
          <t>30 días desde la conformidad</t>
        </is>
      </c>
      <c r="C53" s="28" t="inlineStr">
        <is>
          <t>Ley 9/2017, art. 198.4</t>
        </is>
      </c>
      <c r="D53" s="46" t="inlineStr">
        <is>
          <t>Contrato menor de servicios por debajo de 15.000 € (art. 118) y factura electrónica por FACe si eres SL (Ley 25/2013, art. 4)</t>
        </is>
      </c>
      <c r="E53" s="28" t="n"/>
    </row>
    <row r="54" ht="45" customHeight="1">
      <c r="A54" s="28" t="inlineStr">
        <is>
          <t>Temperaturas de servicio</t>
        </is>
      </c>
      <c r="B54" s="28" t="inlineStr">
        <is>
          <t>≥ 63 °C en caliente</t>
        </is>
      </c>
      <c r="C54" s="28" t="inlineStr">
        <is>
          <t>RD 1086/2020, art. 30</t>
        </is>
      </c>
      <c r="D54" s="46" t="inlineStr">
        <is>
          <t>Nunca arroz tibio a temperatura ambiente (Bacillus cereus): sírvelo recién hecho o enfríalo de 60 a 10 °C en menos de 2 horas</t>
        </is>
      </c>
      <c r="E54" s="28" t="n"/>
    </row>
    <row r="55" ht="15" customHeight="1">
      <c r="A55" s="28" t="inlineStr">
        <is>
          <t>Convenio colectivo aplicable</t>
        </is>
      </c>
      <c r="B55" s="28" t="inlineStr">
        <is>
          <t>Provincial de hostelería</t>
        </is>
      </c>
      <c r="C55" s="28" t="inlineStr">
        <is>
          <t>V Acuerdo Laboral de ámbito Estatal para el sector de Hostelería, art. 4</t>
        </is>
      </c>
      <c r="D55" s="46" t="inlineStr">
        <is>
          <t>Copia tu tabla salarial en la celda de Supuestos</t>
        </is>
      </c>
      <c r="E55" s="28" t="n"/>
    </row>
    <row r="56">
      <c r="A56" s="28" t="n"/>
      <c r="B56" s="28" t="n"/>
      <c r="C56" s="28" t="n"/>
      <c r="D56" s="28" t="n"/>
      <c r="E56" s="28" t="n"/>
    </row>
    <row r="57">
      <c r="A57" s="79" t="inlineStr">
        <is>
          <t>Para editar una celda que no esté en verde: Revisar → Desproteger hoja (no tiene contraseña).</t>
        </is>
      </c>
      <c r="B57" s="28" t="n"/>
      <c r="C57" s="28" t="n"/>
      <c r="D57" s="28" t="n"/>
      <c r="E57" s="28" t="n"/>
    </row>
    <row r="58">
      <c r="A58" s="79" t="inlineStr">
        <is>
          <t>Más plantillas y kits del catálogo en aichef.pro/productos-digitales</t>
        </is>
      </c>
      <c r="B58" s="28" t="n"/>
      <c r="C58" s="28" t="n"/>
      <c r="D58" s="28" t="n"/>
      <c r="E58" s="28" t="n"/>
    </row>
    <row r="59">
      <c r="A59" s="79" t="inlineStr">
        <is>
          <t>Diseñado por John Guerrero — chef y consultor gastronómico desde 2010, en cocina desde los 17 años · johnguerrero.es</t>
        </is>
      </c>
      <c r="B59" s="28" t="n"/>
      <c r="C59" s="28" t="n"/>
      <c r="D59" s="28" t="n"/>
      <c r="E59" s="28" t="n"/>
    </row>
    <row r="60">
      <c r="A60" s="79" t="inlineStr">
        <is>
          <t>Versión 2.2 · septiembre 2026 · aichef.pro/plan-negocio-paellero-eventos · info@aichef.pro</t>
        </is>
      </c>
      <c r="B60" s="28" t="n"/>
      <c r="C60" s="28" t="n"/>
      <c r="D60" s="28" t="n"/>
      <c r="E60" s="28" t="n"/>
    </row>
    <row r="61">
      <c r="A61" s="28" t="n"/>
      <c r="B61" s="28" t="n"/>
      <c r="C61" s="28" t="n"/>
      <c r="D61" s="28" t="n"/>
      <c r="E61" s="28" t="n"/>
    </row>
    <row r="62">
      <c r="A62" s="28" t="n"/>
      <c r="B62" s="28" t="n"/>
      <c r="C62" s="28" t="n"/>
      <c r="D62" s="28" t="n"/>
      <c r="E62" s="28" t="n"/>
    </row>
    <row r="63">
      <c r="A63" s="28" t="n"/>
      <c r="B63" s="28" t="n"/>
      <c r="C63" s="28" t="n"/>
      <c r="D63" s="28" t="n"/>
      <c r="E63" s="28" t="n"/>
    </row>
    <row r="64">
      <c r="A64" s="28" t="n"/>
      <c r="B64" s="28" t="n"/>
      <c r="C64" s="28" t="n"/>
      <c r="D64" s="28" t="n"/>
      <c r="E64" s="28" t="n"/>
    </row>
    <row r="65">
      <c r="A65" s="28" t="n"/>
      <c r="B65" s="28" t="n"/>
      <c r="C65" s="28" t="n"/>
      <c r="D65" s="28" t="n"/>
      <c r="E65" s="28" t="n"/>
    </row>
    <row r="66">
      <c r="A66" s="28" t="n"/>
      <c r="B66" s="28" t="n"/>
      <c r="C66" s="28" t="n"/>
      <c r="D66" s="28" t="n"/>
      <c r="E66" s="28" t="n"/>
    </row>
    <row r="67">
      <c r="A67" s="28" t="n"/>
      <c r="B67" s="28" t="n"/>
      <c r="C67" s="28" t="n"/>
      <c r="D67" s="28" t="n"/>
      <c r="E67" s="28" t="n"/>
    </row>
    <row r="68">
      <c r="A68" s="28" t="n"/>
      <c r="B68" s="28" t="n"/>
      <c r="C68" s="28" t="n"/>
      <c r="D68" s="28" t="n"/>
      <c r="E68" s="28" t="n"/>
    </row>
    <row r="69">
      <c r="A69" s="28" t="n"/>
      <c r="B69" s="28" t="n"/>
      <c r="C69" s="28" t="n"/>
      <c r="D69" s="28" t="n"/>
      <c r="E69" s="28" t="n"/>
    </row>
    <row r="70">
      <c r="A70" s="28" t="n"/>
      <c r="B70" s="28" t="n"/>
      <c r="C70" s="28" t="n"/>
      <c r="D70" s="28" t="n"/>
      <c r="E70" s="28" t="n"/>
    </row>
    <row r="71">
      <c r="A71" s="28" t="n"/>
      <c r="B71" s="28" t="n"/>
      <c r="C71" s="28" t="n"/>
      <c r="D71" s="28" t="n"/>
      <c r="E71" s="28" t="n"/>
    </row>
    <row r="72">
      <c r="A72" s="28" t="n"/>
      <c r="B72" s="28" t="n"/>
      <c r="C72" s="28" t="n"/>
      <c r="D72" s="28" t="n"/>
      <c r="E72" s="28" t="n"/>
    </row>
    <row r="73">
      <c r="A73" s="28" t="n"/>
      <c r="B73" s="28" t="n"/>
      <c r="C73" s="28" t="n"/>
      <c r="D73" s="28" t="n"/>
      <c r="E73" s="28" t="n"/>
    </row>
  </sheetData>
  <sheetProtection selectLockedCells="0" selectUnlockedCells="0" sheet="1" objects="0" insertRows="1" insertHyperlinks="1" autoFilter="1" scenarios="0" formatColumns="0" deleteColumns="1" insertColumns="1" pivotTables="1" deleteRows="1" formatCells="1" formatRows="0" sort="0"/>
  <conditionalFormatting sqref="D18:D22">
    <cfRule type="containsText" priority="1" operator="containsText" dxfId="0" stopIfTrue="1" text="CUMPLE">
      <formula>NOT(ISERROR(SEARCH("CUMPLE",D18)))</formula>
    </cfRule>
    <cfRule type="containsText" priority="2" operator="containsText" dxfId="1" stopIfTrue="1" text="REVISAR">
      <formula>NOT(ISERROR(SEARCH("REVISAR",D18)))</formula>
    </cfRule>
  </conditionalFormatting>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O70"/>
  <sheetViews>
    <sheetView workbookViewId="0">
      <pane xSplit="1" ySplit="4" topLeftCell="B5"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4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4" customWidth="1" min="14" max="14"/>
    <col width="60" customWidth="1" min="15" max="15"/>
  </cols>
  <sheetData>
    <row r="1">
      <c r="A1" s="25" t="inlineStr">
        <is>
          <t>PREVISIÓN DE TESORERÍA — AÑO 1</t>
        </is>
      </c>
      <c r="B1" s="28" t="n"/>
      <c r="C1" s="28" t="n"/>
      <c r="D1" s="28" t="n"/>
      <c r="E1" s="28" t="n"/>
      <c r="F1" s="28" t="n"/>
      <c r="G1" s="28" t="n"/>
      <c r="H1" s="28" t="n"/>
      <c r="I1" s="28" t="n"/>
      <c r="J1" s="28" t="n"/>
      <c r="K1" s="28" t="n"/>
      <c r="L1" s="28" t="n"/>
      <c r="M1" s="28" t="n"/>
      <c r="N1" s="28" t="n"/>
      <c r="O1" s="28" t="n"/>
    </row>
    <row r="2" ht="45" customHeight="1">
      <c r="A2" s="46" t="inlineStr">
        <is>
          <t>El P&amp;L dice si el negocio gana dinero; esta hoja dice si le queda caja para llegar a fin de mes. Es la primera que mira un banco.</t>
        </is>
      </c>
      <c r="B2" s="28" t="n"/>
      <c r="C2" s="28" t="n"/>
      <c r="D2" s="28" t="n"/>
      <c r="E2" s="28" t="n"/>
      <c r="F2" s="28" t="n"/>
      <c r="G2" s="28" t="n"/>
      <c r="H2" s="28" t="n"/>
      <c r="I2" s="28" t="n"/>
      <c r="J2" s="28" t="n"/>
      <c r="K2" s="28" t="n"/>
      <c r="L2" s="28" t="n"/>
      <c r="M2" s="28" t="n"/>
      <c r="N2" s="28" t="n"/>
      <c r="O2" s="28" t="n"/>
    </row>
    <row r="3">
      <c r="A3" s="28" t="n"/>
      <c r="B3" s="28" t="n"/>
      <c r="C3" s="28" t="n"/>
      <c r="D3" s="28" t="n"/>
      <c r="E3" s="28" t="n"/>
      <c r="F3" s="28" t="n"/>
      <c r="G3" s="28" t="n"/>
      <c r="H3" s="28" t="n"/>
      <c r="I3" s="28" t="n"/>
      <c r="J3" s="28" t="n"/>
      <c r="K3" s="28" t="n"/>
      <c r="L3" s="28" t="n"/>
      <c r="M3" s="28" t="n"/>
      <c r="N3" s="28" t="n"/>
      <c r="O3" s="28" t="n"/>
    </row>
    <row r="4">
      <c r="A4" s="25" t="inlineStr">
        <is>
          <t>Concepto</t>
        </is>
      </c>
      <c r="B4" s="25" t="inlineStr">
        <is>
          <t>Mes 1 (€)</t>
        </is>
      </c>
      <c r="C4" s="25" t="inlineStr">
        <is>
          <t>Mes 2 (€)</t>
        </is>
      </c>
      <c r="D4" s="25" t="inlineStr">
        <is>
          <t>Mes 3 (€)</t>
        </is>
      </c>
      <c r="E4" s="25" t="inlineStr">
        <is>
          <t>Mes 4 (€)</t>
        </is>
      </c>
      <c r="F4" s="25" t="inlineStr">
        <is>
          <t>Mes 5 (€)</t>
        </is>
      </c>
      <c r="G4" s="25" t="inlineStr">
        <is>
          <t>Mes 6 (€)</t>
        </is>
      </c>
      <c r="H4" s="25" t="inlineStr">
        <is>
          <t>Mes 7 (€)</t>
        </is>
      </c>
      <c r="I4" s="25" t="inlineStr">
        <is>
          <t>Mes 8 (€)</t>
        </is>
      </c>
      <c r="J4" s="25" t="inlineStr">
        <is>
          <t>Mes 9 (€)</t>
        </is>
      </c>
      <c r="K4" s="25" t="inlineStr">
        <is>
          <t>Mes 10 (€)</t>
        </is>
      </c>
      <c r="L4" s="25" t="inlineStr">
        <is>
          <t>Mes 11 (€)</t>
        </is>
      </c>
      <c r="M4" s="25" t="inlineStr">
        <is>
          <t>Mes 12 (€)</t>
        </is>
      </c>
      <c r="N4" s="25" t="inlineStr">
        <is>
          <t>Año (€)</t>
        </is>
      </c>
      <c r="O4" s="28" t="n"/>
    </row>
    <row r="5">
      <c r="A5" s="28" t="inlineStr">
        <is>
          <t>Estacionalidad del mes (suma 100 %)</t>
        </is>
      </c>
      <c r="B5" s="75" t="n">
        <v>0.03</v>
      </c>
      <c r="C5" s="75" t="n">
        <v>0.035</v>
      </c>
      <c r="D5" s="75" t="n">
        <v>0.06</v>
      </c>
      <c r="E5" s="75" t="n">
        <v>0.07000000000000001</v>
      </c>
      <c r="F5" s="75" t="n">
        <v>0.11</v>
      </c>
      <c r="G5" s="75" t="n">
        <v>0.13</v>
      </c>
      <c r="H5" s="75" t="n">
        <v>0.12</v>
      </c>
      <c r="I5" s="75" t="n">
        <v>0.12</v>
      </c>
      <c r="J5" s="75" t="n">
        <v>0.13</v>
      </c>
      <c r="K5" s="75" t="n">
        <v>0.09</v>
      </c>
      <c r="L5" s="75" t="n">
        <v>0.04</v>
      </c>
      <c r="M5" s="75" t="n">
        <v>0.065</v>
      </c>
      <c r="N5" s="68">
        <f>IFERROR(IF('PyG 3 Años'!$B$9="","",SUM(B5:M5)),"")</f>
        <v>1.0</v>
      </c>
      <c r="O5" s="28" t="inlineStr">
        <is>
          <t>Perfil de tu zona: agosto flojo en ciudad y fuerte en costa. Tiene que sumar 100 %</t>
        </is>
      </c>
    </row>
    <row r="6">
      <c r="A6" s="28" t="inlineStr">
        <is>
          <t>Rampa de arranque (% de la actividad de crucero)</t>
        </is>
      </c>
      <c r="B6" s="68">
        <f>IFERROR(IF('PyG 3 Años'!$B$9="","",MIN(1,'0. Supuestos'!$B$52+(1-'0. Supuestos'!$B$52)*0/MAX(1,'0. Supuestos'!$B$53-1))),"")</f>
        <v>0.55</v>
      </c>
      <c r="C6" s="68">
        <f>IFERROR(IF('PyG 3 Años'!$B$9="","",MIN(1,'0. Supuestos'!$B$52+(1-'0. Supuestos'!$B$52)*1/MAX(1,'0. Supuestos'!$B$53-1))),"")</f>
        <v>0.64</v>
      </c>
      <c r="D6" s="68">
        <f>IFERROR(IF('PyG 3 Años'!$B$9="","",MIN(1,'0. Supuestos'!$B$52+(1-'0. Supuestos'!$B$52)*2/MAX(1,'0. Supuestos'!$B$53-1))),"")</f>
        <v>0.73</v>
      </c>
      <c r="E6" s="68">
        <f>IFERROR(IF('PyG 3 Años'!$B$9="","",MIN(1,'0. Supuestos'!$B$52+(1-'0. Supuestos'!$B$52)*3/MAX(1,'0. Supuestos'!$B$53-1))),"")</f>
        <v>0.8200000000000001</v>
      </c>
      <c r="F6" s="68">
        <f>IFERROR(IF('PyG 3 Años'!$B$9="","",MIN(1,'0. Supuestos'!$B$52+(1-'0. Supuestos'!$B$52)*4/MAX(1,'0. Supuestos'!$B$53-1))),"")</f>
        <v>0.91</v>
      </c>
      <c r="G6" s="68">
        <f>IFERROR(IF('PyG 3 Años'!$B$9="","",MIN(1,'0. Supuestos'!$B$52+(1-'0. Supuestos'!$B$52)*5/MAX(1,'0. Supuestos'!$B$53-1))),"")</f>
        <v>1.0</v>
      </c>
      <c r="H6" s="68">
        <f>IFERROR(IF('PyG 3 Años'!$B$9="","",MIN(1,'0. Supuestos'!$B$52+(1-'0. Supuestos'!$B$52)*6/MAX(1,'0. Supuestos'!$B$53-1))),"")</f>
        <v>1.0</v>
      </c>
      <c r="I6" s="68">
        <f>IFERROR(IF('PyG 3 Años'!$B$9="","",MIN(1,'0. Supuestos'!$B$52+(1-'0. Supuestos'!$B$52)*7/MAX(1,'0. Supuestos'!$B$53-1))),"")</f>
        <v>1.0</v>
      </c>
      <c r="J6" s="68">
        <f>IFERROR(IF('PyG 3 Años'!$B$9="","",MIN(1,'0. Supuestos'!$B$52+(1-'0. Supuestos'!$B$52)*8/MAX(1,'0. Supuestos'!$B$53-1))),"")</f>
        <v>1.0</v>
      </c>
      <c r="K6" s="68">
        <f>IFERROR(IF('PyG 3 Años'!$B$9="","",MIN(1,'0. Supuestos'!$B$52+(1-'0. Supuestos'!$B$52)*9/MAX(1,'0. Supuestos'!$B$53-1))),"")</f>
        <v>1.0</v>
      </c>
      <c r="L6" s="68">
        <f>IFERROR(IF('PyG 3 Años'!$B$9="","",MIN(1,'0. Supuestos'!$B$52+(1-'0. Supuestos'!$B$52)*10/MAX(1,'0. Supuestos'!$B$53-1))),"")</f>
        <v>1.0</v>
      </c>
      <c r="M6" s="68">
        <f>IFERROR(IF('PyG 3 Años'!$B$9="","",MIN(1,'0. Supuestos'!$B$52+(1-'0. Supuestos'!$B$52)*11/MAX(1,'0. Supuestos'!$B$53-1))),"")</f>
        <v>1.0</v>
      </c>
      <c r="N6" s="28" t="n"/>
      <c r="O6" s="28" t="inlineStr">
        <is>
          <t>Sube en línea recta desde el porcentaje del mes 1 hasta el 100 % en los meses que digas en Supuestos. Con el mes 1 al 100 % la rampa desaparece</t>
        </is>
      </c>
    </row>
    <row r="7">
      <c r="A7" s="28" t="inlineStr">
        <is>
          <t>Reparto de la actividad por mes (calculado)</t>
        </is>
      </c>
      <c r="B7" s="68">
        <f>IFERROR(IF('PyG 3 Años'!$B$9="","",B5*B6/SUMPRODUCT($B$5:$M$5,$B$6:$M$6)),"")</f>
        <v>0.017643284858853723</v>
      </c>
      <c r="C7" s="68">
        <f>IFERROR(IF('PyG 3 Años'!$B$9="","",C5*C6/SUMPRODUCT($B$5:$M$5,$B$6:$M$6)),"")</f>
        <v>0.023952095808383235</v>
      </c>
      <c r="D7" s="68">
        <f>IFERROR(IF('PyG 3 Años'!$B$9="","",D5*D6/SUMPRODUCT($B$5:$M$5,$B$6:$M$6)),"")</f>
        <v>0.046834901625320786</v>
      </c>
      <c r="E7" s="68">
        <f>IFERROR(IF('PyG 3 Años'!$B$9="","",E5*E6/SUMPRODUCT($B$5:$M$5,$B$6:$M$6)),"")</f>
        <v>0.06137724550898204</v>
      </c>
      <c r="F7" s="68">
        <f>IFERROR(IF('PyG 3 Años'!$B$9="","",F5*F6/SUMPRODUCT($B$5:$M$5,$B$6:$M$6)),"")</f>
        <v>0.10703592814371259</v>
      </c>
      <c r="G7" s="68">
        <f>IFERROR(IF('PyG 3 Años'!$B$9="","",G5*G6/SUMPRODUCT($B$5:$M$5,$B$6:$M$6)),"")</f>
        <v>0.1390076988879384</v>
      </c>
      <c r="H7" s="68">
        <f>IFERROR(IF('PyG 3 Años'!$B$9="","",H5*H6/SUMPRODUCT($B$5:$M$5,$B$6:$M$6)),"")</f>
        <v>0.1283147989734816</v>
      </c>
      <c r="I7" s="68">
        <f>IFERROR(IF('PyG 3 Años'!$B$9="","",I5*I6/SUMPRODUCT($B$5:$M$5,$B$6:$M$6)),"")</f>
        <v>0.1283147989734816</v>
      </c>
      <c r="J7" s="68">
        <f>IFERROR(IF('PyG 3 Años'!$B$9="","",J5*J6/SUMPRODUCT($B$5:$M$5,$B$6:$M$6)),"")</f>
        <v>0.1390076988879384</v>
      </c>
      <c r="K7" s="68">
        <f>IFERROR(IF('PyG 3 Años'!$B$9="","",K5*K6/SUMPRODUCT($B$5:$M$5,$B$6:$M$6)),"")</f>
        <v>0.0962360992301112</v>
      </c>
      <c r="L7" s="68">
        <f>IFERROR(IF('PyG 3 Años'!$B$9="","",L5*L6/SUMPRODUCT($B$5:$M$5,$B$6:$M$6)),"")</f>
        <v>0.0427715996578272</v>
      </c>
      <c r="M7" s="68">
        <f>IFERROR(IF('PyG 3 Años'!$B$9="","",M5*M6/SUMPRODUCT($B$5:$M$5,$B$6:$M$6)),"")</f>
        <v>0.0695038494439692</v>
      </c>
      <c r="N7" s="68">
        <f>IFERROR(IF('PyG 3 Años'!$B$9="","",SUM(B7:M7)),"")</f>
        <v>1.0</v>
      </c>
      <c r="O7" s="28" t="inlineStr">
        <is>
          <t>Estacionalidad × rampa, normalizado a 100 %: el AÑO factura lo que dice el P&amp;L, pero repartido como lo reparte un negocio de paellas que acaba de arrancar</t>
        </is>
      </c>
    </row>
    <row r="8">
      <c r="A8" s="25" t="inlineStr">
        <is>
          <t>COBROS</t>
        </is>
      </c>
      <c r="B8" s="28" t="n"/>
      <c r="C8" s="28" t="n"/>
      <c r="D8" s="28" t="n"/>
      <c r="E8" s="28" t="n"/>
      <c r="F8" s="28" t="n"/>
      <c r="G8" s="28" t="n"/>
      <c r="H8" s="28" t="n"/>
      <c r="I8" s="28" t="n"/>
      <c r="J8" s="28" t="n"/>
      <c r="K8" s="28" t="n"/>
      <c r="L8" s="28" t="n"/>
      <c r="M8" s="28" t="n"/>
      <c r="N8" s="28" t="n"/>
      <c r="O8" s="28" t="n"/>
    </row>
    <row r="9">
      <c r="A9" s="28" t="inlineStr">
        <is>
          <t>Ventas cobradas (con IVA repercutido)</t>
        </is>
      </c>
      <c r="B9" s="32">
        <f>IFERROR(IF('PyG 3 Años'!$B$9="","",('PyG 3 Años'!$B$9+'PyG 3 Años'!$B$9*SUMPRODUCT('PyG 3 Años'!$E$10:$E$11,'PyG 3 Años'!$G$10:$G$11))*B7*(1-MIN(30,'0. Supuestos'!$B$58)/30)),"")</f>
        <v>1021.8210898203594</v>
      </c>
      <c r="C9" s="32">
        <f>IFERROR(IF('PyG 3 Años'!$B$9="","",('PyG 3 Años'!$B$9+'PyG 3 Años'!$B$9*SUMPRODUCT('PyG 3 Años'!$E$10:$E$11,'PyG 3 Años'!$G$10:$G$11))*(C7*(1-MIN(30,'0. Supuestos'!$B$58)/30)+B7*MIN(30,'0. Supuestos'!$B$58)/30)),"")</f>
        <v>3430.8417197604786</v>
      </c>
      <c r="D9" s="32">
        <f>IFERROR(IF('PyG 3 Años'!$B$9="","",('PyG 3 Años'!$B$9+'PyG 3 Años'!$B$9*SUMPRODUCT('PyG 3 Años'!$E$10:$E$11,'PyG 3 Años'!$G$10:$G$11))*(D7*(1-MIN(30,'0. Supuestos'!$B$58)/30)+C7*MIN(30,'0. Supuestos'!$B$58)/30)),"")</f>
        <v>5486.869609580838</v>
      </c>
      <c r="E9" s="32">
        <f>IFERROR(IF('PyG 3 Años'!$B$9="","",('PyG 3 Años'!$B$9+'PyG 3 Años'!$B$9*SUMPRODUCT('PyG 3 Años'!$E$10:$E$11,'PyG 3 Años'!$G$10:$G$11))*(E7*(1-MIN(30,'0. Supuestos'!$B$58)/30)+D7*MIN(30,'0. Supuestos'!$B$58)/30)),"")</f>
        <v>8979.639880239522</v>
      </c>
      <c r="F9" s="32">
        <f>IFERROR(IF('PyG 3 Años'!$B$9="","",('PyG 3 Años'!$B$9+'PyG 3 Años'!$B$9*SUMPRODUCT('PyG 3 Años'!$E$10:$E$11,'PyG 3 Años'!$G$10:$G$11))*(F7*(1-MIN(30,'0. Supuestos'!$B$58)/30)+E7*MIN(30,'0. Supuestos'!$B$58)/30)),"")</f>
        <v>13308.445588023951</v>
      </c>
      <c r="G9" s="32">
        <f>IFERROR(IF('PyG 3 Años'!$B$9="","",('PyG 3 Años'!$B$9+'PyG 3 Años'!$B$9*SUMPRODUCT('PyG 3 Años'!$E$10:$E$11,'PyG 3 Años'!$G$10:$G$11))*(G7*(1-MIN(30,'0. Supuestos'!$B$58)/30)+F7*MIN(30,'0. Supuestos'!$B$58)/30)),"")</f>
        <v>20448.807506586825</v>
      </c>
      <c r="H9" s="32">
        <f>IFERROR(IF('PyG 3 Años'!$B$9="","",('PyG 3 Años'!$B$9+'PyG 3 Años'!$B$9*SUMPRODUCT('PyG 3 Años'!$E$10:$E$11,'PyG 3 Años'!$G$10:$G$11))*(H7*(1-MIN(30,'0. Supuestos'!$B$58)/30)+G7*MIN(30,'0. Supuestos'!$B$58)/30)),"")</f>
        <v>23532.849341317367</v>
      </c>
      <c r="I9" s="32">
        <f>IFERROR(IF('PyG 3 Años'!$B$9="","",('PyG 3 Años'!$B$9+'PyG 3 Años'!$B$9*SUMPRODUCT('PyG 3 Años'!$E$10:$E$11,'PyG 3 Años'!$G$10:$G$11))*(I7*(1-MIN(30,'0. Supuestos'!$B$58)/30)+H7*MIN(30,'0. Supuestos'!$B$58)/30)),"")</f>
        <v>22294.278323353294</v>
      </c>
      <c r="J9" s="32">
        <f>IFERROR(IF('PyG 3 Años'!$B$9="","",('PyG 3 Años'!$B$9+'PyG 3 Años'!$B$9*SUMPRODUCT('PyG 3 Años'!$E$10:$E$11,'PyG 3 Años'!$G$10:$G$11))*(J7*(1-MIN(30,'0. Supuestos'!$B$58)/30)+I7*MIN(30,'0. Supuestos'!$B$58)/30)),"")</f>
        <v>22913.56383233533</v>
      </c>
      <c r="K9" s="32">
        <f>IFERROR(IF('PyG 3 Años'!$B$9="","",('PyG 3 Años'!$B$9+'PyG 3 Años'!$B$9*SUMPRODUCT('PyG 3 Años'!$E$10:$E$11,'PyG 3 Años'!$G$10:$G$11))*(K7*(1-MIN(30,'0. Supuestos'!$B$58)/30)+J7*MIN(30,'0. Supuestos'!$B$58)/30)),"")</f>
        <v>21674.992814371253</v>
      </c>
      <c r="L9" s="32">
        <f>IFERROR(IF('PyG 3 Años'!$B$9="","",('PyG 3 Años'!$B$9+'PyG 3 Años'!$B$9*SUMPRODUCT('PyG 3 Años'!$E$10:$E$11,'PyG 3 Años'!$G$10:$G$11))*(L7*(1-MIN(30,'0. Supuestos'!$B$58)/30)+K7*MIN(30,'0. Supuestos'!$B$58)/30)),"")</f>
        <v>13624.281197604789</v>
      </c>
      <c r="M9" s="32">
        <f>IFERROR(IF('PyG 3 Años'!$B$9="","",('PyG 3 Años'!$B$9+'PyG 3 Años'!$B$9*SUMPRODUCT('PyG 3 Años'!$E$10:$E$11,'PyG 3 Años'!$G$10:$G$11))*(M7*(1-MIN(30,'0. Supuestos'!$B$58)/30)+L7*MIN(30,'0. Supuestos'!$B$58)/30)),"")</f>
        <v>8979.639880239522</v>
      </c>
      <c r="N9" s="32">
        <f>IFERROR(IF('PyG 3 Años'!$B$9="","",SUM(B9:M9)),"")</f>
        <v>165696.03078323352</v>
      </c>
      <c r="O9" s="28" t="inlineStr">
        <is>
          <t>Ventas del mes con el IVA repercutido, corregidas por los días medios de cobro de la hoja de Supuestos</t>
        </is>
      </c>
    </row>
    <row r="10">
      <c r="A10" s="25" t="inlineStr">
        <is>
          <t>PAGOS</t>
        </is>
      </c>
      <c r="B10" s="28" t="n"/>
      <c r="C10" s="28" t="n"/>
      <c r="D10" s="28" t="n"/>
      <c r="E10" s="28" t="n"/>
      <c r="F10" s="28" t="n"/>
      <c r="G10" s="28" t="n"/>
      <c r="H10" s="28" t="n"/>
      <c r="I10" s="28" t="n"/>
      <c r="J10" s="28" t="n"/>
      <c r="K10" s="28" t="n"/>
      <c r="L10" s="28" t="n"/>
      <c r="M10" s="28" t="n"/>
      <c r="N10" s="28" t="n"/>
      <c r="O10" s="28" t="n"/>
    </row>
    <row r="11">
      <c r="A11" s="28" t="inlineStr">
        <is>
          <t>Compras y costes variables (IVA incluido)</t>
        </is>
      </c>
      <c r="B11" s="32">
        <f>IFERROR(IF('PyG 3 Años'!$B$9="","",-('PyG 3 Años'!$B$13*(1+'PyG 3 Años'!$G$13)+'PyG 3 Años'!$B$14*(1+'PyG 3 Años'!$G$14)+'PyG 3 Años'!$B$15*(1+'PyG 3 Años'!$G$15)+'PyG 3 Años'!$B$16*(1+'PyG 3 Años'!$G$16)+'PyG 3 Años'!$B$17*(1+'PyG 3 Años'!$G$17)+'PyG 3 Años'!$B$18*(1+'PyG 3 Años'!$G$18))*B7*(1-MIN(30,'0. Supuestos'!$B$59)/30)),"")</f>
        <v>-383.4592095808384</v>
      </c>
      <c r="C11" s="32">
        <f>IFERROR(IF('PyG 3 Años'!$B$9="","",-('PyG 3 Años'!$B$13*(1+'PyG 3 Años'!$G$13)+'PyG 3 Años'!$B$14*(1+'PyG 3 Años'!$G$14)+'PyG 3 Años'!$B$15*(1+'PyG 3 Años'!$G$15)+'PyG 3 Años'!$B$16*(1+'PyG 3 Años'!$G$16)+'PyG 3 Años'!$B$17*(1+'PyG 3 Años'!$G$17)+'PyG 3 Años'!$B$18*(1+'PyG 3 Años'!$G$18))*(C7*(1-MIN(30,'0. Supuestos'!$B$59)/30)+B7*MIN(30,'0. Supuestos'!$B$59)/30)),"")</f>
        <v>-1287.4933461077844</v>
      </c>
      <c r="D11" s="32">
        <f>IFERROR(IF('PyG 3 Años'!$B$9="","",-('PyG 3 Años'!$B$13*(1+'PyG 3 Años'!$G$13)+'PyG 3 Años'!$B$14*(1+'PyG 3 Años'!$G$14)+'PyG 3 Años'!$B$15*(1+'PyG 3 Años'!$G$15)+'PyG 3 Años'!$B$16*(1+'PyG 3 Años'!$G$16)+'PyG 3 Años'!$B$17*(1+'PyG 3 Años'!$G$17)+'PyG 3 Años'!$B$18*(1+'PyG 3 Años'!$G$18))*(D7*(1-MIN(30,'0. Supuestos'!$B$59)/30)+C7*MIN(30,'0. Supuestos'!$B$59)/30)),"")</f>
        <v>-2059.0597556886228</v>
      </c>
      <c r="E11" s="32">
        <f>IFERROR(IF('PyG 3 Años'!$B$9="","",-('PyG 3 Años'!$B$13*(1+'PyG 3 Años'!$G$13)+'PyG 3 Años'!$B$14*(1+'PyG 3 Años'!$G$14)+'PyG 3 Años'!$B$15*(1+'PyG 3 Años'!$G$15)+'PyG 3 Años'!$B$16*(1+'PyG 3 Años'!$G$16)+'PyG 3 Años'!$B$17*(1+'PyG 3 Años'!$G$17)+'PyG 3 Años'!$B$18*(1+'PyG 3 Años'!$G$18))*(E7*(1-MIN(30,'0. Supuestos'!$B$59)/30)+D7*MIN(30,'0. Supuestos'!$B$59)/30)),"")</f>
        <v>-3369.7930538922155</v>
      </c>
      <c r="F11" s="32">
        <f>IFERROR(IF('PyG 3 Años'!$B$9="","",-('PyG 3 Años'!$B$13*(1+'PyG 3 Años'!$G$13)+'PyG 3 Años'!$B$14*(1+'PyG 3 Años'!$G$14)+'PyG 3 Años'!$B$15*(1+'PyG 3 Años'!$G$15)+'PyG 3 Años'!$B$16*(1+'PyG 3 Años'!$G$16)+'PyG 3 Años'!$B$17*(1+'PyG 3 Años'!$G$17)+'PyG 3 Años'!$B$18*(1+'PyG 3 Años'!$G$18))*(F7*(1-MIN(30,'0. Supuestos'!$B$59)/30)+E7*MIN(30,'0. Supuestos'!$B$59)/30)),"")</f>
        <v>-4994.265705389221</v>
      </c>
      <c r="G11" s="32">
        <f>IFERROR(IF('PyG 3 Años'!$B$9="","",-('PyG 3 Años'!$B$13*(1+'PyG 3 Años'!$G$13)+'PyG 3 Años'!$B$14*(1+'PyG 3 Años'!$G$14)+'PyG 3 Años'!$B$15*(1+'PyG 3 Años'!$G$15)+'PyG 3 Años'!$B$16*(1+'PyG 3 Años'!$G$16)+'PyG 3 Años'!$B$17*(1+'PyG 3 Años'!$G$17)+'PyG 3 Años'!$B$18*(1+'PyG 3 Años'!$G$18))*(G7*(1-MIN(30,'0. Supuestos'!$B$59)/30)+F7*MIN(30,'0. Supuestos'!$B$59)/30)),"")</f>
        <v>-7673.832182035928</v>
      </c>
      <c r="H11" s="32">
        <f>IFERROR(IF('PyG 3 Años'!$B$9="","",-('PyG 3 Años'!$B$13*(1+'PyG 3 Años'!$G$13)+'PyG 3 Años'!$B$14*(1+'PyG 3 Años'!$G$14)+'PyG 3 Años'!$B$15*(1+'PyG 3 Años'!$G$15)+'PyG 3 Años'!$B$16*(1+'PyG 3 Años'!$G$16)+'PyG 3 Años'!$B$17*(1+'PyG 3 Años'!$G$17)+'PyG 3 Años'!$B$18*(1+'PyG 3 Años'!$G$18))*(H7*(1-MIN(30,'0. Supuestos'!$B$59)/30)+G7*MIN(30,'0. Supuestos'!$B$59)/30)),"")</f>
        <v>-8831.181796407187</v>
      </c>
      <c r="I11" s="32">
        <f>IFERROR(IF('PyG 3 Años'!$B$9="","",-('PyG 3 Años'!$B$13*(1+'PyG 3 Años'!$G$13)+'PyG 3 Años'!$B$14*(1+'PyG 3 Años'!$G$14)+'PyG 3 Años'!$B$15*(1+'PyG 3 Años'!$G$15)+'PyG 3 Años'!$B$16*(1+'PyG 3 Años'!$G$16)+'PyG 3 Años'!$B$17*(1+'PyG 3 Años'!$G$17)+'PyG 3 Años'!$B$18*(1+'PyG 3 Años'!$G$18))*(I7*(1-MIN(30,'0. Supuestos'!$B$59)/30)+H7*MIN(30,'0. Supuestos'!$B$59)/30)),"")</f>
        <v>-8366.382754491018</v>
      </c>
      <c r="J11" s="32">
        <f>IFERROR(IF('PyG 3 Años'!$B$9="","",-('PyG 3 Años'!$B$13*(1+'PyG 3 Años'!$G$13)+'PyG 3 Años'!$B$14*(1+'PyG 3 Años'!$G$14)+'PyG 3 Años'!$B$15*(1+'PyG 3 Años'!$G$15)+'PyG 3 Años'!$B$16*(1+'PyG 3 Años'!$G$16)+'PyG 3 Años'!$B$17*(1+'PyG 3 Años'!$G$17)+'PyG 3 Años'!$B$18*(1+'PyG 3 Años'!$G$18))*(J7*(1-MIN(30,'0. Supuestos'!$B$59)/30)+I7*MIN(30,'0. Supuestos'!$B$59)/30)),"")</f>
        <v>-8598.782275449103</v>
      </c>
      <c r="K11" s="32">
        <f>IFERROR(IF('PyG 3 Años'!$B$9="","",-('PyG 3 Años'!$B$13*(1+'PyG 3 Años'!$G$13)+'PyG 3 Años'!$B$14*(1+'PyG 3 Años'!$G$14)+'PyG 3 Años'!$B$15*(1+'PyG 3 Años'!$G$15)+'PyG 3 Años'!$B$16*(1+'PyG 3 Años'!$G$16)+'PyG 3 Años'!$B$17*(1+'PyG 3 Años'!$G$17)+'PyG 3 Años'!$B$18*(1+'PyG 3 Años'!$G$18))*(K7*(1-MIN(30,'0. Supuestos'!$B$59)/30)+J7*MIN(30,'0. Supuestos'!$B$59)/30)),"")</f>
        <v>-8133.983233532934</v>
      </c>
      <c r="L11" s="32">
        <f>IFERROR(IF('PyG 3 Años'!$B$9="","",-('PyG 3 Años'!$B$13*(1+'PyG 3 Años'!$G$13)+'PyG 3 Años'!$B$14*(1+'PyG 3 Años'!$G$14)+'PyG 3 Años'!$B$15*(1+'PyG 3 Años'!$G$15)+'PyG 3 Años'!$B$16*(1+'PyG 3 Años'!$G$16)+'PyG 3 Años'!$B$17*(1+'PyG 3 Años'!$G$17)+'PyG 3 Años'!$B$18*(1+'PyG 3 Años'!$G$18))*(L7*(1-MIN(30,'0. Supuestos'!$B$59)/30)+K7*MIN(30,'0. Supuestos'!$B$59)/30)),"")</f>
        <v>-5112.789461077844</v>
      </c>
      <c r="M11" s="32">
        <f>IFERROR(IF('PyG 3 Años'!$B$9="","",-('PyG 3 Años'!$B$13*(1+'PyG 3 Años'!$G$13)+'PyG 3 Años'!$B$14*(1+'PyG 3 Años'!$G$14)+'PyG 3 Años'!$B$15*(1+'PyG 3 Años'!$G$15)+'PyG 3 Años'!$B$16*(1+'PyG 3 Años'!$G$16)+'PyG 3 Años'!$B$17*(1+'PyG 3 Años'!$G$17)+'PyG 3 Años'!$B$18*(1+'PyG 3 Años'!$G$18))*(M7*(1-MIN(30,'0. Supuestos'!$B$59)/30)+L7*MIN(30,'0. Supuestos'!$B$59)/30)),"")</f>
        <v>-3369.7930538922155</v>
      </c>
      <c r="N11" s="32">
        <f>IFERROR(IF('PyG 3 Años'!$B$9="","",SUM(B11:M11)),"")</f>
        <v>-62180.81582754491</v>
      </c>
      <c r="O11" s="28" t="str">
        <f>IFERROR("Materia prima, consumibles, comisiones e imprevistos, cada uno con SU tipo de IVA (la columna del P&amp;L) y con los días de pago a proveedor de Supuestos."&amp;IF('0. Supuestos'!$B$59=0,""," Con "&amp;TEXT('0. Supuestos'!$B$59,"0")&amp;" días de pago, las primeras compras se pagan ya en el año siguiente: la columna «Año» de esta fila recoge "&amp;TEXT(MAX(0,12-ROUNDUP('0. Supuestos'!$B$59/30,0)),"0")&amp;" mensualidades de compra, no el coste del ejercicio."),"")</f>
        <v>Materia prima, consumibles, comisiones e imprevistos, cada uno con SU tipo de IVA (la columna del P&amp;L) y con los días de pago a proveedor de Supuestos. Con 20 días de pago, las primeras compras se pagan ya en el año siguiente: la columna «Año» de esta fila recoge 11 mensualidades de compra, no el coste del ejercicio.</v>
      </c>
    </row>
    <row r="12">
      <c r="A12" s="28" t="inlineStr">
        <is>
          <t>Costes fijos de explotación (IVA incluido)</t>
        </is>
      </c>
      <c r="B12" s="32">
        <f>IFERROR(IF('PyG 3 Años'!$B$9="","",-('PyG 3 Años'!$B$38-'PyG 3 Años'!$B$23-'PyG 3 Años'!$B$36-'PyG 3 Años'!$B$37+'PyG 3 Años'!$B$40)/12),"")</f>
        <v>-2313.75</v>
      </c>
      <c r="C12" s="32">
        <f>IFERROR(IF('PyG 3 Años'!$B$9="","",-('PyG 3 Años'!$B$38-'PyG 3 Años'!$B$23-'PyG 3 Años'!$B$36-'PyG 3 Años'!$B$37+'PyG 3 Años'!$B$40)/12),"")</f>
        <v>-2313.75</v>
      </c>
      <c r="D12" s="32">
        <f>IFERROR(IF('PyG 3 Años'!$B$9="","",-('PyG 3 Años'!$B$38-'PyG 3 Años'!$B$23-'PyG 3 Años'!$B$36-'PyG 3 Años'!$B$37+'PyG 3 Años'!$B$40)/12),"")</f>
        <v>-2313.75</v>
      </c>
      <c r="E12" s="32">
        <f>IFERROR(IF('PyG 3 Años'!$B$9="","",-('PyG 3 Años'!$B$38-'PyG 3 Años'!$B$23-'PyG 3 Años'!$B$36-'PyG 3 Años'!$B$37+'PyG 3 Años'!$B$40)/12),"")</f>
        <v>-2313.75</v>
      </c>
      <c r="F12" s="32">
        <f>IFERROR(IF('PyG 3 Años'!$B$9="","",-('PyG 3 Años'!$B$38-'PyG 3 Años'!$B$23-'PyG 3 Años'!$B$36-'PyG 3 Años'!$B$37+'PyG 3 Años'!$B$40)/12),"")</f>
        <v>-2313.75</v>
      </c>
      <c r="G12" s="32">
        <f>IFERROR(IF('PyG 3 Años'!$B$9="","",-('PyG 3 Años'!$B$38-'PyG 3 Años'!$B$23-'PyG 3 Años'!$B$36-'PyG 3 Años'!$B$37+'PyG 3 Años'!$B$40)/12),"")</f>
        <v>-2313.75</v>
      </c>
      <c r="H12" s="32">
        <f>IFERROR(IF('PyG 3 Años'!$B$9="","",-('PyG 3 Años'!$B$38-'PyG 3 Años'!$B$23-'PyG 3 Años'!$B$36-'PyG 3 Años'!$B$37+'PyG 3 Años'!$B$40)/12),"")</f>
        <v>-2313.75</v>
      </c>
      <c r="I12" s="32">
        <f>IFERROR(IF('PyG 3 Años'!$B$9="","",-('PyG 3 Años'!$B$38-'PyG 3 Años'!$B$23-'PyG 3 Años'!$B$36-'PyG 3 Años'!$B$37+'PyG 3 Años'!$B$40)/12),"")</f>
        <v>-2313.75</v>
      </c>
      <c r="J12" s="32">
        <f>IFERROR(IF('PyG 3 Años'!$B$9="","",-('PyG 3 Años'!$B$38-'PyG 3 Años'!$B$23-'PyG 3 Años'!$B$36-'PyG 3 Años'!$B$37+'PyG 3 Años'!$B$40)/12),"")</f>
        <v>-2313.75</v>
      </c>
      <c r="K12" s="32">
        <f>IFERROR(IF('PyG 3 Años'!$B$9="","",-('PyG 3 Años'!$B$38-'PyG 3 Años'!$B$23-'PyG 3 Años'!$B$36-'PyG 3 Años'!$B$37+'PyG 3 Años'!$B$40)/12),"")</f>
        <v>-2313.75</v>
      </c>
      <c r="L12" s="32">
        <f>IFERROR(IF('PyG 3 Años'!$B$9="","",-('PyG 3 Años'!$B$38-'PyG 3 Años'!$B$23-'PyG 3 Años'!$B$36-'PyG 3 Años'!$B$37+'PyG 3 Años'!$B$40)/12),"")</f>
        <v>-2313.75</v>
      </c>
      <c r="M12" s="32">
        <f>IFERROR(IF('PyG 3 Años'!$B$9="","",-('PyG 3 Años'!$B$38-'PyG 3 Años'!$B$23-'PyG 3 Años'!$B$36-'PyG 3 Años'!$B$37+'PyG 3 Años'!$B$40)/12),"")</f>
        <v>-2313.75</v>
      </c>
      <c r="N12" s="32">
        <f>IFERROR(IF('PyG 3 Años'!$B$9="","",SUM(B12:M12)),"")</f>
        <v>-27765.0</v>
      </c>
      <c r="O12" s="28" t="inlineStr">
        <is>
          <t>Los fijos que salen de caja, cada uno con su tipo de IVA: los seguros están exentos y no llevan</t>
        </is>
      </c>
    </row>
    <row r="13">
      <c r="A13" s="28" t="inlineStr">
        <is>
          <t>Nóminas y Seguridad Social</t>
        </is>
      </c>
      <c r="B13" s="32">
        <f>IFERROR(IF('PyG 3 Años'!$B$9="","",-'PyG 3 Años'!$B$23/MAX(12,'0. Supuestos'!$B$21)*(1+IF(1='0. Supuestos'!$B$60,(MAX(12,'0. Supuestos'!$B$21)-12)/2,0)+IF(1='0. Supuestos'!$B$61,(MAX(12,'0. Supuestos'!$B$21)-12)/2,0))),"")</f>
        <v>-3935.4700000000003</v>
      </c>
      <c r="C13" s="32">
        <f>IFERROR(IF('PyG 3 Años'!$B$9="","",-'PyG 3 Años'!$B$23/MAX(12,'0. Supuestos'!$B$21)*(1+IF(2='0. Supuestos'!$B$60,(MAX(12,'0. Supuestos'!$B$21)-12)/2,0)+IF(2='0. Supuestos'!$B$61,(MAX(12,'0. Supuestos'!$B$21)-12)/2,0))),"")</f>
        <v>-3935.4700000000003</v>
      </c>
      <c r="D13" s="32">
        <f>IFERROR(IF('PyG 3 Años'!$B$9="","",-'PyG 3 Años'!$B$23/MAX(12,'0. Supuestos'!$B$21)*(1+IF(3='0. Supuestos'!$B$60,(MAX(12,'0. Supuestos'!$B$21)-12)/2,0)+IF(3='0. Supuestos'!$B$61,(MAX(12,'0. Supuestos'!$B$21)-12)/2,0))),"")</f>
        <v>-3935.4700000000003</v>
      </c>
      <c r="E13" s="32">
        <f>IFERROR(IF('PyG 3 Años'!$B$9="","",-'PyG 3 Años'!$B$23/MAX(12,'0. Supuestos'!$B$21)*(1+IF(4='0. Supuestos'!$B$60,(MAX(12,'0. Supuestos'!$B$21)-12)/2,0)+IF(4='0. Supuestos'!$B$61,(MAX(12,'0. Supuestos'!$B$21)-12)/2,0))),"")</f>
        <v>-3935.4700000000003</v>
      </c>
      <c r="F13" s="32">
        <f>IFERROR(IF('PyG 3 Años'!$B$9="","",-'PyG 3 Años'!$B$23/MAX(12,'0. Supuestos'!$B$21)*(1+IF(5='0. Supuestos'!$B$60,(MAX(12,'0. Supuestos'!$B$21)-12)/2,0)+IF(5='0. Supuestos'!$B$61,(MAX(12,'0. Supuestos'!$B$21)-12)/2,0))),"")</f>
        <v>-3935.4700000000003</v>
      </c>
      <c r="G13" s="32">
        <f>IFERROR(IF('PyG 3 Años'!$B$9="","",-'PyG 3 Años'!$B$23/MAX(12,'0. Supuestos'!$B$21)*(1+IF(6='0. Supuestos'!$B$60,(MAX(12,'0. Supuestos'!$B$21)-12)/2,0)+IF(6='0. Supuestos'!$B$61,(MAX(12,'0. Supuestos'!$B$21)-12)/2,0))),"")</f>
        <v>-3935.4700000000003</v>
      </c>
      <c r="H13" s="32">
        <f>IFERROR(IF('PyG 3 Años'!$B$9="","",-'PyG 3 Años'!$B$23/MAX(12,'0. Supuestos'!$B$21)*(1+IF(7='0. Supuestos'!$B$60,(MAX(12,'0. Supuestos'!$B$21)-12)/2,0)+IF(7='0. Supuestos'!$B$61,(MAX(12,'0. Supuestos'!$B$21)-12)/2,0))),"")</f>
        <v>-7870.9400000000005</v>
      </c>
      <c r="I13" s="32">
        <f>IFERROR(IF('PyG 3 Años'!$B$9="","",-'PyG 3 Años'!$B$23/MAX(12,'0. Supuestos'!$B$21)*(1+IF(8='0. Supuestos'!$B$60,(MAX(12,'0. Supuestos'!$B$21)-12)/2,0)+IF(8='0. Supuestos'!$B$61,(MAX(12,'0. Supuestos'!$B$21)-12)/2,0))),"")</f>
        <v>-3935.4700000000003</v>
      </c>
      <c r="J13" s="32">
        <f>IFERROR(IF('PyG 3 Años'!$B$9="","",-'PyG 3 Años'!$B$23/MAX(12,'0. Supuestos'!$B$21)*(1+IF(9='0. Supuestos'!$B$60,(MAX(12,'0. Supuestos'!$B$21)-12)/2,0)+IF(9='0. Supuestos'!$B$61,(MAX(12,'0. Supuestos'!$B$21)-12)/2,0))),"")</f>
        <v>-3935.4700000000003</v>
      </c>
      <c r="K13" s="32">
        <f>IFERROR(IF('PyG 3 Años'!$B$9="","",-'PyG 3 Años'!$B$23/MAX(12,'0. Supuestos'!$B$21)*(1+IF(10='0. Supuestos'!$B$60,(MAX(12,'0. Supuestos'!$B$21)-12)/2,0)+IF(10='0. Supuestos'!$B$61,(MAX(12,'0. Supuestos'!$B$21)-12)/2,0))),"")</f>
        <v>-3935.4700000000003</v>
      </c>
      <c r="L13" s="32">
        <f>IFERROR(IF('PyG 3 Años'!$B$9="","",-'PyG 3 Años'!$B$23/MAX(12,'0. Supuestos'!$B$21)*(1+IF(11='0. Supuestos'!$B$60,(MAX(12,'0. Supuestos'!$B$21)-12)/2,0)+IF(11='0. Supuestos'!$B$61,(MAX(12,'0. Supuestos'!$B$21)-12)/2,0))),"")</f>
        <v>-3935.4700000000003</v>
      </c>
      <c r="M13" s="32">
        <f>IFERROR(IF('PyG 3 Años'!$B$9="","",-'PyG 3 Años'!$B$23/MAX(12,'0. Supuestos'!$B$21)*(1+IF(12='0. Supuestos'!$B$60,(MAX(12,'0. Supuestos'!$B$21)-12)/2,0)+IF(12='0. Supuestos'!$B$61,(MAX(12,'0. Supuestos'!$B$21)-12)/2,0))),"")</f>
        <v>-7870.9400000000005</v>
      </c>
      <c r="N13" s="32">
        <f>IFERROR(IF('PyG 3 Años'!$B$9="","",SUM(B13:M13)),"")</f>
        <v>-55096.58</v>
      </c>
      <c r="O13" s="28" t="inlineStr">
        <is>
          <t>Doce mensualidades más las pagas extra en los meses que digas en Supuestos. La suma del año es la misma que la del P&amp;L</t>
        </is>
      </c>
    </row>
    <row r="14">
      <c r="A14" s="28" t="inlineStr">
        <is>
          <t>Intereses del préstamo</t>
        </is>
      </c>
      <c r="B14" s="32">
        <f>IFERROR(IF('PyG 3 Años'!$B$9="","",-'Financiación'!$B$44/12),"")</f>
        <v>-279.5</v>
      </c>
      <c r="C14" s="32">
        <f>IFERROR(IF('PyG 3 Años'!$B$9="","",-'Financiación'!$B$44/12),"")</f>
        <v>-279.5</v>
      </c>
      <c r="D14" s="32">
        <f>IFERROR(IF('PyG 3 Años'!$B$9="","",-'Financiación'!$B$44/12),"")</f>
        <v>-279.5</v>
      </c>
      <c r="E14" s="32">
        <f>IFERROR(IF('PyG 3 Años'!$B$9="","",-'Financiación'!$B$44/12),"")</f>
        <v>-279.5</v>
      </c>
      <c r="F14" s="32">
        <f>IFERROR(IF('PyG 3 Años'!$B$9="","",-'Financiación'!$B$44/12),"")</f>
        <v>-279.5</v>
      </c>
      <c r="G14" s="32">
        <f>IFERROR(IF('PyG 3 Años'!$B$9="","",-'Financiación'!$B$44/12),"")</f>
        <v>-279.5</v>
      </c>
      <c r="H14" s="32">
        <f>IFERROR(IF('PyG 3 Años'!$B$9="","",-'Financiación'!$B$44/12),"")</f>
        <v>-279.5</v>
      </c>
      <c r="I14" s="32">
        <f>IFERROR(IF('PyG 3 Años'!$B$9="","",-'Financiación'!$B$44/12),"")</f>
        <v>-279.5</v>
      </c>
      <c r="J14" s="32">
        <f>IFERROR(IF('PyG 3 Años'!$B$9="","",-'Financiación'!$B$44/12),"")</f>
        <v>-279.5</v>
      </c>
      <c r="K14" s="32">
        <f>IFERROR(IF('PyG 3 Años'!$B$9="","",-'Financiación'!$B$44/12),"")</f>
        <v>-279.5</v>
      </c>
      <c r="L14" s="32">
        <f>IFERROR(IF('PyG 3 Años'!$B$9="","",-'Financiación'!$B$44/12),"")</f>
        <v>-279.5</v>
      </c>
      <c r="M14" s="32">
        <f>IFERROR(IF('PyG 3 Años'!$B$9="","",-'Financiación'!$B$44/12),"")</f>
        <v>-279.5</v>
      </c>
      <c r="N14" s="32">
        <f>IFERROR(IF('PyG 3 Años'!$B$9="","",SUM(B14:M14)),"")</f>
        <v>-3354.0</v>
      </c>
      <c r="O14" s="28" t="n"/>
    </row>
    <row r="15">
      <c r="A15" s="28" t="inlineStr">
        <is>
          <t>Devolución de principal del préstamo</t>
        </is>
      </c>
      <c r="B15" s="32">
        <f>IFERROR(IF('PyG 3 Años'!$B$9="","",-'Financiación'!$B$45/12),"")</f>
        <v>0.0</v>
      </c>
      <c r="C15" s="32">
        <f>IFERROR(IF('PyG 3 Años'!$B$9="","",-'Financiación'!$B$45/12),"")</f>
        <v>0.0</v>
      </c>
      <c r="D15" s="32">
        <f>IFERROR(IF('PyG 3 Años'!$B$9="","",-'Financiación'!$B$45/12),"")</f>
        <v>0.0</v>
      </c>
      <c r="E15" s="32">
        <f>IFERROR(IF('PyG 3 Años'!$B$9="","",-'Financiación'!$B$45/12),"")</f>
        <v>0.0</v>
      </c>
      <c r="F15" s="32">
        <f>IFERROR(IF('PyG 3 Años'!$B$9="","",-'Financiación'!$B$45/12),"")</f>
        <v>0.0</v>
      </c>
      <c r="G15" s="32">
        <f>IFERROR(IF('PyG 3 Años'!$B$9="","",-'Financiación'!$B$45/12),"")</f>
        <v>0.0</v>
      </c>
      <c r="H15" s="32">
        <f>IFERROR(IF('PyG 3 Años'!$B$9="","",-'Financiación'!$B$45/12),"")</f>
        <v>0.0</v>
      </c>
      <c r="I15" s="32">
        <f>IFERROR(IF('PyG 3 Años'!$B$9="","",-'Financiación'!$B$45/12),"")</f>
        <v>0.0</v>
      </c>
      <c r="J15" s="32">
        <f>IFERROR(IF('PyG 3 Años'!$B$9="","",-'Financiación'!$B$45/12),"")</f>
        <v>0.0</v>
      </c>
      <c r="K15" s="32">
        <f>IFERROR(IF('PyG 3 Años'!$B$9="","",-'Financiación'!$B$45/12),"")</f>
        <v>0.0</v>
      </c>
      <c r="L15" s="32">
        <f>IFERROR(IF('PyG 3 Años'!$B$9="","",-'Financiación'!$B$45/12),"")</f>
        <v>0.0</v>
      </c>
      <c r="M15" s="32">
        <f>IFERROR(IF('PyG 3 Años'!$B$9="","",-'Financiación'!$B$45/12),"")</f>
        <v>0.0</v>
      </c>
      <c r="N15" s="32">
        <f>IFERROR(IF('PyG 3 Años'!$B$9="","",SUM(B15:M15)),"")</f>
        <v>0.0</v>
      </c>
      <c r="O15" s="28" t="n"/>
    </row>
    <row r="16">
      <c r="A16" s="28" t="inlineStr">
        <is>
          <t>IVA repercutido del mes (memoria)</t>
        </is>
      </c>
      <c r="B16" s="32">
        <f>IFERROR(IF('PyG 3 Años'!$B$9="","",'PyG 3 Años'!$B$9*B7*SUMPRODUCT('PyG 3 Años'!$E$10:$E$11,'PyG 3 Años'!$G$10:$G$11)),"")</f>
        <v>279.2357245508982</v>
      </c>
      <c r="C16" s="32">
        <f>IFERROR(IF('PyG 3 Años'!$B$9="","",'PyG 3 Años'!$B$9*C7*SUMPRODUCT('PyG 3 Años'!$E$10:$E$11,'PyG 3 Años'!$G$10:$G$11)),"")</f>
        <v>379.0836502994012</v>
      </c>
      <c r="D16" s="32">
        <f>IFERROR(IF('PyG 3 Años'!$B$9="","",'PyG 3 Años'!$B$9*D7*SUMPRODUCT('PyG 3 Años'!$E$10:$E$11,'PyG 3 Años'!$G$10:$G$11)),"")</f>
        <v>741.2439233532934</v>
      </c>
      <c r="E16" s="32">
        <f>IFERROR(IF('PyG 3 Años'!$B$9="","",'PyG 3 Años'!$B$9*E7*SUMPRODUCT('PyG 3 Años'!$E$10:$E$11,'PyG 3 Años'!$G$10:$G$11)),"")</f>
        <v>971.4018538922157</v>
      </c>
      <c r="F16" s="32">
        <f>IFERROR(IF('PyG 3 Años'!$B$9="","",'PyG 3 Años'!$B$9*F7*SUMPRODUCT('PyG 3 Años'!$E$10:$E$11,'PyG 3 Años'!$G$10:$G$11)),"")</f>
        <v>1694.0300622754492</v>
      </c>
      <c r="G16" s="32">
        <f>IFERROR(IF('PyG 3 Años'!$B$9="","",'PyG 3 Años'!$B$9*G7*SUMPRODUCT('PyG 3 Años'!$E$10:$E$11,'PyG 3 Años'!$G$10:$G$11)),"")</f>
        <v>2200.0390419161677</v>
      </c>
      <c r="H16" s="32">
        <f>IFERROR(IF('PyG 3 Años'!$B$9="","",'PyG 3 Años'!$B$9*H7*SUMPRODUCT('PyG 3 Años'!$E$10:$E$11,'PyG 3 Años'!$G$10:$G$11)),"")</f>
        <v>2030.8052694610778</v>
      </c>
      <c r="I16" s="32">
        <f>IFERROR(IF('PyG 3 Años'!$B$9="","",'PyG 3 Años'!$B$9*I7*SUMPRODUCT('PyG 3 Años'!$E$10:$E$11,'PyG 3 Años'!$G$10:$G$11)),"")</f>
        <v>2030.8052694610778</v>
      </c>
      <c r="J16" s="32">
        <f>IFERROR(IF('PyG 3 Años'!$B$9="","",'PyG 3 Años'!$B$9*J7*SUMPRODUCT('PyG 3 Años'!$E$10:$E$11,'PyG 3 Años'!$G$10:$G$11)),"")</f>
        <v>2200.0390419161677</v>
      </c>
      <c r="K16" s="32">
        <f>IFERROR(IF('PyG 3 Años'!$B$9="","",'PyG 3 Años'!$B$9*K7*SUMPRODUCT('PyG 3 Años'!$E$10:$E$11,'PyG 3 Años'!$G$10:$G$11)),"")</f>
        <v>1523.1039520958084</v>
      </c>
      <c r="L16" s="32">
        <f>IFERROR(IF('PyG 3 Años'!$B$9="","",'PyG 3 Años'!$B$9*L7*SUMPRODUCT('PyG 3 Años'!$E$10:$E$11,'PyG 3 Años'!$G$10:$G$11)),"")</f>
        <v>676.9350898203593</v>
      </c>
      <c r="M16" s="32">
        <f>IFERROR(IF('PyG 3 Años'!$B$9="","",'PyG 3 Años'!$B$9*M7*SUMPRODUCT('PyG 3 Años'!$E$10:$E$11,'PyG 3 Años'!$G$10:$G$11)),"")</f>
        <v>1100.0195209580838</v>
      </c>
      <c r="N16" s="32">
        <f>IFERROR(IF('PyG 3 Años'!$B$9="","",SUM(B16:M16)),"")</f>
        <v>15826.742399999997</v>
      </c>
      <c r="O16" s="28" t="inlineStr">
        <is>
          <t>Cada línea de venta a SU tipo, leído de la columna de IVA del P&amp;L: en el servicio de paella, alcohol incluido, el reducido (art. 91.Uno.2.2.º de la Ley 37/1992 del IVA); el alcohol que sale por paella para recoger, al general; la carpa o el mobiliario facturados aparte, al general (art. 90)</t>
        </is>
      </c>
    </row>
    <row r="17">
      <c r="A17" s="28" t="inlineStr">
        <is>
          <t>IVA soportado del mes (memoria)</t>
        </is>
      </c>
      <c r="B17" s="32">
        <f>IFERROR(IF('PyG 3 Años'!$B$9="","",'PyG 3 Años'!$B$39*B7+'PyG 3 Años'!$B$40/12),"")</f>
        <v>505.19661077844313</v>
      </c>
      <c r="C17" s="32">
        <f>IFERROR(IF('PyG 3 Años'!$B$9="","",'PyG 3 Años'!$B$39*C7+'PyG 3 Años'!$B$40/12),"")</f>
        <v>551.3047928143712</v>
      </c>
      <c r="D17" s="32">
        <f>IFERROR(IF('PyG 3 Años'!$B$9="","",'PyG 3 Años'!$B$39*D7+'PyG 3 Años'!$B$40/12),"")</f>
        <v>718.5446395209581</v>
      </c>
      <c r="E17" s="32">
        <f>IFERROR(IF('PyG 3 Años'!$B$9="","",'PyG 3 Años'!$B$39*E7+'PyG 3 Años'!$B$40/12),"")</f>
        <v>824.8279065868264</v>
      </c>
      <c r="F17" s="32">
        <f>IFERROR(IF('PyG 3 Años'!$B$9="","",'PyG 3 Años'!$B$39*F7+'PyG 3 Años'!$B$40/12),"")</f>
        <v>1158.5261053892216</v>
      </c>
      <c r="G17" s="32">
        <f>IFERROR(IF('PyG 3 Años'!$B$9="","",'PyG 3 Años'!$B$39*G7+'PyG 3 Años'!$B$40/12),"")</f>
        <v>1392.192994011976</v>
      </c>
      <c r="H17" s="32">
        <f>IFERROR(IF('PyG 3 Años'!$B$9="","",'PyG 3 Años'!$B$39*H7+'PyG 3 Años'!$B$40/12),"")</f>
        <v>1314.0435329341317</v>
      </c>
      <c r="I17" s="32">
        <f>IFERROR(IF('PyG 3 Años'!$B$9="","",'PyG 3 Años'!$B$39*I7+'PyG 3 Años'!$B$40/12),"")</f>
        <v>1314.0435329341317</v>
      </c>
      <c r="J17" s="32">
        <f>IFERROR(IF('PyG 3 Años'!$B$9="","",'PyG 3 Años'!$B$39*J7+'PyG 3 Años'!$B$40/12),"")</f>
        <v>1392.192994011976</v>
      </c>
      <c r="K17" s="32">
        <f>IFERROR(IF('PyG 3 Años'!$B$9="","",'PyG 3 Años'!$B$39*K7+'PyG 3 Años'!$B$40/12),"")</f>
        <v>1079.5951497005988</v>
      </c>
      <c r="L17" s="32">
        <f>IFERROR(IF('PyG 3 Años'!$B$9="","",'PyG 3 Años'!$B$39*L7+'PyG 3 Años'!$B$40/12),"")</f>
        <v>688.8478443113772</v>
      </c>
      <c r="M17" s="32">
        <f>IFERROR(IF('PyG 3 Años'!$B$9="","",'PyG 3 Años'!$B$39*M7+'PyG 3 Años'!$B$40/12),"")</f>
        <v>884.221497005988</v>
      </c>
      <c r="N17" s="32">
        <f>IFERROR(IF('PyG 3 Años'!$B$9="","",SUM(B17:M17)),"")</f>
        <v>11823.537600000001</v>
      </c>
      <c r="O17" s="28" t="inlineStr">
        <is>
          <t>Cada partida a su tipo, leído de la columna de IVA del P&amp;L: los seguros y las comisiones de los medios de pago están exentos</t>
        </is>
      </c>
    </row>
    <row r="18">
      <c r="A18" s="28" t="inlineStr">
        <is>
          <t>IVA a compensar arrastrado (inversión incluida)</t>
        </is>
      </c>
      <c r="B18" s="28" t="n"/>
      <c r="C18" s="28" t="n"/>
      <c r="D18" s="28" t="n"/>
      <c r="E18" s="32">
        <f>IFERROR(IF('PyG 3 Años'!$B$9="","",'Inversión Inicial'!$B$28),"")</f>
        <v>8376.06</v>
      </c>
      <c r="F18" s="28" t="n"/>
      <c r="G18" s="28" t="n"/>
      <c r="H18" s="32">
        <f>IFERROR(IF('PyG 3 Años'!$B$9="","",MAX(0,-E19)),"")</f>
        <v>8751.542744910179</v>
      </c>
      <c r="I18" s="28" t="n"/>
      <c r="J18" s="28" t="n"/>
      <c r="K18" s="32">
        <f>IFERROR(IF('PyG 3 Años'!$B$9="","",MAX(0,-H19)),"")</f>
        <v>7261.61879281437</v>
      </c>
      <c r="L18" s="28" t="n"/>
      <c r="M18" s="28" t="n"/>
      <c r="N18" s="28" t="n"/>
      <c r="O18" s="28" t="inlineStr">
        <is>
          <t>El IVA soportado de la INVERSIÓN entra aquí: se compensa contra el repercutido de los trimestres siguientes hasta agotarlo (modelo 303)</t>
        </is>
      </c>
    </row>
    <row r="19">
      <c r="A19" s="28" t="inlineStr">
        <is>
          <t>Resultado de la liquidación trimestral</t>
        </is>
      </c>
      <c r="B19" s="28" t="n"/>
      <c r="C19" s="28" t="n"/>
      <c r="D19" s="28" t="n"/>
      <c r="E19" s="32">
        <f>IFERROR(IF('PyG 3 Años'!$B$9="","",SUM(B16:D16)-SUM(B17:D17)-E18),"")</f>
        <v>-8751.542744910179</v>
      </c>
      <c r="F19" s="28" t="n"/>
      <c r="G19" s="28" t="n"/>
      <c r="H19" s="32">
        <f>IFERROR(IF('PyG 3 Años'!$B$9="","",SUM(E16:G16)-SUM(E17:G17)-H18),"")</f>
        <v>-7261.61879281437</v>
      </c>
      <c r="I19" s="28" t="n"/>
      <c r="J19" s="28" t="n"/>
      <c r="K19" s="32">
        <f>IFERROR(IF('PyG 3 Años'!$B$9="","",SUM(H16:J16)-SUM(H17:J17)-K18),"")</f>
        <v>-5020.249271856286</v>
      </c>
      <c r="L19" s="28" t="n"/>
      <c r="M19" s="28" t="n"/>
      <c r="N19" s="28" t="n"/>
      <c r="O19" s="28" t="inlineStr">
        <is>
          <t>Repercutido menos soportado del trimestre menos lo que venía arrastrado. En negativo NO se paga: se compensa en el trimestre siguiente</t>
        </is>
      </c>
    </row>
    <row r="20">
      <c r="A20" s="28" t="inlineStr">
        <is>
          <t>Pago del IVA (modelo 303)</t>
        </is>
      </c>
      <c r="B20" s="28" t="n"/>
      <c r="C20" s="28" t="n"/>
      <c r="D20" s="28" t="n"/>
      <c r="E20" s="32">
        <f>IFERROR(IF('PyG 3 Años'!$B$9="","",IF(E19&lt;=0,"",-E19)),"")</f>
        <v/>
      </c>
      <c r="F20" s="28" t="n"/>
      <c r="G20" s="28" t="n"/>
      <c r="H20" s="32">
        <f>IFERROR(IF('PyG 3 Años'!$B$9="","",IF(H19&lt;=0,"",-H19)),"")</f>
        <v/>
      </c>
      <c r="I20" s="28" t="n"/>
      <c r="J20" s="28" t="n"/>
      <c r="K20" s="32">
        <f>IFERROR(IF('PyG 3 Años'!$B$9="","",IF(K19&lt;=0,"",-K19)),"")</f>
        <v/>
      </c>
      <c r="L20" s="28" t="n"/>
      <c r="M20" s="28" t="n"/>
      <c r="N20" s="32">
        <f>IFERROR(IF('PyG 3 Años'!$B$9="","",SUM(B20:M20)),"")</f>
        <v>0.0</v>
      </c>
      <c r="O20" s="28" t="inlineStr">
        <is>
          <t>Sólo sale caja cuando el resultado del trimestre es positivo. Los meses sin liquidación van en blanco, no a cero. La celda se pinta en ROJO cuando el pago del 303 se lleva más caja de la que queda ese mes</t>
        </is>
      </c>
    </row>
    <row r="21">
      <c r="A21" s="25" t="inlineStr">
        <is>
          <t>FLUJO DEL MES</t>
        </is>
      </c>
      <c r="B21" s="26">
        <f>IFERROR(IF('PyG 3 Años'!$B$9="","",SUM(B9:B15)+IF(B20="",0,B20)),"")</f>
        <v>-5890.358119760479</v>
      </c>
      <c r="C21" s="26">
        <f>IFERROR(IF('PyG 3 Años'!$B$9="","",SUM(C9:C15)+IF(C20="",0,C20)),"")</f>
        <v>-4385.371626347306</v>
      </c>
      <c r="D21" s="26">
        <f>IFERROR(IF('PyG 3 Años'!$B$9="","",SUM(D9:D15)+IF(D20="",0,D20)),"")</f>
        <v>-3100.910146107785</v>
      </c>
      <c r="E21" s="26">
        <f>IFERROR(IF('PyG 3 Años'!$B$9="","",SUM(E9:E15)+IF(E20="",0,E20)),"")</f>
        <v>-918.8731736526943</v>
      </c>
      <c r="F21" s="26">
        <f>IFERROR(IF('PyG 3 Años'!$B$9="","",SUM(F9:F15)+IF(F20="",0,F20)),"")</f>
        <v>1785.4598826347292</v>
      </c>
      <c r="G21" s="26">
        <f>IFERROR(IF('PyG 3 Años'!$B$9="","",SUM(G9:G15)+IF(G20="",0,G20)),"")</f>
        <v>6246.255324550898</v>
      </c>
      <c r="H21" s="26">
        <f>IFERROR(IF('PyG 3 Años'!$B$9="","",SUM(H9:H15)+IF(H20="",0,H20)),"")</f>
        <v>4237.47754491018</v>
      </c>
      <c r="I21" s="26">
        <f>IFERROR(IF('PyG 3 Años'!$B$9="","",SUM(I9:I15)+IF(I20="",0,I20)),"")</f>
        <v>7399.175568862275</v>
      </c>
      <c r="J21" s="26">
        <f>IFERROR(IF('PyG 3 Años'!$B$9="","",SUM(J9:J15)+IF(J20="",0,J20)),"")</f>
        <v>7786.061556886228</v>
      </c>
      <c r="K21" s="26">
        <f>IFERROR(IF('PyG 3 Años'!$B$9="","",SUM(K9:K15)+IF(K20="",0,K20)),"")</f>
        <v>7012.289580838319</v>
      </c>
      <c r="L21" s="26">
        <f>IFERROR(IF('PyG 3 Años'!$B$9="","",SUM(L9:L15)+IF(L20="",0,L20)),"")</f>
        <v>1982.7717365269446</v>
      </c>
      <c r="M21" s="26">
        <f>IFERROR(IF('PyG 3 Años'!$B$9="","",SUM(M9:M15)+IF(M20="",0,M20)),"")</f>
        <v>-4854.3431736526945</v>
      </c>
      <c r="N21" s="26">
        <f>IFERROR(IF('PyG 3 Años'!$B$9="","",SUM(B21:M21)),"")</f>
        <v>17299.634955688613</v>
      </c>
      <c r="O21" s="28" t="n"/>
    </row>
    <row r="22">
      <c r="A22" s="25" t="inlineStr">
        <is>
          <t>SALDO ACUMULADO DE CAJA</t>
        </is>
      </c>
      <c r="B22" s="26">
        <f>IFERROR(IF('PyG 3 Años'!$B$9="","",'Inversión Inicial'!$B$25+B21),"")</f>
        <v>14534.78688023952</v>
      </c>
      <c r="C22" s="26">
        <f>IFERROR(IF('PyG 3 Años'!$B$9="","",B22+C21),"")</f>
        <v>10149.415253892214</v>
      </c>
      <c r="D22" s="26">
        <f>IFERROR(IF('PyG 3 Años'!$B$9="","",C22+D21),"")</f>
        <v>7048.505107784429</v>
      </c>
      <c r="E22" s="26">
        <f>IFERROR(IF('PyG 3 Años'!$B$9="","",D22+E21),"")</f>
        <v>6129.631934131735</v>
      </c>
      <c r="F22" s="26">
        <f>IFERROR(IF('PyG 3 Años'!$B$9="","",E22+F21),"")</f>
        <v>7915.091816766464</v>
      </c>
      <c r="G22" s="26">
        <f>IFERROR(IF('PyG 3 Años'!$B$9="","",F22+G21),"")</f>
        <v>14161.347141317361</v>
      </c>
      <c r="H22" s="26">
        <f>IFERROR(IF('PyG 3 Años'!$B$9="","",G22+H21),"")</f>
        <v>18398.82468622754</v>
      </c>
      <c r="I22" s="26">
        <f>IFERROR(IF('PyG 3 Años'!$B$9="","",H22+I21),"")</f>
        <v>25798.000255089817</v>
      </c>
      <c r="J22" s="26">
        <f>IFERROR(IF('PyG 3 Años'!$B$9="","",I22+J21),"")</f>
        <v>33584.06181197605</v>
      </c>
      <c r="K22" s="26">
        <f>IFERROR(IF('PyG 3 Años'!$B$9="","",J22+K21),"")</f>
        <v>40596.351392814366</v>
      </c>
      <c r="L22" s="26">
        <f>IFERROR(IF('PyG 3 Años'!$B$9="","",K22+L21),"")</f>
        <v>42579.12312934131</v>
      </c>
      <c r="M22" s="26">
        <f>IFERROR(IF('PyG 3 Años'!$B$9="","",L22+M21),"")</f>
        <v>37724.77995568862</v>
      </c>
      <c r="N22" s="28" t="n"/>
      <c r="O22" s="28" t="n"/>
    </row>
    <row r="23">
      <c r="A23" s="28" t="inlineStr">
        <is>
          <t>Saldo mínimo del año</t>
        </is>
      </c>
      <c r="B23" s="32">
        <f>IFERROR(IF('PyG 3 Años'!$B$9="","",IF(COUNT(B22:M22)=0,"",MIN(B22:M22))),"")</f>
        <v>6129.631934131735</v>
      </c>
      <c r="C23" s="28" t="n"/>
      <c r="D23" s="28" t="inlineStr">
        <is>
          <t>Si es negativo, sube el fondo de maniobra o el préstamo: te quedas sin caja</t>
        </is>
      </c>
      <c r="E23" s="28" t="n"/>
      <c r="F23" s="28" t="n"/>
      <c r="G23" s="28" t="n"/>
      <c r="H23" s="28" t="n"/>
      <c r="I23" s="28" t="n"/>
      <c r="J23" s="28" t="n"/>
      <c r="K23" s="28" t="n"/>
      <c r="L23" s="28" t="n"/>
      <c r="M23" s="28" t="n"/>
      <c r="N23" s="28" t="n"/>
      <c r="O23" s="28" t="n"/>
    </row>
    <row r="24">
      <c r="A24" s="28" t="inlineStr">
        <is>
          <t>Mes en el que la caja toca fondo</t>
        </is>
      </c>
      <c r="B24" s="40">
        <f>IFERROR(IF('PyG 3 Años'!$B$9="","",IF(COUNT(B22:M22)=0,"",MATCH(MIN(B22:M22),B22:M22,0))),"")</f>
        <v>4.0</v>
      </c>
      <c r="C24" s="28" t="n"/>
      <c r="D24" s="28" t="inlineStr">
        <is>
          <t>Es la respuesta a la pregunta que decide una operación bancaria: en qué mes se agota la caja</t>
        </is>
      </c>
      <c r="E24" s="28" t="n"/>
      <c r="F24" s="28" t="n"/>
      <c r="G24" s="28" t="n"/>
      <c r="H24" s="28" t="n"/>
      <c r="I24" s="28" t="n"/>
      <c r="J24" s="28" t="n"/>
      <c r="K24" s="28" t="n"/>
      <c r="L24" s="28" t="n"/>
      <c r="M24" s="28" t="n"/>
      <c r="N24" s="28" t="n"/>
      <c r="O24" s="28" t="n"/>
    </row>
    <row r="25">
      <c r="A25" s="25" t="inlineStr">
        <is>
          <t>RETORNO DE LA INVERSIÓN</t>
        </is>
      </c>
      <c r="B25" s="28" t="n"/>
      <c r="C25" s="28" t="n"/>
      <c r="D25" s="28" t="n"/>
      <c r="E25" s="28" t="n"/>
      <c r="F25" s="28" t="n"/>
      <c r="G25" s="28" t="n"/>
      <c r="H25" s="28" t="n"/>
      <c r="I25" s="28" t="n"/>
      <c r="J25" s="28" t="n"/>
      <c r="K25" s="28" t="n"/>
      <c r="L25" s="28" t="n"/>
      <c r="M25" s="28" t="n"/>
      <c r="N25" s="28" t="n"/>
      <c r="O25" s="28" t="n"/>
    </row>
    <row r="26">
      <c r="A26" s="28" t="inlineStr">
        <is>
          <t>Flujo de caja libre antes de la deuda, año 1</t>
        </is>
      </c>
      <c r="B26" s="32">
        <f>IFERROR(IF('PyG 3 Años'!$B$9="","",'PyG 3 Años'!$B$48+'PyG 3 Años'!$B$36+'Financiación'!$B$44),"")</f>
        <v>19493.10579999999</v>
      </c>
      <c r="C26" s="28" t="n"/>
      <c r="D26" s="28" t="inlineStr">
        <is>
          <t>Resultado neto más amortización (que no se paga) más los intereses de ese año: el principal no se resta porque este flujo es ANTES de la deuda. La MISMA base que los años 2 y 3, para que el payback compare peras con peras</t>
        </is>
      </c>
      <c r="E26" s="28" t="n"/>
      <c r="F26" s="28" t="n"/>
      <c r="G26" s="28" t="n"/>
      <c r="H26" s="28" t="n"/>
      <c r="I26" s="28" t="n"/>
      <c r="J26" s="28" t="n"/>
      <c r="K26" s="28" t="n"/>
      <c r="L26" s="28" t="n"/>
      <c r="M26" s="28" t="n"/>
      <c r="N26" s="28" t="n"/>
      <c r="O26" s="28" t="n"/>
    </row>
    <row r="27">
      <c r="A27" s="28" t="inlineStr">
        <is>
          <t>Flujo de caja libre antes de la deuda, año 2</t>
        </is>
      </c>
      <c r="B27" s="32">
        <f>IFERROR(IF('PyG 3 Años'!$B$9="","",'PyG 3 Años'!$C$48+'PyG 3 Años'!$C$36+'Financiación'!$B$46),"")</f>
        <v>22895.360679999998</v>
      </c>
      <c r="C27" s="28" t="n"/>
      <c r="D27" s="28" t="inlineStr">
        <is>
          <t>Resultado neto más amortización (que no se paga) más los intereses de ese año: el principal no se resta porque este flujo es ANTES de la deuda. Sin tabla mensual, es una estimación</t>
        </is>
      </c>
      <c r="E27" s="28" t="n"/>
      <c r="F27" s="28" t="n"/>
      <c r="G27" s="28" t="n"/>
      <c r="H27" s="28" t="n"/>
      <c r="I27" s="28" t="n"/>
      <c r="J27" s="28" t="n"/>
      <c r="K27" s="28" t="n"/>
      <c r="L27" s="28" t="n"/>
      <c r="M27" s="28" t="n"/>
      <c r="N27" s="28" t="n"/>
      <c r="O27" s="28" t="n"/>
    </row>
    <row r="28">
      <c r="A28" s="28" t="inlineStr">
        <is>
          <t>Flujo de caja libre antes de la deuda, año 3</t>
        </is>
      </c>
      <c r="B28" s="32">
        <f>IFERROR(IF('PyG 3 Años'!$B$9="","",'PyG 3 Años'!$D$48+'PyG 3 Años'!$D$36+'Financiación'!$B$48),"")</f>
        <v>21341.244176224518</v>
      </c>
      <c r="C28" s="28" t="n"/>
      <c r="D28" s="28" t="inlineStr">
        <is>
          <t>Resultado neto más amortización (que no se paga) más los intereses de ese año: el principal no se resta porque este flujo es ANTES de la deuda. Sin tabla mensual, es una estimación</t>
        </is>
      </c>
      <c r="E28" s="28" t="n"/>
      <c r="F28" s="28" t="n"/>
      <c r="G28" s="28" t="n"/>
      <c r="H28" s="28" t="n"/>
      <c r="I28" s="28" t="n"/>
      <c r="J28" s="28" t="n"/>
      <c r="K28" s="28" t="n"/>
      <c r="L28" s="28" t="n"/>
      <c r="M28" s="28" t="n"/>
      <c r="N28" s="28" t="n"/>
      <c r="O28" s="28" t="n"/>
    </row>
    <row r="29">
      <c r="A29" s="28" t="inlineStr">
        <is>
          <t>Informativo: flujo REAL de caja del año 1 (tabla mensual, antes de la deuda)</t>
        </is>
      </c>
      <c r="B29" s="32">
        <f>IFERROR(IF('PyG 3 Años'!$B$9="","",N21+'Financiación'!$B$44+'Financiación'!$B$45),"")</f>
        <v>20653.634955688613</v>
      </c>
      <c r="C29" s="28" t="n"/>
      <c r="D29" s="28" t="inlineStr">
        <is>
          <t>La suma de los doce FLUJO DEL MES de arriba, devolviéndole los intereses y el principal que se pagaron ese año. NO es la que usa el payback: lleva dentro el IVA que todavía no se ha liquidado y el crédito del proveedor, dos cosas que hay que devolver y que los años 2 y 3 no tienen</t>
        </is>
      </c>
      <c r="E29" s="28" t="n"/>
      <c r="F29" s="28" t="n"/>
      <c r="G29" s="28" t="n"/>
      <c r="H29" s="28" t="n"/>
      <c r="I29" s="28" t="n"/>
      <c r="J29" s="28" t="n"/>
      <c r="K29" s="28" t="n"/>
      <c r="L29" s="28" t="n"/>
      <c r="M29" s="28" t="n"/>
      <c r="N29" s="28" t="n"/>
      <c r="O29" s="28" t="n"/>
    </row>
    <row r="30">
      <c r="A30" s="28" t="inlineStr">
        <is>
          <t>Inversión a recuperar (sin el IVA, que se recupera por el 303)</t>
        </is>
      </c>
      <c r="B30" s="32">
        <f>IFERROR(IF('PyG 3 Años'!$B$9="","",'Inversión Inicial'!$B$29-'Inversión Inicial'!$B$28),"")</f>
        <v>63111.145000000004</v>
      </c>
      <c r="C30" s="28" t="n"/>
      <c r="D30" s="28" t="inlineStr">
        <is>
          <t>CAPEX más fondo de maniobra: la necesidad total de caja MENOS el IVA soportado de la inversión, que no se pierde (se recupera con el modelo 303 y esta misma hoja lo compensa trimestre a trimestre). El fondo de maniobra sí se recupera al cerrar, pero hasta entonces está inmovilizado</t>
        </is>
      </c>
      <c r="E30" s="28" t="n"/>
      <c r="F30" s="28" t="n"/>
      <c r="G30" s="28" t="n"/>
      <c r="H30" s="28" t="n"/>
      <c r="I30" s="28" t="n"/>
      <c r="J30" s="28" t="n"/>
      <c r="K30" s="28" t="n"/>
      <c r="L30" s="28" t="n"/>
      <c r="M30" s="28" t="n"/>
      <c r="N30" s="28" t="n"/>
      <c r="O30" s="28" t="n"/>
    </row>
    <row r="31">
      <c r="A31" s="25" t="inlineStr">
        <is>
          <t>Payback del proyecto (años), antes de la deuda</t>
        </is>
      </c>
      <c r="B31" s="25">
        <f>IFERROR(IF('PyG 3 Años'!$B$9="","",IF(B26&gt;=B30,ROUND(B30/B26,1),IF(B26+B27&gt;=B30,ROUND(1+(B30-B26)/B27,1),IF(B26+B27+B28&gt;=B30,ROUND(2+(B30-B26-B27)/B28,1),"Más de 3 años")))),"")</f>
        <v>3.0</v>
      </c>
      <c r="C31" s="28" t="n"/>
      <c r="D31" s="25" t="inlineStr">
        <is>
          <t>Mide cuánto tarda el negocio en devolver la inversión con lo que genera ANTES de pagar al banco, con la MISMA base de flujo en los tres años; si puedes pagar la cuota lo dice el DSCR de la hoja de Financiación. El plan de negocio en Word cita esta cifra; si cambias una celda verde, manda este libro</t>
        </is>
      </c>
      <c r="E31" s="28" t="n"/>
      <c r="F31" s="28" t="n"/>
      <c r="G31" s="28" t="n"/>
      <c r="H31" s="28" t="n"/>
      <c r="I31" s="28" t="n"/>
      <c r="J31" s="28" t="n"/>
      <c r="K31" s="28" t="n"/>
      <c r="L31" s="28" t="n"/>
      <c r="M31" s="28" t="n"/>
      <c r="N31" s="28" t="n"/>
      <c r="O31" s="28" t="n"/>
    </row>
    <row r="32">
      <c r="A32" s="28" t="inlineStr">
        <is>
          <t>Payback sobre el CAPEX, sin fondo de maniobra (años)</t>
        </is>
      </c>
      <c r="B32" s="28">
        <f>IFERROR(IF('PyG 3 Años'!$B$9="","",IF(B26&gt;='Inversión Inicial'!$B$27,ROUND('Inversión Inicial'!$B$27/B26,1),IF(B26+B27&gt;='Inversión Inicial'!$B$27,ROUND(1+('Inversión Inicial'!$B$27-B26)/B27,1),IF(B26+B27+B28&gt;='Inversión Inicial'!$B$27,ROUND(2+('Inversión Inicial'!$B$27-B26-B27)/B28,1),"Más de 3 años")))),"")</f>
        <v>2.0</v>
      </c>
      <c r="C32" s="28" t="n"/>
      <c r="D32" s="28" t="inlineStr">
        <is>
          <t>El mismo cálculo sobre lo que se COMPRA (furgoneta, equipamiento, lanzamiento y constitución), sin el fondo de maniobra: ese dinero no se gasta, se inmoviliza y vuelve al cerrar el negocio. Informativo: el payback que se publica es el de arriba</t>
        </is>
      </c>
      <c r="E32" s="28" t="n"/>
      <c r="F32" s="28" t="n"/>
      <c r="G32" s="28" t="n"/>
      <c r="H32" s="28" t="n"/>
      <c r="I32" s="28" t="n"/>
      <c r="J32" s="28" t="n"/>
      <c r="K32" s="28" t="n"/>
      <c r="L32" s="28" t="n"/>
      <c r="M32" s="28" t="n"/>
      <c r="N32" s="28" t="n"/>
      <c r="O32" s="28" t="n"/>
    </row>
    <row r="33">
      <c r="A33" s="28" t="n"/>
      <c r="B33" s="28" t="n"/>
      <c r="C33" s="28" t="n"/>
      <c r="D33" s="28" t="n"/>
      <c r="E33" s="28" t="n"/>
      <c r="F33" s="28" t="n"/>
      <c r="G33" s="28" t="n"/>
      <c r="H33" s="28" t="n"/>
      <c r="I33" s="28" t="n"/>
      <c r="J33" s="28" t="n"/>
      <c r="K33" s="28" t="n"/>
      <c r="L33" s="28" t="n"/>
      <c r="M33" s="28" t="n"/>
      <c r="N33" s="28" t="n"/>
      <c r="O33" s="28" t="n"/>
    </row>
    <row r="34" ht="120" customHeight="1">
      <c r="A34" s="46" t="inlineStr">
        <is>
          <t>El IVA del cuarto trimestre se liquida en enero del año siguiente, así que no aparece en este cuadro. El Impuesto de Sociedades del año 1 se paga en julio del año 2. La cuota del préstamo se reparte en doce partes iguales siguiendo el cuadro ANUAL de la hoja de Financiación, y las nóminas en doce mensualidades más las dos pagas extra en su mes.</t>
        </is>
      </c>
      <c r="B34" s="28" t="n"/>
      <c r="C34" s="28" t="n"/>
      <c r="D34" s="28" t="n"/>
      <c r="E34" s="28" t="n"/>
      <c r="F34" s="28" t="n"/>
      <c r="G34" s="28" t="n"/>
      <c r="H34" s="28" t="n"/>
      <c r="I34" s="28" t="n"/>
      <c r="J34" s="28" t="n"/>
      <c r="K34" s="28" t="n"/>
      <c r="L34" s="28" t="n"/>
      <c r="M34" s="28" t="n"/>
      <c r="N34" s="28" t="n"/>
      <c r="O34" s="28" t="n"/>
    </row>
    <row r="35">
      <c r="A35" s="28" t="n"/>
      <c r="B35" s="28" t="n"/>
      <c r="C35" s="28" t="n"/>
      <c r="D35" s="28" t="n"/>
      <c r="E35" s="28" t="n"/>
      <c r="F35" s="28" t="n"/>
      <c r="G35" s="28" t="n"/>
      <c r="H35" s="28" t="n"/>
      <c r="I35" s="28" t="n"/>
      <c r="J35" s="28" t="n"/>
      <c r="K35" s="28" t="n"/>
      <c r="L35" s="28" t="n"/>
      <c r="M35" s="28" t="n"/>
      <c r="N35" s="28" t="n"/>
      <c r="O35" s="28" t="n"/>
    </row>
    <row r="36">
      <c r="A36" s="28" t="n"/>
      <c r="B36" s="28" t="n"/>
      <c r="C36" s="28" t="n"/>
      <c r="D36" s="28" t="n"/>
      <c r="E36" s="28" t="n"/>
      <c r="F36" s="28" t="n"/>
      <c r="G36" s="28" t="n"/>
      <c r="H36" s="28" t="n"/>
      <c r="I36" s="28" t="n"/>
      <c r="J36" s="28" t="n"/>
      <c r="K36" s="28" t="n"/>
      <c r="L36" s="28" t="n"/>
      <c r="M36" s="28" t="n"/>
      <c r="N36" s="28" t="n"/>
      <c r="O36" s="28" t="n"/>
    </row>
    <row r="37">
      <c r="A37" s="28" t="n"/>
      <c r="B37" s="28" t="n"/>
      <c r="C37" s="28" t="n"/>
      <c r="D37" s="28" t="n"/>
      <c r="E37" s="28" t="n"/>
      <c r="F37" s="28" t="n"/>
      <c r="G37" s="28" t="n"/>
      <c r="H37" s="28" t="n"/>
      <c r="I37" s="28" t="n"/>
      <c r="J37" s="28" t="n"/>
      <c r="K37" s="28" t="n"/>
      <c r="L37" s="28" t="n"/>
      <c r="M37" s="28" t="n"/>
      <c r="N37" s="28" t="n"/>
      <c r="O37" s="28" t="n"/>
    </row>
    <row r="38">
      <c r="A38" s="28" t="n"/>
      <c r="B38" s="28" t="n"/>
      <c r="C38" s="28" t="n"/>
      <c r="D38" s="28" t="n"/>
      <c r="E38" s="28" t="n"/>
      <c r="F38" s="28" t="n"/>
      <c r="G38" s="28" t="n"/>
      <c r="H38" s="28" t="n"/>
      <c r="I38" s="28" t="n"/>
      <c r="J38" s="28" t="n"/>
      <c r="K38" s="28" t="n"/>
      <c r="L38" s="28" t="n"/>
      <c r="M38" s="28" t="n"/>
      <c r="N38" s="28" t="n"/>
      <c r="O38" s="28" t="n"/>
    </row>
    <row r="39">
      <c r="A39" s="28" t="n"/>
      <c r="B39" s="28" t="n"/>
      <c r="C39" s="28" t="n"/>
      <c r="D39" s="28" t="n"/>
      <c r="E39" s="28" t="n"/>
      <c r="F39" s="28" t="n"/>
      <c r="G39" s="28" t="n"/>
      <c r="H39" s="28" t="n"/>
      <c r="I39" s="28" t="n"/>
      <c r="J39" s="28" t="n"/>
      <c r="K39" s="28" t="n"/>
      <c r="L39" s="28" t="n"/>
      <c r="M39" s="28" t="n"/>
      <c r="N39" s="28" t="n"/>
      <c r="O39" s="28" t="n"/>
    </row>
    <row r="40">
      <c r="A40" s="28" t="n"/>
      <c r="B40" s="28" t="n"/>
      <c r="C40" s="28" t="n"/>
      <c r="D40" s="28" t="n"/>
      <c r="E40" s="28" t="n"/>
      <c r="F40" s="28" t="n"/>
      <c r="G40" s="28" t="n"/>
      <c r="H40" s="28" t="n"/>
      <c r="I40" s="28" t="n"/>
      <c r="J40" s="28" t="n"/>
      <c r="K40" s="28" t="n"/>
      <c r="L40" s="28" t="n"/>
      <c r="M40" s="28" t="n"/>
      <c r="N40" s="28" t="n"/>
      <c r="O40" s="28" t="n"/>
    </row>
    <row r="41">
      <c r="A41" s="28" t="n"/>
      <c r="B41" s="28" t="n"/>
      <c r="C41" s="28" t="n"/>
      <c r="D41" s="28" t="n"/>
      <c r="E41" s="28" t="n"/>
      <c r="F41" s="28" t="n"/>
      <c r="G41" s="28" t="n"/>
      <c r="H41" s="28" t="n"/>
      <c r="I41" s="28" t="n"/>
      <c r="J41" s="28" t="n"/>
      <c r="K41" s="28" t="n"/>
      <c r="L41" s="28" t="n"/>
      <c r="M41" s="28" t="n"/>
      <c r="N41" s="28" t="n"/>
      <c r="O41" s="28" t="n"/>
    </row>
    <row r="42">
      <c r="A42" s="28" t="n"/>
      <c r="B42" s="28" t="n"/>
      <c r="C42" s="28" t="n"/>
      <c r="D42" s="28" t="n"/>
      <c r="E42" s="28" t="n"/>
      <c r="F42" s="28" t="n"/>
      <c r="G42" s="28" t="n"/>
      <c r="H42" s="28" t="n"/>
      <c r="I42" s="28" t="n"/>
      <c r="J42" s="28" t="n"/>
      <c r="K42" s="28" t="n"/>
      <c r="L42" s="28" t="n"/>
      <c r="M42" s="28" t="n"/>
      <c r="N42" s="28" t="n"/>
      <c r="O42" s="28" t="n"/>
    </row>
    <row r="43">
      <c r="A43" s="28" t="n"/>
      <c r="B43" s="28" t="n"/>
      <c r="C43" s="28" t="n"/>
      <c r="D43" s="28" t="n"/>
      <c r="E43" s="28" t="n"/>
      <c r="F43" s="28" t="n"/>
      <c r="G43" s="28" t="n"/>
      <c r="H43" s="28" t="n"/>
      <c r="I43" s="28" t="n"/>
      <c r="J43" s="28" t="n"/>
      <c r="K43" s="28" t="n"/>
      <c r="L43" s="28" t="n"/>
      <c r="M43" s="28" t="n"/>
      <c r="N43" s="28" t="n"/>
      <c r="O43" s="28" t="n"/>
    </row>
    <row r="44">
      <c r="A44" s="28" t="n"/>
      <c r="B44" s="28" t="n"/>
      <c r="C44" s="28" t="n"/>
      <c r="D44" s="28" t="n"/>
      <c r="E44" s="28" t="n"/>
      <c r="F44" s="28" t="n"/>
      <c r="G44" s="28" t="n"/>
      <c r="H44" s="28" t="n"/>
      <c r="I44" s="28" t="n"/>
      <c r="J44" s="28" t="n"/>
      <c r="K44" s="28" t="n"/>
      <c r="L44" s="28" t="n"/>
      <c r="M44" s="28" t="n"/>
      <c r="N44" s="28" t="n"/>
      <c r="O44" s="28" t="n"/>
    </row>
    <row r="45">
      <c r="A45" s="28" t="n"/>
      <c r="B45" s="28" t="n"/>
      <c r="C45" s="28" t="n"/>
      <c r="D45" s="28" t="n"/>
      <c r="E45" s="28" t="n"/>
      <c r="F45" s="28" t="n"/>
      <c r="G45" s="28" t="n"/>
      <c r="H45" s="28" t="n"/>
      <c r="I45" s="28" t="n"/>
      <c r="J45" s="28" t="n"/>
      <c r="K45" s="28" t="n"/>
      <c r="L45" s="28" t="n"/>
      <c r="M45" s="28" t="n"/>
      <c r="N45" s="28" t="n"/>
      <c r="O45" s="28" t="n"/>
    </row>
    <row r="46">
      <c r="A46" s="28" t="n"/>
      <c r="B46" s="28" t="n"/>
      <c r="C46" s="28" t="n"/>
      <c r="D46" s="28" t="n"/>
      <c r="E46" s="28" t="n"/>
      <c r="F46" s="28" t="n"/>
      <c r="G46" s="28" t="n"/>
      <c r="H46" s="28" t="n"/>
      <c r="I46" s="28" t="n"/>
      <c r="J46" s="28" t="n"/>
      <c r="K46" s="28" t="n"/>
      <c r="L46" s="28" t="n"/>
      <c r="M46" s="28" t="n"/>
      <c r="N46" s="28" t="n"/>
      <c r="O46" s="28" t="n"/>
    </row>
    <row r="47">
      <c r="A47" s="28" t="n"/>
      <c r="B47" s="28" t="n"/>
      <c r="C47" s="28" t="n"/>
      <c r="D47" s="28" t="n"/>
      <c r="E47" s="28" t="n"/>
      <c r="F47" s="28" t="n"/>
      <c r="G47" s="28" t="n"/>
      <c r="H47" s="28" t="n"/>
      <c r="I47" s="28" t="n"/>
      <c r="J47" s="28" t="n"/>
      <c r="K47" s="28" t="n"/>
      <c r="L47" s="28" t="n"/>
      <c r="M47" s="28" t="n"/>
      <c r="N47" s="28" t="n"/>
      <c r="O47" s="28" t="n"/>
    </row>
    <row r="48">
      <c r="A48" s="28" t="n"/>
      <c r="B48" s="28" t="n"/>
      <c r="C48" s="28" t="n"/>
      <c r="D48" s="28" t="n"/>
      <c r="E48" s="28" t="n"/>
      <c r="F48" s="28" t="n"/>
      <c r="G48" s="28" t="n"/>
      <c r="H48" s="28" t="n"/>
      <c r="I48" s="28" t="n"/>
      <c r="J48" s="28" t="n"/>
      <c r="K48" s="28" t="n"/>
      <c r="L48" s="28" t="n"/>
      <c r="M48" s="28" t="n"/>
      <c r="N48" s="28" t="n"/>
      <c r="O48" s="28" t="n"/>
    </row>
    <row r="49">
      <c r="A49" s="28" t="n"/>
      <c r="B49" s="28" t="n"/>
      <c r="C49" s="28" t="n"/>
      <c r="D49" s="28" t="n"/>
      <c r="E49" s="28" t="n"/>
      <c r="F49" s="28" t="n"/>
      <c r="G49" s="28" t="n"/>
      <c r="H49" s="28" t="n"/>
      <c r="I49" s="28" t="n"/>
      <c r="J49" s="28" t="n"/>
      <c r="K49" s="28" t="n"/>
      <c r="L49" s="28" t="n"/>
      <c r="M49" s="28" t="n"/>
      <c r="N49" s="28" t="n"/>
      <c r="O49" s="28" t="n"/>
    </row>
    <row r="50">
      <c r="A50" s="28" t="n"/>
      <c r="B50" s="28" t="n"/>
      <c r="C50" s="28" t="n"/>
      <c r="D50" s="28" t="n"/>
      <c r="E50" s="28" t="n"/>
      <c r="F50" s="28" t="n"/>
      <c r="G50" s="28" t="n"/>
      <c r="H50" s="28" t="n"/>
      <c r="I50" s="28" t="n"/>
      <c r="J50" s="28" t="n"/>
      <c r="K50" s="28" t="n"/>
      <c r="L50" s="28" t="n"/>
      <c r="M50" s="28" t="n"/>
      <c r="N50" s="28" t="n"/>
      <c r="O50" s="28" t="n"/>
    </row>
    <row r="51">
      <c r="A51" s="28" t="n"/>
      <c r="B51" s="28" t="n"/>
      <c r="C51" s="28" t="n"/>
      <c r="D51" s="28" t="n"/>
      <c r="E51" s="28" t="n"/>
      <c r="F51" s="28" t="n"/>
      <c r="G51" s="28" t="n"/>
      <c r="H51" s="28" t="n"/>
      <c r="I51" s="28" t="n"/>
      <c r="J51" s="28" t="n"/>
      <c r="K51" s="28" t="n"/>
      <c r="L51" s="28" t="n"/>
      <c r="M51" s="28" t="n"/>
      <c r="N51" s="28" t="n"/>
      <c r="O51" s="28" t="n"/>
    </row>
    <row r="52">
      <c r="A52" s="28" t="n"/>
      <c r="B52" s="28" t="n"/>
      <c r="C52" s="28" t="n"/>
      <c r="D52" s="28" t="n"/>
      <c r="E52" s="28" t="n"/>
      <c r="F52" s="28" t="n"/>
      <c r="G52" s="28" t="n"/>
      <c r="H52" s="28" t="n"/>
      <c r="I52" s="28" t="n"/>
      <c r="J52" s="28" t="n"/>
      <c r="K52" s="28" t="n"/>
      <c r="L52" s="28" t="n"/>
      <c r="M52" s="28" t="n"/>
      <c r="N52" s="28" t="n"/>
      <c r="O52" s="28" t="n"/>
    </row>
    <row r="53">
      <c r="A53" s="28" t="n"/>
      <c r="B53" s="28" t="n"/>
      <c r="C53" s="28" t="n"/>
      <c r="D53" s="28" t="n"/>
      <c r="E53" s="28" t="n"/>
      <c r="F53" s="28" t="n"/>
      <c r="G53" s="28" t="n"/>
      <c r="H53" s="28" t="n"/>
      <c r="I53" s="28" t="n"/>
      <c r="J53" s="28" t="n"/>
      <c r="K53" s="28" t="n"/>
      <c r="L53" s="28" t="n"/>
      <c r="M53" s="28" t="n"/>
      <c r="N53" s="28" t="n"/>
      <c r="O53" s="28" t="n"/>
    </row>
    <row r="54">
      <c r="A54" s="28" t="n"/>
      <c r="B54" s="28" t="n"/>
      <c r="C54" s="28" t="n"/>
      <c r="D54" s="28" t="n"/>
      <c r="E54" s="28" t="n"/>
      <c r="F54" s="28" t="n"/>
      <c r="G54" s="28" t="n"/>
      <c r="H54" s="28" t="n"/>
      <c r="I54" s="28" t="n"/>
      <c r="J54" s="28" t="n"/>
      <c r="K54" s="28" t="n"/>
      <c r="L54" s="28" t="n"/>
      <c r="M54" s="28" t="n"/>
      <c r="N54" s="28" t="n"/>
      <c r="O54" s="28" t="n"/>
    </row>
    <row r="55">
      <c r="A55" s="28" t="n"/>
      <c r="B55" s="28" t="n"/>
      <c r="C55" s="28" t="n"/>
      <c r="D55" s="28" t="n"/>
      <c r="E55" s="28" t="n"/>
      <c r="F55" s="28" t="n"/>
      <c r="G55" s="28" t="n"/>
      <c r="H55" s="28" t="n"/>
      <c r="I55" s="28" t="n"/>
      <c r="J55" s="28" t="n"/>
      <c r="K55" s="28" t="n"/>
      <c r="L55" s="28" t="n"/>
      <c r="M55" s="28" t="n"/>
      <c r="N55" s="28" t="n"/>
      <c r="O55" s="28" t="n"/>
    </row>
    <row r="56">
      <c r="A56" s="28" t="n"/>
      <c r="B56" s="28" t="n"/>
      <c r="C56" s="28" t="n"/>
      <c r="D56" s="28" t="n"/>
      <c r="E56" s="28" t="n"/>
      <c r="F56" s="28" t="n"/>
      <c r="G56" s="28" t="n"/>
      <c r="H56" s="28" t="n"/>
      <c r="I56" s="28" t="n"/>
      <c r="J56" s="28" t="n"/>
      <c r="K56" s="28" t="n"/>
      <c r="L56" s="28" t="n"/>
      <c r="M56" s="28" t="n"/>
      <c r="N56" s="28" t="n"/>
      <c r="O56" s="28" t="n"/>
    </row>
    <row r="57">
      <c r="A57" s="28" t="n"/>
      <c r="B57" s="28" t="n"/>
      <c r="C57" s="28" t="n"/>
      <c r="D57" s="28" t="n"/>
      <c r="E57" s="28" t="n"/>
      <c r="F57" s="28" t="n"/>
      <c r="G57" s="28" t="n"/>
      <c r="H57" s="28" t="n"/>
      <c r="I57" s="28" t="n"/>
      <c r="J57" s="28" t="n"/>
      <c r="K57" s="28" t="n"/>
      <c r="L57" s="28" t="n"/>
      <c r="M57" s="28" t="n"/>
      <c r="N57" s="28" t="n"/>
      <c r="O57" s="28" t="n"/>
    </row>
    <row r="58">
      <c r="A58" s="28" t="n"/>
      <c r="B58" s="28" t="n"/>
      <c r="C58" s="28" t="n"/>
      <c r="D58" s="28" t="n"/>
      <c r="E58" s="28" t="n"/>
      <c r="F58" s="28" t="n"/>
      <c r="G58" s="28" t="n"/>
      <c r="H58" s="28" t="n"/>
      <c r="I58" s="28" t="n"/>
      <c r="J58" s="28" t="n"/>
      <c r="K58" s="28" t="n"/>
      <c r="L58" s="28" t="n"/>
      <c r="M58" s="28" t="n"/>
      <c r="N58" s="28" t="n"/>
      <c r="O58" s="28" t="n"/>
    </row>
    <row r="59">
      <c r="A59" s="28" t="n"/>
      <c r="B59" s="28" t="n"/>
      <c r="C59" s="28" t="n"/>
      <c r="D59" s="28" t="n"/>
      <c r="E59" s="28" t="n"/>
      <c r="F59" s="28" t="n"/>
      <c r="G59" s="28" t="n"/>
      <c r="H59" s="28" t="n"/>
      <c r="I59" s="28" t="n"/>
      <c r="J59" s="28" t="n"/>
      <c r="K59" s="28" t="n"/>
      <c r="L59" s="28" t="n"/>
      <c r="M59" s="28" t="n"/>
      <c r="N59" s="28" t="n"/>
      <c r="O59" s="28" t="n"/>
    </row>
    <row r="60">
      <c r="A60" s="28" t="n"/>
      <c r="B60" s="28" t="n"/>
      <c r="C60" s="28" t="n"/>
      <c r="D60" s="28" t="n"/>
      <c r="E60" s="28" t="n"/>
      <c r="F60" s="28" t="n"/>
      <c r="G60" s="28" t="n"/>
      <c r="H60" s="28" t="n"/>
      <c r="I60" s="28" t="n"/>
      <c r="J60" s="28" t="n"/>
      <c r="K60" s="28" t="n"/>
      <c r="L60" s="28" t="n"/>
      <c r="M60" s="28" t="n"/>
      <c r="N60" s="28" t="n"/>
      <c r="O60" s="28" t="n"/>
    </row>
    <row r="61">
      <c r="A61" s="28" t="n"/>
      <c r="B61" s="28" t="n"/>
      <c r="C61" s="28" t="n"/>
      <c r="D61" s="28" t="n"/>
      <c r="E61" s="28" t="n"/>
      <c r="F61" s="28" t="n"/>
      <c r="G61" s="28" t="n"/>
      <c r="H61" s="28" t="n"/>
      <c r="I61" s="28" t="n"/>
      <c r="J61" s="28" t="n"/>
      <c r="K61" s="28" t="n"/>
      <c r="L61" s="28" t="n"/>
      <c r="M61" s="28" t="n"/>
      <c r="N61" s="28" t="n"/>
      <c r="O61" s="28" t="n"/>
    </row>
    <row r="62">
      <c r="A62" s="28" t="n"/>
      <c r="B62" s="28" t="n"/>
      <c r="C62" s="28" t="n"/>
      <c r="D62" s="28" t="n"/>
      <c r="E62" s="28" t="n"/>
      <c r="F62" s="28" t="n"/>
      <c r="G62" s="28" t="n"/>
      <c r="H62" s="28" t="n"/>
      <c r="I62" s="28" t="n"/>
      <c r="J62" s="28" t="n"/>
      <c r="K62" s="28" t="n"/>
      <c r="L62" s="28" t="n"/>
      <c r="M62" s="28" t="n"/>
      <c r="N62" s="28" t="n"/>
      <c r="O62" s="28" t="n"/>
    </row>
    <row r="63">
      <c r="A63" s="28" t="n"/>
      <c r="B63" s="28" t="n"/>
      <c r="C63" s="28" t="n"/>
      <c r="D63" s="28" t="n"/>
      <c r="E63" s="28" t="n"/>
      <c r="F63" s="28" t="n"/>
      <c r="G63" s="28" t="n"/>
      <c r="H63" s="28" t="n"/>
      <c r="I63" s="28" t="n"/>
      <c r="J63" s="28" t="n"/>
      <c r="K63" s="28" t="n"/>
      <c r="L63" s="28" t="n"/>
      <c r="M63" s="28" t="n"/>
      <c r="N63" s="28" t="n"/>
      <c r="O63" s="28" t="n"/>
    </row>
    <row r="64">
      <c r="A64" s="28" t="n"/>
      <c r="B64" s="28" t="n"/>
      <c r="C64" s="28" t="n"/>
      <c r="D64" s="28" t="n"/>
      <c r="E64" s="28" t="n"/>
      <c r="F64" s="28" t="n"/>
      <c r="G64" s="28" t="n"/>
      <c r="H64" s="28" t="n"/>
      <c r="I64" s="28" t="n"/>
      <c r="J64" s="28" t="n"/>
      <c r="K64" s="28" t="n"/>
      <c r="L64" s="28" t="n"/>
      <c r="M64" s="28" t="n"/>
      <c r="N64" s="28" t="n"/>
      <c r="O64" s="28" t="n"/>
    </row>
    <row r="65">
      <c r="A65" s="28" t="n"/>
      <c r="B65" s="28" t="n"/>
      <c r="C65" s="28" t="n"/>
      <c r="D65" s="28" t="n"/>
      <c r="E65" s="28" t="n"/>
      <c r="F65" s="28" t="n"/>
      <c r="G65" s="28" t="n"/>
      <c r="H65" s="28" t="n"/>
      <c r="I65" s="28" t="n"/>
      <c r="J65" s="28" t="n"/>
      <c r="K65" s="28" t="n"/>
      <c r="L65" s="28" t="n"/>
      <c r="M65" s="28" t="n"/>
      <c r="N65" s="28" t="n"/>
      <c r="O65" s="28" t="n"/>
    </row>
    <row r="66">
      <c r="A66" s="28" t="n"/>
      <c r="B66" s="28" t="n"/>
      <c r="C66" s="28" t="n"/>
      <c r="D66" s="28" t="n"/>
      <c r="E66" s="28" t="n"/>
      <c r="F66" s="28" t="n"/>
      <c r="G66" s="28" t="n"/>
      <c r="H66" s="28" t="n"/>
      <c r="I66" s="28" t="n"/>
      <c r="J66" s="28" t="n"/>
      <c r="K66" s="28" t="n"/>
      <c r="L66" s="28" t="n"/>
      <c r="M66" s="28" t="n"/>
      <c r="N66" s="28" t="n"/>
      <c r="O66" s="28" t="n"/>
    </row>
    <row r="67">
      <c r="A67" s="28" t="n"/>
      <c r="B67" s="28" t="n"/>
      <c r="C67" s="28" t="n"/>
      <c r="D67" s="28" t="n"/>
      <c r="E67" s="28" t="n"/>
      <c r="F67" s="28" t="n"/>
      <c r="G67" s="28" t="n"/>
      <c r="H67" s="28" t="n"/>
      <c r="I67" s="28" t="n"/>
      <c r="J67" s="28" t="n"/>
      <c r="K67" s="28" t="n"/>
      <c r="L67" s="28" t="n"/>
      <c r="M67" s="28" t="n"/>
      <c r="N67" s="28" t="n"/>
      <c r="O67" s="28" t="n"/>
    </row>
    <row r="68">
      <c r="A68" s="28" t="n"/>
      <c r="B68" s="28" t="n"/>
      <c r="C68" s="28" t="n"/>
      <c r="D68" s="28" t="n"/>
      <c r="E68" s="28" t="n"/>
      <c r="F68" s="28" t="n"/>
      <c r="G68" s="28" t="n"/>
      <c r="H68" s="28" t="n"/>
      <c r="I68" s="28" t="n"/>
      <c r="J68" s="28" t="n"/>
      <c r="K68" s="28" t="n"/>
      <c r="L68" s="28" t="n"/>
      <c r="M68" s="28" t="n"/>
      <c r="N68" s="28" t="n"/>
      <c r="O68" s="28" t="n"/>
    </row>
    <row r="69">
      <c r="A69" s="28" t="n"/>
      <c r="B69" s="28" t="n"/>
      <c r="C69" s="28" t="n"/>
      <c r="D69" s="28" t="n"/>
      <c r="E69" s="28" t="n"/>
      <c r="F69" s="28" t="n"/>
      <c r="G69" s="28" t="n"/>
      <c r="H69" s="28" t="n"/>
      <c r="I69" s="28" t="n"/>
      <c r="J69" s="28" t="n"/>
      <c r="K69" s="28" t="n"/>
      <c r="L69" s="28" t="n"/>
      <c r="M69" s="28" t="n"/>
      <c r="N69" s="28" t="n"/>
      <c r="O69" s="28" t="n"/>
    </row>
    <row r="70">
      <c r="A70" s="28" t="n"/>
      <c r="B70" s="28" t="n"/>
      <c r="C70" s="28" t="n"/>
      <c r="D70" s="28" t="n"/>
      <c r="E70" s="28" t="n"/>
      <c r="F70" s="28" t="n"/>
      <c r="G70" s="28" t="n"/>
      <c r="H70" s="28" t="n"/>
      <c r="I70" s="28" t="n"/>
      <c r="J70" s="28" t="n"/>
      <c r="K70" s="28" t="n"/>
      <c r="L70" s="28" t="n"/>
      <c r="M70" s="28" t="n"/>
      <c r="N70" s="28" t="n"/>
      <c r="O70" s="28" t="n"/>
    </row>
  </sheetData>
  <sheetProtection selectLockedCells="0" selectUnlockedCells="0" sheet="1" objects="0" insertRows="1" insertHyperlinks="1" autoFilter="1" scenarios="0" formatColumns="0" deleteColumns="1" insertColumns="1" pivotTables="1" deleteRows="1" formatCells="1" formatRows="0" sort="0"/>
  <conditionalFormatting sqref="N5">
    <cfRule type="expression" priority="1" dxfId="1" stopIfTrue="1">
      <formula>AND(ISNUMBER(N5),ABS(N5-1)&gt;=0.005)</formula>
    </cfRule>
    <cfRule type="expression" priority="2" dxfId="0" stopIfTrue="1">
      <formula>AND(ISNUMBER(N5),ABS(N5-1)&lt;0.005)</formula>
    </cfRule>
  </conditionalFormatting>
  <conditionalFormatting sqref="B22:M22">
    <cfRule type="expression" priority="3" dxfId="1" stopIfTrue="1">
      <formula>AND(ISNUMBER(B22),B22&lt;0)</formula>
    </cfRule>
    <cfRule type="expression" priority="4" dxfId="0" stopIfTrue="1">
      <formula>AND(ISNUMBER(B22),B22&gt;0)</formula>
    </cfRule>
  </conditionalFormatting>
  <conditionalFormatting sqref="B20:M20">
    <cfRule type="expression" priority="5" dxfId="1" stopIfTrue="1">
      <formula>AND(ISNUMBER(B20),-B20&gt;B22)</formula>
    </cfRule>
  </conditionalFormatting>
  <conditionalFormatting sqref="B23">
    <cfRule type="expression" priority="6" dxfId="1" stopIfTrue="1">
      <formula>AND(ISNUMBER(B23),B23&lt;0)</formula>
    </cfRule>
    <cfRule type="expression" priority="7" dxfId="0" stopIfTrue="1">
      <formula>AND(ISNUMBER(B23),B23&gt;=0)</formula>
    </cfRule>
  </conditionalFormatting>
  <conditionalFormatting sqref="B26">
    <cfRule type="expression" priority="8" dxfId="1" stopIfTrue="1">
      <formula>AND(ISNUMBER(B26),B26&lt;0)</formula>
    </cfRule>
    <cfRule type="expression" priority="9" dxfId="0" stopIfTrue="1">
      <formula>AND(ISNUMBER(B26),B26&gt;0)</formula>
    </cfRule>
  </conditionalFormatting>
  <conditionalFormatting sqref="B27">
    <cfRule type="expression" priority="10" dxfId="1" stopIfTrue="1">
      <formula>AND(ISNUMBER(B27),B27&lt;0)</formula>
    </cfRule>
    <cfRule type="expression" priority="11" dxfId="0" stopIfTrue="1">
      <formula>AND(ISNUMBER(B27),B27&gt;0)</formula>
    </cfRule>
  </conditionalFormatting>
  <conditionalFormatting sqref="B28">
    <cfRule type="expression" priority="12" dxfId="1" stopIfTrue="1">
      <formula>AND(ISNUMBER(B28),B28&lt;0)</formula>
    </cfRule>
    <cfRule type="expression" priority="13" dxfId="0" stopIfTrue="1">
      <formula>AND(ISNUMBER(B28),B28&gt;0)</formula>
    </cfRule>
  </conditionalFormatting>
  <dataValidations count="1">
    <dataValidation sqref="B5 C5 D5 E5 F5 G5 H5 I5 J5 K5 L5 M5" showDropDown="0" showInputMessage="0" showErrorMessage="1" allowBlank="1" errorTitle="Porcentaje no válido" error="Escribe un porcentaje entre 0 y 1 (0,35 = 35 %)." type="decimal" operator="between">
      <formula1>0</formula1>
      <formula2>1</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H80"/>
  <sheetViews>
    <sheetView workbookViewId="0">
      <selection activeCell="A1" sqref="A1"/>
    </sheetView>
  </sheetViews>
  <sheetFormatPr baseColWidth="8" defaultRowHeight="15"/>
  <cols>
    <col width="46" customWidth="1" min="1" max="1"/>
    <col width="18" customWidth="1" min="2" max="2"/>
    <col width="52" customWidth="1" min="3" max="3"/>
    <col width="22" customWidth="1" min="4" max="4"/>
    <col width="16" customWidth="1" min="5" max="5"/>
    <col width="18" customWidth="1" min="6" max="6"/>
    <col width="20" customWidth="1" min="7" max="7"/>
    <col width="14" customWidth="1" min="8" max="8"/>
  </cols>
  <sheetData>
    <row r="1">
      <c r="A1" s="25" t="inlineStr">
        <is>
          <t>PLAN DE FINANCIACIÓN</t>
        </is>
      </c>
      <c r="B1" s="28" t="n"/>
      <c r="C1" s="28" t="n"/>
      <c r="D1" s="28" t="n"/>
      <c r="E1" s="28" t="n"/>
      <c r="F1" s="28" t="n"/>
      <c r="G1" s="28" t="n"/>
      <c r="H1" s="28" t="n"/>
    </row>
    <row r="2" ht="45" customHeight="1">
      <c r="A2" s="46" t="inlineStr">
        <is>
          <t>Qué hace falta, de dónde sale y cuánto cuesta devolverlo. Es la hoja que el banco pide junto con el P&amp;L.</t>
        </is>
      </c>
      <c r="B2" s="28" t="n"/>
      <c r="C2" s="28" t="n"/>
      <c r="D2" s="28" t="n"/>
      <c r="E2" s="28" t="n"/>
      <c r="F2" s="28" t="n"/>
      <c r="G2" s="28" t="n"/>
      <c r="H2" s="28" t="n"/>
    </row>
    <row r="3">
      <c r="A3" s="28" t="n"/>
      <c r="B3" s="28" t="n"/>
      <c r="C3" s="28" t="n"/>
      <c r="D3" s="28" t="n"/>
      <c r="E3" s="28" t="n"/>
      <c r="F3" s="28" t="n"/>
      <c r="G3" s="28" t="n"/>
      <c r="H3" s="28" t="n"/>
    </row>
    <row r="4">
      <c r="A4" s="25" t="inlineStr">
        <is>
          <t>Concepto</t>
        </is>
      </c>
      <c r="B4" s="25" t="inlineStr">
        <is>
          <t>Importe</t>
        </is>
      </c>
      <c r="C4" s="25" t="inlineStr">
        <is>
          <t>Notas</t>
        </is>
      </c>
      <c r="D4" s="28" t="n"/>
      <c r="E4" s="28" t="n"/>
      <c r="F4" s="28" t="n"/>
      <c r="G4" s="28" t="n"/>
      <c r="H4" s="28" t="n"/>
    </row>
    <row r="5">
      <c r="A5" s="25" t="inlineStr">
        <is>
          <t>ORIGEN DE FONDOS</t>
        </is>
      </c>
      <c r="B5" s="28" t="n"/>
      <c r="C5" s="28" t="n"/>
      <c r="D5" s="28" t="n"/>
      <c r="E5" s="28" t="n"/>
      <c r="F5" s="28" t="n"/>
      <c r="G5" s="28" t="n"/>
      <c r="H5" s="28" t="n"/>
    </row>
    <row r="6">
      <c r="A6" s="28" t="inlineStr">
        <is>
          <t>Recursos propios de los socios</t>
        </is>
      </c>
      <c r="B6" s="32">
        <f>IFERROR(IF('0. Supuestos'!$B$30="","",'0. Supuestos'!$B$30),"")</f>
        <v>20000.0</v>
      </c>
      <c r="C6" s="28" t="n"/>
      <c r="D6" s="28" t="n"/>
      <c r="E6" s="28" t="n"/>
      <c r="F6" s="28" t="n"/>
      <c r="G6" s="28" t="n"/>
      <c r="H6" s="28" t="n"/>
    </row>
    <row r="7">
      <c r="A7" s="28" t="inlineStr">
        <is>
          <t>Préstamo bancario</t>
        </is>
      </c>
      <c r="B7" s="32">
        <f>IFERROR(IF('0. Supuestos'!$B$31="","",'0. Supuestos'!$B$31),"")</f>
        <v>51600.0</v>
      </c>
      <c r="C7" s="28" t="n"/>
      <c r="D7" s="28" t="n"/>
      <c r="E7" s="28" t="n"/>
      <c r="F7" s="28" t="n"/>
      <c r="G7" s="28" t="n"/>
      <c r="H7" s="28" t="n"/>
    </row>
    <row r="8">
      <c r="A8" s="28" t="inlineStr">
        <is>
          <t>Línea ICO (avalada por el ICO, la concede tu banco)</t>
        </is>
      </c>
      <c r="B8" s="29" t="n">
        <v>0</v>
      </c>
      <c r="C8" s="28" t="inlineStr">
        <is>
          <t>Consulta las líneas del ejercicio en curso en ico.es</t>
        </is>
      </c>
      <c r="D8" s="28" t="n"/>
      <c r="E8" s="28" t="n"/>
      <c r="F8" s="28" t="n"/>
      <c r="G8" s="28" t="n"/>
      <c r="H8" s="28" t="n"/>
    </row>
    <row r="9">
      <c r="A9" s="28" t="inlineStr">
        <is>
          <t>Préstamo participativo ENISA</t>
        </is>
      </c>
      <c r="B9" s="29" t="n">
        <v>0</v>
      </c>
      <c r="C9" s="28" t="inlineStr">
        <is>
          <t>Para sociedades; sin garantías personales</t>
        </is>
      </c>
      <c r="D9" s="28" t="n"/>
      <c r="E9" s="28" t="n"/>
      <c r="F9" s="28" t="n"/>
      <c r="G9" s="28" t="n"/>
      <c r="H9" s="28" t="n"/>
    </row>
    <row r="10">
      <c r="A10" s="28" t="inlineStr">
        <is>
          <t>Business angels o socios inversores</t>
        </is>
      </c>
      <c r="B10" s="29" t="n">
        <v>0</v>
      </c>
      <c r="C10" s="28" t="inlineStr">
        <is>
          <t>Entra en el capital: diluye, no se devuelve</t>
        </is>
      </c>
      <c r="D10" s="28" t="n"/>
      <c r="E10" s="28" t="n"/>
      <c r="F10" s="28" t="n"/>
      <c r="G10" s="28" t="n"/>
      <c r="H10" s="28" t="n"/>
    </row>
    <row r="11">
      <c r="A11" s="28" t="inlineStr">
        <is>
          <t>Subvenciones autonómicas o locales</t>
        </is>
      </c>
      <c r="B11" s="29" t="n">
        <v>0</v>
      </c>
      <c r="C11" s="28" t="inlineStr">
        <is>
          <t>Suelen cobrarse DESPUÉS de justificar el gasto</t>
        </is>
      </c>
      <c r="D11" s="28" t="n"/>
      <c r="E11" s="28" t="n"/>
      <c r="F11" s="28" t="n"/>
      <c r="G11" s="28" t="n"/>
      <c r="H11" s="28" t="n"/>
    </row>
    <row r="12">
      <c r="A12" s="25" t="inlineStr">
        <is>
          <t>TOTAL ORIGEN DE FONDOS</t>
        </is>
      </c>
      <c r="B12" s="26">
        <f>IFERROR(IF(COUNT(B6:B11)=0,"",SUM(B6:B11)),"")</f>
        <v>71600.0</v>
      </c>
      <c r="C12" s="28" t="n"/>
      <c r="D12" s="28" t="n"/>
      <c r="E12" s="28" t="n"/>
      <c r="F12" s="28" t="n"/>
      <c r="G12" s="28" t="n"/>
      <c r="H12" s="28" t="n"/>
    </row>
    <row r="13">
      <c r="A13" s="25" t="inlineStr">
        <is>
          <t>USOS</t>
        </is>
      </c>
      <c r="B13" s="28" t="n"/>
      <c r="C13" s="28" t="n"/>
      <c r="D13" s="28" t="n"/>
      <c r="E13" s="28" t="n"/>
      <c r="F13" s="28" t="n"/>
      <c r="G13" s="28" t="n"/>
      <c r="H13" s="28" t="n"/>
    </row>
    <row r="14">
      <c r="A14" s="28" t="inlineStr">
        <is>
          <t>Necesidad total de caja al arranque</t>
        </is>
      </c>
      <c r="B14" s="32">
        <f>IFERROR(IF('Inversión Inicial'!$B$29="","",'Inversión Inicial'!$B$29),"")</f>
        <v>71487.205</v>
      </c>
      <c r="C14" s="28" t="inlineStr">
        <is>
          <t>Inversión más el IVA que hay que adelantar</t>
        </is>
      </c>
      <c r="D14" s="28" t="n"/>
      <c r="E14" s="28" t="n"/>
      <c r="F14" s="28" t="n"/>
      <c r="G14" s="28" t="n"/>
      <c r="H14" s="28" t="n"/>
    </row>
    <row r="15">
      <c r="A15" s="25" t="inlineStr">
        <is>
          <t>Diferencia (origen - usos)</t>
        </is>
      </c>
      <c r="B15" s="26">
        <f>IFERROR(B12-B14,"")</f>
        <v>112.79499999999825</v>
      </c>
      <c r="C15" s="25" t="inlineStr">
        <is>
          <t>En rojo (negativa) el plan NO está financiado. Muy por encima de cero tampoco es gratis: se pagan intereses por un dinero que no se usa</t>
        </is>
      </c>
      <c r="D15" s="28" t="n"/>
      <c r="E15" s="28" t="n"/>
      <c r="F15" s="28" t="n"/>
      <c r="G15" s="28" t="n"/>
      <c r="H15" s="28" t="n"/>
    </row>
    <row r="16">
      <c r="A16" s="28" t="inlineStr">
        <is>
          <t>Diferencia sobre los usos (%)</t>
        </is>
      </c>
      <c r="B16" s="68">
        <f>IFERROR(B15/B14,"")</f>
        <v>0.0015778348027454458</v>
      </c>
      <c r="C16" s="28" t="inlineStr">
        <is>
          <t>Ámbar por encima del margen que fijes: es deuda que pagas sin necesitarla</t>
        </is>
      </c>
      <c r="D16" s="28" t="n"/>
      <c r="E16" s="28" t="n"/>
      <c r="F16" s="28" t="n"/>
      <c r="G16" s="28" t="n"/>
      <c r="H16" s="28" t="n"/>
    </row>
    <row r="17">
      <c r="A17" s="28" t="inlineStr">
        <is>
          <t>Exceso de financiación admisible (%)</t>
        </is>
      </c>
      <c r="B17" s="75" t="n">
        <v>0.05</v>
      </c>
      <c r="C17" s="28" t="inlineStr">
        <is>
          <t>Un pequeño colchón sobre la necesidad es sano; un 20 % de más son intereses tirados</t>
        </is>
      </c>
      <c r="D17" s="28" t="n"/>
      <c r="E17" s="28" t="n"/>
      <c r="F17" s="28" t="n"/>
      <c r="G17" s="28" t="n"/>
      <c r="H17" s="28" t="n"/>
    </row>
    <row r="18">
      <c r="A18" s="28" t="inlineStr">
        <is>
          <t>Préstamo que ajustaría el origen a la necesidad</t>
        </is>
      </c>
      <c r="B18" s="32">
        <f>IFERROR(MAX(0,B14-B12+B7),"")</f>
        <v>51487.205</v>
      </c>
      <c r="C18" s="28" t="inlineStr">
        <is>
          <t>Cópialo en «Préstamo bancario solicitado» de la hoja de Supuestos y la diferencia se pone a cero</t>
        </is>
      </c>
      <c r="D18" s="28" t="n"/>
      <c r="E18" s="28" t="n"/>
      <c r="F18" s="28" t="n"/>
      <c r="G18" s="28" t="n"/>
      <c r="H18" s="28" t="n"/>
    </row>
    <row r="19">
      <c r="A19" s="25" t="inlineStr">
        <is>
          <t>CONDICIONES DEL PRÉSTAMO</t>
        </is>
      </c>
      <c r="B19" s="28" t="n"/>
      <c r="C19" s="28" t="n"/>
      <c r="D19" s="28" t="n"/>
      <c r="E19" s="28" t="n"/>
      <c r="F19" s="28" t="n"/>
      <c r="G19" s="28" t="n"/>
      <c r="H19" s="28" t="n"/>
    </row>
    <row r="20">
      <c r="A20" s="28" t="inlineStr">
        <is>
          <t>Importe del principal</t>
        </is>
      </c>
      <c r="B20" s="32">
        <f>IFERROR(IF('0. Supuestos'!$B$31=0,"",'0. Supuestos'!$B$31),"")</f>
        <v>51600.0</v>
      </c>
      <c r="C20" s="28" t="n"/>
      <c r="D20" s="28" t="n"/>
      <c r="E20" s="28" t="n"/>
      <c r="F20" s="28" t="n"/>
      <c r="G20" s="28" t="n"/>
      <c r="H20" s="28" t="n"/>
    </row>
    <row r="21">
      <c r="A21" s="28" t="inlineStr">
        <is>
          <t>Tipo de interés nominal anual</t>
        </is>
      </c>
      <c r="B21" s="68">
        <f>IFERROR(IF('0. Supuestos'!$B$32="","",'0. Supuestos'!$B$32),"")</f>
        <v>0.065</v>
      </c>
      <c r="C21" s="28" t="n"/>
      <c r="D21" s="28" t="n"/>
      <c r="E21" s="28" t="n"/>
      <c r="F21" s="28" t="n"/>
      <c r="G21" s="28" t="n"/>
      <c r="H21" s="28" t="n"/>
    </row>
    <row r="22">
      <c r="A22" s="28" t="inlineStr">
        <is>
          <t>Plazo total (años)</t>
        </is>
      </c>
      <c r="B22" s="40">
        <f>IFERROR(IF('0. Supuestos'!$B$33="","",'0. Supuestos'!$B$33),"")</f>
        <v>6.0</v>
      </c>
      <c r="C22" s="28" t="n"/>
      <c r="D22" s="28" t="n"/>
      <c r="E22" s="28" t="n"/>
      <c r="F22" s="28" t="n"/>
      <c r="G22" s="28" t="n"/>
      <c r="H22" s="28" t="n"/>
    </row>
    <row r="23">
      <c r="A23" s="28" t="inlineStr">
        <is>
          <t>Carencia de principal aplicada (años)</t>
        </is>
      </c>
      <c r="B23" s="40">
        <f>IFERROR(IF(OR('0. Supuestos'!$B$34="",'0. Supuestos'!$B$33=""),"",IF('0. Supuestos'!$B$34&gt;='0. Supuestos'!$B$33,0,'0. Supuestos'!$B$34)),"")</f>
        <v>1.0</v>
      </c>
      <c r="C23" s="28" t="inlineStr">
        <is>
          <t>Una carencia igual o mayor que el plazo no existe: la hoja la anula en origen</t>
        </is>
      </c>
      <c r="D23" s="28" t="n"/>
      <c r="E23" s="28" t="n"/>
      <c r="F23" s="28" t="n"/>
      <c r="G23" s="28" t="n"/>
      <c r="H23" s="28" t="n"/>
    </row>
    <row r="24">
      <c r="A24" s="25" t="inlineStr">
        <is>
          <t>Cuota anual durante la amortización</t>
        </is>
      </c>
      <c r="B24" s="72">
        <f>IFERROR(IF(B22-B23&lt;=0,"",IF(B21=0,B20/(B22-B23),B20*B21/(1-(1+B21)^-(B22-B23)))),"")</f>
        <v>12416.742140030323</v>
      </c>
      <c r="C24" s="25" t="inlineStr">
        <is>
          <t>Sistema francés, anualidad algebraica. Con el tipo al 0 % es el principal entre los años de amortización: sin esa rama el cuadro se apagaba entero</t>
        </is>
      </c>
      <c r="D24" s="28" t="n"/>
      <c r="E24" s="28" t="n"/>
      <c r="F24" s="28" t="n"/>
      <c r="G24" s="28" t="n"/>
      <c r="H24" s="28" t="n"/>
    </row>
    <row r="25">
      <c r="A25" s="25" t="inlineStr">
        <is>
          <t>CUADRO DE AMORTIZACIÓN</t>
        </is>
      </c>
      <c r="B25" s="28" t="n"/>
      <c r="C25" s="28" t="n"/>
      <c r="D25" s="28" t="n"/>
      <c r="E25" s="28" t="n"/>
      <c r="F25" s="28" t="n"/>
      <c r="G25" s="28" t="n"/>
      <c r="H25" s="28" t="n"/>
    </row>
    <row r="26">
      <c r="A26" s="25" t="inlineStr">
        <is>
          <t>Año</t>
        </is>
      </c>
      <c r="B26" s="25" t="inlineStr">
        <is>
          <t>Capital pendiente</t>
        </is>
      </c>
      <c r="C26" s="25" t="inlineStr">
        <is>
          <t>Intereses</t>
        </is>
      </c>
      <c r="D26" s="25" t="inlineStr">
        <is>
          <t>Amortización de principal</t>
        </is>
      </c>
      <c r="E26" s="25" t="inlineStr">
        <is>
          <t>Cuota total</t>
        </is>
      </c>
      <c r="F26" s="25" t="inlineStr">
        <is>
          <t>Capital al cierre</t>
        </is>
      </c>
      <c r="G26" s="25" t="inlineStr">
        <is>
          <t>Flujo disponible para la deuda (después de impuestos; del año 4 en adelante, el del año 3 mantenido)</t>
        </is>
      </c>
      <c r="H26" s="25" t="inlineStr">
        <is>
          <t>DSCR del año</t>
        </is>
      </c>
    </row>
    <row r="27">
      <c r="A27" s="40" t="n">
        <v>1</v>
      </c>
      <c r="B27" s="70">
        <f>IFERROR(IF(B20="","",B20),"")</f>
        <v>51600.0</v>
      </c>
      <c r="C27" s="70">
        <f>IFERROR(IF(OR(1&gt;B22,B27=""),"",B27*B21),"")</f>
        <v>3354.0</v>
      </c>
      <c r="D27" s="70">
        <f>IFERROR(IF(OR(1&gt;B22,B27=""),"",IF(1&lt;=B23,0,MIN(B27,B24-C27))),"")</f>
        <v>0.0</v>
      </c>
      <c r="E27" s="70">
        <f>IFERROR(IF(C27="","",C27+D27),"")</f>
        <v>3354.0</v>
      </c>
      <c r="F27" s="70">
        <f>IFERROR(IF(D27="","",B27-D27),"")</f>
        <v>51600.0</v>
      </c>
      <c r="G27" s="70">
        <f>IFERROR(IF(E27="","",'PyG 3 Años'!$B$41-'PyG 3 Años'!$B$46+'PyG 3 Años'!$B$36+'PyG 3 Años'!$B$37),"")</f>
        <v>19493.10579999999</v>
      </c>
      <c r="H27" s="61">
        <f>IFERROR(IF(OR(E27="",E27=0),"",G27/E27),"")</f>
        <v>5.811897972570063</v>
      </c>
    </row>
    <row r="28">
      <c r="A28" s="40" t="n">
        <v>2</v>
      </c>
      <c r="B28" s="70">
        <f>IFERROR(IF(OR(2&gt;B22,F27=""),"",F27),"")</f>
        <v>51600.0</v>
      </c>
      <c r="C28" s="70">
        <f>IFERROR(IF(OR(2&gt;B22,B28=""),"",B28*B21),"")</f>
        <v>3354.0</v>
      </c>
      <c r="D28" s="70">
        <f>IFERROR(IF(OR(2&gt;B22,B28=""),"",IF(2&lt;=B23,0,MIN(B28,B24-C28))),"")</f>
        <v>9062.742140030323</v>
      </c>
      <c r="E28" s="70">
        <f>IFERROR(IF(C28="","",C28+D28),"")</f>
        <v>12416.742140030323</v>
      </c>
      <c r="F28" s="70">
        <f>IFERROR(IF(D28="","",B28-D28),"")</f>
        <v>42537.25785996968</v>
      </c>
      <c r="G28" s="70">
        <f>IFERROR(IF(E28="","",'PyG 3 Años'!$C$41-'PyG 3 Años'!$C$46+'PyG 3 Años'!$C$36+'PyG 3 Años'!$C$37),"")</f>
        <v>22895.360679999998</v>
      </c>
      <c r="H28" s="61">
        <f>IFERROR(IF(OR(E28="",E28=0),"",G28/E28),"")</f>
        <v>1.843910457493328</v>
      </c>
    </row>
    <row r="29">
      <c r="A29" s="40" t="n">
        <v>3</v>
      </c>
      <c r="B29" s="70">
        <f>IFERROR(IF(OR(3&gt;B22,F28=""),"",F28),"")</f>
        <v>42537.25785996968</v>
      </c>
      <c r="C29" s="70">
        <f>IFERROR(IF(OR(3&gt;B22,B29=""),"",B29*B21),"")</f>
        <v>2764.9217608980293</v>
      </c>
      <c r="D29" s="70">
        <f>IFERROR(IF(OR(3&gt;B22,B29=""),"",IF(3&lt;=B23,0,MIN(B29,B24-C29))),"")</f>
        <v>9651.820379132294</v>
      </c>
      <c r="E29" s="70">
        <f>IFERROR(IF(C29="","",C29+D29),"")</f>
        <v>12416.742140030323</v>
      </c>
      <c r="F29" s="70">
        <f>IFERROR(IF(D29="","",B29-D29),"")</f>
        <v>32885.43748083738</v>
      </c>
      <c r="G29" s="70">
        <f>IFERROR(IF(E29="","",'PyG 3 Años'!$D$41-'PyG 3 Años'!$D$46+'PyG 3 Años'!$D$36+'PyG 3 Años'!$D$37),"")</f>
        <v>21341.244176224518</v>
      </c>
      <c r="H29" s="61">
        <f>IFERROR(IF(OR(E29="",E29=0),"",G29/E29),"")</f>
        <v>1.718747473012466</v>
      </c>
    </row>
    <row r="30">
      <c r="A30" s="40" t="n">
        <v>4</v>
      </c>
      <c r="B30" s="70">
        <f>IFERROR(IF(OR(4&gt;B22,F29=""),"",F29),"")</f>
        <v>32885.43748083738</v>
      </c>
      <c r="C30" s="70">
        <f>IFERROR(IF(OR(4&gt;B22,B30=""),"",B30*B21),"")</f>
        <v>2137.55343625443</v>
      </c>
      <c r="D30" s="70">
        <f>IFERROR(IF(OR(4&gt;B22,B30=""),"",IF(4&lt;=B23,0,MIN(B30,B24-C30))),"")</f>
        <v>10279.188703775893</v>
      </c>
      <c r="E30" s="70">
        <f>IFERROR(IF(C30="","",C30+D30),"")</f>
        <v>12416.742140030323</v>
      </c>
      <c r="F30" s="70">
        <f>IFERROR(IF(D30="","",B30-D30),"")</f>
        <v>22606.24877706149</v>
      </c>
      <c r="G30" s="70">
        <f>IFERROR(IF(E30="","",'PyG 3 Años'!$D$41-'PyG 3 Años'!$D$46+'PyG 3 Años'!$D$36+'PyG 3 Años'!$D$37),"")</f>
        <v>21341.244176224518</v>
      </c>
      <c r="H30" s="61">
        <f>IFERROR(IF(OR(E30="",E30=0),"",G30/E30),"")</f>
        <v>1.718747473012466</v>
      </c>
    </row>
    <row r="31">
      <c r="A31" s="40" t="n">
        <v>5</v>
      </c>
      <c r="B31" s="70">
        <f>IFERROR(IF(OR(5&gt;B22,F30=""),"",F30),"")</f>
        <v>22606.24877706149</v>
      </c>
      <c r="C31" s="70">
        <f>IFERROR(IF(OR(5&gt;B22,B31=""),"",B31*B21),"")</f>
        <v>1469.4061705089969</v>
      </c>
      <c r="D31" s="70">
        <f>IFERROR(IF(OR(5&gt;B22,B31=""),"",IF(5&lt;=B23,0,MIN(B31,B24-C31))),"")</f>
        <v>10947.335969521326</v>
      </c>
      <c r="E31" s="70">
        <f>IFERROR(IF(C31="","",C31+D31),"")</f>
        <v>12416.742140030323</v>
      </c>
      <c r="F31" s="70">
        <f>IFERROR(IF(D31="","",B31-D31),"")</f>
        <v>11658.912807540164</v>
      </c>
      <c r="G31" s="70">
        <f>IFERROR(IF(E31="","",'PyG 3 Años'!$D$41-'PyG 3 Años'!$D$46+'PyG 3 Años'!$D$36+'PyG 3 Años'!$D$37),"")</f>
        <v>21341.244176224518</v>
      </c>
      <c r="H31" s="61">
        <f>IFERROR(IF(OR(E31="",E31=0),"",G31/E31),"")</f>
        <v>1.718747473012466</v>
      </c>
    </row>
    <row r="32">
      <c r="A32" s="40" t="n">
        <v>6</v>
      </c>
      <c r="B32" s="70">
        <f>IFERROR(IF(OR(6&gt;B22,F31=""),"",F31),"")</f>
        <v>11658.912807540164</v>
      </c>
      <c r="C32" s="70">
        <f>IFERROR(IF(OR(6&gt;B22,B32=""),"",B32*B21),"")</f>
        <v>757.8293324901107</v>
      </c>
      <c r="D32" s="70">
        <f>IFERROR(IF(OR(6&gt;B22,B32=""),"",IF(6&lt;=B23,0,MIN(B32,B24-C32))),"")</f>
        <v>11658.912807540164</v>
      </c>
      <c r="E32" s="70">
        <f>IFERROR(IF(C32="","",C32+D32),"")</f>
        <v>12416.742140030276</v>
      </c>
      <c r="F32" s="70">
        <f>IFERROR(IF(D32="","",B32-D32),"")</f>
        <v>0.0</v>
      </c>
      <c r="G32" s="70">
        <f>IFERROR(IF(E32="","",'PyG 3 Años'!$D$41-'PyG 3 Años'!$D$46+'PyG 3 Años'!$D$36+'PyG 3 Años'!$D$37),"")</f>
        <v>21341.244176224518</v>
      </c>
      <c r="H32" s="61">
        <f>IFERROR(IF(OR(E32="",E32=0),"",G32/E32),"")</f>
        <v>1.7187474730124725</v>
      </c>
    </row>
    <row r="33">
      <c r="A33" s="40" t="n">
        <v>7</v>
      </c>
      <c r="B33" s="70">
        <f>IFERROR(IF(OR(7&gt;B22,F32=""),"",F32),"")</f>
        <v/>
      </c>
      <c r="C33" s="70">
        <f>IFERROR(IF(OR(7&gt;B22,B33=""),"",B33*B21),"")</f>
        <v/>
      </c>
      <c r="D33" s="70">
        <f>IFERROR(IF(OR(7&gt;B22,B33=""),"",IF(7&lt;=B23,0,MIN(B33,B24-C33))),"")</f>
        <v/>
      </c>
      <c r="E33" s="70">
        <f>IFERROR(IF(C33="","",C33+D33),"")</f>
        <v/>
      </c>
      <c r="F33" s="70">
        <f>IFERROR(IF(D33="","",B33-D33),"")</f>
        <v/>
      </c>
      <c r="G33" s="70">
        <f>IFERROR(IF(E33="","",'PyG 3 Años'!$D$41-'PyG 3 Años'!$D$46+'PyG 3 Años'!$D$36+'PyG 3 Años'!$D$37),"")</f>
        <v/>
      </c>
      <c r="H33" s="61">
        <f>IFERROR(IF(OR(E33="",E33=0),"",G33/E33),"")</f>
        <v/>
      </c>
    </row>
    <row r="34">
      <c r="A34" s="40" t="n">
        <v>8</v>
      </c>
      <c r="B34" s="70">
        <f>IFERROR(IF(OR(8&gt;B22,F33=""),"",F33),"")</f>
        <v/>
      </c>
      <c r="C34" s="70">
        <f>IFERROR(IF(OR(8&gt;B22,B34=""),"",B34*B21),"")</f>
        <v/>
      </c>
      <c r="D34" s="70">
        <f>IFERROR(IF(OR(8&gt;B22,B34=""),"",IF(8&lt;=B23,0,MIN(B34,B24-C34))),"")</f>
        <v/>
      </c>
      <c r="E34" s="70">
        <f>IFERROR(IF(C34="","",C34+D34),"")</f>
        <v/>
      </c>
      <c r="F34" s="70">
        <f>IFERROR(IF(D34="","",B34-D34),"")</f>
        <v/>
      </c>
      <c r="G34" s="70">
        <f>IFERROR(IF(E34="","",'PyG 3 Años'!$D$41-'PyG 3 Años'!$D$46+'PyG 3 Años'!$D$36+'PyG 3 Años'!$D$37),"")</f>
        <v/>
      </c>
      <c r="H34" s="61">
        <f>IFERROR(IF(OR(E34="",E34=0),"",G34/E34),"")</f>
        <v/>
      </c>
    </row>
    <row r="35">
      <c r="A35" s="40" t="n">
        <v>9</v>
      </c>
      <c r="B35" s="70">
        <f>IFERROR(IF(OR(9&gt;B22,F34=""),"",F34),"")</f>
        <v/>
      </c>
      <c r="C35" s="70">
        <f>IFERROR(IF(OR(9&gt;B22,B35=""),"",B35*B21),"")</f>
        <v/>
      </c>
      <c r="D35" s="70">
        <f>IFERROR(IF(OR(9&gt;B22,B35=""),"",IF(9&lt;=B23,0,MIN(B35,B24-C35))),"")</f>
        <v/>
      </c>
      <c r="E35" s="70">
        <f>IFERROR(IF(C35="","",C35+D35),"")</f>
        <v/>
      </c>
      <c r="F35" s="70">
        <f>IFERROR(IF(D35="","",B35-D35),"")</f>
        <v/>
      </c>
      <c r="G35" s="70">
        <f>IFERROR(IF(E35="","",'PyG 3 Años'!$D$41-'PyG 3 Años'!$D$46+'PyG 3 Años'!$D$36+'PyG 3 Años'!$D$37),"")</f>
        <v/>
      </c>
      <c r="H35" s="61">
        <f>IFERROR(IF(OR(E35="",E35=0),"",G35/E35),"")</f>
        <v/>
      </c>
    </row>
    <row r="36">
      <c r="A36" s="40" t="n">
        <v>10</v>
      </c>
      <c r="B36" s="70">
        <f>IFERROR(IF(OR(10&gt;B22,F35=""),"",F35),"")</f>
        <v/>
      </c>
      <c r="C36" s="70">
        <f>IFERROR(IF(OR(10&gt;B22,B36=""),"",B36*B21),"")</f>
        <v/>
      </c>
      <c r="D36" s="70">
        <f>IFERROR(IF(OR(10&gt;B22,B36=""),"",IF(10&lt;=B23,0,MIN(B36,B24-C36))),"")</f>
        <v/>
      </c>
      <c r="E36" s="70">
        <f>IFERROR(IF(C36="","",C36+D36),"")</f>
        <v/>
      </c>
      <c r="F36" s="70">
        <f>IFERROR(IF(D36="","",B36-D36),"")</f>
        <v/>
      </c>
      <c r="G36" s="70">
        <f>IFERROR(IF(E36="","",'PyG 3 Años'!$D$41-'PyG 3 Años'!$D$46+'PyG 3 Años'!$D$36+'PyG 3 Años'!$D$37),"")</f>
        <v/>
      </c>
      <c r="H36" s="61">
        <f>IFERROR(IF(OR(E36="",E36=0),"",G36/E36),"")</f>
        <v/>
      </c>
    </row>
    <row r="37">
      <c r="A37" s="40" t="n">
        <v>11</v>
      </c>
      <c r="B37" s="70">
        <f>IFERROR(IF(OR(11&gt;B22,F36=""),"",F36),"")</f>
        <v/>
      </c>
      <c r="C37" s="70">
        <f>IFERROR(IF(OR(11&gt;B22,B37=""),"",B37*B21),"")</f>
        <v/>
      </c>
      <c r="D37" s="70">
        <f>IFERROR(IF(OR(11&gt;B22,B37=""),"",IF(11&lt;=B23,0,MIN(B37,B24-C37))),"")</f>
        <v/>
      </c>
      <c r="E37" s="70">
        <f>IFERROR(IF(C37="","",C37+D37),"")</f>
        <v/>
      </c>
      <c r="F37" s="70">
        <f>IFERROR(IF(D37="","",B37-D37),"")</f>
        <v/>
      </c>
      <c r="G37" s="70">
        <f>IFERROR(IF(E37="","",'PyG 3 Años'!$D$41-'PyG 3 Años'!$D$46+'PyG 3 Años'!$D$36+'PyG 3 Años'!$D$37),"")</f>
        <v/>
      </c>
      <c r="H37" s="61">
        <f>IFERROR(IF(OR(E37="",E37=0),"",G37/E37),"")</f>
        <v/>
      </c>
    </row>
    <row r="38">
      <c r="A38" s="40" t="n">
        <v>12</v>
      </c>
      <c r="B38" s="70">
        <f>IFERROR(IF(OR(12&gt;B22,F37=""),"",F37),"")</f>
        <v/>
      </c>
      <c r="C38" s="70">
        <f>IFERROR(IF(OR(12&gt;B22,B38=""),"",B38*B21),"")</f>
        <v/>
      </c>
      <c r="D38" s="70">
        <f>IFERROR(IF(OR(12&gt;B22,B38=""),"",IF(12&lt;=B23,0,MIN(B38,B24-C38))),"")</f>
        <v/>
      </c>
      <c r="E38" s="70">
        <f>IFERROR(IF(C38="","",C38+D38),"")</f>
        <v/>
      </c>
      <c r="F38" s="70">
        <f>IFERROR(IF(D38="","",B38-D38),"")</f>
        <v/>
      </c>
      <c r="G38" s="70">
        <f>IFERROR(IF(E38="","",'PyG 3 Años'!$D$41-'PyG 3 Años'!$D$46+'PyG 3 Años'!$D$36+'PyG 3 Años'!$D$37),"")</f>
        <v/>
      </c>
      <c r="H38" s="61">
        <f>IFERROR(IF(OR(E38="",E38=0),"",G38/E38),"")</f>
        <v/>
      </c>
    </row>
    <row r="39">
      <c r="A39" s="40" t="n">
        <v>13</v>
      </c>
      <c r="B39" s="70">
        <f>IFERROR(IF(OR(13&gt;B22,F38=""),"",F38),"")</f>
        <v/>
      </c>
      <c r="C39" s="70">
        <f>IFERROR(IF(OR(13&gt;B22,B39=""),"",B39*B21),"")</f>
        <v/>
      </c>
      <c r="D39" s="70">
        <f>IFERROR(IF(OR(13&gt;B22,B39=""),"",IF(13&lt;=B23,0,MIN(B39,B24-C39))),"")</f>
        <v/>
      </c>
      <c r="E39" s="70">
        <f>IFERROR(IF(C39="","",C39+D39),"")</f>
        <v/>
      </c>
      <c r="F39" s="70">
        <f>IFERROR(IF(D39="","",B39-D39),"")</f>
        <v/>
      </c>
      <c r="G39" s="70">
        <f>IFERROR(IF(E39="","",'PyG 3 Años'!$D$41-'PyG 3 Años'!$D$46+'PyG 3 Años'!$D$36+'PyG 3 Años'!$D$37),"")</f>
        <v/>
      </c>
      <c r="H39" s="61">
        <f>IFERROR(IF(OR(E39="",E39=0),"",G39/E39),"")</f>
        <v/>
      </c>
    </row>
    <row r="40">
      <c r="A40" s="40" t="n">
        <v>14</v>
      </c>
      <c r="B40" s="70">
        <f>IFERROR(IF(OR(14&gt;B22,F39=""),"",F39),"")</f>
        <v/>
      </c>
      <c r="C40" s="70">
        <f>IFERROR(IF(OR(14&gt;B22,B40=""),"",B40*B21),"")</f>
        <v/>
      </c>
      <c r="D40" s="70">
        <f>IFERROR(IF(OR(14&gt;B22,B40=""),"",IF(14&lt;=B23,0,MIN(B40,B24-C40))),"")</f>
        <v/>
      </c>
      <c r="E40" s="70">
        <f>IFERROR(IF(C40="","",C40+D40),"")</f>
        <v/>
      </c>
      <c r="F40" s="70">
        <f>IFERROR(IF(D40="","",B40-D40),"")</f>
        <v/>
      </c>
      <c r="G40" s="70">
        <f>IFERROR(IF(E40="","",'PyG 3 Años'!$D$41-'PyG 3 Años'!$D$46+'PyG 3 Años'!$D$36+'PyG 3 Años'!$D$37),"")</f>
        <v/>
      </c>
      <c r="H40" s="61">
        <f>IFERROR(IF(OR(E40="",E40=0),"",G40/E40),"")</f>
        <v/>
      </c>
    </row>
    <row r="41">
      <c r="A41" s="40" t="n">
        <v>15</v>
      </c>
      <c r="B41" s="70">
        <f>IFERROR(IF(OR(15&gt;B22,F40=""),"",F40),"")</f>
        <v/>
      </c>
      <c r="C41" s="70">
        <f>IFERROR(IF(OR(15&gt;B22,B41=""),"",B41*B21),"")</f>
        <v/>
      </c>
      <c r="D41" s="70">
        <f>IFERROR(IF(OR(15&gt;B22,B41=""),"",IF(15&lt;=B23,0,MIN(B41,B24-C41))),"")</f>
        <v/>
      </c>
      <c r="E41" s="70">
        <f>IFERROR(IF(C41="","",C41+D41),"")</f>
        <v/>
      </c>
      <c r="F41" s="70">
        <f>IFERROR(IF(D41="","",B41-D41),"")</f>
        <v/>
      </c>
      <c r="G41" s="70">
        <f>IFERROR(IF(E41="","",'PyG 3 Años'!$D$41-'PyG 3 Años'!$D$46+'PyG 3 Años'!$D$36+'PyG 3 Años'!$D$37),"")</f>
        <v/>
      </c>
      <c r="H41" s="61">
        <f>IFERROR(IF(OR(E41="",E41=0),"",G41/E41),"")</f>
        <v/>
      </c>
    </row>
    <row r="42">
      <c r="A42" s="28" t="inlineStr">
        <is>
          <t>Tolerancia de cierre del cuadro (€)</t>
        </is>
      </c>
      <c r="B42" s="73" t="n">
        <v>0.01</v>
      </c>
      <c r="C42" s="28" t="inlineStr">
        <is>
          <t>Margen por redondeo. Por encima, el cuadro no cierra y hay capital sin devolver</t>
        </is>
      </c>
      <c r="D42" s="28" t="n"/>
      <c r="E42" s="28" t="n"/>
      <c r="F42" s="28" t="n"/>
      <c r="G42" s="28" t="n"/>
      <c r="H42" s="28" t="n"/>
    </row>
    <row r="43">
      <c r="A43" s="28" t="inlineStr">
        <is>
          <t>Capital pendiente al vencimiento</t>
        </is>
      </c>
      <c r="B43" s="70">
        <f>IFERROR(IF(B20="","",ROUND(B20-SUM(D27:D41),2)),"")</f>
        <v>0.0</v>
      </c>
      <c r="C43" s="28" t="inlineStr">
        <is>
          <t>Tiene que ser cero: el principal devuelto en el cuadro tiene que ser el prestado. Si sale positivo, el plazo no llega</t>
        </is>
      </c>
      <c r="D43" s="28" t="n"/>
      <c r="E43" s="28" t="n"/>
      <c r="F43" s="28" t="n"/>
      <c r="G43" s="28" t="n"/>
      <c r="H43" s="28" t="n"/>
    </row>
    <row r="44">
      <c r="A44" s="28" t="inlineStr">
        <is>
          <t>Intereses del año 1</t>
        </is>
      </c>
      <c r="B44" s="32">
        <f>IFERROR(IF(B20="","",IF(C27="",0,C27)),"")</f>
        <v>3354.0</v>
      </c>
      <c r="C44" s="28" t="n"/>
      <c r="D44" s="28" t="n"/>
      <c r="E44" s="28" t="n"/>
      <c r="F44" s="28" t="n"/>
      <c r="G44" s="28" t="n"/>
      <c r="H44" s="28" t="n"/>
    </row>
    <row r="45">
      <c r="A45" s="28" t="inlineStr">
        <is>
          <t>Devolución de principal del año 1</t>
        </is>
      </c>
      <c r="B45" s="32">
        <f>IFERROR(IF(B20="","",IF(D27="",0,D27)),"")</f>
        <v>0.0</v>
      </c>
      <c r="C45" s="28" t="n"/>
      <c r="D45" s="28" t="n"/>
      <c r="E45" s="28" t="n"/>
      <c r="F45" s="28" t="n"/>
      <c r="G45" s="28" t="n"/>
      <c r="H45" s="28" t="n"/>
    </row>
    <row r="46">
      <c r="A46" s="28" t="inlineStr">
        <is>
          <t>Intereses del año 2</t>
        </is>
      </c>
      <c r="B46" s="32">
        <f>IFERROR(IF(B20="","",IF(C28="",0,C28)),"")</f>
        <v>3354.0</v>
      </c>
      <c r="C46" s="28" t="n"/>
      <c r="D46" s="28" t="n"/>
      <c r="E46" s="28" t="n"/>
      <c r="F46" s="28" t="n"/>
      <c r="G46" s="28" t="n"/>
      <c r="H46" s="28" t="n"/>
    </row>
    <row r="47">
      <c r="A47" s="28" t="inlineStr">
        <is>
          <t>Devolución de principal del año 2</t>
        </is>
      </c>
      <c r="B47" s="32">
        <f>IFERROR(IF(B20="","",IF(D28="",0,D28)),"")</f>
        <v>9062.742140030323</v>
      </c>
      <c r="C47" s="28" t="n"/>
      <c r="D47" s="28" t="n"/>
      <c r="E47" s="28" t="n"/>
      <c r="F47" s="28" t="n"/>
      <c r="G47" s="28" t="n"/>
      <c r="H47" s="28" t="n"/>
    </row>
    <row r="48">
      <c r="A48" s="28" t="inlineStr">
        <is>
          <t>Intereses del año 3</t>
        </is>
      </c>
      <c r="B48" s="32">
        <f>IFERROR(IF(B20="","",IF(C29="",0,C29)),"")</f>
        <v>2764.9217608980293</v>
      </c>
      <c r="C48" s="28" t="n"/>
      <c r="D48" s="28" t="n"/>
      <c r="E48" s="28" t="n"/>
      <c r="F48" s="28" t="n"/>
      <c r="G48" s="28" t="n"/>
      <c r="H48" s="28" t="n"/>
    </row>
    <row r="49">
      <c r="A49" s="28" t="inlineStr">
        <is>
          <t>Devolución de principal del año 3</t>
        </is>
      </c>
      <c r="B49" s="32">
        <f>IFERROR(IF(B20="","",IF(D29="",0,D29)),"")</f>
        <v>9651.820379132294</v>
      </c>
      <c r="C49" s="28" t="n"/>
      <c r="D49" s="28" t="n"/>
      <c r="E49" s="28" t="n"/>
      <c r="F49" s="28" t="n"/>
      <c r="G49" s="28" t="n"/>
      <c r="H49" s="28" t="n"/>
    </row>
    <row r="50">
      <c r="A50" s="25" t="inlineStr">
        <is>
          <t>COBERTURA DEL SERVICIO DE LA DEUDA (DSCR)</t>
        </is>
      </c>
      <c r="B50" s="28" t="n"/>
      <c r="C50" s="28" t="n"/>
      <c r="D50" s="28" t="n"/>
      <c r="E50" s="28" t="n"/>
      <c r="F50" s="28" t="n"/>
      <c r="G50" s="28" t="n"/>
      <c r="H50" s="28" t="n"/>
    </row>
    <row r="51">
      <c r="A51" s="28" t="inlineStr">
        <is>
          <t>DSCR del año 1</t>
        </is>
      </c>
      <c r="B51" s="61">
        <f>IFERROR(('PyG 3 Años'!$B$41-'PyG 3 Años'!$B$46+'PyG 3 Años'!$B$36+B44)/(B44+B45),"")</f>
        <v>5.811897972570063</v>
      </c>
      <c r="C51" s="28" t="inlineStr">
        <is>
          <t>Año de CARENCIA si la hay: con sólo intereses en el denominador el ratio se dispara y no mide el negocio</t>
        </is>
      </c>
      <c r="D51" s="28" t="n"/>
      <c r="E51" s="28" t="n"/>
      <c r="F51" s="28" t="n"/>
      <c r="G51" s="28" t="n"/>
      <c r="H51" s="28" t="n"/>
    </row>
    <row r="52">
      <c r="A52" s="28" t="inlineStr">
        <is>
          <t>DSCR del año 2</t>
        </is>
      </c>
      <c r="B52" s="61">
        <f>IFERROR(('PyG 3 Años'!$C$41-'PyG 3 Años'!$C$46+'PyG 3 Años'!$C$36+B46)/(B46+B47),"")</f>
        <v>1.843910457493328</v>
      </c>
      <c r="C52" s="28" t="n"/>
      <c r="D52" s="28" t="n"/>
      <c r="E52" s="28" t="n"/>
      <c r="F52" s="28" t="n"/>
      <c r="G52" s="28" t="n"/>
      <c r="H52" s="28" t="n"/>
    </row>
    <row r="53">
      <c r="A53" s="28" t="inlineStr">
        <is>
          <t>DSCR del año 3</t>
        </is>
      </c>
      <c r="B53" s="61">
        <f>IFERROR(('PyG 3 Años'!$D$41-'PyG 3 Años'!$D$46+'PyG 3 Años'!$D$36+B48)/(B48+B49),"")</f>
        <v>1.718747473012466</v>
      </c>
      <c r="C53" s="28" t="n"/>
      <c r="D53" s="28" t="n"/>
      <c r="E53" s="28" t="n"/>
      <c r="F53" s="28" t="n"/>
      <c r="G53" s="28" t="n"/>
      <c r="H53" s="28" t="n"/>
    </row>
    <row r="54">
      <c r="A54" s="25" t="inlineStr">
        <is>
          <t>DSCR mínimo de todo el cuadro</t>
        </is>
      </c>
      <c r="B54" s="62">
        <f>IFERROR(IF(COUNT(H27:H41)=0,"",MIN(H27:H41)),"")</f>
        <v>1.718747473012466</v>
      </c>
      <c r="C54" s="25" t="inlineStr">
        <is>
          <t>El peor año de los que dura el préstamo, no el mejor de los tres que proyecta el P&amp;L. Es el número que decide una operación. Ojo al alcance: los años 1 a 3 salen del P&amp;L y del año 4 en adelante el cuadro MANTIENE el flujo del año 3, así que el mínimo de esos años es una proyección sostenida, no un año calculado. El flujo va después de impuestos</t>
        </is>
      </c>
      <c r="D54" s="28" t="n"/>
      <c r="E54" s="28" t="n"/>
      <c r="F54" s="28" t="n"/>
      <c r="G54" s="28" t="n"/>
      <c r="H54" s="28" t="n"/>
    </row>
    <row r="55">
      <c r="A55" s="28" t="n"/>
      <c r="B55" s="28" t="n"/>
      <c r="C55" s="28" t="n"/>
      <c r="D55" s="28" t="n"/>
      <c r="E55" s="28" t="n"/>
      <c r="F55" s="28" t="n"/>
      <c r="G55" s="28" t="n"/>
      <c r="H55" s="28" t="n"/>
    </row>
    <row r="56" ht="165" customHeight="1">
      <c r="A56" s="46" t="inlineStr">
        <is>
          <t>El DSCR se calcula ANTES de la deuda y DESPUÉS de impuestos: al resultado antes de impuestos se le resta el Impuesto de Sociedades y se le devuelven la amortización contable y los intereses; el resultado se divide entre lo que hay que pagar ese año. Por debajo del mínimo de la hoja de Supuestos, el negocio no genera para pagar el préstamo. En el cuadro, el flujo de caja disponible de los años 4 en adelante se mantiene en el del año 3: el P&amp;L sólo proyecta tres, y aquí no se inventa un crecimiento que no está calculado.</t>
        </is>
      </c>
      <c r="B56" s="28" t="n"/>
      <c r="C56" s="28" t="n"/>
      <c r="D56" s="28" t="n"/>
      <c r="E56" s="28" t="n"/>
      <c r="F56" s="28" t="n"/>
      <c r="G56" s="28" t="n"/>
      <c r="H56" s="28" t="n"/>
    </row>
    <row r="57">
      <c r="A57" s="28" t="n"/>
      <c r="B57" s="28" t="n"/>
      <c r="C57" s="28" t="n"/>
      <c r="D57" s="28" t="n"/>
      <c r="E57" s="28" t="n"/>
      <c r="F57" s="28" t="n"/>
      <c r="G57" s="28" t="n"/>
      <c r="H57" s="28" t="n"/>
    </row>
    <row r="58">
      <c r="A58" s="28" t="n"/>
      <c r="B58" s="28" t="n"/>
      <c r="C58" s="28" t="n"/>
      <c r="D58" s="28" t="n"/>
      <c r="E58" s="28" t="n"/>
      <c r="F58" s="28" t="n"/>
      <c r="G58" s="28" t="n"/>
      <c r="H58" s="28" t="n"/>
    </row>
    <row r="59">
      <c r="A59" s="28" t="n"/>
      <c r="B59" s="28" t="n"/>
      <c r="C59" s="28" t="n"/>
      <c r="D59" s="28" t="n"/>
      <c r="E59" s="28" t="n"/>
      <c r="F59" s="28" t="n"/>
      <c r="G59" s="28" t="n"/>
      <c r="H59" s="28" t="n"/>
    </row>
    <row r="60">
      <c r="A60" s="28" t="n"/>
      <c r="B60" s="28" t="n"/>
      <c r="C60" s="28" t="n"/>
      <c r="D60" s="28" t="n"/>
      <c r="E60" s="28" t="n"/>
      <c r="F60" s="28" t="n"/>
      <c r="G60" s="28" t="n"/>
      <c r="H60" s="28" t="n"/>
    </row>
    <row r="61">
      <c r="A61" s="28" t="n"/>
      <c r="B61" s="28" t="n"/>
      <c r="C61" s="28" t="n"/>
      <c r="D61" s="28" t="n"/>
      <c r="E61" s="28" t="n"/>
      <c r="F61" s="28" t="n"/>
      <c r="G61" s="28" t="n"/>
      <c r="H61" s="28" t="n"/>
    </row>
    <row r="62">
      <c r="A62" s="28" t="n"/>
      <c r="B62" s="28" t="n"/>
      <c r="C62" s="28" t="n"/>
      <c r="D62" s="28" t="n"/>
      <c r="E62" s="28" t="n"/>
      <c r="F62" s="28" t="n"/>
      <c r="G62" s="28" t="n"/>
      <c r="H62" s="28" t="n"/>
    </row>
    <row r="63">
      <c r="A63" s="28" t="n"/>
      <c r="B63" s="28" t="n"/>
      <c r="C63" s="28" t="n"/>
      <c r="D63" s="28" t="n"/>
      <c r="E63" s="28" t="n"/>
      <c r="F63" s="28" t="n"/>
      <c r="G63" s="28" t="n"/>
      <c r="H63" s="28" t="n"/>
    </row>
    <row r="64">
      <c r="A64" s="28" t="n"/>
      <c r="B64" s="28" t="n"/>
      <c r="C64" s="28" t="n"/>
      <c r="D64" s="28" t="n"/>
      <c r="E64" s="28" t="n"/>
      <c r="F64" s="28" t="n"/>
      <c r="G64" s="28" t="n"/>
      <c r="H64" s="28" t="n"/>
    </row>
    <row r="65">
      <c r="A65" s="28" t="n"/>
      <c r="B65" s="28" t="n"/>
      <c r="C65" s="28" t="n"/>
      <c r="D65" s="28" t="n"/>
      <c r="E65" s="28" t="n"/>
      <c r="F65" s="28" t="n"/>
      <c r="G65" s="28" t="n"/>
      <c r="H65" s="28" t="n"/>
    </row>
    <row r="66">
      <c r="A66" s="28" t="n"/>
      <c r="B66" s="28" t="n"/>
      <c r="C66" s="28" t="n"/>
      <c r="D66" s="28" t="n"/>
      <c r="E66" s="28" t="n"/>
      <c r="F66" s="28" t="n"/>
      <c r="G66" s="28" t="n"/>
      <c r="H66" s="28" t="n"/>
    </row>
    <row r="67">
      <c r="A67" s="28" t="n"/>
      <c r="B67" s="28" t="n"/>
      <c r="C67" s="28" t="n"/>
      <c r="D67" s="28" t="n"/>
      <c r="E67" s="28" t="n"/>
      <c r="F67" s="28" t="n"/>
      <c r="G67" s="28" t="n"/>
      <c r="H67" s="28" t="n"/>
    </row>
    <row r="68">
      <c r="A68" s="28" t="n"/>
      <c r="B68" s="28" t="n"/>
      <c r="C68" s="28" t="n"/>
      <c r="D68" s="28" t="n"/>
      <c r="E68" s="28" t="n"/>
      <c r="F68" s="28" t="n"/>
      <c r="G68" s="28" t="n"/>
      <c r="H68" s="28" t="n"/>
    </row>
    <row r="69">
      <c r="A69" s="28" t="n"/>
      <c r="B69" s="28" t="n"/>
      <c r="C69" s="28" t="n"/>
      <c r="D69" s="28" t="n"/>
      <c r="E69" s="28" t="n"/>
      <c r="F69" s="28" t="n"/>
      <c r="G69" s="28" t="n"/>
      <c r="H69" s="28" t="n"/>
    </row>
    <row r="70">
      <c r="A70" s="28" t="n"/>
      <c r="B70" s="28" t="n"/>
      <c r="C70" s="28" t="n"/>
      <c r="D70" s="28" t="n"/>
      <c r="E70" s="28" t="n"/>
      <c r="F70" s="28" t="n"/>
      <c r="G70" s="28" t="n"/>
      <c r="H70" s="28" t="n"/>
    </row>
    <row r="71">
      <c r="A71" s="28" t="n"/>
      <c r="B71" s="28" t="n"/>
      <c r="C71" s="28" t="n"/>
      <c r="D71" s="28" t="n"/>
      <c r="E71" s="28" t="n"/>
      <c r="F71" s="28" t="n"/>
      <c r="G71" s="28" t="n"/>
      <c r="H71" s="28" t="n"/>
    </row>
    <row r="72">
      <c r="A72" s="28" t="n"/>
      <c r="B72" s="28" t="n"/>
      <c r="C72" s="28" t="n"/>
      <c r="D72" s="28" t="n"/>
      <c r="E72" s="28" t="n"/>
      <c r="F72" s="28" t="n"/>
      <c r="G72" s="28" t="n"/>
      <c r="H72" s="28" t="n"/>
    </row>
    <row r="73">
      <c r="A73" s="28" t="n"/>
      <c r="B73" s="28" t="n"/>
      <c r="C73" s="28" t="n"/>
      <c r="D73" s="28" t="n"/>
      <c r="E73" s="28" t="n"/>
      <c r="F73" s="28" t="n"/>
      <c r="G73" s="28" t="n"/>
      <c r="H73" s="28" t="n"/>
    </row>
    <row r="74">
      <c r="A74" s="28" t="n"/>
      <c r="B74" s="28" t="n"/>
      <c r="C74" s="28" t="n"/>
      <c r="D74" s="28" t="n"/>
      <c r="E74" s="28" t="n"/>
      <c r="F74" s="28" t="n"/>
      <c r="G74" s="28" t="n"/>
      <c r="H74" s="28" t="n"/>
    </row>
    <row r="75">
      <c r="A75" s="28" t="n"/>
      <c r="B75" s="28" t="n"/>
      <c r="C75" s="28" t="n"/>
      <c r="D75" s="28" t="n"/>
      <c r="E75" s="28" t="n"/>
      <c r="F75" s="28" t="n"/>
      <c r="G75" s="28" t="n"/>
      <c r="H75" s="28" t="n"/>
    </row>
    <row r="76">
      <c r="A76" s="28" t="n"/>
      <c r="B76" s="28" t="n"/>
      <c r="C76" s="28" t="n"/>
      <c r="D76" s="28" t="n"/>
      <c r="E76" s="28" t="n"/>
      <c r="F76" s="28" t="n"/>
      <c r="G76" s="28" t="n"/>
      <c r="H76" s="28" t="n"/>
    </row>
    <row r="77">
      <c r="A77" s="28" t="n"/>
      <c r="B77" s="28" t="n"/>
      <c r="C77" s="28" t="n"/>
      <c r="D77" s="28" t="n"/>
      <c r="E77" s="28" t="n"/>
      <c r="F77" s="28" t="n"/>
      <c r="G77" s="28" t="n"/>
      <c r="H77" s="28" t="n"/>
    </row>
    <row r="78">
      <c r="A78" s="28" t="n"/>
      <c r="B78" s="28" t="n"/>
      <c r="C78" s="28" t="n"/>
      <c r="D78" s="28" t="n"/>
      <c r="E78" s="28" t="n"/>
      <c r="F78" s="28" t="n"/>
      <c r="G78" s="28" t="n"/>
      <c r="H78" s="28" t="n"/>
    </row>
    <row r="79">
      <c r="A79" s="28" t="n"/>
      <c r="B79" s="28" t="n"/>
      <c r="C79" s="28" t="n"/>
      <c r="D79" s="28" t="n"/>
      <c r="E79" s="28" t="n"/>
      <c r="F79" s="28" t="n"/>
      <c r="G79" s="28" t="n"/>
      <c r="H79" s="28" t="n"/>
    </row>
    <row r="80">
      <c r="A80" s="28" t="n"/>
      <c r="B80" s="28" t="n"/>
      <c r="C80" s="28" t="n"/>
      <c r="D80" s="28" t="n"/>
      <c r="E80" s="28" t="n"/>
      <c r="F80" s="28" t="n"/>
      <c r="G80" s="28" t="n"/>
      <c r="H80" s="28" t="n"/>
    </row>
  </sheetData>
  <sheetProtection selectLockedCells="0" selectUnlockedCells="0" sheet="1" objects="0" insertRows="1" insertHyperlinks="1" autoFilter="1" scenarios="0" formatColumns="0" deleteColumns="1" insertColumns="1" pivotTables="1" deleteRows="1" formatCells="1" formatRows="0" sort="0"/>
  <conditionalFormatting sqref="B16">
    <cfRule type="expression" priority="1" dxfId="1" stopIfTrue="1">
      <formula>AND(ISNUMBER(B16),B16&lt;0)</formula>
    </cfRule>
    <cfRule type="expression" priority="2" dxfId="2" stopIfTrue="1">
      <formula>AND(ISNUMBER(B16),B16&gt;$B$17)</formula>
    </cfRule>
    <cfRule type="expression" priority="3" dxfId="0" stopIfTrue="1">
      <formula>AND(ISNUMBER(B16),B16&gt;=0)</formula>
    </cfRule>
  </conditionalFormatting>
  <conditionalFormatting sqref="B43">
    <cfRule type="expression" priority="4" dxfId="1" stopIfTrue="1">
      <formula>AND(ISNUMBER(B43),ABS(B43)&gt;$B$42)</formula>
    </cfRule>
    <cfRule type="expression" priority="5" dxfId="0" stopIfTrue="1">
      <formula>AND(ISNUMBER(B43),ABS(B43)&lt;=$B$42)</formula>
    </cfRule>
  </conditionalFormatting>
  <conditionalFormatting sqref="B51">
    <cfRule type="expression" priority="6" dxfId="1" stopIfTrue="1">
      <formula>AND(ISNUMBER(B51),B51&lt;'0. Supuestos'!$B$65)</formula>
    </cfRule>
    <cfRule type="expression" priority="7" dxfId="2" stopIfTrue="1">
      <formula>AND(ISNUMBER(B51),B51&gt;='0. Supuestos'!$B$65)</formula>
    </cfRule>
    <cfRule type="expression" priority="8" dxfId="0" stopIfTrue="1">
      <formula>AND(ISNUMBER(B51),B51&gt;='0. Supuestos'!$B$66)</formula>
    </cfRule>
  </conditionalFormatting>
  <conditionalFormatting sqref="B52">
    <cfRule type="expression" priority="9" dxfId="1" stopIfTrue="1">
      <formula>AND(ISNUMBER(B52),B52&lt;'0. Supuestos'!$B$65)</formula>
    </cfRule>
    <cfRule type="expression" priority="10" dxfId="2" stopIfTrue="1">
      <formula>AND(ISNUMBER(B52),B52&gt;='0. Supuestos'!$B$65)</formula>
    </cfRule>
    <cfRule type="expression" priority="11" dxfId="0" stopIfTrue="1">
      <formula>AND(ISNUMBER(B52),B52&gt;='0. Supuestos'!$B$66)</formula>
    </cfRule>
  </conditionalFormatting>
  <conditionalFormatting sqref="B53">
    <cfRule type="expression" priority="12" dxfId="1" stopIfTrue="1">
      <formula>AND(ISNUMBER(B53),B53&lt;'0. Supuestos'!$B$65)</formula>
    </cfRule>
    <cfRule type="expression" priority="13" dxfId="2" stopIfTrue="1">
      <formula>AND(ISNUMBER(B53),B53&gt;='0. Supuestos'!$B$65)</formula>
    </cfRule>
    <cfRule type="expression" priority="14" dxfId="0" stopIfTrue="1">
      <formula>AND(ISNUMBER(B53),B53&gt;='0. Supuestos'!$B$66)</formula>
    </cfRule>
  </conditionalFormatting>
  <conditionalFormatting sqref="B54">
    <cfRule type="expression" priority="15" dxfId="1" stopIfTrue="1">
      <formula>AND(ISNUMBER(B54),B54&lt;'0. Supuestos'!$B$65)</formula>
    </cfRule>
    <cfRule type="expression" priority="16" dxfId="2" stopIfTrue="1">
      <formula>AND(ISNUMBER(B54),B54&gt;='0. Supuestos'!$B$65)</formula>
    </cfRule>
    <cfRule type="expression" priority="17" dxfId="0" stopIfTrue="1">
      <formula>AND(ISNUMBER(B54),B54&gt;='0. Supuestos'!$B$66)</formula>
    </cfRule>
  </conditionalFormatting>
  <dataValidations count="2">
    <dataValidation sqref="B8 B9 B10 B11 B42" showDropDown="0" showInputMessage="0" showErrorMessage="1" allowBlank="1" errorTitle="Importe no válido" error="Escribe un número mayor o igual que 0." type="decimal" operator="greaterThanOrEqual">
      <formula1>0</formula1>
    </dataValidation>
    <dataValidation sqref="B17" showDropDown="0" showInputMessage="0" showErrorMessage="1" allowBlank="1" errorTitle="Porcentaje no válido" error="Escribe un porcentaje entre 0 y 1 (0,35 = 35 %)." type="decimal" operator="between">
      <formula1>0</formula1>
      <formula2>1</formula2>
    </dataValidation>
  </dataValidations>
  <pageMargins left="0.59" right="0.59" top="0.59" bottom="0.59" header="0.3" footer="0.3"/>
  <pageSetup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Plan financiero — Paellero / Paella para Eventos · v2.2</dc:title>
  <dc:description xmlns:dc="http://purl.org/dc/elements/1.1/">aichef.pro/plan-negocio-paellero-eventos</dc:description>
  <dc:subject xmlns:dc="http://purl.org/dc/elements/1.1/">Plan financiero — Paellero / Paella para Eventos · v2.2</dc:subject>
  <dcterms:created xmlns:dcterms="http://purl.org/dc/terms/" xmlns:xsi="http://www.w3.org/2001/XMLSchema-instance" xsi:type="dcterms:W3CDTF">2026-03-26T14:46:57Z</dcterms:created>
  <dcterms:modified xmlns:dcterms="http://purl.org/dc/terms/" xmlns:xsi="http://www.w3.org/2001/XMLSchema-instance" xsi:type="dcterms:W3CDTF">2026-10-11T23:08:09Z</dcterms:modified>
  <cp:lastModifiedBy>AI Chef Pro</cp:lastModifiedBy>
  <cp:category>AI Chef Pro · Productos digitales</cp:category>
  <cp:keywords>plan negocio paellero eventos, AI Chef Pro</cp:keywords>
</cp:coreProperties>
</file>