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 pricing" sheetId="1" state="visible" r:id="rId1"/>
    <sheet xmlns:r="http://schemas.openxmlformats.org/officeDocument/2006/relationships" name="10 ejemplos validados" sheetId="2" state="visible" r:id="rId2"/>
  </sheets>
  <definedNames>
    <definedName name="_xlnm.Print_Titles" localSheetId="0">'Calculadora pricing'!$5:$5</definedName>
    <definedName name="_xlnm.Print_Titles" localSheetId="1">'10 ejemplos validados'!$4:$4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0A0908"/>
      <sz val="18"/>
    </font>
    <font>
      <name val="Calibri"/>
      <i val="1"/>
      <color rgb="008A7E63"/>
      <sz val="11"/>
    </font>
    <font>
      <name val="Calibri"/>
      <b val="1"/>
      <color rgb="000A0908"/>
      <sz val="11"/>
    </font>
    <font>
      <name val="Calibri"/>
      <color rgb="000A0908"/>
      <sz val="11"/>
    </font>
    <font>
      <name val="Calibri"/>
      <i val="1"/>
      <color rgb="008A7E63"/>
      <sz val="10"/>
    </font>
    <font>
      <name val="Calibr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C4974A"/>
      </patternFill>
    </fill>
    <fill>
      <patternFill patternType="solid">
        <fgColor rgb="00FFF7C2"/>
      </patternFill>
    </fill>
    <fill>
      <patternFill patternType="solid">
        <fgColor rgb="00E8E0D2"/>
      </patternFill>
    </fill>
    <fill>
      <patternFill patternType="solid">
        <fgColor rgb="000A0908"/>
      </patternFill>
    </fill>
  </fills>
  <borders count="2">
    <border>
      <left/>
      <right/>
      <top/>
      <bottom/>
      <diagonal/>
    </border>
    <border>
      <left style="thin">
        <color rgb="00C8BFA8"/>
      </left>
      <right style="thin">
        <color rgb="00C8BFA8"/>
      </right>
      <top style="thin">
        <color rgb="00C8BFA8"/>
      </top>
      <bottom style="thin">
        <color rgb="00C8BFA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2" fontId="4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Calculadora Pricing — Paellero / Paella para Eventos</t>
        </is>
      </c>
    </row>
    <row r="2">
      <c r="A2" s="2" t="inlineStr">
        <is>
          <t>Modelo dual B2C particular + B2B planner/agencia · Cambia los inputs amarillos</t>
        </is>
      </c>
    </row>
    <row r="4">
      <c r="A4" s="3" t="inlineStr">
        <is>
          <t>INPUTS DEL EVENTO</t>
        </is>
      </c>
    </row>
    <row r="5">
      <c r="A5" s="4" t="inlineStr">
        <is>
          <t>Tipo de cliente (B2C o B2B)</t>
        </is>
      </c>
      <c r="B5" s="5" t="inlineStr">
        <is>
          <t>B2B</t>
        </is>
      </c>
      <c r="C5" s="6" t="inlineStr">
        <is>
          <t>B2C particular o B2B planner/agencia</t>
        </is>
      </c>
    </row>
    <row r="6">
      <c r="A6" s="4" t="inlineStr">
        <is>
          <t>Número de comensales (pax)</t>
        </is>
      </c>
      <c r="B6" s="5" t="n">
        <v>80</v>
      </c>
      <c r="C6" s="6" t="inlineStr">
        <is>
          <t>Total de invitados</t>
        </is>
      </c>
    </row>
    <row r="7">
      <c r="A7" s="4" t="inlineStr">
        <is>
          <t>Distancia ida (km)</t>
        </is>
      </c>
      <c r="B7" s="5" t="n">
        <v>35</v>
      </c>
      <c r="C7" s="6" t="inlineStr">
        <is>
          <t>Desde tu base hasta el lugar del evento</t>
        </is>
      </c>
    </row>
    <row r="8">
      <c r="A8" s="4" t="inlineStr">
        <is>
          <t>Tipo de paella / arroz</t>
        </is>
      </c>
      <c r="B8" s="5" t="inlineStr">
        <is>
          <t>Paella mixta</t>
        </is>
      </c>
      <c r="C8" s="6" t="inlineStr">
        <is>
          <t>Valenciana / Marisco / Senyoret / Negro / Mixta / Banda / Fideuá / Montaña</t>
        </is>
      </c>
    </row>
    <row r="9">
      <c r="A9" s="4" t="inlineStr">
        <is>
          <t>Concepto premium (sí/no)</t>
        </is>
      </c>
      <c r="B9" s="5" t="inlineStr">
        <is>
          <t>no</t>
        </is>
      </c>
      <c r="C9" s="6" t="inlineStr">
        <is>
          <t>Marisco gama alta, langostas, gambas rojas DO</t>
        </is>
      </c>
    </row>
    <row r="10">
      <c r="A10" s="4" t="inlineStr">
        <is>
          <t>Ayudantes adicionales (n)</t>
        </is>
      </c>
      <c r="B10" s="5" t="n">
        <v>1</v>
      </c>
      <c r="C10" s="6" t="inlineStr">
        <is>
          <t>0 si solo, 1-2 si más de 60 pax</t>
        </is>
      </c>
    </row>
    <row r="11">
      <c r="A11" s="4" t="inlineStr">
        <is>
          <t>Show cooking explicativo</t>
        </is>
      </c>
      <c r="B11" s="5" t="inlineStr">
        <is>
          <t>sí</t>
        </is>
      </c>
      <c r="C11" s="6" t="inlineStr">
        <is>
          <t>Sí / No — recargo 8% experiencia</t>
        </is>
      </c>
    </row>
    <row r="12">
      <c r="A12" s="4" t="inlineStr">
        <is>
          <t>Suministra cliente (vajilla, mesas, agua)</t>
        </is>
      </c>
      <c r="B12" s="5" t="inlineStr">
        <is>
          <t>no</t>
        </is>
      </c>
      <c r="C12" s="6" t="inlineStr">
        <is>
          <t>Si sí, descuenta 6%</t>
        </is>
      </c>
    </row>
    <row r="13">
      <c r="A13" s="4" t="inlineStr">
        <is>
          <t>Estación seca / lluvia</t>
        </is>
      </c>
      <c r="B13" s="5" t="inlineStr">
        <is>
          <t>seca</t>
        </is>
      </c>
      <c r="C13" s="6" t="inlineStr">
        <is>
          <t>seca / lluvia (recargo 4% por logística carpa)</t>
        </is>
      </c>
    </row>
    <row r="15">
      <c r="A15" s="3" t="inlineStr">
        <is>
          <t>CÁLCULO BASE</t>
        </is>
      </c>
    </row>
    <row r="16">
      <c r="A16" s="4" t="inlineStr">
        <is>
          <t>Precio base por pax (€/pax)</t>
        </is>
      </c>
      <c r="B16" s="7">
        <f>IF(B5="B2B", IF(B6&lt;40, 22, IF(B6&lt;80, 19, 17)), IF(B6&lt;40, 25, IF(B6&lt;80, 21, 18)))</f>
        <v>17.0</v>
      </c>
      <c r="C16" s="8" t="inlineStr">
        <is>
          <t>Tarifa base ajustada por volumen y canal</t>
        </is>
      </c>
    </row>
    <row r="17">
      <c r="A17" s="4" t="inlineStr">
        <is>
          <t>Recargo paella tipo (factor)</t>
        </is>
      </c>
      <c r="B17" s="9">
        <f>IF(OR(B8="Marisco",B8="Negro"),1.25,IF(OR(B8="Banda",B8="Senyoret"),1.18,IF(B8="Valenciana",1.10,1.00)))</f>
        <v>1.0</v>
      </c>
      <c r="C17" s="8" t="inlineStr">
        <is>
          <t>Marisco/Negro +25%, Banda/Senyoret +18%, Valenciana +10%</t>
        </is>
      </c>
    </row>
    <row r="18">
      <c r="A18" s="4" t="inlineStr">
        <is>
          <t>Recargo concepto premium</t>
        </is>
      </c>
      <c r="B18" s="9">
        <f>IF(B9="sí", 1.18, 1.00)</f>
        <v>1.0</v>
      </c>
      <c r="C18" s="8" t="inlineStr">
        <is>
          <t>Premium +18% (gamba roja, langosta, etc.)</t>
        </is>
      </c>
    </row>
    <row r="19">
      <c r="A19" s="4" t="inlineStr">
        <is>
          <t>Recargo show cooking</t>
        </is>
      </c>
      <c r="B19" s="9">
        <f>IF(B11="sí", 1.08, 1.00)</f>
        <v>1.08</v>
      </c>
      <c r="C19" s="8" t="inlineStr">
        <is>
          <t>Show cooking +8%</t>
        </is>
      </c>
    </row>
    <row r="20">
      <c r="A20" s="4" t="inlineStr">
        <is>
          <t>Recargo estación lluvia</t>
        </is>
      </c>
      <c r="B20" s="9">
        <f>IF(B13="lluvia", 1.04, 1.00)</f>
        <v>1.0</v>
      </c>
      <c r="C20" s="8" t="inlineStr">
        <is>
          <t>Logística carpa/cubierta +4%</t>
        </is>
      </c>
    </row>
    <row r="21">
      <c r="A21" s="4" t="inlineStr">
        <is>
          <t>Descuento si cliente suministra</t>
        </is>
      </c>
      <c r="B21" s="9">
        <f>IF(B12="sí", 0.94, 1.00)</f>
        <v>1.0</v>
      </c>
      <c r="C21" s="8" t="inlineStr">
        <is>
          <t>Si cliente pone vajilla/mesas/agua descuento 6%</t>
        </is>
      </c>
    </row>
    <row r="22">
      <c r="A22" s="4" t="inlineStr">
        <is>
          <t>Coste desplazamiento (€)</t>
        </is>
      </c>
      <c r="B22" s="7">
        <f>B7*0.95*2</f>
        <v>66.5</v>
      </c>
      <c r="C22" s="8" t="inlineStr">
        <is>
          <t>0.95 €/km · ida y vuelta</t>
        </is>
      </c>
    </row>
    <row r="23">
      <c r="A23" s="4" t="inlineStr">
        <is>
          <t>Coste ayudantes freelance (€)</t>
        </is>
      </c>
      <c r="B23" s="7">
        <f>B10*120</f>
        <v>120.0</v>
      </c>
      <c r="C23" s="8" t="inlineStr">
        <is>
          <t>120 €/ayudante por jornada</t>
        </is>
      </c>
    </row>
    <row r="25">
      <c r="A25" s="3" t="inlineStr">
        <is>
          <t>RESULTADO</t>
        </is>
      </c>
    </row>
    <row r="26">
      <c r="A26" s="10" t="inlineStr">
        <is>
          <t>Precio total base por pax (€/pax)</t>
        </is>
      </c>
      <c r="B26" s="11">
        <f>B16*B17*B18*B19*B20*B21</f>
        <v>18.36</v>
      </c>
    </row>
    <row r="27">
      <c r="A27" s="10" t="inlineStr">
        <is>
          <t>Subtotal comida (€)</t>
        </is>
      </c>
      <c r="B27" s="11">
        <f>B26*B6</f>
        <v>1468.8</v>
      </c>
    </row>
    <row r="28">
      <c r="A28" s="10" t="inlineStr">
        <is>
          <t>Desplazamiento + ayudantes (€)</t>
        </is>
      </c>
      <c r="B28" s="11">
        <f>B22+B23</f>
        <v>186.5</v>
      </c>
    </row>
    <row r="29">
      <c r="A29" s="10" t="inlineStr">
        <is>
          <t>PVP recomendado (€) sin IVA</t>
        </is>
      </c>
      <c r="B29" s="12">
        <f>B27+B28</f>
        <v>1655.3</v>
      </c>
    </row>
    <row r="30">
      <c r="A30" s="10" t="inlineStr">
        <is>
          <t>PVP por pax efectivo (€/pax)</t>
        </is>
      </c>
      <c r="B30" s="11">
        <f>IFERROR(B29/B6,"")</f>
        <v>20.69125</v>
      </c>
    </row>
    <row r="31">
      <c r="A31" s="10" t="inlineStr">
        <is>
          <t>Anticipo 30 % a cobrar al firmar</t>
        </is>
      </c>
      <c r="B31" s="11">
        <f>B29*0.3</f>
        <v>496.59</v>
      </c>
    </row>
    <row r="32">
      <c r="A32" s="10" t="inlineStr">
        <is>
          <t>Margen estimado bruto (€)</t>
        </is>
      </c>
      <c r="B32" s="11">
        <f>B29*0.55</f>
        <v>910.4150000000001</v>
      </c>
    </row>
    <row r="33">
      <c r="A33" s="10" t="inlineStr">
        <is>
          <t>Margen estimado bruto (%)</t>
        </is>
      </c>
      <c r="B33" s="13" t="n">
        <v>0.55</v>
      </c>
    </row>
  </sheetData>
  <mergeCells count="22">
    <mergeCell ref="C16:E16"/>
    <mergeCell ref="A4:D4"/>
    <mergeCell ref="C22:E22"/>
    <mergeCell ref="C9:E9"/>
    <mergeCell ref="C21:E21"/>
    <mergeCell ref="C12:E12"/>
    <mergeCell ref="C11:E11"/>
    <mergeCell ref="C23:E23"/>
    <mergeCell ref="C8:E8"/>
    <mergeCell ref="A15:D15"/>
    <mergeCell ref="C17:E17"/>
    <mergeCell ref="C7:E7"/>
    <mergeCell ref="A1:J1"/>
    <mergeCell ref="C19:E19"/>
    <mergeCell ref="C13:E13"/>
    <mergeCell ref="C18:E18"/>
    <mergeCell ref="A25:D25"/>
    <mergeCell ref="C6:E6"/>
    <mergeCell ref="C5:E5"/>
    <mergeCell ref="A2:J2"/>
    <mergeCell ref="C20:E20"/>
    <mergeCell ref="C10:E10"/>
  </mergeCells>
  <dataValidations count="6">
    <dataValidation sqref="B5" showDropDown="0" showInputMessage="0" showErrorMessage="1" allowBlank="1" errorTitle="Tipo de cliente" error="Elige B2C o B2B de la lista." type="list" errorStyle="stop">
      <formula1>"B2C,B2B"</formula1>
    </dataValidation>
    <dataValidation sqref="B8" showDropDown="0" showInputMessage="0" showErrorMessage="1" allowBlank="1" errorTitle="Tipo de paella" error="Elige un tipo de paella de la lista (con su tilde): el recargo se calcula a partir de él." type="list" errorStyle="stop">
      <formula1>"Valenciana,Marisco,Senyoret,Negro,Paella mixta,Banda,Fideuá,Montaña"</formula1>
    </dataValidation>
    <dataValidation sqref="B9" showDropDown="0" showInputMessage="0" showErrorMessage="1" allowBlank="1" errorTitle="Concepto premium" error="Elige «sí» o «no» de la lista (con tilde)." type="list" errorStyle="stop">
      <formula1>"sí,no"</formula1>
    </dataValidation>
    <dataValidation sqref="B11" showDropDown="0" showInputMessage="0" showErrorMessage="1" allowBlank="1" errorTitle="Show cooking" error="Elige «sí» o «no» de la lista (con tilde)." type="list" errorStyle="stop">
      <formula1>"sí,no"</formula1>
    </dataValidation>
    <dataValidation sqref="B12" showDropDown="0" showInputMessage="0" showErrorMessage="1" allowBlank="1" errorTitle="Suministra cliente" error="Elige «sí» o «no» de la lista (con tilde)." type="list" errorStyle="stop">
      <formula1>"sí,no"</formula1>
    </dataValidation>
    <dataValidation sqref="B13" showDropDown="0" showInputMessage="0" showErrorMessage="1" allowBlank="1" errorTitle="Estación" error="Elige «seca» o «lluvia» de la lista." type="list" errorStyle="stop">
      <formula1>"seca,lluvia"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8" customWidth="1" min="3" max="3"/>
    <col width="22" customWidth="1" min="4" max="4"/>
    <col width="10" customWidth="1" min="5" max="5"/>
    <col width="12" customWidth="1" min="6" max="6"/>
    <col width="14" customWidth="1" min="7" max="7"/>
    <col width="12" customWidth="1" min="8" max="8"/>
  </cols>
  <sheetData>
    <row r="1" ht="28" customHeight="1">
      <c r="A1" s="1" t="inlineStr">
        <is>
          <t>10 ejemplos pricing reales</t>
        </is>
      </c>
    </row>
    <row r="2">
      <c r="A2" s="2" t="inlineStr">
        <is>
          <t>Casos validados sector paella eventos España 2026</t>
        </is>
      </c>
    </row>
    <row r="4" ht="26" customHeight="1">
      <c r="A4" s="14" t="inlineStr">
        <is>
          <t>#</t>
        </is>
      </c>
      <c r="B4" s="14" t="inlineStr">
        <is>
          <t>Tipo evento</t>
        </is>
      </c>
      <c r="C4" s="14" t="inlineStr">
        <is>
          <t>Pax</t>
        </is>
      </c>
      <c r="D4" s="14" t="inlineStr">
        <is>
          <t>Tipo paella</t>
        </is>
      </c>
      <c r="E4" s="14" t="inlineStr">
        <is>
          <t>B2C/B2B</t>
        </is>
      </c>
      <c r="F4" s="14" t="inlineStr">
        <is>
          <t>Distancia</t>
        </is>
      </c>
      <c r="G4" s="14" t="inlineStr">
        <is>
          <t>PVP final (€)</t>
        </is>
      </c>
      <c r="H4" s="14" t="inlineStr">
        <is>
          <t>€/pax</t>
        </is>
      </c>
    </row>
    <row r="5">
      <c r="A5" s="15" t="n">
        <v>1</v>
      </c>
      <c r="B5" s="16" t="inlineStr">
        <is>
          <t>Cumpleaños familiar zona Madrid</t>
        </is>
      </c>
      <c r="C5" s="15" t="n">
        <v>25</v>
      </c>
      <c r="D5" s="15" t="inlineStr">
        <is>
          <t>Mixta</t>
        </is>
      </c>
      <c r="E5" s="15" t="inlineStr">
        <is>
          <t>B2C</t>
        </is>
      </c>
      <c r="F5" s="15" t="n">
        <v>22</v>
      </c>
      <c r="G5" s="17" t="n">
        <v>580</v>
      </c>
      <c r="H5" s="17" t="n">
        <v>23.2</v>
      </c>
    </row>
    <row r="6">
      <c r="A6" s="15" t="n">
        <v>2</v>
      </c>
      <c r="B6" s="16" t="inlineStr">
        <is>
          <t>Boda íntima finca Toledo</t>
        </is>
      </c>
      <c r="C6" s="15" t="n">
        <v>65</v>
      </c>
      <c r="D6" s="15" t="inlineStr">
        <is>
          <t>Valenciana DO</t>
        </is>
      </c>
      <c r="E6" s="15" t="inlineStr">
        <is>
          <t>B2C</t>
        </is>
      </c>
      <c r="F6" s="15" t="n">
        <v>75</v>
      </c>
      <c r="G6" s="17" t="n">
        <v>1450</v>
      </c>
      <c r="H6" s="17" t="n">
        <v>22.3</v>
      </c>
    </row>
    <row r="7">
      <c r="A7" s="15" t="n">
        <v>3</v>
      </c>
      <c r="B7" s="16" t="inlineStr">
        <is>
          <t>Boda 110 pax wedding planner Levante</t>
        </is>
      </c>
      <c r="C7" s="15" t="n">
        <v>110</v>
      </c>
      <c r="D7" s="15" t="inlineStr">
        <is>
          <t>Marisco premium</t>
        </is>
      </c>
      <c r="E7" s="15" t="inlineStr">
        <is>
          <t>B2B</t>
        </is>
      </c>
      <c r="F7" s="15" t="n">
        <v>95</v>
      </c>
      <c r="G7" s="17" t="n">
        <v>3850</v>
      </c>
      <c r="H7" s="17" t="n">
        <v>35</v>
      </c>
    </row>
    <row r="8">
      <c r="A8" s="15" t="n">
        <v>4</v>
      </c>
      <c r="B8" s="16" t="inlineStr">
        <is>
          <t>Comida empresa 80 pax Madrid centro</t>
        </is>
      </c>
      <c r="C8" s="15" t="n">
        <v>80</v>
      </c>
      <c r="D8" s="15" t="inlineStr">
        <is>
          <t>Mixta</t>
        </is>
      </c>
      <c r="E8" s="15" t="inlineStr">
        <is>
          <t>B2B</t>
        </is>
      </c>
      <c r="F8" s="15" t="n">
        <v>12</v>
      </c>
      <c r="G8" s="17" t="n">
        <v>1620</v>
      </c>
      <c r="H8" s="17" t="n">
        <v>20.25</v>
      </c>
    </row>
    <row r="9">
      <c r="A9" s="15" t="n">
        <v>5</v>
      </c>
      <c r="B9" s="16" t="inlineStr">
        <is>
          <t>Fiesta del pueblo ayuntamiento Castilla</t>
        </is>
      </c>
      <c r="C9" s="15" t="n">
        <v>220</v>
      </c>
      <c r="D9" s="15" t="inlineStr">
        <is>
          <t>Valenciana</t>
        </is>
      </c>
      <c r="E9" s="15" t="inlineStr">
        <is>
          <t>B2B</t>
        </is>
      </c>
      <c r="F9" s="15" t="n">
        <v>110</v>
      </c>
      <c r="G9" s="17" t="n">
        <v>4100</v>
      </c>
      <c r="H9" s="17" t="n">
        <v>18.65</v>
      </c>
    </row>
    <row r="10">
      <c r="A10" s="15" t="n">
        <v>6</v>
      </c>
      <c r="B10" s="16" t="inlineStr">
        <is>
          <t>Cena corporate hotel 4* Barcelona</t>
        </is>
      </c>
      <c r="C10" s="15" t="n">
        <v>60</v>
      </c>
      <c r="D10" s="15" t="inlineStr">
        <is>
          <t>Senyoret</t>
        </is>
      </c>
      <c r="E10" s="15" t="inlineStr">
        <is>
          <t>B2B</t>
        </is>
      </c>
      <c r="F10" s="15" t="n">
        <v>25</v>
      </c>
      <c r="G10" s="17" t="n">
        <v>1580</v>
      </c>
      <c r="H10" s="17" t="n">
        <v>26.3</v>
      </c>
    </row>
    <row r="11">
      <c r="A11" s="15" t="n">
        <v>7</v>
      </c>
      <c r="B11" s="16" t="inlineStr">
        <is>
          <t>Bautizo 50 pax sábado Levante</t>
        </is>
      </c>
      <c r="C11" s="15" t="n">
        <v>50</v>
      </c>
      <c r="D11" s="15" t="inlineStr">
        <is>
          <t>Marisco</t>
        </is>
      </c>
      <c r="E11" s="15" t="inlineStr">
        <is>
          <t>B2C</t>
        </is>
      </c>
      <c r="F11" s="15" t="n">
        <v>35</v>
      </c>
      <c r="G11" s="17" t="n">
        <v>1250</v>
      </c>
      <c r="H11" s="17" t="n">
        <v>25</v>
      </c>
    </row>
    <row r="12">
      <c r="A12" s="15" t="n">
        <v>8</v>
      </c>
      <c r="B12" s="16" t="inlineStr">
        <is>
          <t>Team-building agencia eventos 70 pax</t>
        </is>
      </c>
      <c r="C12" s="15" t="n">
        <v>70</v>
      </c>
      <c r="D12" s="15" t="inlineStr">
        <is>
          <t>Negro + alioli</t>
        </is>
      </c>
      <c r="E12" s="15" t="inlineStr">
        <is>
          <t>B2B</t>
        </is>
      </c>
      <c r="F12" s="15" t="n">
        <v>18</v>
      </c>
      <c r="G12" s="17" t="n">
        <v>1820</v>
      </c>
      <c r="H12" s="17" t="n">
        <v>26</v>
      </c>
    </row>
    <row r="13">
      <c r="A13" s="15" t="n">
        <v>9</v>
      </c>
      <c r="B13" s="16" t="inlineStr">
        <is>
          <t>Boda exclusiva 150 pax 5* Marbella</t>
        </is>
      </c>
      <c r="C13" s="15" t="n">
        <v>150</v>
      </c>
      <c r="D13" s="15" t="inlineStr">
        <is>
          <t>Marisco premium</t>
        </is>
      </c>
      <c r="E13" s="15" t="inlineStr">
        <is>
          <t>B2B</t>
        </is>
      </c>
      <c r="F13" s="15" t="n">
        <v>145</v>
      </c>
      <c r="G13" s="17" t="n">
        <v>5850</v>
      </c>
      <c r="H13" s="17" t="n">
        <v>39</v>
      </c>
    </row>
    <row r="14">
      <c r="A14" s="15" t="n">
        <v>10</v>
      </c>
      <c r="B14" s="16" t="inlineStr">
        <is>
          <t>Showcooking restaurante popup Madrid</t>
        </is>
      </c>
      <c r="C14" s="15" t="n">
        <v>40</v>
      </c>
      <c r="D14" s="15" t="inlineStr">
        <is>
          <t>Banda + fideuá</t>
        </is>
      </c>
      <c r="E14" s="15" t="inlineStr">
        <is>
          <t>B2B</t>
        </is>
      </c>
      <c r="F14" s="15" t="n">
        <v>8</v>
      </c>
      <c r="G14" s="17" t="n">
        <v>1180</v>
      </c>
      <c r="H14" s="17" t="n">
        <v>29.5</v>
      </c>
    </row>
  </sheetData>
  <mergeCells count="2">
    <mergeCell ref="A1:J1"/>
    <mergeCell ref="A2:J2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Calculadora Pricing — Paellero / Paella para Eventos · v1.2</dc:title>
  <dc:description xmlns:dc="http://purl.org/dc/elements/1.1/">aichef.pro/plan-negocio-paellero-eventos</dc:description>
  <dc:subject xmlns:dc="http://purl.org/dc/elements/1.1/">Plan de Negocio &amp; Kit de Paellero / Paella para Eventos · v1.1</dc:subject>
  <dcterms:created xmlns:dcterms="http://purl.org/dc/terms/" xmlns:xsi="http://www.w3.org/2001/XMLSchema-instance" xsi:type="dcterms:W3CDTF">2026-04-27T22:09:02Z</dcterms:created>
  <dcterms:modified xmlns:dcterms="http://purl.org/dc/terms/" xmlns:xsi="http://www.w3.org/2001/XMLSchema-instance" xsi:type="dcterms:W3CDTF">2026-10-11T08:19:52Z</dcterms:modified>
  <cp:lastModifiedBy>AI Chef Pro</cp:lastModifiedBy>
  <cp:category>AI Chef Pro · Productos digitales</cp:category>
  <cp:keywords>plan negocio paellero eventos, AI Chef Pro</cp:keywords>
</cp:coreProperties>
</file>