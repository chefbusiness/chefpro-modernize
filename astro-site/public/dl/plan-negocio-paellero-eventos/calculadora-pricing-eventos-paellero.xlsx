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#,##0.0"/>
    <numFmt numFmtId="166" formatCode="0.0%"/>
    <numFmt numFmtId="167" formatCode="0&quot; cm&quot;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sz val="13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3" borderId="0" applyAlignment="1" applyProtection="1" pivotButton="0" quotePrefix="0" xfId="0">
      <alignment vertical="top"/>
      <protection locked="0" hidden="0"/>
    </xf>
    <xf numFmtId="3" fontId="2" fillId="3" borderId="0" applyAlignment="1" applyProtection="1" pivotButton="0" quotePrefix="0" xfId="0">
      <alignment vertical="top"/>
      <protection locked="0" hidden="0"/>
    </xf>
    <xf numFmtId="164" fontId="2" fillId="3" borderId="0" applyAlignment="1" applyProtection="1" pivotButton="0" quotePrefix="0" xfId="0">
      <alignment vertical="top"/>
      <protection locked="0" hidden="0"/>
    </xf>
    <xf numFmtId="165" fontId="2" fillId="3" borderId="0" applyAlignment="1" applyProtection="1" pivotButton="0" quotePrefix="0" xfId="0">
      <alignment vertical="top"/>
      <protection locked="0" hidden="0"/>
    </xf>
    <xf numFmtId="9" fontId="2" fillId="3" borderId="0" applyAlignment="1" applyProtection="1" pivotButton="0" quotePrefix="0" xfId="0">
      <alignment vertical="top"/>
      <protection locked="0" hidden="0"/>
    </xf>
    <xf numFmtId="3" fontId="2" fillId="0" borderId="0" applyAlignment="1" pivotButton="0" quotePrefix="0" xfId="0">
      <alignment vertical="top"/>
    </xf>
    <xf numFmtId="165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166" fontId="3" fillId="0" borderId="0" applyAlignment="1" pivotButton="0" quotePrefix="0" xfId="0">
      <alignment vertical="top"/>
    </xf>
    <xf numFmtId="167" fontId="2" fillId="0" borderId="0" applyAlignment="1" pivotButton="0" quotePrefix="0" xfId="0">
      <alignment horizontal="left" vertical="top"/>
    </xf>
    <xf numFmtId="3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80" customWidth="1" min="3" max="3"/>
    <col width="16" customWidth="1" min="4" max="4"/>
  </cols>
  <sheetData>
    <row r="1">
      <c r="A1" s="1" t="inlineStr">
        <is>
          <t>CALCULADORA DE PRECIOS DE PAELLA PARA EVENTOS — DEL COSTE AL PRESUPUESTO</t>
        </is>
      </c>
    </row>
    <row r="2" ht="32" customHeight="1">
      <c r="A2" s="2" t="inlineStr">
        <is>
          <t>Escribe sólo en las celdas VERDES: todo lo demás se calcula. Importes sin IVA salvo donde la fila diga lo contrario. Los valores por defecto son estimaciones del kit: cámbialos por los tuyos.</t>
        </is>
      </c>
    </row>
    <row r="4">
      <c r="A4" s="3" t="inlineStr">
        <is>
          <t>DATOS DEL EVENTO</t>
        </is>
      </c>
      <c r="B4" s="3" t="inlineStr">
        <is>
          <t>Valor</t>
        </is>
      </c>
      <c r="C4" s="3" t="inlineStr">
        <is>
          <t>Notas</t>
        </is>
      </c>
    </row>
    <row r="5">
      <c r="A5" s="4" t="inlineStr">
        <is>
          <t>Cliente</t>
        </is>
      </c>
      <c r="B5" s="5" t="inlineStr">
        <is>
          <t>Particular</t>
        </is>
      </c>
      <c r="C5" s="2" t="inlineStr">
        <is>
          <t>Particular o Empresa: cambia los tramos de cancelación (contratos del kit). Ayuntamientos y comisiones de fiestas cuentan como Empresa.</t>
        </is>
      </c>
    </row>
    <row r="6">
      <c r="A6" s="4" t="inlineStr">
        <is>
          <t>Invitados previstos</t>
        </is>
      </c>
      <c r="B6" s="6" t="n">
        <v>120</v>
      </c>
      <c r="C6" s="2" t="inlineStr">
        <is>
          <t>Número entero de raciones que sirves.</t>
        </is>
      </c>
    </row>
    <row r="7">
      <c r="A7" s="4" t="inlineStr">
        <is>
          <t>Arroz principal (informativo)</t>
        </is>
      </c>
      <c r="B7" s="5" t="inlineStr">
        <is>
          <t>Valenciana</t>
        </is>
      </c>
      <c r="C7" s="2" t="inlineStr">
        <is>
          <t>Sólo etiqueta el presupuesto: no entra en el cálculo. Cada variedad extra suma su paellera.</t>
        </is>
      </c>
    </row>
    <row r="8">
      <c r="A8" s="4" t="inlineStr">
        <is>
          <t>Diámetro de paellera (cm)</t>
        </is>
      </c>
      <c r="B8" s="6" t="n">
        <v>120</v>
      </c>
      <c r="C8" s="2" t="inlineStr">
        <is>
          <t>Fija las raciones, el arroz y el caldo por paellera con la tabla del final de esta hoja.</t>
        </is>
      </c>
    </row>
    <row r="9">
      <c r="A9" s="4" t="inlineStr">
        <is>
          <t>Coste de materia prima por invitado</t>
        </is>
      </c>
      <c r="B9" s="7" t="n">
        <v>8.9</v>
      </c>
      <c r="C9" s="2" t="inlineStr">
        <is>
          <t>Tu escandallo. La carta del kit da el food cost por ración con acompañamientos (7,60-16,50 €) para bodas y empresas; una paella sola de fiesta popular ronda 2,00-2,50 €.</t>
        </is>
      </c>
    </row>
    <row r="10">
      <c r="A10" s="4" t="inlineStr">
        <is>
          <t>Coste de menaje, pan y desechables por invitado</t>
        </is>
      </c>
      <c r="B10" s="7" t="n">
        <v>0.4</v>
      </c>
      <c r="C10" s="2" t="inlineStr">
        <is>
          <t>Estimación del kit: 0,30-0,45 €. Pon 0 si el cliente pone el menaje.</t>
        </is>
      </c>
    </row>
    <row r="11">
      <c r="A11" s="4" t="inlineStr">
        <is>
          <t>Gas por paellera y servicio (kg)</t>
        </is>
      </c>
      <c r="B11" s="8" t="n">
        <v>1.3</v>
      </c>
      <c r="C11" s="2" t="inlineStr">
        <is>
          <t>Estimación del kit: 1,3 kg por paellera.</t>
        </is>
      </c>
    </row>
    <row r="12">
      <c r="A12" s="4" t="inlineStr">
        <is>
          <t>Precio del gas (€ por kg)</t>
        </is>
      </c>
      <c r="B12" s="7" t="n">
        <v>2.25</v>
      </c>
      <c r="C12" s="2" t="inlineStr">
        <is>
          <t>Propano de 35 kg a 78,80 € en julio de 2026 (boletín del IDAE): unos 2,25 € por kg.</t>
        </is>
      </c>
    </row>
    <row r="13">
      <c r="A13" s="4" t="inlineStr">
        <is>
          <t>Ayudantes (número)</t>
        </is>
      </c>
      <c r="B13" s="6" t="n">
        <v>2</v>
      </c>
      <c r="C13" s="2" t="inlineStr">
        <is>
          <t>El manual pide ayudante desde 4 paelleras u 80 invitados. Los paelleros salen del cálculo.</t>
        </is>
      </c>
    </row>
    <row r="14">
      <c r="A14" s="4" t="inlineStr">
        <is>
          <t>Horas por persona (carga, viaje, montaje, cocción, servicio y recogida)</t>
        </is>
      </c>
      <c r="B14" s="8" t="n">
        <v>9</v>
      </c>
      <c r="C14" s="2" t="inlineStr">
        <is>
          <t>Estimación del kit: pon las horas reales de tu equipo.</t>
        </is>
      </c>
    </row>
    <row r="15">
      <c r="A15" s="4" t="inlineStr">
        <is>
          <t>Coste bruto por hora del personal</t>
        </is>
      </c>
      <c r="B15" s="7" t="n">
        <v>13</v>
      </c>
      <c r="C15" s="2" t="inlineStr">
        <is>
          <t>Estimación del kit. Copia tu convenio provincial de hostelería.</t>
        </is>
      </c>
    </row>
    <row r="16">
      <c r="A16" s="4" t="inlineStr">
        <is>
          <t>Seguridad Social a cargo de la empresa</t>
        </is>
      </c>
      <c r="B16" s="9" t="n">
        <v>0.33</v>
      </c>
      <c r="C16" s="2" t="inlineStr">
        <is>
          <t>30,65 % de contingencias, desempleo, FOGASA, formación y MEI, más AT/EP (fijos discontinuos, art. 16 ET).</t>
        </is>
      </c>
    </row>
    <row r="17">
      <c r="A17" s="4" t="inlineStr">
        <is>
          <t>Importe de alquileres repercutidos (carpa, mesas, sillas)</t>
        </is>
      </c>
      <c r="B17" s="7" t="n">
        <v>400</v>
      </c>
      <c r="C17" s="2" t="inlineStr">
        <is>
          <t>Lo que te cobra el alquilador para este evento. Si lo facturas aparte sin ser accesorio, ese importe va al 21 % de IVA.</t>
        </is>
      </c>
    </row>
    <row r="18">
      <c r="A18" s="4" t="inlineStr">
        <is>
          <t>Kilómetros de ida (obrador → espacio)</t>
        </is>
      </c>
      <c r="B18" s="6" t="n">
        <v>35</v>
      </c>
      <c r="C18" s="2" t="inlineStr">
        <is>
          <t>Se cobran ida y vuelta, en una línea aparte.</t>
        </is>
      </c>
    </row>
    <row r="19">
      <c r="A19" s="4" t="inlineStr">
        <is>
          <t>Tarifa por kilómetro de desplazamiento</t>
        </is>
      </c>
      <c r="B19" s="7" t="n">
        <v>0.95</v>
      </c>
      <c r="C19" s="2" t="inlineStr">
        <is>
          <t>La del contrato B2B del kit: se cobra ida y vuelta y va sin margen.</t>
        </is>
      </c>
    </row>
    <row r="20">
      <c r="A20" s="4" t="inlineStr">
        <is>
          <t>Suplemento de show cooking (% sobre el precio por invitado)</t>
        </is>
      </c>
      <c r="B20" s="9" t="n">
        <v>0</v>
      </c>
      <c r="C20" s="2" t="inlineStr">
        <is>
          <t>Un 8 % es el valor del kit si cocinas la paella a la vista de los invitados. 0 si no hay show.</t>
        </is>
      </c>
    </row>
    <row r="21">
      <c r="A21" s="4" t="inlineStr">
        <is>
          <t>Margen bruto objetivo sobre el subtotal</t>
        </is>
      </c>
      <c r="B21" s="9" t="n">
        <v>0.4</v>
      </c>
      <c r="C21" s="2" t="inlineStr">
        <is>
          <t>Parte del subtotal que queda después de los costes directos de arriba. Estimación del kit.</t>
        </is>
      </c>
    </row>
    <row r="22">
      <c r="A22" s="4" t="inlineStr">
        <is>
          <t>IVA del servicio de comidas</t>
        </is>
      </c>
      <c r="B22" s="9" t="n">
        <v>0.1</v>
      </c>
      <c r="C22" s="2" t="inlineStr">
        <is>
          <t>Ley 37/1992, art. 91.Uno.2.2.º: comida y bebida para consumir en el acto, alcohol incluido. Lo que facturas aparte sin ser accesorio (carpa, mobiliario) va al 21 %.</t>
        </is>
      </c>
    </row>
    <row r="23">
      <c r="A23" s="4" t="inlineStr">
        <is>
          <t>Anticipo para bloquear la fecha (% del total)</t>
        </is>
      </c>
      <c r="B23" s="9" t="n">
        <v>0.3</v>
      </c>
      <c r="C23" s="2" t="inlineStr">
        <is>
          <t>El de los contratos del kit: 30 % al firmar. Particular: el resto el día del evento. Empresa: el resto a 30 días de la factura.</t>
        </is>
      </c>
    </row>
    <row r="25">
      <c r="A25" s="3" t="inlineStr">
        <is>
          <t>CÁLCULO</t>
        </is>
      </c>
      <c r="B25" s="3" t="inlineStr">
        <is>
          <t>Valor</t>
        </is>
      </c>
      <c r="C25" s="3" t="inlineStr">
        <is>
          <t>Notas</t>
        </is>
      </c>
    </row>
    <row r="26">
      <c r="A26" s="4" t="inlineStr">
        <is>
          <t>Raciones por paellera (tabla)</t>
        </is>
      </c>
      <c r="B26" s="10">
        <f>INDEX('Calculadora'!$B$56:$B$63,MATCH($B$8,'Calculadora'!$A$56:$A$63,0))</f>
        <v>60.0</v>
      </c>
      <c r="C26" s="2" t="inlineStr">
        <is>
          <t>Busca el diámetro en la tabla del final.</t>
        </is>
      </c>
    </row>
    <row r="27">
      <c r="A27" s="4" t="inlineStr">
        <is>
          <t>Paelleras necesarias</t>
        </is>
      </c>
      <c r="B27" s="10">
        <f>ROUNDUP($B$6/$B$26,0)</f>
        <v>2.0</v>
      </c>
      <c r="C27" s="2" t="inlineStr">
        <is>
          <t>Invitados entre raciones por paellera, hacia arriba.</t>
        </is>
      </c>
    </row>
    <row r="28">
      <c r="A28" s="4" t="inlineStr">
        <is>
          <t>Paelleros necesarios</t>
        </is>
      </c>
      <c r="B28" s="10">
        <f>ROUNDUP($B$27/3,0)</f>
        <v>1.0</v>
      </c>
      <c r="C28" s="2" t="inlineStr">
        <is>
          <t>Tres paelleras son el techo de un paellero (manual técnico 1.2).</t>
        </is>
      </c>
    </row>
    <row r="29">
      <c r="A29" s="4" t="inlineStr">
        <is>
          <t>Arroz total (kg)</t>
        </is>
      </c>
      <c r="B29" s="11">
        <f>$B$27*INDEX('Calculadora'!$C$56:$C$63,MATCH($B$8,'Calculadora'!$A$56:$A$63,0))/1000</f>
        <v>12.0</v>
      </c>
      <c r="C29" s="2" t="inlineStr">
        <is>
          <t>Paelleras × arroz por paellera de la tabla.</t>
        </is>
      </c>
    </row>
    <row r="30">
      <c r="A30" s="4" t="inlineStr">
        <is>
          <t>Caldo total (litros)</t>
        </is>
      </c>
      <c r="B30" s="11">
        <f>$B$27*INDEX('Calculadora'!$D$56:$D$63,MATCH($B$8,'Calculadora'!$A$56:$A$63,0))</f>
        <v>30.0</v>
      </c>
      <c r="C30" s="2" t="inlineStr">
        <is>
          <t>Paelleras × caldo por paellera de la tabla.</t>
        </is>
      </c>
    </row>
    <row r="31">
      <c r="A31" s="4" t="inlineStr">
        <is>
          <t>Gas total (kg)</t>
        </is>
      </c>
      <c r="B31" s="11">
        <f>$B$27*$B$11</f>
        <v>2.6</v>
      </c>
    </row>
    <row r="32">
      <c r="A32" s="4" t="inlineStr">
        <is>
          <t>Coste de materia prima</t>
        </is>
      </c>
      <c r="B32" s="12">
        <f>$B$9*$B$6</f>
        <v>1068.0</v>
      </c>
    </row>
    <row r="33">
      <c r="A33" s="4" t="inlineStr">
        <is>
          <t>Coste de menaje, pan y desechables</t>
        </is>
      </c>
      <c r="B33" s="12">
        <f>$B$10*$B$6</f>
        <v>48.0</v>
      </c>
    </row>
    <row r="34">
      <c r="A34" s="4" t="inlineStr">
        <is>
          <t>Coste del gas</t>
        </is>
      </c>
      <c r="B34" s="12">
        <f>$B$31*$B$12</f>
        <v>5.8500000000000005</v>
      </c>
    </row>
    <row r="35">
      <c r="A35" s="4" t="inlineStr">
        <is>
          <t>Coste de personal (salario + Seguridad Social)</t>
        </is>
      </c>
      <c r="B35" s="12">
        <f>($B$28+$B$13)*$B$14*$B$15*(1+$B$16)</f>
        <v>466.83000000000004</v>
      </c>
      <c r="C35" s="2" t="inlineStr">
        <is>
          <t>Paelleros y ayudantes. Si el dueño cocina, se cuenta a precio de hora: es su coste de oportunidad.</t>
        </is>
      </c>
    </row>
    <row r="36">
      <c r="A36" s="4" t="inlineStr">
        <is>
          <t>Importe de alquileres</t>
        </is>
      </c>
      <c r="B36" s="12">
        <f>$B$17</f>
        <v>400.0</v>
      </c>
    </row>
    <row r="37">
      <c r="A37" s="4" t="inlineStr">
        <is>
          <t>Coste directo total</t>
        </is>
      </c>
      <c r="B37" s="12">
        <f>$B$32+$B$33+$B$34+$B$35+$B$36</f>
        <v>1988.6799999999998</v>
      </c>
    </row>
    <row r="38">
      <c r="A38" s="4" t="inlineStr">
        <is>
          <t>Coste directo por invitado</t>
        </is>
      </c>
      <c r="B38" s="12">
        <f>$B$37/$B$6</f>
        <v>16.572333333333333</v>
      </c>
    </row>
    <row r="39">
      <c r="A39" s="13" t="inlineStr">
        <is>
          <t>PRECIO POR INVITADO SIN IVA</t>
        </is>
      </c>
      <c r="B39" s="14">
        <f>ROUNDUP($B$37/(1-$B$21)/$B$6*(1+$B$20)*2,0)/2</f>
        <v>28.0</v>
      </c>
      <c r="C39" s="2" t="inlineStr">
        <is>
          <t>Coste ÷ (1 − margen) ÷ invitados, más el show cooking, redondeado a los 0,50 € de arriba. Es el de las empresas («+ IVA»).</t>
        </is>
      </c>
    </row>
    <row r="40">
      <c r="A40" s="13" t="inlineStr">
        <is>
          <t>PRECIO POR INVITADO CON IVA</t>
        </is>
      </c>
      <c r="B40" s="14">
        <f>$B$39*(1+$B$22)</f>
        <v>30.800000000000004</v>
      </c>
      <c r="C40" s="2" t="inlineStr">
        <is>
          <t>Es el que ve un particular: en una oferta a consumidores el precio va con impuestos incluidos.</t>
        </is>
      </c>
    </row>
    <row r="41">
      <c r="A41" s="4" t="inlineStr">
        <is>
          <t>Subtotal de comida sin IVA</t>
        </is>
      </c>
      <c r="B41" s="12">
        <f>$B$39*$B$6</f>
        <v>3360.0</v>
      </c>
      <c r="C41" s="2" t="inlineStr">
        <is>
          <t>Precio por invitado × invitados.</t>
        </is>
      </c>
    </row>
    <row r="42">
      <c r="A42" s="4" t="inlineStr">
        <is>
          <t>Desplazamiento (ida y vuelta, sin margen)</t>
        </is>
      </c>
      <c r="B42" s="12">
        <f>$B$18*2*$B$19</f>
        <v>66.5</v>
      </c>
      <c r="C42" s="2" t="inlineStr">
        <is>
          <t>Línea aparte del presupuesto.</t>
        </is>
      </c>
    </row>
    <row r="43">
      <c r="A43" s="4" t="inlineStr">
        <is>
          <t>Base imponible</t>
        </is>
      </c>
      <c r="B43" s="12">
        <f>$B$41+$B$42</f>
        <v>3426.5</v>
      </c>
    </row>
    <row r="44">
      <c r="A44" s="4" t="inlineStr">
        <is>
          <t>IVA</t>
        </is>
      </c>
      <c r="B44" s="12">
        <f>$B$43*$B$22</f>
        <v>342.65000000000003</v>
      </c>
    </row>
    <row r="45">
      <c r="A45" s="13" t="inlineStr">
        <is>
          <t>TOTAL DEL PRESUPUESTO (con IVA)</t>
        </is>
      </c>
      <c r="B45" s="14">
        <f>$B$43+$B$44</f>
        <v>3769.15</v>
      </c>
    </row>
    <row r="46">
      <c r="A46" s="4" t="inlineStr">
        <is>
          <t>Anticipo para bloquear la fecha</t>
        </is>
      </c>
      <c r="B46" s="12">
        <f>$B$45*$B$23</f>
        <v>1130.745</v>
      </c>
    </row>
    <row r="47">
      <c r="A47" s="4" t="inlineStr">
        <is>
          <t>Pendiente después del anticipo</t>
        </is>
      </c>
      <c r="B47" s="12">
        <f>$B$45-$B$46</f>
        <v>2638.405</v>
      </c>
      <c r="C47" s="2" t="inlineStr">
        <is>
          <t>Particular: el día del evento. Empresa: a 30 días de la factura.</t>
        </is>
      </c>
    </row>
    <row r="48">
      <c r="A48" s="4" t="inlineStr">
        <is>
          <t>Margen bruto en euros</t>
        </is>
      </c>
      <c r="B48" s="12">
        <f>$B$41-$B$37</f>
        <v>1371.3200000000002</v>
      </c>
      <c r="C48" s="2" t="inlineStr">
        <is>
          <t>Sobre el subtotal de comida, sin el desplazamiento.</t>
        </is>
      </c>
    </row>
    <row r="49">
      <c r="A49" s="13" t="inlineStr">
        <is>
          <t>Margen bruto (calculado)</t>
        </is>
      </c>
      <c r="B49" s="15">
        <f>IF($B$41=0,0,$B$48/$B$41)</f>
        <v>0.4081309523809524</v>
      </c>
      <c r="C49" s="2" t="inlineStr">
        <is>
          <t>Sale de los costes, nunca se teclea. Queda igual o por encima del objetivo por el redondeo del precio.</t>
        </is>
      </c>
    </row>
    <row r="50">
      <c r="A50" s="4" t="inlineStr">
        <is>
          <t>Importe retenido si cancela con más de 60 días</t>
        </is>
      </c>
      <c r="B50" s="12">
        <f>IF($B$5="Particular",$B$45*0.3,0)</f>
        <v>1130.745</v>
      </c>
      <c r="C50" s="2" t="inlineStr">
        <is>
          <t>Particular: el 30 % del total. Empresa: nada.</t>
        </is>
      </c>
    </row>
    <row r="51">
      <c r="A51" s="4" t="inlineStr">
        <is>
          <t>Importe retenido si cancela entre 60 y 30 días</t>
        </is>
      </c>
      <c r="B51" s="12">
        <f>IF($B$5="Particular",$B$45*0.5,$B$46*0.3)</f>
        <v>1884.575</v>
      </c>
      <c r="C51" s="2" t="inlineStr">
        <is>
          <t>Particular: el 50 % del total. Empresa: el 30 % del anticipo.</t>
        </is>
      </c>
    </row>
    <row r="52">
      <c r="A52" s="4" t="inlineStr">
        <is>
          <t>Importe retenido si cancela con menos de 30 días (Empresa: entre 30 y 15)</t>
        </is>
      </c>
      <c r="B52" s="12">
        <f>IF($B$5="Particular",$B$45*0.75,$B$46*0.6+200)</f>
        <v>2826.8625</v>
      </c>
      <c r="C52" s="2" t="inlineStr">
        <is>
          <t>Particular: el 75 % del total. Empresa: el 60 % del anticipo más 200 € de gestión.</t>
        </is>
      </c>
    </row>
    <row r="53">
      <c r="A53" s="4" t="inlineStr">
        <is>
          <t>Importe retenido si cancela con 72 horas o menos (Empresa: menos de 15 días)</t>
        </is>
      </c>
      <c r="B53" s="12">
        <f>$B$45</f>
        <v>3769.15</v>
      </c>
      <c r="C53" s="2" t="inlineStr">
        <is>
          <t>Particular y Empresa: el 100 % del total.</t>
        </is>
      </c>
    </row>
    <row r="55">
      <c r="A55" s="3" t="inlineStr">
        <is>
          <t>TABLA DE ESCALADO POR PAELLERA (manual técnico 1.2, tabla 1): diámetro en cm</t>
        </is>
      </c>
      <c r="B55" s="3" t="inlineStr">
        <is>
          <t>Raciones</t>
        </is>
      </c>
      <c r="C55" s="3" t="inlineStr">
        <is>
          <t>Arroz (g)</t>
        </is>
      </c>
      <c r="D55" s="3" t="inlineStr">
        <is>
          <t>Caldo (L)</t>
        </is>
      </c>
    </row>
    <row r="56">
      <c r="A56" s="16" t="n">
        <v>50</v>
      </c>
      <c r="B56" s="10" t="n">
        <v>7</v>
      </c>
      <c r="C56" s="17" t="n">
        <v>700</v>
      </c>
      <c r="D56" s="11" t="n">
        <v>1.8</v>
      </c>
    </row>
    <row r="57">
      <c r="A57" s="16" t="n">
        <v>60</v>
      </c>
      <c r="B57" s="10" t="n">
        <v>11</v>
      </c>
      <c r="C57" s="17" t="n">
        <v>1100</v>
      </c>
      <c r="D57" s="11" t="n">
        <v>2.8</v>
      </c>
    </row>
    <row r="58">
      <c r="A58" s="16" t="n">
        <v>70</v>
      </c>
      <c r="B58" s="10" t="n">
        <v>16</v>
      </c>
      <c r="C58" s="17" t="n">
        <v>1600</v>
      </c>
      <c r="D58" s="11" t="n">
        <v>4</v>
      </c>
    </row>
    <row r="59">
      <c r="A59" s="16" t="n">
        <v>80</v>
      </c>
      <c r="B59" s="10" t="n">
        <v>22</v>
      </c>
      <c r="C59" s="17" t="n">
        <v>2200</v>
      </c>
      <c r="D59" s="11" t="n">
        <v>5.5</v>
      </c>
    </row>
    <row r="60">
      <c r="A60" s="16" t="n">
        <v>90</v>
      </c>
      <c r="B60" s="10" t="n">
        <v>30</v>
      </c>
      <c r="C60" s="17" t="n">
        <v>3000</v>
      </c>
      <c r="D60" s="11" t="n">
        <v>7.5</v>
      </c>
    </row>
    <row r="61">
      <c r="A61" s="16" t="n">
        <v>100</v>
      </c>
      <c r="B61" s="10" t="n">
        <v>38</v>
      </c>
      <c r="C61" s="17" t="n">
        <v>3800</v>
      </c>
      <c r="D61" s="11" t="n">
        <v>9.5</v>
      </c>
    </row>
    <row r="62">
      <c r="A62" s="16" t="n">
        <v>120</v>
      </c>
      <c r="B62" s="10" t="n">
        <v>60</v>
      </c>
      <c r="C62" s="17" t="n">
        <v>6000</v>
      </c>
      <c r="D62" s="11" t="n">
        <v>15</v>
      </c>
    </row>
    <row r="63">
      <c r="A63" s="16" t="n">
        <v>150</v>
      </c>
      <c r="B63" s="10" t="n">
        <v>90</v>
      </c>
      <c r="C63" s="17" t="n">
        <v>9000</v>
      </c>
      <c r="D63" s="11" t="n">
        <v>22.5</v>
      </c>
    </row>
    <row r="64" ht="32" customHeight="1">
      <c r="A64" s="18" t="inlineStr">
        <is>
          <t>Raciones = número bajo del rango del manual (ración generosa de evento). Un paellero atiende como máximo tres paelleras.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C2"/>
    <mergeCell ref="A64:C64"/>
  </mergeCells>
  <dataValidations count="8">
    <dataValidation sqref="B5" showDropDown="0" showInputMessage="0" showErrorMessage="1" allowBlank="0" errorTitle="Cliente no válido" error="Elige Particular o Empresa." type="list">
      <formula1>"Particular,Empresa"</formula1>
    </dataValidation>
    <dataValidation sqref="B7" showDropDown="0" showInputMessage="0" showErrorMessage="1" allowBlank="0" errorTitle="Arroz no válido" error="Elige un arroz de la lista." type="list">
      <formula1>"Valenciana,Marisco,Senyoret,Arroz negro,Mixta,A banda,Fideuá,Meloso de bogavante,Caldoso de bogavante,Montaña,Alicantina con costra,Vegetal"</formula1>
    </dataValidation>
    <dataValidation sqref="B8" showDropDown="0" showInputMessage="0" showErrorMessage="1" allowBlank="0" errorTitle="Diámetro no válido" error="Elige un diámetro de la tabla: 50, 60, 70, 80, 90, 100, 120 o 150 cm." type="list">
      <formula1>"50,60,70,80,90,100,120,150"</formula1>
    </dataValidation>
    <dataValidation sqref="B6" showDropDown="0" showInputMessage="0" showErrorMessage="1" allowBlank="0" errorTitle="Número no válido" error="Escribe un número entero de 1 o más." type="whole" operator="between">
      <formula1>1</formula1>
      <formula2>100000</formula2>
    </dataValidation>
    <dataValidation sqref="B13 B18" showDropDown="0" showInputMessage="0" showErrorMessage="1" allowBlank="0" errorTitle="Número no válido" error="Escribe un número entero de 0 o más." type="whole" operator="between">
      <formula1>0</formula1>
      <formula2>100000</formula2>
    </dataValidation>
    <dataValidation sqref="B9 B10 B11 B12 B14 B15 B17 B19" showDropDown="0" showInputMessage="0" showErrorMessage="1" allowBlank="0" errorTitle="Importe no válido" error="Escribe un número mayor o igual que 0." type="decimal" operator="greaterThanOrEqual">
      <formula1>0</formula1>
    </dataValidation>
    <dataValidation sqref="B16 B20 B22 B23" showDropDown="0" showInputMessage="0" showErrorMessage="1" allowBlank="0" errorTitle="Porcentaje no válido" error="Escribe un porcentaje entre 0 y 1 (0,10 = 10 %)." type="decimal" operator="between">
      <formula1>0</formula1>
      <formula2>1</formula2>
    </dataValidation>
    <dataValidation sqref="B21" showDropDown="0" showInputMessage="0" showErrorMessage="1" allowBlank="0" errorTitle="Porcentaje no válido" error="Escribe un margen objetivo entre 0 y 95 % (0,40 = 40 %)." type="decimal" operator="between">
      <formula1>0</formula1>
      <formula2>0.95</formula2>
    </dataValidation>
  </dataValidations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3 PRESUPUESTOS DE EJEMPLO — con las mismas fórmulas de la hoja «Calculadora»</t>
        </is>
      </c>
    </row>
    <row r="2" ht="32" customHeight="1">
      <c r="A2" s="2" t="inlineStr">
        <is>
          <t>Estimaciones del kit para ilustrar el cálculo, no precios de mercado: cambia los datos en «Calculadora» para presupuestar tus eventos. La tabla de escalado por paellera está al final de esa hoja.</t>
        </is>
      </c>
    </row>
    <row r="4" ht="32" customHeight="1">
      <c r="A4" s="3" t="inlineStr">
        <is>
          <t>DATOS DEL EVENTO</t>
        </is>
      </c>
      <c r="B4" s="19" t="inlineStr">
        <is>
          <t>Boda en finca</t>
        </is>
      </c>
      <c r="C4" s="19" t="inlineStr">
        <is>
          <t>Comida de empresa con show cooking</t>
        </is>
      </c>
      <c r="D4" s="19" t="inlineStr">
        <is>
          <t>Fiesta popular de ayuntamiento</t>
        </is>
      </c>
    </row>
    <row r="5">
      <c r="A5" s="4" t="inlineStr">
        <is>
          <t>Cliente</t>
        </is>
      </c>
      <c r="B5" s="4" t="inlineStr">
        <is>
          <t>Particular</t>
        </is>
      </c>
      <c r="C5" s="4" t="inlineStr">
        <is>
          <t>Empresa</t>
        </is>
      </c>
      <c r="D5" s="4" t="inlineStr">
        <is>
          <t>Empresa</t>
        </is>
      </c>
    </row>
    <row r="6">
      <c r="A6" s="4" t="inlineStr">
        <is>
          <t>Invitados previstos</t>
        </is>
      </c>
      <c r="B6" s="10" t="n">
        <v>120</v>
      </c>
      <c r="C6" s="10" t="n">
        <v>70</v>
      </c>
      <c r="D6" s="10" t="n">
        <v>400</v>
      </c>
    </row>
    <row r="7">
      <c r="A7" s="4" t="inlineStr">
        <is>
          <t>Arroz principal (informativo)</t>
        </is>
      </c>
      <c r="B7" s="4" t="inlineStr">
        <is>
          <t>Valenciana</t>
        </is>
      </c>
      <c r="C7" s="4" t="inlineStr">
        <is>
          <t>Marisco</t>
        </is>
      </c>
      <c r="D7" s="4" t="inlineStr">
        <is>
          <t>Mixta</t>
        </is>
      </c>
    </row>
    <row r="8">
      <c r="A8" s="4" t="inlineStr">
        <is>
          <t>Diámetro de paellera (cm)</t>
        </is>
      </c>
      <c r="B8" s="10" t="n">
        <v>120</v>
      </c>
      <c r="C8" s="10" t="n">
        <v>90</v>
      </c>
      <c r="D8" s="10" t="n">
        <v>150</v>
      </c>
    </row>
    <row r="9">
      <c r="A9" s="4" t="inlineStr">
        <is>
          <t>Coste de materia prima por invitado</t>
        </is>
      </c>
      <c r="B9" s="12" t="n">
        <v>8.9</v>
      </c>
      <c r="C9" s="12" t="n">
        <v>8.5</v>
      </c>
      <c r="D9" s="12" t="n">
        <v>2.25</v>
      </c>
    </row>
    <row r="10">
      <c r="A10" s="4" t="inlineStr">
        <is>
          <t>Coste de menaje, pan y desechables por invitado</t>
        </is>
      </c>
      <c r="B10" s="12" t="n">
        <v>0.4</v>
      </c>
      <c r="C10" s="12" t="n">
        <v>0.45</v>
      </c>
      <c r="D10" s="12" t="n">
        <v>0.3</v>
      </c>
    </row>
    <row r="11">
      <c r="A11" s="4" t="inlineStr">
        <is>
          <t>Gas por paellera y servicio (kg)</t>
        </is>
      </c>
      <c r="B11" s="11" t="n">
        <v>1.3</v>
      </c>
      <c r="C11" s="11" t="n">
        <v>1.3</v>
      </c>
      <c r="D11" s="11" t="n">
        <v>1.3</v>
      </c>
    </row>
    <row r="12">
      <c r="A12" s="4" t="inlineStr">
        <is>
          <t>Precio del gas (€ por kg)</t>
        </is>
      </c>
      <c r="B12" s="12" t="n">
        <v>2.25</v>
      </c>
      <c r="C12" s="12" t="n">
        <v>2.25</v>
      </c>
      <c r="D12" s="12" t="n">
        <v>2.25</v>
      </c>
    </row>
    <row r="13">
      <c r="A13" s="4" t="inlineStr">
        <is>
          <t>Ayudantes (número)</t>
        </is>
      </c>
      <c r="B13" s="10" t="n">
        <v>2</v>
      </c>
      <c r="C13" s="10" t="n">
        <v>1</v>
      </c>
      <c r="D13" s="10" t="n">
        <v>2</v>
      </c>
    </row>
    <row r="14">
      <c r="A14" s="4" t="inlineStr">
        <is>
          <t>Horas por persona (carga, viaje, montaje, cocción, servicio y recogida)</t>
        </is>
      </c>
      <c r="B14" s="11" t="n">
        <v>9</v>
      </c>
      <c r="C14" s="11" t="n">
        <v>7</v>
      </c>
      <c r="D14" s="11" t="n">
        <v>7</v>
      </c>
    </row>
    <row r="15">
      <c r="A15" s="4" t="inlineStr">
        <is>
          <t>Coste bruto por hora del personal</t>
        </is>
      </c>
      <c r="B15" s="12" t="n">
        <v>13</v>
      </c>
      <c r="C15" s="12" t="n">
        <v>13</v>
      </c>
      <c r="D15" s="12" t="n">
        <v>12</v>
      </c>
    </row>
    <row r="16">
      <c r="A16" s="4" t="inlineStr">
        <is>
          <t>Seguridad Social a cargo de la empresa</t>
        </is>
      </c>
      <c r="B16" s="20" t="n">
        <v>0.33</v>
      </c>
      <c r="C16" s="20" t="n">
        <v>0.33</v>
      </c>
      <c r="D16" s="20" t="n">
        <v>0.33</v>
      </c>
    </row>
    <row r="17">
      <c r="A17" s="4" t="inlineStr">
        <is>
          <t>Importe de alquileres repercutidos (carpa, mesas, sillas)</t>
        </is>
      </c>
      <c r="B17" s="12" t="n">
        <v>400</v>
      </c>
      <c r="C17" s="12" t="n">
        <v>0</v>
      </c>
      <c r="D17" s="12" t="n">
        <v>0</v>
      </c>
    </row>
    <row r="18">
      <c r="A18" s="4" t="inlineStr">
        <is>
          <t>Kilómetros de ida (obrador → espacio)</t>
        </is>
      </c>
      <c r="B18" s="10" t="n">
        <v>35</v>
      </c>
      <c r="C18" s="10" t="n">
        <v>25</v>
      </c>
      <c r="D18" s="10" t="n">
        <v>30</v>
      </c>
    </row>
    <row r="19">
      <c r="A19" s="4" t="inlineStr">
        <is>
          <t>Tarifa por kilómetro de desplazamiento</t>
        </is>
      </c>
      <c r="B19" s="12" t="n">
        <v>0.95</v>
      </c>
      <c r="C19" s="12" t="n">
        <v>0.95</v>
      </c>
      <c r="D19" s="12" t="n">
        <v>0.95</v>
      </c>
    </row>
    <row r="20">
      <c r="A20" s="4" t="inlineStr">
        <is>
          <t>Suplemento de show cooking (% sobre el precio por invitado)</t>
        </is>
      </c>
      <c r="B20" s="20" t="n">
        <v>0</v>
      </c>
      <c r="C20" s="20" t="n">
        <v>0.08</v>
      </c>
      <c r="D20" s="20" t="n">
        <v>0</v>
      </c>
    </row>
    <row r="21">
      <c r="A21" s="4" t="inlineStr">
        <is>
          <t>Margen bruto objetivo sobre el subtotal</t>
        </is>
      </c>
      <c r="B21" s="20" t="n">
        <v>0.4</v>
      </c>
      <c r="C21" s="20" t="n">
        <v>0.45</v>
      </c>
      <c r="D21" s="20" t="n">
        <v>0.12</v>
      </c>
    </row>
    <row r="22">
      <c r="A22" s="4" t="inlineStr">
        <is>
          <t>IVA del servicio de comidas</t>
        </is>
      </c>
      <c r="B22" s="20" t="n">
        <v>0.1</v>
      </c>
      <c r="C22" s="20" t="n">
        <v>0.1</v>
      </c>
      <c r="D22" s="20" t="n">
        <v>0.1</v>
      </c>
    </row>
    <row r="23">
      <c r="A23" s="4" t="inlineStr">
        <is>
          <t>Anticipo para bloquear la fecha (% del total)</t>
        </is>
      </c>
      <c r="B23" s="20" t="n">
        <v>0.3</v>
      </c>
      <c r="C23" s="20" t="n">
        <v>0.3</v>
      </c>
      <c r="D23" s="20" t="n">
        <v>0.3</v>
      </c>
    </row>
    <row r="25" ht="32" customHeight="1">
      <c r="A25" s="3" t="inlineStr">
        <is>
          <t>RESULTADO</t>
        </is>
      </c>
      <c r="B25" s="19" t="inlineStr">
        <is>
          <t>Boda en finca</t>
        </is>
      </c>
      <c r="C25" s="19" t="inlineStr">
        <is>
          <t>Comida de empresa con show cooking</t>
        </is>
      </c>
      <c r="D25" s="19" t="inlineStr">
        <is>
          <t>Fiesta popular de ayuntamiento</t>
        </is>
      </c>
    </row>
    <row r="26">
      <c r="A26" s="4" t="inlineStr">
        <is>
          <t>Raciones por paellera (tabla)</t>
        </is>
      </c>
      <c r="B26" s="10">
        <f>INDEX('Calculadora'!$B$56:$B$63,MATCH($B$8,'Calculadora'!$A$56:$A$63,0))</f>
        <v>60.0</v>
      </c>
      <c r="C26" s="10">
        <f>INDEX('Calculadora'!$B$56:$B$63,MATCH($C$8,'Calculadora'!$A$56:$A$63,0))</f>
        <v>30.0</v>
      </c>
      <c r="D26" s="10">
        <f>INDEX('Calculadora'!$B$56:$B$63,MATCH($D$8,'Calculadora'!$A$56:$A$63,0))</f>
        <v>90.0</v>
      </c>
    </row>
    <row r="27">
      <c r="A27" s="4" t="inlineStr">
        <is>
          <t>Paelleras necesarias</t>
        </is>
      </c>
      <c r="B27" s="10">
        <f>ROUNDUP($B$6/$B$26,0)</f>
        <v>2.0</v>
      </c>
      <c r="C27" s="10">
        <f>ROUNDUP($C$6/$C$26,0)</f>
        <v>3.0</v>
      </c>
      <c r="D27" s="10">
        <f>ROUNDUP($D$6/$D$26,0)</f>
        <v>5.0</v>
      </c>
    </row>
    <row r="28">
      <c r="A28" s="4" t="inlineStr">
        <is>
          <t>Paelleros necesarios</t>
        </is>
      </c>
      <c r="B28" s="10">
        <f>ROUNDUP($B$27/3,0)</f>
        <v>1.0</v>
      </c>
      <c r="C28" s="10">
        <f>ROUNDUP($C$27/3,0)</f>
        <v>1.0</v>
      </c>
      <c r="D28" s="10">
        <f>ROUNDUP($D$27/3,0)</f>
        <v>2.0</v>
      </c>
    </row>
    <row r="29">
      <c r="A29" s="4" t="inlineStr">
        <is>
          <t>Arroz total (kg)</t>
        </is>
      </c>
      <c r="B29" s="11">
        <f>$B$27*INDEX('Calculadora'!$C$56:$C$63,MATCH($B$8,'Calculadora'!$A$56:$A$63,0))/1000</f>
        <v>12.0</v>
      </c>
      <c r="C29" s="11">
        <f>$C$27*INDEX('Calculadora'!$C$56:$C$63,MATCH($C$8,'Calculadora'!$A$56:$A$63,0))/1000</f>
        <v>9.0</v>
      </c>
      <c r="D29" s="11">
        <f>$D$27*INDEX('Calculadora'!$C$56:$C$63,MATCH($D$8,'Calculadora'!$A$56:$A$63,0))/1000</f>
        <v>45.0</v>
      </c>
    </row>
    <row r="30">
      <c r="A30" s="4" t="inlineStr">
        <is>
          <t>Caldo total (litros)</t>
        </is>
      </c>
      <c r="B30" s="11">
        <f>$B$27*INDEX('Calculadora'!$D$56:$D$63,MATCH($B$8,'Calculadora'!$A$56:$A$63,0))</f>
        <v>30.0</v>
      </c>
      <c r="C30" s="11">
        <f>$C$27*INDEX('Calculadora'!$D$56:$D$63,MATCH($C$8,'Calculadora'!$A$56:$A$63,0))</f>
        <v>22.5</v>
      </c>
      <c r="D30" s="11">
        <f>$D$27*INDEX('Calculadora'!$D$56:$D$63,MATCH($D$8,'Calculadora'!$A$56:$A$63,0))</f>
        <v>112.5</v>
      </c>
    </row>
    <row r="31">
      <c r="A31" s="4" t="inlineStr">
        <is>
          <t>Gas total (kg)</t>
        </is>
      </c>
      <c r="B31" s="11">
        <f>$B$27*$B$11</f>
        <v>2.6</v>
      </c>
      <c r="C31" s="11">
        <f>$C$27*$C$11</f>
        <v>3.9000000000000004</v>
      </c>
      <c r="D31" s="11">
        <f>$D$27*$D$11</f>
        <v>6.5</v>
      </c>
    </row>
    <row r="32">
      <c r="A32" s="4" t="inlineStr">
        <is>
          <t>Coste de materia prima</t>
        </is>
      </c>
      <c r="B32" s="12">
        <f>$B$9*$B$6</f>
        <v>1068.0</v>
      </c>
      <c r="C32" s="12">
        <f>$C$9*$C$6</f>
        <v>595.0</v>
      </c>
      <c r="D32" s="12">
        <f>$D$9*$D$6</f>
        <v>900.0</v>
      </c>
    </row>
    <row r="33">
      <c r="A33" s="4" t="inlineStr">
        <is>
          <t>Coste de menaje, pan y desechables</t>
        </is>
      </c>
      <c r="B33" s="12">
        <f>$B$10*$B$6</f>
        <v>48.0</v>
      </c>
      <c r="C33" s="12">
        <f>$C$10*$C$6</f>
        <v>31.5</v>
      </c>
      <c r="D33" s="12">
        <f>$D$10*$D$6</f>
        <v>120.0</v>
      </c>
    </row>
    <row r="34">
      <c r="A34" s="4" t="inlineStr">
        <is>
          <t>Coste del gas</t>
        </is>
      </c>
      <c r="B34" s="12">
        <f>$B$31*$B$12</f>
        <v>5.8500000000000005</v>
      </c>
      <c r="C34" s="12">
        <f>$C$31*$C$12</f>
        <v>8.775</v>
      </c>
      <c r="D34" s="12">
        <f>$D$31*$D$12</f>
        <v>14.625</v>
      </c>
    </row>
    <row r="35">
      <c r="A35" s="4" t="inlineStr">
        <is>
          <t>Coste de personal (salario + Seguridad Social)</t>
        </is>
      </c>
      <c r="B35" s="12">
        <f>($B$28+$B$13)*$B$14*$B$15*(1+$B$16)</f>
        <v>466.83000000000004</v>
      </c>
      <c r="C35" s="12">
        <f>($C$28+$C$13)*$C$14*$C$15*(1+$C$16)</f>
        <v>242.06</v>
      </c>
      <c r="D35" s="12">
        <f>($D$28+$D$13)*$D$14*$D$15*(1+$D$16)</f>
        <v>446.88</v>
      </c>
    </row>
    <row r="36">
      <c r="A36" s="4" t="inlineStr">
        <is>
          <t>Importe de alquileres</t>
        </is>
      </c>
      <c r="B36" s="12">
        <f>$B$17</f>
        <v>400.0</v>
      </c>
      <c r="C36" s="12">
        <f>$C$17</f>
        <v>0.0</v>
      </c>
      <c r="D36" s="12">
        <f>$D$17</f>
        <v>0.0</v>
      </c>
    </row>
    <row r="37">
      <c r="A37" s="4" t="inlineStr">
        <is>
          <t>Coste directo total</t>
        </is>
      </c>
      <c r="B37" s="12">
        <f>$B$32+$B$33+$B$34+$B$35+$B$36</f>
        <v>1988.6799999999998</v>
      </c>
      <c r="C37" s="12">
        <f>$C$32+$C$33+$C$34+$C$35+$C$36</f>
        <v>877.335</v>
      </c>
      <c r="D37" s="12">
        <f>$D$32+$D$33+$D$34+$D$35+$D$36</f>
        <v>1481.505</v>
      </c>
    </row>
    <row r="38">
      <c r="A38" s="4" t="inlineStr">
        <is>
          <t>Coste directo por invitado</t>
        </is>
      </c>
      <c r="B38" s="12">
        <f>$B$37/$B$6</f>
        <v>16.572333333333333</v>
      </c>
      <c r="C38" s="12">
        <f>$C$37/$C$6</f>
        <v>12.533357142857144</v>
      </c>
      <c r="D38" s="12">
        <f>$D$37/$D$6</f>
        <v>3.7037625000000003</v>
      </c>
    </row>
    <row r="39">
      <c r="A39" s="13" t="inlineStr">
        <is>
          <t>PRECIO POR INVITADO SIN IVA</t>
        </is>
      </c>
      <c r="B39" s="14">
        <f>ROUNDUP($B$37/(1-$B$21)/$B$6*(1+$B$20)*2,0)/2</f>
        <v>28.0</v>
      </c>
      <c r="C39" s="14">
        <f>ROUNDUP($C$37/(1-$C$21)/$C$6*(1+$C$20)*2,0)/2</f>
        <v>25.0</v>
      </c>
      <c r="D39" s="14">
        <f>ROUNDUP($D$37/(1-$D$21)/$D$6*(1+$D$20)*2,0)/2</f>
        <v>4.5</v>
      </c>
    </row>
    <row r="40">
      <c r="A40" s="13" t="inlineStr">
        <is>
          <t>PRECIO POR INVITADO CON IVA</t>
        </is>
      </c>
      <c r="B40" s="14">
        <f>$B$39*(1+$B$22)</f>
        <v>30.800000000000004</v>
      </c>
      <c r="C40" s="14">
        <f>$C$39*(1+$C$22)</f>
        <v>27.500000000000004</v>
      </c>
      <c r="D40" s="14">
        <f>$D$39*(1+$D$22)</f>
        <v>4.95</v>
      </c>
    </row>
    <row r="41">
      <c r="A41" s="4" t="inlineStr">
        <is>
          <t>Subtotal de comida sin IVA</t>
        </is>
      </c>
      <c r="B41" s="12">
        <f>$B$39*$B$6</f>
        <v>3360.0</v>
      </c>
      <c r="C41" s="12">
        <f>$C$39*$C$6</f>
        <v>1750.0</v>
      </c>
      <c r="D41" s="12">
        <f>$D$39*$D$6</f>
        <v>1800.0</v>
      </c>
    </row>
    <row r="42">
      <c r="A42" s="4" t="inlineStr">
        <is>
          <t>Desplazamiento (ida y vuelta, sin margen)</t>
        </is>
      </c>
      <c r="B42" s="12">
        <f>$B$18*2*$B$19</f>
        <v>66.5</v>
      </c>
      <c r="C42" s="12">
        <f>$C$18*2*$C$19</f>
        <v>47.5</v>
      </c>
      <c r="D42" s="12">
        <f>$D$18*2*$D$19</f>
        <v>57.0</v>
      </c>
    </row>
    <row r="43">
      <c r="A43" s="4" t="inlineStr">
        <is>
          <t>Base imponible</t>
        </is>
      </c>
      <c r="B43" s="12">
        <f>$B$41+$B$42</f>
        <v>3426.5</v>
      </c>
      <c r="C43" s="12">
        <f>$C$41+$C$42</f>
        <v>1797.5</v>
      </c>
      <c r="D43" s="12">
        <f>$D$41+$D$42</f>
        <v>1857.0</v>
      </c>
    </row>
    <row r="44">
      <c r="A44" s="4" t="inlineStr">
        <is>
          <t>IVA</t>
        </is>
      </c>
      <c r="B44" s="12">
        <f>$B$43*$B$22</f>
        <v>342.65000000000003</v>
      </c>
      <c r="C44" s="12">
        <f>$C$43*$C$22</f>
        <v>179.75</v>
      </c>
      <c r="D44" s="12">
        <f>$D$43*$D$22</f>
        <v>185.70000000000002</v>
      </c>
    </row>
    <row r="45">
      <c r="A45" s="13" t="inlineStr">
        <is>
          <t>TOTAL DEL PRESUPUESTO (con IVA)</t>
        </is>
      </c>
      <c r="B45" s="14">
        <f>$B$43+$B$44</f>
        <v>3769.15</v>
      </c>
      <c r="C45" s="14">
        <f>$C$43+$C$44</f>
        <v>1977.25</v>
      </c>
      <c r="D45" s="14">
        <f>$D$43+$D$44</f>
        <v>2042.7</v>
      </c>
    </row>
    <row r="46">
      <c r="A46" s="4" t="inlineStr">
        <is>
          <t>Anticipo para bloquear la fecha</t>
        </is>
      </c>
      <c r="B46" s="12">
        <f>$B$45*$B$23</f>
        <v>1130.745</v>
      </c>
      <c r="C46" s="12">
        <f>$C$45*$C$23</f>
        <v>593.175</v>
      </c>
      <c r="D46" s="12">
        <f>$D$45*$D$23</f>
        <v>612.81</v>
      </c>
    </row>
    <row r="47">
      <c r="A47" s="4" t="inlineStr">
        <is>
          <t>Pendiente después del anticipo</t>
        </is>
      </c>
      <c r="B47" s="12">
        <f>$B$45-$B$46</f>
        <v>2638.405</v>
      </c>
      <c r="C47" s="12">
        <f>$C$45-$C$46</f>
        <v>1384.075</v>
      </c>
      <c r="D47" s="12">
        <f>$D$45-$D$46</f>
        <v>1429.89</v>
      </c>
    </row>
    <row r="48">
      <c r="A48" s="4" t="inlineStr">
        <is>
          <t>Margen bruto en euros</t>
        </is>
      </c>
      <c r="B48" s="12">
        <f>$B$41-$B$37</f>
        <v>1371.3200000000002</v>
      </c>
      <c r="C48" s="12">
        <f>$C$41-$C$37</f>
        <v>872.665</v>
      </c>
      <c r="D48" s="12">
        <f>$D$41-$D$37</f>
        <v>318.4949999999999</v>
      </c>
    </row>
    <row r="49">
      <c r="A49" s="13" t="inlineStr">
        <is>
          <t>Margen bruto (calculado)</t>
        </is>
      </c>
      <c r="B49" s="15">
        <f>IF($B$41=0,0,$B$48/$B$41)</f>
        <v>0.4081309523809524</v>
      </c>
      <c r="C49" s="15">
        <f>IF($C$41=0,0,$C$48/$C$41)</f>
        <v>0.49866571428571427</v>
      </c>
      <c r="D49" s="15">
        <f>IF($D$41=0,0,$D$48/$D$41)</f>
        <v>0.1769416666666666</v>
      </c>
    </row>
    <row r="50">
      <c r="A50" s="4" t="inlineStr">
        <is>
          <t>Importe retenido si cancela con más de 60 días</t>
        </is>
      </c>
      <c r="B50" s="12">
        <f>IF($B$5="Particular",$B$45*0.3,0)</f>
        <v>1130.745</v>
      </c>
      <c r="C50" s="12">
        <f>IF($C$5="Particular",$C$45*0.3,0)</f>
        <v>0.0</v>
      </c>
      <c r="D50" s="12">
        <f>IF($D$5="Particular",$D$45*0.3,0)</f>
        <v>0.0</v>
      </c>
    </row>
    <row r="51">
      <c r="A51" s="4" t="inlineStr">
        <is>
          <t>Importe retenido si cancela entre 60 y 30 días</t>
        </is>
      </c>
      <c r="B51" s="12">
        <f>IF($B$5="Particular",$B$45*0.5,$B$46*0.3)</f>
        <v>1884.575</v>
      </c>
      <c r="C51" s="12">
        <f>IF($C$5="Particular",$C$45*0.5,$C$46*0.3)</f>
        <v>177.9525</v>
      </c>
      <c r="D51" s="12">
        <f>IF($D$5="Particular",$D$45*0.5,$D$46*0.3)</f>
        <v>183.843</v>
      </c>
    </row>
    <row r="52">
      <c r="A52" s="4" t="inlineStr">
        <is>
          <t>Importe retenido si cancela con menos de 30 días (Empresa: entre 30 y 15)</t>
        </is>
      </c>
      <c r="B52" s="12">
        <f>IF($B$5="Particular",$B$45*0.75,$B$46*0.6+200)</f>
        <v>2826.8625</v>
      </c>
      <c r="C52" s="12">
        <f>IF($C$5="Particular",$C$45*0.75,$C$46*0.6+200)</f>
        <v>555.905</v>
      </c>
      <c r="D52" s="12">
        <f>IF($D$5="Particular",$D$45*0.75,$D$46*0.6+200)</f>
        <v>567.6859999999999</v>
      </c>
    </row>
    <row r="53">
      <c r="A53" s="4" t="inlineStr">
        <is>
          <t>Importe retenido si cancela con 72 horas o menos (Empresa: menos de 15 días)</t>
        </is>
      </c>
      <c r="B53" s="12">
        <f>$B$45</f>
        <v>3769.15</v>
      </c>
      <c r="C53" s="12">
        <f>$C$45</f>
        <v>1977.25</v>
      </c>
      <c r="D53" s="12">
        <f>$D$45</f>
        <v>2042.7</v>
      </c>
    </row>
    <row r="55">
      <c r="A55" s="3" t="inlineStr">
        <is>
          <t>QUÉ ENSEÑA CADA EJEMPLO</t>
        </is>
      </c>
    </row>
    <row r="56" ht="48" customHeight="1">
      <c r="A56" s="13" t="inlineStr">
        <is>
          <t>Boda en finca</t>
        </is>
      </c>
      <c r="B56" s="2" t="inlineStr">
        <is>
          <t>Particular, 120 invitados, dos variedades en paellera de 120 cm más entrantes (la materia prima incluye los acompañamientos), carpa y mesas alquiladas repercutidas y precio con IVA.</t>
        </is>
      </c>
    </row>
    <row r="57" ht="48" customHeight="1">
      <c r="A57" s="13" t="inlineStr">
        <is>
          <t>Comida de empresa con show cooking</t>
        </is>
      </c>
      <c r="B57" s="2" t="inlineStr">
        <is>
          <t>Empresa: presupuesto «+ IVA», cocina a la vista con el 8 % de suplemento y tramos de cancelación sobre el anticipo.</t>
        </is>
      </c>
    </row>
    <row r="58" ht="48" customHeight="1">
      <c r="A58" s="13" t="inlineStr">
        <is>
          <t>Fiesta popular de ayuntamiento</t>
        </is>
      </c>
      <c r="B58" s="2" t="inlineStr">
        <is>
          <t>Ayuntamiento = Empresa. 400 raciones en paelleras de 150 cm, menaje desechable y margen bajo por volumen: el precio por ración queda en el orden de 4-5 € (en 2025, Sayalonga cobró 1.480 € por 400 raciones).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B56:D56"/>
    <mergeCell ref="B57:D57"/>
    <mergeCell ref="B58:D58"/>
    <mergeCell ref="A2:D2"/>
  </mergeCells>
  <printOptions horizontalCentered="1"/>
  <pageMargins left="0.75" right="0.75" top="1" bottom="1" header="0.5" footer="0.5"/>
  <pageSetup orientation="landscape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1" t="inlineStr">
        <is>
          <t>INSTRUCCIONES DE USO — Calculadora de precios de paella para eventos</t>
        </is>
      </c>
    </row>
    <row r="2" ht="45" customHeight="1">
      <c r="A2" s="2" t="inlineStr">
        <is>
          <t>Convierte tus costes en un precio por invitado y en un presupuesto completo: paelleras y paelleros, arroz, caldo y gas, subtotal, IVA, total, anticipo y lo que retienes si el cliente cancela. Sólo se escribe en las celdas VERDES; el margen se calcula.</t>
        </is>
      </c>
    </row>
    <row r="3" ht="30" customHeight="1">
      <c r="A3" s="2" t="inlineStr">
        <is>
          <t>1. Elige el cliente (Particular o Empresa; ayuntamientos y comisiones de fiestas cuentan como Empresa), los invitados y el diámetro de paellera.</t>
        </is>
      </c>
    </row>
    <row r="4" ht="45" customHeight="1">
      <c r="A4" s="2" t="inlineStr">
        <is>
          <t>2. La tabla de escalado del final de la primera hoja da las raciones, el arroz y el caldo por paellera. Las paelleras salen de dividir los invitados entre las raciones de la paellera, hacia arriba; un paellero atiende como máximo tres paelleras.</t>
        </is>
      </c>
    </row>
    <row r="5" ht="16" customHeight="1">
      <c r="A5" s="2" t="inlineStr">
        <is>
          <t>3. Escribe tu coste de materia prima por invitado (tu escandallo), el menaje, el gas y su precio.</t>
        </is>
      </c>
    </row>
    <row r="6" ht="30" customHeight="1">
      <c r="A6" s="2" t="inlineStr">
        <is>
          <t>4. Escribe los ayudantes, las horas por persona, el coste bruto por hora y la Seguridad Social. Si cocinas tú, cuéntate a precio de hora: es tu coste de oportunidad.</t>
        </is>
      </c>
    </row>
    <row r="7" ht="30" customHeight="1">
      <c r="A7" s="2" t="inlineStr">
        <is>
          <t>5. Escribe los alquileres que repercutes y los kilómetros de ida: el desplazamiento se cobra ida y vuelta, en una línea aparte y sin margen.</t>
        </is>
      </c>
    </row>
    <row r="8" ht="45" customHeight="1">
      <c r="A8" s="2" t="inlineStr">
        <is>
          <t>6. Fija el margen bruto objetivo y, si cocinas a la vista de los invitados, el suplemento de show cooking. El precio por invitado es el coste directo dividido entre (1 − margen), más el suplemento, redondeado a los 0,50 € de arriba: el margen calculado queda igual o por encima del objetivo.</t>
        </is>
      </c>
    </row>
    <row r="9" ht="30" customHeight="1">
      <c r="A9" s="2" t="inlineStr">
        <is>
          <t>7. A una empresa se le presupuesta el precio SIN IVA («+ IVA»); a un particular, el precio CON IVA, porque en una oferta a consumidores el precio va con los impuestos incluidos.</t>
        </is>
      </c>
    </row>
    <row r="10">
      <c r="A10" s="22" t="inlineStr">
        <is>
          <t>IVA, PROPINAS Y COBROS</t>
        </is>
      </c>
    </row>
    <row r="12" ht="30" customHeight="1">
      <c r="A12" s="2" t="inlineStr">
        <is>
          <t>El servicio de comidas para consumir en el acto va al 10 % de IVA, alcohol incluido (Ley 37/1992, art. 91.Uno.2.2.º). Lo que facturas aparte sin ser accesorio, como la carpa o el mobiliario, va al 21 %.</t>
        </is>
      </c>
    </row>
    <row r="13" ht="30" customHeight="1">
      <c r="A13" s="2" t="inlineStr">
        <is>
          <t>La propina voluntaria es decisión del cliente y es del equipo: no entra en el precio, en la base imponible ni en el total.</t>
        </is>
      </c>
    </row>
    <row r="14" ht="16" customHeight="1">
      <c r="A14" s="2" t="inlineStr">
        <is>
          <t>Los pagos en efectivo con particulares sólo valen hasta 1.000 € (art. 7 de la Ley 7/2012).</t>
        </is>
      </c>
    </row>
    <row r="15">
      <c r="A15" s="22" t="inlineStr">
        <is>
          <t>ANTICIPO Y CANCELACIÓN</t>
        </is>
      </c>
    </row>
    <row r="17" ht="75" customHeight="1">
      <c r="A17" s="2" t="inlineStr">
        <is>
          <t>El anticipo es del 30 % al firmar. Importes retenidos según los contratos del kit. Particular, sobre el total: más de 60 días, el 30 %; entre 60 y 30 días, el 50 %; menos de 30 días, el 75 %; con 72 horas o menos, el 100 %. Empresa: más de 60 días, nada; entre 60 y 30 días, el 30 % del anticipo; entre 30 y 15 días, el 60 % del anticipo más 200 € de gestión; menos de 15 días, el 100 % del total. En un servicio de comida con fecha no hay derecho de desistimiento (art. 103.l del TRLGDCU): por eso la política tiene que estar firmada.</t>
        </is>
      </c>
    </row>
    <row r="18">
      <c r="A18" s="22" t="inlineStr">
        <is>
          <t>ESTIMACIONES DEL KIT</t>
        </is>
      </c>
    </row>
    <row r="20" ht="30" customHeight="1">
      <c r="A20" s="2" t="inlineStr">
        <is>
          <t>Los valores por defecto y los tres ejemplos son estimaciones para ilustrar el cálculo, no precios de mercado. Cámbialos por tu escandallo, tus salarios, tus alquileres y tus kilómetros antes de presupuestar.</t>
        </is>
      </c>
    </row>
    <row r="22">
      <c r="A22" s="2" t="inlineStr">
        <is>
          <t>Para editar una celda que no esté en verde: Revisar → Desproteger hoja (no tiene contraseña).</t>
        </is>
      </c>
    </row>
    <row r="23">
      <c r="A23" s="2" t="inlineStr">
        <is>
          <t>Más plantillas y kits del catálogo en aichef.pro/productos-digitales</t>
        </is>
      </c>
    </row>
    <row r="24">
      <c r="A24" s="2" t="inlineStr">
        <is>
          <t>Diseñado por John Guerrero — chef y consultor gastronómico desde 2010, en cocina desde los 17 años · johnguerrero.es</t>
        </is>
      </c>
    </row>
    <row r="25">
      <c r="A25" s="2" t="inlineStr">
        <is>
          <t>Versión 2.2 · septiembre 2026 · aichef.pro/plan-negocio-paellero-eventos · info@aichef.pro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precios de paella para eventos (del coste al presupuesto) · v2.2</dc:title>
  <dc:description xmlns:dc="http://purl.org/dc/elements/1.1/">aichef.pro/plan-negocio-paellero-eventos</dc:description>
  <dc:subject xmlns:dc="http://purl.org/dc/elements/1.1/">Plan de Negocio Paellero para Eventos</dc:subject>
  <dcterms:created xmlns:dcterms="http://purl.org/dc/terms/" xmlns:xsi="http://www.w3.org/2001/XMLSchema-instance" xsi:type="dcterms:W3CDTF">2026-10-11T19:52:05Z</dcterms:created>
  <dcterms:modified xmlns:dcterms="http://purl.org/dc/terms/" xmlns:xsi="http://www.w3.org/2001/XMLSchema-instance" xsi:type="dcterms:W3CDTF">2026-10-11T19:52:05Z</dcterms:modified>
  <cp:lastModifiedBy>AI Chef Pro</cp:lastModifiedBy>
  <cp:keywords>plan negocio paellero eventos, AI Chef Pro</cp:keywords>
</cp:coreProperties>
</file>