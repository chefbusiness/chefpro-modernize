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6" fontId="0" fillId="4" borderId="0" applyProtection="1" pivotButton="0" quotePrefix="0" xfId="0">
      <protection locked="0" hidden="0"/>
    </xf>
    <xf numFmtId="165" fontId="0" fillId="4" borderId="0" applyProtection="1" pivotButton="0" quotePrefix="0" xfId="0">
      <protection locked="0" hidden="0"/>
    </xf>
    <xf numFmtId="166" fontId="0" fillId="0" borderId="0" pivotButton="0" quotePrefix="0" xfId="0"/>
    <xf numFmtId="165"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5" fontId="10" fillId="0" borderId="3" pivotButton="0" quotePrefix="0" xfId="0"/>
    <xf numFmtId="0" fontId="9" fillId="0" borderId="3" pivotButton="0" quotePrefix="0" xfId="0"/>
    <xf numFmtId="164" fontId="9" fillId="4" borderId="3" applyProtection="1" pivotButton="0" quotePrefix="0" xfId="0">
      <protection locked="0" hidden="0"/>
    </xf>
    <xf numFmtId="165"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5"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6" fontId="9" fillId="0" borderId="3" pivotButton="0" quotePrefix="0" xfId="0"/>
    <xf numFmtId="3" fontId="0" fillId="0" borderId="0" pivotButton="0" quotePrefix="0" xfId="0"/>
    <xf numFmtId="165"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6" fontId="10" fillId="0" borderId="3" pivotButton="0" quotePrefix="0" xfId="0"/>
    <xf numFmtId="167" fontId="0" fillId="0" borderId="0" pivotButton="0" quotePrefix="0" xfId="0"/>
    <xf numFmtId="3" fontId="9" fillId="4" borderId="3" applyProtection="1" pivotButton="0" quotePrefix="0" xfId="0">
      <protection locked="0" hidden="0"/>
    </xf>
    <xf numFmtId="166"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6"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4" borderId="3" applyProtection="1" pivotButton="0" quotePrefix="0" xfId="0">
      <protection locked="0" hidden="0"/>
    </xf>
    <xf numFmtId="4" fontId="9" fillId="0" borderId="3" pivotButton="0" quotePrefix="0" xfId="0"/>
    <xf numFmtId="4" fontId="10" fillId="0" borderId="3"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Clientes/día (media del año 1)</t>
        </is>
      </c>
      <c r="B4" s="18" t="n">
        <v>45</v>
      </c>
      <c r="C4" t="inlineStr">
        <is>
          <t>Clientes servidos al día de media del año. Es el mismo «Clientes/día objetivo (Año 1)» que ya declaraba el fichero v1.1</t>
        </is>
      </c>
    </row>
    <row r="5">
      <c r="A5" t="inlineStr">
        <is>
          <t>Ticket medio SIN IVA (€)</t>
        </is>
      </c>
      <c r="B5" s="19" t="n">
        <v>12</v>
      </c>
      <c r="C5" t="inlineStr">
        <is>
          <t>SIN IVA. Es el mismo 12 € que ya usaban Punto Equilibrio y la columna realista de Escenarios (declarar que es SIN IVA no cambia ningún número, sólo aclara qué era). Dentro del rango 10-15 € de la fila «Ticket medio food truck» de la tabla DATOS DE REFERENCIA DEL SECTOR, en la hoja de Instrucciones</t>
        </is>
      </c>
    </row>
    <row r="6">
      <c r="A6" t="inlineStr">
        <is>
          <t>Días de apertura al año</t>
        </is>
      </c>
      <c r="B6" s="18" t="n">
        <v>250</v>
      </c>
      <c r="C6" t="inlineStr">
        <is>
          <t>El MISMO dato lo usan la cuenta de resultados, el punto de equilibrio y los escenarios. La versión anterior traía TRES calendarios que no coincidían: 25 días de servicio al mes en el punto de equilibrio (300 al año), 5 servicios por semana durante 48 semanas en los escenarios (240 al año) y ninguno declarado en la cuenta de resultados. Se fijan 250 días —5 días de servicio a la semana por 50 semanas activas, dentro de los «4-6 días operativos por semana» que declara este mismo libro— porque son los únicos que reproducen al céntimo la facturación que el propio libro ya publicaba: 45 × 12 × 250 = 135.000 €</t>
        </is>
      </c>
    </row>
    <row r="7">
      <c r="A7" t="inlineStr">
        <is>
          <t>Crecimiento de volumen del año 2</t>
        </is>
      </c>
      <c r="B7" s="20" t="n">
        <v>0.15</v>
      </c>
      <c r="C7" t="inlineStr">
        <is>
          <t>El fichero v1.1 proyectaba 175.000 € en el año 2 sobre 135.000 € (+29,6 %): se redondea a la baja porque un food truck de un año no tiene todavía rutas ni clientela corporativa consolidadas (mismo criterio conservador que tapas-bar y cafetería)</t>
        </is>
      </c>
    </row>
    <row r="8">
      <c r="A8" t="inlineStr">
        <is>
          <t>Crecimiento de volumen del año 3</t>
        </is>
      </c>
      <c r="B8" s="20" t="n">
        <v>0.1</v>
      </c>
      <c r="C8" t="inlineStr">
        <is>
          <t>El fichero v1.1 proyectaba 215.000 € sobre 175.000 € (+22,9 %): igual, redondeado a la baja</t>
        </is>
      </c>
    </row>
    <row r="9">
      <c r="A9" t="inlineStr">
        <is>
          <t>PVP equivalente con IVA (calculado)</t>
        </is>
      </c>
      <c r="B9" s="21">
        <f>IFERROR(IF($B$5="","",$B$5*(1+SUMPRODUCT('PyG 3 Años'!$E$10:$E$11,'PyG 3 Años'!$G$10:$G$11))),"")</f>
        <v>13.200000000000001</v>
      </c>
      <c r="C9" t="str">
        <f>IFERROR("Ticket sin IVA más el IVA medio ponderado de tus líneas de venta: "&amp;TEXT(SUMPRODUCT('PyG 3 Años'!$E$10:$E$11,'PyG 3 Años'!$G$10:$G$11)*100,"0")&amp;" %. En sala todo va al 10 % (art. 91.Uno.2.2.º de la Ley 37/1992, alcohol incluido); el alcohol que sale por delivery y el pan común, si los tienes, mueven la media. Aquí va redondeado. Compáralo con el rango del sector, que va con IVA.","")</f>
        <v>Ticket sin IVA más el IVA medio ponderado de tus líneas de venta: 10 %. En sala todo va al 10 % (art. 91.Uno.2.2.º de la Ley 37/1992, alcohol incluido); el alcohol que sale por delivery y el pan común, si los tienes, mueven la media. Aquí va redondeado. Compáralo con el rango del sector, que va con IVA.</v>
      </c>
    </row>
    <row r="10">
      <c r="A10" s="16" t="inlineStr">
        <is>
          <t>MIX Y COSTE DE MERCANCÍA</t>
        </is>
      </c>
    </row>
    <row r="11">
      <c r="A11" t="inlineStr">
        <is>
          <t>Ventas de COMIDA sobre el total</t>
        </is>
      </c>
      <c r="B11" s="20" t="n">
        <v>0.8519</v>
      </c>
      <c r="C11" t="inlineStr">
        <is>
          <t>Peso de la COMIDA sobre el total de ventas. Es un INPUT: cámbialo aquí y el P&amp;L, la tesorería y el IVA repercutido se recalculan solos</t>
        </is>
      </c>
    </row>
    <row r="12">
      <c r="A12" t="inlineStr">
        <is>
          <t>Ventas de BEBIDA sobre el total</t>
        </is>
      </c>
      <c r="B12" s="22">
        <f>IFERROR(IF(COUNT(B11)=0,"",1-B11),"")</f>
        <v>0.1481</v>
      </c>
      <c r="C12" t="inlineStr">
        <is>
          <t>Se calcula como el resto: comida + bebida = 100 %</t>
        </is>
      </c>
    </row>
    <row r="13">
      <c r="A13" t="inlineStr">
        <is>
          <t>Coste de mercancía sobre las ventas de COMIDA</t>
        </is>
      </c>
      <c r="B13" s="20" t="n">
        <v>0.28</v>
      </c>
      <c r="C13" t="inlineStr">
        <is>
          <t>Coste de mercancía de la comida: dentro del 28-33 % de la fila «Food cost comida» de la tabla DATOS DE REFERENCIA DEL SECTOR de la hoja de Instrucciones («depende del concepto: burger 30 %, tacos 25 %, poke 35 %»). Se toma el extremo bajo del rango porque la compra diaria que exige un food truck, sin cámara grande, reduce la merma frente a una cocina fija. Es la palanca más sensible del plan: con el 33 % el resultado del primer año se queda muy justo</t>
        </is>
      </c>
    </row>
    <row r="14">
      <c r="A14" t="inlineStr">
        <is>
          <t>Coste de mercancía sobre las ventas de BEBIDA</t>
        </is>
      </c>
      <c r="B14" s="20" t="n">
        <v>0.22</v>
      </c>
      <c r="C14" t="inlineStr">
        <is>
          <t>Bebidas embotelladas y refrescos: extremo bajo del 22-28 % de la fila «Food cost bebidas» de la tabla DATOS DE REFERENCIA DEL SECTOR de la hoja de Instrucciones («refrescos y agua embotellada, margen alto»)</t>
        </is>
      </c>
    </row>
    <row r="15">
      <c r="A15" t="inlineStr">
        <is>
          <t>Consumibles sobre ventas</t>
        </is>
      </c>
      <c r="B15" s="20" t="n">
        <v>0.03</v>
      </c>
      <c r="C15" t="inlineStr">
        <is>
          <t>Packaging biodegradable: extremo bajo del 3-5 % de la fila «Coste packaging / ventas» de la tabla DATOS DE REFERENCIA DEL SECTOR de la hoja de Instrucciones. Es una partida realmente cara en un food truck (obligatoria por normativa municipal en muchos casos, como recuerda la fase de equipamiento de tu checklist) y por eso se cita al lado del food cost, no dentro de «varios»</t>
        </is>
      </c>
    </row>
    <row r="16">
      <c r="A16" t="inlineStr">
        <is>
          <t>Ventas por delivery sobre el total</t>
        </is>
      </c>
      <c r="B16" s="20" t="n">
        <v>0</v>
      </c>
      <c r="C16" t="inlineStr">
        <is>
          <t>A CERO por defecto: este negocio vende en el punto de venta móvil, no reparte a domicilio. Súbelo si activas un canal de delivery desde una ubicación fija</t>
        </is>
      </c>
    </row>
    <row r="17">
      <c r="A17" t="inlineStr">
        <is>
          <t>Comisión de la plataforma de delivery</t>
        </is>
      </c>
      <c r="B17" s="20" t="n">
        <v>0.28</v>
      </c>
      <c r="C17" t="inlineStr">
        <is>
          <t>Sin uso mientras pct_delivery esté a 0: rango habitual de comisión de plataforma si algún día operas desde una ubicación fija con reparto</t>
        </is>
      </c>
    </row>
    <row r="18">
      <c r="A18" t="inlineStr">
        <is>
          <t>Comisión de los medios de pago</t>
        </is>
      </c>
      <c r="B18" s="20" t="n">
        <v>0.008</v>
      </c>
      <c r="C18" t="inlineStr">
        <is>
          <t>Tarjeta y bizum sobre el total facturado: un food truck urbano cobra en tarjeta/contactless la mayoría de los tickets</t>
        </is>
      </c>
    </row>
    <row r="19">
      <c r="A19" s="16" t="inlineStr">
        <is>
          <t>PERSONAL</t>
        </is>
      </c>
    </row>
    <row r="20">
      <c r="A20" t="inlineStr">
        <is>
          <t>Seguridad Social a cargo de la empresa</t>
        </is>
      </c>
      <c r="B20" s="20"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400</v>
      </c>
      <c r="C24" t="inlineStr">
        <is>
          <t>ESTE NEGOCIO NO PAGA RENTA DE LOCAL: esta celda es el coste mensual del aparcamiento o la nave en la que el vehículo pernocta y se prepara cada jornada, y de ella salen también la fianza y los meses previos a la apertura. Es un concepto distinto del generador, que va en la celda de suministros. 400 €/mes es lo que cuesta una plaza cubierta con toma de agua y desagüe para un vehículo comercial grande en una ciudad media española: pide presupuesto en tu zona antes de firmar</t>
        </is>
      </c>
    </row>
    <row r="25">
      <c r="A25" t="inlineStr">
        <is>
          <t>Fianza del aparcamiento (meses)</t>
        </is>
      </c>
      <c r="B25" s="18" t="n">
        <v>2</v>
      </c>
      <c r="C25" t="inlineStr">
        <is>
          <t>Dos meses de fianza por la plaza o la nave, menos que los tres habituales de un local comercial</t>
        </is>
      </c>
    </row>
    <row r="26">
      <c r="A26" t="inlineStr">
        <is>
          <t>Suministros mensuales de luz, agua y gas (€)</t>
        </is>
      </c>
      <c r="B26" s="23" t="n">
        <v>200</v>
      </c>
      <c r="C26" t="inlineStr">
        <is>
          <t>Combustible del generador eléctrico y mantenimiento de las tomas de agua y de vertido. Es el mismo concepto que la versión anterior llamaba «Generador (combustible/alquiler)» dentro de los costes fijos: ahora vive en una celda, para poder cambiarlo en un solo sitio y que el resto del libro se entere</t>
        </is>
      </c>
    </row>
    <row r="27">
      <c r="A27" t="inlineStr">
        <is>
          <t>Seguros (€/año)</t>
        </is>
      </c>
      <c r="B27" s="23" t="n">
        <v>2500</v>
      </c>
      <c r="C27" t="inlineStr">
        <is>
          <t>Responsabilidad civil profesional alimentaria —la fase 1 de tu checklist pide un mínimo de 300.000 € de cobertura— más el seguro del vehículo a todo riesgo. Es la MISMA prima que la versión anterior contaba dos veces, una en la inversión y otra como gasto del año: aquí se cuenta una sola vez, que es como se paga</t>
        </is>
      </c>
    </row>
    <row r="28">
      <c r="A28" t="inlineStr">
        <is>
          <t>Varios e imprevistos sobre ventas</t>
        </is>
      </c>
      <c r="B28" s="20" t="n">
        <v>0.05</v>
      </c>
      <c r="C28" t="inlineStr">
        <is>
          <t>Combustible del vehículo para desplazarse entre ubicaciones más el colchón de gasto corriente no presupuestado. Es un coste VARIABLE: sube y baja con los servicios que se hacen, así que no puede vivir entre los fijos, porque movería el punto de equilibrio sin que se notara. Agrupa dos partidas que la versión anterior tenía sueltas: el combustible, que ya era variable, y los varios e imprevistos, que estaban mal clasificados como fijos</t>
        </is>
      </c>
    </row>
    <row r="29">
      <c r="A29" s="16" t="inlineStr">
        <is>
          <t>FINANCIACIÓN</t>
        </is>
      </c>
    </row>
    <row r="30">
      <c r="A30" t="inlineStr">
        <is>
          <t>Recursos propios aportados (€)</t>
        </is>
      </c>
      <c r="B30" s="23" t="n">
        <v>25000</v>
      </c>
      <c r="C30" t="inlineStr">
        <is>
          <t>Aportación del titular. Con menos, el banco no entra: pide un 25-30 % de fondos propios sobre la necesidad de caja de este plan</t>
        </is>
      </c>
    </row>
    <row r="31">
      <c r="A31" t="inlineStr">
        <is>
          <t>Préstamo bancario solicitado (€)</t>
        </is>
      </c>
      <c r="B31" s="23" t="n">
        <v>72000</v>
      </c>
      <c r="C31" t="inlineStr">
        <is>
          <t>Principal solicitado. La hoja de Financiación comprueba que el origen de fondos cuadra con la necesidad de caja de la hoja 1 (25.000 € de recursos propios + 72.000 € de préstamo = 97.000 €). Está por encima de los 73.400 € que sumaba la versión anterior porque el fondo de maniobra pasa a ser de verdad de tres meses, y porque ahora se suman a la necesidad de caja el IVA de la inversión —que hay que adelantar aunque se recupere— y los imprevistos de la puesta en marcha</t>
        </is>
      </c>
    </row>
    <row r="32">
      <c r="A32" t="inlineStr">
        <is>
          <t>Tipo de interés nominal anual</t>
        </is>
      </c>
      <c r="B32" s="20" t="n">
        <v>0.065</v>
      </c>
      <c r="C32" t="inlineStr">
        <is>
          <t>Tipo nominal anual; un préstamo de menor importe y sin garantía inmobiliaria (el vehículo es la garantía) suele salir algo por encima del de un local: pide oferta a dos entidades y a una línea ICO/ENISA de emprendedores antes de fijarlo</t>
        </is>
      </c>
    </row>
    <row r="33">
      <c r="A33" t="inlineStr">
        <is>
          <t>Plazo del préstamo (años)</t>
        </is>
      </c>
      <c r="B33" s="18" t="n">
        <v>6</v>
      </c>
      <c r="C33" t="inlineStr">
        <is>
          <t>Años totales, carencia incluida. Un vehículo se amortiza más rápido que unas obras de local, así que el plazo también es más corto</t>
        </is>
      </c>
    </row>
    <row r="34">
      <c r="A34" t="inlineStr">
        <is>
          <t>Carencia de principal (años)</t>
        </is>
      </c>
      <c r="B34" s="18" t="n">
        <v>1</v>
      </c>
      <c r="C34" t="inlineStr">
        <is>
          <t>Primer año sólo intereses, que es cuando la caja está más tensa (adaptación del vehículo + primeras semanas de rodaje probando ubicaciones)</t>
        </is>
      </c>
    </row>
    <row r="35">
      <c r="A35" t="inlineStr">
        <is>
          <t>Fondo de maniobra (meses de costes fijos)</t>
        </is>
      </c>
      <c r="B35" s="18" t="n">
        <v>3</v>
      </c>
      <c r="C35" t="inlineStr">
        <is>
          <t>Mínimo que exige este mismo libro (Instrucciones): un colchón por debajo de 3 meses no cubre un bache de mal tiempo o de temporada baja de eventos</t>
        </is>
      </c>
    </row>
    <row r="36">
      <c r="A36" s="16" t="inlineStr">
        <is>
          <t>FISCAL</t>
        </is>
      </c>
    </row>
    <row r="37">
      <c r="A37" t="inlineStr">
        <is>
          <t>Impuesto de Sociedades, nueva creación</t>
        </is>
      </c>
      <c r="B37" s="20"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20"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20" t="n">
        <v>0.1</v>
      </c>
      <c r="C39" t="inlineStr">
        <is>
          <t>Tipo reducido de hostelería</t>
        </is>
      </c>
    </row>
    <row r="40">
      <c r="A40" t="inlineStr">
        <is>
          <t>IVA repercutido/soportado general</t>
        </is>
      </c>
      <c r="B40" s="20" t="n">
        <v>0.21</v>
      </c>
      <c r="C40" t="inlineStr">
        <is>
          <t>Tipo general. En este libro lo usan dos cosas: el IVA que soportas al comprar el alcohol (el proveedor lo factura al 21 %) y el que repercutes por el alcohol que sale por delivery (es una entrega de bienes). El alcohol servido en sala va al reducido: su tipo está en el bloque de desglose del IVA. Suministros, equipamiento y servicios tienen su tipo en la celda de abajo. El libro manda al general sólo el alcohol: si compras refrescos o zumos con azúcares añadidos, su factura también va al 21 % (art. 91.Uno.1.1.º de la Ley 37/1992)</t>
        </is>
      </c>
    </row>
    <row r="41">
      <c r="A41" t="inlineStr">
        <is>
          <t>IVA soportado en compras e inversión</t>
        </is>
      </c>
      <c r="B41" s="20"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8</v>
      </c>
      <c r="C44" t="inlineStr">
        <is>
          <t>Vehículo, adaptación y rotulación, instalación de gas, depósito de aguas y proyecto técnico: todo lo que va montado en el vehículo se amortiza con él. Ocho años son el 12,5 % anual, por debajo del coeficiente lineal máximo del 16 % que la tabla del art. 12.1 de la Ley del Impuesto sobre Sociedades fija para los elementos de transporte. Confírmalo con tu asesor</t>
        </is>
      </c>
    </row>
    <row r="45">
      <c r="A45" t="inlineStr">
        <is>
          <t>Vida útil de maquinaria y mobiliario (años)</t>
        </is>
      </c>
      <c r="B45" s="18" t="n">
        <v>10</v>
      </c>
      <c r="C45" t="inlineStr">
        <is>
          <t>Equipamiento de cocina, generador, TPV, menaje y toldo. El uso es más intenso que en una cocina fija por el montaje y el desmontaje diarios, pero el coeficiente lineal máximo de la tabla del art. 12.1 de la Ley del Impuesto sobre Sociedades es del 12 % para maquinaria y del 10 % para mobiliario: por debajo de 9-10 años el exceso no sería deducible. Confírmalo con tu asesor</t>
        </is>
      </c>
    </row>
    <row r="46"/>
    <row r="47">
      <c r="A47" s="16" t="inlineStr">
        <is>
          <t>CRECIMIENTO Y ACTUALIZACIÓN DE COSTES</t>
        </is>
      </c>
    </row>
    <row r="48">
      <c r="A48" t="inlineStr">
        <is>
          <t>Subida anual de los costes fijos</t>
        </is>
      </c>
      <c r="B48" s="20" t="n">
        <v>0</v>
      </c>
      <c r="C48" t="inlineStr">
        <is>
          <t>A CERO: las tres columnas están en euros del año 1 (términos reales). Súbela si quieres proyectar en euros corrientes</t>
        </is>
      </c>
    </row>
    <row r="49">
      <c r="A49" s="16" t="inlineStr">
        <is>
          <t>ARRANQUE Y AFORO</t>
        </is>
      </c>
    </row>
    <row r="50"/>
    <row r="51">
      <c r="A51" t="inlineStr">
        <is>
          <t>Plazas de pie y mesas altas junto al vehículo</t>
        </is>
      </c>
      <c r="B51" s="18" t="n">
        <v>16</v>
      </c>
      <c r="C51" t="inlineStr">
        <is>
          <t>DATO INFORMATIVO: no entra en ningún cálculo de este libro. Son las cuatro mesas altas plegables de cuatro posiciones que presupuesta la partida «Toldo, mobiliario exterior plegable» de la hoja de inversión. Un food truck no tiene aforo legal ni plazas sentadas, así que aquí no se calcula ninguna rotación por plaza: el techo real de este negocio son los clientes por servicio, que la tabla de referencias de este mismo libro sitúa en 40-80, y quien manda sobre el volumen es la celda «Clientes/día» de arriba</t>
        </is>
      </c>
    </row>
    <row r="52">
      <c r="A52" t="inlineStr">
        <is>
          <t>Actividad del mes 1 sobre la de crucero</t>
        </is>
      </c>
      <c r="B52" s="20" t="n">
        <v>0.55</v>
      </c>
      <c r="C52" t="inlineStr">
        <is>
          <t>Un food truck que arranca no factura desde el primer día lo mismo que a los seis meses: hay que probar ubicaciones, entrar en los mercados y que la gente te conozca. Con 100 % se elimina la rampa y el año 1 se proyecta a velocidad de crucero</t>
        </is>
      </c>
    </row>
    <row r="53">
      <c r="A53" t="inlineStr">
        <is>
          <t>Meses hasta alcanzar el régimen de crucero</t>
        </is>
      </c>
      <c r="B53" s="18" t="n">
        <v>6</v>
      </c>
      <c r="C53" t="inlineStr">
        <is>
          <t>La rampa sube en línea recta desde el porcentaje de arriba hasta el 100 % en este número de meses</t>
        </is>
      </c>
    </row>
    <row r="54">
      <c r="A54" t="inlineStr">
        <is>
          <t>Meses de alquiler del aparcamiento ANTES de abrir</t>
        </is>
      </c>
      <c r="B54" s="18" t="n">
        <v>2</v>
      </c>
      <c r="C54" t="inlineStr">
        <is>
          <t>La adaptación del vehículo dura 4-8 semanas según la fase 2 de tu propio checklist: son dos meses de aparcamiento y base que se pagan antes de facturar el primer euro, así que forman parte de la inversión y no de la cuenta de resultados</t>
        </is>
      </c>
    </row>
    <row r="55">
      <c r="A55" t="inlineStr">
        <is>
          <t>Imprevistos sobre las partidas de compra y adaptación del vehículo (%)</t>
        </is>
      </c>
      <c r="B55" s="20" t="n">
        <v>0.08</v>
      </c>
      <c r="C55" t="inlineStr">
        <is>
          <t>Se conserva el mismo 8 % que la versión anterior tenía escrito a mano en su fila de imprevistos, ahora calculado por fórmula sobre las partidas de compra y adaptación del vehículo: si cambias el precio del vehículo, los imprevistos se recalculan solos. La nota de esa fila, en la hoja de Inversión, enumera exactamente qué partidas entran</t>
        </is>
      </c>
    </row>
    <row r="56"/>
    <row r="57">
      <c r="A57" s="16" t="inlineStr">
        <is>
          <t>COBROS, PAGOS Y DESGLOSE DEL IVA</t>
        </is>
      </c>
    </row>
    <row r="58">
      <c r="A58" t="inlineStr">
        <is>
          <t>Días medios de cobro</t>
        </is>
      </c>
      <c r="B58" s="18" t="n">
        <v>0</v>
      </c>
      <c r="C58" t="inlineStr">
        <is>
          <t>En la ventanilla se cobra al contado (0 días). Súbelo si trabajas con organizadores de eventos o con clientes de catering que pagan a 15 o 30 días, o con plataformas que liquidan más tarde</t>
        </is>
      </c>
    </row>
    <row r="59">
      <c r="A59" t="inlineStr">
        <is>
          <t>Días medios de pago a proveedor</t>
        </is>
      </c>
      <c r="B59" s="18" t="n">
        <v>30</v>
      </c>
      <c r="C59" t="inlineStr">
        <is>
          <t>Lo que te financian tus proveedores. Es lo primero que se pierde si te retrasas en un pago</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20" t="n">
        <v>0.05</v>
      </c>
      <c r="C62" t="inlineStr">
        <is>
          <t>Bebida ALCOHÓLICA sobre el total de bebida: casi nula — la línea de bebida de este plan es refrescos, agua y zumos, como describe la fila «Food cost bebidas» de la tabla de referencias («refrescos y agua embotellada»); sólo alguna cerveza envasada ocasional en festivales de música. El resto va al IVA reducido de hostelería. Este mismo peso reparte el IVA que SOPORTAS al comprar la bebida (la parte alcohólica al tipo general y el resto al reducido): si tu proveedor te factura al 21 % los refrescos y zumos con azúcares o edulcorantes añadidos —que es lo que manda el art. 91.Uno.1.1.º de la Ley 37/1992—, soportarás algo más de IVA del que estima el libro; lo recuperas igual con el modelo 303</t>
        </is>
      </c>
    </row>
    <row r="63">
      <c r="A63" t="inlineStr">
        <is>
          <t>IVA de la bebida ALCOHÓLICA para consumir en el acto</t>
        </is>
      </c>
      <c r="B63" s="20" t="n">
        <v>0.1</v>
      </c>
      <c r="C63" t="inlineStr">
        <is>
          <t>10 %, igual que el resto de lo que se sirve para consumir en el acto: el art. 91.Uno.2.2.º de la Ley 37/1992 del IVA grava al tipo reducido los servicios de hostelería y «el suministro de comidas y bebidas para consumir en el acto», sin excluir el alcohol, y eso es lo que hace un food truck. Si vendes alcohol envasado PARA LLEVAR no hay consumo en el acto y esa parte va al tipo general: el libro lo aplica sólo a la parte alcohólica que sale por el canal de la celda «Ventas por delivery sobre el total», que en este plan está a cero; súbela si abres ese canal</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20" t="n">
        <v>0.15</v>
      </c>
      <c r="C67" t="inlineStr">
        <is>
          <t>Cuánto puedes caer sobre lo previsto antes de entrar en pérdidas</t>
        </is>
      </c>
    </row>
    <row r="68">
      <c r="A68" t="inlineStr">
        <is>
          <t>Suelo salarial anual del convenio provincial (€)</t>
        </is>
      </c>
      <c r="B68" s="23" t="n">
        <v>0</v>
      </c>
      <c r="C68" t="inlineStr">
        <is>
          <t>El convenio PROVINCIAL de hostelería (o el de comercio, según cómo se clasifique la actividad de venta ambulante en tu provincia) es el suelo real del sector: cópialo de la tabla salarial que corresponda.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FOOD TRUCK</t>
        </is>
      </c>
    </row>
    <row r="2">
      <c r="A2" s="2" t="inlineStr">
        <is>
          <t>Inversión Inicial Estimada — España 2026</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63944.0</v>
      </c>
      <c r="C6" s="27">
        <f>IFERROR(B6/$B$26,"")</f>
        <v>0.7798353106462691</v>
      </c>
      <c r="D6" s="28" t="n"/>
      <c r="E6" s="28" t="n"/>
    </row>
    <row r="7">
      <c r="A7" s="28" t="inlineStr">
        <is>
          <t>Vehículo food truck (nuevo o segunda mano)</t>
        </is>
      </c>
      <c r="B7" s="29" t="n">
        <v>25000</v>
      </c>
      <c r="C7" s="30">
        <f>IFERROR(B7/$B$26,"")</f>
        <v>0.304889946924758</v>
      </c>
      <c r="D7" s="28" t="inlineStr">
        <is>
          <t>Furgoneta adaptada o remolque. Segunda mano desde 15K</t>
        </is>
      </c>
      <c r="E7" s="31" t="inlineStr">
        <is>
          <t>Sí</t>
        </is>
      </c>
    </row>
    <row r="8">
      <c r="A8" s="28" t="inlineStr">
        <is>
          <t>Adaptación y rotulación vehículo</t>
        </is>
      </c>
      <c r="B8" s="29" t="n">
        <v>8000</v>
      </c>
      <c r="C8" s="30">
        <f>IFERROR(B8/$B$26,"")</f>
        <v>0.09756478301592257</v>
      </c>
      <c r="D8" s="28" t="inlineStr">
        <is>
          <t>Ventanilla servicio, mostrador, rotulación integral</t>
        </is>
      </c>
      <c r="E8" s="31" t="inlineStr">
        <is>
          <t>Sí</t>
        </is>
      </c>
    </row>
    <row r="9">
      <c r="A9" s="28" t="inlineStr">
        <is>
          <t>Equipamiento cocina móvil</t>
        </is>
      </c>
      <c r="B9" s="29" t="n">
        <v>10000</v>
      </c>
      <c r="C9" s="30">
        <f>IFERROR(B9/$B$26,"")</f>
        <v>0.12195597876990322</v>
      </c>
      <c r="D9" s="28" t="inlineStr">
        <is>
          <t>Plancha, freidora, campaña, nevera, fregadero</t>
        </is>
      </c>
      <c r="E9" s="31" t="inlineStr">
        <is>
          <t>Sí</t>
        </is>
      </c>
    </row>
    <row r="10">
      <c r="A10" s="28" t="inlineStr">
        <is>
          <t>Generador eléctrico o conexión</t>
        </is>
      </c>
      <c r="B10" s="29" t="n">
        <v>3000</v>
      </c>
      <c r="C10" s="30">
        <f>IFERROR(B10/$B$26,"")</f>
        <v>0.03658679363097096</v>
      </c>
      <c r="D10" s="28" t="inlineStr">
        <is>
          <t>Generador insonorizado o kit conexión a red</t>
        </is>
      </c>
      <c r="E10" s="31" t="inlineStr">
        <is>
          <t>Sí</t>
        </is>
      </c>
    </row>
    <row r="11">
      <c r="A11" s="28" t="inlineStr">
        <is>
          <t>Instalación gas (si aplica)</t>
        </is>
      </c>
      <c r="B11" s="29" t="n">
        <v>1500</v>
      </c>
      <c r="C11" s="30">
        <f>IFERROR(B11/$B$26,"")</f>
        <v>0.01829339681548548</v>
      </c>
      <c r="D11" s="28" t="inlineStr">
        <is>
          <t>Certificación gas obligatoria, revisión anual</t>
        </is>
      </c>
      <c r="E11" s="31" t="inlineStr">
        <is>
          <t>Sí</t>
        </is>
      </c>
    </row>
    <row r="12">
      <c r="A12" s="28" t="inlineStr">
        <is>
          <t>Depósito de agua + aguas residuales</t>
        </is>
      </c>
      <c r="B12" s="29" t="n">
        <v>800</v>
      </c>
      <c r="C12" s="30">
        <f>IFERROR(B12/$B$26,"")</f>
        <v>0.009756478301592257</v>
      </c>
      <c r="D12" s="28" t="inlineStr">
        <is>
          <t>Depósito de agua limpia y de aguas residuales del vehículo: es el equipo que exige el proyecto técnico sanitario para servir comida fuera de un local con acometida</t>
        </is>
      </c>
      <c r="E12" s="31" t="inlineStr">
        <is>
          <t>Sí</t>
        </is>
      </c>
    </row>
    <row r="13">
      <c r="A13" s="28" t="inlineStr">
        <is>
          <t>Constitución SL + notaría + registro</t>
        </is>
      </c>
      <c r="B13" s="29" t="n">
        <v>800</v>
      </c>
      <c r="C13" s="30">
        <f>IFERROR(B13/$B$26,"")</f>
        <v>0.009756478301592257</v>
      </c>
      <c r="D13" s="28" t="inlineStr">
        <is>
          <t>SL unipersonal exprés. Las tasas y el arancel del Registro Mercantil no llevan IVA, pero los honorarios del notario y de tu gestoría sí (21 %, deducible): el libro deja la fila entera fuera del IVA que hay que adelantar para no inflarlo. Si tu presupuesto es sobre todo de honorarios, cambia el desplegable de la columna «¿Lleva IVA?» a «Sí»</t>
        </is>
      </c>
      <c r="E13" s="31" t="inlineStr">
        <is>
          <t>No</t>
        </is>
      </c>
    </row>
    <row r="14">
      <c r="A14" s="28" t="inlineStr">
        <is>
          <t>Licencias y permisos (promedio)</t>
        </is>
      </c>
      <c r="B14" s="29" t="n">
        <v>2000</v>
      </c>
      <c r="C14" s="30">
        <f>IFERROR(B14/$B$26,"")</f>
        <v>0.024391195753980643</v>
      </c>
      <c r="D14" s="28" t="inlineStr">
        <is>
          <t>Varía mucho por municipio y comunidad autónoma: pide el importe en el tuyo antes de cerrar el presupuesto</t>
        </is>
      </c>
      <c r="E14" s="31" t="inlineStr">
        <is>
          <t>No</t>
        </is>
      </c>
    </row>
    <row r="15">
      <c r="A15" s="28" t="inlineStr">
        <is>
          <t>Proyecto técnico sanitario</t>
        </is>
      </c>
      <c r="B15" s="29" t="n">
        <v>1500</v>
      </c>
      <c r="C15" s="30">
        <f>IFERROR(B15/$B$26,"")</f>
        <v>0.01829339681548548</v>
      </c>
      <c r="D15" s="28" t="inlineStr">
        <is>
          <t>Obligatorio para la actividad alimentaria móvil: planos de instalación, flujos y depósitos de agua</t>
        </is>
      </c>
      <c r="E15" s="31" t="inlineStr">
        <is>
          <t>Sí</t>
        </is>
      </c>
    </row>
    <row r="16">
      <c r="A16" s="28" t="inlineStr">
        <is>
          <t>TPV móvil + datáfono</t>
        </is>
      </c>
      <c r="B16" s="29" t="n">
        <v>800</v>
      </c>
      <c r="C16" s="30">
        <f>IFERROR(B16/$B$26,"")</f>
        <v>0.009756478301592257</v>
      </c>
      <c r="D16" s="28" t="inlineStr">
        <is>
          <t>TPV tablet + datáfono 4G para cobros</t>
        </is>
      </c>
      <c r="E16" s="31" t="inlineStr">
        <is>
          <t>Sí</t>
        </is>
      </c>
    </row>
    <row r="17">
      <c r="A17" s="28" t="inlineStr">
        <is>
          <t>Menaje, utensilios, packaging eco</t>
        </is>
      </c>
      <c r="B17" s="29" t="n">
        <v>1500</v>
      </c>
      <c r="C17" s="30">
        <f>IFERROR(B17/$B$26,"")</f>
        <v>0.01829339681548548</v>
      </c>
      <c r="D17" s="28" t="inlineStr">
        <is>
          <t>Menaje, utensilios y cubertería desechable: es el equipamiento que se amortiza. La primera compra de envases entra aquí sólo como arranque; el packaging de cada día NO se amortiza, va como coste variable en la línea «Consumibles y envases» de la cuenta de resultados, al porcentaje sobre ventas de la hoja de Supuestos</t>
        </is>
      </c>
      <c r="E17" s="31" t="inlineStr">
        <is>
          <t>Sí</t>
        </is>
      </c>
    </row>
    <row r="18">
      <c r="A18" s="28" t="inlineStr">
        <is>
          <t>Stock inicial de producto</t>
        </is>
      </c>
      <c r="B18" s="29" t="n">
        <v>1000</v>
      </c>
      <c r="C18" s="30">
        <f>IFERROR(B18/$B$26,"")</f>
        <v>0.012195597876990321</v>
      </c>
      <c r="D18" s="28" t="inlineStr">
        <is>
          <t>Género para las primeras dos semanas de servicio. El libro calcula el IVA que adelantas por esta fila al tipo general, aunque los alimentos se compren al 10 % (o al 4 %): son unos euros de más en la caja del arranque, que se recuperan igual con el modelo 303</t>
        </is>
      </c>
      <c r="E18" s="31" t="inlineStr">
        <is>
          <t>Sí</t>
        </is>
      </c>
    </row>
    <row r="19">
      <c r="A19" s="28" t="inlineStr">
        <is>
          <t>Marketing lanzamiento</t>
        </is>
      </c>
      <c r="B19" s="29" t="n">
        <v>2000</v>
      </c>
      <c r="C19" s="30">
        <f>IFERROR(B19/$B$26,"")</f>
        <v>0.024391195753980643</v>
      </c>
      <c r="D19" s="28" t="inlineStr">
        <is>
          <t>RRSS, web, flyers, ficha Google, evento inaugural</t>
        </is>
      </c>
      <c r="E19" s="31" t="inlineStr">
        <is>
          <t>Sí</t>
        </is>
      </c>
    </row>
    <row r="20">
      <c r="A20" s="28" t="inlineStr">
        <is>
          <t>Toldo, mobiliario exterior plegable</t>
        </is>
      </c>
      <c r="B20" s="29" t="n">
        <v>1500</v>
      </c>
      <c r="C20" s="30">
        <f>IFERROR(B20/$B$26,"")</f>
        <v>0.01829339681548548</v>
      </c>
      <c r="D20" s="28" t="inlineStr">
        <is>
          <t>Mesas altas plegables, sombrilla, banderolas</t>
        </is>
      </c>
      <c r="E20" s="31" t="inlineStr">
        <is>
          <t>Sí</t>
        </is>
      </c>
    </row>
    <row r="21">
      <c r="A21" s="28" t="inlineStr">
        <is>
          <t>Fianza del alquiler</t>
        </is>
      </c>
      <c r="B21" s="32">
        <f>IFERROR(IF('0. Supuestos'!$B$24="","",'0. Supuestos'!$B$24*'0. Supuestos'!$B$25),"")</f>
        <v>800.0</v>
      </c>
      <c r="C21" s="30">
        <f>IFERROR(B21/$B$26,"")</f>
        <v>0.009756478301592257</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Alquiler de los meses previos a la apertura</t>
        </is>
      </c>
      <c r="B22" s="32">
        <f>IFERROR(IF('0. Supuestos'!$B$24="","",'0. Supuestos'!$B$24*'0. Supuestos'!$B$54),"")</f>
        <v>800.0</v>
      </c>
      <c r="C22" s="30">
        <f>IFERROR(B22/$B$26,"")</f>
        <v>0.009756478301592257</v>
      </c>
      <c r="D22" s="28"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2" s="28" t="inlineStr">
        <is>
          <t>Sí</t>
        </is>
      </c>
    </row>
    <row r="23">
      <c r="A23" s="28" t="inlineStr">
        <is>
          <t>Imprevistos de obra y acondicionamiento</t>
        </is>
      </c>
      <c r="B23" s="32">
        <f>IFERROR(IF(COUNT(B7,B8,B11,B12,B15)=0,"",ROUND((B7+B8+B11+B12+B15)*'0. Supuestos'!$B$55,0)),"")</f>
        <v>2944.0</v>
      </c>
      <c r="C23" s="30">
        <f>IFERROR(B23/$B$26,"")</f>
        <v>0.035903840149859506</v>
      </c>
      <c r="D23" s="28" t="str">
        <f>IFERROR("Al "&amp;TEXT('0. Supuestos'!$B$55,"0%")&amp;" de las partidas de OBRA Y ACONDICIONAMIENTO de este bloque (Vehículo food truck (nuevo o segunda mano), Adaptación y rotulación vehículo, Instalación gas (si aplica), Depósito de agua + aguas residuales y Proyecto técnico sanitario), no del bloque entero: el resto de partidas del bloque quedan fuera. Un banco no financia una reforma sin colchón: el porcentaje está en la hoja de Supuestos","")</f>
        <v>Al 8% de las partidas de OBRA Y ACONDICIONAMIENTO de este bloque (Vehículo food truck (nuevo o segunda mano), Adaptación y rotulación vehículo, Instalación gas (si aplica), Depósito de agua + aguas residuales y Proyecto técnico sanitario), no del bloque entero: el resto de partidas del bloque quedan fuera. Un banco no financia una reforma sin colchón: el porcentaje está en la hoja de Supuestos</v>
      </c>
      <c r="E23" s="28" t="inlineStr">
        <is>
          <t>Sí</t>
        </is>
      </c>
    </row>
    <row r="24">
      <c r="A24" s="16" t="inlineStr">
        <is>
          <t>FONDO DE MANIOBRA</t>
        </is>
      </c>
      <c r="B24" s="33">
        <f>IFERROR(IF(B25="","",B25),"")</f>
        <v>18052.8</v>
      </c>
      <c r="C24" s="34">
        <f>IFERROR(B24/$B$26,"")</f>
        <v>0.22016468935373085</v>
      </c>
    </row>
    <row r="25">
      <c r="A25" s="35" t="inlineStr">
        <is>
          <t>Colchón operativo hasta alcanzar el equilibrio</t>
        </is>
      </c>
      <c r="B25" s="36">
        <f>IFERROR(IF('0. Supuestos'!$B$35*('PyG 3 Años'!$B$38-'PyG 3 Años'!$B$36)=0,"",'0. Supuestos'!$B$35*('PyG 3 Años'!$B$38-'PyG 3 Años'!$B$36)/12),"")</f>
        <v>18052.8</v>
      </c>
      <c r="C25" s="22">
        <f>IFERROR(B25/$B$26,"")</f>
        <v>0.22016468935373085</v>
      </c>
      <c r="D25"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35" t="inlineStr">
        <is>
          <t>No</t>
        </is>
      </c>
    </row>
    <row r="26">
      <c r="A26" s="16" t="inlineStr">
        <is>
          <t>INVERSIÓN TOTAL (suma de los bloques)</t>
        </is>
      </c>
      <c r="B26" s="33">
        <f>IFERROR(B6+B24,"")</f>
        <v>81996.8</v>
      </c>
      <c r="D26" s="37"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(22% del total). Para comparar el desglose con otro plan, usa la fila de CAPEX de abajo.</v>
      </c>
    </row>
    <row r="27">
      <c r="A27" s="16" t="inlineStr">
        <is>
          <t>CAPEX (inversión sin el fondo de maniobra)</t>
        </is>
      </c>
      <c r="B27" s="33">
        <f>IFERROR(B26-B24,"")</f>
        <v>63944.0</v>
      </c>
      <c r="D27" s="16" t="inlineStr">
        <is>
          <t>Es lo que se compra: obra, equipamiento, lanzamiento y gastos de constitución. El colchón de caja no es inversión, es circulante</t>
        </is>
      </c>
    </row>
    <row r="28">
      <c r="A28" s="35" t="inlineStr">
        <is>
          <t>IVA soportado sobre la inversión (recuperable)</t>
        </is>
      </c>
      <c r="B28" s="36">
        <f>IFERROR(IF(B26="","",SUMIF($E$7:$E$23,"Sí",$B$7:$B$23)*'0. Supuestos'!$B$41),"")</f>
        <v>12672.24</v>
      </c>
      <c r="D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row>
    <row r="29">
      <c r="A29" s="16" t="inlineStr">
        <is>
          <t>NECESIDAD TOTAL DE CAJA AL ARRANQUE</t>
        </is>
      </c>
      <c r="B29" s="33">
        <f>IFERROR(B26+B28,"")</f>
        <v>94669.04000000001</v>
      </c>
      <c r="D29" s="16" t="inlineStr">
        <is>
          <t>Es la cifra que tiene que cubrir la hoja de Financiación</t>
        </is>
      </c>
    </row>
    <row r="30">
      <c r="A30" s="16" t="inlineStr">
        <is>
          <t>BASES DE AMORTIZACIÓN (no suman a la inversión)</t>
        </is>
      </c>
    </row>
    <row r="31">
      <c r="A31" s="35" t="inlineStr">
        <is>
          <t>Obra, instalaciones y acondicionamiento</t>
        </is>
      </c>
      <c r="B31" s="36">
        <f>IFERROR(IF(B7="","",B7+B8+B11+B12+B15+B23),"")</f>
        <v>39744.0</v>
      </c>
      <c r="D31" t="str">
        <f>IFERROR("Se amortiza en "&amp;TEXT('0. Supuestos'!$B$44,"0")&amp;" años","")</f>
        <v>Se amortiza en 8 años</v>
      </c>
    </row>
    <row r="32">
      <c r="A32" s="35" t="inlineStr">
        <is>
          <t>Maquinaria, mobiliario y equipos</t>
        </is>
      </c>
      <c r="B32" s="36">
        <f>IFERROR(IF(B9="","",B9+B10+B16+B17+B20),"")</f>
        <v>16800.0</v>
      </c>
      <c r="D32" t="str">
        <f>IFERROR("Se amortiza en "&amp;TEXT('0. Supuestos'!$B$45,"0")&amp;" años","")</f>
        <v>Se amortiza en 10 años</v>
      </c>
    </row>
    <row r="33">
      <c r="A33" s="16" t="inlineStr">
        <is>
          <t>Amortización anual del inmovilizado</t>
        </is>
      </c>
      <c r="B33" s="33">
        <f>IFERROR(B31/MAX(1,'0. Supuestos'!$B$44)+B32/MAX(1,'0. Supuestos'!$B$45),"")</f>
        <v>6648.0</v>
      </c>
      <c r="D33" s="37" t="str">
        <f>IFERROR("No se amortizan, por no ser inmovilizado, Constitución SL + notaría + registro, Licencias y permisos (promedio), Stock inicial de producto, Marketing lanzamiento, Fianza del alquiler, Alquiler de los meses previos a la apertura ni Colchón operativo hasta alcanzar el equilibrio. Suman "&amp;TEXT(B26-B31-B32,"0")&amp;" € de los "&amp;TEXT(B26,"0")&amp;" € de inversión.","")</f>
        <v>No se amortizan, por no ser inmovilizado, Constitución SL + notaría + registro, Licencias y permisos (promedio), Stock inicial de producto, Marketing lanzamiento, Fianza del alquiler, Alquiler de los meses previos a la apertura ni Colchón operativo hasta alcanzar el equilibrio. Suman 25453 € de los 81997 € de inversión.</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Food Truck urbano</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Clientes/día (media)</t>
        </is>
      </c>
      <c r="B6" s="40">
        <f>IFERROR(IF('0. Supuestos'!$B$4="","",'0. Supuestos'!$B$4),"")</f>
        <v>45.0</v>
      </c>
      <c r="C6" s="40">
        <f>IFERROR(B6*(1+'0. Supuestos'!$B$7),"")</f>
        <v>51.74999999999999</v>
      </c>
      <c r="D6" s="40">
        <f>IFERROR(C6*(1+'0. Supuestos'!$B$8),"")</f>
        <v>56.925</v>
      </c>
      <c r="E6" s="28" t="n"/>
      <c r="F6" s="28" t="inlineStr">
        <is>
          <t>El crecimiento de los años 2 y 3 está en la hoja de Supuestos</t>
        </is>
      </c>
      <c r="G6" s="28" t="n"/>
      <c r="H6" s="28" t="n"/>
    </row>
    <row r="7">
      <c r="A7" s="28" t="inlineStr">
        <is>
          <t>Ticket medio sin IVA</t>
        </is>
      </c>
      <c r="B7" s="41">
        <f>IFERROR(IF('0. Supuestos'!$B$5="","",'0. Supuestos'!$B$5),"")</f>
        <v>12.0</v>
      </c>
      <c r="C7" s="41">
        <f>IFERROR(IF(B7="","",B7),"")</f>
        <v>12.0</v>
      </c>
      <c r="D7" s="41">
        <f>IFERROR(IF(C7="","",C7),"")</f>
        <v>12.0</v>
      </c>
      <c r="E7" s="28" t="n"/>
      <c r="F7" s="28" t="inlineStr">
        <is>
          <t>Constante en euros del año 1: una subida de precios es una decisión aparte</t>
        </is>
      </c>
      <c r="G7" s="28" t="n"/>
      <c r="H7" s="28" t="n"/>
    </row>
    <row r="8">
      <c r="A8" s="28" t="inlineStr">
        <is>
          <t>Días de apertura al año</t>
        </is>
      </c>
      <c r="B8" s="40">
        <f>IFERROR(IF('0. Supuestos'!$B$6="","",'0. Supuestos'!$B$6),"")</f>
        <v>250.0</v>
      </c>
      <c r="C8" s="40">
        <f>IFERROR(IF(B8="","",B8),"")</f>
        <v>250.0</v>
      </c>
      <c r="D8" s="40">
        <f>IFERROR(IF(C8="","",C8),"")</f>
        <v>250.0</v>
      </c>
      <c r="E8" s="28" t="n"/>
      <c r="F8" s="28" t="n"/>
      <c r="G8" s="28" t="n"/>
      <c r="H8" s="28" t="n"/>
    </row>
    <row r="9">
      <c r="A9" s="25" t="inlineStr">
        <is>
          <t>INGRESOS TOTALES (sin IVA)</t>
        </is>
      </c>
      <c r="B9" s="26">
        <f>IFERROR(IF(B6*B7*B8=0,"",B6*B7*B8),"")</f>
        <v>135000.0</v>
      </c>
      <c r="C9" s="26">
        <f>IFERROR(IF(C6*C7*C8=0,"",C6*C7*C8),"")</f>
        <v>155249.99999999997</v>
      </c>
      <c r="D9" s="26">
        <f>IFERROR(IF(D6*D7*D8=0,"",D6*D7*D8),"")</f>
        <v>170774.99999999997</v>
      </c>
      <c r="E9" s="27">
        <f>IFERROR(IF(B9="","",1),"")</f>
        <v>1.0</v>
      </c>
      <c r="F9" s="28" t="n"/>
      <c r="G9" s="28" t="n"/>
      <c r="H9" s="28" t="n"/>
    </row>
    <row r="10">
      <c r="A10" s="28" t="inlineStr">
        <is>
          <t>Ventas de comida (calle, mercados y catering privado)</t>
        </is>
      </c>
      <c r="B10" s="32">
        <f>IFERROR(IF(B9="","",B9*$E$10),"")</f>
        <v>115006.5</v>
      </c>
      <c r="C10" s="32">
        <f>IFERROR(IF(C9="","",C9*$E$10),"")</f>
        <v>132257.47499999998</v>
      </c>
      <c r="D10" s="32">
        <f>IFERROR(IF(D9="","",D9*$E$10),"")</f>
        <v>145483.22249999997</v>
      </c>
      <c r="E10" s="30">
        <f>IFERROR(IF('0. Supuestos'!$B$11="","",'0. Supuestos'!$B$11),"")</f>
        <v>0.8519</v>
      </c>
      <c r="F10" s="28" t="inlineStr">
        <is>
          <t>Producto principal servido en ubicaciones fijas y mercados, más el catering y las celebraciones privadas (la línea «Catering/eventos privados» de la v1.1, que en el fichero original NO llevaba coste de mercancía propio: aquí SÍ lo lleva, con el mismo tipo que la comida de calle)</t>
        </is>
      </c>
      <c r="G10" s="30">
        <f>IFERROR(IF(B9="","",'0. Supuestos'!$B$39),"")</f>
        <v>0.1</v>
      </c>
      <c r="H10" s="28" t="n"/>
    </row>
    <row r="11">
      <c r="A11" s="28" t="inlineStr">
        <is>
          <t>Ventas de bebida (refrescos, agua y zumos embotellados)</t>
        </is>
      </c>
      <c r="B11" s="32">
        <f>IFERROR(IF(B9="","",B9*$E$11),"")</f>
        <v>19993.5</v>
      </c>
      <c r="C11" s="32">
        <f>IFERROR(IF(C9="","",C9*$E$11),"")</f>
        <v>22992.524999999998</v>
      </c>
      <c r="D11" s="32">
        <f>IFERROR(IF(D9="","",D9*$E$11),"")</f>
        <v>25291.777499999997</v>
      </c>
      <c r="E11" s="30">
        <f>IFERROR(IF('0. Supuestos'!$B$12="","",'0. Supuestos'!$B$12),"")</f>
        <v>0.1481</v>
      </c>
      <c r="F11" s="28" t="inlineStr">
        <is>
          <t>Bebidas embotelladas de acompañamiento del menú: el food truck no sirve bebida de barra</t>
        </is>
      </c>
      <c r="G11" s="30">
        <f>IFERROR(IF(B9="","",('0. Supuestos'!$B$62*((1-'0. Supuestos'!$B$16)*'0. Supuestos'!$B$63+'0. Supuestos'!$B$16*'0. Supuestos'!$B$40)+(1-'0. Supuestos'!$B$62)*'0. Supuestos'!$B$39)),"")</f>
        <v>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32201.820000000003</v>
      </c>
      <c r="C13" s="32">
        <f>IFERROR(IF(C9="","",C9*'0. Supuestos'!$B$11*'0. Supuestos'!$B$13),"")</f>
        <v>37032.09299999999</v>
      </c>
      <c r="D13" s="32">
        <f>IFERROR(IF(D9="","",D9*'0. Supuestos'!$B$11*'0. Supuestos'!$B$13),"")</f>
        <v>40735.302299999996</v>
      </c>
      <c r="E13" s="30">
        <f>IFERROR(B13/$B$9,"")</f>
        <v>0.23853200000000002</v>
      </c>
      <c r="F13" s="28" t="str">
        <f>IFERROR("Al "&amp;TEXT('0. Supuestos'!$B$13,"0%")&amp;" de las ventas de COMIDA, no del total: la bebida tiene su propia línea","")</f>
        <v>Al 28% de las ventas de COMIDA, no del total: la bebida tiene su propia línea</v>
      </c>
      <c r="G13" s="30">
        <f>IFERROR(IF(B9="","",'0. Supuestos'!$B$39),"")</f>
        <v>0.1</v>
      </c>
      <c r="H13" s="28" t="n"/>
    </row>
    <row r="14">
      <c r="A14" s="28" t="inlineStr">
        <is>
          <t>Coste de mercancía — bebida</t>
        </is>
      </c>
      <c r="B14" s="32">
        <f>IFERROR(IF(B9="","",B9*'0. Supuestos'!$B$12*'0. Supuestos'!$B$14),"")</f>
        <v>4398.57</v>
      </c>
      <c r="C14" s="32">
        <f>IFERROR(IF(C9="","",C9*'0. Supuestos'!$B$12*'0. Supuestos'!$B$14),"")</f>
        <v>5058.3555</v>
      </c>
      <c r="D14" s="32">
        <f>IFERROR(IF(D9="","",D9*'0. Supuestos'!$B$12*'0. Supuestos'!$B$14),"")</f>
        <v>5564.191049999999</v>
      </c>
      <c r="E14" s="30">
        <f>IFERROR(B14/$B$9,"")</f>
        <v>0.032582</v>
      </c>
      <c r="F14" s="28" t="str">
        <f>IFERROR("Al "&amp;TEXT('0. Supuestos'!$B$14,"0%")&amp;" de las ventas de BEBIDA","")</f>
        <v>Al 22% de las ventas de BEBIDA</v>
      </c>
      <c r="G14" s="30">
        <f>IFERROR(IF(B9="","",('0. Supuestos'!$B$62*'0. Supuestos'!$B$40+(1-'0. Supuestos'!$B$62)*'0. Supuestos'!$B$39)),"")</f>
        <v>0.1055</v>
      </c>
      <c r="H14" s="28" t="n"/>
    </row>
    <row r="15">
      <c r="A15" s="28" t="inlineStr">
        <is>
          <t>Consumibles y envases</t>
        </is>
      </c>
      <c r="B15" s="32">
        <f>IFERROR(IF(B9="","",B9*'0. Supuestos'!$B$15),"")</f>
        <v>4050.0</v>
      </c>
      <c r="C15" s="32">
        <f>IFERROR(IF(C9="","",C9*'0. Supuestos'!$B$15),"")</f>
        <v>4657.499999999999</v>
      </c>
      <c r="D15" s="32">
        <f>IFERROR(IF(D9="","",D9*'0. Supuestos'!$B$15),"")</f>
        <v>5123.249999999999</v>
      </c>
      <c r="E15" s="30">
        <f>IFERROR(B15/$B$9,"")</f>
        <v>0.03</v>
      </c>
      <c r="F15" s="28" t="n"/>
      <c r="G15" s="30">
        <f>IFERROR(IF(B9="","",'0. Supuestos'!$B$41),"")</f>
        <v>0.21</v>
      </c>
      <c r="H15" s="28" t="n"/>
    </row>
    <row r="16">
      <c r="A16" s="28" t="inlineStr">
        <is>
          <t>Comisiones de delivery</t>
        </is>
      </c>
      <c r="B16" s="32">
        <f>IFERROR(IF(B9="","",B9*'0. Supuestos'!$B$16*'0. Supuestos'!$B$17),"")</f>
        <v>0.0</v>
      </c>
      <c r="C16" s="32">
        <f>IFERROR(IF(C9="","",C9*'0. Supuestos'!$B$16*'0. Supuestos'!$B$17),"")</f>
        <v>0.0</v>
      </c>
      <c r="D16" s="32">
        <f>IFERROR(IF(D9="","",D9*'0. Supuestos'!$B$16*'0. Supuestos'!$B$17),"")</f>
        <v>0.0</v>
      </c>
      <c r="E16" s="30">
        <f>IFERROR(B16/$B$9,"")</f>
        <v>0.0</v>
      </c>
      <c r="F16" s="28" t="inlineStr">
        <is>
          <t>Sobre las ventas DEL CANAL. Con 0 % de delivery en Supuestos, esta línea vale cero</t>
        </is>
      </c>
      <c r="G16" s="30">
        <f>IFERROR(IF(B9="","",'0. Supuestos'!$B$41),"")</f>
        <v>0.21</v>
      </c>
      <c r="H16" s="28" t="n"/>
    </row>
    <row r="17">
      <c r="A17" s="28" t="inlineStr">
        <is>
          <t>Comisiones de los medios de pago</t>
        </is>
      </c>
      <c r="B17" s="32">
        <f>IFERROR(IF(B9="","",B9*'0. Supuestos'!$B$18),"")</f>
        <v>1080.0</v>
      </c>
      <c r="C17" s="32">
        <f>IFERROR(IF(C9="","",C9*'0. Supuestos'!$B$18),"")</f>
        <v>1241.9999999999998</v>
      </c>
      <c r="D17" s="32">
        <f>IFERROR(IF(D9="","",D9*'0. Supuestos'!$B$18),"")</f>
        <v>1366.1999999999998</v>
      </c>
      <c r="E17" s="30">
        <f>IFERROR(B17/$B$9,"")</f>
        <v>0.008</v>
      </c>
      <c r="F17" s="28" t="inlineStr">
        <is>
          <t>Las comisiones de los medios de pago están EXENTAS de IVA (art. 20.Uno.18 LIVA): no se deduce nada por ellas</t>
        </is>
      </c>
      <c r="G17" s="30" t="n">
        <v>0</v>
      </c>
      <c r="H17" s="28" t="n"/>
    </row>
    <row r="18">
      <c r="A18" s="28" t="inlineStr">
        <is>
          <t>Varios e imprevistos</t>
        </is>
      </c>
      <c r="B18" s="32">
        <f>IFERROR(IF(B9="","",B9*'0. Supuestos'!$B$28),"")</f>
        <v>6750.0</v>
      </c>
      <c r="C18" s="32">
        <f>IFERROR(IF(C9="","",C9*'0. Supuestos'!$B$28),"")</f>
        <v>7762.499999999999</v>
      </c>
      <c r="D18" s="32">
        <f>IFERROR(IF(D9="","",D9*'0. Supuestos'!$B$28),"")</f>
        <v>8538.749999999998</v>
      </c>
      <c r="E18" s="30">
        <f>IFERROR(B18/$B$9,"")</f>
        <v>0.05</v>
      </c>
      <c r="F18" s="28" t="str">
        <f>IFERROR("Al "&amp;TEXT('0. Supuestos'!$B$28,"0%")&amp;" de las ventas. Es un coste VARIABLE: sube y baja con la facturación, así que no puede vivir en los costes fijos","")</f>
        <v>Al 5% de las ventas. Es un coste VARIABLE: sube y baja con la facturación, así que no puede vivir en los costes fijos</v>
      </c>
      <c r="G18" s="30">
        <f>IFERROR(IF(B9="","",'0. Supuestos'!$B$41),"")</f>
        <v>0.21</v>
      </c>
      <c r="H18" s="28" t="n"/>
    </row>
    <row r="19">
      <c r="A19" s="25" t="inlineStr">
        <is>
          <t>TOTAL COSTES VARIABLES</t>
        </is>
      </c>
      <c r="B19" s="26">
        <f>IFERROR(IF(B9="","",SUM(B13:B18)),"")</f>
        <v>48480.39</v>
      </c>
      <c r="C19" s="26">
        <f>IFERROR(IF(C9="","",SUM(C13:C18)),"")</f>
        <v>55752.44849999999</v>
      </c>
      <c r="D19" s="26">
        <f>IFERROR(IF(D9="","",SUM(D13:D18)),"")</f>
        <v>61327.693349999994</v>
      </c>
      <c r="E19" s="27">
        <f>IFERROR(B19/$B$9,"")</f>
        <v>0.359114</v>
      </c>
      <c r="F19" s="28" t="n"/>
      <c r="G19" s="28" t="n"/>
      <c r="H19" s="28" t="n"/>
    </row>
    <row r="20">
      <c r="A20" s="25" t="inlineStr">
        <is>
          <t>MARGEN BRUTO</t>
        </is>
      </c>
      <c r="B20" s="26">
        <f>IFERROR(IF(B9="","",B9-B19),"")</f>
        <v>86519.61</v>
      </c>
      <c r="C20" s="26">
        <f>IFERROR(IF(C9="","",C9-C19),"")</f>
        <v>99497.55149999997</v>
      </c>
      <c r="D20" s="26">
        <f>IFERROR(IF(D9="","",D9-D19),"")</f>
        <v>109447.30664999998</v>
      </c>
      <c r="E20" s="27">
        <f>IFERROR(B20/$B$9,"")</f>
        <v>0.640886</v>
      </c>
      <c r="F20" s="28" t="n"/>
      <c r="G20" s="28" t="n"/>
      <c r="H20" s="28" t="n"/>
    </row>
    <row r="21">
      <c r="A21" s="25" t="inlineStr">
        <is>
          <t>COSTES FIJOS</t>
        </is>
      </c>
      <c r="B21" s="28" t="n"/>
      <c r="C21" s="28" t="n"/>
      <c r="D21" s="28" t="n"/>
      <c r="E21" s="28" t="n"/>
      <c r="F21" s="28" t="n"/>
      <c r="G21" s="28" t="n"/>
      <c r="H21" s="28" t="n"/>
    </row>
    <row r="22">
      <c r="A22" s="28" t="inlineStr">
        <is>
          <t>Aparcamiento y base del vehículo</t>
        </is>
      </c>
      <c r="B22" s="32">
        <f>IFERROR(IF(B9="","",'0. Supuestos'!$B$24*12),"")</f>
        <v>4800.0</v>
      </c>
      <c r="C22" s="32">
        <f>IFERROR(IF(C9="","",B22*(1+'0. Supuestos'!$B$48)),"")</f>
        <v>4800.0</v>
      </c>
      <c r="D22" s="32">
        <f>IFERROR(IF(D9="","",C22*(1+'0. Supuestos'!$B$48)),"")</f>
        <v>4800.0</v>
      </c>
      <c r="E22" s="30">
        <f>IFERROR(B22/$B$9,"")</f>
        <v>0.035555555555555556</v>
      </c>
      <c r="F22" s="28" t="inlineStr">
        <is>
          <t>El importe mensual está en la hoja de Supuestos; aquí se multiplica por doce. Es la plaza de aparcamiento y la base del vehículo (agua, limpieza y vaciado de residuales), no la renta de un local. Los meses previos a la apertura están en la hoja de Inversión y NO se cuentan dos veces</t>
        </is>
      </c>
      <c r="G22" s="30">
        <f>IFERROR(IF(B9="","",'0. Supuestos'!$B$41),"")</f>
        <v>0.21</v>
      </c>
      <c r="H22" s="28" t="n"/>
    </row>
    <row r="23">
      <c r="A23" s="28" t="inlineStr">
        <is>
          <t>Personal (nóminas + Seguridad Social)</t>
        </is>
      </c>
      <c r="B23" s="32">
        <f>IFERROR(IF(B9="","",'Personal'!$G$9),"")</f>
        <v>42081.2</v>
      </c>
      <c r="C23" s="32">
        <f>IFERROR(IF(C9="","",'Personal'!$B$13),"")</f>
        <v>48081.2</v>
      </c>
      <c r="D23" s="32">
        <f>IFERROR(IF(D9="","",'Personal'!$B$14),"")</f>
        <v>54081.2</v>
      </c>
      <c r="E23" s="30">
        <f>IFERROR(B23/$B$9,"")</f>
        <v>0.3117125925925926</v>
      </c>
      <c r="F23" s="28" t="inlineStr">
        <is>
          <t>Sale de la hoja de Personal: es el MISMO número, no una estimación aparte. Los años 2 y 3 suman las INCORPORACIONES declaradas en esa hoja, no un porcentaje de volumen</t>
        </is>
      </c>
      <c r="G23" s="30" t="n">
        <v>0</v>
      </c>
      <c r="H23" s="28" t="n"/>
    </row>
    <row r="24">
      <c r="A24" s="28" t="inlineStr">
        <is>
          <t>Suministros (luz, agua, gas)</t>
        </is>
      </c>
      <c r="B24" s="32">
        <f>IFERROR(IF(B9="","",'0. Supuestos'!$B$26*12),"")</f>
        <v>2400.0</v>
      </c>
      <c r="C24" s="32">
        <f>IFERROR(IF(C9="","",B24*(1+'0. Supuestos'!$B$48)),"")</f>
        <v>2400.0</v>
      </c>
      <c r="D24" s="32">
        <f>IFERROR(IF(D9="","",C24*(1+'0. Supuestos'!$B$48)),"")</f>
        <v>2400.0</v>
      </c>
      <c r="E24" s="30">
        <f>IFERROR(B24/$B$9,"")</f>
        <v>0.017777777777777778</v>
      </c>
      <c r="F24" s="28" t="inlineStr">
        <is>
          <t>Combustible del generador eléctrico, agua limpia y vaciado de residuales en la base del vehículo. Luz y gas van al 21 % y la factura del agua al 10 %: el libro aplica a toda la partida el tipo de la columna de al lado (21 %), así que si el agua pesa mucho en tu caso, sepárala en su propia línea</t>
        </is>
      </c>
      <c r="G24" s="30">
        <f>IFERROR(IF(B9="","",'0. Supuestos'!$B$41),"")</f>
        <v>0.21</v>
      </c>
      <c r="H24" s="28" t="n"/>
    </row>
    <row r="25">
      <c r="A25" s="28" t="inlineStr">
        <is>
          <t>Seguros (RC + multirriesgo)</t>
        </is>
      </c>
      <c r="B25" s="32">
        <f>IFERROR(IF(B9="","",'0. Supuestos'!$B$27),"")</f>
        <v>2500.0</v>
      </c>
      <c r="C25" s="32">
        <f>IFERROR(IF(C9="","",B25*(1+'0. Supuestos'!$B$48)),"")</f>
        <v>2500.0</v>
      </c>
      <c r="D25" s="32">
        <f>IFERROR(IF(D9="","",C25*(1+'0. Supuestos'!$B$48)),"")</f>
        <v>2500.0</v>
      </c>
      <c r="E25" s="30">
        <f>IFERROR(B25/$B$9,"")</f>
        <v>0.018518518518518517</v>
      </c>
      <c r="F25" s="28" t="inlineStr">
        <is>
          <t>Las operaciones de seguro están EXENTAS de IVA (art. 20.Uno.16 LIVA): la prima no lleva IVA deducible</t>
        </is>
      </c>
      <c r="G25" s="30" t="n">
        <v>0</v>
      </c>
      <c r="H25" s="28" t="n"/>
    </row>
    <row r="26">
      <c r="A26" s="28" t="inlineStr">
        <is>
          <t>Permisos y licencias (anuales)</t>
        </is>
      </c>
      <c r="B26" s="29" t="n">
        <v>3600</v>
      </c>
      <c r="C26" s="32">
        <f>IFERROR(IF(C9="","",B26*(1+'0. Supuestos'!$B$48)),"")</f>
        <v>3600.0</v>
      </c>
      <c r="D26" s="32">
        <f>IFERROR(IF(D9="","",C26*(1+'0. Supuestos'!$B$48)),"")</f>
        <v>3600.0</v>
      </c>
      <c r="E26" s="30">
        <f>IFERROR(B26/$B$9,"")</f>
        <v>0.02666666666666667</v>
      </c>
      <c r="F26" s="28" t="n"/>
      <c r="G26" s="30">
        <f>IFERROR(IF(B9="","",'0. Supuestos'!$B$41),"")</f>
        <v>0.21</v>
      </c>
      <c r="H26" s="28" t="n"/>
    </row>
    <row r="27">
      <c r="A27" s="28" t="inlineStr">
        <is>
          <t>Mantenimiento vehículo + ITV</t>
        </is>
      </c>
      <c r="B27" s="29" t="n">
        <v>2400</v>
      </c>
      <c r="C27" s="32">
        <f>IFERROR(IF(C9="","",B27*(1+'0. Supuestos'!$B$48)),"")</f>
        <v>2400.0</v>
      </c>
      <c r="D27" s="32">
        <f>IFERROR(IF(D9="","",C27*(1+'0. Supuestos'!$B$48)),"")</f>
        <v>2400.0</v>
      </c>
      <c r="E27" s="30">
        <f>IFERROR(B27/$B$9,"")</f>
        <v>0.017777777777777778</v>
      </c>
      <c r="F27" s="28" t="n"/>
      <c r="G27" s="30">
        <f>IFERROR(IF(B9="","",'0. Supuestos'!$B$41),"")</f>
        <v>0.21</v>
      </c>
      <c r="H27" s="28" t="n"/>
    </row>
    <row r="28">
      <c r="A28" s="28" t="inlineStr">
        <is>
          <t>Marketing y publicidad</t>
        </is>
      </c>
      <c r="B28" s="29" t="n">
        <v>4800</v>
      </c>
      <c r="C28" s="32">
        <f>IFERROR(IF(C9="","",B28*(1+'0. Supuestos'!$B$48)),"")</f>
        <v>4800.0</v>
      </c>
      <c r="D28" s="32">
        <f>IFERROR(IF(D9="","",C28*(1+'0. Supuestos'!$B$48)),"")</f>
        <v>4800.0</v>
      </c>
      <c r="E28" s="30">
        <f>IFERROR(B28/$B$9,"")</f>
        <v>0.035555555555555556</v>
      </c>
      <c r="F28" s="28" t="n"/>
      <c r="G28" s="30">
        <f>IFERROR(IF(B9="","",'0. Supuestos'!$B$41),"")</f>
        <v>0.21</v>
      </c>
      <c r="H28" s="28" t="n"/>
    </row>
    <row r="29">
      <c r="A29" s="28" t="inlineStr">
        <is>
          <t>Gestoría + contabilidad</t>
        </is>
      </c>
      <c r="B29" s="29" t="n">
        <v>1800</v>
      </c>
      <c r="C29" s="32">
        <f>IFERROR(IF(C9="","",B29*(1+'0. Supuestos'!$B$48)),"")</f>
        <v>1800.0</v>
      </c>
      <c r="D29" s="32">
        <f>IFERROR(IF(D9="","",C29*(1+'0. Supuestos'!$B$48)),"")</f>
        <v>1800.0</v>
      </c>
      <c r="E29" s="30">
        <f>IFERROR(B29/$B$9,"")</f>
        <v>0.013333333333333334</v>
      </c>
      <c r="F29" s="28" t="n"/>
      <c r="G29" s="30">
        <f>IFERROR(IF(B9="","",'0. Supuestos'!$B$41),"")</f>
        <v>0.21</v>
      </c>
      <c r="H29" s="28" t="n"/>
    </row>
    <row r="30">
      <c r="A30" s="28" t="inlineStr">
        <is>
          <t>Software (TPV, web, RRSS)</t>
        </is>
      </c>
      <c r="B30" s="29" t="n">
        <v>600</v>
      </c>
      <c r="C30" s="32">
        <f>IFERROR(IF(C9="","",B30*(1+'0. Supuestos'!$B$48)),"")</f>
        <v>600.0</v>
      </c>
      <c r="D30" s="32">
        <f>IFERROR(IF(D9="","",C30*(1+'0. Supuestos'!$B$48)),"")</f>
        <v>600.0</v>
      </c>
      <c r="E30" s="30">
        <f>IFERROR(B30/$B$9,"")</f>
        <v>0.0044444444444444444</v>
      </c>
      <c r="F30" s="28" t="n"/>
      <c r="G30" s="30">
        <f>IFERROR(IF(B9="","",'0. Supuestos'!$B$41),"")</f>
        <v>0.21</v>
      </c>
      <c r="H30" s="28" t="n"/>
    </row>
    <row r="31">
      <c r="A31" s="28" t="inlineStr">
        <is>
          <t>Limpieza y productos</t>
        </is>
      </c>
      <c r="B31" s="29" t="n">
        <v>1200</v>
      </c>
      <c r="C31" s="32">
        <f>IFERROR(IF(C9="","",B31*(1+'0. Supuestos'!$B$48)),"")</f>
        <v>1200.0</v>
      </c>
      <c r="D31" s="32">
        <f>IFERROR(IF(D9="","",C31*(1+'0. Supuestos'!$B$48)),"")</f>
        <v>1200.0</v>
      </c>
      <c r="E31" s="30">
        <f>IFERROR(B31/$B$9,"")</f>
        <v>0.008888888888888889</v>
      </c>
      <c r="F31" s="28" t="n"/>
      <c r="G31" s="30">
        <f>IFERROR(IF(B9="","",'0. Supuestos'!$B$41),"")</f>
        <v>0.21</v>
      </c>
      <c r="H31" s="28" t="n"/>
    </row>
    <row r="32">
      <c r="A32" s="28" t="inlineStr">
        <is>
          <t>Gestión de residuos (orgánico, cartón y aceite usado)</t>
        </is>
      </c>
      <c r="B32" s="29" t="n">
        <v>400</v>
      </c>
      <c r="C32" s="32">
        <f>IFERROR(IF(C9="","",B32*(1+'0. Supuestos'!$B$48)),"")</f>
        <v>400.0</v>
      </c>
      <c r="D32" s="32">
        <f>IFERROR(IF(D9="","",C32*(1+'0. Supuestos'!$B$48)),"")</f>
        <v>400.0</v>
      </c>
      <c r="E32" s="30">
        <f>IFERROR(B32/$B$9,"")</f>
        <v>0.002962962962962963</v>
      </c>
      <c r="F32" s="28" t="inlineStr">
        <is>
          <t>Gestor autorizado. El propio checklist ya avisa de que la freidora genera aceite usado que hay que gestionar, pero nunca contrataba el servicio. Pide presupuesto en tu zona</t>
        </is>
      </c>
      <c r="G32" s="30">
        <f>IFERROR(IF(B9="","",'0. Supuestos'!$B$41),"")</f>
        <v>0.21</v>
      </c>
      <c r="H32" s="28" t="n"/>
    </row>
    <row r="33">
      <c r="A33" s="28" t="inlineStr">
        <is>
          <t>Desinsectación, desratización y desinfección (DDD)</t>
        </is>
      </c>
      <c r="B33" s="29" t="n">
        <v>400</v>
      </c>
      <c r="C33" s="32">
        <f>IFERROR(IF(C9="","",B33*(1+'0. Supuestos'!$B$48)),"")</f>
        <v>400.0</v>
      </c>
      <c r="D33" s="32">
        <f>IFERROR(IF(D9="","",C33*(1+'0. Supuestos'!$B$48)),"")</f>
        <v>400.0</v>
      </c>
      <c r="E33" s="30">
        <f>IFERROR(B33/$B$9,"")</f>
        <v>0.002962962962962963</v>
      </c>
      <c r="F33" s="28" t="inlineStr">
        <is>
          <t>Empresa inscrita en el ROESB; forma parte del plan APPCC móvil que el checklist ya exige en su fase de personal</t>
        </is>
      </c>
      <c r="G33" s="30">
        <f>IFERROR(IF(B9="","",'0. Supuestos'!$B$41),"")</f>
        <v>0.21</v>
      </c>
      <c r="H33" s="28" t="n"/>
    </row>
    <row r="34">
      <c r="A34" s="28" t="inlineStr">
        <is>
          <t>Prevención de riesgos laborales y vigilancia de la salud</t>
        </is>
      </c>
      <c r="B34" s="29" t="n">
        <v>350</v>
      </c>
      <c r="C34" s="32">
        <f>IFERROR(IF(C9="","",B34*(1+'0. Supuestos'!$B$48)),"")</f>
        <v>350.0</v>
      </c>
      <c r="D34" s="32">
        <f>IFERROR(IF(D9="","",C34*(1+'0. Supuestos'!$B$48)),"")</f>
        <v>350.0</v>
      </c>
      <c r="E34" s="30">
        <f>IFERROR(B34/$B$9,"")</f>
        <v>0.0025925925925925925</v>
      </c>
      <c r="F34" s="28" t="inlineStr">
        <is>
          <t>El plan de prevención es obligatorio; el proveedor externo, no (art. 30.5 de la Ley 31/1995). A quién se marca como responsable se corrige en el propio checklist</t>
        </is>
      </c>
      <c r="G34" s="30">
        <f>IFERROR(IF(B9="","",'0. Supuestos'!$B$41),"")</f>
        <v>0.21</v>
      </c>
      <c r="H34" s="28" t="n"/>
    </row>
    <row r="35">
      <c r="A35" s="28" t="inlineStr">
        <is>
          <t>Derechos de autor por música ambiental (SGAE/AGEDI-AIE)</t>
        </is>
      </c>
      <c r="B35" s="29" t="n">
        <v>200</v>
      </c>
      <c r="C35" s="32">
        <f>IFERROR(IF(C9="","",B35*(1+'0. Supuestos'!$B$48)),"")</f>
        <v>200.0</v>
      </c>
      <c r="D35" s="32">
        <f>IFERROR(IF(D9="","",C35*(1+'0. Supuestos'!$B$48)),"")</f>
        <v>200.0</v>
      </c>
      <c r="E35" s="30">
        <f>IFERROR(B35/$B$9,"")</f>
        <v>0.0014814814814814814</v>
      </c>
      <c r="F35" s="28" t="inlineStr">
        <is>
          <t>Sólo se paga si el food truck pone música propia en ferias y festivales (distinto de la licencia del organizador, que cubre el recinto y no cada puesto). Presupuesto mínimo por si se usa</t>
        </is>
      </c>
      <c r="G35" s="30">
        <f>IFERROR(IF(B9="","",'0. Supuestos'!$B$41),"")</f>
        <v>0.21</v>
      </c>
      <c r="H35" s="28" t="n"/>
    </row>
    <row r="36">
      <c r="A36" s="28" t="inlineStr">
        <is>
          <t>Amortización del inmovilizado</t>
        </is>
      </c>
      <c r="B36" s="32">
        <f>IFERROR(IF(B9="","",'Inversión Inicial'!$B$33),"")</f>
        <v>6648.0</v>
      </c>
      <c r="C36" s="32">
        <f>IFERROR(IF(C9="","",B36),"")</f>
        <v>6648.0</v>
      </c>
      <c r="D36" s="32">
        <f>IFERROR(IF(D9="","",B36),"")</f>
        <v>6648.0</v>
      </c>
      <c r="E36" s="30">
        <f>IFERROR(B36/$B$9,"")</f>
        <v>0.049244444444444445</v>
      </c>
      <c r="F36" s="28" t="inlineStr">
        <is>
          <t>Sale de las bases de amortización de la hoja de Inversión: sólo inmovilizado real. NO sube con el IPC: es una cuota sobre el coste HISTÓRICO del inmovilizado</t>
        </is>
      </c>
      <c r="G36" s="30" t="n">
        <v>0</v>
      </c>
      <c r="H36" s="28" t="n"/>
    </row>
    <row r="37">
      <c r="A37" s="28" t="inlineStr">
        <is>
          <t>Gastos financieros (intereses del préstamo)</t>
        </is>
      </c>
      <c r="B37" s="32">
        <f>IFERROR(IF(B9="","",'Financiación'!$B$44),"")</f>
        <v>4680.0</v>
      </c>
      <c r="C37" s="32">
        <f>IFERROR(IF(C9="","",'Financiación'!$B$46),"")</f>
        <v>4680.0</v>
      </c>
      <c r="D37" s="32">
        <f>IFERROR(IF(D9="","",'Financiación'!$B$48),"")</f>
        <v>3858.030364043762</v>
      </c>
      <c r="E37" s="30">
        <f>IFERROR(B37/$B$9,"")</f>
        <v>0.034666666666666665</v>
      </c>
      <c r="F37" s="28" t="inlineStr">
        <is>
          <t>Sólo los INTERESES son gasto. La devolución del principal va en la hoja de Tesorería</t>
        </is>
      </c>
      <c r="G37" s="30" t="n">
        <v>0</v>
      </c>
      <c r="H37" s="28" t="n"/>
    </row>
    <row r="38">
      <c r="A38" s="16" t="inlineStr">
        <is>
          <t>TOTAL COSTES FIJOS</t>
        </is>
      </c>
      <c r="B38" s="33">
        <f>IFERROR(IF(B9="","",SUM(B22:B37)),"")</f>
        <v>78859.2</v>
      </c>
      <c r="C38" s="33">
        <f>IFERROR(IF(C9="","",SUM(C22:C37)),"")</f>
        <v>84859.2</v>
      </c>
      <c r="D38" s="33">
        <f>IFERROR(IF(D9="","",SUM(D22:D37)),"")</f>
        <v>90037.23036404376</v>
      </c>
      <c r="E38" s="34">
        <f>IFERROR(B38/$B$9,"")</f>
        <v>0.5841422222222222</v>
      </c>
    </row>
    <row r="39">
      <c r="A39" s="35" t="inlineStr">
        <is>
          <t>IVA soportado de los costes variables</t>
        </is>
      </c>
      <c r="B39" s="36">
        <f>IFERROR(IF(B9="","",SUMPRODUCT(B13:B18,G13:G18)),"")</f>
        <v>5952.231135000001</v>
      </c>
      <c r="C39" s="36">
        <f>IFERROR(IF(C9="","",SUMPRODUCT(C13:C18,G13:G18)),"")</f>
        <v>6845.065805249999</v>
      </c>
      <c r="D39" s="36">
        <f>IFERROR(IF(D9="","",SUMPRODUCT(D13:D18,G13:G18)),"")</f>
        <v>7529.572385774999</v>
      </c>
      <c r="F39" s="35" t="inlineStr">
        <is>
          <t>Cada línea a SU tipo, leído de la columna de al lado. Es lo que la hoja de Tesorería paga de más a los proveedores y luego se deduce</t>
        </is>
      </c>
    </row>
    <row r="40">
      <c r="A40" s="35" t="inlineStr">
        <is>
          <t>IVA soportado de los costes fijos</t>
        </is>
      </c>
      <c r="B40" s="36">
        <f>IFERROR(IF(B9="","",SUMPRODUCT(B22:B37,G22:G37)),"")</f>
        <v>4819.5</v>
      </c>
      <c r="C40" s="36">
        <f>IFERROR(IF(C9="","",SUMPRODUCT(C22:C37,G22:G37)),"")</f>
        <v>4819.5</v>
      </c>
      <c r="D40" s="36">
        <f>IFERROR(IF(D9="","",SUMPRODUCT(D22:D37,G22:G37)),"")</f>
        <v>4819.5</v>
      </c>
    </row>
    <row r="41">
      <c r="A41" s="16" t="inlineStr">
        <is>
          <t>RESULTADO ANTES DE IMPUESTOS</t>
        </is>
      </c>
      <c r="B41" s="33">
        <f>IFERROR(IF(B9="","",B20-B38),"")</f>
        <v>7660.4100000000035</v>
      </c>
      <c r="C41" s="33">
        <f>IFERROR(IF(C9="","",C20-C38),"")</f>
        <v>14638.351499999975</v>
      </c>
      <c r="D41" s="33">
        <f>IFERROR(IF(D9="","",D20-D38),"")</f>
        <v>19410.076285956224</v>
      </c>
      <c r="E41" s="34">
        <f>IFERROR(B41/$B$9,"")</f>
        <v>0.0567437777777778</v>
      </c>
    </row>
    <row r="42">
      <c r="A42" s="35" t="inlineStr">
        <is>
          <t>Bases negativas pendientes al inicio</t>
        </is>
      </c>
      <c r="B42" s="36">
        <f>IFERROR(IF(B9="","",'0. Supuestos'!$B$42),"")</f>
        <v>0.0</v>
      </c>
      <c r="C42" s="36">
        <f>IFERROR(IF(C9="","",B47),"")</f>
        <v>0.0</v>
      </c>
      <c r="D42" s="36">
        <f>IFERROR(IF(D9="","",C47),"")</f>
        <v>0.0</v>
      </c>
      <c r="F42" s="35" t="inlineStr">
        <is>
          <t>Art. 26 LIS: las pérdidas de un ejercicio se compensan con los beneficios de los siguientes</t>
        </is>
      </c>
    </row>
    <row r="43">
      <c r="A43" s="35" t="inlineStr">
        <is>
          <t>Base imponible (después de compensar)</t>
        </is>
      </c>
      <c r="B43" s="36">
        <f>IFERROR(IF(B9="","",MAX(0,B41-B42)),"")</f>
        <v>7660.4100000000035</v>
      </c>
      <c r="C43" s="36">
        <f>IFERROR(IF(C9="","",MAX(0,C41-C42)),"")</f>
        <v>14638.351499999975</v>
      </c>
      <c r="D43" s="36">
        <f>IFERROR(IF(D9="","",MAX(0,D41-D42)),"")</f>
        <v>19410.076285956224</v>
      </c>
    </row>
    <row r="44">
      <c r="A44" s="35" t="inlineStr">
        <is>
          <t>Ejercicios con base positiva (acumulado)</t>
        </is>
      </c>
      <c r="B44" s="42">
        <f>IFERROR(IF(B9="","",IF(B43&gt;0,1,0)),"")</f>
        <v>1.0</v>
      </c>
      <c r="C44" s="42">
        <f>IFERROR(IF(C9="","",B44+IF(C43&gt;0,1,0)),"")</f>
        <v>2.0</v>
      </c>
      <c r="D44" s="42">
        <f>IFERROR(IF(D9="","",C44+IF(D43&gt;0,1,0)),"")</f>
        <v>3.0</v>
      </c>
    </row>
    <row r="45">
      <c r="A45" s="35" t="inlineStr">
        <is>
          <t>Tipo de Impuesto de Sociedades aplicado</t>
        </is>
      </c>
      <c r="B45" s="22">
        <f>IFERROR(IF(B9="","",IF(B43&lt;=0,"",IF(B44&lt;=2,'0. Supuestos'!$B$37,'0. Supuestos'!$B$38))),"")</f>
        <v>0.15</v>
      </c>
      <c r="C45" s="22">
        <f>IFERROR(IF(C9="","",IF(C43&lt;=0,"",IF(C44&lt;=2,'0. Supuestos'!$B$37,'0. Supuestos'!$B$38))),"")</f>
        <v>0.15</v>
      </c>
      <c r="D45" s="22">
        <f>IFERROR(IF(D9="","",IF(D43&lt;=0,"",IF(D44&lt;=2,'0. Supuestos'!$B$37,'0. Supuestos'!$B$38))),"")</f>
        <v>0.25</v>
      </c>
      <c r="F45" s="35" t="inlineStr">
        <is>
          <t>Art. 29.1 LIS: el 15 % de entidad de nueva creación se aplica al PRIMER ejercicio con base positiva y al SIGUIENTE, no al primer año de vida. El libro lo aproxima contando los dos primeros ejercicios con base positiva</t>
        </is>
      </c>
    </row>
    <row r="46">
      <c r="A46" s="35" t="inlineStr">
        <is>
          <t>Impuesto de Sociedades</t>
        </is>
      </c>
      <c r="B46" s="36">
        <f>IFERROR(IF(B9="","",IF(B45="",0,B43*B45)),"")</f>
        <v>1149.0615000000005</v>
      </c>
      <c r="C46" s="36">
        <f>IFERROR(IF(C9="","",IF(C45="",0,C43*C45)),"")</f>
        <v>2195.752724999996</v>
      </c>
      <c r="D46" s="36">
        <f>IFERROR(IF(D9="","",IF(D45="",0,D43*D45)),"")</f>
        <v>4852.519071489056</v>
      </c>
    </row>
    <row r="47">
      <c r="A47" s="35" t="inlineStr">
        <is>
          <t>Bases negativas pendientes al cierre</t>
        </is>
      </c>
      <c r="B47" s="36">
        <f>IFERROR(IF(B9="","",MAX(0,B42-B41)),"")</f>
        <v>0.0</v>
      </c>
      <c r="C47" s="36">
        <f>IFERROR(IF(C9="","",MAX(0,C42-C41)),"")</f>
        <v>0.0</v>
      </c>
      <c r="D47" s="36">
        <f>IFERROR(IF(D9="","",MAX(0,D42-D41)),"")</f>
        <v>0.0</v>
      </c>
    </row>
    <row r="48">
      <c r="A48" s="16" t="inlineStr">
        <is>
          <t>RESULTADO NETO</t>
        </is>
      </c>
      <c r="B48" s="33">
        <f>IFERROR(IF(B9="","",B41-B46),"")</f>
        <v>6511.348500000003</v>
      </c>
      <c r="C48" s="33">
        <f>IFERROR(IF(C9="","",C41-C46),"")</f>
        <v>12442.598774999979</v>
      </c>
      <c r="D48" s="33">
        <f>IFERROR(IF(D9="","",D41-D46),"")</f>
        <v>14557.557214467168</v>
      </c>
      <c r="E48" s="34">
        <f>IFERROR(B48/$B$9,"")</f>
        <v>0.04823221111111113</v>
      </c>
    </row>
    <row r="49">
      <c r="A49" s="16" t="inlineStr">
        <is>
          <t>RATIOS CLAVE</t>
        </is>
      </c>
    </row>
    <row r="50">
      <c r="A50" s="16" t="inlineStr">
        <is>
          <t>Ratio</t>
        </is>
      </c>
      <c r="B50" s="16" t="inlineStr">
        <is>
          <t>Año 1</t>
        </is>
      </c>
      <c r="C50" s="16" t="inlineStr">
        <is>
          <t>Año 2</t>
        </is>
      </c>
      <c r="D50" s="16" t="inlineStr">
        <is>
          <t>Año 3</t>
        </is>
      </c>
      <c r="E50" s="16" t="inlineStr">
        <is>
          <t>Umbral</t>
        </is>
      </c>
      <c r="F50" s="16" t="inlineStr">
        <is>
          <t>Comentario</t>
        </is>
      </c>
    </row>
    <row r="51">
      <c r="A51" s="35" t="inlineStr">
        <is>
          <t>Margen bruto / Ventas</t>
        </is>
      </c>
      <c r="B51" s="22">
        <f>IFERROR(IF(B9="","",B20/B9),"")</f>
        <v>0.640886</v>
      </c>
      <c r="C51" s="22">
        <f>IFERROR(IF(C9="","",C20/C9),"")</f>
        <v>0.640886</v>
      </c>
      <c r="D51" s="22">
        <f>IFERROR(IF(D9="","",D20/D9),"")</f>
        <v>0.6408860000000001</v>
      </c>
      <c r="E51" s="43" t="n">
        <v>0.62</v>
      </c>
      <c r="F51" s="35" t="inlineStr">
        <is>
          <t>Suelo del propio libro: la fila «Margen bruto objetivo» (&gt; 62 %) de la tabla DATOS DE REFERENCIA DEL SECTOR, en la hoja de Instrucciones. Más bajo que el de un restaurante por el peso del packaging y del combustible</t>
        </is>
      </c>
    </row>
    <row r="52">
      <c r="A52" s="35" t="inlineStr">
        <is>
          <t>Coste de mercancía (comida + bebida)</t>
        </is>
      </c>
      <c r="B52" s="36">
        <f>IFERROR(IF(B9="","",B13+B14),"")</f>
        <v>36600.39</v>
      </c>
      <c r="C52" s="36">
        <f>IFERROR(IF(C9="","",C13+C14),"")</f>
        <v>42090.44849999999</v>
      </c>
      <c r="D52" s="36">
        <f>IFERROR(IF(D9="","",D13+D14),"")</f>
        <v>46299.49335</v>
      </c>
    </row>
    <row r="53">
      <c r="A53" s="35" t="inlineStr">
        <is>
          <t>Coste de mercancía / Ventas</t>
        </is>
      </c>
      <c r="B53" s="22">
        <f>IFERROR(IF(B9="","",B52/B9),"")</f>
        <v>0.271114</v>
      </c>
      <c r="C53" s="22">
        <f>IFERROR(IF(C9="","",C52/C9),"")</f>
        <v>0.271114</v>
      </c>
      <c r="D53" s="22">
        <f>IFERROR(IF(D9="","",D52/D9),"")</f>
        <v>0.271114</v>
      </c>
      <c r="E53" s="43" t="n">
        <v>0.33</v>
      </c>
      <c r="F53" s="35" t="inlineStr">
        <is>
          <t>Techo mezclado de los food cost que publica la tabla de referencias de este libro (comida 28-33 %, bebida 22-28 %). La ratio de al lado mide sólo la MERCANCÍA: los consumibles y los envases tienen su propia línea en la cuenta de resultados y no entran aquí, así que el caso base se queda holgadamente por debajo del techo</t>
        </is>
      </c>
    </row>
    <row r="54">
      <c r="A54" s="35" t="inlineStr">
        <is>
          <t>Coste de personal / Ventas</t>
        </is>
      </c>
      <c r="B54" s="22">
        <f>IFERROR(IF(B9="","",B23/B9),"")</f>
        <v>0.3117125925925926</v>
      </c>
      <c r="C54" s="22">
        <f>IFERROR(IF(C9="","",C23/C9),"")</f>
        <v>0.30970177133655397</v>
      </c>
      <c r="D54" s="22">
        <f>IFERROR(IF(D9="","",D23/D9),"")</f>
        <v>0.31668101302883916</v>
      </c>
      <c r="E54" s="43" t="n">
        <v>0.32</v>
      </c>
      <c r="F54" s="35" t="inlineStr">
        <is>
          <t>Techo del propio libro: la fila «Coste personal sobre ventas» (25-32 %) de la tabla DATOS DE REFERENCIA DEL SECTOR, en la hoja de Instrucciones («menos personal que un restaurante: 2-3 personas»)</t>
        </is>
      </c>
    </row>
    <row r="55">
      <c r="A55" s="35" t="inlineStr">
        <is>
          <t>Aparcamiento / Ventas</t>
        </is>
      </c>
      <c r="B55" s="22">
        <f>IFERROR(IF(B9="","",B22/B9),"")</f>
        <v>0.035555555555555556</v>
      </c>
      <c r="C55" s="22">
        <f>IFERROR(IF(C9="","",C22/C9),"")</f>
        <v>0.030917874396135272</v>
      </c>
      <c r="D55" s="22">
        <f>IFERROR(IF(D9="","",D22/D9),"")</f>
        <v>0.028107158541941155</v>
      </c>
      <c r="E55" s="43" t="n">
        <v>0.05</v>
      </c>
      <c r="F55" s="35" t="inlineStr">
        <is>
          <t>No hay referencia de local en este libro (el food truck no paga renta de local): 5 % es un techo prudente para el aparcamiento/base del vehículo, muy por debajo del 8-12 % de un negocio con local fijo (mismo orden que el resto de la familia, adaptado a este molde)</t>
        </is>
      </c>
    </row>
    <row r="56">
      <c r="A56" s="35" t="inlineStr">
        <is>
          <t>Resultado neto / Ventas</t>
        </is>
      </c>
      <c r="B56" s="22">
        <f>IFERROR(IF(B9="","",B48/B9),"")</f>
        <v>0.04823221111111113</v>
      </c>
      <c r="C56" s="22">
        <f>IFERROR(IF(C9="","",C48/C9),"")</f>
        <v>0.08014556376811582</v>
      </c>
      <c r="D56" s="22">
        <f>IFERROR(IF(D9="","",D48/D9),"")</f>
        <v>0.08524407679383499</v>
      </c>
      <c r="E56" s="43" t="n">
        <v>0.04</v>
      </c>
      <c r="F56" s="35" t="inlineStr">
        <is>
          <t>Derivado del suelo de EBITDA que declara este producto para el año 2 —la fila «EBITDA objetivo (año 2)», 20-30 %, de la tabla de referencias—: descontando amortización, intereses e Impuesto de Sociedades, un EBITDA en la franja baja del rango deja un resultado neto positivo ya en el año 1, aunque ajustado por ser el primer ejercicio</t>
        </is>
      </c>
    </row>
    <row r="57">
      <c r="A57" s="35" t="inlineStr">
        <is>
          <t>Punto de equilibrio alcanzado</t>
        </is>
      </c>
      <c r="B57" t="str">
        <f>IFERROR(IF(B9="","",IF(B9&gt;='Punto Equilibrio'!$B$16,"Sí","No")),"")</f>
        <v>Sí</v>
      </c>
      <c r="C57" t="str">
        <f>IFERROR(IF(C9="","",IF(C9&gt;='Punto Equilibrio'!$C$16,"Sí","No")),"")</f>
        <v>Sí</v>
      </c>
      <c r="D57" t="str">
        <f>IFERROR(IF(D9="","",IF(D9&gt;='Punto Equilibrio'!$D$16,"Sí","No")),"")</f>
        <v>Sí</v>
      </c>
      <c r="F57" s="35" t="inlineStr">
        <is>
          <t>Compara las ventas de CADA año con el umbral de ese mismo año, que calcula la hoja de Punto de Equilibrio con los costes fijos del año</t>
        </is>
      </c>
    </row>
    <row r="58"/>
    <row r="59" ht="165" customHeight="1">
      <c r="A59" s="17"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Break-even — Food Truck</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41">
        <f>IFERROR(IF('PyG 3 Años'!$B$9="","",'PyG 3 Años'!$B$38),"")</f>
        <v>78859.2</v>
      </c>
      <c r="C6" s="41">
        <f>IFERROR(IF('PyG 3 Años'!$C$9="","",'PyG 3 Años'!$C$38),"")</f>
        <v>84859.2</v>
      </c>
      <c r="D6" s="41">
        <f>IFERROR(IF('PyG 3 Años'!$D$9="","",'PyG 3 Años'!$D$38),"")</f>
        <v>90037.23036404376</v>
      </c>
      <c r="E6" s="28" t="inlineStr">
        <is>
          <t>Los MISMOS costes fijos del P&amp;L. Cada año tiene los suyos: por eso el umbral no puede ser uno solo para los tres</t>
        </is>
      </c>
      <c r="F6" s="28" t="n"/>
    </row>
    <row r="7">
      <c r="A7" s="28" t="inlineStr">
        <is>
          <t>Costes fijos mensuales</t>
        </is>
      </c>
      <c r="B7" s="41">
        <f>IFERROR(IF('PyG 3 Años'!$B$9="","",B6/12),"")</f>
        <v>6571.599999999999</v>
      </c>
      <c r="C7" s="41">
        <f>IFERROR(IF('PyG 3 Años'!$C$9="","",C6/12),"")</f>
        <v>7071.599999999999</v>
      </c>
      <c r="D7" s="41">
        <f>IFERROR(IF('PyG 3 Años'!$D$9="","",D6/12),"")</f>
        <v>7503.10253033698</v>
      </c>
      <c r="E7" s="28" t="n"/>
      <c r="F7" s="28" t="n"/>
    </row>
    <row r="8">
      <c r="A8" s="28" t="inlineStr">
        <is>
          <t>Ticket medio sin IVA</t>
        </is>
      </c>
      <c r="B8" s="41">
        <f>IFERROR(IF('PyG 3 Años'!$B$9="","",'PyG 3 Años'!$B$7),"")</f>
        <v>12.0</v>
      </c>
      <c r="C8" s="41">
        <f>IFERROR(IF('PyG 3 Años'!$C$9="","",'PyG 3 Años'!$C$7),"")</f>
        <v>12.0</v>
      </c>
      <c r="D8" s="41">
        <f>IFERROR(IF('PyG 3 Años'!$D$9="","",'PyG 3 Años'!$D$7),"")</f>
        <v>12.0</v>
      </c>
      <c r="E8" s="28" t="n"/>
      <c r="F8" s="28" t="n"/>
    </row>
    <row r="9">
      <c r="A9" s="28" t="inlineStr">
        <is>
          <t>Coste variable por cliente</t>
        </is>
      </c>
      <c r="B9" s="41">
        <f>IFERROR(IF('PyG 3 Años'!$B$9="","",'PyG 3 Años'!$B$19/('PyG 3 Años'!$B$6*'PyG 3 Años'!$B$8)),"")</f>
        <v>4.309368</v>
      </c>
      <c r="C9" s="41">
        <f>IFERROR(IF('PyG 3 Años'!$C$9="","",'PyG 3 Años'!$C$19/('PyG 3 Años'!$C$6*'PyG 3 Años'!$C$8)),"")</f>
        <v>4.309368</v>
      </c>
      <c r="D9" s="41">
        <f>IFERROR(IF('PyG 3 Años'!$D$9="","",'PyG 3 Años'!$D$19/('PyG 3 Años'!$D$6*'PyG 3 Años'!$D$8)),"")</f>
        <v>4.309367999999999</v>
      </c>
      <c r="E9" s="28" t="inlineStr">
        <is>
          <t>Sale del total de costes variables del P&amp;L, no de una estimación aparte. Incluye los varios e imprevistos, que son un porcentaje de las ventas</t>
        </is>
      </c>
      <c r="F9" s="28" t="n"/>
    </row>
    <row r="10">
      <c r="A10" s="28" t="inlineStr">
        <is>
          <t>Margen de contribución por cliente</t>
        </is>
      </c>
      <c r="B10" s="41">
        <f>IFERROR(IF('PyG 3 Años'!$B$9="","",B8-B9),"")</f>
        <v>7.690632</v>
      </c>
      <c r="C10" s="41">
        <f>IFERROR(IF('PyG 3 Años'!$C$9="","",C8-C9),"")</f>
        <v>7.690632</v>
      </c>
      <c r="D10" s="41">
        <f>IFERROR(IF('PyG 3 Años'!$D$9="","",D8-D9),"")</f>
        <v>7.690632000000001</v>
      </c>
      <c r="E10" s="28" t="inlineStr">
        <is>
          <t>Ticket menos coste variable unitario</t>
        </is>
      </c>
      <c r="F10" s="28" t="n"/>
    </row>
    <row r="11">
      <c r="A11" s="28" t="inlineStr">
        <is>
          <t>Días de apertura al año</t>
        </is>
      </c>
      <c r="B11" s="40">
        <f>IFERROR(IF('PyG 3 Años'!$B$9="","",'PyG 3 Años'!$B$8),"")</f>
        <v>250.0</v>
      </c>
      <c r="C11" s="40">
        <f>IFERROR(IF('PyG 3 Años'!$C$9="","",'PyG 3 Años'!$C$8),"")</f>
        <v>250.0</v>
      </c>
      <c r="D11" s="40">
        <f>IFERROR(IF('PyG 3 Años'!$D$9="","",'PyG 3 Años'!$D$8),"")</f>
        <v>250.0</v>
      </c>
      <c r="E11" s="28" t="inlineStr">
        <is>
          <t>El mismo calendario que el P&amp;L y que los escenarios</t>
        </is>
      </c>
      <c r="F11" s="28" t="n"/>
    </row>
    <row r="12">
      <c r="A12" s="28" t="inlineStr">
        <is>
          <t>Devolución de principal del año (cuota)</t>
        </is>
      </c>
      <c r="B12" s="41">
        <f>IFERROR(IF('PyG 3 Años'!$B$9="","",'Financiación'!$B$45),"")</f>
        <v>0.0</v>
      </c>
      <c r="C12" s="41">
        <f>IFERROR(IF('PyG 3 Años'!$C$9="","",'Financiación'!$B$47),"")</f>
        <v>12645.686707019053</v>
      </c>
      <c r="D12" s="41">
        <f>IFERROR(IF('PyG 3 Años'!$D$9="","",'Financiación'!$B$49),"")</f>
        <v>13467.656342975291</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Clientes necesarios al año</t>
        </is>
      </c>
      <c r="B14" s="40">
        <f>IFERROR(IF('PyG 3 Años'!$B$9="","",IF(B10&lt;=0,"",B6/B10)),"")</f>
        <v>10253.929716049344</v>
      </c>
      <c r="C14" s="40">
        <f>IFERROR(IF('PyG 3 Años'!$C$9="","",IF(C10&lt;=0,"",C6/C10)),"")</f>
        <v>11034.099668271736</v>
      </c>
      <c r="D14" s="40">
        <f>IFERROR(IF('PyG 3 Años'!$D$9="","",IF(D10&lt;=0,"",D6/D10)),"")</f>
        <v>11707.390285225421</v>
      </c>
      <c r="E14" s="28" t="n"/>
      <c r="F14" s="28" t="n"/>
    </row>
    <row r="15">
      <c r="A15" s="28" t="inlineStr">
        <is>
          <t>Clientes necesarios al día</t>
        </is>
      </c>
      <c r="B15" s="44">
        <f>IFERROR(IF('PyG 3 Años'!$B$9="","",B14/B11),"")</f>
        <v>41.015718864197375</v>
      </c>
      <c r="C15" s="44">
        <f>IFERROR(IF('PyG 3 Años'!$C$9="","",C14/C11),"")</f>
        <v>44.136398673086944</v>
      </c>
      <c r="D15" s="44">
        <f>IFERROR(IF('PyG 3 Años'!$D$9="","",D14/D11),"")</f>
        <v>46.82956114090169</v>
      </c>
      <c r="E15" s="28" t="n"/>
      <c r="F15" s="28" t="n"/>
    </row>
    <row r="16">
      <c r="A16" s="25" t="inlineStr">
        <is>
          <t>Ingresos necesarios al año</t>
        </is>
      </c>
      <c r="B16" s="26">
        <f>IFERROR(IF('PyG 3 Años'!$B$9="","",B14*B8),"")</f>
        <v>123047.15659259213</v>
      </c>
      <c r="C16" s="26">
        <f>IFERROR(IF('PyG 3 Años'!$C$9="","",C14*C8),"")</f>
        <v>132409.19601926082</v>
      </c>
      <c r="D16" s="26">
        <f>IFERROR(IF('PyG 3 Años'!$D$9="","",D14*D8),"")</f>
        <v>140488.68342270504</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41">
        <f>IFERROR(IF('PyG 3 Años'!$B$9="","",B6-'PyG 3 Años'!$B$36+B12),"")</f>
        <v>72211.2</v>
      </c>
      <c r="C18" s="41">
        <f>IFERROR(IF('PyG 3 Años'!$C$9="","",C6-'PyG 3 Años'!$C$36+C12),"")</f>
        <v>90856.88670701905</v>
      </c>
      <c r="D18" s="41">
        <f>IFERROR(IF('PyG 3 Años'!$D$9="","",D6-'PyG 3 Años'!$D$36+D12),"")</f>
        <v>96856.88670701905</v>
      </c>
      <c r="E18" s="28" t="inlineStr">
        <is>
          <t>Los fijos del P&amp;L sin la amortización (que no se paga) y CON la devolución de principal (que sí). Es el umbral que decide si la caja aguanta</t>
        </is>
      </c>
      <c r="F18" s="28" t="n"/>
    </row>
    <row r="19">
      <c r="A19" s="28" t="inlineStr">
        <is>
          <t>Clientes necesarios al año (caja)</t>
        </is>
      </c>
      <c r="B19" s="40">
        <f>IFERROR(IF('PyG 3 Años'!$B$9="","",IF(B10&lt;=0,"",B18/B10)),"")</f>
        <v>9389.501408986933</v>
      </c>
      <c r="C19" s="40">
        <f>IFERROR(IF('PyG 3 Años'!$C$9="","",IF(C10&lt;=0,"",C18/C10)),"")</f>
        <v>11813.968826881724</v>
      </c>
      <c r="D19" s="40">
        <f>IFERROR(IF('PyG 3 Años'!$D$9="","",IF(D10&lt;=0,"",D18/D10)),"")</f>
        <v>12594.138779104114</v>
      </c>
      <c r="E19" s="28" t="n"/>
      <c r="F19" s="28" t="n"/>
    </row>
    <row r="20">
      <c r="A20" s="25" t="inlineStr">
        <is>
          <t>Clientes necesarios al día (caja)</t>
        </is>
      </c>
      <c r="B20" s="45">
        <f>IFERROR(IF('PyG 3 Años'!$B$9="","",B19/B11),"")</f>
        <v>37.55800563594773</v>
      </c>
      <c r="C20" s="45">
        <f>IFERROR(IF('PyG 3 Años'!$C$9="","",C19/C11),"")</f>
        <v>47.2558753075269</v>
      </c>
      <c r="D20" s="45">
        <f>IFERROR(IF('PyG 3 Años'!$D$9="","",D19/D11),"")</f>
        <v>50.376555116416455</v>
      </c>
      <c r="E20" s="28" t="n"/>
      <c r="F20" s="28" t="n"/>
    </row>
    <row r="21">
      <c r="A21" s="28" t="inlineStr">
        <is>
          <t>Ingresos necesarios al año (caja)</t>
        </is>
      </c>
      <c r="B21" s="32">
        <f>IFERROR(IF('PyG 3 Años'!$B$9="","",B19*B8),"")</f>
        <v>112674.0169078432</v>
      </c>
      <c r="C21" s="32">
        <f>IFERROR(IF('PyG 3 Años'!$C$9="","",C19*C8),"")</f>
        <v>141767.6259225807</v>
      </c>
      <c r="D21" s="32">
        <f>IFERROR(IF('PyG 3 Años'!$D$9="","",D19*D8),"")</f>
        <v>151129.66534924938</v>
      </c>
      <c r="E21" s="28" t="n"/>
      <c r="F21" s="28" t="n"/>
    </row>
    <row r="22">
      <c r="A22" s="25" t="inlineStr">
        <is>
          <t>CONTRASTE CON EL PLAN</t>
        </is>
      </c>
      <c r="B22" s="28" t="n"/>
      <c r="C22" s="28" t="n"/>
      <c r="D22" s="28" t="n"/>
      <c r="E22" s="28" t="n"/>
      <c r="F22" s="28" t="n"/>
    </row>
    <row r="23">
      <c r="A23" s="28" t="inlineStr">
        <is>
          <t>Clientes/día previstos en el plan</t>
        </is>
      </c>
      <c r="B23" s="40">
        <f>IFERROR(IF('PyG 3 Años'!$B$9="","",'PyG 3 Años'!$B$6),"")</f>
        <v>45.0</v>
      </c>
      <c r="C23" s="40">
        <f>IFERROR(IF('PyG 3 Años'!$C$9="","",'PyG 3 Años'!$C$6),"")</f>
        <v>51.74999999999999</v>
      </c>
      <c r="D23" s="40">
        <f>IFERROR(IF('PyG 3 Años'!$D$9="","",'PyG 3 Años'!$D$6),"")</f>
        <v>56.925</v>
      </c>
      <c r="E23" s="28" t="n"/>
      <c r="F23" s="28" t="n"/>
    </row>
    <row r="24">
      <c r="A24" s="28" t="inlineStr">
        <is>
          <t>Holgura sobre el equilibrio de CAJA (%)</t>
        </is>
      </c>
      <c r="B24" s="30">
        <f>IFERROR(IF('PyG 3 Años'!$B$9="","",B23/B20-1),"")</f>
        <v>0.1981466863865995</v>
      </c>
      <c r="C24" s="30">
        <f>IFERROR(IF('PyG 3 Años'!$C$9="","",C23/C20-1),"")</f>
        <v>0.09510192464379696</v>
      </c>
      <c r="D24" s="30">
        <f>IFERROR(IF('PyG 3 Años'!$D$9="","",D23/D20-1),"")</f>
        <v>0.12998993020563976</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ticket medio sin IVA de la fila de arriba necesitas "&amp;TEXT(ROUNDUP(B15,0),"0")&amp;" clientes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42 clientes al día durante los 250 días que abres para no perder dinero (equilibrio contable, con la amortización dentro), y 38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Clientes/día necesarios para cubrir costes según el ticket medio (columnas) y el coste variable por cliente (filas). En verde, los que están por debajo de los clientes que prevé el plan.</t>
        </is>
      </c>
      <c r="B29" s="28" t="n"/>
      <c r="C29" s="28" t="n"/>
      <c r="D29" s="28" t="n"/>
      <c r="E29" s="28" t="n"/>
      <c r="F29" s="28" t="n"/>
    </row>
    <row r="30">
      <c r="A30" s="28" t="n"/>
      <c r="B30" s="28" t="n"/>
      <c r="C30" s="28" t="n"/>
      <c r="D30" s="28" t="n"/>
      <c r="E30" s="28" t="n"/>
      <c r="F30" s="28" t="n"/>
    </row>
    <row r="31" ht="45" customHeight="1">
      <c r="A31" s="39" t="inlineStr">
        <is>
          <t>Clientes/día necesarios: ticket medio sin IVA (columnas) × coste variable por cliente (filas)</t>
        </is>
      </c>
      <c r="B31" s="47">
        <f>IFERROR($B$8-2,"")</f>
        <v>10.0</v>
      </c>
      <c r="C31" s="47">
        <f>IFERROR(IF($B$8="","",$B$8),"")</f>
        <v>12.0</v>
      </c>
      <c r="D31" s="47">
        <f>IFERROR($B$8+2,"")</f>
        <v>14.0</v>
      </c>
      <c r="E31" s="47">
        <f>IFERROR($B$8+4,"")</f>
        <v>16.0</v>
      </c>
      <c r="F31" s="28" t="n"/>
    </row>
    <row r="32">
      <c r="A32" s="41">
        <f>IFERROR($B$9*0.85,"")</f>
        <v>3.6629628</v>
      </c>
      <c r="B32" s="44">
        <f>IFERROR(IF($B$31-$A32&lt;=0,"",$B$6/($B$31-$A32)/$B$11),"")</f>
        <v>49.77670006418772</v>
      </c>
      <c r="C32" s="44">
        <f>IFERROR(IF($C$31-$A32&lt;=0,"",$B$6/($C$31-$A32)/$B$11),"")</f>
        <v>37.83559943813132</v>
      </c>
      <c r="D32" s="44">
        <f>IFERROR(IF($D$31-$A32&lt;=0,"",$B$6/($D$31-$A32)/$B$11),"")</f>
        <v>30.515204105098892</v>
      </c>
      <c r="E32" s="44">
        <f>IFERROR(IF($E$31-$A32&lt;=0,"",$B$6/($E$31-$A32)/$B$11),"")</f>
        <v>25.56827825727882</v>
      </c>
      <c r="F32" s="28" t="n"/>
    </row>
    <row r="33">
      <c r="A33" s="41">
        <f>IFERROR($B$9*0.925,"")</f>
        <v>3.9861654000000004</v>
      </c>
      <c r="B33" s="44">
        <f>IFERROR(IF($B$31-$A33&lt;=0,"",$B$6/($B$31-$A33)/$B$11),"")</f>
        <v>52.45185825363406</v>
      </c>
      <c r="C33" s="44">
        <f>IFERROR(IF($C$31-$A33&lt;=0,"",$B$6/($C$31-$A33)/$B$11),"")</f>
        <v>39.36153112019557</v>
      </c>
      <c r="D33" s="44">
        <f>IFERROR(IF($D$31-$A33&lt;=0,"",$B$6/($D$31-$A33)/$B$11),"")</f>
        <v>31.50010087044977</v>
      </c>
      <c r="E33" s="44">
        <f>IFERROR(IF($E$31-$A33&lt;=0,"",$B$6/($E$31-$A33)/$B$11),"")</f>
        <v>26.25612974561844</v>
      </c>
      <c r="F33" s="28" t="n"/>
    </row>
    <row r="34">
      <c r="A34" s="21">
        <f>IFERROR($B$9*1.0,"")</f>
        <v>4.309368</v>
      </c>
      <c r="B34" s="48">
        <f>IFERROR(IF($B$31-$A34&lt;=0,"",$B$6/($B$31-$A34)/$B$11),"")</f>
        <v>55.43089062866831</v>
      </c>
      <c r="C34" s="48">
        <f>IFERROR(IF($C$31-$A34&lt;=0,"",$B$6/($C$31-$A34)/$B$11),"")</f>
        <v>41.015718864197375</v>
      </c>
      <c r="D34" s="48">
        <f>IFERROR(IF($D$31-$A34&lt;=0,"",$B$6/($D$31-$A34)/$B$11),"")</f>
        <v>32.550694320040215</v>
      </c>
      <c r="E34" s="48">
        <f>IFERROR(IF($E$31-$A34&lt;=0,"",$B$6/($E$31-$A34)/$B$11),"")</f>
        <v>26.982014317104493</v>
      </c>
    </row>
    <row r="35">
      <c r="A35" s="21">
        <f>IFERROR($B$9*1.075,"")</f>
        <v>4.6325706</v>
      </c>
      <c r="B35" s="48">
        <f>IFERROR(IF($B$31-$A35&lt;=0,"",$B$6/($B$31-$A35)/$B$11),"")</f>
        <v>58.768691023677</v>
      </c>
      <c r="C35" s="48">
        <f>IFERROR(IF($C$31-$A35&lt;=0,"",$B$6/($C$31-$A35)/$B$11),"")</f>
        <v>42.81504210953145</v>
      </c>
      <c r="D35" s="48">
        <f>IFERROR(IF($D$31-$A35&lt;=0,"",$B$6/($D$31-$A35)/$B$11),"")</f>
        <v>33.67378461373833</v>
      </c>
      <c r="E35" s="48">
        <f>IFERROR(IF($E$31-$A35&lt;=0,"",$B$6/($E$31-$A35)/$B$11),"")</f>
        <v>27.749176080213882</v>
      </c>
    </row>
    <row r="36">
      <c r="A36" s="21">
        <f>IFERROR($B$9*1.15,"")</f>
        <v>4.955773199999999</v>
      </c>
      <c r="B36" s="48">
        <f>IFERROR(IF($B$31-$A36&lt;=0,"",$B$6/($B$31-$A36)/$B$11),"")</f>
        <v>62.53422229151155</v>
      </c>
      <c r="C36" s="48">
        <f>IFERROR(IF($C$31-$A36&lt;=0,"",$B$6/($C$31-$A36)/$B$11),"")</f>
        <v>44.77947813946024</v>
      </c>
      <c r="D36" s="48">
        <f>IFERROR(IF($D$31-$A36&lt;=0,"",$B$6/($D$31-$A36)/$B$11),"")</f>
        <v>34.877143947783345</v>
      </c>
      <c r="E36" s="48">
        <f>IFERROR(IF($E$31-$A36&lt;=0,"",$B$6/($E$31-$A36)/$B$11),"")</f>
        <v>28.56123889089275</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Clientes/día</t>
        </is>
      </c>
      <c r="B5" s="49" t="n">
        <v>30</v>
      </c>
      <c r="C5" s="40">
        <f>IFERROR(IF('PyG 3 Años'!$B$6="","",'PyG 3 Años'!$B$6),"")</f>
        <v>45.0</v>
      </c>
      <c r="D5" s="49" t="n">
        <v>65</v>
      </c>
      <c r="E5" s="28" t="n"/>
      <c r="F5" s="28" t="n"/>
    </row>
    <row r="6">
      <c r="A6" s="28" t="inlineStr">
        <is>
          <t>Ticket medio sin IVA</t>
        </is>
      </c>
      <c r="B6" s="50" t="n">
        <v>10</v>
      </c>
      <c r="C6" s="41">
        <f>IFERROR(IF('PyG 3 Años'!$B$7="","",'PyG 3 Años'!$B$7),"")</f>
        <v>12.0</v>
      </c>
      <c r="D6" s="50" t="n">
        <v>14</v>
      </c>
      <c r="E6" s="28" t="n"/>
      <c r="F6" s="28" t="n"/>
    </row>
    <row r="7">
      <c r="A7" s="28" t="inlineStr">
        <is>
          <t>Días de apertura al año</t>
        </is>
      </c>
      <c r="B7" s="49" t="n">
        <v>250</v>
      </c>
      <c r="C7" s="40">
        <f>IFERROR(IF('PyG 3 Años'!$B$8="","",'PyG 3 Años'!$B$8),"")</f>
        <v>250.0</v>
      </c>
      <c r="D7" s="49" t="n">
        <v>250</v>
      </c>
      <c r="E7" s="28" t="n"/>
      <c r="F7" s="28" t="n"/>
    </row>
    <row r="8">
      <c r="A8" s="25" t="inlineStr">
        <is>
          <t>INGRESOS ANUALES (sin IVA)</t>
        </is>
      </c>
      <c r="B8" s="26">
        <f>IFERROR(IF(B5*B6*B7=0,"",B5*B6*B7),"")</f>
        <v>75000.0</v>
      </c>
      <c r="C8" s="26">
        <f>IFERROR(IF(C5*C6*C7=0,"",C5*C6*C7),"")</f>
        <v>135000.0</v>
      </c>
      <c r="D8" s="26">
        <f>IFERROR(IF(D5*D6*D7=0,"",D5*D6*D7),"")</f>
        <v>227500.0</v>
      </c>
      <c r="E8" s="28" t="n"/>
      <c r="F8" s="28" t="n"/>
    </row>
    <row r="9">
      <c r="A9" s="28" t="inlineStr">
        <is>
          <t>Coste de mercancía — comida</t>
        </is>
      </c>
      <c r="B9" s="32">
        <f>IFERROR(IF(B8="","",B8*'0. Supuestos'!$B$11*'0. Supuestos'!$B$13),"")</f>
        <v>17889.9</v>
      </c>
      <c r="C9" s="32">
        <f>IFERROR(IF(C8="","",C8*'0. Supuestos'!$B$11*'0. Supuestos'!$B$13),"")</f>
        <v>32201.820000000003</v>
      </c>
      <c r="D9" s="32">
        <f>IFERROR(IF(D8="","",D8*'0. Supuestos'!$B$11*'0. Supuestos'!$B$13),"")</f>
        <v>54266.030000000006</v>
      </c>
      <c r="E9" s="28" t="n"/>
      <c r="F9" s="28" t="n"/>
    </row>
    <row r="10">
      <c r="A10" s="28" t="inlineStr">
        <is>
          <t>Coste de mercancía — bebida</t>
        </is>
      </c>
      <c r="B10" s="32">
        <f>IFERROR(IF(B8="","",B8*'0. Supuestos'!$B$12*'0. Supuestos'!$B$14),"")</f>
        <v>2443.65</v>
      </c>
      <c r="C10" s="32">
        <f>IFERROR(IF(C8="","",C8*'0. Supuestos'!$B$12*'0. Supuestos'!$B$14),"")</f>
        <v>4398.57</v>
      </c>
      <c r="D10" s="32">
        <f>IFERROR(IF(D8="","",D8*'0. Supuestos'!$B$12*'0. Supuestos'!$B$14),"")</f>
        <v>7412.405</v>
      </c>
      <c r="E10" s="28" t="n"/>
      <c r="F10" s="28" t="n"/>
    </row>
    <row r="11">
      <c r="A11" s="28" t="inlineStr">
        <is>
          <t>Consumibles y envases</t>
        </is>
      </c>
      <c r="B11" s="32">
        <f>IFERROR(IF(B8="","",B8*'0. Supuestos'!$B$15),"")</f>
        <v>2250.0</v>
      </c>
      <c r="C11" s="32">
        <f>IFERROR(IF(C8="","",C8*'0. Supuestos'!$B$15),"")</f>
        <v>4050.0</v>
      </c>
      <c r="D11" s="32">
        <f>IFERROR(IF(D8="","",D8*'0. Supuestos'!$B$15),"")</f>
        <v>6825.0</v>
      </c>
      <c r="E11" s="28" t="n"/>
      <c r="F11" s="28" t="n"/>
    </row>
    <row r="12">
      <c r="A12" s="28" t="inlineStr">
        <is>
          <t>Comisiones de delivery</t>
        </is>
      </c>
      <c r="B12" s="32">
        <f>IFERROR(IF(B8="","",B8*'0. Supuestos'!$B$16*'0. Supuestos'!$B$17),"")</f>
        <v>0.0</v>
      </c>
      <c r="C12" s="32">
        <f>IFERROR(IF(C8="","",C8*'0. Supuestos'!$B$16*'0. Supuestos'!$B$17),"")</f>
        <v>0.0</v>
      </c>
      <c r="D12" s="32">
        <f>IFERROR(IF(D8="","",D8*'0. Supuestos'!$B$16*'0. Supuestos'!$B$17),"")</f>
        <v>0.0</v>
      </c>
      <c r="E12" s="28" t="n"/>
      <c r="F12" s="28" t="n"/>
    </row>
    <row r="13">
      <c r="A13" s="28" t="inlineStr">
        <is>
          <t>Comisiones de los medios de pago</t>
        </is>
      </c>
      <c r="B13" s="32">
        <f>IFERROR(IF(B8="","",B8*'0. Supuestos'!$B$18),"")</f>
        <v>600.0</v>
      </c>
      <c r="C13" s="32">
        <f>IFERROR(IF(C8="","",C8*'0. Supuestos'!$B$18),"")</f>
        <v>1080.0</v>
      </c>
      <c r="D13" s="32">
        <f>IFERROR(IF(D8="","",D8*'0. Supuestos'!$B$18),"")</f>
        <v>1820.0</v>
      </c>
      <c r="E13" s="28" t="n"/>
      <c r="F13" s="28" t="n"/>
    </row>
    <row r="14">
      <c r="A14" s="28" t="inlineStr">
        <is>
          <t>Varios e imprevistos</t>
        </is>
      </c>
      <c r="B14" s="32">
        <f>IFERROR(IF(B8="","",B8*'0. Supuestos'!$B$28),"")</f>
        <v>3750.0</v>
      </c>
      <c r="C14" s="32">
        <f>IFERROR(IF(C8="","",C8*'0. Supuestos'!$B$28),"")</f>
        <v>6750.0</v>
      </c>
      <c r="D14" s="32">
        <f>IFERROR(IF(D8="","",D8*'0. Supuestos'!$B$28),"")</f>
        <v>11375.0</v>
      </c>
      <c r="E14" s="28" t="n"/>
      <c r="F14" s="28" t="n"/>
    </row>
    <row r="15">
      <c r="A15" s="28" t="inlineStr">
        <is>
          <t>TOTAL COSTES VARIABLES</t>
        </is>
      </c>
      <c r="B15" s="32">
        <f>IFERROR(IF(B8="","",SUM(B9:B14)),"")</f>
        <v>26933.550000000003</v>
      </c>
      <c r="C15" s="32">
        <f>IFERROR(IF(C8="","",SUM(C9:C14)),"")</f>
        <v>48480.39</v>
      </c>
      <c r="D15" s="32">
        <f>IFERROR(IF(D8="","",SUM(D9:D14)),"")</f>
        <v>81698.435</v>
      </c>
      <c r="E15" s="28" t="n"/>
      <c r="F15" s="28" t="n"/>
    </row>
    <row r="16">
      <c r="A16" s="35" t="inlineStr">
        <is>
          <t>MARGEN BRUTO</t>
        </is>
      </c>
      <c r="B16" s="36">
        <f>IFERROR(IF(B8="","",B8-B15),"")</f>
        <v>48066.45</v>
      </c>
      <c r="C16" s="36">
        <f>IFERROR(IF(C8="","",C8-C15),"")</f>
        <v>86519.61</v>
      </c>
      <c r="D16" s="36">
        <f>IFERROR(IF(D8="","",D8-D15),"")</f>
        <v>145801.565</v>
      </c>
    </row>
    <row r="17">
      <c r="A17" s="35" t="inlineStr">
        <is>
          <t>COSTES FIJOS (los del P&amp;L)</t>
        </is>
      </c>
      <c r="B17" s="36">
        <f>IFERROR(IF(B8="","",'PyG 3 Años'!$B$38),"")</f>
        <v>78859.2</v>
      </c>
      <c r="C17" s="36">
        <f>IFERROR(IF(C8="","",'PyG 3 Años'!$B$38),"")</f>
        <v>78859.2</v>
      </c>
      <c r="D17" s="36">
        <f>IFERROR(IF(D8="","",'PyG 3 Años'!$B$38),"")</f>
        <v>78859.2</v>
      </c>
      <c r="E17" s="35" t="inlineStr">
        <is>
          <t>Los costes fijos no cambian con el escenario: por eso son fijos</t>
        </is>
      </c>
    </row>
    <row r="18">
      <c r="A18" s="16" t="inlineStr">
        <is>
          <t>RESULTADO ANTES DE IMPUESTOS</t>
        </is>
      </c>
      <c r="B18" s="33">
        <f>IFERROR(IF(B8="","",B16-B17),"")</f>
        <v>-30792.75</v>
      </c>
      <c r="C18" s="33">
        <f>IFERROR(IF(C8="","",C16-C17),"")</f>
        <v>7660.4100000000035</v>
      </c>
      <c r="D18" s="33">
        <f>IFERROR(IF(D8="","",D16-D17),"")</f>
        <v>66942.365</v>
      </c>
    </row>
    <row r="19">
      <c r="A19" s="35" t="inlineStr">
        <is>
          <t>Impuesto de Sociedades</t>
        </is>
      </c>
      <c r="B19" s="36">
        <f>IFERROR(IF(B8="","",MAX(0,B18-'0. Supuestos'!$B$42)*'0. Supuestos'!$B$37),"")</f>
        <v>0.0</v>
      </c>
      <c r="C19" s="36">
        <f>IFERROR(IF(C8="","",MAX(0,C18-'0. Supuestos'!$B$42)*'0. Supuestos'!$B$37),"")</f>
        <v>1149.0615000000005</v>
      </c>
      <c r="D19" s="36">
        <f>IFERROR(IF(D8="","",MAX(0,D18-'0. Supuestos'!$B$42)*'0. Supuestos'!$B$37),"")</f>
        <v>10041.35475</v>
      </c>
      <c r="E19" s="35" t="inlineStr">
        <is>
          <t>Al tipo de entidad de nueva creación, compensando las bases negativas anteriores</t>
        </is>
      </c>
    </row>
    <row r="20">
      <c r="A20" s="16" t="inlineStr">
        <is>
          <t>RESULTADO NETO</t>
        </is>
      </c>
      <c r="B20" s="33">
        <f>IFERROR(IF(B8="","",B18-B19),"")</f>
        <v>-30792.75</v>
      </c>
      <c r="C20" s="33">
        <f>IFERROR(IF(C8="","",C18-C19),"")</f>
        <v>6511.348500000003</v>
      </c>
      <c r="D20" s="33">
        <f>IFERROR(IF(D8="","",D18-D19),"")</f>
        <v>56901.01025000001</v>
      </c>
    </row>
    <row r="21">
      <c r="A21" s="35" t="inlineStr">
        <is>
          <t>Clientes/día para el equilibrio</t>
        </is>
      </c>
      <c r="B21" s="48">
        <f>IFERROR(IF(B8="","",IF(B6-B15/(B5*B7)&lt;=0,"",B17/(B6-B15/(B5*B7))/B7)),"")</f>
        <v>49.21886263703685</v>
      </c>
      <c r="C21" s="48">
        <f>IFERROR(IF(C8="","",IF(C6-C15/(C5*C7)&lt;=0,"",C17/(C6-C15/(C5*C7))/C7)),"")</f>
        <v>41.015718864197375</v>
      </c>
      <c r="D21" s="48">
        <f>IFERROR(IF(D8="","",IF(D6-D15/(D5*D7)&lt;=0,"",D17/(D6-D15/(D5*D7))/D7)),"")</f>
        <v>35.15633045502632</v>
      </c>
    </row>
    <row r="22">
      <c r="A22" s="16" t="inlineStr">
        <is>
          <t>LO QUE CADA ESCENARIO EXIGE</t>
        </is>
      </c>
    </row>
    <row r="23">
      <c r="A23" s="35" t="inlineStr">
        <is>
          <t>Coste de personal / Ventas</t>
        </is>
      </c>
      <c r="B23" s="22">
        <f>IFERROR(IF(B8="","",'PyG 3 Años'!$B$23/B8),"")</f>
        <v>0.5610826666666666</v>
      </c>
      <c r="C23" s="22">
        <f>IFERROR(IF(C8="","",'PyG 3 Años'!$B$23/C8),"")</f>
        <v>0.3117125925925926</v>
      </c>
      <c r="D23" s="22">
        <f>IFERROR(IF(D8="","",'PyG 3 Años'!$B$23/D8),"")</f>
        <v>0.18497230769230769</v>
      </c>
      <c r="E23" s="35" t="inlineStr">
        <is>
          <t>La MISMA plantilla en los tres escenarios. Si en el pesimista se dispara, el ajuste hay que hacerlo en la hoja de Personal, no aquí</t>
        </is>
      </c>
    </row>
    <row r="24">
      <c r="A24" s="35" t="inlineStr">
        <is>
          <t>Clientes al año por jornada equivalente</t>
        </is>
      </c>
      <c r="B24" s="42">
        <f>IFERROR(IF(B8="","",B5*B7/'Personal'!$C$9),"")</f>
        <v>4658.385093167702</v>
      </c>
      <c r="C24" s="42">
        <f>IFERROR(IF(C8="","",C5*C7/'Personal'!$C$9),"")</f>
        <v>6987.577639751552</v>
      </c>
      <c r="D24" s="42">
        <f>IFERROR(IF(D8="","",D5*D7/'Personal'!$C$9),"")</f>
        <v>10093.167701863353</v>
      </c>
      <c r="E24" s="35" t="inlineStr">
        <is>
          <t>Clientes que tendría que sacar cada jornada completa del cuadro de Personal. En el optimista dice si hace falta contratar</t>
        </is>
      </c>
    </row>
    <row r="25">
      <c r="A25" s="16" t="inlineStr">
        <is>
          <t>Saldo de caja al cierre del año 1 (estimado, el mismo método en los tres escenarios)</t>
        </is>
      </c>
      <c r="B25" s="33">
        <f>IFERROR(IF(B8="","",'Inversión Inicial'!$B$25+B20+'PyG 3 Años'!$B$36-'Financiación'!$B$45),"")</f>
        <v>-6091.950000000001</v>
      </c>
      <c r="C25" s="33">
        <f>IFERROR(IF(C8="","",'Inversión Inicial'!$B$25+C20+'PyG 3 Años'!$B$36-'Financiación'!$B$45),"")</f>
        <v>31212.148500000003</v>
      </c>
      <c r="D25" s="33">
        <f>IFERROR(IF(D8="","",'Inversión Inicial'!$B$25+D20+'PyG 3 Años'!$B$36-'Financiación'!$B$45),"")</f>
        <v>81601.81025000001</v>
      </c>
      <c r="E25" s="1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row>
    <row r="26">
      <c r="A26" s="35" t="inlineStr">
        <is>
          <t>Saldo real del mes 12 de la hoja de Tesorería (sólo realista)</t>
        </is>
      </c>
      <c r="C26" s="36">
        <f>IFERROR(IF(C8="","",'Tesorería 12 meses'!$M$22),"")</f>
        <v>40484.12918506034</v>
      </c>
      <c r="E26" s="35" t="inlineStr">
        <is>
          <t>El saldo REAL del caso base, con su desfase de cobros y pagos y su liquidación de IVA. Sólo existe para el escenario realista, que es el único con tesorería mensual propia: por eso no está en la fila de arriba, donde se compararía contra dos estimaciones</t>
        </is>
      </c>
    </row>
    <row r="27"/>
    <row r="28" ht="150" customHeight="1">
      <c r="A28" s="17" t="inlineStr">
        <is>
          <t>La columna «Realista» lee sus tres datos de la hoja de Supuestos, así que reproduce EXACTAMENTE el año 1 del P&amp;L. Los otros dos escenarios usan las mismas tasas de coste: lo único que cambia son los clientes, el ticket y los días. Los COSTES FIJOS sí son los mismos en los tres: los varios e imprevistos, que son un porcentaje de las ventas, van arriba con los variables y cada escenario carga los suyos.</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chef, gestión y conducción</t>
        </is>
      </c>
      <c r="B5" s="49" t="n">
        <v>1</v>
      </c>
      <c r="C5" s="51" t="n">
        <v>1</v>
      </c>
      <c r="D5" s="50" t="n">
        <v>1500</v>
      </c>
      <c r="E5" s="41">
        <f>IFERROR(IF(D5="","",D5*'0. Supuestos'!$B$20),"")</f>
        <v>495.0</v>
      </c>
      <c r="F5" s="41">
        <f>IFERROR(IF(D5="","",D5+E5),"")</f>
        <v>1995.0</v>
      </c>
      <c r="G5" s="41">
        <f>IFERROR(IF(D5="","",F5*MAX(12,'0. Supuestos'!$B$21)),"")</f>
        <v>27930.0</v>
      </c>
      <c r="H5" s="44">
        <f>IFERROR(IF(D5="","",C5*$B$16),"")</f>
        <v>40.0</v>
      </c>
      <c r="I5" s="40">
        <f>IFERROR(IF(D5="","",H5*B5*$B$17),"")</f>
        <v>1840.0</v>
      </c>
      <c r="J5" s="28" t="inlineStr">
        <is>
          <t>Elabora el producto, conduce el vehículo entre ubicaciones y lleva la gestión, compras y RRSS. Cubre el turno fuerte de los 250 días de servicio al año</t>
        </is>
      </c>
    </row>
    <row r="6">
      <c r="A6" s="28" t="inlineStr">
        <is>
          <t>Ayudante de cocina y servicio</t>
        </is>
      </c>
      <c r="B6" s="49" t="n">
        <v>1</v>
      </c>
      <c r="C6" s="51" t="n">
        <v>0.45</v>
      </c>
      <c r="D6" s="50" t="n">
        <v>560</v>
      </c>
      <c r="E6" s="41">
        <f>IFERROR(IF(D6="","",D6*'0. Supuestos'!$B$20),"")</f>
        <v>184.8</v>
      </c>
      <c r="F6" s="41">
        <f>IFERROR(IF(D6="","",D6+E6),"")</f>
        <v>744.8</v>
      </c>
      <c r="G6" s="41">
        <f>IFERROR(IF(D6="","",F6*MAX(12,'0. Supuestos'!$B$21)),"")</f>
        <v>10427.199999999999</v>
      </c>
      <c r="H6" s="44">
        <f>IFERROR(IF(D6="","",C6*$B$16),"")</f>
        <v>18.0</v>
      </c>
      <c r="I6" s="40">
        <f>IFERROR(IF(D6="","",H6*B6*$B$17),"")</f>
        <v>828.0</v>
      </c>
      <c r="J6" s="28" t="inlineStr">
        <is>
          <t>Prep, montaje, atención al cliente y desmontaje. A tiempo parcial: un food truck de dos servicios diarios como máximo no necesita una segunda persona a jornada completa. Por encima del SMI en proporción a su jornada</t>
        </is>
      </c>
    </row>
    <row r="7">
      <c r="A7" s="28" t="inlineStr">
        <is>
          <t>Refuerzo de festivales y eventos grandes</t>
        </is>
      </c>
      <c r="B7" s="49" t="n">
        <v>1</v>
      </c>
      <c r="C7" s="51" t="n">
        <v>0.1</v>
      </c>
      <c r="D7" s="50" t="n">
        <v>125</v>
      </c>
      <c r="E7" s="41">
        <f>IFERROR(IF(D7="","",D7*'0. Supuestos'!$B$20),"")</f>
        <v>41.25</v>
      </c>
      <c r="F7" s="41">
        <f>IFERROR(IF(D7="","",D7+E7),"")</f>
        <v>166.25</v>
      </c>
      <c r="G7" s="41">
        <f>IFERROR(IF(D7="","",F7*MAX(12,'0. Supuestos'!$B$21)),"")</f>
        <v>2327.5</v>
      </c>
      <c r="H7" s="44">
        <f>IFERROR(IF(D7="","",C7*$B$16),"")</f>
        <v>4.0</v>
      </c>
      <c r="I7" s="40">
        <f>IFERROR(IF(D7="","",H7*B7*$B$17),"")</f>
        <v>184.0</v>
      </c>
      <c r="J7" s="28" t="inlineStr">
        <is>
          <t>Sólo para los picos de afluencia que el propio fichero describe («Festivales = facturación x3-5 en un día»): unas pocas jornadas al mes, no un puesto estable. Por encima del SMI en proporción a su jornada</t>
        </is>
      </c>
    </row>
    <row r="8">
      <c r="A8" s="28" t="inlineStr">
        <is>
          <t>Suplencias de vacaciones y descansos</t>
        </is>
      </c>
      <c r="B8" s="49" t="n">
        <v>1</v>
      </c>
      <c r="C8" s="51" t="n">
        <v>0.06</v>
      </c>
      <c r="D8" s="50" t="n">
        <v>75</v>
      </c>
      <c r="E8" s="41">
        <f>IFERROR(IF(D8="","",D8*'0. Supuestos'!$B$20),"")</f>
        <v>24.75</v>
      </c>
      <c r="F8" s="41">
        <f>IFERROR(IF(D8="","",D8+E8),"")</f>
        <v>99.75</v>
      </c>
      <c r="G8" s="41">
        <f>IFERROR(IF(D8="","",F8*MAX(12,'0. Supuestos'!$B$21)),"")</f>
        <v>1396.5</v>
      </c>
      <c r="H8" s="44">
        <f>IFERROR(IF(D8="","",C8*$B$16),"")</f>
        <v>2.4</v>
      </c>
      <c r="I8" s="40">
        <f>IFERROR(IF(D8="","",H8*B8*$B$17),"")</f>
        <v>110.39999999999999</v>
      </c>
      <c r="J8" s="28" t="inlineStr">
        <is>
          <t>Cobertura de los 30 días de vacaciones (art. 38 ET) del propietario y del ayudante, y del descanso semanal. Por encima del SMI en proporción a su jornada</t>
        </is>
      </c>
    </row>
    <row r="9">
      <c r="A9" s="16" t="inlineStr">
        <is>
          <t>TOTAL PLANTILLA</t>
        </is>
      </c>
      <c r="B9" s="52">
        <f>IFERROR(IF(COUNT(D5:D8)=0,"",SUM(B5:B8)),"")</f>
        <v>4.0</v>
      </c>
      <c r="C9" s="53">
        <f>IFERROR(IF(COUNT(D5:D8)=0,"",SUM(C5:C8)),"")</f>
        <v>1.61</v>
      </c>
      <c r="D9" s="54">
        <f>IFERROR(IF(COUNT(D5:D8)=0,"",SUM(D5:D8)),"")</f>
        <v>2260.0</v>
      </c>
      <c r="E9" s="54">
        <f>IFERROR(IF(COUNT(D5:D8)=0,"",SUM(E5:E8)),"")</f>
        <v>745.8</v>
      </c>
      <c r="F9" s="54">
        <f>IFERROR(IF(COUNT(D5:D8)=0,"",SUM(F5:F8)),"")</f>
        <v>3005.8</v>
      </c>
      <c r="G9" s="54">
        <f>IFERROR(IF(COUNT(D5:D8)=0,"",SUM(G5:G8)),"")</f>
        <v>42081.2</v>
      </c>
      <c r="I9" s="52">
        <f>IFERROR(IF(COUNT(D5:D8)=0,"",SUM(I5:I8)),"")</f>
        <v>2962.4</v>
      </c>
    </row>
    <row r="10">
      <c r="A10" s="16" t="inlineStr">
        <is>
          <t>CRECIMIENTO DE LA PLANTILLA (coste escalonado)</t>
        </is>
      </c>
    </row>
    <row r="11">
      <c r="A11" s="35" t="inlineStr">
        <is>
          <t>Coste anual de las incorporaciones del año 2 (€)</t>
        </is>
      </c>
      <c r="B11" s="55" t="n">
        <v>6000</v>
      </c>
      <c r="J11" s="35" t="inlineStr">
        <is>
          <t>Coste ANUAL completo (bruto + Seguridad Social × pagas) de lo que se contrate ese año. El P&amp;L lo suma al coste del año anterior: la plantilla no crece con un porcentaje, crece con personas</t>
        </is>
      </c>
    </row>
    <row r="12">
      <c r="A12" s="35" t="inlineStr">
        <is>
          <t>Coste anual de las incorporaciones del año 3 (€)</t>
        </is>
      </c>
      <c r="B12" s="55" t="n">
        <v>6000</v>
      </c>
      <c r="J12" s="35" t="inlineStr">
        <is>
          <t>Coste ANUAL completo (bruto + Seguridad Social × pagas) de lo que se contrate ese año. El P&amp;L lo suma al coste del año anterior: la plantilla no crece con un porcentaje, crece con personas</t>
        </is>
      </c>
    </row>
    <row r="13">
      <c r="A13" s="35" t="inlineStr">
        <is>
          <t>Coste de personal del año 2</t>
        </is>
      </c>
      <c r="B13" s="36">
        <f>IFERROR(IF(G9="","",G9*(1+'0. Supuestos'!$B$48)+B11),"")</f>
        <v>48081.2</v>
      </c>
    </row>
    <row r="14">
      <c r="A14" s="35" t="inlineStr">
        <is>
          <t>Coste de personal del año 3</t>
        </is>
      </c>
      <c r="B14" s="36">
        <f>IFERROR(IF(B13="","",B13*(1+'0. Supuestos'!$B$48)+B12),"")</f>
        <v>54081.2</v>
      </c>
    </row>
    <row r="15">
      <c r="A15" s="16" t="inlineStr">
        <is>
          <t>COBERTURA POR HORAS DE SERVICIO</t>
        </is>
      </c>
    </row>
    <row r="16">
      <c r="A16" s="35" t="inlineStr">
        <is>
          <t>Jornada completa del convenio (horas/semana)</t>
        </is>
      </c>
      <c r="B16" s="56" t="n">
        <v>40</v>
      </c>
      <c r="J16" s="35" t="inlineStr">
        <is>
          <t>Art. 34.1 del Estatuto de los Trabajadores; tu convenio provincial puede fijar menos</t>
        </is>
      </c>
    </row>
    <row r="17">
      <c r="A17" s="35" t="inlineStr">
        <is>
          <t>Semanas trabajadas al año por persona</t>
        </is>
      </c>
      <c r="B17" s="56" t="n">
        <v>46</v>
      </c>
      <c r="J17" s="35" t="inlineStr">
        <is>
          <t>46 semanas: 52 menos las vacaciones (30 días naturales, art. 38 ET), los festivos y las ausencias medias</t>
        </is>
      </c>
    </row>
    <row r="18">
      <c r="A18" s="35" t="inlineStr">
        <is>
          <t>Horas de servicio al día que hay que cubrir</t>
        </is>
      </c>
      <c r="B18" s="57" t="n">
        <v>12</v>
      </c>
      <c r="J18" s="35" t="inlineStr">
        <is>
          <t>Jornada efectiva completa del día de servicio: carga, desplazamiento, montaje, servicio, recogida y limpieza. El servicio al público es sólo una parte</t>
        </is>
      </c>
    </row>
    <row r="19">
      <c r="A19" s="35" t="inlineStr">
        <is>
          <t>Personas necesarias a la vez en cada franja</t>
        </is>
      </c>
      <c r="B19" s="57" t="n">
        <v>1</v>
      </c>
      <c r="J19" s="35" t="inlineStr">
        <is>
          <t>Presencia media a bordo. En los picos de un festival hará falta un segundo par de manos: súbelo aquí y la plantilla se dimensiona sola</t>
        </is>
      </c>
    </row>
    <row r="20">
      <c r="A20" s="35" t="inlineStr">
        <is>
          <t>Horas de servicio a cubrir al año</t>
        </is>
      </c>
      <c r="B20" s="42">
        <f>IFERROR(IF(OR(B18="",B19="",'0. Supuestos'!$B$6=""),"",B18*B19*'0. Supuestos'!$B$6),"")</f>
        <v>3000.0</v>
      </c>
    </row>
    <row r="21">
      <c r="A21" s="35" t="inlineStr">
        <is>
          <t>Horas contratadas al año</t>
        </is>
      </c>
      <c r="B21" s="42">
        <f>IFERROR(IF(I9="","",I9),"")</f>
        <v>2962.4</v>
      </c>
    </row>
    <row r="22">
      <c r="A22" s="16" t="inlineStr">
        <is>
          <t>Cobertura (contratadas / necesarias)</t>
        </is>
      </c>
      <c r="B22" s="34">
        <f>IFERROR(B21/B20,"")</f>
        <v>0.9874666666666667</v>
      </c>
      <c r="J22" s="16" t="inlineStr">
        <is>
          <t>Por debajo del 100 % la plantilla no llega a cubrir el horario que declara el plan: o se contrata más o se recorta el horario</t>
        </is>
      </c>
    </row>
    <row r="23"/>
    <row r="24" ht="150" customHeight="1">
      <c r="A24" s="17"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row>
    <row r="25" ht="150" customHeight="1">
      <c r="A25" s="17"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4">
    <dataValidation sqref="B5 B6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 sqref="B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Food Truck</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clientes, ticket sin IVA, días de apertura,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10" customHeight="1">
      <c r="A8" s="46" t="inlineStr">
        <is>
          <t>4. Todas las cifras van SIN IVA. Para pasar un PVP a precio sin IVA, divide por el tipo que le corresponda: entre 1,10 en sala (comida y bebida, alcohol incluido: art. 91.Uno.2.2.º de la Ley 37/1992 del IVA) y, cuando se venden para llevar, los alimentos —bollería y pastelería incluidas—, que son productos alimenticios al tipo reducido por el art. 91.Uno.1.1.º; y entre 1,21 el tipo general, que en hostelería sólo alcanza a lo que sale del local como entrega de bienes excluida del reducido: el alcohol y los refrescos o zumos con azúcares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45" customHeight="1">
      <c r="A10" s="46" t="inlineStr">
        <is>
          <t>6. La hoja «Tesorería 12 meses» responde la pregunta que decide una operación bancaria: en qué mes se agota la caja. El saldo mínimo del año nunca puede salir en rojo.</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es el de la versión 1.1: las cifras válidas son las de este Excel, que es el que se recalcula solo cuando cambias una celda verde.</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30">
        <f>IFERROR(IF('PyG 3 Años'!$B$53="","",'PyG 3 Años'!$B$53),"")</f>
        <v>0.271114</v>
      </c>
      <c r="C18" s="30">
        <f>IFERROR(IF('PyG 3 Años'!$E$53="","",'PyG 3 Años'!$E$53),"")</f>
        <v>0.33</v>
      </c>
      <c r="D18" s="28" t="str">
        <f>IFERROR(IF(OR(B18="",C18=""),"",IF(B18&lt;=C18,"CUMPLE","REVISAR")),"")</f>
        <v>CUMPLE</v>
      </c>
      <c r="E18" s="28" t="n"/>
    </row>
    <row r="19">
      <c r="A19" t="inlineStr">
        <is>
          <t>Coste de personal / Ventas</t>
        </is>
      </c>
      <c r="B19" s="22">
        <f>IFERROR(IF('PyG 3 Años'!$B$54="","",'PyG 3 Años'!$B$54),"")</f>
        <v>0.3117125925925926</v>
      </c>
      <c r="C19" s="22">
        <f>IFERROR(IF('PyG 3 Años'!$E$54="","",'PyG 3 Años'!$E$54),"")</f>
        <v>0.32</v>
      </c>
      <c r="D19" t="str">
        <f>IFERROR(IF(OR(B19="",C19=""),"",IF(B19&lt;=C19,"CUMPLE","REVISAR")),"")</f>
        <v>CUMPLE</v>
      </c>
    </row>
    <row r="20">
      <c r="A20" t="inlineStr">
        <is>
          <t>Aparcamiento / Ventas</t>
        </is>
      </c>
      <c r="B20" s="22">
        <f>IFERROR(IF('PyG 3 Años'!$B$55="","",'PyG 3 Años'!$B$55),"")</f>
        <v>0.035555555555555556</v>
      </c>
      <c r="C20" s="22">
        <f>IFERROR(IF('PyG 3 Años'!$E$55="","",'PyG 3 Años'!$E$55),"")</f>
        <v>0.05</v>
      </c>
      <c r="D20" t="str">
        <f>IFERROR(IF(OR(B20="",C20=""),"",IF(B20&lt;=C20,"CUMPLE","REVISAR")),"")</f>
        <v>CUMPLE</v>
      </c>
    </row>
    <row r="21">
      <c r="A21" t="inlineStr">
        <is>
          <t>Resultado neto / Ventas</t>
        </is>
      </c>
      <c r="B21" s="22">
        <f>IFERROR(IF('PyG 3 Años'!$B$56="","",'PyG 3 Años'!$B$56),"")</f>
        <v>0.04823221111111113</v>
      </c>
      <c r="C21" s="22">
        <f>IFERROR(IF('PyG 3 Años'!$E$56="","",'PyG 3 Años'!$E$56),"")</f>
        <v>0.04</v>
      </c>
      <c r="D21" t="str">
        <f>IFERROR(IF(OR(B21="",C21=""),"",IF(B21&gt;=C21,"CUMPLE","REVISAR")),"")</f>
        <v>CUMPLE</v>
      </c>
    </row>
    <row r="22">
      <c r="A22" t="inlineStr">
        <is>
          <t>Margen bruto / Ventas</t>
        </is>
      </c>
      <c r="B22" s="22">
        <f>IFERROR(IF('PyG 3 Años'!$B$51="","",'PyG 3 Años'!$B$51),"")</f>
        <v>0.640886</v>
      </c>
      <c r="C22" s="22">
        <f>IFERROR(IF('PyG 3 Años'!$E$51="","",'PyG 3 Años'!$E$51),"")</f>
        <v>0.62</v>
      </c>
      <c r="D22" t="str">
        <f>IFERROR(IF(OR(B22="",C22=""),"",IF(B22&gt;=C22,"CUMPLE","REVISAR")),"")</f>
        <v>CUMPLE</v>
      </c>
    </row>
    <row r="23"/>
    <row r="24">
      <c r="A24" s="16" t="inlineStr">
        <is>
          <t>CIFRAS DE ESTE PLAN</t>
        </is>
      </c>
    </row>
    <row r="25">
      <c r="A25" t="inlineStr">
        <is>
          <t>Inversión total (suma de los bloques)</t>
        </is>
      </c>
      <c r="B25" s="36">
        <f>IFERROR(IF('Inversión Inicial'!$B$26="","",'Inversión Inicial'!$B$26),"")</f>
        <v>81996.8</v>
      </c>
    </row>
    <row r="26">
      <c r="A26" t="inlineStr">
        <is>
          <t>Necesidad total de caja al arranque</t>
        </is>
      </c>
      <c r="B26" s="36">
        <f>IFERROR(IF('Inversión Inicial'!$B$29="","",'Inversión Inicial'!$B$29),"")</f>
        <v>94669.04000000001</v>
      </c>
    </row>
    <row r="27">
      <c r="A27" t="inlineStr">
        <is>
          <t>Fondo de maniobra dotado</t>
        </is>
      </c>
      <c r="B27" s="36">
        <f>IFERROR(IF('Inversión Inicial'!$B$25="","",'Inversión Inicial'!$B$25),"")</f>
        <v>18052.8</v>
      </c>
    </row>
    <row r="28">
      <c r="A28" t="inlineStr">
        <is>
          <t>Facturación prevista del año 1</t>
        </is>
      </c>
      <c r="B28" s="36">
        <f>IFERROR(IF('PyG 3 Años'!$B$9="","",'PyG 3 Años'!$B$9),"")</f>
        <v>135000.0</v>
      </c>
    </row>
    <row r="29">
      <c r="A29" t="inlineStr">
        <is>
          <t>Resultado neto del año 1</t>
        </is>
      </c>
      <c r="B29" s="36">
        <f>IFERROR(IF('PyG 3 Años'!$B$48="","",'PyG 3 Años'!$B$48),"")</f>
        <v>6511.348500000003</v>
      </c>
    </row>
    <row r="30">
      <c r="A30" t="inlineStr">
        <is>
          <t>Clientes/día para el punto de equilibrio CONTABLE (con la amortización dentro)</t>
        </is>
      </c>
      <c r="B30" s="48">
        <f>IFERROR(IF('Punto Equilibrio'!$B$15="","",'Punto Equilibrio'!$B$15),"")</f>
        <v>41.015718864197375</v>
      </c>
    </row>
    <row r="31">
      <c r="A31" t="inlineStr">
        <is>
          <t>Payback del proyecto (años), antes de la deuda</t>
        </is>
      </c>
      <c r="B31" t="str">
        <f>IFERROR(IF('Tesorería 12 meses'!$B$31="","",'Tesorería 12 meses'!$B$31),"")</f>
        <v>Más de 3 años</v>
      </c>
    </row>
    <row r="32"/>
    <row r="33">
      <c r="A33" s="16" t="inlineStr">
        <is>
          <t>QUÉ HA CAMBIADO RESPECTO DE LA VERSIÓN 1.1</t>
        </is>
      </c>
    </row>
    <row r="34">
      <c r="A34" s="16" t="inlineStr">
        <is>
          <t>Concepto</t>
        </is>
      </c>
      <c r="B34" s="16" t="inlineStr">
        <is>
          <t>v1.1</t>
        </is>
      </c>
      <c r="C34" s="16" t="inlineStr">
        <is>
          <t>v2.2</t>
        </is>
      </c>
      <c r="D34" s="16" t="inlineStr">
        <is>
          <t>Por qué</t>
        </is>
      </c>
    </row>
    <row r="35" ht="60" customHeight="1">
      <c r="A35" s="58" t="inlineStr">
        <is>
          <t>Coste de personal en la cuenta de resultados</t>
        </is>
      </c>
      <c r="B35" s="58" t="inlineStr">
        <is>
          <t>42.000 €</t>
        </is>
      </c>
      <c r="C35" s="58" t="inlineStr">
        <is>
          <t>42.081 €, leídos de la hoja Personal</t>
        </is>
      </c>
      <c r="D35" s="17" t="inlineStr">
        <is>
          <t>La cuenta de resultados usaba una cifra tecleada a mano que no era la de su propia hoja de Personal, que sumaba 76.566 €. Ahora la lee de ahí: si cambias un sueldo, el plan entero se recalcula</t>
        </is>
      </c>
    </row>
    <row r="36" ht="75" customHeight="1">
      <c r="A36" s="58" t="inlineStr">
        <is>
          <t>Plantilla</t>
        </is>
      </c>
      <c r="B36" s="58" t="inlineStr">
        <is>
          <t>3 puestos / 76.566 € al año</t>
        </is>
      </c>
      <c r="C36" s="58" t="inlineStr">
        <is>
          <t>4 puestos (1 a jornada completa y 3 parciales) / 42.081 € al año</t>
        </is>
      </c>
      <c r="D36" s="17" t="inlineStr">
        <is>
          <t>Dimensionada para los 250 días de servicio que hace este plan, con una línea nueva para cubrir vacaciones y descansos. Con la plantilla anterior el personal se comía el 56,7 % de las ventas y el negocio no era viable con sus propios números</t>
        </is>
      </c>
    </row>
    <row r="37" ht="60" customHeight="1">
      <c r="A37" s="58" t="inlineStr">
        <is>
          <t>Días de servicio al año</t>
        </is>
      </c>
      <c r="B37" s="58" t="inlineStr">
        <is>
          <t>tres calendarios distintos en el mismo paquete: 300 días en el punto de equilibrio, 240 en los escenarios y ninguno declarado en la cuenta de resultados</t>
        </is>
      </c>
      <c r="C37" s="58" t="inlineStr">
        <is>
          <t>250 días, un solo dato para todo el libro</t>
        </is>
      </c>
      <c r="D37" s="17" t="inlineStr">
        <is>
          <t>Son los días que hacen exacta la facturación que el propio plan ya publicaba: 45 clientes × 12 € × 250 días = 135.000 €. Equivalen a 5 días de servicio por semana durante 50 semanas</t>
        </is>
      </c>
    </row>
    <row r="38" ht="60" customHeight="1">
      <c r="A38" s="58" t="inlineStr">
        <is>
          <t>Ticket medio</t>
        </is>
      </c>
      <c r="B38" s="58" t="inlineStr">
        <is>
          <t>12 € sin decir si llevaba IVA</t>
        </is>
      </c>
      <c r="C38" s="58" t="inlineStr">
        <is>
          <t>12 € SIN IVA</t>
        </is>
      </c>
      <c r="D38" s="17" t="inlineStr">
        <is>
          <t>El número no cambia; lo que cambia es que ahora se declara qué es. Con el IVA de hostelería son 13,20 € de precio de venta al público, dentro del rango 10-15 € que recoge este mismo libro</t>
        </is>
      </c>
    </row>
    <row r="39" ht="60" customHeight="1">
      <c r="A39" s="58" t="inlineStr">
        <is>
          <t>Aparcamiento y base del vehículo</t>
        </is>
      </c>
      <c r="B39" s="58" t="inlineStr">
        <is>
          <t>no estaba</t>
        </is>
      </c>
      <c r="C39" s="58" t="inlineStr">
        <is>
          <t>400 €/mes (4.800 € al año), más dos meses de fianza y dos meses antes de abrir</t>
        </is>
      </c>
      <c r="D39" s="17" t="inlineStr">
        <is>
          <t>Un food truck necesita un sitio en el que pernoctar, cargar agua y vaciar residuos. El plan anterior no lo pagaba en ninguna línea, así que el negocio parecía no tener ningún coste de suelo</t>
        </is>
      </c>
    </row>
    <row r="40" ht="45" customHeight="1">
      <c r="A40" s="58" t="inlineStr">
        <is>
          <t>Fondo de maniobra</t>
        </is>
      </c>
      <c r="B40" s="58" t="inlineStr">
        <is>
          <t>6.000 €, etiquetados «3 meses»</t>
        </is>
      </c>
      <c r="C40" s="58" t="inlineStr">
        <is>
          <t>18.053 €: tres meses de costes fijos de caja, calculados por fórmula</t>
        </is>
      </c>
      <c r="D40" s="17" t="inlineStr">
        <is>
          <t>Los 6.000 € daban para 1,1 meses, no para 3. Es el colchón que evita cerrar por una racha de mal tiempo o un mes flojo de eventos</t>
        </is>
      </c>
    </row>
    <row r="41" ht="60" customHeight="1">
      <c r="A41" s="58" t="inlineStr">
        <is>
          <t>Amortización</t>
        </is>
      </c>
      <c r="B41" s="58" t="inlineStr">
        <is>
          <t>10.343 € al año, a 7 años planos sobre todo, incluido lo que no es inmovilizado</t>
        </is>
      </c>
      <c r="C41" s="58" t="inlineStr">
        <is>
          <t>dos vidas útiles: el vehículo, su adaptación y los imprevistos de la puesta en marcha a 8 años, y el equipamiento y el mobiliario a 10. La cuota del año la calcula la hoja de Inversión</t>
        </is>
      </c>
      <c r="D41" s="17" t="inlineStr">
        <is>
          <t>El vehículo se amortiza más rápido que el equipamiento porque son cosas distintas para Hacienda. Y el fondo de maniobra, el stock y el marketing no se amortizan: no son inmovilizado</t>
        </is>
      </c>
    </row>
    <row r="42" ht="30" customHeight="1">
      <c r="A42" s="58" t="inlineStr">
        <is>
          <t>Seguro del vehículo y RC</t>
        </is>
      </c>
      <c r="B42" s="58" t="inlineStr">
        <is>
          <t>2.500 € en la inversión Y 2.500 € al año en los gastos: la misma prima contada dos veces</t>
        </is>
      </c>
      <c r="C42" s="58" t="inlineStr">
        <is>
          <t>2.500 € al año, una sola vez</t>
        </is>
      </c>
      <c r="D42" s="17" t="inlineStr">
        <is>
          <t>Contarla en los dos sitios inflaba la inversión, el IVA a adelantar y el dinero que hay que pedir al banco</t>
        </is>
      </c>
    </row>
    <row r="43" ht="30" customHeight="1">
      <c r="A43" s="58" t="inlineStr">
        <is>
          <t>Generador</t>
        </is>
      </c>
      <c r="B43" s="58" t="inlineStr">
        <is>
          <t>2.400 € al año como línea suelta, además de los suministros</t>
        </is>
      </c>
      <c r="C43" s="58" t="inlineStr">
        <is>
          <t>2.400 € al año dentro de la celda de suministros</t>
        </is>
      </c>
      <c r="D43" s="17" t="inlineStr">
        <is>
          <t>Era el mismo gasto escrito en dos sitios. Ahora se cambia en uno solo y el resto del libro se entera</t>
        </is>
      </c>
    </row>
    <row r="44" ht="30" customHeight="1">
      <c r="A44" s="58" t="inlineStr">
        <is>
          <t>Imprevistos de la puesta en marcha</t>
        </is>
      </c>
      <c r="B44" s="58" t="inlineStr">
        <is>
          <t>5.500 € escritos a mano (un 8 % del total)</t>
        </is>
      </c>
      <c r="C44" s="58" t="inlineStr">
        <is>
          <t>el mismo 8 %, pero calculado sobre la compra y la adaptación del vehículo</t>
        </is>
      </c>
      <c r="D44" s="17" t="inlineStr">
        <is>
          <t>Si cambias el precio del vehículo, los imprevistos se recalculan solos en vez de quedarse en la cifra vieja</t>
        </is>
      </c>
    </row>
    <row r="45" ht="45" customHeight="1">
      <c r="A45" s="58" t="inlineStr">
        <is>
          <t>Impuesto de Sociedades</t>
        </is>
      </c>
      <c r="B45" s="58" t="inlineStr">
        <is>
          <t>25 % los tres años, sin compensar pérdidas</t>
        </is>
      </c>
      <c r="C45" s="58" t="inlineStr">
        <is>
          <t>15 % los dos primeros ejercicios con beneficio, compensando las pérdidas anteriores</t>
        </is>
      </c>
      <c r="D45" s="17" t="inlineStr">
        <is>
          <t>Es el tipo que la ley reserva a las empresas de nueva creación, y las pérdidas de un año se restan del beneficio de los siguientes</t>
        </is>
      </c>
    </row>
    <row r="46" ht="45" customHeight="1">
      <c r="A46" s="58" t="inlineStr">
        <is>
          <t>Cuota del préstamo</t>
        </is>
      </c>
      <c r="B46" s="58" t="inlineStr">
        <is>
          <t>la cuota entera restaba en el resultado</t>
        </is>
      </c>
      <c r="C46" s="58" t="inlineStr">
        <is>
          <t>sólo los intereses en el resultado; la devolución del principal, en la tesorería</t>
        </is>
      </c>
      <c r="D46" s="17" t="inlineStr">
        <is>
          <t>Meter la cuota completa antes del resultado convierte la cuenta de resultados en un flujo de caja y el banco lo ve al instante</t>
        </is>
      </c>
    </row>
    <row r="47" ht="45" customHeight="1">
      <c r="A47" s="58" t="inlineStr">
        <is>
          <t>Plan de financiación</t>
        </is>
      </c>
      <c r="B47" s="58" t="inlineStr">
        <is>
          <t>no existía</t>
        </is>
      </c>
      <c r="C47" s="58" t="inlineStr">
        <is>
          <t>hoja nueva: de dónde sale el dinero, a qué se destina y el cuadro de amortización del préstamo año a año</t>
        </is>
      </c>
      <c r="D47" s="17" t="inlineStr">
        <is>
          <t>Es la hoja que pide el banco junto con la cuenta de resultados, y la que avisa si el dinero que se aporta no llega a lo que hace falta</t>
        </is>
      </c>
    </row>
    <row r="48" ht="30" customHeight="1">
      <c r="A48" s="58" t="inlineStr">
        <is>
          <t>Tesorería mes a mes</t>
        </is>
      </c>
      <c r="B48" s="58" t="inlineStr">
        <is>
          <t>no existía</t>
        </is>
      </c>
      <c r="C48" s="58" t="inlineStr">
        <is>
          <t>hoja nueva de 12 meses: cobros, pagos, IVA trimestral y saldo acumulado</t>
        </is>
      </c>
      <c r="D48" s="17" t="inlineStr">
        <is>
          <t>Responde a la única pregunta que decide una operación bancaria: en qué mes se queda el negocio sin caja</t>
        </is>
      </c>
    </row>
    <row r="49" ht="45" customHeight="1">
      <c r="A49" s="58" t="inlineStr">
        <is>
          <t>Combustible y varios</t>
        </is>
      </c>
      <c r="B49" s="58" t="inlineStr">
        <is>
          <t>4.800 € de combustible sueltos + 2.000 € de varios metidos entre los costes fijos</t>
        </is>
      </c>
      <c r="C49" s="58" t="inlineStr">
        <is>
          <t>un solo 5 % sobre las ventas, tratado como coste variable</t>
        </is>
      </c>
      <c r="D49" s="17" t="inlineStr">
        <is>
          <t>El combustible sube y baja con los servicios que se hacen: ponerlo entre los fijos falseaba el punto de equilibrio</t>
        </is>
      </c>
    </row>
    <row r="50" ht="30" customHeight="1">
      <c r="A50" s="58" t="inlineStr">
        <is>
          <t>Catering y eventos privados</t>
        </is>
      </c>
      <c r="B50" s="58" t="inlineStr">
        <is>
          <t>10.000 € de ingresos sin ningún coste de materia prima imputado</t>
        </is>
      </c>
      <c r="C50" s="58" t="inlineStr">
        <is>
          <t>sumados a la línea de comida, con el mismo coste de mercancía que el resto (28 %)</t>
        </is>
      </c>
      <c r="D50" s="17" t="inlineStr">
        <is>
          <t>Una línea de ingresos que no paga género da un margen que no existe</t>
        </is>
      </c>
    </row>
    <row r="51" ht="45" customHeight="1">
      <c r="A51" s="58" t="inlineStr">
        <is>
          <t>Sueldos y SMI</t>
        </is>
      </c>
      <c r="B51" s="58" t="inlineStr">
        <is>
          <t>sueldos sin comparar con ningún suelo legal</t>
        </is>
      </c>
      <c r="C51" s="58" t="inlineStr">
        <is>
          <t>ninguna fila por debajo del SMI en proporción a su jornada, y una celda para el convenio de tu provincia</t>
        </is>
      </c>
      <c r="D51" s="17" t="inlineStr">
        <is>
          <t>El convenio provincial de hostelería manda sobre el SMI: cópialo en la hoja de Supuestos y el semáforo te avisa si algún sueldo se queda corto</t>
        </is>
      </c>
    </row>
    <row r="52"/>
    <row r="53">
      <c r="A53" s="16" t="inlineStr">
        <is>
          <t>DATOS DE REFERENCIA DEL SECTOR</t>
        </is>
      </c>
    </row>
    <row r="54">
      <c r="A54" s="16" t="inlineStr">
        <is>
          <t>Referencia</t>
        </is>
      </c>
      <c r="B54" s="16" t="inlineStr">
        <is>
          <t>Valor</t>
        </is>
      </c>
      <c r="C54" s="16" t="inlineStr">
        <is>
          <t>Fuente</t>
        </is>
      </c>
      <c r="D54" s="16" t="inlineStr">
        <is>
          <t>Nota</t>
        </is>
      </c>
    </row>
    <row r="55" ht="60" customHeight="1">
      <c r="A55" t="inlineStr">
        <is>
          <t>Food cost comida</t>
        </is>
      </c>
      <c r="B55" t="inlineStr">
        <is>
          <t>28-33 %</t>
        </is>
      </c>
      <c r="C55" t="inlineStr">
        <is>
          <t>Fichero v1.1</t>
        </is>
      </c>
      <c r="D55" s="17" t="inlineStr">
        <is>
          <t>Depende del concepto: burger 30 %, tacos 25 %, poke 35 %. Este plan trabaja con el 28 %, el extremo bajo: si tu carta va al 33 %, el resultado del primer año se queda muy justo</t>
        </is>
      </c>
    </row>
    <row r="56" ht="15" customHeight="1">
      <c r="A56" t="inlineStr">
        <is>
          <t>Food cost bebidas</t>
        </is>
      </c>
      <c r="B56" t="inlineStr">
        <is>
          <t>22-28 %</t>
        </is>
      </c>
      <c r="C56" t="inlineStr">
        <is>
          <t>Fichero v1.1</t>
        </is>
      </c>
      <c r="D56" s="17" t="inlineStr">
        <is>
          <t>Refrescos y agua embotellada, margen alto</t>
        </is>
      </c>
    </row>
    <row r="57" ht="30" customHeight="1">
      <c r="A57" t="inlineStr">
        <is>
          <t>Coste packaging / ventas</t>
        </is>
      </c>
      <c r="B57" t="inlineStr">
        <is>
          <t>3-5 %</t>
        </is>
      </c>
      <c r="C57" t="inlineStr">
        <is>
          <t>Fichero v1.1</t>
        </is>
      </c>
      <c r="D57" s="17" t="inlineStr">
        <is>
          <t>Packaging eco más caro pero obligatorio en muchos municipios</t>
        </is>
      </c>
    </row>
    <row r="58" ht="15" customHeight="1">
      <c r="A58" t="inlineStr">
        <is>
          <t>Coste personal sobre ventas</t>
        </is>
      </c>
      <c r="B58" t="inlineStr">
        <is>
          <t>25-32 %</t>
        </is>
      </c>
      <c r="C58" t="inlineStr">
        <is>
          <t>Fichero v1.1</t>
        </is>
      </c>
      <c r="D58" s="17" t="inlineStr">
        <is>
          <t>Menos personal que un restaurante: 2-3 personas</t>
        </is>
      </c>
    </row>
    <row r="59" ht="45" customHeight="1">
      <c r="A59" t="inlineStr">
        <is>
          <t>Ticket medio food truck</t>
        </is>
      </c>
      <c r="B59" t="inlineStr">
        <is>
          <t>10-15 €</t>
        </is>
      </c>
      <c r="C59" t="inlineStr">
        <is>
          <t>Fichero v1.1</t>
        </is>
      </c>
      <c r="D59" s="17" t="inlineStr">
        <is>
          <t>Menú completo: plato + bebida + extra. El de este plan son 12 € SIN IVA, que con el tipo de hostelería salen 13,20 € de PVP</t>
        </is>
      </c>
    </row>
    <row r="60" ht="30" customHeight="1">
      <c r="A60" t="inlineStr">
        <is>
          <t>Clientes por servicio</t>
        </is>
      </c>
      <c r="B60" t="inlineStr">
        <is>
          <t>40-80</t>
        </is>
      </c>
      <c r="C60" t="inlineStr">
        <is>
          <t>Fichero v1.1</t>
        </is>
      </c>
      <c r="D60" s="17" t="inlineStr">
        <is>
          <t>Depende de ubicación, evento y día de la semana. Este plan proyecta 45, el extremo bajo del rango, a propósito</t>
        </is>
      </c>
    </row>
    <row r="61" ht="30" customHeight="1">
      <c r="A61" t="inlineStr">
        <is>
          <t>Margen bruto objetivo</t>
        </is>
      </c>
      <c r="B61" t="inlineStr">
        <is>
          <t>&gt; 62 %</t>
        </is>
      </c>
      <c r="C61" t="inlineStr">
        <is>
          <t>Fichero v1.1</t>
        </is>
      </c>
      <c r="D61" s="17" t="inlineStr">
        <is>
          <t>Inferior a un restaurante por el peso del packaging y el combustible</t>
        </is>
      </c>
    </row>
    <row r="62" ht="60" customHeight="1">
      <c r="A62" t="inlineStr">
        <is>
          <t>EBITDA objetivo (año 2)</t>
        </is>
      </c>
      <c r="B62" t="inlineStr">
        <is>
          <t>20-30 %</t>
        </is>
      </c>
      <c r="C62" t="inlineStr">
        <is>
          <t>Fichero v1.1</t>
        </is>
      </c>
      <c r="D62" s="17" t="inlineStr">
        <is>
          <t>Muy rentable si aciertas las ubicaciones. Con los supuestos de partida este plan se queda por debajo del rango: es lo que hay que mejorar subiendo clientes por servicio o ticket</t>
        </is>
      </c>
    </row>
    <row r="63" ht="120" customHeight="1">
      <c r="A63" t="inlineStr">
        <is>
          <t>Retorno de la inversión</t>
        </is>
      </c>
      <c r="B63" t="inlineStr">
        <is>
          <t>12-24 meses</t>
        </is>
      </c>
      <c r="C63" t="inlineStr">
        <is>
          <t>Fichero v1.1</t>
        </is>
      </c>
      <c r="D63" s="17" t="inlineStr">
        <is>
          <t>Es la referencia del sector. El de ESTE plan lo calcula la hoja de Tesorería y sale más largo: se mide sobre la inversión completa, con el fondo de maniobra dentro —el IVA no cuenta, porque se recupera con el modelo 303— y con el flujo que genera el negocio ANTES de pagar al banco. Esa misma hoja publica debajo el plazo medido sólo sobre lo que se compra, sin el fondo de maniobra, que sale más corto</t>
        </is>
      </c>
    </row>
    <row r="64" ht="15" customHeight="1">
      <c r="A64" t="inlineStr">
        <is>
          <t>Días operativos/semana</t>
        </is>
      </c>
      <c r="B64" t="inlineStr">
        <is>
          <t>4-6</t>
        </is>
      </c>
      <c r="C64" t="inlineStr">
        <is>
          <t>Fichero v1.1</t>
        </is>
      </c>
      <c r="D64" s="17" t="inlineStr">
        <is>
          <t>Mercados, eventos, zona de oficinas, festivales</t>
        </is>
      </c>
    </row>
    <row r="65" ht="15" customHeight="1">
      <c r="A65" t="inlineStr">
        <is>
          <t>Servicios por día</t>
        </is>
      </c>
      <c r="B65" t="inlineStr">
        <is>
          <t>1-2</t>
        </is>
      </c>
      <c r="C65" t="inlineStr">
        <is>
          <t>Fichero v1.1</t>
        </is>
      </c>
      <c r="D65" s="17" t="inlineStr">
        <is>
          <t>Comida (12-15 h) y/o cena (19-23 h) según ubicación</t>
        </is>
      </c>
    </row>
    <row r="66" ht="30" customHeight="1">
      <c r="A66" t="inlineStr">
        <is>
          <t>Coste de combustible/mes</t>
        </is>
      </c>
      <c r="B66" t="inlineStr">
        <is>
          <t>300-500 €</t>
        </is>
      </c>
      <c r="C66" t="inlineStr">
        <is>
          <t>Fichero v1.1</t>
        </is>
      </c>
      <c r="D66" s="17" t="inlineStr">
        <is>
          <t>Desplazamiento entre ubicaciones. En este plan va dentro del «Varios e imprevistos» de los costes variables</t>
        </is>
      </c>
    </row>
    <row r="67" ht="15" customHeight="1">
      <c r="A67" t="inlineStr">
        <is>
          <t>Permisos anuales (promedio)</t>
        </is>
      </c>
      <c r="B67" t="inlineStr">
        <is>
          <t>2.000-5.000 €</t>
        </is>
      </c>
      <c r="C67" t="inlineStr">
        <is>
          <t>Fichero v1.1</t>
        </is>
      </c>
      <c r="D67" s="17" t="inlineStr">
        <is>
          <t>Varía mucho por municipio y comunidad autónoma</t>
        </is>
      </c>
    </row>
    <row r="68" ht="30" customHeight="1">
      <c r="A68" t="inlineStr">
        <is>
          <t>Convenio colectivo aplicable</t>
        </is>
      </c>
      <c r="B68" t="inlineStr">
        <is>
          <t>PROVINCIAL de hostelería o de comercio (según clasificación de la venta ambulante)</t>
        </is>
      </c>
      <c r="C68" t="inlineStr">
        <is>
          <t>Fichero v1.1 (fase 4 del checklist)</t>
        </is>
      </c>
      <c r="D68" s="17" t="inlineStr">
        <is>
          <t>No existe una tabla salarial estatal única: copia la tabla que te corresponda en la celda de Supuestos</t>
        </is>
      </c>
    </row>
    <row r="69"/>
    <row r="70">
      <c r="A70" s="59" t="inlineStr">
        <is>
          <t>Para editar una celda que no esté en verde: Revisar → Desproteger hoja (no tiene contraseña).</t>
        </is>
      </c>
    </row>
    <row r="71">
      <c r="A71" s="59" t="inlineStr">
        <is>
          <t>Más plantillas y kits del catálogo en aichef.pro/productos-digitales</t>
        </is>
      </c>
    </row>
    <row r="72">
      <c r="A72" s="59" t="inlineStr">
        <is>
          <t>Diseñado por John Guerrero — chef y consultor gastronómico desde 2010, en cocina desde los 17 años · johnguerrero.es</t>
        </is>
      </c>
    </row>
    <row r="73">
      <c r="A73" s="59" t="inlineStr">
        <is>
          <t>Versión 2.2 · septiembre 2026 · aichef.pro/plan-negocio-food-truck · info@aichef.pro</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60" t="n">
        <v>0.06</v>
      </c>
      <c r="C5" s="60" t="n">
        <v>0.062</v>
      </c>
      <c r="D5" s="60" t="n">
        <v>0.075</v>
      </c>
      <c r="E5" s="60" t="n">
        <v>0.08</v>
      </c>
      <c r="F5" s="60" t="n">
        <v>0.08799999999999999</v>
      </c>
      <c r="G5" s="60" t="n">
        <v>0.098</v>
      </c>
      <c r="H5" s="60" t="n">
        <v>0.105</v>
      </c>
      <c r="I5" s="60" t="n">
        <v>0.1</v>
      </c>
      <c r="J5" s="60" t="n">
        <v>0.08799999999999999</v>
      </c>
      <c r="K5" s="60" t="n">
        <v>0.08</v>
      </c>
      <c r="L5" s="60" t="n">
        <v>0.074</v>
      </c>
      <c r="M5" s="60" t="n">
        <v>0.09</v>
      </c>
      <c r="N5" s="30">
        <f>IFERROR(IF('PyG 3 Años'!$B$9="","",SUM(B5:M5)),"")</f>
        <v>0.9999999999999998</v>
      </c>
      <c r="O5" s="28" t="inlineStr">
        <is>
          <t>Perfil de tu zona: agosto flojo en ciudad y fuerte en costa. Tiene que sumar 100 %</t>
        </is>
      </c>
    </row>
    <row r="6">
      <c r="A6" s="28" t="inlineStr">
        <is>
          <t>Rampa de arranque (% de la actividad de crucero)</t>
        </is>
      </c>
      <c r="B6" s="30">
        <f>IFERROR(IF('PyG 3 Años'!$B$9="","",MIN(1,'0. Supuestos'!$B$52+(1-'0. Supuestos'!$B$52)*0/MAX(1,'0. Supuestos'!$B$53-1))),"")</f>
        <v>0.55</v>
      </c>
      <c r="C6" s="30">
        <f>IFERROR(IF('PyG 3 Años'!$B$9="","",MIN(1,'0. Supuestos'!$B$52+(1-'0. Supuestos'!$B$52)*1/MAX(1,'0. Supuestos'!$B$53-1))),"")</f>
        <v>0.64</v>
      </c>
      <c r="D6" s="30">
        <f>IFERROR(IF('PyG 3 Años'!$B$9="","",MIN(1,'0. Supuestos'!$B$52+(1-'0. Supuestos'!$B$52)*2/MAX(1,'0. Supuestos'!$B$53-1))),"")</f>
        <v>0.73</v>
      </c>
      <c r="E6" s="30">
        <f>IFERROR(IF('PyG 3 Años'!$B$9="","",MIN(1,'0. Supuestos'!$B$52+(1-'0. Supuestos'!$B$52)*3/MAX(1,'0. Supuestos'!$B$53-1))),"")</f>
        <v>0.8200000000000001</v>
      </c>
      <c r="F6" s="30">
        <f>IFERROR(IF('PyG 3 Años'!$B$9="","",MIN(1,'0. Supuestos'!$B$52+(1-'0. Supuestos'!$B$52)*4/MAX(1,'0. Supuestos'!$B$53-1))),"")</f>
        <v>0.91</v>
      </c>
      <c r="G6" s="30">
        <f>IFERROR(IF('PyG 3 Años'!$B$9="","",MIN(1,'0. Supuestos'!$B$52+(1-'0. Supuestos'!$B$52)*5/MAX(1,'0. Supuestos'!$B$53-1))),"")</f>
        <v>1.0</v>
      </c>
      <c r="H6" s="30">
        <f>IFERROR(IF('PyG 3 Años'!$B$9="","",MIN(1,'0. Supuestos'!$B$52+(1-'0. Supuestos'!$B$52)*6/MAX(1,'0. Supuestos'!$B$53-1))),"")</f>
        <v>1.0</v>
      </c>
      <c r="I6" s="30">
        <f>IFERROR(IF('PyG 3 Años'!$B$9="","",MIN(1,'0. Supuestos'!$B$52+(1-'0. Supuestos'!$B$52)*7/MAX(1,'0. Supuestos'!$B$53-1))),"")</f>
        <v>1.0</v>
      </c>
      <c r="J6" s="30">
        <f>IFERROR(IF('PyG 3 Años'!$B$9="","",MIN(1,'0. Supuestos'!$B$52+(1-'0. Supuestos'!$B$52)*8/MAX(1,'0. Supuestos'!$B$53-1))),"")</f>
        <v>1.0</v>
      </c>
      <c r="K6" s="30">
        <f>IFERROR(IF('PyG 3 Años'!$B$9="","",MIN(1,'0. Supuestos'!$B$52+(1-'0. Supuestos'!$B$52)*9/MAX(1,'0. Supuestos'!$B$53-1))),"")</f>
        <v>1.0</v>
      </c>
      <c r="L6" s="30">
        <f>IFERROR(IF('PyG 3 Años'!$B$9="","",MIN(1,'0. Supuestos'!$B$52+(1-'0. Supuestos'!$B$52)*10/MAX(1,'0. Supuestos'!$B$53-1))),"")</f>
        <v>1.0</v>
      </c>
      <c r="M6" s="30">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30">
        <f>IFERROR(IF('PyG 3 Años'!$B$9="","",B5*B6/SUMPRODUCT($B$5:$M$5,$B$6:$M$6)),"")</f>
        <v>0.036339210007598204</v>
      </c>
      <c r="C7" s="30">
        <f>IFERROR(IF('PyG 3 Años'!$B$9="","",C5*C6/SUMPRODUCT($B$5:$M$5,$B$6:$M$6)),"")</f>
        <v>0.043695147063681716</v>
      </c>
      <c r="D7" s="30">
        <f>IFERROR(IF('PyG 3 Años'!$B$9="","",D5*D6/SUMPRODUCT($B$5:$M$5,$B$6:$M$6)),"")</f>
        <v>0.060290052967151564</v>
      </c>
      <c r="E7" s="30">
        <f>IFERROR(IF('PyG 3 Años'!$B$9="","",E5*E6/SUMPRODUCT($B$5:$M$5,$B$6:$M$6)),"")</f>
        <v>0.07223794474237705</v>
      </c>
      <c r="F7" s="30">
        <f>IFERROR(IF('PyG 3 Años'!$B$9="","",F5*F6/SUMPRODUCT($B$5:$M$5,$B$6:$M$6)),"")</f>
        <v>0.0881831496184383</v>
      </c>
      <c r="G7" s="30">
        <f>IFERROR(IF('PyG 3 Años'!$B$9="","",G5*G6/SUMPRODUCT($B$5:$M$5,$B$6:$M$6)),"")</f>
        <v>0.10791644184074618</v>
      </c>
      <c r="H7" s="30">
        <f>IFERROR(IF('PyG 3 Años'!$B$9="","",H5*H6/SUMPRODUCT($B$5:$M$5,$B$6:$M$6)),"")</f>
        <v>0.11562475911508519</v>
      </c>
      <c r="I7" s="30">
        <f>IFERROR(IF('PyG 3 Años'!$B$9="","",I5*I6/SUMPRODUCT($B$5:$M$5,$B$6:$M$6)),"")</f>
        <v>0.11011881820484305</v>
      </c>
      <c r="J7" s="30">
        <f>IFERROR(IF('PyG 3 Años'!$B$9="","",J5*J6/SUMPRODUCT($B$5:$M$5,$B$6:$M$6)),"")</f>
        <v>0.09690456002026188</v>
      </c>
      <c r="K7" s="30">
        <f>IFERROR(IF('PyG 3 Años'!$B$9="","",K5*K6/SUMPRODUCT($B$5:$M$5,$B$6:$M$6)),"")</f>
        <v>0.08809505456387444</v>
      </c>
      <c r="L7" s="30">
        <f>IFERROR(IF('PyG 3 Años'!$B$9="","",L5*L6/SUMPRODUCT($B$5:$M$5,$B$6:$M$6)),"")</f>
        <v>0.08148792547158384</v>
      </c>
      <c r="M7" s="30">
        <f>IFERROR(IF('PyG 3 Años'!$B$9="","",M5*M6/SUMPRODUCT($B$5:$M$5,$B$6:$M$6)),"")</f>
        <v>0.09910693638435873</v>
      </c>
      <c r="N7" s="30">
        <f>IFERROR(IF('PyG 3 Años'!$B$9="","",SUM(B7:M7)),"")</f>
        <v>1.0</v>
      </c>
      <c r="O7" s="28" t="inlineStr">
        <is>
          <t>Estacionalidad × rampa, normalizado a 100 %: el AÑO factura lo que dice el P&amp;L, pero repartido como lo reparte un local que acaba de abrir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5396.372686128333</v>
      </c>
      <c r="C9" s="32">
        <f>IFERROR(IF('PyG 3 Años'!$B$9="","",('PyG 3 Años'!$B$9+'PyG 3 Años'!$B$9*SUMPRODUCT('PyG 3 Años'!$E$10:$E$11,'PyG 3 Años'!$G$10:$G$11))*(C7*(1-MIN(30,'0. Supuestos'!$B$58)/30)+B7*MIN(30,'0. Supuestos'!$B$58)/30)),"")</f>
        <v>6488.729338956735</v>
      </c>
      <c r="D9" s="32">
        <f>IFERROR(IF('PyG 3 Años'!$B$9="","",('PyG 3 Años'!$B$9+'PyG 3 Años'!$B$9*SUMPRODUCT('PyG 3 Años'!$E$10:$E$11,'PyG 3 Años'!$G$10:$G$11))*(D7*(1-MIN(30,'0. Supuestos'!$B$58)/30)+C7*MIN(30,'0. Supuestos'!$B$58)/30)),"")</f>
        <v>8953.072865622007</v>
      </c>
      <c r="E9" s="32">
        <f>IFERROR(IF('PyG 3 Años'!$B$9="","",('PyG 3 Años'!$B$9+'PyG 3 Años'!$B$9*SUMPRODUCT('PyG 3 Años'!$E$10:$E$11,'PyG 3 Años'!$G$10:$G$11))*(E7*(1-MIN(30,'0. Supuestos'!$B$58)/30)+D7*MIN(30,'0. Supuestos'!$B$58)/30)),"")</f>
        <v>10727.334794242992</v>
      </c>
      <c r="F9" s="32">
        <f>IFERROR(IF('PyG 3 Años'!$B$9="","",('PyG 3 Años'!$B$9+'PyG 3 Años'!$B$9*SUMPRODUCT('PyG 3 Años'!$E$10:$E$11,'PyG 3 Años'!$G$10:$G$11))*(F7*(1-MIN(30,'0. Supuestos'!$B$58)/30)+E7*MIN(30,'0. Supuestos'!$B$58)/30)),"")</f>
        <v>13095.197718338088</v>
      </c>
      <c r="G9" s="32">
        <f>IFERROR(IF('PyG 3 Años'!$B$9="","",('PyG 3 Años'!$B$9+'PyG 3 Años'!$B$9*SUMPRODUCT('PyG 3 Años'!$E$10:$E$11,'PyG 3 Años'!$G$10:$G$11))*(G7*(1-MIN(30,'0. Supuestos'!$B$58)/30)+F7*MIN(30,'0. Supuestos'!$B$58)/30)),"")</f>
        <v>16025.591613350809</v>
      </c>
      <c r="H9" s="32">
        <f>IFERROR(IF('PyG 3 Años'!$B$9="","",('PyG 3 Años'!$B$9+'PyG 3 Años'!$B$9*SUMPRODUCT('PyG 3 Años'!$E$10:$E$11,'PyG 3 Años'!$G$10:$G$11))*(H7*(1-MIN(30,'0. Supuestos'!$B$58)/30)+G7*MIN(30,'0. Supuestos'!$B$58)/30)),"")</f>
        <v>17170.27672859015</v>
      </c>
      <c r="I9" s="32">
        <f>IFERROR(IF('PyG 3 Años'!$B$9="","",('PyG 3 Años'!$B$9+'PyG 3 Años'!$B$9*SUMPRODUCT('PyG 3 Años'!$E$10:$E$11,'PyG 3 Años'!$G$10:$G$11))*(I7*(1-MIN(30,'0. Supuestos'!$B$58)/30)+H7*MIN(30,'0. Supuestos'!$B$58)/30)),"")</f>
        <v>16352.644503419193</v>
      </c>
      <c r="J9" s="32">
        <f>IFERROR(IF('PyG 3 Años'!$B$9="","",('PyG 3 Años'!$B$9+'PyG 3 Años'!$B$9*SUMPRODUCT('PyG 3 Años'!$E$10:$E$11,'PyG 3 Años'!$G$10:$G$11))*(J7*(1-MIN(30,'0. Supuestos'!$B$58)/30)+I7*MIN(30,'0. Supuestos'!$B$58)/30)),"")</f>
        <v>14390.32716300889</v>
      </c>
      <c r="K9" s="32">
        <f>IFERROR(IF('PyG 3 Años'!$B$9="","",('PyG 3 Años'!$B$9+'PyG 3 Años'!$B$9*SUMPRODUCT('PyG 3 Años'!$E$10:$E$11,'PyG 3 Años'!$G$10:$G$11))*(K7*(1-MIN(30,'0. Supuestos'!$B$58)/30)+J7*MIN(30,'0. Supuestos'!$B$58)/30)),"")</f>
        <v>13082.115602735354</v>
      </c>
      <c r="L9" s="32">
        <f>IFERROR(IF('PyG 3 Años'!$B$9="","",('PyG 3 Años'!$B$9+'PyG 3 Años'!$B$9*SUMPRODUCT('PyG 3 Años'!$E$10:$E$11,'PyG 3 Años'!$G$10:$G$11))*(L7*(1-MIN(30,'0. Supuestos'!$B$58)/30)+K7*MIN(30,'0. Supuestos'!$B$58)/30)),"")</f>
        <v>12100.9569325302</v>
      </c>
      <c r="M9" s="32">
        <f>IFERROR(IF('PyG 3 Años'!$B$9="","",('PyG 3 Años'!$B$9+'PyG 3 Años'!$B$9*SUMPRODUCT('PyG 3 Años'!$E$10:$E$11,'PyG 3 Años'!$G$10:$G$11))*(M7*(1-MIN(30,'0. Supuestos'!$B$58)/30)+L7*MIN(30,'0. Supuestos'!$B$58)/30)),"")</f>
        <v>14717.380053077271</v>
      </c>
      <c r="N9" s="32">
        <f>IFERROR(IF('PyG 3 Años'!$B$9="","",SUM(B9:M9)),"")</f>
        <v>148500.00000000003</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-1978.0384506887938</v>
      </c>
      <c r="D11" s="32">
        <f>IFERROR(IF('PyG 3 Años'!$B$9="","",-('PyG 3 Años'!$B$13*(1+'PyG 3 Años'!$G$13)+'PyG 3 Años'!$B$14*(1+'PyG 3 Años'!$G$14)+'PyG 3 Años'!$B$15*(1+'PyG 3 Años'!$G$15)+'PyG 3 Años'!$B$16*(1+'PyG 3 Años'!$G$16)+'PyG 3 Años'!$B$17*(1+'PyG 3 Años'!$G$17)+'PyG 3 Años'!$B$18*(1+'PyG 3 Años'!$G$18))*(D7*(1-MIN(30,'0. Supuestos'!$B$59)/30)+C7*MIN(30,'0. Supuestos'!$B$59)/30)),"")</f>
        <v>-2378.441385555495</v>
      </c>
      <c r="E11" s="32">
        <f>IFERROR(IF('PyG 3 Años'!$B$9="","",-('PyG 3 Años'!$B$13*(1+'PyG 3 Años'!$G$13)+'PyG 3 Años'!$B$14*(1+'PyG 3 Años'!$G$14)+'PyG 3 Años'!$B$15*(1+'PyG 3 Años'!$G$15)+'PyG 3 Años'!$B$16*(1+'PyG 3 Años'!$G$16)+'PyG 3 Años'!$B$17*(1+'PyG 3 Años'!$G$17)+'PyG 3 Años'!$B$18*(1+'PyG 3 Años'!$G$18))*(E7*(1-MIN(30,'0. Supuestos'!$B$59)/30)+D7*MIN(30,'0. Supuestos'!$B$59)/30)),"")</f>
        <v>-3281.7456113700446</v>
      </c>
      <c r="F11" s="32">
        <f>IFERROR(IF('PyG 3 Años'!$B$9="","",-('PyG 3 Años'!$B$13*(1+'PyG 3 Años'!$G$13)+'PyG 3 Años'!$B$14*(1+'PyG 3 Años'!$G$14)+'PyG 3 Años'!$B$15*(1+'PyG 3 Años'!$G$15)+'PyG 3 Años'!$B$16*(1+'PyG 3 Años'!$G$16)+'PyG 3 Años'!$B$17*(1+'PyG 3 Años'!$G$17)+'PyG 3 Años'!$B$18*(1+'PyG 3 Años'!$G$18))*(F7*(1-MIN(30,'0. Supuestos'!$B$59)/30)+E7*MIN(30,'0. Supuestos'!$B$59)/30)),"")</f>
        <v>-3932.1006777328757</v>
      </c>
      <c r="G11" s="32">
        <f>IFERROR(IF('PyG 3 Años'!$B$9="","",-('PyG 3 Años'!$B$13*(1+'PyG 3 Años'!$G$13)+'PyG 3 Años'!$B$14*(1+'PyG 3 Años'!$G$14)+'PyG 3 Años'!$B$15*(1+'PyG 3 Años'!$G$15)+'PyG 3 Años'!$B$16*(1+'PyG 3 Años'!$G$16)+'PyG 3 Años'!$B$17*(1+'PyG 3 Años'!$G$17)+'PyG 3 Años'!$B$18*(1+'PyG 3 Años'!$G$18))*(G7*(1-MIN(30,'0. Supuestos'!$B$59)/30)+F7*MIN(30,'0. Supuestos'!$B$59)/30)),"")</f>
        <v>-4800.039973671473</v>
      </c>
      <c r="H11" s="32">
        <f>IFERROR(IF('PyG 3 Años'!$B$9="","",-('PyG 3 Años'!$B$13*(1+'PyG 3 Años'!$G$13)+'PyG 3 Años'!$B$14*(1+'PyG 3 Años'!$G$14)+'PyG 3 Años'!$B$15*(1+'PyG 3 Años'!$G$15)+'PyG 3 Años'!$B$16*(1+'PyG 3 Años'!$G$16)+'PyG 3 Años'!$B$17*(1+'PyG 3 Años'!$G$17)+'PyG 3 Años'!$B$18*(1+'PyG 3 Años'!$G$18))*(H7*(1-MIN(30,'0. Supuestos'!$B$59)/30)+G7*MIN(30,'0. Supuestos'!$B$59)/30)),"")</f>
        <v>-5874.1747929546</v>
      </c>
      <c r="I11" s="32">
        <f>IFERROR(IF('PyG 3 Años'!$B$9="","",-('PyG 3 Años'!$B$13*(1+'PyG 3 Años'!$G$13)+'PyG 3 Años'!$B$14*(1+'PyG 3 Años'!$G$14)+'PyG 3 Años'!$B$15*(1+'PyG 3 Años'!$G$15)+'PyG 3 Años'!$B$16*(1+'PyG 3 Años'!$G$16)+'PyG 3 Años'!$B$17*(1+'PyG 3 Años'!$G$17)+'PyG 3 Años'!$B$18*(1+'PyG 3 Años'!$G$18))*(I7*(1-MIN(30,'0. Supuestos'!$B$59)/30)+H7*MIN(30,'0. Supuestos'!$B$59)/30)),"")</f>
        <v>-6293.7587067370705</v>
      </c>
      <c r="J11" s="32">
        <f>IFERROR(IF('PyG 3 Años'!$B$9="","",-('PyG 3 Años'!$B$13*(1+'PyG 3 Años'!$G$13)+'PyG 3 Años'!$B$14*(1+'PyG 3 Años'!$G$14)+'PyG 3 Años'!$B$15*(1+'PyG 3 Años'!$G$15)+'PyG 3 Años'!$B$16*(1+'PyG 3 Años'!$G$16)+'PyG 3 Años'!$B$17*(1+'PyG 3 Años'!$G$17)+'PyG 3 Años'!$B$18*(1+'PyG 3 Años'!$G$18))*(J7*(1-MIN(30,'0. Supuestos'!$B$59)/30)+I7*MIN(30,'0. Supuestos'!$B$59)/30)),"")</f>
        <v>-5994.055911178164</v>
      </c>
      <c r="K11" s="32">
        <f>IFERROR(IF('PyG 3 Años'!$B$9="","",-('PyG 3 Años'!$B$13*(1+'PyG 3 Años'!$G$13)+'PyG 3 Años'!$B$14*(1+'PyG 3 Años'!$G$14)+'PyG 3 Años'!$B$15*(1+'PyG 3 Años'!$G$15)+'PyG 3 Años'!$B$16*(1+'PyG 3 Años'!$G$16)+'PyG 3 Años'!$B$17*(1+'PyG 3 Años'!$G$17)+'PyG 3 Años'!$B$18*(1+'PyG 3 Años'!$G$18))*(K7*(1-MIN(30,'0. Supuestos'!$B$59)/30)+J7*MIN(30,'0. Supuestos'!$B$59)/30)),"")</f>
        <v>-5274.769201836783</v>
      </c>
      <c r="L11" s="32">
        <f>IFERROR(IF('PyG 3 Años'!$B$9="","",-('PyG 3 Años'!$B$13*(1+'PyG 3 Años'!$G$13)+'PyG 3 Años'!$B$14*(1+'PyG 3 Años'!$G$14)+'PyG 3 Años'!$B$15*(1+'PyG 3 Años'!$G$15)+'PyG 3 Años'!$B$16*(1+'PyG 3 Años'!$G$16)+'PyG 3 Años'!$B$17*(1+'PyG 3 Años'!$G$17)+'PyG 3 Años'!$B$18*(1+'PyG 3 Años'!$G$18))*(L7*(1-MIN(30,'0. Supuestos'!$B$59)/30)+K7*MIN(30,'0. Supuestos'!$B$59)/30)),"")</f>
        <v>-4795.244728942531</v>
      </c>
      <c r="M11" s="32">
        <f>IFERROR(IF('PyG 3 Años'!$B$9="","",-('PyG 3 Años'!$B$13*(1+'PyG 3 Años'!$G$13)+'PyG 3 Años'!$B$14*(1+'PyG 3 Años'!$G$14)+'PyG 3 Años'!$B$15*(1+'PyG 3 Años'!$G$15)+'PyG 3 Años'!$B$16*(1+'PyG 3 Años'!$G$16)+'PyG 3 Años'!$B$17*(1+'PyG 3 Años'!$G$17)+'PyG 3 Años'!$B$18*(1+'PyG 3 Años'!$G$18))*(M7*(1-MIN(30,'0. Supuestos'!$B$59)/30)+L7*MIN(30,'0. Supuestos'!$B$59)/30)),"")</f>
        <v>-4435.6013742718405</v>
      </c>
      <c r="N11" s="32">
        <f>IFERROR(IF('PyG 3 Años'!$B$9="","",SUM(B11:M11)),"")</f>
        <v>-49037.97081493967</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-2522.4583333333335</v>
      </c>
      <c r="C12" s="32">
        <f>IFERROR(IF('PyG 3 Años'!$B$9="","",-('PyG 3 Años'!$B$38-'PyG 3 Años'!$B$23-'PyG 3 Años'!$B$36-'PyG 3 Años'!$B$37+'PyG 3 Años'!$B$40)/12),"")</f>
        <v>-2522.4583333333335</v>
      </c>
      <c r="D12" s="32">
        <f>IFERROR(IF('PyG 3 Años'!$B$9="","",-('PyG 3 Años'!$B$38-'PyG 3 Años'!$B$23-'PyG 3 Años'!$B$36-'PyG 3 Años'!$B$37+'PyG 3 Años'!$B$40)/12),"")</f>
        <v>-2522.4583333333335</v>
      </c>
      <c r="E12" s="32">
        <f>IFERROR(IF('PyG 3 Años'!$B$9="","",-('PyG 3 Años'!$B$38-'PyG 3 Años'!$B$23-'PyG 3 Años'!$B$36-'PyG 3 Años'!$B$37+'PyG 3 Años'!$B$40)/12),"")</f>
        <v>-2522.4583333333335</v>
      </c>
      <c r="F12" s="32">
        <f>IFERROR(IF('PyG 3 Años'!$B$9="","",-('PyG 3 Años'!$B$38-'PyG 3 Años'!$B$23-'PyG 3 Años'!$B$36-'PyG 3 Años'!$B$37+'PyG 3 Años'!$B$40)/12),"")</f>
        <v>-2522.4583333333335</v>
      </c>
      <c r="G12" s="32">
        <f>IFERROR(IF('PyG 3 Años'!$B$9="","",-('PyG 3 Años'!$B$38-'PyG 3 Años'!$B$23-'PyG 3 Años'!$B$36-'PyG 3 Años'!$B$37+'PyG 3 Años'!$B$40)/12),"")</f>
        <v>-2522.4583333333335</v>
      </c>
      <c r="H12" s="32">
        <f>IFERROR(IF('PyG 3 Años'!$B$9="","",-('PyG 3 Años'!$B$38-'PyG 3 Años'!$B$23-'PyG 3 Años'!$B$36-'PyG 3 Años'!$B$37+'PyG 3 Años'!$B$40)/12),"")</f>
        <v>-2522.4583333333335</v>
      </c>
      <c r="I12" s="32">
        <f>IFERROR(IF('PyG 3 Años'!$B$9="","",-('PyG 3 Años'!$B$38-'PyG 3 Años'!$B$23-'PyG 3 Años'!$B$36-'PyG 3 Años'!$B$37+'PyG 3 Años'!$B$40)/12),"")</f>
        <v>-2522.4583333333335</v>
      </c>
      <c r="J12" s="32">
        <f>IFERROR(IF('PyG 3 Años'!$B$9="","",-('PyG 3 Años'!$B$38-'PyG 3 Años'!$B$23-'PyG 3 Años'!$B$36-'PyG 3 Años'!$B$37+'PyG 3 Años'!$B$40)/12),"")</f>
        <v>-2522.4583333333335</v>
      </c>
      <c r="K12" s="32">
        <f>IFERROR(IF('PyG 3 Años'!$B$9="","",-('PyG 3 Años'!$B$38-'PyG 3 Años'!$B$23-'PyG 3 Años'!$B$36-'PyG 3 Años'!$B$37+'PyG 3 Años'!$B$40)/12),"")</f>
        <v>-2522.4583333333335</v>
      </c>
      <c r="L12" s="32">
        <f>IFERROR(IF('PyG 3 Años'!$B$9="","",-('PyG 3 Años'!$B$38-'PyG 3 Años'!$B$23-'PyG 3 Años'!$B$36-'PyG 3 Años'!$B$37+'PyG 3 Años'!$B$40)/12),"")</f>
        <v>-2522.4583333333335</v>
      </c>
      <c r="M12" s="32">
        <f>IFERROR(IF('PyG 3 Años'!$B$9="","",-('PyG 3 Años'!$B$38-'PyG 3 Años'!$B$23-'PyG 3 Años'!$B$36-'PyG 3 Años'!$B$37+'PyG 3 Años'!$B$40)/12),"")</f>
        <v>-2522.4583333333335</v>
      </c>
      <c r="N12" s="32">
        <f>IFERROR(IF('PyG 3 Años'!$B$9="","",SUM(B12:M12)),"")</f>
        <v>-30269.499999999996</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-3005.7999999999997</v>
      </c>
      <c r="C13" s="32">
        <f>IFERROR(IF('PyG 3 Años'!$B$9="","",-'PyG 3 Años'!$B$23/MAX(12,'0. Supuestos'!$B$21)*(1+IF(2='0. Supuestos'!$B$60,(MAX(12,'0. Supuestos'!$B$21)-12)/2,0)+IF(2='0. Supuestos'!$B$61,(MAX(12,'0. Supuestos'!$B$21)-12)/2,0))),"")</f>
        <v>-3005.7999999999997</v>
      </c>
      <c r="D13" s="32">
        <f>IFERROR(IF('PyG 3 Años'!$B$9="","",-'PyG 3 Años'!$B$23/MAX(12,'0. Supuestos'!$B$21)*(1+IF(3='0. Supuestos'!$B$60,(MAX(12,'0. Supuestos'!$B$21)-12)/2,0)+IF(3='0. Supuestos'!$B$61,(MAX(12,'0. Supuestos'!$B$21)-12)/2,0))),"")</f>
        <v>-3005.7999999999997</v>
      </c>
      <c r="E13" s="32">
        <f>IFERROR(IF('PyG 3 Años'!$B$9="","",-'PyG 3 Años'!$B$23/MAX(12,'0. Supuestos'!$B$21)*(1+IF(4='0. Supuestos'!$B$60,(MAX(12,'0. Supuestos'!$B$21)-12)/2,0)+IF(4='0. Supuestos'!$B$61,(MAX(12,'0. Supuestos'!$B$21)-12)/2,0))),"")</f>
        <v>-3005.7999999999997</v>
      </c>
      <c r="F13" s="32">
        <f>IFERROR(IF('PyG 3 Años'!$B$9="","",-'PyG 3 Años'!$B$23/MAX(12,'0. Supuestos'!$B$21)*(1+IF(5='0. Supuestos'!$B$60,(MAX(12,'0. Supuestos'!$B$21)-12)/2,0)+IF(5='0. Supuestos'!$B$61,(MAX(12,'0. Supuestos'!$B$21)-12)/2,0))),"")</f>
        <v>-3005.7999999999997</v>
      </c>
      <c r="G13" s="32">
        <f>IFERROR(IF('PyG 3 Años'!$B$9="","",-'PyG 3 Años'!$B$23/MAX(12,'0. Supuestos'!$B$21)*(1+IF(6='0. Supuestos'!$B$60,(MAX(12,'0. Supuestos'!$B$21)-12)/2,0)+IF(6='0. Supuestos'!$B$61,(MAX(12,'0. Supuestos'!$B$21)-12)/2,0))),"")</f>
        <v>-3005.7999999999997</v>
      </c>
      <c r="H13" s="32">
        <f>IFERROR(IF('PyG 3 Años'!$B$9="","",-'PyG 3 Años'!$B$23/MAX(12,'0. Supuestos'!$B$21)*(1+IF(7='0. Supuestos'!$B$60,(MAX(12,'0. Supuestos'!$B$21)-12)/2,0)+IF(7='0. Supuestos'!$B$61,(MAX(12,'0. Supuestos'!$B$21)-12)/2,0))),"")</f>
        <v>-6011.599999999999</v>
      </c>
      <c r="I13" s="32">
        <f>IFERROR(IF('PyG 3 Años'!$B$9="","",-'PyG 3 Años'!$B$23/MAX(12,'0. Supuestos'!$B$21)*(1+IF(8='0. Supuestos'!$B$60,(MAX(12,'0. Supuestos'!$B$21)-12)/2,0)+IF(8='0. Supuestos'!$B$61,(MAX(12,'0. Supuestos'!$B$21)-12)/2,0))),"")</f>
        <v>-3005.7999999999997</v>
      </c>
      <c r="J13" s="32">
        <f>IFERROR(IF('PyG 3 Años'!$B$9="","",-'PyG 3 Años'!$B$23/MAX(12,'0. Supuestos'!$B$21)*(1+IF(9='0. Supuestos'!$B$60,(MAX(12,'0. Supuestos'!$B$21)-12)/2,0)+IF(9='0. Supuestos'!$B$61,(MAX(12,'0. Supuestos'!$B$21)-12)/2,0))),"")</f>
        <v>-3005.7999999999997</v>
      </c>
      <c r="K13" s="32">
        <f>IFERROR(IF('PyG 3 Años'!$B$9="","",-'PyG 3 Años'!$B$23/MAX(12,'0. Supuestos'!$B$21)*(1+IF(10='0. Supuestos'!$B$60,(MAX(12,'0. Supuestos'!$B$21)-12)/2,0)+IF(10='0. Supuestos'!$B$61,(MAX(12,'0. Supuestos'!$B$21)-12)/2,0))),"")</f>
        <v>-3005.7999999999997</v>
      </c>
      <c r="L13" s="32">
        <f>IFERROR(IF('PyG 3 Años'!$B$9="","",-'PyG 3 Años'!$B$23/MAX(12,'0. Supuestos'!$B$21)*(1+IF(11='0. Supuestos'!$B$60,(MAX(12,'0. Supuestos'!$B$21)-12)/2,0)+IF(11='0. Supuestos'!$B$61,(MAX(12,'0. Supuestos'!$B$21)-12)/2,0))),"")</f>
        <v>-3005.7999999999997</v>
      </c>
      <c r="M13" s="32">
        <f>IFERROR(IF('PyG 3 Años'!$B$9="","",-'PyG 3 Años'!$B$23/MAX(12,'0. Supuestos'!$B$21)*(1+IF(12='0. Supuestos'!$B$60,(MAX(12,'0. Supuestos'!$B$21)-12)/2,0)+IF(12='0. Supuestos'!$B$61,(MAX(12,'0. Supuestos'!$B$21)-12)/2,0))),"")</f>
        <v>-6011.599999999999</v>
      </c>
      <c r="N13" s="32">
        <f>IFERROR(IF('PyG 3 Años'!$B$9="","",SUM(B13:M13)),"")</f>
        <v>-42081.2</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-390.0</v>
      </c>
      <c r="C14" s="32">
        <f>IFERROR(IF('PyG 3 Años'!$B$9="","",-'Financiación'!$B$44/12),"")</f>
        <v>-390.0</v>
      </c>
      <c r="D14" s="32">
        <f>IFERROR(IF('PyG 3 Años'!$B$9="","",-'Financiación'!$B$44/12),"")</f>
        <v>-390.0</v>
      </c>
      <c r="E14" s="32">
        <f>IFERROR(IF('PyG 3 Años'!$B$9="","",-'Financiación'!$B$44/12),"")</f>
        <v>-390.0</v>
      </c>
      <c r="F14" s="32">
        <f>IFERROR(IF('PyG 3 Años'!$B$9="","",-'Financiación'!$B$44/12),"")</f>
        <v>-390.0</v>
      </c>
      <c r="G14" s="32">
        <f>IFERROR(IF('PyG 3 Años'!$B$9="","",-'Financiación'!$B$44/12),"")</f>
        <v>-390.0</v>
      </c>
      <c r="H14" s="32">
        <f>IFERROR(IF('PyG 3 Años'!$B$9="","",-'Financiación'!$B$44/12),"")</f>
        <v>-390.0</v>
      </c>
      <c r="I14" s="32">
        <f>IFERROR(IF('PyG 3 Años'!$B$9="","",-'Financiación'!$B$44/12),"")</f>
        <v>-390.0</v>
      </c>
      <c r="J14" s="32">
        <f>IFERROR(IF('PyG 3 Años'!$B$9="","",-'Financiación'!$B$44/12),"")</f>
        <v>-390.0</v>
      </c>
      <c r="K14" s="32">
        <f>IFERROR(IF('PyG 3 Años'!$B$9="","",-'Financiación'!$B$44/12),"")</f>
        <v>-390.0</v>
      </c>
      <c r="L14" s="32">
        <f>IFERROR(IF('PyG 3 Años'!$B$9="","",-'Financiación'!$B$44/12),"")</f>
        <v>-390.0</v>
      </c>
      <c r="M14" s="32">
        <f>IFERROR(IF('PyG 3 Años'!$B$9="","",-'Financiación'!$B$44/12),"")</f>
        <v>-390.0</v>
      </c>
      <c r="N14" s="32">
        <f>IFERROR(IF('PyG 3 Años'!$B$9="","",SUM(B14:M14)),"")</f>
        <v>-4680.0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490.5793351025757</v>
      </c>
      <c r="C16" s="32">
        <f>IFERROR(IF('PyG 3 Años'!$B$9="","",'PyG 3 Años'!$B$9*C7*SUMPRODUCT('PyG 3 Años'!$E$10:$E$11,'PyG 3 Años'!$G$10:$G$11)),"")</f>
        <v>589.8844853597033</v>
      </c>
      <c r="D16" s="32">
        <f>IFERROR(IF('PyG 3 Años'!$B$9="","",'PyG 3 Años'!$B$9*D7*SUMPRODUCT('PyG 3 Años'!$E$10:$E$11,'PyG 3 Años'!$G$10:$G$11)),"")</f>
        <v>813.9157150565461</v>
      </c>
      <c r="E16" s="32">
        <f>IFERROR(IF('PyG 3 Años'!$B$9="","",'PyG 3 Años'!$B$9*E7*SUMPRODUCT('PyG 3 Años'!$E$10:$E$11,'PyG 3 Años'!$G$10:$G$11)),"")</f>
        <v>975.2122540220903</v>
      </c>
      <c r="F16" s="32">
        <f>IFERROR(IF('PyG 3 Años'!$B$9="","",'PyG 3 Años'!$B$9*F7*SUMPRODUCT('PyG 3 Años'!$E$10:$E$11,'PyG 3 Años'!$G$10:$G$11)),"")</f>
        <v>1190.472519848917</v>
      </c>
      <c r="G16" s="32">
        <f>IFERROR(IF('PyG 3 Años'!$B$9="","",'PyG 3 Años'!$B$9*G7*SUMPRODUCT('PyG 3 Años'!$E$10:$E$11,'PyG 3 Años'!$G$10:$G$11)),"")</f>
        <v>1456.8719648500737</v>
      </c>
      <c r="H16" s="32">
        <f>IFERROR(IF('PyG 3 Años'!$B$9="","",'PyG 3 Años'!$B$9*H7*SUMPRODUCT('PyG 3 Años'!$E$10:$E$11,'PyG 3 Años'!$G$10:$G$11)),"")</f>
        <v>1560.93424805365</v>
      </c>
      <c r="I16" s="32">
        <f>IFERROR(IF('PyG 3 Años'!$B$9="","",'PyG 3 Años'!$B$9*I7*SUMPRODUCT('PyG 3 Años'!$E$10:$E$11,'PyG 3 Años'!$G$10:$G$11)),"")</f>
        <v>1486.6040457653812</v>
      </c>
      <c r="J16" s="32">
        <f>IFERROR(IF('PyG 3 Años'!$B$9="","",'PyG 3 Años'!$B$9*J7*SUMPRODUCT('PyG 3 Años'!$E$10:$E$11,'PyG 3 Años'!$G$10:$G$11)),"")</f>
        <v>1308.2115602735355</v>
      </c>
      <c r="K16" s="32">
        <f>IFERROR(IF('PyG 3 Años'!$B$9="","",'PyG 3 Años'!$B$9*K7*SUMPRODUCT('PyG 3 Años'!$E$10:$E$11,'PyG 3 Años'!$G$10:$G$11)),"")</f>
        <v>1189.283236612305</v>
      </c>
      <c r="L16" s="32">
        <f>IFERROR(IF('PyG 3 Años'!$B$9="","",'PyG 3 Años'!$B$9*L7*SUMPRODUCT('PyG 3 Años'!$E$10:$E$11,'PyG 3 Años'!$G$10:$G$11)),"")</f>
        <v>1100.0869938663818</v>
      </c>
      <c r="M16" s="32">
        <f>IFERROR(IF('PyG 3 Años'!$B$9="","",'PyG 3 Años'!$B$9*M7*SUMPRODUCT('PyG 3 Años'!$E$10:$E$11,'PyG 3 Años'!$G$10:$G$11)),"")</f>
        <v>1337.943641188843</v>
      </c>
      <c r="N16" s="32">
        <f>IFERROR(IF('PyG 3 Años'!$B$9="","",SUM(B16:M16)),"")</f>
        <v>13500.000000000004</v>
      </c>
      <c r="O16" s="28" t="inlineStr">
        <is>
          <t>Cada línea de venta a SU tipo, leído de la columna de IVA del P&amp;L: en sala, alcohol incluido, el reducido (art. 91.Uno.2.2.º de la Ley 37/1992 del IVA); el alcohol que sale por delivery, al general; el pan común y las harinas panificables, al superreducido (art. 91.Dos.1.1.º)</t>
        </is>
      </c>
    </row>
    <row r="17">
      <c r="A17" s="28" t="inlineStr">
        <is>
          <t>IVA soportado del mes (memoria)</t>
        </is>
      </c>
      <c r="B17" s="32">
        <f>IFERROR(IF('PyG 3 Años'!$B$9="","",'PyG 3 Años'!$B$39*B7+'PyG 3 Años'!$B$40/12),"")</f>
        <v>617.9243772285297</v>
      </c>
      <c r="C17" s="32">
        <f>IFERROR(IF('PyG 3 Años'!$B$9="","",'PyG 3 Años'!$B$39*C7+'PyG 3 Años'!$B$40/12),"")</f>
        <v>661.7086148008502</v>
      </c>
      <c r="D17" s="32">
        <f>IFERROR(IF('PyG 3 Años'!$B$9="","",'PyG 3 Años'!$B$39*D7+'PyG 3 Años'!$B$40/12),"")</f>
        <v>760.4853304018787</v>
      </c>
      <c r="E17" s="32">
        <f>IFERROR(IF('PyG 3 Años'!$B$9="","",'PyG 3 Años'!$B$39*E7+'PyG 3 Años'!$B$40/12),"")</f>
        <v>831.6019438239863</v>
      </c>
      <c r="F17" s="32">
        <f>IFERROR(IF('PyG 3 Años'!$B$9="","",'PyG 3 Años'!$B$39*F7+'PyG 3 Años'!$B$40/12),"")</f>
        <v>926.5114887412319</v>
      </c>
      <c r="G17" s="32">
        <f>IFERROR(IF('PyG 3 Años'!$B$9="","",'PyG 3 Años'!$B$39*G7+'PyG 3 Años'!$B$40/12),"")</f>
        <v>1043.9686051029062</v>
      </c>
      <c r="H17" s="32">
        <f>IFERROR(IF('PyG 3 Años'!$B$9="","",'PyG 3 Años'!$B$39*H7+'PyG 3 Años'!$B$40/12),"")</f>
        <v>1089.8502911816852</v>
      </c>
      <c r="I17" s="32">
        <f>IFERROR(IF('PyG 3 Años'!$B$9="","",'PyG 3 Años'!$B$39*I7+'PyG 3 Años'!$B$40/12),"")</f>
        <v>1057.0776582682718</v>
      </c>
      <c r="J17" s="32">
        <f>IFERROR(IF('PyG 3 Años'!$B$9="","",'PyG 3 Años'!$B$39*J7+'PyG 3 Años'!$B$40/12),"")</f>
        <v>978.4233392760791</v>
      </c>
      <c r="K17" s="32">
        <f>IFERROR(IF('PyG 3 Años'!$B$9="","",'PyG 3 Años'!$B$39*K7+'PyG 3 Años'!$B$40/12),"")</f>
        <v>925.9871266146174</v>
      </c>
      <c r="L17" s="32">
        <f>IFERROR(IF('PyG 3 Años'!$B$9="","",'PyG 3 Años'!$B$39*L7+'PyG 3 Años'!$B$40/12),"")</f>
        <v>886.659967118521</v>
      </c>
      <c r="M17" s="32">
        <f>IFERROR(IF('PyG 3 Años'!$B$9="","",'PyG 3 Años'!$B$39*M7+'PyG 3 Años'!$B$40/12),"")</f>
        <v>991.5323924414445</v>
      </c>
      <c r="N17" s="32">
        <f>IFERROR(IF('PyG 3 Años'!$B$9="","",SUM(B17:M17)),"")</f>
        <v>10771.731135000002</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12672.24</v>
      </c>
      <c r="F18" s="28" t="n"/>
      <c r="G18" s="28" t="n"/>
      <c r="H18" s="32">
        <f>IFERROR(IF('PyG 3 Años'!$B$9="","",MAX(0,-E19)),"")</f>
        <v>12817.978786912434</v>
      </c>
      <c r="I18" s="28" t="n"/>
      <c r="J18" s="28" t="n"/>
      <c r="K18" s="32">
        <f>IFERROR(IF('PyG 3 Años'!$B$9="","",MAX(0,-H19)),"")</f>
        <v>11997.504085859477</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-12817.978786912434</v>
      </c>
      <c r="F19" s="28" t="n"/>
      <c r="G19" s="28" t="n"/>
      <c r="H19" s="32">
        <f>IFERROR(IF('PyG 3 Años'!$B$9="","",SUM(E16:G16)-SUM(E17:G17)-H18),"")</f>
        <v>-11997.504085859477</v>
      </c>
      <c r="I19" s="28" t="n"/>
      <c r="J19" s="28" t="n"/>
      <c r="K19" s="32">
        <f>IFERROR(IF('PyG 3 Años'!$B$9="","",SUM(H16:J16)-SUM(H17:J17)-K18),"")</f>
        <v>-10767.105520492945</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-521.8856472050002</v>
      </c>
      <c r="C21" s="26">
        <f>IFERROR(IF('PyG 3 Años'!$B$9="","",SUM(C9:C15)+IF(C20="",0,C20)),"")</f>
        <v>-1407.5674450653923</v>
      </c>
      <c r="D21" s="26">
        <f>IFERROR(IF('PyG 3 Años'!$B$9="","",SUM(D9:D15)+IF(D20="",0,D20)),"")</f>
        <v>656.373146733179</v>
      </c>
      <c r="E21" s="26">
        <f>IFERROR(IF('PyG 3 Años'!$B$9="","",SUM(E9:E15)+IF(E20="",0,E20)),"")</f>
        <v>1527.3308495396136</v>
      </c>
      <c r="F21" s="26">
        <f>IFERROR(IF('PyG 3 Años'!$B$9="","",SUM(F9:F15)+IF(F20="",0,F20)),"")</f>
        <v>3244.8387072718774</v>
      </c>
      <c r="G21" s="26">
        <f>IFERROR(IF('PyG 3 Años'!$B$9="","",SUM(G9:G15)+IF(G20="",0,G20)),"")</f>
        <v>5307.293306346002</v>
      </c>
      <c r="H21" s="26">
        <f>IFERROR(IF('PyG 3 Años'!$B$9="","",SUM(H9:H15)+IF(H20="",0,H20)),"")</f>
        <v>2372.0436023022166</v>
      </c>
      <c r="I21" s="26">
        <f>IFERROR(IF('PyG 3 Años'!$B$9="","",SUM(I9:I15)+IF(I20="",0,I20)),"")</f>
        <v>4140.62746334879</v>
      </c>
      <c r="J21" s="26">
        <f>IFERROR(IF('PyG 3 Años'!$B$9="","",SUM(J9:J15)+IF(J20="",0,J20)),"")</f>
        <v>2478.0129184973916</v>
      </c>
      <c r="K21" s="26">
        <f>IFERROR(IF('PyG 3 Años'!$B$9="","",SUM(K9:K15)+IF(K20="",0,K20)),"")</f>
        <v>1889.0880675652365</v>
      </c>
      <c r="L21" s="26">
        <f>IFERROR(IF('PyG 3 Años'!$B$9="","",SUM(L9:L15)+IF(L20="",0,L20)),"")</f>
        <v>1387.4538702543355</v>
      </c>
      <c r="M21" s="26">
        <f>IFERROR(IF('PyG 3 Años'!$B$9="","",SUM(M9:M15)+IF(M20="",0,M20)),"")</f>
        <v>1357.7203454720975</v>
      </c>
      <c r="N21" s="26">
        <f>IFERROR(IF('PyG 3 Años'!$B$9="","",SUM(B21:M21)),"")</f>
        <v>22431.32918506035</v>
      </c>
      <c r="O21" s="28" t="n"/>
    </row>
    <row r="22">
      <c r="A22" s="25" t="inlineStr">
        <is>
          <t>SALDO ACUMULADO DE CAJA</t>
        </is>
      </c>
      <c r="B22" s="26">
        <f>IFERROR(IF('PyG 3 Años'!$B$9="","",'Inversión Inicial'!$B$25+B21),"")</f>
        <v>17530.914352795</v>
      </c>
      <c r="C22" s="26">
        <f>IFERROR(IF('PyG 3 Años'!$B$9="","",B22+C21),"")</f>
        <v>16123.346907729607</v>
      </c>
      <c r="D22" s="26">
        <f>IFERROR(IF('PyG 3 Años'!$B$9="","",C22+D21),"")</f>
        <v>16779.720054462785</v>
      </c>
      <c r="E22" s="26">
        <f>IFERROR(IF('PyG 3 Años'!$B$9="","",D22+E21),"")</f>
        <v>18307.050904002397</v>
      </c>
      <c r="F22" s="26">
        <f>IFERROR(IF('PyG 3 Años'!$B$9="","",E22+F21),"")</f>
        <v>21551.889611274273</v>
      </c>
      <c r="G22" s="26">
        <f>IFERROR(IF('PyG 3 Años'!$B$9="","",F22+G21),"")</f>
        <v>26859.182917620274</v>
      </c>
      <c r="H22" s="26">
        <f>IFERROR(IF('PyG 3 Años'!$B$9="","",G22+H21),"")</f>
        <v>29231.22651992249</v>
      </c>
      <c r="I22" s="26">
        <f>IFERROR(IF('PyG 3 Años'!$B$9="","",H22+I21),"")</f>
        <v>33371.85398327128</v>
      </c>
      <c r="J22" s="26">
        <f>IFERROR(IF('PyG 3 Años'!$B$9="","",I22+J21),"")</f>
        <v>35849.86690176867</v>
      </c>
      <c r="K22" s="26">
        <f>IFERROR(IF('PyG 3 Años'!$B$9="","",J22+K21),"")</f>
        <v>37738.95496933391</v>
      </c>
      <c r="L22" s="26">
        <f>IFERROR(IF('PyG 3 Años'!$B$9="","",K22+L21),"")</f>
        <v>39126.40883958824</v>
      </c>
      <c r="M22" s="26">
        <f>IFERROR(IF('PyG 3 Años'!$B$9="","",L22+M21),"")</f>
        <v>40484.12918506034</v>
      </c>
      <c r="N22" s="28" t="n"/>
      <c r="O22" s="28" t="n"/>
    </row>
    <row r="23">
      <c r="A23" s="28" t="inlineStr">
        <is>
          <t>Saldo mínimo del año</t>
        </is>
      </c>
      <c r="B23" s="32">
        <f>IFERROR(IF('PyG 3 Años'!$B$9="","",IF(COUNT(B22:M22)=0,"",MIN(B22:M22))),"")</f>
        <v>16123.346907729607</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2.0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17839.348500000004</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23770.598774999977</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25063.58757851093</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27111.32918506035</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81996.8</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2.9</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25000.0</v>
      </c>
      <c r="C6" s="28" t="n"/>
      <c r="D6" s="28" t="n"/>
      <c r="E6" s="28" t="n"/>
      <c r="F6" s="28" t="n"/>
      <c r="G6" s="28" t="n"/>
      <c r="H6" s="28" t="n"/>
    </row>
    <row r="7">
      <c r="A7" s="28" t="inlineStr">
        <is>
          <t>Préstamo bancario</t>
        </is>
      </c>
      <c r="B7" s="32">
        <f>IFERROR(IF('0. Supuestos'!$B$31="","",'0. Supuestos'!$B$31),"")</f>
        <v>72000.0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97000.0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94669.04000000001</v>
      </c>
      <c r="C14" s="28" t="inlineStr">
        <is>
          <t>Inversión más el IVA que hay que adelantar</t>
        </is>
      </c>
      <c r="D14" s="28" t="n"/>
      <c r="E14" s="28" t="n"/>
      <c r="F14" s="28" t="n"/>
      <c r="G14" s="28" t="n"/>
      <c r="H14" s="28" t="n"/>
    </row>
    <row r="15">
      <c r="A15" s="25" t="inlineStr">
        <is>
          <t>Diferencia (origen - usos)</t>
        </is>
      </c>
      <c r="B15" s="26">
        <f>IFERROR(B12-B14,"")</f>
        <v>2330.959999999992</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30">
        <f>IFERROR(B15/B14,"")</f>
        <v>0.024622199612460333</v>
      </c>
      <c r="C16" s="28" t="inlineStr">
        <is>
          <t>Ámbar por encima del margen que fijes: es deuda que pagas sin necesitarla</t>
        </is>
      </c>
      <c r="D16" s="28" t="n"/>
      <c r="E16" s="28" t="n"/>
      <c r="F16" s="28" t="n"/>
      <c r="G16" s="28" t="n"/>
      <c r="H16" s="28" t="n"/>
    </row>
    <row r="17">
      <c r="A17" s="28" t="inlineStr">
        <is>
          <t>Exceso de financiación admisible (%)</t>
        </is>
      </c>
      <c r="B17" s="60"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69669.04000000001</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72000.0</v>
      </c>
      <c r="C20" s="28" t="n"/>
      <c r="D20" s="28" t="n"/>
      <c r="E20" s="28" t="n"/>
      <c r="F20" s="28" t="n"/>
      <c r="G20" s="28" t="n"/>
      <c r="H20" s="28" t="n"/>
    </row>
    <row r="21">
      <c r="A21" s="28" t="inlineStr">
        <is>
          <t>Tipo de interés nominal anual</t>
        </is>
      </c>
      <c r="B21" s="30">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47">
        <f>IFERROR(IF(B22-B23&lt;=0,"",IF(B21=0,B20/(B22-B23),B20*B21/(1-(1+B21)^-(B22-B23)))),"")</f>
        <v>17325.686707019053</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41">
        <f>IFERROR(IF(B20="","",B20),"")</f>
        <v>72000.0</v>
      </c>
      <c r="C27" s="41">
        <f>IFERROR(IF(OR(1&gt;B22,B27=""),"",B27*B21),"")</f>
        <v>4680.0</v>
      </c>
      <c r="D27" s="41">
        <f>IFERROR(IF(OR(1&gt;B22,B27=""),"",IF(1&lt;=B23,0,MIN(B27,B24-C27))),"")</f>
        <v>0.0</v>
      </c>
      <c r="E27" s="41">
        <f>IFERROR(IF(C27="","",C27+D27),"")</f>
        <v>4680.0</v>
      </c>
      <c r="F27" s="41">
        <f>IFERROR(IF(D27="","",B27-D27),"")</f>
        <v>72000.0</v>
      </c>
      <c r="G27" s="41">
        <f>IFERROR(IF(E27="","",'PyG 3 Años'!$B$41-'PyG 3 Años'!$B$46+'PyG 3 Años'!$B$36+'PyG 3 Años'!$B$37),"")</f>
        <v>17839.348500000004</v>
      </c>
      <c r="H27" s="61">
        <f>IFERROR(IF(OR(E27="",E27=0),"",G27/E27),"")</f>
        <v>3.8118266025641034</v>
      </c>
    </row>
    <row r="28">
      <c r="A28" s="40" t="n">
        <v>2</v>
      </c>
      <c r="B28" s="41">
        <f>IFERROR(IF(OR(2&gt;B22,F27=""),"",F27),"")</f>
        <v>72000.0</v>
      </c>
      <c r="C28" s="41">
        <f>IFERROR(IF(OR(2&gt;B22,B28=""),"",B28*B21),"")</f>
        <v>4680.0</v>
      </c>
      <c r="D28" s="41">
        <f>IFERROR(IF(OR(2&gt;B22,B28=""),"",IF(2&lt;=B23,0,MIN(B28,B24-C28))),"")</f>
        <v>12645.686707019053</v>
      </c>
      <c r="E28" s="41">
        <f>IFERROR(IF(C28="","",C28+D28),"")</f>
        <v>17325.686707019053</v>
      </c>
      <c r="F28" s="41">
        <f>IFERROR(IF(D28="","",B28-D28),"")</f>
        <v>59354.31329298095</v>
      </c>
      <c r="G28" s="41">
        <f>IFERROR(IF(E28="","",'PyG 3 Años'!$C$41-'PyG 3 Años'!$C$46+'PyG 3 Años'!$C$36+'PyG 3 Años'!$C$37),"")</f>
        <v>23770.598774999977</v>
      </c>
      <c r="H28" s="61">
        <f>IFERROR(IF(OR(E28="",E28=0),"",G28/E28),"")</f>
        <v>1.3719859522433784</v>
      </c>
    </row>
    <row r="29">
      <c r="A29" s="40" t="n">
        <v>3</v>
      </c>
      <c r="B29" s="41">
        <f>IFERROR(IF(OR(3&gt;B22,F28=""),"",F28),"")</f>
        <v>59354.31329298095</v>
      </c>
      <c r="C29" s="41">
        <f>IFERROR(IF(OR(3&gt;B22,B29=""),"",B29*B21),"")</f>
        <v>3858.030364043762</v>
      </c>
      <c r="D29" s="41">
        <f>IFERROR(IF(OR(3&gt;B22,B29=""),"",IF(3&lt;=B23,0,MIN(B29,B24-C29))),"")</f>
        <v>13467.656342975291</v>
      </c>
      <c r="E29" s="41">
        <f>IFERROR(IF(C29="","",C29+D29),"")</f>
        <v>17325.686707019053</v>
      </c>
      <c r="F29" s="41">
        <f>IFERROR(IF(D29="","",B29-D29),"")</f>
        <v>45886.65695000566</v>
      </c>
      <c r="G29" s="41">
        <f>IFERROR(IF(E29="","",'PyG 3 Años'!$D$41-'PyG 3 Años'!$D$46+'PyG 3 Años'!$D$36+'PyG 3 Años'!$D$37),"")</f>
        <v>25063.58757851093</v>
      </c>
      <c r="H29" s="61">
        <f>IFERROR(IF(OR(E29="",E29=0),"",G29/E29),"")</f>
        <v>1.4466143825835813</v>
      </c>
    </row>
    <row r="30">
      <c r="A30" s="40" t="n">
        <v>4</v>
      </c>
      <c r="B30" s="41">
        <f>IFERROR(IF(OR(4&gt;B22,F29=""),"",F29),"")</f>
        <v>45886.65695000566</v>
      </c>
      <c r="C30" s="41">
        <f>IFERROR(IF(OR(4&gt;B22,B30=""),"",B30*B21),"")</f>
        <v>2982.6327017503677</v>
      </c>
      <c r="D30" s="41">
        <f>IFERROR(IF(OR(4&gt;B22,B30=""),"",IF(4&lt;=B23,0,MIN(B30,B24-C30))),"")</f>
        <v>14343.054005268685</v>
      </c>
      <c r="E30" s="41">
        <f>IFERROR(IF(C30="","",C30+D30),"")</f>
        <v>17325.686707019053</v>
      </c>
      <c r="F30" s="41">
        <f>IFERROR(IF(D30="","",B30-D30),"")</f>
        <v>31543.602944736973</v>
      </c>
      <c r="G30" s="41">
        <f>IFERROR(IF(E30="","",'PyG 3 Años'!$D$41-'PyG 3 Años'!$D$46+'PyG 3 Años'!$D$36+'PyG 3 Años'!$D$37),"")</f>
        <v>25063.58757851093</v>
      </c>
      <c r="H30" s="61">
        <f>IFERROR(IF(OR(E30="",E30=0),"",G30/E30),"")</f>
        <v>1.4466143825835813</v>
      </c>
    </row>
    <row r="31">
      <c r="A31" s="40" t="n">
        <v>5</v>
      </c>
      <c r="B31" s="41">
        <f>IFERROR(IF(OR(5&gt;B22,F30=""),"",F30),"")</f>
        <v>31543.602944736973</v>
      </c>
      <c r="C31" s="41">
        <f>IFERROR(IF(OR(5&gt;B22,B31=""),"",B31*B21),"")</f>
        <v>2050.3341914079033</v>
      </c>
      <c r="D31" s="41">
        <f>IFERROR(IF(OR(5&gt;B22,B31=""),"",IF(5&lt;=B23,0,MIN(B31,B24-C31))),"")</f>
        <v>15275.35251561115</v>
      </c>
      <c r="E31" s="41">
        <f>IFERROR(IF(C31="","",C31+D31),"")</f>
        <v>17325.686707019053</v>
      </c>
      <c r="F31" s="41">
        <f>IFERROR(IF(D31="","",B31-D31),"")</f>
        <v>16268.250429125823</v>
      </c>
      <c r="G31" s="41">
        <f>IFERROR(IF(E31="","",'PyG 3 Años'!$D$41-'PyG 3 Años'!$D$46+'PyG 3 Años'!$D$36+'PyG 3 Años'!$D$37),"")</f>
        <v>25063.58757851093</v>
      </c>
      <c r="H31" s="61">
        <f>IFERROR(IF(OR(E31="",E31=0),"",G31/E31),"")</f>
        <v>1.4466143825835813</v>
      </c>
    </row>
    <row r="32">
      <c r="A32" s="40" t="n">
        <v>6</v>
      </c>
      <c r="B32" s="41">
        <f>IFERROR(IF(OR(6&gt;B22,F31=""),"",F31),"")</f>
        <v>16268.250429125823</v>
      </c>
      <c r="C32" s="41">
        <f>IFERROR(IF(OR(6&gt;B22,B32=""),"",B32*B21),"")</f>
        <v>1057.4362778931786</v>
      </c>
      <c r="D32" s="41">
        <f>IFERROR(IF(OR(6&gt;B22,B32=""),"",IF(6&lt;=B23,0,MIN(B32,B24-C32))),"")</f>
        <v>16268.250429125823</v>
      </c>
      <c r="E32" s="41">
        <f>IFERROR(IF(C32="","",C32+D32),"")</f>
        <v>17325.686707019002</v>
      </c>
      <c r="F32" s="41">
        <f>IFERROR(IF(D32="","",B32-D32),"")</f>
        <v>0.0</v>
      </c>
      <c r="G32" s="41">
        <f>IFERROR(IF(E32="","",'PyG 3 Años'!$D$41-'PyG 3 Años'!$D$46+'PyG 3 Años'!$D$36+'PyG 3 Años'!$D$37),"")</f>
        <v>25063.58757851093</v>
      </c>
      <c r="H32" s="61">
        <f>IFERROR(IF(OR(E32="",E32=0),"",G32/E32),"")</f>
        <v>1.4466143825835858</v>
      </c>
    </row>
    <row r="33">
      <c r="A33" s="40" t="n">
        <v>7</v>
      </c>
      <c r="B33" s="41">
        <f>IFERROR(IF(OR(7&gt;B22,F32=""),"",F32),"")</f>
        <v/>
      </c>
      <c r="C33" s="41">
        <f>IFERROR(IF(OR(7&gt;B22,B33=""),"",B33*B21),"")</f>
        <v/>
      </c>
      <c r="D33" s="41">
        <f>IFERROR(IF(OR(7&gt;B22,B33=""),"",IF(7&lt;=B23,0,MIN(B33,B24-C33))),"")</f>
        <v/>
      </c>
      <c r="E33" s="41">
        <f>IFERROR(IF(C33="","",C33+D33),"")</f>
        <v/>
      </c>
      <c r="F33" s="41">
        <f>IFERROR(IF(D33="","",B33-D33),"")</f>
        <v/>
      </c>
      <c r="G33" s="41">
        <f>IFERROR(IF(E33="","",'PyG 3 Años'!$D$41-'PyG 3 Años'!$D$46+'PyG 3 Años'!$D$36+'PyG 3 Años'!$D$37),"")</f>
        <v/>
      </c>
      <c r="H33" s="61">
        <f>IFERROR(IF(OR(E33="",E33=0),"",G33/E33),"")</f>
        <v/>
      </c>
    </row>
    <row r="34">
      <c r="A34" s="40" t="n">
        <v>8</v>
      </c>
      <c r="B34" s="41">
        <f>IFERROR(IF(OR(8&gt;B22,F33=""),"",F33),"")</f>
        <v/>
      </c>
      <c r="C34" s="41">
        <f>IFERROR(IF(OR(8&gt;B22,B34=""),"",B34*B21),"")</f>
        <v/>
      </c>
      <c r="D34" s="41">
        <f>IFERROR(IF(OR(8&gt;B22,B34=""),"",IF(8&lt;=B23,0,MIN(B34,B24-C34))),"")</f>
        <v/>
      </c>
      <c r="E34" s="41">
        <f>IFERROR(IF(C34="","",C34+D34),"")</f>
        <v/>
      </c>
      <c r="F34" s="41">
        <f>IFERROR(IF(D34="","",B34-D34),"")</f>
        <v/>
      </c>
      <c r="G34" s="41">
        <f>IFERROR(IF(E34="","",'PyG 3 Años'!$D$41-'PyG 3 Años'!$D$46+'PyG 3 Años'!$D$36+'PyG 3 Años'!$D$37),"")</f>
        <v/>
      </c>
      <c r="H34" s="61">
        <f>IFERROR(IF(OR(E34="",E34=0),"",G34/E34),"")</f>
        <v/>
      </c>
    </row>
    <row r="35">
      <c r="A35" s="40" t="n">
        <v>9</v>
      </c>
      <c r="B35" s="41">
        <f>IFERROR(IF(OR(9&gt;B22,F34=""),"",F34),"")</f>
        <v/>
      </c>
      <c r="C35" s="41">
        <f>IFERROR(IF(OR(9&gt;B22,B35=""),"",B35*B21),"")</f>
        <v/>
      </c>
      <c r="D35" s="41">
        <f>IFERROR(IF(OR(9&gt;B22,B35=""),"",IF(9&lt;=B23,0,MIN(B35,B24-C35))),"")</f>
        <v/>
      </c>
      <c r="E35" s="41">
        <f>IFERROR(IF(C35="","",C35+D35),"")</f>
        <v/>
      </c>
      <c r="F35" s="41">
        <f>IFERROR(IF(D35="","",B35-D35),"")</f>
        <v/>
      </c>
      <c r="G35" s="41">
        <f>IFERROR(IF(E35="","",'PyG 3 Años'!$D$41-'PyG 3 Años'!$D$46+'PyG 3 Años'!$D$36+'PyG 3 Años'!$D$37),"")</f>
        <v/>
      </c>
      <c r="H35" s="61">
        <f>IFERROR(IF(OR(E35="",E35=0),"",G35/E35),"")</f>
        <v/>
      </c>
    </row>
    <row r="36">
      <c r="A36" s="40" t="n">
        <v>10</v>
      </c>
      <c r="B36" s="41">
        <f>IFERROR(IF(OR(10&gt;B22,F35=""),"",F35),"")</f>
        <v/>
      </c>
      <c r="C36" s="41">
        <f>IFERROR(IF(OR(10&gt;B22,B36=""),"",B36*B21),"")</f>
        <v/>
      </c>
      <c r="D36" s="41">
        <f>IFERROR(IF(OR(10&gt;B22,B36=""),"",IF(10&lt;=B23,0,MIN(B36,B24-C36))),"")</f>
        <v/>
      </c>
      <c r="E36" s="41">
        <f>IFERROR(IF(C36="","",C36+D36),"")</f>
        <v/>
      </c>
      <c r="F36" s="41">
        <f>IFERROR(IF(D36="","",B36-D36),"")</f>
        <v/>
      </c>
      <c r="G36" s="41">
        <f>IFERROR(IF(E36="","",'PyG 3 Años'!$D$41-'PyG 3 Años'!$D$46+'PyG 3 Años'!$D$36+'PyG 3 Años'!$D$37),"")</f>
        <v/>
      </c>
      <c r="H36" s="61">
        <f>IFERROR(IF(OR(E36="",E36=0),"",G36/E36),"")</f>
        <v/>
      </c>
    </row>
    <row r="37">
      <c r="A37" s="40" t="n">
        <v>11</v>
      </c>
      <c r="B37" s="41">
        <f>IFERROR(IF(OR(11&gt;B22,F36=""),"",F36),"")</f>
        <v/>
      </c>
      <c r="C37" s="41">
        <f>IFERROR(IF(OR(11&gt;B22,B37=""),"",B37*B21),"")</f>
        <v/>
      </c>
      <c r="D37" s="41">
        <f>IFERROR(IF(OR(11&gt;B22,B37=""),"",IF(11&lt;=B23,0,MIN(B37,B24-C37))),"")</f>
        <v/>
      </c>
      <c r="E37" s="41">
        <f>IFERROR(IF(C37="","",C37+D37),"")</f>
        <v/>
      </c>
      <c r="F37" s="41">
        <f>IFERROR(IF(D37="","",B37-D37),"")</f>
        <v/>
      </c>
      <c r="G37" s="41">
        <f>IFERROR(IF(E37="","",'PyG 3 Años'!$D$41-'PyG 3 Años'!$D$46+'PyG 3 Años'!$D$36+'PyG 3 Años'!$D$37),"")</f>
        <v/>
      </c>
      <c r="H37" s="61">
        <f>IFERROR(IF(OR(E37="",E37=0),"",G37/E37),"")</f>
        <v/>
      </c>
    </row>
    <row r="38">
      <c r="A38" s="40" t="n">
        <v>12</v>
      </c>
      <c r="B38" s="41">
        <f>IFERROR(IF(OR(12&gt;B22,F37=""),"",F37),"")</f>
        <v/>
      </c>
      <c r="C38" s="41">
        <f>IFERROR(IF(OR(12&gt;B22,B38=""),"",B38*B21),"")</f>
        <v/>
      </c>
      <c r="D38" s="41">
        <f>IFERROR(IF(OR(12&gt;B22,B38=""),"",IF(12&lt;=B23,0,MIN(B38,B24-C38))),"")</f>
        <v/>
      </c>
      <c r="E38" s="41">
        <f>IFERROR(IF(C38="","",C38+D38),"")</f>
        <v/>
      </c>
      <c r="F38" s="41">
        <f>IFERROR(IF(D38="","",B38-D38),"")</f>
        <v/>
      </c>
      <c r="G38" s="41">
        <f>IFERROR(IF(E38="","",'PyG 3 Años'!$D$41-'PyG 3 Años'!$D$46+'PyG 3 Años'!$D$36+'PyG 3 Años'!$D$37),"")</f>
        <v/>
      </c>
      <c r="H38" s="61">
        <f>IFERROR(IF(OR(E38="",E38=0),"",G38/E38),"")</f>
        <v/>
      </c>
    </row>
    <row r="39">
      <c r="A39" s="40" t="n">
        <v>13</v>
      </c>
      <c r="B39" s="41">
        <f>IFERROR(IF(OR(13&gt;B22,F38=""),"",F38),"")</f>
        <v/>
      </c>
      <c r="C39" s="41">
        <f>IFERROR(IF(OR(13&gt;B22,B39=""),"",B39*B21),"")</f>
        <v/>
      </c>
      <c r="D39" s="41">
        <f>IFERROR(IF(OR(13&gt;B22,B39=""),"",IF(13&lt;=B23,0,MIN(B39,B24-C39))),"")</f>
        <v/>
      </c>
      <c r="E39" s="41">
        <f>IFERROR(IF(C39="","",C39+D39),"")</f>
        <v/>
      </c>
      <c r="F39" s="41">
        <f>IFERROR(IF(D39="","",B39-D39),"")</f>
        <v/>
      </c>
      <c r="G39" s="41">
        <f>IFERROR(IF(E39="","",'PyG 3 Años'!$D$41-'PyG 3 Años'!$D$46+'PyG 3 Años'!$D$36+'PyG 3 Años'!$D$37),"")</f>
        <v/>
      </c>
      <c r="H39" s="61">
        <f>IFERROR(IF(OR(E39="",E39=0),"",G39/E39),"")</f>
        <v/>
      </c>
    </row>
    <row r="40">
      <c r="A40" s="40" t="n">
        <v>14</v>
      </c>
      <c r="B40" s="41">
        <f>IFERROR(IF(OR(14&gt;B22,F39=""),"",F39),"")</f>
        <v/>
      </c>
      <c r="C40" s="41">
        <f>IFERROR(IF(OR(14&gt;B22,B40=""),"",B40*B21),"")</f>
        <v/>
      </c>
      <c r="D40" s="41">
        <f>IFERROR(IF(OR(14&gt;B22,B40=""),"",IF(14&lt;=B23,0,MIN(B40,B24-C40))),"")</f>
        <v/>
      </c>
      <c r="E40" s="41">
        <f>IFERROR(IF(C40="","",C40+D40),"")</f>
        <v/>
      </c>
      <c r="F40" s="41">
        <f>IFERROR(IF(D40="","",B40-D40),"")</f>
        <v/>
      </c>
      <c r="G40" s="41">
        <f>IFERROR(IF(E40="","",'PyG 3 Años'!$D$41-'PyG 3 Años'!$D$46+'PyG 3 Años'!$D$36+'PyG 3 Años'!$D$37),"")</f>
        <v/>
      </c>
      <c r="H40" s="61">
        <f>IFERROR(IF(OR(E40="",E40=0),"",G40/E40),"")</f>
        <v/>
      </c>
    </row>
    <row r="41">
      <c r="A41" s="40" t="n">
        <v>15</v>
      </c>
      <c r="B41" s="41">
        <f>IFERROR(IF(OR(15&gt;B22,F40=""),"",F40),"")</f>
        <v/>
      </c>
      <c r="C41" s="41">
        <f>IFERROR(IF(OR(15&gt;B22,B41=""),"",B41*B21),"")</f>
        <v/>
      </c>
      <c r="D41" s="41">
        <f>IFERROR(IF(OR(15&gt;B22,B41=""),"",IF(15&lt;=B23,0,MIN(B41,B24-C41))),"")</f>
        <v/>
      </c>
      <c r="E41" s="41">
        <f>IFERROR(IF(C41="","",C41+D41),"")</f>
        <v/>
      </c>
      <c r="F41" s="41">
        <f>IFERROR(IF(D41="","",B41-D41),"")</f>
        <v/>
      </c>
      <c r="G41" s="41">
        <f>IFERROR(IF(E41="","",'PyG 3 Años'!$D$41-'PyG 3 Años'!$D$46+'PyG 3 Años'!$D$36+'PyG 3 Años'!$D$37),"")</f>
        <v/>
      </c>
      <c r="H41" s="61">
        <f>IFERROR(IF(OR(E41="",E41=0),"",G41/E41),"")</f>
        <v/>
      </c>
    </row>
    <row r="42">
      <c r="A42" s="28" t="inlineStr">
        <is>
          <t>Tolerancia de cierre del cuadro (€)</t>
        </is>
      </c>
      <c r="B42" s="50" t="n">
        <v>0.01</v>
      </c>
      <c r="C42" s="28" t="inlineStr">
        <is>
          <t>Margen por redondeo. Por encima, el cuadro no cierra y hay capital sin devolver</t>
        </is>
      </c>
      <c r="D42" s="28" t="n"/>
      <c r="E42" s="28" t="n"/>
      <c r="F42" s="28" t="n"/>
      <c r="G42" s="28" t="n"/>
      <c r="H42" s="28" t="n"/>
    </row>
    <row r="43">
      <c r="A43" s="28" t="inlineStr">
        <is>
          <t>Capital pendiente al vencimiento</t>
        </is>
      </c>
      <c r="B43" s="41">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4680.0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4680.0</v>
      </c>
      <c r="C46" s="28" t="n"/>
      <c r="D46" s="28" t="n"/>
      <c r="E46" s="28" t="n"/>
      <c r="F46" s="28" t="n"/>
      <c r="G46" s="28" t="n"/>
      <c r="H46" s="28" t="n"/>
    </row>
    <row r="47">
      <c r="A47" s="28" t="inlineStr">
        <is>
          <t>Devolución de principal del año 2</t>
        </is>
      </c>
      <c r="B47" s="32">
        <f>IFERROR(IF(B20="","",IF(D28="",0,D28)),"")</f>
        <v>12645.686707019053</v>
      </c>
      <c r="C47" s="28" t="n"/>
      <c r="D47" s="28" t="n"/>
      <c r="E47" s="28" t="n"/>
      <c r="F47" s="28" t="n"/>
      <c r="G47" s="28" t="n"/>
      <c r="H47" s="28" t="n"/>
    </row>
    <row r="48">
      <c r="A48" s="28" t="inlineStr">
        <is>
          <t>Intereses del año 3</t>
        </is>
      </c>
      <c r="B48" s="32">
        <f>IFERROR(IF(B20="","",IF(C29="",0,C29)),"")</f>
        <v>3858.030364043762</v>
      </c>
      <c r="C48" s="28" t="n"/>
      <c r="D48" s="28" t="n"/>
      <c r="E48" s="28" t="n"/>
      <c r="F48" s="28" t="n"/>
      <c r="G48" s="28" t="n"/>
      <c r="H48" s="28" t="n"/>
    </row>
    <row r="49">
      <c r="A49" s="28" t="inlineStr">
        <is>
          <t>Devolución de principal del año 3</t>
        </is>
      </c>
      <c r="B49" s="32">
        <f>IFERROR(IF(B20="","",IF(D29="",0,D29)),"")</f>
        <v>13467.656342975291</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3.8118266025641034</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1.3719859522433784</v>
      </c>
      <c r="C52" s="28" t="n"/>
      <c r="D52" s="28" t="n"/>
      <c r="E52" s="28" t="n"/>
      <c r="F52" s="28" t="n"/>
      <c r="G52" s="28" t="n"/>
      <c r="H52" s="28" t="n"/>
    </row>
    <row r="53">
      <c r="A53" s="28" t="inlineStr">
        <is>
          <t>DSCR del año 3</t>
        </is>
      </c>
      <c r="B53" s="61">
        <f>IFERROR(('PyG 3 Años'!$D$41-'PyG 3 Años'!$D$46+'PyG 3 Años'!$D$36+B48)/(B48+B49),"")</f>
        <v>1.4466143825835813</v>
      </c>
      <c r="C53" s="28" t="n"/>
      <c r="D53" s="28" t="n"/>
      <c r="E53" s="28" t="n"/>
      <c r="F53" s="28" t="n"/>
      <c r="G53" s="28" t="n"/>
      <c r="H53" s="28" t="n"/>
    </row>
    <row r="54">
      <c r="A54" s="25" t="inlineStr">
        <is>
          <t>DSCR mínimo de todo el cuadro</t>
        </is>
      </c>
      <c r="B54" s="62">
        <f>IFERROR(IF(COUNT(H27:H41)=0,"",MIN(H27:H41)),"")</f>
        <v>1.3719859522433784</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Food Truck · v2.2</dc:title>
  <dc:description xmlns:dc="http://purl.org/dc/elements/1.1/">aichef.pro/plan-negocio-food-truck</dc:description>
  <dc:subject xmlns:dc="http://purl.org/dc/elements/1.1/">Plan financiero — Food Truck · v2.2</dc:subject>
  <dcterms:created xmlns:dcterms="http://purl.org/dc/terms/" xmlns:xsi="http://www.w3.org/2001/XMLSchema-instance" xsi:type="dcterms:W3CDTF">2026-03-26T14:46:57Z</dcterms:created>
  <dcterms:modified xmlns:dcterms="http://purl.org/dc/terms/" xmlns:xsi="http://www.w3.org/2001/XMLSchema-instance" xsi:type="dcterms:W3CDTF">2026-09-05T15:30:54Z</dcterms:modified>
  <cp:lastModifiedBy>AI Chef Pro</cp:lastModifiedBy>
  <cp:category>AI Chef Pro · Productos digitales</cp:category>
  <cp:keywords>plan negocio food truck, AI Chef Pro</cp:keywords>
</cp:coreProperties>
</file>