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Supuestos" sheetId="1" state="visible" r:id="rId1"/>
    <sheet xmlns:r="http://schemas.openxmlformats.org/officeDocument/2006/relationships" name="Inversión Inicial" sheetId="2" state="visible" r:id="rId2"/>
    <sheet xmlns:r="http://schemas.openxmlformats.org/officeDocument/2006/relationships" name="PyG 3 Años" sheetId="3" state="visible" r:id="rId3"/>
    <sheet xmlns:r="http://schemas.openxmlformats.org/officeDocument/2006/relationships" name="Punto Equilibrio" sheetId="4" state="visible" r:id="rId4"/>
    <sheet xmlns:r="http://schemas.openxmlformats.org/officeDocument/2006/relationships" name="Escenarios" sheetId="5" state="visible" r:id="rId5"/>
    <sheet xmlns:r="http://schemas.openxmlformats.org/officeDocument/2006/relationships" name="Personal" sheetId="6" state="visible" r:id="rId6"/>
    <sheet xmlns:r="http://schemas.openxmlformats.org/officeDocument/2006/relationships" name="Instrucciones" sheetId="7" state="visible" r:id="rId7"/>
    <sheet xmlns:r="http://schemas.openxmlformats.org/officeDocument/2006/relationships" name="Tesorería 12 meses" sheetId="8" state="visible" r:id="rId8"/>
    <sheet xmlns:r="http://schemas.openxmlformats.org/officeDocument/2006/relationships" name="Financiación" sheetId="9" state="visible" r:id="rId9"/>
  </sheets>
  <definedNames>
    <definedName name="_xlnm.Print_Titles" localSheetId="1">'Inversión Inicial'!$5:$5</definedName>
    <definedName name="_xlnm.Print_Titles" localSheetId="2">'PyG 3 Años'!$4:$4</definedName>
    <definedName name="_xlnm.Print_Titles" localSheetId="3">'Punto Equilibrio'!$4:$4</definedName>
    <definedName name="_xlnm.Print_Titles" localSheetId="4">'Escenarios'!$4:$4</definedName>
    <definedName name="_xlnm.Print_Titles" localSheetId="5">'Personal'!$4:$4</definedName>
    <definedName name="_xlnm.Print_Titles" localSheetId="7">'Tesorería 12 meses'!$4:$4</definedName>
    <definedName name="_xlnm.Print_Titles" localSheetId="8">'Financiación'!$4:$4</definedName>
  </definedNames>
  <calcPr calcId="124519" fullCalcOnLoad="1"/>
</workbook>
</file>

<file path=xl/styles.xml><?xml version="1.0" encoding="utf-8"?>
<styleSheet xmlns="http://schemas.openxmlformats.org/spreadsheetml/2006/main">
  <numFmts count="4">
    <numFmt numFmtId="164" formatCode="#,##0 €"/>
    <numFmt numFmtId="165" formatCode="0.0%"/>
    <numFmt numFmtId="166" formatCode="#,##0.00 €"/>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b val="1"/>
      <sz val="11"/>
    </font>
    <font>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6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6" fontId="0" fillId="4" borderId="0" applyProtection="1" pivotButton="0" quotePrefix="0" xfId="0">
      <protection locked="0" hidden="0"/>
    </xf>
    <xf numFmtId="165" fontId="0" fillId="4" borderId="0" applyProtection="1" pivotButton="0" quotePrefix="0" xfId="0">
      <protection locked="0" hidden="0"/>
    </xf>
    <xf numFmtId="166" fontId="0" fillId="0" borderId="0" pivotButton="0" quotePrefix="0" xfId="0"/>
    <xf numFmtId="165" fontId="0" fillId="0" borderId="0" pivotButton="0" quotePrefix="0" xfId="0"/>
    <xf numFmtId="164" fontId="0" fillId="4" borderId="0" applyProtection="1" pivotButton="0" quotePrefix="0" xfId="0">
      <protection locked="0" hidden="0"/>
    </xf>
    <xf numFmtId="4" fontId="0" fillId="4" borderId="0" applyProtection="1" pivotButton="0" quotePrefix="0" xfId="0">
      <protection locked="0" hidden="0"/>
    </xf>
    <xf numFmtId="0" fontId="10" fillId="0" borderId="3" pivotButton="0" quotePrefix="0" xfId="0"/>
    <xf numFmtId="164" fontId="10" fillId="0" borderId="3" pivotButton="0" quotePrefix="0" xfId="0"/>
    <xf numFmtId="165" fontId="10" fillId="0" borderId="3" pivotButton="0" quotePrefix="0" xfId="0"/>
    <xf numFmtId="0" fontId="9" fillId="0" borderId="3" pivotButton="0" quotePrefix="0" xfId="0"/>
    <xf numFmtId="164" fontId="9" fillId="4" borderId="3" applyProtection="1" pivotButton="0" quotePrefix="0" xfId="0">
      <protection locked="0" hidden="0"/>
    </xf>
    <xf numFmtId="165" fontId="9" fillId="0" borderId="3" pivotButton="0" quotePrefix="0" xfId="0"/>
    <xf numFmtId="0" fontId="9" fillId="4" borderId="3" applyProtection="1" pivotButton="0" quotePrefix="0" xfId="0">
      <protection locked="0" hidden="0"/>
    </xf>
    <xf numFmtId="164" fontId="9" fillId="0" borderId="3" pivotButton="0" quotePrefix="0" xfId="0"/>
    <xf numFmtId="164" fontId="11" fillId="0" borderId="0" pivotButton="0" quotePrefix="0" xfId="0"/>
    <xf numFmtId="165" fontId="11" fillId="0" borderId="0" pivotButton="0" quotePrefix="0" xfId="0"/>
    <xf numFmtId="0" fontId="12" fillId="0" borderId="0" pivotButton="0" quotePrefix="0" xfId="0"/>
    <xf numFmtId="164" fontId="0" fillId="0" borderId="0" pivotButton="0" quotePrefix="0" xfId="0"/>
    <xf numFmtId="0" fontId="11" fillId="0" borderId="0" pivotButton="0" quotePrefix="0" xfId="0"/>
    <xf numFmtId="0" fontId="1" fillId="0" borderId="0" applyAlignment="1" pivotButton="0" quotePrefix="0" xfId="0">
      <alignment horizontal="left" vertical="top" wrapText="1"/>
    </xf>
    <xf numFmtId="0" fontId="10" fillId="0" borderId="3" applyAlignment="1" pivotButton="0" quotePrefix="0" xfId="0">
      <alignment horizontal="general" vertical="top" wrapText="1"/>
    </xf>
    <xf numFmtId="3" fontId="9" fillId="0" borderId="3" pivotButton="0" quotePrefix="0" xfId="0"/>
    <xf numFmtId="166" fontId="9" fillId="0" borderId="3" pivotButton="0" quotePrefix="0" xfId="0"/>
    <xf numFmtId="3" fontId="0" fillId="0" borderId="0" pivotButton="0" quotePrefix="0" xfId="0"/>
    <xf numFmtId="165" fontId="12" fillId="4" borderId="0" applyProtection="1" pivotButton="0" quotePrefix="0" xfId="0">
      <protection locked="0" hidden="0"/>
    </xf>
    <xf numFmtId="167" fontId="9" fillId="0" borderId="3" pivotButton="0" quotePrefix="0" xfId="0"/>
    <xf numFmtId="167" fontId="10" fillId="0" borderId="3" pivotButton="0" quotePrefix="0" xfId="0"/>
    <xf numFmtId="0" fontId="9" fillId="0" borderId="3" applyAlignment="1" pivotButton="0" quotePrefix="0" xfId="0">
      <alignment horizontal="general" vertical="top" wrapText="1"/>
    </xf>
    <xf numFmtId="166" fontId="10" fillId="0" borderId="3" pivotButton="0" quotePrefix="0" xfId="0"/>
    <xf numFmtId="167" fontId="0" fillId="0" borderId="0" pivotButton="0" quotePrefix="0" xfId="0"/>
    <xf numFmtId="3" fontId="9" fillId="4" borderId="3" applyProtection="1" pivotButton="0" quotePrefix="0" xfId="0">
      <protection locked="0" hidden="0"/>
    </xf>
    <xf numFmtId="166" fontId="9" fillId="4" borderId="3" applyProtection="1" pivotButton="0" quotePrefix="0" xfId="0">
      <protection locked="0" hidden="0"/>
    </xf>
    <xf numFmtId="9" fontId="9" fillId="4" borderId="3" applyProtection="1" pivotButton="0" quotePrefix="0" xfId="0">
      <protection locked="0" hidden="0"/>
    </xf>
    <xf numFmtId="3" fontId="11" fillId="0" borderId="0" pivotButton="0" quotePrefix="0" xfId="0"/>
    <xf numFmtId="4" fontId="11" fillId="0" borderId="0" pivotButton="0" quotePrefix="0" xfId="0"/>
    <xf numFmtId="166" fontId="11" fillId="0" borderId="0" pivotButton="0" quotePrefix="0" xfId="0"/>
    <xf numFmtId="164" fontId="12" fillId="4" borderId="0" applyProtection="1" pivotButton="0" quotePrefix="0" xfId="0">
      <protection locked="0" hidden="0"/>
    </xf>
    <xf numFmtId="3" fontId="12" fillId="4" borderId="0" applyProtection="1" pivotButton="0" quotePrefix="0" xfId="0">
      <protection locked="0" hidden="0"/>
    </xf>
    <xf numFmtId="167" fontId="12"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5" fontId="9" fillId="4" borderId="3" applyProtection="1" pivotButton="0" quotePrefix="0" xfId="0">
      <protection locked="0" hidden="0"/>
    </xf>
    <xf numFmtId="4" fontId="9" fillId="0" borderId="3" pivotButton="0" quotePrefix="0" xfId="0"/>
    <xf numFmtId="4" fontId="10" fillId="0" borderId="3" pivotButton="0" quotePrefix="0" xfId="0"/>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SUPUESTOS — aquí se teclean las TASAS y los DRIVERS del modelo</t>
        </is>
      </c>
    </row>
    <row r="2" ht="45" customHeight="1">
      <c r="A2" s="17" t="inlineStr">
        <is>
          <t>Cambia las celdas VERDES: el resto del libro se recalcula solo. Las partidas de gasto se teclean en su hoja (también en verde) y no se repiten aquí.</t>
        </is>
      </c>
    </row>
    <row r="3">
      <c r="A3" s="16" t="inlineStr">
        <is>
          <t>ACTIVIDAD</t>
        </is>
      </c>
    </row>
    <row r="4">
      <c r="A4" t="inlineStr">
        <is>
          <t>Clientes/día (media del año 1)</t>
        </is>
      </c>
      <c r="B4" s="18" t="n">
        <v>45</v>
      </c>
      <c r="C4" t="inlineStr">
        <is>
          <t>Clientes servidos al día de media del año. Es el mismo «Clientes/día objetivo (Año 1)» que ya declaraba el fichero v1.1</t>
        </is>
      </c>
    </row>
    <row r="5">
      <c r="A5" t="inlineStr">
        <is>
          <t>Ticket medio SIN IVA (€)</t>
        </is>
      </c>
      <c r="B5" s="19" t="n">
        <v>12</v>
      </c>
      <c r="C5" t="inlineStr">
        <is>
          <t>SIN IVA. Es el mismo 12 € que ya usaban Punto Equilibrio y la columna realista de Escenarios (declarar que es SIN IVA no cambia ningún número, sólo aclara qué era). Dentro del rango 10-15 € de la fila «Ticket medio food truck» de la tabla DATOS DE REFERENCIA DEL SECTOR, en la hoja de Instrucciones</t>
        </is>
      </c>
    </row>
    <row r="6">
      <c r="A6" t="inlineStr">
        <is>
          <t>Días de apertura al año</t>
        </is>
      </c>
      <c r="B6" s="18" t="n">
        <v>250</v>
      </c>
      <c r="C6" t="inlineStr">
        <is>
          <t>El MISMO dato lo usan la cuenta de resultados, el punto de equilibrio y los escenarios. La versión anterior traía TRES calendarios que no coincidían: 25 días de servicio al mes en el punto de equilibrio (300 al año), 5 servicios por semana durante 48 semanas en los escenarios (240 al año) y ninguno declarado en la cuenta de resultados. Se fijan 250 días —5 días de servicio a la semana por 50 semanas activas, dentro de los «4-6 días operativos por semana» que declara este mismo libro— porque son los únicos que reproducen al céntimo la facturación que el propio libro ya publicaba: 45 × 12 × 250 = 135.000 €</t>
        </is>
      </c>
    </row>
    <row r="7">
      <c r="A7" t="inlineStr">
        <is>
          <t>Crecimiento de volumen del año 2</t>
        </is>
      </c>
      <c r="B7" s="20" t="n">
        <v>0.15</v>
      </c>
      <c r="C7" t="inlineStr">
        <is>
          <t>El fichero v1.1 proyectaba 175.000 € en el año 2 sobre 135.000 € (+29,6 %): se redondea a la baja porque un food truck de un año no tiene todavía rutas ni clientela corporativa consolidadas (mismo criterio conservador que tapas-bar y cafetería)</t>
        </is>
      </c>
    </row>
    <row r="8">
      <c r="A8" t="inlineStr">
        <is>
          <t>Crecimiento de volumen del año 3</t>
        </is>
      </c>
      <c r="B8" s="20" t="n">
        <v>0.1</v>
      </c>
      <c r="C8" t="inlineStr">
        <is>
          <t>El fichero v1.1 proyectaba 215.000 € sobre 175.000 € (+22,9 %): igual, redondeado a la baja</t>
        </is>
      </c>
    </row>
    <row r="9">
      <c r="A9" t="inlineStr">
        <is>
          <t>PVP equivalente con IVA (calculado)</t>
        </is>
      </c>
      <c r="B9" s="21">
        <f>IFERROR(IF($B$5="","",$B$5*(1+SUMPRODUCT('PyG 3 Años'!$E$10:$E$11,'PyG 3 Años'!$G$10:$G$11))),"")</f>
        <v>13.200000000000001</v>
      </c>
      <c r="C9" t="str">
        <f>IFERROR("Ticket sin IVA más el IVA medio ponderado de tus líneas de venta: "&amp;TEXT(SUMPRODUCT('PyG 3 Años'!$E$10:$E$11,'PyG 3 Años'!$G$10:$G$11)*100,"0")&amp;" %. En sala todo va al 10 % (art. 91.Uno.2.2.º de la Ley 37/1992, alcohol incluido); el alcohol que sale por delivery y el pan común, si los tienes, mueven la media. Aquí va redondeado. Compáralo con el rango del sector, que va con IVA.","")</f>
        <v>Ticket sin IVA más el IVA medio ponderado de tus líneas de venta: 10 %. En sala todo va al 10 % (art. 91.Uno.2.2.º de la Ley 37/1992, alcohol incluido); el alcohol que sale por delivery y el pan común, si los tienes, mueven la media. Aquí va redondeado. Compáralo con el rango del sector, que va con IVA.</v>
      </c>
    </row>
    <row r="10">
      <c r="A10" s="16" t="inlineStr">
        <is>
          <t>MIX Y COSTE DE MERCANCÍA</t>
        </is>
      </c>
    </row>
    <row r="11">
      <c r="A11" t="inlineStr">
        <is>
          <t>Ventas de COMIDA sobre el total</t>
        </is>
      </c>
      <c r="B11" s="20" t="n">
        <v>0.8519</v>
      </c>
      <c r="C11" t="inlineStr">
        <is>
          <t>Peso de la COMIDA sobre el total de ventas. Es un INPUT: cámbialo aquí y el P&amp;L, la tesorería y el IVA repercutido se recalculan solos</t>
        </is>
      </c>
    </row>
    <row r="12">
      <c r="A12" t="inlineStr">
        <is>
          <t>Ventas de BEBIDA sobre el total</t>
        </is>
      </c>
      <c r="B12" s="22">
        <f>IFERROR(IF(COUNT(B11)=0,"",1-B11),"")</f>
        <v>0.1481</v>
      </c>
      <c r="C12" t="inlineStr">
        <is>
          <t>Se calcula como el resto: comida + bebida = 100 %</t>
        </is>
      </c>
    </row>
    <row r="13">
      <c r="A13" t="inlineStr">
        <is>
          <t>Coste de mercancía sobre las ventas de COMIDA</t>
        </is>
      </c>
      <c r="B13" s="20" t="n">
        <v>0.28</v>
      </c>
      <c r="C13" t="inlineStr">
        <is>
          <t>Coste de mercancía de la comida: dentro del 28-33 % de la fila «Food cost comida» de la tabla DATOS DE REFERENCIA DEL SECTOR de la hoja de Instrucciones («depende del concepto: burger 30 %, tacos 25 %, poke 35 %»). Se toma el extremo bajo del rango porque la compra diaria que exige un food truck, sin cámara grande, reduce la merma frente a una cocina fija. Es la palanca más sensible del plan: con el 33 % el resultado del primer año se queda muy justo</t>
        </is>
      </c>
    </row>
    <row r="14">
      <c r="A14" t="inlineStr">
        <is>
          <t>Coste de mercancía sobre las ventas de BEBIDA</t>
        </is>
      </c>
      <c r="B14" s="20" t="n">
        <v>0.22</v>
      </c>
      <c r="C14" t="inlineStr">
        <is>
          <t>Bebidas embotelladas y refrescos: extremo bajo del 22-28 % de la fila «Food cost bebidas» de la tabla DATOS DE REFERENCIA DEL SECTOR de la hoja de Instrucciones («refrescos y agua embotellada, margen alto»)</t>
        </is>
      </c>
    </row>
    <row r="15">
      <c r="A15" t="inlineStr">
        <is>
          <t>Consumibles sobre ventas</t>
        </is>
      </c>
      <c r="B15" s="20" t="n">
        <v>0.03</v>
      </c>
      <c r="C15" t="inlineStr">
        <is>
          <t>Packaging biodegradable: extremo bajo del 3-5 % de la fila «Coste packaging / ventas» de la tabla DATOS DE REFERENCIA DEL SECTOR de la hoja de Instrucciones. Es una partida realmente cara en un food truck (obligatoria por normativa municipal en muchos casos, como recuerda la fase de equipamiento de tu checklist) y por eso se cita al lado del food cost, no dentro de «varios»</t>
        </is>
      </c>
    </row>
    <row r="16">
      <c r="A16" t="inlineStr">
        <is>
          <t>Ventas por delivery sobre el total</t>
        </is>
      </c>
      <c r="B16" s="20" t="n">
        <v>0</v>
      </c>
      <c r="C16" t="inlineStr">
        <is>
          <t>A CERO por defecto: este negocio vende en el punto de venta móvil, no reparte a domicilio. Súbelo si activas un canal de delivery desde una ubicación fija</t>
        </is>
      </c>
    </row>
    <row r="17">
      <c r="A17" t="inlineStr">
        <is>
          <t>Comisión de la plataforma de delivery</t>
        </is>
      </c>
      <c r="B17" s="20" t="n">
        <v>0.28</v>
      </c>
      <c r="C17" t="inlineStr">
        <is>
          <t>Sin uso mientras pct_delivery esté a 0: rango habitual de comisión de plataforma si algún día operas desde una ubicación fija con reparto</t>
        </is>
      </c>
    </row>
    <row r="18">
      <c r="A18" t="inlineStr">
        <is>
          <t>Comisión de los medios de pago</t>
        </is>
      </c>
      <c r="B18" s="20" t="n">
        <v>0.008</v>
      </c>
      <c r="C18" t="inlineStr">
        <is>
          <t>Tarjeta y bizum sobre el total facturado: un food truck urbano cobra en tarjeta/contactless la mayoría de los tickets</t>
        </is>
      </c>
    </row>
    <row r="19">
      <c r="A19" s="16" t="inlineStr">
        <is>
          <t>PERSONAL</t>
        </is>
      </c>
    </row>
    <row r="20">
      <c r="A20" t="inlineStr">
        <is>
          <t>Seguridad Social a cargo de la empresa</t>
        </is>
      </c>
      <c r="B20" s="20" t="n">
        <v>0.33</v>
      </c>
      <c r="C20" t="inlineStr">
        <is>
          <t>Contingencias comunes + AT/EP + desempleo + FOGASA + FP; ajusta a tu convenio y bonificaciones</t>
        </is>
      </c>
    </row>
    <row r="21">
      <c r="A21" t="inlineStr">
        <is>
          <t>Número de pagas anuales</t>
        </is>
      </c>
      <c r="B21" s="18" t="n">
        <v>14</v>
      </c>
      <c r="C21" t="inlineStr">
        <is>
          <t>Salario bruto anual = bruto mensual × pagas</t>
        </is>
      </c>
    </row>
    <row r="22">
      <c r="A22" t="inlineStr">
        <is>
          <t>SMI anual de referencia (€)</t>
        </is>
      </c>
      <c r="B22" s="23" t="n">
        <v>17094</v>
      </c>
      <c r="C22" t="inlineStr">
        <is>
          <t>SMI 2026: 17.094 € al año (1.221 €/mes en 14 pagas), suelo legal por jornada completa. Comprueba el importe vigente si presentas el plan en otro ejercicio</t>
        </is>
      </c>
    </row>
    <row r="23">
      <c r="A23" s="16" t="inlineStr">
        <is>
          <t>LOCAL Y FIJOS</t>
        </is>
      </c>
    </row>
    <row r="24">
      <c r="A24" t="inlineStr">
        <is>
          <t>Alquiler mensual del local (€)</t>
        </is>
      </c>
      <c r="B24" s="23" t="n">
        <v>400</v>
      </c>
      <c r="C24" t="inlineStr">
        <is>
          <t>ESTE NEGOCIO NO PAGA RENTA DE LOCAL: esta celda es el coste mensual del aparcamiento o la nave en la que el vehículo pernocta y se prepara cada jornada, y de ella salen también la fianza y los meses previos a la apertura. Es un concepto distinto del generador, que va en la celda de suministros. 400 €/mes es lo que cuesta una plaza cubierta con toma de agua y desagüe para un vehículo comercial grande en una ciudad media española: pide presupuesto en tu zona antes de firmar</t>
        </is>
      </c>
    </row>
    <row r="25">
      <c r="A25" t="inlineStr">
        <is>
          <t>Fianza del aparcamiento (meses)</t>
        </is>
      </c>
      <c r="B25" s="18" t="n">
        <v>2</v>
      </c>
      <c r="C25" t="inlineStr">
        <is>
          <t>Dos meses de fianza por la plaza o la nave, menos que los tres habituales de un local comercial</t>
        </is>
      </c>
    </row>
    <row r="26">
      <c r="A26" t="inlineStr">
        <is>
          <t>Suministros mensuales de luz, agua y gas (€)</t>
        </is>
      </c>
      <c r="B26" s="23" t="n">
        <v>200</v>
      </c>
      <c r="C26" t="inlineStr">
        <is>
          <t>Combustible del generador eléctrico y mantenimiento de las tomas de agua y de vertido. Es el mismo concepto que la versión anterior llamaba «Generador (combustible/alquiler)» dentro de los costes fijos: ahora vive en una celda, para poder cambiarlo en un solo sitio y que el resto del libro se entere</t>
        </is>
      </c>
    </row>
    <row r="27">
      <c r="A27" t="inlineStr">
        <is>
          <t>Seguros (€/año)</t>
        </is>
      </c>
      <c r="B27" s="23" t="n">
        <v>2500</v>
      </c>
      <c r="C27" t="inlineStr">
        <is>
          <t>Responsabilidad civil profesional alimentaria —la fase 1 de tu checklist pide un mínimo de 300.000 € de cobertura— más el seguro del vehículo a todo riesgo. Es la MISMA prima que la versión anterior contaba dos veces, una en la inversión y otra como gasto del año: aquí se cuenta una sola vez, que es como se paga</t>
        </is>
      </c>
    </row>
    <row r="28">
      <c r="A28" t="inlineStr">
        <is>
          <t>Varios e imprevistos sobre ventas</t>
        </is>
      </c>
      <c r="B28" s="20" t="n">
        <v>0.05</v>
      </c>
      <c r="C28" t="inlineStr">
        <is>
          <t>Combustible del vehículo para desplazarse entre ubicaciones más el colchón de gasto corriente no presupuestado. Es un coste VARIABLE: sube y baja con los servicios que se hacen, así que no puede vivir entre los fijos, porque movería el punto de equilibrio sin que se notara. Agrupa dos partidas que la versión anterior tenía sueltas: el combustible, que ya era variable, y los varios e imprevistos, que estaban mal clasificados como fijos</t>
        </is>
      </c>
    </row>
    <row r="29">
      <c r="A29" s="16" t="inlineStr">
        <is>
          <t>FINANCIACIÓN</t>
        </is>
      </c>
    </row>
    <row r="30">
      <c r="A30" t="inlineStr">
        <is>
          <t>Recursos propios aportados (€)</t>
        </is>
      </c>
      <c r="B30" s="23" t="n">
        <v>25000</v>
      </c>
      <c r="C30" t="inlineStr">
        <is>
          <t>Aportación del titular. Con menos, el banco no entra: pide un 25-30 % de fondos propios sobre la necesidad de caja de este plan</t>
        </is>
      </c>
    </row>
    <row r="31">
      <c r="A31" t="inlineStr">
        <is>
          <t>Préstamo bancario solicitado (€)</t>
        </is>
      </c>
      <c r="B31" s="23" t="n">
        <v>72000</v>
      </c>
      <c r="C31" t="inlineStr">
        <is>
          <t>Principal solicitado. La hoja de Financiación comprueba que el origen de fondos cuadra con la necesidad de caja de la hoja 1 (25.000 € de recursos propios + 72.000 € de préstamo = 97.000 €). Está por encima de los 73.400 € que sumaba la versión anterior porque el fondo de maniobra pasa a ser de verdad de tres meses, y porque ahora se suman a la necesidad de caja el IVA de la inversión —que hay que adelantar aunque se recupere— y los imprevistos de la puesta en marcha</t>
        </is>
      </c>
    </row>
    <row r="32">
      <c r="A32" t="inlineStr">
        <is>
          <t>Tipo de interés nominal anual</t>
        </is>
      </c>
      <c r="B32" s="20" t="n">
        <v>0.065</v>
      </c>
      <c r="C32" t="inlineStr">
        <is>
          <t>Tipo nominal anual; un préstamo de menor importe y sin garantía inmobiliaria (el vehículo es la garantía) suele salir algo por encima del de un local: pide oferta a dos entidades y a una línea ICO/ENISA de emprendedores antes de fijarlo</t>
        </is>
      </c>
    </row>
    <row r="33">
      <c r="A33" t="inlineStr">
        <is>
          <t>Plazo del préstamo (años)</t>
        </is>
      </c>
      <c r="B33" s="18" t="n">
        <v>6</v>
      </c>
      <c r="C33" t="inlineStr">
        <is>
          <t>Años totales, carencia incluida. Un vehículo se amortiza más rápido que unas obras de local, así que el plazo también es más corto</t>
        </is>
      </c>
    </row>
    <row r="34">
      <c r="A34" t="inlineStr">
        <is>
          <t>Carencia de principal (años)</t>
        </is>
      </c>
      <c r="B34" s="18" t="n">
        <v>1</v>
      </c>
      <c r="C34" t="inlineStr">
        <is>
          <t>Primer año sólo intereses, que es cuando la caja está más tensa (adaptación del vehículo + primeras semanas de rodaje probando ubicaciones)</t>
        </is>
      </c>
    </row>
    <row r="35">
      <c r="A35" t="inlineStr">
        <is>
          <t>Fondo de maniobra (meses de costes fijos)</t>
        </is>
      </c>
      <c r="B35" s="18" t="n">
        <v>3</v>
      </c>
      <c r="C35" t="inlineStr">
        <is>
          <t>Mínimo que exige este mismo libro (Instrucciones): un colchón por debajo de 3 meses no cubre un bache de mal tiempo o de temporada baja de eventos</t>
        </is>
      </c>
    </row>
    <row r="36">
      <c r="A36" s="16" t="inlineStr">
        <is>
          <t>FISCAL</t>
        </is>
      </c>
    </row>
    <row r="37">
      <c r="A37" t="inlineStr">
        <is>
          <t>Impuesto de Sociedades, nueva creación</t>
        </is>
      </c>
      <c r="B37" s="20" t="n">
        <v>0.15</v>
      </c>
      <c r="C37" t="inlineStr">
        <is>
          <t>Art. 29.1 LIS: el PRIMER ejercicio con base imponible positiva y el SIGUIENTE. El libro lo aproxima contando los dos primeros ejercicios con base positiva: coincide con la ley salvo que entre ellos haya un ejercicio en pérdidas</t>
        </is>
      </c>
    </row>
    <row r="38">
      <c r="A38" t="inlineStr">
        <is>
          <t>Impuesto de Sociedades, tipo general</t>
        </is>
      </c>
      <c r="B38" s="20" t="n">
        <v>0.25</v>
      </c>
      <c r="C38" t="inlineStr">
        <is>
          <t>A partir del tercer ejercicio con base positiva. Es el tipo general del art. 29.1 LIS: si tu cifra de negocios queda por debajo de 1 M € (microempresa) o de 10 M € (reducida dimensión), desde 2025 hay tipos más bajos que se implantan de forma gradual; confirma el de tu ejercicio con tu asesor y cámbialo aquí</t>
        </is>
      </c>
    </row>
    <row r="39">
      <c r="A39" t="inlineStr">
        <is>
          <t>IVA repercutido de restauración</t>
        </is>
      </c>
      <c r="B39" s="20" t="n">
        <v>0.1</v>
      </c>
      <c r="C39" t="inlineStr">
        <is>
          <t>Tipo reducido de hostelería</t>
        </is>
      </c>
    </row>
    <row r="40">
      <c r="A40" t="inlineStr">
        <is>
          <t>IVA repercutido/soportado general</t>
        </is>
      </c>
      <c r="B40" s="20" t="n">
        <v>0.21</v>
      </c>
      <c r="C40" t="inlineStr">
        <is>
          <t>Tipo general. En este libro lo usan dos cosas: el IVA que soportas al comprar el alcohol (el proveedor lo factura al 21 %) y el que repercutes por el alcohol que sale por delivery (es una entrega de bienes). El alcohol servido en sala va al reducido: su tipo está en el bloque de desglose del IVA. Suministros, equipamiento y servicios tienen su tipo en la celda de abajo. El libro manda al general sólo el alcohol: si compras refrescos o zumos con azúcares añadidos, su factura también va al 21 % (art. 91.Uno.1.1.º de la Ley 37/1992)</t>
        </is>
      </c>
    </row>
    <row r="41">
      <c r="A41" t="inlineStr">
        <is>
          <t>IVA soportado en compras e inversión</t>
        </is>
      </c>
      <c r="B41" s="20" t="n">
        <v>0.21</v>
      </c>
      <c r="C41" t="inlineStr">
        <is>
          <t>Recuperable vía modelo 303, pero hay que adelantarlo</t>
        </is>
      </c>
    </row>
    <row r="42">
      <c r="A42" t="inlineStr">
        <is>
          <t>Bases negativas de ejercicios anteriores (€)</t>
        </is>
      </c>
      <c r="B42" s="23" t="n">
        <v>0</v>
      </c>
      <c r="C42" t="inlineStr">
        <is>
          <t>Pérdidas pendientes de compensar al empezar (art. 26 LIS)</t>
        </is>
      </c>
    </row>
    <row r="43">
      <c r="A43" s="16" t="inlineStr">
        <is>
          <t>AMORTIZACIÓN</t>
        </is>
      </c>
    </row>
    <row r="44">
      <c r="A44" t="inlineStr">
        <is>
          <t>Vida útil de obra e instalaciones (años)</t>
        </is>
      </c>
      <c r="B44" s="18" t="n">
        <v>8</v>
      </c>
      <c r="C44" t="inlineStr">
        <is>
          <t>Vehículo, adaptación y rotulación, instalación de gas, depósito de aguas y proyecto técnico: todo lo que va montado en el vehículo se amortiza con él. Ocho años son el 12,5 % anual, por debajo del coeficiente lineal máximo del 16 % que la tabla del art. 12.1 de la Ley del Impuesto sobre Sociedades fija para los elementos de transporte. Confírmalo con tu asesor</t>
        </is>
      </c>
    </row>
    <row r="45">
      <c r="A45" t="inlineStr">
        <is>
          <t>Vida útil de maquinaria y mobiliario (años)</t>
        </is>
      </c>
      <c r="B45" s="18" t="n">
        <v>10</v>
      </c>
      <c r="C45" t="inlineStr">
        <is>
          <t>Equipamiento de cocina, generador, TPV, menaje y toldo. El uso es más intenso que en una cocina fija por el montaje y el desmontaje diarios, pero el coeficiente lineal máximo de la tabla del art. 12.1 de la Ley del Impuesto sobre Sociedades es del 12 % para maquinaria y del 10 % para mobiliario: por debajo de 9-10 años el exceso no sería deducible. Confírmalo con tu asesor</t>
        </is>
      </c>
    </row>
    <row r="46"/>
    <row r="47">
      <c r="A47" s="16" t="inlineStr">
        <is>
          <t>CRECIMIENTO Y ACTUALIZACIÓN DE COSTES</t>
        </is>
      </c>
    </row>
    <row r="48">
      <c r="A48" t="inlineStr">
        <is>
          <t>Subida anual de los costes fijos</t>
        </is>
      </c>
      <c r="B48" s="20" t="n">
        <v>0</v>
      </c>
      <c r="C48" t="inlineStr">
        <is>
          <t>A CERO: las tres columnas están en euros del año 1 (términos reales). Súbela si quieres proyectar en euros corrientes</t>
        </is>
      </c>
    </row>
    <row r="49">
      <c r="A49" s="16" t="inlineStr">
        <is>
          <t>ARRANQUE Y AFORO</t>
        </is>
      </c>
    </row>
    <row r="50"/>
    <row r="51">
      <c r="A51" t="inlineStr">
        <is>
          <t>Plazas de pie y mesas altas junto al vehículo</t>
        </is>
      </c>
      <c r="B51" s="18" t="n">
        <v>16</v>
      </c>
      <c r="C51" t="inlineStr">
        <is>
          <t>DATO INFORMATIVO: no entra en ningún cálculo de este libro. Son las cuatro mesas altas plegables de cuatro posiciones que presupuesta la partida «Toldo, mobiliario exterior plegable» de la hoja de inversión. Un food truck no tiene aforo legal ni plazas sentadas, así que aquí no se calcula ninguna rotación por plaza: el techo real de este negocio son los clientes por servicio, que la tabla de referencias de este mismo libro sitúa en 40-80, y quien manda sobre el volumen es la celda «Clientes/día» de arriba</t>
        </is>
      </c>
    </row>
    <row r="52">
      <c r="A52" t="inlineStr">
        <is>
          <t>Actividad del mes 1 sobre la de crucero</t>
        </is>
      </c>
      <c r="B52" s="20" t="n">
        <v>0.55</v>
      </c>
      <c r="C52" t="inlineStr">
        <is>
          <t>Un food truck que arranca no factura desde el primer día lo mismo que a los seis meses: hay que probar ubicaciones, entrar en los mercados y que la gente te conozca. Con 100 % se elimina la rampa y el año 1 se proyecta a velocidad de crucero</t>
        </is>
      </c>
    </row>
    <row r="53">
      <c r="A53" t="inlineStr">
        <is>
          <t>Meses hasta alcanzar el régimen de crucero</t>
        </is>
      </c>
      <c r="B53" s="18" t="n">
        <v>6</v>
      </c>
      <c r="C53" t="inlineStr">
        <is>
          <t>La rampa sube en línea recta desde el porcentaje de arriba hasta el 100 % en este número de meses</t>
        </is>
      </c>
    </row>
    <row r="54">
      <c r="A54" t="inlineStr">
        <is>
          <t>Meses de alquiler del aparcamiento ANTES de abrir</t>
        </is>
      </c>
      <c r="B54" s="18" t="n">
        <v>2</v>
      </c>
      <c r="C54" t="inlineStr">
        <is>
          <t>La adaptación del vehículo dura 4-8 semanas según la fase 2 de tu propio checklist: son dos meses de aparcamiento y base que se pagan antes de facturar el primer euro, así que forman parte de la inversión y no de la cuenta de resultados</t>
        </is>
      </c>
    </row>
    <row r="55">
      <c r="A55" t="inlineStr">
        <is>
          <t>Imprevistos sobre las partidas de compra y adaptación del vehículo (%)</t>
        </is>
      </c>
      <c r="B55" s="20" t="n">
        <v>0.08</v>
      </c>
      <c r="C55" t="inlineStr">
        <is>
          <t>Se conserva el mismo 8 % que la versión anterior tenía escrito a mano en su fila de imprevistos, ahora calculado por fórmula sobre las partidas de compra y adaptación del vehículo: si cambias el precio del vehículo, los imprevistos se recalculan solos. La nota de esa fila, en la hoja de Inversión, enumera exactamente qué partidas entran</t>
        </is>
      </c>
    </row>
    <row r="56"/>
    <row r="57">
      <c r="A57" s="16" t="inlineStr">
        <is>
          <t>COBROS, PAGOS Y DESGLOSE DEL IVA</t>
        </is>
      </c>
    </row>
    <row r="58">
      <c r="A58" t="inlineStr">
        <is>
          <t>Días medios de cobro</t>
        </is>
      </c>
      <c r="B58" s="18" t="n">
        <v>0</v>
      </c>
      <c r="C58" t="inlineStr">
        <is>
          <t>En la ventanilla se cobra al contado (0 días). Súbelo si trabajas con organizadores de eventos o con clientes de catering que pagan a 15 o 30 días, o con plataformas que liquidan más tarde</t>
        </is>
      </c>
    </row>
    <row r="59">
      <c r="A59" t="inlineStr">
        <is>
          <t>Días medios de pago a proveedor</t>
        </is>
      </c>
      <c r="B59" s="18" t="n">
        <v>30</v>
      </c>
      <c r="C59" t="inlineStr">
        <is>
          <t>Lo que te financian tus proveedores. Es lo primero que se pierde si te retrasas en un pago</t>
        </is>
      </c>
    </row>
    <row r="60">
      <c r="A60" t="inlineStr">
        <is>
          <t>Mes de la paga extra de verano</t>
        </is>
      </c>
      <c r="B60" s="18" t="n">
        <v>7</v>
      </c>
      <c r="C60" t="inlineStr">
        <is>
          <t>Mes del año (1-12) en el que sale de caja la primera paga extra</t>
        </is>
      </c>
    </row>
    <row r="61">
      <c r="A61" t="inlineStr">
        <is>
          <t>Mes de la paga extra de Navidad</t>
        </is>
      </c>
      <c r="B61" s="18" t="n">
        <v>12</v>
      </c>
      <c r="C61" t="inlineStr">
        <is>
          <t>Mes del año (1-12) en el que sale de caja la segunda paga extra</t>
        </is>
      </c>
    </row>
    <row r="62">
      <c r="A62" t="inlineStr">
        <is>
          <t>Bebida ALCOHÓLICA sobre el total de bebida</t>
        </is>
      </c>
      <c r="B62" s="20" t="n">
        <v>0.05</v>
      </c>
      <c r="C62" t="inlineStr">
        <is>
          <t>Bebida ALCOHÓLICA sobre el total de bebida: casi nula — la línea de bebida de este plan es refrescos, agua y zumos, como describe la fila «Food cost bebidas» de la tabla de referencias («refrescos y agua embotellada»); sólo alguna cerveza envasada ocasional en festivales de música. El resto va al IVA reducido de hostelería. Este mismo peso reparte el IVA que SOPORTAS al comprar la bebida (la parte alcohólica al tipo general y el resto al reducido): si tu proveedor te factura al 21 % los refrescos y zumos con azúcares o edulcorantes añadidos —que es lo que manda el art. 91.Uno.1.1.º de la Ley 37/1992—, soportarás algo más de IVA del que estima el libro; lo recuperas igual con el modelo 303</t>
        </is>
      </c>
    </row>
    <row r="63">
      <c r="A63" t="inlineStr">
        <is>
          <t>IVA de la bebida ALCOHÓLICA para consumir en el acto</t>
        </is>
      </c>
      <c r="B63" s="20" t="n">
        <v>0.1</v>
      </c>
      <c r="C63" t="inlineStr">
        <is>
          <t>10 %, igual que el resto de lo que se sirve para consumir en el acto: el art. 91.Uno.2.2.º de la Ley 37/1992 del IVA grava al tipo reducido los servicios de hostelería y «el suministro de comidas y bebidas para consumir en el acto», sin excluir el alcohol, y eso es lo que hace un food truck. Si vendes alcohol envasado PARA LLEVAR no hay consumo en el acto y esa parte va al tipo general: el libro lo aplica sólo a la parte alcohólica que sale por el canal de la celda «Ventas por delivery sobre el total», que en este plan está a cero; súbela si abres ese canal</t>
        </is>
      </c>
    </row>
    <row r="64">
      <c r="A64" s="16" t="inlineStr">
        <is>
          <t>UMBRALES Y SUELOS DE CONTROL</t>
        </is>
      </c>
    </row>
    <row r="65">
      <c r="A65" t="inlineStr">
        <is>
          <t>DSCR mínimo aceptable</t>
        </is>
      </c>
      <c r="B65" s="24" t="n">
        <v>1</v>
      </c>
      <c r="C65" t="inlineStr">
        <is>
          <t>Por debajo de 1 el negocio no genera para pagar el préstamo. Ponlo en el covenant que te exija tu banco</t>
        </is>
      </c>
    </row>
    <row r="66">
      <c r="A66" t="inlineStr">
        <is>
          <t>DSCR objetivo (verde)</t>
        </is>
      </c>
      <c r="B66" s="24" t="n">
        <v>1.25</v>
      </c>
      <c r="C66" t="inlineStr">
        <is>
          <t>Lo que suele pedir una entidad para dar el préstamo sin garantías adicionales</t>
        </is>
      </c>
    </row>
    <row r="67">
      <c r="A67" t="inlineStr">
        <is>
          <t>Holgura mínima sobre el punto de equilibrio</t>
        </is>
      </c>
      <c r="B67" s="20" t="n">
        <v>0.15</v>
      </c>
      <c r="C67" t="inlineStr">
        <is>
          <t>Cuánto deben superar las ventas previstas a las del equilibrio de caja (costes fijos y cuota del préstamo). La caída que aguantas es algo menor: con un 15 % de holgura, un 13 % de lo previsto</t>
        </is>
      </c>
    </row>
    <row r="68">
      <c r="A68" t="inlineStr">
        <is>
          <t>Suelo salarial anual del convenio provincial (€)</t>
        </is>
      </c>
      <c r="B68" s="23" t="n">
        <v>0</v>
      </c>
      <c r="C68" t="inlineStr">
        <is>
          <t>El convenio PROVINCIAL de hostelería (o el de comercio, según cómo se clasifique la actividad de venta ambulante en tu provincia) es el suelo real del sector: cópialo de la tabla salarial que corresponda. Con 0 el semáforo compara sólo contra el SMI</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mporte no válido" error="Escribe un número mayor o igual que 0." type="decimal" operator="greaterThanOrEqual">
      <formula1>0</formula1>
    </dataValidation>
    <dataValidation sqref="B7 B8 B11 B13 B14 B15 B16 B17 B18 B20 B28 B32 B37 B38 B39 B40 B41 B48 B52 B55 B62 B63 B67" showDropDown="0" showInputMessage="0" showErrorMessage="1" allowBlank="1" errorTitle="Porcentaje no válido" error="Escribe un porcentaje entre 0 y 1 (0,35 = 35 %)." type="decimal" operator="between">
      <formula1>0</formula1>
      <formula2>1</formula2>
    </dataValidation>
    <dataValidation sqref="B6 B58 B59" showDropDown="0" showInputMessage="0" showErrorMessage="1" allowBlank="1" errorTitle="Días fuera de rango" error="Los días van de 1 a 365." type="whole" operator="between">
      <formula1>1</formula1>
      <formula2>365</formula2>
    </dataValidation>
    <dataValidation sqref="B34" showDropDown="0" showInputMessage="0" showErrorMessage="1" allowBlank="1" errorTitle="Recuento no válido" error="Años enteros de carencia, de 0 a 15. Si iguala o supera al plazo, la hoja la anula." type="whole" operator="between">
      <formula1>0</formula1>
      <formula2>15</formula2>
    </dataValidation>
    <dataValidation sqref="B53 B54" showDropDown="0" showInputMessage="0" showErrorMessage="1" allowBlank="1" errorTitle="Recuento no válido" error="Número entero de meses (0 a 24)." type="whole" operator="between">
      <formula1>0</formula1>
      <formula2>24</formula2>
    </dataValidation>
    <dataValidation sqref="B60 B61" showDropDown="0" showInputMessage="0" showErrorMessage="1" allowBlank="1" errorTitle="Recuento no válido" error="Mes del año, de 1 a 12." type="whole" operator="between">
      <formula1>1</formula1>
      <formula2>12</formula2>
    </dataValidation>
    <dataValidation sqref="B33" showDropDown="0" showInputMessage="0" showErrorMessage="1" allowBlank="1" errorTitle="Recuento no válido" error="Plazo en años enteros: el cuadro de amortización de este libro llega a 15 años." type="whole" operator="between">
      <formula1>1</formula1>
      <formula2>15</formula2>
    </dataValidation>
    <dataValidation sqref="B44 B45" showDropDown="0" showInputMessage="0" showErrorMessage="1" allowBlank="1" errorTitle="Recuento no válido" error="Vida útil en AÑOS ENTEROS (1 a 50). Los coeficientes máximos son los de la tabla del art. 12.1 LIS." type="whole" operator="between">
      <formula1>1</formula1>
      <formula2>50</formula2>
    </dataValidation>
    <dataValidation sqref="B4 B25 B35 B51"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 sqref="B21" showDropDown="0" showInputMessage="0" showErrorMessage="1" allowBlank="1" errorTitle="Recuento no válido" error="Número de pagas al año: 12, 14 o las que fije tu convenio (12 a 16)." type="whole" operator="between">
      <formula1>12</formula1>
      <formula2>16</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3"/>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c r="A1" s="1" t="inlineStr">
        <is>
          <t>PLAN DE NEGOCIO: FOOD TRUCK</t>
        </is>
      </c>
    </row>
    <row r="2">
      <c r="A2" s="2" t="inlineStr">
        <is>
          <t>Inversión Inicial Estimada — España 2026</t>
        </is>
      </c>
    </row>
    <row r="3">
      <c r="A3" s="3" t="inlineStr">
        <is>
          <t>Ajusta las cifras a tu proyecto.</t>
        </is>
      </c>
    </row>
    <row r="4"/>
    <row r="5">
      <c r="A5" s="25" t="inlineStr">
        <is>
          <t>Concepto</t>
        </is>
      </c>
      <c r="B5" s="25" t="inlineStr">
        <is>
          <t>Importe</t>
        </is>
      </c>
      <c r="C5" s="25" t="inlineStr">
        <is>
          <t>% s/inversión</t>
        </is>
      </c>
      <c r="D5" s="25" t="inlineStr">
        <is>
          <t>Notas</t>
        </is>
      </c>
      <c r="E5" s="25" t="inlineStr">
        <is>
          <t>¿Lleva IVA?</t>
        </is>
      </c>
    </row>
    <row r="6">
      <c r="A6" s="25" t="inlineStr">
        <is>
          <t>INVERSIÓN</t>
        </is>
      </c>
      <c r="B6" s="26">
        <f>IFERROR(IF(COUNT(B7:B23)=0,"",SUM(B7:B23)),"")</f>
        <v>63944.0</v>
      </c>
      <c r="C6" s="27">
        <f>IFERROR(B6/$B$26,"")</f>
        <v>0.7798353106462691</v>
      </c>
      <c r="D6" s="28" t="n"/>
      <c r="E6" s="28" t="n"/>
    </row>
    <row r="7">
      <c r="A7" s="28" t="inlineStr">
        <is>
          <t>Vehículo food truck (nuevo o segunda mano)</t>
        </is>
      </c>
      <c r="B7" s="29" t="n">
        <v>25000</v>
      </c>
      <c r="C7" s="30">
        <f>IFERROR(B7/$B$26,"")</f>
        <v>0.304889946924758</v>
      </c>
      <c r="D7" s="28" t="inlineStr">
        <is>
          <t>Furgoneta adaptada o remolque. Segunda mano desde 15K</t>
        </is>
      </c>
      <c r="E7" s="31" t="inlineStr">
        <is>
          <t>Sí</t>
        </is>
      </c>
    </row>
    <row r="8">
      <c r="A8" s="28" t="inlineStr">
        <is>
          <t>Adaptación y rotulación vehículo</t>
        </is>
      </c>
      <c r="B8" s="29" t="n">
        <v>8000</v>
      </c>
      <c r="C8" s="30">
        <f>IFERROR(B8/$B$26,"")</f>
        <v>0.09756478301592257</v>
      </c>
      <c r="D8" s="28" t="inlineStr">
        <is>
          <t>Ventanilla servicio, mostrador, rotulación integral</t>
        </is>
      </c>
      <c r="E8" s="31" t="inlineStr">
        <is>
          <t>Sí</t>
        </is>
      </c>
    </row>
    <row r="9">
      <c r="A9" s="28" t="inlineStr">
        <is>
          <t>Equipamiento cocina móvil</t>
        </is>
      </c>
      <c r="B9" s="29" t="n">
        <v>10000</v>
      </c>
      <c r="C9" s="30">
        <f>IFERROR(B9/$B$26,"")</f>
        <v>0.12195597876990322</v>
      </c>
      <c r="D9" s="28" t="inlineStr">
        <is>
          <t>Plancha, freidora, campaña, nevera, fregadero</t>
        </is>
      </c>
      <c r="E9" s="31" t="inlineStr">
        <is>
          <t>Sí</t>
        </is>
      </c>
    </row>
    <row r="10">
      <c r="A10" s="28" t="inlineStr">
        <is>
          <t>Generador eléctrico o conexión</t>
        </is>
      </c>
      <c r="B10" s="29" t="n">
        <v>3000</v>
      </c>
      <c r="C10" s="30">
        <f>IFERROR(B10/$B$26,"")</f>
        <v>0.03658679363097096</v>
      </c>
      <c r="D10" s="28" t="inlineStr">
        <is>
          <t>Generador insonorizado o kit conexión a red</t>
        </is>
      </c>
      <c r="E10" s="31" t="inlineStr">
        <is>
          <t>Sí</t>
        </is>
      </c>
    </row>
    <row r="11">
      <c r="A11" s="28" t="inlineStr">
        <is>
          <t>Instalación gas (si aplica)</t>
        </is>
      </c>
      <c r="B11" s="29" t="n">
        <v>1500</v>
      </c>
      <c r="C11" s="30">
        <f>IFERROR(B11/$B$26,"")</f>
        <v>0.01829339681548548</v>
      </c>
      <c r="D11" s="28" t="inlineStr">
        <is>
          <t>Certificación gas obligatoria, revisión anual</t>
        </is>
      </c>
      <c r="E11" s="31" t="inlineStr">
        <is>
          <t>Sí</t>
        </is>
      </c>
    </row>
    <row r="12">
      <c r="A12" s="28" t="inlineStr">
        <is>
          <t>Depósito de agua + aguas residuales</t>
        </is>
      </c>
      <c r="B12" s="29" t="n">
        <v>800</v>
      </c>
      <c r="C12" s="30">
        <f>IFERROR(B12/$B$26,"")</f>
        <v>0.009756478301592257</v>
      </c>
      <c r="D12" s="28" t="inlineStr">
        <is>
          <t>Depósito de agua limpia y de aguas residuales del vehículo: es el equipo que exige el proyecto técnico sanitario para servir comida fuera de un local con acometida</t>
        </is>
      </c>
      <c r="E12" s="31" t="inlineStr">
        <is>
          <t>Sí</t>
        </is>
      </c>
    </row>
    <row r="13">
      <c r="A13" s="28" t="inlineStr">
        <is>
          <t>Constitución SL + notaría + registro</t>
        </is>
      </c>
      <c r="B13" s="29" t="n">
        <v>800</v>
      </c>
      <c r="C13" s="30">
        <f>IFERROR(B13/$B$26,"")</f>
        <v>0.009756478301592257</v>
      </c>
      <c r="D13" s="28" t="inlineStr">
        <is>
          <t>SL unipersonal exprés. Las tasas y el arancel del Registro Mercantil no llevan IVA, pero los honorarios del notario y de tu gestoría sí (21 %, deducible): el libro deja la fila entera fuera del IVA que hay que adelantar para no inflarlo. Si tu presupuesto es sobre todo de honorarios, cambia el desplegable de la columna «¿Lleva IVA?» a «Sí»</t>
        </is>
      </c>
      <c r="E13" s="31" t="inlineStr">
        <is>
          <t>No</t>
        </is>
      </c>
    </row>
    <row r="14">
      <c r="A14" s="28" t="inlineStr">
        <is>
          <t>Licencias y permisos (promedio)</t>
        </is>
      </c>
      <c r="B14" s="29" t="n">
        <v>2000</v>
      </c>
      <c r="C14" s="30">
        <f>IFERROR(B14/$B$26,"")</f>
        <v>0.024391195753980643</v>
      </c>
      <c r="D14" s="28" t="inlineStr">
        <is>
          <t>Varía mucho por municipio y comunidad autónoma: pide el importe en el tuyo antes de cerrar el presupuesto</t>
        </is>
      </c>
      <c r="E14" s="31" t="inlineStr">
        <is>
          <t>No</t>
        </is>
      </c>
    </row>
    <row r="15">
      <c r="A15" s="28" t="inlineStr">
        <is>
          <t>Proyecto técnico sanitario</t>
        </is>
      </c>
      <c r="B15" s="29" t="n">
        <v>1500</v>
      </c>
      <c r="C15" s="30">
        <f>IFERROR(B15/$B$26,"")</f>
        <v>0.01829339681548548</v>
      </c>
      <c r="D15" s="28" t="inlineStr">
        <is>
          <t>Obligatorio para la actividad alimentaria móvil: planos de instalación, flujos y depósitos de agua</t>
        </is>
      </c>
      <c r="E15" s="31" t="inlineStr">
        <is>
          <t>Sí</t>
        </is>
      </c>
    </row>
    <row r="16">
      <c r="A16" s="28" t="inlineStr">
        <is>
          <t>TPV móvil + datáfono</t>
        </is>
      </c>
      <c r="B16" s="29" t="n">
        <v>800</v>
      </c>
      <c r="C16" s="30">
        <f>IFERROR(B16/$B$26,"")</f>
        <v>0.009756478301592257</v>
      </c>
      <c r="D16" s="28" t="inlineStr">
        <is>
          <t>TPV tablet + datáfono 4G para cobros</t>
        </is>
      </c>
      <c r="E16" s="31" t="inlineStr">
        <is>
          <t>Sí</t>
        </is>
      </c>
    </row>
    <row r="17">
      <c r="A17" s="28" t="inlineStr">
        <is>
          <t>Menaje, utensilios, packaging eco</t>
        </is>
      </c>
      <c r="B17" s="29" t="n">
        <v>1500</v>
      </c>
      <c r="C17" s="30">
        <f>IFERROR(B17/$B$26,"")</f>
        <v>0.01829339681548548</v>
      </c>
      <c r="D17" s="28" t="inlineStr">
        <is>
          <t>Menaje, utensilios y cubertería desechable: es el equipamiento que se amortiza. La primera compra de envases entra aquí sólo como arranque; el packaging de cada día NO se amortiza, va como coste variable en la línea «Consumibles y envases» de la cuenta de resultados, al porcentaje sobre ventas de la hoja de Supuestos</t>
        </is>
      </c>
      <c r="E17" s="31" t="inlineStr">
        <is>
          <t>Sí</t>
        </is>
      </c>
    </row>
    <row r="18">
      <c r="A18" s="28" t="inlineStr">
        <is>
          <t>Stock inicial de producto</t>
        </is>
      </c>
      <c r="B18" s="29" t="n">
        <v>1000</v>
      </c>
      <c r="C18" s="30">
        <f>IFERROR(B18/$B$26,"")</f>
        <v>0.012195597876990321</v>
      </c>
      <c r="D18" s="28" t="inlineStr">
        <is>
          <t>Género para las primeras dos semanas de servicio. El libro calcula el IVA que adelantas por esta fila al tipo general, aunque los alimentos se compren al 10 % (o al 4 %): son unos euros de más en la caja del arranque, que se recuperan igual con el modelo 303</t>
        </is>
      </c>
      <c r="E18" s="31" t="inlineStr">
        <is>
          <t>Sí</t>
        </is>
      </c>
    </row>
    <row r="19">
      <c r="A19" s="28" t="inlineStr">
        <is>
          <t>Marketing lanzamiento</t>
        </is>
      </c>
      <c r="B19" s="29" t="n">
        <v>2000</v>
      </c>
      <c r="C19" s="30">
        <f>IFERROR(B19/$B$26,"")</f>
        <v>0.024391195753980643</v>
      </c>
      <c r="D19" s="28" t="inlineStr">
        <is>
          <t>RRSS, web, flyers, ficha Google, evento inaugural</t>
        </is>
      </c>
      <c r="E19" s="31" t="inlineStr">
        <is>
          <t>Sí</t>
        </is>
      </c>
    </row>
    <row r="20">
      <c r="A20" s="28" t="inlineStr">
        <is>
          <t>Toldo, mobiliario exterior plegable</t>
        </is>
      </c>
      <c r="B20" s="29" t="n">
        <v>1500</v>
      </c>
      <c r="C20" s="30">
        <f>IFERROR(B20/$B$26,"")</f>
        <v>0.01829339681548548</v>
      </c>
      <c r="D20" s="28" t="inlineStr">
        <is>
          <t>Mesas altas plegables, sombrilla, banderolas</t>
        </is>
      </c>
      <c r="E20" s="31" t="inlineStr">
        <is>
          <t>Sí</t>
        </is>
      </c>
    </row>
    <row r="21">
      <c r="A21" s="28" t="inlineStr">
        <is>
          <t>Fianza del alquiler</t>
        </is>
      </c>
      <c r="B21" s="32">
        <f>IFERROR(IF('0. Supuestos'!$B$24="","",'0. Supuestos'!$B$24*'0. Supuestos'!$B$25),"")</f>
        <v>800.0</v>
      </c>
      <c r="C21" s="30">
        <f>IFERROR(B21/$B$26,"")</f>
        <v>0.009756478301592257</v>
      </c>
      <c r="D21" s="28" t="str">
        <f>IFERROR(""&amp;TEXT('0. Supuestos'!$B$25,"0")&amp;" meses de renta, al tipo de la hoja de Supuestos. Es un activo recuperable al cerrar: ni se amortiza ni lleva IVA","")</f>
        <v>2 meses de renta, al tipo de la hoja de Supuestos. Es un activo recuperable al cerrar: ni se amortiza ni lleva IVA</v>
      </c>
      <c r="E21" s="28" t="inlineStr">
        <is>
          <t>No</t>
        </is>
      </c>
    </row>
    <row r="22">
      <c r="A22" s="28" t="inlineStr">
        <is>
          <t>Alquiler de los meses previos a la apertura</t>
        </is>
      </c>
      <c r="B22" s="32">
        <f>IFERROR(IF('0. Supuestos'!$B$24="","",'0. Supuestos'!$B$24*'0. Supuestos'!$B$54),"")</f>
        <v>800.0</v>
      </c>
      <c r="C22" s="30">
        <f>IFERROR(B22/$B$26,"")</f>
        <v>0.009756478301592257</v>
      </c>
      <c r="D22" s="28" t="str">
        <f>IFERROR("Renta "&amp;IF('0. Supuestos'!$B$54=1,"del mes","de los "&amp;TEXT('0. Supuestos'!$B$54,"0")&amp;" meses")&amp;" de obra y licencias. NO se solapa con el P&amp;L, que arranca el día de la apertura: los doce meses del P&amp;L son los doce de explotación","")</f>
        <v>Renta de los 2 meses de obra y licencias. NO se solapa con el P&amp;L, que arranca el día de la apertura: los doce meses del P&amp;L son los doce de explotación</v>
      </c>
      <c r="E22" s="28" t="inlineStr">
        <is>
          <t>Sí</t>
        </is>
      </c>
    </row>
    <row r="23">
      <c r="A23" s="28" t="inlineStr">
        <is>
          <t>Imprevistos de obra y acondicionamiento</t>
        </is>
      </c>
      <c r="B23" s="32">
        <f>IFERROR(IF(COUNT(B7,B8,B11,B12,B15)=0,"",ROUND((B7+B8+B11+B12+B15)*'0. Supuestos'!$B$55,0)),"")</f>
        <v>2944.0</v>
      </c>
      <c r="C23" s="30">
        <f>IFERROR(B23/$B$26,"")</f>
        <v>0.035903840149859506</v>
      </c>
      <c r="D23" s="28" t="str">
        <f>IFERROR("Al "&amp;TEXT('0. Supuestos'!$B$55,"0%")&amp;" de las partidas de OBRA Y ACONDICIONAMIENTO de este bloque (Vehículo food truck (nuevo o segunda mano), Adaptación y rotulación vehículo, Instalación gas (si aplica), Depósito de agua + aguas residuales y Proyecto técnico sanitario), no "&amp;"del bloque entero: el resto de partidas del bloque quedan fuera. Un banco no financia una reforma sin colchón: el porcentaje está en la hoja de Supuestos","")</f>
        <v>Al 8% de las partidas de OBRA Y ACONDICIONAMIENTO de este bloque (Vehículo food truck (nuevo o segunda mano), Adaptación y rotulación vehículo, Instalación gas (si aplica), Depósito de agua + aguas residuales y Proyecto técnico sanitario), no del bloque entero: el resto de partidas del bloque quedan fuera. Un banco no financia una reforma sin colchón: el porcentaje está en la hoja de Supuestos</v>
      </c>
      <c r="E23" s="28" t="inlineStr">
        <is>
          <t>Sí</t>
        </is>
      </c>
    </row>
    <row r="24">
      <c r="A24" s="16" t="inlineStr">
        <is>
          <t>FONDO DE MANIOBRA</t>
        </is>
      </c>
      <c r="B24" s="33">
        <f>IFERROR(IF(B25="","",B25),"")</f>
        <v>18052.8</v>
      </c>
      <c r="C24" s="34">
        <f>IFERROR(B24/$B$26,"")</f>
        <v>0.22016468935373085</v>
      </c>
    </row>
    <row r="25">
      <c r="A25" s="35" t="inlineStr">
        <is>
          <t>Colchón operativo hasta alcanzar el equilibrio</t>
        </is>
      </c>
      <c r="B25" s="36">
        <f>IFERROR(IF('0. Supuestos'!$B$35*('PyG 3 Años'!$B$38-'PyG 3 Años'!$B$36)=0,"",'0. Supuestos'!$B$35*('PyG 3 Años'!$B$38-'PyG 3 Años'!$B$36)/12),"")</f>
        <v>18052.8</v>
      </c>
      <c r="C25" s="22">
        <f>IFERROR(B25/$B$26,"")</f>
        <v>0.22016468935373085</v>
      </c>
      <c r="D25" t="str">
        <f>IFERROR("Cubre "&amp;TEXT('0. Supuestos'!$B$35,"0")&amp;IF('0. Supuestos'!$B$35=1," mes"," meses")&amp;" de costes fijos DE CAJA del año 1 (los del P&amp;L menos la amortización, que no se paga), que es el mínimo que exigen las Instrucciones de este libro","")</f>
        <v>Cubre 3 meses de costes fijos DE CAJA del año 1 (los del P&amp;L menos la amortización, que no se paga), que es el mínimo que exigen las Instrucciones de este libro</v>
      </c>
      <c r="E25" s="35" t="inlineStr">
        <is>
          <t>No</t>
        </is>
      </c>
    </row>
    <row r="26">
      <c r="A26" s="16" t="inlineStr">
        <is>
          <t>INVERSIÓN TOTAL (suma de los bloques)</t>
        </is>
      </c>
      <c r="B26" s="33">
        <f>IFERROR(B6+B24,"")</f>
        <v>81996.8</v>
      </c>
      <c r="D26" s="37" t="str">
        <f>IFERROR("Los porcentajes de la columna C se leen sobre esta cifra, que incluye el fondo de maniobra ("&amp;TEXT(C24,"0%")&amp;" del total). Para comparar el desglose con otro plan, usa la fila de CAPEX de abajo.","")</f>
        <v>Los porcentajes de la columna C se leen sobre esta cifra, que incluye el fondo de maniobra (22% del total). Para comparar el desglose con otro plan, usa la fila de CAPEX de abajo.</v>
      </c>
    </row>
    <row r="27">
      <c r="A27" s="16" t="inlineStr">
        <is>
          <t>CAPEX (inversión sin el fondo de maniobra)</t>
        </is>
      </c>
      <c r="B27" s="33">
        <f>IFERROR(B26-B24,"")</f>
        <v>63944.0</v>
      </c>
      <c r="D27" s="16" t="inlineStr">
        <is>
          <t>Es lo que se compra: obra, equipamiento, lanzamiento y gastos de constitución. El colchón de caja no es inversión, es circulante</t>
        </is>
      </c>
    </row>
    <row r="28">
      <c r="A28" s="35" t="inlineStr">
        <is>
          <t>IVA soportado sobre la inversión (recuperable)</t>
        </is>
      </c>
      <c r="B28" s="36">
        <f>IFERROR(IF(B26="","",SUMIF($E$7:$E$23,"Sí",$B$7:$B$23)*'0. Supuestos'!$B$41),"")</f>
        <v>12672.24</v>
      </c>
      <c r="D28" t="str">
        <f>IFERROR("Al "&amp;TEXT('0. Supuestos'!$B$41,"0%")&amp;" sobre las partidas marcadas con «Sí» en la columna de IVA. Las tasas y licencias no están sujetas y los seguros están exentos (art. 20.Uno.16 LIVA). Las tasas y aranceles registrales no llevan IVA; los honorarios de notaría y gestoría sí "&amp;"(21 %, deducible). Se recupera con el modelo 303, pero hay que adelantarlo","")</f>
        <v>Al 21% sobre las partidas marcadas con «Sí» en la columna de IVA. Las tasas y licencias no están sujetas y los seguros están exentos (art. 20.Uno.16 LIVA). Las tasas y aranceles registrales no llevan IVA; los honorarios de notaría y gestoría sí (21 %, deducible). Se recupera con el modelo 303, pero hay que adelantarlo</v>
      </c>
    </row>
    <row r="29">
      <c r="A29" s="16" t="inlineStr">
        <is>
          <t>NECESIDAD TOTAL DE CAJA AL ARRANQUE</t>
        </is>
      </c>
      <c r="B29" s="33">
        <f>IFERROR(B26+B28,"")</f>
        <v>94669.04000000001</v>
      </c>
      <c r="D29" s="16" t="inlineStr">
        <is>
          <t>Es la cifra que tiene que cubrir la hoja de Financiación</t>
        </is>
      </c>
    </row>
    <row r="30">
      <c r="A30" s="16" t="inlineStr">
        <is>
          <t>BASES DE AMORTIZACIÓN (no suman a la inversión)</t>
        </is>
      </c>
    </row>
    <row r="31">
      <c r="A31" s="35" t="inlineStr">
        <is>
          <t>Obra, instalaciones y acondicionamiento</t>
        </is>
      </c>
      <c r="B31" s="36">
        <f>IFERROR(IF(B7="","",B7+B8+B11+B12+B15+B23),"")</f>
        <v>39744.0</v>
      </c>
      <c r="D31" t="str">
        <f>IFERROR("Se amortiza en "&amp;TEXT('0. Supuestos'!$B$44,"0")&amp;" años","")</f>
        <v>Se amortiza en 8 años</v>
      </c>
    </row>
    <row r="32">
      <c r="A32" s="35" t="inlineStr">
        <is>
          <t>Maquinaria, mobiliario y equipos</t>
        </is>
      </c>
      <c r="B32" s="36">
        <f>IFERROR(IF(B9="","",B9+B10+B16+B17+B20),"")</f>
        <v>16800.0</v>
      </c>
      <c r="D32" t="str">
        <f>IFERROR("Se amortiza en "&amp;TEXT('0. Supuestos'!$B$45,"0")&amp;" años","")</f>
        <v>Se amortiza en 10 años</v>
      </c>
    </row>
    <row r="33">
      <c r="A33" s="16" t="inlineStr">
        <is>
          <t>Amortización anual del inmovilizado</t>
        </is>
      </c>
      <c r="B33" s="33">
        <f>IFERROR(B31/MAX(1,'0. Supuestos'!$B$44)+B32/MAX(1,'0. Supuestos'!$B$45),"")</f>
        <v>6648.0</v>
      </c>
      <c r="D33" s="37" t="str">
        <f>IFERROR("No se amortizan, por no ser inmovilizado, Constitución SL + notaría + registro, Licencias y permisos (promedio), Stock inicial de producto, Marketing lanzamiento, Fianza del alquiler, Alquiler de los meses previos a la apertura ni Colchón "&amp;"operativo hasta alcanzar el equilibrio. Suman "&amp;TEXT(B26-B31-B32,"0")&amp;" € de los "&amp;TEXT(B26,"0")&amp;" € de inversión.","")</f>
        <v>No se amortizan, por no ser inmovilizado, Constitución SL + notaría + registro, Licencias y permisos (promedio), Stock inicial de producto, Marketing lanzamiento, Fianza del alquiler, Alquiler de los meses previos a la apertura ni Colchón operativo hasta alcanzar el equilibrio. Suman 25453 € de los 81997 € de inversión.</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9">
    <cfRule type="expression" priority="1" dxfId="0" stopIfTrue="1">
      <formula>AND(ISNUMBER(B29),B29&gt;0)</formula>
    </cfRule>
  </conditionalFormatting>
  <dataValidations count="2">
    <dataValidation sqref="E7:E20" showDropDown="0" showInputMessage="0" showErrorMessage="1" allowBlank="1" errorTitle="Marca no válida" error="Escribe «Sí» o «No»: de esta columna sale el IVA soportado de la inversión." type="list">
      <formula1>"Sí,No"</formula1>
    </dataValidation>
    <dataValidation sqref="B7 B8 B9 B10 B11 B12 B13 B14 B15 B16 B17 B18 B19 B20"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9"/>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38" t="inlineStr">
        <is>
          <t>CUENTA DE RESULTADOS PREVISIONAL — 3 AÑOS</t>
        </is>
      </c>
    </row>
    <row r="2">
      <c r="A2" s="3" t="inlineStr">
        <is>
          <t>Escenario realista — Food Truck urbano</t>
        </is>
      </c>
    </row>
    <row r="3"/>
    <row r="4">
      <c r="A4" s="39" t="inlineStr">
        <is>
          <t>Concepto</t>
        </is>
      </c>
      <c r="B4" s="39" t="inlineStr">
        <is>
          <t>Año 1</t>
        </is>
      </c>
      <c r="C4" s="39" t="inlineStr">
        <is>
          <t>Año 2</t>
        </is>
      </c>
      <c r="D4" s="39" t="inlineStr">
        <is>
          <t>Año 3</t>
        </is>
      </c>
      <c r="E4" s="39" t="inlineStr">
        <is>
          <t>% s/ventas (año 1)</t>
        </is>
      </c>
      <c r="F4" s="39" t="inlineStr">
        <is>
          <t>Notas</t>
        </is>
      </c>
      <c r="G4" s="39" t="inlineStr">
        <is>
          <t>Tipo de IVA de la línea (%)</t>
        </is>
      </c>
      <c r="H4" s="28" t="n"/>
    </row>
    <row r="5">
      <c r="A5" s="25" t="inlineStr">
        <is>
          <t>INGRESOS</t>
        </is>
      </c>
      <c r="B5" s="28" t="n"/>
      <c r="C5" s="28" t="n"/>
      <c r="D5" s="28" t="n"/>
      <c r="E5" s="28" t="n"/>
      <c r="F5" s="28" t="n"/>
      <c r="G5" s="28" t="n"/>
      <c r="H5" s="28" t="n"/>
    </row>
    <row r="6">
      <c r="A6" s="28" t="inlineStr">
        <is>
          <t>Clientes/día (media)</t>
        </is>
      </c>
      <c r="B6" s="40">
        <f>IFERROR(IF('0. Supuestos'!$B$4="","",'0. Supuestos'!$B$4),"")</f>
        <v>45.0</v>
      </c>
      <c r="C6" s="40">
        <f>IFERROR(B6*(1+'0. Supuestos'!$B$7),"")</f>
        <v>51.74999999999999</v>
      </c>
      <c r="D6" s="40">
        <f>IFERROR(C6*(1+'0. Supuestos'!$B$8),"")</f>
        <v>56.925</v>
      </c>
      <c r="E6" s="28" t="n"/>
      <c r="F6" s="28" t="inlineStr">
        <is>
          <t>El crecimiento de los años 2 y 3 está en la hoja de Supuestos</t>
        </is>
      </c>
      <c r="G6" s="28" t="n"/>
      <c r="H6" s="28" t="n"/>
    </row>
    <row r="7">
      <c r="A7" s="28" t="inlineStr">
        <is>
          <t>Ticket medio sin IVA</t>
        </is>
      </c>
      <c r="B7" s="41">
        <f>IFERROR(IF('0. Supuestos'!$B$5="","",'0. Supuestos'!$B$5),"")</f>
        <v>12.0</v>
      </c>
      <c r="C7" s="41">
        <f>IFERROR(IF(B7="","",B7),"")</f>
        <v>12.0</v>
      </c>
      <c r="D7" s="41">
        <f>IFERROR(IF(C7="","",C7),"")</f>
        <v>12.0</v>
      </c>
      <c r="E7" s="28" t="n"/>
      <c r="F7" s="28" t="inlineStr">
        <is>
          <t>Constante en euros del año 1: una subida de precios es una decisión aparte</t>
        </is>
      </c>
      <c r="G7" s="28" t="n"/>
      <c r="H7" s="28" t="n"/>
    </row>
    <row r="8">
      <c r="A8" s="28" t="inlineStr">
        <is>
          <t>Días de apertura al año</t>
        </is>
      </c>
      <c r="B8" s="40">
        <f>IFERROR(IF('0. Supuestos'!$B$6="","",'0. Supuestos'!$B$6),"")</f>
        <v>250.0</v>
      </c>
      <c r="C8" s="40">
        <f>IFERROR(IF(B8="","",B8),"")</f>
        <v>250.0</v>
      </c>
      <c r="D8" s="40">
        <f>IFERROR(IF(C8="","",C8),"")</f>
        <v>250.0</v>
      </c>
      <c r="E8" s="28" t="n"/>
      <c r="F8" s="28" t="n"/>
      <c r="G8" s="28" t="n"/>
      <c r="H8" s="28" t="n"/>
    </row>
    <row r="9">
      <c r="A9" s="25" t="inlineStr">
        <is>
          <t>INGRESOS TOTALES (sin IVA)</t>
        </is>
      </c>
      <c r="B9" s="26">
        <f>IFERROR(IF(B6*B7*B8=0,"",B6*B7*B8),"")</f>
        <v>135000.0</v>
      </c>
      <c r="C9" s="26">
        <f>IFERROR(IF(C6*C7*C8=0,"",C6*C7*C8),"")</f>
        <v>155249.99999999997</v>
      </c>
      <c r="D9" s="26">
        <f>IFERROR(IF(D6*D7*D8=0,"",D6*D7*D8),"")</f>
        <v>170774.99999999997</v>
      </c>
      <c r="E9" s="27">
        <f>IFERROR(IF(B9="","",1),"")</f>
        <v>1.0</v>
      </c>
      <c r="F9" s="28" t="n"/>
      <c r="G9" s="28" t="n"/>
      <c r="H9" s="28" t="n"/>
    </row>
    <row r="10">
      <c r="A10" s="28" t="inlineStr">
        <is>
          <t>Ventas de comida (calle, mercados y catering privado)</t>
        </is>
      </c>
      <c r="B10" s="32">
        <f>IFERROR(IF(B9="","",B9*$E$10),"")</f>
        <v>115006.5</v>
      </c>
      <c r="C10" s="32">
        <f>IFERROR(IF(C9="","",C9*$E$10),"")</f>
        <v>132257.47499999998</v>
      </c>
      <c r="D10" s="32">
        <f>IFERROR(IF(D9="","",D9*$E$10),"")</f>
        <v>145483.22249999997</v>
      </c>
      <c r="E10" s="30">
        <f>IFERROR(IF('0. Supuestos'!$B$11="","",'0. Supuestos'!$B$11),"")</f>
        <v>0.8519</v>
      </c>
      <c r="F10" s="28" t="inlineStr">
        <is>
          <t>Producto principal servido en ubicaciones fijas y mercados, más el catering y las celebraciones privadas (la línea «Catering/eventos privados» de la v1.1, que en el fichero original NO llevaba coste de mercancía propio: aquí SÍ lo lleva, con el mismo tipo que la comida de calle)</t>
        </is>
      </c>
      <c r="G10" s="30">
        <f>IFERROR(IF(B9="","",'0. Supuestos'!$B$39),"")</f>
        <v>0.1</v>
      </c>
      <c r="H10" s="28" t="n"/>
    </row>
    <row r="11">
      <c r="A11" s="28" t="inlineStr">
        <is>
          <t>Ventas de bebida (refrescos, agua y zumos embotellados)</t>
        </is>
      </c>
      <c r="B11" s="32">
        <f>IFERROR(IF(B9="","",B9*$E$11),"")</f>
        <v>19993.5</v>
      </c>
      <c r="C11" s="32">
        <f>IFERROR(IF(C9="","",C9*$E$11),"")</f>
        <v>22992.524999999998</v>
      </c>
      <c r="D11" s="32">
        <f>IFERROR(IF(D9="","",D9*$E$11),"")</f>
        <v>25291.777499999997</v>
      </c>
      <c r="E11" s="30">
        <f>IFERROR(IF('0. Supuestos'!$B$12="","",'0. Supuestos'!$B$12),"")</f>
        <v>0.1481</v>
      </c>
      <c r="F11" s="28" t="inlineStr">
        <is>
          <t>Bebidas embotelladas de acompañamiento del menú: el food truck no sirve bebida de barra</t>
        </is>
      </c>
      <c r="G11" s="30">
        <f>IFERROR(IF(B9="","",('0. Supuestos'!$B$62*((1-'0. Supuestos'!$B$16)*'0. Supuestos'!$B$63+'0. Supuestos'!$B$16*'0. Supuestos'!$B$40)+(1-'0. Supuestos'!$B$62)*'0. Supuestos'!$B$39)),"")</f>
        <v>0.1</v>
      </c>
      <c r="H11" s="28" t="n"/>
    </row>
    <row r="12">
      <c r="A12" s="25" t="inlineStr">
        <is>
          <t>COSTES VARIABLES</t>
        </is>
      </c>
      <c r="B12" s="28" t="n"/>
      <c r="C12" s="28" t="n"/>
      <c r="D12" s="28" t="n"/>
      <c r="E12" s="28" t="n"/>
      <c r="F12" s="28" t="n"/>
      <c r="G12" s="28" t="n"/>
      <c r="H12" s="28" t="n"/>
    </row>
    <row r="13">
      <c r="A13" s="28" t="inlineStr">
        <is>
          <t>Coste de mercancía — comida</t>
        </is>
      </c>
      <c r="B13" s="32">
        <f>IFERROR(IF(B9="","",B9*'0. Supuestos'!$B$11*'0. Supuestos'!$B$13),"")</f>
        <v>32201.820000000003</v>
      </c>
      <c r="C13" s="32">
        <f>IFERROR(IF(C9="","",C9*'0. Supuestos'!$B$11*'0. Supuestos'!$B$13),"")</f>
        <v>37032.09299999999</v>
      </c>
      <c r="D13" s="32">
        <f>IFERROR(IF(D9="","",D9*'0. Supuestos'!$B$11*'0. Supuestos'!$B$13),"")</f>
        <v>40735.302299999996</v>
      </c>
      <c r="E13" s="30">
        <f>IFERROR(B13/$B$9,"")</f>
        <v>0.23853200000000002</v>
      </c>
      <c r="F13" s="28" t="str">
        <f>IFERROR("Al "&amp;TEXT('0. Supuestos'!$B$13,"0%")&amp;" de las ventas de COMIDA, no del total: la bebida tiene su propia línea","")</f>
        <v>Al 28% de las ventas de COMIDA, no del total: la bebida tiene su propia línea</v>
      </c>
      <c r="G13" s="30">
        <f>IFERROR(IF(B9="","",'0. Supuestos'!$B$39),"")</f>
        <v>0.1</v>
      </c>
      <c r="H13" s="28" t="n"/>
    </row>
    <row r="14">
      <c r="A14" s="28" t="inlineStr">
        <is>
          <t>Coste de mercancía — bebida</t>
        </is>
      </c>
      <c r="B14" s="32">
        <f>IFERROR(IF(B9="","",B9*'0. Supuestos'!$B$12*'0. Supuestos'!$B$14),"")</f>
        <v>4398.57</v>
      </c>
      <c r="C14" s="32">
        <f>IFERROR(IF(C9="","",C9*'0. Supuestos'!$B$12*'0. Supuestos'!$B$14),"")</f>
        <v>5058.3555</v>
      </c>
      <c r="D14" s="32">
        <f>IFERROR(IF(D9="","",D9*'0. Supuestos'!$B$12*'0. Supuestos'!$B$14),"")</f>
        <v>5564.191049999999</v>
      </c>
      <c r="E14" s="30">
        <f>IFERROR(B14/$B$9,"")</f>
        <v>0.032582</v>
      </c>
      <c r="F14" s="28" t="str">
        <f>IFERROR("Al "&amp;TEXT('0. Supuestos'!$B$14,"0%")&amp;" de las ventas de BEBIDA","")</f>
        <v>Al 22% de las ventas de BEBIDA</v>
      </c>
      <c r="G14" s="30">
        <f>IFERROR(IF(B9="","",('0. Supuestos'!$B$62*'0. Supuestos'!$B$40+(1-'0. Supuestos'!$B$62)*'0. Supuestos'!$B$39)),"")</f>
        <v>0.1055</v>
      </c>
      <c r="H14" s="28" t="n"/>
    </row>
    <row r="15">
      <c r="A15" s="28" t="inlineStr">
        <is>
          <t>Consumibles y envases</t>
        </is>
      </c>
      <c r="B15" s="32">
        <f>IFERROR(IF(B9="","",B9*'0. Supuestos'!$B$15),"")</f>
        <v>4050.0</v>
      </c>
      <c r="C15" s="32">
        <f>IFERROR(IF(C9="","",C9*'0. Supuestos'!$B$15),"")</f>
        <v>4657.499999999999</v>
      </c>
      <c r="D15" s="32">
        <f>IFERROR(IF(D9="","",D9*'0. Supuestos'!$B$15),"")</f>
        <v>5123.249999999999</v>
      </c>
      <c r="E15" s="30">
        <f>IFERROR(B15/$B$9,"")</f>
        <v>0.03</v>
      </c>
      <c r="F15" s="28" t="n"/>
      <c r="G15" s="30">
        <f>IFERROR(IF(B9="","",'0. Supuestos'!$B$41),"")</f>
        <v>0.21</v>
      </c>
      <c r="H15" s="28" t="n"/>
    </row>
    <row r="16">
      <c r="A16" s="28" t="inlineStr">
        <is>
          <t>Comisiones de delivery</t>
        </is>
      </c>
      <c r="B16" s="32">
        <f>IFERROR(IF(B9="","",B9*'0. Supuestos'!$B$16*'0. Supuestos'!$B$17),"")</f>
        <v>0.0</v>
      </c>
      <c r="C16" s="32">
        <f>IFERROR(IF(C9="","",C9*'0. Supuestos'!$B$16*'0. Supuestos'!$B$17),"")</f>
        <v>0.0</v>
      </c>
      <c r="D16" s="32">
        <f>IFERROR(IF(D9="","",D9*'0. Supuestos'!$B$16*'0. Supuestos'!$B$17),"")</f>
        <v>0.0</v>
      </c>
      <c r="E16" s="30">
        <f>IFERROR(B16/$B$9,"")</f>
        <v>0.0</v>
      </c>
      <c r="F16" s="28" t="inlineStr">
        <is>
          <t>Sobre las ventas DEL CANAL. Con 0 % de delivery en Supuestos, esta línea vale cero</t>
        </is>
      </c>
      <c r="G16" s="30">
        <f>IFERROR(IF(B9="","",'0. Supuestos'!$B$41),"")</f>
        <v>0.21</v>
      </c>
      <c r="H16" s="28" t="n"/>
    </row>
    <row r="17">
      <c r="A17" s="28" t="inlineStr">
        <is>
          <t>Comisiones de los medios de pago</t>
        </is>
      </c>
      <c r="B17" s="32">
        <f>IFERROR(IF(B9="","",B9*'0. Supuestos'!$B$18),"")</f>
        <v>1080.0</v>
      </c>
      <c r="C17" s="32">
        <f>IFERROR(IF(C9="","",C9*'0. Supuestos'!$B$18),"")</f>
        <v>1241.9999999999998</v>
      </c>
      <c r="D17" s="32">
        <f>IFERROR(IF(D9="","",D9*'0. Supuestos'!$B$18),"")</f>
        <v>1366.1999999999998</v>
      </c>
      <c r="E17" s="30">
        <f>IFERROR(B17/$B$9,"")</f>
        <v>0.008</v>
      </c>
      <c r="F17" s="28" t="inlineStr">
        <is>
          <t>Las comisiones de los medios de pago están EXENTAS de IVA (art. 20.Uno.18 LIVA): no se deduce nada por ellas</t>
        </is>
      </c>
      <c r="G17" s="30" t="n">
        <v>0</v>
      </c>
      <c r="H17" s="28" t="n"/>
    </row>
    <row r="18">
      <c r="A18" s="28" t="inlineStr">
        <is>
          <t>Varios e imprevistos</t>
        </is>
      </c>
      <c r="B18" s="32">
        <f>IFERROR(IF(B9="","",B9*'0. Supuestos'!$B$28),"")</f>
        <v>6750.0</v>
      </c>
      <c r="C18" s="32">
        <f>IFERROR(IF(C9="","",C9*'0. Supuestos'!$B$28),"")</f>
        <v>7762.499999999999</v>
      </c>
      <c r="D18" s="32">
        <f>IFERROR(IF(D9="","",D9*'0. Supuestos'!$B$28),"")</f>
        <v>8538.749999999998</v>
      </c>
      <c r="E18" s="30">
        <f>IFERROR(B18/$B$9,"")</f>
        <v>0.05</v>
      </c>
      <c r="F18" s="28" t="str">
        <f>IFERROR("Al "&amp;TEXT('0. Supuestos'!$B$28,"0%")&amp;" de las ventas. Es un coste VARIABLE: sube y baja con la facturación, así que no puede vivir en los costes fijos","")</f>
        <v>Al 5% de las ventas. Es un coste VARIABLE: sube y baja con la facturación, así que no puede vivir en los costes fijos</v>
      </c>
      <c r="G18" s="30">
        <f>IFERROR(IF(B9="","",'0. Supuestos'!$B$41),"")</f>
        <v>0.21</v>
      </c>
      <c r="H18" s="28" t="n"/>
    </row>
    <row r="19">
      <c r="A19" s="25" t="inlineStr">
        <is>
          <t>TOTAL COSTES VARIABLES</t>
        </is>
      </c>
      <c r="B19" s="26">
        <f>IFERROR(IF(B9="","",SUM(B13:B18)),"")</f>
        <v>48480.39</v>
      </c>
      <c r="C19" s="26">
        <f>IFERROR(IF(C9="","",SUM(C13:C18)),"")</f>
        <v>55752.44849999999</v>
      </c>
      <c r="D19" s="26">
        <f>IFERROR(IF(D9="","",SUM(D13:D18)),"")</f>
        <v>61327.693349999994</v>
      </c>
      <c r="E19" s="27">
        <f>IFERROR(B19/$B$9,"")</f>
        <v>0.359114</v>
      </c>
      <c r="F19" s="28" t="n"/>
      <c r="G19" s="28" t="n"/>
      <c r="H19" s="28" t="n"/>
    </row>
    <row r="20">
      <c r="A20" s="25" t="inlineStr">
        <is>
          <t>MARGEN BRUTO</t>
        </is>
      </c>
      <c r="B20" s="26">
        <f>IFERROR(IF(B9="","",B9-B19),"")</f>
        <v>86519.61</v>
      </c>
      <c r="C20" s="26">
        <f>IFERROR(IF(C9="","",C9-C19),"")</f>
        <v>99497.55149999997</v>
      </c>
      <c r="D20" s="26">
        <f>IFERROR(IF(D9="","",D9-D19),"")</f>
        <v>109447.30664999998</v>
      </c>
      <c r="E20" s="27">
        <f>IFERROR(B20/$B$9,"")</f>
        <v>0.640886</v>
      </c>
      <c r="F20" s="28" t="n"/>
      <c r="G20" s="28" t="n"/>
      <c r="H20" s="28" t="n"/>
    </row>
    <row r="21">
      <c r="A21" s="25" t="inlineStr">
        <is>
          <t>COSTES FIJOS</t>
        </is>
      </c>
      <c r="B21" s="28" t="n"/>
      <c r="C21" s="28" t="n"/>
      <c r="D21" s="28" t="n"/>
      <c r="E21" s="28" t="n"/>
      <c r="F21" s="28" t="n"/>
      <c r="G21" s="28" t="n"/>
      <c r="H21" s="28" t="n"/>
    </row>
    <row r="22">
      <c r="A22" s="28" t="inlineStr">
        <is>
          <t>Aparcamiento y base del vehículo</t>
        </is>
      </c>
      <c r="B22" s="32">
        <f>IFERROR(IF(B9="","",'0. Supuestos'!$B$24*12),"")</f>
        <v>4800.0</v>
      </c>
      <c r="C22" s="32">
        <f>IFERROR(IF(C9="","",B22*(1+'0. Supuestos'!$B$48)),"")</f>
        <v>4800.0</v>
      </c>
      <c r="D22" s="32">
        <f>IFERROR(IF(D9="","",C22*(1+'0. Supuestos'!$B$48)),"")</f>
        <v>4800.0</v>
      </c>
      <c r="E22" s="30">
        <f>IFERROR(B22/$B$9,"")</f>
        <v>0.035555555555555556</v>
      </c>
      <c r="F22" s="28" t="inlineStr">
        <is>
          <t>El importe mensual está en la hoja de Supuestos; aquí se multiplica por doce. Es la plaza de aparcamiento y la base del vehículo (agua, limpieza y vaciado de residuales), no la renta de un local. Los meses previos a la apertura están en la hoja de Inversión y NO se cuentan dos veces</t>
        </is>
      </c>
      <c r="G22" s="30">
        <f>IFERROR(IF(B9="","",'0. Supuestos'!$B$41),"")</f>
        <v>0.21</v>
      </c>
      <c r="H22" s="28" t="n"/>
    </row>
    <row r="23">
      <c r="A23" s="28" t="inlineStr">
        <is>
          <t>Personal (nóminas + Seguridad Social)</t>
        </is>
      </c>
      <c r="B23" s="32">
        <f>IFERROR(IF(B9="","",'Personal'!$G$9),"")</f>
        <v>42081.2</v>
      </c>
      <c r="C23" s="32">
        <f>IFERROR(IF(C9="","",'Personal'!$B$13),"")</f>
        <v>48081.2</v>
      </c>
      <c r="D23" s="32">
        <f>IFERROR(IF(D9="","",'Personal'!$B$14),"")</f>
        <v>54081.2</v>
      </c>
      <c r="E23" s="30">
        <f>IFERROR(B23/$B$9,"")</f>
        <v>0.3117125925925926</v>
      </c>
      <c r="F23" s="28" t="inlineStr">
        <is>
          <t>Sale de la hoja de Personal: es el MISMO número, no una estimación aparte. Los años 2 y 3 suman las INCORPORACIONES declaradas en esa hoja, no un porcentaje de volumen</t>
        </is>
      </c>
      <c r="G23" s="30" t="n">
        <v>0</v>
      </c>
      <c r="H23" s="28" t="n"/>
    </row>
    <row r="24">
      <c r="A24" s="28" t="inlineStr">
        <is>
          <t>Suministros (luz, agua, gas)</t>
        </is>
      </c>
      <c r="B24" s="32">
        <f>IFERROR(IF(B9="","",'0. Supuestos'!$B$26*12),"")</f>
        <v>2400.0</v>
      </c>
      <c r="C24" s="32">
        <f>IFERROR(IF(C9="","",B24*(1+'0. Supuestos'!$B$48)),"")</f>
        <v>2400.0</v>
      </c>
      <c r="D24" s="32">
        <f>IFERROR(IF(D9="","",C24*(1+'0. Supuestos'!$B$48)),"")</f>
        <v>2400.0</v>
      </c>
      <c r="E24" s="30">
        <f>IFERROR(B24/$B$9,"")</f>
        <v>0.017777777777777778</v>
      </c>
      <c r="F24" s="28" t="inlineStr">
        <is>
          <t>Combustible del generador eléctrico, agua limpia y vaciado de residuales en la base del vehículo. Luz y gas van al 21 % y la factura del agua al 10 %: el libro aplica a toda la partida el tipo de la columna de al lado (21 %), así que si el agua pesa mucho en tu caso, sepárala en su propia línea</t>
        </is>
      </c>
      <c r="G24" s="30">
        <f>IFERROR(IF(B9="","",'0. Supuestos'!$B$41),"")</f>
        <v>0.21</v>
      </c>
      <c r="H24" s="28" t="n"/>
    </row>
    <row r="25">
      <c r="A25" s="28" t="inlineStr">
        <is>
          <t>Seguros (RC + multirriesgo)</t>
        </is>
      </c>
      <c r="B25" s="32">
        <f>IFERROR(IF(B9="","",'0. Supuestos'!$B$27),"")</f>
        <v>2500.0</v>
      </c>
      <c r="C25" s="32">
        <f>IFERROR(IF(C9="","",B25*(1+'0. Supuestos'!$B$48)),"")</f>
        <v>2500.0</v>
      </c>
      <c r="D25" s="32">
        <f>IFERROR(IF(D9="","",C25*(1+'0. Supuestos'!$B$48)),"")</f>
        <v>2500.0</v>
      </c>
      <c r="E25" s="30">
        <f>IFERROR(B25/$B$9,"")</f>
        <v>0.018518518518518517</v>
      </c>
      <c r="F25" s="28" t="inlineStr">
        <is>
          <t>Las operaciones de seguro están EXENTAS de IVA (art. 20.Uno.16 LIVA): la prima no lleva IVA deducible</t>
        </is>
      </c>
      <c r="G25" s="30" t="n">
        <v>0</v>
      </c>
      <c r="H25" s="28" t="n"/>
    </row>
    <row r="26">
      <c r="A26" s="28" t="inlineStr">
        <is>
          <t>Permisos y licencias (anuales)</t>
        </is>
      </c>
      <c r="B26" s="29" t="n">
        <v>3600</v>
      </c>
      <c r="C26" s="32">
        <f>IFERROR(IF(C9="","",B26*(1+'0. Supuestos'!$B$48)),"")</f>
        <v>3600.0</v>
      </c>
      <c r="D26" s="32">
        <f>IFERROR(IF(D9="","",C26*(1+'0. Supuestos'!$B$48)),"")</f>
        <v>3600.0</v>
      </c>
      <c r="E26" s="30">
        <f>IFERROR(B26/$B$9,"")</f>
        <v>0.02666666666666667</v>
      </c>
      <c r="F26" s="28" t="n"/>
      <c r="G26" s="30">
        <f>IFERROR(IF(B9="","",'0. Supuestos'!$B$41),"")</f>
        <v>0.21</v>
      </c>
      <c r="H26" s="28" t="n"/>
    </row>
    <row r="27">
      <c r="A27" s="28" t="inlineStr">
        <is>
          <t>Mantenimiento vehículo + ITV</t>
        </is>
      </c>
      <c r="B27" s="29" t="n">
        <v>2400</v>
      </c>
      <c r="C27" s="32">
        <f>IFERROR(IF(C9="","",B27*(1+'0. Supuestos'!$B$48)),"")</f>
        <v>2400.0</v>
      </c>
      <c r="D27" s="32">
        <f>IFERROR(IF(D9="","",C27*(1+'0. Supuestos'!$B$48)),"")</f>
        <v>2400.0</v>
      </c>
      <c r="E27" s="30">
        <f>IFERROR(B27/$B$9,"")</f>
        <v>0.017777777777777778</v>
      </c>
      <c r="F27" s="28" t="n"/>
      <c r="G27" s="30">
        <f>IFERROR(IF(B9="","",'0. Supuestos'!$B$41),"")</f>
        <v>0.21</v>
      </c>
      <c r="H27" s="28" t="n"/>
    </row>
    <row r="28">
      <c r="A28" s="28" t="inlineStr">
        <is>
          <t>Marketing y publicidad</t>
        </is>
      </c>
      <c r="B28" s="29" t="n">
        <v>4800</v>
      </c>
      <c r="C28" s="32">
        <f>IFERROR(IF(C9="","",B28*(1+'0. Supuestos'!$B$48)),"")</f>
        <v>4800.0</v>
      </c>
      <c r="D28" s="32">
        <f>IFERROR(IF(D9="","",C28*(1+'0. Supuestos'!$B$48)),"")</f>
        <v>4800.0</v>
      </c>
      <c r="E28" s="30">
        <f>IFERROR(B28/$B$9,"")</f>
        <v>0.035555555555555556</v>
      </c>
      <c r="F28" s="28" t="n"/>
      <c r="G28" s="30">
        <f>IFERROR(IF(B9="","",'0. Supuestos'!$B$41),"")</f>
        <v>0.21</v>
      </c>
      <c r="H28" s="28" t="n"/>
    </row>
    <row r="29">
      <c r="A29" s="28" t="inlineStr">
        <is>
          <t>Gestoría + contabilidad</t>
        </is>
      </c>
      <c r="B29" s="29" t="n">
        <v>1800</v>
      </c>
      <c r="C29" s="32">
        <f>IFERROR(IF(C9="","",B29*(1+'0. Supuestos'!$B$48)),"")</f>
        <v>1800.0</v>
      </c>
      <c r="D29" s="32">
        <f>IFERROR(IF(D9="","",C29*(1+'0. Supuestos'!$B$48)),"")</f>
        <v>1800.0</v>
      </c>
      <c r="E29" s="30">
        <f>IFERROR(B29/$B$9,"")</f>
        <v>0.013333333333333334</v>
      </c>
      <c r="F29" s="28" t="n"/>
      <c r="G29" s="30">
        <f>IFERROR(IF(B9="","",'0. Supuestos'!$B$41),"")</f>
        <v>0.21</v>
      </c>
      <c r="H29" s="28" t="n"/>
    </row>
    <row r="30">
      <c r="A30" s="28" t="inlineStr">
        <is>
          <t>Software (TPV, web, RRSS)</t>
        </is>
      </c>
      <c r="B30" s="29" t="n">
        <v>600</v>
      </c>
      <c r="C30" s="32">
        <f>IFERROR(IF(C9="","",B30*(1+'0. Supuestos'!$B$48)),"")</f>
        <v>600.0</v>
      </c>
      <c r="D30" s="32">
        <f>IFERROR(IF(D9="","",C30*(1+'0. Supuestos'!$B$48)),"")</f>
        <v>600.0</v>
      </c>
      <c r="E30" s="30">
        <f>IFERROR(B30/$B$9,"")</f>
        <v>0.0044444444444444444</v>
      </c>
      <c r="F30" s="28" t="n"/>
      <c r="G30" s="30">
        <f>IFERROR(IF(B9="","",'0. Supuestos'!$B$41),"")</f>
        <v>0.21</v>
      </c>
      <c r="H30" s="28" t="n"/>
    </row>
    <row r="31">
      <c r="A31" s="28" t="inlineStr">
        <is>
          <t>Limpieza y productos</t>
        </is>
      </c>
      <c r="B31" s="29" t="n">
        <v>1200</v>
      </c>
      <c r="C31" s="32">
        <f>IFERROR(IF(C9="","",B31*(1+'0. Supuestos'!$B$48)),"")</f>
        <v>1200.0</v>
      </c>
      <c r="D31" s="32">
        <f>IFERROR(IF(D9="","",C31*(1+'0. Supuestos'!$B$48)),"")</f>
        <v>1200.0</v>
      </c>
      <c r="E31" s="30">
        <f>IFERROR(B31/$B$9,"")</f>
        <v>0.008888888888888889</v>
      </c>
      <c r="F31" s="28" t="n"/>
      <c r="G31" s="30">
        <f>IFERROR(IF(B9="","",'0. Supuestos'!$B$41),"")</f>
        <v>0.21</v>
      </c>
      <c r="H31" s="28" t="n"/>
    </row>
    <row r="32">
      <c r="A32" s="28" t="inlineStr">
        <is>
          <t>Gestión de residuos (orgánico, cartón y aceite usado)</t>
        </is>
      </c>
      <c r="B32" s="29" t="n">
        <v>400</v>
      </c>
      <c r="C32" s="32">
        <f>IFERROR(IF(C9="","",B32*(1+'0. Supuestos'!$B$48)),"")</f>
        <v>400.0</v>
      </c>
      <c r="D32" s="32">
        <f>IFERROR(IF(D9="","",C32*(1+'0. Supuestos'!$B$48)),"")</f>
        <v>400.0</v>
      </c>
      <c r="E32" s="30">
        <f>IFERROR(B32/$B$9,"")</f>
        <v>0.002962962962962963</v>
      </c>
      <c r="F32" s="28" t="inlineStr">
        <is>
          <t>Gestor autorizado. El propio checklist ya avisa de que la freidora genera aceite usado que hay que gestionar, pero nunca contrataba el servicio. Pide presupuesto en tu zona</t>
        </is>
      </c>
      <c r="G32" s="30">
        <f>IFERROR(IF(B9="","",'0. Supuestos'!$B$41),"")</f>
        <v>0.21</v>
      </c>
      <c r="H32" s="28" t="n"/>
    </row>
    <row r="33">
      <c r="A33" s="28" t="inlineStr">
        <is>
          <t>Desinsectación, desratización y desinfección (DDD)</t>
        </is>
      </c>
      <c r="B33" s="29" t="n">
        <v>400</v>
      </c>
      <c r="C33" s="32">
        <f>IFERROR(IF(C9="","",B33*(1+'0. Supuestos'!$B$48)),"")</f>
        <v>400.0</v>
      </c>
      <c r="D33" s="32">
        <f>IFERROR(IF(D9="","",C33*(1+'0. Supuestos'!$B$48)),"")</f>
        <v>400.0</v>
      </c>
      <c r="E33" s="30">
        <f>IFERROR(B33/$B$9,"")</f>
        <v>0.002962962962962963</v>
      </c>
      <c r="F33" s="28" t="inlineStr">
        <is>
          <t>Empresa inscrita en el ROESB; forma parte del plan APPCC móvil que el checklist ya exige en su fase de personal</t>
        </is>
      </c>
      <c r="G33" s="30">
        <f>IFERROR(IF(B9="","",'0. Supuestos'!$B$41),"")</f>
        <v>0.21</v>
      </c>
      <c r="H33" s="28" t="n"/>
    </row>
    <row r="34">
      <c r="A34" s="28" t="inlineStr">
        <is>
          <t>Prevención de riesgos laborales y vigilancia de la salud</t>
        </is>
      </c>
      <c r="B34" s="29" t="n">
        <v>350</v>
      </c>
      <c r="C34" s="32">
        <f>IFERROR(IF(C9="","",B34*(1+'0. Supuestos'!$B$48)),"")</f>
        <v>350.0</v>
      </c>
      <c r="D34" s="32">
        <f>IFERROR(IF(D9="","",C34*(1+'0. Supuestos'!$B$48)),"")</f>
        <v>350.0</v>
      </c>
      <c r="E34" s="30">
        <f>IFERROR(B34/$B$9,"")</f>
        <v>0.0025925925925925925</v>
      </c>
      <c r="F34" s="28" t="inlineStr">
        <is>
          <t>El plan de prevención es obligatorio; el proveedor externo, no (art. 30.5 de la Ley 31/1995). A quién se marca como responsable se corrige en el propio checklist</t>
        </is>
      </c>
      <c r="G34" s="30">
        <f>IFERROR(IF(B9="","",'0. Supuestos'!$B$41),"")</f>
        <v>0.21</v>
      </c>
      <c r="H34" s="28" t="n"/>
    </row>
    <row r="35">
      <c r="A35" s="28" t="inlineStr">
        <is>
          <t>Derechos de autor por música ambiental (SGAE/AGEDI-AIE)</t>
        </is>
      </c>
      <c r="B35" s="29" t="n">
        <v>200</v>
      </c>
      <c r="C35" s="32">
        <f>IFERROR(IF(C9="","",B35*(1+'0. Supuestos'!$B$48)),"")</f>
        <v>200.0</v>
      </c>
      <c r="D35" s="32">
        <f>IFERROR(IF(D9="","",C35*(1+'0. Supuestos'!$B$48)),"")</f>
        <v>200.0</v>
      </c>
      <c r="E35" s="30">
        <f>IFERROR(B35/$B$9,"")</f>
        <v>0.0014814814814814814</v>
      </c>
      <c r="F35" s="28" t="inlineStr">
        <is>
          <t>Sólo se paga si el food truck pone música propia en ferias y festivales (distinto de la licencia del organizador, que cubre el recinto y no cada puesto). Presupuesto mínimo por si se usa</t>
        </is>
      </c>
      <c r="G35" s="30">
        <f>IFERROR(IF(B9="","",'0. Supuestos'!$B$41),"")</f>
        <v>0.21</v>
      </c>
      <c r="H35" s="28" t="n"/>
    </row>
    <row r="36">
      <c r="A36" s="28" t="inlineStr">
        <is>
          <t>Amortización del inmovilizado</t>
        </is>
      </c>
      <c r="B36" s="32">
        <f>IFERROR(IF(B9="","",'Inversión Inicial'!$B$33),"")</f>
        <v>6648.0</v>
      </c>
      <c r="C36" s="32">
        <f>IFERROR(IF(C9="","",B36),"")</f>
        <v>6648.0</v>
      </c>
      <c r="D36" s="32">
        <f>IFERROR(IF(D9="","",B36),"")</f>
        <v>6648.0</v>
      </c>
      <c r="E36" s="30">
        <f>IFERROR(B36/$B$9,"")</f>
        <v>0.049244444444444445</v>
      </c>
      <c r="F36" s="28" t="inlineStr">
        <is>
          <t>Sale de las bases de amortización de la hoja de Inversión: sólo inmovilizado real. NO sube con el IPC: es una cuota sobre el coste HISTÓRICO del inmovilizado</t>
        </is>
      </c>
      <c r="G36" s="30" t="n">
        <v>0</v>
      </c>
      <c r="H36" s="28" t="n"/>
    </row>
    <row r="37">
      <c r="A37" s="28" t="inlineStr">
        <is>
          <t>Gastos financieros (intereses del préstamo)</t>
        </is>
      </c>
      <c r="B37" s="32">
        <f>IFERROR(IF(B9="","",'Financiación'!$B$44),"")</f>
        <v>4680.0</v>
      </c>
      <c r="C37" s="32">
        <f>IFERROR(IF(C9="","",'Financiación'!$B$46),"")</f>
        <v>4680.0</v>
      </c>
      <c r="D37" s="32">
        <f>IFERROR(IF(D9="","",'Financiación'!$B$48),"")</f>
        <v>3858.030364043762</v>
      </c>
      <c r="E37" s="30">
        <f>IFERROR(B37/$B$9,"")</f>
        <v>0.034666666666666665</v>
      </c>
      <c r="F37" s="28" t="inlineStr">
        <is>
          <t>Sólo los INTERESES son gasto. La devolución del principal va en la hoja de Tesorería</t>
        </is>
      </c>
      <c r="G37" s="30" t="n">
        <v>0</v>
      </c>
      <c r="H37" s="28" t="n"/>
    </row>
    <row r="38">
      <c r="A38" s="16" t="inlineStr">
        <is>
          <t>TOTAL COSTES FIJOS</t>
        </is>
      </c>
      <c r="B38" s="33">
        <f>IFERROR(IF(B9="","",SUM(B22:B37)),"")</f>
        <v>78859.2</v>
      </c>
      <c r="C38" s="33">
        <f>IFERROR(IF(C9="","",SUM(C22:C37)),"")</f>
        <v>84859.2</v>
      </c>
      <c r="D38" s="33">
        <f>IFERROR(IF(D9="","",SUM(D22:D37)),"")</f>
        <v>90037.23036404376</v>
      </c>
      <c r="E38" s="34">
        <f>IFERROR(B38/$B$9,"")</f>
        <v>0.5841422222222222</v>
      </c>
    </row>
    <row r="39">
      <c r="A39" s="35" t="inlineStr">
        <is>
          <t>IVA soportado de los costes variables</t>
        </is>
      </c>
      <c r="B39" s="36">
        <f>IFERROR(IF(B9="","",SUMPRODUCT(B13:B18,G13:G18)),"")</f>
        <v>5952.231135000001</v>
      </c>
      <c r="C39" s="36">
        <f>IFERROR(IF(C9="","",SUMPRODUCT(C13:C18,G13:G18)),"")</f>
        <v>6845.065805249999</v>
      </c>
      <c r="D39" s="36">
        <f>IFERROR(IF(D9="","",SUMPRODUCT(D13:D18,G13:G18)),"")</f>
        <v>7529.572385774999</v>
      </c>
      <c r="F39" s="35" t="inlineStr">
        <is>
          <t>Cada línea a SU tipo, leído de la columna de al lado. Es lo que la hoja de Tesorería paga de más a los proveedores y luego se deduce</t>
        </is>
      </c>
    </row>
    <row r="40">
      <c r="A40" s="35" t="inlineStr">
        <is>
          <t>IVA soportado de los costes fijos</t>
        </is>
      </c>
      <c r="B40" s="36">
        <f>IFERROR(IF(B9="","",SUMPRODUCT(B22:B37,G22:G37)),"")</f>
        <v>4819.5</v>
      </c>
      <c r="C40" s="36">
        <f>IFERROR(IF(C9="","",SUMPRODUCT(C22:C37,G22:G37)),"")</f>
        <v>4819.5</v>
      </c>
      <c r="D40" s="36">
        <f>IFERROR(IF(D9="","",SUMPRODUCT(D22:D37,G22:G37)),"")</f>
        <v>4819.5</v>
      </c>
    </row>
    <row r="41">
      <c r="A41" s="16" t="inlineStr">
        <is>
          <t>RESULTADO ANTES DE IMPUESTOS</t>
        </is>
      </c>
      <c r="B41" s="33">
        <f>IFERROR(IF(B9="","",B20-B38),"")</f>
        <v>7660.4100000000035</v>
      </c>
      <c r="C41" s="33">
        <f>IFERROR(IF(C9="","",C20-C38),"")</f>
        <v>14638.351499999975</v>
      </c>
      <c r="D41" s="33">
        <f>IFERROR(IF(D9="","",D20-D38),"")</f>
        <v>19410.076285956224</v>
      </c>
      <c r="E41" s="34">
        <f>IFERROR(B41/$B$9,"")</f>
        <v>0.0567437777777778</v>
      </c>
    </row>
    <row r="42">
      <c r="A42" s="35" t="inlineStr">
        <is>
          <t>Bases negativas pendientes al inicio</t>
        </is>
      </c>
      <c r="B42" s="36">
        <f>IFERROR(IF(B9="","",'0. Supuestos'!$B$42),"")</f>
        <v>0.0</v>
      </c>
      <c r="C42" s="36">
        <f>IFERROR(IF(C9="","",B47),"")</f>
        <v>0.0</v>
      </c>
      <c r="D42" s="36">
        <f>IFERROR(IF(D9="","",C47),"")</f>
        <v>0.0</v>
      </c>
      <c r="F42" s="35" t="inlineStr">
        <is>
          <t>Art. 26 LIS: las pérdidas de un ejercicio se compensan con los beneficios de los siguientes</t>
        </is>
      </c>
    </row>
    <row r="43">
      <c r="A43" s="35" t="inlineStr">
        <is>
          <t>Base imponible (después de compensar)</t>
        </is>
      </c>
      <c r="B43" s="36">
        <f>IFERROR(IF(B9="","",MAX(0,B41-B42)),"")</f>
        <v>7660.4100000000035</v>
      </c>
      <c r="C43" s="36">
        <f>IFERROR(IF(C9="","",MAX(0,C41-C42)),"")</f>
        <v>14638.351499999975</v>
      </c>
      <c r="D43" s="36">
        <f>IFERROR(IF(D9="","",MAX(0,D41-D42)),"")</f>
        <v>19410.076285956224</v>
      </c>
    </row>
    <row r="44">
      <c r="A44" s="35" t="inlineStr">
        <is>
          <t>Ejercicios con base positiva (acumulado)</t>
        </is>
      </c>
      <c r="B44" s="42">
        <f>IFERROR(IF(B9="","",IF(B43&gt;0,1,0)),"")</f>
        <v>1.0</v>
      </c>
      <c r="C44" s="42">
        <f>IFERROR(IF(C9="","",B44+IF(C43&gt;0,1,0)),"")</f>
        <v>2.0</v>
      </c>
      <c r="D44" s="42">
        <f>IFERROR(IF(D9="","",C44+IF(D43&gt;0,1,0)),"")</f>
        <v>3.0</v>
      </c>
    </row>
    <row r="45">
      <c r="A45" s="35" t="inlineStr">
        <is>
          <t>Tipo de Impuesto de Sociedades aplicado</t>
        </is>
      </c>
      <c r="B45" s="22">
        <f>IFERROR(IF(B9="","",IF(B43&lt;=0,"",IF(B44&lt;=2,'0. Supuestos'!$B$37,'0. Supuestos'!$B$38))),"")</f>
        <v>0.15</v>
      </c>
      <c r="C45" s="22">
        <f>IFERROR(IF(C9="","",IF(C43&lt;=0,"",IF(C44&lt;=2,'0. Supuestos'!$B$37,'0. Supuestos'!$B$38))),"")</f>
        <v>0.15</v>
      </c>
      <c r="D45" s="22">
        <f>IFERROR(IF(D9="","",IF(D43&lt;=0,"",IF(D44&lt;=2,'0. Supuestos'!$B$37,'0. Supuestos'!$B$38))),"")</f>
        <v>0.25</v>
      </c>
      <c r="F45" s="35" t="inlineStr">
        <is>
          <t>Art. 29.1 LIS: el 15 % de entidad de nueva creación se aplica al PRIMER ejercicio con base positiva y al SIGUIENTE, no al primer año de vida. El libro lo aproxima contando los dos primeros ejercicios con base positiva</t>
        </is>
      </c>
    </row>
    <row r="46">
      <c r="A46" s="35" t="inlineStr">
        <is>
          <t>Impuesto de Sociedades</t>
        </is>
      </c>
      <c r="B46" s="36">
        <f>IFERROR(IF(B9="","",IF(B45="",0,B43*B45)),"")</f>
        <v>1149.0615000000005</v>
      </c>
      <c r="C46" s="36">
        <f>IFERROR(IF(C9="","",IF(C45="",0,C43*C45)),"")</f>
        <v>2195.752724999996</v>
      </c>
      <c r="D46" s="36">
        <f>IFERROR(IF(D9="","",IF(D45="",0,D43*D45)),"")</f>
        <v>4852.519071489056</v>
      </c>
    </row>
    <row r="47">
      <c r="A47" s="35" t="inlineStr">
        <is>
          <t>Bases negativas pendientes al cierre</t>
        </is>
      </c>
      <c r="B47" s="36">
        <f>IFERROR(IF(B9="","",MAX(0,B42-B41)),"")</f>
        <v>0.0</v>
      </c>
      <c r="C47" s="36">
        <f>IFERROR(IF(C9="","",MAX(0,C42-C41)),"")</f>
        <v>0.0</v>
      </c>
      <c r="D47" s="36">
        <f>IFERROR(IF(D9="","",MAX(0,D42-D41)),"")</f>
        <v>0.0</v>
      </c>
    </row>
    <row r="48">
      <c r="A48" s="16" t="inlineStr">
        <is>
          <t>RESULTADO NETO</t>
        </is>
      </c>
      <c r="B48" s="33">
        <f>IFERROR(IF(B9="","",B41-B46),"")</f>
        <v>6511.348500000003</v>
      </c>
      <c r="C48" s="33">
        <f>IFERROR(IF(C9="","",C41-C46),"")</f>
        <v>12442.598774999979</v>
      </c>
      <c r="D48" s="33">
        <f>IFERROR(IF(D9="","",D41-D46),"")</f>
        <v>14557.557214467168</v>
      </c>
      <c r="E48" s="34">
        <f>IFERROR(B48/$B$9,"")</f>
        <v>0.04823221111111113</v>
      </c>
    </row>
    <row r="49">
      <c r="A49" s="16" t="inlineStr">
        <is>
          <t>RATIOS CLAVE</t>
        </is>
      </c>
    </row>
    <row r="50">
      <c r="A50" s="16" t="inlineStr">
        <is>
          <t>Ratio</t>
        </is>
      </c>
      <c r="B50" s="16" t="inlineStr">
        <is>
          <t>Año 1</t>
        </is>
      </c>
      <c r="C50" s="16" t="inlineStr">
        <is>
          <t>Año 2</t>
        </is>
      </c>
      <c r="D50" s="16" t="inlineStr">
        <is>
          <t>Año 3</t>
        </is>
      </c>
      <c r="E50" s="16" t="inlineStr">
        <is>
          <t>Umbral</t>
        </is>
      </c>
      <c r="F50" s="16" t="inlineStr">
        <is>
          <t>Comentario</t>
        </is>
      </c>
    </row>
    <row r="51">
      <c r="A51" s="35" t="inlineStr">
        <is>
          <t>Margen bruto / Ventas</t>
        </is>
      </c>
      <c r="B51" s="22">
        <f>IFERROR(IF(B9="","",B20/B9),"")</f>
        <v>0.640886</v>
      </c>
      <c r="C51" s="22">
        <f>IFERROR(IF(C9="","",C20/C9),"")</f>
        <v>0.640886</v>
      </c>
      <c r="D51" s="22">
        <f>IFERROR(IF(D9="","",D20/D9),"")</f>
        <v>0.6408860000000001</v>
      </c>
      <c r="E51" s="43" t="n">
        <v>0.62</v>
      </c>
      <c r="F51" s="35" t="inlineStr">
        <is>
          <t>Suelo del propio libro: la fila «Margen bruto objetivo» (&gt; 62 %) de la tabla DATOS DE REFERENCIA DEL SECTOR, en la hoja de Instrucciones. Más bajo que el de un restaurante por el peso del packaging y del combustible</t>
        </is>
      </c>
    </row>
    <row r="52">
      <c r="A52" s="35" t="inlineStr">
        <is>
          <t>Coste de mercancía (comida + bebida)</t>
        </is>
      </c>
      <c r="B52" s="36">
        <f>IFERROR(IF(B9="","",B13+B14),"")</f>
        <v>36600.39</v>
      </c>
      <c r="C52" s="36">
        <f>IFERROR(IF(C9="","",C13+C14),"")</f>
        <v>42090.44849999999</v>
      </c>
      <c r="D52" s="36">
        <f>IFERROR(IF(D9="","",D13+D14),"")</f>
        <v>46299.49335</v>
      </c>
    </row>
    <row r="53">
      <c r="A53" s="35" t="inlineStr">
        <is>
          <t>Coste de mercancía / Ventas</t>
        </is>
      </c>
      <c r="B53" s="22">
        <f>IFERROR(IF(B9="","",B52/B9),"")</f>
        <v>0.271114</v>
      </c>
      <c r="C53" s="22">
        <f>IFERROR(IF(C9="","",C52/C9),"")</f>
        <v>0.271114</v>
      </c>
      <c r="D53" s="22">
        <f>IFERROR(IF(D9="","",D52/D9),"")</f>
        <v>0.271114</v>
      </c>
      <c r="E53" s="43" t="n">
        <v>0.33</v>
      </c>
      <c r="F53" s="35" t="inlineStr">
        <is>
          <t>Techo mezclado de los food cost que publica la tabla de referencias de este libro (comida 28-33 %, bebida 22-28 %). La ratio de al lado mide sólo la MERCANCÍA: los consumibles y los envases tienen su propia línea en la cuenta de resultados y no entran aquí, así que el caso base se queda holgadamente por debajo del techo</t>
        </is>
      </c>
    </row>
    <row r="54">
      <c r="A54" s="35" t="inlineStr">
        <is>
          <t>Coste de personal / Ventas</t>
        </is>
      </c>
      <c r="B54" s="22">
        <f>IFERROR(IF(B9="","",B23/B9),"")</f>
        <v>0.3117125925925926</v>
      </c>
      <c r="C54" s="22">
        <f>IFERROR(IF(C9="","",C23/C9),"")</f>
        <v>0.30970177133655397</v>
      </c>
      <c r="D54" s="22">
        <f>IFERROR(IF(D9="","",D23/D9),"")</f>
        <v>0.31668101302883916</v>
      </c>
      <c r="E54" s="43" t="n">
        <v>0.32</v>
      </c>
      <c r="F54" s="35" t="inlineStr">
        <is>
          <t>Techo del propio libro: la fila «Coste personal sobre ventas» (25-32 %) de la tabla DATOS DE REFERENCIA DEL SECTOR, en la hoja de Instrucciones («menos personal que un restaurante: 2-3 personas»)</t>
        </is>
      </c>
    </row>
    <row r="55">
      <c r="A55" s="35" t="inlineStr">
        <is>
          <t>Aparcamiento / Ventas</t>
        </is>
      </c>
      <c r="B55" s="22">
        <f>IFERROR(IF(B9="","",B22/B9),"")</f>
        <v>0.035555555555555556</v>
      </c>
      <c r="C55" s="22">
        <f>IFERROR(IF(C9="","",C22/C9),"")</f>
        <v>0.030917874396135272</v>
      </c>
      <c r="D55" s="22">
        <f>IFERROR(IF(D9="","",D22/D9),"")</f>
        <v>0.028107158541941155</v>
      </c>
      <c r="E55" s="43" t="n">
        <v>0.05</v>
      </c>
      <c r="F55" s="35" t="inlineStr">
        <is>
          <t>No hay referencia de local en este libro (el food truck no paga renta de local): 5 % es un techo prudente para el aparcamiento/base del vehículo, muy por debajo del 8-12 % de un negocio con local fijo (mismo orden que el resto de la familia, adaptado a este molde)</t>
        </is>
      </c>
    </row>
    <row r="56">
      <c r="A56" s="35" t="inlineStr">
        <is>
          <t>Resultado neto / Ventas</t>
        </is>
      </c>
      <c r="B56" s="22">
        <f>IFERROR(IF(B9="","",B48/B9),"")</f>
        <v>0.04823221111111113</v>
      </c>
      <c r="C56" s="22">
        <f>IFERROR(IF(C9="","",C48/C9),"")</f>
        <v>0.08014556376811582</v>
      </c>
      <c r="D56" s="22">
        <f>IFERROR(IF(D9="","",D48/D9),"")</f>
        <v>0.08524407679383499</v>
      </c>
      <c r="E56" s="43" t="n">
        <v>0.04</v>
      </c>
      <c r="F56" s="35" t="inlineStr">
        <is>
          <t>Derivado del suelo de EBITDA que declara este producto para el año 2 —la fila «EBITDA objetivo (año 2)», 20-30 %, de la tabla de referencias—: descontando amortización, intereses e Impuesto de Sociedades, un EBITDA en la franja baja del rango deja un resultado neto positivo ya en el año 1, aunque ajustado por ser el primer ejercicio</t>
        </is>
      </c>
    </row>
    <row r="57">
      <c r="A57" s="35" t="inlineStr">
        <is>
          <t>Punto de equilibrio alcanzado</t>
        </is>
      </c>
      <c r="B57" t="str">
        <f>IFERROR(IF(B9="","",IF(B9&gt;='Punto Equilibrio'!$B$16,"Sí","No")),"")</f>
        <v>Sí</v>
      </c>
      <c r="C57" t="str">
        <f>IFERROR(IF(C9="","",IF(C9&gt;='Punto Equilibrio'!$C$16,"Sí","No")),"")</f>
        <v>Sí</v>
      </c>
      <c r="D57" t="str">
        <f>IFERROR(IF(D9="","",IF(D9&gt;='Punto Equilibrio'!$D$16,"Sí","No")),"")</f>
        <v>Sí</v>
      </c>
      <c r="F57" s="35" t="inlineStr">
        <is>
          <t>Compara las ventas de CADA año con el umbral de ese mismo año, que calcula la hoja de Punto de Equilibrio con los costes fijos del año</t>
        </is>
      </c>
    </row>
    <row r="58"/>
    <row r="59" ht="165" customHeight="1">
      <c r="A59" s="17" t="inlineStr">
        <is>
          <t>Todas las cifras van SIN IVA. Las columnas de los años 2 y 3 están en euros del año 1 salvo que subas la actualización de costes en la hoja de Supuestos. La columna «Tipo de IVA de la línea» dice, en las líneas de VENTA, a qué tipo se repercute cada una, y en las de COSTE a qué tipo se compra la partida. La lee la hoja de Tesorería: los seguros y las comisiones de los medios de pago están exentos, y las nóminas, la amortización y los intereses no llevan IVA.</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1:D51">
    <cfRule type="expression" priority="1" dxfId="1" stopIfTrue="1">
      <formula>AND(ISNUMBER(B51),B51&lt;$E$51)</formula>
    </cfRule>
    <cfRule type="expression" priority="2" dxfId="0" stopIfTrue="1">
      <formula>AND(ISNUMBER(B51),B51&gt;=$E$51)</formula>
    </cfRule>
  </conditionalFormatting>
  <conditionalFormatting sqref="B53:D53">
    <cfRule type="expression" priority="3" dxfId="1" stopIfTrue="1">
      <formula>AND(ISNUMBER(B53),B53&gt;$E$53)</formula>
    </cfRule>
    <cfRule type="expression" priority="4" dxfId="0" stopIfTrue="1">
      <formula>AND(ISNUMBER(B53),B53&lt;=$E$53)</formula>
    </cfRule>
  </conditionalFormatting>
  <conditionalFormatting sqref="B54:D54">
    <cfRule type="expression" priority="5" dxfId="1" stopIfTrue="1">
      <formula>AND(ISNUMBER(B54),B54&gt;$E$54)</formula>
    </cfRule>
    <cfRule type="expression" priority="6" dxfId="0" stopIfTrue="1">
      <formula>AND(ISNUMBER(B54),B54&lt;=$E$54)</formula>
    </cfRule>
  </conditionalFormatting>
  <conditionalFormatting sqref="B55:D55">
    <cfRule type="expression" priority="7" dxfId="1" stopIfTrue="1">
      <formula>AND(ISNUMBER(B55),B55&gt;$E$55)</formula>
    </cfRule>
    <cfRule type="expression" priority="8" dxfId="0" stopIfTrue="1">
      <formula>AND(ISNUMBER(B55),B55&lt;=$E$55)</formula>
    </cfRule>
  </conditionalFormatting>
  <conditionalFormatting sqref="B56:D56">
    <cfRule type="expression" priority="9" dxfId="1" stopIfTrue="1">
      <formula>AND(ISNUMBER(B56),B56&lt;$E$56)</formula>
    </cfRule>
    <cfRule type="expression" priority="10" dxfId="0" stopIfTrue="1">
      <formula>AND(ISNUMBER(B56),B56&gt;=$E$56)</formula>
    </cfRule>
  </conditionalFormatting>
  <conditionalFormatting sqref="B57:D57">
    <cfRule type="containsText" priority="11" operator="containsText" dxfId="0" stopIfTrue="1" text="Sí">
      <formula>NOT(ISERROR(SEARCH("Sí",B57)))</formula>
    </cfRule>
    <cfRule type="containsText" priority="12" operator="containsText" dxfId="1" stopIfTrue="1" text="No">
      <formula>NOT(ISERROR(SEARCH("No",B57)))</formula>
    </cfRule>
  </conditionalFormatting>
  <conditionalFormatting sqref="B41:E41">
    <cfRule type="expression" priority="13" dxfId="1" stopIfTrue="1">
      <formula>AND(ISNUMBER(B41),B41&lt;0)</formula>
    </cfRule>
    <cfRule type="expression" priority="14" dxfId="0" stopIfTrue="1">
      <formula>AND(ISNUMBER(B41),B41&gt;0)</formula>
    </cfRule>
  </conditionalFormatting>
  <conditionalFormatting sqref="B48:E48">
    <cfRule type="expression" priority="15" dxfId="1" stopIfTrue="1">
      <formula>AND(ISNUMBER(B48),B48&lt;0)</formula>
    </cfRule>
    <cfRule type="expression" priority="16" dxfId="0" stopIfTrue="1">
      <formula>AND(ISNUMBER(B48),B48&gt;0)</formula>
    </cfRule>
  </conditionalFormatting>
  <conditionalFormatting sqref="B56:E56">
    <cfRule type="expression" priority="17" dxfId="1" stopIfTrue="1">
      <formula>AND(ISNUMBER(B56),B56&lt;0)</formula>
    </cfRule>
    <cfRule type="expression" priority="18" dxfId="0" stopIfTrue="1">
      <formula>AND(ISNUMBER(B56),B56&gt;0)</formula>
    </cfRule>
  </conditionalFormatting>
  <dataValidations count="2">
    <dataValidation sqref="B26 B27 B28 B29 B30 B31 B32 B33 B34 B35" showDropDown="0" showInputMessage="0" showErrorMessage="1" allowBlank="1" errorTitle="Importe no válido" error="Escribe un número mayor o igual que 0." type="decimal" operator="greaterThanOrEqual">
      <formula1>0</formula1>
    </dataValidation>
    <dataValidation sqref="E51 E53 E54 E55 E56"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36"/>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ANÁLISIS DE PUNTO DE EQUILIBRIO</t>
        </is>
      </c>
    </row>
    <row r="2">
      <c r="A2" s="3" t="inlineStr">
        <is>
          <t>Break-even — Food Truck</t>
        </is>
      </c>
    </row>
    <row r="3"/>
    <row r="4">
      <c r="A4" s="25" t="inlineStr">
        <is>
          <t>Variable</t>
        </is>
      </c>
      <c r="B4" s="25" t="inlineStr">
        <is>
          <t>Año 1</t>
        </is>
      </c>
      <c r="C4" s="25" t="inlineStr">
        <is>
          <t>Año 2</t>
        </is>
      </c>
      <c r="D4" s="25" t="inlineStr">
        <is>
          <t>Año 3</t>
        </is>
      </c>
      <c r="E4" s="25" t="inlineStr">
        <is>
          <t>Notas</t>
        </is>
      </c>
      <c r="F4" s="28" t="n"/>
    </row>
    <row r="5">
      <c r="A5" s="25" t="inlineStr">
        <is>
          <t>DATOS BASE POR AÑO</t>
        </is>
      </c>
      <c r="B5" s="28" t="n"/>
      <c r="C5" s="28" t="n"/>
      <c r="D5" s="28" t="n"/>
      <c r="E5" s="28" t="n"/>
      <c r="F5" s="28" t="n"/>
    </row>
    <row r="6">
      <c r="A6" s="28" t="inlineStr">
        <is>
          <t>Costes fijos anuales</t>
        </is>
      </c>
      <c r="B6" s="41">
        <f>IFERROR(IF('PyG 3 Años'!$B$9="","",'PyG 3 Años'!$B$38),"")</f>
        <v>78859.2</v>
      </c>
      <c r="C6" s="41">
        <f>IFERROR(IF('PyG 3 Años'!$C$9="","",'PyG 3 Años'!$C$38),"")</f>
        <v>84859.2</v>
      </c>
      <c r="D6" s="41">
        <f>IFERROR(IF('PyG 3 Años'!$D$9="","",'PyG 3 Años'!$D$38),"")</f>
        <v>90037.23036404376</v>
      </c>
      <c r="E6" s="28" t="inlineStr">
        <is>
          <t>Los MISMOS costes fijos del P&amp;L. Cada año tiene los suyos: por eso el umbral no puede ser uno solo para los tres</t>
        </is>
      </c>
      <c r="F6" s="28" t="n"/>
    </row>
    <row r="7">
      <c r="A7" s="28" t="inlineStr">
        <is>
          <t>Costes fijos mensuales</t>
        </is>
      </c>
      <c r="B7" s="41">
        <f>IFERROR(IF('PyG 3 Años'!$B$9="","",B6/12),"")</f>
        <v>6571.599999999999</v>
      </c>
      <c r="C7" s="41">
        <f>IFERROR(IF('PyG 3 Años'!$C$9="","",C6/12),"")</f>
        <v>7071.599999999999</v>
      </c>
      <c r="D7" s="41">
        <f>IFERROR(IF('PyG 3 Años'!$D$9="","",D6/12),"")</f>
        <v>7503.10253033698</v>
      </c>
      <c r="E7" s="28" t="n"/>
      <c r="F7" s="28" t="n"/>
    </row>
    <row r="8">
      <c r="A8" s="28" t="inlineStr">
        <is>
          <t>Ticket medio sin IVA</t>
        </is>
      </c>
      <c r="B8" s="41">
        <f>IFERROR(IF('PyG 3 Años'!$B$9="","",'PyG 3 Años'!$B$7),"")</f>
        <v>12.0</v>
      </c>
      <c r="C8" s="41">
        <f>IFERROR(IF('PyG 3 Años'!$C$9="","",'PyG 3 Años'!$C$7),"")</f>
        <v>12.0</v>
      </c>
      <c r="D8" s="41">
        <f>IFERROR(IF('PyG 3 Años'!$D$9="","",'PyG 3 Años'!$D$7),"")</f>
        <v>12.0</v>
      </c>
      <c r="E8" s="28" t="n"/>
      <c r="F8" s="28" t="n"/>
    </row>
    <row r="9">
      <c r="A9" s="28" t="inlineStr">
        <is>
          <t>Coste variable por cliente</t>
        </is>
      </c>
      <c r="B9" s="41">
        <f>IFERROR(IF('PyG 3 Años'!$B$9="","",'PyG 3 Años'!$B$19/('PyG 3 Años'!$B$6*'PyG 3 Años'!$B$8)),"")</f>
        <v>4.309368</v>
      </c>
      <c r="C9" s="41">
        <f>IFERROR(IF('PyG 3 Años'!$C$9="","",'PyG 3 Años'!$C$19/('PyG 3 Años'!$C$6*'PyG 3 Años'!$C$8)),"")</f>
        <v>4.309368</v>
      </c>
      <c r="D9" s="41">
        <f>IFERROR(IF('PyG 3 Años'!$D$9="","",'PyG 3 Años'!$D$19/('PyG 3 Años'!$D$6*'PyG 3 Años'!$D$8)),"")</f>
        <v>4.309367999999999</v>
      </c>
      <c r="E9" s="28" t="inlineStr">
        <is>
          <t>Sale del total de costes variables del P&amp;L, no de una estimación aparte. Incluye los varios e imprevistos, que son un porcentaje de las ventas</t>
        </is>
      </c>
      <c r="F9" s="28" t="n"/>
    </row>
    <row r="10">
      <c r="A10" s="28" t="inlineStr">
        <is>
          <t>Margen de contribución por cliente</t>
        </is>
      </c>
      <c r="B10" s="41">
        <f>IFERROR(IF('PyG 3 Años'!$B$9="","",B8-B9),"")</f>
        <v>7.690632</v>
      </c>
      <c r="C10" s="41">
        <f>IFERROR(IF('PyG 3 Años'!$C$9="","",C8-C9),"")</f>
        <v>7.690632</v>
      </c>
      <c r="D10" s="41">
        <f>IFERROR(IF('PyG 3 Años'!$D$9="","",D8-D9),"")</f>
        <v>7.690632000000001</v>
      </c>
      <c r="E10" s="28" t="inlineStr">
        <is>
          <t>Ticket menos coste variable unitario</t>
        </is>
      </c>
      <c r="F10" s="28" t="n"/>
    </row>
    <row r="11">
      <c r="A11" s="28" t="inlineStr">
        <is>
          <t>Días de apertura al año</t>
        </is>
      </c>
      <c r="B11" s="40">
        <f>IFERROR(IF('PyG 3 Años'!$B$9="","",'PyG 3 Años'!$B$8),"")</f>
        <v>250.0</v>
      </c>
      <c r="C11" s="40">
        <f>IFERROR(IF('PyG 3 Años'!$C$9="","",'PyG 3 Años'!$C$8),"")</f>
        <v>250.0</v>
      </c>
      <c r="D11" s="40">
        <f>IFERROR(IF('PyG 3 Años'!$D$9="","",'PyG 3 Años'!$D$8),"")</f>
        <v>250.0</v>
      </c>
      <c r="E11" s="28" t="inlineStr">
        <is>
          <t>El mismo calendario que el P&amp;L y que los escenarios</t>
        </is>
      </c>
      <c r="F11" s="28" t="n"/>
    </row>
    <row r="12">
      <c r="A12" s="28" t="inlineStr">
        <is>
          <t>Devolución de principal del año (cuota)</t>
        </is>
      </c>
      <c r="B12" s="41">
        <f>IFERROR(IF('PyG 3 Años'!$B$9="","",'Financiación'!$B$45),"")</f>
        <v>0.0</v>
      </c>
      <c r="C12" s="41">
        <f>IFERROR(IF('PyG 3 Años'!$C$9="","",'Financiación'!$B$47),"")</f>
        <v>12645.686707019053</v>
      </c>
      <c r="D12" s="41">
        <f>IFERROR(IF('PyG 3 Años'!$D$9="","",'Financiación'!$B$49),"")</f>
        <v>13467.656342975291</v>
      </c>
      <c r="E12" s="28" t="inlineStr">
        <is>
          <t>El principal NO es gasto del P&amp;L, pero sale de la caja. Sin él, el umbral de equilibrio se publica por debajo del real</t>
        </is>
      </c>
      <c r="F12" s="28" t="n"/>
    </row>
    <row r="13">
      <c r="A13" s="25" t="inlineStr">
        <is>
          <t>PUNTO DE EQUILIBRIO CONTABLE (incluye amortización)</t>
        </is>
      </c>
      <c r="B13" s="28" t="n"/>
      <c r="C13" s="28" t="n"/>
      <c r="D13" s="28" t="n"/>
      <c r="E13" s="28" t="n"/>
      <c r="F13" s="28" t="n"/>
    </row>
    <row r="14">
      <c r="A14" s="28" t="inlineStr">
        <is>
          <t>Clientes necesarios al año</t>
        </is>
      </c>
      <c r="B14" s="40">
        <f>IFERROR(IF('PyG 3 Años'!$B$9="","",IF(B10&lt;=0,"",B6/B10)),"")</f>
        <v>10253.929716049344</v>
      </c>
      <c r="C14" s="40">
        <f>IFERROR(IF('PyG 3 Años'!$C$9="","",IF(C10&lt;=0,"",C6/C10)),"")</f>
        <v>11034.099668271736</v>
      </c>
      <c r="D14" s="40">
        <f>IFERROR(IF('PyG 3 Años'!$D$9="","",IF(D10&lt;=0,"",D6/D10)),"")</f>
        <v>11707.390285225421</v>
      </c>
      <c r="E14" s="28" t="n"/>
      <c r="F14" s="28" t="n"/>
    </row>
    <row r="15">
      <c r="A15" s="28" t="inlineStr">
        <is>
          <t>Clientes necesarios al día</t>
        </is>
      </c>
      <c r="B15" s="44">
        <f>IFERROR(IF('PyG 3 Años'!$B$9="","",B14/B11),"")</f>
        <v>41.015718864197375</v>
      </c>
      <c r="C15" s="44">
        <f>IFERROR(IF('PyG 3 Años'!$C$9="","",C14/C11),"")</f>
        <v>44.136398673086944</v>
      </c>
      <c r="D15" s="44">
        <f>IFERROR(IF('PyG 3 Años'!$D$9="","",D14/D11),"")</f>
        <v>46.82956114090169</v>
      </c>
      <c r="E15" s="28" t="n"/>
      <c r="F15" s="28" t="n"/>
    </row>
    <row r="16">
      <c r="A16" s="25" t="inlineStr">
        <is>
          <t>Ingresos necesarios al año</t>
        </is>
      </c>
      <c r="B16" s="26">
        <f>IFERROR(IF('PyG 3 Años'!$B$9="","",B14*B8),"")</f>
        <v>123047.15659259213</v>
      </c>
      <c r="C16" s="26">
        <f>IFERROR(IF('PyG 3 Años'!$C$9="","",C14*C8),"")</f>
        <v>132409.19601926082</v>
      </c>
      <c r="D16" s="26">
        <f>IFERROR(IF('PyG 3 Años'!$D$9="","",D14*D8),"")</f>
        <v>140488.68342270504</v>
      </c>
      <c r="E16" s="28" t="n"/>
      <c r="F16" s="28" t="n"/>
    </row>
    <row r="17">
      <c r="A17" s="25" t="inlineStr">
        <is>
          <t>PUNTO DE EQUILIBRIO DE CAJA (incluye la cuota del préstamo)</t>
        </is>
      </c>
      <c r="B17" s="28" t="n"/>
      <c r="C17" s="28" t="n"/>
      <c r="D17" s="28" t="n"/>
      <c r="E17" s="28" t="n"/>
      <c r="F17" s="28" t="n"/>
    </row>
    <row r="18">
      <c r="A18" s="28" t="inlineStr">
        <is>
          <t>Costes fijos de caja + principal del año</t>
        </is>
      </c>
      <c r="B18" s="41">
        <f>IFERROR(IF('PyG 3 Años'!$B$9="","",B6-'PyG 3 Años'!$B$36+B12),"")</f>
        <v>72211.2</v>
      </c>
      <c r="C18" s="41">
        <f>IFERROR(IF('PyG 3 Años'!$C$9="","",C6-'PyG 3 Años'!$C$36+C12),"")</f>
        <v>90856.88670701905</v>
      </c>
      <c r="D18" s="41">
        <f>IFERROR(IF('PyG 3 Años'!$D$9="","",D6-'PyG 3 Años'!$D$36+D12),"")</f>
        <v>96856.88670701905</v>
      </c>
      <c r="E18" s="28" t="inlineStr">
        <is>
          <t>Los fijos del P&amp;L sin la amortización (que no se paga) y CON la devolución de principal (que sí). Es el umbral que decide si la caja aguanta</t>
        </is>
      </c>
      <c r="F18" s="28" t="n"/>
    </row>
    <row r="19">
      <c r="A19" s="28" t="inlineStr">
        <is>
          <t>Clientes necesarios al año (caja)</t>
        </is>
      </c>
      <c r="B19" s="40">
        <f>IFERROR(IF('PyG 3 Años'!$B$9="","",IF(B10&lt;=0,"",B18/B10)),"")</f>
        <v>9389.501408986933</v>
      </c>
      <c r="C19" s="40">
        <f>IFERROR(IF('PyG 3 Años'!$C$9="","",IF(C10&lt;=0,"",C18/C10)),"")</f>
        <v>11813.968826881724</v>
      </c>
      <c r="D19" s="40">
        <f>IFERROR(IF('PyG 3 Años'!$D$9="","",IF(D10&lt;=0,"",D18/D10)),"")</f>
        <v>12594.138779104114</v>
      </c>
      <c r="E19" s="28" t="n"/>
      <c r="F19" s="28" t="n"/>
    </row>
    <row r="20">
      <c r="A20" s="25" t="inlineStr">
        <is>
          <t>Clientes necesarios al día (caja)</t>
        </is>
      </c>
      <c r="B20" s="45">
        <f>IFERROR(IF('PyG 3 Años'!$B$9="","",B19/B11),"")</f>
        <v>37.55800563594773</v>
      </c>
      <c r="C20" s="45">
        <f>IFERROR(IF('PyG 3 Años'!$C$9="","",C19/C11),"")</f>
        <v>47.2558753075269</v>
      </c>
      <c r="D20" s="45">
        <f>IFERROR(IF('PyG 3 Años'!$D$9="","",D19/D11),"")</f>
        <v>50.376555116416455</v>
      </c>
      <c r="E20" s="28" t="n"/>
      <c r="F20" s="28" t="n"/>
    </row>
    <row r="21">
      <c r="A21" s="28" t="inlineStr">
        <is>
          <t>Ingresos necesarios al año (caja)</t>
        </is>
      </c>
      <c r="B21" s="32">
        <f>IFERROR(IF('PyG 3 Años'!$B$9="","",B19*B8),"")</f>
        <v>112674.0169078432</v>
      </c>
      <c r="C21" s="32">
        <f>IFERROR(IF('PyG 3 Años'!$C$9="","",C19*C8),"")</f>
        <v>141767.6259225807</v>
      </c>
      <c r="D21" s="32">
        <f>IFERROR(IF('PyG 3 Años'!$D$9="","",D19*D8),"")</f>
        <v>151129.66534924938</v>
      </c>
      <c r="E21" s="28" t="n"/>
      <c r="F21" s="28" t="n"/>
    </row>
    <row r="22">
      <c r="A22" s="25" t="inlineStr">
        <is>
          <t>CONTRASTE CON EL PLAN</t>
        </is>
      </c>
      <c r="B22" s="28" t="n"/>
      <c r="C22" s="28" t="n"/>
      <c r="D22" s="28" t="n"/>
      <c r="E22" s="28" t="n"/>
      <c r="F22" s="28" t="n"/>
    </row>
    <row r="23">
      <c r="A23" s="28" t="inlineStr">
        <is>
          <t>Clientes/día previstos en el plan</t>
        </is>
      </c>
      <c r="B23" s="40">
        <f>IFERROR(IF('PyG 3 Años'!$B$9="","",'PyG 3 Años'!$B$6),"")</f>
        <v>45.0</v>
      </c>
      <c r="C23" s="40">
        <f>IFERROR(IF('PyG 3 Años'!$C$9="","",'PyG 3 Años'!$C$6),"")</f>
        <v>51.74999999999999</v>
      </c>
      <c r="D23" s="40">
        <f>IFERROR(IF('PyG 3 Años'!$D$9="","",'PyG 3 Años'!$D$6),"")</f>
        <v>56.925</v>
      </c>
      <c r="E23" s="28" t="n"/>
      <c r="F23" s="28" t="n"/>
    </row>
    <row r="24">
      <c r="A24" s="28" t="inlineStr">
        <is>
          <t>Holgura sobre el equilibrio de CAJA (%)</t>
        </is>
      </c>
      <c r="B24" s="30">
        <f>IFERROR(IF('PyG 3 Años'!$B$9="","",B23/B20-1),"")</f>
        <v>0.1981466863865995</v>
      </c>
      <c r="C24" s="30">
        <f>IFERROR(IF('PyG 3 Años'!$C$9="","",C23/C20-1),"")</f>
        <v>0.09510192464379696</v>
      </c>
      <c r="D24" s="30">
        <f>IFERROR(IF('PyG 3 Años'!$D$9="","",D23/D20-1),"")</f>
        <v>0.12998993020563976</v>
      </c>
      <c r="E24" s="28" t="inlineStr">
        <is>
          <t>Cuánto superan tus ventas previstas a las del equilibrio de caja. La caída que aguantas antes de no poder pagar los costes fijos y la cuota es algo menor: con un 25 % de holgura, un 20 %. El mínimo exigible está en la hoja de Supuestos</t>
        </is>
      </c>
      <c r="F24" s="28" t="n"/>
    </row>
    <row r="25">
      <c r="A25" s="25" t="inlineStr">
        <is>
          <t>INTERPRETACIÓN</t>
        </is>
      </c>
      <c r="B25" s="28" t="n"/>
      <c r="C25" s="28" t="n"/>
      <c r="D25" s="28" t="n"/>
      <c r="E25" s="28" t="n"/>
      <c r="F25" s="28" t="n"/>
    </row>
    <row r="26" ht="46" customHeight="1">
      <c r="A26" s="28" t="str">
        <f>IFERROR("Con el ticket medio sin IVA de la fila de arriba necesitas "&amp;TEXT(ROUNDUP(B15,0),"0")&amp;" clientes al día durante los "&amp;TEXT(B11,"0")&amp;" días que abres para no perder dinero (equilibrio contable, con la amortización dentro), y "&amp;TEXT(ROUNDUP(B20,0),"0")&amp;" para que la caja aguante (equilibrio de caja: sin la amortización, que no se paga, y con la cuota del préstamo del año"&amp;IF(B12=0,"; este año sólo intereses, porque el préstamo está en carencia","")&amp;"). En las filas «Ingresos necesarios al año» tienes esas mismas cifras en euros.","")</f>
        <v>Con el ticket medio sin IVA de la fila de arriba necesitas 42 clientes al día durante los 250 días que abres para no perder dinero (equilibrio contable, con la amortización dentro), y 38 para que la caja aguante (equilibrio de caja: sin la amortización, que no se paga, y con la cuota del préstamo del año; este año sólo intereses, porque el préstamo está en carencia). En las filas «Ingresos necesarios al año» tienes esas mismas cifras en euros.</v>
      </c>
      <c r="B26" s="28" t="n"/>
      <c r="C26" s="28" t="n"/>
      <c r="D26" s="28" t="n"/>
      <c r="E26" s="28" t="n"/>
      <c r="F26" s="28" t="n"/>
    </row>
    <row r="27">
      <c r="A27" s="28" t="n"/>
      <c r="B27" s="28" t="n"/>
      <c r="C27" s="28" t="n"/>
      <c r="D27" s="28" t="n"/>
      <c r="E27" s="28" t="n"/>
      <c r="F27" s="28" t="n"/>
    </row>
    <row r="28">
      <c r="A28" s="25" t="inlineStr">
        <is>
          <t>SENSIBILIDAD DEL PUNTO DE EQUILIBRIO</t>
        </is>
      </c>
      <c r="B28" s="28" t="n"/>
      <c r="C28" s="28" t="n"/>
      <c r="D28" s="28" t="n"/>
      <c r="E28" s="28" t="n"/>
      <c r="F28" s="28" t="n"/>
    </row>
    <row r="29" ht="75" customHeight="1">
      <c r="A29" s="46" t="inlineStr">
        <is>
          <t>Clientes/día necesarios para cubrir costes según el ticket medio (columnas) y el coste variable por cliente (filas). En verde, los que están por debajo de los clientes que prevé el plan.</t>
        </is>
      </c>
      <c r="B29" s="28" t="n"/>
      <c r="C29" s="28" t="n"/>
      <c r="D29" s="28" t="n"/>
      <c r="E29" s="28" t="n"/>
      <c r="F29" s="28" t="n"/>
    </row>
    <row r="30">
      <c r="A30" s="28" t="n"/>
      <c r="B30" s="28" t="n"/>
      <c r="C30" s="28" t="n"/>
      <c r="D30" s="28" t="n"/>
      <c r="E30" s="28" t="n"/>
      <c r="F30" s="28" t="n"/>
    </row>
    <row r="31" ht="45" customHeight="1">
      <c r="A31" s="39" t="inlineStr">
        <is>
          <t>Clientes/día necesarios: ticket medio sin IVA (columnas) × coste variable por cliente (filas)</t>
        </is>
      </c>
      <c r="B31" s="47">
        <f>IFERROR($B$8-2,"")</f>
        <v>10.0</v>
      </c>
      <c r="C31" s="47">
        <f>IFERROR(IF($B$8="","",$B$8),"")</f>
        <v>12.0</v>
      </c>
      <c r="D31" s="47">
        <f>IFERROR($B$8+2,"")</f>
        <v>14.0</v>
      </c>
      <c r="E31" s="47">
        <f>IFERROR($B$8+4,"")</f>
        <v>16.0</v>
      </c>
      <c r="F31" s="28" t="n"/>
    </row>
    <row r="32">
      <c r="A32" s="41">
        <f>IFERROR($B$9*0.85,"")</f>
        <v>3.6629628</v>
      </c>
      <c r="B32" s="44">
        <f>IFERROR(IF($B$31-$A32&lt;=0,"",$B$6/($B$31-$A32)/$B$11),"")</f>
        <v>49.77670006418772</v>
      </c>
      <c r="C32" s="44">
        <f>IFERROR(IF($C$31-$A32&lt;=0,"",$B$6/($C$31-$A32)/$B$11),"")</f>
        <v>37.83559943813132</v>
      </c>
      <c r="D32" s="44">
        <f>IFERROR(IF($D$31-$A32&lt;=0,"",$B$6/($D$31-$A32)/$B$11),"")</f>
        <v>30.515204105098892</v>
      </c>
      <c r="E32" s="44">
        <f>IFERROR(IF($E$31-$A32&lt;=0,"",$B$6/($E$31-$A32)/$B$11),"")</f>
        <v>25.56827825727882</v>
      </c>
      <c r="F32" s="28" t="n"/>
    </row>
    <row r="33">
      <c r="A33" s="41">
        <f>IFERROR($B$9*0.925,"")</f>
        <v>3.9861654000000004</v>
      </c>
      <c r="B33" s="44">
        <f>IFERROR(IF($B$31-$A33&lt;=0,"",$B$6/($B$31-$A33)/$B$11),"")</f>
        <v>52.45185825363406</v>
      </c>
      <c r="C33" s="44">
        <f>IFERROR(IF($C$31-$A33&lt;=0,"",$B$6/($C$31-$A33)/$B$11),"")</f>
        <v>39.36153112019557</v>
      </c>
      <c r="D33" s="44">
        <f>IFERROR(IF($D$31-$A33&lt;=0,"",$B$6/($D$31-$A33)/$B$11),"")</f>
        <v>31.50010087044977</v>
      </c>
      <c r="E33" s="44">
        <f>IFERROR(IF($E$31-$A33&lt;=0,"",$B$6/($E$31-$A33)/$B$11),"")</f>
        <v>26.25612974561844</v>
      </c>
      <c r="F33" s="28" t="n"/>
    </row>
    <row r="34">
      <c r="A34" s="21">
        <f>IFERROR($B$9*1.0,"")</f>
        <v>4.309368</v>
      </c>
      <c r="B34" s="48">
        <f>IFERROR(IF($B$31-$A34&lt;=0,"",$B$6/($B$31-$A34)/$B$11),"")</f>
        <v>55.43089062866831</v>
      </c>
      <c r="C34" s="48">
        <f>IFERROR(IF($C$31-$A34&lt;=0,"",$B$6/($C$31-$A34)/$B$11),"")</f>
        <v>41.015718864197375</v>
      </c>
      <c r="D34" s="48">
        <f>IFERROR(IF($D$31-$A34&lt;=0,"",$B$6/($D$31-$A34)/$B$11),"")</f>
        <v>32.550694320040215</v>
      </c>
      <c r="E34" s="48">
        <f>IFERROR(IF($E$31-$A34&lt;=0,"",$B$6/($E$31-$A34)/$B$11),"")</f>
        <v>26.982014317104493</v>
      </c>
    </row>
    <row r="35">
      <c r="A35" s="21">
        <f>IFERROR($B$9*1.075,"")</f>
        <v>4.6325706</v>
      </c>
      <c r="B35" s="48">
        <f>IFERROR(IF($B$31-$A35&lt;=0,"",$B$6/($B$31-$A35)/$B$11),"")</f>
        <v>58.768691023677</v>
      </c>
      <c r="C35" s="48">
        <f>IFERROR(IF($C$31-$A35&lt;=0,"",$B$6/($C$31-$A35)/$B$11),"")</f>
        <v>42.81504210953145</v>
      </c>
      <c r="D35" s="48">
        <f>IFERROR(IF($D$31-$A35&lt;=0,"",$B$6/($D$31-$A35)/$B$11),"")</f>
        <v>33.67378461373833</v>
      </c>
      <c r="E35" s="48">
        <f>IFERROR(IF($E$31-$A35&lt;=0,"",$B$6/($E$31-$A35)/$B$11),"")</f>
        <v>27.749176080213882</v>
      </c>
    </row>
    <row r="36">
      <c r="A36" s="21">
        <f>IFERROR($B$9*1.15,"")</f>
        <v>4.955773199999999</v>
      </c>
      <c r="B36" s="48">
        <f>IFERROR(IF($B$31-$A36&lt;=0,"",$B$6/($B$31-$A36)/$B$11),"")</f>
        <v>62.53422229151155</v>
      </c>
      <c r="C36" s="48">
        <f>IFERROR(IF($C$31-$A36&lt;=0,"",$B$6/($C$31-$A36)/$B$11),"")</f>
        <v>44.77947813946024</v>
      </c>
      <c r="D36" s="48">
        <f>IFERROR(IF($D$31-$A36&lt;=0,"",$B$6/($D$31-$A36)/$B$11),"")</f>
        <v>34.877143947783345</v>
      </c>
      <c r="E36" s="48">
        <f>IFERROR(IF($E$31-$A36&lt;=0,"",$B$6/($E$31-$A36)/$B$11),"")</f>
        <v>28.56123889089275</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Supuestos'!$B$67)</formula>
    </cfRule>
  </conditionalFormatting>
  <conditionalFormatting sqref="B32:E36">
    <cfRule type="expression" priority="4" dxfId="1" stopIfTrue="1">
      <formula>AND(ISNUMBER(B32),B32&gt;$B$23)</formula>
    </cfRule>
    <cfRule type="expression" priority="5" dxfId="0" stopIfTrue="1">
      <formula>AND(ISNUMBER(B32),B32&lt;=$B$23)</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ANÁLISIS DE ESCENARIOS</t>
        </is>
      </c>
    </row>
    <row r="2"/>
    <row r="3"/>
    <row r="4">
      <c r="A4" s="25" t="inlineStr">
        <is>
          <t>Métrica</t>
        </is>
      </c>
      <c r="B4" s="25" t="inlineStr">
        <is>
          <t>Pesimista</t>
        </is>
      </c>
      <c r="C4" s="25" t="inlineStr">
        <is>
          <t>Realista</t>
        </is>
      </c>
      <c r="D4" s="25" t="inlineStr">
        <is>
          <t>Optimista</t>
        </is>
      </c>
      <c r="E4" s="25" t="inlineStr">
        <is>
          <t>Notas</t>
        </is>
      </c>
      <c r="F4" s="28" t="n"/>
    </row>
    <row r="5">
      <c r="A5" s="28" t="inlineStr">
        <is>
          <t>Clientes/día</t>
        </is>
      </c>
      <c r="B5" s="49" t="n">
        <v>30</v>
      </c>
      <c r="C5" s="40">
        <f>IFERROR(IF('PyG 3 Años'!$B$6="","",'PyG 3 Años'!$B$6),"")</f>
        <v>45.0</v>
      </c>
      <c r="D5" s="49" t="n">
        <v>65</v>
      </c>
      <c r="E5" s="28" t="n"/>
      <c r="F5" s="28" t="n"/>
    </row>
    <row r="6">
      <c r="A6" s="28" t="inlineStr">
        <is>
          <t>Ticket medio sin IVA</t>
        </is>
      </c>
      <c r="B6" s="50" t="n">
        <v>10</v>
      </c>
      <c r="C6" s="41">
        <f>IFERROR(IF('PyG 3 Años'!$B$7="","",'PyG 3 Años'!$B$7),"")</f>
        <v>12.0</v>
      </c>
      <c r="D6" s="50" t="n">
        <v>14</v>
      </c>
      <c r="E6" s="28" t="n"/>
      <c r="F6" s="28" t="n"/>
    </row>
    <row r="7">
      <c r="A7" s="28" t="inlineStr">
        <is>
          <t>Días de apertura al año</t>
        </is>
      </c>
      <c r="B7" s="49" t="n">
        <v>250</v>
      </c>
      <c r="C7" s="40">
        <f>IFERROR(IF('PyG 3 Años'!$B$8="","",'PyG 3 Años'!$B$8),"")</f>
        <v>250.0</v>
      </c>
      <c r="D7" s="49" t="n">
        <v>250</v>
      </c>
      <c r="E7" s="28" t="n"/>
      <c r="F7" s="28" t="n"/>
    </row>
    <row r="8">
      <c r="A8" s="25" t="inlineStr">
        <is>
          <t>INGRESOS ANUALES (sin IVA)</t>
        </is>
      </c>
      <c r="B8" s="26">
        <f>IFERROR(IF(B5*B6*B7=0,"",B5*B6*B7),"")</f>
        <v>75000.0</v>
      </c>
      <c r="C8" s="26">
        <f>IFERROR(IF(C5*C6*C7=0,"",C5*C6*C7),"")</f>
        <v>135000.0</v>
      </c>
      <c r="D8" s="26">
        <f>IFERROR(IF(D5*D6*D7=0,"",D5*D6*D7),"")</f>
        <v>227500.0</v>
      </c>
      <c r="E8" s="28" t="n"/>
      <c r="F8" s="28" t="n"/>
    </row>
    <row r="9">
      <c r="A9" s="28" t="inlineStr">
        <is>
          <t>Coste de mercancía — comida</t>
        </is>
      </c>
      <c r="B9" s="32">
        <f>IFERROR(IF(B8="","",B8*'0. Supuestos'!$B$11*'0. Supuestos'!$B$13),"")</f>
        <v>17889.9</v>
      </c>
      <c r="C9" s="32">
        <f>IFERROR(IF(C8="","",C8*'0. Supuestos'!$B$11*'0. Supuestos'!$B$13),"")</f>
        <v>32201.820000000003</v>
      </c>
      <c r="D9" s="32">
        <f>IFERROR(IF(D8="","",D8*'0. Supuestos'!$B$11*'0. Supuestos'!$B$13),"")</f>
        <v>54266.030000000006</v>
      </c>
      <c r="E9" s="28" t="n"/>
      <c r="F9" s="28" t="n"/>
    </row>
    <row r="10">
      <c r="A10" s="28" t="inlineStr">
        <is>
          <t>Coste de mercancía — bebida</t>
        </is>
      </c>
      <c r="B10" s="32">
        <f>IFERROR(IF(B8="","",B8*'0. Supuestos'!$B$12*'0. Supuestos'!$B$14),"")</f>
        <v>2443.65</v>
      </c>
      <c r="C10" s="32">
        <f>IFERROR(IF(C8="","",C8*'0. Supuestos'!$B$12*'0. Supuestos'!$B$14),"")</f>
        <v>4398.57</v>
      </c>
      <c r="D10" s="32">
        <f>IFERROR(IF(D8="","",D8*'0. Supuestos'!$B$12*'0. Supuestos'!$B$14),"")</f>
        <v>7412.405</v>
      </c>
      <c r="E10" s="28" t="n"/>
      <c r="F10" s="28" t="n"/>
    </row>
    <row r="11">
      <c r="A11" s="28" t="inlineStr">
        <is>
          <t>Consumibles y envases</t>
        </is>
      </c>
      <c r="B11" s="32">
        <f>IFERROR(IF(B8="","",B8*'0. Supuestos'!$B$15),"")</f>
        <v>2250.0</v>
      </c>
      <c r="C11" s="32">
        <f>IFERROR(IF(C8="","",C8*'0. Supuestos'!$B$15),"")</f>
        <v>4050.0</v>
      </c>
      <c r="D11" s="32">
        <f>IFERROR(IF(D8="","",D8*'0. Supuestos'!$B$15),"")</f>
        <v>6825.0</v>
      </c>
      <c r="E11" s="28" t="n"/>
      <c r="F11" s="28" t="n"/>
    </row>
    <row r="12">
      <c r="A12" s="28" t="inlineStr">
        <is>
          <t>Comisiones de delivery</t>
        </is>
      </c>
      <c r="B12" s="32">
        <f>IFERROR(IF(B8="","",B8*'0. Supuestos'!$B$16*'0. Supuestos'!$B$17),"")</f>
        <v>0.0</v>
      </c>
      <c r="C12" s="32">
        <f>IFERROR(IF(C8="","",C8*'0. Supuestos'!$B$16*'0. Supuestos'!$B$17),"")</f>
        <v>0.0</v>
      </c>
      <c r="D12" s="32">
        <f>IFERROR(IF(D8="","",D8*'0. Supuestos'!$B$16*'0. Supuestos'!$B$17),"")</f>
        <v>0.0</v>
      </c>
      <c r="E12" s="28" t="n"/>
      <c r="F12" s="28" t="n"/>
    </row>
    <row r="13">
      <c r="A13" s="28" t="inlineStr">
        <is>
          <t>Comisiones de los medios de pago</t>
        </is>
      </c>
      <c r="B13" s="32">
        <f>IFERROR(IF(B8="","",B8*'0. Supuestos'!$B$18),"")</f>
        <v>600.0</v>
      </c>
      <c r="C13" s="32">
        <f>IFERROR(IF(C8="","",C8*'0. Supuestos'!$B$18),"")</f>
        <v>1080.0</v>
      </c>
      <c r="D13" s="32">
        <f>IFERROR(IF(D8="","",D8*'0. Supuestos'!$B$18),"")</f>
        <v>1820.0</v>
      </c>
      <c r="E13" s="28" t="n"/>
      <c r="F13" s="28" t="n"/>
    </row>
    <row r="14">
      <c r="A14" s="28" t="inlineStr">
        <is>
          <t>Varios e imprevistos</t>
        </is>
      </c>
      <c r="B14" s="32">
        <f>IFERROR(IF(B8="","",B8*'0. Supuestos'!$B$28),"")</f>
        <v>3750.0</v>
      </c>
      <c r="C14" s="32">
        <f>IFERROR(IF(C8="","",C8*'0. Supuestos'!$B$28),"")</f>
        <v>6750.0</v>
      </c>
      <c r="D14" s="32">
        <f>IFERROR(IF(D8="","",D8*'0. Supuestos'!$B$28),"")</f>
        <v>11375.0</v>
      </c>
      <c r="E14" s="28" t="n"/>
      <c r="F14" s="28" t="n"/>
    </row>
    <row r="15">
      <c r="A15" s="28" t="inlineStr">
        <is>
          <t>TOTAL COSTES VARIABLES</t>
        </is>
      </c>
      <c r="B15" s="32">
        <f>IFERROR(IF(B8="","",SUM(B9:B14)),"")</f>
        <v>26933.550000000003</v>
      </c>
      <c r="C15" s="32">
        <f>IFERROR(IF(C8="","",SUM(C9:C14)),"")</f>
        <v>48480.39</v>
      </c>
      <c r="D15" s="32">
        <f>IFERROR(IF(D8="","",SUM(D9:D14)),"")</f>
        <v>81698.435</v>
      </c>
      <c r="E15" s="28" t="n"/>
      <c r="F15" s="28" t="n"/>
    </row>
    <row r="16">
      <c r="A16" s="35" t="inlineStr">
        <is>
          <t>MARGEN BRUTO</t>
        </is>
      </c>
      <c r="B16" s="36">
        <f>IFERROR(IF(B8="","",B8-B15),"")</f>
        <v>48066.45</v>
      </c>
      <c r="C16" s="36">
        <f>IFERROR(IF(C8="","",C8-C15),"")</f>
        <v>86519.61</v>
      </c>
      <c r="D16" s="36">
        <f>IFERROR(IF(D8="","",D8-D15),"")</f>
        <v>145801.565</v>
      </c>
    </row>
    <row r="17">
      <c r="A17" s="35" t="inlineStr">
        <is>
          <t>COSTES FIJOS (los del P&amp;L)</t>
        </is>
      </c>
      <c r="B17" s="36">
        <f>IFERROR(IF(B8="","",'PyG 3 Años'!$B$38),"")</f>
        <v>78859.2</v>
      </c>
      <c r="C17" s="36">
        <f>IFERROR(IF(C8="","",'PyG 3 Años'!$B$38),"")</f>
        <v>78859.2</v>
      </c>
      <c r="D17" s="36">
        <f>IFERROR(IF(D8="","",'PyG 3 Años'!$B$38),"")</f>
        <v>78859.2</v>
      </c>
      <c r="E17" s="35" t="inlineStr">
        <is>
          <t>Los costes fijos no cambian con el escenario: por eso son fijos</t>
        </is>
      </c>
    </row>
    <row r="18">
      <c r="A18" s="16" t="inlineStr">
        <is>
          <t>RESULTADO ANTES DE IMPUESTOS</t>
        </is>
      </c>
      <c r="B18" s="33">
        <f>IFERROR(IF(B8="","",B16-B17),"")</f>
        <v>-30792.75</v>
      </c>
      <c r="C18" s="33">
        <f>IFERROR(IF(C8="","",C16-C17),"")</f>
        <v>7660.4100000000035</v>
      </c>
      <c r="D18" s="33">
        <f>IFERROR(IF(D8="","",D16-D17),"")</f>
        <v>66942.365</v>
      </c>
    </row>
    <row r="19">
      <c r="A19" s="35" t="inlineStr">
        <is>
          <t>Impuesto de Sociedades</t>
        </is>
      </c>
      <c r="B19" s="36">
        <f>IFERROR(IF(B8="","",MAX(0,B18-'0. Supuestos'!$B$42)*'0. Supuestos'!$B$37),"")</f>
        <v>0.0</v>
      </c>
      <c r="C19" s="36">
        <f>IFERROR(IF(C8="","",MAX(0,C18-'0. Supuestos'!$B$42)*'0. Supuestos'!$B$37),"")</f>
        <v>1149.0615000000005</v>
      </c>
      <c r="D19" s="36">
        <f>IFERROR(IF(D8="","",MAX(0,D18-'0. Supuestos'!$B$42)*'0. Supuestos'!$B$37),"")</f>
        <v>10041.35475</v>
      </c>
      <c r="E19" s="35" t="inlineStr">
        <is>
          <t>Al tipo de entidad de nueva creación, compensando las bases negativas anteriores</t>
        </is>
      </c>
    </row>
    <row r="20">
      <c r="A20" s="16" t="inlineStr">
        <is>
          <t>RESULTADO NETO</t>
        </is>
      </c>
      <c r="B20" s="33">
        <f>IFERROR(IF(B8="","",B18-B19),"")</f>
        <v>-30792.75</v>
      </c>
      <c r="C20" s="33">
        <f>IFERROR(IF(C8="","",C18-C19),"")</f>
        <v>6511.348500000003</v>
      </c>
      <c r="D20" s="33">
        <f>IFERROR(IF(D8="","",D18-D19),"")</f>
        <v>56901.01025000001</v>
      </c>
    </row>
    <row r="21">
      <c r="A21" s="35" t="inlineStr">
        <is>
          <t>Clientes/día para el equilibrio</t>
        </is>
      </c>
      <c r="B21" s="48">
        <f>IFERROR(IF(B8="","",IF(B6-B15/(B5*B7)&lt;=0,"",B17/(B6-B15/(B5*B7))/B7)),"")</f>
        <v>49.21886263703685</v>
      </c>
      <c r="C21" s="48">
        <f>IFERROR(IF(C8="","",IF(C6-C15/(C5*C7)&lt;=0,"",C17/(C6-C15/(C5*C7))/C7)),"")</f>
        <v>41.015718864197375</v>
      </c>
      <c r="D21" s="48">
        <f>IFERROR(IF(D8="","",IF(D6-D15/(D5*D7)&lt;=0,"",D17/(D6-D15/(D5*D7))/D7)),"")</f>
        <v>35.15633045502632</v>
      </c>
    </row>
    <row r="22">
      <c r="A22" s="16" t="inlineStr">
        <is>
          <t>LO QUE CADA ESCENARIO EXIGE</t>
        </is>
      </c>
    </row>
    <row r="23">
      <c r="A23" s="35" t="inlineStr">
        <is>
          <t>Coste de personal / Ventas</t>
        </is>
      </c>
      <c r="B23" s="22">
        <f>IFERROR(IF(B8="","",'PyG 3 Años'!$B$23/B8),"")</f>
        <v>0.5610826666666666</v>
      </c>
      <c r="C23" s="22">
        <f>IFERROR(IF(C8="","",'PyG 3 Años'!$B$23/C8),"")</f>
        <v>0.3117125925925926</v>
      </c>
      <c r="D23" s="22">
        <f>IFERROR(IF(D8="","",'PyG 3 Años'!$B$23/D8),"")</f>
        <v>0.18497230769230769</v>
      </c>
      <c r="E23" s="35" t="inlineStr">
        <is>
          <t>La MISMA plantilla en los tres escenarios. Si en el pesimista se dispara, el ajuste hay que hacerlo en la hoja de Personal, no aquí</t>
        </is>
      </c>
    </row>
    <row r="24">
      <c r="A24" s="35" t="inlineStr">
        <is>
          <t>Clientes al año por jornada equivalente</t>
        </is>
      </c>
      <c r="B24" s="42">
        <f>IFERROR(IF(B8="","",B5*B7/'Personal'!$C$9),"")</f>
        <v>4658.385093167702</v>
      </c>
      <c r="C24" s="42">
        <f>IFERROR(IF(C8="","",C5*C7/'Personal'!$C$9),"")</f>
        <v>6987.577639751552</v>
      </c>
      <c r="D24" s="42">
        <f>IFERROR(IF(D8="","",D5*D7/'Personal'!$C$9),"")</f>
        <v>10093.167701863353</v>
      </c>
      <c r="E24" s="35" t="inlineStr">
        <is>
          <t>Clientes que tendría que sacar cada jornada completa del cuadro de Personal. En el optimista dice si hace falta contratar</t>
        </is>
      </c>
    </row>
    <row r="25">
      <c r="A25" s="16" t="inlineStr">
        <is>
          <t>Saldo de caja al cierre del año 1 (estimado, el mismo método en los tres escenarios)</t>
        </is>
      </c>
      <c r="B25" s="33">
        <f>IFERROR(IF(B8="","",'Inversión Inicial'!$B$25+B20+'PyG 3 Años'!$B$36-'Financiación'!$B$45),"")</f>
        <v>-6091.950000000001</v>
      </c>
      <c r="C25" s="33">
        <f>IFERROR(IF(C8="","",'Inversión Inicial'!$B$25+C20+'PyG 3 Años'!$B$36-'Financiación'!$B$45),"")</f>
        <v>31212.148500000003</v>
      </c>
      <c r="D25" s="33">
        <f>IFERROR(IF(D8="","",'Inversión Inicial'!$B$25+D20+'PyG 3 Años'!$B$36-'Financiación'!$B$45),"")</f>
        <v>81601.81025000001</v>
      </c>
      <c r="E25" s="16" t="inlineStr">
        <is>
          <t>Saldo ESTIMADO: fondo de maniobra más el resultado del año, devolviendo la amortización (que no se paga) y restando el principal del préstamo. No incluye el desfase de cobros y pagos ni la liquidación del IVA, así que las tres columnas se pueden comparar entre sí. En rojo, el escenario se queda sin caja</t>
        </is>
      </c>
    </row>
    <row r="26">
      <c r="A26" s="35" t="inlineStr">
        <is>
          <t>Saldo real del mes 12 de la hoja de Tesorería (sólo realista)</t>
        </is>
      </c>
      <c r="C26" s="36">
        <f>IFERROR(IF(C8="","",'Tesorería 12 meses'!$M$22),"")</f>
        <v>40484.12918506034</v>
      </c>
      <c r="E26" s="35" t="inlineStr">
        <is>
          <t>El saldo REAL del caso base, con su desfase de cobros y pagos y su liquidación de IVA. Sólo existe para el escenario realista, que es el único con tesorería mensual propia: por eso no está en la fila de arriba, donde se compararía contra dos estimaciones</t>
        </is>
      </c>
    </row>
    <row r="27"/>
    <row r="28" ht="150" customHeight="1">
      <c r="A28" s="17" t="inlineStr">
        <is>
          <t>La columna «Realista» lee sus tres datos de la hoja de Supuestos, así que reproduce EXACTAMENTE el año 1 del P&amp;L. Los otros dos escenarios usan las mismas tasas de coste: lo único que cambia son los clientes, el ticket y los días. Los COSTES FIJOS sí son los mismos en los tres: los varios e imprevistos, que son un porcentaje de las ventas, van arriba con los variables y cada escenario carga los suyos.</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AND(ISNUMBER(B23),B23&gt;'PyG 3 Años'!$E$54)</formula>
    </cfRule>
    <cfRule type="expression" priority="2" dxfId="0" stopIfTrue="1">
      <formula>AND(ISNUMBER(B23),B23&lt;='PyG 3 Años'!$E$54)</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3">
    <dataValidation sqref="B6 D6" showDropDown="0" showInputMessage="0" showErrorMessage="1" allowBlank="1" errorTitle="Importe no válido" error="Escribe un número mayor o igual que 0." type="decimal" operator="greaterThanOrEqual">
      <formula1>0</formula1>
    </dataValidation>
    <dataValidation sqref="B7 D7" showDropDown="0" showInputMessage="0" showErrorMessage="1" allowBlank="1" errorTitle="Días fuera de rango" error="Los días van de 1 a 365." type="whole" operator="between">
      <formula1>1</formula1>
      <formula2>365</formula2>
    </dataValidation>
    <dataValidation sqref="B5 D5"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5"/>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ESTRUCTURA DE PERSONAL Y COSTES</t>
        </is>
      </c>
    </row>
    <row r="2">
      <c r="A2" t="str">
        <f>IFERROR("Convenio Hostelería — "&amp;TEXT('0. Supuestos'!$B$21,"0")&amp;" pagas + SS "&amp;TEXT('0. Supuestos'!$B$20*100,"0")&amp;" %","")</f>
        <v>Convenio Hostelería — 14 pagas + SS 33 %</v>
      </c>
    </row>
    <row r="3"/>
    <row r="4">
      <c r="A4" s="39" t="inlineStr">
        <is>
          <t>Puesto</t>
        </is>
      </c>
      <c r="B4" s="39" t="inlineStr">
        <is>
          <t>Personas</t>
        </is>
      </c>
      <c r="C4" s="39" t="inlineStr">
        <is>
          <t>Jornada</t>
        </is>
      </c>
      <c r="D4" s="39" t="inlineStr">
        <is>
          <t>Bruto mes (€, total del puesto)</t>
        </is>
      </c>
      <c r="E4" s="39" t="inlineStr">
        <is>
          <t>Seg. Social a cargo de la empresa (€)</t>
        </is>
      </c>
      <c r="F4" s="39" t="inlineStr">
        <is>
          <t>Coste mes (€, total del puesto)</t>
        </is>
      </c>
      <c r="G4" s="39" t="inlineStr">
        <is>
          <t>Coste año (€)</t>
        </is>
      </c>
      <c r="H4" s="39" t="inlineStr">
        <is>
          <t>Horas/semana por persona</t>
        </is>
      </c>
      <c r="I4" s="39" t="inlineStr">
        <is>
          <t>Horas/año del puesto</t>
        </is>
      </c>
      <c r="J4" s="39" t="inlineStr">
        <is>
          <t>Notas</t>
        </is>
      </c>
    </row>
    <row r="5">
      <c r="A5" s="28" t="inlineStr">
        <is>
          <t>Propietario/a — chef, gestión y conducción</t>
        </is>
      </c>
      <c r="B5" s="49" t="n">
        <v>1</v>
      </c>
      <c r="C5" s="51" t="n">
        <v>1</v>
      </c>
      <c r="D5" s="50" t="n">
        <v>1500</v>
      </c>
      <c r="E5" s="41">
        <f>IFERROR(IF(D5="","",D5*'0. Supuestos'!$B$20),"")</f>
        <v>495.0</v>
      </c>
      <c r="F5" s="41">
        <f>IFERROR(IF(D5="","",D5+E5),"")</f>
        <v>1995.0</v>
      </c>
      <c r="G5" s="41">
        <f>IFERROR(IF(D5="","",F5*MAX(12,'0. Supuestos'!$B$21)),"")</f>
        <v>27930.0</v>
      </c>
      <c r="H5" s="44">
        <f>IFERROR(IF(D5="","",C5*$B$16),"")</f>
        <v>40.0</v>
      </c>
      <c r="I5" s="40">
        <f>IFERROR(IF(D5="","",H5*B5*$B$17),"")</f>
        <v>1840.0</v>
      </c>
      <c r="J5" s="28" t="inlineStr">
        <is>
          <t>Elabora el producto, conduce el vehículo entre ubicaciones y lleva la gestión, compras y RRSS. Cubre el turno fuerte de los 250 días de servicio al año</t>
        </is>
      </c>
    </row>
    <row r="6">
      <c r="A6" s="28" t="inlineStr">
        <is>
          <t>Ayudante de cocina y servicio</t>
        </is>
      </c>
      <c r="B6" s="49" t="n">
        <v>1</v>
      </c>
      <c r="C6" s="51" t="n">
        <v>0.45</v>
      </c>
      <c r="D6" s="50" t="n">
        <v>560</v>
      </c>
      <c r="E6" s="41">
        <f>IFERROR(IF(D6="","",D6*'0. Supuestos'!$B$20),"")</f>
        <v>184.8</v>
      </c>
      <c r="F6" s="41">
        <f>IFERROR(IF(D6="","",D6+E6),"")</f>
        <v>744.8</v>
      </c>
      <c r="G6" s="41">
        <f>IFERROR(IF(D6="","",F6*MAX(12,'0. Supuestos'!$B$21)),"")</f>
        <v>10427.199999999999</v>
      </c>
      <c r="H6" s="44">
        <f>IFERROR(IF(D6="","",C6*$B$16),"")</f>
        <v>18.0</v>
      </c>
      <c r="I6" s="40">
        <f>IFERROR(IF(D6="","",H6*B6*$B$17),"")</f>
        <v>828.0</v>
      </c>
      <c r="J6" s="28" t="inlineStr">
        <is>
          <t>Prep, montaje, atención al cliente y desmontaje. A tiempo parcial: un food truck de dos servicios diarios como máximo no necesita una segunda persona a jornada completa. Por encima del SMI en proporción a su jornada</t>
        </is>
      </c>
    </row>
    <row r="7">
      <c r="A7" s="28" t="inlineStr">
        <is>
          <t>Refuerzo de festivales y eventos grandes</t>
        </is>
      </c>
      <c r="B7" s="49" t="n">
        <v>1</v>
      </c>
      <c r="C7" s="51" t="n">
        <v>0.1</v>
      </c>
      <c r="D7" s="50" t="n">
        <v>125</v>
      </c>
      <c r="E7" s="41">
        <f>IFERROR(IF(D7="","",D7*'0. Supuestos'!$B$20),"")</f>
        <v>41.25</v>
      </c>
      <c r="F7" s="41">
        <f>IFERROR(IF(D7="","",D7+E7),"")</f>
        <v>166.25</v>
      </c>
      <c r="G7" s="41">
        <f>IFERROR(IF(D7="","",F7*MAX(12,'0. Supuestos'!$B$21)),"")</f>
        <v>2327.5</v>
      </c>
      <c r="H7" s="44">
        <f>IFERROR(IF(D7="","",C7*$B$16),"")</f>
        <v>4.0</v>
      </c>
      <c r="I7" s="40">
        <f>IFERROR(IF(D7="","",H7*B7*$B$17),"")</f>
        <v>184.0</v>
      </c>
      <c r="J7" s="28" t="inlineStr">
        <is>
          <t>Sólo para los picos de afluencia que el propio fichero describe («Festivales = facturación x3-5 en un día»): unas pocas jornadas al mes, no un puesto estable. Por encima del SMI en proporción a su jornada</t>
        </is>
      </c>
    </row>
    <row r="8">
      <c r="A8" s="28" t="inlineStr">
        <is>
          <t>Suplencias de vacaciones y descansos</t>
        </is>
      </c>
      <c r="B8" s="49" t="n">
        <v>1</v>
      </c>
      <c r="C8" s="51" t="n">
        <v>0.06</v>
      </c>
      <c r="D8" s="50" t="n">
        <v>75</v>
      </c>
      <c r="E8" s="41">
        <f>IFERROR(IF(D8="","",D8*'0. Supuestos'!$B$20),"")</f>
        <v>24.75</v>
      </c>
      <c r="F8" s="41">
        <f>IFERROR(IF(D8="","",D8+E8),"")</f>
        <v>99.75</v>
      </c>
      <c r="G8" s="41">
        <f>IFERROR(IF(D8="","",F8*MAX(12,'0. Supuestos'!$B$21)),"")</f>
        <v>1396.5</v>
      </c>
      <c r="H8" s="44">
        <f>IFERROR(IF(D8="","",C8*$B$16),"")</f>
        <v>2.4</v>
      </c>
      <c r="I8" s="40">
        <f>IFERROR(IF(D8="","",H8*B8*$B$17),"")</f>
        <v>110.39999999999999</v>
      </c>
      <c r="J8" s="28" t="inlineStr">
        <is>
          <t>Cobertura de los 30 días de vacaciones (art. 38 ET) del propietario y del ayudante, y del descanso semanal. Por encima del SMI en proporción a su jornada</t>
        </is>
      </c>
    </row>
    <row r="9">
      <c r="A9" s="16" t="inlineStr">
        <is>
          <t>TOTAL PLANTILLA</t>
        </is>
      </c>
      <c r="B9" s="52">
        <f>IFERROR(IF(COUNT(D5:D8)=0,"",SUM(B5:B8)),"")</f>
        <v>4.0</v>
      </c>
      <c r="C9" s="53">
        <f>IFERROR(IF(COUNT(D5:D8)=0,"",SUM(C5:C8)),"")</f>
        <v>1.61</v>
      </c>
      <c r="D9" s="54">
        <f>IFERROR(IF(COUNT(D5:D8)=0,"",SUM(D5:D8)),"")</f>
        <v>2260.0</v>
      </c>
      <c r="E9" s="54">
        <f>IFERROR(IF(COUNT(D5:D8)=0,"",SUM(E5:E8)),"")</f>
        <v>745.8</v>
      </c>
      <c r="F9" s="54">
        <f>IFERROR(IF(COUNT(D5:D8)=0,"",SUM(F5:F8)),"")</f>
        <v>3005.8</v>
      </c>
      <c r="G9" s="54">
        <f>IFERROR(IF(COUNT(D5:D8)=0,"",SUM(G5:G8)),"")</f>
        <v>42081.2</v>
      </c>
      <c r="I9" s="52">
        <f>IFERROR(IF(COUNT(D5:D8)=0,"",SUM(I5:I8)),"")</f>
        <v>2962.4</v>
      </c>
    </row>
    <row r="10">
      <c r="A10" s="16" t="inlineStr">
        <is>
          <t>CRECIMIENTO DE LA PLANTILLA (coste escalonado)</t>
        </is>
      </c>
    </row>
    <row r="11">
      <c r="A11" s="35" t="inlineStr">
        <is>
          <t>Coste anual de las incorporaciones del año 2 (€)</t>
        </is>
      </c>
      <c r="B11" s="55" t="n">
        <v>6000</v>
      </c>
      <c r="J11" s="35" t="inlineStr">
        <is>
          <t>Coste ANUAL completo (bruto + Seguridad Social × pagas) de lo que se contrate ese año. El P&amp;L lo suma al coste del año anterior: la plantilla no crece con un porcentaje, crece con personas</t>
        </is>
      </c>
    </row>
    <row r="12">
      <c r="A12" s="35" t="inlineStr">
        <is>
          <t>Coste anual de las incorporaciones del año 3 (€)</t>
        </is>
      </c>
      <c r="B12" s="55" t="n">
        <v>6000</v>
      </c>
      <c r="J12" s="35" t="inlineStr">
        <is>
          <t>Coste ANUAL completo (bruto + Seguridad Social × pagas) de lo que se contrate ese año. El P&amp;L lo suma al coste del año anterior: la plantilla no crece con un porcentaje, crece con personas</t>
        </is>
      </c>
    </row>
    <row r="13">
      <c r="A13" s="35" t="inlineStr">
        <is>
          <t>Coste de personal del año 2</t>
        </is>
      </c>
      <c r="B13" s="36">
        <f>IFERROR(IF(G9="","",G9*(1+'0. Supuestos'!$B$48)+B11),"")</f>
        <v>48081.2</v>
      </c>
    </row>
    <row r="14">
      <c r="A14" s="35" t="inlineStr">
        <is>
          <t>Coste de personal del año 3</t>
        </is>
      </c>
      <c r="B14" s="36">
        <f>IFERROR(IF(B13="","",B13*(1+'0. Supuestos'!$B$48)+B12),"")</f>
        <v>54081.2</v>
      </c>
    </row>
    <row r="15">
      <c r="A15" s="16" t="inlineStr">
        <is>
          <t>COBERTURA POR HORAS DE SERVICIO</t>
        </is>
      </c>
    </row>
    <row r="16">
      <c r="A16" s="35" t="inlineStr">
        <is>
          <t>Jornada completa del convenio (horas/semana)</t>
        </is>
      </c>
      <c r="B16" s="56" t="n">
        <v>40</v>
      </c>
      <c r="J16" s="35" t="inlineStr">
        <is>
          <t>Art. 34.1 del Estatuto de los Trabajadores; tu convenio provincial puede fijar menos</t>
        </is>
      </c>
    </row>
    <row r="17">
      <c r="A17" s="35" t="inlineStr">
        <is>
          <t>Semanas trabajadas al año por persona</t>
        </is>
      </c>
      <c r="B17" s="56" t="n">
        <v>46</v>
      </c>
      <c r="J17" s="35" t="inlineStr">
        <is>
          <t>46 semanas: 52 menos las vacaciones (30 días naturales, art. 38 ET), los festivos y las ausencias medias</t>
        </is>
      </c>
    </row>
    <row r="18">
      <c r="A18" s="35" t="inlineStr">
        <is>
          <t>Horas de servicio al día que hay que cubrir</t>
        </is>
      </c>
      <c r="B18" s="57" t="n">
        <v>12</v>
      </c>
      <c r="J18" s="35" t="inlineStr">
        <is>
          <t>Jornada efectiva completa del día de servicio: carga, desplazamiento, montaje, servicio, recogida y limpieza. El servicio al público es sólo una parte</t>
        </is>
      </c>
    </row>
    <row r="19">
      <c r="A19" s="35" t="inlineStr">
        <is>
          <t>Personas necesarias a la vez en cada franja</t>
        </is>
      </c>
      <c r="B19" s="57" t="n">
        <v>1</v>
      </c>
      <c r="J19" s="35" t="inlineStr">
        <is>
          <t>Presencia media a bordo. En los picos de un festival hará falta un segundo par de manos: súbelo aquí y la plantilla se dimensiona sola</t>
        </is>
      </c>
    </row>
    <row r="20">
      <c r="A20" s="35" t="inlineStr">
        <is>
          <t>Horas de servicio a cubrir al año</t>
        </is>
      </c>
      <c r="B20" s="42">
        <f>IFERROR(IF(OR(B18="",B19="",'0. Supuestos'!$B$6=""),"",B18*B19*'0. Supuestos'!$B$6),"")</f>
        <v>3000.0</v>
      </c>
    </row>
    <row r="21">
      <c r="A21" s="35" t="inlineStr">
        <is>
          <t>Horas contratadas al año</t>
        </is>
      </c>
      <c r="B21" s="42">
        <f>IFERROR(IF(I9="","",I9),"")</f>
        <v>2962.4</v>
      </c>
    </row>
    <row r="22">
      <c r="A22" s="16" t="inlineStr">
        <is>
          <t>Cobertura (contratadas / necesarias)</t>
        </is>
      </c>
      <c r="B22" s="34">
        <f>IFERROR(B21/B20,"")</f>
        <v>0.9874666666666667</v>
      </c>
      <c r="J22" s="16" t="inlineStr">
        <is>
          <t>Por debajo del 100 % la plantilla no llega a cubrir el horario que declara el plan: o se contrata más o se recorta el horario</t>
        </is>
      </c>
    </row>
    <row r="23"/>
    <row r="24" ht="150" customHeight="1">
      <c r="A24" s="17" t="inlineStr">
        <is>
          <t>Las columnas «Bruto mes», «Seg. Social», «Coste mes» y «Coste año» son TOTALES de la fila: en un puesto con dos personas incluyen a las dos. «Jornada» es el porcentaje sobre la jornada completa del convenio y sirve para comparar el salario con el suelo legal en proporción. El tipo de Seguridad Social y el número de pagas están en la hoja «0. Supuestos».</t>
        </is>
      </c>
    </row>
    <row r="25" ht="150" customHeight="1">
      <c r="A25" s="17" t="inlineStr">
        <is>
          <t>El suelo salarial es el MAYOR entre el SMI y el salario de convenio, los dos en la hoja «0. Supuestos»; las jornadas parciales lo llevan en proporción. El convenio aplicable es el PROVINCIAL de hostelería: no existe una tabla salarial estatal única, así que la celda del convenio se entrega vacía para que copies la de tu provincia.</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2">
    <cfRule type="expression" priority="1" dxfId="1" stopIfTrue="1">
      <formula>AND(ISNUMBER(B22),B22&lt;0.9)</formula>
    </cfRule>
    <cfRule type="expression" priority="2" dxfId="2" stopIfTrue="1">
      <formula>AND(ISNUMBER(B22),B22&gt;=0.9)</formula>
    </cfRule>
    <cfRule type="expression" priority="3" dxfId="0" stopIfTrue="1">
      <formula>AND(ISNUMBER(B22),B22&gt;=1)</formula>
    </cfRule>
  </conditionalFormatting>
  <conditionalFormatting sqref="D5:D8">
    <cfRule type="expression" priority="4" dxfId="1" stopIfTrue="1">
      <formula>AND(ISNUMBER(D5),IFERROR(D5/B5,0)*'0. Supuestos'!$B$21&lt;MAX('0. Supuestos'!$B$22,'0. Supuestos'!$B$68)*C5)</formula>
    </cfRule>
  </conditionalFormatting>
  <dataValidations count="4">
    <dataValidation sqref="B5 B6 B8 B11 B12 B16 B17 B18 D5 D6 D7 D8" showDropDown="0" showInputMessage="0" showErrorMessage="1" allowBlank="1" errorTitle="Importe no válido" error="Escribe un número mayor o igual que 0." type="decimal" operator="greaterThanOrEqual">
      <formula1>0</formula1>
    </dataValidation>
    <dataValidation sqref="B19" showDropDown="0" showInputMessage="0" showErrorMessage="1" allowBlank="1" errorTitle="Valor no válido" error="Escribe un número mayor o igual que 0; esta celda admite decimales (1,7 personas es una presencia media, no una persona y media)." type="decimal" operator="greaterThanOrEqual">
      <formula1>0</formula1>
    </dataValidation>
    <dataValidation sqref="C5 C6 C7 C8" showDropDown="0" showInputMessage="0" showErrorMessage="1" allowBlank="1" errorTitle="Porcentaje no válido" error="Escribe un porcentaje entre 0 y 1 (0,35 = 35 %)." type="decimal" operator="between">
      <formula1>0</formula1>
      <formula2>1</formula2>
    </dataValidation>
    <dataValidation sqref="B7"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3"/>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5" t="inlineStr">
        <is>
          <t>INSTRUCCIONES DE USO — Plan financiero Food Truck</t>
        </is>
      </c>
      <c r="B1" s="28" t="n"/>
      <c r="C1" s="28" t="n"/>
      <c r="D1" s="28" t="n"/>
      <c r="E1" s="28" t="n"/>
    </row>
    <row r="2">
      <c r="A2" s="28" t="n"/>
      <c r="B2" s="28" t="n"/>
      <c r="C2" s="28" t="n"/>
      <c r="D2" s="28" t="n"/>
      <c r="E2" s="28" t="n"/>
    </row>
    <row r="3">
      <c r="A3" s="39" t="inlineStr">
        <is>
          <t>CÓMO SE USA ESTE LIBRO</t>
        </is>
      </c>
      <c r="B3" s="28" t="n"/>
      <c r="C3" s="28" t="n"/>
      <c r="D3" s="28" t="n"/>
      <c r="E3" s="28" t="n"/>
    </row>
    <row r="4" ht="30" customHeight="1">
      <c r="A4" s="46" t="inlineStr">
        <is>
          <t>Este plan financiero es un MODELO: sólo se teclea en las celdas VERDES y el resto se recalcula solo.</t>
        </is>
      </c>
      <c r="B4" s="28" t="n"/>
      <c r="C4" s="28" t="n"/>
      <c r="D4" s="28" t="n"/>
      <c r="E4" s="28" t="n"/>
    </row>
    <row r="5" ht="45" customHeight="1">
      <c r="A5" s="46" t="inlineStr">
        <is>
          <t>1. «0. Supuestos» es la hoja de mando: clientes, ticket sin IVA, días de apertura, mezcla de comida y bebida, coste de mercancía, alquiler, financiación e impuestos.</t>
        </is>
      </c>
      <c r="B5" s="28" t="n"/>
      <c r="C5" s="28" t="n"/>
      <c r="D5" s="28" t="n"/>
      <c r="E5" s="28" t="n"/>
    </row>
    <row r="6" ht="45" customHeight="1">
      <c r="A6" s="46" t="inlineStr">
        <is>
          <t>2. Las partidas de la inversión, los costes fijos y la plantilla se teclean en su propia hoja, también en verde. Ningún número se escribe dos veces.</t>
        </is>
      </c>
      <c r="B6" s="28" t="n"/>
      <c r="C6" s="28" t="n"/>
      <c r="D6" s="28" t="n"/>
      <c r="E6" s="28" t="n"/>
    </row>
    <row r="7" ht="90" customHeight="1">
      <c r="A7" s="46" t="inlineStr">
        <is>
          <t>3. Sólo «Punto Equilibrio» se deriva entera de lo anterior. En las otras tres hojas también hay celdas verdes que puedes tocar: el escenario pesimista y el optimista en «Escenarios», la estacionalidad y la rampa de arranque en «Tesorería 12 meses», y las cuatro fuentes alternativas de financiación en «Financiación». Todo lo demás se calcula.</t>
        </is>
      </c>
      <c r="B7" s="28" t="n"/>
      <c r="C7" s="28" t="n"/>
      <c r="D7" s="28" t="n"/>
      <c r="E7" s="28" t="n"/>
    </row>
    <row r="8" ht="210" customHeight="1">
      <c r="A8" s="46" t="inlineStr">
        <is>
          <t>4. Todas las cifras van SIN IVA. Para pasar un PVP a precio sin IVA, divide por el tipo que le corresponda: entre 1,10 en sala (comida y bebida, alcohol incluido: art. 91.Uno.2.2.º de la Ley 37/1992 del IVA) y, cuando se venden para llevar, los alimentos —bollería y pastelería incluidas—, que son productos alimenticios al tipo reducido por el art. 91.Uno.1.1.º; y entre 1,21 el tipo general, que en hostelería sólo alcanza a lo que sale del local como entrega de bienes excluida del reducido: el alcohol y los refrescos o zumos con azúcares añadidos para llevar o a domicilio (la comida para llevar sigue al 10 %); el libro lo aplica al alcohol del canal de delivery. El tipo de cada línea de venta está en la columna «Tipo de IVA de la línea» del P&amp;L y de ahí salen los cobros, el IVA repercutido y el PVP equivalente. El IVA de la inversión se adelanta y se recupera con el modelo 303.</t>
        </is>
      </c>
      <c r="B8" s="28" t="n"/>
      <c r="C8" s="28" t="n"/>
      <c r="D8" s="28" t="n"/>
      <c r="E8" s="28" t="n"/>
    </row>
    <row r="9" ht="30" customHeight="1">
      <c r="A9" s="46" t="inlineStr">
        <is>
          <t>5. Si cambias la plantilla, el P&amp;L la lee sola: el coste de personal sale de la hoja «Personal», no de una estimación aparte.</t>
        </is>
      </c>
      <c r="B9" s="28" t="n"/>
      <c r="C9" s="28" t="n"/>
      <c r="D9" s="28" t="n"/>
      <c r="E9" s="28" t="n"/>
    </row>
    <row r="10" ht="45" customHeight="1">
      <c r="A10" s="46" t="inlineStr">
        <is>
          <t>6. La hoja «Tesorería 12 meses» responde la pregunta que decide una operación bancaria: en qué mes se agota la caja. El saldo mínimo del año nunca puede salir en rojo.</t>
        </is>
      </c>
      <c r="B10" s="28" t="n"/>
      <c r="C10" s="28" t="n"/>
      <c r="D10" s="28" t="n"/>
      <c r="E10" s="28" t="n"/>
    </row>
    <row r="11" ht="45" customHeight="1">
      <c r="A11" s="46" t="inlineStr">
        <is>
          <t>7. La hoja «Financiación» cuadra lo que hace falta con lo que se aporta y monta el cuadro de amortización del préstamo. Si la diferencia sale en rojo, el plan no está financiado.</t>
        </is>
      </c>
      <c r="B11" s="28" t="n"/>
      <c r="C11" s="28" t="n"/>
      <c r="D11" s="28" t="n"/>
      <c r="E11" s="28" t="n"/>
    </row>
    <row r="12" ht="45" customHeight="1">
      <c r="A12" s="46" t="inlineStr">
        <is>
          <t>8. El documento Word de este pack es el de la versión 1.1: las cifras válidas son las de este Excel, que es el que se recalcula solo cuando cambias una celda verde.</t>
        </is>
      </c>
      <c r="B12" s="28" t="n"/>
      <c r="C12" s="28" t="n"/>
      <c r="D12" s="28" t="n"/>
      <c r="E12" s="28" t="n"/>
    </row>
    <row r="13">
      <c r="A13" s="28" t="n"/>
      <c r="B13" s="28" t="n"/>
      <c r="C13" s="28" t="n"/>
      <c r="D13" s="28" t="n"/>
      <c r="E13" s="28" t="n"/>
    </row>
    <row r="14">
      <c r="A14" s="25" t="inlineStr">
        <is>
          <t>RATIOS QUE AUDITA EL LIBRO</t>
        </is>
      </c>
      <c r="B14" s="28" t="n"/>
      <c r="C14" s="28" t="n"/>
      <c r="D14" s="28" t="n"/>
      <c r="E14" s="28" t="n"/>
    </row>
    <row r="15" ht="30" customHeight="1">
      <c r="A15" s="46" t="inlineStr">
        <is>
          <t>Los umbrales viven en la columna «Umbral» del bloque RATIOS CLAVE del P&amp;L: cámbialos ahí y el semáforo cambia con ellos.</t>
        </is>
      </c>
      <c r="B15" s="28" t="n"/>
      <c r="C15" s="28" t="n"/>
      <c r="D15" s="28" t="n"/>
      <c r="E15" s="28" t="n"/>
    </row>
    <row r="16">
      <c r="A16" s="28" t="n"/>
      <c r="B16" s="28" t="n"/>
      <c r="C16" s="28" t="n"/>
      <c r="D16" s="28" t="n"/>
      <c r="E16" s="28" t="n"/>
    </row>
    <row r="17">
      <c r="A17" s="25" t="inlineStr">
        <is>
          <t>Ratio</t>
        </is>
      </c>
      <c r="B17" s="25" t="inlineStr">
        <is>
          <t>Valor del año 1</t>
        </is>
      </c>
      <c r="C17" s="25" t="inlineStr">
        <is>
          <t>Umbral</t>
        </is>
      </c>
      <c r="D17" s="25" t="inlineStr">
        <is>
          <t>Estado</t>
        </is>
      </c>
      <c r="E17" s="28" t="n"/>
    </row>
    <row r="18">
      <c r="A18" s="28" t="inlineStr">
        <is>
          <t>Coste de mercancía / Ventas</t>
        </is>
      </c>
      <c r="B18" s="30">
        <f>IFERROR(IF('PyG 3 Años'!$B$53="","",'PyG 3 Años'!$B$53),"")</f>
        <v>0.271114</v>
      </c>
      <c r="C18" s="30">
        <f>IFERROR(IF('PyG 3 Años'!$E$53="","",'PyG 3 Años'!$E$53),"")</f>
        <v>0.33</v>
      </c>
      <c r="D18" s="28" t="str">
        <f>IFERROR(IF(OR(B18="",C18=""),"",IF(B18&lt;=C18,"CUMPLE","REVISAR")),"")</f>
        <v>CUMPLE</v>
      </c>
      <c r="E18" s="28" t="n"/>
    </row>
    <row r="19">
      <c r="A19" t="inlineStr">
        <is>
          <t>Coste de personal / Ventas</t>
        </is>
      </c>
      <c r="B19" s="22">
        <f>IFERROR(IF('PyG 3 Años'!$B$54="","",'PyG 3 Años'!$B$54),"")</f>
        <v>0.3117125925925926</v>
      </c>
      <c r="C19" s="22">
        <f>IFERROR(IF('PyG 3 Años'!$E$54="","",'PyG 3 Años'!$E$54),"")</f>
        <v>0.32</v>
      </c>
      <c r="D19" t="str">
        <f>IFERROR(IF(OR(B19="",C19=""),"",IF(B19&lt;=C19,"CUMPLE","REVISAR")),"")</f>
        <v>CUMPLE</v>
      </c>
    </row>
    <row r="20">
      <c r="A20" t="inlineStr">
        <is>
          <t>Aparcamiento / Ventas</t>
        </is>
      </c>
      <c r="B20" s="22">
        <f>IFERROR(IF('PyG 3 Años'!$B$55="","",'PyG 3 Años'!$B$55),"")</f>
        <v>0.035555555555555556</v>
      </c>
      <c r="C20" s="22">
        <f>IFERROR(IF('PyG 3 Años'!$E$55="","",'PyG 3 Años'!$E$55),"")</f>
        <v>0.05</v>
      </c>
      <c r="D20" t="str">
        <f>IFERROR(IF(OR(B20="",C20=""),"",IF(B20&lt;=C20,"CUMPLE","REVISAR")),"")</f>
        <v>CUMPLE</v>
      </c>
    </row>
    <row r="21">
      <c r="A21" t="inlineStr">
        <is>
          <t>Resultado neto / Ventas</t>
        </is>
      </c>
      <c r="B21" s="22">
        <f>IFERROR(IF('PyG 3 Años'!$B$56="","",'PyG 3 Años'!$B$56),"")</f>
        <v>0.04823221111111113</v>
      </c>
      <c r="C21" s="22">
        <f>IFERROR(IF('PyG 3 Años'!$E$56="","",'PyG 3 Años'!$E$56),"")</f>
        <v>0.04</v>
      </c>
      <c r="D21" t="str">
        <f>IFERROR(IF(OR(B21="",C21=""),"",IF(B21&gt;=C21,"CUMPLE","REVISAR")),"")</f>
        <v>CUMPLE</v>
      </c>
    </row>
    <row r="22">
      <c r="A22" t="inlineStr">
        <is>
          <t>Margen bruto / Ventas</t>
        </is>
      </c>
      <c r="B22" s="22">
        <f>IFERROR(IF('PyG 3 Años'!$B$51="","",'PyG 3 Años'!$B$51),"")</f>
        <v>0.640886</v>
      </c>
      <c r="C22" s="22">
        <f>IFERROR(IF('PyG 3 Años'!$E$51="","",'PyG 3 Años'!$E$51),"")</f>
        <v>0.62</v>
      </c>
      <c r="D22" t="str">
        <f>IFERROR(IF(OR(B22="",C22=""),"",IF(B22&gt;=C22,"CUMPLE","REVISAR")),"")</f>
        <v>CUMPLE</v>
      </c>
    </row>
    <row r="23"/>
    <row r="24">
      <c r="A24" s="16" t="inlineStr">
        <is>
          <t>CIFRAS DE ESTE PLAN</t>
        </is>
      </c>
    </row>
    <row r="25">
      <c r="A25" t="inlineStr">
        <is>
          <t>Inversión total (suma de los bloques)</t>
        </is>
      </c>
      <c r="B25" s="36">
        <f>IFERROR(IF('Inversión Inicial'!$B$26="","",'Inversión Inicial'!$B$26),"")</f>
        <v>81996.8</v>
      </c>
    </row>
    <row r="26">
      <c r="A26" t="inlineStr">
        <is>
          <t>Necesidad total de caja al arranque</t>
        </is>
      </c>
      <c r="B26" s="36">
        <f>IFERROR(IF('Inversión Inicial'!$B$29="","",'Inversión Inicial'!$B$29),"")</f>
        <v>94669.04000000001</v>
      </c>
    </row>
    <row r="27">
      <c r="A27" t="inlineStr">
        <is>
          <t>Fondo de maniobra dotado</t>
        </is>
      </c>
      <c r="B27" s="36">
        <f>IFERROR(IF('Inversión Inicial'!$B$25="","",'Inversión Inicial'!$B$25),"")</f>
        <v>18052.8</v>
      </c>
    </row>
    <row r="28">
      <c r="A28" t="inlineStr">
        <is>
          <t>Facturación prevista del año 1</t>
        </is>
      </c>
      <c r="B28" s="36">
        <f>IFERROR(IF('PyG 3 Años'!$B$9="","",'PyG 3 Años'!$B$9),"")</f>
        <v>135000.0</v>
      </c>
    </row>
    <row r="29">
      <c r="A29" t="inlineStr">
        <is>
          <t>Resultado neto del año 1</t>
        </is>
      </c>
      <c r="B29" s="36">
        <f>IFERROR(IF('PyG 3 Años'!$B$48="","",'PyG 3 Años'!$B$48),"")</f>
        <v>6511.348500000003</v>
      </c>
    </row>
    <row r="30">
      <c r="A30" t="inlineStr">
        <is>
          <t>Clientes/día para el punto de equilibrio CONTABLE (con la amortización dentro)</t>
        </is>
      </c>
      <c r="B30" s="48">
        <f>IFERROR(IF('Punto Equilibrio'!$B$15="","",'Punto Equilibrio'!$B$15),"")</f>
        <v>41.015718864197375</v>
      </c>
    </row>
    <row r="31">
      <c r="A31" t="inlineStr">
        <is>
          <t>Payback del proyecto (años), antes de la deuda</t>
        </is>
      </c>
      <c r="B31" t="str">
        <f>IFERROR(IF('Tesorería 12 meses'!$B$31="","",'Tesorería 12 meses'!$B$31),"")</f>
        <v>Más de 3 años</v>
      </c>
    </row>
    <row r="32"/>
    <row r="33">
      <c r="A33" s="16" t="inlineStr">
        <is>
          <t>QUÉ HA CAMBIADO RESPECTO DE LA VERSIÓN 1.1</t>
        </is>
      </c>
    </row>
    <row r="34">
      <c r="A34" s="16" t="inlineStr">
        <is>
          <t>Concepto</t>
        </is>
      </c>
      <c r="B34" s="16" t="inlineStr">
        <is>
          <t>v1.1</t>
        </is>
      </c>
      <c r="C34" s="16" t="inlineStr">
        <is>
          <t>v2.2</t>
        </is>
      </c>
      <c r="D34" s="16" t="inlineStr">
        <is>
          <t>Por qué</t>
        </is>
      </c>
    </row>
    <row r="35" ht="60" customHeight="1">
      <c r="A35" s="58" t="inlineStr">
        <is>
          <t>Coste de personal en la cuenta de resultados</t>
        </is>
      </c>
      <c r="B35" s="58" t="inlineStr">
        <is>
          <t>42.000 €</t>
        </is>
      </c>
      <c r="C35" s="58" t="inlineStr">
        <is>
          <t>42.081 €, leídos de la hoja Personal</t>
        </is>
      </c>
      <c r="D35" s="17" t="inlineStr">
        <is>
          <t>La cuenta de resultados usaba una cifra tecleada a mano que no era la de su propia hoja de Personal, que sumaba 76.566 €. Ahora la lee de ahí: si cambias un sueldo, el plan entero se recalcula</t>
        </is>
      </c>
    </row>
    <row r="36" ht="75" customHeight="1">
      <c r="A36" s="58" t="inlineStr">
        <is>
          <t>Plantilla</t>
        </is>
      </c>
      <c r="B36" s="58" t="inlineStr">
        <is>
          <t>3 puestos / 76.566 € al año</t>
        </is>
      </c>
      <c r="C36" s="58" t="inlineStr">
        <is>
          <t>4 puestos (1 a jornada completa y 3 parciales) / 42.081 € al año</t>
        </is>
      </c>
      <c r="D36" s="17" t="inlineStr">
        <is>
          <t>Dimensionada para los 250 días de servicio que hace este plan, con una línea nueva para cubrir vacaciones y descansos. Con la plantilla anterior el personal se comía el 56,7 % de las ventas y el negocio no era viable con sus propios números</t>
        </is>
      </c>
    </row>
    <row r="37" ht="60" customHeight="1">
      <c r="A37" s="58" t="inlineStr">
        <is>
          <t>Días de servicio al año</t>
        </is>
      </c>
      <c r="B37" s="58" t="inlineStr">
        <is>
          <t>tres calendarios distintos en el mismo paquete: 300 días en el punto de equilibrio, 240 en los escenarios y ninguno declarado en la cuenta de resultados</t>
        </is>
      </c>
      <c r="C37" s="58" t="inlineStr">
        <is>
          <t>250 días, un solo dato para todo el libro</t>
        </is>
      </c>
      <c r="D37" s="17" t="inlineStr">
        <is>
          <t>Son los días que hacen exacta la facturación que el propio plan ya publicaba: 45 clientes × 12 € × 250 días = 135.000 €. Equivalen a 5 días de servicio por semana durante 50 semanas</t>
        </is>
      </c>
    </row>
    <row r="38" ht="60" customHeight="1">
      <c r="A38" s="58" t="inlineStr">
        <is>
          <t>Ticket medio</t>
        </is>
      </c>
      <c r="B38" s="58" t="inlineStr">
        <is>
          <t>12 € sin decir si llevaba IVA</t>
        </is>
      </c>
      <c r="C38" s="58" t="inlineStr">
        <is>
          <t>12 € SIN IVA</t>
        </is>
      </c>
      <c r="D38" s="17" t="inlineStr">
        <is>
          <t>El número no cambia; lo que cambia es que ahora se declara qué es. Con el IVA de hostelería son 13,20 € de precio de venta al público, dentro del rango 10-15 € que recoge este mismo libro</t>
        </is>
      </c>
    </row>
    <row r="39" ht="60" customHeight="1">
      <c r="A39" s="58" t="inlineStr">
        <is>
          <t>Aparcamiento y base del vehículo</t>
        </is>
      </c>
      <c r="B39" s="58" t="inlineStr">
        <is>
          <t>no estaba</t>
        </is>
      </c>
      <c r="C39" s="58" t="inlineStr">
        <is>
          <t>400 €/mes (4.800 € al año), más dos meses de fianza y dos meses antes de abrir</t>
        </is>
      </c>
      <c r="D39" s="17" t="inlineStr">
        <is>
          <t>Un food truck necesita un sitio en el que pernoctar, cargar agua y vaciar residuos. El plan anterior no lo pagaba en ninguna línea, así que el negocio parecía no tener ningún coste de suelo</t>
        </is>
      </c>
    </row>
    <row r="40" ht="45" customHeight="1">
      <c r="A40" s="58" t="inlineStr">
        <is>
          <t>Fondo de maniobra</t>
        </is>
      </c>
      <c r="B40" s="58" t="inlineStr">
        <is>
          <t>6.000 €, etiquetados «3 meses»</t>
        </is>
      </c>
      <c r="C40" s="58" t="inlineStr">
        <is>
          <t>18.053 €: tres meses de costes fijos de caja, calculados por fórmula</t>
        </is>
      </c>
      <c r="D40" s="17" t="inlineStr">
        <is>
          <t>Los 6.000 € daban para 1,1 meses, no para 3. Es el colchón que evita cerrar por una racha de mal tiempo o un mes flojo de eventos</t>
        </is>
      </c>
    </row>
    <row r="41" ht="60" customHeight="1">
      <c r="A41" s="58" t="inlineStr">
        <is>
          <t>Amortización</t>
        </is>
      </c>
      <c r="B41" s="58" t="inlineStr">
        <is>
          <t>10.343 € al año, a 7 años planos sobre todo, incluido lo que no es inmovilizado</t>
        </is>
      </c>
      <c r="C41" s="58" t="inlineStr">
        <is>
          <t>dos vidas útiles: el vehículo, su adaptación y los imprevistos de la puesta en marcha a 8 años, y el equipamiento y el mobiliario a 10. La cuota del año la calcula la hoja de Inversión</t>
        </is>
      </c>
      <c r="D41" s="17" t="inlineStr">
        <is>
          <t>El vehículo se amortiza más rápido que el equipamiento porque son cosas distintas para Hacienda. Y el fondo de maniobra, el stock y el marketing no se amortizan: no son inmovilizado</t>
        </is>
      </c>
    </row>
    <row r="42" ht="30" customHeight="1">
      <c r="A42" s="58" t="inlineStr">
        <is>
          <t>Seguro del vehículo y RC</t>
        </is>
      </c>
      <c r="B42" s="58" t="inlineStr">
        <is>
          <t>2.500 € en la inversión Y 2.500 € al año en los gastos: la misma prima contada dos veces</t>
        </is>
      </c>
      <c r="C42" s="58" t="inlineStr">
        <is>
          <t>2.500 € al año, una sola vez</t>
        </is>
      </c>
      <c r="D42" s="17" t="inlineStr">
        <is>
          <t>Contarla en los dos sitios inflaba la inversión, el IVA a adelantar y el dinero que hay que pedir al banco</t>
        </is>
      </c>
    </row>
    <row r="43" ht="30" customHeight="1">
      <c r="A43" s="58" t="inlineStr">
        <is>
          <t>Generador</t>
        </is>
      </c>
      <c r="B43" s="58" t="inlineStr">
        <is>
          <t>2.400 € al año como línea suelta, además de los suministros</t>
        </is>
      </c>
      <c r="C43" s="58" t="inlineStr">
        <is>
          <t>2.400 € al año dentro de la celda de suministros</t>
        </is>
      </c>
      <c r="D43" s="17" t="inlineStr">
        <is>
          <t>Era el mismo gasto escrito en dos sitios. Ahora se cambia en uno solo y el resto del libro se entera</t>
        </is>
      </c>
    </row>
    <row r="44" ht="30" customHeight="1">
      <c r="A44" s="58" t="inlineStr">
        <is>
          <t>Imprevistos de la puesta en marcha</t>
        </is>
      </c>
      <c r="B44" s="58" t="inlineStr">
        <is>
          <t>5.500 € escritos a mano (un 8 % del total)</t>
        </is>
      </c>
      <c r="C44" s="58" t="inlineStr">
        <is>
          <t>el mismo 8 %, pero calculado sobre la compra y la adaptación del vehículo</t>
        </is>
      </c>
      <c r="D44" s="17" t="inlineStr">
        <is>
          <t>Si cambias el precio del vehículo, los imprevistos se recalculan solos en vez de quedarse en la cifra vieja</t>
        </is>
      </c>
    </row>
    <row r="45" ht="45" customHeight="1">
      <c r="A45" s="58" t="inlineStr">
        <is>
          <t>Impuesto de Sociedades</t>
        </is>
      </c>
      <c r="B45" s="58" t="inlineStr">
        <is>
          <t>25 % los tres años, sin compensar pérdidas</t>
        </is>
      </c>
      <c r="C45" s="58" t="inlineStr">
        <is>
          <t>15 % los dos primeros ejercicios con beneficio, compensando las pérdidas anteriores</t>
        </is>
      </c>
      <c r="D45" s="17" t="inlineStr">
        <is>
          <t>Es el tipo que la ley reserva a las empresas de nueva creación, y las pérdidas de un año se restan del beneficio de los siguientes</t>
        </is>
      </c>
    </row>
    <row r="46" ht="45" customHeight="1">
      <c r="A46" s="58" t="inlineStr">
        <is>
          <t>Cuota del préstamo</t>
        </is>
      </c>
      <c r="B46" s="58" t="inlineStr">
        <is>
          <t>la cuota entera restaba en el resultado</t>
        </is>
      </c>
      <c r="C46" s="58" t="inlineStr">
        <is>
          <t>sólo los intereses en el resultado; la devolución del principal, en la tesorería</t>
        </is>
      </c>
      <c r="D46" s="17" t="inlineStr">
        <is>
          <t>Meter la cuota completa antes del resultado convierte la cuenta de resultados en un flujo de caja y el banco lo ve al instante</t>
        </is>
      </c>
    </row>
    <row r="47" ht="45" customHeight="1">
      <c r="A47" s="58" t="inlineStr">
        <is>
          <t>Plan de financiación</t>
        </is>
      </c>
      <c r="B47" s="58" t="inlineStr">
        <is>
          <t>no existía</t>
        </is>
      </c>
      <c r="C47" s="58" t="inlineStr">
        <is>
          <t>hoja nueva: de dónde sale el dinero, a qué se destina y el cuadro de amortización del préstamo año a año</t>
        </is>
      </c>
      <c r="D47" s="17" t="inlineStr">
        <is>
          <t>Es la hoja que pide el banco junto con la cuenta de resultados, y la que avisa si el dinero que se aporta no llega a lo que hace falta</t>
        </is>
      </c>
    </row>
    <row r="48" ht="30" customHeight="1">
      <c r="A48" s="58" t="inlineStr">
        <is>
          <t>Tesorería mes a mes</t>
        </is>
      </c>
      <c r="B48" s="58" t="inlineStr">
        <is>
          <t>no existía</t>
        </is>
      </c>
      <c r="C48" s="58" t="inlineStr">
        <is>
          <t>hoja nueva de 12 meses: cobros, pagos, IVA trimestral y saldo acumulado</t>
        </is>
      </c>
      <c r="D48" s="17" t="inlineStr">
        <is>
          <t>Responde a la única pregunta que decide una operación bancaria: en qué mes se queda el negocio sin caja</t>
        </is>
      </c>
    </row>
    <row r="49" ht="45" customHeight="1">
      <c r="A49" s="58" t="inlineStr">
        <is>
          <t>Combustible y varios</t>
        </is>
      </c>
      <c r="B49" s="58" t="inlineStr">
        <is>
          <t>4.800 € de combustible sueltos + 2.000 € de varios metidos entre los costes fijos</t>
        </is>
      </c>
      <c r="C49" s="58" t="inlineStr">
        <is>
          <t>un solo 5 % sobre las ventas, tratado como coste variable</t>
        </is>
      </c>
      <c r="D49" s="17" t="inlineStr">
        <is>
          <t>El combustible sube y baja con los servicios que se hacen: ponerlo entre los fijos falseaba el punto de equilibrio</t>
        </is>
      </c>
    </row>
    <row r="50" ht="30" customHeight="1">
      <c r="A50" s="58" t="inlineStr">
        <is>
          <t>Catering y eventos privados</t>
        </is>
      </c>
      <c r="B50" s="58" t="inlineStr">
        <is>
          <t>10.000 € de ingresos sin ningún coste de materia prima imputado</t>
        </is>
      </c>
      <c r="C50" s="58" t="inlineStr">
        <is>
          <t>sumados a la línea de comida, con el mismo coste de mercancía que el resto (28 %)</t>
        </is>
      </c>
      <c r="D50" s="17" t="inlineStr">
        <is>
          <t>Una línea de ingresos que no paga género da un margen que no existe</t>
        </is>
      </c>
    </row>
    <row r="51" ht="45" customHeight="1">
      <c r="A51" s="58" t="inlineStr">
        <is>
          <t>Sueldos y SMI</t>
        </is>
      </c>
      <c r="B51" s="58" t="inlineStr">
        <is>
          <t>sueldos sin comparar con ningún suelo legal</t>
        </is>
      </c>
      <c r="C51" s="58" t="inlineStr">
        <is>
          <t>ninguna fila por debajo del SMI en proporción a su jornada, y una celda para el convenio de tu provincia</t>
        </is>
      </c>
      <c r="D51" s="17" t="inlineStr">
        <is>
          <t>El convenio provincial de hostelería manda sobre el SMI: cópialo en la hoja de Supuestos y el semáforo te avisa si algún sueldo se queda corto</t>
        </is>
      </c>
    </row>
    <row r="52"/>
    <row r="53">
      <c r="A53" s="16" t="inlineStr">
        <is>
          <t>DATOS DE REFERENCIA DEL SECTOR</t>
        </is>
      </c>
    </row>
    <row r="54">
      <c r="A54" s="16" t="inlineStr">
        <is>
          <t>Referencia</t>
        </is>
      </c>
      <c r="B54" s="16" t="inlineStr">
        <is>
          <t>Valor</t>
        </is>
      </c>
      <c r="C54" s="16" t="inlineStr">
        <is>
          <t>Fuente</t>
        </is>
      </c>
      <c r="D54" s="16" t="inlineStr">
        <is>
          <t>Nota</t>
        </is>
      </c>
    </row>
    <row r="55" ht="60" customHeight="1">
      <c r="A55" t="inlineStr">
        <is>
          <t>Food cost comida</t>
        </is>
      </c>
      <c r="B55" t="inlineStr">
        <is>
          <t>28-33 %</t>
        </is>
      </c>
      <c r="C55" t="inlineStr">
        <is>
          <t>Fichero v1.1</t>
        </is>
      </c>
      <c r="D55" s="17" t="inlineStr">
        <is>
          <t>Depende del concepto: burger 30 %, tacos 25 %, poke 35 %. Este plan trabaja con el 28 %, el extremo bajo: si tu carta va al 33 %, el resultado del primer año se queda muy justo</t>
        </is>
      </c>
    </row>
    <row r="56" ht="15" customHeight="1">
      <c r="A56" t="inlineStr">
        <is>
          <t>Food cost bebidas</t>
        </is>
      </c>
      <c r="B56" t="inlineStr">
        <is>
          <t>22-28 %</t>
        </is>
      </c>
      <c r="C56" t="inlineStr">
        <is>
          <t>Fichero v1.1</t>
        </is>
      </c>
      <c r="D56" s="17" t="inlineStr">
        <is>
          <t>Refrescos y agua embotellada, margen alto</t>
        </is>
      </c>
    </row>
    <row r="57" ht="30" customHeight="1">
      <c r="A57" t="inlineStr">
        <is>
          <t>Coste packaging / ventas</t>
        </is>
      </c>
      <c r="B57" t="inlineStr">
        <is>
          <t>3-5 %</t>
        </is>
      </c>
      <c r="C57" t="inlineStr">
        <is>
          <t>Fichero v1.1</t>
        </is>
      </c>
      <c r="D57" s="17" t="inlineStr">
        <is>
          <t>Packaging eco más caro pero obligatorio en muchos municipios</t>
        </is>
      </c>
    </row>
    <row r="58" ht="15" customHeight="1">
      <c r="A58" t="inlineStr">
        <is>
          <t>Coste personal sobre ventas</t>
        </is>
      </c>
      <c r="B58" t="inlineStr">
        <is>
          <t>25-32 %</t>
        </is>
      </c>
      <c r="C58" t="inlineStr">
        <is>
          <t>Fichero v1.1</t>
        </is>
      </c>
      <c r="D58" s="17" t="inlineStr">
        <is>
          <t>Menos personal que un restaurante: 2-3 personas</t>
        </is>
      </c>
    </row>
    <row r="59" ht="45" customHeight="1">
      <c r="A59" t="inlineStr">
        <is>
          <t>Ticket medio food truck</t>
        </is>
      </c>
      <c r="B59" t="inlineStr">
        <is>
          <t>10-15 €</t>
        </is>
      </c>
      <c r="C59" t="inlineStr">
        <is>
          <t>Fichero v1.1</t>
        </is>
      </c>
      <c r="D59" s="17" t="inlineStr">
        <is>
          <t>Menú completo: plato + bebida + extra. El de este plan son 12 € SIN IVA, que con el tipo de hostelería salen 13,20 € de PVP</t>
        </is>
      </c>
    </row>
    <row r="60" ht="30" customHeight="1">
      <c r="A60" t="inlineStr">
        <is>
          <t>Clientes por servicio</t>
        </is>
      </c>
      <c r="B60" t="inlineStr">
        <is>
          <t>40-80</t>
        </is>
      </c>
      <c r="C60" t="inlineStr">
        <is>
          <t>Fichero v1.1</t>
        </is>
      </c>
      <c r="D60" s="17" t="inlineStr">
        <is>
          <t>Depende de ubicación, evento y día de la semana. Este plan proyecta 45, el extremo bajo del rango, a propósito</t>
        </is>
      </c>
    </row>
    <row r="61" ht="30" customHeight="1">
      <c r="A61" t="inlineStr">
        <is>
          <t>Margen bruto objetivo</t>
        </is>
      </c>
      <c r="B61" t="inlineStr">
        <is>
          <t>&gt; 62 %</t>
        </is>
      </c>
      <c r="C61" t="inlineStr">
        <is>
          <t>Fichero v1.1</t>
        </is>
      </c>
      <c r="D61" s="17" t="inlineStr">
        <is>
          <t>Inferior a un restaurante por el peso del packaging y el combustible</t>
        </is>
      </c>
    </row>
    <row r="62" ht="60" customHeight="1">
      <c r="A62" t="inlineStr">
        <is>
          <t>EBITDA objetivo (año 2)</t>
        </is>
      </c>
      <c r="B62" t="inlineStr">
        <is>
          <t>20-30 %</t>
        </is>
      </c>
      <c r="C62" t="inlineStr">
        <is>
          <t>Fichero v1.1</t>
        </is>
      </c>
      <c r="D62" s="17" t="inlineStr">
        <is>
          <t>Muy rentable si aciertas las ubicaciones. Con los supuestos de partida este plan se queda por debajo del rango: es lo que hay que mejorar subiendo clientes por servicio o ticket</t>
        </is>
      </c>
    </row>
    <row r="63" ht="120" customHeight="1">
      <c r="A63" t="inlineStr">
        <is>
          <t>Retorno de la inversión</t>
        </is>
      </c>
      <c r="B63" t="inlineStr">
        <is>
          <t>12-24 meses</t>
        </is>
      </c>
      <c r="C63" t="inlineStr">
        <is>
          <t>Fichero v1.1</t>
        </is>
      </c>
      <c r="D63" s="17" t="inlineStr">
        <is>
          <t>Es la referencia del sector. El de ESTE plan lo calcula la hoja de Tesorería y sale más largo: se mide sobre la inversión completa, con el fondo de maniobra dentro —el IVA no cuenta, porque se recupera con el modelo 303— y con el flujo que genera el negocio ANTES de pagar al banco. Esa misma hoja publica debajo el plazo medido sólo sobre lo que se compra, sin el fondo de maniobra, que sale más corto</t>
        </is>
      </c>
    </row>
    <row r="64" ht="15" customHeight="1">
      <c r="A64" t="inlineStr">
        <is>
          <t>Días operativos/semana</t>
        </is>
      </c>
      <c r="B64" t="inlineStr">
        <is>
          <t>4-6</t>
        </is>
      </c>
      <c r="C64" t="inlineStr">
        <is>
          <t>Fichero v1.1</t>
        </is>
      </c>
      <c r="D64" s="17" t="inlineStr">
        <is>
          <t>Mercados, eventos, zona de oficinas, festivales</t>
        </is>
      </c>
    </row>
    <row r="65" ht="15" customHeight="1">
      <c r="A65" t="inlineStr">
        <is>
          <t>Servicios por día</t>
        </is>
      </c>
      <c r="B65" t="inlineStr">
        <is>
          <t>1-2</t>
        </is>
      </c>
      <c r="C65" t="inlineStr">
        <is>
          <t>Fichero v1.1</t>
        </is>
      </c>
      <c r="D65" s="17" t="inlineStr">
        <is>
          <t>Comida (12-15 h) y/o cena (19-23 h) según ubicación</t>
        </is>
      </c>
    </row>
    <row r="66" ht="30" customHeight="1">
      <c r="A66" t="inlineStr">
        <is>
          <t>Coste de combustible/mes</t>
        </is>
      </c>
      <c r="B66" t="inlineStr">
        <is>
          <t>300-500 €</t>
        </is>
      </c>
      <c r="C66" t="inlineStr">
        <is>
          <t>Fichero v1.1</t>
        </is>
      </c>
      <c r="D66" s="17" t="inlineStr">
        <is>
          <t>Desplazamiento entre ubicaciones. En este plan va dentro del «Varios e imprevistos» de los costes variables</t>
        </is>
      </c>
    </row>
    <row r="67" ht="15" customHeight="1">
      <c r="A67" t="inlineStr">
        <is>
          <t>Permisos anuales (promedio)</t>
        </is>
      </c>
      <c r="B67" t="inlineStr">
        <is>
          <t>2.000-5.000 €</t>
        </is>
      </c>
      <c r="C67" t="inlineStr">
        <is>
          <t>Fichero v1.1</t>
        </is>
      </c>
      <c r="D67" s="17" t="inlineStr">
        <is>
          <t>Varía mucho por municipio y comunidad autónoma</t>
        </is>
      </c>
    </row>
    <row r="68" ht="30" customHeight="1">
      <c r="A68" t="inlineStr">
        <is>
          <t>Convenio colectivo aplicable</t>
        </is>
      </c>
      <c r="B68" t="inlineStr">
        <is>
          <t>PROVINCIAL de hostelería o de comercio (según clasificación de la venta ambulante)</t>
        </is>
      </c>
      <c r="C68" t="inlineStr">
        <is>
          <t>Fichero v1.1 (fase 4 del checklist)</t>
        </is>
      </c>
      <c r="D68" s="17" t="inlineStr">
        <is>
          <t>No existe una tabla salarial estatal única: copia la tabla que te corresponda en la celda de Supuestos</t>
        </is>
      </c>
    </row>
    <row r="69"/>
    <row r="70">
      <c r="A70" s="59" t="inlineStr">
        <is>
          <t>Para editar una celda que no esté en verde: Revisar → Desproteger hoja (no tiene contraseña).</t>
        </is>
      </c>
    </row>
    <row r="71">
      <c r="A71" s="59" t="inlineStr">
        <is>
          <t>Más plantillas y kits del catálogo en aichef.pro/productos-digitales</t>
        </is>
      </c>
    </row>
    <row r="72">
      <c r="A72" s="59" t="inlineStr">
        <is>
          <t>Diseñado por John Guerrero — chef y consultor gastronómico desde 2010, en cocina desde los 17 años · johnguerrero.es</t>
        </is>
      </c>
    </row>
    <row r="73">
      <c r="A73" s="59" t="inlineStr">
        <is>
          <t>Versión 2.2 · septiembre 2026 · aichef.pro/plan-negocio-food-truck · info@aichef.pro</t>
        </is>
      </c>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CUMPLE">
      <formula>NOT(ISERROR(SEARCH("CUMPLE",D18)))</formula>
    </cfRule>
    <cfRule type="containsText" priority="2" operator="containsText" dxfId="1" stopIfTrue="1" text="REVISAR">
      <formula>NOT(ISERROR(SEARCH("REVISAR",D18)))</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5" t="inlineStr">
        <is>
          <t>PREVISIÓN DE TESORERÍA — AÑO 1</t>
        </is>
      </c>
      <c r="B1" s="28" t="n"/>
      <c r="C1" s="28" t="n"/>
      <c r="D1" s="28" t="n"/>
      <c r="E1" s="28" t="n"/>
      <c r="F1" s="28" t="n"/>
      <c r="G1" s="28" t="n"/>
      <c r="H1" s="28" t="n"/>
      <c r="I1" s="28" t="n"/>
      <c r="J1" s="28" t="n"/>
      <c r="K1" s="28" t="n"/>
      <c r="L1" s="28" t="n"/>
      <c r="M1" s="28" t="n"/>
      <c r="N1" s="28" t="n"/>
      <c r="O1" s="28" t="n"/>
    </row>
    <row r="2" ht="45" customHeight="1">
      <c r="A2" s="46" t="inlineStr">
        <is>
          <t>El P&amp;L dice si el negocio gana dinero; esta hoja dice si le queda caja para llegar a fin de mes. Es la primera que mira un banco.</t>
        </is>
      </c>
      <c r="B2" s="28" t="n"/>
      <c r="C2" s="28" t="n"/>
      <c r="D2" s="28" t="n"/>
      <c r="E2" s="28" t="n"/>
      <c r="F2" s="28" t="n"/>
      <c r="G2" s="28" t="n"/>
      <c r="H2" s="28" t="n"/>
      <c r="I2" s="28" t="n"/>
      <c r="J2" s="28" t="n"/>
      <c r="K2" s="28" t="n"/>
      <c r="L2" s="28" t="n"/>
      <c r="M2" s="28" t="n"/>
      <c r="N2" s="28" t="n"/>
      <c r="O2" s="28" t="n"/>
    </row>
    <row r="3">
      <c r="A3" s="28" t="n"/>
      <c r="B3" s="28" t="n"/>
      <c r="C3" s="28" t="n"/>
      <c r="D3" s="28" t="n"/>
      <c r="E3" s="28" t="n"/>
      <c r="F3" s="28" t="n"/>
      <c r="G3" s="28" t="n"/>
      <c r="H3" s="28" t="n"/>
      <c r="I3" s="28" t="n"/>
      <c r="J3" s="28" t="n"/>
      <c r="K3" s="28" t="n"/>
      <c r="L3" s="28" t="n"/>
      <c r="M3" s="28" t="n"/>
      <c r="N3" s="28" t="n"/>
      <c r="O3" s="28" t="n"/>
    </row>
    <row r="4">
      <c r="A4" s="25" t="inlineStr">
        <is>
          <t>Concepto</t>
        </is>
      </c>
      <c r="B4" s="25" t="inlineStr">
        <is>
          <t>Mes 1 (€)</t>
        </is>
      </c>
      <c r="C4" s="25" t="inlineStr">
        <is>
          <t>Mes 2 (€)</t>
        </is>
      </c>
      <c r="D4" s="25" t="inlineStr">
        <is>
          <t>Mes 3 (€)</t>
        </is>
      </c>
      <c r="E4" s="25" t="inlineStr">
        <is>
          <t>Mes 4 (€)</t>
        </is>
      </c>
      <c r="F4" s="25" t="inlineStr">
        <is>
          <t>Mes 5 (€)</t>
        </is>
      </c>
      <c r="G4" s="25" t="inlineStr">
        <is>
          <t>Mes 6 (€)</t>
        </is>
      </c>
      <c r="H4" s="25" t="inlineStr">
        <is>
          <t>Mes 7 (€)</t>
        </is>
      </c>
      <c r="I4" s="25" t="inlineStr">
        <is>
          <t>Mes 8 (€)</t>
        </is>
      </c>
      <c r="J4" s="25" t="inlineStr">
        <is>
          <t>Mes 9 (€)</t>
        </is>
      </c>
      <c r="K4" s="25" t="inlineStr">
        <is>
          <t>Mes 10 (€)</t>
        </is>
      </c>
      <c r="L4" s="25" t="inlineStr">
        <is>
          <t>Mes 11 (€)</t>
        </is>
      </c>
      <c r="M4" s="25" t="inlineStr">
        <is>
          <t>Mes 12 (€)</t>
        </is>
      </c>
      <c r="N4" s="25" t="inlineStr">
        <is>
          <t>Año (€)</t>
        </is>
      </c>
      <c r="O4" s="28" t="n"/>
    </row>
    <row r="5">
      <c r="A5" s="28" t="inlineStr">
        <is>
          <t>Estacionalidad del mes (suma 100 %)</t>
        </is>
      </c>
      <c r="B5" s="60" t="n">
        <v>0.06</v>
      </c>
      <c r="C5" s="60" t="n">
        <v>0.062</v>
      </c>
      <c r="D5" s="60" t="n">
        <v>0.075</v>
      </c>
      <c r="E5" s="60" t="n">
        <v>0.08</v>
      </c>
      <c r="F5" s="60" t="n">
        <v>0.08799999999999999</v>
      </c>
      <c r="G5" s="60" t="n">
        <v>0.098</v>
      </c>
      <c r="H5" s="60" t="n">
        <v>0.105</v>
      </c>
      <c r="I5" s="60" t="n">
        <v>0.1</v>
      </c>
      <c r="J5" s="60" t="n">
        <v>0.08799999999999999</v>
      </c>
      <c r="K5" s="60" t="n">
        <v>0.08</v>
      </c>
      <c r="L5" s="60" t="n">
        <v>0.074</v>
      </c>
      <c r="M5" s="60" t="n">
        <v>0.09</v>
      </c>
      <c r="N5" s="30">
        <f>IFERROR(IF('PyG 3 Años'!$B$9="","",SUM(B5:M5)),"")</f>
        <v>0.9999999999999998</v>
      </c>
      <c r="O5" s="28" t="inlineStr">
        <is>
          <t>Perfil de tu zona: agosto flojo en ciudad y fuerte en costa. Tiene que sumar 100 %</t>
        </is>
      </c>
    </row>
    <row r="6">
      <c r="A6" s="28" t="inlineStr">
        <is>
          <t>Rampa de arranque (% de la actividad de crucero)</t>
        </is>
      </c>
      <c r="B6" s="30">
        <f>IFERROR(IF('PyG 3 Años'!$B$9="","",MIN(1,'0. Supuestos'!$B$52+(1-'0. Supuestos'!$B$52)*0/MAX(1,'0. Supuestos'!$B$53-1))),"")</f>
        <v>0.55</v>
      </c>
      <c r="C6" s="30">
        <f>IFERROR(IF('PyG 3 Años'!$B$9="","",MIN(1,'0. Supuestos'!$B$52+(1-'0. Supuestos'!$B$52)*1/MAX(1,'0. Supuestos'!$B$53-1))),"")</f>
        <v>0.64</v>
      </c>
      <c r="D6" s="30">
        <f>IFERROR(IF('PyG 3 Años'!$B$9="","",MIN(1,'0. Supuestos'!$B$52+(1-'0. Supuestos'!$B$52)*2/MAX(1,'0. Supuestos'!$B$53-1))),"")</f>
        <v>0.73</v>
      </c>
      <c r="E6" s="30">
        <f>IFERROR(IF('PyG 3 Años'!$B$9="","",MIN(1,'0. Supuestos'!$B$52+(1-'0. Supuestos'!$B$52)*3/MAX(1,'0. Supuestos'!$B$53-1))),"")</f>
        <v>0.8200000000000001</v>
      </c>
      <c r="F6" s="30">
        <f>IFERROR(IF('PyG 3 Años'!$B$9="","",MIN(1,'0. Supuestos'!$B$52+(1-'0. Supuestos'!$B$52)*4/MAX(1,'0. Supuestos'!$B$53-1))),"")</f>
        <v>0.91</v>
      </c>
      <c r="G6" s="30">
        <f>IFERROR(IF('PyG 3 Años'!$B$9="","",MIN(1,'0. Supuestos'!$B$52+(1-'0. Supuestos'!$B$52)*5/MAX(1,'0. Supuestos'!$B$53-1))),"")</f>
        <v>1.0</v>
      </c>
      <c r="H6" s="30">
        <f>IFERROR(IF('PyG 3 Años'!$B$9="","",MIN(1,'0. Supuestos'!$B$52+(1-'0. Supuestos'!$B$52)*6/MAX(1,'0. Supuestos'!$B$53-1))),"")</f>
        <v>1.0</v>
      </c>
      <c r="I6" s="30">
        <f>IFERROR(IF('PyG 3 Años'!$B$9="","",MIN(1,'0. Supuestos'!$B$52+(1-'0. Supuestos'!$B$52)*7/MAX(1,'0. Supuestos'!$B$53-1))),"")</f>
        <v>1.0</v>
      </c>
      <c r="J6" s="30">
        <f>IFERROR(IF('PyG 3 Años'!$B$9="","",MIN(1,'0. Supuestos'!$B$52+(1-'0. Supuestos'!$B$52)*8/MAX(1,'0. Supuestos'!$B$53-1))),"")</f>
        <v>1.0</v>
      </c>
      <c r="K6" s="30">
        <f>IFERROR(IF('PyG 3 Años'!$B$9="","",MIN(1,'0. Supuestos'!$B$52+(1-'0. Supuestos'!$B$52)*9/MAX(1,'0. Supuestos'!$B$53-1))),"")</f>
        <v>1.0</v>
      </c>
      <c r="L6" s="30">
        <f>IFERROR(IF('PyG 3 Años'!$B$9="","",MIN(1,'0. Supuestos'!$B$52+(1-'0. Supuestos'!$B$52)*10/MAX(1,'0. Supuestos'!$B$53-1))),"")</f>
        <v>1.0</v>
      </c>
      <c r="M6" s="30">
        <f>IFERROR(IF('PyG 3 Años'!$B$9="","",MIN(1,'0. Supuestos'!$B$52+(1-'0. Supuestos'!$B$52)*11/MAX(1,'0. Supuestos'!$B$53-1))),"")</f>
        <v>1.0</v>
      </c>
      <c r="N6" s="28" t="n"/>
      <c r="O6" s="28" t="inlineStr">
        <is>
          <t>Sube en línea recta desde el porcentaje del mes 1 hasta el 100 % en los meses que digas en Supuestos. Con el mes 1 al 100 % la rampa desaparece</t>
        </is>
      </c>
    </row>
    <row r="7">
      <c r="A7" s="28" t="inlineStr">
        <is>
          <t>Reparto de la actividad por mes (calculado)</t>
        </is>
      </c>
      <c r="B7" s="30">
        <f>IFERROR(IF('PyG 3 Años'!$B$9="","",B5*B6/SUMPRODUCT($B$5:$M$5,$B$6:$M$6)),"")</f>
        <v>0.036339210007598204</v>
      </c>
      <c r="C7" s="30">
        <f>IFERROR(IF('PyG 3 Años'!$B$9="","",C5*C6/SUMPRODUCT($B$5:$M$5,$B$6:$M$6)),"")</f>
        <v>0.043695147063681716</v>
      </c>
      <c r="D7" s="30">
        <f>IFERROR(IF('PyG 3 Años'!$B$9="","",D5*D6/SUMPRODUCT($B$5:$M$5,$B$6:$M$6)),"")</f>
        <v>0.060290052967151564</v>
      </c>
      <c r="E7" s="30">
        <f>IFERROR(IF('PyG 3 Años'!$B$9="","",E5*E6/SUMPRODUCT($B$5:$M$5,$B$6:$M$6)),"")</f>
        <v>0.07223794474237705</v>
      </c>
      <c r="F7" s="30">
        <f>IFERROR(IF('PyG 3 Años'!$B$9="","",F5*F6/SUMPRODUCT($B$5:$M$5,$B$6:$M$6)),"")</f>
        <v>0.0881831496184383</v>
      </c>
      <c r="G7" s="30">
        <f>IFERROR(IF('PyG 3 Años'!$B$9="","",G5*G6/SUMPRODUCT($B$5:$M$5,$B$6:$M$6)),"")</f>
        <v>0.10791644184074618</v>
      </c>
      <c r="H7" s="30">
        <f>IFERROR(IF('PyG 3 Años'!$B$9="","",H5*H6/SUMPRODUCT($B$5:$M$5,$B$6:$M$6)),"")</f>
        <v>0.11562475911508519</v>
      </c>
      <c r="I7" s="30">
        <f>IFERROR(IF('PyG 3 Años'!$B$9="","",I5*I6/SUMPRODUCT($B$5:$M$5,$B$6:$M$6)),"")</f>
        <v>0.11011881820484305</v>
      </c>
      <c r="J7" s="30">
        <f>IFERROR(IF('PyG 3 Años'!$B$9="","",J5*J6/SUMPRODUCT($B$5:$M$5,$B$6:$M$6)),"")</f>
        <v>0.09690456002026188</v>
      </c>
      <c r="K7" s="30">
        <f>IFERROR(IF('PyG 3 Años'!$B$9="","",K5*K6/SUMPRODUCT($B$5:$M$5,$B$6:$M$6)),"")</f>
        <v>0.08809505456387444</v>
      </c>
      <c r="L7" s="30">
        <f>IFERROR(IF('PyG 3 Años'!$B$9="","",L5*L6/SUMPRODUCT($B$5:$M$5,$B$6:$M$6)),"")</f>
        <v>0.08148792547158384</v>
      </c>
      <c r="M7" s="30">
        <f>IFERROR(IF('PyG 3 Años'!$B$9="","",M5*M6/SUMPRODUCT($B$5:$M$5,$B$6:$M$6)),"")</f>
        <v>0.09910693638435873</v>
      </c>
      <c r="N7" s="30">
        <f>IFERROR(IF('PyG 3 Años'!$B$9="","",SUM(B7:M7)),"")</f>
        <v>1.0</v>
      </c>
      <c r="O7" s="28" t="inlineStr">
        <is>
          <t>Estacionalidad × rampa, normalizado a 100 %: el AÑO factura lo que dice el P&amp;L, pero repartido como lo reparte un local que acaba de abrir</t>
        </is>
      </c>
    </row>
    <row r="8">
      <c r="A8" s="25" t="inlineStr">
        <is>
          <t>COBROS</t>
        </is>
      </c>
      <c r="B8" s="28" t="n"/>
      <c r="C8" s="28" t="n"/>
      <c r="D8" s="28" t="n"/>
      <c r="E8" s="28" t="n"/>
      <c r="F8" s="28" t="n"/>
      <c r="G8" s="28" t="n"/>
      <c r="H8" s="28" t="n"/>
      <c r="I8" s="28" t="n"/>
      <c r="J8" s="28" t="n"/>
      <c r="K8" s="28" t="n"/>
      <c r="L8" s="28" t="n"/>
      <c r="M8" s="28" t="n"/>
      <c r="N8" s="28" t="n"/>
      <c r="O8" s="28" t="n"/>
    </row>
    <row r="9">
      <c r="A9" s="28" t="inlineStr">
        <is>
          <t>Ventas cobradas (con IVA repercutido)</t>
        </is>
      </c>
      <c r="B9" s="32">
        <f>IFERROR(IF('PyG 3 Años'!$B$9="","",('PyG 3 Años'!$B$9+'PyG 3 Años'!$B$9*SUMPRODUCT('PyG 3 Años'!$E$10:$E$11,'PyG 3 Años'!$G$10:$G$11))*B7*(1-MIN(30,'0. Supuestos'!$B$58)/30)),"")</f>
        <v>5396.372686128333</v>
      </c>
      <c r="C9" s="32">
        <f>IFERROR(IF('PyG 3 Años'!$B$9="","",('PyG 3 Años'!$B$9+'PyG 3 Años'!$B$9*SUMPRODUCT('PyG 3 Años'!$E$10:$E$11,'PyG 3 Años'!$G$10:$G$11))*(C7*(1-MIN(30,'0. Supuestos'!$B$58)/30)+B7*MIN(30,'0. Supuestos'!$B$58)/30)),"")</f>
        <v>6488.729338956735</v>
      </c>
      <c r="D9" s="32">
        <f>IFERROR(IF('PyG 3 Años'!$B$9="","",('PyG 3 Años'!$B$9+'PyG 3 Años'!$B$9*SUMPRODUCT('PyG 3 Años'!$E$10:$E$11,'PyG 3 Años'!$G$10:$G$11))*(D7*(1-MIN(30,'0. Supuestos'!$B$58)/30)+C7*MIN(30,'0. Supuestos'!$B$58)/30)),"")</f>
        <v>8953.072865622007</v>
      </c>
      <c r="E9" s="32">
        <f>IFERROR(IF('PyG 3 Años'!$B$9="","",('PyG 3 Años'!$B$9+'PyG 3 Años'!$B$9*SUMPRODUCT('PyG 3 Años'!$E$10:$E$11,'PyG 3 Años'!$G$10:$G$11))*(E7*(1-MIN(30,'0. Supuestos'!$B$58)/30)+D7*MIN(30,'0. Supuestos'!$B$58)/30)),"")</f>
        <v>10727.334794242992</v>
      </c>
      <c r="F9" s="32">
        <f>IFERROR(IF('PyG 3 Años'!$B$9="","",('PyG 3 Años'!$B$9+'PyG 3 Años'!$B$9*SUMPRODUCT('PyG 3 Años'!$E$10:$E$11,'PyG 3 Años'!$G$10:$G$11))*(F7*(1-MIN(30,'0. Supuestos'!$B$58)/30)+E7*MIN(30,'0. Supuestos'!$B$58)/30)),"")</f>
        <v>13095.197718338088</v>
      </c>
      <c r="G9" s="32">
        <f>IFERROR(IF('PyG 3 Años'!$B$9="","",('PyG 3 Años'!$B$9+'PyG 3 Años'!$B$9*SUMPRODUCT('PyG 3 Años'!$E$10:$E$11,'PyG 3 Años'!$G$10:$G$11))*(G7*(1-MIN(30,'0. Supuestos'!$B$58)/30)+F7*MIN(30,'0. Supuestos'!$B$58)/30)),"")</f>
        <v>16025.591613350809</v>
      </c>
      <c r="H9" s="32">
        <f>IFERROR(IF('PyG 3 Años'!$B$9="","",('PyG 3 Años'!$B$9+'PyG 3 Años'!$B$9*SUMPRODUCT('PyG 3 Años'!$E$10:$E$11,'PyG 3 Años'!$G$10:$G$11))*(H7*(1-MIN(30,'0. Supuestos'!$B$58)/30)+G7*MIN(30,'0. Supuestos'!$B$58)/30)),"")</f>
        <v>17170.27672859015</v>
      </c>
      <c r="I9" s="32">
        <f>IFERROR(IF('PyG 3 Años'!$B$9="","",('PyG 3 Años'!$B$9+'PyG 3 Años'!$B$9*SUMPRODUCT('PyG 3 Años'!$E$10:$E$11,'PyG 3 Años'!$G$10:$G$11))*(I7*(1-MIN(30,'0. Supuestos'!$B$58)/30)+H7*MIN(30,'0. Supuestos'!$B$58)/30)),"")</f>
        <v>16352.644503419193</v>
      </c>
      <c r="J9" s="32">
        <f>IFERROR(IF('PyG 3 Años'!$B$9="","",('PyG 3 Años'!$B$9+'PyG 3 Años'!$B$9*SUMPRODUCT('PyG 3 Años'!$E$10:$E$11,'PyG 3 Años'!$G$10:$G$11))*(J7*(1-MIN(30,'0. Supuestos'!$B$58)/30)+I7*MIN(30,'0. Supuestos'!$B$58)/30)),"")</f>
        <v>14390.32716300889</v>
      </c>
      <c r="K9" s="32">
        <f>IFERROR(IF('PyG 3 Años'!$B$9="","",('PyG 3 Años'!$B$9+'PyG 3 Años'!$B$9*SUMPRODUCT('PyG 3 Años'!$E$10:$E$11,'PyG 3 Años'!$G$10:$G$11))*(K7*(1-MIN(30,'0. Supuestos'!$B$58)/30)+J7*MIN(30,'0. Supuestos'!$B$58)/30)),"")</f>
        <v>13082.115602735354</v>
      </c>
      <c r="L9" s="32">
        <f>IFERROR(IF('PyG 3 Años'!$B$9="","",('PyG 3 Años'!$B$9+'PyG 3 Años'!$B$9*SUMPRODUCT('PyG 3 Años'!$E$10:$E$11,'PyG 3 Años'!$G$10:$G$11))*(L7*(1-MIN(30,'0. Supuestos'!$B$58)/30)+K7*MIN(30,'0. Supuestos'!$B$58)/30)),"")</f>
        <v>12100.9569325302</v>
      </c>
      <c r="M9" s="32">
        <f>IFERROR(IF('PyG 3 Años'!$B$9="","",('PyG 3 Años'!$B$9+'PyG 3 Años'!$B$9*SUMPRODUCT('PyG 3 Años'!$E$10:$E$11,'PyG 3 Años'!$G$10:$G$11))*(M7*(1-MIN(30,'0. Supuestos'!$B$58)/30)+L7*MIN(30,'0. Supuestos'!$B$58)/30)),"")</f>
        <v>14717.380053077271</v>
      </c>
      <c r="N9" s="32">
        <f>IFERROR(IF('PyG 3 Años'!$B$9="","",SUM(B9:M9)),"")</f>
        <v>148500.00000000003</v>
      </c>
      <c r="O9" s="28" t="inlineStr">
        <is>
          <t>Ventas del mes con el IVA repercutido, corregidas por los días medios de cobro de la hoja de Supuestos</t>
        </is>
      </c>
    </row>
    <row r="10">
      <c r="A10" s="25" t="inlineStr">
        <is>
          <t>PAGOS</t>
        </is>
      </c>
      <c r="B10" s="28" t="n"/>
      <c r="C10" s="28" t="n"/>
      <c r="D10" s="28" t="n"/>
      <c r="E10" s="28" t="n"/>
      <c r="F10" s="28" t="n"/>
      <c r="G10" s="28" t="n"/>
      <c r="H10" s="28" t="n"/>
      <c r="I10" s="28" t="n"/>
      <c r="J10" s="28" t="n"/>
      <c r="K10" s="28" t="n"/>
      <c r="L10" s="28" t="n"/>
      <c r="M10" s="28" t="n"/>
      <c r="N10" s="28" t="n"/>
      <c r="O10" s="28" t="n"/>
    </row>
    <row r="11">
      <c r="A11" s="28" t="inlineStr">
        <is>
          <t>Compras y costes variables (IVA incluido)</t>
        </is>
      </c>
      <c r="B11" s="32">
        <f>IFERROR(IF('PyG 3 Años'!$B$9="","",-('PyG 3 Años'!$B$13*(1+'PyG 3 Años'!$G$13)+'PyG 3 Años'!$B$14*(1+'PyG 3 Años'!$G$14)+'PyG 3 Años'!$B$15*(1+'PyG 3 Años'!$G$15)+'PyG 3 Años'!$B$16*(1+'PyG 3 Años'!$G$16)+'PyG 3 Años'!$B$17*(1+'PyG 3 Años'!$G$17)+'PyG 3 Años'!$B$18*(1+'PyG 3 Años'!$G$18))*B7*(1-MIN(30,'0. Supuestos'!$B$59)/30)),"")</f>
        <v>-0.0</v>
      </c>
      <c r="C11" s="32">
        <f>IFERROR(IF('PyG 3 Años'!$B$9="","",-('PyG 3 Años'!$B$13*(1+'PyG 3 Años'!$G$13)+'PyG 3 Años'!$B$14*(1+'PyG 3 Años'!$G$14)+'PyG 3 Años'!$B$15*(1+'PyG 3 Años'!$G$15)+'PyG 3 Años'!$B$16*(1+'PyG 3 Años'!$G$16)+'PyG 3 Años'!$B$17*(1+'PyG 3 Años'!$G$17)+'PyG 3 Años'!$B$18*(1+'PyG 3 Años'!$G$18))*(C7*(1-MIN(30,'0. Supuestos'!$B$59)/30)+B7*MIN(30,'0. Supuestos'!$B$59)/30)),"")</f>
        <v>-1978.0384506887938</v>
      </c>
      <c r="D11" s="32">
        <f>IFERROR(IF('PyG 3 Años'!$B$9="","",-('PyG 3 Años'!$B$13*(1+'PyG 3 Años'!$G$13)+'PyG 3 Años'!$B$14*(1+'PyG 3 Años'!$G$14)+'PyG 3 Años'!$B$15*(1+'PyG 3 Años'!$G$15)+'PyG 3 Años'!$B$16*(1+'PyG 3 Años'!$G$16)+'PyG 3 Años'!$B$17*(1+'PyG 3 Años'!$G$17)+'PyG 3 Años'!$B$18*(1+'PyG 3 Años'!$G$18))*(D7*(1-MIN(30,'0. Supuestos'!$B$59)/30)+C7*MIN(30,'0. Supuestos'!$B$59)/30)),"")</f>
        <v>-2378.441385555495</v>
      </c>
      <c r="E11" s="32">
        <f>IFERROR(IF('PyG 3 Años'!$B$9="","",-('PyG 3 Años'!$B$13*(1+'PyG 3 Años'!$G$13)+'PyG 3 Años'!$B$14*(1+'PyG 3 Años'!$G$14)+'PyG 3 Años'!$B$15*(1+'PyG 3 Años'!$G$15)+'PyG 3 Años'!$B$16*(1+'PyG 3 Años'!$G$16)+'PyG 3 Años'!$B$17*(1+'PyG 3 Años'!$G$17)+'PyG 3 Años'!$B$18*(1+'PyG 3 Años'!$G$18))*(E7*(1-MIN(30,'0. Supuestos'!$B$59)/30)+D7*MIN(30,'0. Supuestos'!$B$59)/30)),"")</f>
        <v>-3281.7456113700446</v>
      </c>
      <c r="F11" s="32">
        <f>IFERROR(IF('PyG 3 Años'!$B$9="","",-('PyG 3 Años'!$B$13*(1+'PyG 3 Años'!$G$13)+'PyG 3 Años'!$B$14*(1+'PyG 3 Años'!$G$14)+'PyG 3 Años'!$B$15*(1+'PyG 3 Años'!$G$15)+'PyG 3 Años'!$B$16*(1+'PyG 3 Años'!$G$16)+'PyG 3 Años'!$B$17*(1+'PyG 3 Años'!$G$17)+'PyG 3 Años'!$B$18*(1+'PyG 3 Años'!$G$18))*(F7*(1-MIN(30,'0. Supuestos'!$B$59)/30)+E7*MIN(30,'0. Supuestos'!$B$59)/30)),"")</f>
        <v>-3932.1006777328757</v>
      </c>
      <c r="G11" s="32">
        <f>IFERROR(IF('PyG 3 Años'!$B$9="","",-('PyG 3 Años'!$B$13*(1+'PyG 3 Años'!$G$13)+'PyG 3 Años'!$B$14*(1+'PyG 3 Años'!$G$14)+'PyG 3 Años'!$B$15*(1+'PyG 3 Años'!$G$15)+'PyG 3 Años'!$B$16*(1+'PyG 3 Años'!$G$16)+'PyG 3 Años'!$B$17*(1+'PyG 3 Años'!$G$17)+'PyG 3 Años'!$B$18*(1+'PyG 3 Años'!$G$18))*(G7*(1-MIN(30,'0. Supuestos'!$B$59)/30)+F7*MIN(30,'0. Supuestos'!$B$59)/30)),"")</f>
        <v>-4800.039973671473</v>
      </c>
      <c r="H11" s="32">
        <f>IFERROR(IF('PyG 3 Años'!$B$9="","",-('PyG 3 Años'!$B$13*(1+'PyG 3 Años'!$G$13)+'PyG 3 Años'!$B$14*(1+'PyG 3 Años'!$G$14)+'PyG 3 Años'!$B$15*(1+'PyG 3 Años'!$G$15)+'PyG 3 Años'!$B$16*(1+'PyG 3 Años'!$G$16)+'PyG 3 Años'!$B$17*(1+'PyG 3 Años'!$G$17)+'PyG 3 Años'!$B$18*(1+'PyG 3 Años'!$G$18))*(H7*(1-MIN(30,'0. Supuestos'!$B$59)/30)+G7*MIN(30,'0. Supuestos'!$B$59)/30)),"")</f>
        <v>-5874.1747929546</v>
      </c>
      <c r="I11" s="32">
        <f>IFERROR(IF('PyG 3 Años'!$B$9="","",-('PyG 3 Años'!$B$13*(1+'PyG 3 Años'!$G$13)+'PyG 3 Años'!$B$14*(1+'PyG 3 Años'!$G$14)+'PyG 3 Años'!$B$15*(1+'PyG 3 Años'!$G$15)+'PyG 3 Años'!$B$16*(1+'PyG 3 Años'!$G$16)+'PyG 3 Años'!$B$17*(1+'PyG 3 Años'!$G$17)+'PyG 3 Años'!$B$18*(1+'PyG 3 Años'!$G$18))*(I7*(1-MIN(30,'0. Supuestos'!$B$59)/30)+H7*MIN(30,'0. Supuestos'!$B$59)/30)),"")</f>
        <v>-6293.7587067370705</v>
      </c>
      <c r="J11" s="32">
        <f>IFERROR(IF('PyG 3 Años'!$B$9="","",-('PyG 3 Años'!$B$13*(1+'PyG 3 Años'!$G$13)+'PyG 3 Años'!$B$14*(1+'PyG 3 Años'!$G$14)+'PyG 3 Años'!$B$15*(1+'PyG 3 Años'!$G$15)+'PyG 3 Años'!$B$16*(1+'PyG 3 Años'!$G$16)+'PyG 3 Años'!$B$17*(1+'PyG 3 Años'!$G$17)+'PyG 3 Años'!$B$18*(1+'PyG 3 Años'!$G$18))*(J7*(1-MIN(30,'0. Supuestos'!$B$59)/30)+I7*MIN(30,'0. Supuestos'!$B$59)/30)),"")</f>
        <v>-5994.055911178164</v>
      </c>
      <c r="K11" s="32">
        <f>IFERROR(IF('PyG 3 Años'!$B$9="","",-('PyG 3 Años'!$B$13*(1+'PyG 3 Años'!$G$13)+'PyG 3 Años'!$B$14*(1+'PyG 3 Años'!$G$14)+'PyG 3 Años'!$B$15*(1+'PyG 3 Años'!$G$15)+'PyG 3 Años'!$B$16*(1+'PyG 3 Años'!$G$16)+'PyG 3 Años'!$B$17*(1+'PyG 3 Años'!$G$17)+'PyG 3 Años'!$B$18*(1+'PyG 3 Años'!$G$18))*(K7*(1-MIN(30,'0. Supuestos'!$B$59)/30)+J7*MIN(30,'0. Supuestos'!$B$59)/30)),"")</f>
        <v>-5274.769201836783</v>
      </c>
      <c r="L11" s="32">
        <f>IFERROR(IF('PyG 3 Años'!$B$9="","",-('PyG 3 Años'!$B$13*(1+'PyG 3 Años'!$G$13)+'PyG 3 Años'!$B$14*(1+'PyG 3 Años'!$G$14)+'PyG 3 Años'!$B$15*(1+'PyG 3 Años'!$G$15)+'PyG 3 Años'!$B$16*(1+'PyG 3 Años'!$G$16)+'PyG 3 Años'!$B$17*(1+'PyG 3 Años'!$G$17)+'PyG 3 Años'!$B$18*(1+'PyG 3 Años'!$G$18))*(L7*(1-MIN(30,'0. Supuestos'!$B$59)/30)+K7*MIN(30,'0. Supuestos'!$B$59)/30)),"")</f>
        <v>-4795.244728942531</v>
      </c>
      <c r="M11" s="32">
        <f>IFERROR(IF('PyG 3 Años'!$B$9="","",-('PyG 3 Años'!$B$13*(1+'PyG 3 Años'!$G$13)+'PyG 3 Años'!$B$14*(1+'PyG 3 Años'!$G$14)+'PyG 3 Años'!$B$15*(1+'PyG 3 Años'!$G$15)+'PyG 3 Años'!$B$16*(1+'PyG 3 Años'!$G$16)+'PyG 3 Años'!$B$17*(1+'PyG 3 Años'!$G$17)+'PyG 3 Años'!$B$18*(1+'PyG 3 Años'!$G$18))*(M7*(1-MIN(30,'0. Supuestos'!$B$59)/30)+L7*MIN(30,'0. Supuestos'!$B$59)/30)),"")</f>
        <v>-4435.6013742718405</v>
      </c>
      <c r="N11" s="32">
        <f>IFERROR(IF('PyG 3 Años'!$B$9="","",SUM(B11:M11)),"")</f>
        <v>-49037.97081493967</v>
      </c>
      <c r="O11" s="28" t="str">
        <f>IFERROR("Materia prima, consumibles, comisiones e imprevistos, cada uno con SU tipo de IVA (la columna del P&amp;L) y con los días de pago a proveedor de Supuestos."&amp;IF('0. Supuestos'!$B$59=0,""," Con "&amp;TEXT('0. Supuestos'!$B$59,"0")&amp;" días de pago, las primeras compras se pagan ya en el año siguiente: la columna «Año» de esta fila recoge "&amp;TEXT(MAX(0,12-ROUNDUP('0. Supuestos'!$B$59/30,0)),"0")&amp;" mensualidades de compra, no el coste del ejercicio."),"")</f>
        <v>Materia prima, consumibles, comisiones e imprevistos, cada uno con SU tipo de IVA (la columna del P&amp;L) y con los días de pago a proveedor de Supuestos. Con 30 días de pago, las primeras compras se pagan ya en el año siguiente: la columna «Año» de esta fila recoge 11 mensualidades de compra, no el coste del ejercicio.</v>
      </c>
    </row>
    <row r="12">
      <c r="A12" s="28" t="inlineStr">
        <is>
          <t>Costes fijos de explotación (IVA incluido)</t>
        </is>
      </c>
      <c r="B12" s="32">
        <f>IFERROR(IF('PyG 3 Años'!$B$9="","",-('PyG 3 Años'!$B$38-'PyG 3 Años'!$B$23-'PyG 3 Años'!$B$36-'PyG 3 Años'!$B$37+'PyG 3 Años'!$B$40)/12),"")</f>
        <v>-2522.4583333333335</v>
      </c>
      <c r="C12" s="32">
        <f>IFERROR(IF('PyG 3 Años'!$B$9="","",-('PyG 3 Años'!$B$38-'PyG 3 Años'!$B$23-'PyG 3 Años'!$B$36-'PyG 3 Años'!$B$37+'PyG 3 Años'!$B$40)/12),"")</f>
        <v>-2522.4583333333335</v>
      </c>
      <c r="D12" s="32">
        <f>IFERROR(IF('PyG 3 Años'!$B$9="","",-('PyG 3 Años'!$B$38-'PyG 3 Años'!$B$23-'PyG 3 Años'!$B$36-'PyG 3 Años'!$B$37+'PyG 3 Años'!$B$40)/12),"")</f>
        <v>-2522.4583333333335</v>
      </c>
      <c r="E12" s="32">
        <f>IFERROR(IF('PyG 3 Años'!$B$9="","",-('PyG 3 Años'!$B$38-'PyG 3 Años'!$B$23-'PyG 3 Años'!$B$36-'PyG 3 Años'!$B$37+'PyG 3 Años'!$B$40)/12),"")</f>
        <v>-2522.4583333333335</v>
      </c>
      <c r="F12" s="32">
        <f>IFERROR(IF('PyG 3 Años'!$B$9="","",-('PyG 3 Años'!$B$38-'PyG 3 Años'!$B$23-'PyG 3 Años'!$B$36-'PyG 3 Años'!$B$37+'PyG 3 Años'!$B$40)/12),"")</f>
        <v>-2522.4583333333335</v>
      </c>
      <c r="G12" s="32">
        <f>IFERROR(IF('PyG 3 Años'!$B$9="","",-('PyG 3 Años'!$B$38-'PyG 3 Años'!$B$23-'PyG 3 Años'!$B$36-'PyG 3 Años'!$B$37+'PyG 3 Años'!$B$40)/12),"")</f>
        <v>-2522.4583333333335</v>
      </c>
      <c r="H12" s="32">
        <f>IFERROR(IF('PyG 3 Años'!$B$9="","",-('PyG 3 Años'!$B$38-'PyG 3 Años'!$B$23-'PyG 3 Años'!$B$36-'PyG 3 Años'!$B$37+'PyG 3 Años'!$B$40)/12),"")</f>
        <v>-2522.4583333333335</v>
      </c>
      <c r="I12" s="32">
        <f>IFERROR(IF('PyG 3 Años'!$B$9="","",-('PyG 3 Años'!$B$38-'PyG 3 Años'!$B$23-'PyG 3 Años'!$B$36-'PyG 3 Años'!$B$37+'PyG 3 Años'!$B$40)/12),"")</f>
        <v>-2522.4583333333335</v>
      </c>
      <c r="J12" s="32">
        <f>IFERROR(IF('PyG 3 Años'!$B$9="","",-('PyG 3 Años'!$B$38-'PyG 3 Años'!$B$23-'PyG 3 Años'!$B$36-'PyG 3 Años'!$B$37+'PyG 3 Años'!$B$40)/12),"")</f>
        <v>-2522.4583333333335</v>
      </c>
      <c r="K12" s="32">
        <f>IFERROR(IF('PyG 3 Años'!$B$9="","",-('PyG 3 Años'!$B$38-'PyG 3 Años'!$B$23-'PyG 3 Años'!$B$36-'PyG 3 Años'!$B$37+'PyG 3 Años'!$B$40)/12),"")</f>
        <v>-2522.4583333333335</v>
      </c>
      <c r="L12" s="32">
        <f>IFERROR(IF('PyG 3 Años'!$B$9="","",-('PyG 3 Años'!$B$38-'PyG 3 Años'!$B$23-'PyG 3 Años'!$B$36-'PyG 3 Años'!$B$37+'PyG 3 Años'!$B$40)/12),"")</f>
        <v>-2522.4583333333335</v>
      </c>
      <c r="M12" s="32">
        <f>IFERROR(IF('PyG 3 Años'!$B$9="","",-('PyG 3 Años'!$B$38-'PyG 3 Años'!$B$23-'PyG 3 Años'!$B$36-'PyG 3 Años'!$B$37+'PyG 3 Años'!$B$40)/12),"")</f>
        <v>-2522.4583333333335</v>
      </c>
      <c r="N12" s="32">
        <f>IFERROR(IF('PyG 3 Años'!$B$9="","",SUM(B12:M12)),"")</f>
        <v>-30269.499999999996</v>
      </c>
      <c r="O12" s="28" t="inlineStr">
        <is>
          <t>Los fijos que salen de caja, cada uno con su tipo de IVA: los seguros están exentos y no llevan</t>
        </is>
      </c>
    </row>
    <row r="13">
      <c r="A13" s="28" t="inlineStr">
        <is>
          <t>Nóminas y Seguridad Social</t>
        </is>
      </c>
      <c r="B13" s="32">
        <f>IFERROR(IF('PyG 3 Años'!$B$9="","",-'PyG 3 Años'!$B$23/MAX(12,'0. Supuestos'!$B$21)*(1+IF(1='0. Supuestos'!$B$60,(MAX(12,'0. Supuestos'!$B$21)-12)/2,0)+IF(1='0. Supuestos'!$B$61,(MAX(12,'0. Supuestos'!$B$21)-12)/2,0))),"")</f>
        <v>-3005.7999999999997</v>
      </c>
      <c r="C13" s="32">
        <f>IFERROR(IF('PyG 3 Años'!$B$9="","",-'PyG 3 Años'!$B$23/MAX(12,'0. Supuestos'!$B$21)*(1+IF(2='0. Supuestos'!$B$60,(MAX(12,'0. Supuestos'!$B$21)-12)/2,0)+IF(2='0. Supuestos'!$B$61,(MAX(12,'0. Supuestos'!$B$21)-12)/2,0))),"")</f>
        <v>-3005.7999999999997</v>
      </c>
      <c r="D13" s="32">
        <f>IFERROR(IF('PyG 3 Años'!$B$9="","",-'PyG 3 Años'!$B$23/MAX(12,'0. Supuestos'!$B$21)*(1+IF(3='0. Supuestos'!$B$60,(MAX(12,'0. Supuestos'!$B$21)-12)/2,0)+IF(3='0. Supuestos'!$B$61,(MAX(12,'0. Supuestos'!$B$21)-12)/2,0))),"")</f>
        <v>-3005.7999999999997</v>
      </c>
      <c r="E13" s="32">
        <f>IFERROR(IF('PyG 3 Años'!$B$9="","",-'PyG 3 Años'!$B$23/MAX(12,'0. Supuestos'!$B$21)*(1+IF(4='0. Supuestos'!$B$60,(MAX(12,'0. Supuestos'!$B$21)-12)/2,0)+IF(4='0. Supuestos'!$B$61,(MAX(12,'0. Supuestos'!$B$21)-12)/2,0))),"")</f>
        <v>-3005.7999999999997</v>
      </c>
      <c r="F13" s="32">
        <f>IFERROR(IF('PyG 3 Años'!$B$9="","",-'PyG 3 Años'!$B$23/MAX(12,'0. Supuestos'!$B$21)*(1+IF(5='0. Supuestos'!$B$60,(MAX(12,'0. Supuestos'!$B$21)-12)/2,0)+IF(5='0. Supuestos'!$B$61,(MAX(12,'0. Supuestos'!$B$21)-12)/2,0))),"")</f>
        <v>-3005.7999999999997</v>
      </c>
      <c r="G13" s="32">
        <f>IFERROR(IF('PyG 3 Años'!$B$9="","",-'PyG 3 Años'!$B$23/MAX(12,'0. Supuestos'!$B$21)*(1+IF(6='0. Supuestos'!$B$60,(MAX(12,'0. Supuestos'!$B$21)-12)/2,0)+IF(6='0. Supuestos'!$B$61,(MAX(12,'0. Supuestos'!$B$21)-12)/2,0))),"")</f>
        <v>-3005.7999999999997</v>
      </c>
      <c r="H13" s="32">
        <f>IFERROR(IF('PyG 3 Años'!$B$9="","",-'PyG 3 Años'!$B$23/MAX(12,'0. Supuestos'!$B$21)*(1+IF(7='0. Supuestos'!$B$60,(MAX(12,'0. Supuestos'!$B$21)-12)/2,0)+IF(7='0. Supuestos'!$B$61,(MAX(12,'0. Supuestos'!$B$21)-12)/2,0))),"")</f>
        <v>-6011.599999999999</v>
      </c>
      <c r="I13" s="32">
        <f>IFERROR(IF('PyG 3 Años'!$B$9="","",-'PyG 3 Años'!$B$23/MAX(12,'0. Supuestos'!$B$21)*(1+IF(8='0. Supuestos'!$B$60,(MAX(12,'0. Supuestos'!$B$21)-12)/2,0)+IF(8='0. Supuestos'!$B$61,(MAX(12,'0. Supuestos'!$B$21)-12)/2,0))),"")</f>
        <v>-3005.7999999999997</v>
      </c>
      <c r="J13" s="32">
        <f>IFERROR(IF('PyG 3 Años'!$B$9="","",-'PyG 3 Años'!$B$23/MAX(12,'0. Supuestos'!$B$21)*(1+IF(9='0. Supuestos'!$B$60,(MAX(12,'0. Supuestos'!$B$21)-12)/2,0)+IF(9='0. Supuestos'!$B$61,(MAX(12,'0. Supuestos'!$B$21)-12)/2,0))),"")</f>
        <v>-3005.7999999999997</v>
      </c>
      <c r="K13" s="32">
        <f>IFERROR(IF('PyG 3 Años'!$B$9="","",-'PyG 3 Años'!$B$23/MAX(12,'0. Supuestos'!$B$21)*(1+IF(10='0. Supuestos'!$B$60,(MAX(12,'0. Supuestos'!$B$21)-12)/2,0)+IF(10='0. Supuestos'!$B$61,(MAX(12,'0. Supuestos'!$B$21)-12)/2,0))),"")</f>
        <v>-3005.7999999999997</v>
      </c>
      <c r="L13" s="32">
        <f>IFERROR(IF('PyG 3 Años'!$B$9="","",-'PyG 3 Años'!$B$23/MAX(12,'0. Supuestos'!$B$21)*(1+IF(11='0. Supuestos'!$B$60,(MAX(12,'0. Supuestos'!$B$21)-12)/2,0)+IF(11='0. Supuestos'!$B$61,(MAX(12,'0. Supuestos'!$B$21)-12)/2,0))),"")</f>
        <v>-3005.7999999999997</v>
      </c>
      <c r="M13" s="32">
        <f>IFERROR(IF('PyG 3 Años'!$B$9="","",-'PyG 3 Años'!$B$23/MAX(12,'0. Supuestos'!$B$21)*(1+IF(12='0. Supuestos'!$B$60,(MAX(12,'0. Supuestos'!$B$21)-12)/2,0)+IF(12='0. Supuestos'!$B$61,(MAX(12,'0. Supuestos'!$B$21)-12)/2,0))),"")</f>
        <v>-6011.599999999999</v>
      </c>
      <c r="N13" s="32">
        <f>IFERROR(IF('PyG 3 Años'!$B$9="","",SUM(B13:M13)),"")</f>
        <v>-42081.2</v>
      </c>
      <c r="O13" s="28" t="inlineStr">
        <is>
          <t>Doce mensualidades más las pagas extra en los meses que digas en Supuestos. La suma del año es la misma que la del P&amp;L</t>
        </is>
      </c>
    </row>
    <row r="14">
      <c r="A14" s="28" t="inlineStr">
        <is>
          <t>Intereses del préstamo</t>
        </is>
      </c>
      <c r="B14" s="32">
        <f>IFERROR(IF('PyG 3 Años'!$B$9="","",-'Financiación'!$B$44/12),"")</f>
        <v>-390.0</v>
      </c>
      <c r="C14" s="32">
        <f>IFERROR(IF('PyG 3 Años'!$B$9="","",-'Financiación'!$B$44/12),"")</f>
        <v>-390.0</v>
      </c>
      <c r="D14" s="32">
        <f>IFERROR(IF('PyG 3 Años'!$B$9="","",-'Financiación'!$B$44/12),"")</f>
        <v>-390.0</v>
      </c>
      <c r="E14" s="32">
        <f>IFERROR(IF('PyG 3 Años'!$B$9="","",-'Financiación'!$B$44/12),"")</f>
        <v>-390.0</v>
      </c>
      <c r="F14" s="32">
        <f>IFERROR(IF('PyG 3 Años'!$B$9="","",-'Financiación'!$B$44/12),"")</f>
        <v>-390.0</v>
      </c>
      <c r="G14" s="32">
        <f>IFERROR(IF('PyG 3 Años'!$B$9="","",-'Financiación'!$B$44/12),"")</f>
        <v>-390.0</v>
      </c>
      <c r="H14" s="32">
        <f>IFERROR(IF('PyG 3 Años'!$B$9="","",-'Financiación'!$B$44/12),"")</f>
        <v>-390.0</v>
      </c>
      <c r="I14" s="32">
        <f>IFERROR(IF('PyG 3 Años'!$B$9="","",-'Financiación'!$B$44/12),"")</f>
        <v>-390.0</v>
      </c>
      <c r="J14" s="32">
        <f>IFERROR(IF('PyG 3 Años'!$B$9="","",-'Financiación'!$B$44/12),"")</f>
        <v>-390.0</v>
      </c>
      <c r="K14" s="32">
        <f>IFERROR(IF('PyG 3 Años'!$B$9="","",-'Financiación'!$B$44/12),"")</f>
        <v>-390.0</v>
      </c>
      <c r="L14" s="32">
        <f>IFERROR(IF('PyG 3 Años'!$B$9="","",-'Financiación'!$B$44/12),"")</f>
        <v>-390.0</v>
      </c>
      <c r="M14" s="32">
        <f>IFERROR(IF('PyG 3 Años'!$B$9="","",-'Financiación'!$B$44/12),"")</f>
        <v>-390.0</v>
      </c>
      <c r="N14" s="32">
        <f>IFERROR(IF('PyG 3 Años'!$B$9="","",SUM(B14:M14)),"")</f>
        <v>-4680.0</v>
      </c>
      <c r="O14" s="28" t="n"/>
    </row>
    <row r="15">
      <c r="A15" s="28" t="inlineStr">
        <is>
          <t>Devolución de principal del préstamo</t>
        </is>
      </c>
      <c r="B15" s="32">
        <f>IFERROR(IF('PyG 3 Años'!$B$9="","",-'Financiación'!$B$45/12),"")</f>
        <v>0.0</v>
      </c>
      <c r="C15" s="32">
        <f>IFERROR(IF('PyG 3 Años'!$B$9="","",-'Financiación'!$B$45/12),"")</f>
        <v>0.0</v>
      </c>
      <c r="D15" s="32">
        <f>IFERROR(IF('PyG 3 Años'!$B$9="","",-'Financiación'!$B$45/12),"")</f>
        <v>0.0</v>
      </c>
      <c r="E15" s="32">
        <f>IFERROR(IF('PyG 3 Años'!$B$9="","",-'Financiación'!$B$45/12),"")</f>
        <v>0.0</v>
      </c>
      <c r="F15" s="32">
        <f>IFERROR(IF('PyG 3 Años'!$B$9="","",-'Financiación'!$B$45/12),"")</f>
        <v>0.0</v>
      </c>
      <c r="G15" s="32">
        <f>IFERROR(IF('PyG 3 Años'!$B$9="","",-'Financiación'!$B$45/12),"")</f>
        <v>0.0</v>
      </c>
      <c r="H15" s="32">
        <f>IFERROR(IF('PyG 3 Años'!$B$9="","",-'Financiación'!$B$45/12),"")</f>
        <v>0.0</v>
      </c>
      <c r="I15" s="32">
        <f>IFERROR(IF('PyG 3 Años'!$B$9="","",-'Financiación'!$B$45/12),"")</f>
        <v>0.0</v>
      </c>
      <c r="J15" s="32">
        <f>IFERROR(IF('PyG 3 Años'!$B$9="","",-'Financiación'!$B$45/12),"")</f>
        <v>0.0</v>
      </c>
      <c r="K15" s="32">
        <f>IFERROR(IF('PyG 3 Años'!$B$9="","",-'Financiación'!$B$45/12),"")</f>
        <v>0.0</v>
      </c>
      <c r="L15" s="32">
        <f>IFERROR(IF('PyG 3 Años'!$B$9="","",-'Financiación'!$B$45/12),"")</f>
        <v>0.0</v>
      </c>
      <c r="M15" s="32">
        <f>IFERROR(IF('PyG 3 Años'!$B$9="","",-'Financiación'!$B$45/12),"")</f>
        <v>0.0</v>
      </c>
      <c r="N15" s="32">
        <f>IFERROR(IF('PyG 3 Años'!$B$9="","",SUM(B15:M15)),"")</f>
        <v>0.0</v>
      </c>
      <c r="O15" s="28" t="n"/>
    </row>
    <row r="16">
      <c r="A16" s="28" t="inlineStr">
        <is>
          <t>IVA repercutido del mes (memoria)</t>
        </is>
      </c>
      <c r="B16" s="32">
        <f>IFERROR(IF('PyG 3 Años'!$B$9="","",'PyG 3 Años'!$B$9*B7*SUMPRODUCT('PyG 3 Años'!$E$10:$E$11,'PyG 3 Años'!$G$10:$G$11)),"")</f>
        <v>490.5793351025757</v>
      </c>
      <c r="C16" s="32">
        <f>IFERROR(IF('PyG 3 Años'!$B$9="","",'PyG 3 Años'!$B$9*C7*SUMPRODUCT('PyG 3 Años'!$E$10:$E$11,'PyG 3 Años'!$G$10:$G$11)),"")</f>
        <v>589.8844853597033</v>
      </c>
      <c r="D16" s="32">
        <f>IFERROR(IF('PyG 3 Años'!$B$9="","",'PyG 3 Años'!$B$9*D7*SUMPRODUCT('PyG 3 Años'!$E$10:$E$11,'PyG 3 Años'!$G$10:$G$11)),"")</f>
        <v>813.9157150565461</v>
      </c>
      <c r="E16" s="32">
        <f>IFERROR(IF('PyG 3 Años'!$B$9="","",'PyG 3 Años'!$B$9*E7*SUMPRODUCT('PyG 3 Años'!$E$10:$E$11,'PyG 3 Años'!$G$10:$G$11)),"")</f>
        <v>975.2122540220903</v>
      </c>
      <c r="F16" s="32">
        <f>IFERROR(IF('PyG 3 Años'!$B$9="","",'PyG 3 Años'!$B$9*F7*SUMPRODUCT('PyG 3 Años'!$E$10:$E$11,'PyG 3 Años'!$G$10:$G$11)),"")</f>
        <v>1190.472519848917</v>
      </c>
      <c r="G16" s="32">
        <f>IFERROR(IF('PyG 3 Años'!$B$9="","",'PyG 3 Años'!$B$9*G7*SUMPRODUCT('PyG 3 Años'!$E$10:$E$11,'PyG 3 Años'!$G$10:$G$11)),"")</f>
        <v>1456.8719648500737</v>
      </c>
      <c r="H16" s="32">
        <f>IFERROR(IF('PyG 3 Años'!$B$9="","",'PyG 3 Años'!$B$9*H7*SUMPRODUCT('PyG 3 Años'!$E$10:$E$11,'PyG 3 Años'!$G$10:$G$11)),"")</f>
        <v>1560.93424805365</v>
      </c>
      <c r="I16" s="32">
        <f>IFERROR(IF('PyG 3 Años'!$B$9="","",'PyG 3 Años'!$B$9*I7*SUMPRODUCT('PyG 3 Años'!$E$10:$E$11,'PyG 3 Años'!$G$10:$G$11)),"")</f>
        <v>1486.6040457653812</v>
      </c>
      <c r="J16" s="32">
        <f>IFERROR(IF('PyG 3 Años'!$B$9="","",'PyG 3 Años'!$B$9*J7*SUMPRODUCT('PyG 3 Años'!$E$10:$E$11,'PyG 3 Años'!$G$10:$G$11)),"")</f>
        <v>1308.2115602735355</v>
      </c>
      <c r="K16" s="32">
        <f>IFERROR(IF('PyG 3 Años'!$B$9="","",'PyG 3 Años'!$B$9*K7*SUMPRODUCT('PyG 3 Años'!$E$10:$E$11,'PyG 3 Años'!$G$10:$G$11)),"")</f>
        <v>1189.283236612305</v>
      </c>
      <c r="L16" s="32">
        <f>IFERROR(IF('PyG 3 Años'!$B$9="","",'PyG 3 Años'!$B$9*L7*SUMPRODUCT('PyG 3 Años'!$E$10:$E$11,'PyG 3 Años'!$G$10:$G$11)),"")</f>
        <v>1100.0869938663818</v>
      </c>
      <c r="M16" s="32">
        <f>IFERROR(IF('PyG 3 Años'!$B$9="","",'PyG 3 Años'!$B$9*M7*SUMPRODUCT('PyG 3 Años'!$E$10:$E$11,'PyG 3 Años'!$G$10:$G$11)),"")</f>
        <v>1337.943641188843</v>
      </c>
      <c r="N16" s="32">
        <f>IFERROR(IF('PyG 3 Años'!$B$9="","",SUM(B16:M16)),"")</f>
        <v>13500.000000000004</v>
      </c>
      <c r="O16" s="28" t="inlineStr">
        <is>
          <t>Cada línea de venta a SU tipo, leído de la columna de IVA del P&amp;L: en sala, alcohol incluido, el reducido (art. 91.Uno.2.2.º de la Ley 37/1992 del IVA); el alcohol que sale por delivery, al general; el pan común y las harinas panificables, al superreducido (art. 91.Dos.1.1.º)</t>
        </is>
      </c>
    </row>
    <row r="17">
      <c r="A17" s="28" t="inlineStr">
        <is>
          <t>IVA soportado del mes (memoria)</t>
        </is>
      </c>
      <c r="B17" s="32">
        <f>IFERROR(IF('PyG 3 Años'!$B$9="","",'PyG 3 Años'!$B$39*B7+'PyG 3 Años'!$B$40/12),"")</f>
        <v>617.9243772285297</v>
      </c>
      <c r="C17" s="32">
        <f>IFERROR(IF('PyG 3 Años'!$B$9="","",'PyG 3 Años'!$B$39*C7+'PyG 3 Años'!$B$40/12),"")</f>
        <v>661.7086148008502</v>
      </c>
      <c r="D17" s="32">
        <f>IFERROR(IF('PyG 3 Años'!$B$9="","",'PyG 3 Años'!$B$39*D7+'PyG 3 Años'!$B$40/12),"")</f>
        <v>760.4853304018787</v>
      </c>
      <c r="E17" s="32">
        <f>IFERROR(IF('PyG 3 Años'!$B$9="","",'PyG 3 Años'!$B$39*E7+'PyG 3 Años'!$B$40/12),"")</f>
        <v>831.6019438239863</v>
      </c>
      <c r="F17" s="32">
        <f>IFERROR(IF('PyG 3 Años'!$B$9="","",'PyG 3 Años'!$B$39*F7+'PyG 3 Años'!$B$40/12),"")</f>
        <v>926.5114887412319</v>
      </c>
      <c r="G17" s="32">
        <f>IFERROR(IF('PyG 3 Años'!$B$9="","",'PyG 3 Años'!$B$39*G7+'PyG 3 Años'!$B$40/12),"")</f>
        <v>1043.9686051029062</v>
      </c>
      <c r="H17" s="32">
        <f>IFERROR(IF('PyG 3 Años'!$B$9="","",'PyG 3 Años'!$B$39*H7+'PyG 3 Años'!$B$40/12),"")</f>
        <v>1089.8502911816852</v>
      </c>
      <c r="I17" s="32">
        <f>IFERROR(IF('PyG 3 Años'!$B$9="","",'PyG 3 Años'!$B$39*I7+'PyG 3 Años'!$B$40/12),"")</f>
        <v>1057.0776582682718</v>
      </c>
      <c r="J17" s="32">
        <f>IFERROR(IF('PyG 3 Años'!$B$9="","",'PyG 3 Años'!$B$39*J7+'PyG 3 Años'!$B$40/12),"")</f>
        <v>978.4233392760791</v>
      </c>
      <c r="K17" s="32">
        <f>IFERROR(IF('PyG 3 Años'!$B$9="","",'PyG 3 Años'!$B$39*K7+'PyG 3 Años'!$B$40/12),"")</f>
        <v>925.9871266146174</v>
      </c>
      <c r="L17" s="32">
        <f>IFERROR(IF('PyG 3 Años'!$B$9="","",'PyG 3 Años'!$B$39*L7+'PyG 3 Años'!$B$40/12),"")</f>
        <v>886.659967118521</v>
      </c>
      <c r="M17" s="32">
        <f>IFERROR(IF('PyG 3 Años'!$B$9="","",'PyG 3 Años'!$B$39*M7+'PyG 3 Años'!$B$40/12),"")</f>
        <v>991.5323924414445</v>
      </c>
      <c r="N17" s="32">
        <f>IFERROR(IF('PyG 3 Años'!$B$9="","",SUM(B17:M17)),"")</f>
        <v>10771.731135000002</v>
      </c>
      <c r="O17" s="28" t="inlineStr">
        <is>
          <t>Cada partida a su tipo, leído de la columna de IVA del P&amp;L: los seguros y las comisiones de los medios de pago están exentos</t>
        </is>
      </c>
    </row>
    <row r="18">
      <c r="A18" s="28" t="inlineStr">
        <is>
          <t>IVA a compensar arrastrado (inversión incluida)</t>
        </is>
      </c>
      <c r="B18" s="28" t="n"/>
      <c r="C18" s="28" t="n"/>
      <c r="D18" s="28" t="n"/>
      <c r="E18" s="32">
        <f>IFERROR(IF('PyG 3 Años'!$B$9="","",'Inversión Inicial'!$B$28),"")</f>
        <v>12672.24</v>
      </c>
      <c r="F18" s="28" t="n"/>
      <c r="G18" s="28" t="n"/>
      <c r="H18" s="32">
        <f>IFERROR(IF('PyG 3 Años'!$B$9="","",MAX(0,-E19)),"")</f>
        <v>12817.978786912434</v>
      </c>
      <c r="I18" s="28" t="n"/>
      <c r="J18" s="28" t="n"/>
      <c r="K18" s="32">
        <f>IFERROR(IF('PyG 3 Años'!$B$9="","",MAX(0,-H19)),"")</f>
        <v>11997.504085859477</v>
      </c>
      <c r="L18" s="28" t="n"/>
      <c r="M18" s="28" t="n"/>
      <c r="N18" s="28" t="n"/>
      <c r="O18" s="28" t="inlineStr">
        <is>
          <t>El IVA soportado de la INVERSIÓN entra aquí: se compensa contra el repercutido de los trimestres siguientes hasta agotarlo (modelo 303)</t>
        </is>
      </c>
    </row>
    <row r="19">
      <c r="A19" s="28" t="inlineStr">
        <is>
          <t>Resultado de la liquidación trimestral</t>
        </is>
      </c>
      <c r="B19" s="28" t="n"/>
      <c r="C19" s="28" t="n"/>
      <c r="D19" s="28" t="n"/>
      <c r="E19" s="32">
        <f>IFERROR(IF('PyG 3 Años'!$B$9="","",SUM(B16:D16)-SUM(B17:D17)-E18),"")</f>
        <v>-12817.978786912434</v>
      </c>
      <c r="F19" s="28" t="n"/>
      <c r="G19" s="28" t="n"/>
      <c r="H19" s="32">
        <f>IFERROR(IF('PyG 3 Años'!$B$9="","",SUM(E16:G16)-SUM(E17:G17)-H18),"")</f>
        <v>-11997.504085859477</v>
      </c>
      <c r="I19" s="28" t="n"/>
      <c r="J19" s="28" t="n"/>
      <c r="K19" s="32">
        <f>IFERROR(IF('PyG 3 Años'!$B$9="","",SUM(H16:J16)-SUM(H17:J17)-K18),"")</f>
        <v>-10767.105520492945</v>
      </c>
      <c r="L19" s="28" t="n"/>
      <c r="M19" s="28" t="n"/>
      <c r="N19" s="28" t="n"/>
      <c r="O19" s="28" t="inlineStr">
        <is>
          <t>Repercutido menos soportado del trimestre menos lo que venía arrastrado. En negativo NO se paga: se compensa en el trimestre siguiente</t>
        </is>
      </c>
    </row>
    <row r="20">
      <c r="A20" s="28" t="inlineStr">
        <is>
          <t>Pago del IVA (modelo 303)</t>
        </is>
      </c>
      <c r="B20" s="28" t="n"/>
      <c r="C20" s="28" t="n"/>
      <c r="D20" s="28" t="n"/>
      <c r="E20" s="32">
        <f>IFERROR(IF('PyG 3 Años'!$B$9="","",IF(E19&lt;=0,"",-E19)),"")</f>
        <v/>
      </c>
      <c r="F20" s="28" t="n"/>
      <c r="G20" s="28" t="n"/>
      <c r="H20" s="32">
        <f>IFERROR(IF('PyG 3 Años'!$B$9="","",IF(H19&lt;=0,"",-H19)),"")</f>
        <v/>
      </c>
      <c r="I20" s="28" t="n"/>
      <c r="J20" s="28" t="n"/>
      <c r="K20" s="32">
        <f>IFERROR(IF('PyG 3 Años'!$B$9="","",IF(K19&lt;=0,"",-K19)),"")</f>
        <v/>
      </c>
      <c r="L20" s="28" t="n"/>
      <c r="M20" s="28" t="n"/>
      <c r="N20" s="32">
        <f>IFERROR(IF('PyG 3 Años'!$B$9="","",SUM(B20:M20)),"")</f>
        <v>0.0</v>
      </c>
      <c r="O20" s="28" t="inlineStr">
        <is>
          <t>Sólo sale caja cuando el resultado del trimestre es positivo. Los meses sin liquidación van en blanco, no a cero. La celda se pinta en ROJO cuando el pago del 303 se lleva más caja de la que queda ese mes</t>
        </is>
      </c>
    </row>
    <row r="21">
      <c r="A21" s="25" t="inlineStr">
        <is>
          <t>FLUJO DEL MES</t>
        </is>
      </c>
      <c r="B21" s="26">
        <f>IFERROR(IF('PyG 3 Años'!$B$9="","",SUM(B9:B15)+IF(B20="",0,B20)),"")</f>
        <v>-521.8856472050002</v>
      </c>
      <c r="C21" s="26">
        <f>IFERROR(IF('PyG 3 Años'!$B$9="","",SUM(C9:C15)+IF(C20="",0,C20)),"")</f>
        <v>-1407.5674450653923</v>
      </c>
      <c r="D21" s="26">
        <f>IFERROR(IF('PyG 3 Años'!$B$9="","",SUM(D9:D15)+IF(D20="",0,D20)),"")</f>
        <v>656.373146733179</v>
      </c>
      <c r="E21" s="26">
        <f>IFERROR(IF('PyG 3 Años'!$B$9="","",SUM(E9:E15)+IF(E20="",0,E20)),"")</f>
        <v>1527.3308495396136</v>
      </c>
      <c r="F21" s="26">
        <f>IFERROR(IF('PyG 3 Años'!$B$9="","",SUM(F9:F15)+IF(F20="",0,F20)),"")</f>
        <v>3244.8387072718774</v>
      </c>
      <c r="G21" s="26">
        <f>IFERROR(IF('PyG 3 Años'!$B$9="","",SUM(G9:G15)+IF(G20="",0,G20)),"")</f>
        <v>5307.293306346002</v>
      </c>
      <c r="H21" s="26">
        <f>IFERROR(IF('PyG 3 Años'!$B$9="","",SUM(H9:H15)+IF(H20="",0,H20)),"")</f>
        <v>2372.0436023022166</v>
      </c>
      <c r="I21" s="26">
        <f>IFERROR(IF('PyG 3 Años'!$B$9="","",SUM(I9:I15)+IF(I20="",0,I20)),"")</f>
        <v>4140.62746334879</v>
      </c>
      <c r="J21" s="26">
        <f>IFERROR(IF('PyG 3 Años'!$B$9="","",SUM(J9:J15)+IF(J20="",0,J20)),"")</f>
        <v>2478.0129184973916</v>
      </c>
      <c r="K21" s="26">
        <f>IFERROR(IF('PyG 3 Años'!$B$9="","",SUM(K9:K15)+IF(K20="",0,K20)),"")</f>
        <v>1889.0880675652365</v>
      </c>
      <c r="L21" s="26">
        <f>IFERROR(IF('PyG 3 Años'!$B$9="","",SUM(L9:L15)+IF(L20="",0,L20)),"")</f>
        <v>1387.4538702543355</v>
      </c>
      <c r="M21" s="26">
        <f>IFERROR(IF('PyG 3 Años'!$B$9="","",SUM(M9:M15)+IF(M20="",0,M20)),"")</f>
        <v>1357.7203454720975</v>
      </c>
      <c r="N21" s="26">
        <f>IFERROR(IF('PyG 3 Años'!$B$9="","",SUM(B21:M21)),"")</f>
        <v>22431.32918506035</v>
      </c>
      <c r="O21" s="28" t="n"/>
    </row>
    <row r="22">
      <c r="A22" s="25" t="inlineStr">
        <is>
          <t>SALDO ACUMULADO DE CAJA</t>
        </is>
      </c>
      <c r="B22" s="26">
        <f>IFERROR(IF('PyG 3 Años'!$B$9="","",'Inversión Inicial'!$B$25+B21),"")</f>
        <v>17530.914352795</v>
      </c>
      <c r="C22" s="26">
        <f>IFERROR(IF('PyG 3 Años'!$B$9="","",B22+C21),"")</f>
        <v>16123.346907729607</v>
      </c>
      <c r="D22" s="26">
        <f>IFERROR(IF('PyG 3 Años'!$B$9="","",C22+D21),"")</f>
        <v>16779.720054462785</v>
      </c>
      <c r="E22" s="26">
        <f>IFERROR(IF('PyG 3 Años'!$B$9="","",D22+E21),"")</f>
        <v>18307.050904002397</v>
      </c>
      <c r="F22" s="26">
        <f>IFERROR(IF('PyG 3 Años'!$B$9="","",E22+F21),"")</f>
        <v>21551.889611274273</v>
      </c>
      <c r="G22" s="26">
        <f>IFERROR(IF('PyG 3 Años'!$B$9="","",F22+G21),"")</f>
        <v>26859.182917620274</v>
      </c>
      <c r="H22" s="26">
        <f>IFERROR(IF('PyG 3 Años'!$B$9="","",G22+H21),"")</f>
        <v>29231.22651992249</v>
      </c>
      <c r="I22" s="26">
        <f>IFERROR(IF('PyG 3 Años'!$B$9="","",H22+I21),"")</f>
        <v>33371.85398327128</v>
      </c>
      <c r="J22" s="26">
        <f>IFERROR(IF('PyG 3 Años'!$B$9="","",I22+J21),"")</f>
        <v>35849.86690176867</v>
      </c>
      <c r="K22" s="26">
        <f>IFERROR(IF('PyG 3 Años'!$B$9="","",J22+K21),"")</f>
        <v>37738.95496933391</v>
      </c>
      <c r="L22" s="26">
        <f>IFERROR(IF('PyG 3 Años'!$B$9="","",K22+L21),"")</f>
        <v>39126.40883958824</v>
      </c>
      <c r="M22" s="26">
        <f>IFERROR(IF('PyG 3 Años'!$B$9="","",L22+M21),"")</f>
        <v>40484.12918506034</v>
      </c>
      <c r="N22" s="28" t="n"/>
      <c r="O22" s="28" t="n"/>
    </row>
    <row r="23">
      <c r="A23" s="28" t="inlineStr">
        <is>
          <t>Saldo mínimo del año</t>
        </is>
      </c>
      <c r="B23" s="32">
        <f>IFERROR(IF('PyG 3 Años'!$B$9="","",IF(COUNT(B22:M22)=0,"",MIN(B22:M22))),"")</f>
        <v>16123.346907729607</v>
      </c>
      <c r="C23" s="28" t="n"/>
      <c r="D23" s="28" t="inlineStr">
        <is>
          <t>Si es negativo, sube el fondo de maniobra o el préstamo: te quedas sin caja</t>
        </is>
      </c>
      <c r="E23" s="28" t="n"/>
      <c r="F23" s="28" t="n"/>
      <c r="G23" s="28" t="n"/>
      <c r="H23" s="28" t="n"/>
      <c r="I23" s="28" t="n"/>
      <c r="J23" s="28" t="n"/>
      <c r="K23" s="28" t="n"/>
      <c r="L23" s="28" t="n"/>
      <c r="M23" s="28" t="n"/>
      <c r="N23" s="28" t="n"/>
      <c r="O23" s="28" t="n"/>
    </row>
    <row r="24">
      <c r="A24" s="28" t="inlineStr">
        <is>
          <t>Mes en el que la caja toca fondo</t>
        </is>
      </c>
      <c r="B24" s="40">
        <f>IFERROR(IF('PyG 3 Años'!$B$9="","",IF(COUNT(B22:M22)=0,"",MATCH(MIN(B22:M22),B22:M22,0))),"")</f>
        <v>2.0</v>
      </c>
      <c r="C24" s="28" t="n"/>
      <c r="D24" s="28" t="inlineStr">
        <is>
          <t>Es la respuesta a la pregunta que decide una operación bancaria: en qué mes se agota la caja</t>
        </is>
      </c>
      <c r="E24" s="28" t="n"/>
      <c r="F24" s="28" t="n"/>
      <c r="G24" s="28" t="n"/>
      <c r="H24" s="28" t="n"/>
      <c r="I24" s="28" t="n"/>
      <c r="J24" s="28" t="n"/>
      <c r="K24" s="28" t="n"/>
      <c r="L24" s="28" t="n"/>
      <c r="M24" s="28" t="n"/>
      <c r="N24" s="28" t="n"/>
      <c r="O24" s="28" t="n"/>
    </row>
    <row r="25">
      <c r="A25" s="25" t="inlineStr">
        <is>
          <t>RETORNO DE LA INVERSIÓN</t>
        </is>
      </c>
      <c r="B25" s="28" t="n"/>
      <c r="C25" s="28" t="n"/>
      <c r="D25" s="28" t="n"/>
      <c r="E25" s="28" t="n"/>
      <c r="F25" s="28" t="n"/>
      <c r="G25" s="28" t="n"/>
      <c r="H25" s="28" t="n"/>
      <c r="I25" s="28" t="n"/>
      <c r="J25" s="28" t="n"/>
      <c r="K25" s="28" t="n"/>
      <c r="L25" s="28" t="n"/>
      <c r="M25" s="28" t="n"/>
      <c r="N25" s="28" t="n"/>
      <c r="O25" s="28" t="n"/>
    </row>
    <row r="26">
      <c r="A26" s="28" t="inlineStr">
        <is>
          <t>Flujo de caja libre antes de la deuda, año 1</t>
        </is>
      </c>
      <c r="B26" s="32">
        <f>IFERROR(IF('PyG 3 Años'!$B$9="","",'PyG 3 Años'!$B$48+'PyG 3 Años'!$B$36+'Financiación'!$B$44),"")</f>
        <v>17839.348500000004</v>
      </c>
      <c r="C26" s="28" t="n"/>
      <c r="D26" s="28" t="inlineStr">
        <is>
          <t>Resultado neto más amortización (que no se paga) más los intereses de ese año: el principal no se resta porque este flujo es ANTES de la deuda. La MISMA base que los años 2 y 3, para que el payback compare peras con peras</t>
        </is>
      </c>
      <c r="E26" s="28" t="n"/>
      <c r="F26" s="28" t="n"/>
      <c r="G26" s="28" t="n"/>
      <c r="H26" s="28" t="n"/>
      <c r="I26" s="28" t="n"/>
      <c r="J26" s="28" t="n"/>
      <c r="K26" s="28" t="n"/>
      <c r="L26" s="28" t="n"/>
      <c r="M26" s="28" t="n"/>
      <c r="N26" s="28" t="n"/>
      <c r="O26" s="28" t="n"/>
    </row>
    <row r="27">
      <c r="A27" s="28" t="inlineStr">
        <is>
          <t>Flujo de caja libre antes de la deuda, año 2</t>
        </is>
      </c>
      <c r="B27" s="32">
        <f>IFERROR(IF('PyG 3 Años'!$B$9="","",'PyG 3 Años'!$C$48+'PyG 3 Años'!$C$36+'Financiación'!$B$46),"")</f>
        <v>23770.598774999977</v>
      </c>
      <c r="C27" s="28" t="n"/>
      <c r="D27" s="28" t="inlineStr">
        <is>
          <t>Resultado neto más amortización (que no se paga) más los intereses de ese año: el principal no se resta porque este flujo es ANTES de la deuda. Sin tabla mensual, es una estimación</t>
        </is>
      </c>
      <c r="E27" s="28" t="n"/>
      <c r="F27" s="28" t="n"/>
      <c r="G27" s="28" t="n"/>
      <c r="H27" s="28" t="n"/>
      <c r="I27" s="28" t="n"/>
      <c r="J27" s="28" t="n"/>
      <c r="K27" s="28" t="n"/>
      <c r="L27" s="28" t="n"/>
      <c r="M27" s="28" t="n"/>
      <c r="N27" s="28" t="n"/>
      <c r="O27" s="28" t="n"/>
    </row>
    <row r="28">
      <c r="A28" s="28" t="inlineStr">
        <is>
          <t>Flujo de caja libre antes de la deuda, año 3</t>
        </is>
      </c>
      <c r="B28" s="32">
        <f>IFERROR(IF('PyG 3 Años'!$B$9="","",'PyG 3 Años'!$D$48+'PyG 3 Años'!$D$36+'Financiación'!$B$48),"")</f>
        <v>25063.58757851093</v>
      </c>
      <c r="C28" s="28" t="n"/>
      <c r="D28" s="28" t="inlineStr">
        <is>
          <t>Resultado neto más amortización (que no se paga) más los intereses de ese año: el principal no se resta porque este flujo es ANTES de la deuda. Sin tabla mensual, es una estimación</t>
        </is>
      </c>
      <c r="E28" s="28" t="n"/>
      <c r="F28" s="28" t="n"/>
      <c r="G28" s="28" t="n"/>
      <c r="H28" s="28" t="n"/>
      <c r="I28" s="28" t="n"/>
      <c r="J28" s="28" t="n"/>
      <c r="K28" s="28" t="n"/>
      <c r="L28" s="28" t="n"/>
      <c r="M28" s="28" t="n"/>
      <c r="N28" s="28" t="n"/>
      <c r="O28" s="28" t="n"/>
    </row>
    <row r="29">
      <c r="A29" s="28" t="inlineStr">
        <is>
          <t>Informativo: flujo REAL de caja del año 1 (tabla mensual, antes de la deuda)</t>
        </is>
      </c>
      <c r="B29" s="32">
        <f>IFERROR(IF('PyG 3 Años'!$B$9="","",N21+'Financiación'!$B$44+'Financiación'!$B$45),"")</f>
        <v>27111.32918506035</v>
      </c>
      <c r="C29" s="28" t="n"/>
      <c r="D29" s="28" t="inlineStr">
        <is>
          <t>La suma de los doce FLUJO DEL MES de arriba, devolviéndole los intereses y el principal que se pagaron ese año. NO es la que usa el payback: lleva dentro el IVA que todavía no se ha liquidado y el crédito del proveedor, dos cosas que hay que devolver y que los años 2 y 3 no tienen</t>
        </is>
      </c>
      <c r="E29" s="28" t="n"/>
      <c r="F29" s="28" t="n"/>
      <c r="G29" s="28" t="n"/>
      <c r="H29" s="28" t="n"/>
      <c r="I29" s="28" t="n"/>
      <c r="J29" s="28" t="n"/>
      <c r="K29" s="28" t="n"/>
      <c r="L29" s="28" t="n"/>
      <c r="M29" s="28" t="n"/>
      <c r="N29" s="28" t="n"/>
      <c r="O29" s="28" t="n"/>
    </row>
    <row r="30">
      <c r="A30" s="28" t="inlineStr">
        <is>
          <t>Inversión a recuperar (sin el IVA, que se recupera por el 303)</t>
        </is>
      </c>
      <c r="B30" s="32">
        <f>IFERROR(IF('PyG 3 Años'!$B$9="","",'Inversión Inicial'!$B$29-'Inversión Inicial'!$B$28),"")</f>
        <v>81996.8</v>
      </c>
      <c r="C30" s="28" t="n"/>
      <c r="D30" s="28" t="inlineStr">
        <is>
          <t>CAPEX más fondo de maniobra: la necesidad total de caja MENOS el IVA soportado de la inversión, que no se pierde (se recupera con el modelo 303 y esta misma hoja lo compensa trimestre a trimestre). El fondo de maniobra sí se recupera al cerrar, pero hasta entonces está inmovilizado</t>
        </is>
      </c>
      <c r="E30" s="28" t="n"/>
      <c r="F30" s="28" t="n"/>
      <c r="G30" s="28" t="n"/>
      <c r="H30" s="28" t="n"/>
      <c r="I30" s="28" t="n"/>
      <c r="J30" s="28" t="n"/>
      <c r="K30" s="28" t="n"/>
      <c r="L30" s="28" t="n"/>
      <c r="M30" s="28" t="n"/>
      <c r="N30" s="28" t="n"/>
      <c r="O30" s="28" t="n"/>
    </row>
    <row r="31">
      <c r="A31" s="25" t="inlineStr">
        <is>
          <t>Payback del proyecto (años), antes de la deuda</t>
        </is>
      </c>
      <c r="B31" s="25" t="str">
        <f>IFERROR(IF('PyG 3 Años'!$B$9="","",IF(B26&gt;=B30,ROUND(B30/B26,1),IF(B26+B27&gt;=B30,ROUND(1+(B30-B26)/B27,1),IF(B26+B27+B28&gt;=B30,ROUND(2+(B30-B26-B27)/B28,1),"Más de 3 años")))),"")</f>
        <v>Más de 3 años</v>
      </c>
      <c r="C31" s="28" t="n"/>
      <c r="D31" s="25" t="inlineStr">
        <is>
          <t>Mide cuánto tarda el negocio en devolver la inversión con lo que genera ANTES de pagar al banco, con la MISMA base de flujo en los tres años; si puedes pagar la cuota lo dice el DSCR de la hoja de Financiación. El documento Word del pack sigue en la versión 1.1 y no lee esta celda: las cifras válidas son las de este libro</t>
        </is>
      </c>
      <c r="E31" s="28" t="n"/>
      <c r="F31" s="28" t="n"/>
      <c r="G31" s="28" t="n"/>
      <c r="H31" s="28" t="n"/>
      <c r="I31" s="28" t="n"/>
      <c r="J31" s="28" t="n"/>
      <c r="K31" s="28" t="n"/>
      <c r="L31" s="28" t="n"/>
      <c r="M31" s="28" t="n"/>
      <c r="N31" s="28" t="n"/>
      <c r="O31" s="28" t="n"/>
    </row>
    <row r="32">
      <c r="A32" s="28" t="inlineStr">
        <is>
          <t>Payback sobre el CAPEX, sin fondo de maniobra (años)</t>
        </is>
      </c>
      <c r="B32" s="28">
        <f>IFERROR(IF('PyG 3 Años'!$B$9="","",IF(B26&gt;='Inversión Inicial'!$B$27,ROUND('Inversión Inicial'!$B$27/B26,1),IF(B26+B27&gt;='Inversión Inicial'!$B$27,ROUND(1+('Inversión Inicial'!$B$27-B26)/B27,1),IF(B26+B27+B28&gt;='Inversión Inicial'!$B$27,ROUND(2+('Inversión Inicial'!$B$27-B26-B27)/B28,1),"Más de 3 años")))),"")</f>
        <v>2.9</v>
      </c>
      <c r="C32" s="28" t="n"/>
      <c r="D32" s="28" t="inlineStr">
        <is>
          <t>El mismo cálculo sobre lo que se COMPRA (obra, equipamiento, lanzamiento y constitución), sin el fondo de maniobra: ese dinero no se gasta, se inmoviliza y vuelve al cerrar el negocio. Informativo: el payback que se publica es el de arriba</t>
        </is>
      </c>
      <c r="E32" s="28" t="n"/>
      <c r="F32" s="28" t="n"/>
      <c r="G32" s="28" t="n"/>
      <c r="H32" s="28" t="n"/>
      <c r="I32" s="28" t="n"/>
      <c r="J32" s="28" t="n"/>
      <c r="K32" s="28" t="n"/>
      <c r="L32" s="28" t="n"/>
      <c r="M32" s="28" t="n"/>
      <c r="N32" s="28" t="n"/>
      <c r="O32" s="28" t="n"/>
    </row>
    <row r="33">
      <c r="A33" s="28" t="n"/>
      <c r="B33" s="28" t="n"/>
      <c r="C33" s="28" t="n"/>
      <c r="D33" s="28" t="n"/>
      <c r="E33" s="28" t="n"/>
      <c r="F33" s="28" t="n"/>
      <c r="G33" s="28" t="n"/>
      <c r="H33" s="28" t="n"/>
      <c r="I33" s="28" t="n"/>
      <c r="J33" s="28" t="n"/>
      <c r="K33" s="28" t="n"/>
      <c r="L33" s="28" t="n"/>
      <c r="M33" s="28" t="n"/>
      <c r="N33" s="28" t="n"/>
      <c r="O33" s="28" t="n"/>
    </row>
    <row r="34" ht="120" customHeight="1">
      <c r="A34" s="46" t="inlineStr">
        <is>
          <t>El IVA del cuarto trimestre se liquida en enero del año siguiente, así que no aparece en este cuadro. El Impuesto de Sociedades del año 1 se paga en julio del año 2. La cuota del préstamo se reparte en doce partes iguales siguiendo el cuadro ANUAL de la hoja de Financiación, y las nóminas en doce mensualidades más las dos pagas extra en su mes.</t>
        </is>
      </c>
      <c r="B34" s="28" t="n"/>
      <c r="C34" s="28" t="n"/>
      <c r="D34" s="28" t="n"/>
      <c r="E34" s="28" t="n"/>
      <c r="F34" s="28" t="n"/>
      <c r="G34" s="28" t="n"/>
      <c r="H34" s="28" t="n"/>
      <c r="I34" s="28" t="n"/>
      <c r="J34" s="28" t="n"/>
      <c r="K34" s="28" t="n"/>
      <c r="L34" s="28" t="n"/>
      <c r="M34" s="28" t="n"/>
      <c r="N34" s="28" t="n"/>
      <c r="O34" s="28" t="n"/>
    </row>
    <row r="35">
      <c r="A35" s="28" t="n"/>
      <c r="B35" s="28" t="n"/>
      <c r="C35" s="28" t="n"/>
      <c r="D35" s="28" t="n"/>
      <c r="E35" s="28" t="n"/>
      <c r="F35" s="28" t="n"/>
      <c r="G35" s="28" t="n"/>
      <c r="H35" s="28" t="n"/>
      <c r="I35" s="28" t="n"/>
      <c r="J35" s="28" t="n"/>
      <c r="K35" s="28" t="n"/>
      <c r="L35" s="28" t="n"/>
      <c r="M35" s="28" t="n"/>
      <c r="N35" s="28" t="n"/>
      <c r="O35" s="28" t="n"/>
    </row>
    <row r="36">
      <c r="A36" s="28" t="n"/>
      <c r="B36" s="28" t="n"/>
      <c r="C36" s="28" t="n"/>
      <c r="D36" s="28" t="n"/>
      <c r="E36" s="28" t="n"/>
      <c r="F36" s="28" t="n"/>
      <c r="G36" s="28" t="n"/>
      <c r="H36" s="28" t="n"/>
      <c r="I36" s="28" t="n"/>
      <c r="J36" s="28" t="n"/>
      <c r="K36" s="28" t="n"/>
      <c r="L36" s="28" t="n"/>
      <c r="M36" s="28" t="n"/>
      <c r="N36" s="28" t="n"/>
      <c r="O36" s="28" t="n"/>
    </row>
    <row r="37">
      <c r="A37" s="28" t="n"/>
      <c r="B37" s="28" t="n"/>
      <c r="C37" s="28" t="n"/>
      <c r="D37" s="28" t="n"/>
      <c r="E37" s="28" t="n"/>
      <c r="F37" s="28" t="n"/>
      <c r="G37" s="28" t="n"/>
      <c r="H37" s="28" t="n"/>
      <c r="I37" s="28" t="n"/>
      <c r="J37" s="28" t="n"/>
      <c r="K37" s="28" t="n"/>
      <c r="L37" s="28" t="n"/>
      <c r="M37" s="28" t="n"/>
      <c r="N37" s="28" t="n"/>
      <c r="O37" s="28" t="n"/>
    </row>
    <row r="38">
      <c r="A38" s="28" t="n"/>
      <c r="B38" s="28" t="n"/>
      <c r="C38" s="28" t="n"/>
      <c r="D38" s="28" t="n"/>
      <c r="E38" s="28" t="n"/>
      <c r="F38" s="28" t="n"/>
      <c r="G38" s="28" t="n"/>
      <c r="H38" s="28" t="n"/>
      <c r="I38" s="28" t="n"/>
      <c r="J38" s="28" t="n"/>
      <c r="K38" s="28" t="n"/>
      <c r="L38" s="28" t="n"/>
      <c r="M38" s="28" t="n"/>
      <c r="N38" s="28" t="n"/>
      <c r="O38" s="28" t="n"/>
    </row>
    <row r="39">
      <c r="A39" s="28" t="n"/>
      <c r="B39" s="28" t="n"/>
      <c r="C39" s="28" t="n"/>
      <c r="D39" s="28" t="n"/>
      <c r="E39" s="28" t="n"/>
      <c r="F39" s="28" t="n"/>
      <c r="G39" s="28" t="n"/>
      <c r="H39" s="28" t="n"/>
      <c r="I39" s="28" t="n"/>
      <c r="J39" s="28" t="n"/>
      <c r="K39" s="28" t="n"/>
      <c r="L39" s="28" t="n"/>
      <c r="M39" s="28" t="n"/>
      <c r="N39" s="28" t="n"/>
      <c r="O39" s="28" t="n"/>
    </row>
    <row r="40">
      <c r="A40" s="28" t="n"/>
      <c r="B40" s="28" t="n"/>
      <c r="C40" s="28" t="n"/>
      <c r="D40" s="28" t="n"/>
      <c r="E40" s="28" t="n"/>
      <c r="F40" s="28" t="n"/>
      <c r="G40" s="28" t="n"/>
      <c r="H40" s="28" t="n"/>
      <c r="I40" s="28" t="n"/>
      <c r="J40" s="28" t="n"/>
      <c r="K40" s="28" t="n"/>
      <c r="L40" s="28" t="n"/>
      <c r="M40" s="28" t="n"/>
      <c r="N40" s="28" t="n"/>
      <c r="O40" s="28" t="n"/>
    </row>
    <row r="41">
      <c r="A41" s="28" t="n"/>
      <c r="B41" s="28" t="n"/>
      <c r="C41" s="28" t="n"/>
      <c r="D41" s="28" t="n"/>
      <c r="E41" s="28" t="n"/>
      <c r="F41" s="28" t="n"/>
      <c r="G41" s="28" t="n"/>
      <c r="H41" s="28" t="n"/>
      <c r="I41" s="28" t="n"/>
      <c r="J41" s="28" t="n"/>
      <c r="K41" s="28" t="n"/>
      <c r="L41" s="28" t="n"/>
      <c r="M41" s="28" t="n"/>
      <c r="N41" s="28" t="n"/>
      <c r="O41" s="28" t="n"/>
    </row>
    <row r="42">
      <c r="A42" s="28" t="n"/>
      <c r="B42" s="28" t="n"/>
      <c r="C42" s="28" t="n"/>
      <c r="D42" s="28" t="n"/>
      <c r="E42" s="28" t="n"/>
      <c r="F42" s="28" t="n"/>
      <c r="G42" s="28" t="n"/>
      <c r="H42" s="28" t="n"/>
      <c r="I42" s="28" t="n"/>
      <c r="J42" s="28" t="n"/>
      <c r="K42" s="28" t="n"/>
      <c r="L42" s="28" t="n"/>
      <c r="M42" s="28" t="n"/>
      <c r="N42" s="28" t="n"/>
      <c r="O42" s="28" t="n"/>
    </row>
    <row r="43">
      <c r="A43" s="28" t="n"/>
      <c r="B43" s="28" t="n"/>
      <c r="C43" s="28" t="n"/>
      <c r="D43" s="28" t="n"/>
      <c r="E43" s="28" t="n"/>
      <c r="F43" s="28" t="n"/>
      <c r="G43" s="28" t="n"/>
      <c r="H43" s="28" t="n"/>
      <c r="I43" s="28" t="n"/>
      <c r="J43" s="28" t="n"/>
      <c r="K43" s="28" t="n"/>
      <c r="L43" s="28" t="n"/>
      <c r="M43" s="28" t="n"/>
      <c r="N43" s="28" t="n"/>
      <c r="O43" s="28" t="n"/>
    </row>
    <row r="44">
      <c r="A44" s="28" t="n"/>
      <c r="B44" s="28" t="n"/>
      <c r="C44" s="28" t="n"/>
      <c r="D44" s="28" t="n"/>
      <c r="E44" s="28" t="n"/>
      <c r="F44" s="28" t="n"/>
      <c r="G44" s="28" t="n"/>
      <c r="H44" s="28" t="n"/>
      <c r="I44" s="28" t="n"/>
      <c r="J44" s="28" t="n"/>
      <c r="K44" s="28" t="n"/>
      <c r="L44" s="28" t="n"/>
      <c r="M44" s="28" t="n"/>
      <c r="N44" s="28" t="n"/>
      <c r="O44" s="28" t="n"/>
    </row>
    <row r="45">
      <c r="A45" s="28" t="n"/>
      <c r="B45" s="28" t="n"/>
      <c r="C45" s="28" t="n"/>
      <c r="D45" s="28" t="n"/>
      <c r="E45" s="28" t="n"/>
      <c r="F45" s="28" t="n"/>
      <c r="G45" s="28" t="n"/>
      <c r="H45" s="28" t="n"/>
      <c r="I45" s="28" t="n"/>
      <c r="J45" s="28" t="n"/>
      <c r="K45" s="28" t="n"/>
      <c r="L45" s="28" t="n"/>
      <c r="M45" s="28" t="n"/>
      <c r="N45" s="28" t="n"/>
      <c r="O45" s="28" t="n"/>
    </row>
    <row r="46">
      <c r="A46" s="28" t="n"/>
      <c r="B46" s="28" t="n"/>
      <c r="C46" s="28" t="n"/>
      <c r="D46" s="28" t="n"/>
      <c r="E46" s="28" t="n"/>
      <c r="F46" s="28" t="n"/>
      <c r="G46" s="28" t="n"/>
      <c r="H46" s="28" t="n"/>
      <c r="I46" s="28" t="n"/>
      <c r="J46" s="28" t="n"/>
      <c r="K46" s="28" t="n"/>
      <c r="L46" s="28" t="n"/>
      <c r="M46" s="28" t="n"/>
      <c r="N46" s="28" t="n"/>
      <c r="O46" s="28" t="n"/>
    </row>
    <row r="47">
      <c r="A47" s="28" t="n"/>
      <c r="B47" s="28" t="n"/>
      <c r="C47" s="28" t="n"/>
      <c r="D47" s="28" t="n"/>
      <c r="E47" s="28" t="n"/>
      <c r="F47" s="28" t="n"/>
      <c r="G47" s="28" t="n"/>
      <c r="H47" s="28" t="n"/>
      <c r="I47" s="28" t="n"/>
      <c r="J47" s="28" t="n"/>
      <c r="K47" s="28" t="n"/>
      <c r="L47" s="28" t="n"/>
      <c r="M47" s="28" t="n"/>
      <c r="N47" s="28" t="n"/>
      <c r="O47" s="28" t="n"/>
    </row>
    <row r="48">
      <c r="A48" s="28" t="n"/>
      <c r="B48" s="28" t="n"/>
      <c r="C48" s="28" t="n"/>
      <c r="D48" s="28" t="n"/>
      <c r="E48" s="28" t="n"/>
      <c r="F48" s="28" t="n"/>
      <c r="G48" s="28" t="n"/>
      <c r="H48" s="28" t="n"/>
      <c r="I48" s="28" t="n"/>
      <c r="J48" s="28" t="n"/>
      <c r="K48" s="28" t="n"/>
      <c r="L48" s="28" t="n"/>
      <c r="M48" s="28" t="n"/>
      <c r="N48" s="28" t="n"/>
      <c r="O48" s="28" t="n"/>
    </row>
    <row r="49">
      <c r="A49" s="28" t="n"/>
      <c r="B49" s="28" t="n"/>
      <c r="C49" s="28" t="n"/>
      <c r="D49" s="28" t="n"/>
      <c r="E49" s="28" t="n"/>
      <c r="F49" s="28" t="n"/>
      <c r="G49" s="28" t="n"/>
      <c r="H49" s="28" t="n"/>
      <c r="I49" s="28" t="n"/>
      <c r="J49" s="28" t="n"/>
      <c r="K49" s="28" t="n"/>
      <c r="L49" s="28" t="n"/>
      <c r="M49" s="28" t="n"/>
      <c r="N49" s="28" t="n"/>
      <c r="O49" s="28" t="n"/>
    </row>
    <row r="50">
      <c r="A50" s="28" t="n"/>
      <c r="B50" s="28" t="n"/>
      <c r="C50" s="28" t="n"/>
      <c r="D50" s="28" t="n"/>
      <c r="E50" s="28" t="n"/>
      <c r="F50" s="28" t="n"/>
      <c r="G50" s="28" t="n"/>
      <c r="H50" s="28" t="n"/>
      <c r="I50" s="28" t="n"/>
      <c r="J50" s="28" t="n"/>
      <c r="K50" s="28" t="n"/>
      <c r="L50" s="28" t="n"/>
      <c r="M50" s="28" t="n"/>
      <c r="N50" s="28" t="n"/>
      <c r="O50" s="28" t="n"/>
    </row>
    <row r="51">
      <c r="A51" s="28" t="n"/>
      <c r="B51" s="28" t="n"/>
      <c r="C51" s="28" t="n"/>
      <c r="D51" s="28" t="n"/>
      <c r="E51" s="28" t="n"/>
      <c r="F51" s="28" t="n"/>
      <c r="G51" s="28" t="n"/>
      <c r="H51" s="28" t="n"/>
      <c r="I51" s="28" t="n"/>
      <c r="J51" s="28" t="n"/>
      <c r="K51" s="28" t="n"/>
      <c r="L51" s="28" t="n"/>
      <c r="M51" s="28" t="n"/>
      <c r="N51" s="28" t="n"/>
      <c r="O51" s="28" t="n"/>
    </row>
    <row r="52">
      <c r="A52" s="28" t="n"/>
      <c r="B52" s="28" t="n"/>
      <c r="C52" s="28" t="n"/>
      <c r="D52" s="28" t="n"/>
      <c r="E52" s="28" t="n"/>
      <c r="F52" s="28" t="n"/>
      <c r="G52" s="28" t="n"/>
      <c r="H52" s="28" t="n"/>
      <c r="I52" s="28" t="n"/>
      <c r="J52" s="28" t="n"/>
      <c r="K52" s="28" t="n"/>
      <c r="L52" s="28" t="n"/>
      <c r="M52" s="28" t="n"/>
      <c r="N52" s="28" t="n"/>
      <c r="O52" s="28" t="n"/>
    </row>
    <row r="53">
      <c r="A53" s="28" t="n"/>
      <c r="B53" s="28" t="n"/>
      <c r="C53" s="28" t="n"/>
      <c r="D53" s="28" t="n"/>
      <c r="E53" s="28" t="n"/>
      <c r="F53" s="28" t="n"/>
      <c r="G53" s="28" t="n"/>
      <c r="H53" s="28" t="n"/>
      <c r="I53" s="28" t="n"/>
      <c r="J53" s="28" t="n"/>
      <c r="K53" s="28" t="n"/>
      <c r="L53" s="28" t="n"/>
      <c r="M53" s="28" t="n"/>
      <c r="N53" s="28" t="n"/>
      <c r="O53" s="28" t="n"/>
    </row>
    <row r="54">
      <c r="A54" s="28" t="n"/>
      <c r="B54" s="28" t="n"/>
      <c r="C54" s="28" t="n"/>
      <c r="D54" s="28" t="n"/>
      <c r="E54" s="28" t="n"/>
      <c r="F54" s="28" t="n"/>
      <c r="G54" s="28" t="n"/>
      <c r="H54" s="28" t="n"/>
      <c r="I54" s="28" t="n"/>
      <c r="J54" s="28" t="n"/>
      <c r="K54" s="28" t="n"/>
      <c r="L54" s="28" t="n"/>
      <c r="M54" s="28" t="n"/>
      <c r="N54" s="28" t="n"/>
      <c r="O54" s="28" t="n"/>
    </row>
    <row r="55">
      <c r="A55" s="28" t="n"/>
      <c r="B55" s="28" t="n"/>
      <c r="C55" s="28" t="n"/>
      <c r="D55" s="28" t="n"/>
      <c r="E55" s="28" t="n"/>
      <c r="F55" s="28" t="n"/>
      <c r="G55" s="28" t="n"/>
      <c r="H55" s="28" t="n"/>
      <c r="I55" s="28" t="n"/>
      <c r="J55" s="28" t="n"/>
      <c r="K55" s="28" t="n"/>
      <c r="L55" s="28" t="n"/>
      <c r="M55" s="28" t="n"/>
      <c r="N55" s="28" t="n"/>
      <c r="O55" s="28" t="n"/>
    </row>
    <row r="56">
      <c r="A56" s="28" t="n"/>
      <c r="B56" s="28" t="n"/>
      <c r="C56" s="28" t="n"/>
      <c r="D56" s="28" t="n"/>
      <c r="E56" s="28" t="n"/>
      <c r="F56" s="28" t="n"/>
      <c r="G56" s="28" t="n"/>
      <c r="H56" s="28" t="n"/>
      <c r="I56" s="28" t="n"/>
      <c r="J56" s="28" t="n"/>
      <c r="K56" s="28" t="n"/>
      <c r="L56" s="28" t="n"/>
      <c r="M56" s="28" t="n"/>
      <c r="N56" s="28" t="n"/>
      <c r="O56" s="28" t="n"/>
    </row>
    <row r="57">
      <c r="A57" s="28" t="n"/>
      <c r="B57" s="28" t="n"/>
      <c r="C57" s="28" t="n"/>
      <c r="D57" s="28" t="n"/>
      <c r="E57" s="28" t="n"/>
      <c r="F57" s="28" t="n"/>
      <c r="G57" s="28" t="n"/>
      <c r="H57" s="28" t="n"/>
      <c r="I57" s="28" t="n"/>
      <c r="J57" s="28" t="n"/>
      <c r="K57" s="28" t="n"/>
      <c r="L57" s="28" t="n"/>
      <c r="M57" s="28" t="n"/>
      <c r="N57" s="28" t="n"/>
      <c r="O57" s="28" t="n"/>
    </row>
    <row r="58">
      <c r="A58" s="28" t="n"/>
      <c r="B58" s="28" t="n"/>
      <c r="C58" s="28" t="n"/>
      <c r="D58" s="28" t="n"/>
      <c r="E58" s="28" t="n"/>
      <c r="F58" s="28" t="n"/>
      <c r="G58" s="28" t="n"/>
      <c r="H58" s="28" t="n"/>
      <c r="I58" s="28" t="n"/>
      <c r="J58" s="28" t="n"/>
      <c r="K58" s="28" t="n"/>
      <c r="L58" s="28" t="n"/>
      <c r="M58" s="28" t="n"/>
      <c r="N58" s="28" t="n"/>
      <c r="O58" s="28" t="n"/>
    </row>
    <row r="59">
      <c r="A59" s="28" t="n"/>
      <c r="B59" s="28" t="n"/>
      <c r="C59" s="28" t="n"/>
      <c r="D59" s="28" t="n"/>
      <c r="E59" s="28" t="n"/>
      <c r="F59" s="28" t="n"/>
      <c r="G59" s="28" t="n"/>
      <c r="H59" s="28" t="n"/>
      <c r="I59" s="28" t="n"/>
      <c r="J59" s="28" t="n"/>
      <c r="K59" s="28" t="n"/>
      <c r="L59" s="28" t="n"/>
      <c r="M59" s="28" t="n"/>
      <c r="N59" s="28" t="n"/>
      <c r="O59" s="28" t="n"/>
    </row>
    <row r="60">
      <c r="A60" s="28" t="n"/>
      <c r="B60" s="28" t="n"/>
      <c r="C60" s="28" t="n"/>
      <c r="D60" s="28" t="n"/>
      <c r="E60" s="28" t="n"/>
      <c r="F60" s="28" t="n"/>
      <c r="G60" s="28" t="n"/>
      <c r="H60" s="28" t="n"/>
      <c r="I60" s="28" t="n"/>
      <c r="J60" s="28" t="n"/>
      <c r="K60" s="28" t="n"/>
      <c r="L60" s="28" t="n"/>
      <c r="M60" s="28" t="n"/>
      <c r="N60" s="28" t="n"/>
      <c r="O60" s="28" t="n"/>
    </row>
    <row r="61">
      <c r="A61" s="28" t="n"/>
      <c r="B61" s="28" t="n"/>
      <c r="C61" s="28" t="n"/>
      <c r="D61" s="28" t="n"/>
      <c r="E61" s="28" t="n"/>
      <c r="F61" s="28" t="n"/>
      <c r="G61" s="28" t="n"/>
      <c r="H61" s="28" t="n"/>
      <c r="I61" s="28" t="n"/>
      <c r="J61" s="28" t="n"/>
      <c r="K61" s="28" t="n"/>
      <c r="L61" s="28" t="n"/>
      <c r="M61" s="28" t="n"/>
      <c r="N61" s="28" t="n"/>
      <c r="O61" s="28" t="n"/>
    </row>
    <row r="62">
      <c r="A62" s="28" t="n"/>
      <c r="B62" s="28" t="n"/>
      <c r="C62" s="28" t="n"/>
      <c r="D62" s="28" t="n"/>
      <c r="E62" s="28" t="n"/>
      <c r="F62" s="28" t="n"/>
      <c r="G62" s="28" t="n"/>
      <c r="H62" s="28" t="n"/>
      <c r="I62" s="28" t="n"/>
      <c r="J62" s="28" t="n"/>
      <c r="K62" s="28" t="n"/>
      <c r="L62" s="28" t="n"/>
      <c r="M62" s="28" t="n"/>
      <c r="N62" s="28" t="n"/>
      <c r="O62" s="28" t="n"/>
    </row>
    <row r="63">
      <c r="A63" s="28" t="n"/>
      <c r="B63" s="28" t="n"/>
      <c r="C63" s="28" t="n"/>
      <c r="D63" s="28" t="n"/>
      <c r="E63" s="28" t="n"/>
      <c r="F63" s="28" t="n"/>
      <c r="G63" s="28" t="n"/>
      <c r="H63" s="28" t="n"/>
      <c r="I63" s="28" t="n"/>
      <c r="J63" s="28" t="n"/>
      <c r="K63" s="28" t="n"/>
      <c r="L63" s="28" t="n"/>
      <c r="M63" s="28" t="n"/>
      <c r="N63" s="28" t="n"/>
      <c r="O63" s="28" t="n"/>
    </row>
    <row r="64">
      <c r="A64" s="28" t="n"/>
      <c r="B64" s="28" t="n"/>
      <c r="C64" s="28" t="n"/>
      <c r="D64" s="28" t="n"/>
      <c r="E64" s="28" t="n"/>
      <c r="F64" s="28" t="n"/>
      <c r="G64" s="28" t="n"/>
      <c r="H64" s="28" t="n"/>
      <c r="I64" s="28" t="n"/>
      <c r="J64" s="28" t="n"/>
      <c r="K64" s="28" t="n"/>
      <c r="L64" s="28" t="n"/>
      <c r="M64" s="28" t="n"/>
      <c r="N64" s="28" t="n"/>
      <c r="O64" s="28" t="n"/>
    </row>
    <row r="65">
      <c r="A65" s="28" t="n"/>
      <c r="B65" s="28" t="n"/>
      <c r="C65" s="28" t="n"/>
      <c r="D65" s="28" t="n"/>
      <c r="E65" s="28" t="n"/>
      <c r="F65" s="28" t="n"/>
      <c r="G65" s="28" t="n"/>
      <c r="H65" s="28" t="n"/>
      <c r="I65" s="28" t="n"/>
      <c r="J65" s="28" t="n"/>
      <c r="K65" s="28" t="n"/>
      <c r="L65" s="28" t="n"/>
      <c r="M65" s="28" t="n"/>
      <c r="N65" s="28" t="n"/>
      <c r="O65" s="28" t="n"/>
    </row>
    <row r="66">
      <c r="A66" s="28" t="n"/>
      <c r="B66" s="28" t="n"/>
      <c r="C66" s="28" t="n"/>
      <c r="D66" s="28" t="n"/>
      <c r="E66" s="28" t="n"/>
      <c r="F66" s="28" t="n"/>
      <c r="G66" s="28" t="n"/>
      <c r="H66" s="28" t="n"/>
      <c r="I66" s="28" t="n"/>
      <c r="J66" s="28" t="n"/>
      <c r="K66" s="28" t="n"/>
      <c r="L66" s="28" t="n"/>
      <c r="M66" s="28" t="n"/>
      <c r="N66" s="28" t="n"/>
      <c r="O66" s="28" t="n"/>
    </row>
    <row r="67">
      <c r="A67" s="28" t="n"/>
      <c r="B67" s="28" t="n"/>
      <c r="C67" s="28" t="n"/>
      <c r="D67" s="28" t="n"/>
      <c r="E67" s="28" t="n"/>
      <c r="F67" s="28" t="n"/>
      <c r="G67" s="28" t="n"/>
      <c r="H67" s="28" t="n"/>
      <c r="I67" s="28" t="n"/>
      <c r="J67" s="28" t="n"/>
      <c r="K67" s="28" t="n"/>
      <c r="L67" s="28" t="n"/>
      <c r="M67" s="28" t="n"/>
      <c r="N67" s="28" t="n"/>
      <c r="O67" s="28" t="n"/>
    </row>
    <row r="68">
      <c r="A68" s="28" t="n"/>
      <c r="B68" s="28" t="n"/>
      <c r="C68" s="28" t="n"/>
      <c r="D68" s="28" t="n"/>
      <c r="E68" s="28" t="n"/>
      <c r="F68" s="28" t="n"/>
      <c r="G68" s="28" t="n"/>
      <c r="H68" s="28" t="n"/>
      <c r="I68" s="28" t="n"/>
      <c r="J68" s="28" t="n"/>
      <c r="K68" s="28" t="n"/>
      <c r="L68" s="28" t="n"/>
      <c r="M68" s="28" t="n"/>
      <c r="N68" s="28" t="n"/>
      <c r="O68" s="28" t="n"/>
    </row>
    <row r="69">
      <c r="A69" s="28" t="n"/>
      <c r="B69" s="28" t="n"/>
      <c r="C69" s="28" t="n"/>
      <c r="D69" s="28" t="n"/>
      <c r="E69" s="28" t="n"/>
      <c r="F69" s="28" t="n"/>
      <c r="G69" s="28" t="n"/>
      <c r="H69" s="28" t="n"/>
      <c r="I69" s="28" t="n"/>
      <c r="J69" s="28" t="n"/>
      <c r="K69" s="28" t="n"/>
      <c r="L69" s="28" t="n"/>
      <c r="M69" s="28" t="n"/>
      <c r="N69" s="28" t="n"/>
      <c r="O69" s="28" t="n"/>
    </row>
    <row r="70">
      <c r="A70" s="28" t="n"/>
      <c r="B70" s="28" t="n"/>
      <c r="C70" s="28" t="n"/>
      <c r="D70" s="28" t="n"/>
      <c r="E70" s="28" t="n"/>
      <c r="F70" s="28" t="n"/>
      <c r="G70" s="28" t="n"/>
      <c r="H70" s="28" t="n"/>
      <c r="I70" s="28" t="n"/>
      <c r="J70" s="28" t="n"/>
      <c r="K70" s="28" t="n"/>
      <c r="L70" s="28" t="n"/>
      <c r="M70" s="28" t="n"/>
      <c r="N70" s="28" t="n"/>
      <c r="O70" s="28"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5" t="inlineStr">
        <is>
          <t>PLAN DE FINANCIACIÓN</t>
        </is>
      </c>
      <c r="B1" s="28" t="n"/>
      <c r="C1" s="28" t="n"/>
      <c r="D1" s="28" t="n"/>
      <c r="E1" s="28" t="n"/>
      <c r="F1" s="28" t="n"/>
      <c r="G1" s="28" t="n"/>
      <c r="H1" s="28" t="n"/>
    </row>
    <row r="2" ht="45" customHeight="1">
      <c r="A2" s="46" t="inlineStr">
        <is>
          <t>Qué hace falta, de dónde sale y cuánto cuesta devolverlo. Es la hoja que el banco pide junto con el P&amp;L.</t>
        </is>
      </c>
      <c r="B2" s="28" t="n"/>
      <c r="C2" s="28" t="n"/>
      <c r="D2" s="28" t="n"/>
      <c r="E2" s="28" t="n"/>
      <c r="F2" s="28" t="n"/>
      <c r="G2" s="28" t="n"/>
      <c r="H2" s="28" t="n"/>
    </row>
    <row r="3">
      <c r="A3" s="28" t="n"/>
      <c r="B3" s="28" t="n"/>
      <c r="C3" s="28" t="n"/>
      <c r="D3" s="28" t="n"/>
      <c r="E3" s="28" t="n"/>
      <c r="F3" s="28" t="n"/>
      <c r="G3" s="28" t="n"/>
      <c r="H3" s="28" t="n"/>
    </row>
    <row r="4">
      <c r="A4" s="25" t="inlineStr">
        <is>
          <t>Concepto</t>
        </is>
      </c>
      <c r="B4" s="25" t="inlineStr">
        <is>
          <t>Importe</t>
        </is>
      </c>
      <c r="C4" s="25" t="inlineStr">
        <is>
          <t>Notas</t>
        </is>
      </c>
      <c r="D4" s="28" t="n"/>
      <c r="E4" s="28" t="n"/>
      <c r="F4" s="28" t="n"/>
      <c r="G4" s="28" t="n"/>
      <c r="H4" s="28" t="n"/>
    </row>
    <row r="5">
      <c r="A5" s="25" t="inlineStr">
        <is>
          <t>ORIGEN DE FONDOS</t>
        </is>
      </c>
      <c r="B5" s="28" t="n"/>
      <c r="C5" s="28" t="n"/>
      <c r="D5" s="28" t="n"/>
      <c r="E5" s="28" t="n"/>
      <c r="F5" s="28" t="n"/>
      <c r="G5" s="28" t="n"/>
      <c r="H5" s="28" t="n"/>
    </row>
    <row r="6">
      <c r="A6" s="28" t="inlineStr">
        <is>
          <t>Recursos propios de los socios</t>
        </is>
      </c>
      <c r="B6" s="32">
        <f>IFERROR(IF('0. Supuestos'!$B$30="","",'0. Supuestos'!$B$30),"")</f>
        <v>25000.0</v>
      </c>
      <c r="C6" s="28" t="n"/>
      <c r="D6" s="28" t="n"/>
      <c r="E6" s="28" t="n"/>
      <c r="F6" s="28" t="n"/>
      <c r="G6" s="28" t="n"/>
      <c r="H6" s="28" t="n"/>
    </row>
    <row r="7">
      <c r="A7" s="28" t="inlineStr">
        <is>
          <t>Préstamo bancario</t>
        </is>
      </c>
      <c r="B7" s="32">
        <f>IFERROR(IF('0. Supuestos'!$B$31="","",'0. Supuestos'!$B$31),"")</f>
        <v>72000.0</v>
      </c>
      <c r="C7" s="28" t="n"/>
      <c r="D7" s="28" t="n"/>
      <c r="E7" s="28" t="n"/>
      <c r="F7" s="28" t="n"/>
      <c r="G7" s="28" t="n"/>
      <c r="H7" s="28" t="n"/>
    </row>
    <row r="8">
      <c r="A8" s="28" t="inlineStr">
        <is>
          <t>Línea ICO (avalada por el ICO, la concede tu banco)</t>
        </is>
      </c>
      <c r="B8" s="29" t="n">
        <v>0</v>
      </c>
      <c r="C8" s="28" t="inlineStr">
        <is>
          <t>Consulta las líneas del ejercicio en curso en ico.es</t>
        </is>
      </c>
      <c r="D8" s="28" t="n"/>
      <c r="E8" s="28" t="n"/>
      <c r="F8" s="28" t="n"/>
      <c r="G8" s="28" t="n"/>
      <c r="H8" s="28" t="n"/>
    </row>
    <row r="9">
      <c r="A9" s="28" t="inlineStr">
        <is>
          <t>Préstamo participativo ENISA</t>
        </is>
      </c>
      <c r="B9" s="29" t="n">
        <v>0</v>
      </c>
      <c r="C9" s="28" t="inlineStr">
        <is>
          <t>Para sociedades; sin garantías personales</t>
        </is>
      </c>
      <c r="D9" s="28" t="n"/>
      <c r="E9" s="28" t="n"/>
      <c r="F9" s="28" t="n"/>
      <c r="G9" s="28" t="n"/>
      <c r="H9" s="28" t="n"/>
    </row>
    <row r="10">
      <c r="A10" s="28" t="inlineStr">
        <is>
          <t>Business angels o socios inversores</t>
        </is>
      </c>
      <c r="B10" s="29" t="n">
        <v>0</v>
      </c>
      <c r="C10" s="28" t="inlineStr">
        <is>
          <t>Entra en el capital: diluye, no se devuelve</t>
        </is>
      </c>
      <c r="D10" s="28" t="n"/>
      <c r="E10" s="28" t="n"/>
      <c r="F10" s="28" t="n"/>
      <c r="G10" s="28" t="n"/>
      <c r="H10" s="28" t="n"/>
    </row>
    <row r="11">
      <c r="A11" s="28" t="inlineStr">
        <is>
          <t>Subvenciones autonómicas o locales</t>
        </is>
      </c>
      <c r="B11" s="29" t="n">
        <v>0</v>
      </c>
      <c r="C11" s="28" t="inlineStr">
        <is>
          <t>Suelen cobrarse DESPUÉS de justificar el gasto</t>
        </is>
      </c>
      <c r="D11" s="28" t="n"/>
      <c r="E11" s="28" t="n"/>
      <c r="F11" s="28" t="n"/>
      <c r="G11" s="28" t="n"/>
      <c r="H11" s="28" t="n"/>
    </row>
    <row r="12">
      <c r="A12" s="25" t="inlineStr">
        <is>
          <t>TOTAL ORIGEN DE FONDOS</t>
        </is>
      </c>
      <c r="B12" s="26">
        <f>IFERROR(IF(COUNT(B6:B11)=0,"",SUM(B6:B11)),"")</f>
        <v>97000.0</v>
      </c>
      <c r="C12" s="28" t="n"/>
      <c r="D12" s="28" t="n"/>
      <c r="E12" s="28" t="n"/>
      <c r="F12" s="28" t="n"/>
      <c r="G12" s="28" t="n"/>
      <c r="H12" s="28" t="n"/>
    </row>
    <row r="13">
      <c r="A13" s="25" t="inlineStr">
        <is>
          <t>USOS</t>
        </is>
      </c>
      <c r="B13" s="28" t="n"/>
      <c r="C13" s="28" t="n"/>
      <c r="D13" s="28" t="n"/>
      <c r="E13" s="28" t="n"/>
      <c r="F13" s="28" t="n"/>
      <c r="G13" s="28" t="n"/>
      <c r="H13" s="28" t="n"/>
    </row>
    <row r="14">
      <c r="A14" s="28" t="inlineStr">
        <is>
          <t>Necesidad total de caja al arranque</t>
        </is>
      </c>
      <c r="B14" s="32">
        <f>IFERROR(IF('Inversión Inicial'!$B$29="","",'Inversión Inicial'!$B$29),"")</f>
        <v>94669.04000000001</v>
      </c>
      <c r="C14" s="28" t="inlineStr">
        <is>
          <t>Inversión más el IVA que hay que adelantar</t>
        </is>
      </c>
      <c r="D14" s="28" t="n"/>
      <c r="E14" s="28" t="n"/>
      <c r="F14" s="28" t="n"/>
      <c r="G14" s="28" t="n"/>
      <c r="H14" s="28" t="n"/>
    </row>
    <row r="15">
      <c r="A15" s="25" t="inlineStr">
        <is>
          <t>Diferencia (origen - usos)</t>
        </is>
      </c>
      <c r="B15" s="26">
        <f>IFERROR(B12-B14,"")</f>
        <v>2330.959999999992</v>
      </c>
      <c r="C15" s="25" t="inlineStr">
        <is>
          <t>En rojo (negativa) el plan NO está financiado. Muy por encima de cero tampoco es gratis: se pagan intereses por un dinero que no se usa</t>
        </is>
      </c>
      <c r="D15" s="28" t="n"/>
      <c r="E15" s="28" t="n"/>
      <c r="F15" s="28" t="n"/>
      <c r="G15" s="28" t="n"/>
      <c r="H15" s="28" t="n"/>
    </row>
    <row r="16">
      <c r="A16" s="28" t="inlineStr">
        <is>
          <t>Diferencia sobre los usos (%)</t>
        </is>
      </c>
      <c r="B16" s="30">
        <f>IFERROR(B15/B14,"")</f>
        <v>0.024622199612460333</v>
      </c>
      <c r="C16" s="28" t="inlineStr">
        <is>
          <t>Ámbar por encima del margen que fijes: es deuda que pagas sin necesitarla</t>
        </is>
      </c>
      <c r="D16" s="28" t="n"/>
      <c r="E16" s="28" t="n"/>
      <c r="F16" s="28" t="n"/>
      <c r="G16" s="28" t="n"/>
      <c r="H16" s="28" t="n"/>
    </row>
    <row r="17">
      <c r="A17" s="28" t="inlineStr">
        <is>
          <t>Exceso de financiación admisible (%)</t>
        </is>
      </c>
      <c r="B17" s="60" t="n">
        <v>0.05</v>
      </c>
      <c r="C17" s="28" t="inlineStr">
        <is>
          <t>Un pequeño colchón sobre la necesidad es sano; un 20 % de más son intereses tirados</t>
        </is>
      </c>
      <c r="D17" s="28" t="n"/>
      <c r="E17" s="28" t="n"/>
      <c r="F17" s="28" t="n"/>
      <c r="G17" s="28" t="n"/>
      <c r="H17" s="28" t="n"/>
    </row>
    <row r="18">
      <c r="A18" s="28" t="inlineStr">
        <is>
          <t>Préstamo que ajustaría el origen a la necesidad</t>
        </is>
      </c>
      <c r="B18" s="32">
        <f>IFERROR(MAX(0,B14-B12+B7),"")</f>
        <v>69669.04000000001</v>
      </c>
      <c r="C18" s="28" t="inlineStr">
        <is>
          <t>Cópialo en «Préstamo bancario solicitado» de la hoja de Supuestos y la diferencia se pone a cero</t>
        </is>
      </c>
      <c r="D18" s="28" t="n"/>
      <c r="E18" s="28" t="n"/>
      <c r="F18" s="28" t="n"/>
      <c r="G18" s="28" t="n"/>
      <c r="H18" s="28" t="n"/>
    </row>
    <row r="19">
      <c r="A19" s="25" t="inlineStr">
        <is>
          <t>CONDICIONES DEL PRÉSTAMO</t>
        </is>
      </c>
      <c r="B19" s="28" t="n"/>
      <c r="C19" s="28" t="n"/>
      <c r="D19" s="28" t="n"/>
      <c r="E19" s="28" t="n"/>
      <c r="F19" s="28" t="n"/>
      <c r="G19" s="28" t="n"/>
      <c r="H19" s="28" t="n"/>
    </row>
    <row r="20">
      <c r="A20" s="28" t="inlineStr">
        <is>
          <t>Importe del principal</t>
        </is>
      </c>
      <c r="B20" s="32">
        <f>IFERROR(IF('0. Supuestos'!$B$31=0,"",'0. Supuestos'!$B$31),"")</f>
        <v>72000.0</v>
      </c>
      <c r="C20" s="28" t="n"/>
      <c r="D20" s="28" t="n"/>
      <c r="E20" s="28" t="n"/>
      <c r="F20" s="28" t="n"/>
      <c r="G20" s="28" t="n"/>
      <c r="H20" s="28" t="n"/>
    </row>
    <row r="21">
      <c r="A21" s="28" t="inlineStr">
        <is>
          <t>Tipo de interés nominal anual</t>
        </is>
      </c>
      <c r="B21" s="30">
        <f>IFERROR(IF('0. Supuestos'!$B$32="","",'0. Supuestos'!$B$32),"")</f>
        <v>0.065</v>
      </c>
      <c r="C21" s="28" t="n"/>
      <c r="D21" s="28" t="n"/>
      <c r="E21" s="28" t="n"/>
      <c r="F21" s="28" t="n"/>
      <c r="G21" s="28" t="n"/>
      <c r="H21" s="28" t="n"/>
    </row>
    <row r="22">
      <c r="A22" s="28" t="inlineStr">
        <is>
          <t>Plazo total (años)</t>
        </is>
      </c>
      <c r="B22" s="40">
        <f>IFERROR(IF('0. Supuestos'!$B$33="","",'0. Supuestos'!$B$33),"")</f>
        <v>6.0</v>
      </c>
      <c r="C22" s="28" t="n"/>
      <c r="D22" s="28" t="n"/>
      <c r="E22" s="28" t="n"/>
      <c r="F22" s="28" t="n"/>
      <c r="G22" s="28" t="n"/>
      <c r="H22" s="28" t="n"/>
    </row>
    <row r="23">
      <c r="A23" s="28" t="inlineStr">
        <is>
          <t>Carencia de principal aplicada (años)</t>
        </is>
      </c>
      <c r="B23" s="40">
        <f>IFERROR(IF(OR('0. Supuestos'!$B$34="",'0. Supuestos'!$B$33=""),"",IF('0. Supuestos'!$B$34&gt;='0. Supuestos'!$B$33,0,'0. Supuestos'!$B$34)),"")</f>
        <v>1.0</v>
      </c>
      <c r="C23" s="28" t="inlineStr">
        <is>
          <t>Una carencia igual o mayor que el plazo no existe: la hoja la anula en origen</t>
        </is>
      </c>
      <c r="D23" s="28" t="n"/>
      <c r="E23" s="28" t="n"/>
      <c r="F23" s="28" t="n"/>
      <c r="G23" s="28" t="n"/>
      <c r="H23" s="28" t="n"/>
    </row>
    <row r="24">
      <c r="A24" s="25" t="inlineStr">
        <is>
          <t>Cuota anual durante la amortización</t>
        </is>
      </c>
      <c r="B24" s="47">
        <f>IFERROR(IF(B22-B23&lt;=0,"",IF(B21=0,B20/(B22-B23),B20*B21/(1-(1+B21)^-(B22-B23)))),"")</f>
        <v>17325.686707019053</v>
      </c>
      <c r="C24" s="25" t="inlineStr">
        <is>
          <t>Sistema francés, anualidad algebraica. Con el tipo al 0 % es el principal entre los años de amortización: sin esa rama el cuadro se apagaba entero</t>
        </is>
      </c>
      <c r="D24" s="28" t="n"/>
      <c r="E24" s="28" t="n"/>
      <c r="F24" s="28" t="n"/>
      <c r="G24" s="28" t="n"/>
      <c r="H24" s="28" t="n"/>
    </row>
    <row r="25">
      <c r="A25" s="25" t="inlineStr">
        <is>
          <t>CUADRO DE AMORTIZACIÓN</t>
        </is>
      </c>
      <c r="B25" s="28" t="n"/>
      <c r="C25" s="28" t="n"/>
      <c r="D25" s="28" t="n"/>
      <c r="E25" s="28" t="n"/>
      <c r="F25" s="28" t="n"/>
      <c r="G25" s="28" t="n"/>
      <c r="H25" s="28" t="n"/>
    </row>
    <row r="26">
      <c r="A26" s="25" t="inlineStr">
        <is>
          <t>Año</t>
        </is>
      </c>
      <c r="B26" s="25" t="inlineStr">
        <is>
          <t>Capital pendiente</t>
        </is>
      </c>
      <c r="C26" s="25" t="inlineStr">
        <is>
          <t>Intereses</t>
        </is>
      </c>
      <c r="D26" s="25" t="inlineStr">
        <is>
          <t>Amortización de principal</t>
        </is>
      </c>
      <c r="E26" s="25" t="inlineStr">
        <is>
          <t>Cuota total</t>
        </is>
      </c>
      <c r="F26" s="25" t="inlineStr">
        <is>
          <t>Capital al cierre</t>
        </is>
      </c>
      <c r="G26" s="25" t="inlineStr">
        <is>
          <t>Flujo disponible para la deuda (después de impuestos; del año 4 en adelante, el del año 3 mantenido)</t>
        </is>
      </c>
      <c r="H26" s="25" t="inlineStr">
        <is>
          <t>DSCR del año</t>
        </is>
      </c>
    </row>
    <row r="27">
      <c r="A27" s="40" t="n">
        <v>1</v>
      </c>
      <c r="B27" s="41">
        <f>IFERROR(IF(B20="","",B20),"")</f>
        <v>72000.0</v>
      </c>
      <c r="C27" s="41">
        <f>IFERROR(IF(OR(1&gt;B22,B27=""),"",B27*B21),"")</f>
        <v>4680.0</v>
      </c>
      <c r="D27" s="41">
        <f>IFERROR(IF(OR(1&gt;B22,B27=""),"",IF(1&lt;=B23,0,MIN(B27,B24-C27))),"")</f>
        <v>0.0</v>
      </c>
      <c r="E27" s="41">
        <f>IFERROR(IF(C27="","",C27+D27),"")</f>
        <v>4680.0</v>
      </c>
      <c r="F27" s="41">
        <f>IFERROR(IF(D27="","",B27-D27),"")</f>
        <v>72000.0</v>
      </c>
      <c r="G27" s="41">
        <f>IFERROR(IF(E27="","",'PyG 3 Años'!$B$41-'PyG 3 Años'!$B$46+'PyG 3 Años'!$B$36+'PyG 3 Años'!$B$37),"")</f>
        <v>17839.348500000004</v>
      </c>
      <c r="H27" s="61">
        <f>IFERROR(IF(OR(E27="",E27=0),"",G27/E27),"")</f>
        <v>3.8118266025641034</v>
      </c>
    </row>
    <row r="28">
      <c r="A28" s="40" t="n">
        <v>2</v>
      </c>
      <c r="B28" s="41">
        <f>IFERROR(IF(OR(2&gt;B22,F27=""),"",F27),"")</f>
        <v>72000.0</v>
      </c>
      <c r="C28" s="41">
        <f>IFERROR(IF(OR(2&gt;B22,B28=""),"",B28*B21),"")</f>
        <v>4680.0</v>
      </c>
      <c r="D28" s="41">
        <f>IFERROR(IF(OR(2&gt;B22,B28=""),"",IF(2&lt;=B23,0,MIN(B28,B24-C28))),"")</f>
        <v>12645.686707019053</v>
      </c>
      <c r="E28" s="41">
        <f>IFERROR(IF(C28="","",C28+D28),"")</f>
        <v>17325.686707019053</v>
      </c>
      <c r="F28" s="41">
        <f>IFERROR(IF(D28="","",B28-D28),"")</f>
        <v>59354.31329298095</v>
      </c>
      <c r="G28" s="41">
        <f>IFERROR(IF(E28="","",'PyG 3 Años'!$C$41-'PyG 3 Años'!$C$46+'PyG 3 Años'!$C$36+'PyG 3 Años'!$C$37),"")</f>
        <v>23770.598774999977</v>
      </c>
      <c r="H28" s="61">
        <f>IFERROR(IF(OR(E28="",E28=0),"",G28/E28),"")</f>
        <v>1.3719859522433784</v>
      </c>
    </row>
    <row r="29">
      <c r="A29" s="40" t="n">
        <v>3</v>
      </c>
      <c r="B29" s="41">
        <f>IFERROR(IF(OR(3&gt;B22,F28=""),"",F28),"")</f>
        <v>59354.31329298095</v>
      </c>
      <c r="C29" s="41">
        <f>IFERROR(IF(OR(3&gt;B22,B29=""),"",B29*B21),"")</f>
        <v>3858.030364043762</v>
      </c>
      <c r="D29" s="41">
        <f>IFERROR(IF(OR(3&gt;B22,B29=""),"",IF(3&lt;=B23,0,MIN(B29,B24-C29))),"")</f>
        <v>13467.656342975291</v>
      </c>
      <c r="E29" s="41">
        <f>IFERROR(IF(C29="","",C29+D29),"")</f>
        <v>17325.686707019053</v>
      </c>
      <c r="F29" s="41">
        <f>IFERROR(IF(D29="","",B29-D29),"")</f>
        <v>45886.65695000566</v>
      </c>
      <c r="G29" s="41">
        <f>IFERROR(IF(E29="","",'PyG 3 Años'!$D$41-'PyG 3 Años'!$D$46+'PyG 3 Años'!$D$36+'PyG 3 Años'!$D$37),"")</f>
        <v>25063.58757851093</v>
      </c>
      <c r="H29" s="61">
        <f>IFERROR(IF(OR(E29="",E29=0),"",G29/E29),"")</f>
        <v>1.4466143825835813</v>
      </c>
    </row>
    <row r="30">
      <c r="A30" s="40" t="n">
        <v>4</v>
      </c>
      <c r="B30" s="41">
        <f>IFERROR(IF(OR(4&gt;B22,F29=""),"",F29),"")</f>
        <v>45886.65695000566</v>
      </c>
      <c r="C30" s="41">
        <f>IFERROR(IF(OR(4&gt;B22,B30=""),"",B30*B21),"")</f>
        <v>2982.6327017503677</v>
      </c>
      <c r="D30" s="41">
        <f>IFERROR(IF(OR(4&gt;B22,B30=""),"",IF(4&lt;=B23,0,MIN(B30,B24-C30))),"")</f>
        <v>14343.054005268685</v>
      </c>
      <c r="E30" s="41">
        <f>IFERROR(IF(C30="","",C30+D30),"")</f>
        <v>17325.686707019053</v>
      </c>
      <c r="F30" s="41">
        <f>IFERROR(IF(D30="","",B30-D30),"")</f>
        <v>31543.602944736973</v>
      </c>
      <c r="G30" s="41">
        <f>IFERROR(IF(E30="","",'PyG 3 Años'!$D$41-'PyG 3 Años'!$D$46+'PyG 3 Años'!$D$36+'PyG 3 Años'!$D$37),"")</f>
        <v>25063.58757851093</v>
      </c>
      <c r="H30" s="61">
        <f>IFERROR(IF(OR(E30="",E30=0),"",G30/E30),"")</f>
        <v>1.4466143825835813</v>
      </c>
    </row>
    <row r="31">
      <c r="A31" s="40" t="n">
        <v>5</v>
      </c>
      <c r="B31" s="41">
        <f>IFERROR(IF(OR(5&gt;B22,F30=""),"",F30),"")</f>
        <v>31543.602944736973</v>
      </c>
      <c r="C31" s="41">
        <f>IFERROR(IF(OR(5&gt;B22,B31=""),"",B31*B21),"")</f>
        <v>2050.3341914079033</v>
      </c>
      <c r="D31" s="41">
        <f>IFERROR(IF(OR(5&gt;B22,B31=""),"",IF(5&lt;=B23,0,MIN(B31,B24-C31))),"")</f>
        <v>15275.35251561115</v>
      </c>
      <c r="E31" s="41">
        <f>IFERROR(IF(C31="","",C31+D31),"")</f>
        <v>17325.686707019053</v>
      </c>
      <c r="F31" s="41">
        <f>IFERROR(IF(D31="","",B31-D31),"")</f>
        <v>16268.250429125823</v>
      </c>
      <c r="G31" s="41">
        <f>IFERROR(IF(E31="","",'PyG 3 Años'!$D$41-'PyG 3 Años'!$D$46+'PyG 3 Años'!$D$36+'PyG 3 Años'!$D$37),"")</f>
        <v>25063.58757851093</v>
      </c>
      <c r="H31" s="61">
        <f>IFERROR(IF(OR(E31="",E31=0),"",G31/E31),"")</f>
        <v>1.4466143825835813</v>
      </c>
    </row>
    <row r="32">
      <c r="A32" s="40" t="n">
        <v>6</v>
      </c>
      <c r="B32" s="41">
        <f>IFERROR(IF(OR(6&gt;B22,F31=""),"",F31),"")</f>
        <v>16268.250429125823</v>
      </c>
      <c r="C32" s="41">
        <f>IFERROR(IF(OR(6&gt;B22,B32=""),"",B32*B21),"")</f>
        <v>1057.4362778931786</v>
      </c>
      <c r="D32" s="41">
        <f>IFERROR(IF(OR(6&gt;B22,B32=""),"",IF(6&lt;=B23,0,MIN(B32,B24-C32))),"")</f>
        <v>16268.250429125823</v>
      </c>
      <c r="E32" s="41">
        <f>IFERROR(IF(C32="","",C32+D32),"")</f>
        <v>17325.686707019002</v>
      </c>
      <c r="F32" s="41">
        <f>IFERROR(IF(D32="","",B32-D32),"")</f>
        <v>0.0</v>
      </c>
      <c r="G32" s="41">
        <f>IFERROR(IF(E32="","",'PyG 3 Años'!$D$41-'PyG 3 Años'!$D$46+'PyG 3 Años'!$D$36+'PyG 3 Años'!$D$37),"")</f>
        <v>25063.58757851093</v>
      </c>
      <c r="H32" s="61">
        <f>IFERROR(IF(OR(E32="",E32=0),"",G32/E32),"")</f>
        <v>1.4466143825835858</v>
      </c>
    </row>
    <row r="33">
      <c r="A33" s="40" t="n">
        <v>7</v>
      </c>
      <c r="B33" s="41">
        <f>IFERROR(IF(OR(7&gt;B22,F32=""),"",F32),"")</f>
        <v/>
      </c>
      <c r="C33" s="41">
        <f>IFERROR(IF(OR(7&gt;B22,B33=""),"",B33*B21),"")</f>
        <v/>
      </c>
      <c r="D33" s="41">
        <f>IFERROR(IF(OR(7&gt;B22,B33=""),"",IF(7&lt;=B23,0,MIN(B33,B24-C33))),"")</f>
        <v/>
      </c>
      <c r="E33" s="41">
        <f>IFERROR(IF(C33="","",C33+D33),"")</f>
        <v/>
      </c>
      <c r="F33" s="41">
        <f>IFERROR(IF(D33="","",B33-D33),"")</f>
        <v/>
      </c>
      <c r="G33" s="41">
        <f>IFERROR(IF(E33="","",'PyG 3 Años'!$D$41-'PyG 3 Años'!$D$46+'PyG 3 Años'!$D$36+'PyG 3 Años'!$D$37),"")</f>
        <v/>
      </c>
      <c r="H33" s="61">
        <f>IFERROR(IF(OR(E33="",E33=0),"",G33/E33),"")</f>
        <v/>
      </c>
    </row>
    <row r="34">
      <c r="A34" s="40" t="n">
        <v>8</v>
      </c>
      <c r="B34" s="41">
        <f>IFERROR(IF(OR(8&gt;B22,F33=""),"",F33),"")</f>
        <v/>
      </c>
      <c r="C34" s="41">
        <f>IFERROR(IF(OR(8&gt;B22,B34=""),"",B34*B21),"")</f>
        <v/>
      </c>
      <c r="D34" s="41">
        <f>IFERROR(IF(OR(8&gt;B22,B34=""),"",IF(8&lt;=B23,0,MIN(B34,B24-C34))),"")</f>
        <v/>
      </c>
      <c r="E34" s="41">
        <f>IFERROR(IF(C34="","",C34+D34),"")</f>
        <v/>
      </c>
      <c r="F34" s="41">
        <f>IFERROR(IF(D34="","",B34-D34),"")</f>
        <v/>
      </c>
      <c r="G34" s="41">
        <f>IFERROR(IF(E34="","",'PyG 3 Años'!$D$41-'PyG 3 Años'!$D$46+'PyG 3 Años'!$D$36+'PyG 3 Años'!$D$37),"")</f>
        <v/>
      </c>
      <c r="H34" s="61">
        <f>IFERROR(IF(OR(E34="",E34=0),"",G34/E34),"")</f>
        <v/>
      </c>
    </row>
    <row r="35">
      <c r="A35" s="40" t="n">
        <v>9</v>
      </c>
      <c r="B35" s="41">
        <f>IFERROR(IF(OR(9&gt;B22,F34=""),"",F34),"")</f>
        <v/>
      </c>
      <c r="C35" s="41">
        <f>IFERROR(IF(OR(9&gt;B22,B35=""),"",B35*B21),"")</f>
        <v/>
      </c>
      <c r="D35" s="41">
        <f>IFERROR(IF(OR(9&gt;B22,B35=""),"",IF(9&lt;=B23,0,MIN(B35,B24-C35))),"")</f>
        <v/>
      </c>
      <c r="E35" s="41">
        <f>IFERROR(IF(C35="","",C35+D35),"")</f>
        <v/>
      </c>
      <c r="F35" s="41">
        <f>IFERROR(IF(D35="","",B35-D35),"")</f>
        <v/>
      </c>
      <c r="G35" s="41">
        <f>IFERROR(IF(E35="","",'PyG 3 Años'!$D$41-'PyG 3 Años'!$D$46+'PyG 3 Años'!$D$36+'PyG 3 Años'!$D$37),"")</f>
        <v/>
      </c>
      <c r="H35" s="61">
        <f>IFERROR(IF(OR(E35="",E35=0),"",G35/E35),"")</f>
        <v/>
      </c>
    </row>
    <row r="36">
      <c r="A36" s="40" t="n">
        <v>10</v>
      </c>
      <c r="B36" s="41">
        <f>IFERROR(IF(OR(10&gt;B22,F35=""),"",F35),"")</f>
        <v/>
      </c>
      <c r="C36" s="41">
        <f>IFERROR(IF(OR(10&gt;B22,B36=""),"",B36*B21),"")</f>
        <v/>
      </c>
      <c r="D36" s="41">
        <f>IFERROR(IF(OR(10&gt;B22,B36=""),"",IF(10&lt;=B23,0,MIN(B36,B24-C36))),"")</f>
        <v/>
      </c>
      <c r="E36" s="41">
        <f>IFERROR(IF(C36="","",C36+D36),"")</f>
        <v/>
      </c>
      <c r="F36" s="41">
        <f>IFERROR(IF(D36="","",B36-D36),"")</f>
        <v/>
      </c>
      <c r="G36" s="41">
        <f>IFERROR(IF(E36="","",'PyG 3 Años'!$D$41-'PyG 3 Años'!$D$46+'PyG 3 Años'!$D$36+'PyG 3 Años'!$D$37),"")</f>
        <v/>
      </c>
      <c r="H36" s="61">
        <f>IFERROR(IF(OR(E36="",E36=0),"",G36/E36),"")</f>
        <v/>
      </c>
    </row>
    <row r="37">
      <c r="A37" s="40" t="n">
        <v>11</v>
      </c>
      <c r="B37" s="41">
        <f>IFERROR(IF(OR(11&gt;B22,F36=""),"",F36),"")</f>
        <v/>
      </c>
      <c r="C37" s="41">
        <f>IFERROR(IF(OR(11&gt;B22,B37=""),"",B37*B21),"")</f>
        <v/>
      </c>
      <c r="D37" s="41">
        <f>IFERROR(IF(OR(11&gt;B22,B37=""),"",IF(11&lt;=B23,0,MIN(B37,B24-C37))),"")</f>
        <v/>
      </c>
      <c r="E37" s="41">
        <f>IFERROR(IF(C37="","",C37+D37),"")</f>
        <v/>
      </c>
      <c r="F37" s="41">
        <f>IFERROR(IF(D37="","",B37-D37),"")</f>
        <v/>
      </c>
      <c r="G37" s="41">
        <f>IFERROR(IF(E37="","",'PyG 3 Años'!$D$41-'PyG 3 Años'!$D$46+'PyG 3 Años'!$D$36+'PyG 3 Años'!$D$37),"")</f>
        <v/>
      </c>
      <c r="H37" s="61">
        <f>IFERROR(IF(OR(E37="",E37=0),"",G37/E37),"")</f>
        <v/>
      </c>
    </row>
    <row r="38">
      <c r="A38" s="40" t="n">
        <v>12</v>
      </c>
      <c r="B38" s="41">
        <f>IFERROR(IF(OR(12&gt;B22,F37=""),"",F37),"")</f>
        <v/>
      </c>
      <c r="C38" s="41">
        <f>IFERROR(IF(OR(12&gt;B22,B38=""),"",B38*B21),"")</f>
        <v/>
      </c>
      <c r="D38" s="41">
        <f>IFERROR(IF(OR(12&gt;B22,B38=""),"",IF(12&lt;=B23,0,MIN(B38,B24-C38))),"")</f>
        <v/>
      </c>
      <c r="E38" s="41">
        <f>IFERROR(IF(C38="","",C38+D38),"")</f>
        <v/>
      </c>
      <c r="F38" s="41">
        <f>IFERROR(IF(D38="","",B38-D38),"")</f>
        <v/>
      </c>
      <c r="G38" s="41">
        <f>IFERROR(IF(E38="","",'PyG 3 Años'!$D$41-'PyG 3 Años'!$D$46+'PyG 3 Años'!$D$36+'PyG 3 Años'!$D$37),"")</f>
        <v/>
      </c>
      <c r="H38" s="61">
        <f>IFERROR(IF(OR(E38="",E38=0),"",G38/E38),"")</f>
        <v/>
      </c>
    </row>
    <row r="39">
      <c r="A39" s="40" t="n">
        <v>13</v>
      </c>
      <c r="B39" s="41">
        <f>IFERROR(IF(OR(13&gt;B22,F38=""),"",F38),"")</f>
        <v/>
      </c>
      <c r="C39" s="41">
        <f>IFERROR(IF(OR(13&gt;B22,B39=""),"",B39*B21),"")</f>
        <v/>
      </c>
      <c r="D39" s="41">
        <f>IFERROR(IF(OR(13&gt;B22,B39=""),"",IF(13&lt;=B23,0,MIN(B39,B24-C39))),"")</f>
        <v/>
      </c>
      <c r="E39" s="41">
        <f>IFERROR(IF(C39="","",C39+D39),"")</f>
        <v/>
      </c>
      <c r="F39" s="41">
        <f>IFERROR(IF(D39="","",B39-D39),"")</f>
        <v/>
      </c>
      <c r="G39" s="41">
        <f>IFERROR(IF(E39="","",'PyG 3 Años'!$D$41-'PyG 3 Años'!$D$46+'PyG 3 Años'!$D$36+'PyG 3 Años'!$D$37),"")</f>
        <v/>
      </c>
      <c r="H39" s="61">
        <f>IFERROR(IF(OR(E39="",E39=0),"",G39/E39),"")</f>
        <v/>
      </c>
    </row>
    <row r="40">
      <c r="A40" s="40" t="n">
        <v>14</v>
      </c>
      <c r="B40" s="41">
        <f>IFERROR(IF(OR(14&gt;B22,F39=""),"",F39),"")</f>
        <v/>
      </c>
      <c r="C40" s="41">
        <f>IFERROR(IF(OR(14&gt;B22,B40=""),"",B40*B21),"")</f>
        <v/>
      </c>
      <c r="D40" s="41">
        <f>IFERROR(IF(OR(14&gt;B22,B40=""),"",IF(14&lt;=B23,0,MIN(B40,B24-C40))),"")</f>
        <v/>
      </c>
      <c r="E40" s="41">
        <f>IFERROR(IF(C40="","",C40+D40),"")</f>
        <v/>
      </c>
      <c r="F40" s="41">
        <f>IFERROR(IF(D40="","",B40-D40),"")</f>
        <v/>
      </c>
      <c r="G40" s="41">
        <f>IFERROR(IF(E40="","",'PyG 3 Años'!$D$41-'PyG 3 Años'!$D$46+'PyG 3 Años'!$D$36+'PyG 3 Años'!$D$37),"")</f>
        <v/>
      </c>
      <c r="H40" s="61">
        <f>IFERROR(IF(OR(E40="",E40=0),"",G40/E40),"")</f>
        <v/>
      </c>
    </row>
    <row r="41">
      <c r="A41" s="40" t="n">
        <v>15</v>
      </c>
      <c r="B41" s="41">
        <f>IFERROR(IF(OR(15&gt;B22,F40=""),"",F40),"")</f>
        <v/>
      </c>
      <c r="C41" s="41">
        <f>IFERROR(IF(OR(15&gt;B22,B41=""),"",B41*B21),"")</f>
        <v/>
      </c>
      <c r="D41" s="41">
        <f>IFERROR(IF(OR(15&gt;B22,B41=""),"",IF(15&lt;=B23,0,MIN(B41,B24-C41))),"")</f>
        <v/>
      </c>
      <c r="E41" s="41">
        <f>IFERROR(IF(C41="","",C41+D41),"")</f>
        <v/>
      </c>
      <c r="F41" s="41">
        <f>IFERROR(IF(D41="","",B41-D41),"")</f>
        <v/>
      </c>
      <c r="G41" s="41">
        <f>IFERROR(IF(E41="","",'PyG 3 Años'!$D$41-'PyG 3 Años'!$D$46+'PyG 3 Años'!$D$36+'PyG 3 Años'!$D$37),"")</f>
        <v/>
      </c>
      <c r="H41" s="61">
        <f>IFERROR(IF(OR(E41="",E41=0),"",G41/E41),"")</f>
        <v/>
      </c>
    </row>
    <row r="42">
      <c r="A42" s="28" t="inlineStr">
        <is>
          <t>Tolerancia de cierre del cuadro (€)</t>
        </is>
      </c>
      <c r="B42" s="50" t="n">
        <v>0.01</v>
      </c>
      <c r="C42" s="28" t="inlineStr">
        <is>
          <t>Margen por redondeo. Por encima, el cuadro no cierra y hay capital sin devolver</t>
        </is>
      </c>
      <c r="D42" s="28" t="n"/>
      <c r="E42" s="28" t="n"/>
      <c r="F42" s="28" t="n"/>
      <c r="G42" s="28" t="n"/>
      <c r="H42" s="28" t="n"/>
    </row>
    <row r="43">
      <c r="A43" s="28" t="inlineStr">
        <is>
          <t>Capital pendiente al vencimiento</t>
        </is>
      </c>
      <c r="B43" s="41">
        <f>IFERROR(IF(B20="","",ROUND(B20-SUM(D27:D41),2)),"")</f>
        <v>0.0</v>
      </c>
      <c r="C43" s="28" t="inlineStr">
        <is>
          <t>Tiene que ser cero: el principal devuelto en el cuadro tiene que ser el prestado. Si sale positivo, el plazo no llega</t>
        </is>
      </c>
      <c r="D43" s="28" t="n"/>
      <c r="E43" s="28" t="n"/>
      <c r="F43" s="28" t="n"/>
      <c r="G43" s="28" t="n"/>
      <c r="H43" s="28" t="n"/>
    </row>
    <row r="44">
      <c r="A44" s="28" t="inlineStr">
        <is>
          <t>Intereses del año 1</t>
        </is>
      </c>
      <c r="B44" s="32">
        <f>IFERROR(IF(B20="","",IF(C27="",0,C27)),"")</f>
        <v>4680.0</v>
      </c>
      <c r="C44" s="28" t="n"/>
      <c r="D44" s="28" t="n"/>
      <c r="E44" s="28" t="n"/>
      <c r="F44" s="28" t="n"/>
      <c r="G44" s="28" t="n"/>
      <c r="H44" s="28" t="n"/>
    </row>
    <row r="45">
      <c r="A45" s="28" t="inlineStr">
        <is>
          <t>Devolución de principal del año 1</t>
        </is>
      </c>
      <c r="B45" s="32">
        <f>IFERROR(IF(B20="","",IF(D27="",0,D27)),"")</f>
        <v>0.0</v>
      </c>
      <c r="C45" s="28" t="n"/>
      <c r="D45" s="28" t="n"/>
      <c r="E45" s="28" t="n"/>
      <c r="F45" s="28" t="n"/>
      <c r="G45" s="28" t="n"/>
      <c r="H45" s="28" t="n"/>
    </row>
    <row r="46">
      <c r="A46" s="28" t="inlineStr">
        <is>
          <t>Intereses del año 2</t>
        </is>
      </c>
      <c r="B46" s="32">
        <f>IFERROR(IF(B20="","",IF(C28="",0,C28)),"")</f>
        <v>4680.0</v>
      </c>
      <c r="C46" s="28" t="n"/>
      <c r="D46" s="28" t="n"/>
      <c r="E46" s="28" t="n"/>
      <c r="F46" s="28" t="n"/>
      <c r="G46" s="28" t="n"/>
      <c r="H46" s="28" t="n"/>
    </row>
    <row r="47">
      <c r="A47" s="28" t="inlineStr">
        <is>
          <t>Devolución de principal del año 2</t>
        </is>
      </c>
      <c r="B47" s="32">
        <f>IFERROR(IF(B20="","",IF(D28="",0,D28)),"")</f>
        <v>12645.686707019053</v>
      </c>
      <c r="C47" s="28" t="n"/>
      <c r="D47" s="28" t="n"/>
      <c r="E47" s="28" t="n"/>
      <c r="F47" s="28" t="n"/>
      <c r="G47" s="28" t="n"/>
      <c r="H47" s="28" t="n"/>
    </row>
    <row r="48">
      <c r="A48" s="28" t="inlineStr">
        <is>
          <t>Intereses del año 3</t>
        </is>
      </c>
      <c r="B48" s="32">
        <f>IFERROR(IF(B20="","",IF(C29="",0,C29)),"")</f>
        <v>3858.030364043762</v>
      </c>
      <c r="C48" s="28" t="n"/>
      <c r="D48" s="28" t="n"/>
      <c r="E48" s="28" t="n"/>
      <c r="F48" s="28" t="n"/>
      <c r="G48" s="28" t="n"/>
      <c r="H48" s="28" t="n"/>
    </row>
    <row r="49">
      <c r="A49" s="28" t="inlineStr">
        <is>
          <t>Devolución de principal del año 3</t>
        </is>
      </c>
      <c r="B49" s="32">
        <f>IFERROR(IF(B20="","",IF(D29="",0,D29)),"")</f>
        <v>13467.656342975291</v>
      </c>
      <c r="C49" s="28" t="n"/>
      <c r="D49" s="28" t="n"/>
      <c r="E49" s="28" t="n"/>
      <c r="F49" s="28" t="n"/>
      <c r="G49" s="28" t="n"/>
      <c r="H49" s="28" t="n"/>
    </row>
    <row r="50">
      <c r="A50" s="25" t="inlineStr">
        <is>
          <t>COBERTURA DEL SERVICIO DE LA DEUDA (DSCR)</t>
        </is>
      </c>
      <c r="B50" s="28" t="n"/>
      <c r="C50" s="28" t="n"/>
      <c r="D50" s="28" t="n"/>
      <c r="E50" s="28" t="n"/>
      <c r="F50" s="28" t="n"/>
      <c r="G50" s="28" t="n"/>
      <c r="H50" s="28" t="n"/>
    </row>
    <row r="51">
      <c r="A51" s="28" t="inlineStr">
        <is>
          <t>DSCR del año 1</t>
        </is>
      </c>
      <c r="B51" s="61">
        <f>IFERROR(('PyG 3 Años'!$B$41-'PyG 3 Años'!$B$46+'PyG 3 Años'!$B$36+B44)/(B44+B45),"")</f>
        <v>3.8118266025641034</v>
      </c>
      <c r="C51" s="28" t="inlineStr">
        <is>
          <t>Año de CARENCIA si la hay: con sólo intereses en el denominador el ratio se dispara y no mide el negocio</t>
        </is>
      </c>
      <c r="D51" s="28" t="n"/>
      <c r="E51" s="28" t="n"/>
      <c r="F51" s="28" t="n"/>
      <c r="G51" s="28" t="n"/>
      <c r="H51" s="28" t="n"/>
    </row>
    <row r="52">
      <c r="A52" s="28" t="inlineStr">
        <is>
          <t>DSCR del año 2</t>
        </is>
      </c>
      <c r="B52" s="61">
        <f>IFERROR(('PyG 3 Años'!$C$41-'PyG 3 Años'!$C$46+'PyG 3 Años'!$C$36+B46)/(B46+B47),"")</f>
        <v>1.3719859522433784</v>
      </c>
      <c r="C52" s="28" t="n"/>
      <c r="D52" s="28" t="n"/>
      <c r="E52" s="28" t="n"/>
      <c r="F52" s="28" t="n"/>
      <c r="G52" s="28" t="n"/>
      <c r="H52" s="28" t="n"/>
    </row>
    <row r="53">
      <c r="A53" s="28" t="inlineStr">
        <is>
          <t>DSCR del año 3</t>
        </is>
      </c>
      <c r="B53" s="61">
        <f>IFERROR(('PyG 3 Años'!$D$41-'PyG 3 Años'!$D$46+'PyG 3 Años'!$D$36+B48)/(B48+B49),"")</f>
        <v>1.4466143825835813</v>
      </c>
      <c r="C53" s="28" t="n"/>
      <c r="D53" s="28" t="n"/>
      <c r="E53" s="28" t="n"/>
      <c r="F53" s="28" t="n"/>
      <c r="G53" s="28" t="n"/>
      <c r="H53" s="28" t="n"/>
    </row>
    <row r="54">
      <c r="A54" s="25" t="inlineStr">
        <is>
          <t>DSCR mínimo de todo el cuadro</t>
        </is>
      </c>
      <c r="B54" s="62">
        <f>IFERROR(IF(COUNT(H27:H41)=0,"",MIN(H27:H41)),"")</f>
        <v>1.3719859522433784</v>
      </c>
      <c r="C54" s="25" t="inlineStr">
        <is>
          <t>El peor año de los que dura el préstamo, no el mejor de los tres que proyecta el P&amp;L. Es el número que decide una operación. Ojo al alcance: los años 1 a 3 salen del P&amp;L y del año 4 en adelante el cuadro MANTIENE el flujo del año 3, así que el mínimo de esos años es una proyección sostenida, no un año calculado. El flujo va después de impuestos</t>
        </is>
      </c>
      <c r="D54" s="28" t="n"/>
      <c r="E54" s="28" t="n"/>
      <c r="F54" s="28" t="n"/>
      <c r="G54" s="28" t="n"/>
      <c r="H54" s="28" t="n"/>
    </row>
    <row r="55">
      <c r="A55" s="28" t="n"/>
      <c r="B55" s="28" t="n"/>
      <c r="C55" s="28" t="n"/>
      <c r="D55" s="28" t="n"/>
      <c r="E55" s="28" t="n"/>
      <c r="F55" s="28" t="n"/>
      <c r="G55" s="28" t="n"/>
      <c r="H55" s="28" t="n"/>
    </row>
    <row r="56" ht="165" customHeight="1">
      <c r="A56" s="46" t="inlineStr">
        <is>
          <t>El DSCR se calcula ANTES de la deuda y DESPUÉS de impuestos: al resultado antes de impuestos se le resta el Impuesto de Sociedades y se le devuelven la amortización contable y los intereses; el resultado se divide entre lo que hay que pagar ese año. Por debajo del mínimo de la hoja de Supuestos, el negocio no genera para pagar el préstamo. En el cuadro, el flujo de caja disponible de los años 4 en adelante se mantiene en el del año 3: el P&amp;L sólo proyecta tres, y aquí no se inventa un crecimiento que no está calculado.</t>
        </is>
      </c>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Supuestos'!$B$65)</formula>
    </cfRule>
    <cfRule type="expression" priority="7" dxfId="2" stopIfTrue="1">
      <formula>AND(ISNUMBER(B51),B51&gt;='0. Supuestos'!$B$65)</formula>
    </cfRule>
    <cfRule type="expression" priority="8" dxfId="0" stopIfTrue="1">
      <formula>AND(ISNUMBER(B51),B51&gt;='0. Supuestos'!$B$66)</formula>
    </cfRule>
  </conditionalFormatting>
  <conditionalFormatting sqref="B52">
    <cfRule type="expression" priority="9" dxfId="1" stopIfTrue="1">
      <formula>AND(ISNUMBER(B52),B52&lt;'0. Supuestos'!$B$65)</formula>
    </cfRule>
    <cfRule type="expression" priority="10" dxfId="2" stopIfTrue="1">
      <formula>AND(ISNUMBER(B52),B52&gt;='0. Supuestos'!$B$65)</formula>
    </cfRule>
    <cfRule type="expression" priority="11" dxfId="0" stopIfTrue="1">
      <formula>AND(ISNUMBER(B52),B52&gt;='0. Supuestos'!$B$66)</formula>
    </cfRule>
  </conditionalFormatting>
  <conditionalFormatting sqref="B53">
    <cfRule type="expression" priority="12" dxfId="1" stopIfTrue="1">
      <formula>AND(ISNUMBER(B53),B53&lt;'0. Supuestos'!$B$65)</formula>
    </cfRule>
    <cfRule type="expression" priority="13" dxfId="2" stopIfTrue="1">
      <formula>AND(ISNUMBER(B53),B53&gt;='0. Supuestos'!$B$65)</formula>
    </cfRule>
    <cfRule type="expression" priority="14" dxfId="0" stopIfTrue="1">
      <formula>AND(ISNUMBER(B53),B53&gt;='0. Supuestos'!$B$66)</formula>
    </cfRule>
  </conditionalFormatting>
  <conditionalFormatting sqref="B54">
    <cfRule type="expression" priority="15" dxfId="1" stopIfTrue="1">
      <formula>AND(ISNUMBER(B54),B54&lt;'0. Supuestos'!$B$65)</formula>
    </cfRule>
    <cfRule type="expression" priority="16" dxfId="2" stopIfTrue="1">
      <formula>AND(ISNUMBER(B54),B54&gt;='0. Supuestos'!$B$65)</formula>
    </cfRule>
    <cfRule type="expression" priority="17" dxfId="0" stopIfTrue="1">
      <formula>AND(ISNUMBER(B54),B54&gt;='0. Supuestos'!$B$66)</formula>
    </cfRule>
  </conditionalFormatting>
  <dataValidations count="2">
    <dataValidation sqref="B8 B9 B10 B11 B42" showDropDown="0" showInputMessage="0" showErrorMessage="1" allowBlank="1" errorTitle="Importe no válido" error="Escribe un número mayor o igual que 0." type="decimal" operator="greaterThanOrEqual">
      <formula1>0</formula1>
    </dataValidation>
    <dataValidation sqref="B17"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financiero — Food Truck · v2.2</dc:title>
  <dc:description xmlns:dc="http://purl.org/dc/elements/1.1/">aichef.pro/plan-negocio-food-truck</dc:description>
  <dc:subject xmlns:dc="http://purl.org/dc/elements/1.1/">Plan financiero — Food Truck · v2.2</dc:subject>
  <dcterms:created xmlns:dcterms="http://purl.org/dc/terms/" xmlns:xsi="http://www.w3.org/2001/XMLSchema-instance" xsi:type="dcterms:W3CDTF">2026-03-26T14:46:57Z</dcterms:created>
  <dcterms:modified xmlns:dcterms="http://purl.org/dc/terms/" xmlns:xsi="http://www.w3.org/2001/XMLSchema-instance" xsi:type="dcterms:W3CDTF">2026-09-05T15:30:54Z</dcterms:modified>
  <cp:lastModifiedBy>AI Chef Pro</cp:lastModifiedBy>
  <cp:category>AI Chef Pro · Productos digitales</cp:category>
  <cp:keywords>plan negocio food truck, AI Chef Pro</cp:keywords>
</cp:coreProperties>
</file>