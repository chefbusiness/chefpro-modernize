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Menú Engineering Matrix — Restaurante Japonés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Instrucciones de uso</t>
        </is>
      </c>
    </row>
    <row r="5">
      <c r="A5" s="4" t="inlineStr">
        <is>
          <t>1. Introduce los platos de tu carta con ventas y food cost.</t>
        </is>
      </c>
    </row>
    <row r="6">
      <c r="A6" s="4" t="inlineStr">
        <is>
          <t>2. La matrix clasifica automáticamente cada plato.</t>
        </is>
      </c>
    </row>
    <row r="7">
      <c r="A7" s="4" t="inlineStr">
        <is>
          <t>3. Stars = mantener. Plowhorses = subir precio. Puzzles = promocionar. Dogs = eliminar.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0" customWidth="1" min="5" max="5"/>
    <col width="16" customWidth="1" min="6" max="6"/>
    <col width="12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" t="inlineStr">
        <is>
          <t>Menú Engineering Matrix — Restaurante Japonés</t>
        </is>
      </c>
    </row>
    <row r="2">
      <c r="A2" s="2" t="inlineStr">
        <is>
          <t>AI Chef Pro · aichef.pro — Restaurante Japonés</t>
        </is>
      </c>
    </row>
    <row r="4">
      <c r="A4" s="6" t="inlineStr">
        <is>
          <t>#</t>
        </is>
      </c>
      <c r="B4" s="6" t="inlineStr">
        <is>
          <t>Plato</t>
        </is>
      </c>
      <c r="C4" s="6" t="inlineStr">
        <is>
          <t>PVP (€)</t>
        </is>
      </c>
      <c r="D4" s="6" t="inlineStr">
        <is>
          <t>Food Cost (€)</t>
        </is>
      </c>
      <c r="E4" s="6" t="inlineStr">
        <is>
          <t>% Food Cost</t>
        </is>
      </c>
      <c r="F4" s="6" t="inlineStr">
        <is>
          <t>Uds. Vendidas/Mes</t>
        </is>
      </c>
      <c r="G4" s="6" t="inlineStr">
        <is>
          <t>Margen Unit. (€)</t>
        </is>
      </c>
      <c r="H4" s="6" t="inlineStr">
        <is>
          <t>Margen Total (€)</t>
        </is>
      </c>
      <c r="I4" s="6" t="inlineStr">
        <is>
          <t>Popularidad</t>
        </is>
      </c>
      <c r="J4" s="6" t="inlineStr">
        <is>
          <t>Clasificación</t>
        </is>
      </c>
    </row>
    <row r="5">
      <c r="A5" s="7" t="n">
        <v>1</v>
      </c>
      <c r="B5" s="8" t="inlineStr">
        <is>
          <t>Sashimi moriawase 12 piezas</t>
        </is>
      </c>
      <c r="C5" s="9" t="n">
        <v>32</v>
      </c>
      <c r="D5" s="9" t="n">
        <v>8.5</v>
      </c>
      <c r="E5" s="10">
        <f>D5/C5</f>
        <v/>
      </c>
      <c r="F5" s="8" t="n">
        <v>140</v>
      </c>
      <c r="G5" s="11">
        <f>C5-D5</f>
        <v/>
      </c>
      <c r="H5" s="11">
        <f>G5*F5</f>
        <v/>
      </c>
    </row>
    <row r="6">
      <c r="A6" s="7" t="n">
        <v>2</v>
      </c>
      <c r="B6" s="8" t="inlineStr">
        <is>
          <t>Nigiri salmón (2 uds)</t>
        </is>
      </c>
      <c r="C6" s="9" t="n">
        <v>6.5</v>
      </c>
      <c r="D6" s="9" t="n">
        <v>1.8</v>
      </c>
      <c r="E6" s="10">
        <f>D6/C6</f>
        <v/>
      </c>
      <c r="F6" s="8" t="n">
        <v>220</v>
      </c>
      <c r="G6" s="11">
        <f>C6-D6</f>
        <v/>
      </c>
      <c r="H6" s="11">
        <f>G6*F6</f>
        <v/>
      </c>
    </row>
    <row r="7">
      <c r="A7" s="7" t="n">
        <v>3</v>
      </c>
      <c r="B7" s="8" t="inlineStr">
        <is>
          <t>Nigiri toro (2 uds)</t>
        </is>
      </c>
      <c r="C7" s="9" t="n">
        <v>15</v>
      </c>
      <c r="D7" s="9" t="n">
        <v>5</v>
      </c>
      <c r="E7" s="10">
        <f>D7/C7</f>
        <v/>
      </c>
      <c r="F7" s="8" t="n">
        <v>60</v>
      </c>
      <c r="G7" s="11">
        <f>C7-D7</f>
        <v/>
      </c>
      <c r="H7" s="11">
        <f>G7*F7</f>
        <v/>
      </c>
    </row>
    <row r="8">
      <c r="A8" s="7" t="n">
        <v>4</v>
      </c>
      <c r="B8" s="8" t="inlineStr">
        <is>
          <t>Uramaki spicy tuna (8)</t>
        </is>
      </c>
      <c r="C8" s="9" t="n">
        <v>13</v>
      </c>
      <c r="D8" s="9" t="n">
        <v>3.2</v>
      </c>
      <c r="E8" s="10">
        <f>D8/C8</f>
        <v/>
      </c>
      <c r="F8" s="8" t="n">
        <v>130</v>
      </c>
      <c r="G8" s="11">
        <f>C8-D8</f>
        <v/>
      </c>
      <c r="H8" s="11">
        <f>G8*F8</f>
        <v/>
      </c>
    </row>
    <row r="9">
      <c r="A9" s="7" t="n">
        <v>5</v>
      </c>
      <c r="B9" s="8" t="inlineStr">
        <is>
          <t>Ramen tonkotsu</t>
        </is>
      </c>
      <c r="C9" s="9" t="n">
        <v>14</v>
      </c>
      <c r="D9" s="9" t="n">
        <v>3.8</v>
      </c>
      <c r="E9" s="10">
        <f>D9/C9</f>
        <v/>
      </c>
      <c r="F9" s="8" t="n">
        <v>180</v>
      </c>
      <c r="G9" s="11">
        <f>C9-D9</f>
        <v/>
      </c>
      <c r="H9" s="11">
        <f>G9*F9</f>
        <v/>
      </c>
    </row>
    <row r="10">
      <c r="A10" s="7" t="n">
        <v>6</v>
      </c>
      <c r="B10" s="8" t="inlineStr">
        <is>
          <t>Ramen shoyu chashu</t>
        </is>
      </c>
      <c r="C10" s="9" t="n">
        <v>13</v>
      </c>
      <c r="D10" s="9" t="n">
        <v>3.4</v>
      </c>
      <c r="E10" s="10">
        <f>D10/C10</f>
        <v/>
      </c>
      <c r="F10" s="8" t="n">
        <v>120</v>
      </c>
      <c r="G10" s="11">
        <f>C10-D10</f>
        <v/>
      </c>
      <c r="H10" s="11">
        <f>G10*F10</f>
        <v/>
      </c>
    </row>
    <row r="11">
      <c r="A11" s="7" t="n">
        <v>7</v>
      </c>
      <c r="B11" s="8" t="inlineStr">
        <is>
          <t>Gyoza cerdo (6)</t>
        </is>
      </c>
      <c r="C11" s="9" t="n">
        <v>7.5</v>
      </c>
      <c r="D11" s="9" t="n">
        <v>1.5</v>
      </c>
      <c r="E11" s="10">
        <f>D11/C11</f>
        <v/>
      </c>
      <c r="F11" s="8" t="n">
        <v>150</v>
      </c>
      <c r="G11" s="11">
        <f>C11-D11</f>
        <v/>
      </c>
      <c r="H11" s="11">
        <f>G11*F11</f>
        <v/>
      </c>
    </row>
    <row r="12">
      <c r="A12" s="7" t="n">
        <v>8</v>
      </c>
      <c r="B12" s="8" t="inlineStr">
        <is>
          <t>Karaage de pollo</t>
        </is>
      </c>
      <c r="C12" s="9" t="n">
        <v>10</v>
      </c>
      <c r="D12" s="9" t="n">
        <v>2.2</v>
      </c>
      <c r="E12" s="10">
        <f>D12/C12</f>
        <v/>
      </c>
      <c r="F12" s="8" t="n">
        <v>110</v>
      </c>
      <c r="G12" s="11">
        <f>C12-D12</f>
        <v/>
      </c>
      <c r="H12" s="11">
        <f>G12*F12</f>
        <v/>
      </c>
    </row>
    <row r="13">
      <c r="A13" s="7" t="n">
        <v>9</v>
      </c>
      <c r="B13" s="8" t="inlineStr">
        <is>
          <t>Tempura moriawase (8)</t>
        </is>
      </c>
      <c r="C13" s="9" t="n">
        <v>14</v>
      </c>
      <c r="D13" s="9" t="n">
        <v>3.5</v>
      </c>
      <c r="E13" s="10">
        <f>D13/C13</f>
        <v/>
      </c>
      <c r="F13" s="8" t="n">
        <v>90</v>
      </c>
      <c r="G13" s="11">
        <f>C13-D13</f>
        <v/>
      </c>
      <c r="H13" s="11">
        <f>G13*F13</f>
        <v/>
      </c>
    </row>
    <row r="14">
      <c r="A14" s="7" t="n">
        <v>10</v>
      </c>
      <c r="B14" s="8" t="inlineStr">
        <is>
          <t>Yakitori pollo tare (3)</t>
        </is>
      </c>
      <c r="C14" s="9" t="n">
        <v>9</v>
      </c>
      <c r="D14" s="9" t="n">
        <v>1.8</v>
      </c>
      <c r="E14" s="10">
        <f>D14/C14</f>
        <v/>
      </c>
      <c r="F14" s="8" t="n">
        <v>130</v>
      </c>
      <c r="G14" s="11">
        <f>C14-D14</f>
        <v/>
      </c>
      <c r="H14" s="11">
        <f>G14*F14</f>
        <v/>
      </c>
    </row>
    <row r="15">
      <c r="A15" s="7" t="n">
        <v>11</v>
      </c>
      <c r="B15" s="8" t="inlineStr">
        <is>
          <t>Yakitori wagyu (2)</t>
        </is>
      </c>
      <c r="C15" s="9" t="n">
        <v>22</v>
      </c>
      <c r="D15" s="9" t="n">
        <v>6.5</v>
      </c>
      <c r="E15" s="10">
        <f>D15/C15</f>
        <v/>
      </c>
      <c r="F15" s="8" t="n">
        <v>50</v>
      </c>
      <c r="G15" s="11">
        <f>C15-D15</f>
        <v/>
      </c>
      <c r="H15" s="11">
        <f>G15*F15</f>
        <v/>
      </c>
    </row>
    <row r="16">
      <c r="A16" s="7" t="n">
        <v>12</v>
      </c>
      <c r="B16" s="8" t="inlineStr">
        <is>
          <t>Katsu cerdo + arroz</t>
        </is>
      </c>
      <c r="C16" s="9" t="n">
        <v>13</v>
      </c>
      <c r="D16" s="9" t="n">
        <v>3</v>
      </c>
      <c r="E16" s="10">
        <f>D16/C16</f>
        <v/>
      </c>
      <c r="F16" s="8" t="n">
        <v>85</v>
      </c>
      <c r="G16" s="11">
        <f>C16-D16</f>
        <v/>
      </c>
      <c r="H16" s="11">
        <f>G16*F16</f>
        <v/>
      </c>
    </row>
    <row r="17">
      <c r="A17" s="7" t="n">
        <v>13</v>
      </c>
      <c r="B17" s="8" t="inlineStr">
        <is>
          <t>Chirashi bowl</t>
        </is>
      </c>
      <c r="C17" s="9" t="n">
        <v>22</v>
      </c>
      <c r="D17" s="9" t="n">
        <v>6</v>
      </c>
      <c r="E17" s="10">
        <f>D17/C17</f>
        <v/>
      </c>
      <c r="F17" s="8" t="n">
        <v>75</v>
      </c>
      <c r="G17" s="11">
        <f>C17-D17</f>
        <v/>
      </c>
      <c r="H17" s="11">
        <f>G17*F17</f>
        <v/>
      </c>
    </row>
    <row r="18">
      <c r="A18" s="7" t="n">
        <v>14</v>
      </c>
      <c r="B18" s="8" t="inlineStr">
        <is>
          <t>Highball whisky japonés</t>
        </is>
      </c>
      <c r="C18" s="9" t="n">
        <v>10</v>
      </c>
      <c r="D18" s="9" t="n">
        <v>1.5</v>
      </c>
      <c r="E18" s="10">
        <f>D18/C18</f>
        <v/>
      </c>
      <c r="F18" s="8" t="n">
        <v>260</v>
      </c>
      <c r="G18" s="11">
        <f>C18-D18</f>
        <v/>
      </c>
      <c r="H18" s="11">
        <f>G18*F18</f>
        <v/>
      </c>
    </row>
    <row r="19">
      <c r="A19" s="7" t="n">
        <v>15</v>
      </c>
      <c r="B19" s="8" t="inlineStr">
        <is>
          <t>Sake daiginjo (copa)</t>
        </is>
      </c>
      <c r="C19" s="9" t="n">
        <v>15</v>
      </c>
      <c r="D19" s="9" t="n">
        <v>4</v>
      </c>
      <c r="E19" s="10">
        <f>D19/C19</f>
        <v/>
      </c>
      <c r="F19" s="8" t="n">
        <v>90</v>
      </c>
      <c r="G19" s="11">
        <f>C19-D19</f>
        <v/>
      </c>
      <c r="H19" s="11">
        <f>G19*F19</f>
        <v/>
      </c>
    </row>
    <row r="22">
      <c r="A22" s="12" t="inlineStr">
        <is>
          <t>AI Chef Pro · aichef.pro — Restaurante Japonés</t>
        </is>
      </c>
    </row>
  </sheetData>
  <mergeCells count="3">
    <mergeCell ref="A2:J2"/>
    <mergeCell ref="A22:J22"/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