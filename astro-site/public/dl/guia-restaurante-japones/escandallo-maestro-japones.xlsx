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>
    <definedName name="_xlnm.Print_Titles" localSheetId="1">'Escandallo'!$4:$4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 Japoneses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Sashimi Moriawase 12 piezas</t>
        </is>
      </c>
    </row>
    <row r="6">
      <c r="A6" s="10" t="n">
        <v>1</v>
      </c>
      <c r="B6" s="9" t="inlineStr">
        <is>
          <t>Salmón sashimi-grade (previamente congelado -20°C/24h)</t>
        </is>
      </c>
      <c r="C6" s="9" t="n">
        <v>80</v>
      </c>
      <c r="D6" s="11" t="n">
        <v>22</v>
      </c>
      <c r="E6" s="12">
        <f>(C6/1000)*D6</f>
        <v>1.76</v>
      </c>
      <c r="F6" s="13" t="n">
        <v>0.15</v>
      </c>
      <c r="G6" s="12">
        <f>E6*(1+F6)</f>
        <v>2.024</v>
      </c>
    </row>
    <row r="7">
      <c r="A7" s="10" t="n">
        <v>2</v>
      </c>
      <c r="B7" s="9" t="inlineStr">
        <is>
          <t>Atún rojo sashimi-grade (previamente congelado)</t>
        </is>
      </c>
      <c r="C7" s="9" t="n">
        <v>60</v>
      </c>
      <c r="D7" s="11" t="n">
        <v>55</v>
      </c>
      <c r="E7" s="12">
        <f>(C7/1000)*D7</f>
        <v>3.3</v>
      </c>
      <c r="F7" s="13" t="n">
        <v>0.2</v>
      </c>
      <c r="G7" s="12">
        <f>E7*(1+F7)</f>
        <v>3.9599999999999995</v>
      </c>
    </row>
    <row r="8">
      <c r="A8" s="10" t="n">
        <v>3</v>
      </c>
      <c r="B8" s="9" t="inlineStr">
        <is>
          <t>Hamachi (pez limón) sashimi-grade</t>
        </is>
      </c>
      <c r="C8" s="9" t="n">
        <v>50</v>
      </c>
      <c r="D8" s="11" t="n">
        <v>38</v>
      </c>
      <c r="E8" s="12">
        <f>(C8/1000)*D8</f>
        <v>1.9000000000000001</v>
      </c>
      <c r="F8" s="13" t="n">
        <v>0.18</v>
      </c>
      <c r="G8" s="12">
        <f>E8*(1+F8)</f>
        <v>2.242</v>
      </c>
    </row>
    <row r="9">
      <c r="A9" s="10" t="n">
        <v>4</v>
      </c>
      <c r="B9" s="9" t="inlineStr">
        <is>
          <t>Lubina sashimi-grade</t>
        </is>
      </c>
      <c r="C9" s="9" t="n">
        <v>40</v>
      </c>
      <c r="D9" s="11" t="n">
        <v>28</v>
      </c>
      <c r="E9" s="12">
        <f>(C9/1000)*D9</f>
        <v>1.12</v>
      </c>
      <c r="F9" s="13" t="n">
        <v>0.15</v>
      </c>
      <c r="G9" s="12">
        <f>E9*(1+F9)</f>
        <v>1.288</v>
      </c>
    </row>
    <row r="10">
      <c r="A10" s="10" t="n">
        <v>5</v>
      </c>
      <c r="B10" s="9" t="inlineStr">
        <is>
          <t>Vieira sashimi-grade</t>
        </is>
      </c>
      <c r="C10" s="9" t="n">
        <v>35</v>
      </c>
      <c r="D10" s="11" t="n">
        <v>45</v>
      </c>
      <c r="E10" s="12">
        <f>(C10/1000)*D10</f>
        <v>1.5750000000000002</v>
      </c>
      <c r="F10" s="13" t="n">
        <v>0.1</v>
      </c>
      <c r="G10" s="12">
        <f>E10*(1+F10)</f>
        <v>1.7325000000000004</v>
      </c>
    </row>
    <row r="11">
      <c r="A11" s="10" t="n">
        <v>6</v>
      </c>
      <c r="B11" s="9" t="inlineStr">
        <is>
          <t>Pulpo cocido</t>
        </is>
      </c>
      <c r="C11" s="9" t="n">
        <v>30</v>
      </c>
      <c r="D11" s="11" t="n">
        <v>24</v>
      </c>
      <c r="E11" s="12">
        <f>(C11/1000)*D11</f>
        <v>0.72</v>
      </c>
      <c r="F11" s="13" t="n">
        <v>0.05</v>
      </c>
      <c r="G11" s="12">
        <f>E11*(1+F11)</f>
        <v>0.756</v>
      </c>
    </row>
    <row r="12">
      <c r="A12" s="10" t="n">
        <v>7</v>
      </c>
      <c r="B12" s="9" t="inlineStr">
        <is>
          <t>Rábano daikon (guarnición juliana)</t>
        </is>
      </c>
      <c r="C12" s="9" t="n">
        <v>40</v>
      </c>
      <c r="D12" s="11" t="n">
        <v>3.5</v>
      </c>
      <c r="E12" s="12">
        <f>(C12/1000)*D12</f>
        <v>0.14</v>
      </c>
      <c r="F12" s="13" t="n">
        <v>0.15</v>
      </c>
      <c r="G12" s="12">
        <f>E12*(1+F12)</f>
        <v>0.161</v>
      </c>
    </row>
    <row r="13">
      <c r="A13" s="10" t="n">
        <v>8</v>
      </c>
      <c r="B13" s="9" t="inlineStr">
        <is>
          <t>Shiso hoja fresca</t>
        </is>
      </c>
      <c r="C13" s="9" t="n">
        <v>3</v>
      </c>
      <c r="D13" s="11" t="n">
        <v>80</v>
      </c>
      <c r="E13" s="12">
        <f>(C13/1000)*D13</f>
        <v>0.24</v>
      </c>
      <c r="F13" s="13" t="n">
        <v>0</v>
      </c>
      <c r="G13" s="12">
        <f>E13*(1+F13)</f>
        <v>0.24</v>
      </c>
    </row>
    <row r="14">
      <c r="A14" s="10" t="n">
        <v>9</v>
      </c>
      <c r="B14" s="9" t="inlineStr">
        <is>
          <t>Wasabi pasta real</t>
        </is>
      </c>
      <c r="C14" s="9" t="n">
        <v>4</v>
      </c>
      <c r="D14" s="11" t="n">
        <v>180</v>
      </c>
      <c r="E14" s="12">
        <f>(C14/1000)*D14</f>
        <v>0.72</v>
      </c>
      <c r="F14" s="13" t="n">
        <v>0</v>
      </c>
      <c r="G14" s="12">
        <f>E14*(1+F14)</f>
        <v>0.72</v>
      </c>
    </row>
    <row r="15">
      <c r="A15" s="10" t="n">
        <v>10</v>
      </c>
      <c r="B15" s="9" t="inlineStr">
        <is>
          <t>Jengibre encurtido (gari)</t>
        </is>
      </c>
      <c r="C15" s="9" t="n">
        <v>10</v>
      </c>
      <c r="D15" s="11" t="n">
        <v>12</v>
      </c>
      <c r="E15" s="12">
        <f>(C15/1000)*D15</f>
        <v>0.12</v>
      </c>
      <c r="F15" s="13" t="n">
        <v>0</v>
      </c>
      <c r="G15" s="12">
        <f>E15*(1+F15)</f>
        <v>0.12</v>
      </c>
    </row>
    <row r="16">
      <c r="A16" s="10" t="n">
        <v>11</v>
      </c>
      <c r="B16" s="9" t="inlineStr">
        <is>
          <t>Salsa soja premium</t>
        </is>
      </c>
      <c r="C16" s="9" t="n">
        <v>20</v>
      </c>
      <c r="D16" s="11" t="n">
        <v>18</v>
      </c>
      <c r="E16" s="12">
        <f>(C16/1000)*D16</f>
        <v>0.36</v>
      </c>
      <c r="F16" s="13" t="n">
        <v>0</v>
      </c>
      <c r="G16" s="12">
        <f>E16*(1+F16)</f>
        <v>0.36</v>
      </c>
    </row>
    <row r="17"/>
    <row r="18">
      <c r="B18" s="8" t="inlineStr">
        <is>
          <t>COSTE TOTAL PLATO</t>
        </is>
      </c>
      <c r="G18" s="14">
        <f>SUM(G6:G16)</f>
        <v>13.603499999999999</v>
      </c>
    </row>
    <row r="19">
      <c r="B19" s="8" t="inlineStr">
        <is>
          <t>PVP sugerido (food cost 33%)</t>
        </is>
      </c>
      <c r="G19" s="12">
        <f>G18/0.33</f>
        <v>41.22272727272727</v>
      </c>
    </row>
    <row r="20">
      <c r="B20" s="8" t="inlineStr">
        <is>
          <t>PVP con IVA (10%)</t>
        </is>
      </c>
      <c r="G20" s="12">
        <f>G19*1.10</f>
        <v>45.345</v>
      </c>
    </row>
    <row r="21"/>
    <row r="22">
      <c r="A22" s="15" t="inlineStr">
        <is>
          <t>AI Chef Pro · aichef.pro — Restaurante Japonés</t>
        </is>
      </c>
    </row>
  </sheetData>
  <mergeCells count="3">
    <mergeCell ref="A2:H2"/>
    <mergeCell ref="A1:H1"/>
    <mergeCell ref="A22:G2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Maestro — Restaurante Japonés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