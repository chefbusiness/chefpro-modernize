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135</v>
      </c>
      <c r="C4" t="inlineStr">
        <is>
          <t>Average number of events you cater per year, counting every drop-off, backyard paella party, wedding, corporate booking and premium seafood event. It is the main volume driver of the whole workbook: the P&amp;L, break-even and scenarios all read it, and years 2 and 3 grow in events. The example is a full-time owner-paella chef with a second cook on weekends, not the average first year. Compare it with the capacity row further down.</t>
        </is>
      </c>
    </row>
    <row r="5">
      <c r="A5" t="inlineStr">
        <is>
          <t>Average price per guest (excl. sales tax, service included)</t>
        </is>
      </c>
      <c r="B5" s="24" t="n">
        <v>40</v>
      </c>
      <c r="C5" t="inlineStr">
        <is>
          <t>EXCL. sales tax, with the paella chef, the staff and the service charge included and the voluntary gratuity left out: the blended price per guest across everything you sell, not the price of any one package. Price per guest incl. sales tax = this value × (1 + your sales tax rate). Operators quote per person (live paella with salad and bread, or a full Spanish menu with staff); the benchmarks table on the "Instructions" tab shows the ranges. The Pricing Calculator quotes three packages per guest: to bring them here, add the service charge you keep to each package subtotal, divide by its billable guests, then weight each package's price by the guests you expect to serve with it in a year.</t>
        </is>
      </c>
    </row>
    <row r="6">
      <c r="A6" t="inlineStr">
        <is>
          <t>Average guests per event</t>
        </is>
      </c>
      <c r="B6" s="18" t="n">
        <v>58</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0.10 for 10%). Kept conservative on purpose: reviews and wedding bookings build up months ahead, and one paella chef with one van limits how fast you can grow.</t>
        </is>
      </c>
    </row>
    <row r="8">
      <c r="A8" t="inlineStr">
        <is>
          <t>Volume growth in year 3</t>
        </is>
      </c>
      <c r="B8" s="63" t="n">
        <v>0.06</v>
      </c>
      <c r="C8" t="inlineStr">
        <is>
          <t>Growth in events in year 3 over year 2, kept conservative for the same reason: repeat corporate clients and planner referrals build up slowly, and one van and one paella chef limit the weekends you can sell.</t>
        </is>
      </c>
    </row>
    <row r="9">
      <c r="A9" t="inlineStr">
        <is>
          <t>Price per guest incl. sales tax (calculated)</t>
        </is>
      </c>
      <c r="B9" s="64">
        <f>IFERROR(IF($B$5="","",$B$5*(1+SUMPRODUCT('3-Year P&amp;L'!$E$10:$E$11,'3-Year P&amp;L'!$G$10:$G$11))),"")</f>
        <v>43.2</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PAELLA PACKAGES share of sales (live-cooked paella, salad &amp; bread, paella chef &amp; staff)</t>
        </is>
      </c>
      <c r="B11" s="63" t="n">
        <v>0.88</v>
      </c>
      <c r="C11" t="inlineStr">
        <is>
          <t>Share of sales that comes from paella packages: the live-cooked paella with salad and bread, plus the paella chef and the staff who serve it. It is an INPUT: change it here and the P&amp;L, the cash flow and the sales tax collected recalculate on their own. The rest of your sales are add-ons.</t>
        </is>
      </c>
    </row>
    <row r="12">
      <c r="A12" t="inlineStr">
        <is>
          <t>ADD-ONS share of sales (tapas, desserts, non-alcoholic sangria &amp; drinks, rentals, extra hours, travel fees)</t>
        </is>
      </c>
      <c r="B12" s="65">
        <f>IFERROR(IF(COUNT(B11)=0,"",1-B11),"")</f>
        <v>0.12</v>
      </c>
      <c r="C12" t="inlineStr">
        <is>
          <t>Calculated as the remainder: paella packages + add-ons = 100%. Add-ons are tapas hour, desserts, non-alcoholic sangria and drinks, rentals, extra hours and travel fees.</t>
        </is>
      </c>
    </row>
    <row r="13">
      <c r="A13" t="inlineStr">
        <is>
          <t>Cost of goods on PAELLA PACKAGE sales (rice, seafood, meats, saffron, stock, salad, bread)</t>
        </is>
      </c>
      <c r="B13" s="63" t="n">
        <v>0.28</v>
      </c>
      <c r="C13" t="inlineStr">
        <is>
          <t>Cost of goods sold on paella package sales: bomba rice, seafood, chicken and chorizo, saffron, stock, salad and bread, with a cushion for overproduction and for volatile seafood prices. The example sits inside the 28-35% food cost range for caterers in the benchmarks table on the "Instructions" tab. Seafood prices swing, so it is the most sensitive lever in the plan: test it at the top of the range before you trust the result.</t>
        </is>
      </c>
    </row>
    <row r="14">
      <c r="A14" t="inlineStr">
        <is>
          <t>Cost of goods on ADD-ON sales</t>
        </is>
      </c>
      <c r="B14" s="63" t="n">
        <v>0.35</v>
      </c>
      <c r="C14" t="inlineStr">
        <is>
          <t>Cost of goods sold on add-ons: tapas ingredients, bought-in desserts and the rentals you pass on at close to cost. There is no alcohol in this line: the client buys it separately, and sangria goes out without alcohol.</t>
        </is>
      </c>
    </row>
    <row r="15">
      <c r="A15" t="inlineStr">
        <is>
          <t>Disposables &amp; cooking fuel as % of sales</t>
        </is>
      </c>
      <c r="B15" s="63" t="n">
        <v>0.035</v>
      </c>
      <c r="C15" t="inlineStr">
        <is>
          <t>Disposables and cooking fuel as a % of sales: plates, cutlery, napkins and foil pans, plus the propane that fires the burners at every event (about 6-8 lb, or 2.7-3.6 kg, for a 60-guest event: Kit estimate) and wood only where a permit allows it. It scales with the number of events and the pans you cook. Van fuel is NOT here: it has its own fixed line on the "3-Year P&amp;L" tab. Some cities restrict foam and single-use plastics, so check your local rules.</t>
        </is>
      </c>
    </row>
    <row r="16">
      <c r="A16" t="inlineStr">
        <is>
          <t>Corporate catering marketplace share of sales (e.g. ezCater)</t>
        </is>
      </c>
      <c r="B16" s="63" t="n">
        <v>0.05</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EQUIPMENT STORAGE AND FIXED COSTS</t>
        </is>
      </c>
    </row>
    <row r="24">
      <c r="A24" t="inlineStr">
        <is>
          <t>Commissary kitchen rent &amp; equipment storage, per month</t>
        </is>
      </c>
      <c r="B24" s="18" t="n">
        <v>1100</v>
      </c>
      <c r="C24" t="inlineStr">
        <is>
          <t>Monthly cost of your commissary kitchen (hours + storage) and the space for your paella pans and burners: one cell for everything you pay the commissary. Pick a kitchen that lets you store burners and propane cylinders, and ask the health department and the fire marshal before you sign. The deposit and the months before opening are calculated from it. Shared kitchens charge roughly 15-45 per hour (The Food Corridor, 2023 Shared Kitchen Operator Survey): multiply by your prep hours (sofrito, stock, cleaning the seafood) and add storage. A permitted commissary is required: paella for clients cannot be prepped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Propane (and wood where a permit allows it) is not here: it scales with your events and lives in the disposables and cooking fuel row above. It is the one cell for this cost, so you change it in one place and the rest of the workbook follows.</t>
        </is>
      </c>
    </row>
    <row r="27">
      <c r="A27" t="inlineStr">
        <is>
          <t>Insurance (per year)</t>
        </is>
      </c>
      <c r="B27" s="18" t="n">
        <v>5500</v>
      </c>
      <c r="C27" t="inlineStr">
        <is>
          <t>General liability or a BOP that does NOT exclude open flame at events (venues and planners often require 1M per occurrence), commercial auto for the van, workers' comp for your W-2 staff and inland marine for the pans and burners.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seafood on the day, ice, lemons and parking at the venue: the unbudgeted costs of each event. It is a VARIABLE cost: it rises and falls with the number of events, so it cannot sit among the fixed costs or it would move the break-even without anyone noticing. Fuel is not here: van fuel has its own fixed line on the "3-Year P&amp;L" tab, and cooking propane is in the disposables row.</t>
        </is>
      </c>
    </row>
    <row r="29">
      <c r="A29" s="16" t="inlineStr">
        <is>
          <t>FINANCING</t>
        </is>
      </c>
    </row>
    <row r="30">
      <c r="A30" t="inlineStr">
        <is>
          <t>Owner's equity contributed</t>
        </is>
      </c>
      <c r="B30" s="18" t="n">
        <v>25000</v>
      </c>
      <c r="C30" t="inlineStr">
        <is>
          <t>Your own money. Lenders usually expect an owner equity injection (often around 10% for SBA start-ups; many want 20-30%) on the total cash needed in this plan.</t>
        </is>
      </c>
    </row>
    <row r="31">
      <c r="A31" t="inlineStr">
        <is>
          <t>Loan requested</t>
        </is>
      </c>
      <c r="B31" s="18" t="n">
        <v>64000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burner, pan,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used van, burners and pans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burners, pans, van and fit-outs (years)</t>
        </is>
      </c>
      <c r="B44" s="18" t="n">
        <v>7</v>
      </c>
      <c r="C44" t="inlineStr">
        <is>
          <t>The paella burners and stands, the paella pans, the used cargo van and its upfit, and the fire marshal or propane setup inspection: the cooking assets and the vehicle are depreciated together. Straight-line book depreciation; tax methods such as MACRS or Section 179 are separate, so confirm with your accountant.</t>
        </is>
      </c>
    </row>
    <row r="45">
      <c r="A45" t="inlineStr">
        <is>
          <t>Useful life of the propane kit, commissary fit-out, setup &amp; holding gear, paella tools and software (years)</t>
        </is>
      </c>
      <c r="B45" s="18" t="n">
        <v>5</v>
      </c>
      <c r="C45" t="inlineStr">
        <is>
          <t>The propane and fire-safety kit, commissary fit-out, software, smallwares and paella tools, and event setup and holding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paella crew can handle</t>
        </is>
      </c>
      <c r="B51" s="18" t="n">
        <v>200</v>
      </c>
      <c r="C51" t="inlineStr">
        <is>
          <t>INFORMATION ONLY: it does not enter any calculation in this workbook. It is your estimate of the most events a year your crew can handle with one van and a second paella chef; two events on the same Saturday is the practical limit, and Saturdays in May, June and October are the bottleneck. Compare it with the events per year you plan and with the optimistic scenario: if the plan goes above it, you need a second set of pans and burners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your paella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and the van ready takes weeks, and your test paellas for each pan size happen before your first booking, so you pay commissary rent before you earn anything. It belongs in startup costs, not in the P&amp;L.</t>
        </is>
      </c>
    </row>
    <row r="55">
      <c r="A55" t="inlineStr">
        <is>
          <t>Contingency on the burner, pan, van and fit-out lines (%)</t>
        </is>
      </c>
      <c r="B55" s="63" t="n">
        <v>0.1</v>
      </c>
      <c r="C55" t="inlineStr">
        <is>
          <t>Calculated by formula on the burner and stand, paella pan, used van, van upfit and fire / propane inspection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deposit when they book the date (caterers commonly ask for 25-50%: Kit estimate) and the balance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wine)</t>
        </is>
      </c>
      <c r="B62" s="63" t="n">
        <v>0</v>
      </c>
      <c r="C62" t="inlineStr">
        <is>
          <t>ZERO by default: a paella caterer sells no alcohol. Sangria goes out without alcohol, or with wine the client buys, at no margin. If the client supplies alcohol,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PAELLA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49480.0</v>
      </c>
      <c r="C6" s="67">
        <f>IFERROR(B6/$B$26,"")</f>
        <v>0.5561687749674594</v>
      </c>
      <c r="D6" s="28" t="n"/>
      <c r="E6" s="28" t="n"/>
    </row>
    <row r="7">
      <c r="A7" s="28" t="inlineStr">
        <is>
          <t>Paella burners &amp; stands (four 3-ring burners with legs, one rolling stand, wind guards)</t>
        </is>
      </c>
      <c r="B7" s="49" t="n">
        <v>2500</v>
      </c>
      <c r="C7" s="68">
        <f>IFERROR(B7/$B$26,"")</f>
        <v>0.028100685881540997</v>
      </c>
      <c r="D7" s="28" t="inlineStr">
        <is>
          <t>Four 3-ring paella burners with legs (the XL 3-ring burner with tripod and regulator for pans up to 36 in (90 cm) runs about 549; burners for the 26-32 in pans cost less: Kit estimate from store prices), a rolling stand (about 399 for a 2-ring one) and wind guards. Get quotes before you buy.</t>
        </is>
      </c>
      <c r="E7" s="31" t="inlineStr">
        <is>
          <t>Yes</t>
        </is>
      </c>
    </row>
    <row r="8">
      <c r="A8" s="28" t="inlineStr">
        <is>
          <t>Paella pans: 2 × 36 in (90 cm), 3 × 32 in (80 cm), 3 × 26 in (65 cm)</t>
        </is>
      </c>
      <c r="B8" s="49" t="n">
        <v>1800</v>
      </c>
      <c r="C8" s="68">
        <f>IFERROR(B8/$B$26,"")</f>
        <v>0.020232493834709517</v>
      </c>
      <c r="D8" s="28" t="inlineStr">
        <is>
          <t>Paella pans by size: 2 × 36 in (90 cm), about 40 guests each; 3 × 32 in (80 cm), about 30; 3 × 26 in (65 cm), about 18 (Kit estimate). A 36 in pan runs about 349 (store price, Kit estimate). Carbon steel or enameled. They are depreciated with the burners.</t>
        </is>
      </c>
      <c r="E8" s="31" t="inlineStr">
        <is>
          <t>Yes</t>
        </is>
      </c>
    </row>
    <row r="9">
      <c r="A9" s="28" t="inlineStr">
        <is>
          <t>Propane &amp; fire-safety kit (eight 20-lb cylinders, regulators, hoses, 2 extinguishers, fire blanket)</t>
        </is>
      </c>
      <c r="B9" s="49" t="n">
        <v>900</v>
      </c>
      <c r="C9" s="68">
        <f>IFERROR(B9/$B$26,"")</f>
        <v>0.010116246917354759</v>
      </c>
      <c r="D9" s="28" t="inlineStr">
        <is>
          <t>Propane and fire-safety kit: eight 20-lb cylinders (about 4.7 gallons or 18 liters each), regulators, hoses within their date, two fire extinguishers (your fire marshal says which ones) and a fire blanket.</t>
        </is>
      </c>
      <c r="E9" s="31" t="inlineStr">
        <is>
          <t>Yes</t>
        </is>
      </c>
    </row>
    <row r="10">
      <c r="A10" s="28" t="inlineStr">
        <is>
          <t>Commissary prep &amp; storage fit-out (racks, sheet pans, labeled bins)</t>
        </is>
      </c>
      <c r="B10" s="49" t="n">
        <v>1500</v>
      </c>
      <c r="C10" s="68">
        <f>IFERROR(B10/$B$26,"")</f>
        <v>0.016860411528924597</v>
      </c>
      <c r="D10" s="28" t="inlineStr">
        <is>
          <t>Commissary prep fit-out: shelving, sheet pans and labeled tubs for sofrito and stock. Ask the kitchen what it already provides before you budget this line.</t>
        </is>
      </c>
      <c r="E10" s="31" t="inlineStr">
        <is>
          <t>Yes</t>
        </is>
      </c>
    </row>
    <row r="11">
      <c r="A11" s="28" t="inlineStr">
        <is>
          <t>Used cargo van</t>
        </is>
      </c>
      <c r="B11" s="49" t="n">
        <v>18000</v>
      </c>
      <c r="C11" s="68">
        <f>IFERROR(B11/$B$26,"")</f>
        <v>0.20232493834709517</v>
      </c>
      <c r="D11" s="28" t="inlineStr">
        <is>
          <t>A used cargo van that carries the pans, burners, cylinders and coolers. It is not refrigerated: raw seafood travels in coolers with ice at 41 °F (5 °C) or below, and drop-off paella in insulated carriers at 135 °F (57 °C) or above. Prices vary with size, mileage and condition, so get several quotes. A Transit-size van does not need a CDL (that starts at 26,001 lb GVWR).</t>
        </is>
      </c>
      <c r="E11" s="31" t="inlineStr">
        <is>
          <t>Yes</t>
        </is>
      </c>
    </row>
    <row r="12">
      <c r="A12" s="28" t="inlineStr">
        <is>
          <t>Van upfit (shelving, upright cylinder racks, tie-downs, wrap)</t>
        </is>
      </c>
      <c r="B12" s="49" t="n">
        <v>3000</v>
      </c>
      <c r="C12" s="68">
        <f>IFERROR(B12/$B$26,"")</f>
        <v>0.033720823057849195</v>
      </c>
      <c r="D12" s="28" t="inlineStr">
        <is>
          <t>Shelving, upright cylinder racks with ventilation, tie-downs for the pans and burners, and the vehicle wrap. Check that your insurance covers the upfit.</t>
        </is>
      </c>
      <c r="E12" s="31" t="inlineStr">
        <is>
          <t>Yes</t>
        </is>
      </c>
    </row>
    <row r="13">
      <c r="A13" s="28" t="inlineStr">
        <is>
          <t>LLC formation, contracts and legal</t>
        </is>
      </c>
      <c r="B13" s="49" t="n">
        <v>1500</v>
      </c>
      <c r="C13" s="68">
        <f>IFERROR(B13/$B$26,"")</f>
        <v>0.016860411528924597</v>
      </c>
      <c r="D13" s="28" t="inlineStr">
        <is>
          <t>State filing fees for the LLC (Secretary of State) plus an attorney's review of your standard contract (deposit, cancellation tiers, final headcount, a plan B for wind and rain, and an unauthorized open-flame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temporary event permits, ServSafe Manager, food handler cards)</t>
        </is>
      </c>
      <c r="B14" s="49" t="n">
        <v>2000</v>
      </c>
      <c r="C14" s="68">
        <f>IFERROR(B14/$B$26,"")</f>
        <v>0.022480548705232795</v>
      </c>
      <c r="D14" s="28" t="inlineStr">
        <is>
          <t>Varies a lot by city, county and state: get the amounts for yours before you close the budget. Expect the catering or health permit, temporary event permits, the business license, the sales tax permit, ServSafe Manager and food handler cards.</t>
        </is>
      </c>
      <c r="E14" s="31" t="inlineStr">
        <is>
          <t>No</t>
        </is>
      </c>
    </row>
    <row r="15">
      <c r="A15" s="28" t="inlineStr">
        <is>
          <t>Fire / event permit &amp; propane setup inspection (only if required)</t>
        </is>
      </c>
      <c r="B15" s="49" t="n">
        <v>500</v>
      </c>
      <c r="C15" s="68">
        <f>IFERROR(B15/$B$26,"")</f>
        <v>0.005620137176308199</v>
      </c>
      <c r="D15" s="28" t="inlineStr">
        <is>
          <t>Only if your city or the venue requires them: a fire marshal or event permit and an inspection of your propane setup. Rules vary by county and fire district, so ask your fire marshal. If nobody asks for it, enter 0.</t>
        </is>
      </c>
      <c r="E15" s="31" t="inlineStr">
        <is>
          <t>Yes</t>
        </is>
      </c>
    </row>
    <row r="16">
      <c r="A16" s="28" t="inlineStr">
        <is>
          <t>Catering software, card reader and tablet</t>
        </is>
      </c>
      <c r="B16" s="49" t="n">
        <v>1200</v>
      </c>
      <c r="C16" s="68">
        <f>IFERROR(B16/$B$26,"")</f>
        <v>0.013488329223139677</v>
      </c>
      <c r="D16" s="28" t="inlineStr">
        <is>
          <t>Catering software for proposals, e-signature contracts, deposits and final balances, plus a card reader and a tablet.</t>
        </is>
      </c>
      <c r="E16" s="31" t="inlineStr">
        <is>
          <t>Yes</t>
        </is>
      </c>
    </row>
    <row r="17">
      <c r="A17" s="28" t="inlineStr">
        <is>
          <t>Smallwares &amp; paella tools (paddles, ladles, knives, hotel pans, probe thermometers)</t>
        </is>
      </c>
      <c r="B17" s="49" t="n">
        <v>1800</v>
      </c>
      <c r="C17" s="68">
        <f>IFERROR(B17/$B$26,"")</f>
        <v>0.020232493834709517</v>
      </c>
      <c r="D17" s="28" t="inlineStr">
        <is>
          <t>Paddles, ladles, knives, color-coded cutting boards, hotel pans, calibrated probe thermometers and heat-resistant gloves: the tools that get depreciated. Daily disposables are NOT depreciated: they go in the disposables and cooking fuel line of the P&amp;L, at the % of sales set in the "0. Assumptions" tab.</t>
        </is>
      </c>
      <c r="E17" s="31" t="inlineStr">
        <is>
          <t>Yes</t>
        </is>
      </c>
    </row>
    <row r="18">
      <c r="A18" s="28" t="inlineStr">
        <is>
          <t>Opening inventory (bomba rice, saffron, stock base, seafood for test cooks, disposables)</t>
        </is>
      </c>
      <c r="B18" s="49" t="n">
        <v>2500</v>
      </c>
      <c r="C18" s="68">
        <f>IFERROR(B18/$B$26,"")</f>
        <v>0.028100685881540997</v>
      </c>
      <c r="D18" s="28" t="inlineStr">
        <is>
          <t>Bomba rice, saffron, stock base, seafood and chicken for your test paellas,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4500</v>
      </c>
      <c r="C19" s="68">
        <f>IFERROR(B19/$B$26,"")</f>
        <v>0.05058123458677379</v>
      </c>
      <c r="D19" s="28" t="inlineStr">
        <is>
          <t>Website, photos and video of paella cooked live, listings on The Knot, WeddingWire, Zola and ezCater, Google Business Profile and your first bridal show.</t>
        </is>
      </c>
      <c r="E19" s="31" t="inlineStr">
        <is>
          <t>Yes</t>
        </is>
      </c>
    </row>
    <row r="20">
      <c r="A20" s="28" t="inlineStr">
        <is>
          <t>Event setup &amp; holding (canopy for the cooking station, tables, handwashing station, coolers, chafing dishes, insulated carriers)</t>
        </is>
      </c>
      <c r="B20" s="49" t="n">
        <v>3000</v>
      </c>
      <c r="C20" s="68">
        <f>IFERROR(B20/$B$26,"")</f>
        <v>0.033720823057849195</v>
      </c>
      <c r="D20" s="28" t="inlineStr">
        <is>
          <t>Event setup and holding: a cooking tent for the paella area (set apart from the guest tent), folding tables, a handwashing station (San Diego County asks for a 5-gallon one, 19 liters: check your county), coolers for the seafood, six chafing dishes for the tapas and insulated carriers for the drop-offs.</t>
        </is>
      </c>
      <c r="E20" s="31" t="inlineStr">
        <is>
          <t>Yes</t>
        </is>
      </c>
    </row>
    <row r="21">
      <c r="A21" s="28" t="inlineStr">
        <is>
          <t>Commissary deposit</t>
        </is>
      </c>
      <c r="B21" s="40">
        <f>IFERROR(IF('0. Assumptions'!$B$24="","",'0. Assumptions'!$B$24*'0. Assumptions'!$B$25),"")</f>
        <v>1100.0</v>
      </c>
      <c r="C21" s="68">
        <f>IFERROR(B21/$B$26,"")</f>
        <v>0.012364301787878038</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1100.0</v>
      </c>
      <c r="C22" s="68">
        <f>IFERROR(B22/$B$26,"")</f>
        <v>0.012364301787878038</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Burner, pan, van and fit-out contingency</t>
        </is>
      </c>
      <c r="B23" s="40">
        <f>IFERROR(IF(COUNT(B7,B8,B11,B12,B15)=0,"",ROUND((B7+B8+B11+B12+B15)*'0. Assumptions'!$B$55,0)),"")</f>
        <v>2580.0</v>
      </c>
      <c r="C23" s="68">
        <f>IFERROR(B23/$B$26,"")</f>
        <v>0.02899990782975031</v>
      </c>
      <c r="D23" s="28" t="str">
        <f>IFERROR("At "&amp;TEXT('0. Assumptions'!$B$55,"0%")&amp;" of the BUILD-OUT items of this block (paella burners and stands, paella pans, used cargo van, van upfit and the fire / propane setup inspection), not of the whole block: the other items are left out. No lender funds a build-out without a cushion: the percentage is in ""0. Assumptions""","")</f>
        <v>At 10% of the BUILD-OUT items of this block (paella burners and stands, paella pans, used cargo van, van upfit and the fire / propane setup inspection), not of the whole block: the other items are left out. No lender funds a build-out without a cushion: the percentage is in "0. Assumptions"</v>
      </c>
      <c r="E23" s="28" t="inlineStr">
        <is>
          <t>Yes</t>
        </is>
      </c>
    </row>
    <row r="24">
      <c r="A24" s="16" t="inlineStr">
        <is>
          <t>WORKING CAPITAL</t>
        </is>
      </c>
      <c r="B24" s="52">
        <f>IFERROR(IF(B25="","",B25),"")</f>
        <v>39485.8</v>
      </c>
      <c r="C24" s="69">
        <f>IFERROR(B24/$B$26,"")</f>
        <v>0.44383122503254063</v>
      </c>
    </row>
    <row r="25">
      <c r="A25" s="35" t="inlineStr">
        <is>
          <t>Operating cushion until break-even</t>
        </is>
      </c>
      <c r="B25" s="42">
        <f>IFERROR(IF('0. Assumptions'!$B$35*('3-Year P&amp;L'!$B$38-'3-Year P&amp;L'!$B$36)=0,"",'0. Assumptions'!$B$35*('3-Year P&amp;L'!$B$38-'3-Year P&amp;L'!$B$36)/12),"")</f>
        <v>39485.8</v>
      </c>
      <c r="C25" s="65">
        <f>IFERROR(B25/$B$26,"")</f>
        <v>0.44383122503254063</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88965.8</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(44% of the total). To compare the breakdown with another plan, use the CAPEX row below.</v>
      </c>
    </row>
    <row r="27">
      <c r="A27" s="16" t="inlineStr">
        <is>
          <t>CAPEX (startup costs excluding working capital)</t>
        </is>
      </c>
      <c r="B27" s="52">
        <f>IFERROR(B26-B24,"")</f>
        <v>49480.0</v>
      </c>
      <c r="D27" s="16" t="inlineStr">
        <is>
          <t>What you buy: burners and pans, the van and its upfit, the propane kit, event setup,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88965.8</v>
      </c>
      <c r="D29" s="16" t="inlineStr">
        <is>
          <t>This is the figure the Financing tab has to cover</t>
        </is>
      </c>
    </row>
    <row r="30">
      <c r="A30" s="16" t="inlineStr">
        <is>
          <t>DEPRECIATION BASES (not added to startup costs)</t>
        </is>
      </c>
    </row>
    <row r="31">
      <c r="A31" s="35" t="inlineStr">
        <is>
          <t>Paella burners, pans, van and fit-outs (depreciated over the vehicle life)</t>
        </is>
      </c>
      <c r="B31" s="42">
        <f>IFERROR(IF(B7="","",B7+B8+B11+B12+B15+B23),"")</f>
        <v>28380.0</v>
      </c>
      <c r="D31" t="str">
        <f>IFERROR("Depreciated over "&amp;TEXT('0. Assumptions'!$B$44,"0")&amp;" years","")</f>
        <v>Depreciated over 7 years</v>
      </c>
    </row>
    <row r="32">
      <c r="A32" s="35" t="inlineStr">
        <is>
          <t>Machinery, furniture and equipment</t>
        </is>
      </c>
      <c r="B32" s="42">
        <f>IFERROR(IF(B9="","",B9+B10+B16+B17+B20),"")</f>
        <v>8400.0</v>
      </c>
      <c r="D32" t="str">
        <f>IFERROR("Depreciated over "&amp;TEXT('0. Assumptions'!$B$45,"0")&amp;" years","")</f>
        <v>Depreciated over 5 years</v>
      </c>
    </row>
    <row r="33">
      <c r="A33" s="16" t="inlineStr">
        <is>
          <t>Annual depreciation of fixed assets</t>
        </is>
      </c>
      <c r="B33" s="52">
        <f>IFERROR(B31/MAX(1,'0. Assumptions'!$B$44)+B32/MAX(1,'0. Assumptions'!$B$45),"")</f>
        <v>5734.285714285714</v>
      </c>
      <c r="D33" s="37" t="str">
        <f>IFERROR("Not depreciated, because they are not fixed assets: LLC formation and legal, first-year permits and certifications, opening inventory, website, photos and launch, the commissary deposit, pre-opening commissary rent and the working capital 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52186 of the 88966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live paella caterer (cooked on site at events)</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135.0</v>
      </c>
      <c r="C6" s="40">
        <f>IFERROR(B6*(1+'0. Assumptions'!$B$7),"")</f>
        <v>148.5</v>
      </c>
      <c r="D6" s="40">
        <f>IFERROR(C6*(1+'0. Assumptions'!$B$8),"")</f>
        <v>157.41</v>
      </c>
      <c r="E6" s="28" t="n"/>
      <c r="F6" s="28" t="inlineStr">
        <is>
          <t>Growth for years 2 and 3 is set in "0. Assumptions"</t>
        </is>
      </c>
      <c r="G6" s="28" t="n"/>
      <c r="H6" s="28" t="n"/>
    </row>
    <row r="7">
      <c r="A7" s="28" t="inlineStr">
        <is>
          <t>Average price per guest (excl. sales tax)</t>
        </is>
      </c>
      <c r="B7" s="61">
        <f>IFERROR(IF('0. Assumptions'!$B$5="","",'0. Assumptions'!$B$5),"")</f>
        <v>40.0</v>
      </c>
      <c r="C7" s="61">
        <f>IFERROR(IF(B7="","",B7),"")</f>
        <v>40.0</v>
      </c>
      <c r="D7" s="61">
        <f>IFERROR(IF(C7="","",C7),"")</f>
        <v>40.0</v>
      </c>
      <c r="E7" s="28" t="n"/>
      <c r="F7" s="28" t="inlineStr">
        <is>
          <t>Held constant at year-1 prices: a price increase is a separate decision</t>
        </is>
      </c>
      <c r="G7" s="28" t="n"/>
      <c r="H7" s="28" t="n"/>
    </row>
    <row r="8">
      <c r="A8" s="28" t="inlineStr">
        <is>
          <t>Average guests per event</t>
        </is>
      </c>
      <c r="B8" s="40">
        <f>IFERROR(IF('0. Assumptions'!$B$6="","",'0. Assumptions'!$B$6),"")</f>
        <v>58.0</v>
      </c>
      <c r="C8" s="40">
        <f>IFERROR(IF(B8="","",B8),"")</f>
        <v>58.0</v>
      </c>
      <c r="D8" s="40">
        <f>IFERROR(IF(C8="","",C8),"")</f>
        <v>58.0</v>
      </c>
      <c r="E8" s="28" t="n"/>
      <c r="F8" s="28" t="n"/>
      <c r="G8" s="28" t="n"/>
      <c r="H8" s="28" t="n"/>
    </row>
    <row r="9">
      <c r="A9" s="25" t="inlineStr">
        <is>
          <t>TOTAL REVENUE (excl. sales tax)</t>
        </is>
      </c>
      <c r="B9" s="66">
        <f>IFERROR(IF(B6*B7*B8=0,"",B6*B7*B8),"")</f>
        <v>313200.0</v>
      </c>
      <c r="C9" s="66">
        <f>IFERROR(IF(C6*C7*C8=0,"",C6*C7*C8),"")</f>
        <v>344520.0</v>
      </c>
      <c r="D9" s="66">
        <f>IFERROR(IF(D6*D7*D8=0,"",D6*D7*D8),"")</f>
        <v>365191.19999999995</v>
      </c>
      <c r="E9" s="67">
        <f>IFERROR(IF(B9="","",1),"")</f>
        <v>1.0</v>
      </c>
      <c r="F9" s="28" t="n"/>
      <c r="G9" s="28" t="n"/>
      <c r="H9" s="28" t="n"/>
    </row>
    <row r="10">
      <c r="A10" s="28" t="inlineStr">
        <is>
          <t>Paella package sales (live-cooked paella, salad &amp; bread, paella chef &amp; staff)</t>
        </is>
      </c>
      <c r="B10" s="40">
        <f>IFERROR(IF(B9="","",B9*$E$10),"")</f>
        <v>275616.0</v>
      </c>
      <c r="C10" s="40">
        <f>IFERROR(IF(C9="","",C9*$E$10),"")</f>
        <v>303177.6</v>
      </c>
      <c r="D10" s="40">
        <f>IFERROR(IF(D9="","",D9*$E$10),"")</f>
        <v>321368.25599999994</v>
      </c>
      <c r="E10" s="68">
        <f>IFERROR(IF('0. Assumptions'!$B$11="","",'0. Assumptions'!$B$11),"")</f>
        <v>0.88</v>
      </c>
      <c r="F10" s="28" t="inlineStr">
        <is>
          <t>Sales of paella packages: the live-cooked paella with salad and bread, plus the paella chef and the staff who serve it, across drop-offs, backyard paella parties, corporate events, weddings and premium seafood events. All of it carries cost of goods sold at the paella package rate.</t>
        </is>
      </c>
      <c r="G10" s="68">
        <f>IFERROR(IF(B9="","",'0. Assumptions'!$B$39),"")</f>
        <v>0.08</v>
      </c>
      <c r="H10" s="28" t="n"/>
    </row>
    <row r="11">
      <c r="A11" s="28" t="inlineStr">
        <is>
          <t>Add-on sales (tapas, desserts, non-alcoholic sangria &amp; drinks, rentals, extra hours, travel fees)</t>
        </is>
      </c>
      <c r="B11" s="40">
        <f>IFERROR(IF(B9="","",B9*$E$11),"")</f>
        <v>37584.0</v>
      </c>
      <c r="C11" s="40">
        <f>IFERROR(IF(C9="","",C9*$E$11),"")</f>
        <v>41342.4</v>
      </c>
      <c r="D11" s="40">
        <f>IFERROR(IF(D9="","",D9*$E$11),"")</f>
        <v>43822.943999999996</v>
      </c>
      <c r="E11" s="68">
        <f>IFERROR(IF('0. Assumptions'!$B$12="","",'0. Assumptions'!$B$12),"")</f>
        <v>0.12</v>
      </c>
      <c r="F11" s="28" t="inlineStr">
        <is>
          <t>Sales of add-ons: tapas hour, desserts, non-alcoholic sangria and drinks, rentals, extra hours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paella packages (rice, seafood, meats, saffron, salad &amp; bread)</t>
        </is>
      </c>
      <c r="B13" s="40">
        <f>IFERROR(IF(B9="","",B9*'0. Assumptions'!$B$11*'0. Assumptions'!$B$13),"")</f>
        <v>77172.48000000001</v>
      </c>
      <c r="C13" s="40">
        <f>IFERROR(IF(C9="","",C9*'0. Assumptions'!$B$11*'0. Assumptions'!$B$13),"")</f>
        <v>84889.728</v>
      </c>
      <c r="D13" s="40">
        <f>IFERROR(IF(D9="","",D9*'0. Assumptions'!$B$11*'0. Assumptions'!$B$13),"")</f>
        <v>89983.11167999999</v>
      </c>
      <c r="E13" s="68">
        <f>IFERROR(B13/$B$9,"")</f>
        <v>0.24640000000000004</v>
      </c>
      <c r="F13" s="28" t="str">
        <f>IFERROR("At "&amp;TEXT('0. Assumptions'!$B$13,"0%")&amp;" of PAELLA PACKAGE sales (rice, seafood, meats, saffron, stock, salad and bread), not of total sales: add-ons have their own line","")</f>
        <v>At 28% of PAELLA PACKAGE sales (rice, seafood, meats, saffron, stock, salad and bread), not of total sales: add-ons have their own line</v>
      </c>
      <c r="G13" s="68">
        <f>IFERROR(IF(B9="","",'0. Assumptions'!$B$41),"")</f>
        <v>0.0</v>
      </c>
      <c r="H13" s="28" t="n"/>
    </row>
    <row r="14">
      <c r="A14" s="28" t="inlineStr">
        <is>
          <t>Cost of goods — add-ons</t>
        </is>
      </c>
      <c r="B14" s="40">
        <f>IFERROR(IF(B9="","",B9*'0. Assumptions'!$B$12*'0. Assumptions'!$B$14),"")</f>
        <v>13154.4</v>
      </c>
      <c r="C14" s="40">
        <f>IFERROR(IF(C9="","",C9*'0. Assumptions'!$B$12*'0. Assumptions'!$B$14),"")</f>
        <v>14469.84</v>
      </c>
      <c r="D14" s="40">
        <f>IFERROR(IF(D9="","",D9*'0. Assumptions'!$B$12*'0. Assumptions'!$B$14),"")</f>
        <v>15338.030399999998</v>
      </c>
      <c r="E14" s="68">
        <f>IFERROR(B14/$B$9,"")</f>
        <v>0.041999999999999996</v>
      </c>
      <c r="F14" s="28" t="str">
        <f>IFERROR("At "&amp;TEXT('0. Assumptions'!$B$14,"0%")&amp;" of ADD-ON sales","")</f>
        <v>At 35% of ADD-ON sales</v>
      </c>
      <c r="G14" s="68">
        <f>IFERROR(IF(B9="","",'0. Assumptions'!$B$41),"")</f>
        <v>0.0</v>
      </c>
      <c r="H14" s="28" t="n"/>
    </row>
    <row r="15">
      <c r="A15" s="28" t="inlineStr">
        <is>
          <t>Disposables &amp; cooking fuel</t>
        </is>
      </c>
      <c r="B15" s="40">
        <f>IFERROR(IF(B9="","",B9*'0. Assumptions'!$B$15),"")</f>
        <v>10962.000000000002</v>
      </c>
      <c r="C15" s="40">
        <f>IFERROR(IF(C9="","",C9*'0. Assumptions'!$B$15),"")</f>
        <v>12058.2</v>
      </c>
      <c r="D15" s="40">
        <f>IFERROR(IF(D9="","",D9*'0. Assumptions'!$B$15),"")</f>
        <v>12781.692</v>
      </c>
      <c r="E15" s="68">
        <f>IFERROR(B15/$B$9,"")</f>
        <v>0.035</v>
      </c>
      <c r="F15" s="28" t="n"/>
      <c r="G15" s="68">
        <f>IFERROR(IF(B9="","",'0. Assumptions'!$B$41),"")</f>
        <v>0.0</v>
      </c>
      <c r="H15" s="28" t="n"/>
    </row>
    <row r="16">
      <c r="A16" s="28" t="inlineStr">
        <is>
          <t>Corporate catering marketplace fees</t>
        </is>
      </c>
      <c r="B16" s="40">
        <f>IFERROR(IF(B9="","",B9*'0. Assumptions'!$B$16*'0. Assumptions'!$B$17),"")</f>
        <v>2349.0</v>
      </c>
      <c r="C16" s="40">
        <f>IFERROR(IF(C9="","",C9*'0. Assumptions'!$B$16*'0. Assumptions'!$B$17),"")</f>
        <v>2583.9</v>
      </c>
      <c r="D16" s="40">
        <f>IFERROR(IF(D9="","",D9*'0. Assumptions'!$B$16*'0. Assumptions'!$B$17),"")</f>
        <v>2738.9339999999997</v>
      </c>
      <c r="E16" s="68">
        <f>IFERROR(B16/$B$9,"")</f>
        <v>0.0075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9396.0</v>
      </c>
      <c r="C17" s="40">
        <f>IFERROR(IF(C9="","",C9*'0. Assumptions'!$B$18),"")</f>
        <v>10335.6</v>
      </c>
      <c r="D17" s="40">
        <f>IFERROR(IF(D9="","",D9*'0. Assumptions'!$B$18),"")</f>
        <v>10955.735999999999</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9396.0</v>
      </c>
      <c r="C18" s="40">
        <f>IFERROR(IF(C9="","",C9*'0. Assumptions'!$B$28),"")</f>
        <v>10335.6</v>
      </c>
      <c r="D18" s="40">
        <f>IFERROR(IF(D9="","",D9*'0. Assumptions'!$B$28),"")</f>
        <v>10955.735999999999</v>
      </c>
      <c r="E18" s="68">
        <f>IFERROR(B18/$B$9,"")</f>
        <v>0.03</v>
      </c>
      <c r="F18" s="28" t="str">
        <f>IFERROR("At "&amp;TEXT('0. Assumptions'!$B$28,"0%")&amp;" of sales: a cushion for unbudgeted event costs (extra seafood, ice, lemons, venue parking). It is a VARIABLE cost: it moves with the number of events, so it cannot sit in fixed costs (van fuel, maintenance and registration are in row 27; propane is in row 15)","")</f>
        <v>At 3% of sales: a cushion for unbudgeted event costs (extra seafood, ice, lemons, venue parking). It is a VARIABLE cost: it moves with the number of events, so it cannot sit in fixed costs (van fuel, maintenance and registration are in row 27; propane is in row 15)</v>
      </c>
      <c r="G18" s="68">
        <f>IFERROR(IF(B9="","",'0. Assumptions'!$B$41),"")</f>
        <v>0.0</v>
      </c>
      <c r="H18" s="28" t="n"/>
    </row>
    <row r="19">
      <c r="A19" s="25" t="inlineStr">
        <is>
          <t>TOTAL VARIABLE COSTS</t>
        </is>
      </c>
      <c r="B19" s="66">
        <f>IFERROR(IF(B9="","",SUM(B13:B18)),"")</f>
        <v>122429.88</v>
      </c>
      <c r="C19" s="66">
        <f>IFERROR(IF(C9="","",SUM(C13:C18)),"")</f>
        <v>134672.86800000002</v>
      </c>
      <c r="D19" s="66">
        <f>IFERROR(IF(D9="","",SUM(D13:D18)),"")</f>
        <v>142753.24008</v>
      </c>
      <c r="E19" s="67">
        <f>IFERROR(B19/$B$9,"")</f>
        <v>0.3909</v>
      </c>
      <c r="F19" s="28" t="n"/>
      <c r="G19" s="28" t="n"/>
      <c r="H19" s="28" t="n"/>
    </row>
    <row r="20">
      <c r="A20" s="25" t="inlineStr">
        <is>
          <t>GROSS MARGIN</t>
        </is>
      </c>
      <c r="B20" s="66">
        <f>IFERROR(IF(B9="","",B9-B19),"")</f>
        <v>190770.12</v>
      </c>
      <c r="C20" s="66">
        <f>IFERROR(IF(C9="","",C9-C19),"")</f>
        <v>209847.13199999998</v>
      </c>
      <c r="D20" s="66">
        <f>IFERROR(IF(D9="","",D9-D19),"")</f>
        <v>222437.95991999996</v>
      </c>
      <c r="E20" s="67">
        <f>IFERROR(B20/$B$9,"")</f>
        <v>0.6091</v>
      </c>
      <c r="F20" s="28" t="n"/>
      <c r="G20" s="28" t="n"/>
      <c r="H20" s="28" t="n"/>
    </row>
    <row r="21">
      <c r="A21" s="25" t="inlineStr">
        <is>
          <t>FIXED COSTS</t>
        </is>
      </c>
      <c r="B21" s="28" t="n"/>
      <c r="C21" s="28" t="n"/>
      <c r="D21" s="28" t="n"/>
      <c r="E21" s="28" t="n"/>
      <c r="F21" s="28" t="n"/>
      <c r="G21" s="28" t="n"/>
      <c r="H21" s="28" t="n"/>
    </row>
    <row r="22">
      <c r="A22" s="28" t="inlineStr">
        <is>
          <t>Commissary kitchen rent &amp; equipment storage</t>
        </is>
      </c>
      <c r="B22" s="40">
        <f>IFERROR(IF(B9="","",'0. Assumptions'!$B$24*12),"")</f>
        <v>13200.0</v>
      </c>
      <c r="C22" s="40">
        <f>IFERROR(IF(C9="","",B22*(1+'0. Assumptions'!$B$48)),"")</f>
        <v>13200.0</v>
      </c>
      <c r="D22" s="40">
        <f>IFERROR(IF(D9="","",C22*(1+'0. Assumptions'!$B$48)),"")</f>
        <v>13200.0</v>
      </c>
      <c r="E22" s="68">
        <f>IFERROR(B22/$B$9,"")</f>
        <v>0.0421455938697318</v>
      </c>
      <c r="F22" s="28" t="inlineStr">
        <is>
          <t>The monthly amount is typed in "0. Assumptions"; here it is multiplied by twelve. It covers your commissary hours, storage and the space for the pans and burners,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105943.2</v>
      </c>
      <c r="C23" s="40">
        <f>IFERROR(IF(C9="","",Staffing!$B$13),"")</f>
        <v>109943.2</v>
      </c>
      <c r="D23" s="40">
        <f>IFERROR(IF(D9="","",Staffing!$B$14),"")</f>
        <v>113943.2</v>
      </c>
      <c r="E23" s="68">
        <f>IFERROR(B23/$B$9,"")</f>
        <v>0.3382605363984674</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0.005747126436781609</v>
      </c>
      <c r="F24" s="28" t="inlineStr">
        <is>
          <t>Water, electricity and phone that the commissary fee does not cover. No propane or wood here: they scale with your events and sit in the disposables and cooking fuel line.</t>
        </is>
      </c>
      <c r="G24" s="68">
        <f>IFERROR(IF(B9="","",'0. Assumptions'!$B$41),"")</f>
        <v>0.0</v>
      </c>
      <c r="H24" s="28" t="n"/>
    </row>
    <row r="25">
      <c r="A25" s="28" t="inlineStr">
        <is>
          <t>Insurance (general liability with open flame covered, commercial auto, workers' comp, inland marine)</t>
        </is>
      </c>
      <c r="B25" s="40">
        <f>IFERROR(IF(B9="","",'0. Assumptions'!$B$27),"")</f>
        <v>5500.0</v>
      </c>
      <c r="C25" s="40">
        <f>IFERROR(IF(C9="","",B25*(1+'0. Assumptions'!$B$48)),"")</f>
        <v>5500.0</v>
      </c>
      <c r="D25" s="40">
        <f>IFERROR(IF(D9="","",C25*(1+'0. Assumptions'!$B$48)),"")</f>
        <v>5500.0</v>
      </c>
      <c r="E25" s="68">
        <f>IFERROR(B25/$B$9,"")</f>
        <v>0.01756066411238825</v>
      </c>
      <c r="F25" s="28" t="inlineStr">
        <is>
          <t>Insurance premiums are not subject to sales tax: there is no recoverable tax on them</t>
        </is>
      </c>
      <c r="G25" s="68" t="n">
        <v>0</v>
      </c>
      <c r="H25" s="28" t="n"/>
    </row>
    <row r="26">
      <c r="A26" s="28" t="inlineStr">
        <is>
          <t>Annual permits and licenses (catering / health permit, temporary event and fire permits)</t>
        </is>
      </c>
      <c r="B26" s="49" t="n">
        <v>1200</v>
      </c>
      <c r="C26" s="40">
        <f>IFERROR(IF(C9="","",B26*(1+'0. Assumptions'!$B$48)),"")</f>
        <v>1200.0</v>
      </c>
      <c r="D26" s="40">
        <f>IFERROR(IF(D9="","",C26*(1+'0. Assumptions'!$B$48)),"")</f>
        <v>1200.0</v>
      </c>
      <c r="E26" s="68">
        <f>IFERROR(B26/$B$9,"")</f>
        <v>0.0038314176245210726</v>
      </c>
      <c r="F26" s="28" t="n"/>
      <c r="G26" s="68">
        <f>IFERROR(IF(B9="","",'0. Assumptions'!$B$41),"")</f>
        <v>0.0</v>
      </c>
      <c r="H26" s="28" t="n"/>
    </row>
    <row r="27">
      <c r="A27" s="28" t="inlineStr">
        <is>
          <t>Van fuel, maintenance and registration</t>
        </is>
      </c>
      <c r="B27" s="49" t="n">
        <v>5000</v>
      </c>
      <c r="C27" s="40">
        <f>IFERROR(IF(C9="","",B27*(1+'0. Assumptions'!$B$48)),"")</f>
        <v>5000.0</v>
      </c>
      <c r="D27" s="40">
        <f>IFERROR(IF(D9="","",C27*(1+'0. Assumptions'!$B$48)),"")</f>
        <v>5000.0</v>
      </c>
      <c r="E27" s="68">
        <f>IFERROR(B27/$B$9,"")</f>
        <v>0.015964240102171137</v>
      </c>
      <c r="F27" s="28" t="n"/>
      <c r="G27" s="68">
        <f>IFERROR(IF(B9="","",'0. Assumptions'!$B$41),"")</f>
        <v>0.0</v>
      </c>
      <c r="H27" s="28" t="n"/>
    </row>
    <row r="28">
      <c r="A28" s="28" t="inlineStr">
        <is>
          <t>Marketing and advertising</t>
        </is>
      </c>
      <c r="B28" s="49" t="n">
        <v>8000</v>
      </c>
      <c r="C28" s="40">
        <f>IFERROR(IF(C9="","",B28*(1+'0. Assumptions'!$B$48)),"")</f>
        <v>8000.0</v>
      </c>
      <c r="D28" s="40">
        <f>IFERROR(IF(D9="","",C28*(1+'0. Assumptions'!$B$48)),"")</f>
        <v>8000.0</v>
      </c>
      <c r="E28" s="68">
        <f>IFERROR(B28/$B$9,"")</f>
        <v>0.02554278416347382</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0.009578544061302681</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0.007662835249042145</v>
      </c>
      <c r="F30" s="28" t="n"/>
      <c r="G30" s="68">
        <f>IFERROR(IF(B9="","",'0. Assumptions'!$B$41),"")</f>
        <v>0.0</v>
      </c>
      <c r="H30" s="28" t="n"/>
    </row>
    <row r="31">
      <c r="A31" s="28" t="inlineStr">
        <is>
          <t>Linens, uniforms and cleaning</t>
        </is>
      </c>
      <c r="B31" s="49" t="n">
        <v>1800</v>
      </c>
      <c r="C31" s="40">
        <f>IFERROR(IF(C9="","",B31*(1+'0. Assumptions'!$B$48)),"")</f>
        <v>1800.0</v>
      </c>
      <c r="D31" s="40">
        <f>IFERROR(IF(D9="","",C31*(1+'0. Assumptions'!$B$48)),"")</f>
        <v>1800.0</v>
      </c>
      <c r="E31" s="68">
        <f>IFERROR(B31/$B$9,"")</f>
        <v>0.005747126436781609</v>
      </c>
      <c r="F31" s="28" t="n"/>
      <c r="G31" s="68">
        <f>IFERROR(IF(B9="","",'0. Assumptions'!$B$41),"")</f>
        <v>0.0</v>
      </c>
      <c r="H31" s="28" t="n"/>
    </row>
    <row r="32">
      <c r="A32" s="28" t="inlineStr">
        <is>
          <t>Waste, used oil and shell disposal</t>
        </is>
      </c>
      <c r="B32" s="49" t="n">
        <v>600</v>
      </c>
      <c r="C32" s="40">
        <f>IFERROR(IF(C9="","",B32*(1+'0. Assumptions'!$B$48)),"")</f>
        <v>600.0</v>
      </c>
      <c r="D32" s="40">
        <f>IFERROR(IF(D9="","",C32*(1+'0. Assumptions'!$B$48)),"")</f>
        <v>600.0</v>
      </c>
      <c r="E32" s="68">
        <f>IFERROR(B32/$B$9,"")</f>
        <v>0.0019157088122605363</v>
      </c>
      <c r="F32" s="28" t="inlineStr">
        <is>
          <t>Licensed hauler for trash, used oil and shells. Ask the commissary first: many include removal in the fee. If yours does not, get a quote in your area.</t>
        </is>
      </c>
      <c r="G32" s="68">
        <f>IFERROR(IF(B9="","",'0. Assumptions'!$B$41),"")</f>
        <v>0.0</v>
      </c>
      <c r="H32" s="28" t="n"/>
    </row>
    <row r="33">
      <c r="A33" s="28" t="inlineStr">
        <is>
          <t>Pan, burner &amp; hose replacement</t>
        </is>
      </c>
      <c r="B33" s="49" t="n">
        <v>1000</v>
      </c>
      <c r="C33" s="40">
        <f>IFERROR(IF(C9="","",B33*(1+'0. Assumptions'!$B$48)),"")</f>
        <v>1000.0</v>
      </c>
      <c r="D33" s="40">
        <f>IFERROR(IF(D9="","",C33*(1+'0. Assumptions'!$B$48)),"")</f>
        <v>1000.0</v>
      </c>
      <c r="E33" s="68">
        <f>IFERROR(B33/$B$9,"")</f>
        <v>0.0031928480204342275</v>
      </c>
      <c r="F33" s="28" t="inlineStr">
        <is>
          <t>Replacement of paella pans (they warp), burners (clogged rings), regulators and hoses (they expire).</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0.0019157088122605363</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1500</v>
      </c>
      <c r="C35" s="40">
        <f>IFERROR(IF(C9="","",B35*(1+'0. Assumptions'!$B$48)),"")</f>
        <v>1500.0</v>
      </c>
      <c r="D35" s="40">
        <f>IFERROR(IF(D9="","",C35*(1+'0. Assumptions'!$B$48)),"")</f>
        <v>1500.0</v>
      </c>
      <c r="E35" s="68">
        <f>IFERROR(B35/$B$9,"")</f>
        <v>0.004789272030651341</v>
      </c>
      <c r="F35" s="28" t="inlineStr">
        <is>
          <t>Food cost and labor for the tastings you offer couples, planners and companies (a small paella cooked live). Many caterers charge a fee and credit it toward the booking: if you do, lower this line.</t>
        </is>
      </c>
      <c r="G35" s="68">
        <f>IFERROR(IF(B9="","",'0. Assumptions'!$B$41),"")</f>
        <v>0.0</v>
      </c>
      <c r="H35" s="28" t="n"/>
    </row>
    <row r="36">
      <c r="A36" s="28" t="inlineStr">
        <is>
          <t>Depreciation of fixed assets</t>
        </is>
      </c>
      <c r="B36" s="40">
        <f>IFERROR(IF(B9="","",'Startup Costs'!$B$33),"")</f>
        <v>5734.285714285714</v>
      </c>
      <c r="C36" s="40">
        <f>IFERROR(IF(C9="","",B36),"")</f>
        <v>5734.285714285714</v>
      </c>
      <c r="D36" s="40">
        <f>IFERROR(IF(D9="","",B36),"")</f>
        <v>5734.285714285714</v>
      </c>
      <c r="E36" s="68">
        <f>IFERROR(B36/$B$9,"")</f>
        <v>0.01830870279146141</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6400.0</v>
      </c>
      <c r="C37" s="40">
        <f>IFERROR(IF(C9="","",Financing!$B$46),"")</f>
        <v>5725.404801916189</v>
      </c>
      <c r="D37" s="40">
        <f>IFERROR(IF(D9="","",Financing!$B$48),"")</f>
        <v>4983.350084023996</v>
      </c>
      <c r="E37" s="68">
        <f>IFERROR(B37/$B$9,"")</f>
        <v>0.020434227330779056</v>
      </c>
      <c r="F37" s="28" t="inlineStr">
        <is>
          <t>Only INTEREST is an expense. Principal repaid appears on the cash flow tab</t>
        </is>
      </c>
      <c r="G37" s="68" t="n">
        <v>0</v>
      </c>
      <c r="H37" s="28" t="n"/>
    </row>
    <row r="38">
      <c r="A38" s="16" t="inlineStr">
        <is>
          <t>TOTAL FIXED COSTS</t>
        </is>
      </c>
      <c r="B38" s="52">
        <f>IFERROR(IF(B9="","",SUM(B22:B37)),"")</f>
        <v>163677.48571428572</v>
      </c>
      <c r="C38" s="52">
        <f>IFERROR(IF(C9="","",SUM(C22:C37)),"")</f>
        <v>167002.8905162019</v>
      </c>
      <c r="D38" s="52">
        <f>IFERROR(IF(D9="","",SUM(D22:D37)),"")</f>
        <v>170260.8357983097</v>
      </c>
      <c r="E38" s="69">
        <f>IFERROR(B38/$B$9,"")</f>
        <v>0.5225973362525087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27092.634285714274</v>
      </c>
      <c r="C41" s="52">
        <f>IFERROR(IF(C9="","",C20-C38),"")</f>
        <v>42844.241483798076</v>
      </c>
      <c r="D41" s="52">
        <f>IFERROR(IF(D9="","",D20-D38),"")</f>
        <v>52177.124121690256</v>
      </c>
      <c r="E41" s="69">
        <f>IFERROR(B41/$B$9,"")</f>
        <v>0.0865026637474913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27092.634285714274</v>
      </c>
      <c r="C43" s="42">
        <f>IFERROR(IF(C9="","",MAX(0,C41-C42)),"")</f>
        <v>42844.241483798076</v>
      </c>
      <c r="D43" s="42">
        <f>IFERROR(IF(D9="","",MAX(0,D41-D42)),"")</f>
        <v>52177.124121690256</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6773.158571428568</v>
      </c>
      <c r="C46" s="42">
        <f>IFERROR(IF(C9="","",IF(C45="",0,C43*C45)),"")</f>
        <v>10711.060370949519</v>
      </c>
      <c r="D46" s="42">
        <f>IFERROR(IF(D9="","",IF(D45="",0,D43*D45)),"")</f>
        <v>13044.281030422564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20319.475714285705</v>
      </c>
      <c r="C48" s="52">
        <f>IFERROR(IF(C9="","",C41-C46),"")</f>
        <v>32133.181112848557</v>
      </c>
      <c r="D48" s="52">
        <f>IFERROR(IF(D9="","",D41-D46),"")</f>
        <v>39132.84309126769</v>
      </c>
      <c r="E48" s="69">
        <f>IFERROR(B48/$B$9,"")</f>
        <v>0.06487699781061847</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0.6091</v>
      </c>
      <c r="C51" s="65">
        <f>IFERROR(IF(C9="","",C20/C9),"")</f>
        <v>0.6091</v>
      </c>
      <c r="D51" s="65">
        <f>IFERROR(IF(D9="","",D20/D9),"")</f>
        <v>0.6091</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(paella packages + add-ons)</t>
        </is>
      </c>
      <c r="B52" s="42">
        <f>IFERROR(IF(B9="","",B13+B14),"")</f>
        <v>90326.88</v>
      </c>
      <c r="C52" s="42">
        <f>IFERROR(IF(C9="","",C13+C14),"")</f>
        <v>99359.568</v>
      </c>
      <c r="D52" s="42">
        <f>IFERROR(IF(D9="","",D13+D14),"")</f>
        <v>105321.14207999999</v>
      </c>
    </row>
    <row r="53">
      <c r="A53" s="35" t="inlineStr">
        <is>
          <t>Cost of goods sold / Sales</t>
        </is>
      </c>
      <c r="B53" s="65">
        <f>IFERROR(IF(B9="","",B52/B9),"")</f>
        <v>0.2884</v>
      </c>
      <c r="C53" s="65">
        <f>IFERROR(IF(C9="","",C52/C9),"")</f>
        <v>0.2884</v>
      </c>
      <c r="D53" s="65">
        <f>IFERROR(IF(D9="","",D52/D9),"")</f>
        <v>0.2884</v>
      </c>
      <c r="E53" s="70" t="n">
        <v>0.35</v>
      </c>
      <c r="F53" s="35" t="inlineStr">
        <is>
          <t>Ceiling for cost of goods (disposables and cooking fuel have their own line): kit benchmark (editable estimate), based on the 28-35% food cost range for caterers in the benchmarks table.</t>
        </is>
      </c>
    </row>
    <row r="54">
      <c r="A54" s="35" t="inlineStr">
        <is>
          <t>Labor cost / Sales</t>
        </is>
      </c>
      <c r="B54" s="65">
        <f>IFERROR(IF(B9="","",B23/B9),"")</f>
        <v>0.3382605363984674</v>
      </c>
      <c r="C54" s="65">
        <f>IFERROR(IF(C9="","",C23/C9),"")</f>
        <v>0.3191199349820039</v>
      </c>
      <c r="D54" s="65">
        <f>IFERROR(IF(D9="","",D23/D9),"")</f>
        <v>0.3120097088867421</v>
      </c>
      <c r="E54" s="70" t="n">
        <v>0.38</v>
      </c>
      <c r="F54" s="35" t="inlineStr">
        <is>
          <t>Ceiling: kit benchmark (editable estimate), above the 25-35% labor range that pricing guides report because it includes the owner's own pay as paella chef.</t>
        </is>
      </c>
    </row>
    <row r="55">
      <c r="A55" s="35" t="inlineStr">
        <is>
          <t>Commissary &amp; storage / Sales</t>
        </is>
      </c>
      <c r="B55" s="65">
        <f>IFERROR(IF(B9="","",B22/B9),"")</f>
        <v>0.0421455938697318</v>
      </c>
      <c r="C55" s="65">
        <f>IFERROR(IF(C9="","",C22/C9),"")</f>
        <v>0.038314176245210725</v>
      </c>
      <c r="D55" s="65">
        <f>IFERROR(IF(D9="","",D22/D9),"")</f>
        <v>0.03614544928793465</v>
      </c>
      <c r="E55" s="70" t="n">
        <v>0.07000000000000001</v>
      </c>
      <c r="F55" s="35" t="inlineStr">
        <is>
          <t>There is no storefront rent in this workbook: 7% is a prudent ceiling for the commissary kitchen and equipment storage, a kit benchmark (editable estimate). A business with its own fixed kitchen carries a much higher occupancy cost.</t>
        </is>
      </c>
    </row>
    <row r="56">
      <c r="A56" s="35" t="inlineStr">
        <is>
          <t>Net income / Sales</t>
        </is>
      </c>
      <c r="B56" s="65">
        <f>IFERROR(IF(B9="","",B48/B9),"")</f>
        <v>0.06487699781061847</v>
      </c>
      <c r="C56" s="65">
        <f>IFERROR(IF(C9="","",C48/C9),"")</f>
        <v>0.09326942155128456</v>
      </c>
      <c r="D56" s="65">
        <f>IFERROR(IF(D9="","",D48/D9),"")</f>
        <v>0.10715713601879699</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Paella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163677.48571428572</v>
      </c>
      <c r="C6" s="61">
        <f>IFERROR(IF('3-Year P&amp;L'!$C$9="","",'3-Year P&amp;L'!$C$38),"")</f>
        <v>167002.8905162019</v>
      </c>
      <c r="D6" s="61">
        <f>IFERROR(IF('3-Year P&amp;L'!$D$9="","",'3-Year P&amp;L'!$D$38),"")</f>
        <v>170260.8357983097</v>
      </c>
      <c r="E6" s="28" t="inlineStr">
        <is>
          <t>The SAME fixed costs as the P&amp;L. Each year has its own, which is why the threshold cannot be a single one for all three years</t>
        </is>
      </c>
      <c r="F6" s="28" t="n"/>
    </row>
    <row r="7">
      <c r="A7" s="28" t="inlineStr">
        <is>
          <t>Monthly fixed costs</t>
        </is>
      </c>
      <c r="B7" s="61">
        <f>IFERROR(IF('3-Year P&amp;L'!$B$9="","",B6/12),"")</f>
        <v>13639.790476190477</v>
      </c>
      <c r="C7" s="61">
        <f>IFERROR(IF('3-Year P&amp;L'!$C$9="","",C6/12),"")</f>
        <v>13916.907543016825</v>
      </c>
      <c r="D7" s="61">
        <f>IFERROR(IF('3-Year P&amp;L'!$D$9="","",D6/12),"")</f>
        <v>14188.402983192476</v>
      </c>
      <c r="E7" s="28" t="n"/>
      <c r="F7" s="28" t="n"/>
    </row>
    <row r="8">
      <c r="A8" s="28" t="inlineStr">
        <is>
          <t>Average price per guest (excl. sales tax)</t>
        </is>
      </c>
      <c r="B8" s="61">
        <f>IFERROR(IF('3-Year P&amp;L'!$B$9="","",'3-Year P&amp;L'!$B$7),"")</f>
        <v>40.0</v>
      </c>
      <c r="C8" s="61">
        <f>IFERROR(IF('3-Year P&amp;L'!$C$9="","",'3-Year P&amp;L'!$C$7),"")</f>
        <v>40.0</v>
      </c>
      <c r="D8" s="61">
        <f>IFERROR(IF('3-Year P&amp;L'!$D$9="","",'3-Year P&amp;L'!$D$7),"")</f>
        <v>40.0</v>
      </c>
      <c r="E8" s="28" t="n"/>
      <c r="F8" s="28" t="n"/>
    </row>
    <row r="9">
      <c r="A9" s="28" t="inlineStr">
        <is>
          <t>Variable cost per guest</t>
        </is>
      </c>
      <c r="B9" s="61">
        <f>IFERROR(IF('3-Year P&amp;L'!$B$9="","",'3-Year P&amp;L'!$B$19/('3-Year P&amp;L'!$B$6*'3-Year P&amp;L'!$B$8)),"")</f>
        <v>15.636000000000001</v>
      </c>
      <c r="C9" s="61">
        <f>IFERROR(IF('3-Year P&amp;L'!$C$9="","",'3-Year P&amp;L'!$C$19/('3-Year P&amp;L'!$C$6*'3-Year P&amp;L'!$C$8)),"")</f>
        <v>15.636000000000003</v>
      </c>
      <c r="D9" s="61">
        <f>IFERROR(IF('3-Year P&amp;L'!$D$9="","",'3-Year P&amp;L'!$D$19/('3-Year P&amp;L'!$D$6*'3-Year P&amp;L'!$D$8)),"")</f>
        <v>15.635999999999997</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24.363999999999997</v>
      </c>
      <c r="C10" s="61">
        <f>IFERROR(IF('3-Year P&amp;L'!$C$9="","",C8-C9),"")</f>
        <v>24.363999999999997</v>
      </c>
      <c r="D10" s="61">
        <f>IFERROR(IF('3-Year P&amp;L'!$D$9="","",D8-D9),"")</f>
        <v>24.364000000000004</v>
      </c>
      <c r="E10" s="28" t="inlineStr">
        <is>
          <t>Price per guest minus variable cost per guest</t>
        </is>
      </c>
      <c r="F10" s="28" t="n"/>
    </row>
    <row r="11">
      <c r="A11" s="28" t="inlineStr">
        <is>
          <t>Average guests per event</t>
        </is>
      </c>
      <c r="B11" s="40">
        <f>IFERROR(IF('3-Year P&amp;L'!$B$9="","",'3-Year P&amp;L'!$B$8),"")</f>
        <v>58.0</v>
      </c>
      <c r="C11" s="40">
        <f>IFERROR(IF('3-Year P&amp;L'!$C$9="","",'3-Year P&amp;L'!$C$8),"")</f>
        <v>58.0</v>
      </c>
      <c r="D11" s="40">
        <f>IFERROR(IF('3-Year P&amp;L'!$D$9="","",'3-Year P&amp;L'!$D$8),"")</f>
        <v>58.0</v>
      </c>
      <c r="E11" s="28" t="inlineStr">
        <is>
          <t>The same calendar as the P&amp;L and the scenarios</t>
        </is>
      </c>
      <c r="F11" s="28" t="n"/>
    </row>
    <row r="12">
      <c r="A12" s="28" t="inlineStr">
        <is>
          <t>Principal repaid in the year</t>
        </is>
      </c>
      <c r="B12" s="61">
        <f>IFERROR(IF('3-Year P&amp;L'!$B$9="","",Financing!$B$45),"")</f>
        <v>6745.951980838116</v>
      </c>
      <c r="C12" s="61">
        <f>IFERROR(IF('3-Year P&amp;L'!$C$9="","",Financing!$B$47),"")</f>
        <v>7420.547178921926</v>
      </c>
      <c r="D12" s="61">
        <f>IFERROR(IF('3-Year P&amp;L'!$D$9="","",Financing!$B$49),"")</f>
        <v>8162.60189681412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6718.005488191009</v>
      </c>
      <c r="C14" s="40">
        <f>IFERROR(IF('3-Year P&amp;L'!$C$9="","",IF(C10&lt;=0,"",C6/C10)),"")</f>
        <v>6854.493946650875</v>
      </c>
      <c r="D14" s="40">
        <f>IFERROR(IF('3-Year P&amp;L'!$D$9="","",IF(D10&lt;=0,"",D6/D10)),"")</f>
        <v>6988.213585548748</v>
      </c>
      <c r="E14" s="28" t="n"/>
      <c r="F14" s="28" t="n"/>
    </row>
    <row r="15">
      <c r="A15" s="28" t="inlineStr">
        <is>
          <t>Events needed per year</t>
        </is>
      </c>
      <c r="B15" s="44">
        <f>IFERROR(IF('3-Year P&amp;L'!$B$9="","",B14/B11),"")</f>
        <v>115.82768083087947</v>
      </c>
      <c r="C15" s="44">
        <f>IFERROR(IF('3-Year P&amp;L'!$C$9="","",C14/C11),"")</f>
        <v>118.18093011467026</v>
      </c>
      <c r="D15" s="44">
        <f>IFERROR(IF('3-Year P&amp;L'!$D$9="","",D14/D11),"")</f>
        <v>120.48644113015082</v>
      </c>
      <c r="E15" s="28" t="n"/>
      <c r="F15" s="28" t="n"/>
    </row>
    <row r="16">
      <c r="A16" s="25" t="inlineStr">
        <is>
          <t>Revenue needed per year</t>
        </is>
      </c>
      <c r="B16" s="66">
        <f>IFERROR(IF('3-Year P&amp;L'!$B$9="","",B14*B8),"")</f>
        <v>268720.2195276404</v>
      </c>
      <c r="C16" s="66">
        <f>IFERROR(IF('3-Year P&amp;L'!$C$9="","",C14*C8),"")</f>
        <v>274179.757866035</v>
      </c>
      <c r="D16" s="66">
        <f>IFERROR(IF('3-Year P&amp;L'!$D$9="","",D14*D8),"")</f>
        <v>279528.5434219499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164689.15198083813</v>
      </c>
      <c r="C18" s="61">
        <f>IFERROR(IF('3-Year P&amp;L'!$C$9="","",C6-'3-Year P&amp;L'!$C$36+C12),"")</f>
        <v>168689.15198083813</v>
      </c>
      <c r="D18" s="61">
        <f>IFERROR(IF('3-Year P&amp;L'!$D$9="","",D6-'3-Year P&amp;L'!$D$36+D12),"")</f>
        <v>172689.15198083813</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6759.5284838630005</v>
      </c>
      <c r="C19" s="40">
        <f>IFERROR(IF('3-Year P&amp;L'!$C$9="","",IF(C10&lt;=0,"",C18/C10)),"")</f>
        <v>6923.70513794279</v>
      </c>
      <c r="D19" s="40">
        <f>IFERROR(IF('3-Year P&amp;L'!$D$9="","",IF(D10&lt;=0,"",D18/D10)),"")</f>
        <v>7087.881792022578</v>
      </c>
      <c r="E19" s="28" t="n"/>
      <c r="F19" s="28" t="n"/>
    </row>
    <row r="20">
      <c r="A20" s="25" t="inlineStr">
        <is>
          <t>Events needed per year (cash)</t>
        </is>
      </c>
      <c r="B20" s="45">
        <f>IFERROR(IF('3-Year P&amp;L'!$B$9="","",B19/B11),"")</f>
        <v>116.54359454936208</v>
      </c>
      <c r="C20" s="45">
        <f>IFERROR(IF('3-Year P&amp;L'!$C$9="","",C19/C11),"")</f>
        <v>119.374226516255</v>
      </c>
      <c r="D20" s="45">
        <f>IFERROR(IF('3-Year P&amp;L'!$D$9="","",D19/D11),"")</f>
        <v>122.2048584831479</v>
      </c>
      <c r="E20" s="28" t="n"/>
      <c r="F20" s="28" t="n"/>
    </row>
    <row r="21">
      <c r="A21" s="28" t="inlineStr">
        <is>
          <t>Revenue needed per year (cash)</t>
        </is>
      </c>
      <c r="B21" s="40">
        <f>IFERROR(IF('3-Year P&amp;L'!$B$9="","",B19*B8),"")</f>
        <v>270381.13935452</v>
      </c>
      <c r="C21" s="40">
        <f>IFERROR(IF('3-Year P&amp;L'!$C$9="","",C19*C8),"")</f>
        <v>276948.2055177116</v>
      </c>
      <c r="D21" s="40">
        <f>IFERROR(IF('3-Year P&amp;L'!$D$9="","",D19*D8),"")</f>
        <v>283515.27168090316</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135.0</v>
      </c>
      <c r="C23" s="40">
        <f>IFERROR(IF('3-Year P&amp;L'!$C$9="","",'3-Year P&amp;L'!$C$6),"")</f>
        <v>148.5</v>
      </c>
      <c r="D23" s="40">
        <f>IFERROR(IF('3-Year P&amp;L'!$D$9="","",'3-Year P&amp;L'!$D$6),"")</f>
        <v>157.41</v>
      </c>
      <c r="E23" s="28" t="n"/>
      <c r="F23" s="28" t="n"/>
    </row>
    <row r="24">
      <c r="A24" s="28" t="inlineStr">
        <is>
          <t>Cushion above CASH break-even (%)</t>
        </is>
      </c>
      <c r="B24" s="68">
        <f>IFERROR(IF('3-Year P&amp;L'!$B$9="","",B23/B20-1),"")</f>
        <v>0.1583648206664905</v>
      </c>
      <c r="C24" s="68">
        <f>IFERROR(IF('3-Year P&amp;L'!$C$9="","",C23/C20-1),"")</f>
        <v>0.24398711793771488</v>
      </c>
      <c r="D24" s="68">
        <f>IFERROR(IF('3-Year P&amp;L'!$D$9="","",D23/D20-1),"")</f>
        <v>0.28808299403011794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116 events a year at your average of 58 guests per event to avoid losing money (accounting break-even, depreciation included), and 117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37.0</v>
      </c>
      <c r="C31" s="62">
        <f>IFERROR(IF($B$8="","",$B$8),"")</f>
        <v>40.0</v>
      </c>
      <c r="D31" s="62">
        <f>IFERROR($B$8+3,"")</f>
        <v>43.0</v>
      </c>
      <c r="E31" s="62">
        <f>IFERROR($B$8+6,"")</f>
        <v>46.0</v>
      </c>
      <c r="F31" s="28" t="n"/>
    </row>
    <row r="32">
      <c r="A32" s="61">
        <f>IFERROR($B$9*0.85,"")</f>
        <v>13.290600000000001</v>
      </c>
      <c r="B32" s="44">
        <f>IFERROR(IF($B$31-$A32&lt;=0,"",$B$6/($B$31-$A32)/$B$11),"")</f>
        <v>119.02560232496593</v>
      </c>
      <c r="C32" s="44">
        <f>IFERROR(IF($C$31-$A32&lt;=0,"",$B$6/($C$31-$A32)/$B$11),"")</f>
        <v>105.65664581621253</v>
      </c>
      <c r="D32" s="44">
        <f>IFERROR(IF($D$31-$A32&lt;=0,"",$B$6/($D$31-$A32)/$B$11),"")</f>
        <v>94.98763407418349</v>
      </c>
      <c r="E32" s="44">
        <f>IFERROR(IF($E$31-$A32&lt;=0,"",$B$6/($E$31-$A32)/$B$11),"")</f>
        <v>86.27567658726686</v>
      </c>
      <c r="F32" s="28" t="n"/>
    </row>
    <row r="33">
      <c r="A33" s="61">
        <f>IFERROR($B$9*0.925,"")</f>
        <v>14.463300000000002</v>
      </c>
      <c r="B33" s="44">
        <f>IFERROR(IF($B$31-$A33&lt;=0,"",$B$6/($B$31-$A33)/$B$11),"")</f>
        <v>125.2191144117616</v>
      </c>
      <c r="C33" s="44">
        <f>IFERROR(IF($C$31-$A33&lt;=0,"",$B$6/($C$31-$A33)/$B$11),"")</f>
        <v>110.50862545918413</v>
      </c>
      <c r="D33" s="44">
        <f>IFERROR(IF($D$31-$A33&lt;=0,"",$B$6/($D$31-$A33)/$B$11),"")</f>
        <v>98.89109868217234</v>
      </c>
      <c r="E33" s="44">
        <f>IFERROR(IF($E$31-$A33&lt;=0,"",$B$6/($E$31-$A33)/$B$11),"")</f>
        <v>89.48385898852915</v>
      </c>
      <c r="F33" s="28" t="n"/>
    </row>
    <row r="34">
      <c r="A34" s="64">
        <f>IFERROR($B$9*1.0,"")</f>
        <v>15.636000000000001</v>
      </c>
      <c r="B34" s="48">
        <f>IFERROR(IF($B$31-$A34&lt;=0,"",$B$6/($B$31-$A34)/$B$11),"")</f>
        <v>132.0925676728865</v>
      </c>
      <c r="C34" s="48">
        <f>IFERROR(IF($C$31-$A34&lt;=0,"",$B$6/($C$31-$A34)/$B$11),"")</f>
        <v>115.82768083087947</v>
      </c>
      <c r="D34" s="48">
        <f>IFERROR(IF($D$31-$A34&lt;=0,"",$B$6/($D$31-$A34)/$B$11),"")</f>
        <v>103.12913374373437</v>
      </c>
      <c r="E34" s="48">
        <f>IFERROR(IF($E$31-$A34&lt;=0,"",$B$6/($E$31-$A34)/$B$11),"")</f>
        <v>92.93985034131035</v>
      </c>
    </row>
    <row r="35">
      <c r="A35" s="64">
        <f>IFERROR($B$9*1.075,"")</f>
        <v>16.8087</v>
      </c>
      <c r="B35" s="48">
        <f>IFERROR(IF($B$31-$A35&lt;=0,"",$B$6/($B$31-$A35)/$B$11),"")</f>
        <v>139.76443397718558</v>
      </c>
      <c r="C35" s="48">
        <f>IFERROR(IF($C$31-$A35&lt;=0,"",$B$6/($C$31-$A35)/$B$11),"")</f>
        <v>121.68466691231397</v>
      </c>
      <c r="D35" s="48">
        <f>IFERROR(IF($D$31-$A35&lt;=0,"",$B$6/($D$31-$A35)/$B$11),"")</f>
        <v>107.74667984267856</v>
      </c>
      <c r="E35" s="48">
        <f>IFERROR(IF($E$31-$A35&lt;=0,"",$B$6/($E$31-$A35)/$B$11),"")</f>
        <v>96.67351627928687</v>
      </c>
    </row>
    <row r="36">
      <c r="A36" s="64">
        <f>IFERROR($B$9*1.15,"")</f>
        <v>17.9814</v>
      </c>
      <c r="B36" s="48">
        <f>IFERROR(IF($B$31-$A36&lt;=0,"",$B$6/($B$31-$A36)/$B$11),"")</f>
        <v>148.38240542224702</v>
      </c>
      <c r="C36" s="48">
        <f>IFERROR(IF($C$31-$A36&lt;=0,"",$B$6/($C$31-$A36)/$B$11),"")</f>
        <v>128.16553349275372</v>
      </c>
      <c r="D36" s="48">
        <f>IFERROR(IF($D$31-$A36&lt;=0,"",$B$6/($D$31-$A36)/$B$11),"")</f>
        <v>112.79710358547428</v>
      </c>
      <c r="E36" s="48">
        <f>IFERROR(IF($E$31-$A36&lt;=0,"",$B$6/($E$31-$A36)/$B$11),"")</f>
        <v>100.7197224616343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101</v>
      </c>
      <c r="C5" s="40">
        <f>IFERROR(IF('3-Year P&amp;L'!$B$6="","",'3-Year P&amp;L'!$B$6),"")</f>
        <v>135.0</v>
      </c>
      <c r="D5" s="49" t="n">
        <v>169</v>
      </c>
      <c r="E5" s="28" t="n"/>
      <c r="F5" s="28" t="n"/>
    </row>
    <row r="6">
      <c r="A6" s="28" t="inlineStr">
        <is>
          <t>Average price per guest (excl. sales tax)</t>
        </is>
      </c>
      <c r="B6" s="71" t="n">
        <v>36</v>
      </c>
      <c r="C6" s="61">
        <f>IFERROR(IF('3-Year P&amp;L'!$B$7="","",'3-Year P&amp;L'!$B$7),"")</f>
        <v>40.0</v>
      </c>
      <c r="D6" s="71" t="n">
        <v>44</v>
      </c>
      <c r="E6" s="28" t="n"/>
      <c r="F6" s="28" t="n"/>
    </row>
    <row r="7">
      <c r="A7" s="28" t="inlineStr">
        <is>
          <t>Average guests per event</t>
        </is>
      </c>
      <c r="B7" s="49" t="n">
        <v>52</v>
      </c>
      <c r="C7" s="40">
        <f>IFERROR(IF('3-Year P&amp;L'!$B$8="","",'3-Year P&amp;L'!$B$8),"")</f>
        <v>58.0</v>
      </c>
      <c r="D7" s="49" t="n">
        <v>64</v>
      </c>
      <c r="E7" s="28" t="n"/>
      <c r="F7" s="28" t="n"/>
    </row>
    <row r="8">
      <c r="A8" s="25" t="inlineStr">
        <is>
          <t>ANNUAL REVENUE (excl. sales tax)</t>
        </is>
      </c>
      <c r="B8" s="66">
        <f>IFERROR(IF(B5*B6*B7=0,"",B5*B6*B7),"")</f>
        <v>189072.0</v>
      </c>
      <c r="C8" s="66">
        <f>IFERROR(IF(C5*C6*C7=0,"",C5*C6*C7),"")</f>
        <v>313200.0</v>
      </c>
      <c r="D8" s="66">
        <f>IFERROR(IF(D5*D6*D7=0,"",D5*D6*D7),"")</f>
        <v>475904.0</v>
      </c>
      <c r="E8" s="28" t="n"/>
      <c r="F8" s="28" t="n"/>
    </row>
    <row r="9">
      <c r="A9" s="28" t="inlineStr">
        <is>
          <t>Cost of goods — paella packages (rice, seafood, meats, saffron, salad &amp; bread)</t>
        </is>
      </c>
      <c r="B9" s="40">
        <f>IFERROR(IF(B8="","",B8*'0. Assumptions'!$B$11*'0. Assumptions'!$B$13),"")</f>
        <v>46587.340800000005</v>
      </c>
      <c r="C9" s="40">
        <f>IFERROR(IF(C8="","",C8*'0. Assumptions'!$B$11*'0. Assumptions'!$B$13),"")</f>
        <v>77172.48000000001</v>
      </c>
      <c r="D9" s="40">
        <f>IFERROR(IF(D8="","",D8*'0. Assumptions'!$B$11*'0. Assumptions'!$B$13),"")</f>
        <v>117262.74560000001</v>
      </c>
      <c r="E9" s="28" t="n"/>
      <c r="F9" s="28" t="n"/>
    </row>
    <row r="10">
      <c r="A10" s="28" t="inlineStr">
        <is>
          <t>Cost of goods — add-ons</t>
        </is>
      </c>
      <c r="B10" s="40">
        <f>IFERROR(IF(B8="","",B8*'0. Assumptions'!$B$12*'0. Assumptions'!$B$14),"")</f>
        <v>7941.023999999999</v>
      </c>
      <c r="C10" s="40">
        <f>IFERROR(IF(C8="","",C8*'0. Assumptions'!$B$12*'0. Assumptions'!$B$14),"")</f>
        <v>13154.4</v>
      </c>
      <c r="D10" s="40">
        <f>IFERROR(IF(D8="","",D8*'0. Assumptions'!$B$12*'0. Assumptions'!$B$14),"")</f>
        <v>19987.967999999997</v>
      </c>
      <c r="E10" s="28" t="n"/>
      <c r="F10" s="28" t="n"/>
    </row>
    <row r="11">
      <c r="A11" s="28" t="inlineStr">
        <is>
          <t>Disposables &amp; cooking fuel</t>
        </is>
      </c>
      <c r="B11" s="40">
        <f>IFERROR(IF(B8="","",B8*'0. Assumptions'!$B$15),"")</f>
        <v>6617.52</v>
      </c>
      <c r="C11" s="40">
        <f>IFERROR(IF(C8="","",C8*'0. Assumptions'!$B$15),"")</f>
        <v>10962.000000000002</v>
      </c>
      <c r="D11" s="40">
        <f>IFERROR(IF(D8="","",D8*'0. Assumptions'!$B$15),"")</f>
        <v>16656.640000000003</v>
      </c>
      <c r="E11" s="28" t="n"/>
      <c r="F11" s="28" t="n"/>
    </row>
    <row r="12">
      <c r="A12" s="28" t="inlineStr">
        <is>
          <t>Corporate catering marketplace fees</t>
        </is>
      </c>
      <c r="B12" s="40">
        <f>IFERROR(IF(B8="","",B8*'0. Assumptions'!$B$16*'0. Assumptions'!$B$17),"")</f>
        <v>1418.04</v>
      </c>
      <c r="C12" s="40">
        <f>IFERROR(IF(C8="","",C8*'0. Assumptions'!$B$16*'0. Assumptions'!$B$17),"")</f>
        <v>2349.0</v>
      </c>
      <c r="D12" s="40">
        <f>IFERROR(IF(D8="","",D8*'0. Assumptions'!$B$16*'0. Assumptions'!$B$17),"")</f>
        <v>3569.28</v>
      </c>
      <c r="E12" s="28" t="n"/>
      <c r="F12" s="28" t="n"/>
    </row>
    <row r="13">
      <c r="A13" s="28" t="inlineStr">
        <is>
          <t>Card processing fees</t>
        </is>
      </c>
      <c r="B13" s="40">
        <f>IFERROR(IF(B8="","",B8*'0. Assumptions'!$B$18),"")</f>
        <v>5672.16</v>
      </c>
      <c r="C13" s="40">
        <f>IFERROR(IF(C8="","",C8*'0. Assumptions'!$B$18),"")</f>
        <v>9396.0</v>
      </c>
      <c r="D13" s="40">
        <f>IFERROR(IF(D8="","",D8*'0. Assumptions'!$B$18),"")</f>
        <v>14277.119999999999</v>
      </c>
      <c r="E13" s="28" t="n"/>
      <c r="F13" s="28" t="n"/>
    </row>
    <row r="14">
      <c r="A14" s="28" t="inlineStr">
        <is>
          <t>Miscellaneous and contingency</t>
        </is>
      </c>
      <c r="B14" s="40">
        <f>IFERROR(IF(B8="","",B8*'0. Assumptions'!$B$28),"")</f>
        <v>5672.16</v>
      </c>
      <c r="C14" s="40">
        <f>IFERROR(IF(C8="","",C8*'0. Assumptions'!$B$28),"")</f>
        <v>9396.0</v>
      </c>
      <c r="D14" s="40">
        <f>IFERROR(IF(D8="","",D8*'0. Assumptions'!$B$28),"")</f>
        <v>14277.119999999999</v>
      </c>
      <c r="E14" s="28" t="n"/>
      <c r="F14" s="28" t="n"/>
    </row>
    <row r="15">
      <c r="A15" s="28" t="inlineStr">
        <is>
          <t>TOTAL VARIABLE COSTS</t>
        </is>
      </c>
      <c r="B15" s="40">
        <f>IFERROR(IF(B8="","",SUM(B9:B14)),"")</f>
        <v>73908.2448</v>
      </c>
      <c r="C15" s="40">
        <f>IFERROR(IF(C8="","",SUM(C9:C14)),"")</f>
        <v>122429.88</v>
      </c>
      <c r="D15" s="40">
        <f>IFERROR(IF(D8="","",SUM(D9:D14)),"")</f>
        <v>186030.87360000002</v>
      </c>
      <c r="E15" s="28" t="n"/>
      <c r="F15" s="28" t="n"/>
    </row>
    <row r="16">
      <c r="A16" s="35" t="inlineStr">
        <is>
          <t>GROSS MARGIN</t>
        </is>
      </c>
      <c r="B16" s="42">
        <f>IFERROR(IF(B8="","",B8-B15),"")</f>
        <v>115163.7552</v>
      </c>
      <c r="C16" s="42">
        <f>IFERROR(IF(C8="","",C8-C15),"")</f>
        <v>190770.12</v>
      </c>
      <c r="D16" s="42">
        <f>IFERROR(IF(D8="","",D8-D15),"")</f>
        <v>289873.12639999995</v>
      </c>
    </row>
    <row r="17">
      <c r="A17" s="35" t="inlineStr">
        <is>
          <t>FIXED COSTS (the P&amp;L's)</t>
        </is>
      </c>
      <c r="B17" s="42">
        <f>IFERROR(IF(B8="","",'3-Year P&amp;L'!$B$38),"")</f>
        <v>163677.48571428572</v>
      </c>
      <c r="C17" s="42">
        <f>IFERROR(IF(C8="","",'3-Year P&amp;L'!$B$38),"")</f>
        <v>163677.48571428572</v>
      </c>
      <c r="D17" s="42">
        <f>IFERROR(IF(D8="","",'3-Year P&amp;L'!$B$38),"")</f>
        <v>163677.48571428572</v>
      </c>
      <c r="E17" s="35" t="inlineStr">
        <is>
          <t>Fixed costs do not change with the scenario: that is why they are fixed</t>
        </is>
      </c>
    </row>
    <row r="18">
      <c r="A18" s="16" t="inlineStr">
        <is>
          <t>PRE-TAX INCOME (EBT)</t>
        </is>
      </c>
      <c r="B18" s="52">
        <f>IFERROR(IF(B8="","",B16-B17),"")</f>
        <v>-48513.73051428572</v>
      </c>
      <c r="C18" s="52">
        <f>IFERROR(IF(C8="","",C16-C17),"")</f>
        <v>27092.634285714274</v>
      </c>
      <c r="D18" s="52">
        <f>IFERROR(IF(D8="","",D16-D17),"")</f>
        <v>126195.64068571423</v>
      </c>
    </row>
    <row r="19">
      <c r="A19" s="35" t="inlineStr">
        <is>
          <t>Income tax</t>
        </is>
      </c>
      <c r="B19" s="42">
        <f>IFERROR(IF(B8="","",MAX(0,B18-'0. Assumptions'!$B$42)*'0. Assumptions'!$B$37),"")</f>
        <v>0.0</v>
      </c>
      <c r="C19" s="42">
        <f>IFERROR(IF(C8="","",MAX(0,C18-'0. Assumptions'!$B$42)*'0. Assumptions'!$B$37),"")</f>
        <v>6773.158571428568</v>
      </c>
      <c r="D19" s="42">
        <f>IFERROR(IF(D8="","",MAX(0,D18-'0. Assumptions'!$B$42)*'0. Assumptions'!$B$37),"")</f>
        <v>31548.910171428557</v>
      </c>
      <c r="E19" s="35" t="inlineStr">
        <is>
          <t>At the "years 1-2" effective income tax rate, offsetting prior net operating losses</t>
        </is>
      </c>
    </row>
    <row r="20">
      <c r="A20" s="16" t="inlineStr">
        <is>
          <t>NET INCOME</t>
        </is>
      </c>
      <c r="B20" s="52">
        <f>IFERROR(IF(B8="","",B18-B19),"")</f>
        <v>-48513.73051428572</v>
      </c>
      <c r="C20" s="52">
        <f>IFERROR(IF(C8="","",C18-C19),"")</f>
        <v>20319.475714285705</v>
      </c>
      <c r="D20" s="52">
        <f>IFERROR(IF(D8="","",D18-D19),"")</f>
        <v>94646.73051428568</v>
      </c>
    </row>
    <row r="21">
      <c r="A21" s="35" t="inlineStr">
        <is>
          <t>Events per year to break even</t>
        </is>
      </c>
      <c r="B21" s="48">
        <f>IFERROR(IF(B8="","",IF(B6-B15/(B5*B7)&lt;=0,"",B17/(B6-B15/(B5*B7))/B7)),"")</f>
        <v>143.54712581604718</v>
      </c>
      <c r="C21" s="48">
        <f>IFERROR(IF(C8="","",IF(C6-C15/(C5*C7)&lt;=0,"",C17/(C6-C15/(C5*C7))/C7)),"")</f>
        <v>115.82768083087947</v>
      </c>
      <c r="D21" s="48">
        <f>IFERROR(IF(D8="","",IF(D6-D15/(D5*D7)&lt;=0,"",D17/(D6-D15/(D5*D7))/D7)),"")</f>
        <v>95.426214320895</v>
      </c>
    </row>
    <row r="22">
      <c r="A22" s="16" t="inlineStr">
        <is>
          <t>WHAT EACH SCENARIO DEMANDS</t>
        </is>
      </c>
    </row>
    <row r="23">
      <c r="A23" s="35" t="inlineStr">
        <is>
          <t>Labor cost / Sales</t>
        </is>
      </c>
      <c r="B23" s="65">
        <f>IFERROR(IF(B8="","",'3-Year P&amp;L'!$B$23/B8),"")</f>
        <v>0.5603325717187103</v>
      </c>
      <c r="C23" s="65">
        <f>IFERROR(IF(C8="","",'3-Year P&amp;L'!$B$23/C8),"")</f>
        <v>0.3382605363984674</v>
      </c>
      <c r="D23" s="65">
        <f>IFERROR(IF(D8="","",'3-Year P&amp;L'!$B$23/D8),"")</f>
        <v>0.2226146449704142</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2500.952380952381</v>
      </c>
      <c r="C24" s="42">
        <f>IFERROR(IF(C8="","",C5*C7/Staffing!$C$9),"")</f>
        <v>3728.5714285714294</v>
      </c>
      <c r="D24" s="42">
        <f>IFERROR(IF(D8="","",D5*D7/Staffing!$C$9),"")</f>
        <v>5150.476190476192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-10039.596780838121</v>
      </c>
      <c r="C25" s="52">
        <f>IFERROR(IF(C8="","",'Startup Costs'!$B$25+C20+'3-Year P&amp;L'!$B$36-Financing!$B$45),"")</f>
        <v>58793.60944773331</v>
      </c>
      <c r="D25" s="52">
        <f>IFERROR(IF(D8="","",'Startup Costs'!$B$25+D20+'3-Year P&amp;L'!$B$36-Financing!$B$45),"")</f>
        <v>133120.86424773326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68456.01892160086</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Paella Chef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cooks the paella at the events. Covers the main shift at every event. The rest of the owner's pay comes from profit.</t>
        </is>
      </c>
    </row>
    <row r="6">
      <c r="A6" s="28" t="inlineStr">
        <is>
          <t>Lead cook / second paella chef (part-time W-2)</t>
        </is>
      </c>
      <c r="B6" s="49" t="n">
        <v>1</v>
      </c>
      <c r="C6" s="51" t="n">
        <v>0.4</v>
      </c>
      <c r="D6" s="71" t="n">
        <v>1387</v>
      </c>
      <c r="E6" s="61">
        <f>IFERROR(IF(D6="","",D6*'0. Assumptions'!$B$20),"")</f>
        <v>138.70000000000002</v>
      </c>
      <c r="F6" s="61">
        <f>IFERROR(IF(D6="","",D6+E6),"")</f>
        <v>1525.7</v>
      </c>
      <c r="G6" s="61">
        <f>IFERROR(IF(D6="","",F6*MAX(12,'0. Assumptions'!$B$21)),"")</f>
        <v>18308.4</v>
      </c>
      <c r="H6" s="44">
        <f>IFERROR(IF(D6="","",C6*$B$16),"")</f>
        <v>16.0</v>
      </c>
      <c r="I6" s="40">
        <f>IFERROR(IF(D6="","",H6*B6*$B$17),"")</f>
        <v>800.0</v>
      </c>
      <c r="J6" s="28" t="inlineStr">
        <is>
          <t>Lead cook / second paella chef, part-time W-2: runs the second paella at big events and the second event on a Saturday. One paella chef can run about three pans at once. Paid at or above the pay floor in proportion to FTE, between the mean and the 75th percentile for restaurant cooks (BLS OEWS, May 2025).</t>
        </is>
      </c>
    </row>
    <row r="7">
      <c r="A7" s="28" t="inlineStr">
        <is>
          <t>Event staff (servers, buffet attendants; hourly W-2)</t>
        </is>
      </c>
      <c r="B7" s="49" t="n">
        <v>4</v>
      </c>
      <c r="C7" s="51" t="n">
        <v>0.1</v>
      </c>
      <c r="D7" s="71" t="n">
        <v>1248</v>
      </c>
      <c r="E7" s="61">
        <f>IFERROR(IF(D7="","",D7*'0. Assumptions'!$B$20),"")</f>
        <v>124.80000000000001</v>
      </c>
      <c r="F7" s="61">
        <f>IFERROR(IF(D7="","",D7+E7),"")</f>
        <v>1372.8</v>
      </c>
      <c r="G7" s="61">
        <f>IFERROR(IF(D7="","",F7*MAX(12,'0. Assumptions'!$B$21)),"")</f>
        <v>16473.6</v>
      </c>
      <c r="H7" s="44">
        <f>IFERROR(IF(D7="","",C7*$B$16),"")</f>
        <v>4.0</v>
      </c>
      <c r="I7" s="40">
        <f>IFERROR(IF(D7="","",H7*B7*$B$17),"")</f>
        <v>800.0</v>
      </c>
      <c r="J7" s="28" t="inlineStr">
        <is>
          <t>Servers and buffet attendants hired per event and paid hourly as W-2 employees, about one team member per 25 guests (miamigrillcatering.com). Their FTE is a fraction because they only work event hours. Treating them as 1099 contractors is a misclassification risk (FLSA; California AB5). Paid at or above the pay floor in proportion to FTE. The voluntary gratuity is theirs. One of them acts as event captain on the day.</t>
        </is>
      </c>
    </row>
    <row r="8">
      <c r="A8" s="28" t="inlineStr">
        <is>
          <t>Prep cook / driver (part-time W-2)</t>
        </is>
      </c>
      <c r="B8" s="49" t="n">
        <v>1</v>
      </c>
      <c r="C8" s="51" t="n">
        <v>0.3</v>
      </c>
      <c r="D8" s="71" t="n">
        <v>884</v>
      </c>
      <c r="E8" s="61">
        <f>IFERROR(IF(D8="","",D8*'0. Assumptions'!$B$20),"")</f>
        <v>88.4</v>
      </c>
      <c r="F8" s="61">
        <f>IFERROR(IF(D8="","",D8+E8),"")</f>
        <v>972.4</v>
      </c>
      <c r="G8" s="61">
        <f>IFERROR(IF(D8="","",F8*MAX(12,'0. Assumptions'!$B$21)),"")</f>
        <v>11668.8</v>
      </c>
      <c r="H8" s="44">
        <f>IFERROR(IF(D8="","",C8*$B$16),"")</f>
        <v>12.0</v>
      </c>
      <c r="I8" s="40">
        <f>IFERROR(IF(D8="","",H8*B8*$B$17),"")</f>
        <v>600.0</v>
      </c>
      <c r="J8" s="28" t="inlineStr">
        <is>
          <t>Part-time W-2 prep cook and driver: makes the sofrito and stock and cleans the seafood in the commissary, loads the van and drives to venues. Paid at or above the pay floor in proportion to FTE.</t>
        </is>
      </c>
    </row>
    <row r="9">
      <c r="A9" s="16" t="inlineStr">
        <is>
          <t>TOTAL STAFF</t>
        </is>
      </c>
      <c r="B9" s="52">
        <f>IFERROR(IF(COUNT(D5:D8)=0,"",SUM(B5:B8)),"")</f>
        <v>7.0</v>
      </c>
      <c r="C9" s="53">
        <f>IFERROR(IF(COUNT(D5:D8)=0,"",SUMPRODUCT(B5:B8,C5:C8)),"")</f>
        <v>2.0999999999999996</v>
      </c>
      <c r="D9" s="53">
        <f>IFERROR(IF(COUNT(D5:D8)=0,"",SUM(D5:D8)),"")</f>
        <v>8026.0</v>
      </c>
      <c r="E9" s="53">
        <f>IFERROR(IF(COUNT(D5:D8)=0,"",SUM(E5:E8)),"")</f>
        <v>802.6000000000001</v>
      </c>
      <c r="F9" s="53">
        <f>IFERROR(IF(COUNT(D5:D8)=0,"",SUM(F5:F8)),"")</f>
        <v>8828.6</v>
      </c>
      <c r="G9" s="53">
        <f>IFERROR(IF(COUNT(D5:D8)=0,"",SUM(G5:G8)),"")</f>
        <v>105943.2</v>
      </c>
      <c r="I9" s="52">
        <f>IFERROR(IF(COUNT(D5:D8)=0,"",SUM(I5:I8)),"")</f>
        <v>4200.0</v>
      </c>
    </row>
    <row r="10">
      <c r="A10" s="16" t="inlineStr">
        <is>
          <t>STAFF GROWTH (stepped cost)</t>
        </is>
      </c>
    </row>
    <row r="11">
      <c r="A11" s="35" t="inlineStr">
        <is>
          <t>Annual cost of year-2 hires</t>
        </is>
      </c>
      <c r="B11" s="56" t="n">
        <v>4000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4000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109943.2</v>
      </c>
    </row>
    <row r="14">
      <c r="A14" s="35" t="inlineStr">
        <is>
          <t>Labor cost, year 3</t>
        </is>
      </c>
      <c r="B14" s="42">
        <f>IFERROR(IF(B13="","",B13*(1+'0. Assumptions'!$B$48)+B12),"")</f>
        <v>113943.2</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and cooking, service, breakdown)</t>
        </is>
      </c>
      <c r="B18" s="57" t="n">
        <v>9</v>
      </c>
      <c r="J18" s="35" t="inlineStr">
        <is>
          <t>Hours of work per person for one event: prep, loading, travel, arriving two to three hours early, setup, about one hour of cooking, about two hours of service, and breakdown and cleanup. Serving is only part of it. Hours × people × events per year sets the event staff cost.</t>
        </is>
      </c>
    </row>
    <row r="19">
      <c r="A19" s="35" t="inlineStr">
        <is>
          <t>People per event (paella chefs and event staff, average)</t>
        </is>
      </c>
      <c r="B19" s="57" t="n">
        <v>2.5</v>
      </c>
      <c r="J19" s="35" t="inlineStr">
        <is>
          <t>Average number of people working each event: 1 on a drop-off, 2 at a backyard paella party, 3 at a company event, 4.5 at a wedding and 4 at a premium seafood event (Kit estimate, about one team member per 25 guests). A full-service wedding with a tapas hour, like the calculator's example (2 paella chefs, a helper and 5 servers), takes 8: across 18 weddings that adds about 570 hours, and coverage stays above 100%. Weighted by the example mix in the Word plan, the average is about 2.5. Raise it if you staff like the calculator: the staffing sizes itself.</t>
        </is>
      </c>
    </row>
    <row r="20">
      <c r="A20" s="35" t="inlineStr">
        <is>
          <t>Event hours to cover per year</t>
        </is>
      </c>
      <c r="B20" s="42">
        <f>IFERROR(IF(OR(B18="",B19="",'0. Assumptions'!$B$4=""),"",B18*B19*'0. Assumptions'!$B$4),"")</f>
        <v>3037.5</v>
      </c>
    </row>
    <row r="21">
      <c r="A21" s="35" t="inlineStr">
        <is>
          <t>Hours hired per year</t>
        </is>
      </c>
      <c r="B21" s="42">
        <f>IFERROR(IF(I9="","",I9),"")</f>
        <v>4200.0</v>
      </c>
    </row>
    <row r="22">
      <c r="A22" s="16" t="inlineStr">
        <is>
          <t>Coverage (hired / needed)</t>
        </is>
      </c>
      <c r="B22" s="69">
        <f>IFERROR(B21/B20,"")</f>
        <v>1.382716049382716</v>
      </c>
      <c r="J22" s="16" t="inlineStr">
        <is>
          <t>Below 100% the staff cannot cover the hours the plan declares: either hire more or cut the hours</t>
        </is>
      </c>
    </row>
    <row r="24" ht="150" customHeight="1">
      <c r="A24" s="17" t="inlineStr">
        <is>
          <t>Columns D-G are TOTALS for the row. Event staff (servers, buffet attendants) are hourly W-2 employees with payroll taxes and workers' comp: paying them as 1099 contractors is a misclassification risk (FLSA; California AB5). One paella chef can run about three pans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Paella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paella packages and add-ons, cost of goods sold, commissary and equipment storage,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v>
      </c>
      <c r="C18" s="68">
        <f>IFERROR(IF('3-Year P&amp;L'!$E$53="","",'3-Year P&amp;L'!$E$53),"")</f>
        <v>0.35</v>
      </c>
      <c r="D18" s="28" t="str">
        <f>IFERROR(IF(OR(B18="",C18=""),"",IF(B18&lt;=C18,"OK","REVIEW")),"")</f>
        <v>OK</v>
      </c>
      <c r="E18" s="28" t="n"/>
    </row>
    <row r="19">
      <c r="A19" t="inlineStr">
        <is>
          <t>Labor cost / Sales</t>
        </is>
      </c>
      <c r="B19" s="65">
        <f>IFERROR(IF('3-Year P&amp;L'!$B$54="","",'3-Year P&amp;L'!$B$54),"")</f>
        <v>0.3382605363984674</v>
      </c>
      <c r="C19" s="65">
        <f>IFERROR(IF('3-Year P&amp;L'!$E$54="","",'3-Year P&amp;L'!$E$54),"")</f>
        <v>0.38</v>
      </c>
      <c r="D19" t="str">
        <f>IFERROR(IF(OR(B19="",C19=""),"",IF(B19&lt;=C19,"OK","REVIEW")),"")</f>
        <v>OK</v>
      </c>
    </row>
    <row r="20">
      <c r="A20" t="inlineStr">
        <is>
          <t>Commissary &amp; storage / Sales</t>
        </is>
      </c>
      <c r="B20" s="65">
        <f>IFERROR(IF('3-Year P&amp;L'!$B$55="","",'3-Year P&amp;L'!$B$55),"")</f>
        <v>0.0421455938697318</v>
      </c>
      <c r="C20" s="65">
        <f>IFERROR(IF('3-Year P&amp;L'!$E$55="","",'3-Year P&amp;L'!$E$55),"")</f>
        <v>0.07</v>
      </c>
      <c r="D20" t="str">
        <f>IFERROR(IF(OR(B20="",C20=""),"",IF(B20&lt;=C20,"OK","REVIEW")),"")</f>
        <v>OK</v>
      </c>
    </row>
    <row r="21">
      <c r="A21" t="inlineStr">
        <is>
          <t>Net income / Sales</t>
        </is>
      </c>
      <c r="B21" s="65">
        <f>IFERROR(IF('3-Year P&amp;L'!$B$56="","",'3-Year P&amp;L'!$B$56),"")</f>
        <v>0.06487699781061847</v>
      </c>
      <c r="C21" s="65">
        <f>IFERROR(IF('3-Year P&amp;L'!$E$56="","",'3-Year P&amp;L'!$E$56),"")</f>
        <v>0.05</v>
      </c>
      <c r="D21" t="str">
        <f>IFERROR(IF(OR(B21="",C21=""),"",IF(B21&gt;=C21,"OK","REVIEW")),"")</f>
        <v>OK</v>
      </c>
    </row>
    <row r="22">
      <c r="A22" t="inlineStr">
        <is>
          <t>Gross margin / Sales</t>
        </is>
      </c>
      <c r="B22" s="65">
        <f>IFERROR(IF('3-Year P&amp;L'!$B$51="","",'3-Year P&amp;L'!$B$51),"")</f>
        <v>0.6091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88965.8</v>
      </c>
    </row>
    <row r="26">
      <c r="A26" t="inlineStr">
        <is>
          <t>Total cash needed at launch</t>
        </is>
      </c>
      <c r="B26" s="42">
        <f>IFERROR(IF('Startup Costs'!$B$29="","",'Startup Costs'!$B$29),"")</f>
        <v>88965.8</v>
      </c>
    </row>
    <row r="27">
      <c r="A27" t="inlineStr">
        <is>
          <t>Working capital funded</t>
        </is>
      </c>
      <c r="B27" s="42">
        <f>IFERROR(IF('Startup Costs'!$B$25="","",'Startup Costs'!$B$25),"")</f>
        <v>39485.8</v>
      </c>
    </row>
    <row r="28">
      <c r="A28" t="inlineStr">
        <is>
          <t>Forecast year-1 revenue</t>
        </is>
      </c>
      <c r="B28" s="42">
        <f>IFERROR(IF('3-Year P&amp;L'!$B$9="","",'3-Year P&amp;L'!$B$9),"")</f>
        <v>313200.0</v>
      </c>
    </row>
    <row r="29">
      <c r="A29" t="inlineStr">
        <is>
          <t>Year-1 net income</t>
        </is>
      </c>
      <c r="B29" s="42">
        <f>IFERROR(IF('3-Year P&amp;L'!$B$48="","",'3-Year P&amp;L'!$B$48),"")</f>
        <v>20319.475714285705</v>
      </c>
    </row>
    <row r="30">
      <c r="A30" t="inlineStr">
        <is>
          <t>Events per year for the ACCOUNTING break-even (depreciation included)</t>
        </is>
      </c>
      <c r="B30" s="48">
        <f>IFERROR(IF('Break-Even'!$B$15="","",'Break-Even'!$B$15),"")</f>
        <v>115.82768083087947</v>
      </c>
    </row>
    <row r="31">
      <c r="A31" t="inlineStr">
        <is>
          <t>Project payback (years), before debt</t>
        </is>
      </c>
      <c r="B31">
        <f>IFERROR(IF('12-Month Cash Flow'!$B$31="","",'12-Month Cash Flow'!$B$31),"")</f>
        <v>2.3</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equipment storage</t>
        </is>
      </c>
      <c r="B39" s="58" t="inlineStr">
        <is>
          <t>Left out: the model shows no cost of space</t>
        </is>
      </c>
      <c r="C39" s="58" t="inlineStr">
        <is>
          <t>A monthly commissary cost (hours + storage) and space for the pans and burners, plus a deposit and rent for the months before opening</t>
        </is>
      </c>
      <c r="D39" s="17" t="inlineStr">
        <is>
          <t>Paella for clients has to be prepped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burners, pans, van and its upfits on one, and the propane kit, the setup and the equipment on the other. The Startup Costs tab calculates the annual charge.</t>
        </is>
      </c>
      <c r="D41" s="17" t="inlineStr">
        <is>
          <t>The burners, pans and van wear out at a different speed than the propane kit, the setup and the equipment. Working capital, opening inventory and launch marketing are not fixed assets, so they are not depreciated.</t>
        </is>
      </c>
    </row>
    <row r="42" ht="30" customHeight="1">
      <c r="A42" s="58" t="inlineStr">
        <is>
          <t>Van and equipment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Propane (and wood where a permit allows it)</t>
        </is>
      </c>
      <c r="B43" s="58" t="inlineStr">
        <is>
          <t>A separate fuel line, on top of utilities</t>
        </is>
      </c>
      <c r="C43" s="58" t="inlineStr">
        <is>
          <t>Included in the disposables and cooking fuel line</t>
        </is>
      </c>
      <c r="D43" s="17" t="inlineStr">
        <is>
          <t>Propane (and wood where a permit allows it) scales with the pans you cook and the number of events: here it lives in one percentage of sales, and the rest of the workbook follows.</t>
        </is>
      </c>
    </row>
    <row r="44" ht="30" customHeight="1">
      <c r="A44" s="58" t="inlineStr">
        <is>
          <t>Startup contingency</t>
        </is>
      </c>
      <c r="B44" s="58" t="inlineStr">
        <is>
          <t>A lump sum typed by hand</t>
        </is>
      </c>
      <c r="C44" s="58" t="inlineStr">
        <is>
          <t>A percentage calculated on the burner, pan, van and upfit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van fuel has its own fixed line</t>
        </is>
      </c>
      <c r="D49" s="17" t="inlineStr">
        <is>
          <t>Extra seafood, ice, lemons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paella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PAELLA CATERING BENCHMARKS (sourced) AND KIT ESTIMATES</t>
        </is>
      </c>
    </row>
    <row r="54">
      <c r="A54" s="16" t="inlineStr">
        <is>
          <t>Benchmark</t>
        </is>
      </c>
      <c r="B54" s="16" t="inlineStr">
        <is>
          <t>Value</t>
        </is>
      </c>
      <c r="C54" s="16" t="inlineStr">
        <is>
          <t>Source</t>
        </is>
      </c>
      <c r="D54" s="16" t="inlineStr">
        <is>
          <t>Note</t>
        </is>
      </c>
    </row>
    <row r="55" ht="74.75" customHeight="1">
      <c r="A55" t="inlineStr">
        <is>
          <t>Live paella price per person</t>
        </is>
      </c>
      <c r="B55" t="inlineStr">
        <is>
          <t>$12-31 per person (lobster paella $45)</t>
        </is>
      </c>
      <c r="C55" t="inlineStr">
        <is>
          <t>tasteofpaella.com, zola.com</t>
        </is>
      </c>
      <c r="D55" s="17" t="inlineStr">
        <is>
          <t>Paella cooked live with salad and bread. The low end is a per-plate price at one operator (zola.com); $26-31 per person is the usual range at tasteofpaella.com, and lobster paella is the premium. Your price per guest runs higher because it includes the paella chef and the staff.</t>
        </is>
      </c>
    </row>
    <row r="56" ht="59.75" customHeight="1">
      <c r="A56" t="inlineStr">
        <is>
          <t>Spanish menu with staff, per person</t>
        </is>
      </c>
      <c r="B56" t="inlineStr">
        <is>
          <t>$44-65 per person</t>
        </is>
      </c>
      <c r="C56" t="inlineStr">
        <is>
          <t>zola.com, miamigrillcatering.com, weddingwire.com</t>
        </is>
      </c>
      <c r="D56" s="17" t="inlineStr">
        <is>
          <t>Full Spanish menu with service staff: from $44 per person (zola.com) to $65, stepping down to $53 by tier (miamigrillcatering.com). In weddings, couples usually spend about $50 per person (weddingwire.com).</t>
        </is>
      </c>
    </row>
    <row r="57" ht="45" customHeight="1">
      <c r="A57" t="inlineStr">
        <is>
          <t>Rice per guest</t>
        </is>
      </c>
      <c r="B57" t="inlineStr">
        <is>
          <t>3-3.5 oz (85-100 g) uncooked</t>
        </is>
      </c>
      <c r="C57" t="inlineStr">
        <is>
          <t>Kit estimate</t>
        </is>
      </c>
      <c r="D57" s="17" t="inlineStr">
        <is>
          <t>Bomba rice, uncooked, per guest. Add 10-15% for large groups and plan 2-3 times the rice volume in stock. Weigh it again for every quote.</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Guests per paella pan</t>
        </is>
      </c>
      <c r="B59" t="inlineStr">
        <is>
          <t>36 in (90 cm): about 40 · 32 in (80 cm): about 30 · 26 in (65 cm): about 18</t>
        </is>
      </c>
      <c r="C59" t="inlineStr">
        <is>
          <t>Kit estimate</t>
        </is>
      </c>
      <c r="D59" s="17" t="inlineStr">
        <is>
          <t>Servings of a full paella with salad and bread. Size the pans from the guest count, and keep each pan within what one burner heats evenly: a good socarrat needs even heat across the whole pan.</t>
        </is>
      </c>
    </row>
    <row r="60" ht="45" customHeight="1">
      <c r="A60" t="inlineStr">
        <is>
          <t>Food cost</t>
        </is>
      </c>
      <c r="B60" t="inlineStr">
        <is>
          <t>28-35% of price</t>
        </is>
      </c>
      <c r="C60" t="inlineStr">
        <is>
          <t>galleysolutions.com</t>
        </is>
      </c>
      <c r="D60" s="17" t="inlineStr">
        <is>
          <t>Caterer food cost as a share of the price. Seafood prices swing, so re-cost every quote and test the result at the top of the range.</t>
        </is>
      </c>
    </row>
    <row r="61" ht="59.75" customHeight="1">
      <c r="A61" t="inlineStr">
        <is>
          <t>Paella pans and burners</t>
        </is>
      </c>
      <c r="B61" t="inlineStr">
        <is>
          <t>36 in pan about $349 · XL 3-ring burner about $549</t>
        </is>
      </c>
      <c r="C61" t="inlineStr">
        <is>
          <t>Kit estimate</t>
        </is>
      </c>
      <c r="D61" s="17" t="inlineStr">
        <is>
          <t>Store prices, not verified quotes. The XL 3-ring burner comes with tripod and regulator for pans up to 36 in (90 cm); a 2-ring rolling stand is about $399, and renting a 36 in pan about $39.90. Get current quotes.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Paella chef and attendant billed separately</t>
        </is>
      </c>
      <c r="B63" t="inlineStr">
        <is>
          <t>$300 for 2 hours, +$85 per extra hour</t>
        </is>
      </c>
      <c r="C63" t="inlineStr">
        <is>
          <t>cafesevilla.com</t>
        </is>
      </c>
      <c r="D63" s="17" t="inlineStr">
        <is>
          <t>One operator bills the paella chef ($300 for 2 hours), a buffet attendant ($190 for 2 hours), dishes and flatware ($5-10 per person) and a $1,250 minimum on top of the food. Your price per guest already includes the paella chef and the staff, so compare like with like.</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second paella chef between the mean and the 75th percentile for cooks, and the owner's pay comes from profit, below the chefs and head cooks median.</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costs extra, and not every kitchen lets you keep burners and propane cylinders on site.</t>
        </is>
      </c>
    </row>
    <row r="66" ht="74.75" customHeight="1">
      <c r="A66" t="inlineStr">
        <is>
          <t>Guest and spend minimums</t>
        </is>
      </c>
      <c r="B66" t="inlineStr">
        <is>
          <t>20-30 guests · $500-1,600</t>
        </is>
      </c>
      <c r="C66" t="inlineStr">
        <is>
          <t>tasteofpaella.com, zola.com</t>
        </is>
      </c>
      <c r="D66" s="17" t="inlineStr">
        <is>
          <t>Operators set a minimum guest count for cooking on site (20, or 25 in peak season, at tasteofpaella.com; 30 for live cooking at Viton Paella on zola.com) and a minimum spend (from $500 to $1,600 across the operators on zola.com). Set your own and state it in every proposal.</t>
        </is>
      </c>
    </row>
    <row r="67" ht="8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Ask your agent to confirm in writing that the general liability or BOP does not exclude open flame at events (Kit advice), and add liquor liability only if your staff pours the client's alcohol.</t>
        </is>
      </c>
    </row>
    <row r="68" ht="59.75" customHeight="1">
      <c r="A68" t="inlineStr">
        <is>
          <t>Propane and staffing per event</t>
        </is>
      </c>
      <c r="B68" t="inlineStr">
        <is>
          <t>6-8 lb (2.7-3.6 kg) of propane · 1 team member per 25 guests</t>
        </is>
      </c>
      <c r="C68" t="inlineStr">
        <is>
          <t>Kit estimate, miamigrillcatering.com</t>
        </is>
      </c>
      <c r="D68" s="17" t="inlineStr">
        <is>
          <t>About 6-8 lb of propane (about $10-15) for a 60-guest event, plus disposables at about $0.75 per guest (Kit estimate). Staffing: about one team member per 25 guests (miamigrillcatering.com).</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aichef.pro/en/digital-products/paella-catering-business-plan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0.09</v>
      </c>
      <c r="D5" s="73" t="n">
        <v>0.115</v>
      </c>
      <c r="E5" s="73" t="n">
        <v>0.11</v>
      </c>
      <c r="F5" s="73" t="n">
        <v>0.08</v>
      </c>
      <c r="G5" s="73" t="n">
        <v>0.07000000000000001</v>
      </c>
      <c r="H5" s="73" t="n">
        <v>0.095</v>
      </c>
      <c r="I5" s="73" t="n">
        <v>0.11</v>
      </c>
      <c r="J5" s="73" t="n">
        <v>0.075</v>
      </c>
      <c r="K5" s="73" t="n">
        <v>0.1</v>
      </c>
      <c r="L5" s="73" t="n">
        <v>0.04</v>
      </c>
      <c r="M5" s="73" t="n">
        <v>0.045</v>
      </c>
      <c r="N5" s="68">
        <f>IFERROR(IF('3-Year P&amp;L'!$B$9="","",SUM(B5:M5)),"")</f>
        <v>1.0</v>
      </c>
      <c r="O5" s="28" t="inlineStr">
        <is>
          <t>Share of the year's events per month (100% in total). Month 1 = opening month (March in the example). The booking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0.042682926829268296</v>
      </c>
      <c r="C7" s="68">
        <f>IFERROR(IF('3-Year P&amp;L'!$B$9="","",C5*C6/SUMPRODUCT($B$5:$M$5,$B$6:$M$6)),"")</f>
        <v>0.06271777003484319</v>
      </c>
      <c r="D7" s="68">
        <f>IFERROR(IF('3-Year P&amp;L'!$B$9="","",D5*D6/SUMPRODUCT($B$5:$M$5,$B$6:$M$6)),"")</f>
        <v>0.0901567944250871</v>
      </c>
      <c r="E7" s="68">
        <f>IFERROR(IF('3-Year P&amp;L'!$B$9="","",E5*E6/SUMPRODUCT($B$5:$M$5,$B$6:$M$6)),"")</f>
        <v>0.09581881533101044</v>
      </c>
      <c r="F7" s="68">
        <f>IFERROR(IF('3-Year P&amp;L'!$B$9="","",F5*F6/SUMPRODUCT($B$5:$M$5,$B$6:$M$6)),"")</f>
        <v>0.07665505226480836</v>
      </c>
      <c r="G7" s="68">
        <f>IFERROR(IF('3-Year P&amp;L'!$B$9="","",G5*G6/SUMPRODUCT($B$5:$M$5,$B$6:$M$6)),"")</f>
        <v>0.07317073170731708</v>
      </c>
      <c r="H7" s="68">
        <f>IFERROR(IF('3-Year P&amp;L'!$B$9="","",H5*H6/SUMPRODUCT($B$5:$M$5,$B$6:$M$6)),"")</f>
        <v>0.10757839721254354</v>
      </c>
      <c r="I7" s="68">
        <f>IFERROR(IF('3-Year P&amp;L'!$B$9="","",I5*I6/SUMPRODUCT($B$5:$M$5,$B$6:$M$6)),"")</f>
        <v>0.13414634146341461</v>
      </c>
      <c r="J7" s="68">
        <f>IFERROR(IF('3-Year P&amp;L'!$B$9="","",J5*J6/SUMPRODUCT($B$5:$M$5,$B$6:$M$6)),"")</f>
        <v>0.09146341463414633</v>
      </c>
      <c r="K7" s="68">
        <f>IFERROR(IF('3-Year P&amp;L'!$B$9="","",K5*K6/SUMPRODUCT($B$5:$M$5,$B$6:$M$6)),"")</f>
        <v>0.12195121951219512</v>
      </c>
      <c r="L7" s="68">
        <f>IFERROR(IF('3-Year P&amp;L'!$B$9="","",L5*L6/SUMPRODUCT($B$5:$M$5,$B$6:$M$6)),"")</f>
        <v>0.048780487804878044</v>
      </c>
      <c r="M7" s="68">
        <f>IFERROR(IF('3-Year P&amp;L'!$B$9="","",M5*M6/SUMPRODUCT($B$5:$M$5,$B$6:$M$6)),"")</f>
        <v>0.0548780487804878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11068.946341463414</v>
      </c>
      <c r="C9" s="40">
        <f>IFERROR(IF('3-Year P&amp;L'!$B$9="","",('3-Year P&amp;L'!$B$9+'3-Year P&amp;L'!$B$9*SUMPRODUCT('3-Year P&amp;L'!$E$10:$E$11,'3-Year P&amp;L'!$G$10:$G$11))*(C7*(1-MIN(30,'0. Assumptions'!$B$58)/30)+B7*MIN(30,'0. Assumptions'!$B$58)/30)),"")</f>
        <v>19633.383972125434</v>
      </c>
      <c r="D9" s="40">
        <f>IFERROR(IF('3-Year P&amp;L'!$B$9="","",('3-Year P&amp;L'!$B$9+'3-Year P&amp;L'!$B$9*SUMPRODUCT('3-Year P&amp;L'!$E$10:$E$11,'3-Year P&amp;L'!$G$10:$G$11))*(D7*(1-MIN(30,'0. Assumptions'!$B$58)/30)+C7*MIN(30,'0. Assumptions'!$B$58)/30)),"")</f>
        <v>28330.413240418115</v>
      </c>
      <c r="E9" s="40">
        <f>IFERROR(IF('3-Year P&amp;L'!$B$9="","",('3-Year P&amp;L'!$B$9+'3-Year P&amp;L'!$B$9*SUMPRODUCT('3-Year P&amp;L'!$E$10:$E$11,'3-Year P&amp;L'!$G$10:$G$11))*(E7*(1-MIN(30,'0. Assumptions'!$B$58)/30)+D7*MIN(30,'0. Assumptions'!$B$58)/30)),"")</f>
        <v>31964.406271777003</v>
      </c>
      <c r="F9" s="40">
        <f>IFERROR(IF('3-Year P&amp;L'!$B$9="","",('3-Year P&amp;L'!$B$9+'3-Year P&amp;L'!$B$9*SUMPRODUCT('3-Year P&amp;L'!$E$10:$E$11,'3-Year P&amp;L'!$G$10:$G$11))*(F7*(1-MIN(30,'0. Assumptions'!$B$58)/30)+E7*MIN(30,'0. Assumptions'!$B$58)/30)),"")</f>
        <v>27441.558188153307</v>
      </c>
      <c r="G9" s="40">
        <f>IFERROR(IF('3-Year P&amp;L'!$B$9="","",('3-Year P&amp;L'!$B$9+'3-Year P&amp;L'!$B$9*SUMPRODUCT('3-Year P&amp;L'!$E$10:$E$11,'3-Year P&amp;L'!$G$10:$G$11))*(G7*(1-MIN(30,'0. Assumptions'!$B$58)/30)+F7*MIN(30,'0. Assumptions'!$B$58)/30)),"")</f>
        <v>25025.443902439023</v>
      </c>
      <c r="H9" s="40">
        <f>IFERROR(IF('3-Year P&amp;L'!$B$9="","",('3-Year P&amp;L'!$B$9+'3-Year P&amp;L'!$B$9*SUMPRODUCT('3-Year P&amp;L'!$E$10:$E$11,'3-Year P&amp;L'!$G$10:$G$11))*(H7*(1-MIN(30,'0. Assumptions'!$B$58)/30)+G7*MIN(30,'0. Assumptions'!$B$58)/30)),"")</f>
        <v>33673.365156794425</v>
      </c>
      <c r="I9" s="40">
        <f>IFERROR(IF('3-Year P&amp;L'!$B$9="","",('3-Year P&amp;L'!$B$9+'3-Year P&amp;L'!$B$9*SUMPRODUCT('3-Year P&amp;L'!$E$10:$E$11,'3-Year P&amp;L'!$G$10:$G$11))*(I7*(1-MIN(30,'0. Assumptions'!$B$58)/30)+H7*MIN(30,'0. Assumptions'!$B$58)/30)),"")</f>
        <v>43278.89268292682</v>
      </c>
      <c r="J9" s="40">
        <f>IFERROR(IF('3-Year P&amp;L'!$B$9="","",('3-Year P&amp;L'!$B$9+'3-Year P&amp;L'!$B$9*SUMPRODUCT('3-Year P&amp;L'!$E$10:$E$11,'3-Year P&amp;L'!$G$10:$G$11))*(J7*(1-MIN(30,'0. Assumptions'!$B$58)/30)+I7*MIN(30,'0. Assumptions'!$B$58)/30)),"")</f>
        <v>34306.85853658536</v>
      </c>
      <c r="K9" s="40">
        <f>IFERROR(IF('3-Year P&amp;L'!$B$9="","",('3-Year P&amp;L'!$B$9+'3-Year P&amp;L'!$B$9*SUMPRODUCT('3-Year P&amp;L'!$E$10:$E$11,'3-Year P&amp;L'!$G$10:$G$11))*(K7*(1-MIN(30,'0. Assumptions'!$B$58)/30)+J7*MIN(30,'0. Assumptions'!$B$58)/30)),"")</f>
        <v>38844.439024390245</v>
      </c>
      <c r="L9" s="40">
        <f>IFERROR(IF('3-Year P&amp;L'!$B$9="","",('3-Year P&amp;L'!$B$9+'3-Year P&amp;L'!$B$9*SUMPRODUCT('3-Year P&amp;L'!$E$10:$E$11,'3-Year P&amp;L'!$G$10:$G$11))*(L7*(1-MIN(30,'0. Assumptions'!$B$58)/30)+K7*MIN(30,'0. Assumptions'!$B$58)/30)),"")</f>
        <v>22275.395121951216</v>
      </c>
      <c r="M9" s="40">
        <f>IFERROR(IF('3-Year P&amp;L'!$B$9="","",('3-Year P&amp;L'!$B$9+'3-Year P&amp;L'!$B$9*SUMPRODUCT('3-Year P&amp;L'!$E$10:$E$11,'3-Year P&amp;L'!$G$10:$G$11))*(M7*(1-MIN(30,'0. Assumptions'!$B$58)/30)+L7*MIN(30,'0. Assumptions'!$B$58)/30)),"")</f>
        <v>18081.570731707314</v>
      </c>
      <c r="N9" s="40">
        <f>IFERROR(IF('3-Year P&amp;L'!$B$9="","",SUM(B9:M9)),"")</f>
        <v>333924.6731707317</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-4006.3436341463416</v>
      </c>
      <c r="C11" s="40">
        <f>IFERROR(IF('3-Year P&amp;L'!$B$9="","",-('3-Year P&amp;L'!$B$13*(1+'3-Year P&amp;L'!$G$13)+'3-Year P&amp;L'!$B$14*(1+'3-Year P&amp;L'!$G$14)+'3-Year P&amp;L'!$B$15*(1+'3-Year P&amp;L'!$G$15)+'3-Year P&amp;L'!$B$16*(1+'3-Year P&amp;L'!$G$16)+'3-Year P&amp;L'!$B$17*(1+'3-Year P&amp;L'!$G$17)+'3-Year P&amp;L'!$B$18*(1+'3-Year P&amp;L'!$G$18))*(C7*(1-MIN(30,'0. Assumptions'!$B$59)/30)+B7*MIN(30,'0. Assumptions'!$B$59)/30)),"")</f>
        <v>-7106.1942543554</v>
      </c>
      <c r="D11" s="40">
        <f>IFERROR(IF('3-Year P&amp;L'!$B$9="","",-('3-Year P&amp;L'!$B$13*(1+'3-Year P&amp;L'!$G$13)+'3-Year P&amp;L'!$B$14*(1+'3-Year P&amp;L'!$G$14)+'3-Year P&amp;L'!$B$15*(1+'3-Year P&amp;L'!$G$15)+'3-Year P&amp;L'!$B$16*(1+'3-Year P&amp;L'!$G$16)+'3-Year P&amp;L'!$B$17*(1+'3-Year P&amp;L'!$G$17)+'3-Year P&amp;L'!$B$18*(1+'3-Year P&amp;L'!$G$18))*(D7*(1-MIN(30,'0. Assumptions'!$B$59)/30)+C7*MIN(30,'0. Assumptions'!$B$59)/30)),"")</f>
        <v>-10254.035681184669</v>
      </c>
      <c r="E11" s="40">
        <f>IFERROR(IF('3-Year P&amp;L'!$B$9="","",-('3-Year P&amp;L'!$B$13*(1+'3-Year P&amp;L'!$G$13)+'3-Year P&amp;L'!$B$14*(1+'3-Year P&amp;L'!$G$14)+'3-Year P&amp;L'!$B$15*(1+'3-Year P&amp;L'!$G$15)+'3-Year P&amp;L'!$B$16*(1+'3-Year P&amp;L'!$G$16)+'3-Year P&amp;L'!$B$17*(1+'3-Year P&amp;L'!$G$17)+'3-Year P&amp;L'!$B$18*(1+'3-Year P&amp;L'!$G$18))*(E7*(1-MIN(30,'0. Assumptions'!$B$59)/30)+D7*MIN(30,'0. Assumptions'!$B$59)/30)),"")</f>
        <v>-11569.339270034843</v>
      </c>
      <c r="F11" s="40">
        <f>IFERROR(IF('3-Year P&amp;L'!$B$9="","",-('3-Year P&amp;L'!$B$13*(1+'3-Year P&amp;L'!$G$13)+'3-Year P&amp;L'!$B$14*(1+'3-Year P&amp;L'!$G$14)+'3-Year P&amp;L'!$B$15*(1+'3-Year P&amp;L'!$G$15)+'3-Year P&amp;L'!$B$16*(1+'3-Year P&amp;L'!$G$16)+'3-Year P&amp;L'!$B$17*(1+'3-Year P&amp;L'!$G$17)+'3-Year P&amp;L'!$B$18*(1+'3-Year P&amp;L'!$G$18))*(F7*(1-MIN(30,'0. Assumptions'!$B$59)/30)+E7*MIN(30,'0. Assumptions'!$B$59)/30)),"")</f>
        <v>-9932.319533101045</v>
      </c>
      <c r="G11" s="40">
        <f>IFERROR(IF('3-Year P&amp;L'!$B$9="","",-('3-Year P&amp;L'!$B$13*(1+'3-Year P&amp;L'!$G$13)+'3-Year P&amp;L'!$B$14*(1+'3-Year P&amp;L'!$G$14)+'3-Year P&amp;L'!$B$15*(1+'3-Year P&amp;L'!$G$15)+'3-Year P&amp;L'!$B$16*(1+'3-Year P&amp;L'!$G$16)+'3-Year P&amp;L'!$B$17*(1+'3-Year P&amp;L'!$G$17)+'3-Year P&amp;L'!$B$18*(1+'3-Year P&amp;L'!$G$18))*(G7*(1-MIN(30,'0. Assumptions'!$B$59)/30)+F7*MIN(30,'0. Assumptions'!$B$59)/30)),"")</f>
        <v>-9057.820390243902</v>
      </c>
      <c r="H11" s="40">
        <f>IFERROR(IF('3-Year P&amp;L'!$B$9="","",-('3-Year P&amp;L'!$B$13*(1+'3-Year P&amp;L'!$G$13)+'3-Year P&amp;L'!$B$14*(1+'3-Year P&amp;L'!$G$14)+'3-Year P&amp;L'!$B$15*(1+'3-Year P&amp;L'!$G$15)+'3-Year P&amp;L'!$B$16*(1+'3-Year P&amp;L'!$G$16)+'3-Year P&amp;L'!$B$17*(1+'3-Year P&amp;L'!$G$17)+'3-Year P&amp;L'!$B$18*(1+'3-Year P&amp;L'!$G$18))*(H7*(1-MIN(30,'0. Assumptions'!$B$59)/30)+G7*MIN(30,'0. Assumptions'!$B$59)/30)),"")</f>
        <v>-12187.887444250871</v>
      </c>
      <c r="I11" s="40">
        <f>IFERROR(IF('3-Year P&amp;L'!$B$9="","",-('3-Year P&amp;L'!$B$13*(1+'3-Year P&amp;L'!$G$13)+'3-Year P&amp;L'!$B$14*(1+'3-Year P&amp;L'!$G$14)+'3-Year P&amp;L'!$B$15*(1+'3-Year P&amp;L'!$G$15)+'3-Year P&amp;L'!$B$16*(1+'3-Year P&amp;L'!$G$16)+'3-Year P&amp;L'!$B$17*(1+'3-Year P&amp;L'!$G$17)+'3-Year P&amp;L'!$B$18*(1+'3-Year P&amp;L'!$G$18))*(I7*(1-MIN(30,'0. Assumptions'!$B$59)/30)+H7*MIN(30,'0. Assumptions'!$B$59)/30)),"")</f>
        <v>-15664.554768292679</v>
      </c>
      <c r="J11" s="40">
        <f>IFERROR(IF('3-Year P&amp;L'!$B$9="","",-('3-Year P&amp;L'!$B$13*(1+'3-Year P&amp;L'!$G$13)+'3-Year P&amp;L'!$B$14*(1+'3-Year P&amp;L'!$G$14)+'3-Year P&amp;L'!$B$15*(1+'3-Year P&amp;L'!$G$15)+'3-Year P&amp;L'!$B$16*(1+'3-Year P&amp;L'!$G$16)+'3-Year P&amp;L'!$B$17*(1+'3-Year P&amp;L'!$G$17)+'3-Year P&amp;L'!$B$18*(1+'3-Year P&amp;L'!$G$18))*(J7*(1-MIN(30,'0. Assumptions'!$B$59)/30)+I7*MIN(30,'0. Assumptions'!$B$59)/30)),"")</f>
        <v>-12417.176853658533</v>
      </c>
      <c r="K11" s="40">
        <f>IFERROR(IF('3-Year P&amp;L'!$B$9="","",-('3-Year P&amp;L'!$B$13*(1+'3-Year P&amp;L'!$G$13)+'3-Year P&amp;L'!$B$14*(1+'3-Year P&amp;L'!$G$14)+'3-Year P&amp;L'!$B$15*(1+'3-Year P&amp;L'!$G$15)+'3-Year P&amp;L'!$B$16*(1+'3-Year P&amp;L'!$G$16)+'3-Year P&amp;L'!$B$17*(1+'3-Year P&amp;L'!$G$17)+'3-Year P&amp;L'!$B$18*(1+'3-Year P&amp;L'!$G$18))*(K7*(1-MIN(30,'0. Assumptions'!$B$59)/30)+J7*MIN(30,'0. Assumptions'!$B$59)/30)),"")</f>
        <v>-14059.528902439026</v>
      </c>
      <c r="L11" s="40">
        <f>IFERROR(IF('3-Year P&amp;L'!$B$9="","",-('3-Year P&amp;L'!$B$13*(1+'3-Year P&amp;L'!$G$13)+'3-Year P&amp;L'!$B$14*(1+'3-Year P&amp;L'!$G$14)+'3-Year P&amp;L'!$B$15*(1+'3-Year P&amp;L'!$G$15)+'3-Year P&amp;L'!$B$16*(1+'3-Year P&amp;L'!$G$16)+'3-Year P&amp;L'!$B$17*(1+'3-Year P&amp;L'!$G$17)+'3-Year P&amp;L'!$B$18*(1+'3-Year P&amp;L'!$G$18))*(L7*(1-MIN(30,'0. Assumptions'!$B$59)/30)+K7*MIN(30,'0. Assumptions'!$B$59)/30)),"")</f>
        <v>-8062.455512195121</v>
      </c>
      <c r="M11" s="40">
        <f>IFERROR(IF('3-Year P&amp;L'!$B$9="","",-('3-Year P&amp;L'!$B$13*(1+'3-Year P&amp;L'!$G$13)+'3-Year P&amp;L'!$B$14*(1+'3-Year P&amp;L'!$G$14)+'3-Year P&amp;L'!$B$15*(1+'3-Year P&amp;L'!$G$15)+'3-Year P&amp;L'!$B$16*(1+'3-Year P&amp;L'!$G$16)+'3-Year P&amp;L'!$B$17*(1+'3-Year P&amp;L'!$G$17)+'3-Year P&amp;L'!$B$18*(1+'3-Year P&amp;L'!$G$18))*(M7*(1-MIN(30,'0. Assumptions'!$B$59)/30)+L7*MIN(30,'0. Assumptions'!$B$59)/30)),"")</f>
        <v>-6544.524073170731</v>
      </c>
      <c r="N11" s="40">
        <f>IFERROR(IF('3-Year P&amp;L'!$B$9="","",SUM(B11:M11)),"")</f>
        <v>-120862.18031707316</v>
      </c>
      <c r="O11" s="28" t="str">
        <f>IFERROR("Paella ingredient and add-on purchases, disposables and cooking fuel,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Paella ingredient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-3800.0000000000014</v>
      </c>
      <c r="C12" s="40">
        <f>IFERROR(IF('3-Year P&amp;L'!$B$9="","",-('3-Year P&amp;L'!$B$38-'3-Year P&amp;L'!$B$23-'3-Year P&amp;L'!$B$36-'3-Year P&amp;L'!$B$37+'3-Year P&amp;L'!$B$40)/12),"")</f>
        <v>-3800.0000000000014</v>
      </c>
      <c r="D12" s="40">
        <f>IFERROR(IF('3-Year P&amp;L'!$B$9="","",-('3-Year P&amp;L'!$B$38-'3-Year P&amp;L'!$B$23-'3-Year P&amp;L'!$B$36-'3-Year P&amp;L'!$B$37+'3-Year P&amp;L'!$B$40)/12),"")</f>
        <v>-3800.0000000000014</v>
      </c>
      <c r="E12" s="40">
        <f>IFERROR(IF('3-Year P&amp;L'!$B$9="","",-('3-Year P&amp;L'!$B$38-'3-Year P&amp;L'!$B$23-'3-Year P&amp;L'!$B$36-'3-Year P&amp;L'!$B$37+'3-Year P&amp;L'!$B$40)/12),"")</f>
        <v>-3800.0000000000014</v>
      </c>
      <c r="F12" s="40">
        <f>IFERROR(IF('3-Year P&amp;L'!$B$9="","",-('3-Year P&amp;L'!$B$38-'3-Year P&amp;L'!$B$23-'3-Year P&amp;L'!$B$36-'3-Year P&amp;L'!$B$37+'3-Year P&amp;L'!$B$40)/12),"")</f>
        <v>-3800.0000000000014</v>
      </c>
      <c r="G12" s="40">
        <f>IFERROR(IF('3-Year P&amp;L'!$B$9="","",-('3-Year P&amp;L'!$B$38-'3-Year P&amp;L'!$B$23-'3-Year P&amp;L'!$B$36-'3-Year P&amp;L'!$B$37+'3-Year P&amp;L'!$B$40)/12),"")</f>
        <v>-3800.0000000000014</v>
      </c>
      <c r="H12" s="40">
        <f>IFERROR(IF('3-Year P&amp;L'!$B$9="","",-('3-Year P&amp;L'!$B$38-'3-Year P&amp;L'!$B$23-'3-Year P&amp;L'!$B$36-'3-Year P&amp;L'!$B$37+'3-Year P&amp;L'!$B$40)/12),"")</f>
        <v>-3800.0000000000014</v>
      </c>
      <c r="I12" s="40">
        <f>IFERROR(IF('3-Year P&amp;L'!$B$9="","",-('3-Year P&amp;L'!$B$38-'3-Year P&amp;L'!$B$23-'3-Year P&amp;L'!$B$36-'3-Year P&amp;L'!$B$37+'3-Year P&amp;L'!$B$40)/12),"")</f>
        <v>-3800.0000000000014</v>
      </c>
      <c r="J12" s="40">
        <f>IFERROR(IF('3-Year P&amp;L'!$B$9="","",-('3-Year P&amp;L'!$B$38-'3-Year P&amp;L'!$B$23-'3-Year P&amp;L'!$B$36-'3-Year P&amp;L'!$B$37+'3-Year P&amp;L'!$B$40)/12),"")</f>
        <v>-3800.0000000000014</v>
      </c>
      <c r="K12" s="40">
        <f>IFERROR(IF('3-Year P&amp;L'!$B$9="","",-('3-Year P&amp;L'!$B$38-'3-Year P&amp;L'!$B$23-'3-Year P&amp;L'!$B$36-'3-Year P&amp;L'!$B$37+'3-Year P&amp;L'!$B$40)/12),"")</f>
        <v>-3800.0000000000014</v>
      </c>
      <c r="L12" s="40">
        <f>IFERROR(IF('3-Year P&amp;L'!$B$9="","",-('3-Year P&amp;L'!$B$38-'3-Year P&amp;L'!$B$23-'3-Year P&amp;L'!$B$36-'3-Year P&amp;L'!$B$37+'3-Year P&amp;L'!$B$40)/12),"")</f>
        <v>-3800.0000000000014</v>
      </c>
      <c r="M12" s="40">
        <f>IFERROR(IF('3-Year P&amp;L'!$B$9="","",-('3-Year P&amp;L'!$B$38-'3-Year P&amp;L'!$B$23-'3-Year P&amp;L'!$B$36-'3-Year P&amp;L'!$B$37+'3-Year P&amp;L'!$B$40)/12),"")</f>
        <v>-3800.0000000000014</v>
      </c>
      <c r="N12" s="40">
        <f>IFERROR(IF('3-Year P&amp;L'!$B$9="","",SUM(B12:M12)),"")</f>
        <v>-45600.000000000015</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-8828.6</v>
      </c>
      <c r="C13" s="40">
        <f>IFERROR(IF('3-Year P&amp;L'!$B$9="","",-'3-Year P&amp;L'!$B$23/MAX(12,'0. Assumptions'!$B$21)*(1+IF(2='0. Assumptions'!$B$60,(MAX(12,'0. Assumptions'!$B$21)-12)/2,0)+IF(2='0. Assumptions'!$B$61,(MAX(12,'0. Assumptions'!$B$21)-12)/2,0))),"")</f>
        <v>-8828.6</v>
      </c>
      <c r="D13" s="40">
        <f>IFERROR(IF('3-Year P&amp;L'!$B$9="","",-'3-Year P&amp;L'!$B$23/MAX(12,'0. Assumptions'!$B$21)*(1+IF(3='0. Assumptions'!$B$60,(MAX(12,'0. Assumptions'!$B$21)-12)/2,0)+IF(3='0. Assumptions'!$B$61,(MAX(12,'0. Assumptions'!$B$21)-12)/2,0))),"")</f>
        <v>-8828.6</v>
      </c>
      <c r="E13" s="40">
        <f>IFERROR(IF('3-Year P&amp;L'!$B$9="","",-'3-Year P&amp;L'!$B$23/MAX(12,'0. Assumptions'!$B$21)*(1+IF(4='0. Assumptions'!$B$60,(MAX(12,'0. Assumptions'!$B$21)-12)/2,0)+IF(4='0. Assumptions'!$B$61,(MAX(12,'0. Assumptions'!$B$21)-12)/2,0))),"")</f>
        <v>-8828.6</v>
      </c>
      <c r="F13" s="40">
        <f>IFERROR(IF('3-Year P&amp;L'!$B$9="","",-'3-Year P&amp;L'!$B$23/MAX(12,'0. Assumptions'!$B$21)*(1+IF(5='0. Assumptions'!$B$60,(MAX(12,'0. Assumptions'!$B$21)-12)/2,0)+IF(5='0. Assumptions'!$B$61,(MAX(12,'0. Assumptions'!$B$21)-12)/2,0))),"")</f>
        <v>-8828.6</v>
      </c>
      <c r="G13" s="40">
        <f>IFERROR(IF('3-Year P&amp;L'!$B$9="","",-'3-Year P&amp;L'!$B$23/MAX(12,'0. Assumptions'!$B$21)*(1+IF(6='0. Assumptions'!$B$60,(MAX(12,'0. Assumptions'!$B$21)-12)/2,0)+IF(6='0. Assumptions'!$B$61,(MAX(12,'0. Assumptions'!$B$21)-12)/2,0))),"")</f>
        <v>-8828.6</v>
      </c>
      <c r="H13" s="40">
        <f>IFERROR(IF('3-Year P&amp;L'!$B$9="","",-'3-Year P&amp;L'!$B$23/MAX(12,'0. Assumptions'!$B$21)*(1+IF(7='0. Assumptions'!$B$60,(MAX(12,'0. Assumptions'!$B$21)-12)/2,0)+IF(7='0. Assumptions'!$B$61,(MAX(12,'0. Assumptions'!$B$21)-12)/2,0))),"")</f>
        <v>-8828.6</v>
      </c>
      <c r="I13" s="40">
        <f>IFERROR(IF('3-Year P&amp;L'!$B$9="","",-'3-Year P&amp;L'!$B$23/MAX(12,'0. Assumptions'!$B$21)*(1+IF(8='0. Assumptions'!$B$60,(MAX(12,'0. Assumptions'!$B$21)-12)/2,0)+IF(8='0. Assumptions'!$B$61,(MAX(12,'0. Assumptions'!$B$21)-12)/2,0))),"")</f>
        <v>-8828.6</v>
      </c>
      <c r="J13" s="40">
        <f>IFERROR(IF('3-Year P&amp;L'!$B$9="","",-'3-Year P&amp;L'!$B$23/MAX(12,'0. Assumptions'!$B$21)*(1+IF(9='0. Assumptions'!$B$60,(MAX(12,'0. Assumptions'!$B$21)-12)/2,0)+IF(9='0. Assumptions'!$B$61,(MAX(12,'0. Assumptions'!$B$21)-12)/2,0))),"")</f>
        <v>-8828.6</v>
      </c>
      <c r="K13" s="40">
        <f>IFERROR(IF('3-Year P&amp;L'!$B$9="","",-'3-Year P&amp;L'!$B$23/MAX(12,'0. Assumptions'!$B$21)*(1+IF(10='0. Assumptions'!$B$60,(MAX(12,'0. Assumptions'!$B$21)-12)/2,0)+IF(10='0. Assumptions'!$B$61,(MAX(12,'0. Assumptions'!$B$21)-12)/2,0))),"")</f>
        <v>-8828.6</v>
      </c>
      <c r="L13" s="40">
        <f>IFERROR(IF('3-Year P&amp;L'!$B$9="","",-'3-Year P&amp;L'!$B$23/MAX(12,'0. Assumptions'!$B$21)*(1+IF(11='0. Assumptions'!$B$60,(MAX(12,'0. Assumptions'!$B$21)-12)/2,0)+IF(11='0. Assumptions'!$B$61,(MAX(12,'0. Assumptions'!$B$21)-12)/2,0))),"")</f>
        <v>-8828.6</v>
      </c>
      <c r="M13" s="40">
        <f>IFERROR(IF('3-Year P&amp;L'!$B$9="","",-'3-Year P&amp;L'!$B$23/MAX(12,'0. Assumptions'!$B$21)*(1+IF(12='0. Assumptions'!$B$60,(MAX(12,'0. Assumptions'!$B$21)-12)/2,0)+IF(12='0. Assumptions'!$B$61,(MAX(12,'0. Assumptions'!$B$21)-12)/2,0))),"")</f>
        <v>-8828.6</v>
      </c>
      <c r="N13" s="40">
        <f>IFERROR(IF('3-Year P&amp;L'!$B$9="","",SUM(B13:M13)),"")</f>
        <v>-105943.20000000001</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-533.3333333333334</v>
      </c>
      <c r="C14" s="40">
        <f>IFERROR(IF('3-Year P&amp;L'!$B$9="","",-Financing!$B$44/12),"")</f>
        <v>-533.3333333333334</v>
      </c>
      <c r="D14" s="40">
        <f>IFERROR(IF('3-Year P&amp;L'!$B$9="","",-Financing!$B$44/12),"")</f>
        <v>-533.3333333333334</v>
      </c>
      <c r="E14" s="40">
        <f>IFERROR(IF('3-Year P&amp;L'!$B$9="","",-Financing!$B$44/12),"")</f>
        <v>-533.3333333333334</v>
      </c>
      <c r="F14" s="40">
        <f>IFERROR(IF('3-Year P&amp;L'!$B$9="","",-Financing!$B$44/12),"")</f>
        <v>-533.3333333333334</v>
      </c>
      <c r="G14" s="40">
        <f>IFERROR(IF('3-Year P&amp;L'!$B$9="","",-Financing!$B$44/12),"")</f>
        <v>-533.3333333333334</v>
      </c>
      <c r="H14" s="40">
        <f>IFERROR(IF('3-Year P&amp;L'!$B$9="","",-Financing!$B$44/12),"")</f>
        <v>-533.3333333333334</v>
      </c>
      <c r="I14" s="40">
        <f>IFERROR(IF('3-Year P&amp;L'!$B$9="","",-Financing!$B$44/12),"")</f>
        <v>-533.3333333333334</v>
      </c>
      <c r="J14" s="40">
        <f>IFERROR(IF('3-Year P&amp;L'!$B$9="","",-Financing!$B$44/12),"")</f>
        <v>-533.3333333333334</v>
      </c>
      <c r="K14" s="40">
        <f>IFERROR(IF('3-Year P&amp;L'!$B$9="","",-Financing!$B$44/12),"")</f>
        <v>-533.3333333333334</v>
      </c>
      <c r="L14" s="40">
        <f>IFERROR(IF('3-Year P&amp;L'!$B$9="","",-Financing!$B$44/12),"")</f>
        <v>-533.3333333333334</v>
      </c>
      <c r="M14" s="40">
        <f>IFERROR(IF('3-Year P&amp;L'!$B$9="","",-Financing!$B$44/12),"")</f>
        <v>-533.3333333333334</v>
      </c>
      <c r="N14" s="40">
        <f>IFERROR(IF('3-Year P&amp;L'!$B$9="","",SUM(B14:M14)),"")</f>
        <v>-6400.0</v>
      </c>
      <c r="O14" s="28" t="n"/>
    </row>
    <row r="15">
      <c r="A15" s="28" t="inlineStr">
        <is>
          <t>Loan principal repaid</t>
        </is>
      </c>
      <c r="B15" s="40">
        <f>IFERROR(IF('3-Year P&amp;L'!$B$9="","",-Financing!$B$45/12),"")</f>
        <v>-562.162665069843</v>
      </c>
      <c r="C15" s="40">
        <f>IFERROR(IF('3-Year P&amp;L'!$B$9="","",-Financing!$B$45/12),"")</f>
        <v>-562.162665069843</v>
      </c>
      <c r="D15" s="40">
        <f>IFERROR(IF('3-Year P&amp;L'!$B$9="","",-Financing!$B$45/12),"")</f>
        <v>-562.162665069843</v>
      </c>
      <c r="E15" s="40">
        <f>IFERROR(IF('3-Year P&amp;L'!$B$9="","",-Financing!$B$45/12),"")</f>
        <v>-562.162665069843</v>
      </c>
      <c r="F15" s="40">
        <f>IFERROR(IF('3-Year P&amp;L'!$B$9="","",-Financing!$B$45/12),"")</f>
        <v>-562.162665069843</v>
      </c>
      <c r="G15" s="40">
        <f>IFERROR(IF('3-Year P&amp;L'!$B$9="","",-Financing!$B$45/12),"")</f>
        <v>-562.162665069843</v>
      </c>
      <c r="H15" s="40">
        <f>IFERROR(IF('3-Year P&amp;L'!$B$9="","",-Financing!$B$45/12),"")</f>
        <v>-562.162665069843</v>
      </c>
      <c r="I15" s="40">
        <f>IFERROR(IF('3-Year P&amp;L'!$B$9="","",-Financing!$B$45/12),"")</f>
        <v>-562.162665069843</v>
      </c>
      <c r="J15" s="40">
        <f>IFERROR(IF('3-Year P&amp;L'!$B$9="","",-Financing!$B$45/12),"")</f>
        <v>-562.162665069843</v>
      </c>
      <c r="K15" s="40">
        <f>IFERROR(IF('3-Year P&amp;L'!$B$9="","",-Financing!$B$45/12),"")</f>
        <v>-562.162665069843</v>
      </c>
      <c r="L15" s="40">
        <f>IFERROR(IF('3-Year P&amp;L'!$B$9="","",-Financing!$B$45/12),"")</f>
        <v>-562.162665069843</v>
      </c>
      <c r="M15" s="40">
        <f>IFERROR(IF('3-Year P&amp;L'!$B$9="","",-Financing!$B$45/12),"")</f>
        <v>-562.162665069843</v>
      </c>
      <c r="N15" s="40">
        <f>IFERROR(IF('3-Year P&amp;L'!$B$9="","",SUM(B15:M15)),"")</f>
        <v>-6745.951980838116</v>
      </c>
      <c r="O15" s="28" t="n"/>
    </row>
    <row r="16">
      <c r="A16" s="28" t="inlineStr">
        <is>
          <t>Sales tax collected (memo)</t>
        </is>
      </c>
      <c r="B16" s="40">
        <f>IFERROR(IF('3-Year P&amp;L'!$B$9="","",'3-Year P&amp;L'!$B$9*B7*SUMPRODUCT('3-Year P&amp;L'!$E$10:$E$11,'3-Year P&amp;L'!$G$10:$G$11)),"")</f>
        <v>1069.4634146341464</v>
      </c>
      <c r="C16" s="40">
        <f>IFERROR(IF('3-Year P&amp;L'!$B$9="","",'3-Year P&amp;L'!$B$9*C7*SUMPRODUCT('3-Year P&amp;L'!$E$10:$E$11,'3-Year P&amp;L'!$G$10:$G$11)),"")</f>
        <v>1571.4564459930311</v>
      </c>
      <c r="D16" s="40">
        <f>IFERROR(IF('3-Year P&amp;L'!$B$9="","",'3-Year P&amp;L'!$B$9*D7*SUMPRODUCT('3-Year P&amp;L'!$E$10:$E$11,'3-Year P&amp;L'!$G$10:$G$11)),"")</f>
        <v>2258.9686411149823</v>
      </c>
      <c r="E16" s="40">
        <f>IFERROR(IF('3-Year P&amp;L'!$B$9="","",'3-Year P&amp;L'!$B$9*E7*SUMPRODUCT('3-Year P&amp;L'!$E$10:$E$11,'3-Year P&amp;L'!$G$10:$G$11)),"")</f>
        <v>2400.836236933798</v>
      </c>
      <c r="F16" s="40">
        <f>IFERROR(IF('3-Year P&amp;L'!$B$9="","",'3-Year P&amp;L'!$B$9*F7*SUMPRODUCT('3-Year P&amp;L'!$E$10:$E$11,'3-Year P&amp;L'!$G$10:$G$11)),"")</f>
        <v>1920.6689895470383</v>
      </c>
      <c r="G16" s="40">
        <f>IFERROR(IF('3-Year P&amp;L'!$B$9="","",'3-Year P&amp;L'!$B$9*G7*SUMPRODUCT('3-Year P&amp;L'!$E$10:$E$11,'3-Year P&amp;L'!$G$10:$G$11)),"")</f>
        <v>1833.365853658537</v>
      </c>
      <c r="H16" s="40">
        <f>IFERROR(IF('3-Year P&amp;L'!$B$9="","",'3-Year P&amp;L'!$B$9*H7*SUMPRODUCT('3-Year P&amp;L'!$E$10:$E$11,'3-Year P&amp;L'!$G$10:$G$11)),"")</f>
        <v>2695.484320557491</v>
      </c>
      <c r="I16" s="40">
        <f>IFERROR(IF('3-Year P&amp;L'!$B$9="","",'3-Year P&amp;L'!$B$9*I7*SUMPRODUCT('3-Year P&amp;L'!$E$10:$E$11,'3-Year P&amp;L'!$G$10:$G$11)),"")</f>
        <v>3361.1707317073165</v>
      </c>
      <c r="J16" s="40">
        <f>IFERROR(IF('3-Year P&amp;L'!$B$9="","",'3-Year P&amp;L'!$B$9*J7*SUMPRODUCT('3-Year P&amp;L'!$E$10:$E$11,'3-Year P&amp;L'!$G$10:$G$11)),"")</f>
        <v>2291.7073170731705</v>
      </c>
      <c r="K16" s="40">
        <f>IFERROR(IF('3-Year P&amp;L'!$B$9="","",'3-Year P&amp;L'!$B$9*K7*SUMPRODUCT('3-Year P&amp;L'!$E$10:$E$11,'3-Year P&amp;L'!$G$10:$G$11)),"")</f>
        <v>3055.609756097561</v>
      </c>
      <c r="L16" s="40">
        <f>IFERROR(IF('3-Year P&amp;L'!$B$9="","",'3-Year P&amp;L'!$B$9*L7*SUMPRODUCT('3-Year P&amp;L'!$E$10:$E$11,'3-Year P&amp;L'!$G$10:$G$11)),"")</f>
        <v>1222.2439024390242</v>
      </c>
      <c r="M16" s="40">
        <f>IFERROR(IF('3-Year P&amp;L'!$B$9="","",'3-Year P&amp;L'!$B$9*M7*SUMPRODUCT('3-Year P&amp;L'!$E$10:$E$11,'3-Year P&amp;L'!$G$10:$G$11)),"")</f>
        <v>1375.0243902439022</v>
      </c>
      <c r="N16" s="40">
        <f>IFERROR(IF('3-Year P&amp;L'!$B$9="","",SUM(B16:M16)),"")</f>
        <v>25056.0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4899.88850174216</v>
      </c>
      <c r="F19" s="28" t="n"/>
      <c r="G19" s="28" t="n"/>
      <c r="H19" s="40">
        <f>IFERROR(IF('3-Year P&amp;L'!$B$9="","",SUM(E16:G16)-SUM(E17:G17)-H18),"")</f>
        <v>6154.871080139374</v>
      </c>
      <c r="I19" s="28" t="n"/>
      <c r="J19" s="28" t="n"/>
      <c r="K19" s="40">
        <f>IFERROR(IF('3-Year P&amp;L'!$B$9="","",SUM(H16:J16)-SUM(H17:J17)-K18),"")</f>
        <v>8348.362369337978</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-4899.88850174216</v>
      </c>
      <c r="F20" s="28" t="n"/>
      <c r="G20" s="28" t="n"/>
      <c r="H20" s="40">
        <f>IFERROR(IF('3-Year P&amp;L'!$B$9="","",IF(H19&lt;=0,"",-H19)),"")</f>
        <v>-6154.871080139374</v>
      </c>
      <c r="I20" s="28" t="n"/>
      <c r="J20" s="28" t="n"/>
      <c r="K20" s="40">
        <f>IFERROR(IF('3-Year P&amp;L'!$B$9="","",IF(K19&lt;=0,"",-K19)),"")</f>
        <v>-8348.362369337978</v>
      </c>
      <c r="L20" s="28" t="n"/>
      <c r="M20" s="28" t="n"/>
      <c r="N20" s="40">
        <f>IFERROR(IF('3-Year P&amp;L'!$B$9="","",SUM(B20:M20)),"")</f>
        <v>-19403.12195121951</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-6661.493291086106</v>
      </c>
      <c r="C21" s="66">
        <f>IFERROR(IF('3-Year P&amp;L'!$B$9="","",SUM(C9:C15)+IF(C20="",0,C20)),"")</f>
        <v>-1196.9062806331447</v>
      </c>
      <c r="D21" s="66">
        <f>IFERROR(IF('3-Year P&amp;L'!$B$9="","",SUM(D9:D15)+IF(D20="",0,D20)),"")</f>
        <v>4352.281560830268</v>
      </c>
      <c r="E21" s="66">
        <f>IFERROR(IF('3-Year P&amp;L'!$B$9="","",SUM(E9:E15)+IF(E20="",0,E20)),"")</f>
        <v>1771.082501596822</v>
      </c>
      <c r="F21" s="66">
        <f>IFERROR(IF('3-Year P&amp;L'!$B$9="","",SUM(F9:F15)+IF(F20="",0,F20)),"")</f>
        <v>3785.142656649086</v>
      </c>
      <c r="G21" s="66">
        <f>IFERROR(IF('3-Year P&amp;L'!$B$9="","",SUM(G9:G15)+IF(G20="",0,G20)),"")</f>
        <v>2243.5275137919425</v>
      </c>
      <c r="H21" s="66">
        <f>IFERROR(IF('3-Year P&amp;L'!$B$9="","",SUM(H9:H15)+IF(H20="",0,H20)),"")</f>
        <v>1606.5106340010034</v>
      </c>
      <c r="I21" s="66">
        <f>IFERROR(IF('3-Year P&amp;L'!$B$9="","",SUM(I9:I15)+IF(I20="",0,I20)),"")</f>
        <v>13890.241916230962</v>
      </c>
      <c r="J21" s="66">
        <f>IFERROR(IF('3-Year P&amp;L'!$B$9="","",SUM(J9:J15)+IF(J20="",0,J20)),"")</f>
        <v>8165.585684523648</v>
      </c>
      <c r="K21" s="66">
        <f>IFERROR(IF('3-Year P&amp;L'!$B$9="","",SUM(K9:K15)+IF(K20="",0,K20)),"")</f>
        <v>2712.451754210064</v>
      </c>
      <c r="L21" s="66">
        <f>IFERROR(IF('3-Year P&amp;L'!$B$9="","",SUM(L9:L15)+IF(L20="",0,L20)),"")</f>
        <v>488.84361135291795</v>
      </c>
      <c r="M21" s="66">
        <f>IFERROR(IF('3-Year P&amp;L'!$B$9="","",SUM(M9:M15)+IF(M20="",0,M20)),"")</f>
        <v>-2187.049339866596</v>
      </c>
      <c r="N21" s="66">
        <f>IFERROR(IF('3-Year P&amp;L'!$B$9="","",SUM(B21:M21)),"")</f>
        <v>28970.218921600866</v>
      </c>
      <c r="O21" s="28" t="n"/>
    </row>
    <row r="22">
      <c r="A22" s="25" t="inlineStr">
        <is>
          <t>CUMULATIVE CASH BALANCE</t>
        </is>
      </c>
      <c r="B22" s="66">
        <f>IFERROR(IF('3-Year P&amp;L'!$B$9="","",'Startup Costs'!$B$25+B21),"")</f>
        <v>32824.30670891389</v>
      </c>
      <c r="C22" s="66">
        <f>IFERROR(IF('3-Year P&amp;L'!$B$9="","",B22+C21),"")</f>
        <v>31627.400428280747</v>
      </c>
      <c r="D22" s="66">
        <f>IFERROR(IF('3-Year P&amp;L'!$B$9="","",C22+D21),"")</f>
        <v>35979.68198911101</v>
      </c>
      <c r="E22" s="66">
        <f>IFERROR(IF('3-Year P&amp;L'!$B$9="","",D22+E21),"")</f>
        <v>37750.764490707836</v>
      </c>
      <c r="F22" s="66">
        <f>IFERROR(IF('3-Year P&amp;L'!$B$9="","",E22+F21),"")</f>
        <v>41535.90714735692</v>
      </c>
      <c r="G22" s="66">
        <f>IFERROR(IF('3-Year P&amp;L'!$B$9="","",F22+G21),"")</f>
        <v>43779.434661148865</v>
      </c>
      <c r="H22" s="66">
        <f>IFERROR(IF('3-Year P&amp;L'!$B$9="","",G22+H21),"")</f>
        <v>45385.94529514987</v>
      </c>
      <c r="I22" s="66">
        <f>IFERROR(IF('3-Year P&amp;L'!$B$9="","",H22+I21),"")</f>
        <v>59276.18721138083</v>
      </c>
      <c r="J22" s="66">
        <f>IFERROR(IF('3-Year P&amp;L'!$B$9="","",I22+J21),"")</f>
        <v>67441.77289590448</v>
      </c>
      <c r="K22" s="66">
        <f>IFERROR(IF('3-Year P&amp;L'!$B$9="","",J22+K21),"")</f>
        <v>70154.22465011454</v>
      </c>
      <c r="L22" s="66">
        <f>IFERROR(IF('3-Year P&amp;L'!$B$9="","",K22+L21),"")</f>
        <v>70643.06826146746</v>
      </c>
      <c r="M22" s="66">
        <f>IFERROR(IF('3-Year P&amp;L'!$B$9="","",L22+M21),"")</f>
        <v>68456.01892160086</v>
      </c>
      <c r="N22" s="28" t="n"/>
      <c r="O22" s="28" t="n"/>
    </row>
    <row r="23">
      <c r="A23" s="28" t="inlineStr">
        <is>
          <t>Minimum balance of the year</t>
        </is>
      </c>
      <c r="B23" s="40">
        <f>IFERROR(IF('3-Year P&amp;L'!$B$9="","",IF(COUNT(B22:M22)=0,"",MIN(B22:M22))),"")</f>
        <v>31627.400428280747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32453.76142857142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43592.87162905045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49850.4788895774</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42116.170902438986</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88965.8</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2.3</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1.4</v>
      </c>
      <c r="C32" s="28" t="n"/>
      <c r="D32" s="28" t="inlineStr">
        <is>
          <t>The same calculation on what you BUY (burners and pans, van, upfits, propane kit, event setup,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25000.0</v>
      </c>
      <c r="C6" s="28" t="n"/>
      <c r="D6" s="28" t="n"/>
      <c r="E6" s="28" t="n"/>
      <c r="F6" s="28" t="n"/>
      <c r="G6" s="28" t="n"/>
      <c r="H6" s="28" t="n"/>
    </row>
    <row r="7">
      <c r="A7" s="28" t="inlineStr">
        <is>
          <t>Loan requested — bank or SBA 7(a) (amortized below)</t>
        </is>
      </c>
      <c r="B7" s="40">
        <f>IFERROR(IF('0. Assumptions'!$B$31="","",'0. Assumptions'!$B$31),"")</f>
        <v>64000.0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89000.0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88965.8</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34.19999999999709</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0.0003844173828594481</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63965.8</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64000.0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13145.951980838116</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64000.0</v>
      </c>
      <c r="C27" s="61">
        <f>IFERROR(IF(OR(1&gt;B22,B27=""),"",B27*B21),"")</f>
        <v>6400.0</v>
      </c>
      <c r="D27" s="61">
        <f>IFERROR(IF(OR(1&gt;B22,B27=""),"",IF(1&lt;=B23,0,MIN(B27,B24-C27))),"")</f>
        <v>6745.951980838116</v>
      </c>
      <c r="E27" s="61">
        <f>IFERROR(IF(C27="","",C27+D27),"")</f>
        <v>13145.951980838116</v>
      </c>
      <c r="F27" s="61">
        <f>IFERROR(IF(D27="","",B27-D27),"")</f>
        <v>57254.048019161884</v>
      </c>
      <c r="G27" s="61">
        <f>IFERROR(IF(E27="","",'3-Year P&amp;L'!$B$41-'3-Year P&amp;L'!$B$46+'3-Year P&amp;L'!$B$36+'3-Year P&amp;L'!$B$37),"")</f>
        <v>32453.76142857142</v>
      </c>
      <c r="H27" s="61">
        <f>IFERROR(IF(OR(E27="",E27=0),"",G27/E27),"")</f>
        <v>2.4687266069339726</v>
      </c>
    </row>
    <row r="28">
      <c r="A28" s="40" t="n">
        <v>2</v>
      </c>
      <c r="B28" s="61">
        <f>IFERROR(IF(OR(2&gt;B22,F27=""),"",F27),"")</f>
        <v>57254.048019161884</v>
      </c>
      <c r="C28" s="61">
        <f>IFERROR(IF(OR(2&gt;B22,B28=""),"",B28*B21),"")</f>
        <v>5725.404801916189</v>
      </c>
      <c r="D28" s="61">
        <f>IFERROR(IF(OR(2&gt;B22,B28=""),"",IF(2&lt;=B23,0,MIN(B28,B24-C28))),"")</f>
        <v>7420.547178921926</v>
      </c>
      <c r="E28" s="61">
        <f>IFERROR(IF(C28="","",C28+D28),"")</f>
        <v>13145.951980838116</v>
      </c>
      <c r="F28" s="61">
        <f>IFERROR(IF(D28="","",B28-D28),"")</f>
        <v>49833.500840239954</v>
      </c>
      <c r="G28" s="61">
        <f>IFERROR(IF(E28="","",'3-Year P&amp;L'!$C$41-'3-Year P&amp;L'!$C$46+'3-Year P&amp;L'!$C$36+'3-Year P&amp;L'!$C$37),"")</f>
        <v>43592.87162905045</v>
      </c>
      <c r="H28" s="61">
        <f>IFERROR(IF(OR(E28="",E28=0),"",G28/E28),"")</f>
        <v>3.316068071189714</v>
      </c>
    </row>
    <row r="29">
      <c r="A29" s="40" t="n">
        <v>3</v>
      </c>
      <c r="B29" s="61">
        <f>IFERROR(IF(OR(3&gt;B22,F28=""),"",F28),"")</f>
        <v>49833.500840239954</v>
      </c>
      <c r="C29" s="61">
        <f>IFERROR(IF(OR(3&gt;B22,B29=""),"",B29*B21),"")</f>
        <v>4983.350084023996</v>
      </c>
      <c r="D29" s="61">
        <f>IFERROR(IF(OR(3&gt;B22,B29=""),"",IF(3&lt;=B23,0,MIN(B29,B24-C29))),"")</f>
        <v>8162.60189681412</v>
      </c>
      <c r="E29" s="61">
        <f>IFERROR(IF(C29="","",C29+D29),"")</f>
        <v>13145.951980838116</v>
      </c>
      <c r="F29" s="61">
        <f>IFERROR(IF(D29="","",B29-D29),"")</f>
        <v>41670.89894342583</v>
      </c>
      <c r="G29" s="61">
        <f>IFERROR(IF(E29="","",'3-Year P&amp;L'!$D$41-'3-Year P&amp;L'!$D$46+'3-Year P&amp;L'!$D$36+'3-Year P&amp;L'!$D$37),"")</f>
        <v>49850.4788895774</v>
      </c>
      <c r="H29" s="61">
        <f>IFERROR(IF(OR(E29="",E29=0),"",G29/E29),"")</f>
        <v>3.7920782733909855</v>
      </c>
    </row>
    <row r="30">
      <c r="A30" s="40" t="n">
        <v>4</v>
      </c>
      <c r="B30" s="61">
        <f>IFERROR(IF(OR(4&gt;B22,F29=""),"",F29),"")</f>
        <v>41670.89894342583</v>
      </c>
      <c r="C30" s="61">
        <f>IFERROR(IF(OR(4&gt;B22,B30=""),"",B30*B21),"")</f>
        <v>4167.089894342584</v>
      </c>
      <c r="D30" s="61">
        <f>IFERROR(IF(OR(4&gt;B22,B30=""),"",IF(4&lt;=B23,0,MIN(B30,B24-C30))),"")</f>
        <v>8978.862086495532</v>
      </c>
      <c r="E30" s="61">
        <f>IFERROR(IF(C30="","",C30+D30),"")</f>
        <v>13145.951980838116</v>
      </c>
      <c r="F30" s="61">
        <f>IFERROR(IF(D30="","",B30-D30),"")</f>
        <v>32692.036856930303</v>
      </c>
      <c r="G30" s="61">
        <f>IFERROR(IF(E30="","",'3-Year P&amp;L'!$D$41-'3-Year P&amp;L'!$D$46+'3-Year P&amp;L'!$D$36+'3-Year P&amp;L'!$D$37),"")</f>
        <v>49850.4788895774</v>
      </c>
      <c r="H30" s="61">
        <f>IFERROR(IF(OR(E30="",E30=0),"",G30/E30),"")</f>
        <v>3.7920782733909855</v>
      </c>
    </row>
    <row r="31">
      <c r="A31" s="40" t="n">
        <v>5</v>
      </c>
      <c r="B31" s="61">
        <f>IFERROR(IF(OR(5&gt;B22,F30=""),"",F30),"")</f>
        <v>32692.036856930303</v>
      </c>
      <c r="C31" s="61">
        <f>IFERROR(IF(OR(5&gt;B22,B31=""),"",B31*B21),"")</f>
        <v>3269.2036856930304</v>
      </c>
      <c r="D31" s="61">
        <f>IFERROR(IF(OR(5&gt;B22,B31=""),"",IF(5&lt;=B23,0,MIN(B31,B24-C31))),"")</f>
        <v>9876.748295145086</v>
      </c>
      <c r="E31" s="61">
        <f>IFERROR(IF(C31="","",C31+D31),"")</f>
        <v>13145.951980838116</v>
      </c>
      <c r="F31" s="61">
        <f>IFERROR(IF(D31="","",B31-D31),"")</f>
        <v>22815.288561785215</v>
      </c>
      <c r="G31" s="61">
        <f>IFERROR(IF(E31="","",'3-Year P&amp;L'!$D$41-'3-Year P&amp;L'!$D$46+'3-Year P&amp;L'!$D$36+'3-Year P&amp;L'!$D$37),"")</f>
        <v>49850.4788895774</v>
      </c>
      <c r="H31" s="61">
        <f>IFERROR(IF(OR(E31="",E31=0),"",G31/E31),"")</f>
        <v>3.7920782733909855</v>
      </c>
    </row>
    <row r="32">
      <c r="A32" s="40" t="n">
        <v>6</v>
      </c>
      <c r="B32" s="61">
        <f>IFERROR(IF(OR(6&gt;B22,F31=""),"",F31),"")</f>
        <v>22815.288561785215</v>
      </c>
      <c r="C32" s="61">
        <f>IFERROR(IF(OR(6&gt;B22,B32=""),"",B32*B21),"")</f>
        <v>2281.5288561785214</v>
      </c>
      <c r="D32" s="61">
        <f>IFERROR(IF(OR(6&gt;B22,B32=""),"",IF(6&lt;=B23,0,MIN(B32,B24-C32))),"")</f>
        <v>10864.423124659594</v>
      </c>
      <c r="E32" s="61">
        <f>IFERROR(IF(C32="","",C32+D32),"")</f>
        <v>13145.951980838116</v>
      </c>
      <c r="F32" s="61">
        <f>IFERROR(IF(D32="","",B32-D32),"")</f>
        <v>11950.865437125622</v>
      </c>
      <c r="G32" s="61">
        <f>IFERROR(IF(E32="","",'3-Year P&amp;L'!$D$41-'3-Year P&amp;L'!$D$46+'3-Year P&amp;L'!$D$36+'3-Year P&amp;L'!$D$37),"")</f>
        <v>49850.4788895774</v>
      </c>
      <c r="H32" s="61">
        <f>IFERROR(IF(OR(E32="",E32=0),"",G32/E32),"")</f>
        <v>3.7920782733909855</v>
      </c>
    </row>
    <row r="33">
      <c r="A33" s="40" t="n">
        <v>7</v>
      </c>
      <c r="B33" s="61">
        <f>IFERROR(IF(OR(7&gt;B22,F32=""),"",F32),"")</f>
        <v>11950.865437125622</v>
      </c>
      <c r="C33" s="61">
        <f>IFERROR(IF(OR(7&gt;B22,B33=""),"",B33*B21),"")</f>
        <v>1195.0865437125622</v>
      </c>
      <c r="D33" s="61">
        <f>IFERROR(IF(OR(7&gt;B22,B33=""),"",IF(7&lt;=B23,0,MIN(B33,B24-C33))),"")</f>
        <v>11950.865437125554</v>
      </c>
      <c r="E33" s="61">
        <f>IFERROR(IF(C33="","",C33+D33),"")</f>
        <v>13145.951980838116</v>
      </c>
      <c r="F33" s="61">
        <f>IFERROR(IF(D33="","",B33-D33),"")</f>
        <v>6.730260793119669e-11</v>
      </c>
      <c r="G33" s="61">
        <f>IFERROR(IF(E33="","",'3-Year P&amp;L'!$D$41-'3-Year P&amp;L'!$D$46+'3-Year P&amp;L'!$D$36+'3-Year P&amp;L'!$D$37),"")</f>
        <v>49850.4788895774</v>
      </c>
      <c r="H33" s="61">
        <f>IFERROR(IF(OR(E33="",E33=0),"",G33/E33),"")</f>
        <v>3.7920782733909855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6400.0</v>
      </c>
      <c r="C44" s="28" t="n"/>
      <c r="D44" s="28" t="n"/>
      <c r="E44" s="28" t="n"/>
      <c r="F44" s="28" t="n"/>
      <c r="G44" s="28" t="n"/>
      <c r="H44" s="28" t="n"/>
    </row>
    <row r="45">
      <c r="A45" s="28" t="inlineStr">
        <is>
          <t>Year-1 principal repaid</t>
        </is>
      </c>
      <c r="B45" s="40">
        <f>IFERROR(IF(B20="","",IF(D27="",0,D27)),"")</f>
        <v>6745.951980838116</v>
      </c>
      <c r="C45" s="28" t="n"/>
      <c r="D45" s="28" t="n"/>
      <c r="E45" s="28" t="n"/>
      <c r="F45" s="28" t="n"/>
      <c r="G45" s="28" t="n"/>
      <c r="H45" s="28" t="n"/>
    </row>
    <row r="46">
      <c r="A46" s="28" t="inlineStr">
        <is>
          <t>Year-2 interest</t>
        </is>
      </c>
      <c r="B46" s="40">
        <f>IFERROR(IF(B20="","",IF(C28="",0,C28)),"")</f>
        <v>5725.404801916189</v>
      </c>
      <c r="C46" s="28" t="n"/>
      <c r="D46" s="28" t="n"/>
      <c r="E46" s="28" t="n"/>
      <c r="F46" s="28" t="n"/>
      <c r="G46" s="28" t="n"/>
      <c r="H46" s="28" t="n"/>
    </row>
    <row r="47">
      <c r="A47" s="28" t="inlineStr">
        <is>
          <t>Year-2 principal repaid</t>
        </is>
      </c>
      <c r="B47" s="40">
        <f>IFERROR(IF(B20="","",IF(D28="",0,D28)),"")</f>
        <v>7420.547178921926</v>
      </c>
      <c r="C47" s="28" t="n"/>
      <c r="D47" s="28" t="n"/>
      <c r="E47" s="28" t="n"/>
      <c r="F47" s="28" t="n"/>
      <c r="G47" s="28" t="n"/>
      <c r="H47" s="28" t="n"/>
    </row>
    <row r="48">
      <c r="A48" s="28" t="inlineStr">
        <is>
          <t>Year-3 interest</t>
        </is>
      </c>
      <c r="B48" s="40">
        <f>IFERROR(IF(B20="","",IF(C29="",0,C29)),"")</f>
        <v>4983.350084023996</v>
      </c>
      <c r="C48" s="28" t="n"/>
      <c r="D48" s="28" t="n"/>
      <c r="E48" s="28" t="n"/>
      <c r="F48" s="28" t="n"/>
      <c r="G48" s="28" t="n"/>
      <c r="H48" s="28" t="n"/>
    </row>
    <row r="49">
      <c r="A49" s="28" t="inlineStr">
        <is>
          <t>Year-3 principal repaid</t>
        </is>
      </c>
      <c r="B49" s="40">
        <f>IFERROR(IF(B20="","",IF(D29="",0,D29)),"")</f>
        <v>8162.60189681412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2.4687266069339726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3.316068071189714</v>
      </c>
      <c r="C52" s="28" t="n"/>
      <c r="D52" s="28" t="n"/>
      <c r="E52" s="28" t="n"/>
      <c r="F52" s="28" t="n"/>
      <c r="G52" s="28" t="n"/>
      <c r="H52" s="28" t="n"/>
    </row>
    <row r="53">
      <c r="A53" s="28" t="inlineStr">
        <is>
          <t>Year-3 DSCR</t>
        </is>
      </c>
      <c r="B53" s="61">
        <f>IFERROR(('3-Year P&amp;L'!$D$41-'3-Year P&amp;L'!$D$46+'3-Year P&amp;L'!$D$36+B48)/(B48+B49),"")</f>
        <v>3.7920782733909855</v>
      </c>
      <c r="C53" s="28" t="n"/>
      <c r="D53" s="28" t="n"/>
      <c r="E53" s="28" t="n"/>
      <c r="F53" s="28" t="n"/>
      <c r="G53" s="28" t="n"/>
      <c r="H53" s="28" t="n"/>
    </row>
    <row r="54">
      <c r="A54" s="25" t="inlineStr">
        <is>
          <t>Minimum DSCR across the whole schedule</t>
        </is>
      </c>
      <c r="B54" s="62">
        <f>IFERROR(IF(COUNT(H27:H41)=0,"",MIN(H27:H41)),"")</f>
        <v>2.4687266069339726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Paella Catering Financial Projections: 3-Year P&amp;L, Cash Flow &amp; Financing · Paella Catering Business Plan Kit</dc:title>
  <dc:description xmlns:dc="http://purl.org/dc/elements/1.1/">aichef.pro/en/digital-products/paella-catering-business-plan</dc:description>
  <dc:subject xmlns:dc="http://purl.org/dc/elements/1.1/">Paella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2026-10-24T15:25:57Z</dcterms:modified>
  <cp:lastModifiedBy>AI Chef Pro</cp:lastModifiedBy>
  <cp:category>AI Chef Pro · Digital products</cp:category>
  <cp:keywords>paella catering business plan, paella business plan, how to start a paella catering business, spanish catering business plan, paella catering prices, paella party, AI Chef Pro</cp:keywords>
</cp:coreProperties>
</file>