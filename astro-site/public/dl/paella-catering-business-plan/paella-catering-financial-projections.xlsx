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6" fontId="0" fillId="4" borderId="0" applyProtection="1" pivotButton="0" quotePrefix="0" xfId="0">
      <protection locked="0" hidden="0"/>
    </xf>
    <xf numFmtId="4" fontId="0" fillId="0" borderId="0" pivotButton="0" quotePrefix="0" xfId="0"/>
    <xf numFmtId="166" fontId="0" fillId="0" borderId="0" pivotButton="0" quotePrefix="0" xfId="0"/>
    <xf numFmtId="3" fontId="10" fillId="0" borderId="3" pivotButton="0" quotePrefix="0" xfId="0"/>
    <xf numFmtId="166" fontId="10" fillId="0" borderId="3" pivotButton="0" quotePrefix="0" xfId="0"/>
    <xf numFmtId="166" fontId="9" fillId="0" borderId="3" pivotButton="0" quotePrefix="0" xfId="0"/>
    <xf numFmtId="166" fontId="11" fillId="0" borderId="0" pivotButton="0" quotePrefix="0" xfId="0"/>
    <xf numFmtId="166" fontId="12"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xf numFmtId="166" fontId="9"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US dollars (or your own currency).</t>
        </is>
      </c>
    </row>
    <row r="3">
      <c r="A3" s="16" t="inlineStr">
        <is>
          <t>BUSINESS ACTIVITY</t>
        </is>
      </c>
    </row>
    <row r="4">
      <c r="A4" t="inlineStr">
        <is>
          <t>Events per year (year-1 average)</t>
        </is>
      </c>
      <c r="B4" s="18" t="n">
        <v>135</v>
      </c>
      <c r="C4" t="inlineStr">
        <is>
          <t>Average number of events you cater per year, counting every drop-off, backyard paella party, wedding, corporate booking and premium seafood event. It is the main volume driver of the whole workbook: the P&amp;L, break-even and scenarios all read it, and years 2 and 3 grow in events. The example is a full-time owner-paella chef with a second cook on weekends, not the average first year. Compare it with the capacity row further down.</t>
        </is>
      </c>
    </row>
    <row r="5">
      <c r="A5" t="inlineStr">
        <is>
          <t>Average price per guest (excl. sales tax, service included)</t>
        </is>
      </c>
      <c r="B5" s="24" t="n">
        <v>40</v>
      </c>
      <c r="C5" t="inlineStr">
        <is>
          <t>EXCL. sales tax, with the paella chef, the staff and the service charge included and the voluntary gratuity left out: the blended price per guest across everything you sell, not the price of any one package. Price per guest incl. sales tax = this value × (1 + your sales tax rate). Operators quote per person (live paella with salad and bread, or a full Spanish menu with staff); the benchmarks table on the "Instructions" tab shows the ranges. The Pricing Calculator quotes three packages per guest: to bring them here, add the service charge you keep to each package subtotal, divide by its billable guests, then weight each package's price by the guests you expect to serve with it in a year.</t>
        </is>
      </c>
    </row>
    <row r="6">
      <c r="A6" t="inlineStr">
        <is>
          <t>Average guests per event</t>
        </is>
      </c>
      <c r="B6" s="18" t="n">
        <v>58</v>
      </c>
      <c r="C6" t="inlineStr">
        <is>
          <t>Average number of guests per event across your whole mix, from drop-off lunches for a few dozen people to weddings of well over a hundred. Operators set guest minimums (see the benchmarks table on the "Instructions" tab). Sales per event = guests × price per guest. One cell for the whole workbook: the P&amp;L, break-even and scenarios all read it, so they always agree.</t>
        </is>
      </c>
    </row>
    <row r="7">
      <c r="A7" t="inlineStr">
        <is>
          <t>Volume growth in year 2</t>
        </is>
      </c>
      <c r="B7" s="63" t="n">
        <v>0.1</v>
      </c>
      <c r="C7" t="inlineStr">
        <is>
          <t>Growth in events in year 2 over year 1 (enter 0.10 for 10%). Kept conservative on purpose: reviews and wedding bookings build up months ahead, and one paella chef with one van limits how fast you can grow.</t>
        </is>
      </c>
    </row>
    <row r="8">
      <c r="A8" t="inlineStr">
        <is>
          <t>Volume growth in year 3</t>
        </is>
      </c>
      <c r="B8" s="63" t="n">
        <v>0.06</v>
      </c>
      <c r="C8" t="inlineStr">
        <is>
          <t>Growth in events in year 3 over year 2, kept conservative for the same reason: repeat corporate clients and planner referrals build up slowly, and one van and one paella chef limit the weekends you can sell.</t>
        </is>
      </c>
    </row>
    <row r="9">
      <c r="A9" t="inlineStr">
        <is>
          <t>Price per guest incl. sales tax (calculated)</t>
        </is>
      </c>
      <c r="B9" s="64">
        <f>IFERROR(IF($B$5="","",$B$5*(1+SUMPRODUCT('3-Year P&amp;L'!$E$10:$E$11,'3-Year P&amp;L'!$G$10:$G$11))),"")</f>
        <v>43.2</v>
      </c>
      <c r="C9" t="str">
        <f>IFERROR("Price per guest excl. sales tax plus the weighted sales tax of your sales lines ("&amp;TEXT(SUMPRODUCT('3-Year P&amp;L'!$E$10:$E$11,'3-Year P&amp;L'!$G$10:$G$11)*100,"0")&amp;"%), rounded. In the US the quote adds sales tax on top, and many states tax the whole catering invoice (food, staff, rentals and the service charge); in the UK, VAT is included in the price.","")</f>
        <v>Price per guest excl. sales tax plus the weighted sales tax of your sales lines (8%), rounded. In the US the quote adds sales tax on top, and many states tax the whole catering invoice (food, staff, rentals and the service charge); in the UK, VAT is included in the price.</v>
      </c>
    </row>
    <row r="10">
      <c r="A10" s="16" t="inlineStr">
        <is>
          <t>SALES MIX AND COST OF GOODS SOLD</t>
        </is>
      </c>
    </row>
    <row r="11">
      <c r="A11" t="inlineStr">
        <is>
          <t>PAELLA PACKAGES share of sales (live-cooked paella, salad &amp; bread, paella chef &amp; staff)</t>
        </is>
      </c>
      <c r="B11" s="63" t="n">
        <v>0.88</v>
      </c>
      <c r="C11" t="inlineStr">
        <is>
          <t>Share of sales that comes from paella packages: the live-cooked paella with salad and bread, plus the paella chef and the staff who serve it. It is an INPUT: change it here and the P&amp;L, the cash flow and the sales tax collected recalculate on their own. The rest of your sales are add-ons.</t>
        </is>
      </c>
    </row>
    <row r="12">
      <c r="A12" t="inlineStr">
        <is>
          <t>ADD-ONS share of sales (tapas, desserts, non-alcoholic sangria &amp; drinks, rentals, extra hours, travel fees)</t>
        </is>
      </c>
      <c r="B12" s="65">
        <f>IFERROR(IF(COUNT(B11)=0,"",1-B11),"")</f>
        <v>0.12</v>
      </c>
      <c r="C12" t="inlineStr">
        <is>
          <t>Calculated as the remainder: paella packages + add-ons = 100%. Add-ons are tapas hour, desserts, non-alcoholic sangria and drinks, rentals, extra hours and travel fees.</t>
        </is>
      </c>
    </row>
    <row r="13">
      <c r="A13" t="inlineStr">
        <is>
          <t>Cost of goods on PAELLA PACKAGE sales (rice, seafood, meats, saffron, stock, salad, bread)</t>
        </is>
      </c>
      <c r="B13" s="63" t="n">
        <v>0.28</v>
      </c>
      <c r="C13" t="inlineStr">
        <is>
          <t>Cost of goods sold on paella package sales: bomba rice, seafood, chicken and chorizo, saffron, stock, salad and bread, with a cushion for overproduction and for volatile seafood prices. The example sits inside the 28-35% food cost range for caterers in the benchmarks table on the "Instructions" tab. Seafood prices swing, so it is the most sensitive lever in the plan: test it at the top of the range before you trust the result.</t>
        </is>
      </c>
    </row>
    <row r="14">
      <c r="A14" t="inlineStr">
        <is>
          <t>Cost of goods on ADD-ON sales</t>
        </is>
      </c>
      <c r="B14" s="63" t="n">
        <v>0.35</v>
      </c>
      <c r="C14" t="inlineStr">
        <is>
          <t>Cost of goods sold on add-ons: tapas ingredients, bought-in desserts and the rentals you pass on at close to cost. There is no alcohol in this line: the client buys it separately, and sangria goes out without alcohol.</t>
        </is>
      </c>
    </row>
    <row r="15">
      <c r="A15" t="inlineStr">
        <is>
          <t>Disposables &amp; cooking fuel as % of sales</t>
        </is>
      </c>
      <c r="B15" s="63" t="n">
        <v>0.035</v>
      </c>
      <c r="C15" t="inlineStr">
        <is>
          <t>Disposables and cooking fuel as a % of sales: plates, cutlery, napkins and foil pans, plus the propane that fires the burners at every event (about 6-8 lb, or 2.7-3.6 kg, for a 60-guest event: Kit estimate) and wood only where a permit allows it. It scales with the number of events and the pans you cook. Van fuel is NOT here: it has its own fixed line on the "3-Year P&amp;L" tab. Some cities restrict foam and single-use plastics, so check your local rules.</t>
        </is>
      </c>
    </row>
    <row r="16">
      <c r="A16" t="inlineStr">
        <is>
          <t>Corporate catering marketplace share of sales (e.g. ezCater)</t>
        </is>
      </c>
      <c r="B16" s="63" t="n">
        <v>0.05</v>
      </c>
      <c r="C16" t="inlineStr">
        <is>
          <t>Share of your sales that comes through corporate catering marketplaces such as ezCater, rather than from clients who book you directly. Set it to 0 if you only sell direct. The marketplace sends you the order but keeps a commission (next row).</t>
        </is>
      </c>
    </row>
    <row r="17">
      <c r="A17" t="inlineStr">
        <is>
          <t>Marketplace commission on those sales</t>
        </is>
      </c>
      <c r="B17" s="63" t="n">
        <v>0.15</v>
      </c>
      <c r="C17" t="inlineStr">
        <is>
          <t>Commission the marketplace keeps on those sales. ezCater charges about 15% on food and delivery (Kit estimate); fees change, so check the current schedule when you sign up. Not used while the marketplace share is 0%.</t>
        </is>
      </c>
    </row>
    <row r="18">
      <c r="A18" t="inlineStr">
        <is>
          <t>Card processing fee</t>
        </is>
      </c>
      <c r="B18" s="63" t="n">
        <v>0.03</v>
      </c>
      <c r="C18" t="inlineStr">
        <is>
          <t>Card and ACH fees on total sales. Private clients pay their deposit and balance by card; many companies pay by ACH or check, which lowers the cost. The example is a blended rate: a percentage plus a per-transaction fee, which weighs more on small invoices. Check your processor's statement and enter your effective rate (Kit estimate).</t>
        </is>
      </c>
    </row>
    <row r="19">
      <c r="A19" s="16" t="inlineStr">
        <is>
          <t>LABOR</t>
        </is>
      </c>
    </row>
    <row r="20">
      <c r="A20" t="inlineStr">
        <is>
          <t>Employer payroll taxes</t>
        </is>
      </c>
      <c r="B20" s="63" t="n">
        <v>0.1</v>
      </c>
      <c r="C20" t="inlineStr">
        <is>
          <t>FICA (Social Security 6.2% + Medicare 1.45%) + federal and state unemployment taxes (FUTA / SUTA). Workers' comp is in the insurance line. The example uses a lean 10% with no benefits; ask your payroll provider for your rate.</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COMMISSARY KITCHEN, EQUIPMENT STORAGE AND FIXED COSTS</t>
        </is>
      </c>
    </row>
    <row r="24">
      <c r="A24" t="inlineStr">
        <is>
          <t>Commissary kitchen rent &amp; equipment storage, per month</t>
        </is>
      </c>
      <c r="B24" s="18" t="n">
        <v>1100</v>
      </c>
      <c r="C24" t="inlineStr">
        <is>
          <t>Monthly cost of your commissary kitchen (hours + storage) and the space for your paella pans and burners: one cell for everything you pay the commissary. Pick a kitchen that lets you store burners and propane cylinders, and ask the health department and the fire marshal before you sign. The deposit and the months before opening are calculated from it. Shared kitchens charge roughly 15-45 per hour (The Food Corridor, 2023 Shared Kitchen Operator Survey): multiply by your prep hours (sofrito, stock, cleaning the seafood) and add storage. A permitted commissary is required: paella for clients cannot be prepped in a home kitchen, and cottage food rules do not cover it. Get quotes in your area before you sign.</t>
        </is>
      </c>
    </row>
    <row r="25">
      <c r="A25" t="inlineStr">
        <is>
          <t>Commissary deposit (months)</t>
        </is>
      </c>
      <c r="B25" s="18" t="n">
        <v>1</v>
      </c>
      <c r="C25" t="inlineStr">
        <is>
          <t>Months of deposit on the commissary agreement. Many shared kitchens ask for one month up front: far less than the deposit on a commercial lease. Negotiate it in the written agreement.</t>
        </is>
      </c>
    </row>
    <row r="26">
      <c r="A26" t="inlineStr">
        <is>
          <t>Monthly utilities (water, power and phone not covered by the commissary)</t>
        </is>
      </c>
      <c r="B26" s="18" t="n">
        <v>150</v>
      </c>
      <c r="C26" t="inlineStr">
        <is>
          <t>Water, electricity and phone that the commissary fee does not cover. Propane (and wood where a permit allows it) is not here: it scales with your events and lives in the disposables and cooking fuel row above. It is the one cell for this cost, so you change it in one place and the rest of the workbook follows.</t>
        </is>
      </c>
    </row>
    <row r="27">
      <c r="A27" t="inlineStr">
        <is>
          <t>Insurance (per year)</t>
        </is>
      </c>
      <c r="B27" s="18" t="n">
        <v>5500</v>
      </c>
      <c r="C27" t="inlineStr">
        <is>
          <t>General liability or a BOP that does NOT exclude open flame at events (venues and planners often require 1M per occurrence), commercial auto for the van, workers' comp for your W-2 staff and inland marine for the pans and burners. Venues ask for a certificate of insurance (COI) naming them as additional insured. Add liquor liability only if the client supplies alcohol and your staff serves it. Insureon publishes averages for small businesses (see the benchmarks table on the "Instructions" tab); the example is a Kit estimate, so get quotes from an insurance agent. It is counted once, as an annual expense, not also in startup costs.</t>
        </is>
      </c>
    </row>
    <row r="28">
      <c r="A28" t="inlineStr">
        <is>
          <t>Miscellaneous and contingency as % of sales</t>
        </is>
      </c>
      <c r="B28" s="63" t="n">
        <v>0.03</v>
      </c>
      <c r="C28" t="inlineStr">
        <is>
          <t>Extra seafood on the day, ice, lemons and parking at the venue: the unbudgeted costs of each event. It is a VARIABLE cost: it rises and falls with the number of events, so it cannot sit among the fixed costs or it would move the break-even without anyone noticing. Fuel is not here: van fuel has its own fixed line on the "3-Year P&amp;L" tab, and cooking propane is in the disposables row.</t>
        </is>
      </c>
    </row>
    <row r="29">
      <c r="A29" s="16" t="inlineStr">
        <is>
          <t>FINANCING</t>
        </is>
      </c>
    </row>
    <row r="30">
      <c r="A30" t="inlineStr">
        <is>
          <t>Owner's equity contributed</t>
        </is>
      </c>
      <c r="B30" s="18" t="n">
        <v>25000</v>
      </c>
      <c r="C30" t="inlineStr">
        <is>
          <t>Your own money. Lenders usually expect an owner equity injection (often around 10% for SBA start-ups; many want 20-30%) on the total cash needed in this plan.</t>
        </is>
      </c>
    </row>
    <row r="31">
      <c r="A31" t="inlineStr">
        <is>
          <t>Loan requested</t>
        </is>
      </c>
      <c r="B31" s="18" t="n">
        <v>64000</v>
      </c>
      <c r="C31" t="inlineStr">
        <is>
          <t>Principal requested: bank or SBA 7(a). The example loan is above the $50,000 ceiling of the SBA Microloan, so it fits an SBA 7(a) loan or a secured bank loan. If your loan is an SBA 7(a), this is the cell. It is the only loan that the amortization schedule, the P&amp;L interest and the DSCR use. The "Financing" tab checks that the sources of funds match the total cash needed on the "Startup Costs" tab (which includes working capital and the burner, pan, van and fit-out contingency): copy the loan suggested there into this cell until the difference reaches zero. A lender will ask for your plan and projections.</t>
        </is>
      </c>
    </row>
    <row r="32">
      <c r="A32" t="inlineStr">
        <is>
          <t>Nominal annual interest rate (not APR)</t>
        </is>
      </c>
      <c r="B32" s="63" t="n">
        <v>0.1</v>
      </c>
      <c r="C32" t="inlineStr">
        <is>
          <t>Nominal annual rate (not APR). The example (10%) is the kit's assumption for an SBA 7(a) loan. A smaller loan secured by a used van and kitchen equipment often prices above a storefront loan: ask two lenders for quotes, and ask about SBA-guaranteed loans, before you set it.</t>
        </is>
      </c>
    </row>
    <row r="33">
      <c r="A33" t="inlineStr">
        <is>
          <t>Loan term (years)</t>
        </is>
      </c>
      <c r="B33" s="18" t="n">
        <v>7</v>
      </c>
      <c r="C33" t="inlineStr">
        <is>
          <t>Total years, interest-only period included. A used van, burners and pans lose value faster than a storefront build-out, so the term is shorter. SBA 7(a) allows up to 10 years for equipment and working capital.</t>
        </is>
      </c>
    </row>
    <row r="34">
      <c r="A34" t="inlineStr">
        <is>
          <t>Interest-only period (years)</t>
        </is>
      </c>
      <c r="B34" s="18" t="n">
        <v>0</v>
      </c>
      <c r="C34" t="inlineStr">
        <is>
          <t>ZERO by default: repayment starts in year 1, so the year-1 DSCR already measures the full loan payment. If you negotiate an interest-only first year, enter it here and read the year-1 DSCR with care.</t>
        </is>
      </c>
    </row>
    <row r="35">
      <c r="A35" t="inlineStr">
        <is>
          <t>Working capital (months of fixed costs)</t>
        </is>
      </c>
      <c r="B35" s="18" t="n">
        <v>3</v>
      </c>
      <c r="C35" t="inlineStr">
        <is>
          <t>The minimum this workbook asks for (see "Instructions"): a cushion below 3 months does not cover a slow stretch, such as the off-season for weddings or a corporate client who pays late.</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Example rate: state + local sales tax combined, applied to the whole invoice (food, staffing, rentals and the service charge). It varies widely by state and city: look up yours. UK: 20% VAT applies to catering for events and functions (VAT Notice 709/1).</t>
        </is>
      </c>
    </row>
    <row r="40">
      <c r="A40" t="inlineStr">
        <is>
          <t>Sales tax rate on alcohol sold (licensed only)</t>
        </is>
      </c>
      <c r="B40" s="63"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the burners, pans, van and fit-outs (years)</t>
        </is>
      </c>
      <c r="B44" s="18" t="n">
        <v>7</v>
      </c>
      <c r="C44" t="inlineStr">
        <is>
          <t>The paella burners and stands, the paella pans, the used cargo van and its upfit, and the fire marshal or propane setup inspection: the cooking assets and the vehicle are depreciated together. Straight-line book depreciation; tax methods such as MACRS or Section 179 are separate, so confirm with your accountant.</t>
        </is>
      </c>
    </row>
    <row r="45">
      <c r="A45" t="inlineStr">
        <is>
          <t>Useful life of the propane kit, commissary fit-out, setup &amp; holding gear, paella tools and software (years)</t>
        </is>
      </c>
      <c r="B45" s="18" t="n">
        <v>5</v>
      </c>
      <c r="C45" t="inlineStr">
        <is>
          <t>The propane and fire-safety kit, commissary fit-out, software, smallwares and paella tools, and event setup and holding equipment. Loading and unloading at every event wears them faster than a fixed kitchen, so a short life is prudent. Straight-line book depreciation; MACRS or Section 179 are tax treatments: confirm with your accountant.</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1">
      <c r="A51" t="inlineStr">
        <is>
          <t>Max events a year your paella crew can handle</t>
        </is>
      </c>
      <c r="B51" s="18" t="n">
        <v>200</v>
      </c>
      <c r="C51" t="inlineStr">
        <is>
          <t>INFORMATION ONLY: it does not enter any calculation in this workbook. It is your estimate of the most events a year your crew can handle with one van and a second paella chef; two events on the same Saturday is the practical limit, and Saturdays in May, June and October are the bottleneck. Compare it with the events per year you plan and with the optimistic scenario: if the plan goes above it, you need a second set of pans and burners or more staff. Volume itself is driven by the "Events per year" cell above.</t>
        </is>
      </c>
    </row>
    <row r="52">
      <c r="A52" t="inlineStr">
        <is>
          <t>Month-1 activity as a % of steady-state activity</t>
        </is>
      </c>
      <c r="B52" s="63" t="n">
        <v>0.5</v>
      </c>
      <c r="C52" t="inlineStr">
        <is>
          <t>A new caterer does not book in month one what it books in month eight: weddings are reserved months ahead and corporate clients want to try your paella first. Events per year above is the year-1 AVERAGE: the ramp only spreads year 1's sales across the months (slower start, stronger finish) and keeps the annual total. At 100% there is no ramp.</t>
        </is>
      </c>
    </row>
    <row r="53">
      <c r="A53" t="inlineStr">
        <is>
          <t>Months to reach steady state</t>
        </is>
      </c>
      <c r="B53" s="18" t="n">
        <v>8</v>
      </c>
      <c r="C53" t="inlineStr">
        <is>
          <t>The ramp rises in a straight line from the percentage above to 100% over this number of months</t>
        </is>
      </c>
    </row>
    <row r="54">
      <c r="A54" t="inlineStr">
        <is>
          <t>Months of commissary rent BEFORE opening</t>
        </is>
      </c>
      <c r="B54" s="18" t="n">
        <v>1</v>
      </c>
      <c r="C54" t="inlineStr">
        <is>
          <t>Getting the commissary agreement, the permits and the van ready takes weeks, and your test paellas for each pan size happen before your first booking, so you pay commissary rent before you earn anything. It belongs in startup costs, not in the P&amp;L.</t>
        </is>
      </c>
    </row>
    <row r="55">
      <c r="A55" t="inlineStr">
        <is>
          <t>Contingency on the burner, pan, van and fit-out lines (%)</t>
        </is>
      </c>
      <c r="B55" s="63" t="n">
        <v>0.1</v>
      </c>
      <c r="C55" t="inlineStr">
        <is>
          <t>Calculated by formula on the burner and stand, paella pan, used van, van upfit and fire / propane inspection lines: if you change the van price, the contingency recalculates on its own. The note on that row of the "Startup Costs" tab lists exactly which lines are included.</t>
        </is>
      </c>
    </row>
    <row r="57">
      <c r="A57" s="16" t="inlineStr">
        <is>
          <t>RECEIPTS, PAYMENTS AND SALES TAX BREAKDOWN</t>
        </is>
      </c>
    </row>
    <row r="58">
      <c r="A58" t="inlineStr">
        <is>
          <t>Average collection days</t>
        </is>
      </c>
      <c r="B58" s="18" t="n">
        <v>7</v>
      </c>
      <c r="C58" t="inlineStr">
        <is>
          <t>Average days between the event and the money in your bank. Private clients usually pay a deposit when they book the date (caterers commonly ask for 25-50%: Kit estimate) and the balance before the event, and many companies pay at 30 days, so the example sits in between. Raise it if clients or marketplaces pay later. The workbook does not model deposits: they improve your real cash flow.</t>
        </is>
      </c>
    </row>
    <row r="59">
      <c r="A59" t="inlineStr">
        <is>
          <t>Average days to pay suppliers</t>
        </is>
      </c>
      <c r="B59" s="18" t="n">
        <v>7</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 as a share of add-on sales (0%: no liquor license; the client supplies any wine)</t>
        </is>
      </c>
      <c r="B62" s="63" t="n">
        <v>0</v>
      </c>
      <c r="C62" t="inlineStr">
        <is>
          <t>ZERO by default: a paella caterer sells no alcohol. Sangria goes out without alcohol, or with wine the client buys, at no margin. If the client supplies alcohol, a licensed service should pour it under its own insurance. Selling alcohol requires a liquor license (and, in some states, an event-by-event caterer's permit): check your state before adding it. Keep liquor liability coverage whenever your staff pours at your events.</t>
        </is>
      </c>
    </row>
    <row r="63">
      <c r="A63" t="inlineStr">
        <is>
          <t>Sales tax rate on alcohol served on site</t>
        </is>
      </c>
      <c r="B63" s="63" t="n">
        <v>0.08</v>
      </c>
      <c r="C63" t="inlineStr">
        <is>
          <t>Only used if you enter alcohol sales above, which is zero in this plan. Example rate: the same as the rest of the sales (state + local combined). Some states tax alcohol at a different rate or add liquor taxes: if you sell alcohol, enter the rate that applies.</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3" t="n">
        <v>0.15</v>
      </c>
      <c r="C67" t="inlineStr">
        <is>
          <t>Minimum cushion of the plan above break-even (plan ÷ break-even − 1). The drop you can absorb is 1 − break-even ÷ plan: a 15% cushion lets events fall by about 13% before costs stop being covered</t>
        </is>
      </c>
    </row>
    <row r="68">
      <c r="A68" t="inlineStr">
        <is>
          <t>State / local minimum wage, annual full-time</t>
        </is>
      </c>
      <c r="B68" s="18" t="n"/>
      <c r="C68" t="inlineStr">
        <is>
          <t>Enter the minimum wage of your state or city, annualized for a full-time job (hourly rate × 2,080 hours). The pay floor in the "Staffing" tab is the HIGHER of this cell and the federal minimum. With 0 or blank, the traffic light compares only against the federal floor. Check current rates at dol.gov.</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Value out of range" error="Enter a whole number from 1 to 365: guests per event or days."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PAELLA CATERING COMPANY</t>
        </is>
      </c>
    </row>
    <row r="2">
      <c r="A2" s="2" t="inlineStr">
        <is>
          <t>Estimated Startup Costs</t>
        </is>
      </c>
    </row>
    <row r="3">
      <c r="A3" s="3" t="inlineStr">
        <is>
          <t>US kit example (2026) — replace with your own quotes.</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66">
        <f>IFERROR(IF(COUNT(B7:B23)=0,"",SUM(B7:B23)),"")</f>
        <v>49480.0</v>
      </c>
      <c r="C6" s="67">
        <f>IFERROR(B6/$B$26,"")</f>
        <v>0.5561687749674594</v>
      </c>
      <c r="D6" s="28" t="n"/>
      <c r="E6" s="28" t="n"/>
    </row>
    <row r="7">
      <c r="A7" s="28" t="inlineStr">
        <is>
          <t>Paella burners &amp; stands (four 3-ring burners with legs, one rolling stand, wind guards)</t>
        </is>
      </c>
      <c r="B7" s="49" t="n">
        <v>2500</v>
      </c>
      <c r="C7" s="68">
        <f>IFERROR(B7/$B$26,"")</f>
        <v>0.028100685881540997</v>
      </c>
      <c r="D7" s="28" t="inlineStr">
        <is>
          <t>Four 3-ring paella burners with legs (the XL 3-ring burner with tripod and regulator for pans up to 36 in (90 cm) runs about 549; burners for the 26-32 in pans cost less: Kit estimate from store prices), a rolling stand (about 399 for a 2-ring one) and wind guards. Get quotes before you buy.</t>
        </is>
      </c>
      <c r="E7" s="31" t="inlineStr">
        <is>
          <t>Yes</t>
        </is>
      </c>
    </row>
    <row r="8">
      <c r="A8" s="28" t="inlineStr">
        <is>
          <t>Paella pans: 2 × 36 in (90 cm), 3 × 32 in (80 cm), 3 × 26 in (65 cm)</t>
        </is>
      </c>
      <c r="B8" s="49" t="n">
        <v>1800</v>
      </c>
      <c r="C8" s="68">
        <f>IFERROR(B8/$B$26,"")</f>
        <v>0.020232493834709517</v>
      </c>
      <c r="D8" s="28" t="inlineStr">
        <is>
          <t>Paella pans by size: 2 × 36 in (90 cm), about 40 guests each; 3 × 32 in (80 cm), about 30; 3 × 26 in (65 cm), about 18 (Kit estimate). A 36 in pan runs about 349 (store price, Kit estimate). Carbon steel or enameled. They are depreciated with the burners.</t>
        </is>
      </c>
      <c r="E8" s="31" t="inlineStr">
        <is>
          <t>Yes</t>
        </is>
      </c>
    </row>
    <row r="9">
      <c r="A9" s="28" t="inlineStr">
        <is>
          <t>Propane &amp; fire-safety kit (eight 20-lb cylinders, regulators, hoses, 2 extinguishers, fire blanket)</t>
        </is>
      </c>
      <c r="B9" s="49" t="n">
        <v>900</v>
      </c>
      <c r="C9" s="68">
        <f>IFERROR(B9/$B$26,"")</f>
        <v>0.010116246917354759</v>
      </c>
      <c r="D9" s="28" t="inlineStr">
        <is>
          <t>Propane and fire-safety kit: eight 20-lb cylinders (about 4.7 gallons or 18 liters each), regulators, hoses within their date, two fire extinguishers (your fire marshal says which ones) and a fire blanket.</t>
        </is>
      </c>
      <c r="E9" s="31" t="inlineStr">
        <is>
          <t>Yes</t>
        </is>
      </c>
    </row>
    <row r="10">
      <c r="A10" s="28" t="inlineStr">
        <is>
          <t>Commissary prep &amp; storage fit-out (racks, sheet pans, labeled bins)</t>
        </is>
      </c>
      <c r="B10" s="49" t="n">
        <v>1500</v>
      </c>
      <c r="C10" s="68">
        <f>IFERROR(B10/$B$26,"")</f>
        <v>0.016860411528924597</v>
      </c>
      <c r="D10" s="28" t="inlineStr">
        <is>
          <t>Commissary prep fit-out: shelving, sheet pans and labeled tubs for sofrito and stock. Ask the kitchen what it already provides before you budget this line.</t>
        </is>
      </c>
      <c r="E10" s="31" t="inlineStr">
        <is>
          <t>Yes</t>
        </is>
      </c>
    </row>
    <row r="11">
      <c r="A11" s="28" t="inlineStr">
        <is>
          <t>Used cargo van</t>
        </is>
      </c>
      <c r="B11" s="49" t="n">
        <v>18000</v>
      </c>
      <c r="C11" s="68">
        <f>IFERROR(B11/$B$26,"")</f>
        <v>0.20232493834709517</v>
      </c>
      <c r="D11" s="28" t="inlineStr">
        <is>
          <t>A used cargo van that carries the pans, burners, cylinders and coolers. It is not refrigerated: raw seafood travels in coolers with ice at 41 °F (5 °C) or below, and drop-off paella in insulated carriers at 135 °F (57 °C) or above. Prices vary with size, mileage and condition, so get several quotes. A Transit-size van does not need a CDL (that starts at 26,001 lb GVWR).</t>
        </is>
      </c>
      <c r="E11" s="31" t="inlineStr">
        <is>
          <t>Yes</t>
        </is>
      </c>
    </row>
    <row r="12">
      <c r="A12" s="28" t="inlineStr">
        <is>
          <t>Van upfit (shelving, upright cylinder racks, tie-downs, wrap)</t>
        </is>
      </c>
      <c r="B12" s="49" t="n">
        <v>3000</v>
      </c>
      <c r="C12" s="68">
        <f>IFERROR(B12/$B$26,"")</f>
        <v>0.033720823057849195</v>
      </c>
      <c r="D12" s="28" t="inlineStr">
        <is>
          <t>Shelving, upright cylinder racks with ventilation, tie-downs for the pans and burners, and the vehicle wrap. Check that your insurance covers the upfit.</t>
        </is>
      </c>
      <c r="E12" s="31" t="inlineStr">
        <is>
          <t>Yes</t>
        </is>
      </c>
    </row>
    <row r="13">
      <c r="A13" s="28" t="inlineStr">
        <is>
          <t>LLC formation, contracts and legal</t>
        </is>
      </c>
      <c r="B13" s="49" t="n">
        <v>1500</v>
      </c>
      <c r="C13" s="68">
        <f>IFERROR(B13/$B$26,"")</f>
        <v>0.016860411528924597</v>
      </c>
      <c r="D13" s="28" t="inlineStr">
        <is>
          <t>State filing fees for the LLC (Secretary of State) plus an attorney's review of your standard contract (deposit, cancellation tiers, final headcount, a plan B for wind and rain, and an unauthorized open-flame clause) or a filing service; a registered agent is also needed. Fees vary a lot by state. The "Taxable / recoverable tax?" column is set to No: it only matters if you enter a recoverable input tax rate (for example UK VAT).</t>
        </is>
      </c>
      <c r="E13" s="31" t="inlineStr">
        <is>
          <t>No</t>
        </is>
      </c>
    </row>
    <row r="14">
      <c r="A14" s="28" t="inlineStr">
        <is>
          <t>First-year permits and certifications (catering / health permit, temporary event permits, ServSafe Manager, food handler cards)</t>
        </is>
      </c>
      <c r="B14" s="49" t="n">
        <v>2000</v>
      </c>
      <c r="C14" s="68">
        <f>IFERROR(B14/$B$26,"")</f>
        <v>0.022480548705232795</v>
      </c>
      <c r="D14" s="28" t="inlineStr">
        <is>
          <t>Varies a lot by city, county and state: get the amounts for yours before you close the budget. Expect the catering or health permit, temporary event permits, the business license, the sales tax permit, ServSafe Manager and food handler cards.</t>
        </is>
      </c>
      <c r="E14" s="31" t="inlineStr">
        <is>
          <t>No</t>
        </is>
      </c>
    </row>
    <row r="15">
      <c r="A15" s="28" t="inlineStr">
        <is>
          <t>Fire / event permit &amp; propane setup inspection (only if required)</t>
        </is>
      </c>
      <c r="B15" s="49" t="n">
        <v>500</v>
      </c>
      <c r="C15" s="68">
        <f>IFERROR(B15/$B$26,"")</f>
        <v>0.005620137176308199</v>
      </c>
      <c r="D15" s="28" t="inlineStr">
        <is>
          <t>Only if your city or the venue requires them: a fire marshal or event permit and an inspection of your propane setup. Rules vary by county and fire district, so ask your fire marshal. If nobody asks for it, enter 0.</t>
        </is>
      </c>
      <c r="E15" s="31" t="inlineStr">
        <is>
          <t>Yes</t>
        </is>
      </c>
    </row>
    <row r="16">
      <c r="A16" s="28" t="inlineStr">
        <is>
          <t>Catering software, card reader and tablet</t>
        </is>
      </c>
      <c r="B16" s="49" t="n">
        <v>1200</v>
      </c>
      <c r="C16" s="68">
        <f>IFERROR(B16/$B$26,"")</f>
        <v>0.013488329223139677</v>
      </c>
      <c r="D16" s="28" t="inlineStr">
        <is>
          <t>Catering software for proposals, e-signature contracts, deposits and final balances, plus a card reader and a tablet.</t>
        </is>
      </c>
      <c r="E16" s="31" t="inlineStr">
        <is>
          <t>Yes</t>
        </is>
      </c>
    </row>
    <row r="17">
      <c r="A17" s="28" t="inlineStr">
        <is>
          <t>Smallwares &amp; paella tools (paddles, ladles, knives, hotel pans, probe thermometers)</t>
        </is>
      </c>
      <c r="B17" s="49" t="n">
        <v>1800</v>
      </c>
      <c r="C17" s="68">
        <f>IFERROR(B17/$B$26,"")</f>
        <v>0.020232493834709517</v>
      </c>
      <c r="D17" s="28" t="inlineStr">
        <is>
          <t>Paddles, ladles, knives, color-coded cutting boards, hotel pans, calibrated probe thermometers and heat-resistant gloves: the tools that get depreciated. Daily disposables are NOT depreciated: they go in the disposables and cooking fuel line of the P&amp;L, at the % of sales set in the "0. Assumptions" tab.</t>
        </is>
      </c>
      <c r="E17" s="31" t="inlineStr">
        <is>
          <t>Yes</t>
        </is>
      </c>
    </row>
    <row r="18">
      <c r="A18" s="28" t="inlineStr">
        <is>
          <t>Opening inventory (bomba rice, saffron, stock base, seafood for test cooks, disposables)</t>
        </is>
      </c>
      <c r="B18" s="49" t="n">
        <v>2500</v>
      </c>
      <c r="C18" s="68">
        <f>IFERROR(B18/$B$26,"")</f>
        <v>0.028100685881540997</v>
      </c>
      <c r="D18" s="28" t="inlineStr">
        <is>
          <t>Bomba rice, saffron, stock base, seafood and chicken for your test paellas, and disposables for your first events. With 0% recoverable input tax (the US default), any sales tax you pay on this purchase is treated as a cost.</t>
        </is>
      </c>
      <c r="E18" s="31" t="inlineStr">
        <is>
          <t>Yes</t>
        </is>
      </c>
    </row>
    <row r="19">
      <c r="A19" s="28" t="inlineStr">
        <is>
          <t>Website, photos, launch and first bridal show</t>
        </is>
      </c>
      <c r="B19" s="49" t="n">
        <v>4500</v>
      </c>
      <c r="C19" s="68">
        <f>IFERROR(B19/$B$26,"")</f>
        <v>0.05058123458677379</v>
      </c>
      <c r="D19" s="28" t="inlineStr">
        <is>
          <t>Website, photos and video of paella cooked live, listings on The Knot, WeddingWire, Zola and ezCater, Google Business Profile and your first bridal show.</t>
        </is>
      </c>
      <c r="E19" s="31" t="inlineStr">
        <is>
          <t>Yes</t>
        </is>
      </c>
    </row>
    <row r="20">
      <c r="A20" s="28" t="inlineStr">
        <is>
          <t>Event setup &amp; holding (canopy for the cooking station, tables, handwashing station, coolers, chafing dishes, insulated carriers)</t>
        </is>
      </c>
      <c r="B20" s="49" t="n">
        <v>3000</v>
      </c>
      <c r="C20" s="68">
        <f>IFERROR(B20/$B$26,"")</f>
        <v>0.033720823057849195</v>
      </c>
      <c r="D20" s="28" t="inlineStr">
        <is>
          <t>Event setup and holding: a cooking tent for the paella area (set apart from the guest tent), folding tables, a handwashing station (San Diego County asks for a 5-gallon one, 19 liters: check your county), coolers for the seafood, six chafing dishes for the tapas and insulated carriers for the drop-offs.</t>
        </is>
      </c>
      <c r="E20" s="31" t="inlineStr">
        <is>
          <t>Yes</t>
        </is>
      </c>
    </row>
    <row r="21">
      <c r="A21" s="28" t="inlineStr">
        <is>
          <t>Commissary deposit</t>
        </is>
      </c>
      <c r="B21" s="40">
        <f>IFERROR(IF('0. Assumptions'!$B$24="","",'0. Assumptions'!$B$24*'0. Assumptions'!$B$25),"")</f>
        <v>1100.0</v>
      </c>
      <c r="C21" s="68">
        <f>IFERROR(B21/$B$26,"")</f>
        <v>0.012364301787878038</v>
      </c>
      <c r="D21" s="28" t="str">
        <f>IFERROR(""&amp;TEXT('0. Assumptions'!$B$25,"0")&amp;IF('0. Assumptions'!$B$25=1," month"," months")&amp;" of rent, from ""0. Assumptions"". Refundable when the commissary agreement ends: it is not depreciated and carries no tax","")</f>
        <v>1 month of rent, from "0. Assumptions". Refundable when the commissary agreement ends: it is not depreciated and carries no tax</v>
      </c>
      <c r="E21" s="28" t="inlineStr">
        <is>
          <t>No</t>
        </is>
      </c>
    </row>
    <row r="22">
      <c r="A22" s="28" t="inlineStr">
        <is>
          <t>Commissary rent before opening</t>
        </is>
      </c>
      <c r="B22" s="40">
        <f>IFERROR(IF('0. Assumptions'!$B$24="","",'0. Assumptions'!$B$24*'0. Assumptions'!$B$54),"")</f>
        <v>1100.0</v>
      </c>
      <c r="C22" s="68">
        <f>IFERROR(B22/$B$26,"")</f>
        <v>0.012364301787878038</v>
      </c>
      <c r="D22" s="28" t="str">
        <f>IFERROR("Rent "&amp;IF('0. Assumptions'!$B$54=1,"for the month","for the "&amp;TEXT('0. Assumptions'!$B$54,"0")&amp;" months")&amp;" of test cooks, permits and pre-sales before opening. It does not overlap the P&amp;L, which starts on opening day: its twelve months are twelve trading months","")</f>
        <v>Rent for the month of test cooks, permits and pre-sales before opening. It does not overlap the P&amp;L, which starts on opening day: its twelve months are twelve trading months</v>
      </c>
      <c r="E22" s="28" t="inlineStr">
        <is>
          <t>Yes</t>
        </is>
      </c>
    </row>
    <row r="23">
      <c r="A23" s="28" t="inlineStr">
        <is>
          <t>Burner, pan, van and fit-out contingency</t>
        </is>
      </c>
      <c r="B23" s="40">
        <f>IFERROR(IF(COUNT(B7,B8,B11,B12,B15)=0,"",ROUND((B7+B8+B11+B12+B15)*'0. Assumptions'!$B$55,0)),"")</f>
        <v>2580.0</v>
      </c>
      <c r="C23" s="68">
        <f>IFERROR(B23/$B$26,"")</f>
        <v>0.02899990782975031</v>
      </c>
      <c r="D23" s="28" t="str">
        <f>IFERROR("At "&amp;TEXT('0. Assumptions'!$B$55,"0%")&amp;" of the BUILD-OUT items of this block (paella burners and stands, paella pans, used cargo van, van upfit and the fire / propane setup inspection), not of the whole block: the other items are left out. No lender funds a build-out without a "&amp;"cushion: the percentage is in ""0. Assumptions""","")</f>
        <v>At 10% of the BUILD-OUT items of this block (paella burners and stands, paella pans, used cargo van, van upfit and the fire / propane setup inspection), not of the whole block: the other items are left out. No lender funds a build-out without a cushion: the percentage is in "0. Assumptions"</v>
      </c>
      <c r="E23" s="28" t="inlineStr">
        <is>
          <t>Yes</t>
        </is>
      </c>
    </row>
    <row r="24">
      <c r="A24" s="16" t="inlineStr">
        <is>
          <t>WORKING CAPITAL</t>
        </is>
      </c>
      <c r="B24" s="52">
        <f>IFERROR(IF(B25="","",B25),"")</f>
        <v>39485.8</v>
      </c>
      <c r="C24" s="69">
        <f>IFERROR(B24/$B$26,"")</f>
        <v>0.44383122503254063</v>
      </c>
    </row>
    <row r="25">
      <c r="A25" s="35" t="inlineStr">
        <is>
          <t>Operating cushion until break-even</t>
        </is>
      </c>
      <c r="B25" s="42">
        <f>IFERROR(IF('0. Assumptions'!$B$35*('3-Year P&amp;L'!$B$38-'3-Year P&amp;L'!$B$36)=0,"",'0. Assumptions'!$B$35*('3-Year P&amp;L'!$B$38-'3-Year P&amp;L'!$B$36)/12),"")</f>
        <v>39485.8</v>
      </c>
      <c r="C25" s="65">
        <f>IFERROR(B25/$B$26,"")</f>
        <v>0.44383122503254063</v>
      </c>
      <c r="D25"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5" s="35" t="inlineStr">
        <is>
          <t>No</t>
        </is>
      </c>
    </row>
    <row r="26">
      <c r="A26" s="16" t="inlineStr">
        <is>
          <t>TOTAL STARTUP COSTS (sum of the blocks)</t>
        </is>
      </c>
      <c r="B26" s="52">
        <f>IFERROR(B6+B24,"")</f>
        <v>88965.8</v>
      </c>
      <c r="D26" s="37" t="str">
        <f>IFERROR("The percentages in column C are read on this figure, which includes the working capital ("&amp;TEXT(C24,"0%")&amp;" of the total). To compare the breakdown with another plan, use the CAPEX row below.","")</f>
        <v>The percentages in column C are read on this figure, which includes the working capital (44% of the total). To compare the breakdown with another plan, use the CAPEX row below.</v>
      </c>
    </row>
    <row r="27">
      <c r="A27" s="16" t="inlineStr">
        <is>
          <t>CAPEX (startup costs excluding working capital)</t>
        </is>
      </c>
      <c r="B27" s="52">
        <f>IFERROR(B26-B24,"")</f>
        <v>49480.0</v>
      </c>
      <c r="D27" s="16" t="inlineStr">
        <is>
          <t>What you buy: burners and pans, the van and its upfit, the propane kit, event setup, launch and formation costs. The cash cushion is not an investment: it is working capital.</t>
        </is>
      </c>
    </row>
    <row r="28">
      <c r="A28" s="35" t="inlineStr">
        <is>
          <t>Recoverable input tax on capex</t>
        </is>
      </c>
      <c r="B28" s="42">
        <f>IFERROR(IF(B26="","",SUMIF($E$7:$E$23,"Yes",$B$7:$B$23)*'0. Assumptions'!$B$41),"")</f>
        <v>0.0</v>
      </c>
      <c r="D28"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29">
      <c r="A29" s="16" t="inlineStr">
        <is>
          <t>TOTAL CASH NEEDED AT LAUNCH</t>
        </is>
      </c>
      <c r="B29" s="52">
        <f>IFERROR(B26+B28,"")</f>
        <v>88965.8</v>
      </c>
      <c r="D29" s="16" t="inlineStr">
        <is>
          <t>This is the figure the Financing tab has to cover</t>
        </is>
      </c>
    </row>
    <row r="30">
      <c r="A30" s="16" t="inlineStr">
        <is>
          <t>DEPRECIATION BASES (not added to startup costs)</t>
        </is>
      </c>
    </row>
    <row r="31">
      <c r="A31" s="35" t="inlineStr">
        <is>
          <t>Paella burners, pans, van and fit-outs (depreciated over the vehicle life)</t>
        </is>
      </c>
      <c r="B31" s="42">
        <f>IFERROR(IF(B7="","",B7+B8+B11+B12+B15+B23),"")</f>
        <v>28380.0</v>
      </c>
      <c r="D31" t="str">
        <f>IFERROR("Depreciated over "&amp;TEXT('0. Assumptions'!$B$44,"0")&amp;" years","")</f>
        <v>Depreciated over 7 years</v>
      </c>
    </row>
    <row r="32">
      <c r="A32" s="35" t="inlineStr">
        <is>
          <t>Machinery, furniture and equipment</t>
        </is>
      </c>
      <c r="B32" s="42">
        <f>IFERROR(IF(B9="","",B9+B10+B16+B17+B20),"")</f>
        <v>8400.0</v>
      </c>
      <c r="D32" t="str">
        <f>IFERROR("Depreciated over "&amp;TEXT('0. Assumptions'!$B$45,"0")&amp;" years","")</f>
        <v>Depreciated over 5 years</v>
      </c>
    </row>
    <row r="33">
      <c r="A33" s="16" t="inlineStr">
        <is>
          <t>Annual depreciation of fixed assets</t>
        </is>
      </c>
      <c r="B33" s="52">
        <f>IFERROR(B31/MAX(1,'0. Assumptions'!$B$44)+B32/MAX(1,'0. Assumptions'!$B$45),"")</f>
        <v>5734.285714285714</v>
      </c>
      <c r="D33" s="37" t="str">
        <f>IFERROR("Not depreciated, because they are not fixed assets: LLC formation and legal, first-year permits and certifications, opening inventory, website, photos and launch, the commissary deposit, pre-opening commissary rent and the working capital "&amp;"reserve. They add up to "&amp;TEXT(B26-B31-B32,"#,##0")&amp;" of the "&amp;TEXT(B26,"#,##0")&amp;" total investment.","")</f>
        <v>Not depreciated, because they are not fixed assets: LLC formation and legal, first-year permits and certifications, opening inventory, website, photos and launch, the commissary deposit, pre-opening commissary rent and the working capital reserve. They add up to 52186 of the 88966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PRO FORMA P&amp;L — 3 YEARS</t>
        </is>
      </c>
    </row>
    <row r="2">
      <c r="A2" s="3" t="inlineStr">
        <is>
          <t>Base case — live paella caterer (cooked on site at events)</t>
        </is>
      </c>
    </row>
    <row r="4">
      <c r="A4" s="39" t="inlineStr">
        <is>
          <t>Item</t>
        </is>
      </c>
      <c r="B4" s="39" t="inlineStr">
        <is>
          <t>Year 1</t>
        </is>
      </c>
      <c r="C4" s="39" t="inlineStr">
        <is>
          <t>Year 2</t>
        </is>
      </c>
      <c r="D4" s="39" t="inlineStr">
        <is>
          <t>Year 3</t>
        </is>
      </c>
      <c r="E4" s="39" t="inlineStr">
        <is>
          <t>% of sales (year 1)</t>
        </is>
      </c>
      <c r="F4" s="39" t="inlineStr">
        <is>
          <t>Notes</t>
        </is>
      </c>
      <c r="G4" s="39" t="inlineStr">
        <is>
          <t>Sales tax rate on the line (%)</t>
        </is>
      </c>
      <c r="H4" s="28" t="n"/>
    </row>
    <row r="5">
      <c r="A5" s="25" t="inlineStr">
        <is>
          <t>REVENUE</t>
        </is>
      </c>
      <c r="B5" s="28" t="n"/>
      <c r="C5" s="28" t="n"/>
      <c r="D5" s="28" t="n"/>
      <c r="E5" s="28" t="n"/>
      <c r="F5" s="28" t="n"/>
      <c r="G5" s="28" t="n"/>
      <c r="H5" s="28" t="n"/>
    </row>
    <row r="6">
      <c r="A6" s="28" t="inlineStr">
        <is>
          <t>Events per year (average)</t>
        </is>
      </c>
      <c r="B6" s="40">
        <f>IFERROR(IF('0. Assumptions'!$B$4="","",'0. Assumptions'!$B$4),"")</f>
        <v>135.0</v>
      </c>
      <c r="C6" s="40">
        <f>IFERROR(B6*(1+'0. Assumptions'!$B$7),"")</f>
        <v>148.5</v>
      </c>
      <c r="D6" s="40">
        <f>IFERROR(C6*(1+'0. Assumptions'!$B$8),"")</f>
        <v>157.41</v>
      </c>
      <c r="E6" s="28" t="n"/>
      <c r="F6" s="28" t="inlineStr">
        <is>
          <t>Growth for years 2 and 3 is set in "0. Assumptions"</t>
        </is>
      </c>
      <c r="G6" s="28" t="n"/>
      <c r="H6" s="28" t="n"/>
    </row>
    <row r="7">
      <c r="A7" s="28" t="inlineStr">
        <is>
          <t>Average price per guest (excl. sales tax)</t>
        </is>
      </c>
      <c r="B7" s="61">
        <f>IFERROR(IF('0. Assumptions'!$B$5="","",'0. Assumptions'!$B$5),"")</f>
        <v>40.0</v>
      </c>
      <c r="C7" s="61">
        <f>IFERROR(IF(B7="","",B7),"")</f>
        <v>40.0</v>
      </c>
      <c r="D7" s="61">
        <f>IFERROR(IF(C7="","",C7),"")</f>
        <v>40.0</v>
      </c>
      <c r="E7" s="28" t="n"/>
      <c r="F7" s="28" t="inlineStr">
        <is>
          <t>Held constant at year-1 prices: a price increase is a separate decision</t>
        </is>
      </c>
      <c r="G7" s="28" t="n"/>
      <c r="H7" s="28" t="n"/>
    </row>
    <row r="8">
      <c r="A8" s="28" t="inlineStr">
        <is>
          <t>Average guests per event</t>
        </is>
      </c>
      <c r="B8" s="40">
        <f>IFERROR(IF('0. Assumptions'!$B$6="","",'0. Assumptions'!$B$6),"")</f>
        <v>58.0</v>
      </c>
      <c r="C8" s="40">
        <f>IFERROR(IF(B8="","",B8),"")</f>
        <v>58.0</v>
      </c>
      <c r="D8" s="40">
        <f>IFERROR(IF(C8="","",C8),"")</f>
        <v>58.0</v>
      </c>
      <c r="E8" s="28" t="n"/>
      <c r="F8" s="28" t="n"/>
      <c r="G8" s="28" t="n"/>
      <c r="H8" s="28" t="n"/>
    </row>
    <row r="9">
      <c r="A9" s="25" t="inlineStr">
        <is>
          <t>TOTAL REVENUE (excl. sales tax)</t>
        </is>
      </c>
      <c r="B9" s="66">
        <f>IFERROR(IF(B6*B7*B8=0,"",B6*B7*B8),"")</f>
        <v>313200.0</v>
      </c>
      <c r="C9" s="66">
        <f>IFERROR(IF(C6*C7*C8=0,"",C6*C7*C8),"")</f>
        <v>344520.0</v>
      </c>
      <c r="D9" s="66">
        <f>IFERROR(IF(D6*D7*D8=0,"",D6*D7*D8),"")</f>
        <v>365191.19999999995</v>
      </c>
      <c r="E9" s="67">
        <f>IFERROR(IF(B9="","",1),"")</f>
        <v>1.0</v>
      </c>
      <c r="F9" s="28" t="n"/>
      <c r="G9" s="28" t="n"/>
      <c r="H9" s="28" t="n"/>
    </row>
    <row r="10">
      <c r="A10" s="28" t="inlineStr">
        <is>
          <t>Paella package sales (live-cooked paella, salad &amp; bread, paella chef &amp; staff)</t>
        </is>
      </c>
      <c r="B10" s="40">
        <f>IFERROR(IF(B9="","",B9*$E$10),"")</f>
        <v>275616.0</v>
      </c>
      <c r="C10" s="40">
        <f>IFERROR(IF(C9="","",C9*$E$10),"")</f>
        <v>303177.6</v>
      </c>
      <c r="D10" s="40">
        <f>IFERROR(IF(D9="","",D9*$E$10),"")</f>
        <v>321368.25599999994</v>
      </c>
      <c r="E10" s="68">
        <f>IFERROR(IF('0. Assumptions'!$B$11="","",'0. Assumptions'!$B$11),"")</f>
        <v>0.88</v>
      </c>
      <c r="F10" s="28" t="inlineStr">
        <is>
          <t>Sales of paella packages: the live-cooked paella with salad and bread, plus the paella chef and the staff who serve it, across drop-offs, backyard paella parties, corporate events, weddings and premium seafood events. All of it carries cost of goods sold at the paella package rate.</t>
        </is>
      </c>
      <c r="G10" s="68">
        <f>IFERROR(IF(B9="","",'0. Assumptions'!$B$39),"")</f>
        <v>0.08</v>
      </c>
      <c r="H10" s="28" t="n"/>
    </row>
    <row r="11">
      <c r="A11" s="28" t="inlineStr">
        <is>
          <t>Add-on sales (tapas, desserts, non-alcoholic sangria &amp; drinks, rentals, extra hours, travel fees)</t>
        </is>
      </c>
      <c r="B11" s="40">
        <f>IFERROR(IF(B9="","",B9*$E$11),"")</f>
        <v>37584.0</v>
      </c>
      <c r="C11" s="40">
        <f>IFERROR(IF(C9="","",C9*$E$11),"")</f>
        <v>41342.4</v>
      </c>
      <c r="D11" s="40">
        <f>IFERROR(IF(D9="","",D9*$E$11),"")</f>
        <v>43822.943999999996</v>
      </c>
      <c r="E11" s="68">
        <f>IFERROR(IF('0. Assumptions'!$B$12="","",'0. Assumptions'!$B$12),"")</f>
        <v>0.12</v>
      </c>
      <c r="F11" s="28" t="inlineStr">
        <is>
          <t>Sales of add-ons: tapas hour, desserts, non-alcoholic sangria and drinks, rentals, extra hours and travel fees. The client buys any alcohol separately, so there is no alcohol revenue.</t>
        </is>
      </c>
      <c r="G11" s="68">
        <f>IFERROR(IF(B9="","",('0. Assumptions'!$B$62*((1-'0. Assumptions'!$B$16)*'0. Assumptions'!$B$63+'0. Assumptions'!$B$16*'0. Assumptions'!$B$40)+(1-'0. Assumptions'!$B$62)*'0. Assumptions'!$B$39)),"")</f>
        <v>0.08</v>
      </c>
      <c r="H11" s="28" t="n"/>
    </row>
    <row r="12">
      <c r="A12" s="25" t="inlineStr">
        <is>
          <t>VARIABLE COSTS</t>
        </is>
      </c>
      <c r="B12" s="28" t="n"/>
      <c r="C12" s="28" t="n"/>
      <c r="D12" s="28" t="n"/>
      <c r="E12" s="28" t="n"/>
      <c r="F12" s="28" t="n"/>
      <c r="G12" s="28" t="n"/>
      <c r="H12" s="28" t="n"/>
    </row>
    <row r="13">
      <c r="A13" s="28" t="inlineStr">
        <is>
          <t>Cost of goods — paella packages (rice, seafood, meats, saffron, salad &amp; bread)</t>
        </is>
      </c>
      <c r="B13" s="40">
        <f>IFERROR(IF(B9="","",B9*'0. Assumptions'!$B$11*'0. Assumptions'!$B$13),"")</f>
        <v>77172.48000000001</v>
      </c>
      <c r="C13" s="40">
        <f>IFERROR(IF(C9="","",C9*'0. Assumptions'!$B$11*'0. Assumptions'!$B$13),"")</f>
        <v>84889.728</v>
      </c>
      <c r="D13" s="40">
        <f>IFERROR(IF(D9="","",D9*'0. Assumptions'!$B$11*'0. Assumptions'!$B$13),"")</f>
        <v>89983.11167999999</v>
      </c>
      <c r="E13" s="68">
        <f>IFERROR(B13/$B$9,"")</f>
        <v>0.24640000000000004</v>
      </c>
      <c r="F13" s="28" t="str">
        <f>IFERROR("At "&amp;TEXT('0. Assumptions'!$B$13,"0%")&amp;" of PAELLA PACKAGE sales (rice, seafood, meats, saffron, stock, salad and bread), not of total sales: add-ons have their own line","")</f>
        <v>At 28% of PAELLA PACKAGE sales (rice, seafood, meats, saffron, stock, salad and bread), not of total sales: add-ons have their own line</v>
      </c>
      <c r="G13" s="68">
        <f>IFERROR(IF(B9="","",'0. Assumptions'!$B$41),"")</f>
        <v>0.0</v>
      </c>
      <c r="H13" s="28" t="n"/>
    </row>
    <row r="14">
      <c r="A14" s="28" t="inlineStr">
        <is>
          <t>Cost of goods — add-ons</t>
        </is>
      </c>
      <c r="B14" s="40">
        <f>IFERROR(IF(B9="","",B9*'0. Assumptions'!$B$12*'0. Assumptions'!$B$14),"")</f>
        <v>13154.4</v>
      </c>
      <c r="C14" s="40">
        <f>IFERROR(IF(C9="","",C9*'0. Assumptions'!$B$12*'0. Assumptions'!$B$14),"")</f>
        <v>14469.84</v>
      </c>
      <c r="D14" s="40">
        <f>IFERROR(IF(D9="","",D9*'0. Assumptions'!$B$12*'0. Assumptions'!$B$14),"")</f>
        <v>15338.030399999998</v>
      </c>
      <c r="E14" s="68">
        <f>IFERROR(B14/$B$9,"")</f>
        <v>0.041999999999999996</v>
      </c>
      <c r="F14" s="28" t="str">
        <f>IFERROR("At "&amp;TEXT('0. Assumptions'!$B$14,"0%")&amp;" of ADD-ON sales","")</f>
        <v>At 35% of ADD-ON sales</v>
      </c>
      <c r="G14" s="68">
        <f>IFERROR(IF(B9="","",'0. Assumptions'!$B$41),"")</f>
        <v>0.0</v>
      </c>
      <c r="H14" s="28" t="n"/>
    </row>
    <row r="15">
      <c r="A15" s="28" t="inlineStr">
        <is>
          <t>Disposables &amp; cooking fuel</t>
        </is>
      </c>
      <c r="B15" s="40">
        <f>IFERROR(IF(B9="","",B9*'0. Assumptions'!$B$15),"")</f>
        <v>10962.000000000002</v>
      </c>
      <c r="C15" s="40">
        <f>IFERROR(IF(C9="","",C9*'0. Assumptions'!$B$15),"")</f>
        <v>12058.2</v>
      </c>
      <c r="D15" s="40">
        <f>IFERROR(IF(D9="","",D9*'0. Assumptions'!$B$15),"")</f>
        <v>12781.692</v>
      </c>
      <c r="E15" s="68">
        <f>IFERROR(B15/$B$9,"")</f>
        <v>0.035</v>
      </c>
      <c r="F15" s="28" t="n"/>
      <c r="G15" s="68">
        <f>IFERROR(IF(B9="","",'0. Assumptions'!$B$41),"")</f>
        <v>0.0</v>
      </c>
      <c r="H15" s="28" t="n"/>
    </row>
    <row r="16">
      <c r="A16" s="28" t="inlineStr">
        <is>
          <t>Corporate catering marketplace fees</t>
        </is>
      </c>
      <c r="B16" s="40">
        <f>IFERROR(IF(B9="","",B9*'0. Assumptions'!$B$16*'0. Assumptions'!$B$17),"")</f>
        <v>2349.0</v>
      </c>
      <c r="C16" s="40">
        <f>IFERROR(IF(C9="","",C9*'0. Assumptions'!$B$16*'0. Assumptions'!$B$17),"")</f>
        <v>2583.9</v>
      </c>
      <c r="D16" s="40">
        <f>IFERROR(IF(D9="","",D9*'0. Assumptions'!$B$16*'0. Assumptions'!$B$17),"")</f>
        <v>2738.9339999999997</v>
      </c>
      <c r="E16" s="68">
        <f>IFERROR(B16/$B$9,"")</f>
        <v>0.0075</v>
      </c>
      <c r="F16" s="28" t="inlineStr">
        <is>
          <t>Applied to the sales of THAT CHANNEL. With 0% corporate catering marketplace sales in Assumptions, this line is zero</t>
        </is>
      </c>
      <c r="G16" s="68">
        <f>IFERROR(IF(B9="","",'0. Assumptions'!$B$41),"")</f>
        <v>0.0</v>
      </c>
      <c r="H16" s="28" t="n"/>
    </row>
    <row r="17">
      <c r="A17" s="28" t="inlineStr">
        <is>
          <t>Card processing fees</t>
        </is>
      </c>
      <c r="B17" s="40">
        <f>IFERROR(IF(B9="","",B9*'0. Assumptions'!$B$18),"")</f>
        <v>9396.0</v>
      </c>
      <c r="C17" s="40">
        <f>IFERROR(IF(C9="","",C9*'0. Assumptions'!$B$18),"")</f>
        <v>10335.6</v>
      </c>
      <c r="D17" s="40">
        <f>IFERROR(IF(D9="","",D9*'0. Assumptions'!$B$18),"")</f>
        <v>10955.735999999999</v>
      </c>
      <c r="E17" s="68">
        <f>IFERROR(B17/$B$9,"")</f>
        <v>0.03</v>
      </c>
      <c r="F17" s="28" t="inlineStr">
        <is>
          <t>Card processing fees are not subject to sales tax: no tax is recovered or deducted for them</t>
        </is>
      </c>
      <c r="G17" s="68" t="n">
        <v>0</v>
      </c>
      <c r="H17" s="28" t="n"/>
    </row>
    <row r="18">
      <c r="A18" s="28" t="inlineStr">
        <is>
          <t>Miscellaneous and contingency</t>
        </is>
      </c>
      <c r="B18" s="40">
        <f>IFERROR(IF(B9="","",B9*'0. Assumptions'!$B$28),"")</f>
        <v>9396.0</v>
      </c>
      <c r="C18" s="40">
        <f>IFERROR(IF(C9="","",C9*'0. Assumptions'!$B$28),"")</f>
        <v>10335.6</v>
      </c>
      <c r="D18" s="40">
        <f>IFERROR(IF(D9="","",D9*'0. Assumptions'!$B$28),"")</f>
        <v>10955.735999999999</v>
      </c>
      <c r="E18" s="68">
        <f>IFERROR(B18/$B$9,"")</f>
        <v>0.03</v>
      </c>
      <c r="F18" s="28" t="str">
        <f>IFERROR("At "&amp;TEXT('0. Assumptions'!$B$28,"0%")&amp;" of sales: a cushion for unbudgeted event costs (extra seafood, ice, lemons, venue parking). It is a VARIABLE cost: it moves with the number of events, so it cannot sit in fixed costs (van fuel, maintenance and registration are in row 27; "&amp;"propane is in row 15)","")</f>
        <v>At 3% of sales: a cushion for unbudgeted event costs (extra seafood, ice, lemons, venue parking). It is a VARIABLE cost: it moves with the number of events, so it cannot sit in fixed costs (van fuel, maintenance and registration are in row 27; propane is in row 15)</v>
      </c>
      <c r="G18" s="68">
        <f>IFERROR(IF(B9="","",'0. Assumptions'!$B$41),"")</f>
        <v>0.0</v>
      </c>
      <c r="H18" s="28" t="n"/>
    </row>
    <row r="19">
      <c r="A19" s="25" t="inlineStr">
        <is>
          <t>TOTAL VARIABLE COSTS</t>
        </is>
      </c>
      <c r="B19" s="66">
        <f>IFERROR(IF(B9="","",SUM(B13:B18)),"")</f>
        <v>122429.88</v>
      </c>
      <c r="C19" s="66">
        <f>IFERROR(IF(C9="","",SUM(C13:C18)),"")</f>
        <v>134672.86800000002</v>
      </c>
      <c r="D19" s="66">
        <f>IFERROR(IF(D9="","",SUM(D13:D18)),"")</f>
        <v>142753.24008</v>
      </c>
      <c r="E19" s="67">
        <f>IFERROR(B19/$B$9,"")</f>
        <v>0.3909</v>
      </c>
      <c r="F19" s="28" t="n"/>
      <c r="G19" s="28" t="n"/>
      <c r="H19" s="28" t="n"/>
    </row>
    <row r="20">
      <c r="A20" s="25" t="inlineStr">
        <is>
          <t>GROSS MARGIN</t>
        </is>
      </c>
      <c r="B20" s="66">
        <f>IFERROR(IF(B9="","",B9-B19),"")</f>
        <v>190770.12</v>
      </c>
      <c r="C20" s="66">
        <f>IFERROR(IF(C9="","",C9-C19),"")</f>
        <v>209847.13199999998</v>
      </c>
      <c r="D20" s="66">
        <f>IFERROR(IF(D9="","",D9-D19),"")</f>
        <v>222437.95991999996</v>
      </c>
      <c r="E20" s="67">
        <f>IFERROR(B20/$B$9,"")</f>
        <v>0.6091</v>
      </c>
      <c r="F20" s="28" t="n"/>
      <c r="G20" s="28" t="n"/>
      <c r="H20" s="28" t="n"/>
    </row>
    <row r="21">
      <c r="A21" s="25" t="inlineStr">
        <is>
          <t>FIXED COSTS</t>
        </is>
      </c>
      <c r="B21" s="28" t="n"/>
      <c r="C21" s="28" t="n"/>
      <c r="D21" s="28" t="n"/>
      <c r="E21" s="28" t="n"/>
      <c r="F21" s="28" t="n"/>
      <c r="G21" s="28" t="n"/>
      <c r="H21" s="28" t="n"/>
    </row>
    <row r="22">
      <c r="A22" s="28" t="inlineStr">
        <is>
          <t>Commissary kitchen rent &amp; equipment storage</t>
        </is>
      </c>
      <c r="B22" s="40">
        <f>IFERROR(IF(B9="","",'0. Assumptions'!$B$24*12),"")</f>
        <v>13200.0</v>
      </c>
      <c r="C22" s="40">
        <f>IFERROR(IF(C9="","",B22*(1+'0. Assumptions'!$B$48)),"")</f>
        <v>13200.0</v>
      </c>
      <c r="D22" s="40">
        <f>IFERROR(IF(D9="","",C22*(1+'0. Assumptions'!$B$48)),"")</f>
        <v>13200.0</v>
      </c>
      <c r="E22" s="68">
        <f>IFERROR(B22/$B$9,"")</f>
        <v>0.0421455938697318</v>
      </c>
      <c r="F22" s="28" t="inlineStr">
        <is>
          <t>The monthly amount is typed in "0. Assumptions"; here it is multiplied by twelve. It covers your commissary hours, storage and the space for the pans and burners, not storefront rent. The months before opening are on the "Startup Costs" tab and are NOT counted twice.</t>
        </is>
      </c>
      <c r="G22" s="68">
        <f>IFERROR(IF(B9="","",'0. Assumptions'!$B$41),"")</f>
        <v>0.0</v>
      </c>
      <c r="H22" s="28" t="n"/>
    </row>
    <row r="23">
      <c r="A23" s="28" t="inlineStr">
        <is>
          <t>Labor (wages + employer payroll taxes)</t>
        </is>
      </c>
      <c r="B23" s="40">
        <f>IFERROR(IF(B9="","",Staffing!$G$9),"")</f>
        <v>105943.2</v>
      </c>
      <c r="C23" s="40">
        <f>IFERROR(IF(C9="","",Staffing!$B$13),"")</f>
        <v>109943.2</v>
      </c>
      <c r="D23" s="40">
        <f>IFERROR(IF(D9="","",Staffing!$B$14),"")</f>
        <v>113943.2</v>
      </c>
      <c r="E23" s="68">
        <f>IFERROR(B23/$B$9,"")</f>
        <v>0.3382605363984674</v>
      </c>
      <c r="F23" s="28" t="inlineStr">
        <is>
          <t>Comes from the Staffing tab: it is the SAME number, not a separate estimate. Years 2 and 3 add the new hires declared on that tab, not a percentage of volume</t>
        </is>
      </c>
      <c r="G23" s="68" t="n">
        <v>0</v>
      </c>
      <c r="H23" s="28" t="n"/>
    </row>
    <row r="24">
      <c r="A24" s="28" t="inlineStr">
        <is>
          <t>Utilities (water, power and phone not covered by the commissary)</t>
        </is>
      </c>
      <c r="B24" s="40">
        <f>IFERROR(IF(B9="","",'0. Assumptions'!$B$26*12),"")</f>
        <v>1800.0</v>
      </c>
      <c r="C24" s="40">
        <f>IFERROR(IF(C9="","",B24*(1+'0. Assumptions'!$B$48)),"")</f>
        <v>1800.0</v>
      </c>
      <c r="D24" s="40">
        <f>IFERROR(IF(D9="","",C24*(1+'0. Assumptions'!$B$48)),"")</f>
        <v>1800.0</v>
      </c>
      <c r="E24" s="68">
        <f>IFERROR(B24/$B$9,"")</f>
        <v>0.005747126436781609</v>
      </c>
      <c r="F24" s="28" t="inlineStr">
        <is>
          <t>Water, electricity and phone that the commissary fee does not cover. No propane or wood here: they scale with your events and sit in the disposables and cooking fuel line.</t>
        </is>
      </c>
      <c r="G24" s="68">
        <f>IFERROR(IF(B9="","",'0. Assumptions'!$B$41),"")</f>
        <v>0.0</v>
      </c>
      <c r="H24" s="28" t="n"/>
    </row>
    <row r="25">
      <c r="A25" s="28" t="inlineStr">
        <is>
          <t>Insurance (general liability with open flame covered, commercial auto, workers' comp, inland marine)</t>
        </is>
      </c>
      <c r="B25" s="40">
        <f>IFERROR(IF(B9="","",'0. Assumptions'!$B$27),"")</f>
        <v>5500.0</v>
      </c>
      <c r="C25" s="40">
        <f>IFERROR(IF(C9="","",B25*(1+'0. Assumptions'!$B$48)),"")</f>
        <v>5500.0</v>
      </c>
      <c r="D25" s="40">
        <f>IFERROR(IF(D9="","",C25*(1+'0. Assumptions'!$B$48)),"")</f>
        <v>5500.0</v>
      </c>
      <c r="E25" s="68">
        <f>IFERROR(B25/$B$9,"")</f>
        <v>0.01756066411238825</v>
      </c>
      <c r="F25" s="28" t="inlineStr">
        <is>
          <t>Insurance premiums are not subject to sales tax: there is no recoverable tax on them</t>
        </is>
      </c>
      <c r="G25" s="68" t="n">
        <v>0</v>
      </c>
      <c r="H25" s="28" t="n"/>
    </row>
    <row r="26">
      <c r="A26" s="28" t="inlineStr">
        <is>
          <t>Annual permits and licenses (catering / health permit, temporary event and fire permits)</t>
        </is>
      </c>
      <c r="B26" s="49" t="n">
        <v>1200</v>
      </c>
      <c r="C26" s="40">
        <f>IFERROR(IF(C9="","",B26*(1+'0. Assumptions'!$B$48)),"")</f>
        <v>1200.0</v>
      </c>
      <c r="D26" s="40">
        <f>IFERROR(IF(D9="","",C26*(1+'0. Assumptions'!$B$48)),"")</f>
        <v>1200.0</v>
      </c>
      <c r="E26" s="68">
        <f>IFERROR(B26/$B$9,"")</f>
        <v>0.0038314176245210726</v>
      </c>
      <c r="F26" s="28" t="n"/>
      <c r="G26" s="68">
        <f>IFERROR(IF(B9="","",'0. Assumptions'!$B$41),"")</f>
        <v>0.0</v>
      </c>
      <c r="H26" s="28" t="n"/>
    </row>
    <row r="27">
      <c r="A27" s="28" t="inlineStr">
        <is>
          <t>Van fuel, maintenance and registration</t>
        </is>
      </c>
      <c r="B27" s="49" t="n">
        <v>5000</v>
      </c>
      <c r="C27" s="40">
        <f>IFERROR(IF(C9="","",B27*(1+'0. Assumptions'!$B$48)),"")</f>
        <v>5000.0</v>
      </c>
      <c r="D27" s="40">
        <f>IFERROR(IF(D9="","",C27*(1+'0. Assumptions'!$B$48)),"")</f>
        <v>5000.0</v>
      </c>
      <c r="E27" s="68">
        <f>IFERROR(B27/$B$9,"")</f>
        <v>0.015964240102171137</v>
      </c>
      <c r="F27" s="28" t="n"/>
      <c r="G27" s="68">
        <f>IFERROR(IF(B9="","",'0. Assumptions'!$B$41),"")</f>
        <v>0.0</v>
      </c>
      <c r="H27" s="28" t="n"/>
    </row>
    <row r="28">
      <c r="A28" s="28" t="inlineStr">
        <is>
          <t>Marketing and advertising</t>
        </is>
      </c>
      <c r="B28" s="49" t="n">
        <v>8000</v>
      </c>
      <c r="C28" s="40">
        <f>IFERROR(IF(C9="","",B28*(1+'0. Assumptions'!$B$48)),"")</f>
        <v>8000.0</v>
      </c>
      <c r="D28" s="40">
        <f>IFERROR(IF(D9="","",C28*(1+'0. Assumptions'!$B$48)),"")</f>
        <v>8000.0</v>
      </c>
      <c r="E28" s="68">
        <f>IFERROR(B28/$B$9,"")</f>
        <v>0.02554278416347382</v>
      </c>
      <c r="F28" s="28" t="n"/>
      <c r="G28" s="68">
        <f>IFERROR(IF(B9="","",'0. Assumptions'!$B$41),"")</f>
        <v>0.0</v>
      </c>
      <c r="H28" s="28" t="n"/>
    </row>
    <row r="29">
      <c r="A29" s="28" t="inlineStr">
        <is>
          <t>Accounting / bookkeeping</t>
        </is>
      </c>
      <c r="B29" s="49" t="n">
        <v>3000</v>
      </c>
      <c r="C29" s="40">
        <f>IFERROR(IF(C9="","",B29*(1+'0. Assumptions'!$B$48)),"")</f>
        <v>3000.0</v>
      </c>
      <c r="D29" s="40">
        <f>IFERROR(IF(D9="","",C29*(1+'0. Assumptions'!$B$48)),"")</f>
        <v>3000.0</v>
      </c>
      <c r="E29" s="68">
        <f>IFERROR(B29/$B$9,"")</f>
        <v>0.009578544061302681</v>
      </c>
      <c r="F29" s="28" t="n"/>
      <c r="G29" s="68">
        <f>IFERROR(IF(B9="","",'0. Assumptions'!$B$41),"")</f>
        <v>0.0</v>
      </c>
      <c r="H29" s="28" t="n"/>
    </row>
    <row r="30">
      <c r="A30" s="28" t="inlineStr">
        <is>
          <t>Software (catering / CRM, e-signature, POS, website)</t>
        </is>
      </c>
      <c r="B30" s="49" t="n">
        <v>2400</v>
      </c>
      <c r="C30" s="40">
        <f>IFERROR(IF(C9="","",B30*(1+'0. Assumptions'!$B$48)),"")</f>
        <v>2400.0</v>
      </c>
      <c r="D30" s="40">
        <f>IFERROR(IF(D9="","",C30*(1+'0. Assumptions'!$B$48)),"")</f>
        <v>2400.0</v>
      </c>
      <c r="E30" s="68">
        <f>IFERROR(B30/$B$9,"")</f>
        <v>0.007662835249042145</v>
      </c>
      <c r="F30" s="28" t="n"/>
      <c r="G30" s="68">
        <f>IFERROR(IF(B9="","",'0. Assumptions'!$B$41),"")</f>
        <v>0.0</v>
      </c>
      <c r="H30" s="28" t="n"/>
    </row>
    <row r="31">
      <c r="A31" s="28" t="inlineStr">
        <is>
          <t>Linens, uniforms and cleaning</t>
        </is>
      </c>
      <c r="B31" s="49" t="n">
        <v>1800</v>
      </c>
      <c r="C31" s="40">
        <f>IFERROR(IF(C9="","",B31*(1+'0. Assumptions'!$B$48)),"")</f>
        <v>1800.0</v>
      </c>
      <c r="D31" s="40">
        <f>IFERROR(IF(D9="","",C31*(1+'0. Assumptions'!$B$48)),"")</f>
        <v>1800.0</v>
      </c>
      <c r="E31" s="68">
        <f>IFERROR(B31/$B$9,"")</f>
        <v>0.005747126436781609</v>
      </c>
      <c r="F31" s="28" t="n"/>
      <c r="G31" s="68">
        <f>IFERROR(IF(B9="","",'0. Assumptions'!$B$41),"")</f>
        <v>0.0</v>
      </c>
      <c r="H31" s="28" t="n"/>
    </row>
    <row r="32">
      <c r="A32" s="28" t="inlineStr">
        <is>
          <t>Waste, used oil and shell disposal</t>
        </is>
      </c>
      <c r="B32" s="49" t="n">
        <v>600</v>
      </c>
      <c r="C32" s="40">
        <f>IFERROR(IF(C9="","",B32*(1+'0. Assumptions'!$B$48)),"")</f>
        <v>600.0</v>
      </c>
      <c r="D32" s="40">
        <f>IFERROR(IF(D9="","",C32*(1+'0. Assumptions'!$B$48)),"")</f>
        <v>600.0</v>
      </c>
      <c r="E32" s="68">
        <f>IFERROR(B32/$B$9,"")</f>
        <v>0.0019157088122605363</v>
      </c>
      <c r="F32" s="28" t="inlineStr">
        <is>
          <t>Licensed hauler for trash, used oil and shells. Ask the commissary first: many include removal in the fee. If yours does not, get a quote in your area.</t>
        </is>
      </c>
      <c r="G32" s="68">
        <f>IFERROR(IF(B9="","",'0. Assumptions'!$B$41),"")</f>
        <v>0.0</v>
      </c>
      <c r="H32" s="28" t="n"/>
    </row>
    <row r="33">
      <c r="A33" s="28" t="inlineStr">
        <is>
          <t>Pan, burner &amp; hose replacement</t>
        </is>
      </c>
      <c r="B33" s="49" t="n">
        <v>1000</v>
      </c>
      <c r="C33" s="40">
        <f>IFERROR(IF(C9="","",B33*(1+'0. Assumptions'!$B$48)),"")</f>
        <v>1000.0</v>
      </c>
      <c r="D33" s="40">
        <f>IFERROR(IF(D9="","",C33*(1+'0. Assumptions'!$B$48)),"")</f>
        <v>1000.0</v>
      </c>
      <c r="E33" s="68">
        <f>IFERROR(B33/$B$9,"")</f>
        <v>0.0031928480204342275</v>
      </c>
      <c r="F33" s="28" t="inlineStr">
        <is>
          <t>Replacement of paella pans (they warp), burners (clogged rings), regulators and hoses (they expire).</t>
        </is>
      </c>
      <c r="G33" s="68">
        <f>IFERROR(IF(B9="","",'0. Assumptions'!$B$41),"")</f>
        <v>0.0</v>
      </c>
      <c r="H33" s="28" t="n"/>
    </row>
    <row r="34">
      <c r="A34" s="28" t="inlineStr">
        <is>
          <t>Food safety training (ServSafe Manager, food handler cards)</t>
        </is>
      </c>
      <c r="B34" s="49" t="n">
        <v>600</v>
      </c>
      <c r="C34" s="40">
        <f>IFERROR(IF(C9="","",B34*(1+'0. Assumptions'!$B$48)),"")</f>
        <v>600.0</v>
      </c>
      <c r="D34" s="40">
        <f>IFERROR(IF(D9="","",C34*(1+'0. Assumptions'!$B$48)),"")</f>
        <v>600.0</v>
      </c>
      <c r="E34" s="68">
        <f>IFERROR(B34/$B$9,"")</f>
        <v>0.0019157088122605363</v>
      </c>
      <c r="F34" s="28" t="inlineStr">
        <is>
          <t>ServSafe Manager (Certified Food Protection Manager) and food handler cards for you and your team, plus their renewals. The required cards vary by state.</t>
        </is>
      </c>
      <c r="G34" s="68">
        <f>IFERROR(IF(B9="","",'0. Assumptions'!$B$41),"")</f>
        <v>0.0</v>
      </c>
      <c r="H34" s="28" t="n"/>
    </row>
    <row r="35">
      <c r="A35" s="28" t="inlineStr">
        <is>
          <t>Tastings for prospects</t>
        </is>
      </c>
      <c r="B35" s="49" t="n">
        <v>1500</v>
      </c>
      <c r="C35" s="40">
        <f>IFERROR(IF(C9="","",B35*(1+'0. Assumptions'!$B$48)),"")</f>
        <v>1500.0</v>
      </c>
      <c r="D35" s="40">
        <f>IFERROR(IF(D9="","",C35*(1+'0. Assumptions'!$B$48)),"")</f>
        <v>1500.0</v>
      </c>
      <c r="E35" s="68">
        <f>IFERROR(B35/$B$9,"")</f>
        <v>0.004789272030651341</v>
      </c>
      <c r="F35" s="28" t="inlineStr">
        <is>
          <t>Food cost and labor for the tastings you offer couples, planners and companies (a small paella cooked live). Many caterers charge a fee and credit it toward the booking: if you do, lower this line.</t>
        </is>
      </c>
      <c r="G35" s="68">
        <f>IFERROR(IF(B9="","",'0. Assumptions'!$B$41),"")</f>
        <v>0.0</v>
      </c>
      <c r="H35" s="28" t="n"/>
    </row>
    <row r="36">
      <c r="A36" s="28" t="inlineStr">
        <is>
          <t>Depreciation of fixed assets</t>
        </is>
      </c>
      <c r="B36" s="40">
        <f>IFERROR(IF(B9="","",'Startup Costs'!$B$33),"")</f>
        <v>5734.285714285714</v>
      </c>
      <c r="C36" s="40">
        <f>IFERROR(IF(C9="","",B36),"")</f>
        <v>5734.285714285714</v>
      </c>
      <c r="D36" s="40">
        <f>IFERROR(IF(D9="","",B36),"")</f>
        <v>5734.285714285714</v>
      </c>
      <c r="E36" s="68">
        <f>IFERROR(B36/$B$9,"")</f>
        <v>0.01830870279146141</v>
      </c>
      <c r="F36" s="28" t="inlineStr">
        <is>
          <t>Comes from the depreciation bases on the Startup Costs tab: real fixed assets only. It does NOT rise with inflation: it is a charge on the HISTORICAL cost of the assets</t>
        </is>
      </c>
      <c r="G36" s="68" t="n">
        <v>0</v>
      </c>
      <c r="H36" s="28" t="n"/>
    </row>
    <row r="37">
      <c r="A37" s="28" t="inlineStr">
        <is>
          <t>Interest expense (loan interest)</t>
        </is>
      </c>
      <c r="B37" s="40">
        <f>IFERROR(IF(B9="","",Financing!$B$44),"")</f>
        <v>6400.0</v>
      </c>
      <c r="C37" s="40">
        <f>IFERROR(IF(C9="","",Financing!$B$46),"")</f>
        <v>5725.404801916189</v>
      </c>
      <c r="D37" s="40">
        <f>IFERROR(IF(D9="","",Financing!$B$48),"")</f>
        <v>4983.350084023996</v>
      </c>
      <c r="E37" s="68">
        <f>IFERROR(B37/$B$9,"")</f>
        <v>0.020434227330779056</v>
      </c>
      <c r="F37" s="28" t="inlineStr">
        <is>
          <t>Only INTEREST is an expense. Principal repaid appears on the cash flow tab</t>
        </is>
      </c>
      <c r="G37" s="68" t="n">
        <v>0</v>
      </c>
      <c r="H37" s="28" t="n"/>
    </row>
    <row r="38">
      <c r="A38" s="16" t="inlineStr">
        <is>
          <t>TOTAL FIXED COSTS</t>
        </is>
      </c>
      <c r="B38" s="52">
        <f>IFERROR(IF(B9="","",SUM(B22:B37)),"")</f>
        <v>163677.48571428572</v>
      </c>
      <c r="C38" s="52">
        <f>IFERROR(IF(C9="","",SUM(C22:C37)),"")</f>
        <v>167002.8905162019</v>
      </c>
      <c r="D38" s="52">
        <f>IFERROR(IF(D9="","",SUM(D22:D37)),"")</f>
        <v>170260.8357983097</v>
      </c>
      <c r="E38" s="69">
        <f>IFERROR(B38/$B$9,"")</f>
        <v>0.5225973362525087</v>
      </c>
    </row>
    <row r="39">
      <c r="A39" s="35" t="inlineStr">
        <is>
          <t>Recoverable input tax on variable costs</t>
        </is>
      </c>
      <c r="B39" s="42">
        <f>IFERROR(IF(B9="","",SUMPRODUCT(B13:B18,G13:G18)),"")</f>
        <v>0.0</v>
      </c>
      <c r="C39" s="42">
        <f>IFERROR(IF(C9="","",SUMPRODUCT(C13:C18,G13:G18)),"")</f>
        <v>0.0</v>
      </c>
      <c r="D39" s="42">
        <f>IFERROR(IF(D9="","",SUMPRODUCT(D13:D18,G13:G18)),"")</f>
        <v>0.0</v>
      </c>
      <c r="F39" s="35" t="inlineStr">
        <is>
          <t>Each line at ITS OWN rate, read from the column next to it. It is what the cash flow tab overpays to suppliers and later deducts (zero wherever no tax is recoverable)</t>
        </is>
      </c>
    </row>
    <row r="40">
      <c r="A40" s="35" t="inlineStr">
        <is>
          <t>Recoverable input tax on fixed costs</t>
        </is>
      </c>
      <c r="B40" s="42">
        <f>IFERROR(IF(B9="","",SUMPRODUCT(B22:B37,G22:G37)),"")</f>
        <v>0.0</v>
      </c>
      <c r="C40" s="42">
        <f>IFERROR(IF(C9="","",SUMPRODUCT(C22:C37,G22:G37)),"")</f>
        <v>0.0</v>
      </c>
      <c r="D40" s="42">
        <f>IFERROR(IF(D9="","",SUMPRODUCT(D22:D37,G22:G37)),"")</f>
        <v>0.0</v>
      </c>
    </row>
    <row r="41">
      <c r="A41" s="16" t="inlineStr">
        <is>
          <t>PRE-TAX INCOME (EBT)</t>
        </is>
      </c>
      <c r="B41" s="52">
        <f>IFERROR(IF(B9="","",B20-B38),"")</f>
        <v>27092.634285714274</v>
      </c>
      <c r="C41" s="52">
        <f>IFERROR(IF(C9="","",C20-C38),"")</f>
        <v>42844.241483798076</v>
      </c>
      <c r="D41" s="52">
        <f>IFERROR(IF(D9="","",D20-D38),"")</f>
        <v>52177.124121690256</v>
      </c>
      <c r="E41" s="69">
        <f>IFERROR(B41/$B$9,"")</f>
        <v>0.0865026637474913</v>
      </c>
    </row>
    <row r="42">
      <c r="A42" s="35" t="inlineStr">
        <is>
          <t>Net operating losses carried forward (opening)</t>
        </is>
      </c>
      <c r="B42" s="42">
        <f>IFERROR(IF(B9="","",'0. Assumptions'!$B$42),"")</f>
        <v>0.0</v>
      </c>
      <c r="C42" s="42">
        <f>IFERROR(IF(C9="","",B47),"")</f>
        <v>0.0</v>
      </c>
      <c r="D42" s="42">
        <f>IFERROR(IF(D9="","",C47),"")</f>
        <v>0.0</v>
      </c>
      <c r="F42" s="35" t="inlineStr">
        <is>
          <t>Federal rules let a year's losses offset the profits of later years (the federal limit is 80% of taxable income; this model offsets 100% as a simplification)</t>
        </is>
      </c>
    </row>
    <row r="43">
      <c r="A43" s="35" t="inlineStr">
        <is>
          <t>Taxable income (after loss offset)</t>
        </is>
      </c>
      <c r="B43" s="42">
        <f>IFERROR(IF(B9="","",MAX(0,B41-B42)),"")</f>
        <v>27092.634285714274</v>
      </c>
      <c r="C43" s="42">
        <f>IFERROR(IF(C9="","",MAX(0,C41-C42)),"")</f>
        <v>42844.241483798076</v>
      </c>
      <c r="D43" s="42">
        <f>IFERROR(IF(D9="","",MAX(0,D41-D42)),"")</f>
        <v>52177.124121690256</v>
      </c>
    </row>
    <row r="44">
      <c r="A44" s="35" t="inlineStr">
        <is>
          <t>Years with positive taxable income (cumulative)</t>
        </is>
      </c>
      <c r="B44" s="42">
        <f>IFERROR(IF(B9="","",IF(B43&gt;0,1,0)),"")</f>
        <v>1.0</v>
      </c>
      <c r="C44" s="42">
        <f>IFERROR(IF(C9="","",B44+IF(C43&gt;0,1,0)),"")</f>
        <v>2.0</v>
      </c>
      <c r="D44" s="42">
        <f>IFERROR(IF(D9="","",C44+IF(D43&gt;0,1,0)),"")</f>
        <v>3.0</v>
      </c>
    </row>
    <row r="45">
      <c r="A45" s="35" t="inlineStr">
        <is>
          <t>Effective income tax rate applied</t>
        </is>
      </c>
      <c r="B45" s="65">
        <f>IFERROR(IF(B9="","",IF(B43&lt;=0,"",IF(B44&lt;=2,'0. Assumptions'!$B$37,'0. Assumptions'!$B$38))),"")</f>
        <v>0.25</v>
      </c>
      <c r="C45" s="65">
        <f>IFERROR(IF(C9="","",IF(C43&lt;=0,"",IF(C44&lt;=2,'0. Assumptions'!$B$37,'0. Assumptions'!$B$38))),"")</f>
        <v>0.25</v>
      </c>
      <c r="D45" s="65">
        <f>IFERROR(IF(D9="","",IF(D43&lt;=0,"",IF(D44&lt;=2,'0. Assumptions'!$B$37,'0. Assumptions'!$B$38))),"")</f>
        <v>0.25</v>
      </c>
      <c r="F45" s="35" t="inlineStr">
        <is>
          <t>The "years 1-2" rate applies to the first two years with positive taxable income, not to the first two calendar years of the business. The model approximates this by counting the first two profitable years</t>
        </is>
      </c>
    </row>
    <row r="46">
      <c r="A46" s="35" t="inlineStr">
        <is>
          <t>Income tax</t>
        </is>
      </c>
      <c r="B46" s="42">
        <f>IFERROR(IF(B9="","",IF(B45="",0,B43*B45)),"")</f>
        <v>6773.158571428568</v>
      </c>
      <c r="C46" s="42">
        <f>IFERROR(IF(C9="","",IF(C45="",0,C43*C45)),"")</f>
        <v>10711.060370949519</v>
      </c>
      <c r="D46" s="42">
        <f>IFERROR(IF(D9="","",IF(D45="",0,D43*D45)),"")</f>
        <v>13044.281030422564</v>
      </c>
    </row>
    <row r="47">
      <c r="A47" s="35" t="inlineStr">
        <is>
          <t>Net operating losses carried forward (closing)</t>
        </is>
      </c>
      <c r="B47" s="42">
        <f>IFERROR(IF(B9="","",MAX(0,B42-B41)),"")</f>
        <v>0.0</v>
      </c>
      <c r="C47" s="42">
        <f>IFERROR(IF(C9="","",MAX(0,C42-C41)),"")</f>
        <v>0.0</v>
      </c>
      <c r="D47" s="42">
        <f>IFERROR(IF(D9="","",MAX(0,D42-D41)),"")</f>
        <v>0.0</v>
      </c>
    </row>
    <row r="48">
      <c r="A48" s="16" t="inlineStr">
        <is>
          <t>NET INCOME</t>
        </is>
      </c>
      <c r="B48" s="52">
        <f>IFERROR(IF(B9="","",B41-B46),"")</f>
        <v>20319.475714285705</v>
      </c>
      <c r="C48" s="52">
        <f>IFERROR(IF(C9="","",C41-C46),"")</f>
        <v>32133.181112848557</v>
      </c>
      <c r="D48" s="52">
        <f>IFERROR(IF(D9="","",D41-D46),"")</f>
        <v>39132.84309126769</v>
      </c>
      <c r="E48" s="69">
        <f>IFERROR(B48/$B$9,"")</f>
        <v>0.06487699781061847</v>
      </c>
    </row>
    <row r="49">
      <c r="A49" s="16" t="inlineStr">
        <is>
          <t>KEY RATIOS</t>
        </is>
      </c>
    </row>
    <row r="50">
      <c r="A50" s="16" t="inlineStr">
        <is>
          <t>Ratio</t>
        </is>
      </c>
      <c r="B50" s="16" t="inlineStr">
        <is>
          <t>Year 1</t>
        </is>
      </c>
      <c r="C50" s="16" t="inlineStr">
        <is>
          <t>Year 2</t>
        </is>
      </c>
      <c r="D50" s="16" t="inlineStr">
        <is>
          <t>Year 3</t>
        </is>
      </c>
      <c r="E50" s="16" t="inlineStr">
        <is>
          <t>Threshold</t>
        </is>
      </c>
      <c r="F50" s="16" t="inlineStr">
        <is>
          <t>Comment</t>
        </is>
      </c>
    </row>
    <row r="51">
      <c r="A51" s="35" t="inlineStr">
        <is>
          <t>Gross margin / Sales</t>
        </is>
      </c>
      <c r="B51" s="65">
        <f>IFERROR(IF(B9="","",B20/B9),"")</f>
        <v>0.6091</v>
      </c>
      <c r="C51" s="65">
        <f>IFERROR(IF(C9="","",C20/C9),"")</f>
        <v>0.6091</v>
      </c>
      <c r="D51" s="65">
        <f>IFERROR(IF(D9="","",D20/D9),"")</f>
        <v>0.6091</v>
      </c>
      <c r="E51" s="70" t="n">
        <v>0.58</v>
      </c>
      <c r="F51" s="35" t="inlineStr">
        <is>
          <t>Floor set by this workbook: kit benchmark (editable estimate). The workbook's gross margin also subtracts card fees, marketplace commissions and miscellaneous costs, so the floor sits below the 65-70% that caterer pricing guides quote on food cost alone.</t>
        </is>
      </c>
    </row>
    <row r="52">
      <c r="A52" s="35" t="inlineStr">
        <is>
          <t>Cost of goods sold (paella packages + add-ons)</t>
        </is>
      </c>
      <c r="B52" s="42">
        <f>IFERROR(IF(B9="","",B13+B14),"")</f>
        <v>90326.88</v>
      </c>
      <c r="C52" s="42">
        <f>IFERROR(IF(C9="","",C13+C14),"")</f>
        <v>99359.568</v>
      </c>
      <c r="D52" s="42">
        <f>IFERROR(IF(D9="","",D13+D14),"")</f>
        <v>105321.14207999999</v>
      </c>
    </row>
    <row r="53">
      <c r="A53" s="35" t="inlineStr">
        <is>
          <t>Cost of goods sold / Sales</t>
        </is>
      </c>
      <c r="B53" s="65">
        <f>IFERROR(IF(B9="","",B52/B9),"")</f>
        <v>0.2884</v>
      </c>
      <c r="C53" s="65">
        <f>IFERROR(IF(C9="","",C52/C9),"")</f>
        <v>0.2884</v>
      </c>
      <c r="D53" s="65">
        <f>IFERROR(IF(D9="","",D52/D9),"")</f>
        <v>0.2884</v>
      </c>
      <c r="E53" s="70" t="n">
        <v>0.35</v>
      </c>
      <c r="F53" s="35" t="inlineStr">
        <is>
          <t>Ceiling for cost of goods (disposables and cooking fuel have their own line): kit benchmark (editable estimate), based on the 28-35% food cost range for caterers in the benchmarks table.</t>
        </is>
      </c>
    </row>
    <row r="54">
      <c r="A54" s="35" t="inlineStr">
        <is>
          <t>Labor cost / Sales</t>
        </is>
      </c>
      <c r="B54" s="65">
        <f>IFERROR(IF(B9="","",B23/B9),"")</f>
        <v>0.3382605363984674</v>
      </c>
      <c r="C54" s="65">
        <f>IFERROR(IF(C9="","",C23/C9),"")</f>
        <v>0.3191199349820039</v>
      </c>
      <c r="D54" s="65">
        <f>IFERROR(IF(D9="","",D23/D9),"")</f>
        <v>0.3120097088867421</v>
      </c>
      <c r="E54" s="70" t="n">
        <v>0.38</v>
      </c>
      <c r="F54" s="35" t="inlineStr">
        <is>
          <t>Ceiling: kit benchmark (editable estimate), above the 25-35% labor range that pricing guides report because it includes the owner's own pay as paella chef.</t>
        </is>
      </c>
    </row>
    <row r="55">
      <c r="A55" s="35" t="inlineStr">
        <is>
          <t>Commissary &amp; storage / Sales</t>
        </is>
      </c>
      <c r="B55" s="65">
        <f>IFERROR(IF(B9="","",B22/B9),"")</f>
        <v>0.0421455938697318</v>
      </c>
      <c r="C55" s="65">
        <f>IFERROR(IF(C9="","",C22/C9),"")</f>
        <v>0.038314176245210725</v>
      </c>
      <c r="D55" s="65">
        <f>IFERROR(IF(D9="","",D22/D9),"")</f>
        <v>0.03614544928793465</v>
      </c>
      <c r="E55" s="70" t="n">
        <v>0.07000000000000001</v>
      </c>
      <c r="F55" s="35" t="inlineStr">
        <is>
          <t>There is no storefront rent in this workbook: 7% is a prudent ceiling for the commissary kitchen and equipment storage, a kit benchmark (editable estimate). A business with its own fixed kitchen carries a much higher occupancy cost.</t>
        </is>
      </c>
    </row>
    <row r="56">
      <c r="A56" s="35" t="inlineStr">
        <is>
          <t>Net income / Sales</t>
        </is>
      </c>
      <c r="B56" s="65">
        <f>IFERROR(IF(B9="","",B48/B9),"")</f>
        <v>0.06487699781061847</v>
      </c>
      <c r="C56" s="65">
        <f>IFERROR(IF(C9="","",C48/C9),"")</f>
        <v>0.09326942155128456</v>
      </c>
      <c r="D56" s="65">
        <f>IFERROR(IF(D9="","",D48/D9),"")</f>
        <v>0.10715713601879699</v>
      </c>
      <c r="E56" s="70" t="n">
        <v>0.05</v>
      </c>
      <c r="F56" s="35" t="inlineStr">
        <is>
          <t>Floor of 5%: a kit benchmark (editable estimate), a little below the 7-8% average net margin that caterers report (itsacheckmate.com). A new business with a loan to repay starts lower.</t>
        </is>
      </c>
    </row>
    <row r="57">
      <c r="A57" s="35" t="inlineStr">
        <is>
          <t>Break-even reached</t>
        </is>
      </c>
      <c r="B57" t="str">
        <f>IFERROR(IF(B9="","",IF(B9&gt;='Break-Even'!$B$16,"Yes","No")),"")</f>
        <v>Yes</v>
      </c>
      <c r="C57" t="str">
        <f>IFERROR(IF(C9="","",IF(C9&gt;='Break-Even'!$C$16,"Yes","No")),"")</f>
        <v>Yes</v>
      </c>
      <c r="D57" t="str">
        <f>IFERROR(IF(D9="","",IF(D9&gt;='Break-Even'!$D$16,"Yes","No")),"")</f>
        <v>Yes</v>
      </c>
      <c r="F57" s="35" t="inlineStr">
        <is>
          <t>Compares each year's sales with that same year's threshold, which the Break-Even tab calculates with that year's fixed costs</t>
        </is>
      </c>
    </row>
    <row r="59" ht="165" customHeight="1">
      <c r="A59"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Break-even — Paella Catering</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1">
        <f>IFERROR(IF('3-Year P&amp;L'!$B$9="","",'3-Year P&amp;L'!$B$38),"")</f>
        <v>163677.48571428572</v>
      </c>
      <c r="C6" s="61">
        <f>IFERROR(IF('3-Year P&amp;L'!$C$9="","",'3-Year P&amp;L'!$C$38),"")</f>
        <v>167002.8905162019</v>
      </c>
      <c r="D6" s="61">
        <f>IFERROR(IF('3-Year P&amp;L'!$D$9="","",'3-Year P&amp;L'!$D$38),"")</f>
        <v>170260.8357983097</v>
      </c>
      <c r="E6" s="28" t="inlineStr">
        <is>
          <t>The SAME fixed costs as the P&amp;L. Each year has its own, which is why the threshold cannot be a single one for all three years</t>
        </is>
      </c>
      <c r="F6" s="28" t="n"/>
    </row>
    <row r="7">
      <c r="A7" s="28" t="inlineStr">
        <is>
          <t>Monthly fixed costs</t>
        </is>
      </c>
      <c r="B7" s="61">
        <f>IFERROR(IF('3-Year P&amp;L'!$B$9="","",B6/12),"")</f>
        <v>13639.790476190477</v>
      </c>
      <c r="C7" s="61">
        <f>IFERROR(IF('3-Year P&amp;L'!$C$9="","",C6/12),"")</f>
        <v>13916.907543016825</v>
      </c>
      <c r="D7" s="61">
        <f>IFERROR(IF('3-Year P&amp;L'!$D$9="","",D6/12),"")</f>
        <v>14188.402983192476</v>
      </c>
      <c r="E7" s="28" t="n"/>
      <c r="F7" s="28" t="n"/>
    </row>
    <row r="8">
      <c r="A8" s="28" t="inlineStr">
        <is>
          <t>Average price per guest (excl. sales tax)</t>
        </is>
      </c>
      <c r="B8" s="61">
        <f>IFERROR(IF('3-Year P&amp;L'!$B$9="","",'3-Year P&amp;L'!$B$7),"")</f>
        <v>40.0</v>
      </c>
      <c r="C8" s="61">
        <f>IFERROR(IF('3-Year P&amp;L'!$C$9="","",'3-Year P&amp;L'!$C$7),"")</f>
        <v>40.0</v>
      </c>
      <c r="D8" s="61">
        <f>IFERROR(IF('3-Year P&amp;L'!$D$9="","",'3-Year P&amp;L'!$D$7),"")</f>
        <v>40.0</v>
      </c>
      <c r="E8" s="28" t="n"/>
      <c r="F8" s="28" t="n"/>
    </row>
    <row r="9">
      <c r="A9" s="28" t="inlineStr">
        <is>
          <t>Variable cost per guest</t>
        </is>
      </c>
      <c r="B9" s="61">
        <f>IFERROR(IF('3-Year P&amp;L'!$B$9="","",'3-Year P&amp;L'!$B$19/('3-Year P&amp;L'!$B$6*'3-Year P&amp;L'!$B$8)),"")</f>
        <v>15.636000000000001</v>
      </c>
      <c r="C9" s="61">
        <f>IFERROR(IF('3-Year P&amp;L'!$C$9="","",'3-Year P&amp;L'!$C$19/('3-Year P&amp;L'!$C$6*'3-Year P&amp;L'!$C$8)),"")</f>
        <v>15.636000000000003</v>
      </c>
      <c r="D9" s="61">
        <f>IFERROR(IF('3-Year P&amp;L'!$D$9="","",'3-Year P&amp;L'!$D$19/('3-Year P&amp;L'!$D$6*'3-Year P&amp;L'!$D$8)),"")</f>
        <v>15.635999999999997</v>
      </c>
      <c r="E9" s="28" t="inlineStr">
        <is>
          <t>Comes from the P&amp;L total variable costs, not from a separate estimate. It includes miscellaneous and contingency, which is a percentage of sales</t>
        </is>
      </c>
      <c r="F9" s="28" t="n"/>
    </row>
    <row r="10">
      <c r="A10" s="28" t="inlineStr">
        <is>
          <t>Contribution margin per guest</t>
        </is>
      </c>
      <c r="B10" s="61">
        <f>IFERROR(IF('3-Year P&amp;L'!$B$9="","",B8-B9),"")</f>
        <v>24.363999999999997</v>
      </c>
      <c r="C10" s="61">
        <f>IFERROR(IF('3-Year P&amp;L'!$C$9="","",C8-C9),"")</f>
        <v>24.363999999999997</v>
      </c>
      <c r="D10" s="61">
        <f>IFERROR(IF('3-Year P&amp;L'!$D$9="","",D8-D9),"")</f>
        <v>24.364000000000004</v>
      </c>
      <c r="E10" s="28" t="inlineStr">
        <is>
          <t>Price per guest minus variable cost per guest</t>
        </is>
      </c>
      <c r="F10" s="28" t="n"/>
    </row>
    <row r="11">
      <c r="A11" s="28" t="inlineStr">
        <is>
          <t>Average guests per event</t>
        </is>
      </c>
      <c r="B11" s="40">
        <f>IFERROR(IF('3-Year P&amp;L'!$B$9="","",'3-Year P&amp;L'!$B$8),"")</f>
        <v>58.0</v>
      </c>
      <c r="C11" s="40">
        <f>IFERROR(IF('3-Year P&amp;L'!$C$9="","",'3-Year P&amp;L'!$C$8),"")</f>
        <v>58.0</v>
      </c>
      <c r="D11" s="40">
        <f>IFERROR(IF('3-Year P&amp;L'!$D$9="","",'3-Year P&amp;L'!$D$8),"")</f>
        <v>58.0</v>
      </c>
      <c r="E11" s="28" t="inlineStr">
        <is>
          <t>The same calendar as the P&amp;L and the scenarios</t>
        </is>
      </c>
      <c r="F11" s="28" t="n"/>
    </row>
    <row r="12">
      <c r="A12" s="28" t="inlineStr">
        <is>
          <t>Principal repaid in the year</t>
        </is>
      </c>
      <c r="B12" s="61">
        <f>IFERROR(IF('3-Year P&amp;L'!$B$9="","",Financing!$B$45),"")</f>
        <v>6745.951980838116</v>
      </c>
      <c r="C12" s="61">
        <f>IFERROR(IF('3-Year P&amp;L'!$C$9="","",Financing!$B$47),"")</f>
        <v>7420.547178921926</v>
      </c>
      <c r="D12" s="61">
        <f>IFERROR(IF('3-Year P&amp;L'!$D$9="","",Financing!$B$49),"")</f>
        <v>8162.60189681412</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Guests needed per year</t>
        </is>
      </c>
      <c r="B14" s="40">
        <f>IFERROR(IF('3-Year P&amp;L'!$B$9="","",IF(B10&lt;=0,"",B6/B10)),"")</f>
        <v>6718.005488191009</v>
      </c>
      <c r="C14" s="40">
        <f>IFERROR(IF('3-Year P&amp;L'!$C$9="","",IF(C10&lt;=0,"",C6/C10)),"")</f>
        <v>6854.493946650875</v>
      </c>
      <c r="D14" s="40">
        <f>IFERROR(IF('3-Year P&amp;L'!$D$9="","",IF(D10&lt;=0,"",D6/D10)),"")</f>
        <v>6988.213585548748</v>
      </c>
      <c r="E14" s="28" t="n"/>
      <c r="F14" s="28" t="n"/>
    </row>
    <row r="15">
      <c r="A15" s="28" t="inlineStr">
        <is>
          <t>Events needed per year</t>
        </is>
      </c>
      <c r="B15" s="44">
        <f>IFERROR(IF('3-Year P&amp;L'!$B$9="","",B14/B11),"")</f>
        <v>115.82768083087947</v>
      </c>
      <c r="C15" s="44">
        <f>IFERROR(IF('3-Year P&amp;L'!$C$9="","",C14/C11),"")</f>
        <v>118.18093011467026</v>
      </c>
      <c r="D15" s="44">
        <f>IFERROR(IF('3-Year P&amp;L'!$D$9="","",D14/D11),"")</f>
        <v>120.48644113015082</v>
      </c>
      <c r="E15" s="28" t="n"/>
      <c r="F15" s="28" t="n"/>
    </row>
    <row r="16">
      <c r="A16" s="25" t="inlineStr">
        <is>
          <t>Revenue needed per year</t>
        </is>
      </c>
      <c r="B16" s="66">
        <f>IFERROR(IF('3-Year P&amp;L'!$B$9="","",B14*B8),"")</f>
        <v>268720.2195276404</v>
      </c>
      <c r="C16" s="66">
        <f>IFERROR(IF('3-Year P&amp;L'!$C$9="","",C14*C8),"")</f>
        <v>274179.757866035</v>
      </c>
      <c r="D16" s="66">
        <f>IFERROR(IF('3-Year P&amp;L'!$D$9="","",D14*D8),"")</f>
        <v>279528.5434219499</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1">
        <f>IFERROR(IF('3-Year P&amp;L'!$B$9="","",B6-'3-Year P&amp;L'!$B$36+B12),"")</f>
        <v>164689.15198083813</v>
      </c>
      <c r="C18" s="61">
        <f>IFERROR(IF('3-Year P&amp;L'!$C$9="","",C6-'3-Year P&amp;L'!$C$36+C12),"")</f>
        <v>168689.15198083813</v>
      </c>
      <c r="D18" s="61">
        <f>IFERROR(IF('3-Year P&amp;L'!$D$9="","",D6-'3-Year P&amp;L'!$D$36+D12),"")</f>
        <v>172689.15198083813</v>
      </c>
      <c r="E18" s="28" t="inlineStr">
        <is>
          <t>The P&amp;L fixed costs without depreciation (which is not paid in cash) and WITH principal repaid (which is). This is the threshold that decides whether cash holds up</t>
        </is>
      </c>
      <c r="F18" s="28" t="n"/>
    </row>
    <row r="19">
      <c r="A19" s="28" t="inlineStr">
        <is>
          <t>Guests needed per year (cash)</t>
        </is>
      </c>
      <c r="B19" s="40">
        <f>IFERROR(IF('3-Year P&amp;L'!$B$9="","",IF(B10&lt;=0,"",B18/B10)),"")</f>
        <v>6759.5284838630005</v>
      </c>
      <c r="C19" s="40">
        <f>IFERROR(IF('3-Year P&amp;L'!$C$9="","",IF(C10&lt;=0,"",C18/C10)),"")</f>
        <v>6923.70513794279</v>
      </c>
      <c r="D19" s="40">
        <f>IFERROR(IF('3-Year P&amp;L'!$D$9="","",IF(D10&lt;=0,"",D18/D10)),"")</f>
        <v>7087.881792022578</v>
      </c>
      <c r="E19" s="28" t="n"/>
      <c r="F19" s="28" t="n"/>
    </row>
    <row r="20">
      <c r="A20" s="25" t="inlineStr">
        <is>
          <t>Events needed per year (cash)</t>
        </is>
      </c>
      <c r="B20" s="45">
        <f>IFERROR(IF('3-Year P&amp;L'!$B$9="","",B19/B11),"")</f>
        <v>116.54359454936208</v>
      </c>
      <c r="C20" s="45">
        <f>IFERROR(IF('3-Year P&amp;L'!$C$9="","",C19/C11),"")</f>
        <v>119.374226516255</v>
      </c>
      <c r="D20" s="45">
        <f>IFERROR(IF('3-Year P&amp;L'!$D$9="","",D19/D11),"")</f>
        <v>122.2048584831479</v>
      </c>
      <c r="E20" s="28" t="n"/>
      <c r="F20" s="28" t="n"/>
    </row>
    <row r="21">
      <c r="A21" s="28" t="inlineStr">
        <is>
          <t>Revenue needed per year (cash)</t>
        </is>
      </c>
      <c r="B21" s="40">
        <f>IFERROR(IF('3-Year P&amp;L'!$B$9="","",B19*B8),"")</f>
        <v>270381.13935452</v>
      </c>
      <c r="C21" s="40">
        <f>IFERROR(IF('3-Year P&amp;L'!$C$9="","",C19*C8),"")</f>
        <v>276948.2055177116</v>
      </c>
      <c r="D21" s="40">
        <f>IFERROR(IF('3-Year P&amp;L'!$D$9="","",D19*D8),"")</f>
        <v>283515.27168090316</v>
      </c>
      <c r="E21" s="28" t="n"/>
      <c r="F21" s="28" t="n"/>
    </row>
    <row r="22">
      <c r="A22" s="25" t="inlineStr">
        <is>
          <t>COMPARISON WITH THE PLAN</t>
        </is>
      </c>
      <c r="B22" s="28" t="n"/>
      <c r="C22" s="28" t="n"/>
      <c r="D22" s="28" t="n"/>
      <c r="E22" s="28" t="n"/>
      <c r="F22" s="28" t="n"/>
    </row>
    <row r="23">
      <c r="A23" s="28" t="inlineStr">
        <is>
          <t>Events per year in the plan</t>
        </is>
      </c>
      <c r="B23" s="40">
        <f>IFERROR(IF('3-Year P&amp;L'!$B$9="","",'3-Year P&amp;L'!$B$6),"")</f>
        <v>135.0</v>
      </c>
      <c r="C23" s="40">
        <f>IFERROR(IF('3-Year P&amp;L'!$C$9="","",'3-Year P&amp;L'!$C$6),"")</f>
        <v>148.5</v>
      </c>
      <c r="D23" s="40">
        <f>IFERROR(IF('3-Year P&amp;L'!$D$9="","",'3-Year P&amp;L'!$D$6),"")</f>
        <v>157.41</v>
      </c>
      <c r="E23" s="28" t="n"/>
      <c r="F23" s="28" t="n"/>
    </row>
    <row r="24">
      <c r="A24" s="28" t="inlineStr">
        <is>
          <t>Cushion above CASH break-even (%)</t>
        </is>
      </c>
      <c r="B24" s="68">
        <f>IFERROR(IF('3-Year P&amp;L'!$B$9="","",B23/B20-1),"")</f>
        <v>0.1583648206664905</v>
      </c>
      <c r="C24" s="68">
        <f>IFERROR(IF('3-Year P&amp;L'!$C$9="","",C23/C20-1),"")</f>
        <v>0.24398711793771488</v>
      </c>
      <c r="D24" s="68">
        <f>IFERROR(IF('3-Year P&amp;L'!$D$9="","",D23/D20-1),"")</f>
        <v>0.28808299403011794</v>
      </c>
      <c r="E24" s="28" t="inlineStr">
        <is>
          <t>How far the plan sits above the cash break-even (plan ÷ break-even − 1); the drop you can absorb is 1 − break-even ÷ plan. The required minimum is set in the "0. Assumptions" tab</t>
        </is>
      </c>
      <c r="F24" s="28" t="n"/>
    </row>
    <row r="25">
      <c r="A25" s="25" t="inlineStr">
        <is>
          <t>INTERPRETATION</t>
        </is>
      </c>
      <c r="B25" s="28" t="n"/>
      <c r="C25" s="28" t="n"/>
      <c r="D25" s="28" t="n"/>
      <c r="E25" s="28" t="n"/>
      <c r="F25" s="28" t="n"/>
    </row>
    <row r="26" ht="46" customHeight="1">
      <c r="A26" s="28" t="str">
        <f>IFERROR("With the average price per guest excl. sales tax above, you need "&amp;TEXT(ROUNDUP(B15,0),"0")&amp;" events a year at your average of "&amp;TEXT(B11,"0")&amp;" guests per event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price per guest excl. sales tax above, you need 116 events a year at your average of 58 guests per event to avoid losing money (accounting break-even, depreciation included), and 117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Events per year needed to cover costs for each price per guest (columns, in steps around the plan's price) and each variable cost per guest (rows). Green cells are below the events per year the plan forecasts.</t>
        </is>
      </c>
      <c r="B29" s="28" t="n"/>
      <c r="C29" s="28" t="n"/>
      <c r="D29" s="28" t="n"/>
      <c r="E29" s="28" t="n"/>
      <c r="F29" s="28" t="n"/>
    </row>
    <row r="30">
      <c r="A30" s="28" t="n"/>
      <c r="B30" s="28" t="n"/>
      <c r="C30" s="28" t="n"/>
      <c r="D30" s="28" t="n"/>
      <c r="E30" s="28" t="n"/>
      <c r="F30" s="28" t="n"/>
    </row>
    <row r="31" ht="45" customHeight="1">
      <c r="A31" s="39" t="inlineStr">
        <is>
          <t>Events per year needed: price per guest excl. sales tax (columns) × variable cost per guest (rows)</t>
        </is>
      </c>
      <c r="B31" s="62">
        <f>IFERROR($B$8-3,"")</f>
        <v>37.0</v>
      </c>
      <c r="C31" s="62">
        <f>IFERROR(IF($B$8="","",$B$8),"")</f>
        <v>40.0</v>
      </c>
      <c r="D31" s="62">
        <f>IFERROR($B$8+3,"")</f>
        <v>43.0</v>
      </c>
      <c r="E31" s="62">
        <f>IFERROR($B$8+6,"")</f>
        <v>46.0</v>
      </c>
      <c r="F31" s="28" t="n"/>
    </row>
    <row r="32">
      <c r="A32" s="61">
        <f>IFERROR($B$9*0.85,"")</f>
        <v>13.290600000000001</v>
      </c>
      <c r="B32" s="44">
        <f>IFERROR(IF($B$31-$A32&lt;=0,"",$B$6/($B$31-$A32)/$B$11),"")</f>
        <v>119.02560232496593</v>
      </c>
      <c r="C32" s="44">
        <f>IFERROR(IF($C$31-$A32&lt;=0,"",$B$6/($C$31-$A32)/$B$11),"")</f>
        <v>105.65664581621253</v>
      </c>
      <c r="D32" s="44">
        <f>IFERROR(IF($D$31-$A32&lt;=0,"",$B$6/($D$31-$A32)/$B$11),"")</f>
        <v>94.98763407418349</v>
      </c>
      <c r="E32" s="44">
        <f>IFERROR(IF($E$31-$A32&lt;=0,"",$B$6/($E$31-$A32)/$B$11),"")</f>
        <v>86.27567658726686</v>
      </c>
      <c r="F32" s="28" t="n"/>
    </row>
    <row r="33">
      <c r="A33" s="61">
        <f>IFERROR($B$9*0.925,"")</f>
        <v>14.463300000000002</v>
      </c>
      <c r="B33" s="44">
        <f>IFERROR(IF($B$31-$A33&lt;=0,"",$B$6/($B$31-$A33)/$B$11),"")</f>
        <v>125.2191144117616</v>
      </c>
      <c r="C33" s="44">
        <f>IFERROR(IF($C$31-$A33&lt;=0,"",$B$6/($C$31-$A33)/$B$11),"")</f>
        <v>110.50862545918413</v>
      </c>
      <c r="D33" s="44">
        <f>IFERROR(IF($D$31-$A33&lt;=0,"",$B$6/($D$31-$A33)/$B$11),"")</f>
        <v>98.89109868217234</v>
      </c>
      <c r="E33" s="44">
        <f>IFERROR(IF($E$31-$A33&lt;=0,"",$B$6/($E$31-$A33)/$B$11),"")</f>
        <v>89.48385898852915</v>
      </c>
      <c r="F33" s="28" t="n"/>
    </row>
    <row r="34">
      <c r="A34" s="64">
        <f>IFERROR($B$9*1.0,"")</f>
        <v>15.636000000000001</v>
      </c>
      <c r="B34" s="48">
        <f>IFERROR(IF($B$31-$A34&lt;=0,"",$B$6/($B$31-$A34)/$B$11),"")</f>
        <v>132.0925676728865</v>
      </c>
      <c r="C34" s="48">
        <f>IFERROR(IF($C$31-$A34&lt;=0,"",$B$6/($C$31-$A34)/$B$11),"")</f>
        <v>115.82768083087947</v>
      </c>
      <c r="D34" s="48">
        <f>IFERROR(IF($D$31-$A34&lt;=0,"",$B$6/($D$31-$A34)/$B$11),"")</f>
        <v>103.12913374373437</v>
      </c>
      <c r="E34" s="48">
        <f>IFERROR(IF($E$31-$A34&lt;=0,"",$B$6/($E$31-$A34)/$B$11),"")</f>
        <v>92.93985034131035</v>
      </c>
    </row>
    <row r="35">
      <c r="A35" s="64">
        <f>IFERROR($B$9*1.075,"")</f>
        <v>16.8087</v>
      </c>
      <c r="B35" s="48">
        <f>IFERROR(IF($B$31-$A35&lt;=0,"",$B$6/($B$31-$A35)/$B$11),"")</f>
        <v>139.76443397718558</v>
      </c>
      <c r="C35" s="48">
        <f>IFERROR(IF($C$31-$A35&lt;=0,"",$B$6/($C$31-$A35)/$B$11),"")</f>
        <v>121.68466691231397</v>
      </c>
      <c r="D35" s="48">
        <f>IFERROR(IF($D$31-$A35&lt;=0,"",$B$6/($D$31-$A35)/$B$11),"")</f>
        <v>107.74667984267856</v>
      </c>
      <c r="E35" s="48">
        <f>IFERROR(IF($E$31-$A35&lt;=0,"",$B$6/($E$31-$A35)/$B$11),"")</f>
        <v>96.67351627928687</v>
      </c>
    </row>
    <row r="36">
      <c r="A36" s="64">
        <f>IFERROR($B$9*1.15,"")</f>
        <v>17.9814</v>
      </c>
      <c r="B36" s="48">
        <f>IFERROR(IF($B$31-$A36&lt;=0,"",$B$6/($B$31-$A36)/$B$11),"")</f>
        <v>148.38240542224702</v>
      </c>
      <c r="C36" s="48">
        <f>IFERROR(IF($C$31-$A36&lt;=0,"",$B$6/($C$31-$A36)/$B$11),"")</f>
        <v>128.16553349275372</v>
      </c>
      <c r="D36" s="48">
        <f>IFERROR(IF($D$31-$A36&lt;=0,"",$B$6/($D$31-$A36)/$B$11),"")</f>
        <v>112.79710358547428</v>
      </c>
      <c r="E36" s="48">
        <f>IFERROR(IF($E$31-$A36&lt;=0,"",$B$6/($E$31-$A36)/$B$11),"")</f>
        <v>100.7197224616343</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4">
      <c r="A4" s="25" t="inlineStr">
        <is>
          <t>Metric</t>
        </is>
      </c>
      <c r="B4" s="25" t="inlineStr">
        <is>
          <t>Pessimistic</t>
        </is>
      </c>
      <c r="C4" s="25" t="inlineStr">
        <is>
          <t>Base</t>
        </is>
      </c>
      <c r="D4" s="25" t="inlineStr">
        <is>
          <t>Optimistic</t>
        </is>
      </c>
      <c r="E4" s="25" t="inlineStr">
        <is>
          <t>Notes</t>
        </is>
      </c>
      <c r="F4" s="28" t="n"/>
    </row>
    <row r="5">
      <c r="A5" s="28" t="inlineStr">
        <is>
          <t>Events per year</t>
        </is>
      </c>
      <c r="B5" s="49" t="n">
        <v>101</v>
      </c>
      <c r="C5" s="40">
        <f>IFERROR(IF('3-Year P&amp;L'!$B$6="","",'3-Year P&amp;L'!$B$6),"")</f>
        <v>135.0</v>
      </c>
      <c r="D5" s="49" t="n">
        <v>169</v>
      </c>
      <c r="E5" s="28" t="n"/>
      <c r="F5" s="28" t="n"/>
    </row>
    <row r="6">
      <c r="A6" s="28" t="inlineStr">
        <is>
          <t>Average price per guest (excl. sales tax)</t>
        </is>
      </c>
      <c r="B6" s="71" t="n">
        <v>36</v>
      </c>
      <c r="C6" s="61">
        <f>IFERROR(IF('3-Year P&amp;L'!$B$7="","",'3-Year P&amp;L'!$B$7),"")</f>
        <v>40.0</v>
      </c>
      <c r="D6" s="71" t="n">
        <v>44</v>
      </c>
      <c r="E6" s="28" t="n"/>
      <c r="F6" s="28" t="n"/>
    </row>
    <row r="7">
      <c r="A7" s="28" t="inlineStr">
        <is>
          <t>Average guests per event</t>
        </is>
      </c>
      <c r="B7" s="49" t="n">
        <v>52</v>
      </c>
      <c r="C7" s="40">
        <f>IFERROR(IF('3-Year P&amp;L'!$B$8="","",'3-Year P&amp;L'!$B$8),"")</f>
        <v>58.0</v>
      </c>
      <c r="D7" s="49" t="n">
        <v>64</v>
      </c>
      <c r="E7" s="28" t="n"/>
      <c r="F7" s="28" t="n"/>
    </row>
    <row r="8">
      <c r="A8" s="25" t="inlineStr">
        <is>
          <t>ANNUAL REVENUE (excl. sales tax)</t>
        </is>
      </c>
      <c r="B8" s="66">
        <f>IFERROR(IF(B5*B6*B7=0,"",B5*B6*B7),"")</f>
        <v>189072.0</v>
      </c>
      <c r="C8" s="66">
        <f>IFERROR(IF(C5*C6*C7=0,"",C5*C6*C7),"")</f>
        <v>313200.0</v>
      </c>
      <c r="D8" s="66">
        <f>IFERROR(IF(D5*D6*D7=0,"",D5*D6*D7),"")</f>
        <v>475904.0</v>
      </c>
      <c r="E8" s="28" t="n"/>
      <c r="F8" s="28" t="n"/>
    </row>
    <row r="9">
      <c r="A9" s="28" t="inlineStr">
        <is>
          <t>Cost of goods — paella packages (rice, seafood, meats, saffron, salad &amp; bread)</t>
        </is>
      </c>
      <c r="B9" s="40">
        <f>IFERROR(IF(B8="","",B8*'0. Assumptions'!$B$11*'0. Assumptions'!$B$13),"")</f>
        <v>46587.340800000005</v>
      </c>
      <c r="C9" s="40">
        <f>IFERROR(IF(C8="","",C8*'0. Assumptions'!$B$11*'0. Assumptions'!$B$13),"")</f>
        <v>77172.48000000001</v>
      </c>
      <c r="D9" s="40">
        <f>IFERROR(IF(D8="","",D8*'0. Assumptions'!$B$11*'0. Assumptions'!$B$13),"")</f>
        <v>117262.74560000001</v>
      </c>
      <c r="E9" s="28" t="n"/>
      <c r="F9" s="28" t="n"/>
    </row>
    <row r="10">
      <c r="A10" s="28" t="inlineStr">
        <is>
          <t>Cost of goods — add-ons</t>
        </is>
      </c>
      <c r="B10" s="40">
        <f>IFERROR(IF(B8="","",B8*'0. Assumptions'!$B$12*'0. Assumptions'!$B$14),"")</f>
        <v>7941.023999999999</v>
      </c>
      <c r="C10" s="40">
        <f>IFERROR(IF(C8="","",C8*'0. Assumptions'!$B$12*'0. Assumptions'!$B$14),"")</f>
        <v>13154.4</v>
      </c>
      <c r="D10" s="40">
        <f>IFERROR(IF(D8="","",D8*'0. Assumptions'!$B$12*'0. Assumptions'!$B$14),"")</f>
        <v>19987.967999999997</v>
      </c>
      <c r="E10" s="28" t="n"/>
      <c r="F10" s="28" t="n"/>
    </row>
    <row r="11">
      <c r="A11" s="28" t="inlineStr">
        <is>
          <t>Disposables &amp; cooking fuel</t>
        </is>
      </c>
      <c r="B11" s="40">
        <f>IFERROR(IF(B8="","",B8*'0. Assumptions'!$B$15),"")</f>
        <v>6617.52</v>
      </c>
      <c r="C11" s="40">
        <f>IFERROR(IF(C8="","",C8*'0. Assumptions'!$B$15),"")</f>
        <v>10962.000000000002</v>
      </c>
      <c r="D11" s="40">
        <f>IFERROR(IF(D8="","",D8*'0. Assumptions'!$B$15),"")</f>
        <v>16656.640000000003</v>
      </c>
      <c r="E11" s="28" t="n"/>
      <c r="F11" s="28" t="n"/>
    </row>
    <row r="12">
      <c r="A12" s="28" t="inlineStr">
        <is>
          <t>Corporate catering marketplace fees</t>
        </is>
      </c>
      <c r="B12" s="40">
        <f>IFERROR(IF(B8="","",B8*'0. Assumptions'!$B$16*'0. Assumptions'!$B$17),"")</f>
        <v>1418.04</v>
      </c>
      <c r="C12" s="40">
        <f>IFERROR(IF(C8="","",C8*'0. Assumptions'!$B$16*'0. Assumptions'!$B$17),"")</f>
        <v>2349.0</v>
      </c>
      <c r="D12" s="40">
        <f>IFERROR(IF(D8="","",D8*'0. Assumptions'!$B$16*'0. Assumptions'!$B$17),"")</f>
        <v>3569.28</v>
      </c>
      <c r="E12" s="28" t="n"/>
      <c r="F12" s="28" t="n"/>
    </row>
    <row r="13">
      <c r="A13" s="28" t="inlineStr">
        <is>
          <t>Card processing fees</t>
        </is>
      </c>
      <c r="B13" s="40">
        <f>IFERROR(IF(B8="","",B8*'0. Assumptions'!$B$18),"")</f>
        <v>5672.16</v>
      </c>
      <c r="C13" s="40">
        <f>IFERROR(IF(C8="","",C8*'0. Assumptions'!$B$18),"")</f>
        <v>9396.0</v>
      </c>
      <c r="D13" s="40">
        <f>IFERROR(IF(D8="","",D8*'0. Assumptions'!$B$18),"")</f>
        <v>14277.119999999999</v>
      </c>
      <c r="E13" s="28" t="n"/>
      <c r="F13" s="28" t="n"/>
    </row>
    <row r="14">
      <c r="A14" s="28" t="inlineStr">
        <is>
          <t>Miscellaneous and contingency</t>
        </is>
      </c>
      <c r="B14" s="40">
        <f>IFERROR(IF(B8="","",B8*'0. Assumptions'!$B$28),"")</f>
        <v>5672.16</v>
      </c>
      <c r="C14" s="40">
        <f>IFERROR(IF(C8="","",C8*'0. Assumptions'!$B$28),"")</f>
        <v>9396.0</v>
      </c>
      <c r="D14" s="40">
        <f>IFERROR(IF(D8="","",D8*'0. Assumptions'!$B$28),"")</f>
        <v>14277.119999999999</v>
      </c>
      <c r="E14" s="28" t="n"/>
      <c r="F14" s="28" t="n"/>
    </row>
    <row r="15">
      <c r="A15" s="28" t="inlineStr">
        <is>
          <t>TOTAL VARIABLE COSTS</t>
        </is>
      </c>
      <c r="B15" s="40">
        <f>IFERROR(IF(B8="","",SUM(B9:B14)),"")</f>
        <v>73908.2448</v>
      </c>
      <c r="C15" s="40">
        <f>IFERROR(IF(C8="","",SUM(C9:C14)),"")</f>
        <v>122429.88</v>
      </c>
      <c r="D15" s="40">
        <f>IFERROR(IF(D8="","",SUM(D9:D14)),"")</f>
        <v>186030.87360000002</v>
      </c>
      <c r="E15" s="28" t="n"/>
      <c r="F15" s="28" t="n"/>
    </row>
    <row r="16">
      <c r="A16" s="35" t="inlineStr">
        <is>
          <t>GROSS MARGIN</t>
        </is>
      </c>
      <c r="B16" s="42">
        <f>IFERROR(IF(B8="","",B8-B15),"")</f>
        <v>115163.7552</v>
      </c>
      <c r="C16" s="42">
        <f>IFERROR(IF(C8="","",C8-C15),"")</f>
        <v>190770.12</v>
      </c>
      <c r="D16" s="42">
        <f>IFERROR(IF(D8="","",D8-D15),"")</f>
        <v>289873.12639999995</v>
      </c>
    </row>
    <row r="17">
      <c r="A17" s="35" t="inlineStr">
        <is>
          <t>FIXED COSTS (the P&amp;L's)</t>
        </is>
      </c>
      <c r="B17" s="42">
        <f>IFERROR(IF(B8="","",'3-Year P&amp;L'!$B$38),"")</f>
        <v>163677.48571428572</v>
      </c>
      <c r="C17" s="42">
        <f>IFERROR(IF(C8="","",'3-Year P&amp;L'!$B$38),"")</f>
        <v>163677.48571428572</v>
      </c>
      <c r="D17" s="42">
        <f>IFERROR(IF(D8="","",'3-Year P&amp;L'!$B$38),"")</f>
        <v>163677.48571428572</v>
      </c>
      <c r="E17" s="35" t="inlineStr">
        <is>
          <t>Fixed costs do not change with the scenario: that is why they are fixed</t>
        </is>
      </c>
    </row>
    <row r="18">
      <c r="A18" s="16" t="inlineStr">
        <is>
          <t>PRE-TAX INCOME (EBT)</t>
        </is>
      </c>
      <c r="B18" s="52">
        <f>IFERROR(IF(B8="","",B16-B17),"")</f>
        <v>-48513.73051428572</v>
      </c>
      <c r="C18" s="52">
        <f>IFERROR(IF(C8="","",C16-C17),"")</f>
        <v>27092.634285714274</v>
      </c>
      <c r="D18" s="52">
        <f>IFERROR(IF(D8="","",D16-D17),"")</f>
        <v>126195.64068571423</v>
      </c>
    </row>
    <row r="19">
      <c r="A19" s="35" t="inlineStr">
        <is>
          <t>Income tax</t>
        </is>
      </c>
      <c r="B19" s="42">
        <f>IFERROR(IF(B8="","",MAX(0,B18-'0. Assumptions'!$B$42)*'0. Assumptions'!$B$37),"")</f>
        <v>0.0</v>
      </c>
      <c r="C19" s="42">
        <f>IFERROR(IF(C8="","",MAX(0,C18-'0. Assumptions'!$B$42)*'0. Assumptions'!$B$37),"")</f>
        <v>6773.158571428568</v>
      </c>
      <c r="D19" s="42">
        <f>IFERROR(IF(D8="","",MAX(0,D18-'0. Assumptions'!$B$42)*'0. Assumptions'!$B$37),"")</f>
        <v>31548.910171428557</v>
      </c>
      <c r="E19" s="35" t="inlineStr">
        <is>
          <t>At the "years 1-2" effective income tax rate, offsetting prior net operating losses</t>
        </is>
      </c>
    </row>
    <row r="20">
      <c r="A20" s="16" t="inlineStr">
        <is>
          <t>NET INCOME</t>
        </is>
      </c>
      <c r="B20" s="52">
        <f>IFERROR(IF(B8="","",B18-B19),"")</f>
        <v>-48513.73051428572</v>
      </c>
      <c r="C20" s="52">
        <f>IFERROR(IF(C8="","",C18-C19),"")</f>
        <v>20319.475714285705</v>
      </c>
      <c r="D20" s="52">
        <f>IFERROR(IF(D8="","",D18-D19),"")</f>
        <v>94646.73051428568</v>
      </c>
    </row>
    <row r="21">
      <c r="A21" s="35" t="inlineStr">
        <is>
          <t>Events per year to break even</t>
        </is>
      </c>
      <c r="B21" s="48">
        <f>IFERROR(IF(B8="","",IF(B6-B15/(B5*B7)&lt;=0,"",B17/(B6-B15/(B5*B7))/B7)),"")</f>
        <v>143.54712581604718</v>
      </c>
      <c r="C21" s="48">
        <f>IFERROR(IF(C8="","",IF(C6-C15/(C5*C7)&lt;=0,"",C17/(C6-C15/(C5*C7))/C7)),"")</f>
        <v>115.82768083087947</v>
      </c>
      <c r="D21" s="48">
        <f>IFERROR(IF(D8="","",IF(D6-D15/(D5*D7)&lt;=0,"",D17/(D6-D15/(D5*D7))/D7)),"")</f>
        <v>95.426214320895</v>
      </c>
    </row>
    <row r="22">
      <c r="A22" s="16" t="inlineStr">
        <is>
          <t>WHAT EACH SCENARIO DEMANDS</t>
        </is>
      </c>
    </row>
    <row r="23">
      <c r="A23" s="35" t="inlineStr">
        <is>
          <t>Labor cost / Sales</t>
        </is>
      </c>
      <c r="B23" s="65">
        <f>IFERROR(IF(B8="","",'3-Year P&amp;L'!$B$23/B8),"")</f>
        <v>0.5603325717187103</v>
      </c>
      <c r="C23" s="65">
        <f>IFERROR(IF(C8="","",'3-Year P&amp;L'!$B$23/C8),"")</f>
        <v>0.3382605363984674</v>
      </c>
      <c r="D23" s="65">
        <f>IFERROR(IF(D8="","",'3-Year P&amp;L'!$B$23/D8),"")</f>
        <v>0.2226146449704142</v>
      </c>
      <c r="E23" s="35" t="inlineStr">
        <is>
          <t>The SAME staffing in all three scenarios. In the pessimistic case your real event-staff cost falls with the number of events (you pay hours per event), so the real result would be somewhat better than shown. If labor cost still blows up, adjust it in the "Staffing" tab, not here</t>
        </is>
      </c>
    </row>
    <row r="24">
      <c r="A24" s="35" t="inlineStr">
        <is>
          <t>Guests per year per full-time equivalent</t>
        </is>
      </c>
      <c r="B24" s="42">
        <f>IFERROR(IF(B8="","",B5*B7/Staffing!$C$9),"")</f>
        <v>2500.952380952381</v>
      </c>
      <c r="C24" s="42">
        <f>IFERROR(IF(C8="","",C5*C7/Staffing!$C$9),"")</f>
        <v>3728.5714285714294</v>
      </c>
      <c r="D24" s="42">
        <f>IFERROR(IF(D8="","",D5*D7/Staffing!$C$9),"")</f>
        <v>5150.476190476192</v>
      </c>
      <c r="E24" s="35" t="inlineStr">
        <is>
          <t>Guests each full-time equivalent in the "Staffing" table would have to serve in a year. In the optimistic scenario it tells you whether you need to hire</t>
        </is>
      </c>
    </row>
    <row r="25">
      <c r="A25" s="16" t="inlineStr">
        <is>
          <t>Year-1 closing cash balance (estimate, same method in all three scenarios)</t>
        </is>
      </c>
      <c r="B25" s="52">
        <f>IFERROR(IF(B8="","",'Startup Costs'!$B$25+B20+'3-Year P&amp;L'!$B$36-Financing!$B$45),"")</f>
        <v>-10039.596780838121</v>
      </c>
      <c r="C25" s="52">
        <f>IFERROR(IF(C8="","",'Startup Costs'!$B$25+C20+'3-Year P&amp;L'!$B$36-Financing!$B$45),"")</f>
        <v>58793.60944773331</v>
      </c>
      <c r="D25" s="52">
        <f>IFERROR(IF(D8="","",'Startup Costs'!$B$25+D20+'3-Year P&amp;L'!$B$36-Financing!$B$45),"")</f>
        <v>133120.86424773326</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5" t="inlineStr">
        <is>
          <t>Actual month-12 balance from the 12-Month Cash Flow tab (Base case only)</t>
        </is>
      </c>
      <c r="C26" s="42">
        <f>IFERROR(IF(C8="","",'12-Month Cash Flow'!$M$22),"")</f>
        <v>68456.01892160086</v>
      </c>
      <c r="E26" s="35"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(events per year, price per guest and guests per event) from the "0. Assumptions" tab, so it reproduces EXACTLY year 1 of the P&amp;L. The other two scenarios use the same cost rates: only events, price and guests change. FIXED COSTS are the same in all three, while variable costs follow the sales of each scenario.</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Value out of range" error="Enter a whole number from 1 to 365: guests per event or days."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t="str">
        <f>IFERROR("Payroll — "&amp;TEXT('0. Assumptions'!$B$21,"0")&amp;" pay periods + employer taxes "&amp;TEXT('0. Assumptions'!$B$20*100,"0")&amp;"%","")</f>
        <v>Payroll — 12 pay periods + employer taxes 10%</v>
      </c>
    </row>
    <row r="4" ht="45" customHeight="1">
      <c r="A4" s="39" t="inlineStr">
        <is>
          <t>Position</t>
        </is>
      </c>
      <c r="B4" s="39" t="inlineStr">
        <is>
          <t>People</t>
        </is>
      </c>
      <c r="C4" s="39" t="inlineStr">
        <is>
          <t>FTE</t>
        </is>
      </c>
      <c r="D4" s="39" t="inlineStr">
        <is>
          <t>Gross pay per month (total for the position)</t>
        </is>
      </c>
      <c r="E4" s="39" t="inlineStr">
        <is>
          <t>Employer payroll taxes (total for the position)</t>
        </is>
      </c>
      <c r="F4" s="39" t="inlineStr">
        <is>
          <t>Cost per month (total for the position)</t>
        </is>
      </c>
      <c r="G4" s="39" t="inlineStr">
        <is>
          <t>Cost per year</t>
        </is>
      </c>
      <c r="H4" s="39" t="inlineStr">
        <is>
          <t>Hours per week per person</t>
        </is>
      </c>
      <c r="I4" s="39" t="inlineStr">
        <is>
          <t>Hours per year for the position</t>
        </is>
      </c>
      <c r="J4" s="39" t="inlineStr">
        <is>
          <t>Notes</t>
        </is>
      </c>
    </row>
    <row r="5">
      <c r="A5" s="28" t="inlineStr">
        <is>
          <t>Owner / Paella Chef &amp; Sales</t>
        </is>
      </c>
      <c r="B5" s="49" t="n">
        <v>1</v>
      </c>
      <c r="C5" s="51" t="n">
        <v>1</v>
      </c>
      <c r="D5" s="71" t="n">
        <v>4507</v>
      </c>
      <c r="E5" s="61">
        <f>IFERROR(IF(D5="","",D5*'0. Assumptions'!$B$20),"")</f>
        <v>450.70000000000005</v>
      </c>
      <c r="F5" s="61">
        <f>IFERROR(IF(D5="","",D5+E5),"")</f>
        <v>4957.7</v>
      </c>
      <c r="G5" s="61">
        <f>IFERROR(IF(D5="","",F5*MAX(12,'0. Assumptions'!$B$21)),"")</f>
        <v>59492.399999999994</v>
      </c>
      <c r="H5" s="44">
        <f>IFERROR(IF(D5="","",C5*$B$16),"")</f>
        <v>40.0</v>
      </c>
      <c r="I5" s="40">
        <f>IFERROR(IF(D5="","",H5*B5*$B$17),"")</f>
        <v>2000.0</v>
      </c>
      <c r="J5" s="28" t="inlineStr">
        <is>
          <t>Sells, runs the tastings, plans menus and cooks the paella at the events. Covers the main shift at every event. The rest of the owner's pay comes from profit.</t>
        </is>
      </c>
    </row>
    <row r="6">
      <c r="A6" s="28" t="inlineStr">
        <is>
          <t>Lead cook / second paella chef (part-time W-2)</t>
        </is>
      </c>
      <c r="B6" s="49" t="n">
        <v>1</v>
      </c>
      <c r="C6" s="51" t="n">
        <v>0.4</v>
      </c>
      <c r="D6" s="71" t="n">
        <v>1387</v>
      </c>
      <c r="E6" s="61">
        <f>IFERROR(IF(D6="","",D6*'0. Assumptions'!$B$20),"")</f>
        <v>138.70000000000002</v>
      </c>
      <c r="F6" s="61">
        <f>IFERROR(IF(D6="","",D6+E6),"")</f>
        <v>1525.7</v>
      </c>
      <c r="G6" s="61">
        <f>IFERROR(IF(D6="","",F6*MAX(12,'0. Assumptions'!$B$21)),"")</f>
        <v>18308.4</v>
      </c>
      <c r="H6" s="44">
        <f>IFERROR(IF(D6="","",C6*$B$16),"")</f>
        <v>16.0</v>
      </c>
      <c r="I6" s="40">
        <f>IFERROR(IF(D6="","",H6*B6*$B$17),"")</f>
        <v>800.0</v>
      </c>
      <c r="J6" s="28" t="inlineStr">
        <is>
          <t>Lead cook / second paella chef, part-time W-2: runs the second paella at big events and the second event on a Saturday. One paella chef can run about three pans at once. Paid at or above the pay floor in proportion to FTE, between the mean and the 75th percentile for restaurant cooks (BLS OEWS, May 2025).</t>
        </is>
      </c>
    </row>
    <row r="7">
      <c r="A7" s="28" t="inlineStr">
        <is>
          <t>Event staff (servers, buffet attendants; hourly W-2)</t>
        </is>
      </c>
      <c r="B7" s="49" t="n">
        <v>4</v>
      </c>
      <c r="C7" s="51" t="n">
        <v>0.1</v>
      </c>
      <c r="D7" s="71" t="n">
        <v>1248</v>
      </c>
      <c r="E7" s="61">
        <f>IFERROR(IF(D7="","",D7*'0. Assumptions'!$B$20),"")</f>
        <v>124.80000000000001</v>
      </c>
      <c r="F7" s="61">
        <f>IFERROR(IF(D7="","",D7+E7),"")</f>
        <v>1372.8</v>
      </c>
      <c r="G7" s="61">
        <f>IFERROR(IF(D7="","",F7*MAX(12,'0. Assumptions'!$B$21)),"")</f>
        <v>16473.6</v>
      </c>
      <c r="H7" s="44">
        <f>IFERROR(IF(D7="","",C7*$B$16),"")</f>
        <v>4.0</v>
      </c>
      <c r="I7" s="40">
        <f>IFERROR(IF(D7="","",H7*B7*$B$17),"")</f>
        <v>800.0</v>
      </c>
      <c r="J7" s="28" t="inlineStr">
        <is>
          <t>Servers and buffet attendants hired per event and paid hourly as W-2 employees, about one team member per 25 guests (miamigrillcatering.com). Their FTE is a fraction because they only work event hours. Treating them as 1099 contractors is a misclassification risk (FLSA; California AB5). Paid at or above the pay floor in proportion to FTE. The voluntary gratuity is theirs. One of them acts as event captain on the day.</t>
        </is>
      </c>
    </row>
    <row r="8">
      <c r="A8" s="28" t="inlineStr">
        <is>
          <t>Prep cook / driver (part-time W-2)</t>
        </is>
      </c>
      <c r="B8" s="49" t="n">
        <v>1</v>
      </c>
      <c r="C8" s="51" t="n">
        <v>0.3</v>
      </c>
      <c r="D8" s="71" t="n">
        <v>884</v>
      </c>
      <c r="E8" s="61">
        <f>IFERROR(IF(D8="","",D8*'0. Assumptions'!$B$20),"")</f>
        <v>88.4</v>
      </c>
      <c r="F8" s="61">
        <f>IFERROR(IF(D8="","",D8+E8),"")</f>
        <v>972.4</v>
      </c>
      <c r="G8" s="61">
        <f>IFERROR(IF(D8="","",F8*MAX(12,'0. Assumptions'!$B$21)),"")</f>
        <v>11668.8</v>
      </c>
      <c r="H8" s="44">
        <f>IFERROR(IF(D8="","",C8*$B$16),"")</f>
        <v>12.0</v>
      </c>
      <c r="I8" s="40">
        <f>IFERROR(IF(D8="","",H8*B8*$B$17),"")</f>
        <v>600.0</v>
      </c>
      <c r="J8" s="28" t="inlineStr">
        <is>
          <t>Part-time W-2 prep cook and driver: makes the sofrito and stock and cleans the seafood in the commissary, loads the van and drives to venues. Paid at or above the pay floor in proportion to FTE.</t>
        </is>
      </c>
    </row>
    <row r="9">
      <c r="A9" s="16" t="inlineStr">
        <is>
          <t>TOTAL STAFF</t>
        </is>
      </c>
      <c r="B9" s="52">
        <f>IFERROR(IF(COUNT(D5:D8)=0,"",SUM(B5:B8)),"")</f>
        <v>7.0</v>
      </c>
      <c r="C9" s="53">
        <f>IFERROR(IF(COUNT(D5:D8)=0,"",SUMPRODUCT(B5:B8,C5:C8)),"")</f>
        <v>2.0999999999999996</v>
      </c>
      <c r="D9" s="53">
        <f>IFERROR(IF(COUNT(D5:D8)=0,"",SUM(D5:D8)),"")</f>
        <v>8026.0</v>
      </c>
      <c r="E9" s="53">
        <f>IFERROR(IF(COUNT(D5:D8)=0,"",SUM(E5:E8)),"")</f>
        <v>802.6000000000001</v>
      </c>
      <c r="F9" s="53">
        <f>IFERROR(IF(COUNT(D5:D8)=0,"",SUM(F5:F8)),"")</f>
        <v>8828.6</v>
      </c>
      <c r="G9" s="53">
        <f>IFERROR(IF(COUNT(D5:D8)=0,"",SUM(G5:G8)),"")</f>
        <v>105943.2</v>
      </c>
      <c r="I9" s="52">
        <f>IFERROR(IF(COUNT(D5:D8)=0,"",SUM(I5:I8)),"")</f>
        <v>4200.0</v>
      </c>
    </row>
    <row r="10">
      <c r="A10" s="16" t="inlineStr">
        <is>
          <t>STAFF GROWTH (stepped cost)</t>
        </is>
      </c>
    </row>
    <row r="11">
      <c r="A11" s="35" t="inlineStr">
        <is>
          <t>Annual cost of year-2 hires</t>
        </is>
      </c>
      <c r="B11" s="56" t="n">
        <v>4000</v>
      </c>
      <c r="J11" s="35" t="inlineStr">
        <is>
          <t>FULL ANNUAL cost (gross pay + employer payroll taxes, over all pay periods) of whoever you hire that year. The P&amp;L adds it to the previous year's cost: staffing grows by people, not by a percentage</t>
        </is>
      </c>
    </row>
    <row r="12">
      <c r="A12" s="35" t="inlineStr">
        <is>
          <t>Annual cost of year-3 hires</t>
        </is>
      </c>
      <c r="B12" s="56" t="n">
        <v>4000</v>
      </c>
      <c r="J12" s="35" t="inlineStr">
        <is>
          <t>FULL ANNUAL cost (gross pay + employer payroll taxes, over all pay periods) of whoever you hire that year. The P&amp;L adds it to the previous year's cost: staffing grows by people, not by a percentage</t>
        </is>
      </c>
    </row>
    <row r="13">
      <c r="A13" s="35" t="inlineStr">
        <is>
          <t>Labor cost, year 2</t>
        </is>
      </c>
      <c r="B13" s="42">
        <f>IFERROR(IF(G9="","",G9*(1+'0. Assumptions'!$B$48)+B11),"")</f>
        <v>109943.2</v>
      </c>
    </row>
    <row r="14">
      <c r="A14" s="35" t="inlineStr">
        <is>
          <t>Labor cost, year 3</t>
        </is>
      </c>
      <c r="B14" s="42">
        <f>IFERROR(IF(B13="","",B13*(1+'0. Assumptions'!$B$48)+B12),"")</f>
        <v>113943.2</v>
      </c>
    </row>
    <row r="15">
      <c r="A15" s="16" t="inlineStr">
        <is>
          <t>COVERAGE OF EVENT HOURS</t>
        </is>
      </c>
    </row>
    <row r="16">
      <c r="A16" s="35" t="inlineStr">
        <is>
          <t>Full-time week (hours per week)</t>
        </is>
      </c>
      <c r="B16" s="56" t="n">
        <v>40</v>
      </c>
      <c r="J16" s="35" t="inlineStr">
        <is>
          <t>40 hours a week is the FLSA overtime threshold for non-exempt employees; some states add daily overtime rules. Change it if your own full-time week is different</t>
        </is>
      </c>
    </row>
    <row r="17">
      <c r="A17" s="35" t="inlineStr">
        <is>
          <t>Weeks worked per year per person</t>
        </is>
      </c>
      <c r="B17" s="56" t="n">
        <v>50</v>
      </c>
      <c r="J17" s="35" t="inlineStr">
        <is>
          <t>50 weeks: 52 minus about two weeks of vacation, holidays and average absences. There is no federal vacation requirement in the US: adjust it to your own policy</t>
        </is>
      </c>
    </row>
    <row r="18">
      <c r="A18" s="35" t="inlineStr">
        <is>
          <t>Hours per person per event (prep, loading, travel, setup and cooking, service, breakdown)</t>
        </is>
      </c>
      <c r="B18" s="57" t="n">
        <v>9</v>
      </c>
      <c r="J18" s="35" t="inlineStr">
        <is>
          <t>Hours of work per person for one event: prep, loading, travel, arriving two to three hours early, setup, about one hour of cooking, about two hours of service, and breakdown and cleanup. Serving is only part of it. Hours × people × events per year sets the event staff cost.</t>
        </is>
      </c>
    </row>
    <row r="19">
      <c r="A19" s="35" t="inlineStr">
        <is>
          <t>People per event (paella chefs and event staff, average)</t>
        </is>
      </c>
      <c r="B19" s="57" t="n">
        <v>2.5</v>
      </c>
      <c r="J19" s="35" t="inlineStr">
        <is>
          <t>Average number of people working each event: 1 on a drop-off, 2 at a backyard paella party, 3 at a company event, 4.5 at a wedding and 4 at a premium seafood event (Kit estimate, about one team member per 25 guests). A full-service wedding with a tapas hour, like the calculator's example (2 paella chefs, a helper and 5 servers), takes 8: across 18 weddings that adds about 570 hours, and coverage stays above 100%. Weighted by the example mix in the Word plan, the average is about 2.5. Raise it if you staff like the calculator: the staffing sizes itself.</t>
        </is>
      </c>
    </row>
    <row r="20">
      <c r="A20" s="35" t="inlineStr">
        <is>
          <t>Event hours to cover per year</t>
        </is>
      </c>
      <c r="B20" s="42">
        <f>IFERROR(IF(OR(B18="",B19="",'0. Assumptions'!$B$4=""),"",B18*B19*'0. Assumptions'!$B$4),"")</f>
        <v>3037.5</v>
      </c>
    </row>
    <row r="21">
      <c r="A21" s="35" t="inlineStr">
        <is>
          <t>Hours hired per year</t>
        </is>
      </c>
      <c r="B21" s="42">
        <f>IFERROR(IF(I9="","",I9),"")</f>
        <v>4200.0</v>
      </c>
    </row>
    <row r="22">
      <c r="A22" s="16" t="inlineStr">
        <is>
          <t>Coverage (hired / needed)</t>
        </is>
      </c>
      <c r="B22" s="69">
        <f>IFERROR(B21/B20,"")</f>
        <v>1.382716049382716</v>
      </c>
      <c r="J22" s="16" t="inlineStr">
        <is>
          <t>Below 100% the staff cannot cover the hours the plan declares: either hire more or cut the hours</t>
        </is>
      </c>
    </row>
    <row r="24" ht="150" customHeight="1">
      <c r="A24" s="17" t="inlineStr">
        <is>
          <t>Columns D-G are TOTALS for the row. Event staff (servers, buffet attendants) are hourly W-2 employees with payroll taxes and workers' comp: paying them as 1099 contractors is a misclassification risk (FLSA; California AB5). One paella chef can run about three pans at once.</t>
        </is>
      </c>
    </row>
    <row r="25" ht="150" customHeight="1">
      <c r="A25"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Assumptions'!$B$21&lt;MAX('0. Assumptions'!$B$22,'0. Assumptions'!$B$68)*C5)</formula>
    </cfRule>
  </conditionalFormatting>
  <dataValidations count="4">
    <dataValidation sqref="B5 B6 B8 B11 B12 B16 B17 B18 D5 D6 D7 D8" showDropDown="0" showInputMessage="0" showErrorMessage="1" allowBlank="1" errorTitle="Invalid amount" error="Enter a number greater than or equal to 0." type="decimal" operator="greaterThanOrEqual">
      <formula1>0</formula1>
    </dataValidation>
    <dataValidation sqref="B19"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showDropDown="0" showInputMessage="0" showErrorMessage="1" allowBlank="1" errorTitle="Invalid percentage" error="Enter a percentage between 0 and 1 (0.35 = 35%)." type="decimal" operator="between">
      <formula1>0</formula1>
      <formula2>1</formula2>
    </dataValidation>
    <dataValidation sqref="B7"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HOW TO USE THIS WORKBOOK — Paella Catering Financial Projections</t>
        </is>
      </c>
      <c r="B1" s="28" t="n"/>
      <c r="C1" s="28" t="n"/>
      <c r="D1" s="28" t="n"/>
      <c r="E1" s="28" t="n"/>
    </row>
    <row r="2">
      <c r="A2" s="28" t="n"/>
      <c r="B2" s="28" t="n"/>
      <c r="C2" s="28" t="n"/>
      <c r="D2" s="28" t="n"/>
      <c r="E2" s="28" t="n"/>
    </row>
    <row r="3">
      <c r="A3" s="39"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59.75" customHeight="1">
      <c r="A5" s="46" t="inlineStr">
        <is>
          <t>1. "0. Assumptions" is the control sheet: events per year, price per guest excl. sales tax, guests per event, the mix of paella packages and add-ons, cost of goods sold, commissary and equipment storage,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210" customHeight="1">
      <c r="A8" s="46" t="inlineStr">
        <is>
          <t>4. All figures are EXCL. SALES TAX. To turn a quoted price into a price excl. sales tax, divide it by 1 + your sales tax rate (with an 8% rate, divide by 1.08); if an item is taxed at a different rate in your state, use that rate. In many states the whole catering invoice is taxable, including staff and rentals; check yours. The rate of each sales line is in the "Sales tax rate on the line (%)" column of the P&amp;L, and from it come the receipts, the sales tax collected and the equivalent price per guest incl. sales tax. With the default 0% recoverable input tax, the sales tax you pay on purchases and startup costs is treated as a cost; in the UK, enter 20% if you are VAT-registered.</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45" customHeight="1">
      <c r="A10" s="46" t="inlineStr">
        <is>
          <t>6. The "12-Month Cash Flow" tab answers the question that decides a bank deal: in which month the cash runs out. The minimum balance of the year can never be in red.</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59.75" customHeight="1">
      <c r="A12" s="46" t="inlineStr">
        <is>
          <t>8. The Word business plan in this kit uses the same example figures as this workbook. The workbook is the one that recalculates on its own when you change a green cell: if you change one, update the matching figures in the Word document.</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s="28" t="inlineStr">
        <is>
          <t>Cost of goods sold / Sales</t>
        </is>
      </c>
      <c r="B18" s="68">
        <f>IFERROR(IF('3-Year P&amp;L'!$B$53="","",'3-Year P&amp;L'!$B$53),"")</f>
        <v>0.2884</v>
      </c>
      <c r="C18" s="68">
        <f>IFERROR(IF('3-Year P&amp;L'!$E$53="","",'3-Year P&amp;L'!$E$53),"")</f>
        <v>0.35</v>
      </c>
      <c r="D18" s="28" t="str">
        <f>IFERROR(IF(OR(B18="",C18=""),"",IF(B18&lt;=C18,"OK","REVIEW")),"")</f>
        <v>OK</v>
      </c>
      <c r="E18" s="28" t="n"/>
    </row>
    <row r="19">
      <c r="A19" t="inlineStr">
        <is>
          <t>Labor cost / Sales</t>
        </is>
      </c>
      <c r="B19" s="65">
        <f>IFERROR(IF('3-Year P&amp;L'!$B$54="","",'3-Year P&amp;L'!$B$54),"")</f>
        <v>0.3382605363984674</v>
      </c>
      <c r="C19" s="65">
        <f>IFERROR(IF('3-Year P&amp;L'!$E$54="","",'3-Year P&amp;L'!$E$54),"")</f>
        <v>0.38</v>
      </c>
      <c r="D19" t="str">
        <f>IFERROR(IF(OR(B19="",C19=""),"",IF(B19&lt;=C19,"OK","REVIEW")),"")</f>
        <v>OK</v>
      </c>
    </row>
    <row r="20">
      <c r="A20" t="inlineStr">
        <is>
          <t>Commissary &amp; storage / Sales</t>
        </is>
      </c>
      <c r="B20" s="65">
        <f>IFERROR(IF('3-Year P&amp;L'!$B$55="","",'3-Year P&amp;L'!$B$55),"")</f>
        <v>0.0421455938697318</v>
      </c>
      <c r="C20" s="65">
        <f>IFERROR(IF('3-Year P&amp;L'!$E$55="","",'3-Year P&amp;L'!$E$55),"")</f>
        <v>0.07</v>
      </c>
      <c r="D20" t="str">
        <f>IFERROR(IF(OR(B20="",C20=""),"",IF(B20&lt;=C20,"OK","REVIEW")),"")</f>
        <v>OK</v>
      </c>
    </row>
    <row r="21">
      <c r="A21" t="inlineStr">
        <is>
          <t>Net income / Sales</t>
        </is>
      </c>
      <c r="B21" s="65">
        <f>IFERROR(IF('3-Year P&amp;L'!$B$56="","",'3-Year P&amp;L'!$B$56),"")</f>
        <v>0.06487699781061847</v>
      </c>
      <c r="C21" s="65">
        <f>IFERROR(IF('3-Year P&amp;L'!$E$56="","",'3-Year P&amp;L'!$E$56),"")</f>
        <v>0.05</v>
      </c>
      <c r="D21" t="str">
        <f>IFERROR(IF(OR(B21="",C21=""),"",IF(B21&gt;=C21,"OK","REVIEW")),"")</f>
        <v>OK</v>
      </c>
    </row>
    <row r="22">
      <c r="A22" t="inlineStr">
        <is>
          <t>Gross margin / Sales</t>
        </is>
      </c>
      <c r="B22" s="65">
        <f>IFERROR(IF('3-Year P&amp;L'!$B$51="","",'3-Year P&amp;L'!$B$51),"")</f>
        <v>0.6091</v>
      </c>
      <c r="C22" s="65">
        <f>IFERROR(IF('3-Year P&amp;L'!$E$51="","",'3-Year P&amp;L'!$E$51),"")</f>
        <v>0.58</v>
      </c>
      <c r="D22" t="str">
        <f>IFERROR(IF(OR(B22="",C22=""),"",IF(B22&gt;=C22,"OK","REVIEW")),"")</f>
        <v>OK</v>
      </c>
    </row>
    <row r="24">
      <c r="A24" s="16" t="inlineStr">
        <is>
          <t>THIS PLAN'S KEY FIGURES</t>
        </is>
      </c>
    </row>
    <row r="25">
      <c r="A25" t="inlineStr">
        <is>
          <t>Total startup costs (sum of the blocks)</t>
        </is>
      </c>
      <c r="B25" s="42">
        <f>IFERROR(IF('Startup Costs'!$B$26="","",'Startup Costs'!$B$26),"")</f>
        <v>88965.8</v>
      </c>
    </row>
    <row r="26">
      <c r="A26" t="inlineStr">
        <is>
          <t>Total cash needed at launch</t>
        </is>
      </c>
      <c r="B26" s="42">
        <f>IFERROR(IF('Startup Costs'!$B$29="","",'Startup Costs'!$B$29),"")</f>
        <v>88965.8</v>
      </c>
    </row>
    <row r="27">
      <c r="A27" t="inlineStr">
        <is>
          <t>Working capital funded</t>
        </is>
      </c>
      <c r="B27" s="42">
        <f>IFERROR(IF('Startup Costs'!$B$25="","",'Startup Costs'!$B$25),"")</f>
        <v>39485.8</v>
      </c>
    </row>
    <row r="28">
      <c r="A28" t="inlineStr">
        <is>
          <t>Forecast year-1 revenue</t>
        </is>
      </c>
      <c r="B28" s="42">
        <f>IFERROR(IF('3-Year P&amp;L'!$B$9="","",'3-Year P&amp;L'!$B$9),"")</f>
        <v>313200.0</v>
      </c>
    </row>
    <row r="29">
      <c r="A29" t="inlineStr">
        <is>
          <t>Year-1 net income</t>
        </is>
      </c>
      <c r="B29" s="42">
        <f>IFERROR(IF('3-Year P&amp;L'!$B$48="","",'3-Year P&amp;L'!$B$48),"")</f>
        <v>20319.475714285705</v>
      </c>
    </row>
    <row r="30">
      <c r="A30" t="inlineStr">
        <is>
          <t>Events per year for the ACCOUNTING break-even (depreciation included)</t>
        </is>
      </c>
      <c r="B30" s="48">
        <f>IFERROR(IF('Break-Even'!$B$15="","",'Break-Even'!$B$15),"")</f>
        <v>115.82768083087947</v>
      </c>
    </row>
    <row r="31">
      <c r="A31" t="inlineStr">
        <is>
          <t>Project payback (years), before debt</t>
        </is>
      </c>
      <c r="B31">
        <f>IFERROR(IF('12-Month Cash Flow'!$B$31="","",'12-Month Cash Flow'!$B$31),"")</f>
        <v>2.3</v>
      </c>
    </row>
    <row r="33">
      <c r="A33" s="16" t="inlineStr">
        <is>
          <t>WHY THIS MODEL IS BUILT THIS WAY</t>
        </is>
      </c>
    </row>
    <row r="34">
      <c r="A34" s="16" t="inlineStr">
        <is>
          <t>Item</t>
        </is>
      </c>
      <c r="B34" s="16" t="inlineStr">
        <is>
          <t>Common shortcut</t>
        </is>
      </c>
      <c r="C34" s="16" t="inlineStr">
        <is>
          <t>This workbook</t>
        </is>
      </c>
      <c r="D34" s="16" t="inlineStr">
        <is>
          <t>Why</t>
        </is>
      </c>
    </row>
    <row r="35" ht="60" customHeight="1">
      <c r="A35" s="58" t="inlineStr">
        <is>
          <t>Labor cost in the P&amp;L</t>
        </is>
      </c>
      <c r="B35" s="58" t="inlineStr">
        <is>
          <t>A typed-in number that does not match the Staffing tab</t>
        </is>
      </c>
      <c r="C35" s="58" t="inlineStr">
        <is>
          <t>Read directly from the Staffing tab</t>
        </is>
      </c>
      <c r="D35" s="17" t="inlineStr">
        <is>
          <t>If you change a salary, the whole plan recalculates, so the P&amp;L and the staffing table can never disagree.</t>
        </is>
      </c>
    </row>
    <row r="36" ht="75" customHeight="1">
      <c r="A36" s="58" t="inlineStr">
        <is>
          <t>Staffing</t>
        </is>
      </c>
      <c r="B36" s="58" t="inlineStr">
        <is>
          <t>One line called "staff", with no link to event hours or pay floors</t>
        </is>
      </c>
      <c r="C36" s="58" t="inlineStr">
        <is>
          <t>Positions with their FTE, sized to the hours your events need, with event staff paid per event</t>
        </is>
      </c>
      <c r="D36" s="17" t="inlineStr">
        <is>
          <t>A plan staffed for fewer hours than it sells does not work on its own numbers. This layout makes that gap visible before a lender does.</t>
        </is>
      </c>
    </row>
    <row r="37" ht="60" customHeight="1">
      <c r="A37" s="58" t="inlineStr">
        <is>
          <t>Events, guests and price</t>
        </is>
      </c>
      <c r="B37" s="58" t="inlineStr">
        <is>
          <t>Sales typed as one lump sum, with no link to bookings</t>
        </is>
      </c>
      <c r="C37" s="58" t="inlineStr">
        <is>
          <t>Revenue = events per year × guests per event × price per guest, one cell each for the whole workbook</t>
        </is>
      </c>
      <c r="D37" s="17" t="inlineStr">
        <is>
          <t>Break-even, scenarios and the P&amp;L read the same three cells, so they always agree, and you can see which lever moves the result: more events, bigger events or a higher price.</t>
        </is>
      </c>
    </row>
    <row r="38" ht="60" customHeight="1">
      <c r="A38" s="58" t="inlineStr">
        <is>
          <t>Price per guest</t>
        </is>
      </c>
      <c r="B38" s="58" t="inlineStr">
        <is>
          <t>A price with no statement of whether sales tax or service is included</t>
        </is>
      </c>
      <c r="C38" s="58" t="inlineStr">
        <is>
          <t>Declared EXCL. sales tax, with service included and the voluntary gratuity left out</t>
        </is>
      </c>
      <c r="D38" s="17" t="inlineStr">
        <is>
          <t>Declaring it changes no number: it just says what the number is. Price per guest incl. sales tax = price per guest × (1 + sales tax rate), and the workbook calculates it for you.</t>
        </is>
      </c>
    </row>
    <row r="39" ht="60" customHeight="1">
      <c r="A39" s="58" t="inlineStr">
        <is>
          <t>Commissary kitchen and equipment storage</t>
        </is>
      </c>
      <c r="B39" s="58" t="inlineStr">
        <is>
          <t>Left out: the model shows no cost of space</t>
        </is>
      </c>
      <c r="C39" s="58" t="inlineStr">
        <is>
          <t>A monthly commissary cost (hours + storage) and space for the pans and burners, plus a deposit and rent for the months before opening</t>
        </is>
      </c>
      <c r="D39" s="17" t="inlineStr">
        <is>
          <t>Paella for clients has to be prepped in a permitted kitchen, not at home, so a commissary or shared kitchen is a real recurring cost. Leaving it out makes the business look like it has no occupancy cost.</t>
        </is>
      </c>
    </row>
    <row r="40" ht="45" customHeight="1">
      <c r="A40" s="58" t="inlineStr">
        <is>
          <t>Working capital</t>
        </is>
      </c>
      <c r="B40" s="58" t="inlineStr">
        <is>
          <t>A round number labeled "3 months" that does not match the fixed costs</t>
        </is>
      </c>
      <c r="C40" s="58" t="inlineStr">
        <is>
          <t>Three months of cash fixed costs, calculated by formula</t>
        </is>
      </c>
      <c r="D40" s="17" t="inlineStr">
        <is>
          <t>A round number often covers far less than the label says. This cushion is what keeps you open through a slow month between wedding seasons.</t>
        </is>
      </c>
    </row>
    <row r="41" ht="60" customHeight="1">
      <c r="A41" s="58" t="inlineStr">
        <is>
          <t>Depreciation</t>
        </is>
      </c>
      <c r="B41" s="58" t="inlineStr">
        <is>
          <t>One useful life for everything, including items that are not fixed assets</t>
        </is>
      </c>
      <c r="C41" s="58" t="inlineStr">
        <is>
          <t>Two useful lives: the burners, pans, van and its upfits on one, and the propane kit, the setup and the equipment on the other. The Startup Costs tab calculates the annual charge.</t>
        </is>
      </c>
      <c r="D41" s="17" t="inlineStr">
        <is>
          <t>The burners, pans and van wear out at a different speed than the propane kit, the setup and the equipment. Working capital, opening inventory and launch marketing are not fixed assets, so they are not depreciated.</t>
        </is>
      </c>
    </row>
    <row r="42" ht="30" customHeight="1">
      <c r="A42" s="58" t="inlineStr">
        <is>
          <t>Van and equipment insurance, and liability</t>
        </is>
      </c>
      <c r="B42" s="58" t="inlineStr">
        <is>
          <t>Counted twice: once in startup costs and again as an annual expense</t>
        </is>
      </c>
      <c r="C42" s="58" t="inlineStr">
        <is>
          <t>Counted once, as an annual expense</t>
        </is>
      </c>
      <c r="D42" s="17" t="inlineStr">
        <is>
          <t>Counting a premium in both places inflates the startup costs, the cash you need to raise and the loan you ask for.</t>
        </is>
      </c>
    </row>
    <row r="43" ht="45" customHeight="1">
      <c r="A43" s="58" t="inlineStr">
        <is>
          <t>Propane (and wood where a permit allows it)</t>
        </is>
      </c>
      <c r="B43" s="58" t="inlineStr">
        <is>
          <t>A separate fuel line, on top of utilities</t>
        </is>
      </c>
      <c r="C43" s="58" t="inlineStr">
        <is>
          <t>Included in the disposables and cooking fuel line</t>
        </is>
      </c>
      <c r="D43" s="17" t="inlineStr">
        <is>
          <t>Propane (and wood where a permit allows it) scales with the pans you cook and the number of events: here it lives in one percentage of sales, and the rest of the workbook follows.</t>
        </is>
      </c>
    </row>
    <row r="44" ht="30" customHeight="1">
      <c r="A44" s="58" t="inlineStr">
        <is>
          <t>Startup contingency</t>
        </is>
      </c>
      <c r="B44" s="58" t="inlineStr">
        <is>
          <t>A lump sum typed by hand</t>
        </is>
      </c>
      <c r="C44" s="58" t="inlineStr">
        <is>
          <t>A percentage calculated on the burner, pan, van and upfit lines</t>
        </is>
      </c>
      <c r="D44" s="17" t="inlineStr">
        <is>
          <t>If you change the van price, the contingency recalculates instead of staying at the old amount.</t>
        </is>
      </c>
    </row>
    <row r="45" ht="74.75" customHeight="1">
      <c r="A45" s="58" t="inlineStr">
        <is>
          <t>Income tax</t>
        </is>
      </c>
      <c r="B45" s="58" t="inlineStr">
        <is>
          <t>A flat rate every year, with no offset for losses</t>
        </is>
      </c>
      <c r="C45" s="58" t="inlineStr">
        <is>
          <t>One effective rate for years 1-2 and another from year 3, offsetting net operating losses carried forward</t>
        </is>
      </c>
      <c r="D45" s="17" t="inlineStr">
        <is>
          <t>A loss in one year reduces taxable profit in later years. The model offsets losses fully as a simplification (federal rules cap the offset at 80% of taxable income). If you operate as a pass-through (sole proprietorship or LLC), set the rate to 0 and budget your personal tax separately.</t>
        </is>
      </c>
    </row>
    <row r="46" ht="45" customHeight="1">
      <c r="A46" s="58" t="inlineStr">
        <is>
          <t>Loan payment</t>
        </is>
      </c>
      <c r="B46" s="58" t="inlineStr">
        <is>
          <t>The full payment deducted in the P&amp;L</t>
        </is>
      </c>
      <c r="C46" s="58" t="inlineStr">
        <is>
          <t>Only interest in the P&amp;L; principal repaid in the cash flow</t>
        </is>
      </c>
      <c r="D46" s="17" t="inlineStr">
        <is>
          <t>Putting the full payment above the line turns the P&amp;L into a cash flow, and a lender spots it immediately.</t>
        </is>
      </c>
    </row>
    <row r="47" ht="45" customHeight="1">
      <c r="A47" s="58" t="inlineStr">
        <is>
          <t>Financing plan</t>
        </is>
      </c>
      <c r="B47" s="58" t="inlineStr">
        <is>
          <t>None</t>
        </is>
      </c>
      <c r="C47" s="58" t="inlineStr">
        <is>
          <t>A dedicated tab: where the money comes from, what it pays for and the amortization schedule year by year</t>
        </is>
      </c>
      <c r="D47" s="17" t="inlineStr">
        <is>
          <t>It is the sheet a lender asks for next to the P&amp;L, and it warns you when the money you put in falls short of what you need.</t>
        </is>
      </c>
    </row>
    <row r="48" ht="30" customHeight="1">
      <c r="A48" s="58" t="inlineStr">
        <is>
          <t>Month-by-month cash flow</t>
        </is>
      </c>
      <c r="B48" s="58" t="inlineStr">
        <is>
          <t>None</t>
        </is>
      </c>
      <c r="C48" s="58" t="inlineStr">
        <is>
          <t>A 12-month tab: cash in, cash out, quarterly sales tax and the cumulative balance</t>
        </is>
      </c>
      <c r="D48" s="17" t="inlineStr">
        <is>
          <t>It answers the one question that decides a loan: in which month does the business run out of cash?</t>
        </is>
      </c>
    </row>
    <row r="49" ht="45" customHeight="1">
      <c r="A49" s="58" t="inlineStr">
        <is>
          <t>Miscellaneous event costs</t>
        </is>
      </c>
      <c r="B49" s="58" t="inlineStr">
        <is>
          <t>A miscellaneous line typed in among the fixed costs</t>
        </is>
      </c>
      <c r="C49" s="58" t="inlineStr">
        <is>
          <t>A percentage of sales, treated as a variable cost; van fuel has its own fixed line</t>
        </is>
      </c>
      <c r="D49" s="17" t="inlineStr">
        <is>
          <t>Extra seafood, ice, lemons and venue parking rise and fall with the number of events: among the fixed costs they would distort the break-even.</t>
        </is>
      </c>
    </row>
    <row r="50" ht="30" customHeight="1">
      <c r="A50" s="58" t="inlineStr">
        <is>
          <t>Cost of goods on all sales</t>
        </is>
      </c>
      <c r="B50" s="58" t="inlineStr">
        <is>
          <t>Revenue with no cost of goods sold attached</t>
        </is>
      </c>
      <c r="C50" s="58" t="inlineStr">
        <is>
          <t>Every sale carries its cost of goods: paella packages and add-ons each at their own rate</t>
        </is>
      </c>
      <c r="D50" s="17" t="inlineStr">
        <is>
          <t>A revenue line that pays for no ingredients shows a margin that does not exist.</t>
        </is>
      </c>
    </row>
    <row r="51" ht="45" customHeight="1">
      <c r="A51" s="58" t="inlineStr">
        <is>
          <t>Wages and minimum wage</t>
        </is>
      </c>
      <c r="B51" s="58" t="inlineStr">
        <is>
          <t>Wages never compared with any legal floor</t>
        </is>
      </c>
      <c r="C51" s="58" t="inlineStr">
        <is>
          <t>No row below the pay floor in proportion to its FTE, and a cell for your state or local minimum wage</t>
        </is>
      </c>
      <c r="D51" s="17" t="inlineStr">
        <is>
          <t>State and local minimums are often higher than the federal one: enter yours in "0. Assumptions" and the traffic light warns you when a wage falls short.</t>
        </is>
      </c>
    </row>
    <row r="53">
      <c r="A53" s="16" t="inlineStr">
        <is>
          <t>US PAELLA CATERING BENCHMARKS (sourced) AND KIT ESTIMATES</t>
        </is>
      </c>
    </row>
    <row r="54">
      <c r="A54" s="16" t="inlineStr">
        <is>
          <t>Benchmark</t>
        </is>
      </c>
      <c r="B54" s="16" t="inlineStr">
        <is>
          <t>Value</t>
        </is>
      </c>
      <c r="C54" s="16" t="inlineStr">
        <is>
          <t>Source</t>
        </is>
      </c>
      <c r="D54" s="16" t="inlineStr">
        <is>
          <t>Note</t>
        </is>
      </c>
    </row>
    <row r="55" ht="74.75" customHeight="1">
      <c r="A55" t="inlineStr">
        <is>
          <t>Live paella price per person</t>
        </is>
      </c>
      <c r="B55" t="inlineStr">
        <is>
          <t>$12-31 per person (lobster paella $45)</t>
        </is>
      </c>
      <c r="C55" t="inlineStr">
        <is>
          <t>tasteofpaella.com, zola.com</t>
        </is>
      </c>
      <c r="D55" s="17" t="inlineStr">
        <is>
          <t>Paella cooked live with salad and bread. The low end is a per-plate price at one operator (zola.com); $26-31 per person is the usual range at tasteofpaella.com, and lobster paella is the premium. Your price per guest runs higher because it includes the paella chef and the staff.</t>
        </is>
      </c>
    </row>
    <row r="56" ht="59.75" customHeight="1">
      <c r="A56" t="inlineStr">
        <is>
          <t>Spanish menu with staff, per person</t>
        </is>
      </c>
      <c r="B56" t="inlineStr">
        <is>
          <t>$44-65 per person</t>
        </is>
      </c>
      <c r="C56" t="inlineStr">
        <is>
          <t>zola.com, miamigrillcatering.com, weddingwire.com</t>
        </is>
      </c>
      <c r="D56" s="17" t="inlineStr">
        <is>
          <t>Full Spanish menu with service staff: from $44 per person (zola.com) to $65, stepping down to $53 by tier (miamigrillcatering.com). In weddings, couples usually spend about $50 per person (weddingwire.com).</t>
        </is>
      </c>
    </row>
    <row r="57" ht="45" customHeight="1">
      <c r="A57" t="inlineStr">
        <is>
          <t>Rice per guest</t>
        </is>
      </c>
      <c r="B57" t="inlineStr">
        <is>
          <t>3-3.5 oz (85-100 g) uncooked</t>
        </is>
      </c>
      <c r="C57" t="inlineStr">
        <is>
          <t>Kit estimate</t>
        </is>
      </c>
      <c r="D57" s="17" t="inlineStr">
        <is>
          <t>Bomba rice, uncooked, per guest. Add 10-15% for large groups and plan 2-3 times the rice volume in stock. Weigh it again for every quote.</t>
        </is>
      </c>
    </row>
    <row r="58" ht="45" customHeight="1">
      <c r="A58" t="inlineStr">
        <is>
          <t>Net profit margin</t>
        </is>
      </c>
      <c r="B58" t="inlineStr">
        <is>
          <t>7-8%</t>
        </is>
      </c>
      <c r="C58" t="inlineStr">
        <is>
          <t>itsacheckmate.com</t>
        </is>
      </c>
      <c r="D58" s="17" t="inlineStr">
        <is>
          <t>Average for caterers. A new business with a loan to repay starts lower: improve it with more events, bigger events or a higher price per guest.</t>
        </is>
      </c>
    </row>
    <row r="59" ht="59.75" customHeight="1">
      <c r="A59" t="inlineStr">
        <is>
          <t>Guests per paella pan</t>
        </is>
      </c>
      <c r="B59" t="inlineStr">
        <is>
          <t>36 in (90 cm): about 40 · 32 in (80 cm): about 30 · 26 in (65 cm): about 18</t>
        </is>
      </c>
      <c r="C59" t="inlineStr">
        <is>
          <t>Kit estimate</t>
        </is>
      </c>
      <c r="D59" s="17" t="inlineStr">
        <is>
          <t>Servings of a full paella with salad and bread. Size the pans from the guest count, and keep each pan within what one burner heats evenly: a good socarrat needs even heat across the whole pan.</t>
        </is>
      </c>
    </row>
    <row r="60" ht="45" customHeight="1">
      <c r="A60" t="inlineStr">
        <is>
          <t>Food cost</t>
        </is>
      </c>
      <c r="B60" t="inlineStr">
        <is>
          <t>28-35% of price</t>
        </is>
      </c>
      <c r="C60" t="inlineStr">
        <is>
          <t>galleysolutions.com</t>
        </is>
      </c>
      <c r="D60" s="17" t="inlineStr">
        <is>
          <t>Caterer food cost as a share of the price. Seafood prices swing, so re-cost every quote and test the result at the top of the range.</t>
        </is>
      </c>
    </row>
    <row r="61" ht="59.75" customHeight="1">
      <c r="A61" t="inlineStr">
        <is>
          <t>Paella pans and burners</t>
        </is>
      </c>
      <c r="B61" t="inlineStr">
        <is>
          <t>36 in pan about $349 · XL 3-ring burner about $549</t>
        </is>
      </c>
      <c r="C61" t="inlineStr">
        <is>
          <t>Kit estimate</t>
        </is>
      </c>
      <c r="D61" s="17" t="inlineStr">
        <is>
          <t>Store prices, not verified quotes. The XL 3-ring burner comes with tripod and regulator for pans up to 36 in (90 cm); a 2-ring rolling stand is about $399, and renting a 36 in pan about $39.90. Get current quotes.</t>
        </is>
      </c>
    </row>
    <row r="62" ht="60" customHeight="1">
      <c r="A62" t="inlineStr">
        <is>
          <t>Corporate marketplace commission</t>
        </is>
      </c>
      <c r="B62" t="inlineStr">
        <is>
          <t>About 15%</t>
        </is>
      </c>
      <c r="C62" t="inlineStr">
        <is>
          <t>Kit estimate</t>
        </is>
      </c>
      <c r="D62" s="17" t="inlineStr">
        <is>
          <t>ezCater lists about 15% on food and delivery, plus card processing. Fees change: check the current schedule before you count on a rate.</t>
        </is>
      </c>
    </row>
    <row r="63" ht="120" customHeight="1">
      <c r="A63" t="inlineStr">
        <is>
          <t>Paella chef and attendant billed separately</t>
        </is>
      </c>
      <c r="B63" t="inlineStr">
        <is>
          <t>$300 for 2 hours, +$85 per extra hour</t>
        </is>
      </c>
      <c r="C63" t="inlineStr">
        <is>
          <t>cafesevilla.com</t>
        </is>
      </c>
      <c r="D63" s="17" t="inlineStr">
        <is>
          <t>One operator bills the paella chef ($300 for 2 hours), a buffet attendant ($190 for 2 hours), dishes and flatware ($5-10 per person) and a $1,250 minimum on top of the food. Your price per guest already includes the paella chef and the staff, so compare like with like.</t>
        </is>
      </c>
    </row>
    <row r="64" ht="89.75" customHeight="1">
      <c r="A64" t="inlineStr">
        <is>
          <t>Hourly pay (BLS OEWS, May 2025)</t>
        </is>
      </c>
      <c r="B64" t="inlineStr">
        <is>
          <t>$18.62 cooks · $17.37 servers · $30.03 head cooks</t>
        </is>
      </c>
      <c r="C64" t="inlineStr">
        <is>
          <t>bls.gov</t>
        </is>
      </c>
      <c r="D64" s="17" t="inlineStr">
        <is>
          <t>Mean hourly wages for restaurant cooks (35-2014) and nonrestaurant food servers (35-3041), and the median for chefs and head cooks (35-1011); 75th percentile $21.45 for cooks and $18.51 for servers. The plan pays the second paella chef between the mean and the 75th percentile for cooks, and the owner's pay comes from profit, below the chefs and head cooks median.</t>
        </is>
      </c>
    </row>
    <row r="65" ht="45" customHeight="1">
      <c r="A65" t="inlineStr">
        <is>
          <t>Shared kitchen rate</t>
        </is>
      </c>
      <c r="B65" t="inlineStr">
        <is>
          <t>$15-$45 per hour</t>
        </is>
      </c>
      <c r="C65" t="inlineStr">
        <is>
          <t>thefoodcorridor.com</t>
        </is>
      </c>
      <c r="D65" s="17" t="inlineStr">
        <is>
          <t>2023 Shared Kitchen Operator Survey; 42% of operators charge $20-$29 per hour. Storage costs extra, and not every kitchen lets you keep burners and propane cylinders on site.</t>
        </is>
      </c>
    </row>
    <row r="66" ht="74.75" customHeight="1">
      <c r="A66" t="inlineStr">
        <is>
          <t>Guest and spend minimums</t>
        </is>
      </c>
      <c r="B66" t="inlineStr">
        <is>
          <t>20-30 guests · $500-1,600</t>
        </is>
      </c>
      <c r="C66" t="inlineStr">
        <is>
          <t>tasteofpaella.com, zola.com</t>
        </is>
      </c>
      <c r="D66" s="17" t="inlineStr">
        <is>
          <t>Operators set a minimum guest count for cooking on site (20, or 25 in peak season, at tasteofpaella.com; 30 for live cooking at Viton Paella on zola.com) and a minimum spend (from $500 to $1,600 across the operators on zola.com). Set your own and state it in every proposal.</t>
        </is>
      </c>
    </row>
    <row r="67" ht="89.75" customHeight="1">
      <c r="A67" t="inlineStr">
        <is>
          <t>Insurance</t>
        </is>
      </c>
      <c r="B67" t="inlineStr">
        <is>
          <t>$45 / $96 / $82 / $204 per month</t>
        </is>
      </c>
      <c r="C67" t="inlineStr">
        <is>
          <t>insureon.com</t>
        </is>
      </c>
      <c r="D67" s="17" t="inlineStr">
        <is>
          <t>Insureon averages for businesses under 5 employees: general liability, BOP, workers' comp and commercial auto. Your quotes will differ. Ask your agent to confirm in writing that the general liability or BOP does not exclude open flame at events (Kit advice), and add liquor liability only if your staff pours the client's alcohol.</t>
        </is>
      </c>
    </row>
    <row r="68" ht="59.75" customHeight="1">
      <c r="A68" t="inlineStr">
        <is>
          <t>Propane and staffing per event</t>
        </is>
      </c>
      <c r="B68" t="inlineStr">
        <is>
          <t>6-8 lb (2.7-3.6 kg) of propane · 1 team member per 25 guests</t>
        </is>
      </c>
      <c r="C68" t="inlineStr">
        <is>
          <t>Kit estimate, miamigrillcatering.com</t>
        </is>
      </c>
      <c r="D68" s="17" t="inlineStr">
        <is>
          <t>About 6-8 lb of propane (about $10-15) for a 60-guest event, plus disposables at about $0.75 per guest (Kit estimate). Staffing: about one team member per 25 guests (miamigrillcatering.com).</t>
        </is>
      </c>
    </row>
    <row r="70">
      <c r="A70" s="59" t="inlineStr">
        <is>
          <t>To edit a cell that is not green: Review → Unprotect Sheet (there is no password).</t>
        </is>
      </c>
    </row>
    <row r="71">
      <c r="A71" s="59" t="inlineStr">
        <is>
          <t>More templates and kits in the catalog at aichef.pro/en/digital-products</t>
        </is>
      </c>
    </row>
    <row r="72">
      <c r="A72" s="59" t="inlineStr">
        <is>
          <t>Designed by John Guerrero — chef and restaurant consultant since 2010, in the kitchen since age 17 · johnguerrero.es</t>
        </is>
      </c>
    </row>
    <row r="73">
      <c r="A73" s="59" t="inlineStr">
        <is>
          <t>Version 2.2 · October 2026 · aichef.pro/en/digital-products/paella-catering-business-plan · info@aichef.pro</t>
        </is>
      </c>
    </row>
    <row r="74" ht="45" customHeight="1">
      <c r="A74" s="72"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73" t="n">
        <v>0.07000000000000001</v>
      </c>
      <c r="C5" s="73" t="n">
        <v>0.09</v>
      </c>
      <c r="D5" s="73" t="n">
        <v>0.115</v>
      </c>
      <c r="E5" s="73" t="n">
        <v>0.11</v>
      </c>
      <c r="F5" s="73" t="n">
        <v>0.08</v>
      </c>
      <c r="G5" s="73" t="n">
        <v>0.07000000000000001</v>
      </c>
      <c r="H5" s="73" t="n">
        <v>0.095</v>
      </c>
      <c r="I5" s="73" t="n">
        <v>0.11</v>
      </c>
      <c r="J5" s="73" t="n">
        <v>0.075</v>
      </c>
      <c r="K5" s="73" t="n">
        <v>0.1</v>
      </c>
      <c r="L5" s="73" t="n">
        <v>0.04</v>
      </c>
      <c r="M5" s="73" t="n">
        <v>0.045</v>
      </c>
      <c r="N5" s="68">
        <f>IFERROR(IF('3-Year P&amp;L'!$B$9="","",SUM(B5:M5)),"")</f>
        <v>1.0</v>
      </c>
      <c r="O5" s="28" t="inlineStr">
        <is>
          <t>Share of the year's events per month (100% in total). Month 1 = opening month (March in the example). The booking deposit is not modeled: it improves real cash.</t>
        </is>
      </c>
    </row>
    <row r="6">
      <c r="A6" s="28" t="inlineStr">
        <is>
          <t>Launch ramp-up (% of steady-state activity)</t>
        </is>
      </c>
      <c r="B6" s="68">
        <f>IFERROR(IF('3-Year P&amp;L'!$B$9="","",MIN(1,'0. Assumptions'!$B$52+(1-'0. Assumptions'!$B$52)*0/MAX(1,'0. Assumptions'!$B$53-1))),"")</f>
        <v>0.5</v>
      </c>
      <c r="C6" s="68">
        <f>IFERROR(IF('3-Year P&amp;L'!$B$9="","",MIN(1,'0. Assumptions'!$B$52+(1-'0. Assumptions'!$B$52)*1/MAX(1,'0. Assumptions'!$B$53-1))),"")</f>
        <v>0.5714285714285714</v>
      </c>
      <c r="D6" s="68">
        <f>IFERROR(IF('3-Year P&amp;L'!$B$9="","",MIN(1,'0. Assumptions'!$B$52+(1-'0. Assumptions'!$B$52)*2/MAX(1,'0. Assumptions'!$B$53-1))),"")</f>
        <v>0.6428571428571428</v>
      </c>
      <c r="E6" s="68">
        <f>IFERROR(IF('3-Year P&amp;L'!$B$9="","",MIN(1,'0. Assumptions'!$B$52+(1-'0. Assumptions'!$B$52)*3/MAX(1,'0. Assumptions'!$B$53-1))),"")</f>
        <v>0.7142857142857143</v>
      </c>
      <c r="F6" s="68">
        <f>IFERROR(IF('3-Year P&amp;L'!$B$9="","",MIN(1,'0. Assumptions'!$B$52+(1-'0. Assumptions'!$B$52)*4/MAX(1,'0. Assumptions'!$B$53-1))),"")</f>
        <v>0.7857142857142857</v>
      </c>
      <c r="G6" s="68">
        <f>IFERROR(IF('3-Year P&amp;L'!$B$9="","",MIN(1,'0. Assumptions'!$B$52+(1-'0. Assumptions'!$B$52)*5/MAX(1,'0. Assumptions'!$B$53-1))),"")</f>
        <v>0.8571428571428572</v>
      </c>
      <c r="H6" s="68">
        <f>IFERROR(IF('3-Year P&amp;L'!$B$9="","",MIN(1,'0. Assumptions'!$B$52+(1-'0. Assumptions'!$B$52)*6/MAX(1,'0. Assumptions'!$B$53-1))),"")</f>
        <v>0.9285714285714286</v>
      </c>
      <c r="I6" s="68">
        <f>IFERROR(IF('3-Year P&amp;L'!$B$9="","",MIN(1,'0. Assumptions'!$B$52+(1-'0. Assumptions'!$B$52)*7/MAX(1,'0. Assumptions'!$B$53-1))),"")</f>
        <v>1.0</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8">
        <f>IFERROR(IF('3-Year P&amp;L'!$B$9="","",B5*B6/SUMPRODUCT($B$5:$M$5,$B$6:$M$6)),"")</f>
        <v>0.042682926829268296</v>
      </c>
      <c r="C7" s="68">
        <f>IFERROR(IF('3-Year P&amp;L'!$B$9="","",C5*C6/SUMPRODUCT($B$5:$M$5,$B$6:$M$6)),"")</f>
        <v>0.06271777003484319</v>
      </c>
      <c r="D7" s="68">
        <f>IFERROR(IF('3-Year P&amp;L'!$B$9="","",D5*D6/SUMPRODUCT($B$5:$M$5,$B$6:$M$6)),"")</f>
        <v>0.0901567944250871</v>
      </c>
      <c r="E7" s="68">
        <f>IFERROR(IF('3-Year P&amp;L'!$B$9="","",E5*E6/SUMPRODUCT($B$5:$M$5,$B$6:$M$6)),"")</f>
        <v>0.09581881533101044</v>
      </c>
      <c r="F7" s="68">
        <f>IFERROR(IF('3-Year P&amp;L'!$B$9="","",F5*F6/SUMPRODUCT($B$5:$M$5,$B$6:$M$6)),"")</f>
        <v>0.07665505226480836</v>
      </c>
      <c r="G7" s="68">
        <f>IFERROR(IF('3-Year P&amp;L'!$B$9="","",G5*G6/SUMPRODUCT($B$5:$M$5,$B$6:$M$6)),"")</f>
        <v>0.07317073170731708</v>
      </c>
      <c r="H7" s="68">
        <f>IFERROR(IF('3-Year P&amp;L'!$B$9="","",H5*H6/SUMPRODUCT($B$5:$M$5,$B$6:$M$6)),"")</f>
        <v>0.10757839721254354</v>
      </c>
      <c r="I7" s="68">
        <f>IFERROR(IF('3-Year P&amp;L'!$B$9="","",I5*I6/SUMPRODUCT($B$5:$M$5,$B$6:$M$6)),"")</f>
        <v>0.13414634146341461</v>
      </c>
      <c r="J7" s="68">
        <f>IFERROR(IF('3-Year P&amp;L'!$B$9="","",J5*J6/SUMPRODUCT($B$5:$M$5,$B$6:$M$6)),"")</f>
        <v>0.09146341463414633</v>
      </c>
      <c r="K7" s="68">
        <f>IFERROR(IF('3-Year P&amp;L'!$B$9="","",K5*K6/SUMPRODUCT($B$5:$M$5,$B$6:$M$6)),"")</f>
        <v>0.12195121951219512</v>
      </c>
      <c r="L7" s="68">
        <f>IFERROR(IF('3-Year P&amp;L'!$B$9="","",L5*L6/SUMPRODUCT($B$5:$M$5,$B$6:$M$6)),"")</f>
        <v>0.048780487804878044</v>
      </c>
      <c r="M7" s="68">
        <f>IFERROR(IF('3-Year P&amp;L'!$B$9="","",M5*M6/SUMPRODUCT($B$5:$M$5,$B$6:$M$6)),"")</f>
        <v>0.0548780487804878</v>
      </c>
      <c r="N7" s="68">
        <f>IFERROR(IF('3-Year P&amp;L'!$B$9="","",SUM(B7:M7)),"")</f>
        <v>1.0</v>
      </c>
      <c r="O7" s="28" t="inlineStr">
        <is>
          <t>Seasonality × ramp-up, normalized to 100%: the YEAR brings in what the P&amp;L says, but split the way a business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40">
        <f>IFERROR(IF('3-Year P&amp;L'!$B$9="","",('3-Year P&amp;L'!$B$9+'3-Year P&amp;L'!$B$9*SUMPRODUCT('3-Year P&amp;L'!$E$10:$E$11,'3-Year P&amp;L'!$G$10:$G$11))*B7*(1-MIN(30,'0. Assumptions'!$B$58)/30)),"")</f>
        <v>11068.946341463414</v>
      </c>
      <c r="C9" s="40">
        <f>IFERROR(IF('3-Year P&amp;L'!$B$9="","",('3-Year P&amp;L'!$B$9+'3-Year P&amp;L'!$B$9*SUMPRODUCT('3-Year P&amp;L'!$E$10:$E$11,'3-Year P&amp;L'!$G$10:$G$11))*(C7*(1-MIN(30,'0. Assumptions'!$B$58)/30)+B7*MIN(30,'0. Assumptions'!$B$58)/30)),"")</f>
        <v>19633.383972125434</v>
      </c>
      <c r="D9" s="40">
        <f>IFERROR(IF('3-Year P&amp;L'!$B$9="","",('3-Year P&amp;L'!$B$9+'3-Year P&amp;L'!$B$9*SUMPRODUCT('3-Year P&amp;L'!$E$10:$E$11,'3-Year P&amp;L'!$G$10:$G$11))*(D7*(1-MIN(30,'0. Assumptions'!$B$58)/30)+C7*MIN(30,'0. Assumptions'!$B$58)/30)),"")</f>
        <v>28330.413240418115</v>
      </c>
      <c r="E9" s="40">
        <f>IFERROR(IF('3-Year P&amp;L'!$B$9="","",('3-Year P&amp;L'!$B$9+'3-Year P&amp;L'!$B$9*SUMPRODUCT('3-Year P&amp;L'!$E$10:$E$11,'3-Year P&amp;L'!$G$10:$G$11))*(E7*(1-MIN(30,'0. Assumptions'!$B$58)/30)+D7*MIN(30,'0. Assumptions'!$B$58)/30)),"")</f>
        <v>31964.406271777003</v>
      </c>
      <c r="F9" s="40">
        <f>IFERROR(IF('3-Year P&amp;L'!$B$9="","",('3-Year P&amp;L'!$B$9+'3-Year P&amp;L'!$B$9*SUMPRODUCT('3-Year P&amp;L'!$E$10:$E$11,'3-Year P&amp;L'!$G$10:$G$11))*(F7*(1-MIN(30,'0. Assumptions'!$B$58)/30)+E7*MIN(30,'0. Assumptions'!$B$58)/30)),"")</f>
        <v>27441.558188153307</v>
      </c>
      <c r="G9" s="40">
        <f>IFERROR(IF('3-Year P&amp;L'!$B$9="","",('3-Year P&amp;L'!$B$9+'3-Year P&amp;L'!$B$9*SUMPRODUCT('3-Year P&amp;L'!$E$10:$E$11,'3-Year P&amp;L'!$G$10:$G$11))*(G7*(1-MIN(30,'0. Assumptions'!$B$58)/30)+F7*MIN(30,'0. Assumptions'!$B$58)/30)),"")</f>
        <v>25025.443902439023</v>
      </c>
      <c r="H9" s="40">
        <f>IFERROR(IF('3-Year P&amp;L'!$B$9="","",('3-Year P&amp;L'!$B$9+'3-Year P&amp;L'!$B$9*SUMPRODUCT('3-Year P&amp;L'!$E$10:$E$11,'3-Year P&amp;L'!$G$10:$G$11))*(H7*(1-MIN(30,'0. Assumptions'!$B$58)/30)+G7*MIN(30,'0. Assumptions'!$B$58)/30)),"")</f>
        <v>33673.365156794425</v>
      </c>
      <c r="I9" s="40">
        <f>IFERROR(IF('3-Year P&amp;L'!$B$9="","",('3-Year P&amp;L'!$B$9+'3-Year P&amp;L'!$B$9*SUMPRODUCT('3-Year P&amp;L'!$E$10:$E$11,'3-Year P&amp;L'!$G$10:$G$11))*(I7*(1-MIN(30,'0. Assumptions'!$B$58)/30)+H7*MIN(30,'0. Assumptions'!$B$58)/30)),"")</f>
        <v>43278.89268292682</v>
      </c>
      <c r="J9" s="40">
        <f>IFERROR(IF('3-Year P&amp;L'!$B$9="","",('3-Year P&amp;L'!$B$9+'3-Year P&amp;L'!$B$9*SUMPRODUCT('3-Year P&amp;L'!$E$10:$E$11,'3-Year P&amp;L'!$G$10:$G$11))*(J7*(1-MIN(30,'0. Assumptions'!$B$58)/30)+I7*MIN(30,'0. Assumptions'!$B$58)/30)),"")</f>
        <v>34306.85853658536</v>
      </c>
      <c r="K9" s="40">
        <f>IFERROR(IF('3-Year P&amp;L'!$B$9="","",('3-Year P&amp;L'!$B$9+'3-Year P&amp;L'!$B$9*SUMPRODUCT('3-Year P&amp;L'!$E$10:$E$11,'3-Year P&amp;L'!$G$10:$G$11))*(K7*(1-MIN(30,'0. Assumptions'!$B$58)/30)+J7*MIN(30,'0. Assumptions'!$B$58)/30)),"")</f>
        <v>38844.439024390245</v>
      </c>
      <c r="L9" s="40">
        <f>IFERROR(IF('3-Year P&amp;L'!$B$9="","",('3-Year P&amp;L'!$B$9+'3-Year P&amp;L'!$B$9*SUMPRODUCT('3-Year P&amp;L'!$E$10:$E$11,'3-Year P&amp;L'!$G$10:$G$11))*(L7*(1-MIN(30,'0. Assumptions'!$B$58)/30)+K7*MIN(30,'0. Assumptions'!$B$58)/30)),"")</f>
        <v>22275.395121951216</v>
      </c>
      <c r="M9" s="40">
        <f>IFERROR(IF('3-Year P&amp;L'!$B$9="","",('3-Year P&amp;L'!$B$9+'3-Year P&amp;L'!$B$9*SUMPRODUCT('3-Year P&amp;L'!$E$10:$E$11,'3-Year P&amp;L'!$G$10:$G$11))*(M7*(1-MIN(30,'0. Assumptions'!$B$58)/30)+L7*MIN(30,'0. Assumptions'!$B$58)/30)),"")</f>
        <v>18081.570731707314</v>
      </c>
      <c r="N9" s="40">
        <f>IFERROR(IF('3-Year P&amp;L'!$B$9="","",SUM(B9:M9)),"")</f>
        <v>333924.6731707317</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40">
        <f>IFERROR(IF('3-Year P&amp;L'!$B$9="","",-('3-Year P&amp;L'!$B$13*(1+'3-Year P&amp;L'!$G$13)+'3-Year P&amp;L'!$B$14*(1+'3-Year P&amp;L'!$G$14)+'3-Year P&amp;L'!$B$15*(1+'3-Year P&amp;L'!$G$15)+'3-Year P&amp;L'!$B$16*(1+'3-Year P&amp;L'!$G$16)+'3-Year P&amp;L'!$B$17*(1+'3-Year P&amp;L'!$G$17)+'3-Year P&amp;L'!$B$18*(1+'3-Year P&amp;L'!$G$18))*B7*(1-MIN(30,'0. Assumptions'!$B$59)/30)),"")</f>
        <v>-4006.3436341463416</v>
      </c>
      <c r="C11" s="40">
        <f>IFERROR(IF('3-Year P&amp;L'!$B$9="","",-('3-Year P&amp;L'!$B$13*(1+'3-Year P&amp;L'!$G$13)+'3-Year P&amp;L'!$B$14*(1+'3-Year P&amp;L'!$G$14)+'3-Year P&amp;L'!$B$15*(1+'3-Year P&amp;L'!$G$15)+'3-Year P&amp;L'!$B$16*(1+'3-Year P&amp;L'!$G$16)+'3-Year P&amp;L'!$B$17*(1+'3-Year P&amp;L'!$G$17)+'3-Year P&amp;L'!$B$18*(1+'3-Year P&amp;L'!$G$18))*(C7*(1-MIN(30,'0. Assumptions'!$B$59)/30)+B7*MIN(30,'0. Assumptions'!$B$59)/30)),"")</f>
        <v>-7106.1942543554</v>
      </c>
      <c r="D11" s="40">
        <f>IFERROR(IF('3-Year P&amp;L'!$B$9="","",-('3-Year P&amp;L'!$B$13*(1+'3-Year P&amp;L'!$G$13)+'3-Year P&amp;L'!$B$14*(1+'3-Year P&amp;L'!$G$14)+'3-Year P&amp;L'!$B$15*(1+'3-Year P&amp;L'!$G$15)+'3-Year P&amp;L'!$B$16*(1+'3-Year P&amp;L'!$G$16)+'3-Year P&amp;L'!$B$17*(1+'3-Year P&amp;L'!$G$17)+'3-Year P&amp;L'!$B$18*(1+'3-Year P&amp;L'!$G$18))*(D7*(1-MIN(30,'0. Assumptions'!$B$59)/30)+C7*MIN(30,'0. Assumptions'!$B$59)/30)),"")</f>
        <v>-10254.035681184669</v>
      </c>
      <c r="E11" s="40">
        <f>IFERROR(IF('3-Year P&amp;L'!$B$9="","",-('3-Year P&amp;L'!$B$13*(1+'3-Year P&amp;L'!$G$13)+'3-Year P&amp;L'!$B$14*(1+'3-Year P&amp;L'!$G$14)+'3-Year P&amp;L'!$B$15*(1+'3-Year P&amp;L'!$G$15)+'3-Year P&amp;L'!$B$16*(1+'3-Year P&amp;L'!$G$16)+'3-Year P&amp;L'!$B$17*(1+'3-Year P&amp;L'!$G$17)+'3-Year P&amp;L'!$B$18*(1+'3-Year P&amp;L'!$G$18))*(E7*(1-MIN(30,'0. Assumptions'!$B$59)/30)+D7*MIN(30,'0. Assumptions'!$B$59)/30)),"")</f>
        <v>-11569.339270034843</v>
      </c>
      <c r="F11" s="40">
        <f>IFERROR(IF('3-Year P&amp;L'!$B$9="","",-('3-Year P&amp;L'!$B$13*(1+'3-Year P&amp;L'!$G$13)+'3-Year P&amp;L'!$B$14*(1+'3-Year P&amp;L'!$G$14)+'3-Year P&amp;L'!$B$15*(1+'3-Year P&amp;L'!$G$15)+'3-Year P&amp;L'!$B$16*(1+'3-Year P&amp;L'!$G$16)+'3-Year P&amp;L'!$B$17*(1+'3-Year P&amp;L'!$G$17)+'3-Year P&amp;L'!$B$18*(1+'3-Year P&amp;L'!$G$18))*(F7*(1-MIN(30,'0. Assumptions'!$B$59)/30)+E7*MIN(30,'0. Assumptions'!$B$59)/30)),"")</f>
        <v>-9932.319533101045</v>
      </c>
      <c r="G11" s="40">
        <f>IFERROR(IF('3-Year P&amp;L'!$B$9="","",-('3-Year P&amp;L'!$B$13*(1+'3-Year P&amp;L'!$G$13)+'3-Year P&amp;L'!$B$14*(1+'3-Year P&amp;L'!$G$14)+'3-Year P&amp;L'!$B$15*(1+'3-Year P&amp;L'!$G$15)+'3-Year P&amp;L'!$B$16*(1+'3-Year P&amp;L'!$G$16)+'3-Year P&amp;L'!$B$17*(1+'3-Year P&amp;L'!$G$17)+'3-Year P&amp;L'!$B$18*(1+'3-Year P&amp;L'!$G$18))*(G7*(1-MIN(30,'0. Assumptions'!$B$59)/30)+F7*MIN(30,'0. Assumptions'!$B$59)/30)),"")</f>
        <v>-9057.820390243902</v>
      </c>
      <c r="H11" s="40">
        <f>IFERROR(IF('3-Year P&amp;L'!$B$9="","",-('3-Year P&amp;L'!$B$13*(1+'3-Year P&amp;L'!$G$13)+'3-Year P&amp;L'!$B$14*(1+'3-Year P&amp;L'!$G$14)+'3-Year P&amp;L'!$B$15*(1+'3-Year P&amp;L'!$G$15)+'3-Year P&amp;L'!$B$16*(1+'3-Year P&amp;L'!$G$16)+'3-Year P&amp;L'!$B$17*(1+'3-Year P&amp;L'!$G$17)+'3-Year P&amp;L'!$B$18*(1+'3-Year P&amp;L'!$G$18))*(H7*(1-MIN(30,'0. Assumptions'!$B$59)/30)+G7*MIN(30,'0. Assumptions'!$B$59)/30)),"")</f>
        <v>-12187.887444250871</v>
      </c>
      <c r="I11" s="40">
        <f>IFERROR(IF('3-Year P&amp;L'!$B$9="","",-('3-Year P&amp;L'!$B$13*(1+'3-Year P&amp;L'!$G$13)+'3-Year P&amp;L'!$B$14*(1+'3-Year P&amp;L'!$G$14)+'3-Year P&amp;L'!$B$15*(1+'3-Year P&amp;L'!$G$15)+'3-Year P&amp;L'!$B$16*(1+'3-Year P&amp;L'!$G$16)+'3-Year P&amp;L'!$B$17*(1+'3-Year P&amp;L'!$G$17)+'3-Year P&amp;L'!$B$18*(1+'3-Year P&amp;L'!$G$18))*(I7*(1-MIN(30,'0. Assumptions'!$B$59)/30)+H7*MIN(30,'0. Assumptions'!$B$59)/30)),"")</f>
        <v>-15664.554768292679</v>
      </c>
      <c r="J11" s="40">
        <f>IFERROR(IF('3-Year P&amp;L'!$B$9="","",-('3-Year P&amp;L'!$B$13*(1+'3-Year P&amp;L'!$G$13)+'3-Year P&amp;L'!$B$14*(1+'3-Year P&amp;L'!$G$14)+'3-Year P&amp;L'!$B$15*(1+'3-Year P&amp;L'!$G$15)+'3-Year P&amp;L'!$B$16*(1+'3-Year P&amp;L'!$G$16)+'3-Year P&amp;L'!$B$17*(1+'3-Year P&amp;L'!$G$17)+'3-Year P&amp;L'!$B$18*(1+'3-Year P&amp;L'!$G$18))*(J7*(1-MIN(30,'0. Assumptions'!$B$59)/30)+I7*MIN(30,'0. Assumptions'!$B$59)/30)),"")</f>
        <v>-12417.176853658533</v>
      </c>
      <c r="K11" s="40">
        <f>IFERROR(IF('3-Year P&amp;L'!$B$9="","",-('3-Year P&amp;L'!$B$13*(1+'3-Year P&amp;L'!$G$13)+'3-Year P&amp;L'!$B$14*(1+'3-Year P&amp;L'!$G$14)+'3-Year P&amp;L'!$B$15*(1+'3-Year P&amp;L'!$G$15)+'3-Year P&amp;L'!$B$16*(1+'3-Year P&amp;L'!$G$16)+'3-Year P&amp;L'!$B$17*(1+'3-Year P&amp;L'!$G$17)+'3-Year P&amp;L'!$B$18*(1+'3-Year P&amp;L'!$G$18))*(K7*(1-MIN(30,'0. Assumptions'!$B$59)/30)+J7*MIN(30,'0. Assumptions'!$B$59)/30)),"")</f>
        <v>-14059.528902439026</v>
      </c>
      <c r="L11" s="40">
        <f>IFERROR(IF('3-Year P&amp;L'!$B$9="","",-('3-Year P&amp;L'!$B$13*(1+'3-Year P&amp;L'!$G$13)+'3-Year P&amp;L'!$B$14*(1+'3-Year P&amp;L'!$G$14)+'3-Year P&amp;L'!$B$15*(1+'3-Year P&amp;L'!$G$15)+'3-Year P&amp;L'!$B$16*(1+'3-Year P&amp;L'!$G$16)+'3-Year P&amp;L'!$B$17*(1+'3-Year P&amp;L'!$G$17)+'3-Year P&amp;L'!$B$18*(1+'3-Year P&amp;L'!$G$18))*(L7*(1-MIN(30,'0. Assumptions'!$B$59)/30)+K7*MIN(30,'0. Assumptions'!$B$59)/30)),"")</f>
        <v>-8062.455512195121</v>
      </c>
      <c r="M11" s="40">
        <f>IFERROR(IF('3-Year P&amp;L'!$B$9="","",-('3-Year P&amp;L'!$B$13*(1+'3-Year P&amp;L'!$G$13)+'3-Year P&amp;L'!$B$14*(1+'3-Year P&amp;L'!$G$14)+'3-Year P&amp;L'!$B$15*(1+'3-Year P&amp;L'!$G$15)+'3-Year P&amp;L'!$B$16*(1+'3-Year P&amp;L'!$G$16)+'3-Year P&amp;L'!$B$17*(1+'3-Year P&amp;L'!$G$17)+'3-Year P&amp;L'!$B$18*(1+'3-Year P&amp;L'!$G$18))*(M7*(1-MIN(30,'0. Assumptions'!$B$59)/30)+L7*MIN(30,'0. Assumptions'!$B$59)/30)),"")</f>
        <v>-6544.524073170731</v>
      </c>
      <c r="N11" s="40">
        <f>IFERROR(IF('3-Year P&amp;L'!$B$9="","",SUM(B11:M11)),"")</f>
        <v>-120862.18031707316</v>
      </c>
      <c r="O11" s="28" t="str">
        <f>IFERROR("Paella ingredient and add-on purchases, disposables and cooking fuel, fees and contingencies, each at ITS tax rate (column G of the P&amp;L; 0 in the US, where the sales tax you pay is part of the cost) and with the supplier payment days from "&amp;"""0. Assumptions""."&amp;IF('0. Assumptions'!$B$59=0,""," With "&amp;TEXT('0. Assumptions'!$B$59,"0")&amp;" payment days, the last purchases of the year are paid next year: the ""Year"" column of this row holds "&amp;TEXT(MAX(0,12-ROUNDUP('0. Assumptions'!$B$59/30,0)),"0")&amp;" months of purchases, not the year's cost."),"")</f>
        <v>Paella ingredient and add-on purchases, disposables and cooking fuel, fees and contingencies, each at ITS tax rate (column G of the P&amp;L; 0 in the US, where the sales tax you pay is part of the cost) and with the supplier payment days from "0. Assumptions". With 7 payment days, the last purchases of the year are paid next year: the "Year" column of this row holds 11 months of purchases, not the year's cost.</v>
      </c>
    </row>
    <row r="12">
      <c r="A12" s="28" t="inlineStr">
        <is>
          <t>Operating fixed costs (incl. sales tax)</t>
        </is>
      </c>
      <c r="B12" s="40">
        <f>IFERROR(IF('3-Year P&amp;L'!$B$9="","",-('3-Year P&amp;L'!$B$38-'3-Year P&amp;L'!$B$23-'3-Year P&amp;L'!$B$36-'3-Year P&amp;L'!$B$37+'3-Year P&amp;L'!$B$40)/12),"")</f>
        <v>-3800.0000000000014</v>
      </c>
      <c r="C12" s="40">
        <f>IFERROR(IF('3-Year P&amp;L'!$B$9="","",-('3-Year P&amp;L'!$B$38-'3-Year P&amp;L'!$B$23-'3-Year P&amp;L'!$B$36-'3-Year P&amp;L'!$B$37+'3-Year P&amp;L'!$B$40)/12),"")</f>
        <v>-3800.0000000000014</v>
      </c>
      <c r="D12" s="40">
        <f>IFERROR(IF('3-Year P&amp;L'!$B$9="","",-('3-Year P&amp;L'!$B$38-'3-Year P&amp;L'!$B$23-'3-Year P&amp;L'!$B$36-'3-Year P&amp;L'!$B$37+'3-Year P&amp;L'!$B$40)/12),"")</f>
        <v>-3800.0000000000014</v>
      </c>
      <c r="E12" s="40">
        <f>IFERROR(IF('3-Year P&amp;L'!$B$9="","",-('3-Year P&amp;L'!$B$38-'3-Year P&amp;L'!$B$23-'3-Year P&amp;L'!$B$36-'3-Year P&amp;L'!$B$37+'3-Year P&amp;L'!$B$40)/12),"")</f>
        <v>-3800.0000000000014</v>
      </c>
      <c r="F12" s="40">
        <f>IFERROR(IF('3-Year P&amp;L'!$B$9="","",-('3-Year P&amp;L'!$B$38-'3-Year P&amp;L'!$B$23-'3-Year P&amp;L'!$B$36-'3-Year P&amp;L'!$B$37+'3-Year P&amp;L'!$B$40)/12),"")</f>
        <v>-3800.0000000000014</v>
      </c>
      <c r="G12" s="40">
        <f>IFERROR(IF('3-Year P&amp;L'!$B$9="","",-('3-Year P&amp;L'!$B$38-'3-Year P&amp;L'!$B$23-'3-Year P&amp;L'!$B$36-'3-Year P&amp;L'!$B$37+'3-Year P&amp;L'!$B$40)/12),"")</f>
        <v>-3800.0000000000014</v>
      </c>
      <c r="H12" s="40">
        <f>IFERROR(IF('3-Year P&amp;L'!$B$9="","",-('3-Year P&amp;L'!$B$38-'3-Year P&amp;L'!$B$23-'3-Year P&amp;L'!$B$36-'3-Year P&amp;L'!$B$37+'3-Year P&amp;L'!$B$40)/12),"")</f>
        <v>-3800.0000000000014</v>
      </c>
      <c r="I12" s="40">
        <f>IFERROR(IF('3-Year P&amp;L'!$B$9="","",-('3-Year P&amp;L'!$B$38-'3-Year P&amp;L'!$B$23-'3-Year P&amp;L'!$B$36-'3-Year P&amp;L'!$B$37+'3-Year P&amp;L'!$B$40)/12),"")</f>
        <v>-3800.0000000000014</v>
      </c>
      <c r="J12" s="40">
        <f>IFERROR(IF('3-Year P&amp;L'!$B$9="","",-('3-Year P&amp;L'!$B$38-'3-Year P&amp;L'!$B$23-'3-Year P&amp;L'!$B$36-'3-Year P&amp;L'!$B$37+'3-Year P&amp;L'!$B$40)/12),"")</f>
        <v>-3800.0000000000014</v>
      </c>
      <c r="K12" s="40">
        <f>IFERROR(IF('3-Year P&amp;L'!$B$9="","",-('3-Year P&amp;L'!$B$38-'3-Year P&amp;L'!$B$23-'3-Year P&amp;L'!$B$36-'3-Year P&amp;L'!$B$37+'3-Year P&amp;L'!$B$40)/12),"")</f>
        <v>-3800.0000000000014</v>
      </c>
      <c r="L12" s="40">
        <f>IFERROR(IF('3-Year P&amp;L'!$B$9="","",-('3-Year P&amp;L'!$B$38-'3-Year P&amp;L'!$B$23-'3-Year P&amp;L'!$B$36-'3-Year P&amp;L'!$B$37+'3-Year P&amp;L'!$B$40)/12),"")</f>
        <v>-3800.0000000000014</v>
      </c>
      <c r="M12" s="40">
        <f>IFERROR(IF('3-Year P&amp;L'!$B$9="","",-('3-Year P&amp;L'!$B$38-'3-Year P&amp;L'!$B$23-'3-Year P&amp;L'!$B$36-'3-Year P&amp;L'!$B$37+'3-Year P&amp;L'!$B$40)/12),"")</f>
        <v>-3800.0000000000014</v>
      </c>
      <c r="N12" s="40">
        <f>IFERROR(IF('3-Year P&amp;L'!$B$9="","",SUM(B12:M12)),"")</f>
        <v>-45600.000000000015</v>
      </c>
      <c r="O12" s="28" t="inlineStr">
        <is>
          <t>The fixed costs that leave cash, each with its own tax rate: insurance carries none</t>
        </is>
      </c>
    </row>
    <row r="13">
      <c r="A13" s="28" t="inlineStr">
        <is>
          <t>Payroll and employer payroll taxes</t>
        </is>
      </c>
      <c r="B13" s="40">
        <f>IFERROR(IF('3-Year P&amp;L'!$B$9="","",-'3-Year P&amp;L'!$B$23/MAX(12,'0. Assumptions'!$B$21)*(1+IF(1='0. Assumptions'!$B$60,(MAX(12,'0. Assumptions'!$B$21)-12)/2,0)+IF(1='0. Assumptions'!$B$61,(MAX(12,'0. Assumptions'!$B$21)-12)/2,0))),"")</f>
        <v>-8828.6</v>
      </c>
      <c r="C13" s="40">
        <f>IFERROR(IF('3-Year P&amp;L'!$B$9="","",-'3-Year P&amp;L'!$B$23/MAX(12,'0. Assumptions'!$B$21)*(1+IF(2='0. Assumptions'!$B$60,(MAX(12,'0. Assumptions'!$B$21)-12)/2,0)+IF(2='0. Assumptions'!$B$61,(MAX(12,'0. Assumptions'!$B$21)-12)/2,0))),"")</f>
        <v>-8828.6</v>
      </c>
      <c r="D13" s="40">
        <f>IFERROR(IF('3-Year P&amp;L'!$B$9="","",-'3-Year P&amp;L'!$B$23/MAX(12,'0. Assumptions'!$B$21)*(1+IF(3='0. Assumptions'!$B$60,(MAX(12,'0. Assumptions'!$B$21)-12)/2,0)+IF(3='0. Assumptions'!$B$61,(MAX(12,'0. Assumptions'!$B$21)-12)/2,0))),"")</f>
        <v>-8828.6</v>
      </c>
      <c r="E13" s="40">
        <f>IFERROR(IF('3-Year P&amp;L'!$B$9="","",-'3-Year P&amp;L'!$B$23/MAX(12,'0. Assumptions'!$B$21)*(1+IF(4='0. Assumptions'!$B$60,(MAX(12,'0. Assumptions'!$B$21)-12)/2,0)+IF(4='0. Assumptions'!$B$61,(MAX(12,'0. Assumptions'!$B$21)-12)/2,0))),"")</f>
        <v>-8828.6</v>
      </c>
      <c r="F13" s="40">
        <f>IFERROR(IF('3-Year P&amp;L'!$B$9="","",-'3-Year P&amp;L'!$B$23/MAX(12,'0. Assumptions'!$B$21)*(1+IF(5='0. Assumptions'!$B$60,(MAX(12,'0. Assumptions'!$B$21)-12)/2,0)+IF(5='0. Assumptions'!$B$61,(MAX(12,'0. Assumptions'!$B$21)-12)/2,0))),"")</f>
        <v>-8828.6</v>
      </c>
      <c r="G13" s="40">
        <f>IFERROR(IF('3-Year P&amp;L'!$B$9="","",-'3-Year P&amp;L'!$B$23/MAX(12,'0. Assumptions'!$B$21)*(1+IF(6='0. Assumptions'!$B$60,(MAX(12,'0. Assumptions'!$B$21)-12)/2,0)+IF(6='0. Assumptions'!$B$61,(MAX(12,'0. Assumptions'!$B$21)-12)/2,0))),"")</f>
        <v>-8828.6</v>
      </c>
      <c r="H13" s="40">
        <f>IFERROR(IF('3-Year P&amp;L'!$B$9="","",-'3-Year P&amp;L'!$B$23/MAX(12,'0. Assumptions'!$B$21)*(1+IF(7='0. Assumptions'!$B$60,(MAX(12,'0. Assumptions'!$B$21)-12)/2,0)+IF(7='0. Assumptions'!$B$61,(MAX(12,'0. Assumptions'!$B$21)-12)/2,0))),"")</f>
        <v>-8828.6</v>
      </c>
      <c r="I13" s="40">
        <f>IFERROR(IF('3-Year P&amp;L'!$B$9="","",-'3-Year P&amp;L'!$B$23/MAX(12,'0. Assumptions'!$B$21)*(1+IF(8='0. Assumptions'!$B$60,(MAX(12,'0. Assumptions'!$B$21)-12)/2,0)+IF(8='0. Assumptions'!$B$61,(MAX(12,'0. Assumptions'!$B$21)-12)/2,0))),"")</f>
        <v>-8828.6</v>
      </c>
      <c r="J13" s="40">
        <f>IFERROR(IF('3-Year P&amp;L'!$B$9="","",-'3-Year P&amp;L'!$B$23/MAX(12,'0. Assumptions'!$B$21)*(1+IF(9='0. Assumptions'!$B$60,(MAX(12,'0. Assumptions'!$B$21)-12)/2,0)+IF(9='0. Assumptions'!$B$61,(MAX(12,'0. Assumptions'!$B$21)-12)/2,0))),"")</f>
        <v>-8828.6</v>
      </c>
      <c r="K13" s="40">
        <f>IFERROR(IF('3-Year P&amp;L'!$B$9="","",-'3-Year P&amp;L'!$B$23/MAX(12,'0. Assumptions'!$B$21)*(1+IF(10='0. Assumptions'!$B$60,(MAX(12,'0. Assumptions'!$B$21)-12)/2,0)+IF(10='0. Assumptions'!$B$61,(MAX(12,'0. Assumptions'!$B$21)-12)/2,0))),"")</f>
        <v>-8828.6</v>
      </c>
      <c r="L13" s="40">
        <f>IFERROR(IF('3-Year P&amp;L'!$B$9="","",-'3-Year P&amp;L'!$B$23/MAX(12,'0. Assumptions'!$B$21)*(1+IF(11='0. Assumptions'!$B$60,(MAX(12,'0. Assumptions'!$B$21)-12)/2,0)+IF(11='0. Assumptions'!$B$61,(MAX(12,'0. Assumptions'!$B$21)-12)/2,0))),"")</f>
        <v>-8828.6</v>
      </c>
      <c r="M13" s="40">
        <f>IFERROR(IF('3-Year P&amp;L'!$B$9="","",-'3-Year P&amp;L'!$B$23/MAX(12,'0. Assumptions'!$B$21)*(1+IF(12='0. Assumptions'!$B$60,(MAX(12,'0. Assumptions'!$B$21)-12)/2,0)+IF(12='0. Assumptions'!$B$61,(MAX(12,'0. Assumptions'!$B$21)-12)/2,0))),"")</f>
        <v>-8828.6</v>
      </c>
      <c r="N13" s="40">
        <f>IFERROR(IF('3-Year P&amp;L'!$B$9="","",SUM(B13:M13)),"")</f>
        <v>-105943.20000000001</v>
      </c>
      <c r="O13" s="28" t="inlineStr">
        <is>
          <t>Twelve monthly installments plus extra pay periods in the months you set in Assumptions (only if pay periods &gt; 12). The total for the year is the same as the P&amp;L's</t>
        </is>
      </c>
    </row>
    <row r="14">
      <c r="A14" s="28" t="inlineStr">
        <is>
          <t>Loan interest</t>
        </is>
      </c>
      <c r="B14" s="40">
        <f>IFERROR(IF('3-Year P&amp;L'!$B$9="","",-Financing!$B$44/12),"")</f>
        <v>-533.3333333333334</v>
      </c>
      <c r="C14" s="40">
        <f>IFERROR(IF('3-Year P&amp;L'!$B$9="","",-Financing!$B$44/12),"")</f>
        <v>-533.3333333333334</v>
      </c>
      <c r="D14" s="40">
        <f>IFERROR(IF('3-Year P&amp;L'!$B$9="","",-Financing!$B$44/12),"")</f>
        <v>-533.3333333333334</v>
      </c>
      <c r="E14" s="40">
        <f>IFERROR(IF('3-Year P&amp;L'!$B$9="","",-Financing!$B$44/12),"")</f>
        <v>-533.3333333333334</v>
      </c>
      <c r="F14" s="40">
        <f>IFERROR(IF('3-Year P&amp;L'!$B$9="","",-Financing!$B$44/12),"")</f>
        <v>-533.3333333333334</v>
      </c>
      <c r="G14" s="40">
        <f>IFERROR(IF('3-Year P&amp;L'!$B$9="","",-Financing!$B$44/12),"")</f>
        <v>-533.3333333333334</v>
      </c>
      <c r="H14" s="40">
        <f>IFERROR(IF('3-Year P&amp;L'!$B$9="","",-Financing!$B$44/12),"")</f>
        <v>-533.3333333333334</v>
      </c>
      <c r="I14" s="40">
        <f>IFERROR(IF('3-Year P&amp;L'!$B$9="","",-Financing!$B$44/12),"")</f>
        <v>-533.3333333333334</v>
      </c>
      <c r="J14" s="40">
        <f>IFERROR(IF('3-Year P&amp;L'!$B$9="","",-Financing!$B$44/12),"")</f>
        <v>-533.3333333333334</v>
      </c>
      <c r="K14" s="40">
        <f>IFERROR(IF('3-Year P&amp;L'!$B$9="","",-Financing!$B$44/12),"")</f>
        <v>-533.3333333333334</v>
      </c>
      <c r="L14" s="40">
        <f>IFERROR(IF('3-Year P&amp;L'!$B$9="","",-Financing!$B$44/12),"")</f>
        <v>-533.3333333333334</v>
      </c>
      <c r="M14" s="40">
        <f>IFERROR(IF('3-Year P&amp;L'!$B$9="","",-Financing!$B$44/12),"")</f>
        <v>-533.3333333333334</v>
      </c>
      <c r="N14" s="40">
        <f>IFERROR(IF('3-Year P&amp;L'!$B$9="","",SUM(B14:M14)),"")</f>
        <v>-6400.0</v>
      </c>
      <c r="O14" s="28" t="n"/>
    </row>
    <row r="15">
      <c r="A15" s="28" t="inlineStr">
        <is>
          <t>Loan principal repaid</t>
        </is>
      </c>
      <c r="B15" s="40">
        <f>IFERROR(IF('3-Year P&amp;L'!$B$9="","",-Financing!$B$45/12),"")</f>
        <v>-562.162665069843</v>
      </c>
      <c r="C15" s="40">
        <f>IFERROR(IF('3-Year P&amp;L'!$B$9="","",-Financing!$B$45/12),"")</f>
        <v>-562.162665069843</v>
      </c>
      <c r="D15" s="40">
        <f>IFERROR(IF('3-Year P&amp;L'!$B$9="","",-Financing!$B$45/12),"")</f>
        <v>-562.162665069843</v>
      </c>
      <c r="E15" s="40">
        <f>IFERROR(IF('3-Year P&amp;L'!$B$9="","",-Financing!$B$45/12),"")</f>
        <v>-562.162665069843</v>
      </c>
      <c r="F15" s="40">
        <f>IFERROR(IF('3-Year P&amp;L'!$B$9="","",-Financing!$B$45/12),"")</f>
        <v>-562.162665069843</v>
      </c>
      <c r="G15" s="40">
        <f>IFERROR(IF('3-Year P&amp;L'!$B$9="","",-Financing!$B$45/12),"")</f>
        <v>-562.162665069843</v>
      </c>
      <c r="H15" s="40">
        <f>IFERROR(IF('3-Year P&amp;L'!$B$9="","",-Financing!$B$45/12),"")</f>
        <v>-562.162665069843</v>
      </c>
      <c r="I15" s="40">
        <f>IFERROR(IF('3-Year P&amp;L'!$B$9="","",-Financing!$B$45/12),"")</f>
        <v>-562.162665069843</v>
      </c>
      <c r="J15" s="40">
        <f>IFERROR(IF('3-Year P&amp;L'!$B$9="","",-Financing!$B$45/12),"")</f>
        <v>-562.162665069843</v>
      </c>
      <c r="K15" s="40">
        <f>IFERROR(IF('3-Year P&amp;L'!$B$9="","",-Financing!$B$45/12),"")</f>
        <v>-562.162665069843</v>
      </c>
      <c r="L15" s="40">
        <f>IFERROR(IF('3-Year P&amp;L'!$B$9="","",-Financing!$B$45/12),"")</f>
        <v>-562.162665069843</v>
      </c>
      <c r="M15" s="40">
        <f>IFERROR(IF('3-Year P&amp;L'!$B$9="","",-Financing!$B$45/12),"")</f>
        <v>-562.162665069843</v>
      </c>
      <c r="N15" s="40">
        <f>IFERROR(IF('3-Year P&amp;L'!$B$9="","",SUM(B15:M15)),"")</f>
        <v>-6745.951980838116</v>
      </c>
      <c r="O15" s="28" t="n"/>
    </row>
    <row r="16">
      <c r="A16" s="28" t="inlineStr">
        <is>
          <t>Sales tax collected (memo)</t>
        </is>
      </c>
      <c r="B16" s="40">
        <f>IFERROR(IF('3-Year P&amp;L'!$B$9="","",'3-Year P&amp;L'!$B$9*B7*SUMPRODUCT('3-Year P&amp;L'!$E$10:$E$11,'3-Year P&amp;L'!$G$10:$G$11)),"")</f>
        <v>1069.4634146341464</v>
      </c>
      <c r="C16" s="40">
        <f>IFERROR(IF('3-Year P&amp;L'!$B$9="","",'3-Year P&amp;L'!$B$9*C7*SUMPRODUCT('3-Year P&amp;L'!$E$10:$E$11,'3-Year P&amp;L'!$G$10:$G$11)),"")</f>
        <v>1571.4564459930311</v>
      </c>
      <c r="D16" s="40">
        <f>IFERROR(IF('3-Year P&amp;L'!$B$9="","",'3-Year P&amp;L'!$B$9*D7*SUMPRODUCT('3-Year P&amp;L'!$E$10:$E$11,'3-Year P&amp;L'!$G$10:$G$11)),"")</f>
        <v>2258.9686411149823</v>
      </c>
      <c r="E16" s="40">
        <f>IFERROR(IF('3-Year P&amp;L'!$B$9="","",'3-Year P&amp;L'!$B$9*E7*SUMPRODUCT('3-Year P&amp;L'!$E$10:$E$11,'3-Year P&amp;L'!$G$10:$G$11)),"")</f>
        <v>2400.836236933798</v>
      </c>
      <c r="F16" s="40">
        <f>IFERROR(IF('3-Year P&amp;L'!$B$9="","",'3-Year P&amp;L'!$B$9*F7*SUMPRODUCT('3-Year P&amp;L'!$E$10:$E$11,'3-Year P&amp;L'!$G$10:$G$11)),"")</f>
        <v>1920.6689895470383</v>
      </c>
      <c r="G16" s="40">
        <f>IFERROR(IF('3-Year P&amp;L'!$B$9="","",'3-Year P&amp;L'!$B$9*G7*SUMPRODUCT('3-Year P&amp;L'!$E$10:$E$11,'3-Year P&amp;L'!$G$10:$G$11)),"")</f>
        <v>1833.365853658537</v>
      </c>
      <c r="H16" s="40">
        <f>IFERROR(IF('3-Year P&amp;L'!$B$9="","",'3-Year P&amp;L'!$B$9*H7*SUMPRODUCT('3-Year P&amp;L'!$E$10:$E$11,'3-Year P&amp;L'!$G$10:$G$11)),"")</f>
        <v>2695.484320557491</v>
      </c>
      <c r="I16" s="40">
        <f>IFERROR(IF('3-Year P&amp;L'!$B$9="","",'3-Year P&amp;L'!$B$9*I7*SUMPRODUCT('3-Year P&amp;L'!$E$10:$E$11,'3-Year P&amp;L'!$G$10:$G$11)),"")</f>
        <v>3361.1707317073165</v>
      </c>
      <c r="J16" s="40">
        <f>IFERROR(IF('3-Year P&amp;L'!$B$9="","",'3-Year P&amp;L'!$B$9*J7*SUMPRODUCT('3-Year P&amp;L'!$E$10:$E$11,'3-Year P&amp;L'!$G$10:$G$11)),"")</f>
        <v>2291.7073170731705</v>
      </c>
      <c r="K16" s="40">
        <f>IFERROR(IF('3-Year P&amp;L'!$B$9="","",'3-Year P&amp;L'!$B$9*K7*SUMPRODUCT('3-Year P&amp;L'!$E$10:$E$11,'3-Year P&amp;L'!$G$10:$G$11)),"")</f>
        <v>3055.609756097561</v>
      </c>
      <c r="L16" s="40">
        <f>IFERROR(IF('3-Year P&amp;L'!$B$9="","",'3-Year P&amp;L'!$B$9*L7*SUMPRODUCT('3-Year P&amp;L'!$E$10:$E$11,'3-Year P&amp;L'!$G$10:$G$11)),"")</f>
        <v>1222.2439024390242</v>
      </c>
      <c r="M16" s="40">
        <f>IFERROR(IF('3-Year P&amp;L'!$B$9="","",'3-Year P&amp;L'!$B$9*M7*SUMPRODUCT('3-Year P&amp;L'!$E$10:$E$11,'3-Year P&amp;L'!$G$10:$G$11)),"")</f>
        <v>1375.0243902439022</v>
      </c>
      <c r="N16" s="40">
        <f>IFERROR(IF('3-Year P&amp;L'!$B$9="","",SUM(B16:M16)),"")</f>
        <v>25056.0</v>
      </c>
      <c r="O16" s="28" t="inlineStr">
        <is>
          <t>Each sales line at ITS OWN rate, read from the sales tax column of the P&amp;L (alcohol to go has its own rate cell in the Assumptions tab)</t>
        </is>
      </c>
    </row>
    <row r="17">
      <c r="A17" s="28" t="inlineStr">
        <is>
          <t>Recoverable input tax (memo)</t>
        </is>
      </c>
      <c r="B17" s="40">
        <f>IFERROR(IF('3-Year P&amp;L'!$B$9="","",'3-Year P&amp;L'!$B$39*B7+'3-Year P&amp;L'!$B$40/12),"")</f>
        <v>0.0</v>
      </c>
      <c r="C17" s="40">
        <f>IFERROR(IF('3-Year P&amp;L'!$B$9="","",'3-Year P&amp;L'!$B$39*C7+'3-Year P&amp;L'!$B$40/12),"")</f>
        <v>0.0</v>
      </c>
      <c r="D17" s="40">
        <f>IFERROR(IF('3-Year P&amp;L'!$B$9="","",'3-Year P&amp;L'!$B$39*D7+'3-Year P&amp;L'!$B$40/12),"")</f>
        <v>0.0</v>
      </c>
      <c r="E17" s="40">
        <f>IFERROR(IF('3-Year P&amp;L'!$B$9="","",'3-Year P&amp;L'!$B$39*E7+'3-Year P&amp;L'!$B$40/12),"")</f>
        <v>0.0</v>
      </c>
      <c r="F17" s="40">
        <f>IFERROR(IF('3-Year P&amp;L'!$B$9="","",'3-Year P&amp;L'!$B$39*F7+'3-Year P&amp;L'!$B$40/12),"")</f>
        <v>0.0</v>
      </c>
      <c r="G17" s="40">
        <f>IFERROR(IF('3-Year P&amp;L'!$B$9="","",'3-Year P&amp;L'!$B$39*G7+'3-Year P&amp;L'!$B$40/12),"")</f>
        <v>0.0</v>
      </c>
      <c r="H17" s="40">
        <f>IFERROR(IF('3-Year P&amp;L'!$B$9="","",'3-Year P&amp;L'!$B$39*H7+'3-Year P&amp;L'!$B$40/12),"")</f>
        <v>0.0</v>
      </c>
      <c r="I17" s="40">
        <f>IFERROR(IF('3-Year P&amp;L'!$B$9="","",'3-Year P&amp;L'!$B$39*I7+'3-Year P&amp;L'!$B$40/12),"")</f>
        <v>0.0</v>
      </c>
      <c r="J17" s="40">
        <f>IFERROR(IF('3-Year P&amp;L'!$B$9="","",'3-Year P&amp;L'!$B$39*J7+'3-Year P&amp;L'!$B$40/12),"")</f>
        <v>0.0</v>
      </c>
      <c r="K17" s="40">
        <f>IFERROR(IF('3-Year P&amp;L'!$B$9="","",'3-Year P&amp;L'!$B$39*K7+'3-Year P&amp;L'!$B$40/12),"")</f>
        <v>0.0</v>
      </c>
      <c r="L17" s="40">
        <f>IFERROR(IF('3-Year P&amp;L'!$B$9="","",'3-Year P&amp;L'!$B$39*L7+'3-Year P&amp;L'!$B$40/12),"")</f>
        <v>0.0</v>
      </c>
      <c r="M17" s="40">
        <f>IFERROR(IF('3-Year P&amp;L'!$B$9="","",'3-Year P&amp;L'!$B$39*M7+'3-Year P&amp;L'!$B$40/12),"")</f>
        <v>0.0</v>
      </c>
      <c r="N17" s="40">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40">
        <f>IFERROR(IF('3-Year P&amp;L'!$B$9="","",'Startup Costs'!$B$28),"")</f>
        <v>0.0</v>
      </c>
      <c r="F18" s="28" t="n"/>
      <c r="G18" s="28" t="n"/>
      <c r="H18" s="40">
        <f>IFERROR(IF('3-Year P&amp;L'!$B$9="","",MAX(0,-E19)),"")</f>
        <v>0.0</v>
      </c>
      <c r="I18" s="28" t="n"/>
      <c r="J18" s="28" t="n"/>
      <c r="K18" s="40">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40">
        <f>IFERROR(IF('3-Year P&amp;L'!$B$9="","",SUM(B16:D16)-SUM(B17:D17)-E18),"")</f>
        <v>4899.88850174216</v>
      </c>
      <c r="F19" s="28" t="n"/>
      <c r="G19" s="28" t="n"/>
      <c r="H19" s="40">
        <f>IFERROR(IF('3-Year P&amp;L'!$B$9="","",SUM(E16:G16)-SUM(E17:G17)-H18),"")</f>
        <v>6154.871080139374</v>
      </c>
      <c r="I19" s="28" t="n"/>
      <c r="J19" s="28" t="n"/>
      <c r="K19" s="40">
        <f>IFERROR(IF('3-Year P&amp;L'!$B$9="","",SUM(H16:J16)-SUM(H17:J17)-K18),"")</f>
        <v>8348.362369337978</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40">
        <f>IFERROR(IF('3-Year P&amp;L'!$B$9="","",IF(E19&lt;=0,"",-E19)),"")</f>
        <v>-4899.88850174216</v>
      </c>
      <c r="F20" s="28" t="n"/>
      <c r="G20" s="28" t="n"/>
      <c r="H20" s="40">
        <f>IFERROR(IF('3-Year P&amp;L'!$B$9="","",IF(H19&lt;=0,"",-H19)),"")</f>
        <v>-6154.871080139374</v>
      </c>
      <c r="I20" s="28" t="n"/>
      <c r="J20" s="28" t="n"/>
      <c r="K20" s="40">
        <f>IFERROR(IF('3-Year P&amp;L'!$B$9="","",IF(K19&lt;=0,"",-K19)),"")</f>
        <v>-8348.362369337978</v>
      </c>
      <c r="L20" s="28" t="n"/>
      <c r="M20" s="28" t="n"/>
      <c r="N20" s="40">
        <f>IFERROR(IF('3-Year P&amp;L'!$B$9="","",SUM(B20:M20)),"")</f>
        <v>-19403.12195121951</v>
      </c>
      <c r="O20" s="28"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and the fourth quarter in Month 13: April, July, October and January when Month 1 is January): if your state requires monthly filing, expect smaller payments every month instead</t>
        </is>
      </c>
    </row>
    <row r="21">
      <c r="A21" s="25" t="inlineStr">
        <is>
          <t>MONTHLY NET CASH FLOW</t>
        </is>
      </c>
      <c r="B21" s="66">
        <f>IFERROR(IF('3-Year P&amp;L'!$B$9="","",SUM(B9:B15)+IF(B20="",0,B20)),"")</f>
        <v>-6661.493291086106</v>
      </c>
      <c r="C21" s="66">
        <f>IFERROR(IF('3-Year P&amp;L'!$B$9="","",SUM(C9:C15)+IF(C20="",0,C20)),"")</f>
        <v>-1196.9062806331447</v>
      </c>
      <c r="D21" s="66">
        <f>IFERROR(IF('3-Year P&amp;L'!$B$9="","",SUM(D9:D15)+IF(D20="",0,D20)),"")</f>
        <v>4352.281560830268</v>
      </c>
      <c r="E21" s="66">
        <f>IFERROR(IF('3-Year P&amp;L'!$B$9="","",SUM(E9:E15)+IF(E20="",0,E20)),"")</f>
        <v>1771.082501596822</v>
      </c>
      <c r="F21" s="66">
        <f>IFERROR(IF('3-Year P&amp;L'!$B$9="","",SUM(F9:F15)+IF(F20="",0,F20)),"")</f>
        <v>3785.142656649086</v>
      </c>
      <c r="G21" s="66">
        <f>IFERROR(IF('3-Year P&amp;L'!$B$9="","",SUM(G9:G15)+IF(G20="",0,G20)),"")</f>
        <v>2243.5275137919425</v>
      </c>
      <c r="H21" s="66">
        <f>IFERROR(IF('3-Year P&amp;L'!$B$9="","",SUM(H9:H15)+IF(H20="",0,H20)),"")</f>
        <v>1606.5106340010034</v>
      </c>
      <c r="I21" s="66">
        <f>IFERROR(IF('3-Year P&amp;L'!$B$9="","",SUM(I9:I15)+IF(I20="",0,I20)),"")</f>
        <v>13890.241916230962</v>
      </c>
      <c r="J21" s="66">
        <f>IFERROR(IF('3-Year P&amp;L'!$B$9="","",SUM(J9:J15)+IF(J20="",0,J20)),"")</f>
        <v>8165.585684523648</v>
      </c>
      <c r="K21" s="66">
        <f>IFERROR(IF('3-Year P&amp;L'!$B$9="","",SUM(K9:K15)+IF(K20="",0,K20)),"")</f>
        <v>2712.451754210064</v>
      </c>
      <c r="L21" s="66">
        <f>IFERROR(IF('3-Year P&amp;L'!$B$9="","",SUM(L9:L15)+IF(L20="",0,L20)),"")</f>
        <v>488.84361135291795</v>
      </c>
      <c r="M21" s="66">
        <f>IFERROR(IF('3-Year P&amp;L'!$B$9="","",SUM(M9:M15)+IF(M20="",0,M20)),"")</f>
        <v>-2187.049339866596</v>
      </c>
      <c r="N21" s="66">
        <f>IFERROR(IF('3-Year P&amp;L'!$B$9="","",SUM(B21:M21)),"")</f>
        <v>28970.218921600866</v>
      </c>
      <c r="O21" s="28" t="n"/>
    </row>
    <row r="22">
      <c r="A22" s="25" t="inlineStr">
        <is>
          <t>CUMULATIVE CASH BALANCE</t>
        </is>
      </c>
      <c r="B22" s="66">
        <f>IFERROR(IF('3-Year P&amp;L'!$B$9="","",'Startup Costs'!$B$25+B21),"")</f>
        <v>32824.30670891389</v>
      </c>
      <c r="C22" s="66">
        <f>IFERROR(IF('3-Year P&amp;L'!$B$9="","",B22+C21),"")</f>
        <v>31627.400428280747</v>
      </c>
      <c r="D22" s="66">
        <f>IFERROR(IF('3-Year P&amp;L'!$B$9="","",C22+D21),"")</f>
        <v>35979.68198911101</v>
      </c>
      <c r="E22" s="66">
        <f>IFERROR(IF('3-Year P&amp;L'!$B$9="","",D22+E21),"")</f>
        <v>37750.764490707836</v>
      </c>
      <c r="F22" s="66">
        <f>IFERROR(IF('3-Year P&amp;L'!$B$9="","",E22+F21),"")</f>
        <v>41535.90714735692</v>
      </c>
      <c r="G22" s="66">
        <f>IFERROR(IF('3-Year P&amp;L'!$B$9="","",F22+G21),"")</f>
        <v>43779.434661148865</v>
      </c>
      <c r="H22" s="66">
        <f>IFERROR(IF('3-Year P&amp;L'!$B$9="","",G22+H21),"")</f>
        <v>45385.94529514987</v>
      </c>
      <c r="I22" s="66">
        <f>IFERROR(IF('3-Year P&amp;L'!$B$9="","",H22+I21),"")</f>
        <v>59276.18721138083</v>
      </c>
      <c r="J22" s="66">
        <f>IFERROR(IF('3-Year P&amp;L'!$B$9="","",I22+J21),"")</f>
        <v>67441.77289590448</v>
      </c>
      <c r="K22" s="66">
        <f>IFERROR(IF('3-Year P&amp;L'!$B$9="","",J22+K21),"")</f>
        <v>70154.22465011454</v>
      </c>
      <c r="L22" s="66">
        <f>IFERROR(IF('3-Year P&amp;L'!$B$9="","",K22+L21),"")</f>
        <v>70643.06826146746</v>
      </c>
      <c r="M22" s="66">
        <f>IFERROR(IF('3-Year P&amp;L'!$B$9="","",L22+M21),"")</f>
        <v>68456.01892160086</v>
      </c>
      <c r="N22" s="28" t="n"/>
      <c r="O22" s="28" t="n"/>
    </row>
    <row r="23">
      <c r="A23" s="28" t="inlineStr">
        <is>
          <t>Minimum balance of the year</t>
        </is>
      </c>
      <c r="B23" s="40">
        <f>IFERROR(IF('3-Year P&amp;L'!$B$9="","",IF(COUNT(B22:M22)=0,"",MIN(B22:M22))),"")</f>
        <v>31627.400428280747</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40">
        <f>IFERROR(IF('3-Year P&amp;L'!$B$9="","",IF(COUNT(B22:M22)=0,"",MATCH(MIN(B22:M22),B22:M22,0))),"")</f>
        <v>2.0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40">
        <f>IFERROR(IF('3-Year P&amp;L'!$B$9="","",'3-Year P&amp;L'!$B$48+'3-Year P&amp;L'!$B$36+Financing!$B$44),"")</f>
        <v>32453.76142857142</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40">
        <f>IFERROR(IF('3-Year P&amp;L'!$B$9="","",'3-Year P&amp;L'!$C$48+'3-Year P&amp;L'!$C$36+Financing!$B$46),"")</f>
        <v>43592.87162905045</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40">
        <f>IFERROR(IF('3-Year P&amp;L'!$B$9="","",'3-Year P&amp;L'!$D$48+'3-Year P&amp;L'!$D$36+Financing!$B$48),"")</f>
        <v>49850.4788895774</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40">
        <f>IFERROR(IF('3-Year P&amp;L'!$B$9="","",N21+Financing!$B$44+Financing!$B$45),"")</f>
        <v>42116.170902438986</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40">
        <f>IFERROR(IF('3-Year P&amp;L'!$B$9="","",'Startup Costs'!$B$29-'Startup Costs'!$B$28),"")</f>
        <v>88965.8</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f>IFERROR(IF('3-Year P&amp;L'!$B$9="","",IF(B26&gt;=B30,ROUND(B30/B26,1),IF(B26+B27&gt;=B30,ROUND(1+(B30-B26)/B27,1),IF(B26+B27+B28&gt;=B30,ROUND(2+(B30-B26-B27)/B28,1),"Over 3 years")))),"")</f>
        <v>2.3</v>
      </c>
      <c r="C31" s="28" t="n"/>
      <c r="D31" s="25" t="inlineStr">
        <is>
          <t>Measures how long the business takes to repay the investment with what it generates BEFORE paying the lender, on the SAME cash flow basis in all three years. Whether you can afford the loan payment is shown by the DSCR in the Financing tab</t>
        </is>
      </c>
      <c r="E31" s="28" t="n"/>
      <c r="F31" s="28" t="n"/>
      <c r="G31" s="28" t="n"/>
      <c r="H31" s="28" t="n"/>
      <c r="I31" s="28" t="n"/>
      <c r="J31" s="28" t="n"/>
      <c r="K31" s="28" t="n"/>
      <c r="L31" s="28" t="n"/>
      <c r="M31" s="28" t="n"/>
      <c r="N31" s="28" t="n"/>
      <c r="O31" s="28" t="n"/>
    </row>
    <row r="32">
      <c r="A32" s="28" t="inlineStr">
        <is>
          <t>Payback on CAPEX, excluding working capital (years)</t>
        </is>
      </c>
      <c r="B32" s="28">
        <f>IFERROR(IF('3-Year P&amp;L'!$B$9="","",IF(B26&gt;='Startup Costs'!$B$27,ROUND('Startup Costs'!$B$27/B26,1),IF(B26+B27&gt;='Startup Costs'!$B$27,ROUND(1+('Startup Costs'!$B$27-B26)/B27,1),IF(B26+B27+B28&gt;='Startup Costs'!$B$27,ROUND(2+('Startup Costs'!$B$27-B26-B27)/B28,1),"Over 3 years")))),"")</f>
        <v>1.4</v>
      </c>
      <c r="C32" s="28" t="n"/>
      <c r="D32" s="28" t="inlineStr">
        <is>
          <t>The same calculation on what you BUY (burners and pans, van, upfits, propane kit, event setup, launch and formation costs), without working capital: that money is not spent, it is tied up and comes back when the business closes. For reference only: the payback that matters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34.75" customHeight="1">
      <c r="A34" s="46" t="inlineStr">
        <is>
          <t>Fourth-quarter sales tax is settled in Month 13 (January of the following year when Month 1 is January),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40">
        <f>IFERROR(IF('0. Assumptions'!$B$30="","",'0. Assumptions'!$B$30),"")</f>
        <v>25000.0</v>
      </c>
      <c r="C6" s="28" t="n"/>
      <c r="D6" s="28" t="n"/>
      <c r="E6" s="28" t="n"/>
      <c r="F6" s="28" t="n"/>
      <c r="G6" s="28" t="n"/>
      <c r="H6" s="28" t="n"/>
    </row>
    <row r="7">
      <c r="A7" s="28" t="inlineStr">
        <is>
          <t>Loan requested — bank or SBA 7(a) (amortized below)</t>
        </is>
      </c>
      <c r="B7" s="40">
        <f>IFERROR(IF('0. Assumptions'!$B$31="","",'0. Assumptions'!$B$31),"")</f>
        <v>64000.0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66">
        <f>IFERROR(IF(COUNT(B6:B11)=0,"",SUM(B6:B11)),"")</f>
        <v>89000.0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40">
        <f>IFERROR(IF('Startup Costs'!$B$29="","",'Startup Costs'!$B$29),"")</f>
        <v>88965.8</v>
      </c>
      <c r="C14" s="28" t="inlineStr">
        <is>
          <t>Startup costs plus any recoverable tax you have to advance (zero by default in the US)</t>
        </is>
      </c>
      <c r="D14" s="28" t="n"/>
      <c r="E14" s="28" t="n"/>
      <c r="F14" s="28" t="n"/>
      <c r="G14" s="28" t="n"/>
      <c r="H14" s="28" t="n"/>
    </row>
    <row r="15">
      <c r="A15" s="25" t="inlineStr">
        <is>
          <t>Difference (sources - uses)</t>
        </is>
      </c>
      <c r="B15" s="66">
        <f>IFERROR(B12-B14,"")</f>
        <v>34.19999999999709</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8">
        <f>IFERROR(B15/B14,"")</f>
        <v>0.0003844173828594481</v>
      </c>
      <c r="C16" s="28" t="inlineStr">
        <is>
          <t>Amber above the margin you set: it is debt you pay for without needing it</t>
        </is>
      </c>
      <c r="D16" s="28" t="n"/>
      <c r="E16" s="28" t="n"/>
      <c r="F16" s="28" t="n"/>
      <c r="G16" s="28" t="n"/>
      <c r="H16" s="28" t="n"/>
    </row>
    <row r="17">
      <c r="A17" s="28" t="inlineStr">
        <is>
          <t>Acceptable over-funding (%)</t>
        </is>
      </c>
      <c r="B17" s="73" t="n">
        <v>0.05</v>
      </c>
      <c r="C17" s="28" t="inlineStr">
        <is>
          <t>A small cushion over the need is healthy; 20% extra is interest thrown away</t>
        </is>
      </c>
      <c r="D17" s="28" t="n"/>
      <c r="E17" s="28" t="n"/>
      <c r="F17" s="28" t="n"/>
      <c r="G17" s="28" t="n"/>
      <c r="H17" s="28" t="n"/>
    </row>
    <row r="18">
      <c r="A18" s="28" t="inlineStr">
        <is>
          <t>Loan that would match sources to needs</t>
        </is>
      </c>
      <c r="B18" s="40">
        <f>IFERROR(MAX(0,B14-B12+B7),"")</f>
        <v>63965.8</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40">
        <f>IFERROR(IF('0. Assumptions'!$B$31=0,"",'0. Assumptions'!$B$31),"")</f>
        <v>64000.0</v>
      </c>
      <c r="C20" s="28" t="n"/>
      <c r="D20" s="28" t="n"/>
      <c r="E20" s="28" t="n"/>
      <c r="F20" s="28" t="n"/>
      <c r="G20" s="28" t="n"/>
      <c r="H20" s="28" t="n"/>
    </row>
    <row r="21">
      <c r="A21" s="28" t="inlineStr">
        <is>
          <t>Nominal annual interest rate (not APR)</t>
        </is>
      </c>
      <c r="B21" s="68">
        <f>IFERROR(IF('0. Assumptions'!$B$32="","",'0. Assumptions'!$B$32),"")</f>
        <v>0.1</v>
      </c>
      <c r="C21" s="28" t="n"/>
      <c r="D21" s="28" t="n"/>
      <c r="E21" s="28" t="n"/>
      <c r="F21" s="28" t="n"/>
      <c r="G21" s="28" t="n"/>
      <c r="H21" s="28" t="n"/>
    </row>
    <row r="22">
      <c r="A22" s="28" t="inlineStr">
        <is>
          <t>Total term (years)</t>
        </is>
      </c>
      <c r="B22" s="40">
        <f>IFERROR(IF('0. Assumptions'!$B$33="","",'0. Assumptions'!$B$33),"")</f>
        <v>7.0</v>
      </c>
      <c r="C22" s="28" t="n"/>
      <c r="D22" s="28" t="n"/>
      <c r="E22" s="28" t="n"/>
      <c r="F22" s="28" t="n"/>
      <c r="G22" s="28" t="n"/>
      <c r="H22" s="28" t="n"/>
    </row>
    <row r="23">
      <c r="A23" s="28" t="inlineStr">
        <is>
          <t>Interest-only period applied (years)</t>
        </is>
      </c>
      <c r="B23" s="40">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2">
        <f>IFERROR(IF(B22-B23&lt;=0,"",IF(B21=0,B20/(B22-B23),B20*B21/(1-(1+B21)^-(B22-B23)))),"")</f>
        <v>13145.951980838116</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40" t="n">
        <v>1</v>
      </c>
      <c r="B27" s="61">
        <f>IFERROR(IF(B20="","",B20),"")</f>
        <v>64000.0</v>
      </c>
      <c r="C27" s="61">
        <f>IFERROR(IF(OR(1&gt;B22,B27=""),"",B27*B21),"")</f>
        <v>6400.0</v>
      </c>
      <c r="D27" s="61">
        <f>IFERROR(IF(OR(1&gt;B22,B27=""),"",IF(1&lt;=B23,0,MIN(B27,B24-C27))),"")</f>
        <v>6745.951980838116</v>
      </c>
      <c r="E27" s="61">
        <f>IFERROR(IF(C27="","",C27+D27),"")</f>
        <v>13145.951980838116</v>
      </c>
      <c r="F27" s="61">
        <f>IFERROR(IF(D27="","",B27-D27),"")</f>
        <v>57254.048019161884</v>
      </c>
      <c r="G27" s="61">
        <f>IFERROR(IF(E27="","",'3-Year P&amp;L'!$B$41-'3-Year P&amp;L'!$B$46+'3-Year P&amp;L'!$B$36+'3-Year P&amp;L'!$B$37),"")</f>
        <v>32453.76142857142</v>
      </c>
      <c r="H27" s="61">
        <f>IFERROR(IF(OR(E27="",E27=0),"",G27/E27),"")</f>
        <v>2.4687266069339726</v>
      </c>
    </row>
    <row r="28">
      <c r="A28" s="40" t="n">
        <v>2</v>
      </c>
      <c r="B28" s="61">
        <f>IFERROR(IF(OR(2&gt;B22,F27=""),"",F27),"")</f>
        <v>57254.048019161884</v>
      </c>
      <c r="C28" s="61">
        <f>IFERROR(IF(OR(2&gt;B22,B28=""),"",B28*B21),"")</f>
        <v>5725.404801916189</v>
      </c>
      <c r="D28" s="61">
        <f>IFERROR(IF(OR(2&gt;B22,B28=""),"",IF(2&lt;=B23,0,MIN(B28,B24-C28))),"")</f>
        <v>7420.547178921926</v>
      </c>
      <c r="E28" s="61">
        <f>IFERROR(IF(C28="","",C28+D28),"")</f>
        <v>13145.951980838116</v>
      </c>
      <c r="F28" s="61">
        <f>IFERROR(IF(D28="","",B28-D28),"")</f>
        <v>49833.500840239954</v>
      </c>
      <c r="G28" s="61">
        <f>IFERROR(IF(E28="","",'3-Year P&amp;L'!$C$41-'3-Year P&amp;L'!$C$46+'3-Year P&amp;L'!$C$36+'3-Year P&amp;L'!$C$37),"")</f>
        <v>43592.87162905045</v>
      </c>
      <c r="H28" s="61">
        <f>IFERROR(IF(OR(E28="",E28=0),"",G28/E28),"")</f>
        <v>3.316068071189714</v>
      </c>
    </row>
    <row r="29">
      <c r="A29" s="40" t="n">
        <v>3</v>
      </c>
      <c r="B29" s="61">
        <f>IFERROR(IF(OR(3&gt;B22,F28=""),"",F28),"")</f>
        <v>49833.500840239954</v>
      </c>
      <c r="C29" s="61">
        <f>IFERROR(IF(OR(3&gt;B22,B29=""),"",B29*B21),"")</f>
        <v>4983.350084023996</v>
      </c>
      <c r="D29" s="61">
        <f>IFERROR(IF(OR(3&gt;B22,B29=""),"",IF(3&lt;=B23,0,MIN(B29,B24-C29))),"")</f>
        <v>8162.60189681412</v>
      </c>
      <c r="E29" s="61">
        <f>IFERROR(IF(C29="","",C29+D29),"")</f>
        <v>13145.951980838116</v>
      </c>
      <c r="F29" s="61">
        <f>IFERROR(IF(D29="","",B29-D29),"")</f>
        <v>41670.89894342583</v>
      </c>
      <c r="G29" s="61">
        <f>IFERROR(IF(E29="","",'3-Year P&amp;L'!$D$41-'3-Year P&amp;L'!$D$46+'3-Year P&amp;L'!$D$36+'3-Year P&amp;L'!$D$37),"")</f>
        <v>49850.4788895774</v>
      </c>
      <c r="H29" s="61">
        <f>IFERROR(IF(OR(E29="",E29=0),"",G29/E29),"")</f>
        <v>3.7920782733909855</v>
      </c>
    </row>
    <row r="30">
      <c r="A30" s="40" t="n">
        <v>4</v>
      </c>
      <c r="B30" s="61">
        <f>IFERROR(IF(OR(4&gt;B22,F29=""),"",F29),"")</f>
        <v>41670.89894342583</v>
      </c>
      <c r="C30" s="61">
        <f>IFERROR(IF(OR(4&gt;B22,B30=""),"",B30*B21),"")</f>
        <v>4167.089894342584</v>
      </c>
      <c r="D30" s="61">
        <f>IFERROR(IF(OR(4&gt;B22,B30=""),"",IF(4&lt;=B23,0,MIN(B30,B24-C30))),"")</f>
        <v>8978.862086495532</v>
      </c>
      <c r="E30" s="61">
        <f>IFERROR(IF(C30="","",C30+D30),"")</f>
        <v>13145.951980838116</v>
      </c>
      <c r="F30" s="61">
        <f>IFERROR(IF(D30="","",B30-D30),"")</f>
        <v>32692.036856930303</v>
      </c>
      <c r="G30" s="61">
        <f>IFERROR(IF(E30="","",'3-Year P&amp;L'!$D$41-'3-Year P&amp;L'!$D$46+'3-Year P&amp;L'!$D$36+'3-Year P&amp;L'!$D$37),"")</f>
        <v>49850.4788895774</v>
      </c>
      <c r="H30" s="61">
        <f>IFERROR(IF(OR(E30="",E30=0),"",G30/E30),"")</f>
        <v>3.7920782733909855</v>
      </c>
    </row>
    <row r="31">
      <c r="A31" s="40" t="n">
        <v>5</v>
      </c>
      <c r="B31" s="61">
        <f>IFERROR(IF(OR(5&gt;B22,F30=""),"",F30),"")</f>
        <v>32692.036856930303</v>
      </c>
      <c r="C31" s="61">
        <f>IFERROR(IF(OR(5&gt;B22,B31=""),"",B31*B21),"")</f>
        <v>3269.2036856930304</v>
      </c>
      <c r="D31" s="61">
        <f>IFERROR(IF(OR(5&gt;B22,B31=""),"",IF(5&lt;=B23,0,MIN(B31,B24-C31))),"")</f>
        <v>9876.748295145086</v>
      </c>
      <c r="E31" s="61">
        <f>IFERROR(IF(C31="","",C31+D31),"")</f>
        <v>13145.951980838116</v>
      </c>
      <c r="F31" s="61">
        <f>IFERROR(IF(D31="","",B31-D31),"")</f>
        <v>22815.288561785215</v>
      </c>
      <c r="G31" s="61">
        <f>IFERROR(IF(E31="","",'3-Year P&amp;L'!$D$41-'3-Year P&amp;L'!$D$46+'3-Year P&amp;L'!$D$36+'3-Year P&amp;L'!$D$37),"")</f>
        <v>49850.4788895774</v>
      </c>
      <c r="H31" s="61">
        <f>IFERROR(IF(OR(E31="",E31=0),"",G31/E31),"")</f>
        <v>3.7920782733909855</v>
      </c>
    </row>
    <row r="32">
      <c r="A32" s="40" t="n">
        <v>6</v>
      </c>
      <c r="B32" s="61">
        <f>IFERROR(IF(OR(6&gt;B22,F31=""),"",F31),"")</f>
        <v>22815.288561785215</v>
      </c>
      <c r="C32" s="61">
        <f>IFERROR(IF(OR(6&gt;B22,B32=""),"",B32*B21),"")</f>
        <v>2281.5288561785214</v>
      </c>
      <c r="D32" s="61">
        <f>IFERROR(IF(OR(6&gt;B22,B32=""),"",IF(6&lt;=B23,0,MIN(B32,B24-C32))),"")</f>
        <v>10864.423124659594</v>
      </c>
      <c r="E32" s="61">
        <f>IFERROR(IF(C32="","",C32+D32),"")</f>
        <v>13145.951980838116</v>
      </c>
      <c r="F32" s="61">
        <f>IFERROR(IF(D32="","",B32-D32),"")</f>
        <v>11950.865437125622</v>
      </c>
      <c r="G32" s="61">
        <f>IFERROR(IF(E32="","",'3-Year P&amp;L'!$D$41-'3-Year P&amp;L'!$D$46+'3-Year P&amp;L'!$D$36+'3-Year P&amp;L'!$D$37),"")</f>
        <v>49850.4788895774</v>
      </c>
      <c r="H32" s="61">
        <f>IFERROR(IF(OR(E32="",E32=0),"",G32/E32),"")</f>
        <v>3.7920782733909855</v>
      </c>
    </row>
    <row r="33">
      <c r="A33" s="40" t="n">
        <v>7</v>
      </c>
      <c r="B33" s="61">
        <f>IFERROR(IF(OR(7&gt;B22,F32=""),"",F32),"")</f>
        <v>11950.865437125622</v>
      </c>
      <c r="C33" s="61">
        <f>IFERROR(IF(OR(7&gt;B22,B33=""),"",B33*B21),"")</f>
        <v>1195.0865437125622</v>
      </c>
      <c r="D33" s="61">
        <f>IFERROR(IF(OR(7&gt;B22,B33=""),"",IF(7&lt;=B23,0,MIN(B33,B24-C33))),"")</f>
        <v>11950.865437125554</v>
      </c>
      <c r="E33" s="61">
        <f>IFERROR(IF(C33="","",C33+D33),"")</f>
        <v>13145.951980838116</v>
      </c>
      <c r="F33" s="61">
        <f>IFERROR(IF(D33="","",B33-D33),"")</f>
        <v>6.730260793119669e-11</v>
      </c>
      <c r="G33" s="61">
        <f>IFERROR(IF(E33="","",'3-Year P&amp;L'!$D$41-'3-Year P&amp;L'!$D$46+'3-Year P&amp;L'!$D$36+'3-Year P&amp;L'!$D$37),"")</f>
        <v>49850.4788895774</v>
      </c>
      <c r="H33" s="61">
        <f>IFERROR(IF(OR(E33="",E33=0),"",G33/E33),"")</f>
        <v>3.7920782733909855</v>
      </c>
    </row>
    <row r="34">
      <c r="A34" s="40" t="n">
        <v>8</v>
      </c>
      <c r="B34" s="61">
        <f>IFERROR(IF(OR(8&gt;B22,F33=""),"",F33),"")</f>
        <v/>
      </c>
      <c r="C34" s="61">
        <f>IFERROR(IF(OR(8&gt;B22,B34=""),"",B34*B21),"")</f>
        <v/>
      </c>
      <c r="D34" s="61">
        <f>IFERROR(IF(OR(8&gt;B22,B34=""),"",IF(8&lt;=B23,0,MIN(B34,B24-C34))),"")</f>
        <v/>
      </c>
      <c r="E34" s="61">
        <f>IFERROR(IF(C34="","",C34+D34),"")</f>
        <v/>
      </c>
      <c r="F34" s="61">
        <f>IFERROR(IF(D34="","",B34-D34),"")</f>
        <v/>
      </c>
      <c r="G34" s="61">
        <f>IFERROR(IF(E34="","",'3-Year P&amp;L'!$D$41-'3-Year P&amp;L'!$D$46+'3-Year P&amp;L'!$D$36+'3-Year P&amp;L'!$D$37),"")</f>
        <v/>
      </c>
      <c r="H34" s="61">
        <f>IFERROR(IF(OR(E34="",E34=0),"",G34/E34),"")</f>
        <v/>
      </c>
    </row>
    <row r="35">
      <c r="A35" s="40" t="n">
        <v>9</v>
      </c>
      <c r="B35" s="61">
        <f>IFERROR(IF(OR(9&gt;B22,F34=""),"",F34),"")</f>
        <v/>
      </c>
      <c r="C35" s="61">
        <f>IFERROR(IF(OR(9&gt;B22,B35=""),"",B35*B21),"")</f>
        <v/>
      </c>
      <c r="D35" s="61">
        <f>IFERROR(IF(OR(9&gt;B22,B35=""),"",IF(9&lt;=B23,0,MIN(B35,B24-C35))),"")</f>
        <v/>
      </c>
      <c r="E35" s="61">
        <f>IFERROR(IF(C35="","",C35+D35),"")</f>
        <v/>
      </c>
      <c r="F35" s="61">
        <f>IFERROR(IF(D35="","",B35-D35),"")</f>
        <v/>
      </c>
      <c r="G35" s="61">
        <f>IFERROR(IF(E35="","",'3-Year P&amp;L'!$D$41-'3-Year P&amp;L'!$D$46+'3-Year P&amp;L'!$D$36+'3-Year P&amp;L'!$D$37),"")</f>
        <v/>
      </c>
      <c r="H35" s="61">
        <f>IFERROR(IF(OR(E35="",E35=0),"",G35/E35),"")</f>
        <v/>
      </c>
    </row>
    <row r="36">
      <c r="A36" s="40" t="n">
        <v>10</v>
      </c>
      <c r="B36" s="61">
        <f>IFERROR(IF(OR(10&gt;B22,F35=""),"",F35),"")</f>
        <v/>
      </c>
      <c r="C36" s="61">
        <f>IFERROR(IF(OR(10&gt;B22,B36=""),"",B36*B21),"")</f>
        <v/>
      </c>
      <c r="D36" s="61">
        <f>IFERROR(IF(OR(10&gt;B22,B36=""),"",IF(10&lt;=B23,0,MIN(B36,B24-C36))),"")</f>
        <v/>
      </c>
      <c r="E36" s="61">
        <f>IFERROR(IF(C36="","",C36+D36),"")</f>
        <v/>
      </c>
      <c r="F36" s="61">
        <f>IFERROR(IF(D36="","",B36-D36),"")</f>
        <v/>
      </c>
      <c r="G36" s="61">
        <f>IFERROR(IF(E36="","",'3-Year P&amp;L'!$D$41-'3-Year P&amp;L'!$D$46+'3-Year P&amp;L'!$D$36+'3-Year P&amp;L'!$D$37),"")</f>
        <v/>
      </c>
      <c r="H36" s="61">
        <f>IFERROR(IF(OR(E36="",E36=0),"",G36/E36),"")</f>
        <v/>
      </c>
    </row>
    <row r="37">
      <c r="A37" s="40" t="n">
        <v>11</v>
      </c>
      <c r="B37" s="61">
        <f>IFERROR(IF(OR(11&gt;B22,F36=""),"",F36),"")</f>
        <v/>
      </c>
      <c r="C37" s="61">
        <f>IFERROR(IF(OR(11&gt;B22,B37=""),"",B37*B21),"")</f>
        <v/>
      </c>
      <c r="D37" s="61">
        <f>IFERROR(IF(OR(11&gt;B22,B37=""),"",IF(11&lt;=B23,0,MIN(B37,B24-C37))),"")</f>
        <v/>
      </c>
      <c r="E37" s="61">
        <f>IFERROR(IF(C37="","",C37+D37),"")</f>
        <v/>
      </c>
      <c r="F37" s="61">
        <f>IFERROR(IF(D37="","",B37-D37),"")</f>
        <v/>
      </c>
      <c r="G37" s="61">
        <f>IFERROR(IF(E37="","",'3-Year P&amp;L'!$D$41-'3-Year P&amp;L'!$D$46+'3-Year P&amp;L'!$D$36+'3-Year P&amp;L'!$D$37),"")</f>
        <v/>
      </c>
      <c r="H37" s="61">
        <f>IFERROR(IF(OR(E37="",E37=0),"",G37/E37),"")</f>
        <v/>
      </c>
    </row>
    <row r="38">
      <c r="A38" s="40" t="n">
        <v>12</v>
      </c>
      <c r="B38" s="61">
        <f>IFERROR(IF(OR(12&gt;B22,F37=""),"",F37),"")</f>
        <v/>
      </c>
      <c r="C38" s="61">
        <f>IFERROR(IF(OR(12&gt;B22,B38=""),"",B38*B21),"")</f>
        <v/>
      </c>
      <c r="D38" s="61">
        <f>IFERROR(IF(OR(12&gt;B22,B38=""),"",IF(12&lt;=B23,0,MIN(B38,B24-C38))),"")</f>
        <v/>
      </c>
      <c r="E38" s="61">
        <f>IFERROR(IF(C38="","",C38+D38),"")</f>
        <v/>
      </c>
      <c r="F38" s="61">
        <f>IFERROR(IF(D38="","",B38-D38),"")</f>
        <v/>
      </c>
      <c r="G38" s="61">
        <f>IFERROR(IF(E38="","",'3-Year P&amp;L'!$D$41-'3-Year P&amp;L'!$D$46+'3-Year P&amp;L'!$D$36+'3-Year P&amp;L'!$D$37),"")</f>
        <v/>
      </c>
      <c r="H38" s="61">
        <f>IFERROR(IF(OR(E38="",E38=0),"",G38/E38),"")</f>
        <v/>
      </c>
    </row>
    <row r="39">
      <c r="A39" s="40" t="n">
        <v>13</v>
      </c>
      <c r="B39" s="61">
        <f>IFERROR(IF(OR(13&gt;B22,F38=""),"",F38),"")</f>
        <v/>
      </c>
      <c r="C39" s="61">
        <f>IFERROR(IF(OR(13&gt;B22,B39=""),"",B39*B21),"")</f>
        <v/>
      </c>
      <c r="D39" s="61">
        <f>IFERROR(IF(OR(13&gt;B22,B39=""),"",IF(13&lt;=B23,0,MIN(B39,B24-C39))),"")</f>
        <v/>
      </c>
      <c r="E39" s="61">
        <f>IFERROR(IF(C39="","",C39+D39),"")</f>
        <v/>
      </c>
      <c r="F39" s="61">
        <f>IFERROR(IF(D39="","",B39-D39),"")</f>
        <v/>
      </c>
      <c r="G39" s="61">
        <f>IFERROR(IF(E39="","",'3-Year P&amp;L'!$D$41-'3-Year P&amp;L'!$D$46+'3-Year P&amp;L'!$D$36+'3-Year P&amp;L'!$D$37),"")</f>
        <v/>
      </c>
      <c r="H39" s="61">
        <f>IFERROR(IF(OR(E39="",E39=0),"",G39/E39),"")</f>
        <v/>
      </c>
    </row>
    <row r="40">
      <c r="A40" s="40" t="n">
        <v>14</v>
      </c>
      <c r="B40" s="61">
        <f>IFERROR(IF(OR(14&gt;B22,F39=""),"",F39),"")</f>
        <v/>
      </c>
      <c r="C40" s="61">
        <f>IFERROR(IF(OR(14&gt;B22,B40=""),"",B40*B21),"")</f>
        <v/>
      </c>
      <c r="D40" s="61">
        <f>IFERROR(IF(OR(14&gt;B22,B40=""),"",IF(14&lt;=B23,0,MIN(B40,B24-C40))),"")</f>
        <v/>
      </c>
      <c r="E40" s="61">
        <f>IFERROR(IF(C40="","",C40+D40),"")</f>
        <v/>
      </c>
      <c r="F40" s="61">
        <f>IFERROR(IF(D40="","",B40-D40),"")</f>
        <v/>
      </c>
      <c r="G40" s="61">
        <f>IFERROR(IF(E40="","",'3-Year P&amp;L'!$D$41-'3-Year P&amp;L'!$D$46+'3-Year P&amp;L'!$D$36+'3-Year P&amp;L'!$D$37),"")</f>
        <v/>
      </c>
      <c r="H40" s="61">
        <f>IFERROR(IF(OR(E40="",E40=0),"",G40/E40),"")</f>
        <v/>
      </c>
    </row>
    <row r="41">
      <c r="A41" s="40" t="n">
        <v>15</v>
      </c>
      <c r="B41" s="61">
        <f>IFERROR(IF(OR(15&gt;B22,F40=""),"",F40),"")</f>
        <v/>
      </c>
      <c r="C41" s="61">
        <f>IFERROR(IF(OR(15&gt;B22,B41=""),"",B41*B21),"")</f>
        <v/>
      </c>
      <c r="D41" s="61">
        <f>IFERROR(IF(OR(15&gt;B22,B41=""),"",IF(15&lt;=B23,0,MIN(B41,B24-C41))),"")</f>
        <v/>
      </c>
      <c r="E41" s="61">
        <f>IFERROR(IF(C41="","",C41+D41),"")</f>
        <v/>
      </c>
      <c r="F41" s="61">
        <f>IFERROR(IF(D41="","",B41-D41),"")</f>
        <v/>
      </c>
      <c r="G41" s="61">
        <f>IFERROR(IF(E41="","",'3-Year P&amp;L'!$D$41-'3-Year P&amp;L'!$D$46+'3-Year P&amp;L'!$D$36+'3-Year P&amp;L'!$D$37),"")</f>
        <v/>
      </c>
      <c r="H41" s="61">
        <f>IFERROR(IF(OR(E41="",E41=0),"",G41/E41),"")</f>
        <v/>
      </c>
    </row>
    <row r="42">
      <c r="A42" s="28" t="inlineStr">
        <is>
          <t>Schedule closing tolerance</t>
        </is>
      </c>
      <c r="B42" s="7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1">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40">
        <f>IFERROR(IF(B20="","",IF(C27="",0,C27)),"")</f>
        <v>6400.0</v>
      </c>
      <c r="C44" s="28" t="n"/>
      <c r="D44" s="28" t="n"/>
      <c r="E44" s="28" t="n"/>
      <c r="F44" s="28" t="n"/>
      <c r="G44" s="28" t="n"/>
      <c r="H44" s="28" t="n"/>
    </row>
    <row r="45">
      <c r="A45" s="28" t="inlineStr">
        <is>
          <t>Year-1 principal repaid</t>
        </is>
      </c>
      <c r="B45" s="40">
        <f>IFERROR(IF(B20="","",IF(D27="",0,D27)),"")</f>
        <v>6745.951980838116</v>
      </c>
      <c r="C45" s="28" t="n"/>
      <c r="D45" s="28" t="n"/>
      <c r="E45" s="28" t="n"/>
      <c r="F45" s="28" t="n"/>
      <c r="G45" s="28" t="n"/>
      <c r="H45" s="28" t="n"/>
    </row>
    <row r="46">
      <c r="A46" s="28" t="inlineStr">
        <is>
          <t>Year-2 interest</t>
        </is>
      </c>
      <c r="B46" s="40">
        <f>IFERROR(IF(B20="","",IF(C28="",0,C28)),"")</f>
        <v>5725.404801916189</v>
      </c>
      <c r="C46" s="28" t="n"/>
      <c r="D46" s="28" t="n"/>
      <c r="E46" s="28" t="n"/>
      <c r="F46" s="28" t="n"/>
      <c r="G46" s="28" t="n"/>
      <c r="H46" s="28" t="n"/>
    </row>
    <row r="47">
      <c r="A47" s="28" t="inlineStr">
        <is>
          <t>Year-2 principal repaid</t>
        </is>
      </c>
      <c r="B47" s="40">
        <f>IFERROR(IF(B20="","",IF(D28="",0,D28)),"")</f>
        <v>7420.547178921926</v>
      </c>
      <c r="C47" s="28" t="n"/>
      <c r="D47" s="28" t="n"/>
      <c r="E47" s="28" t="n"/>
      <c r="F47" s="28" t="n"/>
      <c r="G47" s="28" t="n"/>
      <c r="H47" s="28" t="n"/>
    </row>
    <row r="48">
      <c r="A48" s="28" t="inlineStr">
        <is>
          <t>Year-3 interest</t>
        </is>
      </c>
      <c r="B48" s="40">
        <f>IFERROR(IF(B20="","",IF(C29="",0,C29)),"")</f>
        <v>4983.350084023996</v>
      </c>
      <c r="C48" s="28" t="n"/>
      <c r="D48" s="28" t="n"/>
      <c r="E48" s="28" t="n"/>
      <c r="F48" s="28" t="n"/>
      <c r="G48" s="28" t="n"/>
      <c r="H48" s="28" t="n"/>
    </row>
    <row r="49">
      <c r="A49" s="28" t="inlineStr">
        <is>
          <t>Year-3 principal repaid</t>
        </is>
      </c>
      <c r="B49" s="40">
        <f>IFERROR(IF(B20="","",IF(D29="",0,D29)),"")</f>
        <v>8162.60189681412</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1">
        <f>IFERROR(('3-Year P&amp;L'!$B$41-'3-Year P&amp;L'!$B$46+'3-Year P&amp;L'!$B$36+B44)/(B44+B45),"")</f>
        <v>2.4687266069339726</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1">
        <f>IFERROR(('3-Year P&amp;L'!$C$41-'3-Year P&amp;L'!$C$46+'3-Year P&amp;L'!$C$36+B46)/(B46+B47),"")</f>
        <v>3.316068071189714</v>
      </c>
      <c r="C52" s="28" t="n"/>
      <c r="D52" s="28" t="n"/>
      <c r="E52" s="28" t="n"/>
      <c r="F52" s="28" t="n"/>
      <c r="G52" s="28" t="n"/>
      <c r="H52" s="28" t="n"/>
    </row>
    <row r="53">
      <c r="A53" s="28" t="inlineStr">
        <is>
          <t>Year-3 DSCR</t>
        </is>
      </c>
      <c r="B53" s="61">
        <f>IFERROR(('3-Year P&amp;L'!$D$41-'3-Year P&amp;L'!$D$46+'3-Year P&amp;L'!$D$36+B48)/(B48+B49),"")</f>
        <v>3.7920782733909855</v>
      </c>
      <c r="C53" s="28" t="n"/>
      <c r="D53" s="28" t="n"/>
      <c r="E53" s="28" t="n"/>
      <c r="F53" s="28" t="n"/>
      <c r="G53" s="28" t="n"/>
      <c r="H53" s="28" t="n"/>
    </row>
    <row r="54">
      <c r="A54" s="25" t="inlineStr">
        <is>
          <t>Minimum DSCR across the whole schedule</t>
        </is>
      </c>
      <c r="B54" s="62">
        <f>IFERROR(IF(COUNT(H27:H41)=0,"",MIN(H27:H41)),"")</f>
        <v>2.4687266069339726</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Paella Catering Financial Projections: 3-Year P&amp;L, Cash Flow &amp; Financing · Paella Catering Business Plan Kit</dc:title>
  <dc:description xmlns:dc="http://purl.org/dc/elements/1.1/">aichef.pro/en/digital-products/paella-catering-business-plan</dc:description>
  <dc:subject xmlns:dc="http://purl.org/dc/elements/1.1/">Paella Catering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2026-10-24T15:25:57Z</dcterms:modified>
  <cp:lastModifiedBy>AI Chef Pro</cp:lastModifiedBy>
  <cp:category>AI Chef Pro · Digital products</cp:category>
  <cp:keywords>paella catering business plan, paella business plan, how to start a paella catering business, spanish catering business plan, paella catering prices, paella party, AI Chef Pro</cp:keywords>
</cp:coreProperties>
</file>