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ing Calculator" sheetId="1" state="visible" r:id="rId1"/>
    <sheet xmlns:r="http://schemas.openxmlformats.org/officeDocument/2006/relationships" name="Paella Yield &amp; Pan Sizing" sheetId="2" state="visible" r:id="rId2"/>
    <sheet xmlns:r="http://schemas.openxmlformats.org/officeDocument/2006/relationships" name="Shopping List by Guest Count" sheetId="3" state="visible" r:id="rId3"/>
    <sheet xmlns:r="http://schemas.openxmlformats.org/officeDocument/2006/relationships" name="3 Example Quotes"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0" fontId="2" fillId="3" borderId="0" applyAlignment="1" applyProtection="1" pivotButton="0" quotePrefix="0" xfId="0">
      <alignment vertical="top" wrapText="1"/>
      <protection locked="0" hidden="0"/>
    </xf>
    <xf numFmtId="3" fontId="2"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4"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9"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3" fontId="2" fillId="0" borderId="0" applyAlignment="1" pivotButton="0" quotePrefix="0" xfId="0">
      <alignment vertical="top"/>
    </xf>
    <xf numFmtId="164" fontId="2"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wrapText="1"/>
    </xf>
    <xf numFmtId="4" fontId="2" fillId="0" borderId="0" applyAlignment="1" pivotButton="0" quotePrefix="0" xfId="0">
      <alignment vertical="top"/>
    </xf>
    <xf numFmtId="4" fontId="3" fillId="0" borderId="0" applyAlignment="1" pivotButton="0" quotePrefix="0" xfId="0">
      <alignment vertical="top"/>
    </xf>
    <xf numFmtId="165" fontId="3" fillId="0" borderId="0" applyAlignment="1" pivotButton="0" quotePrefix="0" xfId="0">
      <alignment vertical="top"/>
    </xf>
    <xf numFmtId="0" fontId="3" fillId="2" borderId="0" applyAlignment="1" pivotButton="0" quotePrefix="0" xfId="0">
      <alignment vertical="top" wrapText="1"/>
    </xf>
    <xf numFmtId="0" fontId="4" fillId="0" borderId="0" applyAlignment="1" pivotButton="0" quotePrefix="0" xfId="0">
      <alignment vertical="top"/>
    </xf>
    <xf numFmtId="166" fontId="4" fillId="0" borderId="0" applyAlignment="1" pivotButton="0" quotePrefix="0" xfId="0">
      <alignment vertical="top"/>
    </xf>
    <xf numFmtId="3" fontId="4" fillId="0" borderId="0" applyAlignment="1" pivotButton="0" quotePrefix="0" xfId="0">
      <alignment vertical="top"/>
    </xf>
    <xf numFmtId="3" fontId="3" fillId="0" borderId="0" applyAlignment="1" pivotButton="0" quotePrefix="0" xfId="0">
      <alignment vertical="top"/>
    </xf>
    <xf numFmtId="3" fontId="3" fillId="3" borderId="0" applyAlignment="1" applyProtection="1" pivotButton="0" quotePrefix="0" xfId="0">
      <alignment vertical="top"/>
      <protection locked="0" hidden="0"/>
    </xf>
    <xf numFmtId="9" fontId="2" fillId="0" borderId="0" applyAlignment="1" pivotButton="0" quotePrefix="0" xfId="0">
      <alignment vertical="top"/>
    </xf>
    <xf numFmtId="165" fontId="2" fillId="0" borderId="0" applyAlignment="1" pivotButton="0" quotePrefix="0" xfId="0">
      <alignment vertical="top"/>
    </xf>
    <xf numFmtId="0" fontId="5"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84"/>
  <sheetViews>
    <sheetView showGridLines="0" workbookViewId="0">
      <pane ySplit="4" topLeftCell="A5" activePane="bottomLeft" state="frozen"/>
      <selection pane="bottomLeft" activeCell="A1" sqref="A1"/>
    </sheetView>
  </sheetViews>
  <sheetFormatPr baseColWidth="8" defaultRowHeight="15"/>
  <cols>
    <col width="62" customWidth="1" min="1" max="1"/>
    <col width="34" customWidth="1" min="2" max="2"/>
    <col width="80" customWidth="1" min="3" max="3"/>
    <col width="16" customWidth="1" min="4" max="4"/>
  </cols>
  <sheetData>
    <row r="1">
      <c r="A1" s="1" t="inlineStr">
        <is>
          <t>PAELLA CATERING PRICING CALCULATOR — PANS, RICE AND PRICE PER GUEST TO QUOTE</t>
        </is>
      </c>
    </row>
    <row r="2" ht="48" customHeight="1">
      <c r="A2" s="2" t="inlineStr">
        <is>
          <t>Type in the GREEN cells; everything else is calculated. Pick the package, the menu style and the pan size, your staff and your costs: the tab turns them into pans to cook, rice, stock and propane to bring, a price per guest and a full quote. Ingredient prices are typed on the "Paella Yield &amp; Pan Sizing" tab (left blank on purpose). Amounts are in US dollars (or your own currency) and exclude sales tax unless the row says otherwise. Every default value is a kit estimate: replace it with your own numbers.</t>
        </is>
      </c>
    </row>
    <row r="4">
      <c r="A4" s="3" t="inlineStr">
        <is>
          <t>INPUTS</t>
        </is>
      </c>
      <c r="B4" s="3" t="inlineStr">
        <is>
          <t>Value</t>
        </is>
      </c>
      <c r="C4" s="3" t="inlineStr">
        <is>
          <t>Notes</t>
        </is>
      </c>
    </row>
    <row r="5" ht="32" customHeight="1">
      <c r="A5" s="4" t="inlineStr">
        <is>
          <t>Package</t>
        </is>
      </c>
      <c r="B5" s="5" t="inlineStr">
        <is>
          <t>Live paella party (cooked on site, salad &amp; bread)</t>
        </is>
      </c>
      <c r="C5" s="2" t="inlineStr">
        <is>
          <t>Choose from the list (table at the bottom of this tab): it sets the suggested servers. All three are priced per guest with the same formulas.</t>
        </is>
      </c>
    </row>
    <row r="6" ht="32" customHeight="1">
      <c r="A6" s="4" t="inlineStr">
        <is>
          <t>Menu style</t>
        </is>
      </c>
      <c r="B6" s="5" t="inlineStr">
        <is>
          <t>Chicken &amp; seafood</t>
        </is>
      </c>
      <c r="C6" s="2" t="inlineStr">
        <is>
          <t>Choose one of the 8 styles on the "Paella Yield &amp; Pan Sizing" tab: it sets the ingredients per guest and the food cost.</t>
        </is>
      </c>
    </row>
    <row r="7">
      <c r="A7" s="4" t="inlineStr">
        <is>
          <t>Guests expected</t>
        </is>
      </c>
      <c r="B7" s="6" t="n">
        <v>58</v>
      </c>
      <c r="C7" s="2" t="inlineStr">
        <is>
          <t>Whole number. You cook and buy for these guests.</t>
        </is>
      </c>
    </row>
    <row r="8" ht="32" customHeight="1">
      <c r="A8" s="4" t="inlineStr">
        <is>
          <t>Guest minimum in your contract</t>
        </is>
      </c>
      <c r="B8" s="6" t="n">
        <v>20</v>
      </c>
      <c r="C8" s="2" t="inlineStr">
        <is>
          <t>If fewer guests confirm, you bill the minimum (billable guests in the results). Operators read for this kit ask for 20 to 30 guests (tasteofpaella.com, zola.com). 0 = no minimum.</t>
        </is>
      </c>
    </row>
    <row r="9" ht="32" customHeight="1">
      <c r="A9" s="4" t="inlineStr">
        <is>
          <t>Paella pan size</t>
        </is>
      </c>
      <c r="B9" s="7" t="inlineStr">
        <is>
          <t>36 in (90 cm)</t>
        </is>
      </c>
      <c r="C9" s="2" t="inlineStr">
        <is>
          <t>Choose from the list on the "Paella Yield &amp; Pan Sizing" tab: it sets the guests per pan, the rice and stock per pan and the propane.</t>
        </is>
      </c>
    </row>
    <row r="10" ht="32" customHeight="1">
      <c r="A10" s="4" t="inlineStr">
        <is>
          <t>Uncooked rice per guest (oz)</t>
        </is>
      </c>
      <c r="B10" s="8" t="n">
        <v>3.25</v>
      </c>
      <c r="C10" s="2" t="inlineStr">
        <is>
          <t>Kit estimate: 3 to 3.5 oz (85-100 g) of uncooked bomba rice per guest, a little more for big groups. 3.25 oz = 92 g.</t>
        </is>
      </c>
    </row>
    <row r="11" ht="32" customHeight="1">
      <c r="A11" s="4" t="inlineStr">
        <is>
          <t>Tapas hour?</t>
        </is>
      </c>
      <c r="B11" s="7" t="inlineStr">
        <is>
          <t>No</t>
        </is>
      </c>
      <c r="C11" s="2" t="inlineStr">
        <is>
          <t>Yes = a tapas hour before the paella (patatas bravas, Spanish tortilla, cheese and cold cuts, Serrano ham), costed per guest in the next row and priced with your margin.</t>
        </is>
      </c>
    </row>
    <row r="12">
      <c r="A12" s="4" t="inlineStr">
        <is>
          <t>Tapas food cost per guest</t>
        </is>
      </c>
      <c r="B12" s="8" t="n">
        <v>4.5</v>
      </c>
      <c r="C12" s="2" t="inlineStr">
        <is>
          <t>Kit estimate: $3-6 per guest. Used only when the switch above is Yes.</t>
        </is>
      </c>
    </row>
    <row r="13">
      <c r="A13" s="4" t="inlineStr">
        <is>
          <t>Salad, bread, lemons and garlic aioli per guest</t>
        </is>
      </c>
      <c r="B13" s="8" t="n">
        <v>1.25</v>
      </c>
      <c r="C13" s="2" t="inlineStr">
        <is>
          <t>Kit estimate: $1-1.50 per guest.</t>
        </is>
      </c>
    </row>
    <row r="14">
      <c r="A14" s="4" t="inlineStr">
        <is>
          <t>Disposables per guest (plates, cutlery, napkins, delivery trays)</t>
        </is>
      </c>
      <c r="B14" s="8" t="n">
        <v>0.75</v>
      </c>
      <c r="C14" s="2" t="inlineStr">
        <is>
          <t>Kit estimate. Put 0 if the client rents dishes and flatware (then add the rental below).</t>
        </is>
      </c>
    </row>
    <row r="15" ht="32" customHeight="1">
      <c r="A15" s="4" t="inlineStr">
        <is>
          <t>Propane cost per lb</t>
        </is>
      </c>
      <c r="B15" s="8" t="n">
        <v>1.75</v>
      </c>
      <c r="C15" s="2" t="inlineStr">
        <is>
          <t>Kit estimate for 20-lb cylinder refills or exchanges ($10-15 for the 6-8 lb a 60-guest event burns). Use your own price.</t>
        </is>
      </c>
    </row>
    <row r="16">
      <c r="A16" s="4" t="inlineStr">
        <is>
          <t>Paella chefs on event day</t>
        </is>
      </c>
      <c r="B16" s="6" t="n">
        <v>1</v>
      </c>
      <c r="C16" s="2" t="inlineStr">
        <is>
          <t>Compare with the suggested number in the results.</t>
        </is>
      </c>
    </row>
    <row r="17">
      <c r="A17" s="4" t="inlineStr">
        <is>
          <t>Helpers (prep cook or second cook)</t>
        </is>
      </c>
      <c r="B17" s="6" t="n">
        <v>0</v>
      </c>
      <c r="C17" s="2" t="inlineStr">
        <is>
          <t>Compare with the suggested number in the results.</t>
        </is>
      </c>
    </row>
    <row r="18">
      <c r="A18" s="4" t="inlineStr">
        <is>
          <t>Servers and buffet attendants</t>
        </is>
      </c>
      <c r="B18" s="6" t="n">
        <v>0</v>
      </c>
      <c r="C18" s="2" t="inlineStr">
        <is>
          <t>Compare with the suggested number in the results.</t>
        </is>
      </c>
    </row>
    <row r="19" ht="32" customHeight="1">
      <c r="A19" s="4" t="inlineStr">
        <is>
          <t>Hours each on event day (loading, travel, setup, cooking, service, breakdown)</t>
        </is>
      </c>
      <c r="B19" s="9" t="n">
        <v>6</v>
      </c>
      <c r="C19" s="2" t="inlineStr">
        <is>
          <t>Kit estimate: arrive 2-3 hours before service; about 1 hour of cooking, 2 hours of service and 1 hour of breakdown (miamigrillcatering.com).</t>
        </is>
      </c>
    </row>
    <row r="20">
      <c r="A20" s="4" t="inlineStr">
        <is>
          <t>Commissary prep hours for this event (sofrito, stock, seafood)</t>
        </is>
      </c>
      <c r="B20" s="9" t="n">
        <v>3</v>
      </c>
      <c r="C20" s="2" t="inlineStr">
        <is>
          <t>Total hours the day before, paid at the helper wage. Kit estimate.</t>
        </is>
      </c>
    </row>
    <row r="21" ht="32" customHeight="1">
      <c r="A21" s="4" t="inlineStr">
        <is>
          <t>Paella chef hourly wage</t>
        </is>
      </c>
      <c r="B21" s="8" t="n">
        <v>22</v>
      </c>
      <c r="C21" s="2" t="inlineStr">
        <is>
          <t>Kit estimate, about the 75th percentile of restaurant cooks (BLS OEWS, May 2025: mean $18.62, 75th percentile $21.45). W-2 employees; if you cook yourself, count your hours too.</t>
        </is>
      </c>
    </row>
    <row r="22">
      <c r="A22" s="4" t="inlineStr">
        <is>
          <t>Helper hourly wage</t>
        </is>
      </c>
      <c r="B22" s="8" t="n">
        <v>19</v>
      </c>
      <c r="C22" s="2" t="inlineStr">
        <is>
          <t>Kit estimate, about the mean wage of restaurant cooks (BLS OEWS, May 2025: $18.62). W-2.</t>
        </is>
      </c>
    </row>
    <row r="23" ht="32" customHeight="1">
      <c r="A23" s="4" t="inlineStr">
        <is>
          <t>Server / attendant hourly wage</t>
        </is>
      </c>
      <c r="B23" s="8" t="n">
        <v>18</v>
      </c>
      <c r="C23" s="2" t="inlineStr">
        <is>
          <t>Kit estimate, about the 75th percentile of nonrestaurant food servers (BLS OEWS, May 2025: $18.51). W-2.</t>
        </is>
      </c>
    </row>
    <row r="24">
      <c r="A24" s="4" t="inlineStr">
        <is>
          <t>Employer payroll taxes and workers' comp (% of wages)</t>
        </is>
      </c>
      <c r="B24" s="10" t="n">
        <v>0.1</v>
      </c>
      <c r="C24" s="2" t="inlineStr">
        <is>
          <t>Kit estimate.</t>
        </is>
      </c>
    </row>
    <row r="25" ht="32" customHeight="1">
      <c r="A25" s="4" t="inlineStr">
        <is>
          <t>Rentals for this event (your cost; they carry your margin)</t>
        </is>
      </c>
      <c r="B25" s="8" t="n">
        <v>0</v>
      </c>
      <c r="C25" s="2" t="inlineStr">
        <is>
          <t>What the rental company charges you for tables, linens, dishes and flatware or a tent. They sit in the direct cost, so the target margin applies to them too.</t>
        </is>
      </c>
    </row>
    <row r="26">
      <c r="A26" s="4" t="inlineStr">
        <is>
          <t>Round-trip miles</t>
        </is>
      </c>
      <c r="B26" s="6" t="n">
        <v>30</v>
      </c>
      <c r="C26" s="2" t="inlineStr">
        <is>
          <t>Commissary → venue → commissary.</t>
        </is>
      </c>
    </row>
    <row r="27">
      <c r="A27" s="4" t="inlineStr">
        <is>
          <t>Cost per mile (van)</t>
        </is>
      </c>
      <c r="B27" s="8" t="n">
        <v>0.7</v>
      </c>
      <c r="C27" s="2" t="inlineStr">
        <is>
          <t>Kit estimate: use your real cost per mile or the current IRS standard mileage rate.</t>
        </is>
      </c>
    </row>
    <row r="28" ht="32" customHeight="1">
      <c r="A28" s="4" t="inlineStr">
        <is>
          <t>Flat event or travel fee charged to the client</t>
        </is>
      </c>
      <c r="B28" s="8" t="n">
        <v>0</v>
      </c>
      <c r="C28" s="2" t="inlineStr">
        <is>
          <t>Optional flat charge on top of the per-guest price (some operators include travel up to 20 miles: cafesevilla.com). 0 = none.</t>
        </is>
      </c>
    </row>
    <row r="29" ht="32" customHeight="1">
      <c r="A29" s="4" t="inlineStr">
        <is>
          <t>Marketplace fee on this booking (% of subtotal)</t>
        </is>
      </c>
      <c r="B29" s="10" t="n">
        <v>0</v>
      </c>
      <c r="C29" s="2" t="inlineStr">
        <is>
          <t>Corporate catering marketplaces such as ezCater keep about 15% (Kit estimate). 0 = direct booking.</t>
        </is>
      </c>
    </row>
    <row r="30" ht="32" customHeight="1">
      <c r="A30" s="4" t="inlineStr">
        <is>
          <t>Target gross margin on the food &amp; service subtotal</t>
        </is>
      </c>
      <c r="B30" s="10" t="n">
        <v>0.5</v>
      </c>
      <c r="C30" s="2" t="inlineStr">
        <is>
          <t>Share of the subtotal left after the direct costs above and the marketplace fee. Kit estimate.</t>
        </is>
      </c>
    </row>
    <row r="31" ht="32" customHeight="1">
      <c r="A31" s="4" t="inlineStr">
        <is>
          <t>Service charge (% of subtotal)</t>
        </is>
      </c>
      <c r="B31" s="10" t="n">
        <v>0</v>
      </c>
      <c r="C31" s="2" t="inlineStr">
        <is>
          <t>Added on top. The part you pay out to staff is wages, not tips (IRS Rev. Rul. 2012-18), with payroll taxes; the part you keep is revenue.</t>
        </is>
      </c>
    </row>
    <row r="32">
      <c r="A32" s="4" t="inlineStr">
        <is>
          <t>Sales tax rate (state + local)</t>
        </is>
      </c>
      <c r="B32" s="11" t="n">
        <v>0.08</v>
      </c>
      <c r="C32" s="2" t="inlineStr">
        <is>
          <t>Kit estimate: use your own state + local rate.</t>
        </is>
      </c>
    </row>
    <row r="33" ht="62" customHeight="1">
      <c r="A33" s="4" t="inlineStr">
        <is>
          <t>Does your state tax the service charge?</t>
        </is>
      </c>
      <c r="B33" s="7" t="inlineStr">
        <is>
          <t>Yes</t>
        </is>
      </c>
      <c r="C33" s="2" t="inlineStr">
        <is>
          <t>Sales tax always applies to the food &amp; service subtotal here. CA: a mandatory service charge is taxable. NY: not taxable only if it is separately stated, identified as a gratuity and all of it goes to the staff. TX: not taxable up to 20% if separately stated and paid to the staff. Check your state.</t>
        </is>
      </c>
    </row>
    <row r="34" ht="32" customHeight="1">
      <c r="A34" s="4" t="inlineStr">
        <is>
          <t>Deposit to book the date (% of total)</t>
        </is>
      </c>
      <c r="B34" s="10" t="n">
        <v>0.5</v>
      </c>
      <c r="C34" s="2" t="inlineStr">
        <is>
          <t>Kit estimate: US caterers ask 25-50% to hold the date; the balance is due before the event. Put the same figure in your contract.</t>
        </is>
      </c>
    </row>
    <row r="35" ht="32" customHeight="1">
      <c r="A35" s="4" t="inlineStr">
        <is>
          <t>Cancellation tier 1 starts at (days before the event)</t>
        </is>
      </c>
      <c r="B35" s="6" t="n">
        <v>60</v>
      </c>
      <c r="C35" s="2" t="inlineStr">
        <is>
          <t>Tiers run with no gaps: tier 1 = this many days or more; tier 2 = from the next threshold up to here; and so on.</t>
        </is>
      </c>
    </row>
    <row r="36">
      <c r="A36" s="4" t="inlineStr">
        <is>
          <t>Cancellation tier 2 starts at (days before the event)</t>
        </is>
      </c>
      <c r="B36" s="6" t="n">
        <v>30</v>
      </c>
    </row>
    <row r="37">
      <c r="A37" s="4" t="inlineStr">
        <is>
          <t>Cancellation tier 3 starts at (days before the event)</t>
        </is>
      </c>
      <c r="B37" s="6" t="n">
        <v>14</v>
      </c>
      <c r="C37" s="2" t="inlineStr">
        <is>
          <t>Tier 4 = fewer days than this, or a no-show.</t>
        </is>
      </c>
    </row>
    <row r="38">
      <c r="A38" s="4" t="inlineStr">
        <is>
          <t>Share of the total you keep in tier 1</t>
        </is>
      </c>
      <c r="B38" s="10" t="n">
        <v>0.5</v>
      </c>
      <c r="C38" s="2" t="inlineStr">
        <is>
          <t>Kit estimate: the deposit.</t>
        </is>
      </c>
    </row>
    <row r="39">
      <c r="A39" s="4" t="inlineStr">
        <is>
          <t>Share of the total you keep in tier 2</t>
        </is>
      </c>
      <c r="B39" s="10" t="n">
        <v>0.75</v>
      </c>
      <c r="C39" s="2" t="inlineStr">
        <is>
          <t>Kit estimate.</t>
        </is>
      </c>
    </row>
    <row r="40">
      <c r="A40" s="4" t="inlineStr">
        <is>
          <t>Share of the total you keep in tier 3</t>
        </is>
      </c>
      <c r="B40" s="10" t="n">
        <v>0.9</v>
      </c>
      <c r="C40" s="2" t="inlineStr">
        <is>
          <t>Kit estimate.</t>
        </is>
      </c>
    </row>
    <row r="41">
      <c r="A41" s="4" t="inlineStr">
        <is>
          <t>Share of the total you keep in tier 4</t>
        </is>
      </c>
      <c r="B41" s="10" t="n">
        <v>1</v>
      </c>
      <c r="C41" s="2" t="inlineStr">
        <is>
          <t>Kit estimate: the seafood is already bought.</t>
        </is>
      </c>
    </row>
    <row r="43">
      <c r="A43" s="3" t="inlineStr">
        <is>
          <t>CALCULATION</t>
        </is>
      </c>
      <c r="B43" s="3" t="inlineStr">
        <is>
          <t>Value</t>
        </is>
      </c>
      <c r="C43" s="3" t="inlineStr">
        <is>
          <t>Notes</t>
        </is>
      </c>
    </row>
    <row r="44">
      <c r="A44" s="4" t="inlineStr">
        <is>
          <t>Billable guests</t>
        </is>
      </c>
      <c r="B44" s="12">
        <f>MAX($B$7,$B$8)</f>
        <v>58.0</v>
      </c>
      <c r="C44" s="2" t="inlineStr">
        <is>
          <t>The larger of guests expected and the minimum.</t>
        </is>
      </c>
    </row>
    <row r="45">
      <c r="A45" s="4" t="inlineStr">
        <is>
          <t>Guests per pan for this size</t>
        </is>
      </c>
      <c r="B45" s="12">
        <f>IFERROR(INDEX('Paella Yield &amp; Pan Sizing'!$C$9:$C$15,MATCH($B$9,'Paella Yield &amp; Pan Sizing'!$A$9:$A$15,0)),1)</f>
        <v>40.0</v>
      </c>
      <c r="C45" s="2" t="inlineStr">
        <is>
          <t>From the pan table on the "Paella Yield &amp; Pan Sizing" tab.</t>
        </is>
      </c>
    </row>
    <row r="46">
      <c r="A46" s="4" t="inlineStr">
        <is>
          <t>Paella pans to cook</t>
        </is>
      </c>
      <c r="B46" s="12">
        <f>ROUNDUP($B$7/$B$45,0)</f>
        <v>2.0</v>
      </c>
      <c r="C46" s="2" t="inlineStr">
        <is>
          <t>Guests ÷ guests per pan, rounded up. One burner per pan.</t>
        </is>
      </c>
    </row>
    <row r="47">
      <c r="A47" s="4" t="inlineStr">
        <is>
          <t>Uncooked rice (lb)</t>
        </is>
      </c>
      <c r="B47" s="13">
        <f>$B$7*$B$10/16</f>
        <v>11.78125</v>
      </c>
      <c r="C47" s="2" t="inlineStr">
        <is>
          <t>Guests × oz per guest ÷ 16 (1 lb = 0.454 kg).</t>
        </is>
      </c>
    </row>
    <row r="48" ht="32" customHeight="1">
      <c r="A48" s="4" t="inlineStr">
        <is>
          <t>Stock (gallons)</t>
        </is>
      </c>
      <c r="B48" s="13">
        <f>$B$47*'Paella Yield &amp; Pan Sizing'!$B$5/4</f>
        <v>3.534375</v>
      </c>
      <c r="C48" s="2" t="inlineStr">
        <is>
          <t>Uncooked rice × the stock ratio on the "Paella Yield &amp; Pan Sizing" tab (1 gallon = 3.8 liters).</t>
        </is>
      </c>
    </row>
    <row r="49">
      <c r="A49" s="4" t="inlineStr">
        <is>
          <t>Propane for the cook (lb)</t>
        </is>
      </c>
      <c r="B49" s="13">
        <f>$B$46*IFERROR(INDEX('Paella Yield &amp; Pan Sizing'!$I$9:$I$15,MATCH($B$9,'Paella Yield &amp; Pan Sizing'!$A$9:$A$15,0)),0)</f>
        <v>6.0</v>
      </c>
      <c r="C49" s="2" t="inlineStr">
        <is>
          <t>Pans × propane per cook for this size.</t>
        </is>
      </c>
    </row>
    <row r="50">
      <c r="A50" s="4" t="inlineStr">
        <is>
          <t>20-lb propane cylinders to bring (plus one spare)</t>
        </is>
      </c>
      <c r="B50" s="12">
        <f>ROUNDUP($B$49/20,0)+1</f>
        <v>2.0</v>
      </c>
      <c r="C50" s="2" t="inlineStr">
        <is>
          <t>Never run a pan on a nearly empty cylinder.</t>
        </is>
      </c>
    </row>
    <row r="51">
      <c r="A51" s="4" t="inlineStr">
        <is>
          <t>Ingredients of this style with no price</t>
        </is>
      </c>
      <c r="B51" s="12">
        <f>IFERROR(INDEX('Paella Yield &amp; Pan Sizing'!$O$20:$O$27,MATCH($B$6,'Paella Yield &amp; Pan Sizing'!$A$20:$A$27,0)),0)</f>
        <v>8.0</v>
      </c>
      <c r="C51" s="2" t="inlineStr">
        <is>
          <t>From the "Paella Yield &amp; Pan Sizing" tab.</t>
        </is>
      </c>
    </row>
    <row r="52" ht="32" customHeight="1">
      <c r="A52" s="14" t="inlineStr">
        <is>
          <t>Ingredient prices</t>
        </is>
      </c>
      <c r="B52" s="15" t="str">
        <f>IF($B$51=0,"Complete: food cost uses your prices","Missing: food cost uses the style estimate per guest")</f>
        <v>Missing: food cost uses the style estimate per guest</v>
      </c>
      <c r="C52" s="2" t="inlineStr">
        <is>
          <t>While any price is missing, the food cost uses the style estimate. Type your prices on the "Paella Yield &amp; Pan Sizing" tab.</t>
        </is>
      </c>
    </row>
    <row r="53" ht="32" customHeight="1">
      <c r="A53" s="4" t="inlineStr">
        <is>
          <t>Paella food cost per guest for this style</t>
        </is>
      </c>
      <c r="B53" s="16">
        <f>IFERROR(IF($B$51=0,INDEX('Paella Yield &amp; Pan Sizing'!$N$20:$N$27,MATCH($B$6,'Paella Yield &amp; Pan Sizing'!$A$20:$A$27,0)),INDEX('Paella Yield &amp; Pan Sizing'!$M$20:$M$27,MATCH($B$6,'Paella Yield &amp; Pan Sizing'!$A$20:$A$27,0))),0)</f>
        <v>7.0</v>
      </c>
      <c r="C53" s="2" t="inlineStr">
        <is>
          <t>With every price typed: your rice and ingredients per guest. Otherwise: the style estimate (Kit).</t>
        </is>
      </c>
    </row>
    <row r="54">
      <c r="A54" s="4" t="inlineStr">
        <is>
          <t>Food cost (paella, salad, bread, lemons and aioli)</t>
        </is>
      </c>
      <c r="B54" s="16">
        <f>$B$7*($B$53+$B$13)</f>
        <v>478.5</v>
      </c>
    </row>
    <row r="55">
      <c r="A55" s="4" t="inlineStr">
        <is>
          <t>Tapas hour</t>
        </is>
      </c>
      <c r="B55" s="16">
        <f>IF($B$11="Yes",$B$7*$B$12,0)</f>
        <v>0.0</v>
      </c>
    </row>
    <row r="56">
      <c r="A56" s="4" t="inlineStr">
        <is>
          <t>Disposables</t>
        </is>
      </c>
      <c r="B56" s="16">
        <f>$B$7*$B$14</f>
        <v>43.5</v>
      </c>
    </row>
    <row r="57">
      <c r="A57" s="4" t="inlineStr">
        <is>
          <t>Propane</t>
        </is>
      </c>
      <c r="B57" s="16">
        <f>$B$49*$B$15</f>
        <v>10.5</v>
      </c>
    </row>
    <row r="58">
      <c r="A58" s="4" t="inlineStr">
        <is>
          <t>Staff cost (wages + payroll taxes)</t>
        </is>
      </c>
      <c r="B58" s="16">
        <f>(($B$16*$B$21+$B$17*$B$22+$B$18*$B$23)*$B$19+$B$20*$B$22)*(1+$B$24)</f>
        <v>207.9</v>
      </c>
    </row>
    <row r="59">
      <c r="A59" s="4" t="inlineStr">
        <is>
          <t>Rentals and mileage</t>
        </is>
      </c>
      <c r="B59" s="16">
        <f>$B$25+$B$26*$B$27</f>
        <v>21.0</v>
      </c>
    </row>
    <row r="60">
      <c r="A60" s="4" t="inlineStr">
        <is>
          <t>Total direct cost</t>
        </is>
      </c>
      <c r="B60" s="16">
        <f>$B$54+$B$55+$B$56+$B$57+$B$58+$B$59</f>
        <v>761.4</v>
      </c>
    </row>
    <row r="61">
      <c r="A61" s="4" t="inlineStr">
        <is>
          <t>Direct cost per billable guest</t>
        </is>
      </c>
      <c r="B61" s="16">
        <f>$B$60/$B$44</f>
        <v>13.12758620689655</v>
      </c>
    </row>
    <row r="62" ht="62" customHeight="1">
      <c r="A62" s="14" t="inlineStr">
        <is>
          <t>PRICE PER GUEST before fees, service charge and tax</t>
        </is>
      </c>
      <c r="B62" s="17">
        <f>ROUNDUP($B$60/(1-$B$30-$B$29)/$B$44*2,0)/2</f>
        <v>26.5</v>
      </c>
      <c r="C62" s="2" t="inlineStr">
        <is>
          <t>Rounded up to the next 0.50. While "Ingredient prices" says Missing, this price uses the style food cost estimate, not your prices: treat it as provisional. Market check: live paella with salad and bread runs about $12-31 per person (zola.com, tasteofpaella.com) and a full Spanish menu with staff $44-65 (zola.com, miamigrillcatering.com).</t>
        </is>
      </c>
    </row>
    <row r="63">
      <c r="A63" s="4" t="inlineStr">
        <is>
          <t>Food &amp; service subtotal</t>
        </is>
      </c>
      <c r="B63" s="16">
        <f>$B$62*$B$44+$B$28</f>
        <v>1537.0</v>
      </c>
      <c r="C63" s="2" t="inlineStr">
        <is>
          <t>Price per guest × billable guests + event fee.</t>
        </is>
      </c>
    </row>
    <row r="64">
      <c r="A64" s="4" t="inlineStr">
        <is>
          <t>Service charge</t>
        </is>
      </c>
      <c r="B64" s="16">
        <f>$B$63*$B$31</f>
        <v>0.0</v>
      </c>
    </row>
    <row r="65">
      <c r="A65" s="4" t="inlineStr">
        <is>
          <t>Sales tax</t>
        </is>
      </c>
      <c r="B65" s="16">
        <f>($B$63+IF($B$33="Yes",$B$64,0))*$B$32</f>
        <v>122.96000000000001</v>
      </c>
      <c r="C65" s="2" t="inlineStr">
        <is>
          <t>On the subtotal, plus the service charge if your state taxes it.</t>
        </is>
      </c>
    </row>
    <row r="66">
      <c r="A66" s="14" t="inlineStr">
        <is>
          <t>TOTAL TO QUOTE</t>
        </is>
      </c>
      <c r="B66" s="17">
        <f>$B$63+$B$64+$B$65</f>
        <v>1659.96</v>
      </c>
    </row>
    <row r="67">
      <c r="A67" s="4" t="inlineStr">
        <is>
          <t>Deposit to book the date</t>
        </is>
      </c>
      <c r="B67" s="16">
        <f>$B$66*$B$34</f>
        <v>829.98</v>
      </c>
    </row>
    <row r="68">
      <c r="A68" s="4" t="inlineStr">
        <is>
          <t>Balance due before the event</t>
        </is>
      </c>
      <c r="B68" s="16">
        <f>$B$66-$B$67</f>
        <v>829.98</v>
      </c>
    </row>
    <row r="69">
      <c r="A69" s="4" t="inlineStr">
        <is>
          <t>Marketplace fee</t>
        </is>
      </c>
      <c r="B69" s="16">
        <f>$B$63*$B$29</f>
        <v>0.0</v>
      </c>
      <c r="C69" s="2" t="inlineStr">
        <is>
          <t>What the marketplace keeps.</t>
        </is>
      </c>
    </row>
    <row r="70">
      <c r="A70" s="4" t="inlineStr">
        <is>
          <t>Gross profit on the subtotal</t>
        </is>
      </c>
      <c r="B70" s="16">
        <f>$B$63-$B$69-$B$60</f>
        <v>775.6</v>
      </c>
    </row>
    <row r="71" ht="32" customHeight="1">
      <c r="A71" s="14" t="inlineStr">
        <is>
          <t>Gross margin (calculated)</t>
        </is>
      </c>
      <c r="B71" s="18">
        <f>IF($B$63=0,0,$B$70/$B$63)</f>
        <v>0.5046193884189981</v>
      </c>
      <c r="C71" s="2" t="inlineStr">
        <is>
          <t>Calculated from the costs above, never typed. It is at or above the target because the price is rounded up.</t>
        </is>
      </c>
    </row>
    <row r="72">
      <c r="A72" s="4" t="inlineStr">
        <is>
          <t>Suggested paella chefs (Kit estimate: one per 3 pans)</t>
        </is>
      </c>
      <c r="B72" s="12">
        <f>ROUNDUP($B$46/3,0)</f>
        <v>1.0</v>
      </c>
    </row>
    <row r="73">
      <c r="A73" s="4" t="inlineStr">
        <is>
          <t>Suggested helper (Kit estimate: from 4 pans or 80 guests)</t>
        </is>
      </c>
      <c r="B73" s="12">
        <f>IF(OR($B$46&gt;=4,$B$7&gt;=80),1,0)</f>
        <v>0.0</v>
      </c>
    </row>
    <row r="74">
      <c r="A74" s="4" t="inlineStr">
        <is>
          <t>Suggested servers and attendants for this package</t>
        </is>
      </c>
      <c r="B74" s="12">
        <f>IFERROR(IF(INDEX('Pricing Calculator'!$B$82:$B$84,MATCH($B$5,'Pricing Calculator'!$A$82:$A$84,0))&gt;0,ROUNDUP($B$7/INDEX('Pricing Calculator'!$B$82:$B$84,MATCH($B$5,'Pricing Calculator'!$A$82:$A$84,0)),0),0),0)</f>
        <v>0.0</v>
      </c>
      <c r="C74" s="2" t="inlineStr">
        <is>
          <t>From the package table below.</t>
        </is>
      </c>
    </row>
    <row r="75">
      <c r="A75" s="4" t="inlineStr">
        <is>
          <t>Cancellation tiers check</t>
        </is>
      </c>
      <c r="B75" s="2" t="str">
        <f>IF(AND($B$35&gt;$B$36,$B$36&gt;$B$37),"OK","Adjust: tier 1 &gt; tier 2 &gt; tier 3 days")</f>
        <v>OK</v>
      </c>
      <c r="C75" s="2" t="inlineStr">
        <is>
          <t>Tier days must go down: tier 1 &gt; tier 2 &gt; tier 3.</t>
        </is>
      </c>
    </row>
    <row r="76">
      <c r="A76" s="4" t="inlineStr">
        <is>
          <t>Cancellation in tier 1: amount you keep</t>
        </is>
      </c>
      <c r="B76" s="16">
        <f>$B$66*$B$38</f>
        <v>829.98</v>
      </c>
    </row>
    <row r="77">
      <c r="A77" s="4" t="inlineStr">
        <is>
          <t>Cancellation in tier 2: amount you keep</t>
        </is>
      </c>
      <c r="B77" s="16">
        <f>$B$66*$B$39</f>
        <v>1244.97</v>
      </c>
    </row>
    <row r="78">
      <c r="A78" s="4" t="inlineStr">
        <is>
          <t>Cancellation in tier 3: amount you keep</t>
        </is>
      </c>
      <c r="B78" s="16">
        <f>$B$66*$B$40</f>
        <v>1493.9640000000002</v>
      </c>
    </row>
    <row r="79">
      <c r="A79" s="4" t="inlineStr">
        <is>
          <t>Cancellation in tier 4 or no-show: amount you keep</t>
        </is>
      </c>
      <c r="B79" s="16">
        <f>$B$66*$B$41</f>
        <v>1659.96</v>
      </c>
    </row>
    <row r="81" ht="32" customHeight="1">
      <c r="A81" s="19" t="inlineStr">
        <is>
          <t>PACKAGES (Kit estimate — edit the numbers)</t>
        </is>
      </c>
      <c r="B81" s="19" t="inlineStr">
        <is>
          <t>Guests per server or attendant (0 = none)</t>
        </is>
      </c>
      <c r="C81" s="19" t="inlineStr">
        <is>
          <t>Notes</t>
        </is>
      </c>
    </row>
    <row r="82" ht="48" customHeight="1">
      <c r="A82" s="2" t="inlineStr">
        <is>
          <t>Drop-off paella (cooked at the commissary, delivered hot)</t>
        </is>
      </c>
      <c r="B82" s="6" t="n">
        <v>0</v>
      </c>
      <c r="C82" s="2" t="inlineStr">
        <is>
          <t>Cooked at the commissary in the paella pans and delivered hot in insulated carriers, no servers on site. Keep it at 135 °F (57 °C) or above, or label the time it left hot holding and discard it 4 hours later (time as a public health control, only if your county accepts it).</t>
        </is>
      </c>
    </row>
    <row r="83" ht="48" customHeight="1">
      <c r="A83" s="2" t="inlineStr">
        <is>
          <t>Live paella party (cooked on site, salad &amp; bread)</t>
        </is>
      </c>
      <c r="B83" s="6" t="n">
        <v>0</v>
      </c>
      <c r="C83" s="2" t="inlineStr">
        <is>
          <t>Cooked live on site by the paella chef, with salad and bread. Guests serve themselves or the paella chef serves from the pan: no servers by default.</t>
        </is>
      </c>
    </row>
    <row r="84" ht="48" customHeight="1">
      <c r="A84" s="2" t="inlineStr">
        <is>
          <t>Full-service live paella (paella chef &amp; staff; weddings &amp; corporate)</t>
        </is>
      </c>
      <c r="B84" s="6" t="n">
        <v>25</v>
      </c>
      <c r="C84" s="2" t="inlineStr">
        <is>
          <t>Paella chef, helper and servers for weddings and corporate events: about one team member per 25 guests (miamigrillcatering.com).</t>
        </is>
      </c>
    </row>
  </sheetData>
  <sheetProtection selectLockedCells="0" selectUnlockedCells="0" sheet="1" objects="0" insertRows="1" insertHyperlinks="1" autoFilter="1" scenarios="0" formatColumns="1" deleteColumns="1" insertColumns="1" pivotTables="1" deleteRows="1" formatCells="1" formatRows="1" sort="1"/>
  <mergeCells count="1">
    <mergeCell ref="A2:C2"/>
  </mergeCells>
  <dataValidations count="13">
    <dataValidation sqref="B5" showDropDown="0" showInputMessage="0" showErrorMessage="1" allowBlank="0" errorTitle="Invalid package" error="Choose a package from the list." type="list">
      <formula1>$A$82:$A$84</formula1>
    </dataValidation>
    <dataValidation sqref="B6" showDropDown="0" showInputMessage="0" showErrorMessage="1" allowBlank="0" errorTitle="Invalid style" error="Choose a menu style from the list on the &quot;Paella Yield &amp; Pan Sizing&quot; tab." type="list">
      <formula1>'Paella Yield &amp; Pan Sizing'!$A$20:$A$27</formula1>
    </dataValidation>
    <dataValidation sqref="B9" showDropDown="0" showInputMessage="0" showErrorMessage="1" allowBlank="0" errorTitle="Invalid pan size" error="Choose a pan size from the list on the &quot;Paella Yield &amp; Pan Sizing&quot; tab." type="list">
      <formula1>'Paella Yield &amp; Pan Sizing'!$A$9:$A$15</formula1>
    </dataValidation>
    <dataValidation sqref="B11 B33" showDropDown="0" showInputMessage="0" showErrorMessage="1" allowBlank="0" errorTitle="Invalid entry" error="Choose Yes or No." type="list">
      <formula1>"Yes,No"</formula1>
    </dataValidation>
    <dataValidation sqref="B7" showDropDown="0" showInputMessage="0" showErrorMessage="1" allowBlank="0" errorTitle="Invalid count" error="Enter a whole number of 1 or more." type="whole" operator="between">
      <formula1>1</formula1>
      <formula2>100000</formula2>
    </dataValidation>
    <dataValidation sqref="B8 B16 B17 B18 B26" showDropDown="0" showInputMessage="0" showErrorMessage="1" allowBlank="0" errorTitle="Invalid count" error="Enter a whole number of 0 or more." type="whole" operator="between">
      <formula1>0</formula1>
      <formula2>100000</formula2>
    </dataValidation>
    <dataValidation sqref="B35 B36 B37" showDropDown="0" showInputMessage="0" showErrorMessage="1" allowBlank="0" errorTitle="Invalid days" error="Enter a whole number of days between 1 and 730." type="whole" operator="between">
      <formula1>1</formula1>
      <formula2>730</formula2>
    </dataValidation>
    <dataValidation sqref="B10" showDropDown="0" showInputMessage="0" showErrorMessage="1" allowBlank="0" errorTitle="Invalid amount" error="Enter the uncooked rice per guest in oz, between 1 and 8." type="decimal" operator="between">
      <formula1>1</formula1>
      <formula2>8</formula2>
    </dataValidation>
    <dataValidation sqref="B12 B13 B14 B15 B19 B20 B21 B22 B23 B25 B27 B28" showDropDown="0" showInputMessage="0" showErrorMessage="1" allowBlank="0" errorTitle="Invalid amount" error="Enter a number greater than or equal to 0." type="decimal" operator="greaterThanOrEqual">
      <formula1>0</formula1>
    </dataValidation>
    <dataValidation sqref="B24 B31 B32 B34 B38 B39 B40 B41" showDropDown="0" showInputMessage="0" showErrorMessage="1" allowBlank="0" errorTitle="Invalid percentage" error="Enter a percentage between 0 and 1 (0.20 = 20%)." type="decimal" operator="between">
      <formula1>0</formula1>
      <formula2>1</formula2>
    </dataValidation>
    <dataValidation sqref="B29" showDropDown="0" showInputMessage="0" showErrorMessage="1" allowBlank="0" errorTitle="Invalid percentage" error="Enter a fee between 0 and 30% (0.15 = 15%)." type="decimal" operator="between">
      <formula1>0</formula1>
      <formula2>0.3</formula2>
    </dataValidation>
    <dataValidation sqref="B30" showDropDown="0" showInputMessage="0" showErrorMessage="1" allowBlank="0" errorTitle="Invalid percentage" error="Enter a target margin between 0 and 65% (0.45 = 45%)." type="decimal" operator="between">
      <formula1>0</formula1>
      <formula2>0.65</formula2>
    </dataValidation>
    <dataValidation sqref="B82 B83 B84" showDropDown="0" showInputMessage="0" showErrorMessage="1" allowBlank="0" errorTitle="Invalid count" error="Enter a whole number of guests, 0 or more." type="whole" operator="between">
      <formula1>0</formula1>
      <formula2>10000</formula2>
    </dataValidation>
  </dataValidations>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40"/>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 width="10" customWidth="1" min="12" max="12"/>
    <col width="12" customWidth="1" min="13" max="13"/>
    <col width="12" customWidth="1" min="14" max="14"/>
    <col width="12" customWidth="1" min="15" max="15"/>
    <col width="34" customWidth="1" min="16" max="16"/>
    <col width="30" customWidth="1" min="17" max="17"/>
    <col width="40" customWidth="1" min="18" max="18"/>
  </cols>
  <sheetData>
    <row r="1">
      <c r="A1" s="1" t="inlineStr">
        <is>
          <t>PAELLA YIELD &amp; PAN SIZING — 7 PAN SIZES AND 8 MENU STYLES</t>
        </is>
      </c>
    </row>
    <row r="2" ht="60" customHeight="1">
      <c r="A2" s="2" t="inlineStr">
        <is>
          <t>Guests, rice, stock and propane per pan size, and the ingredients per guest of 8 menu styles (green cells: kit estimates, edit them with your own test cooks). Type your ingredient prices in the green row under the styles: they are blank on purpose. The FDA Food Code MINIMUM cooking temperature (the legal safety floor, 2022 Food Code 3-401.11) and the hot holding rule sit in their own columns.</t>
        </is>
      </c>
    </row>
    <row r="4">
      <c r="A4" s="3" t="inlineStr">
        <is>
          <t>SIZING INPUT</t>
        </is>
      </c>
    </row>
    <row r="5">
      <c r="A5" s="4" t="inlineStr">
        <is>
          <t>Stock per lb of uncooked rice (quarts)</t>
        </is>
      </c>
      <c r="B5" s="8" t="n">
        <v>1.2</v>
      </c>
      <c r="C5" s="4" t="inlineStr">
        <is>
          <t>Kit estimate: 1.2 quarts per lb (2.5 liters per kg); bomba rice absorbs up to 3 times its volume. The uncooked rice per guest comes from the "Pricing Calculator" tab.</t>
        </is>
      </c>
    </row>
    <row r="8" ht="45" customHeight="1">
      <c r="A8" s="19" t="inlineStr">
        <is>
          <t>Pan size (in, cm)</t>
        </is>
      </c>
      <c r="B8" s="19" t="inlineStr">
        <is>
          <t>Diameter (cm)</t>
        </is>
      </c>
      <c r="C8" s="19" t="inlineStr">
        <is>
          <t>Guests per pan (Kit estimate)</t>
        </is>
      </c>
      <c r="D8" s="19" t="inlineStr">
        <is>
          <t>Burner rings</t>
        </is>
      </c>
      <c r="E8" s="19" t="inlineStr">
        <is>
          <t>Uncooked rice per pan (lb)</t>
        </is>
      </c>
      <c r="F8" s="19" t="inlineStr">
        <is>
          <t>(kg)</t>
        </is>
      </c>
      <c r="G8" s="19" t="inlineStr">
        <is>
          <t>Stock per pan (gallons)</t>
        </is>
      </c>
      <c r="H8" s="19" t="inlineStr">
        <is>
          <t>(liters)</t>
        </is>
      </c>
      <c r="I8" s="19" t="inlineStr">
        <is>
          <t>Propane per cook (lb)</t>
        </is>
      </c>
      <c r="J8" s="19" t="inlineStr">
        <is>
          <t>(kg)</t>
        </is>
      </c>
      <c r="K8" s="19" t="inlineStr">
        <is>
          <t>Notes</t>
        </is>
      </c>
    </row>
    <row r="9" ht="30" customHeight="1">
      <c r="A9" s="4" t="inlineStr">
        <is>
          <t>18 in (46 cm)</t>
        </is>
      </c>
      <c r="B9" s="12" t="n">
        <v>46</v>
      </c>
      <c r="C9" s="6" t="n">
        <v>8</v>
      </c>
      <c r="D9" s="6" t="n">
        <v>1</v>
      </c>
      <c r="E9" s="13">
        <f>C9*'Pricing Calculator'!$B$10/16</f>
        <v>1.625</v>
      </c>
      <c r="F9" s="13">
        <f>E9*0.4536</f>
        <v>0.7371</v>
      </c>
      <c r="G9" s="16">
        <f>E9*$B$5/4</f>
        <v>0.4875</v>
      </c>
      <c r="H9" s="13">
        <f>G9*3.785</f>
        <v>1.8451875</v>
      </c>
      <c r="I9" s="9" t="n">
        <v>0.8</v>
      </c>
      <c r="J9" s="13">
        <f>I9*0.4536</f>
        <v>0.36288000000000004</v>
      </c>
      <c r="K9" s="2" t="inlineStr">
        <is>
          <t>Side dish or a small backyard party.</t>
        </is>
      </c>
    </row>
    <row r="10" ht="30" customHeight="1">
      <c r="A10" s="4" t="inlineStr">
        <is>
          <t>22 in (55 cm)</t>
        </is>
      </c>
      <c r="B10" s="12" t="n">
        <v>55</v>
      </c>
      <c r="C10" s="6" t="n">
        <v>12</v>
      </c>
      <c r="D10" s="6" t="n">
        <v>2</v>
      </c>
      <c r="E10" s="13">
        <f>C10*'Pricing Calculator'!$B$10/16</f>
        <v>2.4375</v>
      </c>
      <c r="F10" s="13">
        <f>E10*0.4536</f>
        <v>1.10565</v>
      </c>
      <c r="G10" s="16">
        <f>E10*$B$5/4</f>
        <v>0.73125</v>
      </c>
      <c r="H10" s="13">
        <f>G10*3.785</f>
        <v>2.76778125</v>
      </c>
      <c r="I10" s="9" t="n">
        <v>1.2</v>
      </c>
      <c r="J10" s="13">
        <f>I10*0.4536</f>
        <v>0.54432</v>
      </c>
    </row>
    <row r="11" ht="30" customHeight="1">
      <c r="A11" s="4" t="inlineStr">
        <is>
          <t>26 in (65 cm)</t>
        </is>
      </c>
      <c r="B11" s="12" t="n">
        <v>65</v>
      </c>
      <c r="C11" s="6" t="n">
        <v>18</v>
      </c>
      <c r="D11" s="6" t="n">
        <v>2</v>
      </c>
      <c r="E11" s="13">
        <f>C11*'Pricing Calculator'!$B$10/16</f>
        <v>3.65625</v>
      </c>
      <c r="F11" s="13">
        <f>E11*0.4536</f>
        <v>1.658475</v>
      </c>
      <c r="G11" s="16">
        <f>E11*$B$5/4</f>
        <v>1.096875</v>
      </c>
      <c r="H11" s="13">
        <f>G11*3.785</f>
        <v>4.151671875</v>
      </c>
      <c r="I11" s="9" t="n">
        <v>1.6</v>
      </c>
      <c r="J11" s="13">
        <f>I11*0.4536</f>
        <v>0.7257600000000001</v>
      </c>
      <c r="K11" s="2" t="inlineStr">
        <is>
          <t>Research figure (Kit estimate): about 18 guests.</t>
        </is>
      </c>
    </row>
    <row r="12" ht="30" customHeight="1">
      <c r="A12" s="4" t="inlineStr">
        <is>
          <t>28 in (70 cm)</t>
        </is>
      </c>
      <c r="B12" s="12" t="n">
        <v>70</v>
      </c>
      <c r="C12" s="6" t="n">
        <v>21</v>
      </c>
      <c r="D12" s="6" t="n">
        <v>2</v>
      </c>
      <c r="E12" s="13">
        <f>C12*'Pricing Calculator'!$B$10/16</f>
        <v>4.265625</v>
      </c>
      <c r="F12" s="13">
        <f>E12*0.4536</f>
        <v>1.9348875</v>
      </c>
      <c r="G12" s="16">
        <f>E12*$B$5/4</f>
        <v>1.2796874999999999</v>
      </c>
      <c r="H12" s="13">
        <f>G12*3.785</f>
        <v>4.8436171875</v>
      </c>
      <c r="I12" s="9" t="n">
        <v>1.8</v>
      </c>
      <c r="J12" s="13">
        <f>I12*0.4536</f>
        <v>0.81648</v>
      </c>
    </row>
    <row r="13" ht="30" customHeight="1">
      <c r="A13" s="4" t="inlineStr">
        <is>
          <t>32 in (80 cm)</t>
        </is>
      </c>
      <c r="B13" s="12" t="n">
        <v>80</v>
      </c>
      <c r="C13" s="6" t="n">
        <v>30</v>
      </c>
      <c r="D13" s="6" t="n">
        <v>3</v>
      </c>
      <c r="E13" s="13">
        <f>C13*'Pricing Calculator'!$B$10/16</f>
        <v>6.09375</v>
      </c>
      <c r="F13" s="13">
        <f>E13*0.4536</f>
        <v>2.764125</v>
      </c>
      <c r="G13" s="16">
        <f>E13*$B$5/4</f>
        <v>1.828125</v>
      </c>
      <c r="H13" s="13">
        <f>G13*3.785</f>
        <v>6.919453125</v>
      </c>
      <c r="I13" s="9" t="n">
        <v>2.4</v>
      </c>
      <c r="J13" s="13">
        <f>I13*0.4536</f>
        <v>1.08864</v>
      </c>
      <c r="K13" s="2" t="inlineStr">
        <is>
          <t>Research figure (Kit estimate): about 30 guests.</t>
        </is>
      </c>
    </row>
    <row r="14" ht="30" customHeight="1">
      <c r="A14" s="4" t="inlineStr">
        <is>
          <t>36 in (90 cm)</t>
        </is>
      </c>
      <c r="B14" s="12" t="n">
        <v>90</v>
      </c>
      <c r="C14" s="6" t="n">
        <v>40</v>
      </c>
      <c r="D14" s="6" t="n">
        <v>3</v>
      </c>
      <c r="E14" s="13">
        <f>C14*'Pricing Calculator'!$B$10/16</f>
        <v>8.125</v>
      </c>
      <c r="F14" s="13">
        <f>E14*0.4536</f>
        <v>3.6855</v>
      </c>
      <c r="G14" s="16">
        <f>E14*$B$5/4</f>
        <v>2.4375</v>
      </c>
      <c r="H14" s="13">
        <f>G14*3.785</f>
        <v>9.2259375</v>
      </c>
      <c r="I14" s="9" t="n">
        <v>3</v>
      </c>
      <c r="J14" s="13">
        <f>I14*0.4536</f>
        <v>1.3608</v>
      </c>
      <c r="K14" s="2" t="inlineStr">
        <is>
          <t>Research figure (Kit estimate): about 40 guests; a retailer says 40 to 50.</t>
        </is>
      </c>
    </row>
    <row r="15" ht="30" customHeight="1">
      <c r="A15" s="4" t="inlineStr">
        <is>
          <t>40 in (100 cm)</t>
        </is>
      </c>
      <c r="B15" s="12" t="n">
        <v>100</v>
      </c>
      <c r="C15" s="6" t="n">
        <v>50</v>
      </c>
      <c r="D15" s="6" t="n">
        <v>3</v>
      </c>
      <c r="E15" s="13">
        <f>C15*'Pricing Calculator'!$B$10/16</f>
        <v>10.15625</v>
      </c>
      <c r="F15" s="13">
        <f>E15*0.4536</f>
        <v>4.606875</v>
      </c>
      <c r="G15" s="16">
        <f>E15*$B$5/4</f>
        <v>3.046875</v>
      </c>
      <c r="H15" s="13">
        <f>G15*3.785</f>
        <v>11.532421875</v>
      </c>
      <c r="I15" s="9" t="n">
        <v>3.7</v>
      </c>
      <c r="J15" s="13">
        <f>I15*0.4536</f>
        <v>1.67832</v>
      </c>
      <c r="K15" s="2" t="inlineStr">
        <is>
          <t>Needs an XL 3-ring burner and wind guards; check that your burner fits it.</t>
        </is>
      </c>
    </row>
    <row r="18">
      <c r="A18" s="14" t="inlineStr">
        <is>
          <t>MENU STYLES — ingredients per guest (oz; saffron in grams), Kit estimate</t>
        </is>
      </c>
    </row>
    <row r="19" ht="75" customHeight="1">
      <c r="A19" s="19" t="inlineStr">
        <is>
          <t>Menu style</t>
        </is>
      </c>
      <c r="B19" s="19" t="inlineStr">
        <is>
          <t>Chicken thighs, boneless (oz)</t>
        </is>
      </c>
      <c r="C19" s="19" t="inlineStr">
        <is>
          <t>Spanish chorizo, cured (oz)</t>
        </is>
      </c>
      <c r="D19" s="19" t="inlineStr">
        <is>
          <t>Rabbit (oz)</t>
        </is>
      </c>
      <c r="E19" s="19" t="inlineStr">
        <is>
          <t>Shrimp (oz)</t>
        </is>
      </c>
      <c r="F19" s="19" t="inlineStr">
        <is>
          <t>Mussels &amp; clams, in shell (oz)</t>
        </is>
      </c>
      <c r="G19" s="19" t="inlineStr">
        <is>
          <t>Squid or cuttlefish (oz)</t>
        </is>
      </c>
      <c r="H19" s="19" t="inlineStr">
        <is>
          <t>Lobster, in shell (oz)</t>
        </is>
      </c>
      <c r="I19" s="19" t="inlineStr">
        <is>
          <t>Firm white fish (oz)</t>
        </is>
      </c>
      <c r="J19" s="19" t="inlineStr">
        <is>
          <t>Vegetables: green beans, lima beans, peppers, artichokes (oz)</t>
        </is>
      </c>
      <c r="K19" s="19" t="inlineStr">
        <is>
          <t>Sofrito base: tomato, onion, garlic, olive oil (oz)</t>
        </is>
      </c>
      <c r="L19" s="19" t="inlineStr">
        <is>
          <t>Saffron (g)</t>
        </is>
      </c>
      <c r="M19" s="19" t="inlineStr">
        <is>
          <t>Kit food cost per guest (excl. salad &amp; bread)</t>
        </is>
      </c>
      <c r="N19" s="19" t="inlineStr">
        <is>
          <t>Food cost per guest with your prices</t>
        </is>
      </c>
      <c r="O19" s="19" t="inlineStr">
        <is>
          <t>Ingredients with no price (rice included)</t>
        </is>
      </c>
      <c r="P19" s="19" t="inlineStr">
        <is>
          <t>FDA Food Code minimum (safety)</t>
        </is>
      </c>
      <c r="Q19" s="19" t="inlineStr">
        <is>
          <t>Hot holding (Food Code)</t>
        </is>
      </c>
      <c r="R19" s="19" t="inlineStr">
        <is>
          <t>Typical allergens</t>
        </is>
      </c>
    </row>
    <row r="20" ht="62" customHeight="1">
      <c r="A20" s="2" t="inlineStr">
        <is>
          <t>Seafood (paella marinera)</t>
        </is>
      </c>
      <c r="B20" s="8" t="n">
        <v>0</v>
      </c>
      <c r="C20" s="8" t="n">
        <v>0</v>
      </c>
      <c r="D20" s="8" t="n">
        <v>0</v>
      </c>
      <c r="E20" s="8" t="n">
        <v>2</v>
      </c>
      <c r="F20" s="8" t="n">
        <v>3</v>
      </c>
      <c r="G20" s="8" t="n">
        <v>1.5</v>
      </c>
      <c r="H20" s="8" t="n">
        <v>0</v>
      </c>
      <c r="I20" s="8" t="n">
        <v>1</v>
      </c>
      <c r="J20" s="8" t="n">
        <v>0.5</v>
      </c>
      <c r="K20" s="8" t="n">
        <v>1.5</v>
      </c>
      <c r="L20" s="8" t="n">
        <v>0.08</v>
      </c>
      <c r="M20" s="8" t="n">
        <v>8.5</v>
      </c>
      <c r="N20" s="16">
        <f>IF(ISNUMBER($B$33),$B$33,0)*'Pricing Calculator'!$B$10/16+B20*B$30+C20*C$30+D20*D$30+E20*E$30+F20*F$30+G20*G$30+H20*H$30+I20*I$30+J20*J$30+K20*K$30+L20*L$30</f>
        <v>0.0</v>
      </c>
      <c r="O20" s="12">
        <f>IF(ISNUMBER($B$33),IF($B$33&gt;0,0,1),1)+IF(B20&gt;0,B$31,0)+IF(C20&gt;0,C$31,0)+IF(D20&gt;0,D$31,0)+IF(E20&gt;0,E$31,0)+IF(F20&gt;0,F$31,0)+IF(G20&gt;0,G$31,0)+IF(H20&gt;0,H$31,0)+IF(I20&gt;0,I$31,0)+IF(J20&gt;0,J$31,0)+IF(K20&gt;0,K$31,0)+IF(L20&gt;0,L$31,0)</f>
        <v>8.0</v>
      </c>
      <c r="P20" s="2" t="inlineStr">
        <is>
          <t>145 °F (63 °C) for 15 s: fish and shellfish</t>
        </is>
      </c>
      <c r="Q20" s="2" t="inlineStr">
        <is>
          <t>135 °F (57 °C) or above, or time as a public health control: 4 hours, then discard</t>
        </is>
      </c>
      <c r="R20" s="2" t="inlineStr">
        <is>
          <t>Crustacean shellfish, fish, mollusks (not a major US allergen, declare them anyway); sulfites in some frozen shrimp. Verify with your recipe and suppliers.</t>
        </is>
      </c>
    </row>
    <row r="21" ht="62" customHeight="1">
      <c r="A21" s="2" t="inlineStr">
        <is>
          <t>Chicken &amp; seafood</t>
        </is>
      </c>
      <c r="B21" s="8" t="n">
        <v>2.5</v>
      </c>
      <c r="C21" s="8" t="n">
        <v>0</v>
      </c>
      <c r="D21" s="8" t="n">
        <v>0</v>
      </c>
      <c r="E21" s="8" t="n">
        <v>1.5</v>
      </c>
      <c r="F21" s="8" t="n">
        <v>2</v>
      </c>
      <c r="G21" s="8" t="n">
        <v>0.75</v>
      </c>
      <c r="H21" s="8" t="n">
        <v>0</v>
      </c>
      <c r="I21" s="8" t="n">
        <v>0</v>
      </c>
      <c r="J21" s="8" t="n">
        <v>1</v>
      </c>
      <c r="K21" s="8" t="n">
        <v>1.5</v>
      </c>
      <c r="L21" s="8" t="n">
        <v>0.08</v>
      </c>
      <c r="M21" s="8" t="n">
        <v>7</v>
      </c>
      <c r="N21" s="16">
        <f>IF(ISNUMBER($B$33),$B$33,0)*'Pricing Calculator'!$B$10/16+B21*B$30+C21*C$30+D21*D$30+E21*E$30+F21*F$30+G21*G$30+H21*H$30+I21*I$30+J21*J$30+K21*K$30+L21*L$30</f>
        <v>0.0</v>
      </c>
      <c r="O21" s="12">
        <f>IF(ISNUMBER($B$33),IF($B$33&gt;0,0,1),1)+IF(B21&gt;0,B$31,0)+IF(C21&gt;0,C$31,0)+IF(D21&gt;0,D$31,0)+IF(E21&gt;0,E$31,0)+IF(F21&gt;0,F$31,0)+IF(G21&gt;0,G$31,0)+IF(H21&gt;0,H$31,0)+IF(I21&gt;0,I$31,0)+IF(J21&gt;0,J$31,0)+IF(K21&gt;0,K$31,0)+IF(L21&gt;0,L$31,0)</f>
        <v>8.0</v>
      </c>
      <c r="P21" s="2" t="inlineStr">
        <is>
          <t>165 °F (74 °C): chicken; 145 °F (63 °C) for 15 s: fish and shellfish</t>
        </is>
      </c>
      <c r="Q21" s="2" t="inlineStr">
        <is>
          <t>135 °F (57 °C) or above, or time as a public health control: 4 hours, then discard</t>
        </is>
      </c>
      <c r="R21" s="2" t="inlineStr">
        <is>
          <t>Crustacean shellfish, mollusks (not a major US allergen, declare them anyway); sulfites in some frozen shrimp. Verify with your recipe and suppliers.</t>
        </is>
      </c>
    </row>
    <row r="22" ht="62" customHeight="1">
      <c r="A22" s="2" t="inlineStr">
        <is>
          <t>Chicken &amp; chorizo</t>
        </is>
      </c>
      <c r="B22" s="8" t="n">
        <v>3.5</v>
      </c>
      <c r="C22" s="8" t="n">
        <v>1</v>
      </c>
      <c r="D22" s="8" t="n">
        <v>0</v>
      </c>
      <c r="E22" s="8" t="n">
        <v>0</v>
      </c>
      <c r="F22" s="8" t="n">
        <v>0</v>
      </c>
      <c r="G22" s="8" t="n">
        <v>0</v>
      </c>
      <c r="H22" s="8" t="n">
        <v>0</v>
      </c>
      <c r="I22" s="8" t="n">
        <v>0</v>
      </c>
      <c r="J22" s="8" t="n">
        <v>1.5</v>
      </c>
      <c r="K22" s="8" t="n">
        <v>1.5</v>
      </c>
      <c r="L22" s="8" t="n">
        <v>0.08</v>
      </c>
      <c r="M22" s="8" t="n">
        <v>5</v>
      </c>
      <c r="N22" s="16">
        <f>IF(ISNUMBER($B$33),$B$33,0)*'Pricing Calculator'!$B$10/16+B22*B$30+C22*C$30+D22*D$30+E22*E$30+F22*F$30+G22*G$30+H22*H$30+I22*I$30+J22*J$30+K22*K$30+L22*L$30</f>
        <v>0.0</v>
      </c>
      <c r="O22" s="12">
        <f>IF(ISNUMBER($B$33),IF($B$33&gt;0,0,1),1)+IF(B22&gt;0,B$31,0)+IF(C22&gt;0,C$31,0)+IF(D22&gt;0,D$31,0)+IF(E22&gt;0,E$31,0)+IF(F22&gt;0,F$31,0)+IF(G22&gt;0,G$31,0)+IF(H22&gt;0,H$31,0)+IF(I22&gt;0,I$31,0)+IF(J22&gt;0,J$31,0)+IF(K22&gt;0,K$31,0)+IF(L22&gt;0,L$31,0)</f>
        <v>6.0</v>
      </c>
      <c r="P22" s="2" t="inlineStr">
        <is>
          <t>165 °F (74 °C): chicken. Spanish cured chorizo is ready to eat; raw Mexican-style chorizo is ground meat: 155 °F (68 °C) for 17 s</t>
        </is>
      </c>
      <c r="Q22" s="2" t="inlineStr">
        <is>
          <t>135 °F (57 °C) or above, or time as a public health control: 4 hours, then discard</t>
        </is>
      </c>
      <c r="R22" s="2" t="inlineStr">
        <is>
          <t>Check the chorizo label (some brands add milk, soy or wheat). Verify with your recipe and suppliers.</t>
        </is>
      </c>
    </row>
    <row r="23" ht="62" customHeight="1">
      <c r="A23" s="2" t="inlineStr">
        <is>
          <t>Valencian (chicken; rabbit on request)</t>
        </is>
      </c>
      <c r="B23" s="8" t="n">
        <v>3</v>
      </c>
      <c r="C23" s="8" t="n">
        <v>0</v>
      </c>
      <c r="D23" s="8" t="n">
        <v>1.5</v>
      </c>
      <c r="E23" s="8" t="n">
        <v>0</v>
      </c>
      <c r="F23" s="8" t="n">
        <v>0</v>
      </c>
      <c r="G23" s="8" t="n">
        <v>0</v>
      </c>
      <c r="H23" s="8" t="n">
        <v>0</v>
      </c>
      <c r="I23" s="8" t="n">
        <v>0</v>
      </c>
      <c r="J23" s="8" t="n">
        <v>2.5</v>
      </c>
      <c r="K23" s="8" t="n">
        <v>1</v>
      </c>
      <c r="L23" s="8" t="n">
        <v>0.08</v>
      </c>
      <c r="M23" s="8" t="n">
        <v>6</v>
      </c>
      <c r="N23" s="16">
        <f>IF(ISNUMBER($B$33),$B$33,0)*'Pricing Calculator'!$B$10/16+B23*B$30+C23*C$30+D23*D$30+E23*E$30+F23*F$30+G23*G$30+H23*H$30+I23*I$30+J23*J$30+K23*K$30+L23*L$30</f>
        <v>0.0</v>
      </c>
      <c r="O23" s="12">
        <f>IF(ISNUMBER($B$33),IF($B$33&gt;0,0,1),1)+IF(B23&gt;0,B$31,0)+IF(C23&gt;0,C$31,0)+IF(D23&gt;0,D$31,0)+IF(E23&gt;0,E$31,0)+IF(F23&gt;0,F$31,0)+IF(G23&gt;0,G$31,0)+IF(H23&gt;0,H$31,0)+IF(I23&gt;0,I$31,0)+IF(J23&gt;0,J$31,0)+IF(K23&gt;0,K$31,0)+IF(L23&gt;0,L$31,0)</f>
        <v>6.0</v>
      </c>
      <c r="P23" s="2" t="inlineStr">
        <is>
          <t>165 °F (74 °C): chicken. Rabbit: check your county rules (cooking it with the chicken to 165 °F (74 °C) covers it)</t>
        </is>
      </c>
      <c r="Q23" s="2" t="inlineStr">
        <is>
          <t>135 °F (57 °C) or above, or time as a public health control: 4 hours, then discard</t>
        </is>
      </c>
      <c r="R23" s="2" t="inlineStr">
        <is>
          <t>None of the 9 major allergens in a classic recipe. Verify with your recipe and suppliers.</t>
        </is>
      </c>
    </row>
    <row r="24" ht="62" customHeight="1">
      <c r="A24" s="2" t="inlineStr">
        <is>
          <t>Farm vegetable (vegan)</t>
        </is>
      </c>
      <c r="B24" s="8" t="n">
        <v>0</v>
      </c>
      <c r="C24" s="8" t="n">
        <v>0</v>
      </c>
      <c r="D24" s="8" t="n">
        <v>0</v>
      </c>
      <c r="E24" s="8" t="n">
        <v>0</v>
      </c>
      <c r="F24" s="8" t="n">
        <v>0</v>
      </c>
      <c r="G24" s="8" t="n">
        <v>0</v>
      </c>
      <c r="H24" s="8" t="n">
        <v>0</v>
      </c>
      <c r="I24" s="8" t="n">
        <v>0</v>
      </c>
      <c r="J24" s="8" t="n">
        <v>5</v>
      </c>
      <c r="K24" s="8" t="n">
        <v>2</v>
      </c>
      <c r="L24" s="8" t="n">
        <v>0.08</v>
      </c>
      <c r="M24" s="8" t="n">
        <v>4</v>
      </c>
      <c r="N24" s="16">
        <f>IF(ISNUMBER($B$33),$B$33,0)*'Pricing Calculator'!$B$10/16+B24*B$30+C24*C$30+D24*D$30+E24*E$30+F24*F$30+G24*G$30+H24*H$30+I24*I$30+J24*J$30+K24*K$30+L24*L$30</f>
        <v>0.0</v>
      </c>
      <c r="O24" s="12">
        <f>IF(ISNUMBER($B$33),IF($B$33&gt;0,0,1),1)+IF(B24&gt;0,B$31,0)+IF(C24&gt;0,C$31,0)+IF(D24&gt;0,D$31,0)+IF(E24&gt;0,E$31,0)+IF(F24&gt;0,F$31,0)+IF(G24&gt;0,G$31,0)+IF(H24&gt;0,H$31,0)+IF(I24&gt;0,I$31,0)+IF(J24&gt;0,J$31,0)+IF(K24&gt;0,K$31,0)+IF(L24&gt;0,L$31,0)</f>
        <v>4.0</v>
      </c>
      <c r="P24" s="2" t="inlineStr">
        <is>
          <t>135 °F (57 °C): plant foods cooked for hot holding</t>
        </is>
      </c>
      <c r="Q24" s="2" t="inlineStr">
        <is>
          <t>135 °F (57 °C) or above, or time as a public health control: 4 hours, then discard</t>
        </is>
      </c>
      <c r="R24" s="2" t="inlineStr">
        <is>
          <t>Check the vegetable stock base (some add celery, soy or wheat). Verify with your recipe and suppliers.</t>
        </is>
      </c>
    </row>
    <row r="25" ht="62" customHeight="1">
      <c r="A25" s="2" t="inlineStr">
        <is>
          <t>Paella negra (squid ink)</t>
        </is>
      </c>
      <c r="B25" s="8" t="n">
        <v>0</v>
      </c>
      <c r="C25" s="8" t="n">
        <v>0</v>
      </c>
      <c r="D25" s="8" t="n">
        <v>0</v>
      </c>
      <c r="E25" s="8" t="n">
        <v>1</v>
      </c>
      <c r="F25" s="8" t="n">
        <v>0</v>
      </c>
      <c r="G25" s="8" t="n">
        <v>3</v>
      </c>
      <c r="H25" s="8" t="n">
        <v>0</v>
      </c>
      <c r="I25" s="8" t="n">
        <v>0</v>
      </c>
      <c r="J25" s="8" t="n">
        <v>0.5</v>
      </c>
      <c r="K25" s="8" t="n">
        <v>1.5</v>
      </c>
      <c r="L25" s="8" t="n">
        <v>0</v>
      </c>
      <c r="M25" s="8" t="n">
        <v>6.5</v>
      </c>
      <c r="N25" s="16">
        <f>IF(ISNUMBER($B$33),$B$33,0)*'Pricing Calculator'!$B$10/16+B25*B$30+C25*C$30+D25*D$30+E25*E$30+F25*F$30+G25*G$30+H25*H$30+I25*I$30+J25*J$30+K25*K$30+L25*L$30</f>
        <v>0.0</v>
      </c>
      <c r="O25" s="12">
        <f>IF(ISNUMBER($B$33),IF($B$33&gt;0,0,1),1)+IF(B25&gt;0,B$31,0)+IF(C25&gt;0,C$31,0)+IF(D25&gt;0,D$31,0)+IF(E25&gt;0,E$31,0)+IF(F25&gt;0,F$31,0)+IF(G25&gt;0,G$31,0)+IF(H25&gt;0,H$31,0)+IF(I25&gt;0,I$31,0)+IF(J25&gt;0,J$31,0)+IF(K25&gt;0,K$31,0)+IF(L25&gt;0,L$31,0)</f>
        <v>5.0</v>
      </c>
      <c r="P25" s="2" t="inlineStr">
        <is>
          <t>145 °F (63 °C) for 15 s: fish and shellfish</t>
        </is>
      </c>
      <c r="Q25" s="2" t="inlineStr">
        <is>
          <t>135 °F (57 °C) or above, or time as a public health control: 4 hours, then discard</t>
        </is>
      </c>
      <c r="R25" s="2" t="inlineStr">
        <is>
          <t>Crustacean shellfish, mollusks (not a major US allergen, declare them anyway) (squid and its ink). Verify with your recipe and suppliers.</t>
        </is>
      </c>
    </row>
    <row r="26" ht="62" customHeight="1">
      <c r="A26" s="2" t="inlineStr">
        <is>
          <t>Lobster &amp; seafood (premium)</t>
        </is>
      </c>
      <c r="B26" s="8" t="n">
        <v>0</v>
      </c>
      <c r="C26" s="8" t="n">
        <v>0</v>
      </c>
      <c r="D26" s="8" t="n">
        <v>0</v>
      </c>
      <c r="E26" s="8" t="n">
        <v>1.5</v>
      </c>
      <c r="F26" s="8" t="n">
        <v>2</v>
      </c>
      <c r="G26" s="8" t="n">
        <v>1</v>
      </c>
      <c r="H26" s="8" t="n">
        <v>4</v>
      </c>
      <c r="I26" s="8" t="n">
        <v>0</v>
      </c>
      <c r="J26" s="8" t="n">
        <v>0.5</v>
      </c>
      <c r="K26" s="8" t="n">
        <v>1.5</v>
      </c>
      <c r="L26" s="8" t="n">
        <v>0.08</v>
      </c>
      <c r="M26" s="8" t="n">
        <v>16.5</v>
      </c>
      <c r="N26" s="16">
        <f>IF(ISNUMBER($B$33),$B$33,0)*'Pricing Calculator'!$B$10/16+B26*B$30+C26*C$30+D26*D$30+E26*E$30+F26*F$30+G26*G$30+H26*H$30+I26*I$30+J26*J$30+K26*K$30+L26*L$30</f>
        <v>0.0</v>
      </c>
      <c r="O26" s="12">
        <f>IF(ISNUMBER($B$33),IF($B$33&gt;0,0,1),1)+IF(B26&gt;0,B$31,0)+IF(C26&gt;0,C$31,0)+IF(D26&gt;0,D$31,0)+IF(E26&gt;0,E$31,0)+IF(F26&gt;0,F$31,0)+IF(G26&gt;0,G$31,0)+IF(H26&gt;0,H$31,0)+IF(I26&gt;0,I$31,0)+IF(J26&gt;0,J$31,0)+IF(K26&gt;0,K$31,0)+IF(L26&gt;0,L$31,0)</f>
        <v>8.0</v>
      </c>
      <c r="P26" s="2" t="inlineStr">
        <is>
          <t>145 °F (63 °C) for 15 s: fish and shellfish</t>
        </is>
      </c>
      <c r="Q26" s="2" t="inlineStr">
        <is>
          <t>135 °F (57 °C) or above, or time as a public health control: 4 hours, then discard</t>
        </is>
      </c>
      <c r="R26" s="2" t="inlineStr">
        <is>
          <t>Crustacean shellfish, mollusks (not a major US allergen, declare them anyway). Verify with your recipe and suppliers.</t>
        </is>
      </c>
    </row>
    <row r="27" ht="62" customHeight="1">
      <c r="A27" s="2" t="inlineStr">
        <is>
          <t>Easy-eat peeled seafood</t>
        </is>
      </c>
      <c r="B27" s="8" t="n">
        <v>0</v>
      </c>
      <c r="C27" s="8" t="n">
        <v>0</v>
      </c>
      <c r="D27" s="8" t="n">
        <v>0</v>
      </c>
      <c r="E27" s="8" t="n">
        <v>2.5</v>
      </c>
      <c r="F27" s="8" t="n">
        <v>0</v>
      </c>
      <c r="G27" s="8" t="n">
        <v>1.5</v>
      </c>
      <c r="H27" s="8" t="n">
        <v>0</v>
      </c>
      <c r="I27" s="8" t="n">
        <v>1.5</v>
      </c>
      <c r="J27" s="8" t="n">
        <v>0.5</v>
      </c>
      <c r="K27" s="8" t="n">
        <v>1.5</v>
      </c>
      <c r="L27" s="8" t="n">
        <v>0.08</v>
      </c>
      <c r="M27" s="8" t="n">
        <v>9</v>
      </c>
      <c r="N27" s="16">
        <f>IF(ISNUMBER($B$33),$B$33,0)*'Pricing Calculator'!$B$10/16+B27*B$30+C27*C$30+D27*D$30+E27*E$30+F27*F$30+G27*G$30+H27*H$30+I27*I$30+J27*J$30+K27*K$30+L27*L$30</f>
        <v>0.0</v>
      </c>
      <c r="O27" s="12">
        <f>IF(ISNUMBER($B$33),IF($B$33&gt;0,0,1),1)+IF(B27&gt;0,B$31,0)+IF(C27&gt;0,C$31,0)+IF(D27&gt;0,D$31,0)+IF(E27&gt;0,E$31,0)+IF(F27&gt;0,F$31,0)+IF(G27&gt;0,G$31,0)+IF(H27&gt;0,H$31,0)+IF(I27&gt;0,I$31,0)+IF(J27&gt;0,J$31,0)+IF(K27&gt;0,K$31,0)+IF(L27&gt;0,L$31,0)</f>
        <v>7.0</v>
      </c>
      <c r="P27" s="2" t="inlineStr">
        <is>
          <t>145 °F (63 °C) for 15 s: fish and shellfish</t>
        </is>
      </c>
      <c r="Q27" s="2" t="inlineStr">
        <is>
          <t>135 °F (57 °C) or above, or time as a public health control: 4 hours, then discard</t>
        </is>
      </c>
      <c r="R27" s="2" t="inlineStr">
        <is>
          <t>Crustacean shellfish, fish, mollusks (not a major US allergen, declare them anyway). Verify with your recipe and suppliers.</t>
        </is>
      </c>
    </row>
    <row r="29" ht="45" customHeight="1">
      <c r="A29" s="15" t="inlineStr">
        <is>
          <t>YOUR PRICES: per lb (saffron: per gram). Blank on purpose: type your supplier prices</t>
        </is>
      </c>
      <c r="B29" s="8" t="n"/>
      <c r="C29" s="8" t="n"/>
      <c r="D29" s="8" t="n"/>
      <c r="E29" s="8" t="n"/>
      <c r="F29" s="8" t="n"/>
      <c r="G29" s="8" t="n"/>
      <c r="H29" s="8" t="n"/>
      <c r="I29" s="8" t="n"/>
      <c r="J29" s="8" t="n"/>
      <c r="K29" s="8" t="n"/>
      <c r="L29" s="8" t="n"/>
    </row>
    <row r="30">
      <c r="A30" s="20" t="inlineStr">
        <is>
          <t>Calculated: your price per oz (saffron: per gram)</t>
        </is>
      </c>
      <c r="B30" s="21">
        <f>IF(ISNUMBER(B29),B29/16,0)</f>
        <v>0.0</v>
      </c>
      <c r="C30" s="21">
        <f>IF(ISNUMBER(C29),C29/16,0)</f>
        <v>0.0</v>
      </c>
      <c r="D30" s="21">
        <f>IF(ISNUMBER(D29),D29/16,0)</f>
        <v>0.0</v>
      </c>
      <c r="E30" s="21">
        <f>IF(ISNUMBER(E29),E29/16,0)</f>
        <v>0.0</v>
      </c>
      <c r="F30" s="21">
        <f>IF(ISNUMBER(F29),F29/16,0)</f>
        <v>0.0</v>
      </c>
      <c r="G30" s="21">
        <f>IF(ISNUMBER(G29),G29/16,0)</f>
        <v>0.0</v>
      </c>
      <c r="H30" s="21">
        <f>IF(ISNUMBER(H29),H29/16,0)</f>
        <v>0.0</v>
      </c>
      <c r="I30" s="21">
        <f>IF(ISNUMBER(I29),I29/16,0)</f>
        <v>0.0</v>
      </c>
      <c r="J30" s="21">
        <f>IF(ISNUMBER(J29),J29/16,0)</f>
        <v>0.0</v>
      </c>
      <c r="K30" s="21">
        <f>IF(ISNUMBER(K29),K29/16,0)</f>
        <v>0.0</v>
      </c>
      <c r="L30" s="21">
        <f>IF(ISNUMBER(L29),L29,0)</f>
        <v>0.0</v>
      </c>
    </row>
    <row r="31">
      <c r="A31" s="20" t="inlineStr">
        <is>
          <t>Calculated: price missing? (1 = yes)</t>
        </is>
      </c>
      <c r="B31" s="22">
        <f>IF(ISNUMBER(B29),IF(B29&gt;0,0,1),1)</f>
        <v>1.0</v>
      </c>
      <c r="C31" s="22">
        <f>IF(ISNUMBER(C29),IF(C29&gt;0,0,1),1)</f>
        <v>1.0</v>
      </c>
      <c r="D31" s="22">
        <f>IF(ISNUMBER(D29),IF(D29&gt;0,0,1),1)</f>
        <v>1.0</v>
      </c>
      <c r="E31" s="22">
        <f>IF(ISNUMBER(E29),IF(E29&gt;0,0,1),1)</f>
        <v>1.0</v>
      </c>
      <c r="F31" s="22">
        <f>IF(ISNUMBER(F29),IF(F29&gt;0,0,1),1)</f>
        <v>1.0</v>
      </c>
      <c r="G31" s="22">
        <f>IF(ISNUMBER(G29),IF(G29&gt;0,0,1),1)</f>
        <v>1.0</v>
      </c>
      <c r="H31" s="22">
        <f>IF(ISNUMBER(H29),IF(H29&gt;0,0,1),1)</f>
        <v>1.0</v>
      </c>
      <c r="I31" s="22">
        <f>IF(ISNUMBER(I29),IF(I29&gt;0,0,1),1)</f>
        <v>1.0</v>
      </c>
      <c r="J31" s="22">
        <f>IF(ISNUMBER(J29),IF(J29&gt;0,0,1),1)</f>
        <v>1.0</v>
      </c>
      <c r="K31" s="22">
        <f>IF(ISNUMBER(K29),IF(K29&gt;0,0,1),1)</f>
        <v>1.0</v>
      </c>
      <c r="L31" s="22">
        <f>IF(ISNUMBER(L29),IF(L29&gt;0,0,1),1)</f>
        <v>1.0</v>
      </c>
    </row>
    <row r="33">
      <c r="A33" s="14" t="inlineStr">
        <is>
          <t>YOUR PRICE: bomba rice per lb (blank on purpose)</t>
        </is>
      </c>
      <c r="B33" s="8" t="n"/>
      <c r="C33" s="4" t="inlineStr">
        <is>
          <t>Bomba or another short-grain Spanish rice, from an importer or a cash-and-carry.</t>
        </is>
      </c>
    </row>
    <row r="35" ht="32" customHeight="1">
      <c r="A35" s="2" t="inlineStr">
        <is>
          <t>Food Code minimum = the legal safety floor for each ingredient (3-401.11): chicken 165 °F (74 °C); fish and shellfish, crustaceans and mollusks included, 145 °F (63 °C) for 15 seconds; raw Mexican-style chorizo is ground meat, 155 °F (68 °C) for 17 seconds. Spanish cured chorizo is ready to eat. Probe the thickest piece of chicken in every pan.</t>
        </is>
      </c>
    </row>
    <row r="36" ht="32" customHeight="1">
      <c r="A36" s="2" t="inlineStr">
        <is>
          <t>Cooked rice needs time and temperature control: Bacillus cereus is common in outbreaks from poor hot holding of starchy foods like rice (Food Code, Annex 3). Serve at 135 °F (57 °C) or above (3-501.16), or use time as a public health control with a written procedure: mark the time, discard after 4 hours (3-501.19), if your county accepts it.</t>
        </is>
      </c>
    </row>
    <row r="37" ht="32" customHeight="1">
      <c r="A37" s="2" t="inlineStr">
        <is>
          <t>Leftover paella goes in the trash: do not cool it down to serve it again.</t>
        </is>
      </c>
    </row>
    <row r="38" ht="32" customHeight="1">
      <c r="A38" s="2" t="inlineStr">
        <is>
          <t>Mussels and clams: buy them from an approved source with the dealer tag, keep them in the container until it is empty, write the date of the last one served and keep the tag for 90 days (3-203.12). Keep raw seafood at 41 °F (5 °C) or below.</t>
        </is>
      </c>
    </row>
    <row r="39" ht="32" customHeight="1">
      <c r="A39" s="2" t="inlineStr">
        <is>
          <t>Allergens: the 9 major US allergens include fish and crustacean shellfish (crab, lobster, shrimp); mollusks are not one of them, but declare them anyway. Garlic aioli has egg; bread and fideua (noodle paella) have wheat. In the UK, mollusks, celery and sulphites are among the 14 allergens. The column above lists what is typical: verify with your recipe and suppliers.</t>
        </is>
      </c>
    </row>
    <row r="40" ht="32" customHeight="1">
      <c r="A40" s="2" t="inlineStr">
        <is>
          <t>Guests per pan, propane and ingredients per guest are kit estimates: weigh your own rice, stock and propane on your test cooks and type them here; the "Pricing Calculator" and "Shopping List by Guest Count" tabs follow.</t>
        </is>
      </c>
    </row>
  </sheetData>
  <sheetProtection selectLockedCells="0" selectUnlockedCells="0" sheet="1" objects="0" insertRows="1" insertHyperlinks="1" autoFilter="1" scenarios="0" formatColumns="1" deleteColumns="1" insertColumns="1" pivotTables="1" deleteRows="1" formatCells="1" formatRows="1" sort="1"/>
  <mergeCells count="7">
    <mergeCell ref="A39:R39"/>
    <mergeCell ref="A38:R38"/>
    <mergeCell ref="A2:R2"/>
    <mergeCell ref="A36:R36"/>
    <mergeCell ref="A37:R37"/>
    <mergeCell ref="A40:R40"/>
    <mergeCell ref="A35:R35"/>
  </mergeCells>
  <dataValidations count="6">
    <dataValidation sqref="C9 C10 C11 C12 C13 C14 C15" showDropDown="0" showInputMessage="0" showErrorMessage="1" allowBlank="0" errorTitle="Invalid count" error="Enter a whole number of guests per pan, 1 or more." type="whole" operator="between">
      <formula1>1</formula1>
      <formula2>500</formula2>
    </dataValidation>
    <dataValidation sqref="D9 D10 D11 D12 D13 D14 D15" showDropDown="0" showInputMessage="0" showErrorMessage="1" allowBlank="0" errorTitle="Invalid count" error="Enter the burner rings, 1 to 4." type="whole" operator="between">
      <formula1>1</formula1>
      <formula2>4</formula2>
    </dataValidation>
    <dataValidation sqref="I9 I10 I11 I12 I13 I14 I15" showDropDown="0" showInputMessage="0" showErrorMessage="1" allowBlank="0" errorTitle="Invalid amount" error="Enter a number greater than or equal to 0." type="decimal" operator="greaterThanOrEqual">
      <formula1>0</formula1>
    </dataValidation>
    <dataValidation sqref="B5" showDropDown="0" showInputMessage="0" showErrorMessage="1" allowBlank="0" errorTitle="Invalid amount" error="Enter the quarts of stock per lb of rice, between 0.5 and 4." type="decimal" operator="between">
      <formula1>0.5</formula1>
      <formula2>4</formula2>
    </dataValidation>
    <dataValidation sqref="B29 B33 C29 D29 E29 F29 G29 H29 I29 J29 K29 L29" showDropDown="0" showInputMessage="0" showErrorMessage="1" allowBlank="1" errorTitle="Invalid price" error="Type your price (a number of 0 or more), or leave it blank." type="decimal" operator="greaterThanOrEqual">
      <formula1>0</formula1>
    </dataValidation>
    <dataValidation sqref="B20 B21 B22 B23 B24 B25 B26 B27 C9 C10 C11 C12 C13 C14 C15 C20 C21 C22 C23 C24 C25 C26 C27 D20 D21 D22 D23 D24 D25 D26 D27 E20 E21 E22 E23 E24 E25 E26 E27 F20 F21 F22 F23 F24 F25 F26 F27 G20 G21 G22 G23 G24 G25 G26 G27 H20 H21 H22 H23 H24 H25 H26 H27 I9 I10 I11 I12 I13 I14 I15 I20 I21 I22 I23 I24 I25 I26 I27 J20 J21 J22 J23 J24 J25 J26 J27 K20 K21 K22 K23 K24 K25 K26 K27 L20 L21 L22 L23 L24 L25 L26 L27 M20 M21 M22 M23 M24 M25 M26 M27" showDropDown="0" showInputMessage="0" showErrorMessage="1" allowBlank="0" errorTitle="Invalid amount" error="Enter a number greater than or equal to 0." type="decimal" operator="greaterThanOrEqual">
      <formula1>0</formula1>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43"/>
  <sheetViews>
    <sheetView showGridLines="0" workbookViewId="0">
      <pane xSplit="1" ySplit="14" topLeftCell="B15" activePane="bottomRight" state="frozen"/>
      <selection pane="topRight"/>
      <selection pane="bottomLeft"/>
      <selection pane="bottomRight" activeCell="A1" sqref="A1"/>
    </sheetView>
  </sheetViews>
  <sheetFormatPr baseColWidth="8" defaultRowHeight="15"/>
  <cols>
    <col width="56" customWidth="1" min="1" max="1"/>
    <col width="16" customWidth="1" min="2" max="2"/>
    <col width="14" customWidth="1" min="3" max="3"/>
    <col width="14" customWidth="1" min="4" max="4"/>
    <col width="14" customWidth="1" min="5" max="5"/>
    <col width="14" customWidth="1" min="6" max="6"/>
    <col width="56" customWidth="1" min="7" max="7"/>
  </cols>
  <sheetData>
    <row r="1">
      <c r="A1" s="1" t="inlineStr">
        <is>
          <t>SHOPPING LIST BY GUEST COUNT — WHAT TO BUY AND BRING</t>
        </is>
      </c>
    </row>
    <row r="2" ht="48" customHeight="1">
      <c r="A2" s="2" t="inlineStr">
        <is>
          <t>It reads the package, the menu style, the pan size, the rice per guest and the tapas hour switch from the "Pricing Calculator" tab and the pans and ingredients from the "Paella Yield &amp; Pan Sizing" tab. Column B is your event; columns C-F are reference sizes (40, 80, 150 and 300 guests: edit them). Green cells are kit estimates: edit them.</t>
        </is>
      </c>
    </row>
    <row r="4">
      <c r="A4" s="3" t="inlineStr">
        <is>
          <t>ASSUMPTIONS (Kit estimate — edit)</t>
        </is>
      </c>
      <c r="B4" s="3" t="inlineStr">
        <is>
          <t>Value</t>
        </is>
      </c>
      <c r="G4" s="3" t="inlineStr">
        <is>
          <t>Notes</t>
        </is>
      </c>
    </row>
    <row r="5">
      <c r="A5" s="4" t="inlineStr">
        <is>
          <t>Lemons per guest (wedges for the pan)</t>
        </is>
      </c>
      <c r="B5" s="8" t="n">
        <v>0.25</v>
      </c>
      <c r="G5" s="2" t="inlineStr">
        <is>
          <t>Kit estimate: one lemon cut in 4 wedges.</t>
        </is>
      </c>
    </row>
    <row r="6">
      <c r="A6" s="4" t="inlineStr">
        <is>
          <t>Bread rolls or slices per guest</t>
        </is>
      </c>
      <c r="B6" s="9" t="n">
        <v>1.5</v>
      </c>
      <c r="G6" s="2" t="inlineStr">
        <is>
          <t>Kit estimate.</t>
        </is>
      </c>
    </row>
    <row r="7">
      <c r="A7" s="4" t="inlineStr">
        <is>
          <t>Salad greens per guest (oz)</t>
        </is>
      </c>
      <c r="B7" s="9" t="n">
        <v>1.5</v>
      </c>
      <c r="G7" s="2" t="inlineStr">
        <is>
          <t>Kit estimate.</t>
        </is>
      </c>
    </row>
    <row r="8">
      <c r="A8" s="4" t="inlineStr">
        <is>
          <t>Garlic aioli per guest (oz)</t>
        </is>
      </c>
      <c r="B8" s="9" t="n">
        <v>0.75</v>
      </c>
      <c r="G8" s="2" t="inlineStr">
        <is>
          <t>Kit estimate: contains egg (allergen).</t>
        </is>
      </c>
    </row>
    <row r="9">
      <c r="A9" s="4" t="inlineStr">
        <is>
          <t>Plates and forks per guest</t>
        </is>
      </c>
      <c r="B9" s="8" t="n">
        <v>1.1</v>
      </c>
      <c r="G9" s="2" t="inlineStr">
        <is>
          <t>Kit estimate: 10% extra.</t>
        </is>
      </c>
    </row>
    <row r="10">
      <c r="A10" s="4" t="inlineStr">
        <is>
          <t>Ice per lb of raw seafood (lb)</t>
        </is>
      </c>
      <c r="B10" s="9" t="n">
        <v>1</v>
      </c>
      <c r="G10" s="2" t="inlineStr">
        <is>
          <t>Kit estimate: keep raw seafood at 41 °F (5 °C) or below.</t>
        </is>
      </c>
    </row>
    <row r="11">
      <c r="A11" s="4" t="inlineStr">
        <is>
          <t>Seafood and ice per cooler (lb)</t>
        </is>
      </c>
      <c r="B11" s="6" t="n">
        <v>40</v>
      </c>
      <c r="G11" s="2" t="inlineStr">
        <is>
          <t>Kit estimate: check your cooler size.</t>
        </is>
      </c>
    </row>
    <row r="12">
      <c r="A12" s="4" t="inlineStr">
        <is>
          <t>Guests per chafing dish for the tapas hour</t>
        </is>
      </c>
      <c r="B12" s="6" t="n">
        <v>25</v>
      </c>
      <c r="G12" s="2" t="inlineStr">
        <is>
          <t>Kit estimate. Used only with a tapas hour.</t>
        </is>
      </c>
    </row>
    <row r="14">
      <c r="A14" s="3" t="inlineStr">
        <is>
          <t>QUANTITIES</t>
        </is>
      </c>
      <c r="B14" s="3" t="inlineStr">
        <is>
          <t>Your event</t>
        </is>
      </c>
      <c r="C14" s="3" t="inlineStr">
        <is>
          <t>Reference</t>
        </is>
      </c>
      <c r="D14" s="3" t="inlineStr">
        <is>
          <t>Reference</t>
        </is>
      </c>
      <c r="E14" s="3" t="inlineStr">
        <is>
          <t>Reference</t>
        </is>
      </c>
      <c r="F14" s="3" t="inlineStr">
        <is>
          <t>Reference</t>
        </is>
      </c>
      <c r="G14" s="3" t="inlineStr">
        <is>
          <t>Notes</t>
        </is>
      </c>
    </row>
    <row r="15">
      <c r="A15" s="14" t="inlineStr">
        <is>
          <t>Guests</t>
        </is>
      </c>
      <c r="B15" s="23">
        <f>'Pricing Calculator'!$B$7</f>
        <v>58.0</v>
      </c>
      <c r="C15" s="24" t="n">
        <v>40</v>
      </c>
      <c r="D15" s="24" t="n">
        <v>80</v>
      </c>
      <c r="E15" s="24" t="n">
        <v>150</v>
      </c>
      <c r="F15" s="24" t="n">
        <v>300</v>
      </c>
      <c r="G15" s="2" t="inlineStr">
        <is>
          <t>Column B comes from the "Pricing Calculator" tab.</t>
        </is>
      </c>
    </row>
    <row r="16">
      <c r="A16" s="4" t="str">
        <f>"Paella pans and burners: "&amp;'Pricing Calculator'!$B$9</f>
        <v>Paella pans and burners: 36 in (90 cm)</v>
      </c>
      <c r="B16" s="12">
        <f>ROUNDUP(B$15/IFERROR(INDEX('Paella Yield &amp; Pan Sizing'!$C$9:$C$15,MATCH('Pricing Calculator'!$B$9,'Paella Yield &amp; Pan Sizing'!$A$9:$A$15,0)),1),0)</f>
        <v>2.0</v>
      </c>
      <c r="C16" s="12">
        <f>ROUNDUP(C$15/IFERROR(INDEX('Paella Yield &amp; Pan Sizing'!$C$9:$C$15,MATCH('Pricing Calculator'!$B$9,'Paella Yield &amp; Pan Sizing'!$A$9:$A$15,0)),1),0)</f>
        <v>1.0</v>
      </c>
      <c r="D16" s="12">
        <f>ROUNDUP(D$15/IFERROR(INDEX('Paella Yield &amp; Pan Sizing'!$C$9:$C$15,MATCH('Pricing Calculator'!$B$9,'Paella Yield &amp; Pan Sizing'!$A$9:$A$15,0)),1),0)</f>
        <v>2.0</v>
      </c>
      <c r="E16" s="12">
        <f>ROUNDUP(E$15/IFERROR(INDEX('Paella Yield &amp; Pan Sizing'!$C$9:$C$15,MATCH('Pricing Calculator'!$B$9,'Paella Yield &amp; Pan Sizing'!$A$9:$A$15,0)),1),0)</f>
        <v>4.0</v>
      </c>
      <c r="F16" s="12">
        <f>ROUNDUP(F$15/IFERROR(INDEX('Paella Yield &amp; Pan Sizing'!$C$9:$C$15,MATCH('Pricing Calculator'!$B$9,'Paella Yield &amp; Pan Sizing'!$A$9:$A$15,0)),1),0)</f>
        <v>8.0</v>
      </c>
      <c r="G16" s="2" t="inlineStr">
        <is>
          <t>One 3-ring or 2-ring burner per pan (see the pan table).</t>
        </is>
      </c>
    </row>
    <row r="17">
      <c r="A17" s="4" t="inlineStr">
        <is>
          <t>Uncooked bomba rice (lb)</t>
        </is>
      </c>
      <c r="B17" s="13">
        <f>B$15*'Pricing Calculator'!$B$10/16</f>
        <v>11.78125</v>
      </c>
      <c r="C17" s="13">
        <f>C$15*'Pricing Calculator'!$B$10/16</f>
        <v>8.125</v>
      </c>
      <c r="D17" s="13">
        <f>D$15*'Pricing Calculator'!$B$10/16</f>
        <v>16.25</v>
      </c>
      <c r="E17" s="13">
        <f>E$15*'Pricing Calculator'!$B$10/16</f>
        <v>30.46875</v>
      </c>
      <c r="F17" s="13">
        <f>F$15*'Pricing Calculator'!$B$10/16</f>
        <v>60.9375</v>
      </c>
      <c r="G17" s="2" t="inlineStr">
        <is>
          <t>Guests × oz per guest ÷ 16 (1 lb = 0.454 kg).</t>
        </is>
      </c>
    </row>
    <row r="18">
      <c r="A18" s="4" t="inlineStr">
        <is>
          <t>Stock (gallons)</t>
        </is>
      </c>
      <c r="B18" s="13">
        <f>B$17*'Paella Yield &amp; Pan Sizing'!$B$5/4</f>
        <v>3.534375</v>
      </c>
      <c r="C18" s="13">
        <f>C$17*'Paella Yield &amp; Pan Sizing'!$B$5/4</f>
        <v>2.4375</v>
      </c>
      <c r="D18" s="13">
        <f>D$17*'Paella Yield &amp; Pan Sizing'!$B$5/4</f>
        <v>4.875</v>
      </c>
      <c r="E18" s="13">
        <f>E$17*'Paella Yield &amp; Pan Sizing'!$B$5/4</f>
        <v>9.140625</v>
      </c>
      <c r="F18" s="13">
        <f>F$17*'Paella Yield &amp; Pan Sizing'!$B$5/4</f>
        <v>18.28125</v>
      </c>
      <c r="G18" s="2" t="inlineStr">
        <is>
          <t>Make it the day before at the commissary and keep it cold (1 gallon = 3.8 liters).</t>
        </is>
      </c>
    </row>
    <row r="19">
      <c r="A19" s="4" t="inlineStr">
        <is>
          <t>Chicken thighs, boneless (lb)</t>
        </is>
      </c>
      <c r="B19" s="13">
        <f>IFERROR(B$15*INDEX('Paella Yield &amp; Pan Sizing'!$B$20:$B$27,MATCH('Pricing Calculator'!$B$6,'Paella Yield &amp; Pan Sizing'!$A$20:$A$27,0))/16,0)</f>
        <v>9.0625</v>
      </c>
      <c r="C19" s="13">
        <f>IFERROR(C$15*INDEX('Paella Yield &amp; Pan Sizing'!$B$20:$B$27,MATCH('Pricing Calculator'!$B$6,'Paella Yield &amp; Pan Sizing'!$A$20:$A$27,0))/16,0)</f>
        <v>6.25</v>
      </c>
      <c r="D19" s="13">
        <f>IFERROR(D$15*INDEX('Paella Yield &amp; Pan Sizing'!$B$20:$B$27,MATCH('Pricing Calculator'!$B$6,'Paella Yield &amp; Pan Sizing'!$A$20:$A$27,0))/16,0)</f>
        <v>12.5</v>
      </c>
      <c r="E19" s="13">
        <f>IFERROR(E$15*INDEX('Paella Yield &amp; Pan Sizing'!$B$20:$B$27,MATCH('Pricing Calculator'!$B$6,'Paella Yield &amp; Pan Sizing'!$A$20:$A$27,0))/16,0)</f>
        <v>23.4375</v>
      </c>
      <c r="F19" s="13">
        <f>IFERROR(F$15*INDEX('Paella Yield &amp; Pan Sizing'!$B$20:$B$27,MATCH('Pricing Calculator'!$B$6,'Paella Yield &amp; Pan Sizing'!$A$20:$A$27,0))/16,0)</f>
        <v>46.875</v>
      </c>
      <c r="G19" s="2" t="inlineStr">
        <is>
          <t>For the menu style on the "Pricing Calculator" tab.</t>
        </is>
      </c>
    </row>
    <row r="20">
      <c r="A20" s="4" t="inlineStr">
        <is>
          <t>Spanish chorizo, cured (lb)</t>
        </is>
      </c>
      <c r="B20" s="13">
        <f>IFERROR(B$15*INDEX('Paella Yield &amp; Pan Sizing'!$C$20:$C$27,MATCH('Pricing Calculator'!$B$6,'Paella Yield &amp; Pan Sizing'!$A$20:$A$27,0))/16,0)</f>
        <v>0.0</v>
      </c>
      <c r="C20" s="13">
        <f>IFERROR(C$15*INDEX('Paella Yield &amp; Pan Sizing'!$C$20:$C$27,MATCH('Pricing Calculator'!$B$6,'Paella Yield &amp; Pan Sizing'!$A$20:$A$27,0))/16,0)</f>
        <v>0.0</v>
      </c>
      <c r="D20" s="13">
        <f>IFERROR(D$15*INDEX('Paella Yield &amp; Pan Sizing'!$C$20:$C$27,MATCH('Pricing Calculator'!$B$6,'Paella Yield &amp; Pan Sizing'!$A$20:$A$27,0))/16,0)</f>
        <v>0.0</v>
      </c>
      <c r="E20" s="13">
        <f>IFERROR(E$15*INDEX('Paella Yield &amp; Pan Sizing'!$C$20:$C$27,MATCH('Pricing Calculator'!$B$6,'Paella Yield &amp; Pan Sizing'!$A$20:$A$27,0))/16,0)</f>
        <v>0.0</v>
      </c>
      <c r="F20" s="13">
        <f>IFERROR(F$15*INDEX('Paella Yield &amp; Pan Sizing'!$C$20:$C$27,MATCH('Pricing Calculator'!$B$6,'Paella Yield &amp; Pan Sizing'!$A$20:$A$27,0))/16,0)</f>
        <v>0.0</v>
      </c>
    </row>
    <row r="21">
      <c r="A21" s="4" t="inlineStr">
        <is>
          <t>Rabbit (lb)</t>
        </is>
      </c>
      <c r="B21" s="13">
        <f>IFERROR(B$15*INDEX('Paella Yield &amp; Pan Sizing'!$D$20:$D$27,MATCH('Pricing Calculator'!$B$6,'Paella Yield &amp; Pan Sizing'!$A$20:$A$27,0))/16,0)</f>
        <v>0.0</v>
      </c>
      <c r="C21" s="13">
        <f>IFERROR(C$15*INDEX('Paella Yield &amp; Pan Sizing'!$D$20:$D$27,MATCH('Pricing Calculator'!$B$6,'Paella Yield &amp; Pan Sizing'!$A$20:$A$27,0))/16,0)</f>
        <v>0.0</v>
      </c>
      <c r="D21" s="13">
        <f>IFERROR(D$15*INDEX('Paella Yield &amp; Pan Sizing'!$D$20:$D$27,MATCH('Pricing Calculator'!$B$6,'Paella Yield &amp; Pan Sizing'!$A$20:$A$27,0))/16,0)</f>
        <v>0.0</v>
      </c>
      <c r="E21" s="13">
        <f>IFERROR(E$15*INDEX('Paella Yield &amp; Pan Sizing'!$D$20:$D$27,MATCH('Pricing Calculator'!$B$6,'Paella Yield &amp; Pan Sizing'!$A$20:$A$27,0))/16,0)</f>
        <v>0.0</v>
      </c>
      <c r="F21" s="13">
        <f>IFERROR(F$15*INDEX('Paella Yield &amp; Pan Sizing'!$D$20:$D$27,MATCH('Pricing Calculator'!$B$6,'Paella Yield &amp; Pan Sizing'!$A$20:$A$27,0))/16,0)</f>
        <v>0.0</v>
      </c>
    </row>
    <row r="22">
      <c r="A22" s="4" t="inlineStr">
        <is>
          <t>Shrimp (lb)</t>
        </is>
      </c>
      <c r="B22" s="13">
        <f>IFERROR(B$15*INDEX('Paella Yield &amp; Pan Sizing'!$E$20:$E$27,MATCH('Pricing Calculator'!$B$6,'Paella Yield &amp; Pan Sizing'!$A$20:$A$27,0))/16,0)</f>
        <v>5.4375</v>
      </c>
      <c r="C22" s="13">
        <f>IFERROR(C$15*INDEX('Paella Yield &amp; Pan Sizing'!$E$20:$E$27,MATCH('Pricing Calculator'!$B$6,'Paella Yield &amp; Pan Sizing'!$A$20:$A$27,0))/16,0)</f>
        <v>3.75</v>
      </c>
      <c r="D22" s="13">
        <f>IFERROR(D$15*INDEX('Paella Yield &amp; Pan Sizing'!$E$20:$E$27,MATCH('Pricing Calculator'!$B$6,'Paella Yield &amp; Pan Sizing'!$A$20:$A$27,0))/16,0)</f>
        <v>7.5</v>
      </c>
      <c r="E22" s="13">
        <f>IFERROR(E$15*INDEX('Paella Yield &amp; Pan Sizing'!$E$20:$E$27,MATCH('Pricing Calculator'!$B$6,'Paella Yield &amp; Pan Sizing'!$A$20:$A$27,0))/16,0)</f>
        <v>14.0625</v>
      </c>
      <c r="F22" s="13">
        <f>IFERROR(F$15*INDEX('Paella Yield &amp; Pan Sizing'!$E$20:$E$27,MATCH('Pricing Calculator'!$B$6,'Paella Yield &amp; Pan Sizing'!$A$20:$A$27,0))/16,0)</f>
        <v>28.125</v>
      </c>
    </row>
    <row r="23">
      <c r="A23" s="4" t="inlineStr">
        <is>
          <t>Mussels &amp; clams, in shell (lb)</t>
        </is>
      </c>
      <c r="B23" s="13">
        <f>IFERROR(B$15*INDEX('Paella Yield &amp; Pan Sizing'!$F$20:$F$27,MATCH('Pricing Calculator'!$B$6,'Paella Yield &amp; Pan Sizing'!$A$20:$A$27,0))/16,0)</f>
        <v>7.25</v>
      </c>
      <c r="C23" s="13">
        <f>IFERROR(C$15*INDEX('Paella Yield &amp; Pan Sizing'!$F$20:$F$27,MATCH('Pricing Calculator'!$B$6,'Paella Yield &amp; Pan Sizing'!$A$20:$A$27,0))/16,0)</f>
        <v>5.0</v>
      </c>
      <c r="D23" s="13">
        <f>IFERROR(D$15*INDEX('Paella Yield &amp; Pan Sizing'!$F$20:$F$27,MATCH('Pricing Calculator'!$B$6,'Paella Yield &amp; Pan Sizing'!$A$20:$A$27,0))/16,0)</f>
        <v>10.0</v>
      </c>
      <c r="E23" s="13">
        <f>IFERROR(E$15*INDEX('Paella Yield &amp; Pan Sizing'!$F$20:$F$27,MATCH('Pricing Calculator'!$B$6,'Paella Yield &amp; Pan Sizing'!$A$20:$A$27,0))/16,0)</f>
        <v>18.75</v>
      </c>
      <c r="F23" s="13">
        <f>IFERROR(F$15*INDEX('Paella Yield &amp; Pan Sizing'!$F$20:$F$27,MATCH('Pricing Calculator'!$B$6,'Paella Yield &amp; Pan Sizing'!$A$20:$A$27,0))/16,0)</f>
        <v>37.5</v>
      </c>
    </row>
    <row r="24">
      <c r="A24" s="4" t="inlineStr">
        <is>
          <t>Squid or cuttlefish (lb)</t>
        </is>
      </c>
      <c r="B24" s="13">
        <f>IFERROR(B$15*INDEX('Paella Yield &amp; Pan Sizing'!$G$20:$G$27,MATCH('Pricing Calculator'!$B$6,'Paella Yield &amp; Pan Sizing'!$A$20:$A$27,0))/16,0)</f>
        <v>2.71875</v>
      </c>
      <c r="C24" s="13">
        <f>IFERROR(C$15*INDEX('Paella Yield &amp; Pan Sizing'!$G$20:$G$27,MATCH('Pricing Calculator'!$B$6,'Paella Yield &amp; Pan Sizing'!$A$20:$A$27,0))/16,0)</f>
        <v>1.875</v>
      </c>
      <c r="D24" s="13">
        <f>IFERROR(D$15*INDEX('Paella Yield &amp; Pan Sizing'!$G$20:$G$27,MATCH('Pricing Calculator'!$B$6,'Paella Yield &amp; Pan Sizing'!$A$20:$A$27,0))/16,0)</f>
        <v>3.75</v>
      </c>
      <c r="E24" s="13">
        <f>IFERROR(E$15*INDEX('Paella Yield &amp; Pan Sizing'!$G$20:$G$27,MATCH('Pricing Calculator'!$B$6,'Paella Yield &amp; Pan Sizing'!$A$20:$A$27,0))/16,0)</f>
        <v>7.03125</v>
      </c>
      <c r="F24" s="13">
        <f>IFERROR(F$15*INDEX('Paella Yield &amp; Pan Sizing'!$G$20:$G$27,MATCH('Pricing Calculator'!$B$6,'Paella Yield &amp; Pan Sizing'!$A$20:$A$27,0))/16,0)</f>
        <v>14.0625</v>
      </c>
    </row>
    <row r="25">
      <c r="A25" s="4" t="inlineStr">
        <is>
          <t>Lobster, in shell (lb)</t>
        </is>
      </c>
      <c r="B25" s="13">
        <f>IFERROR(B$15*INDEX('Paella Yield &amp; Pan Sizing'!$H$20:$H$27,MATCH('Pricing Calculator'!$B$6,'Paella Yield &amp; Pan Sizing'!$A$20:$A$27,0))/16,0)</f>
        <v>0.0</v>
      </c>
      <c r="C25" s="13">
        <f>IFERROR(C$15*INDEX('Paella Yield &amp; Pan Sizing'!$H$20:$H$27,MATCH('Pricing Calculator'!$B$6,'Paella Yield &amp; Pan Sizing'!$A$20:$A$27,0))/16,0)</f>
        <v>0.0</v>
      </c>
      <c r="D25" s="13">
        <f>IFERROR(D$15*INDEX('Paella Yield &amp; Pan Sizing'!$H$20:$H$27,MATCH('Pricing Calculator'!$B$6,'Paella Yield &amp; Pan Sizing'!$A$20:$A$27,0))/16,0)</f>
        <v>0.0</v>
      </c>
      <c r="E25" s="13">
        <f>IFERROR(E$15*INDEX('Paella Yield &amp; Pan Sizing'!$H$20:$H$27,MATCH('Pricing Calculator'!$B$6,'Paella Yield &amp; Pan Sizing'!$A$20:$A$27,0))/16,0)</f>
        <v>0.0</v>
      </c>
      <c r="F25" s="13">
        <f>IFERROR(F$15*INDEX('Paella Yield &amp; Pan Sizing'!$H$20:$H$27,MATCH('Pricing Calculator'!$B$6,'Paella Yield &amp; Pan Sizing'!$A$20:$A$27,0))/16,0)</f>
        <v>0.0</v>
      </c>
    </row>
    <row r="26">
      <c r="A26" s="4" t="inlineStr">
        <is>
          <t>Firm white fish (lb)</t>
        </is>
      </c>
      <c r="B26" s="13">
        <f>IFERROR(B$15*INDEX('Paella Yield &amp; Pan Sizing'!$I$20:$I$27,MATCH('Pricing Calculator'!$B$6,'Paella Yield &amp; Pan Sizing'!$A$20:$A$27,0))/16,0)</f>
        <v>0.0</v>
      </c>
      <c r="C26" s="13">
        <f>IFERROR(C$15*INDEX('Paella Yield &amp; Pan Sizing'!$I$20:$I$27,MATCH('Pricing Calculator'!$B$6,'Paella Yield &amp; Pan Sizing'!$A$20:$A$27,0))/16,0)</f>
        <v>0.0</v>
      </c>
      <c r="D26" s="13">
        <f>IFERROR(D$15*INDEX('Paella Yield &amp; Pan Sizing'!$I$20:$I$27,MATCH('Pricing Calculator'!$B$6,'Paella Yield &amp; Pan Sizing'!$A$20:$A$27,0))/16,0)</f>
        <v>0.0</v>
      </c>
      <c r="E26" s="13">
        <f>IFERROR(E$15*INDEX('Paella Yield &amp; Pan Sizing'!$I$20:$I$27,MATCH('Pricing Calculator'!$B$6,'Paella Yield &amp; Pan Sizing'!$A$20:$A$27,0))/16,0)</f>
        <v>0.0</v>
      </c>
      <c r="F26" s="13">
        <f>IFERROR(F$15*INDEX('Paella Yield &amp; Pan Sizing'!$I$20:$I$27,MATCH('Pricing Calculator'!$B$6,'Paella Yield &amp; Pan Sizing'!$A$20:$A$27,0))/16,0)</f>
        <v>0.0</v>
      </c>
    </row>
    <row r="27">
      <c r="A27" s="4" t="inlineStr">
        <is>
          <t>Vegetables: green beans, lima beans, peppers, artichokes (lb)</t>
        </is>
      </c>
      <c r="B27" s="13">
        <f>IFERROR(B$15*INDEX('Paella Yield &amp; Pan Sizing'!$J$20:$J$27,MATCH('Pricing Calculator'!$B$6,'Paella Yield &amp; Pan Sizing'!$A$20:$A$27,0))/16,0)</f>
        <v>3.625</v>
      </c>
      <c r="C27" s="13">
        <f>IFERROR(C$15*INDEX('Paella Yield &amp; Pan Sizing'!$J$20:$J$27,MATCH('Pricing Calculator'!$B$6,'Paella Yield &amp; Pan Sizing'!$A$20:$A$27,0))/16,0)</f>
        <v>2.5</v>
      </c>
      <c r="D27" s="13">
        <f>IFERROR(D$15*INDEX('Paella Yield &amp; Pan Sizing'!$J$20:$J$27,MATCH('Pricing Calculator'!$B$6,'Paella Yield &amp; Pan Sizing'!$A$20:$A$27,0))/16,0)</f>
        <v>5.0</v>
      </c>
      <c r="E27" s="13">
        <f>IFERROR(E$15*INDEX('Paella Yield &amp; Pan Sizing'!$J$20:$J$27,MATCH('Pricing Calculator'!$B$6,'Paella Yield &amp; Pan Sizing'!$A$20:$A$27,0))/16,0)</f>
        <v>9.375</v>
      </c>
      <c r="F27" s="13">
        <f>IFERROR(F$15*INDEX('Paella Yield &amp; Pan Sizing'!$J$20:$J$27,MATCH('Pricing Calculator'!$B$6,'Paella Yield &amp; Pan Sizing'!$A$20:$A$27,0))/16,0)</f>
        <v>18.75</v>
      </c>
    </row>
    <row r="28">
      <c r="A28" s="4" t="inlineStr">
        <is>
          <t>Sofrito base: tomato, onion, garlic, olive oil (lb)</t>
        </is>
      </c>
      <c r="B28" s="13">
        <f>IFERROR(B$15*INDEX('Paella Yield &amp; Pan Sizing'!$K$20:$K$27,MATCH('Pricing Calculator'!$B$6,'Paella Yield &amp; Pan Sizing'!$A$20:$A$27,0))/16,0)</f>
        <v>5.4375</v>
      </c>
      <c r="C28" s="13">
        <f>IFERROR(C$15*INDEX('Paella Yield &amp; Pan Sizing'!$K$20:$K$27,MATCH('Pricing Calculator'!$B$6,'Paella Yield &amp; Pan Sizing'!$A$20:$A$27,0))/16,0)</f>
        <v>3.75</v>
      </c>
      <c r="D28" s="13">
        <f>IFERROR(D$15*INDEX('Paella Yield &amp; Pan Sizing'!$K$20:$K$27,MATCH('Pricing Calculator'!$B$6,'Paella Yield &amp; Pan Sizing'!$A$20:$A$27,0))/16,0)</f>
        <v>7.5</v>
      </c>
      <c r="E28" s="13">
        <f>IFERROR(E$15*INDEX('Paella Yield &amp; Pan Sizing'!$K$20:$K$27,MATCH('Pricing Calculator'!$B$6,'Paella Yield &amp; Pan Sizing'!$A$20:$A$27,0))/16,0)</f>
        <v>14.0625</v>
      </c>
      <c r="F28" s="13">
        <f>IFERROR(F$15*INDEX('Paella Yield &amp; Pan Sizing'!$K$20:$K$27,MATCH('Pricing Calculator'!$B$6,'Paella Yield &amp; Pan Sizing'!$A$20:$A$27,0))/16,0)</f>
        <v>28.125</v>
      </c>
    </row>
    <row r="29">
      <c r="A29" s="4" t="inlineStr">
        <is>
          <t>Saffron (g)</t>
        </is>
      </c>
      <c r="B29" s="16">
        <f>IFERROR(B$15*INDEX('Paella Yield &amp; Pan Sizing'!$L$20:$L$27,MATCH('Pricing Calculator'!$B$6,'Paella Yield &amp; Pan Sizing'!$A$20:$A$27,0)),0)</f>
        <v>4.64</v>
      </c>
      <c r="C29" s="16">
        <f>IFERROR(C$15*INDEX('Paella Yield &amp; Pan Sizing'!$L$20:$L$27,MATCH('Pricing Calculator'!$B$6,'Paella Yield &amp; Pan Sizing'!$A$20:$A$27,0)),0)</f>
        <v>3.2</v>
      </c>
      <c r="D29" s="16">
        <f>IFERROR(D$15*INDEX('Paella Yield &amp; Pan Sizing'!$L$20:$L$27,MATCH('Pricing Calculator'!$B$6,'Paella Yield &amp; Pan Sizing'!$A$20:$A$27,0)),0)</f>
        <v>6.4</v>
      </c>
      <c r="E29" s="16">
        <f>IFERROR(E$15*INDEX('Paella Yield &amp; Pan Sizing'!$L$20:$L$27,MATCH('Pricing Calculator'!$B$6,'Paella Yield &amp; Pan Sizing'!$A$20:$A$27,0)),0)</f>
        <v>12.0</v>
      </c>
      <c r="F29" s="16">
        <f>IFERROR(F$15*INDEX('Paella Yield &amp; Pan Sizing'!$L$20:$L$27,MATCH('Pricing Calculator'!$B$6,'Paella Yield &amp; Pan Sizing'!$A$20:$A$27,0)),0)</f>
        <v>24.0</v>
      </c>
    </row>
    <row r="30">
      <c r="A30" s="4" t="inlineStr">
        <is>
          <t>Raw seafood, all lines (lb)</t>
        </is>
      </c>
      <c r="B30" s="13">
        <f>B$22+B$23+B$24+B$25+B$26</f>
        <v>15.40625</v>
      </c>
      <c r="C30" s="13">
        <f>C$22+C$23+C$24+C$25+C$26</f>
        <v>10.625</v>
      </c>
      <c r="D30" s="13">
        <f>D$22+D$23+D$24+D$25+D$26</f>
        <v>21.25</v>
      </c>
      <c r="E30" s="13">
        <f>E$22+E$23+E$24+E$25+E$26</f>
        <v>39.84375</v>
      </c>
      <c r="F30" s="13">
        <f>F$22+F$23+F$24+F$25+F$26</f>
        <v>79.6875</v>
      </c>
    </row>
    <row r="31">
      <c r="A31" s="4" t="inlineStr">
        <is>
          <t>Lemons</t>
        </is>
      </c>
      <c r="B31" s="12">
        <f>ROUNDUP(B$15*$B$5,0)</f>
        <v>15.0</v>
      </c>
      <c r="C31" s="12">
        <f>ROUNDUP(C$15*$B$5,0)</f>
        <v>10.0</v>
      </c>
      <c r="D31" s="12">
        <f>ROUNDUP(D$15*$B$5,0)</f>
        <v>20.0</v>
      </c>
      <c r="E31" s="12">
        <f>ROUNDUP(E$15*$B$5,0)</f>
        <v>38.0</v>
      </c>
      <c r="F31" s="12">
        <f>ROUNDUP(F$15*$B$5,0)</f>
        <v>75.0</v>
      </c>
    </row>
    <row r="32">
      <c r="A32" s="4" t="inlineStr">
        <is>
          <t>Bread rolls or slices</t>
        </is>
      </c>
      <c r="B32" s="12">
        <f>ROUNDUP(B$15*$B$6,0)</f>
        <v>87.0</v>
      </c>
      <c r="C32" s="12">
        <f>ROUNDUP(C$15*$B$6,0)</f>
        <v>60.0</v>
      </c>
      <c r="D32" s="12">
        <f>ROUNDUP(D$15*$B$6,0)</f>
        <v>120.0</v>
      </c>
      <c r="E32" s="12">
        <f>ROUNDUP(E$15*$B$6,0)</f>
        <v>225.0</v>
      </c>
      <c r="F32" s="12">
        <f>ROUNDUP(F$15*$B$6,0)</f>
        <v>450.0</v>
      </c>
    </row>
    <row r="33">
      <c r="A33" s="4" t="inlineStr">
        <is>
          <t>Salad greens (lb)</t>
        </is>
      </c>
      <c r="B33" s="13">
        <f>B$15*$B$7/16</f>
        <v>5.4375</v>
      </c>
      <c r="C33" s="13">
        <f>C$15*$B$7/16</f>
        <v>3.75</v>
      </c>
      <c r="D33" s="13">
        <f>D$15*$B$7/16</f>
        <v>7.5</v>
      </c>
      <c r="E33" s="13">
        <f>E$15*$B$7/16</f>
        <v>14.0625</v>
      </c>
      <c r="F33" s="13">
        <f>F$15*$B$7/16</f>
        <v>28.125</v>
      </c>
    </row>
    <row r="34">
      <c r="A34" s="4" t="inlineStr">
        <is>
          <t>Garlic aioli (quarts)</t>
        </is>
      </c>
      <c r="B34" s="13">
        <f>B$15*$B$8/32</f>
        <v>1.359375</v>
      </c>
      <c r="C34" s="13">
        <f>C$15*$B$8/32</f>
        <v>0.9375</v>
      </c>
      <c r="D34" s="13">
        <f>D$15*$B$8/32</f>
        <v>1.875</v>
      </c>
      <c r="E34" s="13">
        <f>E$15*$B$8/32</f>
        <v>3.515625</v>
      </c>
      <c r="F34" s="13">
        <f>F$15*$B$8/32</f>
        <v>7.03125</v>
      </c>
      <c r="G34" s="2" t="inlineStr">
        <is>
          <t>Egg allergen (1 quart = 0.95 liters).</t>
        </is>
      </c>
    </row>
    <row r="35">
      <c r="A35" s="4" t="inlineStr">
        <is>
          <t>Propane (lb)</t>
        </is>
      </c>
      <c r="B35" s="13">
        <f>B$16*IFERROR(INDEX('Paella Yield &amp; Pan Sizing'!$I$9:$I$15,MATCH('Pricing Calculator'!$B$9,'Paella Yield &amp; Pan Sizing'!$A$9:$A$15,0)),0)</f>
        <v>6.0</v>
      </c>
      <c r="C35" s="13">
        <f>C$16*IFERROR(INDEX('Paella Yield &amp; Pan Sizing'!$I$9:$I$15,MATCH('Pricing Calculator'!$B$9,'Paella Yield &amp; Pan Sizing'!$A$9:$A$15,0)),0)</f>
        <v>3.0</v>
      </c>
      <c r="D35" s="13">
        <f>D$16*IFERROR(INDEX('Paella Yield &amp; Pan Sizing'!$I$9:$I$15,MATCH('Pricing Calculator'!$B$9,'Paella Yield &amp; Pan Sizing'!$A$9:$A$15,0)),0)</f>
        <v>6.0</v>
      </c>
      <c r="E35" s="13">
        <f>E$16*IFERROR(INDEX('Paella Yield &amp; Pan Sizing'!$I$9:$I$15,MATCH('Pricing Calculator'!$B$9,'Paella Yield &amp; Pan Sizing'!$A$9:$A$15,0)),0)</f>
        <v>12.0</v>
      </c>
      <c r="F35" s="13">
        <f>F$16*IFERROR(INDEX('Paella Yield &amp; Pan Sizing'!$I$9:$I$15,MATCH('Pricing Calculator'!$B$9,'Paella Yield &amp; Pan Sizing'!$A$9:$A$15,0)),0)</f>
        <v>24.0</v>
      </c>
    </row>
    <row r="36">
      <c r="A36" s="4" t="inlineStr">
        <is>
          <t>20-lb propane cylinders (plus one spare)</t>
        </is>
      </c>
      <c r="B36" s="12">
        <f>ROUNDUP(B$35/20,0)+1</f>
        <v>2.0</v>
      </c>
      <c r="C36" s="12">
        <f>ROUNDUP(C$35/20,0)+1</f>
        <v>2.0</v>
      </c>
      <c r="D36" s="12">
        <f>ROUNDUP(D$35/20,0)+1</f>
        <v>2.0</v>
      </c>
      <c r="E36" s="12">
        <f>ROUNDUP(E$35/20,0)+1</f>
        <v>2.0</v>
      </c>
      <c r="F36" s="12">
        <f>ROUNDUP(F$35/20,0)+1</f>
        <v>3.0</v>
      </c>
      <c r="G36" s="2" t="inlineStr">
        <is>
          <t>They travel upright and secured in the van.</t>
        </is>
      </c>
    </row>
    <row r="37">
      <c r="A37" s="4" t="inlineStr">
        <is>
          <t>Plates and forks</t>
        </is>
      </c>
      <c r="B37" s="12">
        <f>ROUNDUP(B$15*$B$9,0)</f>
        <v>64.0</v>
      </c>
      <c r="C37" s="12">
        <f>ROUNDUP(C$15*$B$9,0)</f>
        <v>44.0</v>
      </c>
      <c r="D37" s="12">
        <f>ROUNDUP(D$15*$B$9,0)</f>
        <v>88.0</v>
      </c>
      <c r="E37" s="12">
        <f>ROUNDUP(E$15*$B$9,0)</f>
        <v>165.0</v>
      </c>
      <c r="F37" s="12">
        <f>ROUNDUP(F$15*$B$9,0)</f>
        <v>330.0</v>
      </c>
    </row>
    <row r="38">
      <c r="A38" s="4" t="inlineStr">
        <is>
          <t>Ice for the raw seafood (lb)</t>
        </is>
      </c>
      <c r="B38" s="13">
        <f>B$30*$B$10</f>
        <v>15.40625</v>
      </c>
      <c r="C38" s="13">
        <f>C$30*$B$10</f>
        <v>10.625</v>
      </c>
      <c r="D38" s="13">
        <f>D$30*$B$10</f>
        <v>21.25</v>
      </c>
      <c r="E38" s="13">
        <f>E$30*$B$10</f>
        <v>39.84375</v>
      </c>
      <c r="F38" s="13">
        <f>F$30*$B$10</f>
        <v>79.6875</v>
      </c>
    </row>
    <row r="39">
      <c r="A39" s="4" t="inlineStr">
        <is>
          <t>Coolers for the raw seafood</t>
        </is>
      </c>
      <c r="B39" s="12">
        <f>IF($B$11&gt;0,ROUNDUP((B$30+B$38)/$B$11,0),0)</f>
        <v>1.0</v>
      </c>
      <c r="C39" s="12">
        <f>IF($B$11&gt;0,ROUNDUP((C$30+C$38)/$B$11,0),0)</f>
        <v>1.0</v>
      </c>
      <c r="D39" s="12">
        <f>IF($B$11&gt;0,ROUNDUP((D$30+D$38)/$B$11,0),0)</f>
        <v>2.0</v>
      </c>
      <c r="E39" s="12">
        <f>IF($B$11&gt;0,ROUNDUP((E$30+E$38)/$B$11,0),0)</f>
        <v>2.0</v>
      </c>
      <c r="F39" s="12">
        <f>IF($B$11&gt;0,ROUNDUP((F$30+F$38)/$B$11,0),0)</f>
        <v>4.0</v>
      </c>
    </row>
    <row r="40">
      <c r="A40" s="4" t="inlineStr">
        <is>
          <t>Chafing dishes for the tapas hour</t>
        </is>
      </c>
      <c r="B40" s="12">
        <f>IF(AND('Pricing Calculator'!$B$11="Yes",$B$12&gt;0),ROUNDUP(B$15/$B$12,0),0)</f>
        <v>0.0</v>
      </c>
      <c r="C40" s="12">
        <f>IF(AND('Pricing Calculator'!$B$11="Yes",$B$12&gt;0),ROUNDUP(C$15/$B$12,0),0)</f>
        <v>0.0</v>
      </c>
      <c r="D40" s="12">
        <f>IF(AND('Pricing Calculator'!$B$11="Yes",$B$12&gt;0),ROUNDUP(D$15/$B$12,0),0)</f>
        <v>0.0</v>
      </c>
      <c r="E40" s="12">
        <f>IF(AND('Pricing Calculator'!$B$11="Yes",$B$12&gt;0),ROUNDUP(E$15/$B$12,0),0)</f>
        <v>0.0</v>
      </c>
      <c r="F40" s="12">
        <f>IF(AND('Pricing Calculator'!$B$11="Yes",$B$12&gt;0),ROUNDUP(F$15/$B$12,0),0)</f>
        <v>0.0</v>
      </c>
      <c r="G40" s="2" t="inlineStr">
        <is>
          <t>0 without a tapas hour.</t>
        </is>
      </c>
    </row>
    <row r="41">
      <c r="A41" s="4" t="inlineStr">
        <is>
          <t>Paella chefs (suggested: one per 3 pans)</t>
        </is>
      </c>
      <c r="B41" s="12">
        <f>ROUNDUP(B$16/3,0)</f>
        <v>1.0</v>
      </c>
      <c r="C41" s="12">
        <f>ROUNDUP(C$16/3,0)</f>
        <v>1.0</v>
      </c>
      <c r="D41" s="12">
        <f>ROUNDUP(D$16/3,0)</f>
        <v>1.0</v>
      </c>
      <c r="E41" s="12">
        <f>ROUNDUP(E$16/3,0)</f>
        <v>2.0</v>
      </c>
      <c r="F41" s="12">
        <f>ROUNDUP(F$16/3,0)</f>
        <v>3.0</v>
      </c>
      <c r="G41" s="2" t="inlineStr">
        <is>
          <t>Kit estimate.</t>
        </is>
      </c>
    </row>
    <row r="42">
      <c r="A42" s="4" t="inlineStr">
        <is>
          <t>Helper (suggested: from 4 pans or 80 guests)</t>
        </is>
      </c>
      <c r="B42" s="12">
        <f>IF(OR(B$16&gt;=4,B$15&gt;=80),1,0)</f>
        <v>0.0</v>
      </c>
      <c r="C42" s="12">
        <f>IF(OR(C$16&gt;=4,C$15&gt;=80),1,0)</f>
        <v>0.0</v>
      </c>
      <c r="D42" s="12">
        <f>IF(OR(D$16&gt;=4,D$15&gt;=80),1,0)</f>
        <v>1.0</v>
      </c>
      <c r="E42" s="12">
        <f>IF(OR(E$16&gt;=4,E$15&gt;=80),1,0)</f>
        <v>1.0</v>
      </c>
      <c r="F42" s="12">
        <f>IF(OR(F$16&gt;=4,F$15&gt;=80),1,0)</f>
        <v>1.0</v>
      </c>
      <c r="G42" s="2" t="inlineStr">
        <is>
          <t>Kit estimate.</t>
        </is>
      </c>
    </row>
    <row r="43">
      <c r="A43" s="4" t="inlineStr">
        <is>
          <t>Servers and attendants (suggested)</t>
        </is>
      </c>
      <c r="B43" s="12">
        <f>IF(IFERROR(INDEX('Pricing Calculator'!$B$82:$B$84,MATCH('Pricing Calculator'!$B$5,'Pricing Calculator'!$A$82:$A$84,0)),0)&gt;0,ROUNDUP(B$15/IFERROR(INDEX('Pricing Calculator'!$B$82:$B$84,MATCH('Pricing Calculator'!$B$5,'Pricing Calculator'!$A$82:$A$84,0)),0),0),0)</f>
        <v>0.0</v>
      </c>
      <c r="C43" s="12">
        <f>IF(IFERROR(INDEX('Pricing Calculator'!$B$82:$B$84,MATCH('Pricing Calculator'!$B$5,'Pricing Calculator'!$A$82:$A$84,0)),0)&gt;0,ROUNDUP(C$15/IFERROR(INDEX('Pricing Calculator'!$B$82:$B$84,MATCH('Pricing Calculator'!$B$5,'Pricing Calculator'!$A$82:$A$84,0)),0),0),0)</f>
        <v>0.0</v>
      </c>
      <c r="D43" s="12">
        <f>IF(IFERROR(INDEX('Pricing Calculator'!$B$82:$B$84,MATCH('Pricing Calculator'!$B$5,'Pricing Calculator'!$A$82:$A$84,0)),0)&gt;0,ROUNDUP(D$15/IFERROR(INDEX('Pricing Calculator'!$B$82:$B$84,MATCH('Pricing Calculator'!$B$5,'Pricing Calculator'!$A$82:$A$84,0)),0),0),0)</f>
        <v>0.0</v>
      </c>
      <c r="E43" s="12">
        <f>IF(IFERROR(INDEX('Pricing Calculator'!$B$82:$B$84,MATCH('Pricing Calculator'!$B$5,'Pricing Calculator'!$A$82:$A$84,0)),0)&gt;0,ROUNDUP(E$15/IFERROR(INDEX('Pricing Calculator'!$B$82:$B$84,MATCH('Pricing Calculator'!$B$5,'Pricing Calculator'!$A$82:$A$84,0)),0),0),0)</f>
        <v>0.0</v>
      </c>
      <c r="F43" s="12">
        <f>IF(IFERROR(INDEX('Pricing Calculator'!$B$82:$B$84,MATCH('Pricing Calculator'!$B$5,'Pricing Calculator'!$A$82:$A$84,0)),0)&gt;0,ROUNDUP(F$15/IFERROR(INDEX('Pricing Calculator'!$B$82:$B$84,MATCH('Pricing Calculator'!$B$5,'Pricing Calculator'!$A$82:$A$84,0)),0),0),0)</f>
        <v>0.0</v>
      </c>
      <c r="G43" s="2" t="inlineStr">
        <is>
          <t>From the package table of the "Pricing Calculator" tab: 0 for drop-off and live paella parties.</t>
        </is>
      </c>
    </row>
  </sheetData>
  <sheetProtection selectLockedCells="0" selectUnlockedCells="0" sheet="1" objects="0" insertRows="1" insertHyperlinks="1" autoFilter="1" scenarios="0" formatColumns="1" deleteColumns="1" insertColumns="1" pivotTables="1" deleteRows="1" formatCells="1" formatRows="1" sort="1"/>
  <mergeCells count="1">
    <mergeCell ref="A2:G2"/>
  </mergeCells>
  <dataValidations count="3">
    <dataValidation sqref="C15 D15 E15 F15" showDropDown="0" showInputMessage="0" showErrorMessage="1" allowBlank="0" errorTitle="Invalid count" error="Enter a whole number of guests, 1 or more." type="whole" operator="between">
      <formula1>1</formula1>
      <formula2>100000</formula2>
    </dataValidation>
    <dataValidation sqref="B11 B12" showDropDown="0" showInputMessage="0" showErrorMessage="1" allowBlank="0" errorTitle="Invalid count" error="Enter a whole number of 0 or more." type="whole" operator="between">
      <formula1>0</formula1>
      <formula2>10000</formula2>
    </dataValidation>
    <dataValidation sqref="B5 B6 B7 B8 B9 B10" showDropDown="0" showInputMessage="0" showErrorMessage="1" allowBlank="0" errorTitle="Invalid amount" error="Enter a number greater than or equal to 0." type="decimal" operator="greaterThanOrEqual">
      <formula1>0</formula1>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8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30" customWidth="1" min="2" max="2"/>
    <col width="30" customWidth="1" min="3" max="3"/>
    <col width="30" customWidth="1" min="4" max="4"/>
  </cols>
  <sheetData>
    <row r="1">
      <c r="A1" s="1" t="inlineStr">
        <is>
          <t>3 EXAMPLE QUOTES — calculated with the same formulas as the "Pricing Calculator" tab</t>
        </is>
      </c>
    </row>
    <row r="2" ht="48" customHeight="1">
      <c r="A2" s="2" t="inlineStr">
        <is>
          <t>Kit estimates for illustration. No ingredient price is typed: until you type yours on the "Paella Yield &amp; Pan Sizing" tab, the food cost uses the style estimate per guest. Each quote lands within 10% of the price of its line in the example mix in the Word plan (section 3) ($22 drop-off, $34 backyard party, $52 wedding). Change the inputs in "Pricing Calculator" to price your own events.</t>
        </is>
      </c>
    </row>
    <row r="4" ht="45" customHeight="1">
      <c r="A4" s="3" t="inlineStr">
        <is>
          <t>INPUTS</t>
        </is>
      </c>
      <c r="B4" s="19" t="inlineStr">
        <is>
          <t>Corporate drop-off, 30 guests</t>
        </is>
      </c>
      <c r="C4" s="19" t="inlineStr">
        <is>
          <t>Backyard paella party, 45 guests</t>
        </is>
      </c>
      <c r="D4" s="19" t="inlineStr">
        <is>
          <t>Wedding, 110 guests, tapas hour + full staff</t>
        </is>
      </c>
    </row>
    <row r="5" ht="32" customHeight="1">
      <c r="A5" s="4" t="inlineStr">
        <is>
          <t>Package</t>
        </is>
      </c>
      <c r="B5" s="2" t="inlineStr">
        <is>
          <t>Drop-off paella (cooked at the commissary, delivered hot)</t>
        </is>
      </c>
      <c r="C5" s="2" t="inlineStr">
        <is>
          <t>Live paella party (cooked on site, salad &amp; bread)</t>
        </is>
      </c>
      <c r="D5" s="2" t="inlineStr">
        <is>
          <t>Full-service live paella (paella chef &amp; staff; weddings &amp; corporate)</t>
        </is>
      </c>
    </row>
    <row r="6" ht="32" customHeight="1">
      <c r="A6" s="4" t="inlineStr">
        <is>
          <t>Menu style</t>
        </is>
      </c>
      <c r="B6" s="2" t="inlineStr">
        <is>
          <t>Chicken &amp; seafood</t>
        </is>
      </c>
      <c r="C6" s="2" t="inlineStr">
        <is>
          <t>Seafood (paella marinera)</t>
        </is>
      </c>
      <c r="D6" s="2" t="inlineStr">
        <is>
          <t>Chicken &amp; seafood</t>
        </is>
      </c>
    </row>
    <row r="7">
      <c r="A7" s="4" t="inlineStr">
        <is>
          <t>Guests expected</t>
        </is>
      </c>
      <c r="B7" s="12" t="n">
        <v>30</v>
      </c>
      <c r="C7" s="12" t="n">
        <v>45</v>
      </c>
      <c r="D7" s="12" t="n">
        <v>110</v>
      </c>
    </row>
    <row r="8">
      <c r="A8" s="4" t="inlineStr">
        <is>
          <t>Guest minimum in your contract</t>
        </is>
      </c>
      <c r="B8" s="12" t="n">
        <v>20</v>
      </c>
      <c r="C8" s="12" t="n">
        <v>20</v>
      </c>
      <c r="D8" s="12" t="n">
        <v>50</v>
      </c>
    </row>
    <row r="9">
      <c r="A9" s="4" t="inlineStr">
        <is>
          <t>Paella pan size</t>
        </is>
      </c>
      <c r="B9" s="4" t="inlineStr">
        <is>
          <t>36 in (90 cm)</t>
        </is>
      </c>
      <c r="C9" s="4" t="inlineStr">
        <is>
          <t>36 in (90 cm)</t>
        </is>
      </c>
      <c r="D9" s="4" t="inlineStr">
        <is>
          <t>36 in (90 cm)</t>
        </is>
      </c>
    </row>
    <row r="10">
      <c r="A10" s="4" t="inlineStr">
        <is>
          <t>Uncooked rice per guest (oz)</t>
        </is>
      </c>
      <c r="B10" s="16" t="n">
        <v>3.25</v>
      </c>
      <c r="C10" s="16" t="n">
        <v>3.25</v>
      </c>
      <c r="D10" s="16" t="n">
        <v>3.25</v>
      </c>
    </row>
    <row r="11">
      <c r="A11" s="4" t="inlineStr">
        <is>
          <t>Tapas hour?</t>
        </is>
      </c>
      <c r="B11" s="4" t="inlineStr">
        <is>
          <t>No</t>
        </is>
      </c>
      <c r="C11" s="4" t="inlineStr">
        <is>
          <t>No</t>
        </is>
      </c>
      <c r="D11" s="4" t="inlineStr">
        <is>
          <t>Yes</t>
        </is>
      </c>
    </row>
    <row r="12">
      <c r="A12" s="4" t="inlineStr">
        <is>
          <t>Tapas food cost per guest</t>
        </is>
      </c>
      <c r="B12" s="16" t="n">
        <v>4.5</v>
      </c>
      <c r="C12" s="16" t="n">
        <v>4.5</v>
      </c>
      <c r="D12" s="16" t="n">
        <v>4.5</v>
      </c>
    </row>
    <row r="13">
      <c r="A13" s="4" t="inlineStr">
        <is>
          <t>Salad, bread, lemons and garlic aioli per guest</t>
        </is>
      </c>
      <c r="B13" s="16" t="n">
        <v>1.25</v>
      </c>
      <c r="C13" s="16" t="n">
        <v>1.25</v>
      </c>
      <c r="D13" s="16" t="n">
        <v>1.25</v>
      </c>
    </row>
    <row r="14">
      <c r="A14" s="4" t="inlineStr">
        <is>
          <t>Disposables per guest (plates, cutlery, napkins, delivery trays)</t>
        </is>
      </c>
      <c r="B14" s="16" t="n">
        <v>0.75</v>
      </c>
      <c r="C14" s="16" t="n">
        <v>0.75</v>
      </c>
      <c r="D14" s="16" t="n">
        <v>0</v>
      </c>
    </row>
    <row r="15">
      <c r="A15" s="4" t="inlineStr">
        <is>
          <t>Propane cost per lb</t>
        </is>
      </c>
      <c r="B15" s="16" t="n">
        <v>1.75</v>
      </c>
      <c r="C15" s="16" t="n">
        <v>1.75</v>
      </c>
      <c r="D15" s="16" t="n">
        <v>1.75</v>
      </c>
    </row>
    <row r="16">
      <c r="A16" s="4" t="inlineStr">
        <is>
          <t>Paella chefs on event day</t>
        </is>
      </c>
      <c r="B16" s="12" t="n">
        <v>1</v>
      </c>
      <c r="C16" s="12" t="n">
        <v>1</v>
      </c>
      <c r="D16" s="12" t="n">
        <v>2</v>
      </c>
    </row>
    <row r="17">
      <c r="A17" s="4" t="inlineStr">
        <is>
          <t>Helpers (prep cook or second cook)</t>
        </is>
      </c>
      <c r="B17" s="12" t="n">
        <v>0</v>
      </c>
      <c r="C17" s="12" t="n">
        <v>0</v>
      </c>
      <c r="D17" s="12" t="n">
        <v>1</v>
      </c>
    </row>
    <row r="18">
      <c r="A18" s="4" t="inlineStr">
        <is>
          <t>Servers and buffet attendants</t>
        </is>
      </c>
      <c r="B18" s="12" t="n">
        <v>0</v>
      </c>
      <c r="C18" s="12" t="n">
        <v>0</v>
      </c>
      <c r="D18" s="12" t="n">
        <v>5</v>
      </c>
    </row>
    <row r="19">
      <c r="A19" s="4" t="inlineStr">
        <is>
          <t>Hours each on event day (loading, travel, setup, cooking, service, breakdown)</t>
        </is>
      </c>
      <c r="B19" s="13" t="n">
        <v>3</v>
      </c>
      <c r="C19" s="13" t="n">
        <v>6</v>
      </c>
      <c r="D19" s="13" t="n">
        <v>7</v>
      </c>
    </row>
    <row r="20">
      <c r="A20" s="4" t="inlineStr">
        <is>
          <t>Commissary prep hours for this event (sofrito, stock, seafood)</t>
        </is>
      </c>
      <c r="B20" s="13" t="n">
        <v>2</v>
      </c>
      <c r="C20" s="13" t="n">
        <v>3</v>
      </c>
      <c r="D20" s="13" t="n">
        <v>6</v>
      </c>
    </row>
    <row r="21">
      <c r="A21" s="4" t="inlineStr">
        <is>
          <t>Paella chef hourly wage</t>
        </is>
      </c>
      <c r="B21" s="16" t="n">
        <v>22</v>
      </c>
      <c r="C21" s="16" t="n">
        <v>22</v>
      </c>
      <c r="D21" s="16" t="n">
        <v>22</v>
      </c>
    </row>
    <row r="22">
      <c r="A22" s="4" t="inlineStr">
        <is>
          <t>Helper hourly wage</t>
        </is>
      </c>
      <c r="B22" s="16" t="n">
        <v>19</v>
      </c>
      <c r="C22" s="16" t="n">
        <v>19</v>
      </c>
      <c r="D22" s="16" t="n">
        <v>19</v>
      </c>
    </row>
    <row r="23">
      <c r="A23" s="4" t="inlineStr">
        <is>
          <t>Server / attendant hourly wage</t>
        </is>
      </c>
      <c r="B23" s="16" t="n">
        <v>18</v>
      </c>
      <c r="C23" s="16" t="n">
        <v>18</v>
      </c>
      <c r="D23" s="16" t="n">
        <v>18</v>
      </c>
    </row>
    <row r="24">
      <c r="A24" s="4" t="inlineStr">
        <is>
          <t>Employer payroll taxes and workers' comp (% of wages)</t>
        </is>
      </c>
      <c r="B24" s="25" t="n">
        <v>0.1</v>
      </c>
      <c r="C24" s="25" t="n">
        <v>0.1</v>
      </c>
      <c r="D24" s="25" t="n">
        <v>0.1</v>
      </c>
    </row>
    <row r="25">
      <c r="A25" s="4" t="inlineStr">
        <is>
          <t>Rentals for this event (your cost; they carry your margin)</t>
        </is>
      </c>
      <c r="B25" s="16" t="n">
        <v>0</v>
      </c>
      <c r="C25" s="16" t="n">
        <v>0</v>
      </c>
      <c r="D25" s="16" t="n">
        <v>600</v>
      </c>
    </row>
    <row r="26">
      <c r="A26" s="4" t="inlineStr">
        <is>
          <t>Round-trip miles</t>
        </is>
      </c>
      <c r="B26" s="12" t="n">
        <v>20</v>
      </c>
      <c r="C26" s="12" t="n">
        <v>30</v>
      </c>
      <c r="D26" s="12" t="n">
        <v>60</v>
      </c>
    </row>
    <row r="27">
      <c r="A27" s="4" t="inlineStr">
        <is>
          <t>Cost per mile (van)</t>
        </is>
      </c>
      <c r="B27" s="16" t="n">
        <v>0.7</v>
      </c>
      <c r="C27" s="16" t="n">
        <v>0.7</v>
      </c>
      <c r="D27" s="16" t="n">
        <v>0.7</v>
      </c>
    </row>
    <row r="28">
      <c r="A28" s="4" t="inlineStr">
        <is>
          <t>Flat event or travel fee charged to the client</t>
        </is>
      </c>
      <c r="B28" s="16" t="n">
        <v>0</v>
      </c>
      <c r="C28" s="16" t="n">
        <v>0</v>
      </c>
      <c r="D28" s="16" t="n">
        <v>0</v>
      </c>
    </row>
    <row r="29">
      <c r="A29" s="4" t="inlineStr">
        <is>
          <t>Marketplace fee on this booking (% of subtotal)</t>
        </is>
      </c>
      <c r="B29" s="25" t="n">
        <v>0</v>
      </c>
      <c r="C29" s="25" t="n">
        <v>0</v>
      </c>
      <c r="D29" s="25" t="n">
        <v>0</v>
      </c>
    </row>
    <row r="30">
      <c r="A30" s="4" t="inlineStr">
        <is>
          <t>Target gross margin on the food &amp; service subtotal</t>
        </is>
      </c>
      <c r="B30" s="25" t="n">
        <v>0.4</v>
      </c>
      <c r="C30" s="25" t="n">
        <v>0.5</v>
      </c>
      <c r="D30" s="25" t="n">
        <v>0.42</v>
      </c>
    </row>
    <row r="31">
      <c r="A31" s="4" t="inlineStr">
        <is>
          <t>Service charge (% of subtotal)</t>
        </is>
      </c>
      <c r="B31" s="25" t="n">
        <v>0</v>
      </c>
      <c r="C31" s="25" t="n">
        <v>0</v>
      </c>
      <c r="D31" s="25" t="n">
        <v>0.1</v>
      </c>
    </row>
    <row r="32">
      <c r="A32" s="4" t="inlineStr">
        <is>
          <t>Sales tax rate (state + local)</t>
        </is>
      </c>
      <c r="B32" s="26" t="n">
        <v>0.08</v>
      </c>
      <c r="C32" s="26" t="n">
        <v>0.08</v>
      </c>
      <c r="D32" s="26" t="n">
        <v>0.08</v>
      </c>
    </row>
    <row r="33">
      <c r="A33" s="4" t="inlineStr">
        <is>
          <t>Does your state tax the service charge?</t>
        </is>
      </c>
      <c r="B33" s="4" t="inlineStr">
        <is>
          <t>Yes</t>
        </is>
      </c>
      <c r="C33" s="4" t="inlineStr">
        <is>
          <t>Yes</t>
        </is>
      </c>
      <c r="D33" s="4" t="inlineStr">
        <is>
          <t>Yes</t>
        </is>
      </c>
    </row>
    <row r="34">
      <c r="A34" s="4" t="inlineStr">
        <is>
          <t>Deposit to book the date (% of total)</t>
        </is>
      </c>
      <c r="B34" s="25" t="n">
        <v>0.5</v>
      </c>
      <c r="C34" s="25" t="n">
        <v>0.5</v>
      </c>
      <c r="D34" s="25" t="n">
        <v>0.5</v>
      </c>
    </row>
    <row r="35">
      <c r="A35" s="4" t="inlineStr">
        <is>
          <t>Cancellation tier 1 starts at (days before the event)</t>
        </is>
      </c>
      <c r="B35" s="12" t="n">
        <v>60</v>
      </c>
      <c r="C35" s="12" t="n">
        <v>60</v>
      </c>
      <c r="D35" s="12" t="n">
        <v>60</v>
      </c>
    </row>
    <row r="36">
      <c r="A36" s="4" t="inlineStr">
        <is>
          <t>Cancellation tier 2 starts at (days before the event)</t>
        </is>
      </c>
      <c r="B36" s="12" t="n">
        <v>30</v>
      </c>
      <c r="C36" s="12" t="n">
        <v>30</v>
      </c>
      <c r="D36" s="12" t="n">
        <v>30</v>
      </c>
    </row>
    <row r="37">
      <c r="A37" s="4" t="inlineStr">
        <is>
          <t>Cancellation tier 3 starts at (days before the event)</t>
        </is>
      </c>
      <c r="B37" s="12" t="n">
        <v>14</v>
      </c>
      <c r="C37" s="12" t="n">
        <v>14</v>
      </c>
      <c r="D37" s="12" t="n">
        <v>14</v>
      </c>
    </row>
    <row r="38">
      <c r="A38" s="4" t="inlineStr">
        <is>
          <t>Share of the total you keep in tier 1</t>
        </is>
      </c>
      <c r="B38" s="25" t="n">
        <v>0.5</v>
      </c>
      <c r="C38" s="25" t="n">
        <v>0.5</v>
      </c>
      <c r="D38" s="25" t="n">
        <v>0.5</v>
      </c>
    </row>
    <row r="39">
      <c r="A39" s="4" t="inlineStr">
        <is>
          <t>Share of the total you keep in tier 2</t>
        </is>
      </c>
      <c r="B39" s="25" t="n">
        <v>0.75</v>
      </c>
      <c r="C39" s="25" t="n">
        <v>0.75</v>
      </c>
      <c r="D39" s="25" t="n">
        <v>0.75</v>
      </c>
    </row>
    <row r="40">
      <c r="A40" s="4" t="inlineStr">
        <is>
          <t>Share of the total you keep in tier 3</t>
        </is>
      </c>
      <c r="B40" s="25" t="n">
        <v>0.9</v>
      </c>
      <c r="C40" s="25" t="n">
        <v>0.9</v>
      </c>
      <c r="D40" s="25" t="n">
        <v>0.9</v>
      </c>
    </row>
    <row r="41">
      <c r="A41" s="4" t="inlineStr">
        <is>
          <t>Share of the total you keep in tier 4</t>
        </is>
      </c>
      <c r="B41" s="25" t="n">
        <v>1</v>
      </c>
      <c r="C41" s="25" t="n">
        <v>1</v>
      </c>
      <c r="D41" s="25" t="n">
        <v>1</v>
      </c>
    </row>
    <row r="43" ht="45" customHeight="1">
      <c r="A43" s="3" t="inlineStr">
        <is>
          <t>RESULT</t>
        </is>
      </c>
      <c r="B43" s="19" t="inlineStr">
        <is>
          <t>Corporate drop-off, 30 guests</t>
        </is>
      </c>
      <c r="C43" s="19" t="inlineStr">
        <is>
          <t>Backyard paella party, 45 guests</t>
        </is>
      </c>
      <c r="D43" s="19" t="inlineStr">
        <is>
          <t>Wedding, 110 guests, tapas hour + full staff</t>
        </is>
      </c>
    </row>
    <row r="44">
      <c r="A44" s="4" t="inlineStr">
        <is>
          <t>Billable guests</t>
        </is>
      </c>
      <c r="B44" s="12">
        <f>MAX($B$7,$B$8)</f>
        <v>30.0</v>
      </c>
      <c r="C44" s="12">
        <f>MAX($C$7,$C$8)</f>
        <v>45.0</v>
      </c>
      <c r="D44" s="12">
        <f>MAX($D$7,$D$8)</f>
        <v>110.0</v>
      </c>
    </row>
    <row r="45">
      <c r="A45" s="4" t="inlineStr">
        <is>
          <t>Guests per pan for this size</t>
        </is>
      </c>
      <c r="B45" s="12">
        <f>IFERROR(INDEX('Paella Yield &amp; Pan Sizing'!$C$9:$C$15,MATCH($B$9,'Paella Yield &amp; Pan Sizing'!$A$9:$A$15,0)),1)</f>
        <v>40.0</v>
      </c>
      <c r="C45" s="12">
        <f>IFERROR(INDEX('Paella Yield &amp; Pan Sizing'!$C$9:$C$15,MATCH($C$9,'Paella Yield &amp; Pan Sizing'!$A$9:$A$15,0)),1)</f>
        <v>40.0</v>
      </c>
      <c r="D45" s="12">
        <f>IFERROR(INDEX('Paella Yield &amp; Pan Sizing'!$C$9:$C$15,MATCH($D$9,'Paella Yield &amp; Pan Sizing'!$A$9:$A$15,0)),1)</f>
        <v>40.0</v>
      </c>
    </row>
    <row r="46">
      <c r="A46" s="4" t="inlineStr">
        <is>
          <t>Paella pans to cook</t>
        </is>
      </c>
      <c r="B46" s="12">
        <f>ROUNDUP($B$7/$B$45,0)</f>
        <v>1.0</v>
      </c>
      <c r="C46" s="12">
        <f>ROUNDUP($C$7/$C$45,0)</f>
        <v>2.0</v>
      </c>
      <c r="D46" s="12">
        <f>ROUNDUP($D$7/$D$45,0)</f>
        <v>3.0</v>
      </c>
    </row>
    <row r="47">
      <c r="A47" s="4" t="inlineStr">
        <is>
          <t>Uncooked rice (lb)</t>
        </is>
      </c>
      <c r="B47" s="13">
        <f>$B$7*$B$10/16</f>
        <v>6.09375</v>
      </c>
      <c r="C47" s="13">
        <f>$C$7*$C$10/16</f>
        <v>9.140625</v>
      </c>
      <c r="D47" s="13">
        <f>$D$7*$D$10/16</f>
        <v>22.34375</v>
      </c>
    </row>
    <row r="48">
      <c r="A48" s="4" t="inlineStr">
        <is>
          <t>Stock (gallons)</t>
        </is>
      </c>
      <c r="B48" s="13">
        <f>$B$47*'Paella Yield &amp; Pan Sizing'!$B$5/4</f>
        <v>1.828125</v>
      </c>
      <c r="C48" s="13">
        <f>$C$47*'Paella Yield &amp; Pan Sizing'!$B$5/4</f>
        <v>2.7421875</v>
      </c>
      <c r="D48" s="13">
        <f>$D$47*'Paella Yield &amp; Pan Sizing'!$B$5/4</f>
        <v>6.703125</v>
      </c>
    </row>
    <row r="49">
      <c r="A49" s="4" t="inlineStr">
        <is>
          <t>Propane for the cook (lb)</t>
        </is>
      </c>
      <c r="B49" s="13">
        <f>$B$46*IFERROR(INDEX('Paella Yield &amp; Pan Sizing'!$I$9:$I$15,MATCH($B$9,'Paella Yield &amp; Pan Sizing'!$A$9:$A$15,0)),0)</f>
        <v>3.0</v>
      </c>
      <c r="C49" s="13">
        <f>$C$46*IFERROR(INDEX('Paella Yield &amp; Pan Sizing'!$I$9:$I$15,MATCH($C$9,'Paella Yield &amp; Pan Sizing'!$A$9:$A$15,0)),0)</f>
        <v>6.0</v>
      </c>
      <c r="D49" s="13">
        <f>$D$46*IFERROR(INDEX('Paella Yield &amp; Pan Sizing'!$I$9:$I$15,MATCH($D$9,'Paella Yield &amp; Pan Sizing'!$A$9:$A$15,0)),0)</f>
        <v>9.0</v>
      </c>
    </row>
    <row r="50">
      <c r="A50" s="4" t="inlineStr">
        <is>
          <t>20-lb propane cylinders to bring (plus one spare)</t>
        </is>
      </c>
      <c r="B50" s="12">
        <f>ROUNDUP($B$49/20,0)+1</f>
        <v>2.0</v>
      </c>
      <c r="C50" s="12">
        <f>ROUNDUP($C$49/20,0)+1</f>
        <v>2.0</v>
      </c>
      <c r="D50" s="12">
        <f>ROUNDUP($D$49/20,0)+1</f>
        <v>2.0</v>
      </c>
    </row>
    <row r="51">
      <c r="A51" s="4" t="inlineStr">
        <is>
          <t>Ingredients of this style with no price</t>
        </is>
      </c>
      <c r="B51" s="12">
        <f>IFERROR(INDEX('Paella Yield &amp; Pan Sizing'!$O$20:$O$27,MATCH($B$6,'Paella Yield &amp; Pan Sizing'!$A$20:$A$27,0)),0)</f>
        <v>8.0</v>
      </c>
      <c r="C51" s="12">
        <f>IFERROR(INDEX('Paella Yield &amp; Pan Sizing'!$O$20:$O$27,MATCH($C$6,'Paella Yield &amp; Pan Sizing'!$A$20:$A$27,0)),0)</f>
        <v>8.0</v>
      </c>
      <c r="D51" s="12">
        <f>IFERROR(INDEX('Paella Yield &amp; Pan Sizing'!$O$20:$O$27,MATCH($D$6,'Paella Yield &amp; Pan Sizing'!$A$20:$A$27,0)),0)</f>
        <v>8.0</v>
      </c>
    </row>
    <row r="52" ht="32" customHeight="1">
      <c r="A52" s="14" t="inlineStr">
        <is>
          <t>Ingredient prices</t>
        </is>
      </c>
      <c r="B52" s="15" t="str">
        <f>IF($B$51=0,"Complete: food cost uses your prices","Missing: food cost uses the style estimate per guest")</f>
        <v>Missing: food cost uses the style estimate per guest</v>
      </c>
      <c r="C52" s="15" t="str">
        <f>IF($C$51=0,"Complete: food cost uses your prices","Missing: food cost uses the style estimate per guest")</f>
        <v>Missing: food cost uses the style estimate per guest</v>
      </c>
      <c r="D52" s="15" t="str">
        <f>IF($D$51=0,"Complete: food cost uses your prices","Missing: food cost uses the style estimate per guest")</f>
        <v>Missing: food cost uses the style estimate per guest</v>
      </c>
    </row>
    <row r="53">
      <c r="A53" s="4" t="inlineStr">
        <is>
          <t>Paella food cost per guest for this style</t>
        </is>
      </c>
      <c r="B53" s="16">
        <f>IFERROR(IF($B$51=0,INDEX('Paella Yield &amp; Pan Sizing'!$N$20:$N$27,MATCH($B$6,'Paella Yield &amp; Pan Sizing'!$A$20:$A$27,0)),INDEX('Paella Yield &amp; Pan Sizing'!$M$20:$M$27,MATCH($B$6,'Paella Yield &amp; Pan Sizing'!$A$20:$A$27,0))),0)</f>
        <v>7.0</v>
      </c>
      <c r="C53" s="16">
        <f>IFERROR(IF($C$51=0,INDEX('Paella Yield &amp; Pan Sizing'!$N$20:$N$27,MATCH($C$6,'Paella Yield &amp; Pan Sizing'!$A$20:$A$27,0)),INDEX('Paella Yield &amp; Pan Sizing'!$M$20:$M$27,MATCH($C$6,'Paella Yield &amp; Pan Sizing'!$A$20:$A$27,0))),0)</f>
        <v>8.5</v>
      </c>
      <c r="D53" s="16">
        <f>IFERROR(IF($D$51=0,INDEX('Paella Yield &amp; Pan Sizing'!$N$20:$N$27,MATCH($D$6,'Paella Yield &amp; Pan Sizing'!$A$20:$A$27,0)),INDEX('Paella Yield &amp; Pan Sizing'!$M$20:$M$27,MATCH($D$6,'Paella Yield &amp; Pan Sizing'!$A$20:$A$27,0))),0)</f>
        <v>7.0</v>
      </c>
    </row>
    <row r="54">
      <c r="A54" s="4" t="inlineStr">
        <is>
          <t>Food cost (paella, salad, bread, lemons and aioli)</t>
        </is>
      </c>
      <c r="B54" s="16">
        <f>$B$7*($B$53+$B$13)</f>
        <v>247.5</v>
      </c>
      <c r="C54" s="16">
        <f>$C$7*($C$53+$C$13)</f>
        <v>438.75</v>
      </c>
      <c r="D54" s="16">
        <f>$D$7*($D$53+$D$13)</f>
        <v>907.5</v>
      </c>
    </row>
    <row r="55">
      <c r="A55" s="4" t="inlineStr">
        <is>
          <t>Tapas hour</t>
        </is>
      </c>
      <c r="B55" s="16">
        <f>IF($B$11="Yes",$B$7*$B$12,0)</f>
        <v>0.0</v>
      </c>
      <c r="C55" s="16">
        <f>IF($C$11="Yes",$C$7*$C$12,0)</f>
        <v>0.0</v>
      </c>
      <c r="D55" s="16">
        <f>IF($D$11="Yes",$D$7*$D$12,0)</f>
        <v>495.0</v>
      </c>
    </row>
    <row r="56">
      <c r="A56" s="4" t="inlineStr">
        <is>
          <t>Disposables</t>
        </is>
      </c>
      <c r="B56" s="16">
        <f>$B$7*$B$14</f>
        <v>22.5</v>
      </c>
      <c r="C56" s="16">
        <f>$C$7*$C$14</f>
        <v>33.75</v>
      </c>
      <c r="D56" s="16">
        <f>$D$7*$D$14</f>
        <v>0.0</v>
      </c>
    </row>
    <row r="57">
      <c r="A57" s="4" t="inlineStr">
        <is>
          <t>Propane</t>
        </is>
      </c>
      <c r="B57" s="16">
        <f>$B$49*$B$15</f>
        <v>5.25</v>
      </c>
      <c r="C57" s="16">
        <f>$C$49*$C$15</f>
        <v>10.5</v>
      </c>
      <c r="D57" s="16">
        <f>$D$49*$D$15</f>
        <v>15.75</v>
      </c>
    </row>
    <row r="58">
      <c r="A58" s="4" t="inlineStr">
        <is>
          <t>Staff cost (wages + payroll taxes)</t>
        </is>
      </c>
      <c r="B58" s="16">
        <f>(($B$16*$B$21+$B$17*$B$22+$B$18*$B$23)*$B$19+$B$20*$B$22)*(1+$B$24)</f>
        <v>114.4</v>
      </c>
      <c r="C58" s="16">
        <f>(($C$16*$C$21+$C$17*$C$22+$C$18*$C$23)*$C$19+$C$20*$C$22)*(1+$C$24)</f>
        <v>207.9</v>
      </c>
      <c r="D58" s="16">
        <f>(($D$16*$D$21+$D$17*$D$22+$D$18*$D$23)*$D$19+$D$20*$D$22)*(1+$D$24)</f>
        <v>1303.5</v>
      </c>
    </row>
    <row r="59">
      <c r="A59" s="4" t="inlineStr">
        <is>
          <t>Rentals and mileage</t>
        </is>
      </c>
      <c r="B59" s="16">
        <f>$B$25+$B$26*$B$27</f>
        <v>14.0</v>
      </c>
      <c r="C59" s="16">
        <f>$C$25+$C$26*$C$27</f>
        <v>21.0</v>
      </c>
      <c r="D59" s="16">
        <f>$D$25+$D$26*$D$27</f>
        <v>642.0</v>
      </c>
    </row>
    <row r="60">
      <c r="A60" s="4" t="inlineStr">
        <is>
          <t>Total direct cost</t>
        </is>
      </c>
      <c r="B60" s="16">
        <f>$B$54+$B$55+$B$56+$B$57+$B$58+$B$59</f>
        <v>403.65</v>
      </c>
      <c r="C60" s="16">
        <f>$C$54+$C$55+$C$56+$C$57+$C$58+$C$59</f>
        <v>711.9</v>
      </c>
      <c r="D60" s="16">
        <f>$D$54+$D$55+$D$56+$D$57+$D$58+$D$59</f>
        <v>3363.75</v>
      </c>
    </row>
    <row r="61">
      <c r="A61" s="4" t="inlineStr">
        <is>
          <t>Direct cost per billable guest</t>
        </is>
      </c>
      <c r="B61" s="16">
        <f>$B$60/$B$44</f>
        <v>13.455</v>
      </c>
      <c r="C61" s="16">
        <f>$C$60/$C$44</f>
        <v>15.82</v>
      </c>
      <c r="D61" s="16">
        <f>$D$60/$D$44</f>
        <v>30.579545454545453</v>
      </c>
    </row>
    <row r="62">
      <c r="A62" s="14" t="inlineStr">
        <is>
          <t>PRICE PER GUEST before fees, service charge and tax</t>
        </is>
      </c>
      <c r="B62" s="17">
        <f>ROUNDUP($B$60/(1-$B$30-$B$29)/$B$44*2,0)/2</f>
        <v>22.5</v>
      </c>
      <c r="C62" s="17">
        <f>ROUNDUP($C$60/(1-$C$30-$C$29)/$C$44*2,0)/2</f>
        <v>32.0</v>
      </c>
      <c r="D62" s="17">
        <f>ROUNDUP($D$60/(1-$D$30-$D$29)/$D$44*2,0)/2</f>
        <v>53.0</v>
      </c>
    </row>
    <row r="63">
      <c r="A63" s="4" t="inlineStr">
        <is>
          <t>Food &amp; service subtotal</t>
        </is>
      </c>
      <c r="B63" s="16">
        <f>$B$62*$B$44+$B$28</f>
        <v>675.0</v>
      </c>
      <c r="C63" s="16">
        <f>$C$62*$C$44+$C$28</f>
        <v>1440.0</v>
      </c>
      <c r="D63" s="16">
        <f>$D$62*$D$44+$D$28</f>
        <v>5830.0</v>
      </c>
    </row>
    <row r="64">
      <c r="A64" s="4" t="inlineStr">
        <is>
          <t>Service charge</t>
        </is>
      </c>
      <c r="B64" s="16">
        <f>$B$63*$B$31</f>
        <v>0.0</v>
      </c>
      <c r="C64" s="16">
        <f>$C$63*$C$31</f>
        <v>0.0</v>
      </c>
      <c r="D64" s="16">
        <f>$D$63*$D$31</f>
        <v>583.0</v>
      </c>
    </row>
    <row r="65">
      <c r="A65" s="4" t="inlineStr">
        <is>
          <t>Sales tax</t>
        </is>
      </c>
      <c r="B65" s="16">
        <f>($B$63+IF($B$33="Yes",$B$64,0))*$B$32</f>
        <v>54.0</v>
      </c>
      <c r="C65" s="16">
        <f>($C$63+IF($C$33="Yes",$C$64,0))*$C$32</f>
        <v>115.2</v>
      </c>
      <c r="D65" s="16">
        <f>($D$63+IF($D$33="Yes",$D$64,0))*$D$32</f>
        <v>513.04</v>
      </c>
    </row>
    <row r="66">
      <c r="A66" s="14" t="inlineStr">
        <is>
          <t>TOTAL TO QUOTE</t>
        </is>
      </c>
      <c r="B66" s="17">
        <f>$B$63+$B$64+$B$65</f>
        <v>729.0</v>
      </c>
      <c r="C66" s="17">
        <f>$C$63+$C$64+$C$65</f>
        <v>1555.2</v>
      </c>
      <c r="D66" s="17">
        <f>$D$63+$D$64+$D$65</f>
        <v>6926.04</v>
      </c>
    </row>
    <row r="67">
      <c r="A67" s="4" t="inlineStr">
        <is>
          <t>Deposit to book the date</t>
        </is>
      </c>
      <c r="B67" s="16">
        <f>$B$66*$B$34</f>
        <v>364.5</v>
      </c>
      <c r="C67" s="16">
        <f>$C$66*$C$34</f>
        <v>777.6</v>
      </c>
      <c r="D67" s="16">
        <f>$D$66*$D$34</f>
        <v>3463.02</v>
      </c>
    </row>
    <row r="68">
      <c r="A68" s="4" t="inlineStr">
        <is>
          <t>Balance due before the event</t>
        </is>
      </c>
      <c r="B68" s="16">
        <f>$B$66-$B$67</f>
        <v>364.5</v>
      </c>
      <c r="C68" s="16">
        <f>$C$66-$C$67</f>
        <v>777.6</v>
      </c>
      <c r="D68" s="16">
        <f>$D$66-$D$67</f>
        <v>3463.02</v>
      </c>
    </row>
    <row r="69">
      <c r="A69" s="4" t="inlineStr">
        <is>
          <t>Marketplace fee</t>
        </is>
      </c>
      <c r="B69" s="16">
        <f>$B$63*$B$29</f>
        <v>0.0</v>
      </c>
      <c r="C69" s="16">
        <f>$C$63*$C$29</f>
        <v>0.0</v>
      </c>
      <c r="D69" s="16">
        <f>$D$63*$D$29</f>
        <v>0.0</v>
      </c>
    </row>
    <row r="70">
      <c r="A70" s="4" t="inlineStr">
        <is>
          <t>Gross profit on the subtotal</t>
        </is>
      </c>
      <c r="B70" s="16">
        <f>$B$63-$B$69-$B$60</f>
        <v>271.35</v>
      </c>
      <c r="C70" s="16">
        <f>$C$63-$C$69-$C$60</f>
        <v>728.1</v>
      </c>
      <c r="D70" s="16">
        <f>$D$63-$D$69-$D$60</f>
        <v>2466.25</v>
      </c>
    </row>
    <row r="71">
      <c r="A71" s="14" t="inlineStr">
        <is>
          <t>Gross margin (calculated)</t>
        </is>
      </c>
      <c r="B71" s="18">
        <f>IF($B$63=0,0,$B$70/$B$63)</f>
        <v>0.402</v>
      </c>
      <c r="C71" s="18">
        <f>IF($C$63=0,0,$C$70/$C$63)</f>
        <v>0.505625</v>
      </c>
      <c r="D71" s="18">
        <f>IF($D$63=0,0,$D$70/$D$63)</f>
        <v>0.42302744425385935</v>
      </c>
    </row>
    <row r="72">
      <c r="A72" s="4" t="inlineStr">
        <is>
          <t>Suggested paella chefs (Kit estimate: one per 3 pans)</t>
        </is>
      </c>
      <c r="B72" s="12">
        <f>ROUNDUP($B$46/3,0)</f>
        <v>1.0</v>
      </c>
      <c r="C72" s="12">
        <f>ROUNDUP($C$46/3,0)</f>
        <v>1.0</v>
      </c>
      <c r="D72" s="12">
        <f>ROUNDUP($D$46/3,0)</f>
        <v>1.0</v>
      </c>
    </row>
    <row r="73">
      <c r="A73" s="4" t="inlineStr">
        <is>
          <t>Suggested helper (Kit estimate: from 4 pans or 80 guests)</t>
        </is>
      </c>
      <c r="B73" s="12">
        <f>IF(OR($B$46&gt;=4,$B$7&gt;=80),1,0)</f>
        <v>0.0</v>
      </c>
      <c r="C73" s="12">
        <f>IF(OR($C$46&gt;=4,$C$7&gt;=80),1,0)</f>
        <v>0.0</v>
      </c>
      <c r="D73" s="12">
        <f>IF(OR($D$46&gt;=4,$D$7&gt;=80),1,0)</f>
        <v>1.0</v>
      </c>
    </row>
    <row r="74">
      <c r="A74" s="4" t="inlineStr">
        <is>
          <t>Suggested servers and attendants for this package</t>
        </is>
      </c>
      <c r="B74" s="12">
        <f>IFERROR(IF(INDEX('Pricing Calculator'!$B$82:$B$84,MATCH($B$5,'Pricing Calculator'!$A$82:$A$84,0))&gt;0,ROUNDUP($B$7/INDEX('Pricing Calculator'!$B$82:$B$84,MATCH($B$5,'Pricing Calculator'!$A$82:$A$84,0)),0),0),0)</f>
        <v>0.0</v>
      </c>
      <c r="C74" s="12">
        <f>IFERROR(IF(INDEX('Pricing Calculator'!$B$82:$B$84,MATCH($C$5,'Pricing Calculator'!$A$82:$A$84,0))&gt;0,ROUNDUP($C$7/INDEX('Pricing Calculator'!$B$82:$B$84,MATCH($C$5,'Pricing Calculator'!$A$82:$A$84,0)),0),0),0)</f>
        <v>0.0</v>
      </c>
      <c r="D74" s="12">
        <f>IFERROR(IF(INDEX('Pricing Calculator'!$B$82:$B$84,MATCH($D$5,'Pricing Calculator'!$A$82:$A$84,0))&gt;0,ROUNDUP($D$7/INDEX('Pricing Calculator'!$B$82:$B$84,MATCH($D$5,'Pricing Calculator'!$A$82:$A$84,0)),0),0),0)</f>
        <v>5.0</v>
      </c>
    </row>
    <row r="75" ht="32" customHeight="1">
      <c r="A75" s="4" t="inlineStr">
        <is>
          <t>Cancellation tiers check</t>
        </is>
      </c>
      <c r="B75" s="2" t="str">
        <f>IF(AND($B$35&gt;$B$36,$B$36&gt;$B$37),"OK","Adjust: tier 1 &gt; tier 2 &gt; tier 3 days")</f>
        <v>OK</v>
      </c>
      <c r="C75" s="2" t="str">
        <f>IF(AND($C$35&gt;$C$36,$C$36&gt;$C$37),"OK","Adjust: tier 1 &gt; tier 2 &gt; tier 3 days")</f>
        <v>OK</v>
      </c>
      <c r="D75" s="2" t="str">
        <f>IF(AND($D$35&gt;$D$36,$D$36&gt;$D$37),"OK","Adjust: tier 1 &gt; tier 2 &gt; tier 3 days")</f>
        <v>OK</v>
      </c>
    </row>
    <row r="76">
      <c r="A76" s="4" t="inlineStr">
        <is>
          <t>Cancellation in tier 1: amount you keep</t>
        </is>
      </c>
      <c r="B76" s="16">
        <f>$B$66*$B$38</f>
        <v>364.5</v>
      </c>
      <c r="C76" s="16">
        <f>$C$66*$C$38</f>
        <v>777.6</v>
      </c>
      <c r="D76" s="16">
        <f>$D$66*$D$38</f>
        <v>3463.02</v>
      </c>
    </row>
    <row r="77">
      <c r="A77" s="4" t="inlineStr">
        <is>
          <t>Cancellation in tier 2: amount you keep</t>
        </is>
      </c>
      <c r="B77" s="16">
        <f>$B$66*$B$39</f>
        <v>546.75</v>
      </c>
      <c r="C77" s="16">
        <f>$C$66*$C$39</f>
        <v>1166.4</v>
      </c>
      <c r="D77" s="16">
        <f>$D$66*$D$39</f>
        <v>5194.53</v>
      </c>
    </row>
    <row r="78">
      <c r="A78" s="4" t="inlineStr">
        <is>
          <t>Cancellation in tier 3: amount you keep</t>
        </is>
      </c>
      <c r="B78" s="16">
        <f>$B$66*$B$40</f>
        <v>656.1</v>
      </c>
      <c r="C78" s="16">
        <f>$C$66*$C$40</f>
        <v>1399.68</v>
      </c>
      <c r="D78" s="16">
        <f>$D$66*$D$40</f>
        <v>6233.436</v>
      </c>
    </row>
    <row r="79">
      <c r="A79" s="4" t="inlineStr">
        <is>
          <t>Cancellation in tier 4 or no-show: amount you keep</t>
        </is>
      </c>
      <c r="B79" s="16">
        <f>$B$66*$B$41</f>
        <v>729.0</v>
      </c>
      <c r="C79" s="16">
        <f>$C$66*$C$41</f>
        <v>1555.2</v>
      </c>
      <c r="D79" s="16">
        <f>$D$66*$D$41</f>
        <v>6926.04</v>
      </c>
    </row>
    <row r="81">
      <c r="A81" s="14" t="inlineStr">
        <is>
          <t>Price per guest with the event fee spread over the billable guests</t>
        </is>
      </c>
      <c r="B81" s="17">
        <f>$B$63/$B$44</f>
        <v>22.5</v>
      </c>
      <c r="C81" s="17">
        <f>$C$63/$C$44</f>
        <v>32.0</v>
      </c>
      <c r="D81" s="17">
        <f>$D$63/$D$44</f>
        <v>53.0</v>
      </c>
    </row>
    <row r="83">
      <c r="A83" s="3" t="inlineStr">
        <is>
          <t>WHAT EACH EXAMPLE SHOWS</t>
        </is>
      </c>
    </row>
    <row r="84" ht="62" customHeight="1">
      <c r="A84" s="15" t="inlineStr">
        <is>
          <t>Corporate drop-off, 30 guests</t>
        </is>
      </c>
      <c r="B84" s="2" t="inlineStr">
        <is>
          <t>Chicken &amp; seafood paella for an office, cooked at the commissary and delivered hot in its pan (20-guest minimum). It lands within 10% of the $22 drop-off line of the example mix in the Word plan (section 3).</t>
        </is>
      </c>
    </row>
    <row r="85" ht="62" customHeight="1">
      <c r="A85" s="15" t="inlineStr">
        <is>
          <t>Backyard paella party, 45 guests</t>
        </is>
      </c>
      <c r="B85" s="2" t="inlineStr">
        <is>
          <t>Seafood paella cooked live in two 36-in pans in a backyard, with salad and bread (20-guest minimum). Within 10% of the $34 backyard party line of the example mix in the Word plan, inside the $12-31 per person of live paella plus the paella chef that other operators charge separately (cafesevilla.com).</t>
        </is>
      </c>
    </row>
    <row r="86" ht="62" customHeight="1">
      <c r="A86" s="15" t="inlineStr">
        <is>
          <t>Wedding, 110 guests, tapas hour + full staff</t>
        </is>
      </c>
      <c r="B86" s="2" t="inlineStr">
        <is>
          <t>Wedding with a tapas hour, two paella chefs, a helper and five servers, dishes and flatware rented and passed through, and a 10% service charge; 50-guest minimum. The price per guest lands within 10% of the $52 wedding line of the example mix in the Word plan, inside the $44-65 of a full Spanish menu with staff (miamigrillcatering.com, zola.com).</t>
        </is>
      </c>
    </row>
  </sheetData>
  <sheetProtection selectLockedCells="0" selectUnlockedCells="0" sheet="1" objects="0" insertRows="1" insertHyperlinks="1" autoFilter="1" scenarios="0" formatColumns="1" deleteColumns="1" insertColumns="1" pivotTables="1" deleteRows="1" formatCells="1" formatRows="1" sort="1"/>
  <mergeCells count="4">
    <mergeCell ref="B86:D86"/>
    <mergeCell ref="B85:D85"/>
    <mergeCell ref="B84:D84"/>
    <mergeCell ref="A2:D2"/>
  </mergeCell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29"/>
  <sheetViews>
    <sheetView showGridLines="0" workbookViewId="0">
      <selection activeCell="A1" sqref="A1"/>
    </sheetView>
  </sheetViews>
  <sheetFormatPr baseColWidth="8" defaultRowHeight="15"/>
  <cols>
    <col width="110" customWidth="1" min="1" max="1"/>
  </cols>
  <sheetData>
    <row r="1">
      <c r="A1" s="27" t="inlineStr">
        <is>
          <t>HOW TO USE THE PAELLA CATERING PRICING CALCULATOR</t>
        </is>
      </c>
    </row>
    <row r="2" ht="30" customHeight="1">
      <c r="A2" s="2" t="inlineStr">
        <is>
          <t>This workbook turns guests into paella pans, rice, stock and propane, prices each guest and builds a full quote and the shopping list. You type only in the GREEN cells; the gross margin is calculated, never typed.</t>
        </is>
      </c>
    </row>
    <row r="3" ht="60" customHeight="1">
      <c r="A3" s="2" t="inlineStr">
        <is>
          <t>1. "Pricing Calculator": choose the package (drop-off paella, live paella party or full-service live paella), the menu style, the guests, your guest minimum and the pan size. The pan size sets the guests per pan (36 in (90 cm) = about 40, Kit estimate). The rice per guest is 3.25 oz (92 g) of uncooked bomba rice by default, inside the 3 to 3.5 oz (85-100 g) that serves a crowd.</t>
        </is>
      </c>
    </row>
    <row r="4" ht="60" customHeight="1">
      <c r="A4" s="2" t="inlineStr">
        <is>
          <t>2. "Paella Yield &amp; Pan Sizing": type your supplier prices for the rice and the ingredients of your styles (per lb; saffron per gram). They are blank on purpose: this kit does not guess 2026 seafood or saffron prices. While any ingredient of the chosen style has no price, the food cost uses the style estimate per guest (Kit: about $5 chicken &amp; chorizo, $8.50 seafood, $16.50 lobster) and the "Ingredient prices" row says so.</t>
        </is>
      </c>
    </row>
    <row r="5" ht="75" customHeight="1">
      <c r="A5" s="2" t="inlineStr">
        <is>
          <t>3. Back on the first tab, enter the tapas hour switch and its cost, salad and bread, disposables, propane, your staff (event day and commissary prep hours), rentals and mileage. Then the marketplace fee, your target margin, the service charge, the sales tax rate and the switch "Does your state tax the service charge?". The price per guest is the direct cost divided by (1 - target margin - marketplace fee) and by the billable guests, rounded up to the next 0.50; any event fee goes on top.</t>
        </is>
      </c>
    </row>
    <row r="6" ht="45" customHeight="1">
      <c r="A6" s="2" t="inlineStr">
        <is>
          <t>4. Deposit and cancellation: US caterers ask 25-50% to hold the date (the calculator uses 50%, a kit estimate) and four cancellation tiers with no gaps tell you what you keep. Put the same tiers in your contract, with a plan B for wind, rain or a venue that does not allow open flame.</t>
        </is>
      </c>
    </row>
    <row r="7" ht="45" customHeight="1">
      <c r="A7" s="2" t="inlineStr">
        <is>
          <t>5. "Paella Yield &amp; Pan Sizing": guests, rice, stock and propane per pan for 7 sizes, and the ingredients per guest, the Food Code minimum, the hot holding rule and the typical allergens of 8 menu styles. Replace the kit estimates with the numbers from your own test cooks.</t>
        </is>
      </c>
    </row>
    <row r="8" ht="45" customHeight="1">
      <c r="A8" s="2" t="inlineStr">
        <is>
          <t>6. "Shopping List by Guest Count": pans and burners, rice, stock, every ingredient of the style, saffron, lemons, bread, salad, aioli, propane and cylinders, plates, ice and coolers for the seafood, chafing dishes for the tapas hour and the suggested team, for your event and for 40, 80, 150 and 300 guests.</t>
        </is>
      </c>
    </row>
    <row r="9" ht="30" customHeight="1">
      <c r="A9" s="2" t="inlineStr">
        <is>
          <t>7. "3 Example Quotes": three complete quotes calculated with the same formulas. To move from these per-package prices to the average price per guest of the financial projections, weight each package price by its guests in the year.</t>
        </is>
      </c>
    </row>
    <row r="10">
      <c r="A10" s="15" t="inlineStr">
        <is>
          <t>FOOD SAFETY (FDA FOOD CODE 2022)</t>
        </is>
      </c>
    </row>
    <row r="12" ht="75" customHeight="1">
      <c r="A12" s="2" t="inlineStr">
        <is>
          <t>Cook to the minimum (3-401.11): chicken 165 °F (74 °C); fish and shellfish 145 °F (63 °C) for 15 seconds; raw Mexican-style chorizo 155 °F (68 °C) for 17 seconds (Spanish cured chorizo is ready to eat). Cooked rice needs time and temperature control: hold it at 135 °F (57 °C) or above (3-501.16) or use time as a public health control with a written procedure and discard it after 4 hours (3-501.19, if your county accepts it). Leftovers go in the trash. Keep the shellstock tags of mussels and clams for 90 days (3-203.12).</t>
        </is>
      </c>
    </row>
    <row r="13">
      <c r="A13" s="15" t="inlineStr">
        <is>
          <t>SERVICE CHARGE, GRATUITY AND SALES TAX (US)</t>
        </is>
      </c>
    </row>
    <row r="15" ht="45" customHeight="1">
      <c r="A15" s="2" t="inlineStr">
        <is>
          <t>A mandatory service charge is not a tip: the part you pay out to the staff is wages, with payroll taxes (IRS Rev. Rul. 2012-18), and the part you keep is revenue. A voluntary gratuity is the client's decision and belongs to the staff: this calculator keeps it out of the price and the total.</t>
        </is>
      </c>
    </row>
    <row r="16" ht="30" customHeight="1">
      <c r="A16" s="2" t="inlineStr">
        <is>
          <t>Sales tax: many states tax the whole catering invoice (food, staff, rentals and fees); whether the service charge is taxable depends on the state (California taxes a mandatory one: cdtfa.ca.gov). Set your rate and the switch.</t>
        </is>
      </c>
    </row>
    <row r="17">
      <c r="A17" s="15" t="inlineStr">
        <is>
          <t>COOKING AT THE EVENT AND PROPANE</t>
        </is>
      </c>
    </row>
    <row r="19" ht="60" customHeight="1">
      <c r="A19" s="2" t="inlineStr">
        <is>
          <t>Cooking the paella at the event is the product, but ask your county first whether your catering permit covers it (in California, limited food preparation is allowed at private catered events). Ask your fire marshal where the propane station can go: outdoors or under its own canopy, away from the guest tent, with an extinguisher. Sangria: without a liquor license, serve it alcohol-free or made with wine the client buys, with no markup.</t>
        </is>
      </c>
    </row>
    <row r="20" ht="16" customHeight="1">
      <c r="A20" s="2" t="inlineStr">
        <is>
          <t>UK: if you are VAT-registered, enter 0.20 as the tax rate: VAT applies to catering for events and functions.</t>
        </is>
      </c>
    </row>
    <row r="21">
      <c r="A21" s="15" t="inlineStr">
        <is>
          <t>KIT ESTIMATES</t>
        </is>
      </c>
    </row>
    <row r="23" ht="45" customHeight="1">
      <c r="A23" s="2" t="inlineStr">
        <is>
          <t>Every default value, the guests per pan, the propane per cook, the ingredients and food cost per guest of each style and the three example quotes are kit estimates for illustration, not market prices. Replace them with your own wages, supplier prices, test cooks and tax rate before you quote.</t>
        </is>
      </c>
    </row>
    <row r="25">
      <c r="A25" s="2" t="inlineStr">
        <is>
          <t>To edit a cell that is not green: Review → Unprotect Sheet (there is no password).</t>
        </is>
      </c>
    </row>
    <row r="26">
      <c r="A26" s="2" t="inlineStr">
        <is>
          <t>More templates and kits in the catalog at aichef.pro/en/digital-products</t>
        </is>
      </c>
    </row>
    <row r="27">
      <c r="A27" s="2" t="inlineStr">
        <is>
          <t>Designed by John Guerrero — chef and restaurant consultant since 2010, in the kitchen since age 17 · johnguerrero.es</t>
        </is>
      </c>
    </row>
    <row r="28">
      <c r="A28" s="2" t="inlineStr">
        <is>
          <t>Version 2.2 · October 2026 · aichef.pro/en/digital-products/paella-catering-business-plan · info@aichef.pro</t>
        </is>
      </c>
    </row>
    <row r="29">
      <c r="A29" s="28"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Paella Catering Pricing Calculator (Pans, Rice and Price per Guest to Quote) · Paella Catering Business Plan Kit</dc:title>
  <dc:description xmlns:dc="http://purl.org/dc/elements/1.1/">aichef.pro/en/digital-products/paella-catering-business-plan</dc:description>
  <dc:subject xmlns:dc="http://purl.org/dc/elements/1.1/">Paella Catering Business Plan Kit · v2.2</dc:subject>
  <dcterms:created xmlns:dcterms="http://purl.org/dc/terms/" xmlns:xsi="http://www.w3.org/2001/XMLSchema-instance" xsi:type="dcterms:W3CDTF">2026-10-24T14:28:19Z</dcterms:created>
  <dcterms:modified xmlns:dcterms="http://purl.org/dc/terms/" xmlns:xsi="http://www.w3.org/2001/XMLSchema-instance" xsi:type="dcterms:W3CDTF">2026-10-24T14:28:19Z</dcterms:modified>
  <cp:lastModifiedBy>AI Chef Pro</cp:lastModifiedBy>
  <cp:category>AI Chef Pro · Digital products</cp:category>
  <cp:keywords>paella catering business plan, paella business plan, how to start a paella catering business, spanish catering business plan, paella catering prices, paella party, AI Chef Pro</cp:keywords>
</cp:coreProperties>
</file>