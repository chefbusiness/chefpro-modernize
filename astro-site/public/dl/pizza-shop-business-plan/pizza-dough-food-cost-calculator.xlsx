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ugh" sheetId="1" state="visible" r:id="rId1"/>
    <sheet xmlns:r="http://schemas.openxmlformats.org/officeDocument/2006/relationships" name="Food Cost"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00;&quot;-&quot;"/>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35">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wrapText="1"/>
    </xf>
    <xf numFmtId="0" fontId="2" fillId="0" borderId="0" applyAlignment="1" pivotButton="0" quotePrefix="0" xfId="0">
      <alignment vertical="top"/>
    </xf>
    <xf numFmtId="3"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164" fontId="2" fillId="2" borderId="0" applyAlignment="1" pivotButton="0" quotePrefix="0" xfId="0">
      <alignment vertical="top"/>
    </xf>
    <xf numFmtId="165" fontId="2" fillId="3" borderId="0" applyAlignment="1" applyProtection="1" pivotButton="0" quotePrefix="0" xfId="0">
      <alignment vertical="top"/>
      <protection locked="0" hidden="0"/>
    </xf>
    <xf numFmtId="3" fontId="2" fillId="2" borderId="0" applyAlignment="1" pivotButton="0" quotePrefix="0" xfId="0">
      <alignment vertical="top"/>
    </xf>
    <xf numFmtId="4" fontId="2" fillId="3" borderId="0" applyAlignment="1" applyProtection="1" pivotButton="0" quotePrefix="0" xfId="0">
      <alignment vertical="top"/>
      <protection locked="0" hidden="0"/>
    </xf>
    <xf numFmtId="0" fontId="3" fillId="2" borderId="0" applyAlignment="1" pivotButton="0" quotePrefix="0" xfId="0">
      <alignment vertical="top"/>
    </xf>
    <xf numFmtId="0" fontId="4" fillId="2" borderId="0" applyAlignment="1" pivotButton="0" quotePrefix="0" xfId="0">
      <alignment vertical="top"/>
    </xf>
    <xf numFmtId="4" fontId="4" fillId="2" borderId="0" applyAlignment="1" pivotButton="0" quotePrefix="0" xfId="0">
      <alignment vertical="top"/>
    </xf>
    <xf numFmtId="0" fontId="3" fillId="0" borderId="0" applyAlignment="1" pivotButton="0" quotePrefix="0" xfId="0">
      <alignment vertical="top"/>
    </xf>
    <xf numFmtId="164" fontId="3" fillId="0" borderId="0" applyAlignment="1" pivotButton="0" quotePrefix="0" xfId="0">
      <alignment vertical="top"/>
    </xf>
    <xf numFmtId="164" fontId="2" fillId="0" borderId="0" applyAlignment="1" pivotButton="0" quotePrefix="0" xfId="0">
      <alignment vertical="top"/>
    </xf>
    <xf numFmtId="4" fontId="2" fillId="0" borderId="0" applyAlignment="1" pivotButton="0" quotePrefix="0" xfId="0">
      <alignment vertical="top"/>
    </xf>
    <xf numFmtId="165" fontId="2" fillId="0" borderId="0" applyAlignment="1" pivotButton="0" quotePrefix="0" xfId="0">
      <alignment vertical="top"/>
    </xf>
    <xf numFmtId="10" fontId="2" fillId="0" borderId="0" applyAlignment="1" pivotButton="0" quotePrefix="0" xfId="0">
      <alignment vertical="top"/>
    </xf>
    <xf numFmtId="166" fontId="3" fillId="0" borderId="0" applyAlignment="1" pivotButton="0" quotePrefix="0" xfId="0">
      <alignment vertical="top"/>
    </xf>
    <xf numFmtId="0" fontId="3" fillId="0" borderId="0" applyAlignment="1" pivotButton="0" quotePrefix="0" xfId="0">
      <alignment vertical="top" wrapText="1"/>
    </xf>
    <xf numFmtId="10" fontId="2" fillId="3" borderId="0" applyAlignment="1" applyProtection="1" pivotButton="0" quotePrefix="0" xfId="0">
      <alignment vertical="top"/>
      <protection locked="0" hidden="0"/>
    </xf>
    <xf numFmtId="0" fontId="2" fillId="3" borderId="0" applyAlignment="1" applyProtection="1" pivotButton="0" quotePrefix="0" xfId="0">
      <alignment vertical="top" wrapText="1"/>
      <protection locked="0" hidden="0"/>
    </xf>
    <xf numFmtId="3" fontId="4" fillId="2" borderId="0" applyAlignment="1" pivotButton="0" quotePrefix="0" xfId="0">
      <alignment vertical="top"/>
    </xf>
    <xf numFmtId="0" fontId="3" fillId="3" borderId="0" applyAlignment="1" applyProtection="1" pivotButton="0" quotePrefix="0" xfId="0">
      <alignment vertical="top" wrapText="1"/>
      <protection locked="0" hidden="0"/>
    </xf>
    <xf numFmtId="4" fontId="3" fillId="3" borderId="0" applyAlignment="1" applyProtection="1" pivotButton="0" quotePrefix="0" xfId="0">
      <alignment vertical="top"/>
      <protection locked="0" hidden="0"/>
    </xf>
    <xf numFmtId="0" fontId="2" fillId="3" borderId="0" applyAlignment="1" applyProtection="1" pivotButton="0" quotePrefix="0" xfId="0">
      <alignment vertical="top"/>
      <protection locked="0" hidden="0"/>
    </xf>
    <xf numFmtId="9" fontId="2" fillId="3" borderId="0" applyAlignment="1" applyProtection="1" pivotButton="0" quotePrefix="0" xfId="0">
      <alignment vertical="top"/>
      <protection locked="0" hidden="0"/>
    </xf>
    <xf numFmtId="167" fontId="2" fillId="3" borderId="0" applyAlignment="1" applyProtection="1" pivotButton="0" quotePrefix="0" xfId="0">
      <alignment vertical="top"/>
      <protection locked="0" hidden="0"/>
    </xf>
    <xf numFmtId="0" fontId="4" fillId="0" borderId="0" applyAlignment="1" pivotButton="0" quotePrefix="0" xfId="0">
      <alignment vertical="top"/>
    </xf>
    <xf numFmtId="166" fontId="2" fillId="0" borderId="0" applyAlignment="1" pivotButton="0" quotePrefix="0" xfId="0">
      <alignment vertical="top"/>
    </xf>
    <xf numFmtId="165" fontId="3"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3">
    <dxf>
      <fill>
        <patternFill patternType="solid">
          <fgColor rgb="00C6E0B4"/>
          <bgColor rgb="00C6E0B4"/>
        </patternFill>
      </fill>
    </dxf>
    <dxf>
      <fill>
        <patternFill patternType="solid">
          <fgColor rgb="00F8CBAD"/>
          <bgColor rgb="00F8CBAD"/>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56"/>
  <sheetViews>
    <sheetView showGridLines="0" workbookViewId="0">
      <selection activeCell="A1" sqref="A1"/>
    </sheetView>
  </sheetViews>
  <sheetFormatPr baseColWidth="8" defaultRowHeight="15"/>
  <cols>
    <col width="58" customWidth="1" min="1" max="1"/>
    <col width="17" customWidth="1" min="2" max="2"/>
    <col width="12" customWidth="1" min="3" max="3"/>
    <col width="12" customWidth="1" min="4" max="4"/>
    <col width="48" customWidth="1" min="5" max="5"/>
    <col width="30" customWidth="1" min="6" max="6"/>
  </cols>
  <sheetData>
    <row r="1">
      <c r="A1" s="1" t="inlineStr">
        <is>
          <t>PIZZA DOUGH CALCULATOR: TRADITIONAL NEAPOLITAN RATIOS AND BAKER'S %</t>
        </is>
      </c>
    </row>
    <row r="2" ht="32" customHeight="1">
      <c r="A2" s="2" t="inlineStr">
        <is>
          <t>Type only in the GREEN cells: everything else is calculated. Dough in grams (how bakers work), with a gray echo in ounces and pounds. Prices in $/lb. The ingredient prices are examples (Kit estimate, Oct 2026): replace them with your distributor's.</t>
        </is>
      </c>
    </row>
    <row r="3" ht="81" customHeight="1">
      <c r="A3" s="3" t="inlineStr">
        <is>
          <t>FIXED NOTICE. The traffic light on this sheet only tells you whether your flour, salt, yeast and dough ball weight fall inside the traditional Neapolitan ratios. It does NOT make your pizza "VPN-certified". In the United States no federal rule governs the term "Neapolitan-style", so you may write it on your menu; but "VPN-certified" is a private certification awarded by the AVPN after an inspection of your wood-fired dome oven, ingredients and method, and only a certified shop may use that seal. Meeting these ratios is not that certificate. Until you hold it, write "Neapolitan-style" and the name of the pizza (Margherita, Marinara...).</t>
        </is>
      </c>
    </row>
    <row r="5" ht="32" customHeight="1">
      <c r="A5" s="3" t="inlineStr">
        <is>
          <t>A. TRADITIONAL NEAPOLITAN RATIOS (EU TSG spec, also used by the AVPN), PER LITER OF WATER</t>
        </is>
      </c>
      <c r="B5" s="3" t="inlineStr">
        <is>
          <t>Value</t>
        </is>
      </c>
      <c r="C5" s="3" t="inlineStr">
        <is>
          <t>Trad. min.</t>
        </is>
      </c>
      <c r="D5" s="3" t="inlineStr">
        <is>
          <t>Trad. max.</t>
        </is>
      </c>
      <c r="E5" s="3" t="inlineStr">
        <is>
          <t>Notes</t>
        </is>
      </c>
    </row>
    <row r="6" ht="16" customHeight="1">
      <c r="A6" s="4" t="inlineStr">
        <is>
          <t>Number of dough balls you want to make</t>
        </is>
      </c>
      <c r="B6" s="5" t="n">
        <v>60</v>
      </c>
      <c r="E6" s="2" t="inlineStr">
        <is>
          <t>Whole number greater than 0. One dough ball, one pizza.</t>
        </is>
      </c>
    </row>
    <row r="7" ht="30" customHeight="1">
      <c r="A7" s="4" t="inlineStr">
        <is>
          <t>Dough ball weight (g)</t>
        </is>
      </c>
      <c r="B7" s="6" t="n">
        <v>250</v>
      </c>
      <c r="C7" s="7" t="n">
        <v>180</v>
      </c>
      <c r="D7" s="7" t="n">
        <v>250</v>
      </c>
      <c r="E7" s="2" t="inlineStr">
        <is>
          <t>The traditional Neapolitan ratios call for hand-shaped dough balls of 180 to 250 g. Gray cells show the traditional range.</t>
        </is>
      </c>
    </row>
    <row r="8" ht="30" customHeight="1">
      <c r="A8" s="4" t="inlineStr">
        <is>
          <t>Mixing and balling loss (%)</t>
        </is>
      </c>
      <c r="B8" s="8" t="n">
        <v>0.03</v>
      </c>
      <c r="E8" s="2" t="inlineStr">
        <is>
          <t>Kit estimate: dough left in the mixer, on the bench and on your hands. It is added to the dough you need.</t>
        </is>
      </c>
    </row>
    <row r="9" ht="45" customHeight="1">
      <c r="A9" s="4" t="inlineStr">
        <is>
          <t>Flour per liter of water (g)</t>
        </is>
      </c>
      <c r="B9" s="6" t="n">
        <v>1800</v>
      </c>
      <c r="C9" s="7" t="n">
        <v>1600</v>
      </c>
      <c r="D9" s="7" t="n">
        <v>1800</v>
      </c>
      <c r="E9" s="2" t="inlineStr">
        <is>
          <t>Traditional ratios: up to 1,800 g of flour per liter of water (the "kneading point"). The 1,600 g minimum gives a 62 % absorption (kit calculation over the traditional 55-62 % range).</t>
        </is>
      </c>
    </row>
    <row r="10" ht="16" customHeight="1">
      <c r="A10" s="4" t="inlineStr">
        <is>
          <t>Salt per liter of water (g)</t>
        </is>
      </c>
      <c r="B10" s="6" t="n">
        <v>52.5</v>
      </c>
      <c r="C10" s="7" t="n">
        <v>50</v>
      </c>
      <c r="D10" s="7" t="n">
        <v>55</v>
      </c>
      <c r="E10" s="2" t="inlineStr">
        <is>
          <t>Traditional ratios: 50 to 55 g of salt per liter of water.</t>
        </is>
      </c>
    </row>
    <row r="11" ht="16" customHeight="1">
      <c r="A11" s="4" t="inlineStr">
        <is>
          <t>Fresh brewer's yeast per liter of water (g)</t>
        </is>
      </c>
      <c r="B11" s="6" t="n">
        <v>3</v>
      </c>
      <c r="C11" s="7" t="n">
        <v>3</v>
      </c>
      <c r="D11" s="7" t="n">
        <v>3</v>
      </c>
      <c r="E11" s="2" t="inlineStr">
        <is>
          <t>Traditional ratios: 3 g per liter of water.</t>
        </is>
      </c>
    </row>
    <row r="12" ht="16" customHeight="1">
      <c r="A12" s="4" t="inlineStr">
        <is>
          <t>Water per liter (g)</t>
        </is>
      </c>
      <c r="B12" s="7" t="n">
        <v>1000</v>
      </c>
      <c r="E12" s="2" t="inlineStr">
        <is>
          <t>Constant: one liter of water weighs 1,000 g. Not editable.</t>
        </is>
      </c>
    </row>
    <row r="13" ht="16" customHeight="1">
      <c r="A13" s="4" t="inlineStr">
        <is>
          <t>Grams per lb (constant: 453.6 g per lb)</t>
        </is>
      </c>
      <c r="B13" s="7" t="n">
        <v>453.6</v>
      </c>
      <c r="E13" s="2" t="inlineStr">
        <is>
          <t>Constant: 1 lb = 453.6 g. Not editable. It converts the $/lb prices to grams.</t>
        </is>
      </c>
    </row>
    <row r="14" ht="30" customHeight="1">
      <c r="A14" s="4" t="inlineStr">
        <is>
          <t>Ounces per lb (constant: 16 oz per lb)</t>
        </is>
      </c>
      <c r="B14" s="9" t="n">
        <v>16</v>
      </c>
      <c r="E14" s="2" t="inlineStr">
        <is>
          <t>Constant: 1 lb = 16 oz. Not editable. The "Food Cost" sheet uses it for the pizza portions.</t>
        </is>
      </c>
    </row>
    <row r="15" ht="30" customHeight="1">
      <c r="A15" s="4" t="inlineStr">
        <is>
          <t>00 flour price ($/lb)</t>
        </is>
      </c>
      <c r="B15" s="10" t="n">
        <v>1.1</v>
      </c>
      <c r="E15" s="2" t="inlineStr">
        <is>
          <t>Kit estimate (Oct 2026): 00 pizza flour in 50 lb bags. Replace with your distributor's price.</t>
        </is>
      </c>
    </row>
    <row r="16" ht="16" customHeight="1">
      <c r="A16" s="4" t="inlineStr">
        <is>
          <t>Salt price ($/lb)</t>
        </is>
      </c>
      <c r="B16" s="10" t="n">
        <v>0.6</v>
      </c>
      <c r="E16" s="2" t="inlineStr">
        <is>
          <t>Kit estimate (Oct 2026): replace with your distributor's price.</t>
        </is>
      </c>
    </row>
    <row r="17" ht="16" customHeight="1">
      <c r="A17" s="4" t="inlineStr">
        <is>
          <t>Fresh yeast price ($/lb)</t>
        </is>
      </c>
      <c r="B17" s="10" t="n">
        <v>4.5</v>
      </c>
      <c r="E17" s="2" t="inlineStr">
        <is>
          <t>Kit estimate (Oct 2026): replace with your distributor's price.</t>
        </is>
      </c>
    </row>
    <row r="19">
      <c r="A19" s="11" t="inlineStr">
        <is>
          <t>RESULT OF BLOCK A</t>
        </is>
      </c>
      <c r="B19" s="11" t="inlineStr">
        <is>
          <t>Value</t>
        </is>
      </c>
      <c r="E19" s="11" t="inlineStr">
        <is>
          <t>Notes</t>
        </is>
      </c>
    </row>
    <row r="20" ht="16" customHeight="1">
      <c r="A20" s="12" t="inlineStr">
        <is>
          <t>Dough ball weight (oz, echo of the ball weight above)</t>
        </is>
      </c>
      <c r="B20" s="13">
        <f>$B$7*$B$14/$B$13</f>
        <v>8.818342151675484</v>
      </c>
      <c r="E20" s="2" t="inlineStr">
        <is>
          <t>Gray echo of the green cell in ounces: grams × 16 ÷ 453.6.</t>
        </is>
      </c>
    </row>
    <row r="21" ht="16" customHeight="1">
      <c r="A21" s="14" t="inlineStr">
        <is>
          <t>Total dough to prepare (g)</t>
        </is>
      </c>
      <c r="B21" s="15">
        <f>$B$6*$B$7*(1+$B$8)</f>
        <v>15450.0</v>
      </c>
      <c r="E21" s="2" t="inlineStr">
        <is>
          <t>Dough balls × weight × (1 + loss).</t>
        </is>
      </c>
    </row>
    <row r="22" ht="16" customHeight="1">
      <c r="A22" s="12" t="inlineStr">
        <is>
          <t>Total dough to prepare (lb, echo)</t>
        </is>
      </c>
      <c r="B22" s="13">
        <f>$B$21/$B$13</f>
        <v>34.06084656084656</v>
      </c>
      <c r="E22" s="2" t="inlineStr">
        <is>
          <t>Gray echo in pounds.</t>
        </is>
      </c>
    </row>
    <row r="23" ht="16" customHeight="1">
      <c r="A23" s="4" t="inlineStr">
        <is>
          <t>Dough that comes out of each liter of water (g)</t>
        </is>
      </c>
      <c r="B23" s="16">
        <f>$B$12+$B$9+$B$10+$B$11</f>
        <v>2855.5</v>
      </c>
      <c r="E23" s="2" t="inlineStr">
        <is>
          <t>Water + flour + salt + yeast per liter.</t>
        </is>
      </c>
    </row>
    <row r="24" ht="16" customHeight="1">
      <c r="A24" s="4" t="inlineStr">
        <is>
          <t>Liters of water you need</t>
        </is>
      </c>
      <c r="B24" s="17">
        <f>$B$21/$B$23</f>
        <v>5.410611101383296</v>
      </c>
      <c r="E24" s="2" t="inlineStr">
        <is>
          <t>Total dough ÷ dough per liter.</t>
        </is>
      </c>
    </row>
    <row r="25">
      <c r="A25" s="4" t="inlineStr">
        <is>
          <t>Water (g)</t>
        </is>
      </c>
      <c r="B25" s="16">
        <f>$B$24*$B$12</f>
        <v>5410.611101383296</v>
      </c>
    </row>
    <row r="26">
      <c r="A26" s="4" t="inlineStr">
        <is>
          <t>Flour (g)</t>
        </is>
      </c>
      <c r="B26" s="16">
        <f>$B$24*$B$9</f>
        <v>9739.099982489932</v>
      </c>
    </row>
    <row r="27" ht="16" customHeight="1">
      <c r="A27" s="12" t="inlineStr">
        <is>
          <t>Flour (lb, echo)</t>
        </is>
      </c>
      <c r="B27" s="13">
        <f>$B$26/$B$13</f>
        <v>21.470678973743233</v>
      </c>
      <c r="E27" s="2" t="inlineStr">
        <is>
          <t>Gray echo in pounds: compare it with your 50 lb bags.</t>
        </is>
      </c>
    </row>
    <row r="28">
      <c r="A28" s="4" t="inlineStr">
        <is>
          <t>Salt (g)</t>
        </is>
      </c>
      <c r="B28" s="16">
        <f>$B$24*$B$10</f>
        <v>284.05708282262304</v>
      </c>
    </row>
    <row r="29">
      <c r="A29" s="4" t="inlineStr">
        <is>
          <t>Fresh yeast (g)</t>
        </is>
      </c>
      <c r="B29" s="16">
        <f>$B$24*$B$11</f>
        <v>16.231833304149887</v>
      </c>
    </row>
    <row r="30" ht="16" customHeight="1">
      <c r="A30" s="4" t="inlineStr">
        <is>
          <t>Baker's %: hydration (water ÷ flour)</t>
        </is>
      </c>
      <c r="B30" s="18">
        <f>$B$25/$B$26</f>
        <v>0.5555555555555556</v>
      </c>
      <c r="E30" s="2" t="inlineStr">
        <is>
          <t>To carry it over to block B.</t>
        </is>
      </c>
    </row>
    <row r="31">
      <c r="A31" s="4" t="inlineStr">
        <is>
          <t>Baker's %: salt (salt ÷ flour)</t>
        </is>
      </c>
      <c r="B31" s="19">
        <f>$B$28/$B$26</f>
        <v>0.02916666666666667</v>
      </c>
    </row>
    <row r="32">
      <c r="A32" s="4" t="inlineStr">
        <is>
          <t>Baker's %: yeast (yeast ÷ flour)</t>
        </is>
      </c>
      <c r="B32" s="19">
        <f>$B$29/$B$26</f>
        <v>0.0016666666666666668</v>
      </c>
    </row>
    <row r="33">
      <c r="A33" s="4" t="inlineStr">
        <is>
          <t>Flour per dough ball (g)</t>
        </is>
      </c>
      <c r="B33" s="16">
        <f>$B$26/$B$6</f>
        <v>162.31833304149887</v>
      </c>
    </row>
    <row r="34" ht="16" customHeight="1">
      <c r="A34" s="4" t="inlineStr">
        <is>
          <t>Dough balls that come out of 1 lb of flour</t>
        </is>
      </c>
      <c r="B34" s="16">
        <f>$B$6*$B$13/$B$26</f>
        <v>2.794508737864078</v>
      </c>
      <c r="E34" s="2" t="inlineStr">
        <is>
          <t>With the traditional ratios, about 2.8 balls of 250 g per lb of flour.</t>
        </is>
      </c>
    </row>
    <row r="35" ht="16" customHeight="1">
      <c r="A35" s="4" t="inlineStr">
        <is>
          <t>Dough cost ($)</t>
        </is>
      </c>
      <c r="B35" s="17">
        <f>($B$26*$B$15+$B$28*$B$16+$B$29*$B$17)/$B$13</f>
        <v>24.15451384546114</v>
      </c>
      <c r="E35" s="2" t="inlineStr">
        <is>
          <t>Sum of grams × $/lb ÷ 453.6, loss included.</t>
        </is>
      </c>
    </row>
    <row r="36">
      <c r="A36" s="14" t="inlineStr">
        <is>
          <t>Dough cost per ball ($)</t>
        </is>
      </c>
      <c r="B36" s="20">
        <f>$B$35/$B$6</f>
        <v>0.40257523075768564</v>
      </c>
    </row>
    <row r="37" ht="48" customHeight="1">
      <c r="A37" s="14" t="inlineStr">
        <is>
          <t>Traditional ratios traffic light</t>
        </is>
      </c>
      <c r="B37" s="21" t="str">
        <f>IF(AND($B$9&gt;=$C$9,$B$9&lt;=$D$9,$B$10&gt;=$C$10,$B$10&lt;=$D$10,$B$7&gt;=$C$7,$B$7&lt;=$D$7),"Within the traditional ratios","Outside the traditional ratios")</f>
        <v>Within the traditional ratios</v>
      </c>
      <c r="E37" s="2" t="inlineStr">
        <is>
          <t>It looks at flour and salt per liter and at the ball weight. Mind the fixed notice above: it is not a seal.</t>
        </is>
      </c>
    </row>
    <row r="39">
      <c r="A39" s="11" t="inlineStr">
        <is>
          <t>B. BY BAKER'S % (over the flour)</t>
        </is>
      </c>
      <c r="B39" s="11" t="inlineStr">
        <is>
          <t>Value</t>
        </is>
      </c>
      <c r="E39" s="11" t="inlineStr">
        <is>
          <t>Notes</t>
        </is>
      </c>
    </row>
    <row r="40" ht="30" customHeight="1">
      <c r="A40" s="4" t="inlineStr">
        <is>
          <t>Hydration (water over flour, %)</t>
        </is>
      </c>
      <c r="B40" s="8" t="n">
        <v>0.6</v>
      </c>
      <c r="E40" s="2" t="inlineStr">
        <is>
          <t>The traditional ratios leave 55 to 62 % depending on the flour absorption. 60 % is a kit example.</t>
        </is>
      </c>
    </row>
    <row r="41" ht="16" customHeight="1">
      <c r="A41" s="4" t="inlineStr">
        <is>
          <t>Salt (over flour, %)</t>
        </is>
      </c>
      <c r="B41" s="22" t="n">
        <v>0.028</v>
      </c>
      <c r="E41" s="2" t="inlineStr">
        <is>
          <t>Traditional ratios: 2.8 to 3.1 % over the flour (50-55 g per liter of water).</t>
        </is>
      </c>
    </row>
    <row r="42" ht="30" customHeight="1">
      <c r="A42" s="4" t="inlineStr">
        <is>
          <t>Fresh yeast (over flour, %)</t>
        </is>
      </c>
      <c r="B42" s="22" t="n">
        <v>0.002</v>
      </c>
      <c r="E42" s="2" t="inlineStr">
        <is>
          <t>Traditional ratios: about 0.17 % over the flour (3 g per liter of water). 0.2 % is a kit example.</t>
        </is>
      </c>
    </row>
    <row r="44">
      <c r="A44" s="11" t="inlineStr">
        <is>
          <t>RESULT OF BLOCK B (same total dough as block A)</t>
        </is>
      </c>
      <c r="B44" s="11" t="inlineStr">
        <is>
          <t>Value</t>
        </is>
      </c>
      <c r="E44" s="11" t="inlineStr">
        <is>
          <t>Notes</t>
        </is>
      </c>
    </row>
    <row r="45" ht="16" customHeight="1">
      <c r="A45" s="4" t="inlineStr">
        <is>
          <t>Flour (g)</t>
        </is>
      </c>
      <c r="B45" s="16">
        <f>$B$21/(1+$B$40+$B$41+$B$42)</f>
        <v>9478.527607361963</v>
      </c>
      <c r="E45" s="2" t="inlineStr">
        <is>
          <t>Dough ÷ (1 + hydration + salt + yeast), as decimals.</t>
        </is>
      </c>
    </row>
    <row r="46" ht="16" customHeight="1">
      <c r="A46" s="12" t="inlineStr">
        <is>
          <t>Flour (lb, echo)</t>
        </is>
      </c>
      <c r="B46" s="13">
        <f>$B$45/$B$13</f>
        <v>20.896224883954943</v>
      </c>
      <c r="E46" s="2" t="inlineStr">
        <is>
          <t>Gray echo in pounds.</t>
        </is>
      </c>
    </row>
    <row r="47">
      <c r="A47" s="4" t="inlineStr">
        <is>
          <t>Water (g)</t>
        </is>
      </c>
      <c r="B47" s="16">
        <f>$B$45*$B$40</f>
        <v>5687.116564417177</v>
      </c>
    </row>
    <row r="48">
      <c r="A48" s="4" t="inlineStr">
        <is>
          <t>Salt (g)</t>
        </is>
      </c>
      <c r="B48" s="16">
        <f>$B$45*$B$41</f>
        <v>265.39877300613495</v>
      </c>
    </row>
    <row r="49">
      <c r="A49" s="4" t="inlineStr">
        <is>
          <t>Fresh yeast (g)</t>
        </is>
      </c>
      <c r="B49" s="16">
        <f>$B$45*$B$42</f>
        <v>18.957055214723926</v>
      </c>
    </row>
    <row r="50" ht="16" customHeight="1">
      <c r="A50" s="4" t="inlineStr">
        <is>
          <t>Dough cost ($)</t>
        </is>
      </c>
      <c r="B50" s="17">
        <f>($B$45*$B$15+$B$48*$B$16+$B$49*$B$17)/$B$13</f>
        <v>23.524969974356477</v>
      </c>
      <c r="E50" s="2" t="inlineStr">
        <is>
          <t>Same $/lb as block A.</t>
        </is>
      </c>
    </row>
    <row r="51">
      <c r="A51" s="14" t="inlineStr">
        <is>
          <t>Dough cost per ball ($)</t>
        </is>
      </c>
      <c r="B51" s="20">
        <f>$B$50/$B$6</f>
        <v>0.39208283290594126</v>
      </c>
    </row>
    <row r="52">
      <c r="A52" s="4" t="inlineStr">
        <is>
          <t>Dough balls that come out of 1 lb of flour</t>
        </is>
      </c>
      <c r="B52" s="16">
        <f>$B$6*$B$13/$B$45</f>
        <v>2.8713320388349515</v>
      </c>
    </row>
    <row r="54">
      <c r="A54" s="11" t="inlineStr">
        <is>
          <t>DOUGH COST USED BY THE FOOD COST SHEET</t>
        </is>
      </c>
      <c r="B54" s="11" t="inlineStr">
        <is>
          <t>Value</t>
        </is>
      </c>
      <c r="E54" s="11" t="inlineStr">
        <is>
          <t>Notes</t>
        </is>
      </c>
    </row>
    <row r="55" ht="30" customHeight="1">
      <c r="A55" s="4" t="inlineStr">
        <is>
          <t>Block that feeds the Food Cost sheet</t>
        </is>
      </c>
      <c r="B55" s="23" t="inlineStr">
        <is>
          <t>Traditional ratios (block A)</t>
        </is>
      </c>
      <c r="E55" s="2" t="inlineStr">
        <is>
          <t>Choose which dough cost per ball the "Food Cost" sheet uses: the one from the traditional ratios (A) or the one from your own percentages (B).</t>
        </is>
      </c>
    </row>
    <row r="56">
      <c r="A56" s="14" t="inlineStr">
        <is>
          <t>Dough cost per ball for the Food Cost sheet ($)</t>
        </is>
      </c>
      <c r="B56" s="20">
        <f>IF($B$55="Traditional ratios (block A)",$B$36,$B$51)</f>
        <v>0.40257523075768564</v>
      </c>
    </row>
  </sheetData>
  <sheetProtection selectLockedCells="0" selectUnlockedCells="0" sheet="1" objects="0" insertRows="1" insertHyperlinks="1" autoFilter="1" scenarios="0" formatColumns="1" deleteColumns="1" insertColumns="1" pivotTables="1" deleteRows="1" formatCells="1" formatRows="1" sort="1"/>
  <mergeCells count="31">
    <mergeCell ref="E12:F12"/>
    <mergeCell ref="E50:F50"/>
    <mergeCell ref="E55:F55"/>
    <mergeCell ref="E24:F24"/>
    <mergeCell ref="E42:F42"/>
    <mergeCell ref="E23:F23"/>
    <mergeCell ref="E14:F14"/>
    <mergeCell ref="A3:F3"/>
    <mergeCell ref="E17:F17"/>
    <mergeCell ref="E8:F8"/>
    <mergeCell ref="A2:F2"/>
    <mergeCell ref="E35:F35"/>
    <mergeCell ref="E20:F20"/>
    <mergeCell ref="E10:F10"/>
    <mergeCell ref="E13:F13"/>
    <mergeCell ref="E40:F40"/>
    <mergeCell ref="E9:F9"/>
    <mergeCell ref="E34:F34"/>
    <mergeCell ref="E6:F6"/>
    <mergeCell ref="E30:F30"/>
    <mergeCell ref="E15:F15"/>
    <mergeCell ref="E46:F46"/>
    <mergeCell ref="E11:F11"/>
    <mergeCell ref="E27:F27"/>
    <mergeCell ref="E45:F45"/>
    <mergeCell ref="E16:F16"/>
    <mergeCell ref="E7:F7"/>
    <mergeCell ref="E41:F41"/>
    <mergeCell ref="E37:F37"/>
    <mergeCell ref="E22:F22"/>
    <mergeCell ref="E21:F21"/>
  </mergeCells>
  <conditionalFormatting sqref="B37">
    <cfRule type="expression" priority="1" dxfId="0">
      <formula>$B$37="Within the traditional ratios"</formula>
    </cfRule>
    <cfRule type="expression" priority="2" dxfId="1">
      <formula>$B$37="Outside the traditional ratios"</formula>
    </cfRule>
  </conditionalFormatting>
  <dataValidations count="5">
    <dataValidation sqref="B6" showDropDown="0" showInputMessage="0" showErrorMessage="1" allowBlank="0" errorTitle="Invalid number" error="Enter a whole number of 1 or more." type="whole" operator="between">
      <formula1>1</formula1>
      <formula2>100000</formula2>
    </dataValidation>
    <dataValidation sqref="B7 B9 B10 B11 B15 B16 B17" showDropDown="0" showInputMessage="0" showErrorMessage="1" allowBlank="0" errorTitle="Invalid value" error="Enter a number greater than 0." type="decimal" operator="greaterThan">
      <formula1>0</formula1>
    </dataValidation>
    <dataValidation sqref="B8 B41 B42" showDropDown="0" showInputMessage="0" showErrorMessage="1" allowBlank="0" errorTitle="Invalid percentage" error="Enter a percentage between 0 and 1 (0.03 = 3 %)." type="decimal" operator="between">
      <formula1>0</formula1>
      <formula2>1</formula2>
    </dataValidation>
    <dataValidation sqref="B40" showDropDown="0" showInputMessage="0" showErrorMessage="1" allowBlank="0" errorTitle="Invalid hydration" error="Enter a percentage between 0 and 200 % (0.6 = 60 %)." type="decimal" operator="between">
      <formula1>0</formula1>
      <formula2>2</formula2>
    </dataValidation>
    <dataValidation sqref="B55" showDropDown="0" showInputMessage="0" showErrorMessage="1" allowBlank="0" errorTitle="Invalid option" error="Choose an option from the list." type="list">
      <formula1>"Traditional ratios (block A),Baker's % (block B)"</formula1>
    </dataValidation>
  </dataValidations>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M49"/>
  <sheetViews>
    <sheetView showGridLines="0" workbookViewId="0">
      <selection activeCell="A1" sqref="A1"/>
    </sheetView>
  </sheetViews>
  <sheetFormatPr baseColWidth="8" defaultRowHeight="15"/>
  <cols>
    <col width="42" customWidth="1" min="1" max="1"/>
    <col width="13" customWidth="1" min="2" max="2"/>
    <col width="10" customWidth="1" min="3" max="3"/>
    <col width="13"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62" customWidth="1" min="13" max="13"/>
  </cols>
  <sheetData>
    <row r="1">
      <c r="A1" s="1" t="inlineStr">
        <is>
          <t>FOOD COST PER PIZZA: 8 EXAMPLE PIZZAS, PORTIONS IN OUNCES</t>
        </is>
      </c>
    </row>
    <row r="2" ht="32" customHeight="1">
      <c r="A2" s="2" t="inlineStr">
        <is>
          <t>Type only in the GREEN cells (ingredients, prices, waste, ounces, names and menu prices). Prices are $/lb before sales tax; portions are in ounces. The prices are examples (Kit estimate, Oct 2026): use your distributor's. The sample menu says "Neapolitan-style" and uses the recipe names, not a "VPN-certified" claim (see the notice on the "Dough" sheet).</t>
        </is>
      </c>
    </row>
    <row r="4">
      <c r="A4" s="11" t="inlineStr">
        <is>
          <t>GENERAL DATA</t>
        </is>
      </c>
      <c r="B4" s="11" t="inlineStr">
        <is>
          <t>Value</t>
        </is>
      </c>
      <c r="E4" s="11" t="inlineStr">
        <is>
          <t>Notes</t>
        </is>
      </c>
    </row>
    <row r="5" ht="30" customHeight="1">
      <c r="A5" s="4" t="inlineStr">
        <is>
          <t>Sales tax included in your menu prices (%)</t>
        </is>
      </c>
      <c r="B5" s="8" t="n">
        <v>0</v>
      </c>
      <c r="E5" s="2" t="inlineStr">
        <is>
          <t>Leave 0 % if your menu prices are quoted before sales tax (the usual way in the US: the guest pays tax on top). If your prices already include tax, enter the rate so the food cost is calculated on the price net of tax.</t>
        </is>
      </c>
    </row>
    <row r="6" ht="16" customHeight="1">
      <c r="A6" s="4" t="inlineStr">
        <is>
          <t>Target food cost (% of the pre-tax menu price)</t>
        </is>
      </c>
      <c r="B6" s="8" t="n">
        <v>0.26</v>
      </c>
      <c r="E6" s="2" t="inlineStr">
        <is>
          <t>Industry reference for pizza shops: 25-30 %. The kit's business plan uses 26 %. Use the one in your financial plan.</t>
        </is>
      </c>
    </row>
    <row r="7" ht="16" customHeight="1">
      <c r="A7" s="4" t="inlineStr">
        <is>
          <t>Watch margin above the target (points)</t>
        </is>
      </c>
      <c r="B7" s="8" t="n">
        <v>0.05</v>
      </c>
      <c r="E7" s="2" t="inlineStr">
        <is>
          <t>Up to this margin above the target, the traffic light says "Watch the cost"; beyond it, "Above target".</t>
        </is>
      </c>
    </row>
    <row r="8" ht="16" customHeight="1">
      <c r="A8" s="4" t="inlineStr">
        <is>
          <t>Cost of the take-out box ($)</t>
        </is>
      </c>
      <c r="B8" s="10" t="n">
        <v>0.75</v>
      </c>
      <c r="E8" s="2" t="inlineStr">
        <is>
          <t>Kit estimate (Oct 2026): replace with your distributor's price.</t>
        </is>
      </c>
    </row>
    <row r="9" ht="16" customHeight="1">
      <c r="A9" s="12" t="inlineStr">
        <is>
          <t>Ounces per lb (constant: 16 oz per lb)</t>
        </is>
      </c>
      <c r="B9" s="24">
        <f>'Dough'!$B$14</f>
        <v>16.0</v>
      </c>
      <c r="E9" s="2" t="inlineStr">
        <is>
          <t>Constant, linked to the "Dough" sheet. Not editable. It converts the $/lb prices to the ounce portions.</t>
        </is>
      </c>
    </row>
    <row r="10" ht="16" customHeight="1">
      <c r="A10" s="14" t="inlineStr">
        <is>
          <t>Dough cost per ball (from the "Dough" sheet) ($)</t>
        </is>
      </c>
      <c r="B10" s="20">
        <f>'Dough'!$B$56</f>
        <v>0.40257523075768564</v>
      </c>
      <c r="E10" s="2" t="inlineStr">
        <is>
          <t>Calculated on the "Dough" sheet (block A or B, as you choose there).</t>
        </is>
      </c>
    </row>
    <row r="12" ht="32" customHeight="1">
      <c r="A12" s="3" t="inlineStr">
        <is>
          <t>INGREDIENT (portions in oz)</t>
        </is>
      </c>
      <c r="B12" s="3" t="inlineStr">
        <is>
          <t>$/lb before tax</t>
        </is>
      </c>
      <c r="C12" s="3" t="inlineStr">
        <is>
          <t>Waste</t>
        </is>
      </c>
      <c r="D12" s="3" t="inlineStr">
        <is>
          <t>Net $/lb</t>
        </is>
      </c>
      <c r="E12" s="25" t="inlineStr">
        <is>
          <t>Margherita</t>
        </is>
      </c>
      <c r="F12" s="25" t="inlineStr">
        <is>
          <t>Marinara</t>
        </is>
      </c>
      <c r="G12" s="25" t="inlineStr">
        <is>
          <t>Diavola</t>
        </is>
      </c>
      <c r="H12" s="25" t="inlineStr">
        <is>
          <t>Capricciosa</t>
        </is>
      </c>
      <c r="I12" s="25" t="inlineStr">
        <is>
          <t>Quattro Formaggi</t>
        </is>
      </c>
      <c r="J12" s="25" t="inlineStr">
        <is>
          <t>Ham &amp; Mushroom</t>
        </is>
      </c>
      <c r="K12" s="25" t="inlineStr">
        <is>
          <t>Bufalina</t>
        </is>
      </c>
      <c r="L12" s="25" t="inlineStr">
        <is>
          <t>Sausage &amp; Broccoli Rabe</t>
        </is>
      </c>
      <c r="M12" s="3" t="inlineStr">
        <is>
          <t>ORIGIN OF THE EXAMPLE PRICE</t>
        </is>
      </c>
    </row>
    <row r="13">
      <c r="A13" s="14" t="inlineStr">
        <is>
          <t>Menu price ($)</t>
        </is>
      </c>
      <c r="E13" s="26" t="n">
        <v>18</v>
      </c>
      <c r="F13" s="26" t="n">
        <v>15</v>
      </c>
      <c r="G13" s="26" t="n">
        <v>20</v>
      </c>
      <c r="H13" s="26" t="n">
        <v>21</v>
      </c>
      <c r="I13" s="26" t="n">
        <v>21</v>
      </c>
      <c r="J13" s="26" t="n">
        <v>20</v>
      </c>
      <c r="K13" s="26" t="n">
        <v>23</v>
      </c>
      <c r="L13" s="26" t="n">
        <v>22</v>
      </c>
    </row>
    <row r="14">
      <c r="A14" s="27" t="inlineStr">
        <is>
          <t>San Marzano-style crushed tomatoes</t>
        </is>
      </c>
      <c r="B14" s="10" t="n">
        <v>2.5</v>
      </c>
      <c r="C14" s="28" t="n">
        <v>0</v>
      </c>
      <c r="D14" s="17">
        <f>B14/(1-C14)</f>
        <v>2.5</v>
      </c>
      <c r="E14" s="29" t="n">
        <v>3</v>
      </c>
      <c r="F14" s="29" t="n">
        <v>4</v>
      </c>
      <c r="G14" s="29" t="n">
        <v>3</v>
      </c>
      <c r="H14" s="29" t="n">
        <v>3</v>
      </c>
      <c r="I14" s="29" t="n">
        <v>0</v>
      </c>
      <c r="J14" s="29" t="n">
        <v>3</v>
      </c>
      <c r="K14" s="29" t="n">
        <v>2</v>
      </c>
      <c r="L14" s="29" t="n">
        <v>0</v>
      </c>
      <c r="M14" s="30" t="inlineStr">
        <is>
          <t>Kit estimate (Oct 2026): replace with your distributor's price</t>
        </is>
      </c>
    </row>
    <row r="15">
      <c r="A15" s="27" t="inlineStr">
        <is>
          <t>Fior di latte (fresh mozzarella)</t>
        </is>
      </c>
      <c r="B15" s="10" t="n">
        <v>7</v>
      </c>
      <c r="C15" s="28" t="n">
        <v>0.03</v>
      </c>
      <c r="D15" s="17">
        <f>B15/(1-C15)</f>
        <v>7.216494845360825</v>
      </c>
      <c r="E15" s="29" t="n">
        <v>4</v>
      </c>
      <c r="F15" s="29" t="n">
        <v>0</v>
      </c>
      <c r="G15" s="29" t="n">
        <v>3.5</v>
      </c>
      <c r="H15" s="29" t="n">
        <v>3</v>
      </c>
      <c r="I15" s="29" t="n">
        <v>2.25</v>
      </c>
      <c r="J15" s="29" t="n">
        <v>3.5</v>
      </c>
      <c r="K15" s="29" t="n">
        <v>0</v>
      </c>
      <c r="L15" s="29" t="n">
        <v>0</v>
      </c>
      <c r="M15" s="30" t="inlineStr">
        <is>
          <t>Kit estimate (Oct 2026): replace with your distributor's price</t>
        </is>
      </c>
    </row>
    <row r="16">
      <c r="A16" s="27" t="inlineStr">
        <is>
          <t>Mozzarella di bufala</t>
        </is>
      </c>
      <c r="B16" s="10" t="n">
        <v>14</v>
      </c>
      <c r="C16" s="28" t="n">
        <v>0.03</v>
      </c>
      <c r="D16" s="17">
        <f>B16/(1-C16)</f>
        <v>14.43298969072165</v>
      </c>
      <c r="E16" s="29" t="n">
        <v>0</v>
      </c>
      <c r="F16" s="29" t="n">
        <v>0</v>
      </c>
      <c r="G16" s="29" t="n">
        <v>0</v>
      </c>
      <c r="H16" s="29" t="n">
        <v>0</v>
      </c>
      <c r="I16" s="29" t="n">
        <v>0</v>
      </c>
      <c r="J16" s="29" t="n">
        <v>0</v>
      </c>
      <c r="K16" s="29" t="n">
        <v>4.5</v>
      </c>
      <c r="L16" s="29" t="n">
        <v>0</v>
      </c>
      <c r="M16" s="30" t="inlineStr">
        <is>
          <t>Kit estimate (Oct 2026): replace with your distributor's price</t>
        </is>
      </c>
    </row>
    <row r="17">
      <c r="A17" s="27" t="inlineStr">
        <is>
          <t>Extra virgin olive oil</t>
        </is>
      </c>
      <c r="B17" s="10" t="n">
        <v>6</v>
      </c>
      <c r="C17" s="28" t="n">
        <v>0</v>
      </c>
      <c r="D17" s="17">
        <f>B17/(1-C17)</f>
        <v>6.0</v>
      </c>
      <c r="E17" s="29" t="n">
        <v>0.25</v>
      </c>
      <c r="F17" s="29" t="n">
        <v>0.25</v>
      </c>
      <c r="G17" s="29" t="n">
        <v>0.25</v>
      </c>
      <c r="H17" s="29" t="n">
        <v>0.25</v>
      </c>
      <c r="I17" s="29" t="n">
        <v>0.15</v>
      </c>
      <c r="J17" s="29" t="n">
        <v>0.25</v>
      </c>
      <c r="K17" s="29" t="n">
        <v>0.25</v>
      </c>
      <c r="L17" s="29" t="n">
        <v>0.25</v>
      </c>
      <c r="M17" s="30" t="inlineStr">
        <is>
          <t>Kit estimate (Oct 2026): replace with your distributor's price</t>
        </is>
      </c>
    </row>
    <row r="18">
      <c r="A18" s="27" t="inlineStr">
        <is>
          <t>Fresh basil</t>
        </is>
      </c>
      <c r="B18" s="10" t="n">
        <v>16</v>
      </c>
      <c r="C18" s="28" t="n">
        <v>0.3</v>
      </c>
      <c r="D18" s="17">
        <f>B18/(1-C18)</f>
        <v>22.857142857142858</v>
      </c>
      <c r="E18" s="29" t="n">
        <v>0.1</v>
      </c>
      <c r="F18" s="29" t="n">
        <v>0</v>
      </c>
      <c r="G18" s="29" t="n">
        <v>0.1</v>
      </c>
      <c r="H18" s="29" t="n">
        <v>0</v>
      </c>
      <c r="I18" s="29" t="n">
        <v>0</v>
      </c>
      <c r="J18" s="29" t="n">
        <v>0</v>
      </c>
      <c r="K18" s="29" t="n">
        <v>0.1</v>
      </c>
      <c r="L18" s="29" t="n">
        <v>0</v>
      </c>
      <c r="M18" s="30" t="inlineStr">
        <is>
          <t>Kit estimate (Oct 2026): replace with your distributor's price</t>
        </is>
      </c>
    </row>
    <row r="19">
      <c r="A19" s="27" t="inlineStr">
        <is>
          <t>Dried oregano</t>
        </is>
      </c>
      <c r="B19" s="10" t="n">
        <v>12</v>
      </c>
      <c r="C19" s="28" t="n">
        <v>0</v>
      </c>
      <c r="D19" s="17">
        <f>B19/(1-C19)</f>
        <v>12.0</v>
      </c>
      <c r="E19" s="29" t="n">
        <v>0</v>
      </c>
      <c r="F19" s="29" t="n">
        <v>0.02</v>
      </c>
      <c r="G19" s="29" t="n">
        <v>0</v>
      </c>
      <c r="H19" s="29" t="n">
        <v>0</v>
      </c>
      <c r="I19" s="29" t="n">
        <v>0</v>
      </c>
      <c r="J19" s="29" t="n">
        <v>0</v>
      </c>
      <c r="K19" s="29" t="n">
        <v>0</v>
      </c>
      <c r="L19" s="29" t="n">
        <v>0</v>
      </c>
      <c r="M19" s="30" t="inlineStr">
        <is>
          <t>Kit estimate (Oct 2026): replace with your distributor's price</t>
        </is>
      </c>
    </row>
    <row r="20">
      <c r="A20" s="27" t="inlineStr">
        <is>
          <t>Garlic</t>
        </is>
      </c>
      <c r="B20" s="10" t="n">
        <v>3.5</v>
      </c>
      <c r="C20" s="28" t="n">
        <v>0.2</v>
      </c>
      <c r="D20" s="17">
        <f>B20/(1-C20)</f>
        <v>4.375</v>
      </c>
      <c r="E20" s="29" t="n">
        <v>0</v>
      </c>
      <c r="F20" s="29" t="n">
        <v>0.1</v>
      </c>
      <c r="G20" s="29" t="n">
        <v>0</v>
      </c>
      <c r="H20" s="29" t="n">
        <v>0</v>
      </c>
      <c r="I20" s="29" t="n">
        <v>0</v>
      </c>
      <c r="J20" s="29" t="n">
        <v>0</v>
      </c>
      <c r="K20" s="29" t="n">
        <v>0</v>
      </c>
      <c r="L20" s="29" t="n">
        <v>0.1</v>
      </c>
      <c r="M20" s="30" t="inlineStr">
        <is>
          <t>Kit estimate (Oct 2026): replace with your distributor's price</t>
        </is>
      </c>
    </row>
    <row r="21">
      <c r="A21" s="27" t="inlineStr">
        <is>
          <t>Spicy salami</t>
        </is>
      </c>
      <c r="B21" s="10" t="n">
        <v>12</v>
      </c>
      <c r="C21" s="28" t="n">
        <v>0.03</v>
      </c>
      <c r="D21" s="17">
        <f>B21/(1-C21)</f>
        <v>12.371134020618557</v>
      </c>
      <c r="E21" s="29" t="n">
        <v>0</v>
      </c>
      <c r="F21" s="29" t="n">
        <v>0</v>
      </c>
      <c r="G21" s="29" t="n">
        <v>2</v>
      </c>
      <c r="H21" s="29" t="n">
        <v>0</v>
      </c>
      <c r="I21" s="29" t="n">
        <v>0</v>
      </c>
      <c r="J21" s="29" t="n">
        <v>0</v>
      </c>
      <c r="K21" s="29" t="n">
        <v>0</v>
      </c>
      <c r="L21" s="29" t="n">
        <v>0</v>
      </c>
      <c r="M21" s="30" t="inlineStr">
        <is>
          <t>Kit estimate (Oct 2026): replace with your distributor's price</t>
        </is>
      </c>
    </row>
    <row r="22">
      <c r="A22" s="27" t="inlineStr">
        <is>
          <t>Cooked ham</t>
        </is>
      </c>
      <c r="B22" s="10" t="n">
        <v>7.5</v>
      </c>
      <c r="C22" s="28" t="n">
        <v>0.03</v>
      </c>
      <c r="D22" s="17">
        <f>B22/(1-C22)</f>
        <v>7.731958762886598</v>
      </c>
      <c r="E22" s="29" t="n">
        <v>0</v>
      </c>
      <c r="F22" s="29" t="n">
        <v>0</v>
      </c>
      <c r="G22" s="29" t="n">
        <v>0</v>
      </c>
      <c r="H22" s="29" t="n">
        <v>1.5</v>
      </c>
      <c r="I22" s="29" t="n">
        <v>0</v>
      </c>
      <c r="J22" s="29" t="n">
        <v>1.75</v>
      </c>
      <c r="K22" s="29" t="n">
        <v>0</v>
      </c>
      <c r="L22" s="29" t="n">
        <v>0</v>
      </c>
      <c r="M22" s="30" t="inlineStr">
        <is>
          <t>Kit estimate (Oct 2026): replace with your distributor's price</t>
        </is>
      </c>
    </row>
    <row r="23">
      <c r="A23" s="27" t="inlineStr">
        <is>
          <t>Sliced mushrooms</t>
        </is>
      </c>
      <c r="B23" s="10" t="n">
        <v>3.5</v>
      </c>
      <c r="C23" s="28" t="n">
        <v>0.1</v>
      </c>
      <c r="D23" s="17">
        <f>B23/(1-C23)</f>
        <v>3.888888888888889</v>
      </c>
      <c r="E23" s="29" t="n">
        <v>0</v>
      </c>
      <c r="F23" s="29" t="n">
        <v>0</v>
      </c>
      <c r="G23" s="29" t="n">
        <v>0</v>
      </c>
      <c r="H23" s="29" t="n">
        <v>1.5</v>
      </c>
      <c r="I23" s="29" t="n">
        <v>0</v>
      </c>
      <c r="J23" s="29" t="n">
        <v>1.75</v>
      </c>
      <c r="K23" s="29" t="n">
        <v>0</v>
      </c>
      <c r="L23" s="29" t="n">
        <v>0</v>
      </c>
      <c r="M23" s="30" t="inlineStr">
        <is>
          <t>Kit estimate (Oct 2026): replace with your distributor's price</t>
        </is>
      </c>
    </row>
    <row r="24">
      <c r="A24" s="27" t="inlineStr">
        <is>
          <t>Artichoke hearts in oil</t>
        </is>
      </c>
      <c r="B24" s="10" t="n">
        <v>7</v>
      </c>
      <c r="C24" s="28" t="n">
        <v>0.1</v>
      </c>
      <c r="D24" s="17">
        <f>B24/(1-C24)</f>
        <v>7.777777777777778</v>
      </c>
      <c r="E24" s="29" t="n">
        <v>0</v>
      </c>
      <c r="F24" s="29" t="n">
        <v>0</v>
      </c>
      <c r="G24" s="29" t="n">
        <v>0</v>
      </c>
      <c r="H24" s="29" t="n">
        <v>1</v>
      </c>
      <c r="I24" s="29" t="n">
        <v>0</v>
      </c>
      <c r="J24" s="29" t="n">
        <v>0</v>
      </c>
      <c r="K24" s="29" t="n">
        <v>0</v>
      </c>
      <c r="L24" s="29" t="n">
        <v>0</v>
      </c>
      <c r="M24" s="30" t="inlineStr">
        <is>
          <t>Kit estimate (Oct 2026): replace with your distributor's price</t>
        </is>
      </c>
    </row>
    <row r="25">
      <c r="A25" s="27" t="inlineStr">
        <is>
          <t>Black olives</t>
        </is>
      </c>
      <c r="B25" s="10" t="n">
        <v>5.5</v>
      </c>
      <c r="C25" s="28" t="n">
        <v>0.05</v>
      </c>
      <c r="D25" s="17">
        <f>B25/(1-C25)</f>
        <v>5.7894736842105265</v>
      </c>
      <c r="E25" s="29" t="n">
        <v>0</v>
      </c>
      <c r="F25" s="29" t="n">
        <v>0</v>
      </c>
      <c r="G25" s="29" t="n">
        <v>0</v>
      </c>
      <c r="H25" s="29" t="n">
        <v>0.5</v>
      </c>
      <c r="I25" s="29" t="n">
        <v>0</v>
      </c>
      <c r="J25" s="29" t="n">
        <v>0</v>
      </c>
      <c r="K25" s="29" t="n">
        <v>0</v>
      </c>
      <c r="L25" s="29" t="n">
        <v>0</v>
      </c>
      <c r="M25" s="30" t="inlineStr">
        <is>
          <t>Kit estimate (Oct 2026): replace with your distributor's price</t>
        </is>
      </c>
    </row>
    <row r="26">
      <c r="A26" s="27" t="inlineStr">
        <is>
          <t>Gorgonzola</t>
        </is>
      </c>
      <c r="B26" s="10" t="n">
        <v>9</v>
      </c>
      <c r="C26" s="28" t="n">
        <v>0.03</v>
      </c>
      <c r="D26" s="17">
        <f>B26/(1-C26)</f>
        <v>9.278350515463918</v>
      </c>
      <c r="E26" s="29" t="n">
        <v>0</v>
      </c>
      <c r="F26" s="29" t="n">
        <v>0</v>
      </c>
      <c r="G26" s="29" t="n">
        <v>0</v>
      </c>
      <c r="H26" s="29" t="n">
        <v>0</v>
      </c>
      <c r="I26" s="29" t="n">
        <v>1.5</v>
      </c>
      <c r="J26" s="29" t="n">
        <v>0</v>
      </c>
      <c r="K26" s="29" t="n">
        <v>0</v>
      </c>
      <c r="L26" s="29" t="n">
        <v>0</v>
      </c>
      <c r="M26" s="30" t="inlineStr">
        <is>
          <t>Kit estimate (Oct 2026): replace with your distributor's price</t>
        </is>
      </c>
    </row>
    <row r="27">
      <c r="A27" s="27" t="inlineStr">
        <is>
          <t>Grana Padano</t>
        </is>
      </c>
      <c r="B27" s="10" t="n">
        <v>11</v>
      </c>
      <c r="C27" s="28" t="n">
        <v>0.05</v>
      </c>
      <c r="D27" s="17">
        <f>B27/(1-C27)</f>
        <v>11.578947368421053</v>
      </c>
      <c r="E27" s="29" t="n">
        <v>0</v>
      </c>
      <c r="F27" s="29" t="n">
        <v>0</v>
      </c>
      <c r="G27" s="29" t="n">
        <v>0</v>
      </c>
      <c r="H27" s="29" t="n">
        <v>0</v>
      </c>
      <c r="I27" s="29" t="n">
        <v>0.75</v>
      </c>
      <c r="J27" s="29" t="n">
        <v>0</v>
      </c>
      <c r="K27" s="29" t="n">
        <v>0</v>
      </c>
      <c r="L27" s="29" t="n">
        <v>0</v>
      </c>
      <c r="M27" s="30" t="inlineStr">
        <is>
          <t>Kit estimate (Oct 2026): replace with your distributor's price</t>
        </is>
      </c>
    </row>
    <row r="28">
      <c r="A28" s="27" t="inlineStr">
        <is>
          <t>Smoked provola</t>
        </is>
      </c>
      <c r="B28" s="10" t="n">
        <v>9.5</v>
      </c>
      <c r="C28" s="28" t="n">
        <v>0.03</v>
      </c>
      <c r="D28" s="17">
        <f>B28/(1-C28)</f>
        <v>9.793814432989691</v>
      </c>
      <c r="E28" s="29" t="n">
        <v>0</v>
      </c>
      <c r="F28" s="29" t="n">
        <v>0</v>
      </c>
      <c r="G28" s="29" t="n">
        <v>0</v>
      </c>
      <c r="H28" s="29" t="n">
        <v>0</v>
      </c>
      <c r="I28" s="29" t="n">
        <v>1.5</v>
      </c>
      <c r="J28" s="29" t="n">
        <v>0</v>
      </c>
      <c r="K28" s="29" t="n">
        <v>0</v>
      </c>
      <c r="L28" s="29" t="n">
        <v>2.5</v>
      </c>
      <c r="M28" s="30" t="inlineStr">
        <is>
          <t>Kit estimate (Oct 2026): replace with your distributor's price</t>
        </is>
      </c>
    </row>
    <row r="29">
      <c r="A29" s="27" t="inlineStr">
        <is>
          <t>Fresh Italian sausage</t>
        </is>
      </c>
      <c r="B29" s="10" t="n">
        <v>5.5</v>
      </c>
      <c r="C29" s="28" t="n">
        <v>0.05</v>
      </c>
      <c r="D29" s="17">
        <f>B29/(1-C29)</f>
        <v>5.7894736842105265</v>
      </c>
      <c r="E29" s="29" t="n">
        <v>0</v>
      </c>
      <c r="F29" s="29" t="n">
        <v>0</v>
      </c>
      <c r="G29" s="29" t="n">
        <v>0</v>
      </c>
      <c r="H29" s="29" t="n">
        <v>0</v>
      </c>
      <c r="I29" s="29" t="n">
        <v>0</v>
      </c>
      <c r="J29" s="29" t="n">
        <v>0</v>
      </c>
      <c r="K29" s="29" t="n">
        <v>0</v>
      </c>
      <c r="L29" s="29" t="n">
        <v>3</v>
      </c>
      <c r="M29" s="30" t="inlineStr">
        <is>
          <t>Kit estimate (Oct 2026): replace with your distributor's price</t>
        </is>
      </c>
    </row>
    <row r="30">
      <c r="A30" s="27" t="inlineStr">
        <is>
          <t>Broccoli rabe</t>
        </is>
      </c>
      <c r="B30" s="10" t="n">
        <v>4</v>
      </c>
      <c r="C30" s="28" t="n">
        <v>0.25</v>
      </c>
      <c r="D30" s="17">
        <f>B30/(1-C30)</f>
        <v>5.333333333333333</v>
      </c>
      <c r="E30" s="29" t="n">
        <v>0</v>
      </c>
      <c r="F30" s="29" t="n">
        <v>0</v>
      </c>
      <c r="G30" s="29" t="n">
        <v>0</v>
      </c>
      <c r="H30" s="29" t="n">
        <v>0</v>
      </c>
      <c r="I30" s="29" t="n">
        <v>0</v>
      </c>
      <c r="J30" s="29" t="n">
        <v>0</v>
      </c>
      <c r="K30" s="29" t="n">
        <v>0</v>
      </c>
      <c r="L30" s="29" t="n">
        <v>2.5</v>
      </c>
      <c r="M30" s="30" t="inlineStr">
        <is>
          <t>Kit estimate (Oct 2026): replace with your distributor's price</t>
        </is>
      </c>
    </row>
    <row r="31">
      <c r="A31" s="27" t="inlineStr">
        <is>
          <t>Cherry tomatoes</t>
        </is>
      </c>
      <c r="B31" s="10" t="n">
        <v>4.5</v>
      </c>
      <c r="C31" s="28" t="n">
        <v>0.05</v>
      </c>
      <c r="D31" s="17">
        <f>B31/(1-C31)</f>
        <v>4.736842105263158</v>
      </c>
      <c r="E31" s="29" t="n">
        <v>0</v>
      </c>
      <c r="F31" s="29" t="n">
        <v>0</v>
      </c>
      <c r="G31" s="29" t="n">
        <v>0</v>
      </c>
      <c r="H31" s="29" t="n">
        <v>0</v>
      </c>
      <c r="I31" s="29" t="n">
        <v>0</v>
      </c>
      <c r="J31" s="29" t="n">
        <v>0</v>
      </c>
      <c r="K31" s="29" t="n">
        <v>1</v>
      </c>
      <c r="L31" s="29" t="n">
        <v>0</v>
      </c>
      <c r="M31" s="30" t="inlineStr">
        <is>
          <t>Kit estimate (Oct 2026): replace with your distributor's price</t>
        </is>
      </c>
    </row>
    <row r="32">
      <c r="A32" s="27" t="inlineStr">
        <is>
          <t>Arugula</t>
        </is>
      </c>
      <c r="B32" s="10" t="n">
        <v>7</v>
      </c>
      <c r="C32" s="28" t="n">
        <v>0.1</v>
      </c>
      <c r="D32" s="17">
        <f>B32/(1-C32)</f>
        <v>7.777777777777778</v>
      </c>
      <c r="E32" s="29" t="n">
        <v>0</v>
      </c>
      <c r="F32" s="29" t="n">
        <v>0</v>
      </c>
      <c r="G32" s="29" t="n">
        <v>0</v>
      </c>
      <c r="H32" s="29" t="n">
        <v>0</v>
      </c>
      <c r="I32" s="29" t="n">
        <v>0</v>
      </c>
      <c r="J32" s="29" t="n">
        <v>0</v>
      </c>
      <c r="K32" s="29" t="n">
        <v>0</v>
      </c>
      <c r="L32" s="29" t="n">
        <v>0</v>
      </c>
      <c r="M32" s="30" t="inlineStr">
        <is>
          <t>Kit estimate (Oct 2026): free slot for your own pizzas; replace with your distributor's price</t>
        </is>
      </c>
    </row>
    <row r="33">
      <c r="A33" s="27" t="inlineStr">
        <is>
          <t>Prosciutto</t>
        </is>
      </c>
      <c r="B33" s="10" t="n">
        <v>16</v>
      </c>
      <c r="C33" s="28" t="n">
        <v>0.05</v>
      </c>
      <c r="D33" s="17">
        <f>B33/(1-C33)</f>
        <v>16.842105263157894</v>
      </c>
      <c r="E33" s="29" t="n">
        <v>0</v>
      </c>
      <c r="F33" s="29" t="n">
        <v>0</v>
      </c>
      <c r="G33" s="29" t="n">
        <v>0</v>
      </c>
      <c r="H33" s="29" t="n">
        <v>0</v>
      </c>
      <c r="I33" s="29" t="n">
        <v>0</v>
      </c>
      <c r="J33" s="29" t="n">
        <v>0</v>
      </c>
      <c r="K33" s="29" t="n">
        <v>0</v>
      </c>
      <c r="L33" s="29" t="n">
        <v>0</v>
      </c>
      <c r="M33" s="30" t="inlineStr">
        <is>
          <t>Kit estimate (Oct 2026): free slot for your own pizzas; replace with your distributor's price</t>
        </is>
      </c>
    </row>
    <row r="34">
      <c r="A34" s="27" t="inlineStr">
        <is>
          <t>'Nduja</t>
        </is>
      </c>
      <c r="B34" s="10" t="n">
        <v>14</v>
      </c>
      <c r="C34" s="28" t="n">
        <v>0.02</v>
      </c>
      <c r="D34" s="17">
        <f>B34/(1-C34)</f>
        <v>14.285714285714286</v>
      </c>
      <c r="E34" s="29" t="n">
        <v>0</v>
      </c>
      <c r="F34" s="29" t="n">
        <v>0</v>
      </c>
      <c r="G34" s="29" t="n">
        <v>0</v>
      </c>
      <c r="H34" s="29" t="n">
        <v>0</v>
      </c>
      <c r="I34" s="29" t="n">
        <v>0</v>
      </c>
      <c r="J34" s="29" t="n">
        <v>0</v>
      </c>
      <c r="K34" s="29" t="n">
        <v>0</v>
      </c>
      <c r="L34" s="29" t="n">
        <v>0</v>
      </c>
      <c r="M34" s="30" t="inlineStr">
        <is>
          <t>Kit estimate (Oct 2026): free slot for your own pizzas; replace with your distributor's price</t>
        </is>
      </c>
    </row>
    <row r="35">
      <c r="A35" s="27" t="inlineStr">
        <is>
          <t>Ricotta</t>
        </is>
      </c>
      <c r="B35" s="10" t="n">
        <v>4.5</v>
      </c>
      <c r="C35" s="28" t="n">
        <v>0.02</v>
      </c>
      <c r="D35" s="17">
        <f>B35/(1-C35)</f>
        <v>4.591836734693878</v>
      </c>
      <c r="E35" s="29" t="n">
        <v>0</v>
      </c>
      <c r="F35" s="29" t="n">
        <v>0</v>
      </c>
      <c r="G35" s="29" t="n">
        <v>0</v>
      </c>
      <c r="H35" s="29" t="n">
        <v>0</v>
      </c>
      <c r="I35" s="29" t="n">
        <v>0</v>
      </c>
      <c r="J35" s="29" t="n">
        <v>0</v>
      </c>
      <c r="K35" s="29" t="n">
        <v>0</v>
      </c>
      <c r="L35" s="29" t="n">
        <v>0</v>
      </c>
      <c r="M35" s="30" t="inlineStr">
        <is>
          <t>Kit estimate (Oct 2026): free slot for your own pizzas; replace with your distributor's price</t>
        </is>
      </c>
    </row>
    <row r="37" ht="32" customHeight="1">
      <c r="A37" s="11" t="inlineStr">
        <is>
          <t>RESULT PER PIZZA (ounces in the columns above)</t>
        </is>
      </c>
      <c r="E37" s="3" t="str">
        <f>E12</f>
        <v>Margherita</v>
      </c>
      <c r="F37" s="3" t="str">
        <f>F12</f>
        <v>Marinara</v>
      </c>
      <c r="G37" s="3" t="str">
        <f>G12</f>
        <v>Diavola</v>
      </c>
      <c r="H37" s="3" t="str">
        <f>H12</f>
        <v>Capricciosa</v>
      </c>
      <c r="I37" s="3" t="str">
        <f>I12</f>
        <v>Quattro Formaggi</v>
      </c>
      <c r="J37" s="3" t="str">
        <f>J12</f>
        <v>Ham &amp; Mushroom</v>
      </c>
      <c r="K37" s="3" t="str">
        <f>K12</f>
        <v>Bufalina</v>
      </c>
      <c r="L37" s="3" t="str">
        <f>L12</f>
        <v>Sausage &amp; Broccoli Rabe</v>
      </c>
    </row>
    <row r="38">
      <c r="A38" s="4" t="inlineStr">
        <is>
          <t>Raw weight of the pizza (oz)</t>
        </is>
      </c>
      <c r="E38" s="17">
        <f>'Dough'!$B$20+SUM(E$14:E$35)</f>
        <v>16.168342151675482</v>
      </c>
      <c r="F38" s="17">
        <f>'Dough'!$B$20+SUM(F$14:F$35)</f>
        <v>13.188342151675485</v>
      </c>
      <c r="G38" s="17">
        <f>'Dough'!$B$20+SUM(G$14:G$35)</f>
        <v>17.668342151675482</v>
      </c>
      <c r="H38" s="17">
        <f>'Dough'!$B$20+SUM(H$14:H$35)</f>
        <v>19.568342151675484</v>
      </c>
      <c r="I38" s="17">
        <f>'Dough'!$B$20+SUM(I$14:I$35)</f>
        <v>14.968342151675484</v>
      </c>
      <c r="J38" s="17">
        <f>'Dough'!$B$20+SUM(J$14:J$35)</f>
        <v>19.068342151675484</v>
      </c>
      <c r="K38" s="17">
        <f>'Dough'!$B$20+SUM(K$14:K$35)</f>
        <v>16.668342151675482</v>
      </c>
      <c r="L38" s="17">
        <f>'Dough'!$B$20+SUM(L$14:L$35)</f>
        <v>17.168342151675482</v>
      </c>
    </row>
    <row r="39">
      <c r="A39" s="4" t="inlineStr">
        <is>
          <t>Dough cost ($)</t>
        </is>
      </c>
      <c r="E39" s="31">
        <f>$B$10</f>
        <v>0.40257523075768564</v>
      </c>
      <c r="F39" s="31">
        <f>$B$10</f>
        <v>0.40257523075768564</v>
      </c>
      <c r="G39" s="31">
        <f>$B$10</f>
        <v>0.40257523075768564</v>
      </c>
      <c r="H39" s="31">
        <f>$B$10</f>
        <v>0.40257523075768564</v>
      </c>
      <c r="I39" s="31">
        <f>$B$10</f>
        <v>0.40257523075768564</v>
      </c>
      <c r="J39" s="31">
        <f>$B$10</f>
        <v>0.40257523075768564</v>
      </c>
      <c r="K39" s="31">
        <f>$B$10</f>
        <v>0.40257523075768564</v>
      </c>
      <c r="L39" s="31">
        <f>$B$10</f>
        <v>0.40257523075768564</v>
      </c>
    </row>
    <row r="40">
      <c r="A40" s="4" t="inlineStr">
        <is>
          <t>Ingredient cost ($)</t>
        </is>
      </c>
      <c r="E40" s="31">
        <f>SUMPRODUCT(E$14:E$35,$D$14:$D$35)/$B$9</f>
        <v>2.509480854197349</v>
      </c>
      <c r="F40" s="31">
        <f>SUMPRODUCT(F$14:F$35,$D$14:$D$35)/$B$9</f>
        <v>0.76109375</v>
      </c>
      <c r="G40" s="31">
        <f>SUMPRODUCT(G$14:G$35,$D$14:$D$35)/$B$9</f>
        <v>3.8303571428571432</v>
      </c>
      <c r="H40" s="31">
        <f>SUMPRODUCT(H$14:H$35,$D$14:$D$35)/$B$9</f>
        <v>3.6720794146017965</v>
      </c>
      <c r="I40" s="31">
        <f>SUMPRODUCT(I$14:I$35,$D$14:$D$35)/$B$9</f>
        <v>3.4018482094411286</v>
      </c>
      <c r="J40" s="31">
        <f>SUMPRODUCT(J$14:J$35,$D$14:$D$35)/$B$9</f>
        <v>3.4121384593356243</v>
      </c>
      <c r="K40" s="31">
        <f>SUMPRODUCT(K$14:K$35,$D$14:$D$35)/$B$9</f>
        <v>4.904438124951555</v>
      </c>
      <c r="L40" s="31">
        <f>SUMPRODUCT(L$14:L$35,$D$14:$D$35)/$B$9</f>
        <v>3.570236904277446</v>
      </c>
    </row>
    <row r="41">
      <c r="A41" s="14" t="inlineStr">
        <is>
          <t>COST OF THE PIZZA ($)</t>
        </is>
      </c>
      <c r="E41" s="20">
        <f>E39+E40</f>
        <v>2.9120560849550343</v>
      </c>
      <c r="F41" s="20">
        <f>F39+F40</f>
        <v>1.1636689807576857</v>
      </c>
      <c r="G41" s="20">
        <f>G39+G40</f>
        <v>4.232932373614829</v>
      </c>
      <c r="H41" s="20">
        <f>H39+H40</f>
        <v>4.074654645359482</v>
      </c>
      <c r="I41" s="20">
        <f>I39+I40</f>
        <v>3.804423440198814</v>
      </c>
      <c r="J41" s="20">
        <f>J39+J40</f>
        <v>3.81471369009331</v>
      </c>
      <c r="K41" s="20">
        <f>K39+K40</f>
        <v>5.30701335570924</v>
      </c>
      <c r="L41" s="20">
        <f>L39+L40</f>
        <v>3.9728121350351318</v>
      </c>
    </row>
    <row r="42">
      <c r="A42" s="4" t="inlineStr">
        <is>
          <t>Menu price before sales tax ($)</t>
        </is>
      </c>
      <c r="E42" s="17">
        <f>E13/(1+$B$5)</f>
        <v>18.0</v>
      </c>
      <c r="F42" s="17">
        <f>F13/(1+$B$5)</f>
        <v>15.0</v>
      </c>
      <c r="G42" s="17">
        <f>G13/(1+$B$5)</f>
        <v>20.0</v>
      </c>
      <c r="H42" s="17">
        <f>H13/(1+$B$5)</f>
        <v>21.0</v>
      </c>
      <c r="I42" s="17">
        <f>I13/(1+$B$5)</f>
        <v>21.0</v>
      </c>
      <c r="J42" s="17">
        <f>J13/(1+$B$5)</f>
        <v>20.0</v>
      </c>
      <c r="K42" s="17">
        <f>K13/(1+$B$5)</f>
        <v>23.0</v>
      </c>
      <c r="L42" s="17">
        <f>L13/(1+$B$5)</f>
        <v>22.0</v>
      </c>
    </row>
    <row r="43">
      <c r="A43" s="14" t="inlineStr">
        <is>
          <t>FOOD COST (%)</t>
        </is>
      </c>
      <c r="E43" s="32">
        <f>E41/E42</f>
        <v>0.16178089360861303</v>
      </c>
      <c r="F43" s="32">
        <f>F41/F42</f>
        <v>0.07757793205051237</v>
      </c>
      <c r="G43" s="32">
        <f>G41/G42</f>
        <v>0.21164661868074144</v>
      </c>
      <c r="H43" s="32">
        <f>H41/H42</f>
        <v>0.19403117358854677</v>
      </c>
      <c r="I43" s="32">
        <f>I41/I42</f>
        <v>0.1811630209618483</v>
      </c>
      <c r="J43" s="32">
        <f>J41/J42</f>
        <v>0.1907356845046655</v>
      </c>
      <c r="K43" s="32">
        <f>K41/K42</f>
        <v>0.23073971111779307</v>
      </c>
      <c r="L43" s="32">
        <f>L41/L42</f>
        <v>0.18058236977432418</v>
      </c>
    </row>
    <row r="44" ht="32" customHeight="1">
      <c r="A44" s="4" t="inlineStr">
        <is>
          <t>Traffic light against the target</t>
        </is>
      </c>
      <c r="E44" s="2" t="str">
        <f>IF(E43&lt;=$B$6,"On target",IF(E43&lt;=$B$6+$B$7,"Watch the cost","Above target"))</f>
        <v>On target</v>
      </c>
      <c r="F44" s="2" t="str">
        <f>IF(F43&lt;=$B$6,"On target",IF(F43&lt;=$B$6+$B$7,"Watch the cost","Above target"))</f>
        <v>On target</v>
      </c>
      <c r="G44" s="2" t="str">
        <f>IF(G43&lt;=$B$6,"On target",IF(G43&lt;=$B$6+$B$7,"Watch the cost","Above target"))</f>
        <v>On target</v>
      </c>
      <c r="H44" s="2" t="str">
        <f>IF(H43&lt;=$B$6,"On target",IF(H43&lt;=$B$6+$B$7,"Watch the cost","Above target"))</f>
        <v>On target</v>
      </c>
      <c r="I44" s="2" t="str">
        <f>IF(I43&lt;=$B$6,"On target",IF(I43&lt;=$B$6+$B$7,"Watch the cost","Above target"))</f>
        <v>On target</v>
      </c>
      <c r="J44" s="2" t="str">
        <f>IF(J43&lt;=$B$6,"On target",IF(J43&lt;=$B$6+$B$7,"Watch the cost","Above target"))</f>
        <v>On target</v>
      </c>
      <c r="K44" s="2" t="str">
        <f>IF(K43&lt;=$B$6,"On target",IF(K43&lt;=$B$6+$B$7,"Watch the cost","Above target"))</f>
        <v>On target</v>
      </c>
      <c r="L44" s="2" t="str">
        <f>IF(L43&lt;=$B$6,"On target",IF(L43&lt;=$B$6+$B$7,"Watch the cost","Above target"))</f>
        <v>On target</v>
      </c>
    </row>
    <row r="45">
      <c r="A45" s="4" t="inlineStr">
        <is>
          <t>Margin per pizza ($, price before tax − cost)</t>
        </is>
      </c>
      <c r="E45" s="17">
        <f>E42-E41</f>
        <v>15.087943915044965</v>
      </c>
      <c r="F45" s="17">
        <f>F42-F41</f>
        <v>13.836331019242314</v>
      </c>
      <c r="G45" s="17">
        <f>G42-G41</f>
        <v>15.76706762638517</v>
      </c>
      <c r="H45" s="17">
        <f>H42-H41</f>
        <v>16.92534535464052</v>
      </c>
      <c r="I45" s="17">
        <f>I42-I41</f>
        <v>17.195576559801186</v>
      </c>
      <c r="J45" s="17">
        <f>J42-J41</f>
        <v>16.18528630990669</v>
      </c>
      <c r="K45" s="17">
        <f>K42-K41</f>
        <v>17.69298664429076</v>
      </c>
      <c r="L45" s="17">
        <f>L42-L41</f>
        <v>18.02718786496487</v>
      </c>
    </row>
    <row r="46">
      <c r="A46" s="4" t="inlineStr">
        <is>
          <t>Menu price needed to reach the target ($)</t>
        </is>
      </c>
      <c r="E46" s="17">
        <f>E41/$B$6*(1+$B$5)</f>
        <v>11.200215711365516</v>
      </c>
      <c r="F46" s="17">
        <f>F41/$B$6*(1+$B$5)</f>
        <v>4.475649925991099</v>
      </c>
      <c r="G46" s="17">
        <f>G41/$B$6*(1+$B$5)</f>
        <v>16.280509129287804</v>
      </c>
      <c r="H46" s="17">
        <f>H41/$B$6*(1+$B$5)</f>
        <v>15.671748635998007</v>
      </c>
      <c r="I46" s="17">
        <f>I41/$B$6*(1+$B$5)</f>
        <v>14.632397846918515</v>
      </c>
      <c r="J46" s="17">
        <f>J41/$B$6*(1+$B$5)</f>
        <v>14.671975731128114</v>
      </c>
      <c r="K46" s="17">
        <f>K41/$B$6*(1+$B$5)</f>
        <v>20.411589829650925</v>
      </c>
      <c r="L46" s="17">
        <f>L41/$B$6*(1+$B$5)</f>
        <v>15.280046673212045</v>
      </c>
    </row>
    <row r="47">
      <c r="A47" s="4" t="inlineStr">
        <is>
          <t>Take-out cost: pizza + box ($)</t>
        </is>
      </c>
      <c r="E47" s="31">
        <f>E41+$B$8</f>
        <v>3.6620560849550343</v>
      </c>
      <c r="F47" s="31">
        <f>F41+$B$8</f>
        <v>1.9136689807576857</v>
      </c>
      <c r="G47" s="31">
        <f>G41+$B$8</f>
        <v>4.982932373614829</v>
      </c>
      <c r="H47" s="31">
        <f>H41+$B$8</f>
        <v>4.824654645359482</v>
      </c>
      <c r="I47" s="31">
        <f>I41+$B$8</f>
        <v>4.554423440198814</v>
      </c>
      <c r="J47" s="31">
        <f>J41+$B$8</f>
        <v>4.56471369009331</v>
      </c>
      <c r="K47" s="31">
        <f>K41+$B$8</f>
        <v>6.05701335570924</v>
      </c>
      <c r="L47" s="31">
        <f>L41+$B$8</f>
        <v>4.722812135035132</v>
      </c>
    </row>
    <row r="48">
      <c r="A48" s="4" t="inlineStr">
        <is>
          <t>Take-out food cost with the box (%)</t>
        </is>
      </c>
      <c r="E48" s="18">
        <f>E47/E42</f>
        <v>0.2034475602752797</v>
      </c>
      <c r="F48" s="18">
        <f>F47/F42</f>
        <v>0.12757793205051238</v>
      </c>
      <c r="G48" s="18">
        <f>G47/G42</f>
        <v>0.24914661868074145</v>
      </c>
      <c r="H48" s="18">
        <f>H47/H42</f>
        <v>0.22974545930283247</v>
      </c>
      <c r="I48" s="18">
        <f>I47/I42</f>
        <v>0.216877306676134</v>
      </c>
      <c r="J48" s="18">
        <f>J47/J42</f>
        <v>0.2282356845046655</v>
      </c>
      <c r="K48" s="18">
        <f>K47/K42</f>
        <v>0.26334840676996696</v>
      </c>
      <c r="L48" s="18">
        <f>L47/L42</f>
        <v>0.21467327886523327</v>
      </c>
    </row>
    <row r="49" ht="34" customHeight="1">
      <c r="A49" s="33" t="inlineStr">
        <is>
          <t>The food cost in the table is for the pizza served in the dining room. For take-out the box is added to the cost and the menu price is the same; if you charge more for take-out or delivery, change the pizza price to see the effect. It does not include the commission of the third-party delivery marketplace, which comes out of the price, not out of the cost of the pizza.</t>
        </is>
      </c>
    </row>
  </sheetData>
  <sheetProtection selectLockedCells="0" selectUnlockedCells="0" sheet="1" objects="0" insertRows="1" insertHyperlinks="1" autoFilter="1" scenarios="0" formatColumns="1" deleteColumns="1" insertColumns="1" pivotTables="1" deleteRows="1" formatCells="1" formatRows="1" sort="1"/>
  <mergeCells count="8">
    <mergeCell ref="E7:M7"/>
    <mergeCell ref="E10:M10"/>
    <mergeCell ref="E5:M5"/>
    <mergeCell ref="E9:M9"/>
    <mergeCell ref="E8:M8"/>
    <mergeCell ref="A2:M2"/>
    <mergeCell ref="A49:M49"/>
    <mergeCell ref="E6:M6"/>
  </mergeCells>
  <conditionalFormatting sqref="E44:L44">
    <cfRule type="expression" priority="1" dxfId="0">
      <formula>E44="On target"</formula>
    </cfRule>
    <cfRule type="expression" priority="2" dxfId="2">
      <formula>E44="Watch the cost"</formula>
    </cfRule>
    <cfRule type="expression" priority="3" dxfId="1">
      <formula>E44="Above target"</formula>
    </cfRule>
  </conditionalFormatting>
  <dataValidations count="3">
    <dataValidation sqref="B5 B6 B7 C14 C15 C16 C17 C18 C19 C20 C21 C22 C23 C24 C25 C26 C27 C28 C29 C30 C31 C32 C33 C34 C35" showDropDown="0" showInputMessage="0" showErrorMessage="1" allowBlank="0" errorTitle="Invalid percentage" error="Enter a percentage between 0 and 0.9 (0.1 = 10 %)." type="decimal" operator="between">
      <formula1>0</formula1>
      <formula2>0.9</formula2>
    </dataValidation>
    <dataValidation sqref="B8 B14 B15 B16 B17 B18 B19 B20 B21 B22 B23 B24 B25 B26 B27 B28 B29 B30 B31 B32 B33 B34 B35 E13 E14 E15 E16 E17 E18 E19 E20 E21 E22 E23 E24 E25 E26 E27 E28 E29 E30 E31 E32 E33 E34 E35 F13 F14 F15 F16 F17 F18 F19 F20 F21 F22 F23 F24 F25 F26 F27 F28 F29 F30 F31 F32 F33 F34 F35 G13 G14 G15 G16 G17 G18 G19 G20 G21 G22 G23 G24 G25 G26 G27 G28 G29 G30 G31 G32 G33 G34 G35 H13 H14 H15 H16 H17 H18 H19 H20 H21 H22 H23 H24 H25 H26 H27 H28 H29 H30 H31 H32 H33 H34 H35 I13 I14 I15 I16 I17 I18 I19 I20 I21 I22 I23 I24 I25 I26 I27 I28 I29 I30 I31 I32 I33 I34 I35 J13 J14 J15 J16 J17 J18 J19 J20 J21 J22 J23 J24 J25 J26 J27 J28 J29 J30 J31 J32 J33 J34 J35 K13 K14 K15 K16 K17 K18 K19 K20 K21 K22 K23 K24 K25 K26 K27 K28 K29 K30 K31 K32 K33 K34 K35 L13 L14 L15 L16 L17 L18 L19 L20 L21 L22 L23 L24 L25 L26 L27 L28 L29 L30 L31 L32 L33 L34 L35" showDropDown="0" showInputMessage="0" showErrorMessage="1" allowBlank="0" errorTitle="Invalid amount" error="Enter a number greater than or equal to 0." type="decimal" operator="greaterThanOrEqual">
      <formula1>0</formula1>
    </dataValidation>
    <dataValidation sqref="B6" showDropDown="0" showInputMessage="0" showErrorMessage="1" allowBlank="0" errorTitle="Invalid target" error="The target cannot be 0 (the sheet divides by it): enter between 0.01 and 0.9." type="decimal" operator="between">
      <formula1>0.01</formula1>
      <formula2>0.9</formula2>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28"/>
  <sheetViews>
    <sheetView showGridLines="0" workbookViewId="0">
      <selection activeCell="A1" sqref="A1"/>
    </sheetView>
  </sheetViews>
  <sheetFormatPr baseColWidth="8" defaultRowHeight="15"/>
  <cols>
    <col width="110" customWidth="1" min="1" max="1"/>
  </cols>
  <sheetData>
    <row r="1">
      <c r="A1" s="34" t="inlineStr">
        <is>
          <t>INSTRUCTIONS: Pizza Dough &amp; Food Cost Calculator</t>
        </is>
      </c>
    </row>
    <row r="2" ht="75" customHeight="1">
      <c r="A2" s="2" t="inlineStr">
        <is>
          <t>Two tools in one workbook: the "Dough" sheet tells you how much flour, water, salt and yeast you need for the number of dough balls you are going to make, and what each ball costs; the "Food Cost" sheet calculates the cost of 8 example pizzas, their food cost, their margin and the menu price you need. Type only in the GREEN cells; everything else is calculated. Dough is in grams (how bakers work) with a gray echo in ounces and pounds; ingredient prices are in $/lb and the pizza portions are in ounces.</t>
        </is>
      </c>
    </row>
    <row r="3">
      <c r="A3" s="21" t="inlineStr">
        <is>
          <t>NOTICE ABOUT THE NAME</t>
        </is>
      </c>
    </row>
    <row r="5" ht="90" customHeight="1">
      <c r="A5" s="2" t="inlineStr">
        <is>
          <t>FIXED NOTICE. The traffic light on this sheet only tells you whether your flour, salt, yeast and dough ball weight fall inside the traditional Neapolitan ratios. It does NOT make your pizza "VPN-certified". In the United States no federal rule governs the term "Neapolitan-style", so you may write it on your menu; but "VPN-certified" is a private certification awarded by the AVPN after an inspection of your wood-fired dome oven, ingredients and method, and only a certified shop may use that seal. Meeting these ratios is not that certificate. Until you hold it, write "Neapolitan-style" and the name of the pizza (Margherita, Marinara...).</t>
        </is>
      </c>
    </row>
    <row r="6">
      <c r="A6" s="21" t="inlineStr">
        <is>
          <t>"DOUGH" SHEET</t>
        </is>
      </c>
    </row>
    <row r="8" ht="60" customHeight="1">
      <c r="A8" s="2" t="inlineStr">
        <is>
          <t>1. Block A (per liter of water): type how many dough balls you want, their weight and the mixing loss. The amounts per liter are the traditional Neapolitan ratios (the EU Traditional Specialty Guaranteed spec, also used by the AVPN): up to 1,800 g of flour, 50 to 55 g of salt and 3 g of fresh brewer's yeast per liter of water, with dough balls of 180 to 250 g. The traditional range appears in gray next to each cell.</t>
        </is>
      </c>
    </row>
    <row r="9" ht="30" customHeight="1">
      <c r="A9" s="2" t="inlineStr">
        <is>
          <t>2. The block A traffic light says whether the flour, the salt and the ball weight fit those ranges. Green does not mean "VPN-certified": that certificate comes from the AVPN after an inspection of the shop, the oven and the method.</t>
        </is>
      </c>
    </row>
    <row r="10" ht="45" customHeight="1">
      <c r="A10" s="2" t="inlineStr">
        <is>
          <t>3. Block B (baker's %): type the hydration, the salt and the yeast as a percentage of the flour weight, which is how the trade works. It uses the same total dough as block A. If you type the percentages that block A calculates, you get the same result.</t>
        </is>
      </c>
    </row>
    <row r="11" ht="30" customHeight="1">
      <c r="A11" s="2" t="inlineStr">
        <is>
          <t>4. At the bottom you choose which dough cost per ball feeds the food cost: the one from the traditional ratios (A) or the one from your own percentages (B).</t>
        </is>
      </c>
    </row>
    <row r="12">
      <c r="A12" s="21" t="inlineStr">
        <is>
          <t>"FOOD COST" SHEET</t>
        </is>
      </c>
    </row>
    <row r="14" ht="30" customHeight="1">
      <c r="A14" s="2" t="inlineStr">
        <is>
          <t>1. Type the sales tax included in your menu prices (0 % if your menu is quoted before tax, which is the usual US way), the target food cost, the watch margin and the cost of the take-out box.</t>
        </is>
      </c>
    </row>
    <row r="15" ht="60" customHeight="1">
      <c r="A15" s="2" t="inlineStr">
        <is>
          <t>2. In the table, each row is an ingredient with its price per lb before tax and its waste (the part lost when trimming or cleaning). The net price per lb divides the price by (1 − waste). The ounces of each pizza go in its column; you can change the names, the ounces and the menu prices, and use the free rows for your own ingredients. The conversion from ounces to pounds uses the gray constant (16 oz per lb).</t>
        </is>
      </c>
    </row>
    <row r="16" ht="30" customHeight="1">
      <c r="A16" s="2" t="inlineStr">
        <is>
          <t>3. For each pizza you see the cost (dough + ingredients), the price before tax, the food cost with a traffic light, the margin per pizza, the menu price you would need to reach your target and the take-out food cost with the box.</t>
        </is>
      </c>
    </row>
    <row r="17" ht="45" customHeight="1">
      <c r="A17" s="2" t="inlineStr">
        <is>
          <t>4. The example Margherita comes out at about 16 % food cost. With buffalo mozzarella, Italian cured meats or ham it goes up: the Bufalina comes out at about 23 %. If a pizza lands above the target, raise the price, cut the portion or change an ingredient.</t>
        </is>
      </c>
    </row>
    <row r="18">
      <c r="A18" s="21" t="inlineStr">
        <is>
          <t>PRICES AND SOURCES</t>
        </is>
      </c>
    </row>
    <row r="20" ht="60" customHeight="1">
      <c r="A20" s="2" t="inlineStr">
        <is>
          <t>Every default price is an example: "Kit estimate (Oct 2026): replace with your distributor's price" (the kit's research did not find reliable distributor prices for these ingredients). Replace them with your distributor's before deciding on prices. The sample menu prices (Marinara $15 to Bufalina $23, Margherita $18) come from the kit's business plan case, based on the Margherita prices of US pizzerias read in October 2026 (about $18).</t>
        </is>
      </c>
    </row>
    <row r="21" ht="30" customHeight="1">
      <c r="A21" s="2" t="inlineStr">
        <is>
          <t>Sales tax is not part of the menu prices in this sample (0 %). The rates vary by state and city; ask your accountant. Beer, wine and other drinks are not in this food cost.</t>
        </is>
      </c>
    </row>
    <row r="22" ht="30" customHeight="1">
      <c r="A22" s="2" t="inlineStr">
        <is>
          <t>Sources: traditional Neapolitan pizza specification (EU Traditional Specialty Guaranteed, followed by the AVPN); US pizza shop research for the kit (October 2026).</t>
        </is>
      </c>
    </row>
    <row r="24">
      <c r="A24" s="2" t="inlineStr">
        <is>
          <t>To edit a cell that is not green: Review → Unprotect Sheet (there is no password).</t>
        </is>
      </c>
    </row>
    <row r="25">
      <c r="A25" s="2" t="inlineStr">
        <is>
          <t>More templates and kits in the catalog at aichef.pro/en/digital-products</t>
        </is>
      </c>
    </row>
    <row r="26">
      <c r="A26" s="2" t="inlineStr">
        <is>
          <t>Designed by John Guerrero — chef and restaurant consultant since 2010, in the kitchen since age 17 · johnguerrero.es</t>
        </is>
      </c>
    </row>
    <row r="27">
      <c r="A27" s="2" t="inlineStr">
        <is>
          <t>Version 1.0 · October 2026 · aichef.pro/en/digital-products/pizza-shop-business-plan · info@aichef.pro</t>
        </is>
      </c>
    </row>
    <row r="28">
      <c r="A28" s="33"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Pizza Dough &amp; Food Cost Calculator (Neapolitan-Style Dough + Food Cost for 8 Pizzas) · Pizza Shop Business Plan Kit</dc:title>
  <dc:description xmlns:dc="http://purl.org/dc/elements/1.1/">aichef.pro/en/digital-products/pizza-shop-business-plan</dc:description>
  <dc:subject xmlns:dc="http://purl.org/dc/elements/1.1/">Pizza Shop Business Plan Kit · v1.0</dc:subject>
  <dcterms:created xmlns:dcterms="http://purl.org/dc/terms/" xmlns:xsi="http://www.w3.org/2001/XMLSchema-instance" xsi:type="dcterms:W3CDTF">2026-10-25T19:10:34Z</dcterms:created>
  <dcterms:modified xmlns:dcterms="http://purl.org/dc/terms/" xmlns:xsi="http://www.w3.org/2001/XMLSchema-instance" xsi:type="dcterms:W3CDTF">2026-10-25T19:10:35Z</dcterms:modified>
  <cp:lastModifiedBy>AI Chef Pro</cp:lastModifiedBy>
  <cp:category>AI Chef Pro · Digital products</cp:category>
  <cp:keywords>pizza shop business plan, pizzeria business plan, how to open a pizza shop, pizza shop startup costs, wood fired pizza oven cost, AI Chef Pro</cp:keywords>
</cp:coreProperties>
</file>