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 1 - Business Setup" sheetId="1" state="visible" r:id="rId1"/>
    <sheet xmlns:r="http://schemas.openxmlformats.org/officeDocument/2006/relationships" name="Phase 2 - Site, Hood &amp; Permits" sheetId="2" state="visible" r:id="rId2"/>
    <sheet xmlns:r="http://schemas.openxmlformats.org/officeDocument/2006/relationships" name="Phase 3 - Kitchen, Oven, Health" sheetId="3" state="visible" r:id="rId3"/>
    <sheet xmlns:r="http://schemas.openxmlformats.org/officeDocument/2006/relationships" name="Phase 4 - Staff &amp; Safety" sheetId="4" state="visible" r:id="rId4"/>
    <sheet xmlns:r="http://schemas.openxmlformats.org/officeDocument/2006/relationships" name="Phase 5 - Menu, Brand, Delivery" sheetId="5" state="visible" r:id="rId5"/>
    <sheet xmlns:r="http://schemas.openxmlformats.org/officeDocument/2006/relationships" name="Phase 6 - Opening &amp; 90 Days" sheetId="6" state="visible" r:id="rId6"/>
    <sheet xmlns:r="http://schemas.openxmlformats.org/officeDocument/2006/relationships" name="Instructions" sheetId="7" state="visible" r:id="rId7"/>
  </sheets>
  <definedNames>
    <definedName name="_xlnm.Print_Titles" localSheetId="0">'Phase 1 - Business Setup'!$4:$4</definedName>
    <definedName name="_xlnm.Print_Titles" localSheetId="1">'Phase 2 - Site, Hood &amp; Permits'!$4:$4</definedName>
    <definedName name="_xlnm.Print_Titles" localSheetId="2">'Phase 3 - Kitchen, Oven, Health'!$4:$4</definedName>
    <definedName name="_xlnm.Print_Titles" localSheetId="3">'Phase 4 - Staff &amp; Safety'!$4:$4</definedName>
    <definedName name="_xlnm.Print_Titles" localSheetId="4">'Phase 5 - Menu, Brand, Delivery'!$4:$4</definedName>
    <definedName name="_xlnm.Print_Titles" localSheetId="5">'Phase 6 - Opening &amp; 90 Days'!$4:$4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Georgia"/>
      <b val="1"/>
      <color rgb="001A1A1A"/>
      <sz val="16"/>
    </font>
    <font>
      <name val="Georgia"/>
      <b val="1"/>
      <color rgb="001A1A1A"/>
      <sz val="13"/>
    </font>
    <font>
      <name val="Calibri"/>
      <b val="1"/>
      <color rgb="00FFFFFF"/>
      <sz val="10"/>
    </font>
    <font>
      <name val="Calibri"/>
      <color rgb="001A1A1A"/>
      <sz val="10"/>
    </font>
    <font>
      <name val="Calibri"/>
      <b val="1"/>
      <sz val="10"/>
    </font>
    <font>
      <b val="1"/>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2">
    <border>
      <left/>
      <right/>
      <top/>
      <bottom/>
      <diagonal/>
    </border>
    <border>
      <bottom style="thin">
        <color rgb="00F5F0E8"/>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1" applyAlignment="1" pivotButton="0" quotePrefix="0" xfId="0">
      <alignment horizontal="center" vertical="center"/>
    </xf>
    <xf numFmtId="0" fontId="4" fillId="0" borderId="1" pivotButton="0" quotePrefix="0" xfId="0"/>
    <xf numFmtId="0" fontId="4" fillId="3" borderId="1" applyAlignment="1" pivotButton="0" quotePrefix="0" xfId="0">
      <alignment horizontal="center" vertical="center"/>
    </xf>
    <xf numFmtId="0" fontId="4" fillId="3" borderId="1" pivotButton="0" quotePrefix="0" xfId="0"/>
    <xf numFmtId="0" fontId="5" fillId="0" borderId="0" pivotButton="0" quotePrefix="0" xfId="0"/>
    <xf numFmtId="0" fontId="1" fillId="0" borderId="0" applyAlignment="1" pivotButton="0" quotePrefix="0" xfId="0">
      <alignment horizontal="left" vertical="top" wrapText="1"/>
    </xf>
    <xf numFmtId="0" fontId="4" fillId="4" borderId="1" applyAlignment="1" applyProtection="1" pivotButton="0" quotePrefix="0" xfId="0">
      <alignment horizontal="center" vertical="center"/>
      <protection locked="0" hidden="0"/>
    </xf>
    <xf numFmtId="0" fontId="0" fillId="4" borderId="0" applyAlignment="1" applyProtection="1" pivotButton="0" quotePrefix="0" xfId="0">
      <alignment horizontal="general" vertical="top" wrapText="1"/>
      <protection locked="0" hidden="0"/>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3" fontId="0" fillId="0" borderId="0" pivotButton="0" quotePrefix="0" xfId="0"/>
    <xf numFmtId="0" fontId="6" fillId="0" borderId="0" pivotButton="0" quotePrefix="0" xfId="0"/>
    <xf numFmtId="0" fontId="0" fillId="0" borderId="0" applyAlignment="1" pivotButton="0" quotePrefix="0" xfId="0">
      <alignment horizontal="left" vertical="top"/>
    </xf>
    <xf numFmtId="3" fontId="4" fillId="0" borderId="1" pivotButton="0" quotePrefix="0" xfId="0"/>
    <xf numFmtId="0" fontId="0" fillId="0" borderId="0" applyAlignment="1" pivotButton="0" quotePrefix="0" xfId="0">
      <alignment horizontal="left" vertical="top" wrapText="1"/>
    </xf>
  </cellXfs>
  <cellStyles count="1">
    <cellStyle name="Normal" xfId="0" builtinId="0" hidden="0"/>
  </cellStyles>
  <dxfs count="2">
    <dxf>
      <fill>
        <patternFill patternType="solid">
          <fgColor rgb="00C8E6C9"/>
          <bgColor rgb="00C8E6C9"/>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PIZZA SHOP STARTUP CHECKLIST</t>
        </is>
      </c>
    </row>
    <row r="2">
      <c r="A2" s="2" t="inlineStr">
        <is>
          <t>PHASE 1: BUSINESS SETUP &amp; TAXES (weeks 1-4)</t>
        </is>
      </c>
    </row>
    <row r="4">
      <c r="A4" s="3" t="inlineStr">
        <is>
          <t>OK</t>
        </is>
      </c>
      <c r="B4" s="3" t="inlineStr">
        <is>
          <t>TASK / ACTION</t>
        </is>
      </c>
      <c r="C4" s="3" t="inlineStr">
        <is>
          <t>RESPONSIBLE</t>
        </is>
      </c>
      <c r="D4" s="3" t="inlineStr">
        <is>
          <t>TIMING</t>
        </is>
      </c>
      <c r="E4" s="3" t="inlineStr">
        <is>
          <t>NOTES</t>
        </is>
      </c>
    </row>
    <row r="5">
      <c r="A5" s="10" t="inlineStr">
        <is>
          <t>☐</t>
        </is>
      </c>
      <c r="B5" s="5" t="inlineStr">
        <is>
          <t>Pre-lease zoning and fire-code check: oven flue and exhaust</t>
        </is>
      </c>
      <c r="C5" s="5" t="inlineStr">
        <is>
          <t>Owner / Code consultant</t>
        </is>
      </c>
      <c r="D5" s="5" t="inlineStr">
        <is>
          <t>Before signing the lease</t>
        </is>
      </c>
      <c r="E5" s="5" t="inlineStr">
        <is>
          <t>Ask the city planning (zoning) office whether the zoning allows a restaurant with a wood-fired oven, whether the space can take a dedicated exhaust duct and flue up to the roof, what occupancy load it allows, and whether the city issues patio (sidewalk café) permits on that street. Then ask the fire marshal in writing: is a hood required? Is a suppression system required? What is the oven's UL 2162 file number? With no flue path to the roof, there is no wood-fired oven.</t>
        </is>
      </c>
    </row>
    <row r="6">
      <c r="A6" s="10" t="inlineStr">
        <is>
          <t>☐</t>
        </is>
      </c>
      <c r="B6" s="5" t="inlineStr">
        <is>
          <t>Decide wood-fired, gas, or electric BEFORE signing the lease</t>
        </is>
      </c>
      <c r="C6" s="5" t="inlineStr">
        <is>
          <t>Owner</t>
        </is>
      </c>
      <c r="D6" s="5" t="inlineStr">
        <is>
          <t>Before signing the lease</t>
        </is>
      </c>
      <c r="E6" s="5" t="inlineStr">
        <is>
          <t>A wood-fired oven needs a dedicated flue to the roof with a spark arrestor, built to NFPA 96 chapter 14 and your local fire and mechanical codes. Gas needs a licensed gas contractor. An electric oven (about 16.4 kW of three-phase power for a six-pizza model) still needs a hood and exhaust for steam and grease. Only wood fire can follow the Neapolitan tradition, and VPN-certified status needs AVPN certification on top of that.</t>
        </is>
      </c>
    </row>
    <row r="7">
      <c r="A7" s="10" t="inlineStr">
        <is>
          <t>☐</t>
        </is>
      </c>
      <c r="B7" s="5" t="inlineStr">
        <is>
          <t>Choose your legal structure: LLC vs S corp</t>
        </is>
      </c>
      <c r="C7" s="5" t="inlineStr">
        <is>
          <t>Accountant</t>
        </is>
      </c>
      <c r="D7" s="5" t="inlineStr">
        <is>
          <t>Week 1</t>
        </is>
      </c>
      <c r="E7" s="5" t="inlineStr">
        <is>
          <t>The financial plan assumes an effective income tax rate of 25% (21% federal plus state), as for a C corporation. An LLC taxed as a pass-through pays through your personal return instead, and early losses carry forward as net operating losses. Compare an LLC vs S corp election with your CPA, using the plan's numbers.</t>
        </is>
      </c>
    </row>
    <row r="8">
      <c r="A8" s="10" t="inlineStr">
        <is>
          <t>☐</t>
        </is>
      </c>
      <c r="B8" s="5" t="inlineStr">
        <is>
          <t>Form the LLC (or corporation) with your state</t>
        </is>
      </c>
      <c r="C8" s="5" t="inlineStr">
        <is>
          <t>Attorney / CPA</t>
        </is>
      </c>
      <c r="D8" s="5" t="inlineStr">
        <is>
          <t>Weeks 1-2</t>
        </is>
      </c>
      <c r="E8" s="5" t="inlineStr">
        <is>
          <t>Filing fees, annual reports and franchise taxes vary by state. Check your Secretary of State's website before you file.</t>
        </is>
      </c>
    </row>
    <row r="9">
      <c r="A9" s="10" t="inlineStr">
        <is>
          <t>☐</t>
        </is>
      </c>
      <c r="B9" s="5" t="inlineStr">
        <is>
          <t>Get your EIN and register for state payroll and unemployment taxes</t>
        </is>
      </c>
      <c r="C9" s="5" t="inlineStr">
        <is>
          <t>Accountant</t>
        </is>
      </c>
      <c r="D9" s="5" t="inlineStr">
        <is>
          <t>Week 2</t>
        </is>
      </c>
      <c r="E9" s="5" t="inlineStr">
        <is>
          <t>Get your EIN directly from the IRS (it is free; never pay a third-party site). Then register with your state revenue and labor agencies for payroll withholding and unemployment insurance (SUTA), and ask your CPA whether your county or city requires its own registration.</t>
        </is>
      </c>
    </row>
    <row r="10">
      <c r="A10" s="10" t="inlineStr">
        <is>
          <t>☐</t>
        </is>
      </c>
      <c r="B10" s="5" t="inlineStr">
        <is>
          <t>Workers' compensation insurance and payroll account</t>
        </is>
      </c>
      <c r="C10" s="5" t="inlineStr">
        <is>
          <t>Accountant</t>
        </is>
      </c>
      <c r="D10" s="5" t="inlineStr">
        <is>
          <t>Week 2</t>
        </is>
      </c>
      <c r="E10" s="5" t="inlineStr">
        <is>
          <t>Premiums depend on your state, your payroll and your job classes. Get quotes from your insurance broker or the state fund.</t>
        </is>
      </c>
    </row>
    <row r="11">
      <c r="A11" s="10" t="inlineStr">
        <is>
          <t>☐</t>
        </is>
      </c>
      <c r="B11" s="5" t="inlineStr">
        <is>
          <t>IRS and state tax portal online accounts</t>
        </is>
      </c>
      <c r="C11" s="5" t="inlineStr">
        <is>
          <t>Owner</t>
        </is>
      </c>
      <c r="D11" s="5" t="inlineStr">
        <is>
          <t>Week 1</t>
        </is>
      </c>
      <c r="E11" s="5" t="inlineStr">
        <is>
          <t>Your EIN, state registrations and entity documents come up in almost every later step: the bank, the lender, the city, and the health department.</t>
        </is>
      </c>
    </row>
    <row r="12">
      <c r="A12" s="10" t="inlineStr">
        <is>
          <t>☐</t>
        </is>
      </c>
      <c r="B12" s="5" t="inlineStr">
        <is>
          <t>Business bank account and business card</t>
        </is>
      </c>
      <c r="C12" s="5" t="inlineStr">
        <is>
          <t>Owner</t>
        </is>
      </c>
      <c r="D12" s="5" t="inlineStr">
        <is>
          <t>Week 2</t>
        </is>
      </c>
      <c r="E12" s="5" t="inlineStr">
        <is>
          <t>Keep them separate from personal accounts: card terminal settlements, delivery marketplace payouts and supplier payments all run through them.</t>
        </is>
      </c>
    </row>
    <row r="13">
      <c r="A13" s="10" t="inlineStr">
        <is>
          <t>☐</t>
        </is>
      </c>
      <c r="B13" s="5" t="inlineStr">
        <is>
          <t>Accountant / bookkeeper and a POS that reports sales tax</t>
        </is>
      </c>
      <c r="C13" s="5" t="inlineStr">
        <is>
          <t>Owner</t>
        </is>
      </c>
      <c r="D13" s="5" t="inlineStr">
        <is>
          <t>Weeks 2-4</t>
        </is>
      </c>
      <c r="E13" s="5" t="inlineStr">
        <is>
          <t>Payroll and onboarding for your team. Pick a POS that calculates and reports sales tax by jurisdiction before you buy it, and ask your CPA how often your state wants sales tax returns.</t>
        </is>
      </c>
    </row>
    <row r="14">
      <c r="A14" s="10" t="inlineStr">
        <is>
          <t>☐</t>
        </is>
      </c>
      <c r="B14" s="5" t="inlineStr">
        <is>
          <t>Take the plan to two lenders and compare loan offers</t>
        </is>
      </c>
      <c r="C14" s="5" t="inlineStr">
        <is>
          <t>Owner</t>
        </is>
      </c>
      <c r="D14" s="5" t="inlineStr">
        <is>
          <t>Weeks 2-4</t>
        </is>
      </c>
      <c r="E14" s="5" t="inlineStr">
        <is>
          <t>Bring the full plan with the month-by-month cash flow. Ask about an SBA 7(a) loan through the lender and the SBA Microloan. Lenders usually expect an owner equity injection (often around 10% for SBA start-ups; many want 20-30%); the plan's 10% rate is an assumption, not an APR. Also ask about leasing the oven and refrigeration.</t>
        </is>
      </c>
    </row>
    <row r="15">
      <c r="A15" s="10" t="inlineStr">
        <is>
          <t>☐</t>
        </is>
      </c>
      <c r="B15" s="5" t="inlineStr">
        <is>
          <t>General liability and property insurance with fire coverage</t>
        </is>
      </c>
      <c r="C15" s="5" t="inlineStr">
        <is>
          <t>Insurance broker</t>
        </is>
      </c>
      <c r="D15" s="5" t="inlineStr">
        <is>
          <t>Before construction</t>
        </is>
      </c>
      <c r="E15" s="5" t="inlineStr">
        <is>
          <t>Ask for general liability, property with fire and equipment breakdown (refrigeration), liquor liability if you will sell beer and wine, and workers' compensation. Tell the insurer the oven is wood-fired.</t>
        </is>
      </c>
    </row>
    <row r="16">
      <c r="A16" s="10" t="inlineStr">
        <is>
          <t>☐</t>
        </is>
      </c>
      <c r="B16" s="5" t="inlineStr">
        <is>
          <t>Trademark search and registration (USPTO)</t>
        </is>
      </c>
      <c r="C16" s="5" t="inlineStr">
        <is>
          <t>Owner</t>
        </is>
      </c>
      <c r="D16" s="5" t="inlineStr">
        <is>
          <t>Weeks 2-4</t>
        </is>
      </c>
      <c r="E16" s="5" t="inlineStr">
        <is>
          <t>Search the USPTO database and your state records first to make sure the name is free in restaurant services. "Neapolitan-style" is a descriptive phrase anyone may use, but "VPN-certified" is only for pizzerias certified by the AVPN, so keep it out of your name and your sign unless you hold the certification.</t>
        </is>
      </c>
    </row>
    <row r="17">
      <c r="C17" s="14" t="n"/>
      <c r="E17" s="14" t="n"/>
    </row>
    <row r="18">
      <c r="B18" t="inlineStr">
        <is>
          <t>Tasks completed:</t>
        </is>
      </c>
      <c r="C18" s="14">
        <f>COUNTIF(A5:A16,"✓")</f>
        <v>0.0</v>
      </c>
      <c r="D18" t="inlineStr">
        <is>
          <t>of</t>
        </is>
      </c>
      <c r="E18" s="14">
        <f>COUNTIF(B5:B16,"?*")-COUNTIF(A5:A16,"N/A")</f>
        <v>12.0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6">
    <cfRule type="containsText" priority="1" operator="containsText" dxfId="1" stopIfTrue="1" text="✓">
      <formula>NOT(ISERROR(SEARCH("✓",A5)))</formula>
    </cfRule>
  </conditionalFormatting>
  <dataValidations count="1">
    <dataValidation sqref="A5 A6 A7 A8 A9 A10 A11 A12 A13 A14 A15 A16"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21"/>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PIZZA SHOP STARTUP CHECKLIST</t>
        </is>
      </c>
    </row>
    <row r="2">
      <c r="A2" s="2" t="inlineStr">
        <is>
          <t>PHASE 2: SITE, HOOD, FLUE, PERMITS &amp; PATIO (weeks 3-14)</t>
        </is>
      </c>
    </row>
    <row r="4">
      <c r="A4" s="3" t="inlineStr">
        <is>
          <t>OK</t>
        </is>
      </c>
      <c r="B4" s="3" t="inlineStr">
        <is>
          <t>TASK / ACTION</t>
        </is>
      </c>
      <c r="C4" s="3" t="inlineStr">
        <is>
          <t>RESPONSIBLE</t>
        </is>
      </c>
      <c r="D4" s="3" t="inlineStr">
        <is>
          <t>TIMING</t>
        </is>
      </c>
      <c r="E4" s="3" t="inlineStr">
        <is>
          <t>NOTES</t>
        </is>
      </c>
    </row>
    <row r="5">
      <c r="A5" s="10" t="inlineStr">
        <is>
          <t>☐</t>
        </is>
      </c>
      <c r="B5" s="5" t="inlineStr">
        <is>
          <t>Choose the space: about 1,500 sq ft with a workable flue path to the roof</t>
        </is>
      </c>
      <c r="C5" s="5" t="inlineStr">
        <is>
          <t>Owner</t>
        </is>
      </c>
      <c r="D5" s="5" t="inlineStr">
        <is>
          <t>Weeks 3-6</t>
        </is>
      </c>
      <c r="E5" s="5" t="inlineStr">
        <is>
          <t>Dining room of about 750 sq ft for 50 seats, kitchen of about 320 sq ft with the oven in view, dry wood storage, restrooms and a staff area. A neighborhood street with foot traffic on evenings and weekends, and room for a patio if your city allows one.</t>
        </is>
      </c>
    </row>
    <row r="6">
      <c r="A6" s="10" t="inlineStr">
        <is>
          <t>☐</t>
        </is>
      </c>
      <c r="B6" s="5" t="inlineStr">
        <is>
          <t>Check electrical capacity: about 25 kW of three-phase power</t>
        </is>
      </c>
      <c r="C6" s="5" t="inlineStr">
        <is>
          <t>Electrician / Utility</t>
        </is>
      </c>
      <c r="D6" s="5" t="inlineStr">
        <is>
          <t>Before signing</t>
        </is>
      </c>
      <c r="E6" s="5" t="inlineStr">
        <is>
          <t>Refrigeration, mixer, dishwasher, exhaust, HVAC and espresso machine; an electric oven adds about 16 kW. A single-phase space may need a new service from the utility: ask for the timeline and cost.</t>
        </is>
      </c>
    </row>
    <row r="7">
      <c r="A7" s="10" t="inlineStr">
        <is>
          <t>☐</t>
        </is>
      </c>
      <c r="B7" s="5" t="inlineStr">
        <is>
          <t>Walk the flue path to the roof with a mechanical contractor</t>
        </is>
      </c>
      <c r="C7" s="5" t="inlineStr">
        <is>
          <t>Architect / engineer</t>
        </is>
      </c>
      <c r="D7" s="5" t="inlineStr">
        <is>
          <t>Before signing</t>
        </is>
      </c>
      <c r="E7" s="5" t="inlineStr">
        <is>
          <t>A dedicated, continuous, sealed duct to the roof, through a shaft or up an exterior wall, with the landlord's written approval if it crosses shared areas or the building exterior.</t>
        </is>
      </c>
    </row>
    <row r="8">
      <c r="A8" s="10" t="inlineStr">
        <is>
          <t>☐</t>
        </is>
      </c>
      <c r="B8" s="5" t="inlineStr">
        <is>
          <t>Negotiate the lease: free-rent period during build-out and security deposit</t>
        </is>
      </c>
      <c r="C8" s="5" t="inlineStr">
        <is>
          <t>Owner</t>
        </is>
      </c>
      <c r="D8" s="5" t="inlineStr">
        <is>
          <t>Before signing</t>
        </is>
      </c>
      <c r="E8" s="5" t="inlineStr">
        <is>
          <t>The plan counts two months of rent before opening plus a security deposit. Ask for free rent while the build-out and the flue go in, and add a contingency that lets you walk away if the beer and wine license or the permits fall through.</t>
        </is>
      </c>
    </row>
    <row r="9">
      <c r="A9" s="10" t="inlineStr">
        <is>
          <t>☐</t>
        </is>
      </c>
      <c r="B9" s="5" t="inlineStr">
        <is>
          <t>Lease with a permitted use for a pizza shop with a wood-fired oven</t>
        </is>
      </c>
      <c r="C9" s="5" t="inlineStr">
        <is>
          <t>Owner / Attorney</t>
        </is>
      </c>
      <c r="D9" s="5" t="inlineStr">
        <is>
          <t>Week 6</t>
        </is>
      </c>
      <c r="E9" s="5" t="inlineStr">
        <is>
          <t>It should name the use (restaurant with a wood-fired oven) and authorize the flue and exhaust work on the roof and the building.</t>
        </is>
      </c>
    </row>
    <row r="10">
      <c r="A10" s="10" t="inlineStr">
        <is>
          <t>☐</t>
        </is>
      </c>
      <c r="B10" s="5" t="inlineStr">
        <is>
          <t>Commission the plans for the build-out, the hood and the flue</t>
        </is>
      </c>
      <c r="C10" s="5" t="inlineStr">
        <is>
          <t>Architect / Engineer</t>
        </is>
      </c>
      <c r="D10" s="5" t="inlineStr">
        <is>
          <t>Weeks 6-8</t>
        </is>
      </c>
      <c r="E10" s="5" t="inlineStr">
        <is>
          <t>Kitchen layout, electrical load, occupancy, ventilation, ADA accessibility, and the flue with its spark arrestor (NFPA 96 chapter 14). Your city may add its own mechanical, fire or air-quality rules: ask in the pre-application meeting.</t>
        </is>
      </c>
    </row>
    <row r="11">
      <c r="A11" s="10" t="inlineStr">
        <is>
          <t>☐</t>
        </is>
      </c>
      <c r="B11" s="5" t="inlineStr">
        <is>
          <t>Zoning approval and local business license</t>
        </is>
      </c>
      <c r="C11" s="5" t="inlineStr">
        <is>
          <t>Owner / City planning office</t>
        </is>
      </c>
      <c r="D11" s="5" t="inlineStr">
        <is>
          <t>Before construction</t>
        </is>
      </c>
      <c r="E11" s="5" t="inlineStr">
        <is>
          <t>A restaurant usually needs a city or county business license, a state sales tax permit and, depending on the zoning, a conditional use approval. Ask in the pre-application meeting which ones apply to you and in what order.</t>
        </is>
      </c>
    </row>
    <row r="12">
      <c r="A12" s="10" t="inlineStr">
        <is>
          <t>☐</t>
        </is>
      </c>
      <c r="B12" s="5" t="inlineStr">
        <is>
          <t>Building permit for the build-out and the flue</t>
        </is>
      </c>
      <c r="C12" s="5" t="inlineStr">
        <is>
          <t>Owner / City planning office</t>
        </is>
      </c>
      <c r="D12" s="5" t="inlineStr">
        <is>
          <t>Weeks 6-8, before construction starts</t>
        </is>
      </c>
      <c r="E12" s="5" t="inlineStr">
        <is>
          <t>The build-out, hood and flue go through the building department's permit and inspection process, ending with a certificate of occupancy (CO). Ask in the pre-application meeting what drawings and engineering they want.</t>
        </is>
      </c>
    </row>
    <row r="13">
      <c r="A13" s="10" t="inlineStr">
        <is>
          <t>☐</t>
        </is>
      </c>
      <c r="B13" s="5" t="inlineStr">
        <is>
          <t>Apply for the patio permit</t>
        </is>
      </c>
      <c r="C13" s="5" t="inlineStr">
        <is>
          <t>Owner / City</t>
        </is>
      </c>
      <c r="D13" s="5" t="inlineStr">
        <is>
          <t>Together with the zoning approval</t>
        </is>
      </c>
      <c r="E13" s="5" t="inlineStr">
        <is>
          <t>Using the public sidewalk or right-of-way is always permitted separately. Ask your city about the fee, the hours, the furniture rules and whether beer and wine can be served on the patio.</t>
        </is>
      </c>
    </row>
    <row r="14">
      <c r="A14" s="10" t="inlineStr">
        <is>
          <t>☐</t>
        </is>
      </c>
      <c r="B14" s="5" t="inlineStr">
        <is>
          <t>If you use gas: licensed gas contractor and permit</t>
        </is>
      </c>
      <c r="C14" s="5" t="inlineStr">
        <is>
          <t>Licensed gas contractor</t>
        </is>
      </c>
      <c r="D14" s="5" t="inlineStr">
        <is>
          <t>During construction</t>
        </is>
      </c>
      <c r="E14" s="5" t="inlineStr">
        <is>
          <t>Gas permit, pressure test and inspection by the local authority, plus the appliance start-up by the contractor. Ask the utility and the fire marshal what they also require.</t>
        </is>
      </c>
    </row>
    <row r="15">
      <c r="A15" s="10" t="inlineStr">
        <is>
          <t>☐</t>
        </is>
      </c>
      <c r="B15" s="5" t="inlineStr">
        <is>
          <t>Kitchen and dining room build-out: washable surfaces</t>
        </is>
      </c>
      <c r="C15" s="5" t="inlineStr">
        <is>
          <t>Contractor</t>
        </is>
      </c>
      <c r="D15" s="5" t="inlineStr">
        <is>
          <t>Weeks 8-12</t>
        </is>
      </c>
      <c r="E15" s="5" t="inlineStr">
        <is>
          <t>Smooth, nonabsorbent walls, slip-resistant floors, washable ceilings, a handwashing sink with hands-free controls, restrooms (one ADA-accessible), and sound insulation if you have neighbors.</t>
        </is>
      </c>
    </row>
    <row r="16">
      <c r="A16" s="10" t="inlineStr">
        <is>
          <t>☐</t>
        </is>
      </c>
      <c r="B16" s="5" t="inlineStr">
        <is>
          <t>Flue, spark arrestor and oven base</t>
        </is>
      </c>
      <c r="C16" s="5" t="inlineStr">
        <is>
          <t>Installer / Engineer</t>
        </is>
      </c>
      <c r="D16" s="5" t="inlineStr">
        <is>
          <t>Weeks 8-12</t>
        </is>
      </c>
      <c r="E16" s="5" t="inlineStr">
        <is>
          <t>Double-wall, listed flue up to the roof and a base that carries the oven's weight: get the figure from the manufacturer before construction.</t>
        </is>
      </c>
    </row>
    <row r="17">
      <c r="A17" s="10" t="inlineStr">
        <is>
          <t>☐</t>
        </is>
      </c>
      <c r="B17" s="5" t="inlineStr">
        <is>
          <t>Plumbing, grease interceptor, HVAC &amp; makeup air</t>
        </is>
      </c>
      <c r="C17" s="5" t="inlineStr">
        <is>
          <t>Installer</t>
        </is>
      </c>
      <c r="D17" s="5" t="inlineStr">
        <is>
          <t>Weeks 8-12</t>
        </is>
      </c>
      <c r="E17" s="5" t="inlineStr">
        <is>
          <t>Hot and cold water in the pizza station, drains with a grease interceptor, HVAC for the dining room and exhaust with makeup air for the support kitchen</t>
        </is>
      </c>
    </row>
    <row r="18">
      <c r="A18" s="10" t="inlineStr">
        <is>
          <t>☐</t>
        </is>
      </c>
      <c r="B18" s="5" t="inlineStr">
        <is>
          <t>Install the oven and cure the refractory</t>
        </is>
      </c>
      <c r="C18" s="5" t="inlineStr">
        <is>
          <t>Manufacturer / Installer</t>
        </is>
      </c>
      <c r="D18" s="5" t="inlineStr">
        <is>
          <t>Weeks 11-13</t>
        </is>
      </c>
      <c r="E18" s="5" t="inlineStr">
        <is>
          <t>Cure the new refractory with progressively larger fires, following the manufacturer's instructions. Do not take it to service temperature on the first day.</t>
        </is>
      </c>
    </row>
    <row r="19">
      <c r="A19" s="10" t="inlineStr">
        <is>
          <t>☐</t>
        </is>
      </c>
      <c r="B19" s="5" t="inlineStr">
        <is>
          <t>Electrical upgrade, final inspections and certificate of occupancy</t>
        </is>
      </c>
      <c r="C19" s="5" t="inlineStr">
        <is>
          <t>Licensed electrician / Inspector</t>
        </is>
      </c>
      <c r="D19" s="5" t="inlineStr">
        <is>
          <t>During and after construction</t>
        </is>
      </c>
      <c r="E19" s="5" t="inlineStr">
        <is>
          <t>The electrical sign-off for the new three-phase service and the final inspections that lead to your CO. Keep every sign-off: the health department will ask for them.</t>
        </is>
      </c>
    </row>
    <row r="21">
      <c r="B21" s="5" t="inlineStr">
        <is>
          <t>Tasks completed:</t>
        </is>
      </c>
      <c r="C21" s="17">
        <f>COUNTIF(A5:A19,"✓")</f>
        <v>0.0</v>
      </c>
      <c r="D21" s="5" t="inlineStr">
        <is>
          <t>of</t>
        </is>
      </c>
      <c r="E21" s="17">
        <f>COUNTIF(B5:B19,"?*")-COUNTIF(A5:A19,"N/A")</f>
        <v>15.0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9">
    <cfRule type="containsText" priority="1" operator="containsText" dxfId="1" stopIfTrue="1" text="✓">
      <formula>NOT(ISERROR(SEARCH("✓",A5)))</formula>
    </cfRule>
  </conditionalFormatting>
  <dataValidations count="1">
    <dataValidation sqref="A5 A6 A7 A8 A9 A10 A11 A12 A13 A14 A15 A16 A17 A18 A19"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20"/>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PIZZA SHOP STARTUP CHECKLIST</t>
        </is>
      </c>
    </row>
    <row r="2">
      <c r="A2" s="2" t="inlineStr">
        <is>
          <t>PHASE 3: KITCHEN, OVEN &amp; HEALTH PERMIT (weeks 6-14)</t>
        </is>
      </c>
    </row>
    <row r="4">
      <c r="A4" s="3" t="inlineStr">
        <is>
          <t>OK</t>
        </is>
      </c>
      <c r="B4" s="3" t="inlineStr">
        <is>
          <t>TASK / ACTION</t>
        </is>
      </c>
      <c r="C4" s="3" t="inlineStr">
        <is>
          <t>RESPONSIBLE</t>
        </is>
      </c>
      <c r="D4" s="3" t="inlineStr">
        <is>
          <t>TIMING</t>
        </is>
      </c>
      <c r="E4" s="3" t="inlineStr">
        <is>
          <t>NOTES</t>
        </is>
      </c>
    </row>
    <row r="5">
      <c r="A5" s="10" t="inlineStr">
        <is>
          <t>☐</t>
        </is>
      </c>
      <c r="B5" s="5" t="inlineStr">
        <is>
          <t>Buy the oven, the mixer and the pizza prep table</t>
        </is>
      </c>
      <c r="C5" s="5" t="inlineStr">
        <is>
          <t>Owner</t>
        </is>
      </c>
      <c r="D5" s="5" t="inlineStr">
        <is>
          <t>Weeks 6-8</t>
        </is>
      </c>
      <c r="E5" s="5" t="inlineStr">
        <is>
          <t>Wood-fired dome oven of 47-51 in (120-130 cm) in diameter, UL 2162-listed (about six pizzas at a time), a spiral mixer for 66-88 lb (30-40 kg) of dough, and a refrigerated pizza prep table with a granite top. Ask for the technical data sheet, power draw, lead time and installation.</t>
        </is>
      </c>
    </row>
    <row r="6">
      <c r="A6" s="10" t="inlineStr">
        <is>
          <t>☐</t>
        </is>
      </c>
      <c r="B6" s="5" t="inlineStr">
        <is>
          <t>Buy the cabinets for the dough ball boxes and the ingredient refrigeration</t>
        </is>
      </c>
      <c r="C6" s="5" t="inlineStr">
        <is>
          <t>Owner</t>
        </is>
      </c>
      <c r="D6" s="5" t="inlineStr">
        <is>
          <t>Weeks 8-10</t>
        </is>
      </c>
      <c r="E6" s="5" t="inlineStr">
        <is>
          <t>Ventilated shelving for dough ball boxes and cheeses, a chest freezer, and lidded boxes for the dough balls.</t>
        </is>
      </c>
    </row>
    <row r="7">
      <c r="A7" s="10" t="inlineStr">
        <is>
          <t>☐</t>
        </is>
      </c>
      <c r="B7" s="5" t="inlineStr">
        <is>
          <t>Dry, untreated firewood, stored away from the oven</t>
        </is>
      </c>
      <c r="C7" s="5" t="inlineStr">
        <is>
          <t>Owner</t>
        </is>
      </c>
      <c r="D7" s="5" t="inlineStr">
        <is>
          <t>Before opening</t>
        </is>
      </c>
      <c r="E7" s="5" t="inlineStr">
        <is>
          <t>Oak, beech, ash or olive, seasoned dry; never painted or stained wood, and never particleboard. Store it dry, ventilated and away from the oven mouth (NFPA 96 and your fire marshal set the distance), with a supplier that delivers regularly.</t>
        </is>
      </c>
    </row>
    <row r="8">
      <c r="A8" s="10" t="inlineStr">
        <is>
          <t>☐</t>
        </is>
      </c>
      <c r="B8" s="5" t="inlineStr">
        <is>
          <t>Submit your plans for health department plan review and apply for the health permit</t>
        </is>
      </c>
      <c r="C8" s="5" t="inlineStr">
        <is>
          <t>Owner / Health department</t>
        </is>
      </c>
      <c r="D8" s="5" t="inlineStr">
        <is>
          <t>Before construction starts</t>
        </is>
      </c>
      <c r="E8" s="5" t="inlineStr">
        <is>
          <t>Submit the menu, equipment list, floor plan and finishes to your local health department for plan review (Food Code 8-201.11) before you build. After the final inspection you receive the health permit. Rules vary by state and county, so ask what they need.</t>
        </is>
      </c>
    </row>
    <row r="9">
      <c r="A9" s="10" t="inlineStr">
        <is>
          <t>☐</t>
        </is>
      </c>
      <c r="B9" s="5" t="inlineStr">
        <is>
          <t>Written food safety plan for the dough: times and temperatures of the dough balls</t>
        </is>
      </c>
      <c r="C9" s="5" t="inlineStr">
        <is>
          <t>Consultant / Owner</t>
        </is>
      </c>
      <c r="D9" s="5" t="inlineStr">
        <is>
          <t>Before opening</t>
        </is>
      </c>
      <c r="E9" s="5" t="inlineStr">
        <is>
          <t>Same-day dough: first fermentation, balling, second proof at room temperature, and use within the window your written plan sets. Cold-ferment dough: the temperature and time your plan validates, with a record for every batch.</t>
        </is>
      </c>
    </row>
    <row r="10">
      <c r="A10" s="10" t="inlineStr">
        <is>
          <t>☐</t>
        </is>
      </c>
      <c r="B10" s="5" t="inlineStr">
        <is>
          <t>Cold holding of cheeses and cured meats at 41 °F or below</t>
        </is>
      </c>
      <c r="C10" s="5" t="inlineStr">
        <is>
          <t>Owner</t>
        </is>
      </c>
      <c r="D10" s="5" t="inlineStr">
        <is>
          <t>Before opening</t>
        </is>
      </c>
      <c r="E10" s="5" t="inlineStr">
        <is>
          <t>Keep fior di latte, mozzarella di bufala and cured meats at 41 °F (5 °C) or below unless the manufacturer's label says otherwise. Anything you freeze goes in sealed packaging labeled with the prep date and the freeze date. Log temperatures at opening, midday and close.</t>
        </is>
      </c>
    </row>
    <row r="11">
      <c r="A11" s="10" t="inlineStr">
        <is>
          <t>☐</t>
        </is>
      </c>
      <c r="B11" s="5" t="inlineStr">
        <is>
          <t>Traceability and records: dough batches, temperatures, suppliers</t>
        </is>
      </c>
      <c r="C11" s="5" t="inlineStr">
        <is>
          <t>Owner</t>
        </is>
      </c>
      <c r="D11" s="5" t="inlineStr">
        <is>
          <t>From the first batch</t>
        </is>
      </c>
      <c r="E11" s="5" t="inlineStr">
        <is>
          <t>Flour and cheese lot and date, time of each dough batch, refrigerator temperatures, and the supplier of every ingredient.</t>
        </is>
      </c>
    </row>
    <row r="12">
      <c r="A12" s="10" t="inlineStr">
        <is>
          <t>☐</t>
        </is>
      </c>
      <c r="B12" s="5" t="inlineStr">
        <is>
          <t>Recipe cards for each pizza with its allergens</t>
        </is>
      </c>
      <c r="C12" s="5" t="inlineStr">
        <is>
          <t>Head pizzaiolo</t>
        </is>
      </c>
      <c r="D12" s="5" t="inlineStr">
        <is>
          <t>Before opening</t>
        </is>
      </c>
      <c r="E12" s="5" t="inlineStr">
        <is>
          <t>Wheat (every pizza), milk (cheeses), tree nuts (pesto, pistachio), fish (anchovy), and sesame and egg if you use them. Mustard and sulfites (cured meats, wine) are not among the 9 major US allergens, but list them for guests who ask. Cost each pizza with the kit's dough and food cost calculator.</t>
        </is>
      </c>
    </row>
    <row r="13">
      <c r="A13" s="10" t="inlineStr">
        <is>
          <t>☐</t>
        </is>
      </c>
      <c r="B13" s="5" t="inlineStr">
        <is>
          <t>Allergen information on the menu and in the dining room</t>
        </is>
      </c>
      <c r="C13" s="5" t="inlineStr">
        <is>
          <t>Owner</t>
        </is>
      </c>
      <c r="D13" s="5" t="inlineStr">
        <is>
          <t>Before opening</t>
        </is>
      </c>
      <c r="E13" s="5" t="inlineStr">
        <is>
          <t>Train your team to answer allergen questions (your CFPM must be able to explain the major allergens), add a menu note inviting guests to mention allergies, and keep a written allergen chart at the pass.</t>
        </is>
      </c>
    </row>
    <row r="14">
      <c r="A14" s="10" t="inlineStr">
        <is>
          <t>☐</t>
        </is>
      </c>
      <c r="B14" s="5" t="inlineStr">
        <is>
          <t>Allergens on delivery marketplaces and on your website</t>
        </is>
      </c>
      <c r="C14" s="5" t="inlineStr">
        <is>
          <t>Owner</t>
        </is>
      </c>
      <c r="D14" s="5" t="inlineStr">
        <is>
          <t>Before you sign up</t>
        </is>
      </c>
      <c r="E14" s="5" t="inlineStr">
        <is>
          <t>Online, guests cannot ask a server, so list the allergens on every item before they order. Review each pizza's listing on each delivery marketplace (DoorDash, Uber Eats, Grubhub) and on your own website.</t>
        </is>
      </c>
    </row>
    <row r="15">
      <c r="A15" s="10" t="inlineStr">
        <is>
          <t>☐</t>
        </is>
      </c>
      <c r="B15" s="5" t="inlineStr">
        <is>
          <t>Do not promise "gluten-free" without a protocol and testing</t>
        </is>
      </c>
      <c r="C15" s="5" t="inlineStr">
        <is>
          <t>Owner</t>
        </is>
      </c>
      <c r="D15" s="5" t="inlineStr">
        <is>
          <t>Before printing the menu</t>
        </is>
      </c>
      <c r="E15" s="5" t="inlineStr">
        <is>
          <t>"Gluten-free" on a menu has to meet the FDA definition of under 20 ppm (21 CFR 101.91), which is very hard with flour in the air of a pizza kitchen. Unless you use certified gluten-free dough, a separate prep area and oven, and testing, write "gluten-friendly: ask us" and add an allergen disclaimer.</t>
        </is>
      </c>
    </row>
    <row r="16">
      <c r="A16" s="10" t="inlineStr">
        <is>
          <t>☐</t>
        </is>
      </c>
      <c r="B16" s="5" t="inlineStr">
        <is>
          <t>Written procedure for time as a public health control (TPHC)</t>
        </is>
      </c>
      <c r="C16" s="5" t="inlineStr">
        <is>
          <t>Owner</t>
        </is>
      </c>
      <c r="D16" s="5" t="inlineStr">
        <is>
          <t>Before opening</t>
        </is>
      </c>
      <c r="E16" s="5" t="inlineStr">
        <is>
          <t>If dough, cut toppings or cheese ever sit out of temperature control, use time as the control: write the procedure, mark each item with its discard time and get health department approval (Food Code 3-501.19). Otherwise keep cold food at 41 °F (5 °C) or below.</t>
        </is>
      </c>
    </row>
    <row r="17">
      <c r="A17" s="10" t="inlineStr">
        <is>
          <t>☐</t>
        </is>
      </c>
      <c r="B17" s="5" t="inlineStr">
        <is>
          <t>Temperature of orders leaving the shop</t>
        </is>
      </c>
      <c r="C17" s="5" t="inlineStr">
        <is>
          <t>Owner</t>
        </is>
      </c>
      <c r="D17" s="5" t="inlineStr">
        <is>
          <t>Before the first order</t>
        </is>
      </c>
      <c r="E17" s="5" t="inlineStr">
        <is>
          <t>Insulated boxes and bags that hold temperature in transit (hot food at 135 °F (57 °C) or above, cold food at 41 °F (5 °C) or below), including for the delivery marketplace driver.</t>
        </is>
      </c>
    </row>
    <row r="18">
      <c r="A18" s="10" t="inlineStr">
        <is>
          <t>☐</t>
        </is>
      </c>
      <c r="B18" s="5" t="inlineStr">
        <is>
          <t>Flour, tomato, cheese and box suppliers</t>
        </is>
      </c>
      <c r="C18" s="5" t="inlineStr">
        <is>
          <t>Owner</t>
        </is>
      </c>
      <c r="D18" s="5" t="inlineStr">
        <is>
          <t>Weeks 10-14</t>
        </is>
      </c>
      <c r="E18" s="5" t="inlineStr">
        <is>
          <t>Two suppliers for each key ingredient (flour, fior di latte, San Marzano tomatoes) and pizza boxes for take-out. Check your local packaging ordinances (foam bans, compostable requirements) before you order boxes and bags.</t>
        </is>
      </c>
    </row>
    <row r="19">
      <c r="B19" s="8" t="n"/>
      <c r="C19" s="14" t="n"/>
      <c r="E19" s="14" t="n"/>
    </row>
    <row r="20">
      <c r="B20" s="8" t="inlineStr">
        <is>
          <t>Tasks completed:</t>
        </is>
      </c>
      <c r="C20" s="14">
        <f>COUNTIF(A5:A18,"✓")</f>
        <v>0.0</v>
      </c>
      <c r="D20" t="inlineStr">
        <is>
          <t>of</t>
        </is>
      </c>
      <c r="E20" s="14">
        <f>COUNTIF(B5:B18,"?*")-COUNTIF(A5:A18,"N/A")</f>
        <v>14.0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8">
    <cfRule type="containsText" priority="1" operator="containsText" dxfId="1" stopIfTrue="1" text="✓">
      <formula>NOT(ISERROR(SEARCH("✓",A5)))</formula>
    </cfRule>
  </conditionalFormatting>
  <dataValidations count="1">
    <dataValidation sqref="A5 A6 A7 A8 A9 A10 A11 A12 A13 A14 A15 A16 A17 A18"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PIZZA SHOP STARTUP CHECKLIST</t>
        </is>
      </c>
    </row>
    <row r="2">
      <c r="A2" s="2" t="inlineStr">
        <is>
          <t>PHASE 4: STAFF, TRAINING &amp; SAFETY (weeks 10-14)</t>
        </is>
      </c>
    </row>
    <row r="4">
      <c r="A4" s="3" t="inlineStr">
        <is>
          <t>OK</t>
        </is>
      </c>
      <c r="B4" s="3" t="inlineStr">
        <is>
          <t>TASK / ACTION</t>
        </is>
      </c>
      <c r="C4" s="3" t="inlineStr">
        <is>
          <t>RESPONSIBLE</t>
        </is>
      </c>
      <c r="D4" s="3" t="inlineStr">
        <is>
          <t>TIMING</t>
        </is>
      </c>
      <c r="E4" s="3" t="inlineStr">
        <is>
          <t>NOTES</t>
        </is>
      </c>
    </row>
    <row r="5">
      <c r="A5" s="10" t="inlineStr">
        <is>
          <t>☐</t>
        </is>
      </c>
      <c r="B5" s="5" t="inlineStr">
        <is>
          <t>Set pay rates against the state and local minimum wage</t>
        </is>
      </c>
      <c r="C5" s="5" t="inlineStr">
        <is>
          <t>Accountant</t>
        </is>
      </c>
      <c r="D5" s="5" t="inlineStr">
        <is>
          <t>Week 10</t>
        </is>
      </c>
      <c r="E5" s="5" t="inlineStr">
        <is>
          <t>Look up the federal minimum wage (7.25 per hour) and your state and city minimums: the highest one applies. Enter your lowest hourly wage on the "0. Assumptions" sheet of the plan.</t>
        </is>
      </c>
    </row>
    <row r="6">
      <c r="A6" s="10" t="inlineStr">
        <is>
          <t>☐</t>
        </is>
      </c>
      <c r="B6" s="5" t="inlineStr">
        <is>
          <t>Offer letters for full-time and part-time staff</t>
        </is>
      </c>
      <c r="C6" s="5" t="inlineStr">
        <is>
          <t>Accountant</t>
        </is>
      </c>
      <c r="D6" s="5" t="inlineStr">
        <is>
          <t>Before opening</t>
        </is>
      </c>
      <c r="E6" s="5" t="inlineStr">
        <is>
          <t>With schedule, pay rate and role. Collect a W-4 and an I-9 (with identity documents) from every hire, the I-9 within 3 business days of the start date. Classify people correctly: a 1099 contractor who works your schedule at your address is a misclassification risk.</t>
        </is>
      </c>
    </row>
    <row r="7">
      <c r="A7" s="10" t="inlineStr">
        <is>
          <t>☐</t>
        </is>
      </c>
      <c r="B7" s="5" t="inlineStr">
        <is>
          <t>Hire the second pizzaiolo before opening</t>
        </is>
      </c>
      <c r="C7" s="5" t="inlineStr">
        <is>
          <t>Owner</t>
        </is>
      </c>
      <c r="D7" s="5" t="inlineStr">
        <is>
          <t>Weeks 10-12</t>
        </is>
      </c>
      <c r="E7" s="5" t="inlineStr">
        <is>
          <t>Have them learn the dough and the oven with you before opening: if only you know them, one sick day closes the shop.</t>
        </is>
      </c>
    </row>
    <row r="8">
      <c r="A8" s="10" t="inlineStr">
        <is>
          <t>☐</t>
        </is>
      </c>
      <c r="B8" s="5" t="inlineStr">
        <is>
          <t>Time clock and overtime records</t>
        </is>
      </c>
      <c r="C8" s="5" t="inlineStr">
        <is>
          <t>Owner</t>
        </is>
      </c>
      <c r="D8" s="5" t="inlineStr">
        <is>
          <t>From the first hire</t>
        </is>
      </c>
      <c r="E8" s="5" t="inlineStr">
        <is>
          <t>Required for every hourly employee under the FLSA (overtime after 40 hours a week), part-time included. Keep payroll records for at least three years.</t>
        </is>
      </c>
    </row>
    <row r="9">
      <c r="A9" s="10" t="inlineStr">
        <is>
          <t>☐</t>
        </is>
      </c>
      <c r="B9" s="5" t="inlineStr">
        <is>
          <t>Schedule for both services and Saturday night</t>
        </is>
      </c>
      <c r="C9" s="5" t="inlineStr">
        <is>
          <t>Owner</t>
        </is>
      </c>
      <c r="D9" s="5" t="inlineStr">
        <is>
          <t>Week 12</t>
        </is>
      </c>
      <c r="E9" s="5" t="inlineStr">
        <is>
          <t>Lunch and dinner, Tuesday to Sunday, closed Mondays; Saturday night needs about five people.</t>
        </is>
      </c>
    </row>
    <row r="10">
      <c r="A10" s="10" t="inlineStr">
        <is>
          <t>☐</t>
        </is>
      </c>
      <c r="B10" s="5" t="inlineStr">
        <is>
          <t>Own delivery drivers: W-2 employees only</t>
        </is>
      </c>
      <c r="C10" s="5" t="inlineStr">
        <is>
          <t>Accountant</t>
        </is>
      </c>
      <c r="D10" s="5" t="inlineStr">
        <is>
          <t>If you deliver yourself</t>
        </is>
      </c>
      <c r="E10" s="5" t="inlineStr">
        <is>
          <t>Your own drivers are employees on payroll (W-2), and because they drive their own cars on your behalf you also need hired and non-owned auto insurance (check your state). Do not treat them as independent contractors. Drivers for DoorDash, Uber Eats and Grubhub work for the marketplace, not for you.</t>
        </is>
      </c>
    </row>
    <row r="11">
      <c r="A11" s="10" t="inlineStr">
        <is>
          <t>☐</t>
        </is>
      </c>
      <c r="B11" s="5" t="inlineStr">
        <is>
          <t>Minors under 18: hour limits and prohibited equipment</t>
        </is>
      </c>
      <c r="C11" s="5" t="inlineStr">
        <is>
          <t>Accountant</t>
        </is>
      </c>
      <c r="D11" s="5" t="inlineStr">
        <is>
          <t>If you hire minors</t>
        </is>
      </c>
      <c r="E11" s="5" t="inlineStr">
        <is>
          <t>The FLSA and your state limit the hours of workers under 16 and bar those under 18 from some equipment, including power-driven dough mixers and slicers. Confirm the rules and any work permit requirements with your state labor department.</t>
        </is>
      </c>
    </row>
    <row r="12">
      <c r="A12" s="10" t="inlineStr">
        <is>
          <t>☐</t>
        </is>
      </c>
      <c r="B12" s="5" t="inlineStr">
        <is>
          <t>Food handler cards and a Certified Food Protection Manager (CFPM)</t>
        </is>
      </c>
      <c r="C12" s="5" t="inlineStr">
        <is>
          <t>Owner</t>
        </is>
      </c>
      <c r="D12" s="5" t="inlineStr">
        <is>
          <t>Before opening</t>
        </is>
      </c>
      <c r="E12" s="5" t="inlineStr">
        <is>
          <t>At least one CFPM (Food Code 2-102.12) with an accredited exam, and food handler cards for the rest of the team wherever your state or county requires them. Cover hygiene, dough and cheese temperatures, allergens and cross-contact.</t>
        </is>
      </c>
    </row>
    <row r="13">
      <c r="A13" s="10" t="inlineStr">
        <is>
          <t>☐</t>
        </is>
      </c>
      <c r="B13" s="5" t="inlineStr">
        <is>
          <t>Training for the pizzaiolo and the wood-fired oven</t>
        </is>
      </c>
      <c r="C13" s="5" t="inlineStr">
        <is>
          <t>Owner</t>
        </is>
      </c>
      <c r="D13" s="5" t="inlineStr">
        <is>
          <t>Before opening</t>
        </is>
      </c>
      <c r="E13" s="5" t="inlineStr">
        <is>
          <t>Dough, fermentation, hand stretching, fire management and the peel: it is an investment, not an expense.</t>
        </is>
      </c>
    </row>
    <row r="14">
      <c r="A14" s="10" t="inlineStr">
        <is>
          <t>☐</t>
        </is>
      </c>
      <c r="B14" s="5" t="inlineStr">
        <is>
          <t>OSHA basics: safety plan and training</t>
        </is>
      </c>
      <c r="C14" s="5" t="inlineStr">
        <is>
          <t>Insurance carrier / Consultant</t>
        </is>
      </c>
      <c r="D14" s="5" t="inlineStr">
        <is>
          <t>Before opening</t>
        </is>
      </c>
      <c r="E14" s="5" t="inlineStr">
        <is>
          <t>Cover the basics: oven burns, cuts, lifting firewood and flour sacks, slips, smoke and heat. Post the required OSHA poster, keep an injury log if your size requires it, and train the team on each hazard.</t>
        </is>
      </c>
    </row>
    <row r="15">
      <c r="A15" s="10" t="inlineStr">
        <is>
          <t>☐</t>
        </is>
      </c>
      <c r="B15" s="5" t="inlineStr">
        <is>
          <t>Employee health policy and first aid</t>
        </is>
      </c>
      <c r="C15" s="5" t="inlineStr">
        <is>
          <t>Insurance carrier / Consultant</t>
        </is>
      </c>
      <c r="D15" s="5" t="inlineStr">
        <is>
          <t>At hire</t>
        </is>
      </c>
      <c r="E15" s="5" t="inlineStr">
        <is>
          <t>Have every new hire sign an employee health agreement (report illness symptoms; Food Code 2-201) and stock a first aid kit.</t>
        </is>
      </c>
    </row>
    <row r="16">
      <c r="A16" s="10" t="inlineStr">
        <is>
          <t>☐</t>
        </is>
      </c>
      <c r="B16" s="5" t="inlineStr">
        <is>
          <t>Pest control</t>
        </is>
      </c>
      <c r="C16" s="5" t="inlineStr">
        <is>
          <t>Licensed pest control operator</t>
        </is>
      </c>
      <c r="D16" s="5" t="inlineStr">
        <is>
          <t>Before opening</t>
        </is>
      </c>
      <c r="E16" s="5" t="inlineStr">
        <is>
          <t>Contract with a licensed pest control operator: it is part of the prerequisites of your written food safety plan.</t>
        </is>
      </c>
    </row>
    <row r="17">
      <c r="A17" s="10" t="inlineStr">
        <is>
          <t>☐</t>
        </is>
      </c>
      <c r="B17" s="5" t="inlineStr">
        <is>
          <t>Cleaning plan for the kitchen, the dining room and the oven</t>
        </is>
      </c>
      <c r="C17" s="5" t="inlineStr">
        <is>
          <t>Owner</t>
        </is>
      </c>
      <c r="D17" s="5" t="inlineStr">
        <is>
          <t>Before opening</t>
        </is>
      </c>
      <c r="E17" s="5" t="inlineStr">
        <is>
          <t>Prep table, mixer, dough ball boxes, peels and the oven mouth; ashes into a lidded metal container, removed daily; with a log.</t>
        </is>
      </c>
    </row>
    <row r="18">
      <c r="C18" s="14" t="n"/>
      <c r="E18" s="14" t="n"/>
    </row>
    <row r="19">
      <c r="B19" t="inlineStr">
        <is>
          <t>Tasks completed:</t>
        </is>
      </c>
      <c r="C19" s="14">
        <f>COUNTIF(A5:A17,"✓")</f>
        <v>0.0</v>
      </c>
      <c r="D19" t="inlineStr">
        <is>
          <t>of</t>
        </is>
      </c>
      <c r="E19" s="14">
        <f>COUNTIF(B5:B17,"?*")-COUNTIF(A5:A17,"N/A")</f>
        <v>13.0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20"/>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PIZZA SHOP STARTUP CHECKLIST</t>
        </is>
      </c>
    </row>
    <row r="2">
      <c r="A2" s="2" t="inlineStr">
        <is>
          <t>PHASE 5: MENU, BRAND, DELIVERY &amp; MARKETING (weeks 8-16)</t>
        </is>
      </c>
    </row>
    <row r="4">
      <c r="A4" s="3" t="inlineStr">
        <is>
          <t>OK</t>
        </is>
      </c>
      <c r="B4" s="3" t="inlineStr">
        <is>
          <t>TASK / ACTION</t>
        </is>
      </c>
      <c r="C4" s="3" t="inlineStr">
        <is>
          <t>RESPONSIBLE</t>
        </is>
      </c>
      <c r="D4" s="3" t="inlineStr">
        <is>
          <t>TIMING</t>
        </is>
      </c>
      <c r="E4" s="3" t="inlineStr">
        <is>
          <t>NOTES</t>
        </is>
      </c>
    </row>
    <row r="5">
      <c r="A5" s="10" t="inlineStr">
        <is>
          <t>☐</t>
        </is>
      </c>
      <c r="B5" s="5" t="inlineStr">
        <is>
          <t>Decide your pizza shop format and menu</t>
        </is>
      </c>
      <c r="C5" s="5" t="inlineStr">
        <is>
          <t>Owner</t>
        </is>
      </c>
      <c r="D5" s="5" t="inlineStr">
        <is>
          <t>Week 8</t>
        </is>
      </c>
      <c r="E5" s="5" t="inlineStr">
        <is>
          <t>A dine-in shop with a wood-fired oven (this plan), a slice shop, delivery-only, or a franchise: each means a different investment, a different space and a different margin.</t>
        </is>
      </c>
    </row>
    <row r="6">
      <c r="A6" s="10" t="inlineStr">
        <is>
          <t>☐</t>
        </is>
      </c>
      <c r="B6" s="5" t="inlineStr">
        <is>
          <t>Menu wording: "Neapolitan-style" yes, "VPN-certified" only after certification</t>
        </is>
      </c>
      <c r="C6" s="5" t="inlineStr">
        <is>
          <t>Owner</t>
        </is>
      </c>
      <c r="D6" s="5" t="inlineStr">
        <is>
          <t>Before printing the menu</t>
        </is>
      </c>
      <c r="E6" s="5" t="inlineStr">
        <is>
          <t>In the US, "Neapolitan-style" is a descriptive term anyone may use. "VPN-certified" and the AVPN seal are only for pizzerias certified by the Associazione Verace Pizza Napoletana (AVPN), a private certification with its own requirements. Without it, name your pizzas by recipe: Margherita, Marinara, Diavola. Skip unproven claims on the menu and the sign.</t>
        </is>
      </c>
    </row>
    <row r="7">
      <c r="A7" s="10" t="inlineStr">
        <is>
          <t>☐</t>
        </is>
      </c>
      <c r="B7" s="5" t="inlineStr">
        <is>
          <t>Take-home policy: to-go boxes for leftovers</t>
        </is>
      </c>
      <c r="C7" s="5" t="inlineStr">
        <is>
          <t>Owner</t>
        </is>
      </c>
      <c r="D7" s="5" t="inlineStr">
        <is>
          <t>Before opening</t>
        </is>
      </c>
      <c r="E7" s="5" t="inlineStr">
        <is>
          <t>Offer to-go boxes for what guests do not finish, at no charge, and say so on the menu. Keep boxes in stock for it.</t>
        </is>
      </c>
    </row>
    <row r="8">
      <c r="A8" s="10" t="inlineStr">
        <is>
          <t>☐</t>
        </is>
      </c>
      <c r="B8" s="5" t="inlineStr">
        <is>
          <t>Local packaging ordinances: fees and bans</t>
        </is>
      </c>
      <c r="C8" s="5" t="inlineStr">
        <is>
          <t>Owner</t>
        </is>
      </c>
      <c r="D8" s="5" t="inlineStr">
        <is>
          <t>Before opening</t>
        </is>
      </c>
      <c r="E8" s="5" t="inlineStr">
        <is>
          <t>Some cities and states ban foam containers, charge for bags or require compostable packaging. Check yours before you order pizza boxes and bags; a cardboard pizza box is usually fine, but confirm.</t>
        </is>
      </c>
    </row>
    <row r="9">
      <c r="A9" s="10" t="inlineStr">
        <is>
          <t>☐</t>
        </is>
      </c>
      <c r="B9" s="5" t="inlineStr">
        <is>
          <t>Menu of 14-16 pizzas, starters and desserts with plate costing</t>
        </is>
      </c>
      <c r="C9" s="5" t="inlineStr">
        <is>
          <t>Head pizzaiolo</t>
        </is>
      </c>
      <c r="D9" s="5" t="inlineStr">
        <is>
          <t>Weeks 10-14</t>
        </is>
      </c>
      <c r="E9" s="5" t="inlineStr">
        <is>
          <t>Cost every pizza, not only the Margherita: with mozzarella di bufala, burrata or imported cured meats and the marketplace commission, your best seller can run to 25-35% food cost. Use the kit's dough and food cost calculator.</t>
        </is>
      </c>
    </row>
    <row r="10">
      <c r="A10" s="10" t="inlineStr">
        <is>
          <t>☐</t>
        </is>
      </c>
      <c r="B10" s="5" t="inlineStr">
        <is>
          <t>Sign up with the delivery marketplaces (DoorDash, Uber Eats, Grubhub)</t>
        </is>
      </c>
      <c r="C10" s="5" t="inlineStr">
        <is>
          <t>Owner</t>
        </is>
      </c>
      <c r="D10" s="5" t="inlineStr">
        <is>
          <t>Before opening</t>
        </is>
      </c>
      <c r="E10" s="5" t="inlineStr">
        <is>
          <t>Read the commission tiers (published tiers run from about 15% to 30%, plus roughly 6-10% on pickup orders through the app), the payout schedule, who pays for promotions and the tablet cost. Check the current terms before you sign. Set a ceiling: in this plan, 10% of sales.</t>
        </is>
      </c>
    </row>
    <row r="11">
      <c r="A11" s="10" t="inlineStr">
        <is>
          <t>☐</t>
        </is>
      </c>
      <c r="B11" s="5" t="inlineStr">
        <is>
          <t>Prices for the marketplace and for pickup at the shop</t>
        </is>
      </c>
      <c r="C11" s="5" t="inlineStr">
        <is>
          <t>Owner</t>
        </is>
      </c>
      <c r="D11" s="5" t="inlineStr">
        <is>
          <t>Before opening</t>
        </is>
      </c>
      <c r="E11" s="5" t="inlineStr">
        <is>
          <t>Calculate each pizza's margin on the marketplace after commission and box; pickup at the shop pays no commission, so push it.</t>
        </is>
      </c>
    </row>
    <row r="12">
      <c r="A12" s="10" t="inlineStr">
        <is>
          <t>☐</t>
        </is>
      </c>
      <c r="B12" s="5" t="inlineStr">
        <is>
          <t>Brand identity, photos and a website with the menu</t>
        </is>
      </c>
      <c r="C12" s="5" t="inlineStr">
        <is>
          <t>Designer</t>
        </is>
      </c>
      <c r="D12" s="5" t="inlineStr">
        <is>
          <t>Weeks 8-14</t>
        </is>
      </c>
      <c r="E12" s="5" t="inlineStr">
        <is>
          <t>Real photos of the oven and the pizzas; a website with the menu, allergens, hours and online ordering for pickup.</t>
        </is>
      </c>
    </row>
    <row r="13">
      <c r="A13" s="10" t="inlineStr">
        <is>
          <t>☐</t>
        </is>
      </c>
      <c r="B13" s="5" t="inlineStr">
        <is>
          <t>Google Business Profile and reviews</t>
        </is>
      </c>
      <c r="C13" s="5" t="inlineStr">
        <is>
          <t>Owner</t>
        </is>
      </c>
      <c r="D13" s="5" t="inlineStr">
        <is>
          <t>Before opening</t>
        </is>
      </c>
      <c r="E13" s="5" t="inlineStr">
        <is>
          <t>Lunch and dinner hours, photos of the oven and a reply to every review.</t>
        </is>
      </c>
    </row>
    <row r="14">
      <c r="A14" s="10" t="inlineStr">
        <is>
          <t>☐</t>
        </is>
      </c>
      <c r="B14" s="5" t="inlineStr">
        <is>
          <t>Social media: the build-out, the oven and the dough</t>
        </is>
      </c>
      <c r="C14" s="5" t="inlineStr">
        <is>
          <t>Owner</t>
        </is>
      </c>
      <c r="D14" s="5" t="inlineStr">
        <is>
          <t>From construction</t>
        </is>
      </c>
      <c r="E14" s="5" t="inlineStr">
        <is>
          <t>The oven going in, the first fire, the dough and the pizza of the week.</t>
        </is>
      </c>
    </row>
    <row r="15">
      <c r="A15" s="10" t="inlineStr">
        <is>
          <t>☐</t>
        </is>
      </c>
      <c r="B15" s="5" t="inlineStr">
        <is>
          <t>Grand opening for the neighborhood</t>
        </is>
      </c>
      <c r="C15" s="5" t="inlineStr">
        <is>
          <t>Owner</t>
        </is>
      </c>
      <c r="D15" s="5" t="inlineStr">
        <is>
          <t>Opening week</t>
        </is>
      </c>
      <c r="E15" s="5" t="inlineStr">
        <is>
          <t>A tasting for neighbors, nearby shops and schools: the oven in view is your storefront.</t>
        </is>
      </c>
    </row>
    <row r="16">
      <c r="A16" s="10" t="inlineStr">
        <is>
          <t>☐</t>
        </is>
      </c>
      <c r="B16" s="5" t="inlineStr">
        <is>
          <t>Background music: ASCAP, BMI and SESAC licenses</t>
        </is>
      </c>
      <c r="C16" s="5" t="inlineStr">
        <is>
          <t>Owner</t>
        </is>
      </c>
      <c r="D16" s="5" t="inlineStr">
        <is>
          <t>Before opening</t>
        </is>
      </c>
      <c r="E16" s="5" t="inlineStr">
        <is>
          <t>These are separate music licenses from performing-rights organizations, different from any city permit. Get all of them if you play music, or use a streaming service licensed for business.</t>
        </is>
      </c>
    </row>
    <row r="17">
      <c r="A17" s="10" t="inlineStr">
        <is>
          <t>☐</t>
        </is>
      </c>
      <c r="B17" s="5" t="inlineStr">
        <is>
          <t>Privacy policy and consent for your website and ordering</t>
        </is>
      </c>
      <c r="C17" s="5" t="inlineStr">
        <is>
          <t>Owner</t>
        </is>
      </c>
      <c r="D17" s="5" t="inlineStr">
        <is>
          <t>Before opening</t>
        </is>
      </c>
      <c r="E17" s="5" t="inlineStr">
        <is>
          <t>On the website, reservations and online orders, post a privacy policy where you collect emails or phone numbers, and get consent before sending texts or marketing emails.</t>
        </is>
      </c>
    </row>
    <row r="18">
      <c r="A18" s="11" t="n"/>
      <c r="B18" s="13" t="n"/>
      <c r="C18" s="12" t="n"/>
      <c r="D18" s="12" t="n"/>
      <c r="E18" s="12" t="n"/>
    </row>
    <row r="19">
      <c r="B19" t="inlineStr">
        <is>
          <t>Tasks completed:</t>
        </is>
      </c>
      <c r="C19" s="14">
        <f>COUNTIF(A5:A17,"✓")</f>
        <v>0.0</v>
      </c>
      <c r="D19" t="inlineStr">
        <is>
          <t>of</t>
        </is>
      </c>
      <c r="E19" s="14">
        <f>COUNTIF(B5:B17,"?*")-COUNTIF(A5:A17,"N/A")</f>
        <v>13.0</v>
      </c>
    </row>
    <row r="20">
      <c r="C20" s="14" t="n"/>
      <c r="E20" s="14" t="n"/>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PIZZA SHOP STARTUP CHECKLIST</t>
        </is>
      </c>
    </row>
    <row r="2">
      <c r="A2" s="2" t="inlineStr">
        <is>
          <t>PHASE 6: OPENING &amp; FIRST 90 DAYS</t>
        </is>
      </c>
    </row>
    <row r="4">
      <c r="A4" s="3" t="inlineStr">
        <is>
          <t>OK</t>
        </is>
      </c>
      <c r="B4" s="3" t="inlineStr">
        <is>
          <t>TASK / ACTION</t>
        </is>
      </c>
      <c r="C4" s="3" t="inlineStr">
        <is>
          <t>RESPONSIBLE</t>
        </is>
      </c>
      <c r="D4" s="3" t="inlineStr">
        <is>
          <t>TIMING</t>
        </is>
      </c>
      <c r="E4" s="3" t="inlineStr">
        <is>
          <t>NOTES</t>
        </is>
      </c>
    </row>
    <row r="5">
      <c r="A5" s="10" t="inlineStr">
        <is>
          <t>☐</t>
        </is>
      </c>
      <c r="B5" s="5" t="inlineStr">
        <is>
          <t>Open in September</t>
        </is>
      </c>
      <c r="C5" s="5" t="inlineStr">
        <is>
          <t>Owner</t>
        </is>
      </c>
      <c r="D5" s="5" t="inlineStr">
        <is>
          <t>Month 1</t>
        </is>
      </c>
      <c r="E5" s="5" t="inlineStr">
        <is>
          <t>The plan opens after the summer: the ramp-up falls in mid and high months, you reach the holidays with regulars already coming in, and January and February, the slowest months, find your cash cushion intact.</t>
        </is>
      </c>
    </row>
    <row r="6">
      <c r="A6" s="10" t="inlineStr">
        <is>
          <t>☐</t>
        </is>
      </c>
      <c r="B6" s="5" t="inlineStr">
        <is>
          <t>Dough and oven trials with the full menu</t>
        </is>
      </c>
      <c r="C6" s="5" t="inlineStr">
        <is>
          <t>Head pizzaiolo</t>
        </is>
      </c>
      <c r="D6" s="5" t="inlineStr">
        <is>
          <t>Week before opening</t>
        </is>
      </c>
      <c r="E6" s="5" t="inlineStr">
        <is>
          <t>Several dough batches and practice services to tune the dough, the fire and the timing at the pass before you open.</t>
        </is>
      </c>
    </row>
    <row r="7">
      <c r="A7" s="10" t="inlineStr">
        <is>
          <t>☐</t>
        </is>
      </c>
      <c r="B7" s="5" t="inlineStr">
        <is>
          <t>Check temperatures and records on day one</t>
        </is>
      </c>
      <c r="C7" s="5" t="inlineStr">
        <is>
          <t>Owner</t>
        </is>
      </c>
      <c r="D7" s="5" t="inlineStr">
        <is>
          <t>Day 1</t>
        </is>
      </c>
      <c r="E7" s="5" t="inlineStr">
        <is>
          <t>Refrigeration for the dough balls and cheeses, the time of each dough batch and the cleaning sheet; fix any deviation before you serve.</t>
        </is>
      </c>
    </row>
    <row r="8">
      <c r="A8" s="10" t="inlineStr">
        <is>
          <t>☐</t>
        </is>
      </c>
      <c r="B8" s="5" t="inlineStr">
        <is>
          <t>Health inspection: written food safety plan and records at hand</t>
        </is>
      </c>
      <c r="C8" s="5" t="inlineStr">
        <is>
          <t>Owner</t>
        </is>
      </c>
      <c r="D8" s="5" t="inlineStr">
        <is>
          <t>From day 1</t>
        </is>
      </c>
      <c r="E8" s="5" t="inlineStr">
        <is>
          <t>Allergen cards, traceability, temperature and cleaning logs, training certificates (CFPM and food handler cards) and pest control reports.</t>
        </is>
      </c>
    </row>
    <row r="9">
      <c r="A9" s="10" t="inlineStr">
        <is>
          <t>☐</t>
        </is>
      </c>
      <c r="B9" s="5" t="inlineStr">
        <is>
          <t>Schedule for flue sweeping, hood cleaning and refractory checks</t>
        </is>
      </c>
      <c r="C9" s="5" t="inlineStr">
        <is>
          <t>Owner / Maintenance contractor</t>
        </is>
      </c>
      <c r="D9" s="5" t="inlineStr">
        <is>
          <t>From month 1</t>
        </is>
      </c>
      <c r="E9" s="5" t="inlineStr">
        <is>
          <t>Hood and duct inspection and cleaning on the schedule NFPA 96 sets for solid-fuel cooking (ask your fire marshal), flue sweeping and spark arrestor checks according to use, and a refractory check during the January closure.</t>
        </is>
      </c>
    </row>
    <row r="10">
      <c r="A10" s="10" t="inlineStr">
        <is>
          <t>☐</t>
        </is>
      </c>
      <c r="B10" s="5" t="inlineStr">
        <is>
          <t>Schedule for December and Saturday night</t>
        </is>
      </c>
      <c r="C10" s="5" t="inlineStr">
        <is>
          <t>Owner</t>
        </is>
      </c>
      <c r="D10" s="5" t="inlineStr">
        <is>
          <t>November</t>
        </is>
      </c>
      <c r="E10" s="5" t="inlineStr">
        <is>
          <t>Company dinners and group parties: December is the peak of the year (Month 4 of the plan).</t>
        </is>
      </c>
    </row>
    <row r="11">
      <c r="A11" s="10" t="inlineStr">
        <is>
          <t>☐</t>
        </is>
      </c>
      <c r="B11" s="5" t="inlineStr">
        <is>
          <t>Control the dough balls: production by day of the week</t>
        </is>
      </c>
      <c r="C11" s="5" t="inlineStr">
        <is>
          <t>Head pizzaiolo</t>
        </is>
      </c>
      <c r="D11" s="5" t="inlineStr">
        <is>
          <t>Weekly</t>
        </is>
      </c>
      <c r="E11" s="5" t="inlineStr">
        <is>
          <t>Dough balls left over on a slow Saturday and shortages on a full one: match each batch to the reservations and log the waste.</t>
        </is>
      </c>
    </row>
    <row r="12">
      <c r="A12" s="10" t="inlineStr">
        <is>
          <t>☐</t>
        </is>
      </c>
      <c r="B12" s="5" t="inlineStr">
        <is>
          <t>Measure the food cost of every pizza each month</t>
        </is>
      </c>
      <c r="C12" s="5" t="inlineStr">
        <is>
          <t>Owner</t>
        </is>
      </c>
      <c r="D12" s="5" t="inlineStr">
        <is>
          <t>Monthly</t>
        </is>
      </c>
      <c r="E12" s="5" t="inlineStr">
        <is>
          <t>Compare the price of flour, cheese and tomatoes with your plate costing, and revisit it whenever a supplier changes.</t>
        </is>
      </c>
    </row>
    <row r="13">
      <c r="A13" s="10" t="inlineStr">
        <is>
          <t>☐</t>
        </is>
      </c>
      <c r="B13" s="5" t="inlineStr">
        <is>
          <t>Review the delivery marketplace statement each month</t>
        </is>
      </c>
      <c r="C13" s="5" t="inlineStr">
        <is>
          <t>Owner</t>
        </is>
      </c>
      <c r="D13" s="5" t="inlineStr">
        <is>
          <t>Monthly</t>
        </is>
      </c>
      <c r="E13" s="5" t="inlineStr">
        <is>
          <t>Sales, commission, promotions and boxes: if the marketplace passes 10% of sales or its margin does not cover the commission, cut back or raise prices. Own delivery only with W-2 drivers and when the volume pays for it.</t>
        </is>
      </c>
    </row>
    <row r="14">
      <c r="A14" s="10" t="inlineStr">
        <is>
          <t>☐</t>
        </is>
      </c>
      <c r="B14" s="5" t="inlineStr">
        <is>
          <t>Compare actual sales and costs with the plan each month</t>
        </is>
      </c>
      <c r="C14" s="5" t="inlineStr">
        <is>
          <t>Owner</t>
        </is>
      </c>
      <c r="D14" s="5" t="inlineStr">
        <is>
          <t>Monthly</t>
        </is>
      </c>
      <c r="E14" s="5" t="inlineStr">
        <is>
          <t>Covers per day, average check, food cost and labor against the P&amp;L in the Excel.</t>
        </is>
      </c>
    </row>
    <row r="15">
      <c r="A15" s="10" t="inlineStr">
        <is>
          <t>☐</t>
        </is>
      </c>
      <c r="B15" s="5" t="inlineStr">
        <is>
          <t>Track cash flow month by month and the minimum balance</t>
        </is>
      </c>
      <c r="C15" s="5" t="inlineStr">
        <is>
          <t>Owner</t>
        </is>
      </c>
      <c r="D15" s="5" t="inlineStr">
        <is>
          <t>Monthly</t>
        </is>
      </c>
      <c r="E15" s="5" t="inlineStr">
        <is>
          <t>January and February are the slowest months: see how much cash is coming in from December.</t>
        </is>
      </c>
    </row>
    <row r="16">
      <c r="A16" s="10" t="inlineStr">
        <is>
          <t>☐</t>
        </is>
      </c>
      <c r="B16" s="5" t="inlineStr">
        <is>
          <t>Two-week closure in January: maintenance and vacation</t>
        </is>
      </c>
      <c r="C16" s="5" t="inlineStr">
        <is>
          <t>Owner</t>
        </is>
      </c>
      <c r="D16" s="5" t="inlineStr">
        <is>
          <t>January</t>
        </is>
      </c>
      <c r="E16" s="5" t="inlineStr">
        <is>
          <t>Service the oven, the hood and the refrigeration with the shop closed, and give the team time off.</t>
        </is>
      </c>
    </row>
    <row r="17">
      <c r="A17" s="10" t="inlineStr">
        <is>
          <t>☐</t>
        </is>
      </c>
      <c r="B17" s="5" t="inlineStr">
        <is>
          <t>If you want the VPN-certified label: AVPN certification</t>
        </is>
      </c>
      <c r="C17" s="5" t="inlineStr">
        <is>
          <t>Owner</t>
        </is>
      </c>
      <c r="D17" s="5" t="inlineStr">
        <is>
          <t>When your dough and oven meet AVPN's requirements</t>
        </is>
      </c>
      <c r="E17" s="5" t="inlineStr">
        <is>
          <t>To use "VPN-certified" or the AVPN seal on your menu, apply to the AVPN, pass its inspection and follow its specification. It is a private program with its own fees and requirements: ask the AVPN for the current process and cost before you promise anything. Until then, "Neapolitan-style" is fine.</t>
        </is>
      </c>
    </row>
    <row r="19">
      <c r="B19" s="5" t="inlineStr">
        <is>
          <t>Tasks completed:</t>
        </is>
      </c>
      <c r="C19" s="17">
        <f>COUNTIF(A5:A17,"✓")</f>
        <v>0.0</v>
      </c>
      <c r="D19" s="5" t="inlineStr">
        <is>
          <t>of</t>
        </is>
      </c>
      <c r="E19" s="17">
        <f>COUNTIF(B5:B17,"?*")-COUNTIF(A5:A17,"N/A")</f>
        <v>13.0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12"/>
  <sheetViews>
    <sheetView workbookViewId="0">
      <selection activeCell="A1" sqref="A1"/>
    </sheetView>
  </sheetViews>
  <sheetFormatPr baseColWidth="8" defaultRowHeight="15"/>
  <cols>
    <col width="110" customWidth="1" min="1" max="1"/>
  </cols>
  <sheetData>
    <row r="1">
      <c r="A1" s="15" t="inlineStr">
        <is>
          <t>INSTRUCTIONS FOR USE</t>
        </is>
      </c>
    </row>
    <row r="3" ht="15" customHeight="1">
      <c r="A3" s="12" t="inlineStr">
        <is>
          <t>This file is part of the "Pizza Shop Business Plan Kit" by AI Chef Pro.</t>
        </is>
      </c>
    </row>
    <row r="4" ht="15" customHeight="1">
      <c r="A4" s="12" t="inlineStr">
        <is>
          <t>The GREEN cells are the editable ones: change those and the rest of the workbook recalculates on its own.</t>
        </is>
      </c>
    </row>
    <row r="5" ht="15" customHeight="1">
      <c r="A5" s="12" t="inlineStr">
        <is>
          <t>OK column: choose ✓ (done), ☐ (pending) or N/A (not applicable). N/A items do not count toward the total.</t>
        </is>
      </c>
    </row>
    <row r="6" ht="15" customHeight="1">
      <c r="A6" s="12" t="inlineStr">
        <is>
          <t>Each tab's counter counts only the ✓; N/A items come out of the total.</t>
        </is>
      </c>
    </row>
    <row r="8">
      <c r="A8" s="16" t="inlineStr">
        <is>
          <t>To edit a cell that is not green: Review → Unprotect Sheet (there is no password).</t>
        </is>
      </c>
    </row>
    <row r="9">
      <c r="A9" s="16" t="inlineStr">
        <is>
          <t>More templates and kits in the catalog at aichef.pro/en/digital-products</t>
        </is>
      </c>
    </row>
    <row r="10">
      <c r="A10" s="16" t="inlineStr">
        <is>
          <t>Designed by John Guerrero — chef and restaurant consultant since 2010, in the kitchen since age 17 · johnguerrero.es</t>
        </is>
      </c>
    </row>
    <row r="11">
      <c r="A11" s="16" t="inlineStr">
        <is>
          <t>Version 2.2 · October 2026 · aichef.pro/en/digital-products/pizza-shop-business-plan · info@aichef.pro</t>
        </is>
      </c>
    </row>
    <row r="12" ht="30" customHeight="1">
      <c r="A12" s="18" t="inlineStr">
        <is>
          <t>Planning tool, not financial, tax or legal advice. Requirements vary by state, county and city — check with your accountant and local authorities. This checklist is a starting point, not an exhaustive list.</t>
        </is>
      </c>
    </row>
  </sheetData>
  <sheetProtection selectLockedCells="0" selectUnlockedCells="0" sheet="1" objects="0" insertRows="1" insertHyperlinks="1" autoFilter="1" scenarios="0" formatColumns="0" deleteColumns="1" insertColumns="1" pivotTables="1" deleteRows="1" formatCells="1" formatRows="0" sort="0"/>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Pizza Shop Startup Checklist (80 Tasks) · Pizza Shop Business Plan Kit</dc:title>
  <dc:description xmlns:dc="http://purl.org/dc/elements/1.1/">aichef.pro/en/digital-products/pizza-shop-business-plan</dc:description>
  <dc:subject xmlns:dc="http://purl.org/dc/elements/1.1/">Pizza Shop Business Plan Kit · v2.2</dc:subject>
  <dcterms:created xmlns:dcterms="http://purl.org/dc/terms/" xmlns:xsi="http://www.w3.org/2001/XMLSchema-instance" xsi:type="dcterms:W3CDTF">2026-03-26T14:15:52Z</dcterms:created>
  <dcterms:modified xmlns:dcterms="http://purl.org/dc/terms/" xmlns:xsi="http://www.w3.org/2001/XMLSchema-instance" xsi:type="dcterms:W3CDTF">2026-10-25T20:10:09Z</dcterms:modified>
  <cp:lastModifiedBy>AI Chef Pro</cp:lastModifiedBy>
  <cp:category>AI Chef Pro · Digital products</cp:category>
  <cp:keywords>pizza shop business plan, pizzeria business plan, how to open a pizza shop, pizza shop startup costs, wood fired pizza oven cost, AI Chef Pro</cp:keywords>
</cp:coreProperties>
</file>