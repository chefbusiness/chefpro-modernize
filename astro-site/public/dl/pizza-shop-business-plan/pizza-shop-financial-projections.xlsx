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xf numFmtId="4" fontId="9" fillId="4" borderId="3" applyProtection="1" pivotButton="0" quotePrefix="0" xfId="0">
      <protection locked="0" hidden="0"/>
    </xf>
    <xf numFmtId="0" fontId="9" fillId="0" borderId="3"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62</v>
      </c>
      <c r="C4" t="inlineStr">
        <is>
          <t>Equivalent covers per day, year-1 average: about 47 dine-in (patio included from April through October) and about 15 from take-out and delivery, which are the orders (about 10 a day at about $54 excl. sales tax: 2 pizzas, a starter and a drink) divided by the average check. A Saturday runs about 110; a Tuesday, about 45 (Kit estimate). Compare it with the foot traffic on your street on a Friday night and a Tuesday at lunch</t>
        </is>
      </c>
    </row>
    <row r="5">
      <c r="A5" t="inlineStr">
        <is>
          <t>Average check (excl. sales tax)</t>
        </is>
      </c>
      <c r="B5" s="25" t="n">
        <v>36</v>
      </c>
      <c r="C5" t="inlineStr">
        <is>
          <t>Per cover, EXCL. sales tax and tip: half a starter, a pizza, 1.2 drinks and some dessert or coffee, about $36. The Margherita on the example menu is $18, the median of three menus read in October 2026 (Bufalina in Austin, Antico in Atlanta, via Marina in Des Moines); specialties run $20-24. The "Menu price incl. sales tax (calculated)" row below shows the price with your local rate applied</t>
        </is>
      </c>
    </row>
    <row r="6">
      <c r="A6" t="inlineStr">
        <is>
          <t>Operating days per year</t>
        </is>
      </c>
      <c r="B6" s="18" t="n">
        <v>300</v>
      </c>
      <c r="C6" t="inlineStr">
        <is>
          <t>365 days minus 52 closed Mondays, the main holidays (Thanksgiving, Christmas, New Year's Day, July 4) and two weeks in January for oven maintenance and vacation, rounded to 300. It is the SAME figure for the P&amp;L, break-even, scenarios and staffing hours</t>
        </is>
      </c>
    </row>
    <row r="7">
      <c r="A7" t="inlineStr">
        <is>
          <t>Volume growth in year 2</t>
        </is>
      </c>
      <c r="B7" s="64" t="n">
        <v>0.06</v>
      </c>
      <c r="C7" t="inlineStr">
        <is>
          <t>Repeat neighborhood regulars and more pickup in year 2. It applies to covers at the same average check; staffing does NOT rise with this percentage: it comes from the "Staffing" tab</t>
        </is>
      </c>
    </row>
    <row r="8">
      <c r="A8" t="inlineStr">
        <is>
          <t>Volume growth in year 3</t>
        </is>
      </c>
      <c r="B8" s="64" t="n">
        <v>0.04</v>
      </c>
      <c r="C8" t="inlineStr">
        <is>
          <t>On top of year 2. Conservative: it is a mature market and the ceiling is set by the oven and the 50 seats on Friday and Saturday nights</t>
        </is>
      </c>
    </row>
    <row r="9">
      <c r="A9" t="inlineStr">
        <is>
          <t>Menu price incl. sales tax (calculated)</t>
        </is>
      </c>
      <c r="B9" s="24">
        <f>IFERROR(IF($B$5="","",$B$5*(1+SUMPRODUCT('3-Year P&amp;L'!$E$10:$E$11,'3-Year P&amp;L'!$G$10:$G$11))),"")</f>
        <v>38.88</v>
      </c>
      <c r="C9" t="str">
        <f>IFERROR("Average check excl. sales tax plus the weighted sales tax of your sales lines ("&amp;TEXT(SUMPRODUCT('3-Year P&amp;L'!$E$10:$E$11,'3-Year P&amp;L'!$G$10:$G$11)*100,"0")&amp;"%), rounded. In the US, menu prices usually exclude sales tax and it is added at the register; the beverage share in column H of the beverage line of the P&amp;L only moves this average if your state taxes alcohol at another rate. In the UK, "&amp;"menu prices include VAT.","")</f>
        <v>Average check excl. sales tax plus the weighted sales tax of your sales lines (8%), rounded. In the US, menu prices usually exclude sales tax and it is added at the register; the beverage share in column H of the beverage line of the P&amp;L only moves this average if your state taxes alcohol at another rate. In the UK, menu prices include VAT.</v>
      </c>
    </row>
    <row r="10">
      <c r="A10" s="16" t="inlineStr">
        <is>
          <t>SALES MIX AND COST OF GOODS SOLD</t>
        </is>
      </c>
    </row>
    <row r="11">
      <c r="A11" t="inlineStr">
        <is>
          <t>FOOD share of total sales</t>
        </is>
      </c>
      <c r="B11" s="64" t="n">
        <v>0.82</v>
      </c>
      <c r="C11" t="inlineStr">
        <is>
          <t>Share of FOOD in total sales. It is an INPUT: change it here and the P&amp;L, the cash flow and the sales tax collected recalculate on their own</t>
        </is>
      </c>
    </row>
    <row r="12">
      <c r="A12" t="inlineStr">
        <is>
          <t>BEVERAGE share of total sales</t>
        </is>
      </c>
      <c r="B12" s="66">
        <f>IFERROR(IF(COUNT(B11)=0,"",1-B11),"")</f>
        <v>0.18000000000000005</v>
      </c>
      <c r="C12" t="inlineStr">
        <is>
          <t>Calculated as the remainder: food + beverage = 100%</t>
        </is>
      </c>
    </row>
    <row r="13">
      <c r="A13" t="inlineStr">
        <is>
          <t>Cost of goods sold on FOOD sales</t>
        </is>
      </c>
      <c r="B13" s="64" t="n">
        <v>0.26</v>
      </c>
      <c r="C13" t="inlineStr">
        <is>
          <t>Cost of goods sold on food sales: pizzas (70% of food sales) are budgeted at about 21% of their menu price on average, on the prudent side (the Margherita, about 16% in the calculator; with mozzarella di bufala, burrata or Italian cured meats, 22-28%), starters 28% and desserts 25%, and the plan adds 1.5 points of waste (over-proofed dough balls, leftover dough and test bakes). Cost each pizza with the Dough &amp; Food Cost Calculator in the kit</t>
        </is>
      </c>
    </row>
    <row r="14">
      <c r="A14" t="inlineStr">
        <is>
          <t>Cost of goods sold on BEVERAGE sales</t>
        </is>
      </c>
      <c r="B14" s="64" t="n">
        <v>0.26</v>
      </c>
      <c r="C14" t="inlineStr">
        <is>
          <t>Weighted average of beer, wine, soft drinks, water and coffee against their menu prices: beer and wine by the glass run higher than soft drinks and coffee, which pull the average down. If your beer distributor lends you the tap equipment, get the keg price in writing</t>
        </is>
      </c>
    </row>
    <row r="15">
      <c r="A15" t="inlineStr">
        <is>
          <t>Disposables and packaging as % of sales</t>
        </is>
      </c>
      <c r="B15" s="64" t="n">
        <v>0.035</v>
      </c>
      <c r="C15" t="inlineStr">
        <is>
          <t>Pizza boxes for everything that leaves the shop, plus paper, napkins and take-out containers for leftovers. Some cities and states restrict foam and single-use plastics or require utensils only on request: check your local packaging ordinances</t>
        </is>
      </c>
    </row>
    <row r="16">
      <c r="A16" t="inlineStr">
        <is>
          <t>Delivery share of total sales</t>
        </is>
      </c>
      <c r="B16" s="64" t="n">
        <v>0.12</v>
      </c>
      <c r="C16" t="inlineStr">
        <is>
          <t>Sales through a third-party delivery marketplace (DoorDash, Uber Eats, Grubhub) as a share of total sales. Pickup at the counter and direct phone or web orders pay no commission and do not go here. Soft Neapolitan-style pizza travels worse than other dishes: do not go above this share without testing it</t>
        </is>
      </c>
    </row>
    <row r="17">
      <c r="A17" t="inlineStr">
        <is>
          <t>Delivery platform fee</t>
        </is>
      </c>
      <c r="B17" s="64" t="n">
        <v>0.25</v>
      </c>
      <c r="C17" t="inlineStr">
        <is>
          <t>The example uses 25%, a Plus plan on DoorDash or Uber Eats (the Basic plan is about 15% with little visibility, Premier is 30%, and app pickup orders add 6-10%). Check your contract. If you deliver yourself, enter 0 and add the driver to the "Staffing" tab as a W-2 employee, with hired and non-owned auto insurance (check your state)</t>
        </is>
      </c>
    </row>
    <row r="18">
      <c r="A18" t="inlineStr">
        <is>
          <t>Card processing fee</t>
        </is>
      </c>
      <c r="B18" s="64" t="n">
        <v>0.03</v>
      </c>
      <c r="C18" t="inlineStr">
        <is>
          <t>Card and mobile wallet (contactless) processing fees on total sales. Ask your POS provider for its rate</t>
        </is>
      </c>
    </row>
    <row r="19">
      <c r="A19" s="16" t="inlineStr">
        <is>
          <t>LABOR</t>
        </is>
      </c>
    </row>
    <row r="20">
      <c r="A20" t="inlineStr">
        <is>
          <t>Employer payroll taxes</t>
        </is>
      </c>
      <c r="B20" s="64"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4000</v>
      </c>
      <c r="C24" t="inlineStr">
        <is>
          <t>About 1,500 sq ft (139 sq m) with room to run a flue to the roof (that is the filter for the space): a dining room of about 750 sq ft with 50 seats and a kitchen of about 325 sq ft with the oven in view, plus wood storage, restrooms and a staff area, on a neighborhood street with steady foot traffic in a mid-size city, second-generation space with no key money: about $32 per sq ft a year (Kit estimate). The share of sales is calculated by the workbook itself in the "Rent / Sales" row of the P&amp;L</t>
        </is>
      </c>
    </row>
    <row r="25">
      <c r="A25" t="inlineStr">
        <is>
          <t>Security deposit (months of rent)</t>
        </is>
      </c>
      <c r="B25" s="18" t="n">
        <v>2</v>
      </c>
      <c r="C25" t="inlineStr">
        <is>
          <t>Security deposit, in months of rent. The example uses two; commercial leases commonly ask for one to three, and some landlords also want a personal guarantee: check it with your attorney</t>
        </is>
      </c>
    </row>
    <row r="26">
      <c r="A26" t="inlineStr">
        <is>
          <t>Monthly utilities (electricity, water, gas)</t>
        </is>
      </c>
      <c r="B26" s="18" t="n">
        <v>1800</v>
      </c>
      <c r="C26" t="inlineStr">
        <is>
          <t>About 25 kW of electrical service (refrigeration, mixer, dish machine, exhaust, HVAC and espresso machine), water and the gas for the support line. The oven's firewood does NOT go here: it is a fixed cost on the P&amp;L. With a gas or electric oven, its fuel goes here instead. Ask the landlord for the space's utility history</t>
        </is>
      </c>
    </row>
    <row r="27">
      <c r="A27" t="inlineStr">
        <is>
          <t>Insurance (per year)</t>
        </is>
      </c>
      <c r="B27" s="18" t="n">
        <v>7500</v>
      </c>
      <c r="C27" t="inlineStr">
        <is>
          <t>General liability, liquor liability (beer &amp; wine) and property coverage that names the open-flame oven (workers' comp is in the payroll tax rate above). Tell the carrier the oven is wood-fired: it changes the premium and the terms. Rates vary by state, so get at least two quotes</t>
        </is>
      </c>
    </row>
    <row r="28">
      <c r="A28" t="inlineStr">
        <is>
          <t>Miscellaneous and contingency as % of sales</t>
        </is>
      </c>
      <c r="B28" s="64" t="n">
        <v>0.01</v>
      </c>
      <c r="C28" t="inlineStr">
        <is>
          <t>Cushion for unbudgeted running costs (small repairs, broken smallwares, menu tests)</t>
        </is>
      </c>
    </row>
    <row r="29">
      <c r="A29" s="16" t="inlineStr">
        <is>
          <t>FINANCING</t>
        </is>
      </c>
    </row>
    <row r="30">
      <c r="A30" t="inlineStr">
        <is>
          <t>Owner's equity contributed</t>
        </is>
      </c>
      <c r="B30" s="18" t="n">
        <v>130000</v>
      </c>
      <c r="C30" t="inlineStr">
        <is>
          <t>Owner's cash. Lenders usually expect an owner equity injection (often around 10% for SBA start-ups; many want 20-30%) toward the cash need</t>
        </is>
      </c>
    </row>
    <row r="31">
      <c r="A31" t="inlineStr">
        <is>
          <t>Loan requested</t>
        </is>
      </c>
      <c r="B31" s="18" t="n">
        <v>200000</v>
      </c>
      <c r="C31" t="inlineStr">
        <is>
          <t>Principal requested. The "Financing" tab compares what you put in with the cash need on "Startup Costs" and tells you whether you have a surplus or a shortfall: adjust the loan with that figure. The example is an SBA 7(a) loan, which you apply for through your lender (SBA Microloans go up to $50,000)</t>
        </is>
      </c>
    </row>
    <row r="32">
      <c r="A32" t="inlineStr">
        <is>
          <t>Nominal annual interest rate (not APR)</t>
        </is>
      </c>
      <c r="B32" s="64" t="n">
        <v>0.1</v>
      </c>
      <c r="C32" t="inlineStr">
        <is>
          <t>Nominal annual rate, not APR. The example uses 10%. Ask two lenders for a quote before you set it; the oven, refrigeration and espresso machine can also be financed through equipment financing or a lease: compare</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starts. The example uses 0, because SBA 7(a) loans amortize from the start. A year of interest only can ease the build-out and the first months of trading: ask your lender, and check the cash slack of the first repayment year on the "Break-Even" tab</t>
        </is>
      </c>
    </row>
    <row r="35">
      <c r="A35" t="inlineStr">
        <is>
          <t>Working capital (months of fixed costs)</t>
        </is>
      </c>
      <c r="B35" s="18" t="n">
        <v>3</v>
      </c>
      <c r="C35" t="inlineStr">
        <is>
          <t>Three months of fixed costs: the cushion for the ramp-up and for January and February, the slowest months (Months 5 and 6 of the plan)</t>
        </is>
      </c>
    </row>
    <row r="36">
      <c r="A36" s="16" t="inlineStr">
        <is>
          <t>TAXES</t>
        </is>
      </c>
    </row>
    <row r="37">
      <c r="A37" t="inlineStr">
        <is>
          <t>Effective income tax rate (years 1-2)</t>
        </is>
      </c>
      <c r="B37" s="64"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4"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4" t="n">
        <v>0.08</v>
      </c>
      <c r="C39" t="inlineStr">
        <is>
          <t>Example rate: state + local sales tax combined. It varies widely by state and city: look up yours. UK: 20% VAT on hot food and dine-in</t>
        </is>
      </c>
    </row>
    <row r="40">
      <c r="A40" t="inlineStr">
        <is>
          <t>Sales tax rate on alcohol to go</t>
        </is>
      </c>
      <c r="B40" s="64" t="n">
        <v>0.08</v>
      </c>
      <c r="C40" t="inlineStr">
        <is>
          <t>One sales tax rate for the whole example (8%: state plus local, so look up yours). In this workbook it also applies to alcohol sold to go, and it equals the on-site rate, so the two rows give the same result. There is no input credit: the workbook does not recover sales tax on purchases, so that row is 0. Some states tax food to go differently, so check yours. Utilities, equipment and services have their own rate in the cell below</t>
        </is>
      </c>
    </row>
    <row r="41">
      <c r="A41" t="inlineStr">
        <is>
          <t>Recoverable input tax on purchases and capex</t>
        </is>
      </c>
      <c r="B41" s="64"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flue to the roof, electrical service, plumbing, HVAC and signage. A 10-year straight-line life for the model; your tax depreciation schedule may differ, so confirm it with your CPA</t>
        </is>
      </c>
    </row>
    <row r="45">
      <c r="A45" t="inlineStr">
        <is>
          <t>Useful life of machinery, furniture and equipment (years)</t>
        </is>
      </c>
      <c r="B45" s="18" t="n">
        <v>7</v>
      </c>
      <c r="C45" t="inlineStr">
        <is>
          <t>Oven, mixer, prep table, walk-in and reach-ins, Type I hood, dish machine, bar, furniture and POS: a 7-year straight-line life for the model; your tax depreciation schedule may differ, so confirm it with your CPA</t>
        </is>
      </c>
    </row>
    <row r="47">
      <c r="A47" s="16" t="inlineStr">
        <is>
          <t>GROWTH AND COST INFLATION</t>
        </is>
      </c>
    </row>
    <row r="48">
      <c r="A48" t="inlineStr">
        <is>
          <t>Annual increase in fixed costs</t>
        </is>
      </c>
      <c r="B48" s="64"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1.24</v>
      </c>
      <c r="C50" t="str">
        <f>IFERROR("That is "&amp;TEXT(INT(ROUND(B50,1)),"0")&amp;"."&amp;TEXT(ROUND(MOD(ROUND(B50,1),1)*10,0),"0")&amp;" seat turns per day on the "&amp;TEXT($B$51,"0")&amp;" seats in the cell below. It includes the take-out and delivery covers, which do not take a table: the real turns of your dining room are lower (in the example, about three quarters of the covers eat in). Compare it with the ceiling on "&amp;"seat turns typed in ""Break-Even"".","")</f>
        <v>That is 1.2 seat turns per day on the 50 seats in the cell below. It includes the take-out and delivery covers, which do not take a table: the real turns of your dining room are lower (in the example, about three quarters of the covers eat in). Compare it with the ceiling on seat turns typed in "Break-Even".</v>
      </c>
    </row>
    <row r="51">
      <c r="A51" t="inlineStr">
        <is>
          <t>Seating capacity of the space (dining room seats, patio not included)</t>
        </is>
      </c>
      <c r="B51" s="18" t="n">
        <v>50</v>
      </c>
      <c r="C51" t="inlineStr">
        <is>
          <t>Dining room seats. The patio adds 24 seats from April through October, with its own city patio permit, and guests who take the pizza to go or receive it at home do not use a table: that is why the seat turns in the row above are higher than the real turns of your dining room</t>
        </is>
      </c>
    </row>
    <row r="52">
      <c r="A52" t="inlineStr">
        <is>
          <t>Month-1 activity as a % of steady-state activity</t>
        </is>
      </c>
      <c r="B52" s="64" t="n">
        <v>0.75</v>
      </c>
      <c r="C52" t="inlineStr">
        <is>
          <t>A new pizza shop draws the curious in the first month, but a regular base takes a quarter to build: Month 1 (September) bills 75% of what it will bill at four months. At 100% the ramp is removed</t>
        </is>
      </c>
    </row>
    <row r="53">
      <c r="A53" t="inlineStr">
        <is>
          <t>Months to reach steady state</t>
        </is>
      </c>
      <c r="B53" s="18" t="n">
        <v>4</v>
      </c>
      <c r="C53" t="inlineStr">
        <is>
          <t>Four months to reach full pace: September through December, so the holidays arrive with a customer base</t>
        </is>
      </c>
    </row>
    <row r="54">
      <c r="A54" t="inlineStr">
        <is>
          <t>Months of rent BEFORE opening (build-out and permits)</t>
        </is>
      </c>
      <c r="B54" s="18" t="n">
        <v>2</v>
      </c>
      <c r="C54" t="inlineStr">
        <is>
          <t>Two months of rent before opening: the build-out, the flue to the roof and the permits take longer than in a space without smoke exhaust. If the lender funds the loan when build-out starts, add the interest for those months, which this workbook does not count, and remember that your repayment schedule starts at closing</t>
        </is>
      </c>
    </row>
    <row r="55">
      <c r="A55" t="inlineStr">
        <is>
          <t>Contingency on the BUILD-OUT lines of the space block (%)</t>
        </is>
      </c>
      <c r="B55" s="64" t="n">
        <v>0.1</v>
      </c>
      <c r="C55" t="inlineStr">
        <is>
          <t>Cushion on the build-out and fixtures, which is where the surprises show up (the flue to the roof, the electrical service, the grease interceptor). A lender will not finance a remodel without one</t>
        </is>
      </c>
    </row>
    <row r="57">
      <c r="A57" s="16" t="inlineStr">
        <is>
          <t>RECEIPTS, PAYMENTS AND SALES TAX BREAKDOWN</t>
        </is>
      </c>
    </row>
    <row r="58">
      <c r="A58" t="inlineStr">
        <is>
          <t>Average collection days</t>
        </is>
      </c>
      <c r="B58" s="18" t="n">
        <v>2</v>
      </c>
      <c r="C58" t="inlineStr">
        <is>
          <t>Weighted average: dine-in and pickup are paid at once, and the delivery marketplace pays out what it sells every few days (12% of sales in this example)</t>
        </is>
      </c>
    </row>
    <row r="59">
      <c r="A59" t="inlineStr">
        <is>
          <t>Average days to pay suppliers</t>
        </is>
      </c>
      <c r="B59" s="18" t="n">
        <v>14</v>
      </c>
      <c r="C59" t="inlineStr">
        <is>
          <t>Payment terms with your flour, tomato, cheese and beverage suppliers: what they finance for you. New accounts often start on COD, and terms are the first thing you lose if you pay late</t>
        </is>
      </c>
    </row>
    <row r="60">
      <c r="A60" t="inlineStr">
        <is>
          <t>Month of extra pay period 1 (only if pay periods &gt; 12)</t>
        </is>
      </c>
      <c r="B60" s="18" t="n">
        <v>11</v>
      </c>
      <c r="C60" t="inlineStr">
        <is>
          <t>Month of the 12-Month Cash Flow in which a summer extra payment falls. It only matters if you enter more than 12 pay periods; with 12 there are no extra payments. If you use it, July is Month 11, because Month 1 of the plan is September</t>
        </is>
      </c>
    </row>
    <row r="61">
      <c r="A61" t="inlineStr">
        <is>
          <t>Month of extra pay period 2 (only if pay periods &gt; 12)</t>
        </is>
      </c>
      <c r="B61" s="18" t="n">
        <v>4</v>
      </c>
      <c r="C61" t="inlineStr">
        <is>
          <t>Month of the 12-Month Cash Flow in which a holiday extra payment falls. It only matters if you enter more than 12 pay periods; with 12 there are no extra payments. If you use it, December is Month 4, because Month 1 of the plan is September</t>
        </is>
      </c>
    </row>
    <row r="62">
      <c r="A62" t="inlineStr">
        <is>
          <t>Alcohol share of beverage purchases (reference only: no input credit in the US)</t>
        </is>
      </c>
      <c r="B62" s="64" t="n">
        <v>0.5</v>
      </c>
      <c r="C62" t="inlineStr">
        <is>
          <t>Reference only: in the US the sales tax you pay on purchases is a cost, not a credit (B41 = 0%), so this share moves no figure in the workbook. The sales tax you COLLECT on beverages is set by the beverage line of the P&amp;L (column H)</t>
        </is>
      </c>
    </row>
    <row r="63">
      <c r="A63" t="inlineStr">
        <is>
          <t>Sales tax rate on alcohol served on site</t>
        </is>
      </c>
      <c r="B63" s="64" t="n">
        <v>0.08</v>
      </c>
      <c r="C63" t="inlineStr">
        <is>
          <t>NO EFFECT in this workbook: the sales tax collected on beverages is set by the beverage line of the P&amp;L. With the example, beer, wine and food all pay the same 8% (state + local); if your state taxes alcohol at another rate, type it in B40 and the alcohol share in column H of that line</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4"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18" t="n"/>
      <c r="C68" t="inlineStr">
        <is>
          <t>Your state or local minimum wage as an annual full-time figure (hourly rate × 2,080 hours), if it is higher than the federal $7.25 an hour. With 0, the traffic light compares only against the federal floor</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PIZZA SHOP BUSINESS PLAN: NEAPOLITAN-STYLE PIZZERIA</t>
        </is>
      </c>
    </row>
    <row r="2">
      <c r="A2" s="2" t="inlineStr">
        <is>
          <t>Estimated Startup Costs — Neapolitan-style pizza shop, wood-fired oven, 50 seats + patio</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242550.0</v>
      </c>
      <c r="C6" s="67">
        <f>IFERROR(B6/$B$30,"")</f>
        <v>0.7366198941125985</v>
      </c>
      <c r="D6" s="29" t="n"/>
      <c r="E6" s="29" t="n"/>
    </row>
    <row r="7">
      <c r="A7" s="29" t="inlineStr">
        <is>
          <t>Architect, MEP, hood &amp; flue drawings, plan review &amp; permit fees (incl. beer &amp; wine license, non-quota state)</t>
        </is>
      </c>
      <c r="B7" s="51" t="n">
        <v>14000</v>
      </c>
      <c r="C7" s="68">
        <f>IFERROR(B7/$B$30,"")</f>
        <v>0.04251774280592199</v>
      </c>
      <c r="D7" s="29" t="inlineStr">
        <is>
          <t>Drawings for the build-out, hood and flue, plan review fees and permits. It includes the beer &amp; wine license of a state without a quota (about $3,000; in quota states it costs far more, so ask your state ABC board) and the health department plan review</t>
        </is>
      </c>
      <c r="E7" s="32" t="inlineStr">
        <is>
          <t>Yes</t>
        </is>
      </c>
    </row>
    <row r="8">
      <c r="A8" s="29" t="inlineStr">
        <is>
          <t>Build-out (second-generation space), signage &amp; facade</t>
        </is>
      </c>
      <c r="B8" s="51" t="n">
        <v>46500</v>
      </c>
      <c r="C8" s="68">
        <f>IFERROR(B8/$B$30,"")</f>
        <v>0.14121964574824092</v>
      </c>
      <c r="D8" s="29" t="inlineStr">
        <is>
          <t>Kitchen with washable wall finish and slip-resistant floor, restrooms (one ADA-accessible), ceilings and acoustic treatment, plus signage and facade (about $4,500). Kit estimate: get two bids</t>
        </is>
      </c>
      <c r="E8" s="32" t="inlineStr">
        <is>
          <t>Yes</t>
        </is>
      </c>
    </row>
    <row r="9">
      <c r="A9" s="29" t="inlineStr">
        <is>
          <t>Flue/chimney, spark arrestor &amp; insulated hearth pad</t>
        </is>
      </c>
      <c r="B9" s="51" t="n">
        <v>12000</v>
      </c>
      <c r="C9" s="68">
        <f>IFERROR(B9/$B$30,"")</f>
        <v>0.03644377954793314</v>
      </c>
      <c r="D9" s="29" t="inlineStr">
        <is>
          <t>Dedicated exhaust to the roof with a spark arrestor, plus an insulated hearth pad. Under NFPA 96 chapter 14, a solid-fuel appliance gets its own exhaust and cannot share a hood with a gas range. No manufacturer posts a price per foot: ask the oven installer for a quote with your drawings, and ask your local authority which edition of NFPA 96 it enforces</t>
        </is>
      </c>
      <c r="E9" s="32" t="inlineStr">
        <is>
          <t>Yes</t>
        </is>
      </c>
    </row>
    <row r="10">
      <c r="A10" s="29" t="inlineStr">
        <is>
          <t>Electrical service &amp; panel</t>
        </is>
      </c>
      <c r="B10" s="51" t="n">
        <v>8000</v>
      </c>
      <c r="C10" s="68">
        <f>IFERROR(B10/$B$30,"")</f>
        <v>0.024295853031955424</v>
      </c>
      <c r="D10" s="29" t="inlineStr">
        <is>
          <t>About 25 kW of electrical service for refrigeration, the mixer, the dish machine, exhaust and HVAC. Ask for the available capacity BEFORE you sign the lease: a new service from the utility can take weeks or months</t>
        </is>
      </c>
      <c r="E10" s="32" t="inlineStr">
        <is>
          <t>Yes</t>
        </is>
      </c>
    </row>
    <row r="11">
      <c r="A11" s="29" t="inlineStr">
        <is>
          <t>Plumbing, grease interceptor, HVAC &amp; makeup air</t>
        </is>
      </c>
      <c r="B11" s="51" t="n">
        <v>12000</v>
      </c>
      <c r="C11" s="68">
        <f>IFERROR(B11/$B$30,"")</f>
        <v>0.03644377954793314</v>
      </c>
      <c r="D11" s="29" t="inlineStr">
        <is>
          <t>Hot and cold water in the pizza station, drains with a grease interceptor, HVAC for the dining room and exhaust with makeup air for the support kitchen</t>
        </is>
      </c>
      <c r="E11" s="32" t="inlineStr">
        <is>
          <t>Yes</t>
        </is>
      </c>
    </row>
    <row r="12">
      <c r="A12" s="29" t="inlineStr">
        <is>
          <t>Neapolitan wood-fired dome oven (47-51 in, UL 2162-listed)</t>
        </is>
      </c>
      <c r="B12" s="51" t="n">
        <v>22000</v>
      </c>
      <c r="C12" s="68">
        <f>IFERROR(B12/$B$30,"")</f>
        <v>0.06681359583787742</v>
      </c>
      <c r="D12" s="29" t="inlineStr">
        <is>
          <t>For about six pizzas at a time, UL 2162-listed. Forno Bravo posts $12,950 for its Modena120 (48 in); Marra Forni, Acunto and Ferrara publish no price. The range is $12,950-$25,000+ (Oct 2026); ask for a quote that includes installation. A gas or electric oven is a variant: an electric oven never qualifies for VPN certification, and a gas oven only where wood burning is forbidden and documented</t>
        </is>
      </c>
      <c r="E12" s="32" t="inlineStr">
        <is>
          <t>Yes</t>
        </is>
      </c>
    </row>
    <row r="13">
      <c r="A13" s="29" t="inlineStr">
        <is>
          <t>Spiral mixer (60 qt)</t>
        </is>
      </c>
      <c r="B13" s="51" t="n">
        <v>8000</v>
      </c>
      <c r="C13" s="68">
        <f>IFERROR(B13/$B$30,"")</f>
        <v>0.024295853031955424</v>
      </c>
      <c r="D13" s="29" t="inlineStr">
        <is>
          <t>For about 66-88 lb (30-40 kg) of dough: Saturday is covered in two batches. At WebstaurantStore a 40-qt spiral mixer lists at about $5,730 and a 67-qt at about $8,770 (Oct 2026); the example budgets a 60-qt at $8,000</t>
        </is>
      </c>
      <c r="E13" s="32" t="inlineStr">
        <is>
          <t>Yes</t>
        </is>
      </c>
    </row>
    <row r="14">
      <c r="A14" s="29" t="inlineStr">
        <is>
          <t>Pizza prep table (67-71 in)</t>
        </is>
      </c>
      <c r="B14" s="51" t="n">
        <v>6500</v>
      </c>
      <c r="C14" s="68">
        <f>IFERROR(B14/$B$30,"")</f>
        <v>0.019740380588463783</v>
      </c>
      <c r="D14" s="29" t="inlineStr">
        <is>
          <t>Refrigerated pizza prep table with an ingredient rail and a granite top. Distributor listings run from about $1,660 for a 71-in unit to about $6,520 for a 67-in unit (WebstaurantStore, Oct 2026); the example budgets $6,500</t>
        </is>
      </c>
      <c r="E14" s="32" t="inlineStr">
        <is>
          <t>Yes</t>
        </is>
      </c>
    </row>
    <row r="15">
      <c r="A15" s="29" t="inlineStr">
        <is>
          <t>Walk-in (6×8), reach-ins, dough-ball cabinets &amp; freezer</t>
        </is>
      </c>
      <c r="B15" s="51" t="n">
        <v>19800</v>
      </c>
      <c r="C15" s="68">
        <f>IFERROR(B15/$B$30,"")</f>
        <v>0.06013223625408968</v>
      </c>
      <c r="D15" s="29" t="inlineStr">
        <is>
          <t>A 6×8 ft walk-in lists at about $12,800 (WebstaurantStore, Oct 2026), plus reach-ins, ventilated cabinets for the dough balls and the ingredients, and a freezer</t>
        </is>
      </c>
      <c r="E15" s="32" t="inlineStr">
        <is>
          <t>Yes</t>
        </is>
      </c>
    </row>
    <row r="16">
      <c r="A16" s="29" t="inlineStr">
        <is>
          <t>Type I hood &amp; support line (fryer, range)</t>
        </is>
      </c>
      <c r="B16" s="51" t="n">
        <v>9000</v>
      </c>
      <c r="C16" s="68">
        <f>IFERROR(B16/$B$30,"")</f>
        <v>0.027332834660949854</v>
      </c>
      <c r="D16" s="29" t="inlineStr">
        <is>
          <t>Type I hood and support line (fryer, range) for the starters, fried items and sauces. A 10 ft hood package runs about $6,300-$6,800 before installation (WebstaurantStore, Oct 2026), plus fire suppression and makeup air. The listed oven with its own flue may not need a Type I hood if your local authority accepts it: ask the fire marshal in writing</t>
        </is>
      </c>
      <c r="E16" s="32" t="inlineStr">
        <is>
          <t>Yes</t>
        </is>
      </c>
    </row>
    <row r="17">
      <c r="A17" s="29" t="inlineStr">
        <is>
          <t>3-comp sink, dish machine, hand sinks &amp; stainless</t>
        </is>
      </c>
      <c r="B17" s="51" t="n">
        <v>12000</v>
      </c>
      <c r="C17" s="68">
        <f>IFERROR(B17/$B$30,"")</f>
        <v>0.03644377954793314</v>
      </c>
      <c r="D17" s="29" t="inlineStr">
        <is>
          <t>Three-compartment sink, dish machine, hands-free hand sinks, stainless tables and shelving</t>
        </is>
      </c>
      <c r="E17" s="32" t="inlineStr">
        <is>
          <t>Yes</t>
        </is>
      </c>
    </row>
    <row r="18">
      <c r="A18" s="29" t="inlineStr">
        <is>
          <t>Peels, dough boxes, scales &amp; smallwares</t>
        </is>
      </c>
      <c r="B18" s="51" t="n">
        <v>5500</v>
      </c>
      <c r="C18" s="68">
        <f>IFERROR(B18/$B$30,"")</f>
        <v>0.016703398959469356</v>
      </c>
      <c r="D18" s="29" t="inlineStr">
        <is>
          <t>Launching and turning peels, lidded dough boxes, scales, infrared thermometer, dishware, uniforms and the required public notices and allergen signage (the 9 major allergens, including sesame). Food handler cards and the CFPM exam are budgeted in the P&amp;L</t>
        </is>
      </c>
      <c r="E18" s="32" t="inlineStr">
        <is>
          <t>Yes</t>
        </is>
      </c>
    </row>
    <row r="19">
      <c r="A19" s="29" t="inlineStr">
        <is>
          <t>Beer &amp; wine bar (taps, back bar, espresso)</t>
        </is>
      </c>
      <c r="B19" s="51" t="n">
        <v>7000</v>
      </c>
      <c r="C19" s="68">
        <f>IFERROR(B19/$B$30,"")</f>
        <v>0.021258871402960997</v>
      </c>
      <c r="D19" s="29" t="inlineStr">
        <is>
          <t>If your beer distributor lends you the tap equipment, this line goes down</t>
        </is>
      </c>
      <c r="E19" s="32" t="inlineStr">
        <is>
          <t>Yes</t>
        </is>
      </c>
    </row>
    <row r="20">
      <c r="A20" s="29" t="inlineStr">
        <is>
          <t>Furniture (50 seats) &amp; patio</t>
        </is>
      </c>
      <c r="B20" s="51" t="n">
        <v>16000</v>
      </c>
      <c r="C20" s="68">
        <f>IFERROR(B20/$B$30,"")</f>
        <v>0.04859170606391085</v>
      </c>
      <c r="D20" s="29" t="inlineStr">
        <is>
          <t>Tables and chairs for 50 seats in the dining room and 24 on the seasonal patio (April through October)</t>
        </is>
      </c>
      <c r="E20" s="32" t="inlineStr">
        <is>
          <t>Yes</t>
        </is>
      </c>
    </row>
    <row r="21">
      <c r="A21" s="29" t="inlineStr">
        <is>
          <t>POS, online ordering &amp; delivery tablets</t>
        </is>
      </c>
      <c r="B21" s="51" t="n">
        <v>4500</v>
      </c>
      <c r="C21" s="68">
        <f>IFERROR(B21/$B$30,"")</f>
        <v>0.013666417330474927</v>
      </c>
      <c r="D21" s="29" t="inlineStr">
        <is>
          <t>POS that reports sales tax, card terminals, kitchen printer and the delivery marketplace tablets</t>
        </is>
      </c>
      <c r="E21" s="32" t="inlineStr">
        <is>
          <t>Yes</t>
        </is>
      </c>
    </row>
    <row r="22">
      <c r="A22" s="29" t="inlineStr">
        <is>
          <t>LLC, legal &amp; food safety plan</t>
        </is>
      </c>
      <c r="B22" s="51" t="n">
        <v>2500</v>
      </c>
      <c r="C22" s="68">
        <f>IFERROR(B22/$B$30,"")</f>
        <v>0.00759245407248607</v>
      </c>
      <c r="D22" s="29" t="inlineStr">
        <is>
          <t>LLC formation (or an S corp election with your CPA), business license, local fees, health permit and the written food safety plan. Government fees carry no sales tax; professional fees may, depending on your state: change the column next to it if your quote is mostly professional fees</t>
        </is>
      </c>
      <c r="E22" s="32" t="inlineStr">
        <is>
          <t>No</t>
        </is>
      </c>
    </row>
    <row r="23">
      <c r="A23" s="29" t="inlineStr">
        <is>
          <t>Branding, website, training &amp; launch</t>
        </is>
      </c>
      <c r="B23" s="51" t="n">
        <v>6500</v>
      </c>
      <c r="C23" s="68">
        <f>IFERROR(B23/$B$30,"")</f>
        <v>0.019740380588463783</v>
      </c>
      <c r="D23" s="29" t="inlineStr">
        <is>
          <t>Brand identity, a website with the menu, a photo shoot, pizzaiolo training for the second pizzaiolo and the opening campaign</t>
        </is>
      </c>
      <c r="E23" s="32" t="inlineStr">
        <is>
          <t>Yes</t>
        </is>
      </c>
    </row>
    <row r="24">
      <c r="A24" s="29" t="inlineStr">
        <is>
          <t>Opening inventory</t>
        </is>
      </c>
      <c r="B24" s="51" t="n">
        <v>5500</v>
      </c>
      <c r="C24" s="68">
        <f>IFERROR(B24/$B$30,"")</f>
        <v>0.016703398959469356</v>
      </c>
      <c r="D24" s="29" t="inlineStr">
        <is>
          <t>00 flour, tomatoes, cheeses and cured meats, the beer and wine, the first seasoned firewood and the pizza boxes</t>
        </is>
      </c>
      <c r="E24" s="32" t="inlineStr">
        <is>
          <t>Yes</t>
        </is>
      </c>
    </row>
    <row r="25">
      <c r="A25" s="29" t="inlineStr">
        <is>
          <t>Security deposit</t>
        </is>
      </c>
      <c r="B25" s="41">
        <f>IFERROR(IF('0. Assumptions'!$B$24="","",'0. Assumptions'!$B$24*'0. Assumptions'!$B$25),"")</f>
        <v>8000.0</v>
      </c>
      <c r="C25" s="68">
        <f>IFERROR(B25/$B$30,"")</f>
        <v>0.024295853031955424</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8000.0</v>
      </c>
      <c r="C26" s="68">
        <f>IFERROR(B26/$B$30,"")</f>
        <v>0.024295853031955424</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29" t="inlineStr">
        <is>
          <t>Build-out and setup contingency</t>
        </is>
      </c>
      <c r="B27" s="41">
        <f>IFERROR(IF(COUNT(B7,B8,B9,B10,B11)=0,"",ROUND((B7+B8+B9+B10+B11)*'0. Assumptions'!$B$55,0)),"")</f>
        <v>9250.0</v>
      </c>
      <c r="C27" s="68">
        <f>IFERROR(B27/$B$30,"")</f>
        <v>0.02809208006819846</v>
      </c>
      <c r="D27" s="29" t="str">
        <f>IFERROR("At "&amp;TEXT('0. Assumptions'!$B$55,"0%")&amp;" of the BUILD-OUT items of this block (architect, MEP, hood &amp; flue drawings and permit fees; build-out, signage &amp; facade; flue/chimney, spark arrestor &amp; hearth pad; electrical service &amp; panel; plumbing, grease interceptor, HVAC &amp; makeup "&amp;"air), not of the whole block: the oven, the equipment and the other items are left out. No lender funds a build-out without a cushion: the percentage is in ""0. Assumptions""","")</f>
        <v>At 10% of the BUILD-OUT items of this block (architect, MEP, hood &amp; flue drawings and permit fees; build-out, signage &amp; facade; flue/chimney, spark arrestor &amp; hearth pad; electrical service &amp; panel; plumbing, grease interceptor, HVAC &amp; makeup air), not of the whole block: the oven, the equipment and the other items are left out. No lender funds a build-out without a cushion: the percentage is in "0. Assumptions"</v>
      </c>
      <c r="E27" s="29" t="inlineStr">
        <is>
          <t>Yes</t>
        </is>
      </c>
    </row>
    <row r="28">
      <c r="A28" s="26" t="inlineStr">
        <is>
          <t>WORKING CAPITAL</t>
        </is>
      </c>
      <c r="B28" s="54">
        <f>IFERROR(IF(B29="","",B29),"")</f>
        <v>86724.3</v>
      </c>
      <c r="C28" s="67">
        <f>IFERROR(B28/$B$30,"")</f>
        <v>0.2633801058874015</v>
      </c>
      <c r="D28" s="29" t="n"/>
      <c r="E28" s="29" t="n"/>
    </row>
    <row r="29">
      <c r="A29" s="29" t="inlineStr">
        <is>
          <t>Operating cushion until break-even</t>
        </is>
      </c>
      <c r="B29" s="41">
        <f>IFERROR(IF('0. Assumptions'!$B$35*('3-Year P&amp;L'!$B$37-'3-Year P&amp;L'!$B$35)=0,"",'0. Assumptions'!$B$35*('3-Year P&amp;L'!$B$37-'3-Year P&amp;L'!$B$35)/12),"")</f>
        <v>86724.3</v>
      </c>
      <c r="C29" s="68">
        <f>IFERROR(B29/$B$30,"")</f>
        <v>0.2633801058874015</v>
      </c>
      <c r="D29" s="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29" t="inlineStr">
        <is>
          <t>No</t>
        </is>
      </c>
    </row>
    <row r="30">
      <c r="A30" s="26" t="inlineStr">
        <is>
          <t>TOTAL STARTUP COSTS (sum of the blocks)</t>
        </is>
      </c>
      <c r="B30" s="54">
        <f>IFERROR(B6+B28,"")</f>
        <v>329274.3</v>
      </c>
      <c r="C30" s="29" t="n"/>
      <c r="D30" s="26"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(26% of the total). To compare the breakdown with another plan, use the CAPEX row below.</v>
      </c>
      <c r="E30" s="29" t="n"/>
    </row>
    <row r="31">
      <c r="A31" s="26" t="inlineStr">
        <is>
          <t>CAPEX (startup costs excluding working capital)</t>
        </is>
      </c>
      <c r="B31" s="54">
        <f>IFERROR(B30-B28,"")</f>
        <v>242550.0</v>
      </c>
      <c r="C31" s="29" t="n"/>
      <c r="D31" s="26" t="inlineStr">
        <is>
          <t>What you buy: build-out, equipment, launch and formation costs. The cash cushion is not an investment: it is working capital</t>
        </is>
      </c>
      <c r="E31" s="29" t="n"/>
    </row>
    <row r="32">
      <c r="A32" s="29" t="inlineStr">
        <is>
          <t>Recoverable input tax on capex</t>
        </is>
      </c>
      <c r="B32" s="41">
        <f>IFERROR(IF(B30="","",SUMIF($E$7:$E$27,"Yes",$B$7:$B$27)*'0. Assumptions'!$B$41),"")</f>
        <v>0.0</v>
      </c>
      <c r="C32" s="29" t="n"/>
      <c r="D32" s="29"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c r="E32" s="29" t="n"/>
    </row>
    <row r="33">
      <c r="A33" s="26" t="inlineStr">
        <is>
          <t>TOTAL CASH NEEDED AT LAUNCH</t>
        </is>
      </c>
      <c r="B33" s="54">
        <f>IFERROR(B30+B32,"")</f>
        <v>329274.3</v>
      </c>
      <c r="C33" s="29" t="n"/>
      <c r="D33" s="26" t="inlineStr">
        <is>
          <t>This is the figure the Financing tab has to cover</t>
        </is>
      </c>
      <c r="E33" s="29" t="n"/>
    </row>
    <row r="34">
      <c r="A34" s="26" t="inlineStr">
        <is>
          <t>DEPRECIATION BASES (not added to startup costs)</t>
        </is>
      </c>
      <c r="B34" s="29" t="n"/>
      <c r="C34" s="29" t="n"/>
      <c r="D34" s="29" t="n"/>
      <c r="E34" s="29" t="n"/>
    </row>
    <row r="35">
      <c r="A35" s="29" t="inlineStr">
        <is>
          <t>Build-out, fixtures and setup</t>
        </is>
      </c>
      <c r="B35" s="41">
        <f>IFERROR(IF(B7="","",B7+B8+B9+B10+B11+B27),"")</f>
        <v>101750.0</v>
      </c>
      <c r="C35" s="29" t="n"/>
      <c r="D35" s="29" t="str">
        <f>IFERROR("Depreciated over "&amp;TEXT('0. Assumptions'!$B$44,"0")&amp;" years","")</f>
        <v>Depreciated over 10 years</v>
      </c>
      <c r="E35" s="29" t="n"/>
    </row>
    <row r="36">
      <c r="A36" s="29" t="inlineStr">
        <is>
          <t>Machinery, furniture and equipment</t>
        </is>
      </c>
      <c r="B36" s="41">
        <f>IFERROR(IF(B12="","",B12+B13+B14+B15+B16+B17+B18+B19+B20+B21),"")</f>
        <v>110300.0</v>
      </c>
      <c r="C36" s="29" t="n"/>
      <c r="D36" s="29" t="str">
        <f>IFERROR("Depreciated over "&amp;TEXT('0. Assumptions'!$B$45,"0")&amp;" years","")</f>
        <v>Depreciated over 7 years</v>
      </c>
      <c r="E36" s="29" t="n"/>
    </row>
    <row r="37">
      <c r="A37" s="26" t="inlineStr">
        <is>
          <t>Annual depreciation of fixed assets</t>
        </is>
      </c>
      <c r="B37" s="54">
        <f>IFERROR(B35/MAX(1,'0. Assumptions'!$B$44)+B36/MAX(1,'0. Assumptions'!$B$45),"")</f>
        <v>25932.142857142855</v>
      </c>
      <c r="C37" s="29" t="n"/>
      <c r="D37" s="26" t="str">
        <f>IFERROR("Not depreciated, because they are not fixed assets: LLC, legal and food safety plan; branding, website, training and launch; opening inventory; security deposit; pre-opening rent and the working capital reserve. They add up to "&amp;TEXT(B30-B35-B36,"#,##0")&amp;" of the "&amp;TEXT(B30,"#,##0")&amp;" total investment.","")</f>
        <v>Not depreciated, because they are not fixed assets: LLC, legal and food safety plan; branding, website, training and launch; opening inventory; security deposit; pre-opening rent and the working capital reserve. They add up to 117224 of the 329274 total investment.</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Neapolitan-style pizza shop, 50 seats + patio</t>
        </is>
      </c>
    </row>
    <row r="4" ht="45" customHeight="1">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40" t="inlineStr">
        <is>
          <t>Beverage share taxed at the alcohol rate in B40 (%)</t>
        </is>
      </c>
    </row>
    <row r="5">
      <c r="A5" s="26" t="inlineStr">
        <is>
          <t>REVENUE</t>
        </is>
      </c>
      <c r="B5" s="29" t="n"/>
      <c r="C5" s="29" t="n"/>
      <c r="D5" s="29" t="n"/>
      <c r="E5" s="29" t="n"/>
      <c r="F5" s="29" t="n"/>
      <c r="G5" s="29" t="n"/>
      <c r="H5" s="29" t="n"/>
    </row>
    <row r="6">
      <c r="A6" s="29" t="inlineStr">
        <is>
          <t>Covers per day (average)</t>
        </is>
      </c>
      <c r="B6" s="41">
        <f>IFERROR(IF('0. Assumptions'!$B$4="","",'0. Assumptions'!$B$4),"")</f>
        <v>62.0</v>
      </c>
      <c r="C6" s="41">
        <f>IFERROR(B6*(1+'0. Assumptions'!$B$7),"")</f>
        <v>65.72</v>
      </c>
      <c r="D6" s="41">
        <f>IFERROR(C6*(1+'0. Assumptions'!$B$8),"")</f>
        <v>68.3488</v>
      </c>
      <c r="E6" s="29" t="n"/>
      <c r="F6" s="29" t="inlineStr">
        <is>
          <t>Growth for years 2 and 3 is set in "0. Assumptions"</t>
        </is>
      </c>
      <c r="G6" s="29" t="n"/>
      <c r="H6" s="29" t="n"/>
    </row>
    <row r="7">
      <c r="A7" s="29" t="inlineStr">
        <is>
          <t>Average check (excl. sales tax)</t>
        </is>
      </c>
      <c r="B7" s="62">
        <f>IFERROR(IF('0. Assumptions'!$B$5="","",'0. Assumptions'!$B$5),"")</f>
        <v>36.0</v>
      </c>
      <c r="C7" s="62">
        <f>IFERROR(IF(B7="","",B7),"")</f>
        <v>36.0</v>
      </c>
      <c r="D7" s="62">
        <f>IFERROR(IF(C7="","",C7),"")</f>
        <v>36.0</v>
      </c>
      <c r="E7" s="29" t="n"/>
      <c r="F7" s="29" t="inlineStr">
        <is>
          <t>Held constant at year-1 prices: a price increase is a separate decision</t>
        </is>
      </c>
      <c r="G7" s="29" t="n"/>
      <c r="H7" s="29" t="n"/>
    </row>
    <row r="8">
      <c r="A8" s="29" t="inlineStr">
        <is>
          <t>Operating days per year</t>
        </is>
      </c>
      <c r="B8" s="41">
        <f>IFERROR(IF('0. Assumptions'!$B$6="","",'0. Assumptions'!$B$6),"")</f>
        <v>300.0</v>
      </c>
      <c r="C8" s="41">
        <f>IFERROR(IF(B8="","",B8),"")</f>
        <v>300.0</v>
      </c>
      <c r="D8" s="41">
        <f>IFERROR(IF(C8="","",C8),"")</f>
        <v>300.0</v>
      </c>
      <c r="E8" s="29" t="n"/>
      <c r="F8" s="29" t="n"/>
      <c r="G8" s="29" t="n"/>
      <c r="H8" s="29" t="n"/>
    </row>
    <row r="9">
      <c r="A9" s="26" t="inlineStr">
        <is>
          <t>TOTAL REVENUE (excl. sales tax)</t>
        </is>
      </c>
      <c r="B9" s="54">
        <f>IFERROR(IF(B6*B7*B8=0,"",B6*B7*B8),"")</f>
        <v>669600.0</v>
      </c>
      <c r="C9" s="54">
        <f>IFERROR(IF(C6*C7*C8=0,"",C6*C7*C8),"")</f>
        <v>709776.0</v>
      </c>
      <c r="D9" s="54">
        <f>IFERROR(IF(D6*D7*D8=0,"",D6*D7*D8),"")</f>
        <v>738167.0399999999</v>
      </c>
      <c r="E9" s="67">
        <f>IFERROR(IF(B9="","",1),"")</f>
        <v>1.0</v>
      </c>
      <c r="F9" s="29" t="n"/>
      <c r="G9" s="29" t="n"/>
      <c r="H9" s="29" t="n"/>
    </row>
    <row r="10">
      <c r="A10" s="29" t="inlineStr">
        <is>
          <t>Food sales (pizza, starters &amp; desserts: dine-in, take-out &amp; delivery)</t>
        </is>
      </c>
      <c r="B10" s="41">
        <f>IFERROR(IF(B9="","",B9*$E$10),"")</f>
        <v>549072.0</v>
      </c>
      <c r="C10" s="41">
        <f>IFERROR(IF(C9="","",C9*$E$10),"")</f>
        <v>582016.32</v>
      </c>
      <c r="D10" s="41">
        <f>IFERROR(IF(D9="","",D9*$E$10),"")</f>
        <v>605296.9727999999</v>
      </c>
      <c r="E10" s="68">
        <f>IFERROR(IF('0. Assumptions'!$B$11="","",'0. Assumptions'!$B$11),"")</f>
        <v>0.82</v>
      </c>
      <c r="F10" s="29" t="inlineStr">
        <is>
          <t>Pizzas, starters and desserts: about 76% dine-in, about 12% direct pickup and 12% through delivery marketplaces. One sales tax rate in the example, whether guests eat in or take it to go; some states tax food to go differently, so check yours</t>
        </is>
      </c>
      <c r="G10" s="68">
        <f>IFERROR(IF(B9="","",'0. Assumptions'!$B$39),"")</f>
        <v>0.08</v>
      </c>
      <c r="H10" s="29" t="n"/>
    </row>
    <row r="11">
      <c r="A11" s="29" t="inlineStr">
        <is>
          <t>Beverage sales (beer, wine, soft drinks &amp; coffee)</t>
        </is>
      </c>
      <c r="B11" s="41">
        <f>IFERROR(IF(B9="","",B9*$E$11),"")</f>
        <v>120528.00000000003</v>
      </c>
      <c r="C11" s="41">
        <f>IFERROR(IF(C9="","",C9*$E$11),"")</f>
        <v>127759.68000000004</v>
      </c>
      <c r="D11" s="41">
        <f>IFERROR(IF(D9="","",D9*$E$11),"")</f>
        <v>132870.06720000002</v>
      </c>
      <c r="E11" s="68">
        <f>IFERROR(IF('0. Assumptions'!$B$12="","",'0. Assumptions'!$B$12),"")</f>
        <v>0.18000000000000005</v>
      </c>
      <c r="F11" s="29" t="inlineStr">
        <is>
          <t>Dine-in beverages and the drinks that go out with orders · Column H is the share of beverage sales taxed at the alcohol rate in "0. Assumptions" B40. With the example rates (B39 = B40 = 8%: state + local) it changes nothing. Some states tax alcohol differently (e.g. Texas: bars with a mixed beverage permit pay a separate gross receipts tax): type your alcohol rate in B40 and the alcohol share of beverage sales here</t>
        </is>
      </c>
      <c r="G11" s="68">
        <f>IFERROR(IF(B9="","",H11*'0. Assumptions'!$B$40+(1-H11)*'0. Assumptions'!$B$39),"")</f>
        <v>0.08</v>
      </c>
      <c r="H11" s="74" t="n">
        <v>0.5</v>
      </c>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142758.72</v>
      </c>
      <c r="C13" s="41">
        <f>IFERROR(IF(C9="","",C9*'0. Assumptions'!$B$11*'0. Assumptions'!$B$13),"")</f>
        <v>151324.2432</v>
      </c>
      <c r="D13" s="41">
        <f>IFERROR(IF(D9="","",D9*'0. Assumptions'!$B$11*'0. Assumptions'!$B$13),"")</f>
        <v>157377.21292799996</v>
      </c>
      <c r="E13" s="68">
        <f>IFERROR(B13/$B$9,"")</f>
        <v>0.2132</v>
      </c>
      <c r="F13" s="29" t="str">
        <f>IFERROR("At "&amp;TEXT('0. Assumptions'!$B$13,"0%")&amp;" of FOOD sales, not of total sales: beverages have their own line · 00 flour, cheeses (fior di latte, mozzarella di bufala), San Marzano tomatoes, cured meats and olive oil: check it against your distributor invoices and the Pizza Dough &amp; "&amp;"Food Cost Calculator","")</f>
        <v>At 26% of FOOD sales, not of total sales: beverages have their own line · 00 flour, cheeses (fior di latte, mozzarella di bufala), San Marzano tomatoes, cured meats and olive oil: check it against your distributor invoices and the Pizza Dough &amp; Food Cost Calculator</v>
      </c>
      <c r="G13" s="74" t="n">
        <v>0</v>
      </c>
      <c r="H13" s="29" t="n"/>
    </row>
    <row r="14">
      <c r="A14" s="29" t="inlineStr">
        <is>
          <t>Cost of goods sold — beverage</t>
        </is>
      </c>
      <c r="B14" s="41">
        <f>IFERROR(IF(B9="","",B9*'0. Assumptions'!$B$12*'0. Assumptions'!$B$14),"")</f>
        <v>31337.28000000001</v>
      </c>
      <c r="C14" s="41">
        <f>IFERROR(IF(C9="","",C9*'0. Assumptions'!$B$12*'0. Assumptions'!$B$14),"")</f>
        <v>33217.51680000001</v>
      </c>
      <c r="D14" s="41">
        <f>IFERROR(IF(D9="","",D9*'0. Assumptions'!$B$12*'0. Assumptions'!$B$14),"")</f>
        <v>34546.217472000004</v>
      </c>
      <c r="E14" s="68">
        <f>IFERROR(B14/$B$9,"")</f>
        <v>0.046800000000000015</v>
      </c>
      <c r="F14" s="29" t="str">
        <f>IFERROR("At "&amp;TEXT('0. Assumptions'!$B$14,"0%")&amp;" of BEVERAGE sales","")</f>
        <v>At 26% of BEVERAGE sales</v>
      </c>
      <c r="G14" s="68">
        <f>IFERROR(IF(B9="","",'0. Assumptions'!$B$41),"")</f>
        <v>0.0</v>
      </c>
      <c r="H14" s="29" t="n"/>
    </row>
    <row r="15">
      <c r="A15" s="29" t="inlineStr">
        <is>
          <t>Disposables and packaging</t>
        </is>
      </c>
      <c r="B15" s="41">
        <f>IFERROR(IF(B9="","",B9*'0. Assumptions'!$B$15),"")</f>
        <v>23436.000000000004</v>
      </c>
      <c r="C15" s="41">
        <f>IFERROR(IF(C9="","",C9*'0. Assumptions'!$B$15),"")</f>
        <v>24842.160000000003</v>
      </c>
      <c r="D15" s="41">
        <f>IFERROR(IF(D9="","",D9*'0. Assumptions'!$B$15),"")</f>
        <v>25835.8464</v>
      </c>
      <c r="E15" s="68">
        <f>IFERROR(B15/$B$9,"")</f>
        <v>0.035</v>
      </c>
      <c r="F15" s="29" t="n"/>
      <c r="G15" s="68">
        <f>IFERROR(IF(B9="","",'0. Assumptions'!$B$41),"")</f>
        <v>0.0</v>
      </c>
      <c r="H15" s="29" t="n"/>
    </row>
    <row r="16">
      <c r="A16" s="29" t="inlineStr">
        <is>
          <t>Delivery platform fees</t>
        </is>
      </c>
      <c r="B16" s="41">
        <f>IFERROR(IF(B9="","",B9*'0. Assumptions'!$B$16*'0. Assumptions'!$B$17),"")</f>
        <v>20088.0</v>
      </c>
      <c r="C16" s="41">
        <f>IFERROR(IF(C9="","",C9*'0. Assumptions'!$B$16*'0. Assumptions'!$B$17),"")</f>
        <v>21293.28</v>
      </c>
      <c r="D16" s="41">
        <f>IFERROR(IF(D9="","",D9*'0. Assumptions'!$B$16*'0. Assumptions'!$B$17),"")</f>
        <v>22145.011199999997</v>
      </c>
      <c r="E16" s="68">
        <f>IFERROR(B16/$B$9,"")</f>
        <v>0.03</v>
      </c>
      <c r="F16" s="29" t="inlineStr">
        <is>
          <t>Applied to the sales of THAT CHANNEL. With 0% delivery in Assumptions, this line is zero</t>
        </is>
      </c>
      <c r="G16" s="68">
        <f>IFERROR(IF(B9="","",'0. Assumptions'!$B$41),"")</f>
        <v>0.0</v>
      </c>
      <c r="H16" s="29" t="n"/>
    </row>
    <row r="17">
      <c r="A17" s="29" t="inlineStr">
        <is>
          <t>Card processing fees</t>
        </is>
      </c>
      <c r="B17" s="41">
        <f>IFERROR(IF(B9="","",B9*'0. Assumptions'!$B$18),"")</f>
        <v>20088.0</v>
      </c>
      <c r="C17" s="41">
        <f>IFERROR(IF(C9="","",C9*'0. Assumptions'!$B$18),"")</f>
        <v>21293.28</v>
      </c>
      <c r="D17" s="41">
        <f>IFERROR(IF(D9="","",D9*'0. Assumptions'!$B$18),"")</f>
        <v>22145.011199999997</v>
      </c>
      <c r="E17" s="68">
        <f>IFERROR(B17/$B$9,"")</f>
        <v>0.03</v>
      </c>
      <c r="F17" s="29" t="inlineStr">
        <is>
          <t>Card processing fees are not subject to sales tax: no tax is recovered or deducted for them</t>
        </is>
      </c>
      <c r="G17" s="68" t="n">
        <v>0</v>
      </c>
      <c r="H17" s="29" t="n"/>
    </row>
    <row r="18">
      <c r="A18" s="29" t="inlineStr">
        <is>
          <t>Miscellaneous and contingency</t>
        </is>
      </c>
      <c r="B18" s="41">
        <f>IFERROR(IF(B9="","",B9*'0. Assumptions'!$B$28),"")</f>
        <v>6696.0</v>
      </c>
      <c r="C18" s="41">
        <f>IFERROR(IF(C9="","",C9*'0. Assumptions'!$B$28),"")</f>
        <v>7097.76</v>
      </c>
      <c r="D18" s="41">
        <f>IFERROR(IF(D9="","",D9*'0. Assumptions'!$B$28),"")</f>
        <v>7381.670399999999</v>
      </c>
      <c r="E18" s="68">
        <f>IFERROR(B18/$B$9,"")</f>
        <v>0.01</v>
      </c>
      <c r="F18" s="29" t="str">
        <f>IFERROR("At "&amp;TEXT('0. Assumptions'!$B$28,"0%")&amp;" of sales. It is a VARIABLE cost: it moves with revenue, so it cannot sit in fixed costs","")</f>
        <v>At 1% of sales. It is a VARIABLE cost: it moves with revenue, so it cannot sit in fixed costs</v>
      </c>
      <c r="G18" s="68">
        <f>IFERROR(IF(B9="","",'0. Assumptions'!$B$41),"")</f>
        <v>0.0</v>
      </c>
      <c r="H18" s="29" t="n"/>
    </row>
    <row r="19">
      <c r="A19" s="26" t="inlineStr">
        <is>
          <t>TOTAL VARIABLE COSTS</t>
        </is>
      </c>
      <c r="B19" s="54">
        <f>IFERROR(IF(B9="","",SUM(B13:B18)),"")</f>
        <v>244404.0</v>
      </c>
      <c r="C19" s="54">
        <f>IFERROR(IF(C9="","",SUM(C13:C18)),"")</f>
        <v>259068.24000000002</v>
      </c>
      <c r="D19" s="54">
        <f>IFERROR(IF(D9="","",SUM(D13:D18)),"")</f>
        <v>269430.96959999995</v>
      </c>
      <c r="E19" s="67">
        <f>IFERROR(B19/$B$9,"")</f>
        <v>0.365</v>
      </c>
      <c r="F19" s="29" t="n"/>
      <c r="G19" s="29" t="n"/>
      <c r="H19" s="29" t="n"/>
    </row>
    <row r="20">
      <c r="A20" s="26" t="inlineStr">
        <is>
          <t>GROSS MARGIN</t>
        </is>
      </c>
      <c r="B20" s="54">
        <f>IFERROR(IF(B9="","",B9-B19),"")</f>
        <v>425196.0</v>
      </c>
      <c r="C20" s="54">
        <f>IFERROR(IF(C9="","",C9-C19),"")</f>
        <v>450707.76</v>
      </c>
      <c r="D20" s="54">
        <f>IFERROR(IF(D9="","",D9-D19),"")</f>
        <v>468736.07039999997</v>
      </c>
      <c r="E20" s="67">
        <f>IFERROR(B20/$B$9,"")</f>
        <v>0.635</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48000.0</v>
      </c>
      <c r="C22" s="41">
        <f>IFERROR(IF(C9="","",B22*(1+'0. Assumptions'!$B$48)),"")</f>
        <v>48000.0</v>
      </c>
      <c r="D22" s="41">
        <f>IFERROR(IF(D9="","",C22*(1+'0. Assumptions'!$B$48)),"")</f>
        <v>48000.0</v>
      </c>
      <c r="E22" s="68">
        <f>IFERROR(B22/$B$9,"")</f>
        <v>0.07168458781362007</v>
      </c>
      <c r="F22" s="29" t="inlineStr">
        <is>
          <t>The monthly amount is on the "0. Assumptions" tab; here it is multiplied by twelve. The two months of rent before opening are on "Startup Costs" and are NOT counted twice</t>
        </is>
      </c>
      <c r="G22" s="68">
        <f>IFERROR(IF(B9="","",'0. Assumptions'!$B$41),"")</f>
        <v>0.0</v>
      </c>
      <c r="H22" s="29" t="n"/>
    </row>
    <row r="23">
      <c r="A23" s="29" t="inlineStr">
        <is>
          <t>Labor (wages + employer payroll taxes)</t>
        </is>
      </c>
      <c r="B23" s="41">
        <f>IFERROR(IF(B9="","",Staffing!$G$12),"")</f>
        <v>219397.2</v>
      </c>
      <c r="C23" s="41">
        <f>IFERROR(IF(C9="","",Staffing!$B$16),"")</f>
        <v>224397.2</v>
      </c>
      <c r="D23" s="41">
        <f>IFERROR(IF(D9="","",Staffing!$B$17),"")</f>
        <v>229397.2</v>
      </c>
      <c r="E23" s="68">
        <f>IFERROR(B23/$B$9,"")</f>
        <v>0.3276541218637993</v>
      </c>
      <c r="F23" s="29" t="inlineStr">
        <is>
          <t>Comes from the Staffing tab: it is the SAME number, not a separate estimate. Years 2 and 3 add the new hires declared on that tab, not a percentage of volume</t>
        </is>
      </c>
      <c r="G23" s="68" t="n">
        <v>0</v>
      </c>
      <c r="H23" s="29" t="n"/>
    </row>
    <row r="24">
      <c r="A24" s="29" t="inlineStr">
        <is>
          <t>Utilities (electricity, water, gas)</t>
        </is>
      </c>
      <c r="B24" s="41">
        <f>IFERROR(IF(B9="","",'0. Assumptions'!$B$26*12),"")</f>
        <v>21600.0</v>
      </c>
      <c r="C24" s="41">
        <f>IFERROR(IF(C9="","",B24*(1+'0. Assumptions'!$B$48)),"")</f>
        <v>21600.0</v>
      </c>
      <c r="D24" s="41">
        <f>IFERROR(IF(D9="","",C24*(1+'0. Assumptions'!$B$48)),"")</f>
        <v>21600.0</v>
      </c>
      <c r="E24" s="68">
        <f>IFERROR(B24/$B$9,"")</f>
        <v>0.03225806451612903</v>
      </c>
      <c r="F24" s="29" t="inlineStr">
        <is>
          <t>Enter the monthly bills excl. sales tax. The workbook applies a single tax treatment to this whole line, the one in the column next to it; if one utility is taxed differently in your area, give it its own line</t>
        </is>
      </c>
      <c r="G24" s="68">
        <f>IFERROR(IF(B9="","",'0. Assumptions'!$B$41),"")</f>
        <v>0.0</v>
      </c>
      <c r="H24" s="29" t="n"/>
    </row>
    <row r="25">
      <c r="A25" s="29" t="inlineStr">
        <is>
          <t>Insurance (general + liquor liability + property)</t>
        </is>
      </c>
      <c r="B25" s="41">
        <f>IFERROR(IF(B9="","",'0. Assumptions'!$B$27),"")</f>
        <v>7500.0</v>
      </c>
      <c r="C25" s="41">
        <f>IFERROR(IF(C9="","",B25*(1+'0. Assumptions'!$B$48)),"")</f>
        <v>7500.0</v>
      </c>
      <c r="D25" s="41">
        <f>IFERROR(IF(D9="","",C25*(1+'0. Assumptions'!$B$48)),"")</f>
        <v>7500.0</v>
      </c>
      <c r="E25" s="68">
        <f>IFERROR(B25/$B$9,"")</f>
        <v>0.011200716845878136</v>
      </c>
      <c r="F25" s="29" t="inlineStr">
        <is>
          <t>Insurance premiums are not subject to sales tax: there is no recoverable tax on them</t>
        </is>
      </c>
      <c r="G25" s="68" t="n">
        <v>0</v>
      </c>
      <c r="H25" s="29" t="n"/>
    </row>
    <row r="26">
      <c r="A26" s="29" t="inlineStr">
        <is>
          <t>Accounting &amp; bookkeeping</t>
        </is>
      </c>
      <c r="B26" s="51" t="n">
        <v>4200</v>
      </c>
      <c r="C26" s="41">
        <f>IFERROR(IF(C9="","",B26*(1+'0. Assumptions'!$B$48)),"")</f>
        <v>4200.0</v>
      </c>
      <c r="D26" s="41">
        <f>IFERROR(IF(D9="","",C26*(1+'0. Assumptions'!$B$48)),"")</f>
        <v>4200.0</v>
      </c>
      <c r="E26" s="68">
        <f>IFERROR(B26/$B$9,"")</f>
        <v>0.0062724014336917565</v>
      </c>
      <c r="F26" s="29" t="inlineStr">
        <is>
          <t>Bookkeeping, income tax and payroll filings for the LLC, payroll processing and the staff paperwork (offer letters, I-9, W-4)</t>
        </is>
      </c>
      <c r="G26" s="68">
        <f>IFERROR(IF(B9="","",'0. Assumptions'!$B$41),"")</f>
        <v>0.0</v>
      </c>
      <c r="H26" s="29" t="n"/>
    </row>
    <row r="27">
      <c r="A27" s="29" t="inlineStr">
        <is>
          <t>Maintenance (oven, hood &amp; flue cleaning, refrigeration)</t>
        </is>
      </c>
      <c r="B27" s="51" t="n">
        <v>3600</v>
      </c>
      <c r="C27" s="41">
        <f>IFERROR(IF(C9="","",B27*(1+'0. Assumptions'!$B$48)),"")</f>
        <v>3600.0</v>
      </c>
      <c r="D27" s="41">
        <f>IFERROR(IF(D9="","",C27*(1+'0. Assumptions'!$B$48)),"")</f>
        <v>3600.0</v>
      </c>
      <c r="E27" s="68">
        <f>IFERROR(B27/$B$9,"")</f>
        <v>0.005376344086021506</v>
      </c>
      <c r="F27" s="29" t="inlineStr">
        <is>
          <t>Chimney sweeping and spark arrestor service for the oven, refractory inspection, hood and flue cleaning on the schedule that NFPA 96 and your local authority require, and the refrigeration technician</t>
        </is>
      </c>
      <c r="G27" s="68">
        <f>IFERROR(IF(B9="","",'0. Assumptions'!$B$41),"")</f>
        <v>0.0</v>
      </c>
      <c r="H27" s="29" t="n"/>
    </row>
    <row r="28">
      <c r="A28" s="29" t="inlineStr">
        <is>
          <t>Marketing and advertising</t>
        </is>
      </c>
      <c r="B28" s="51" t="n">
        <v>6000</v>
      </c>
      <c r="C28" s="41">
        <f>IFERROR(IF(C9="","",B28*(1+'0. Assumptions'!$B$48)),"")</f>
        <v>6000.0</v>
      </c>
      <c r="D28" s="41">
        <f>IFERROR(IF(D9="","",C28*(1+'0. Assumptions'!$B$48)),"")</f>
        <v>6000.0</v>
      </c>
      <c r="E28" s="68">
        <f>IFERROR(B28/$B$9,"")</f>
        <v>0.008960573476702509</v>
      </c>
      <c r="F28" s="29" t="inlineStr">
        <is>
          <t>Google Business Profile, Yelp, social media, seasonal photos and promotions; the opening campaign is in "Startup Costs"</t>
        </is>
      </c>
      <c r="G28" s="68">
        <f>IFERROR(IF(B9="","",'0. Assumptions'!$B$41),"")</f>
        <v>0.0</v>
      </c>
      <c r="H28" s="29" t="n"/>
    </row>
    <row r="29">
      <c r="A29" s="29" t="inlineStr">
        <is>
          <t>Software, POS &amp; online ordering</t>
        </is>
      </c>
      <c r="B29" s="51" t="n">
        <v>3600</v>
      </c>
      <c r="C29" s="41">
        <f>IFERROR(IF(C9="","",B29*(1+'0. Assumptions'!$B$48)),"")</f>
        <v>3600.0</v>
      </c>
      <c r="D29" s="41">
        <f>IFERROR(IF(D9="","",C29*(1+'0. Assumptions'!$B$48)),"")</f>
        <v>3600.0</v>
      </c>
      <c r="E29" s="68">
        <f>IFERROR(B29/$B$9,"")</f>
        <v>0.005376344086021506</v>
      </c>
      <c r="F29" s="29" t="inlineStr">
        <is>
          <t>POS subscription, online ordering, the delivery marketplace tablets, phone and internet</t>
        </is>
      </c>
      <c r="G29" s="68">
        <f>IFERROR(IF(B9="","",'0. Assumptions'!$B$41),"")</f>
        <v>0.0</v>
      </c>
      <c r="H29" s="29" t="n"/>
    </row>
    <row r="30">
      <c r="A30" s="29" t="inlineStr">
        <is>
          <t>Cleaning, linens, uniforms &amp; pest control</t>
        </is>
      </c>
      <c r="B30" s="51" t="n">
        <v>3300</v>
      </c>
      <c r="C30" s="41">
        <f>IFERROR(IF(C9="","",B30*(1+'0. Assumptions'!$B$48)),"")</f>
        <v>3300.0</v>
      </c>
      <c r="D30" s="41">
        <f>IFERROR(IF(D9="","",C30*(1+'0. Assumptions'!$B$48)),"")</f>
        <v>3300.0</v>
      </c>
      <c r="E30" s="68">
        <f>IFERROR(B30/$B$9,"")</f>
        <v>0.00492831541218638</v>
      </c>
      <c r="F30" s="29" t="inlineStr">
        <is>
          <t>Cleaning supplies, uniform and towel laundry, oven gloves, the pest control company and any lab tests or records your written food safety plan calls for</t>
        </is>
      </c>
      <c r="G30" s="68">
        <f>IFERROR(IF(B9="","",'0. Assumptions'!$B$41),"")</f>
        <v>0.0</v>
      </c>
      <c r="H30" s="29" t="n"/>
    </row>
    <row r="31">
      <c r="A31" s="29" t="inlineStr">
        <is>
          <t>Firewood</t>
        </is>
      </c>
      <c r="B31" s="51" t="n">
        <v>5500</v>
      </c>
      <c r="C31" s="41">
        <f>IFERROR(IF(C9="","",B31*(1+'0. Assumptions'!$B$48)),"")</f>
        <v>5500.0</v>
      </c>
      <c r="D31" s="41">
        <f>IFERROR(IF(D9="","",C31*(1+'0. Assumptions'!$B$48)),"")</f>
        <v>5500.0</v>
      </c>
      <c r="E31" s="68">
        <f>IFERROR(B31/$B$9,"")</f>
        <v>0.008213859020310634</v>
      </c>
      <c r="F31" s="29" t="inlineStr">
        <is>
          <t>Seasoned hardwood (oak, ash, maple or fruitwood), dry and untreated: about 11 lb (5 kg) per hour of fire, 11 hours a day and 300 days, or about 18 US tons (16.5 t) a year. Ask your supplier for the delivered price. It is FIXED because the oven burns by the hour it is lit, not by the pizza. With a gas or electric oven, this moves to utilities</t>
        </is>
      </c>
      <c r="G31" s="68">
        <f>IFERROR(IF(B9="","",'0. Assumptions'!$B$41),"")</f>
        <v>0.0</v>
      </c>
      <c r="H31" s="29" t="n"/>
    </row>
    <row r="32">
      <c r="A32" s="29" t="inlineStr">
        <is>
          <t>Waste, grease &amp; ash hauling</t>
        </is>
      </c>
      <c r="B32" s="51" t="n">
        <v>2400</v>
      </c>
      <c r="C32" s="41">
        <f>IFERROR(IF(C9="","",B32*(1+'0. Assumptions'!$B$48)),"")</f>
        <v>2400.0</v>
      </c>
      <c r="D32" s="41">
        <f>IFERROR(IF(D9="","",C32*(1+'0. Assumptions'!$B$48)),"")</f>
        <v>2400.0</v>
      </c>
      <c r="E32" s="68">
        <f>IFERROR(B32/$B$9,"")</f>
        <v>0.0035842293906810036</v>
      </c>
      <c r="F32" s="29" t="inlineStr">
        <is>
          <t>Licensed hauler for trash, cardboard, used cooking oil and grease, and the oven's ash. If your city charges a patio or sidewalk café permit fee, add it here: this plan has not read any city fee schedule, so enter your city's own</t>
        </is>
      </c>
      <c r="G32" s="68">
        <f>IFERROR(IF(B9="","",'0. Assumptions'!$B$41),"")</f>
        <v>0.0</v>
      </c>
      <c r="H32" s="29" t="n"/>
    </row>
    <row r="33">
      <c r="A33" s="29" t="inlineStr">
        <is>
          <t>Music licensing (ASCAP/BMI/SESAC)</t>
        </is>
      </c>
      <c r="B33" s="51" t="n">
        <v>1000</v>
      </c>
      <c r="C33" s="41">
        <f>IFERROR(IF(C9="","",B33*(1+'0. Assumptions'!$B$48)),"")</f>
        <v>1000.0</v>
      </c>
      <c r="D33" s="41">
        <f>IFERROR(IF(D9="","",C33*(1+'0. Assumptions'!$B$48)),"")</f>
        <v>1000.0</v>
      </c>
      <c r="E33" s="68">
        <f>IFERROR(B33/$B$9,"")</f>
        <v>0.0014934289127837516</v>
      </c>
      <c r="F33" s="29" t="inlineStr">
        <is>
          <t>ASCAP, BMI and SESAC are separate licenses; the fee depends on the square footage and the seats of your dining room</t>
        </is>
      </c>
      <c r="G33" s="68">
        <f>IFERROR(IF(B9="","",'0. Assumptions'!$B$41),"")</f>
        <v>0.0</v>
      </c>
      <c r="H33" s="29" t="n"/>
    </row>
    <row r="34">
      <c r="A34" s="29" t="inlineStr">
        <is>
          <t>Food safety &amp; staff training (CFPM, allergens, OSHA)</t>
        </is>
      </c>
      <c r="B34" s="51" t="n">
        <v>800</v>
      </c>
      <c r="C34" s="41">
        <f>IFERROR(IF(C9="","",B34*(1+'0. Assumptions'!$B$48)),"")</f>
        <v>800.0</v>
      </c>
      <c r="D34" s="41">
        <f>IFERROR(IF(D9="","",C34*(1+'0. Assumptions'!$B$48)),"")</f>
        <v>800.0</v>
      </c>
      <c r="E34" s="68">
        <f>IFERROR(B34/$B$9,"")</f>
        <v>0.0011947431302270011</v>
      </c>
      <c r="F34" s="29" t="inlineStr">
        <is>
          <t>CFPM certification and food handler cards, allergen training and OSHA basics for every employee: oven burns, cuts, lifting firewood and smoke</t>
        </is>
      </c>
      <c r="G34" s="68">
        <f>IFERROR(IF(B9="","",'0. Assumptions'!$B$41),"")</f>
        <v>0.0</v>
      </c>
      <c r="H34" s="29" t="n"/>
    </row>
    <row r="35">
      <c r="A35" s="29" t="inlineStr">
        <is>
          <t>Depreciation of fixed assets</t>
        </is>
      </c>
      <c r="B35" s="41">
        <f>IFERROR(IF(B9="","",'Startup Costs'!$B$37),"")</f>
        <v>25932.142857142855</v>
      </c>
      <c r="C35" s="41">
        <f>IFERROR(IF(C9="","",B35),"")</f>
        <v>25932.142857142855</v>
      </c>
      <c r="D35" s="41">
        <f>IFERROR(IF(D9="","",B35),"")</f>
        <v>25932.142857142855</v>
      </c>
      <c r="E35" s="68">
        <f>IFERROR(B35/$B$9,"")</f>
        <v>0.03872781191329578</v>
      </c>
      <c r="F35" s="29" t="inlineStr">
        <is>
          <t>Comes from the depreciation bases on the Startup Costs tab: real fixed assets only. It does NOT rise with inflation: it is a charge on the HISTORICAL cost of the assets</t>
        </is>
      </c>
      <c r="G35" s="68" t="n">
        <v>0</v>
      </c>
      <c r="H35" s="29" t="n"/>
    </row>
    <row r="36">
      <c r="A36" s="29" t="inlineStr">
        <is>
          <t>Interest expense (loan interest)</t>
        </is>
      </c>
      <c r="B36" s="41">
        <f>IFERROR(IF(B9="","",Financing!$B$44),"")</f>
        <v>20000.0</v>
      </c>
      <c r="C36" s="41">
        <f>IFERROR(IF(C9="","",Financing!$B$46),"")</f>
        <v>18745.092102349772</v>
      </c>
      <c r="D36" s="41">
        <f>IFERROR(IF(D9="","",Financing!$B$48),"")</f>
        <v>17364.693414934518</v>
      </c>
      <c r="E36" s="68">
        <f>IFERROR(B36/$B$9,"")</f>
        <v>0.02986857825567503</v>
      </c>
      <c r="F36" s="29" t="inlineStr">
        <is>
          <t>Only INTEREST is an expense. Principal repaid appears on the cash flow tab</t>
        </is>
      </c>
      <c r="G36" s="68" t="n">
        <v>0</v>
      </c>
      <c r="H36" s="29" t="n"/>
    </row>
    <row r="37">
      <c r="A37" s="26" t="inlineStr">
        <is>
          <t>TOTAL FIXED COSTS</t>
        </is>
      </c>
      <c r="B37" s="54">
        <f>IFERROR(IF(B9="","",SUM(B22:B36)),"")</f>
        <v>372829.34285714285</v>
      </c>
      <c r="C37" s="54">
        <f>IFERROR(IF(C9="","",SUM(C22:C36)),"")</f>
        <v>376574.43495949265</v>
      </c>
      <c r="D37" s="54">
        <f>IFERROR(IF(D9="","",SUM(D22:D36)),"")</f>
        <v>380194.03627207736</v>
      </c>
      <c r="E37" s="67">
        <f>IFERROR(B37/$B$9,"")</f>
        <v>0.5567941201570233</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29" t="inlineStr">
        <is>
          <t>Recoverable input tax on fixed costs</t>
        </is>
      </c>
      <c r="B39" s="41">
        <f>IFERROR(IF(B9="","",SUMPRODUCT(B22:B36,G22:G36)),"")</f>
        <v>0.0</v>
      </c>
      <c r="C39" s="41">
        <f>IFERROR(IF(C9="","",SUMPRODUCT(C22:C36,G22:G36)),"")</f>
        <v>0.0</v>
      </c>
      <c r="D39" s="41">
        <f>IFERROR(IF(D9="","",SUMPRODUCT(D22:D36,G22:G36)),"")</f>
        <v>0.0</v>
      </c>
      <c r="E39" s="29" t="n"/>
      <c r="F39" s="29" t="n"/>
      <c r="G39" s="29" t="n"/>
      <c r="H39" s="29" t="n"/>
    </row>
    <row r="40">
      <c r="A40" s="26" t="inlineStr">
        <is>
          <t>PRE-TAX INCOME (EBT)</t>
        </is>
      </c>
      <c r="B40" s="54">
        <f>IFERROR(IF(B9="","",B20-B37),"")</f>
        <v>52366.65714285715</v>
      </c>
      <c r="C40" s="54">
        <f>IFERROR(IF(C9="","",C20-C37),"")</f>
        <v>74133.32504050736</v>
      </c>
      <c r="D40" s="54">
        <f>IFERROR(IF(D9="","",D20-D37),"")</f>
        <v>88542.03412792261</v>
      </c>
      <c r="E40" s="67">
        <f>IFERROR(B40/$B$9,"")</f>
        <v>0.07820587984297662</v>
      </c>
      <c r="F40" s="29" t="n"/>
      <c r="G40" s="29" t="n"/>
      <c r="H40" s="29" t="n"/>
    </row>
    <row r="41">
      <c r="A41" s="29" t="inlineStr">
        <is>
          <t>Net operating losses carried forward (opening)</t>
        </is>
      </c>
      <c r="B41" s="41">
        <f>IFERROR(IF(B9="","",'0. Assumptions'!$B$42),"")</f>
        <v>0.0</v>
      </c>
      <c r="C41" s="41">
        <f>IFERROR(IF(C9="","",B46),"")</f>
        <v>0.0</v>
      </c>
      <c r="D41" s="41">
        <f>IFERROR(IF(D9="","",C46),"")</f>
        <v>0.0</v>
      </c>
      <c r="E41" s="29" t="n"/>
      <c r="F41" s="29" t="inlineStr">
        <is>
          <t>Federal rules let a year's losses offset the profits of later years (the federal limit is 80% of taxable income; this model offsets 100% as a simplification)</t>
        </is>
      </c>
      <c r="G41" s="29" t="n"/>
      <c r="H41" s="29" t="n"/>
    </row>
    <row r="42">
      <c r="A42" s="29" t="inlineStr">
        <is>
          <t>Taxable income (after loss offset)</t>
        </is>
      </c>
      <c r="B42" s="41">
        <f>IFERROR(IF(B9="","",MAX(0,B40-B41)),"")</f>
        <v>52366.65714285715</v>
      </c>
      <c r="C42" s="41">
        <f>IFERROR(IF(C9="","",MAX(0,C40-C41)),"")</f>
        <v>74133.32504050736</v>
      </c>
      <c r="D42" s="41">
        <f>IFERROR(IF(D9="","",MAX(0,D40-D41)),"")</f>
        <v>88542.03412792261</v>
      </c>
      <c r="E42" s="29" t="n"/>
      <c r="F42" s="29" t="n"/>
      <c r="G42" s="29" t="n"/>
      <c r="H42" s="29" t="n"/>
    </row>
    <row r="43">
      <c r="A43" s="29" t="inlineStr">
        <is>
          <t>Years with positive taxable income (cumulative)</t>
        </is>
      </c>
      <c r="B43" s="41">
        <f>IFERROR(IF(B9="","",IF(B42&gt;0,1,0)),"")</f>
        <v>1.0</v>
      </c>
      <c r="C43" s="41">
        <f>IFERROR(IF(C9="","",B43+IF(C42&gt;0,1,0)),"")</f>
        <v>2.0</v>
      </c>
      <c r="D43" s="41">
        <f>IFERROR(IF(D9="","",C43+IF(D42&gt;0,1,0)),"")</f>
        <v>3.0</v>
      </c>
      <c r="E43" s="29" t="n"/>
      <c r="F43" s="29" t="n"/>
      <c r="G43" s="29" t="n"/>
      <c r="H43" s="29" t="n"/>
    </row>
    <row r="44">
      <c r="A44" s="29" t="inlineStr">
        <is>
          <t>Effective income tax rate applied</t>
        </is>
      </c>
      <c r="B44" s="68">
        <f>IFERROR(IF(B9="","",IF(B42&lt;=0,"",IF(B43&lt;=2,'0. Assumptions'!$B$37,'0. Assumptions'!$B$38))),"")</f>
        <v>0.25</v>
      </c>
      <c r="C44" s="68">
        <f>IFERROR(IF(C9="","",IF(C42&lt;=0,"",IF(C43&lt;=2,'0. Assumptions'!$B$37,'0. Assumptions'!$B$38))),"")</f>
        <v>0.25</v>
      </c>
      <c r="D44" s="68">
        <f>IFERROR(IF(D9="","",IF(D42&lt;=0,"",IF(D43&lt;=2,'0. Assumptions'!$B$37,'0. Assumptions'!$B$38))),"")</f>
        <v>0.25</v>
      </c>
      <c r="E44" s="29" t="n"/>
      <c r="F44" s="29" t="inlineStr">
        <is>
          <t>The "years 1-2" rate applies to the first two years with positive taxable income, not to the first two calendar years of the business. The model approximates this by counting the first two profitable years</t>
        </is>
      </c>
      <c r="G44" s="29" t="n"/>
      <c r="H44" s="29" t="n"/>
    </row>
    <row r="45">
      <c r="A45" s="29" t="inlineStr">
        <is>
          <t>Income tax</t>
        </is>
      </c>
      <c r="B45" s="41">
        <f>IFERROR(IF(B9="","",IF(B44="",0,B42*B44)),"")</f>
        <v>13091.664285714287</v>
      </c>
      <c r="C45" s="41">
        <f>IFERROR(IF(C9="","",IF(C44="",0,C42*C44)),"")</f>
        <v>18533.33126012684</v>
      </c>
      <c r="D45" s="41">
        <f>IFERROR(IF(D9="","",IF(D44="",0,D42*D44)),"")</f>
        <v>22135.508531980653</v>
      </c>
      <c r="E45" s="29" t="n"/>
      <c r="F45" s="29" t="n"/>
      <c r="G45" s="29" t="n"/>
      <c r="H45" s="29" t="n"/>
    </row>
    <row r="46">
      <c r="A46" s="29" t="inlineStr">
        <is>
          <t>Net operating losses carried forward (closing)</t>
        </is>
      </c>
      <c r="B46" s="41">
        <f>IFERROR(IF(B9="","",MAX(0,B41-B40)),"")</f>
        <v>0.0</v>
      </c>
      <c r="C46" s="41">
        <f>IFERROR(IF(C9="","",MAX(0,C41-C40)),"")</f>
        <v>0.0</v>
      </c>
      <c r="D46" s="41">
        <f>IFERROR(IF(D9="","",MAX(0,D41-D40)),"")</f>
        <v>0.0</v>
      </c>
      <c r="E46" s="29" t="n"/>
      <c r="F46" s="29" t="n"/>
      <c r="G46" s="29" t="n"/>
      <c r="H46" s="29" t="n"/>
    </row>
    <row r="47">
      <c r="A47" s="26" t="inlineStr">
        <is>
          <t>NET INCOME</t>
        </is>
      </c>
      <c r="B47" s="54">
        <f>IFERROR(IF(B9="","",B40-B45),"")</f>
        <v>39274.99285714286</v>
      </c>
      <c r="C47" s="54">
        <f>IFERROR(IF(C9="","",C40-C45),"")</f>
        <v>55599.99378038052</v>
      </c>
      <c r="D47" s="54">
        <f>IFERROR(IF(D9="","",D40-D45),"")</f>
        <v>66406.52559594196</v>
      </c>
      <c r="E47" s="67">
        <f>IFERROR(B47/$B$9,"")</f>
        <v>0.058654409882232465</v>
      </c>
      <c r="F47" s="29" t="n"/>
      <c r="G47" s="29" t="n"/>
      <c r="H47" s="29" t="n"/>
    </row>
    <row r="48">
      <c r="A48" s="26" t="inlineStr">
        <is>
          <t>KEY RATIOS</t>
        </is>
      </c>
      <c r="B48" s="29" t="n"/>
      <c r="C48" s="29" t="n"/>
      <c r="D48" s="29" t="n"/>
      <c r="E48" s="29" t="n"/>
      <c r="F48" s="29" t="n"/>
      <c r="G48" s="29" t="n"/>
      <c r="H48" s="29" t="n"/>
    </row>
    <row r="49">
      <c r="A49" s="26" t="inlineStr">
        <is>
          <t>Ratio</t>
        </is>
      </c>
      <c r="B49" s="26" t="inlineStr">
        <is>
          <t>Year 1</t>
        </is>
      </c>
      <c r="C49" s="26" t="inlineStr">
        <is>
          <t>Year 2</t>
        </is>
      </c>
      <c r="D49" s="26" t="inlineStr">
        <is>
          <t>Year 3</t>
        </is>
      </c>
      <c r="E49" s="26" t="inlineStr">
        <is>
          <t>Threshold</t>
        </is>
      </c>
      <c r="F49" s="26" t="inlineStr">
        <is>
          <t>Comment</t>
        </is>
      </c>
      <c r="G49" s="29" t="n"/>
      <c r="H49" s="29" t="n"/>
    </row>
    <row r="50">
      <c r="A50" s="29" t="inlineStr">
        <is>
          <t>Gross margin / Sales</t>
        </is>
      </c>
      <c r="B50" s="68">
        <f>IFERROR(IF(B9="","",B20/B9),"")</f>
        <v>0.635</v>
      </c>
      <c r="C50" s="68">
        <f>IFERROR(IF(C9="","",C20/C9),"")</f>
        <v>0.635</v>
      </c>
      <c r="D50" s="68">
        <f>IFERROR(IF(D9="","",D20/D9),"")</f>
        <v>0.635</v>
      </c>
      <c r="E50" s="74" t="n">
        <v>0.62</v>
      </c>
      <c r="F50" s="29" t="inlineStr">
        <is>
          <t>Floor for the margin after ALL variable costs (cost of goods sold, boxes and containers, delivery marketplace, card fees and miscellaneous). With cost of goods sold alone, a wood-fired pizza shop keeps around 74%. Kit estimate</t>
        </is>
      </c>
      <c r="G50" s="29" t="n"/>
      <c r="H50" s="29" t="n"/>
    </row>
    <row r="51">
      <c r="A51" s="29" t="inlineStr">
        <is>
          <t>Cost of goods sold (food + beverage)</t>
        </is>
      </c>
      <c r="B51" s="41">
        <f>IFERROR(IF(B9="","",B13+B14),"")</f>
        <v>174096.0</v>
      </c>
      <c r="C51" s="41">
        <f>IFERROR(IF(C9="","",C13+C14),"")</f>
        <v>184541.76</v>
      </c>
      <c r="D51" s="41">
        <f>IFERROR(IF(D9="","",D13+D14),"")</f>
        <v>191923.43039999995</v>
      </c>
      <c r="E51" s="29" t="n"/>
      <c r="F51" s="29" t="n"/>
      <c r="G51" s="29" t="n"/>
      <c r="H51" s="29" t="n"/>
    </row>
    <row r="52">
      <c r="A52" s="29" t="inlineStr">
        <is>
          <t>Cost of goods sold / Sales</t>
        </is>
      </c>
      <c r="B52" s="68">
        <f>IFERROR(IF(B9="","",B51/B9),"")</f>
        <v>0.26</v>
      </c>
      <c r="C52" s="68">
        <f>IFERROR(IF(C9="","",C51/C9),"")</f>
        <v>0.26</v>
      </c>
      <c r="D52" s="68">
        <f>IFERROR(IF(D9="","",D51/D9),"")</f>
        <v>0.25999999999999995</v>
      </c>
      <c r="E52" s="74" t="n">
        <v>0.28</v>
      </c>
      <c r="F52" s="29" t="inlineStr">
        <is>
          <t>Ceiling for cost of goods sold on sales: the Margherita runs well below it, while mozzarella di bufala, burrata and Italian cured meats push it up. Kit estimate</t>
        </is>
      </c>
      <c r="G52" s="29" t="n"/>
      <c r="H52" s="29" t="n"/>
    </row>
    <row r="53">
      <c r="A53" s="29" t="inlineStr">
        <is>
          <t>Labor cost / Sales</t>
        </is>
      </c>
      <c r="B53" s="68">
        <f>IFERROR(IF(B9="","",B23/B9),"")</f>
        <v>0.3276541218637993</v>
      </c>
      <c r="C53" s="68">
        <f>IFERROR(IF(C9="","",C23/C9),"")</f>
        <v>0.31615213813935666</v>
      </c>
      <c r="D53" s="68">
        <f>IFERROR(IF(D9="","",D23/D9),"")</f>
        <v>0.31076597513755155</v>
      </c>
      <c r="E53" s="74" t="n">
        <v>0.36</v>
      </c>
      <c r="F53" s="29" t="inlineStr">
        <is>
          <t>Ceiling for labor on sales with two pizzaioli and a dining room with lunch and dinner service. Kit estimate</t>
        </is>
      </c>
      <c r="G53" s="29" t="n"/>
      <c r="H53" s="29" t="n"/>
    </row>
    <row r="54">
      <c r="A54" s="29" t="inlineStr">
        <is>
          <t>Rent / Sales</t>
        </is>
      </c>
      <c r="B54" s="68">
        <f>IFERROR(IF(B9="","",B22/B9),"")</f>
        <v>0.07168458781362007</v>
      </c>
      <c r="C54" s="68">
        <f>IFERROR(IF(C9="","",C22/C9),"")</f>
        <v>0.06762696963549063</v>
      </c>
      <c r="D54" s="68">
        <f>IFERROR(IF(D9="","",D22/D9),"")</f>
        <v>0.06502593234181793</v>
      </c>
      <c r="E54" s="74" t="n">
        <v>0.1</v>
      </c>
      <c r="F54" s="29" t="inlineStr">
        <is>
          <t>Ceiling for rent on sales for a space with smoke exhaust to the roof: Kit estimate</t>
        </is>
      </c>
      <c r="G54" s="29" t="n"/>
      <c r="H54" s="29" t="n"/>
    </row>
    <row r="55">
      <c r="A55" s="29" t="inlineStr">
        <is>
          <t>Net income / Sales</t>
        </is>
      </c>
      <c r="B55" s="68">
        <f>IFERROR(IF(B9="","",B47/B9),"")</f>
        <v>0.058654409882232465</v>
      </c>
      <c r="C55" s="68">
        <f>IFERROR(IF(C9="","",C47/C9),"")</f>
        <v>0.07833456439831796</v>
      </c>
      <c r="D55" s="68">
        <f>IFERROR(IF(D9="","",D47/D9),"")</f>
        <v>0.08996138000951921</v>
      </c>
      <c r="E55" s="74" t="n">
        <v>0.05</v>
      </c>
      <c r="F55" s="29" t="inlineStr">
        <is>
          <t>Floor for steady-state net income so the plan holds up: 5% of sales. Published figures vary widely (PMQ's 2026 pizza report quotes 2-3%), so this is a realistic floor, not a hope. Kit estimate</t>
        </is>
      </c>
      <c r="G55" s="29" t="n"/>
      <c r="H55" s="29" t="n"/>
    </row>
    <row r="56">
      <c r="A56" s="29" t="inlineStr">
        <is>
          <t>Break-even reached</t>
        </is>
      </c>
      <c r="B56" s="29" t="str">
        <f>IFERROR(IF(B9="","",IF(B9&gt;='Break-Even'!$B$16,"Yes","No")),"")</f>
        <v>Yes</v>
      </c>
      <c r="C56" s="29" t="str">
        <f>IFERROR(IF(C9="","",IF(C9&gt;='Break-Even'!$C$16,"Yes","No")),"")</f>
        <v>Yes</v>
      </c>
      <c r="D56" s="29" t="str">
        <f>IFERROR(IF(D9="","",IF(D9&gt;='Break-Even'!$D$16,"Yes","No")),"")</f>
        <v>Yes</v>
      </c>
      <c r="E56" s="29" t="n"/>
      <c r="F56" s="29" t="inlineStr">
        <is>
          <t>Compares each year's sales with that same year's threshold, which the Break-Even tab calculates with that year's fixed costs</t>
        </is>
      </c>
      <c r="G56" s="29" t="n"/>
      <c r="H56" s="29" t="n"/>
    </row>
    <row r="57">
      <c r="A57" s="29" t="n"/>
      <c r="B57" s="29" t="n"/>
      <c r="C57" s="29" t="n"/>
      <c r="D57" s="29" t="n"/>
      <c r="E57" s="29" t="n"/>
      <c r="F57" s="29" t="n"/>
      <c r="G57" s="29" t="n"/>
      <c r="H57" s="29" t="n"/>
    </row>
    <row r="58" ht="165" customHeight="1">
      <c r="A58" s="48"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G13 H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wood-fired pizza shop</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372829.34285714285</v>
      </c>
      <c r="C6" s="62">
        <f>IFERROR(IF('3-Year P&amp;L'!$C$9="","",'3-Year P&amp;L'!$C$37),"")</f>
        <v>376574.43495949265</v>
      </c>
      <c r="D6" s="62">
        <f>IFERROR(IF('3-Year P&amp;L'!$D$9="","",'3-Year P&amp;L'!$D$37),"")</f>
        <v>380194.03627207736</v>
      </c>
      <c r="E6" s="29" t="inlineStr">
        <is>
          <t>The SAME fixed costs as the P&amp;L. Each year has its own, which is why the threshold cannot be a single one for all three years</t>
        </is>
      </c>
      <c r="F6" s="29" t="n"/>
    </row>
    <row r="7">
      <c r="A7" s="29" t="inlineStr">
        <is>
          <t>Monthly fixed costs</t>
        </is>
      </c>
      <c r="B7" s="62">
        <f>IFERROR(IF('3-Year P&amp;L'!$B$9="","",B6/12),"")</f>
        <v>31069.111904761903</v>
      </c>
      <c r="C7" s="62">
        <f>IFERROR(IF('3-Year P&amp;L'!$C$9="","",C6/12),"")</f>
        <v>31381.202913291054</v>
      </c>
      <c r="D7" s="62">
        <f>IFERROR(IF('3-Year P&amp;L'!$D$9="","",D6/12),"")</f>
        <v>31682.836356006446</v>
      </c>
      <c r="E7" s="29" t="n"/>
      <c r="F7" s="29" t="n"/>
    </row>
    <row r="8">
      <c r="A8" s="29" t="inlineStr">
        <is>
          <t>Average check (excl. sales tax)</t>
        </is>
      </c>
      <c r="B8" s="62">
        <f>IFERROR(IF('3-Year P&amp;L'!$B$9="","",'3-Year P&amp;L'!$B$7),"")</f>
        <v>36.0</v>
      </c>
      <c r="C8" s="62">
        <f>IFERROR(IF('3-Year P&amp;L'!$C$9="","",'3-Year P&amp;L'!$C$7),"")</f>
        <v>36.0</v>
      </c>
      <c r="D8" s="62">
        <f>IFERROR(IF('3-Year P&amp;L'!$D$9="","",'3-Year P&amp;L'!$D$7),"")</f>
        <v>36.0</v>
      </c>
      <c r="E8" s="29" t="n"/>
      <c r="F8" s="29" t="n"/>
    </row>
    <row r="9">
      <c r="A9" s="29" t="inlineStr">
        <is>
          <t>Variable cost per cover</t>
        </is>
      </c>
      <c r="B9" s="62">
        <f>IFERROR(IF('3-Year P&amp;L'!$B$9="","",'3-Year P&amp;L'!$B$19/('3-Year P&amp;L'!$B$6*'3-Year P&amp;L'!$B$8)),"")</f>
        <v>13.14</v>
      </c>
      <c r="C9" s="62">
        <f>IFERROR(IF('3-Year P&amp;L'!$C$9="","",'3-Year P&amp;L'!$C$19/('3-Year P&amp;L'!$C$6*'3-Year P&amp;L'!$C$8)),"")</f>
        <v>13.14</v>
      </c>
      <c r="D9" s="62">
        <f>IFERROR(IF('3-Year P&amp;L'!$D$9="","",'3-Year P&amp;L'!$D$19/('3-Year P&amp;L'!$D$6*'3-Year P&amp;L'!$D$8)),"")</f>
        <v>13.139999999999999</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22.86</v>
      </c>
      <c r="C10" s="62">
        <f>IFERROR(IF('3-Year P&amp;L'!$C$9="","",C8-C9),"")</f>
        <v>22.86</v>
      </c>
      <c r="D10" s="62">
        <f>IFERROR(IF('3-Year P&amp;L'!$D$9="","",D8-D9),"")</f>
        <v>22.86</v>
      </c>
      <c r="E10" s="29" t="inlineStr">
        <is>
          <t>Average check minus unit variable cost</t>
        </is>
      </c>
      <c r="F10" s="29" t="n"/>
    </row>
    <row r="11">
      <c r="A11" s="29" t="inlineStr">
        <is>
          <t>Operating days per year</t>
        </is>
      </c>
      <c r="B11" s="41">
        <f>IFERROR(IF('3-Year P&amp;L'!$B$9="","",'3-Year P&amp;L'!$B$8),"")</f>
        <v>300.0</v>
      </c>
      <c r="C11" s="41">
        <f>IFERROR(IF('3-Year P&amp;L'!$C$9="","",'3-Year P&amp;L'!$C$8),"")</f>
        <v>300.0</v>
      </c>
      <c r="D11" s="41">
        <f>IFERROR(IF('3-Year P&amp;L'!$D$9="","",'3-Year P&amp;L'!$D$8),"")</f>
        <v>300.0</v>
      </c>
      <c r="E11" s="29" t="inlineStr">
        <is>
          <t>The same calendar as the P&amp;L and the scenarios</t>
        </is>
      </c>
      <c r="F11" s="29" t="n"/>
    </row>
    <row r="12">
      <c r="A12" s="29" t="inlineStr">
        <is>
          <t>Principal repaid in the year</t>
        </is>
      </c>
      <c r="B12" s="62">
        <f>IFERROR(IF('3-Year P&amp;L'!$B$9="","",Financing!$B$45),"")</f>
        <v>12549.078976502304</v>
      </c>
      <c r="C12" s="62">
        <f>IFERROR(IF('3-Year P&amp;L'!$C$9="","",Financing!$B$47),"")</f>
        <v>13803.986874152532</v>
      </c>
      <c r="D12" s="62">
        <f>IFERROR(IF('3-Year P&amp;L'!$D$9="","",Financing!$B$49),"")</f>
        <v>15184.385561567786</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16309.245094363205</v>
      </c>
      <c r="C14" s="41">
        <f>IFERROR(IF('3-Year P&amp;L'!$C$9="","",IF(C10&lt;=0,"",C6/C10)),"")</f>
        <v>16473.072395428375</v>
      </c>
      <c r="D14" s="41">
        <f>IFERROR(IF('3-Year P&amp;L'!$D$9="","",IF(D10&lt;=0,"",D6/D10)),"")</f>
        <v>16631.410160633306</v>
      </c>
      <c r="E14" s="29" t="n"/>
      <c r="F14" s="29" t="n"/>
    </row>
    <row r="15">
      <c r="A15" s="29" t="inlineStr">
        <is>
          <t>Covers needed per day</t>
        </is>
      </c>
      <c r="B15" s="45">
        <f>IFERROR(IF('3-Year P&amp;L'!$B$9="","",B14/B11),"")</f>
        <v>54.36415031454401</v>
      </c>
      <c r="C15" s="45">
        <f>IFERROR(IF('3-Year P&amp;L'!$C$9="","",C14/C11),"")</f>
        <v>54.910241318094585</v>
      </c>
      <c r="D15" s="45">
        <f>IFERROR(IF('3-Year P&amp;L'!$D$9="","",D14/D11),"")</f>
        <v>55.43803386877769</v>
      </c>
      <c r="E15" s="29" t="n"/>
      <c r="F15" s="29" t="n"/>
    </row>
    <row r="16">
      <c r="A16" s="26" t="inlineStr">
        <is>
          <t>Revenue needed per year</t>
        </is>
      </c>
      <c r="B16" s="54">
        <f>IFERROR(IF('3-Year P&amp;L'!$B$9="","",B14*B8),"")</f>
        <v>587132.8233970754</v>
      </c>
      <c r="C16" s="54">
        <f>IFERROR(IF('3-Year P&amp;L'!$C$9="","",C14*C8),"")</f>
        <v>593030.6062354215</v>
      </c>
      <c r="D16" s="54">
        <f>IFERROR(IF('3-Year P&amp;L'!$D$9="","",D14*D8),"")</f>
        <v>598730.765782799</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359446.2789765023</v>
      </c>
      <c r="C18" s="62">
        <f>IFERROR(IF('3-Year P&amp;L'!$C$9="","",C6-'3-Year P&amp;L'!$C$35+C12),"")</f>
        <v>364446.27897650236</v>
      </c>
      <c r="D18" s="62">
        <f>IFERROR(IF('3-Year P&amp;L'!$D$9="","",D6-'3-Year P&amp;L'!$D$35+D12),"")</f>
        <v>369446.2789765023</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15723.809229068343</v>
      </c>
      <c r="C19" s="41">
        <f>IFERROR(IF('3-Year P&amp;L'!$C$9="","",IF(C10&lt;=0,"",C18/C10)),"")</f>
        <v>15942.531888735886</v>
      </c>
      <c r="D19" s="41">
        <f>IFERROR(IF('3-Year P&amp;L'!$D$9="","",IF(D10&lt;=0,"",D18/D10)),"")</f>
        <v>16161.254548403425</v>
      </c>
      <c r="E19" s="29" t="n"/>
      <c r="F19" s="29" t="n"/>
    </row>
    <row r="20">
      <c r="A20" s="26" t="inlineStr">
        <is>
          <t>Covers needed per day (cash)</t>
        </is>
      </c>
      <c r="B20" s="46">
        <f>IFERROR(IF('3-Year P&amp;L'!$B$9="","",B19/B11),"")</f>
        <v>52.41269743022781</v>
      </c>
      <c r="C20" s="46">
        <f>IFERROR(IF('3-Year P&amp;L'!$C$9="","",C19/C11),"")</f>
        <v>53.141772962452954</v>
      </c>
      <c r="D20" s="46">
        <f>IFERROR(IF('3-Year P&amp;L'!$D$9="","",D19/D11),"")</f>
        <v>53.870848494678086</v>
      </c>
      <c r="E20" s="29" t="n"/>
      <c r="F20" s="29" t="n"/>
    </row>
    <row r="21">
      <c r="A21" s="29" t="inlineStr">
        <is>
          <t>Revenue needed per year (cash)</t>
        </is>
      </c>
      <c r="B21" s="41">
        <f>IFERROR(IF('3-Year P&amp;L'!$B$9="","",B19*B8),"")</f>
        <v>566057.1322464604</v>
      </c>
      <c r="C21" s="41">
        <f>IFERROR(IF('3-Year P&amp;L'!$C$9="","",C19*C8),"")</f>
        <v>573931.1479944919</v>
      </c>
      <c r="D21" s="41">
        <f>IFERROR(IF('3-Year P&amp;L'!$D$9="","",D19*D8),"")</f>
        <v>581805.1637425233</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62.0</v>
      </c>
      <c r="C23" s="41">
        <f>IFERROR(IF('3-Year P&amp;L'!$C$9="","",'3-Year P&amp;L'!$C$6),"")</f>
        <v>65.72</v>
      </c>
      <c r="D23" s="41">
        <f>IFERROR(IF('3-Year P&amp;L'!$D$9="","",'3-Year P&amp;L'!$D$6),"")</f>
        <v>68.3488</v>
      </c>
      <c r="E23" s="29" t="n"/>
      <c r="F23" s="29" t="n"/>
    </row>
    <row r="24">
      <c r="A24" s="29" t="inlineStr">
        <is>
          <t>Cushion above CASH break-even (%)</t>
        </is>
      </c>
      <c r="B24" s="68">
        <f>IFERROR(IF('3-Year P&amp;L'!$B$9="","",B23/B20-1),"")</f>
        <v>0.18291946493566535</v>
      </c>
      <c r="C24" s="68">
        <f>IFERROR(IF('3-Year P&amp;L'!$C$9="","",C23/C20-1),"")</f>
        <v>0.23669189672000823</v>
      </c>
      <c r="D24" s="68">
        <f>IFERROR(IF('3-Year P&amp;L'!$D$9="","",D23/D20-1),"")</f>
        <v>0.26875298811660997</v>
      </c>
      <c r="E24" s="29" t="inlineStr">
        <is>
          <t>How far planned sales sit above cash break-even. The drop you can absorb before you cannot pay the fixed costs and the loan payment is somewhat smaller: with a 25% cushion, 20%. The required minimum is set in the "0. Assumptions" tab</t>
        </is>
      </c>
      <c r="F24" s="29" t="n"/>
    </row>
    <row r="25">
      <c r="A25" s="29" t="inlineStr">
        <is>
          <t>Maximum seat turns per day the space allows</t>
        </is>
      </c>
      <c r="B25" s="47" t="n">
        <v>3</v>
      </c>
      <c r="C25" s="29" t="n"/>
      <c r="D25" s="29" t="n"/>
      <c r="E25" s="29" t="inlineStr">
        <is>
          <t>Full seatings per seat per day you can run with lunch, dinner and a second dinner seating on Saturday. It is the physical ceiling of the space, not a target</t>
        </is>
      </c>
      <c r="F25" s="29" t="n"/>
    </row>
    <row r="26">
      <c r="A26" s="29" t="inlineStr">
        <is>
          <t>Seat turns per day that the cash break-even requires</t>
        </is>
      </c>
      <c r="B26" s="45">
        <f>IFERROR(IF('3-Year P&amp;L'!$B$9="","",B20/'0. Assumptions'!$B$51),"")</f>
        <v>1.0482539486045561</v>
      </c>
      <c r="C26" s="45">
        <f>IFERROR(IF('3-Year P&amp;L'!$C$9="","",C20/'0. Assumptions'!$B$51),"")</f>
        <v>1.062835459249059</v>
      </c>
      <c r="D26" s="45">
        <f>IFERROR(IF('3-Year P&amp;L'!$D$9="","",D20/'0. Assumptions'!$B$51),"")</f>
        <v>1.0774169698935616</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55 covers a day over your 300 opening days to avoid losing money (accounting break-even, depreciation included), and 53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34.0</v>
      </c>
      <c r="C33" s="55">
        <f>IFERROR(IF($B$8="","",$B$8),"")</f>
        <v>36.0</v>
      </c>
      <c r="D33" s="55">
        <f>IFERROR($B$8+2,"")</f>
        <v>38.0</v>
      </c>
      <c r="E33" s="55">
        <f>IFERROR($B$8+4,"")</f>
        <v>40.0</v>
      </c>
      <c r="F33" s="29" t="n"/>
    </row>
    <row r="34">
      <c r="A34" s="62">
        <f>IFERROR($B$9*0.85,"")</f>
        <v>11.169</v>
      </c>
      <c r="B34" s="45">
        <f>IFERROR(IF($B$33-$A34&lt;=0,"",$B$6/($B$33-$A34)/$B$11),"")</f>
        <v>54.43320381019124</v>
      </c>
      <c r="C34" s="45">
        <f>IFERROR(IF($C$33-$A34&lt;=0,"",$B$6/($C$33-$A34)/$B$11),"")</f>
        <v>50.04890967703581</v>
      </c>
      <c r="D34" s="45">
        <f>IFERROR(IF($D$33-$A34&lt;=0,"",$B$6/($D$33-$A34)/$B$11),"")</f>
        <v>46.31823175395909</v>
      </c>
      <c r="E34" s="45">
        <f>IFERROR(IF($E$33-$A34&lt;=0,"",$B$6/($E$33-$A34)/$B$11),"")</f>
        <v>43.10514641151802</v>
      </c>
      <c r="F34" s="29" t="n"/>
    </row>
    <row r="35">
      <c r="A35" s="62">
        <f>IFERROR($B$9*0.925,"")</f>
        <v>12.1545</v>
      </c>
      <c r="B35" s="45">
        <f>IFERROR(IF($B$33-$A35&lt;=0,"",$B$6/($B$33-$A35)/$B$11),"")</f>
        <v>56.88880896250835</v>
      </c>
      <c r="C35" s="45">
        <f>IFERROR(IF($C$33-$A35&lt;=0,"",$B$6/($C$33-$A35)/$B$11),"")</f>
        <v>52.11735867104804</v>
      </c>
      <c r="D35" s="45">
        <f>IFERROR(IF($D$33-$A35&lt;=0,"",$B$6/($D$33-$A35)/$B$11),"")</f>
        <v>48.08436579638529</v>
      </c>
      <c r="E35" s="45">
        <f>IFERROR(IF($E$33-$A35&lt;=0,"",$B$6/($E$33-$A35)/$B$11),"")</f>
        <v>44.630711468297434</v>
      </c>
      <c r="F35" s="29" t="n"/>
    </row>
    <row r="36">
      <c r="A36" s="62">
        <f>IFERROR($B$9*1.0,"")</f>
        <v>13.14</v>
      </c>
      <c r="B36" s="45">
        <f>IFERROR(IF($B$33-$A36&lt;=0,"",$B$6/($B$33-$A36)/$B$11),"")</f>
        <v>59.57643701776012</v>
      </c>
      <c r="C36" s="45">
        <f>IFERROR(IF($C$33-$A36&lt;=0,"",$B$6/($C$33-$A36)/$B$11),"")</f>
        <v>54.36415031454401</v>
      </c>
      <c r="D36" s="45">
        <f>IFERROR(IF($D$33-$A36&lt;=0,"",$B$6/($D$33-$A36)/$B$11),"")</f>
        <v>49.99052599318086</v>
      </c>
      <c r="E36" s="45">
        <f>IFERROR(IF($E$33-$A36&lt;=0,"",$B$6/($E$33-$A36)/$B$11),"")</f>
        <v>46.26822323866255</v>
      </c>
      <c r="F36" s="29" t="n"/>
    </row>
    <row r="37">
      <c r="A37" s="62">
        <f>IFERROR($B$9*1.075,"")</f>
        <v>14.1255</v>
      </c>
      <c r="B37" s="45">
        <f>IFERROR(IF($B$33-$A37&lt;=0,"",$B$6/($B$33-$A37)/$B$11),"")</f>
        <v>62.53060334551694</v>
      </c>
      <c r="C37" s="45">
        <f>IFERROR(IF($C$33-$A37&lt;=0,"",$B$6/($C$33-$A37)/$B$11),"")</f>
        <v>56.81338893188308</v>
      </c>
      <c r="D37" s="45">
        <f>IFERROR(IF($D$33-$A37&lt;=0,"",$B$6/($D$33-$A37)/$B$11),"")</f>
        <v>52.05405249075274</v>
      </c>
      <c r="E37" s="45">
        <f>IFERROR(IF($E$33-$A37&lt;=0,"",$B$6/($E$33-$A37)/$B$11),"")</f>
        <v>48.03047309862901</v>
      </c>
      <c r="F37" s="29" t="n"/>
    </row>
    <row r="38">
      <c r="A38" s="62">
        <f>IFERROR($B$9*1.15,"")</f>
        <v>15.110999999999999</v>
      </c>
      <c r="B38" s="45">
        <f>IFERROR(IF($B$33-$A38&lt;=0,"",$B$6/($B$33-$A38)/$B$11),"")</f>
        <v>65.79302642757563</v>
      </c>
      <c r="C38" s="45">
        <f>IFERROR(IF($C$33-$A38&lt;=0,"",$B$6/($C$33-$A38)/$B$11),"")</f>
        <v>59.49372761695036</v>
      </c>
      <c r="D38" s="45">
        <f>IFERROR(IF($D$33-$A38&lt;=0,"",$B$6/($D$33-$A38)/$B$11),"")</f>
        <v>54.295271798264494</v>
      </c>
      <c r="E38" s="45">
        <f>IFERROR(IF($E$33-$A38&lt;=0,"",$B$6/($E$33-$A38)/$B$11),"")</f>
        <v>49.93227836355322</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54</v>
      </c>
      <c r="C5" s="41">
        <f>IFERROR(IF('3-Year P&amp;L'!$B$6="","",'3-Year P&amp;L'!$B$6),"")</f>
        <v>62.0</v>
      </c>
      <c r="D5" s="51" t="n">
        <v>70</v>
      </c>
      <c r="E5" s="29" t="n"/>
      <c r="F5" s="29" t="n"/>
    </row>
    <row r="6">
      <c r="A6" s="29" t="inlineStr">
        <is>
          <t>Average check (excl. sales tax)</t>
        </is>
      </c>
      <c r="B6" s="76" t="n">
        <v>33.5</v>
      </c>
      <c r="C6" s="62">
        <f>IFERROR(IF('3-Year P&amp;L'!$B$7="","",'3-Year P&amp;L'!$B$7),"")</f>
        <v>36.0</v>
      </c>
      <c r="D6" s="76" t="n">
        <v>38.5</v>
      </c>
      <c r="E6" s="29" t="n"/>
      <c r="F6" s="29" t="n"/>
    </row>
    <row r="7">
      <c r="A7" s="29" t="inlineStr">
        <is>
          <t>Operating days per year</t>
        </is>
      </c>
      <c r="B7" s="51" t="n">
        <v>295</v>
      </c>
      <c r="C7" s="41">
        <f>IFERROR(IF('3-Year P&amp;L'!$B$8="","",'3-Year P&amp;L'!$B$8),"")</f>
        <v>300.0</v>
      </c>
      <c r="D7" s="51" t="n">
        <v>305</v>
      </c>
      <c r="E7" s="29" t="n"/>
      <c r="F7" s="29" t="n"/>
    </row>
    <row r="8">
      <c r="A8" s="26" t="inlineStr">
        <is>
          <t>ANNUAL REVENUE (excl. sales tax)</t>
        </is>
      </c>
      <c r="B8" s="54">
        <f>IFERROR(IF(B5*B6*B7=0,"",B5*B6*B7),"")</f>
        <v>533655.0</v>
      </c>
      <c r="C8" s="54">
        <f>IFERROR(IF(C5*C6*C7=0,"",C5*C6*C7),"")</f>
        <v>669600.0</v>
      </c>
      <c r="D8" s="54">
        <f>IFERROR(IF(D5*D6*D7=0,"",D5*D6*D7),"")</f>
        <v>821975.0</v>
      </c>
      <c r="E8" s="29" t="n"/>
      <c r="F8" s="29" t="n"/>
    </row>
    <row r="9">
      <c r="A9" s="29" t="inlineStr">
        <is>
          <t>Cost of goods sold — food</t>
        </is>
      </c>
      <c r="B9" s="41">
        <f>IFERROR(IF(B8="","",B8*'0. Assumptions'!$B$11*'0. Assumptions'!$B$13),"")</f>
        <v>113775.246</v>
      </c>
      <c r="C9" s="41">
        <f>IFERROR(IF(C8="","",C8*'0. Assumptions'!$B$11*'0. Assumptions'!$B$13),"")</f>
        <v>142758.72</v>
      </c>
      <c r="D9" s="41">
        <f>IFERROR(IF(D8="","",D8*'0. Assumptions'!$B$11*'0. Assumptions'!$B$13),"")</f>
        <v>175245.07</v>
      </c>
      <c r="E9" s="29" t="n"/>
      <c r="F9" s="29" t="n"/>
    </row>
    <row r="10">
      <c r="A10" s="29" t="inlineStr">
        <is>
          <t>Cost of goods sold — beverage</t>
        </is>
      </c>
      <c r="B10" s="41">
        <f>IFERROR(IF(B8="","",B8*'0. Assumptions'!$B$12*'0. Assumptions'!$B$14),"")</f>
        <v>24975.054000000007</v>
      </c>
      <c r="C10" s="41">
        <f>IFERROR(IF(C8="","",C8*'0. Assumptions'!$B$12*'0. Assumptions'!$B$14),"")</f>
        <v>31337.28000000001</v>
      </c>
      <c r="D10" s="41">
        <f>IFERROR(IF(D8="","",D8*'0. Assumptions'!$B$12*'0. Assumptions'!$B$14),"")</f>
        <v>38468.43000000001</v>
      </c>
      <c r="E10" s="29" t="n"/>
      <c r="F10" s="29" t="n"/>
    </row>
    <row r="11">
      <c r="A11" s="29" t="inlineStr">
        <is>
          <t>Disposables and packaging</t>
        </is>
      </c>
      <c r="B11" s="41">
        <f>IFERROR(IF(B8="","",B8*'0. Assumptions'!$B$15),"")</f>
        <v>18677.925000000003</v>
      </c>
      <c r="C11" s="41">
        <f>IFERROR(IF(C8="","",C8*'0. Assumptions'!$B$15),"")</f>
        <v>23436.000000000004</v>
      </c>
      <c r="D11" s="41">
        <f>IFERROR(IF(D8="","",D8*'0. Assumptions'!$B$15),"")</f>
        <v>28769.125000000004</v>
      </c>
      <c r="E11" s="29" t="n"/>
      <c r="F11" s="29" t="n"/>
    </row>
    <row r="12">
      <c r="A12" s="29" t="inlineStr">
        <is>
          <t>Delivery platform fees</t>
        </is>
      </c>
      <c r="B12" s="41">
        <f>IFERROR(IF(B8="","",B8*'0. Assumptions'!$B$16*'0. Assumptions'!$B$17),"")</f>
        <v>16009.65</v>
      </c>
      <c r="C12" s="41">
        <f>IFERROR(IF(C8="","",C8*'0. Assumptions'!$B$16*'0. Assumptions'!$B$17),"")</f>
        <v>20088.0</v>
      </c>
      <c r="D12" s="41">
        <f>IFERROR(IF(D8="","",D8*'0. Assumptions'!$B$16*'0. Assumptions'!$B$17),"")</f>
        <v>24659.25</v>
      </c>
      <c r="E12" s="29" t="n"/>
      <c r="F12" s="29" t="n"/>
    </row>
    <row r="13">
      <c r="A13" s="29" t="inlineStr">
        <is>
          <t>Card processing fees</t>
        </is>
      </c>
      <c r="B13" s="41">
        <f>IFERROR(IF(B8="","",B8*'0. Assumptions'!$B$18),"")</f>
        <v>16009.65</v>
      </c>
      <c r="C13" s="41">
        <f>IFERROR(IF(C8="","",C8*'0. Assumptions'!$B$18),"")</f>
        <v>20088.0</v>
      </c>
      <c r="D13" s="41">
        <f>IFERROR(IF(D8="","",D8*'0. Assumptions'!$B$18),"")</f>
        <v>24659.25</v>
      </c>
      <c r="E13" s="29" t="n"/>
      <c r="F13" s="29" t="n"/>
    </row>
    <row r="14">
      <c r="A14" s="29" t="inlineStr">
        <is>
          <t>Miscellaneous and contingency</t>
        </is>
      </c>
      <c r="B14" s="41">
        <f>IFERROR(IF(B8="","",B8*'0. Assumptions'!$B$28),"")</f>
        <v>5336.55</v>
      </c>
      <c r="C14" s="41">
        <f>IFERROR(IF(C8="","",C8*'0. Assumptions'!$B$28),"")</f>
        <v>6696.0</v>
      </c>
      <c r="D14" s="41">
        <f>IFERROR(IF(D8="","",D8*'0. Assumptions'!$B$28),"")</f>
        <v>8219.75</v>
      </c>
      <c r="E14" s="29" t="n"/>
      <c r="F14" s="29" t="n"/>
    </row>
    <row r="15">
      <c r="A15" s="29" t="inlineStr">
        <is>
          <t>TOTAL VARIABLE COSTS</t>
        </is>
      </c>
      <c r="B15" s="41">
        <f>IFERROR(IF(B8="","",SUM(B9:B14)),"")</f>
        <v>194784.075</v>
      </c>
      <c r="C15" s="41">
        <f>IFERROR(IF(C8="","",SUM(C9:C14)),"")</f>
        <v>244404.0</v>
      </c>
      <c r="D15" s="41">
        <f>IFERROR(IF(D8="","",SUM(D9:D14)),"")</f>
        <v>300020.875</v>
      </c>
      <c r="E15" s="29" t="n"/>
      <c r="F15" s="29" t="n"/>
    </row>
    <row r="16">
      <c r="A16" s="29" t="inlineStr">
        <is>
          <t>GROSS MARGIN</t>
        </is>
      </c>
      <c r="B16" s="41">
        <f>IFERROR(IF(B8="","",B8-B15),"")</f>
        <v>338870.925</v>
      </c>
      <c r="C16" s="41">
        <f>IFERROR(IF(C8="","",C8-C15),"")</f>
        <v>425196.0</v>
      </c>
      <c r="D16" s="41">
        <f>IFERROR(IF(D8="","",D8-D15),"")</f>
        <v>521954.125</v>
      </c>
      <c r="E16" s="29" t="n"/>
      <c r="F16" s="29" t="n"/>
    </row>
    <row r="17">
      <c r="A17" s="29" t="inlineStr">
        <is>
          <t>FIXED COSTS (the P&amp;L's)</t>
        </is>
      </c>
      <c r="B17" s="41">
        <f>IFERROR(IF(B8="","",'3-Year P&amp;L'!$B$37),"")</f>
        <v>372829.34285714285</v>
      </c>
      <c r="C17" s="41">
        <f>IFERROR(IF(C8="","",'3-Year P&amp;L'!$B$37),"")</f>
        <v>372829.34285714285</v>
      </c>
      <c r="D17" s="41">
        <f>IFERROR(IF(D8="","",'3-Year P&amp;L'!$B$37),"")</f>
        <v>372829.34285714285</v>
      </c>
      <c r="E17" s="29" t="inlineStr">
        <is>
          <t>Fixed costs do not change with the scenario: that is why they are fixed</t>
        </is>
      </c>
      <c r="F17" s="29" t="n"/>
    </row>
    <row r="18">
      <c r="A18" s="26" t="inlineStr">
        <is>
          <t>PRE-TAX INCOME (EBT)</t>
        </is>
      </c>
      <c r="B18" s="54">
        <f>IFERROR(IF(B8="","",B16-B17),"")</f>
        <v>-33958.417857142864</v>
      </c>
      <c r="C18" s="54">
        <f>IFERROR(IF(C8="","",C16-C17),"")</f>
        <v>52366.65714285715</v>
      </c>
      <c r="D18" s="54">
        <f>IFERROR(IF(D8="","",D16-D17),"")</f>
        <v>149124.78214285715</v>
      </c>
      <c r="E18" s="29" t="n"/>
      <c r="F18" s="29" t="n"/>
    </row>
    <row r="19">
      <c r="A19" s="29" t="inlineStr">
        <is>
          <t>Income tax</t>
        </is>
      </c>
      <c r="B19" s="41">
        <f>IFERROR(IF(B8="","",MAX(0,B18-'0. Assumptions'!$B$42)*'0. Assumptions'!$B$37),"")</f>
        <v>0.0</v>
      </c>
      <c r="C19" s="41">
        <f>IFERROR(IF(C8="","",MAX(0,C18-'0. Assumptions'!$B$42)*'0. Assumptions'!$B$37),"")</f>
        <v>13091.664285714287</v>
      </c>
      <c r="D19" s="41">
        <f>IFERROR(IF(D8="","",MAX(0,D18-'0. Assumptions'!$B$42)*'0. Assumptions'!$B$37),"")</f>
        <v>37281.19553571429</v>
      </c>
      <c r="E19" s="29" t="inlineStr">
        <is>
          <t>At the "years 1-2" effective income tax rate, offsetting prior net operating losses</t>
        </is>
      </c>
      <c r="F19" s="29" t="n"/>
    </row>
    <row r="20">
      <c r="A20" s="26" t="inlineStr">
        <is>
          <t>NET INCOME</t>
        </is>
      </c>
      <c r="B20" s="54">
        <f>IFERROR(IF(B8="","",B18-B19),"")</f>
        <v>-33958.417857142864</v>
      </c>
      <c r="C20" s="54">
        <f>IFERROR(IF(C8="","",C18-C19),"")</f>
        <v>39274.99285714286</v>
      </c>
      <c r="D20" s="54">
        <f>IFERROR(IF(D8="","",D18-D19),"")</f>
        <v>111843.58660714286</v>
      </c>
      <c r="E20" s="29" t="n"/>
      <c r="F20" s="29" t="n"/>
    </row>
    <row r="21">
      <c r="A21" s="29" t="inlineStr">
        <is>
          <t>Covers per day to break even</t>
        </is>
      </c>
      <c r="B21" s="45">
        <f>IFERROR(IF(B8="","",IF(B6-B15/(B5*B7)&lt;=0,"",B17/(B6-B15/(B5*B7))/B7)),"")</f>
        <v>59.41136588890213</v>
      </c>
      <c r="C21" s="45">
        <f>IFERROR(IF(C8="","",IF(C6-C15/(C5*C7)&lt;=0,"",C17/(C6-C15/(C5*C7))/C7)),"")</f>
        <v>54.36415031454401</v>
      </c>
      <c r="D21" s="45">
        <f>IFERROR(IF(D8="","",IF(D6-D15/(D5*D7)&lt;=0,"",D17/(D6-D15/(D5*D7))/D7)),"")</f>
        <v>50.00066624629128</v>
      </c>
      <c r="E21" s="29" t="n"/>
      <c r="F21" s="29" t="n"/>
    </row>
    <row r="22">
      <c r="A22" s="26" t="inlineStr">
        <is>
          <t>WHAT EACH SCENARIO DEMANDS</t>
        </is>
      </c>
      <c r="B22" s="29" t="n"/>
      <c r="C22" s="29" t="n"/>
      <c r="D22" s="29" t="n"/>
      <c r="E22" s="29" t="n"/>
      <c r="F22" s="29" t="n"/>
    </row>
    <row r="23">
      <c r="A23" s="29" t="inlineStr">
        <is>
          <t>Labor cost / Sales</t>
        </is>
      </c>
      <c r="B23" s="68">
        <f>IFERROR(IF(B8="","",'3-Year P&amp;L'!$B$23/B8),"")</f>
        <v>0.41112179216909805</v>
      </c>
      <c r="C23" s="68">
        <f>IFERROR(IF(C8="","",'3-Year P&amp;L'!$B$23/C8),"")</f>
        <v>0.3276541218637993</v>
      </c>
      <c r="D23" s="68">
        <f>IFERROR(IF(D8="","",'3-Year P&amp;L'!$B$23/D8),"")</f>
        <v>0.26691468718635</v>
      </c>
      <c r="E23" s="29" t="inlineStr">
        <is>
          <t>The SAME staffing in all three scenarios. If labor cost blows up in the pessimistic case, adjust it in the Staffing tab, not here</t>
        </is>
      </c>
      <c r="F23" s="29" t="n"/>
    </row>
    <row r="24">
      <c r="A24" s="29" t="inlineStr">
        <is>
          <t>Covers per year per full-time equivalent</t>
        </is>
      </c>
      <c r="B24" s="41">
        <f>IFERROR(IF(B8="","",B5*B7/Staffing!$C$12),"")</f>
        <v>3371.4285714285716</v>
      </c>
      <c r="C24" s="41">
        <f>IFERROR(IF(C8="","",C5*C7/Staffing!$C$12),"")</f>
        <v>3936.507936507937</v>
      </c>
      <c r="D24" s="41">
        <f>IFERROR(IF(D8="","",D5*D7/Staffing!$C$12),"")</f>
        <v>4518.518518518519</v>
      </c>
      <c r="E24" s="29" t="inlineStr">
        <is>
          <t>Covers each full-time employee in the "Staffing" tab would have to serve. In the optimistic scenario it tells you whether you need to hire</t>
        </is>
      </c>
      <c r="F24" s="29" t="n"/>
    </row>
    <row r="25">
      <c r="A25" s="26" t="inlineStr">
        <is>
          <t>Year-1 closing cash balance (estimate, same method in all three scenarios)</t>
        </is>
      </c>
      <c r="B25" s="54">
        <f>IFERROR(IF(B8="","",'Startup Costs'!$B$29+B20+'3-Year P&amp;L'!$B$35-Financing!$B$45),"")</f>
        <v>66148.94602349769</v>
      </c>
      <c r="C25" s="54">
        <f>IFERROR(IF(C8="","",'Startup Costs'!$B$29+C20+'3-Year P&amp;L'!$B$35-Financing!$B$45),"")</f>
        <v>139382.3567377834</v>
      </c>
      <c r="D25" s="54">
        <f>IFERROR(IF(D8="","",'Startup Costs'!$B$29+D20+'3-Year P&amp;L'!$B$35-Financing!$B$45),"")</f>
        <v>211950.9504877834</v>
      </c>
      <c r="E25" s="2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c r="F25" s="29" t="n"/>
    </row>
    <row r="26">
      <c r="A26" s="29" t="inlineStr">
        <is>
          <t>Actual month-12 balance from the 12-Month Cash Flow tab (Base case only)</t>
        </is>
      </c>
      <c r="B26" s="29" t="n"/>
      <c r="C26" s="41">
        <f>IFERROR(IF(C8="","",'12-Month Cash Flow'!$M$22),"")</f>
        <v>171414.93467252285</v>
      </c>
      <c r="D26" s="29" t="n"/>
      <c r="E26" s="29"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c r="F26" s="29" t="n"/>
    </row>
    <row r="27">
      <c r="A27" s="29" t="n"/>
      <c r="B27" s="29" t="n"/>
      <c r="C27" s="29" t="n"/>
      <c r="D27" s="29" t="n"/>
      <c r="E27" s="29" t="n"/>
      <c r="F27" s="29" t="n"/>
    </row>
    <row r="28" ht="150" customHeight="1">
      <c r="A28" s="48"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head pizzaiolo &amp; GM</t>
        </is>
      </c>
      <c r="B5" s="51" t="n">
        <v>1</v>
      </c>
      <c r="C5" s="53" t="n">
        <v>1</v>
      </c>
      <c r="D5" s="76" t="n">
        <v>4500</v>
      </c>
      <c r="E5" s="62">
        <f>IFERROR(IF(D5="","",D5*'0. Assumptions'!$B$20),"")</f>
        <v>450.0</v>
      </c>
      <c r="F5" s="62">
        <f>IFERROR(IF(D5="","",D5+E5),"")</f>
        <v>4950.0</v>
      </c>
      <c r="G5" s="62">
        <f>IFERROR(IF(D5="","",F5*MAX(12,'0. Assumptions'!$B$21)),"")</f>
        <v>59400.0</v>
      </c>
      <c r="H5" s="45">
        <f>IFERROR(IF(D5="","",C5*$B$19),"")</f>
        <v>40.0</v>
      </c>
      <c r="I5" s="41">
        <f>IFERROR(IF(D5="","",H5*B5*$B$20),"")</f>
        <v>1840.0</v>
      </c>
      <c r="J5" s="29" t="inlineStr">
        <is>
          <t>Makes the dough, runs the oven on the busy shift, buys and manages. The workbook imputes a monthly salary as if on payroll, which is the prudent side; confirm with your CPA how you will pay yourself (owner draw or W-2 under an S corp). The example pays the owner below the national median wage for food service managers: draw more from net profit</t>
        </is>
      </c>
    </row>
    <row r="6">
      <c r="A6" s="29" t="inlineStr">
        <is>
          <t>Pizzaiolo (stretching &amp; oven)</t>
        </is>
      </c>
      <c r="B6" s="51" t="n">
        <v>1</v>
      </c>
      <c r="C6" s="53" t="n">
        <v>1</v>
      </c>
      <c r="D6" s="76" t="n">
        <v>3900</v>
      </c>
      <c r="E6" s="62">
        <f>IFERROR(IF(D6="","",D6*'0. Assumptions'!$B$20),"")</f>
        <v>390.0</v>
      </c>
      <c r="F6" s="62">
        <f>IFERROR(IF(D6="","",D6+E6),"")</f>
        <v>4290.0</v>
      </c>
      <c r="G6" s="62">
        <f>IFERROR(IF(D6="","",F6*MAX(12,'0. Assumptions'!$B$21)),"")</f>
        <v>51480.0</v>
      </c>
      <c r="H6" s="45">
        <f>IFERROR(IF(D6="","",C6*$B$19),"")</f>
        <v>40.0</v>
      </c>
      <c r="I6" s="41">
        <f>IFERROR(IF(D6="","",H6*B6*$B$20),"")</f>
        <v>1840.0</v>
      </c>
      <c r="J6" s="29" t="inlineStr">
        <is>
          <t>Stretches the dough and runs the oven; can make the dough with the owner. It is an investment, not an expense: if only the owner knows the dough and the oven, a sick day closes the shop</t>
        </is>
      </c>
    </row>
    <row r="7">
      <c r="A7" s="29" t="inlineStr">
        <is>
          <t>Prep &amp; dough cook</t>
        </is>
      </c>
      <c r="B7" s="51" t="n">
        <v>1</v>
      </c>
      <c r="C7" s="53" t="n">
        <v>0.75</v>
      </c>
      <c r="D7" s="76" t="n">
        <v>2340</v>
      </c>
      <c r="E7" s="62">
        <f>IFERROR(IF(D7="","",D7*'0. Assumptions'!$B$20),"")</f>
        <v>234.0</v>
      </c>
      <c r="F7" s="62">
        <f>IFERROR(IF(D7="","",D7+E7),"")</f>
        <v>2574.0</v>
      </c>
      <c r="G7" s="62">
        <f>IFERROR(IF(D7="","",F7*MAX(12,'0. Assumptions'!$B$21)),"")</f>
        <v>30888.0</v>
      </c>
      <c r="H7" s="45">
        <f>IFERROR(IF(D7="","",C7*$B$19),"")</f>
        <v>30.0</v>
      </c>
      <c r="I7" s="41">
        <f>IFERROR(IF(D7="","",H7*B7*$B$20),"")</f>
        <v>1380.0</v>
      </c>
      <c r="J7" s="29" t="inlineStr">
        <is>
          <t>Starters, desserts, mise en place, balling the dough and dish duty, 30 hours a week</t>
        </is>
      </c>
    </row>
    <row r="8">
      <c r="A8" s="29" t="inlineStr">
        <is>
          <t>FOH lead / bar</t>
        </is>
      </c>
      <c r="B8" s="51" t="n">
        <v>1</v>
      </c>
      <c r="C8" s="53" t="n">
        <v>1</v>
      </c>
      <c r="D8" s="76" t="n">
        <v>3293</v>
      </c>
      <c r="E8" s="62">
        <f>IFERROR(IF(D8="","",D8*'0. Assumptions'!$B$20),"")</f>
        <v>329.3</v>
      </c>
      <c r="F8" s="62">
        <f>IFERROR(IF(D8="","",D8+E8),"")</f>
        <v>3622.3</v>
      </c>
      <c r="G8" s="62">
        <f>IFERROR(IF(D8="","",F8*MAX(12,'0. Assumptions'!$B$21)),"")</f>
        <v>43467.600000000006</v>
      </c>
      <c r="H8" s="45">
        <f>IFERROR(IF(D8="","",C8*$B$19),"")</f>
        <v>40.0</v>
      </c>
      <c r="I8" s="41">
        <f>IFERROR(IF(D8="","",H8*B8*$B$20),"")</f>
        <v>1840.0</v>
      </c>
      <c r="J8" s="29" t="inlineStr">
        <is>
          <t>Year-round: dining room, beer &amp; wine bar, register and reservations</t>
        </is>
      </c>
    </row>
    <row r="9">
      <c r="A9" s="29" t="inlineStr">
        <is>
          <t>Servers (dinner &amp; weekends, part-time W-2)</t>
        </is>
      </c>
      <c r="B9" s="51" t="n">
        <v>2</v>
      </c>
      <c r="C9" s="53" t="n">
        <v>0.25</v>
      </c>
      <c r="D9" s="76" t="n">
        <v>1343</v>
      </c>
      <c r="E9" s="62">
        <f>IFERROR(IF(D9="","",D9*'0. Assumptions'!$B$20),"")</f>
        <v>134.3</v>
      </c>
      <c r="F9" s="62">
        <f>IFERROR(IF(D9="","",D9+E9),"")</f>
        <v>1477.3</v>
      </c>
      <c r="G9" s="62">
        <f>IFERROR(IF(D9="","",F9*MAX(12,'0. Assumptions'!$B$21)),"")</f>
        <v>17727.6</v>
      </c>
      <c r="H9" s="45">
        <f>IFERROR(IF(D9="","",C9*$B$19),"")</f>
        <v>10.0</v>
      </c>
      <c r="I9" s="41">
        <f>IFERROR(IF(D9="","",H9*B9*$B$20),"")</f>
        <v>920.0</v>
      </c>
      <c r="J9" s="29" t="inlineStr">
        <is>
          <t>Dinner and weekend shifts, when the dining room fills. Part-time W-2 employees; tips are not modeled</t>
        </is>
      </c>
    </row>
    <row r="10">
      <c r="A10" s="29" t="inlineStr">
        <is>
          <t>Weekend runner / counter &amp; pickup</t>
        </is>
      </c>
      <c r="B10" s="51" t="n">
        <v>1</v>
      </c>
      <c r="C10" s="53" t="n">
        <v>0.375</v>
      </c>
      <c r="D10" s="76" t="n">
        <v>975</v>
      </c>
      <c r="E10" s="62">
        <f>IFERROR(IF(D10="","",D10*'0. Assumptions'!$B$20),"")</f>
        <v>97.5</v>
      </c>
      <c r="F10" s="62">
        <f>IFERROR(IF(D10="","",D10+E10),"")</f>
        <v>1072.5</v>
      </c>
      <c r="G10" s="62">
        <f>IFERROR(IF(D10="","",F10*MAX(12,'0. Assumptions'!$B$21)),"")</f>
        <v>12870.0</v>
      </c>
      <c r="H10" s="45">
        <f>IFERROR(IF(D10="","",C10*$B$19),"")</f>
        <v>15.0</v>
      </c>
      <c r="I10" s="41">
        <f>IFERROR(IF(D10="","",H10*B10*$B$20),"")</f>
        <v>690.0</v>
      </c>
      <c r="J10" s="29" t="inlineStr">
        <is>
          <t>Dining room and patio in season, the pickup counter and the delivery marketplace tablets. This plan has NO delivery drivers of its own: if you add them, they are W-2 employees in most states, never independent contractors by default (check yours), and you need hired and non-owned auto insurance</t>
        </is>
      </c>
    </row>
    <row r="11">
      <c r="A11" s="29" t="inlineStr">
        <is>
          <t>Relief cover (vacations + days off)</t>
        </is>
      </c>
      <c r="B11" s="51" t="n">
        <v>1</v>
      </c>
      <c r="C11" s="53" t="n">
        <v>0.1</v>
      </c>
      <c r="D11" s="76" t="n">
        <v>270</v>
      </c>
      <c r="E11" s="62">
        <f>IFERROR(IF(D11="","",D11*'0. Assumptions'!$B$20),"")</f>
        <v>27.0</v>
      </c>
      <c r="F11" s="62">
        <f>IFERROR(IF(D11="","",D11+E11),"")</f>
        <v>297.0</v>
      </c>
      <c r="G11" s="62">
        <f>IFERROR(IF(D11="","",F11*MAX(12,'0. Assumptions'!$B$21)),"")</f>
        <v>3564.0</v>
      </c>
      <c r="H11" s="45">
        <f>IFERROR(IF(D11="","",C11*$B$19),"")</f>
        <v>4.0</v>
      </c>
      <c r="I11" s="41">
        <f>IFERROR(IF(D11="","",H11*B11*$B$20),"")</f>
        <v>184.0</v>
      </c>
      <c r="J11" s="29" t="inlineStr">
        <is>
          <t>Coverage for vacations and the team's days off through the year. Paid sick leave is required by some states and cities: check yours</t>
        </is>
      </c>
    </row>
    <row r="12">
      <c r="A12" s="26" t="inlineStr">
        <is>
          <t>TOTAL STAFF</t>
        </is>
      </c>
      <c r="B12" s="54">
        <f>IFERROR(IF(COUNT(D5:D11)=0,"",SUM(B5:B11)),"")</f>
        <v>8.0</v>
      </c>
      <c r="C12" s="55">
        <f>IFERROR(IF(COUNT(D5:D11)=0,"",SUMPRODUCT(B5:B11,C5:C11)),"")</f>
        <v>4.725</v>
      </c>
      <c r="D12" s="55">
        <f>IFERROR(IF(COUNT(D5:D11)=0,"",SUM(D5:D11)),"")</f>
        <v>16621.0</v>
      </c>
      <c r="E12" s="55">
        <f>IFERROR(IF(COUNT(D5:D11)=0,"",SUM(E5:E11)),"")</f>
        <v>1662.1</v>
      </c>
      <c r="F12" s="55">
        <f>IFERROR(IF(COUNT(D5:D11)=0,"",SUM(F5:F11)),"")</f>
        <v>18283.1</v>
      </c>
      <c r="G12" s="55">
        <f>IFERROR(IF(COUNT(D5:D11)=0,"",SUM(G5:G11)),"")</f>
        <v>219397.2</v>
      </c>
      <c r="H12" s="29" t="n"/>
      <c r="I12" s="54">
        <f>IFERROR(IF(COUNT(D5:D11)=0,"",SUM(I5:I11)),"")</f>
        <v>8694.0</v>
      </c>
      <c r="J12" s="29" t="n"/>
    </row>
    <row r="13">
      <c r="A13" s="26" t="inlineStr">
        <is>
          <t>STAFF GROWTH (stepped cost)</t>
        </is>
      </c>
      <c r="B13" s="29" t="n"/>
      <c r="C13" s="29" t="n"/>
      <c r="D13" s="29" t="n"/>
      <c r="E13" s="29" t="n"/>
      <c r="F13" s="29" t="n"/>
      <c r="G13" s="29" t="n"/>
      <c r="H13" s="29" t="n"/>
      <c r="I13" s="29" t="n"/>
      <c r="J13" s="29" t="n"/>
    </row>
    <row r="14">
      <c r="A14" s="29" t="inlineStr">
        <is>
          <t>Annual cost of year-2 hires</t>
        </is>
      </c>
      <c r="B14" s="51" t="n">
        <v>5000</v>
      </c>
      <c r="C14" s="29" t="n"/>
      <c r="D14" s="29" t="n"/>
      <c r="E14" s="29" t="n"/>
      <c r="F14" s="29" t="n"/>
      <c r="G14" s="29" t="n"/>
      <c r="H14" s="29" t="n"/>
      <c r="I14" s="29" t="n"/>
      <c r="J14" s="29" t="inlineStr">
        <is>
          <t>FULL ANNUAL cost (gross pay + employer payroll taxes, over all pay periods) of whoever you hire that year. The P&amp;L adds it to the previous year's cost: staffing grows by people, not by a percentage</t>
        </is>
      </c>
    </row>
    <row r="15">
      <c r="A15" s="29" t="inlineStr">
        <is>
          <t>Annual cost of year-3 hires</t>
        </is>
      </c>
      <c r="B15" s="51" t="n">
        <v>5000</v>
      </c>
      <c r="C15" s="29" t="n"/>
      <c r="D15" s="29" t="n"/>
      <c r="E15" s="29" t="n"/>
      <c r="F15" s="29" t="n"/>
      <c r="G15" s="29" t="n"/>
      <c r="H15" s="29" t="n"/>
      <c r="I15" s="29" t="n"/>
      <c r="J15" s="29" t="inlineStr">
        <is>
          <t>FULL ANNUAL cost (gross pay + employer payroll taxes, over all pay periods) of whoever you hire that year. The P&amp;L adds it to the previous year's cost: staffing grows by people, not by a percentage</t>
        </is>
      </c>
    </row>
    <row r="16">
      <c r="A16" s="29" t="inlineStr">
        <is>
          <t>Labor cost, year 2</t>
        </is>
      </c>
      <c r="B16" s="41">
        <f>IFERROR(IF(G12="","",G12*(1+'0. Assumptions'!$B$48)+B14),"")</f>
        <v>224397.2</v>
      </c>
      <c r="C16" s="29" t="n"/>
      <c r="D16" s="29" t="n"/>
      <c r="E16" s="29" t="n"/>
      <c r="F16" s="29" t="n"/>
      <c r="G16" s="29" t="n"/>
      <c r="H16" s="29" t="n"/>
      <c r="I16" s="29" t="n"/>
      <c r="J16" s="29" t="n"/>
    </row>
    <row r="17">
      <c r="A17" s="29" t="inlineStr">
        <is>
          <t>Labor cost, year 3</t>
        </is>
      </c>
      <c r="B17" s="41">
        <f>IFERROR(IF(B16="","",B16*(1+'0. Assumptions'!$B$48)+B15),"")</f>
        <v>229397.2</v>
      </c>
      <c r="C17" s="29" t="n"/>
      <c r="D17" s="29" t="n"/>
      <c r="E17" s="29" t="n"/>
      <c r="F17" s="29" t="n"/>
      <c r="G17" s="29" t="n"/>
      <c r="H17" s="29" t="n"/>
      <c r="I17" s="29" t="n"/>
      <c r="J17" s="29" t="n"/>
    </row>
    <row r="18">
      <c r="A18" s="26" t="inlineStr">
        <is>
          <t>COVERAGE OF SERVICE HOURS</t>
        </is>
      </c>
      <c r="B18" s="29" t="n"/>
      <c r="C18" s="29" t="n"/>
      <c r="D18" s="29" t="n"/>
      <c r="E18" s="29" t="n"/>
      <c r="F18" s="29" t="n"/>
      <c r="G18" s="29" t="n"/>
      <c r="H18" s="29" t="n"/>
      <c r="I18" s="29" t="n"/>
      <c r="J18" s="29" t="n"/>
    </row>
    <row r="19">
      <c r="A19" s="29" t="inlineStr">
        <is>
          <t>Full-time week (hours per week)</t>
        </is>
      </c>
      <c r="B19" s="51" t="n">
        <v>40</v>
      </c>
      <c r="C19" s="29" t="n"/>
      <c r="D19" s="29" t="n"/>
      <c r="E19" s="29" t="n"/>
      <c r="F19" s="29" t="n"/>
      <c r="G19" s="29" t="n"/>
      <c r="H19" s="29" t="n"/>
      <c r="I19" s="29" t="n"/>
      <c r="J19" s="29" t="inlineStr">
        <is>
          <t>40 hours a week is the FLSA overtime threshold for non-exempt employees; some states add daily overtime rules. Change it if your own full-time week is different</t>
        </is>
      </c>
    </row>
    <row r="20">
      <c r="A20" s="29" t="inlineStr">
        <is>
          <t>Weeks worked per year per person</t>
        </is>
      </c>
      <c r="B20" s="51" t="n">
        <v>46</v>
      </c>
      <c r="C20" s="29" t="n"/>
      <c r="D20" s="29" t="n"/>
      <c r="E20" s="29" t="n"/>
      <c r="F20" s="29" t="n"/>
      <c r="G20" s="29" t="n"/>
      <c r="H20" s="29" t="n"/>
      <c r="I20" s="29" t="n"/>
      <c r="J20" s="29" t="inlineStr">
        <is>
          <t>46 weeks: 52 minus about six weeks for vacation, holidays, the January closure and average absences. There is no federal vacation requirement in the US: adjust it to your own policy</t>
        </is>
      </c>
    </row>
    <row r="21">
      <c r="A21" s="29" t="inlineStr">
        <is>
          <t>Service hours per day to cover</t>
        </is>
      </c>
      <c r="B21" s="47" t="n">
        <v>8.5</v>
      </c>
      <c r="C21" s="29" t="n"/>
      <c r="D21" s="29" t="n"/>
      <c r="E21" s="29" t="n"/>
      <c r="F21" s="29" t="n"/>
      <c r="G21" s="29" t="n"/>
      <c r="H21" s="29" t="n"/>
      <c r="I21" s="29" t="n"/>
      <c r="J21" s="29" t="inlineStr">
        <is>
          <t>Hours the shop is open to the public, adding lunch and dinner service and the preparation for each. The slow afternoon between the two is not counted</t>
        </is>
      </c>
    </row>
    <row r="22">
      <c r="A22" s="29" t="inlineStr">
        <is>
          <t>People needed at the same time in each shift</t>
        </is>
      </c>
      <c r="B22" s="47" t="n">
        <v>3</v>
      </c>
      <c r="C22" s="29" t="n"/>
      <c r="D22" s="29" t="n"/>
      <c r="E22" s="29" t="n"/>
      <c r="F22" s="29" t="n"/>
      <c r="G22" s="29" t="n"/>
      <c r="H22" s="29" t="n"/>
      <c r="I22" s="29" t="n"/>
      <c r="J22" s="29" t="inlineStr">
        <is>
          <t>Average number of people on at once between the oven, the stretching or the helper, and the dining room. On Saturday night five are needed: the weekend runner and the dinner server come in</t>
        </is>
      </c>
    </row>
    <row r="23">
      <c r="A23" s="29" t="inlineStr">
        <is>
          <t>Production hours per day BEFORE opening</t>
        </is>
      </c>
      <c r="B23" s="47" t="n">
        <v>2.5</v>
      </c>
      <c r="C23" s="29" t="n"/>
      <c r="D23" s="29" t="n"/>
      <c r="E23" s="29" t="n"/>
      <c r="F23" s="29" t="n"/>
      <c r="G23" s="29" t="n"/>
      <c r="H23" s="29" t="n"/>
      <c r="I23" s="29" t="n"/>
      <c r="J23" s="29" t="inlineStr">
        <is>
          <t>Dough, sauce and mise en place before opening, and lighting the oven, which takes an hour and a half to two hours to reach temperature</t>
        </is>
      </c>
    </row>
    <row r="24">
      <c r="A24" s="29" t="inlineStr">
        <is>
          <t>People on the production shift</t>
        </is>
      </c>
      <c r="B24" s="47" t="n">
        <v>1.5</v>
      </c>
      <c r="C24" s="29" t="n"/>
      <c r="D24" s="29" t="n"/>
      <c r="E24" s="29" t="n"/>
      <c r="F24" s="29" t="n"/>
      <c r="G24" s="29" t="n"/>
      <c r="H24" s="29" t="n"/>
      <c r="I24" s="29" t="n"/>
      <c r="J24" s="29" t="inlineStr">
        <is>
          <t>The owner with the prep &amp; dough cook. Closing, cleaning and purchasing are outside this schedule: they are the margin between the hours hired and the hours needed</t>
        </is>
      </c>
    </row>
    <row r="25">
      <c r="A25" s="29" t="inlineStr">
        <is>
          <t>Service hours to cover per year</t>
        </is>
      </c>
      <c r="B25" s="41">
        <f>IFERROR(IF(OR(B21="",B22="",'0. Assumptions'!$B$6=""),"",B21*B22*'0. Assumptions'!$B$6+B23*B24*'0. Assumptions'!$B$6),"")</f>
        <v>8775.0</v>
      </c>
      <c r="C25" s="29" t="n"/>
      <c r="D25" s="29" t="n"/>
      <c r="E25" s="29" t="n"/>
      <c r="F25" s="29" t="n"/>
      <c r="G25" s="29" t="n"/>
      <c r="H25" s="29" t="n"/>
      <c r="I25" s="29" t="n"/>
      <c r="J25" s="29" t="n"/>
    </row>
    <row r="26">
      <c r="A26" s="29" t="inlineStr">
        <is>
          <t>Hours hired per year</t>
        </is>
      </c>
      <c r="B26" s="41">
        <f>IFERROR(IF(I12="","",I12),"")</f>
        <v>8694.0</v>
      </c>
      <c r="C26" s="29" t="n"/>
      <c r="D26" s="29" t="n"/>
      <c r="E26" s="29" t="n"/>
      <c r="F26" s="29" t="n"/>
      <c r="G26" s="29" t="n"/>
      <c r="H26" s="29" t="n"/>
      <c r="I26" s="29" t="n"/>
      <c r="J26" s="29" t="n"/>
    </row>
    <row r="27">
      <c r="A27" s="26" t="inlineStr">
        <is>
          <t>Coverage (hired / needed)</t>
        </is>
      </c>
      <c r="B27" s="67">
        <f>IFERROR(B26/B25,"")</f>
        <v>0.9907692307692307</v>
      </c>
      <c r="C27" s="29" t="n"/>
      <c r="D27" s="29" t="n"/>
      <c r="E27" s="29" t="n"/>
      <c r="F27" s="29" t="n"/>
      <c r="G27" s="29" t="n"/>
      <c r="H27" s="29" t="n"/>
      <c r="I27" s="29" t="n"/>
      <c r="J27" s="26" t="inlineStr">
        <is>
          <t>Below 100% the staff cannot cover the hours the plan declares: either hire more or cut the hours</t>
        </is>
      </c>
    </row>
    <row r="28">
      <c r="A28" s="29" t="n"/>
      <c r="B28" s="29" t="n"/>
      <c r="C28" s="29" t="n"/>
      <c r="D28" s="29" t="n"/>
      <c r="E28" s="29" t="n"/>
      <c r="F28" s="29" t="n"/>
      <c r="G28" s="29" t="n"/>
      <c r="H28" s="29" t="n"/>
      <c r="I28" s="29" t="n"/>
      <c r="J28" s="29" t="n"/>
    </row>
    <row r="29" ht="224.5" customHeight="1">
      <c r="A29" s="48" t="inlineStr">
        <is>
          <t>The gross pay, employer payroll taxes, monthly cost and annual cost columns are TOTALS for the row: for a position with two people they include both. "FTE" is the share of a full-time week and is used to compare pay with the legal floor pro rata. The payroll tax rate and the number of pay periods are in the "0. Assumptions" tab. Tips are not modeled: servers and the counter / pickup runner are budgeted at a base wage of at least $15/h. Federal rules allow a $2.13/h cash wage with a tip credit of up to $5.12 where the state permits it; CA, OR, WA, AK, MN, MT and NV do not (DOL)</t>
        </is>
      </c>
      <c r="B29" s="29" t="n"/>
      <c r="C29" s="29" t="n"/>
      <c r="D29" s="29" t="n"/>
      <c r="E29" s="29" t="n"/>
      <c r="F29" s="29" t="n"/>
      <c r="G29" s="29" t="n"/>
      <c r="H29" s="29" t="n"/>
      <c r="I29" s="29" t="n"/>
      <c r="J29" s="29" t="n"/>
    </row>
    <row r="30" ht="150" customHeight="1">
      <c r="A30" s="48"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Pizza Shop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25" customHeight="1">
      <c r="A8" s="48" t="inlineStr">
        <is>
          <t>4. All figures are EXCL. SALES TAX. To turn a menu price into a price excl. sales tax, divide it by 1 plus your sales tax rate (a rate of 8% means dividing by 1.08). The example uses ONE rate for everything: dine-in, take-out, delivery and beverages; some states tax food to go or alcohol differently, so check yours. The P&amp;L is excl. sales tax; the "12-Month Cash Flow" tab shows what you actually collect, incl. sales tax, and the sales tax you remit, on the quarterly schedule of the example.</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75" customHeight="1">
      <c r="A10" s="48" t="inlineStr">
        <is>
          <t>6. The "12-Month Cash Flow" tab answers the question that decides a bank deal: in which month the cash runs out. Its Month 1 is SEPTEMBER: the plan opens after the summer, reaches the holidays with a customer base and January and February with the cash cushion intact. The minimum balance of the year can never show in red.</t>
        </is>
      </c>
      <c r="B10" s="29" t="n"/>
      <c r="C10" s="29" t="n"/>
      <c r="D10" s="29" t="n"/>
      <c r="E10" s="29" t="n"/>
    </row>
    <row r="11" ht="45" customHeight="1">
      <c r="A11" s="48" t="inlineStr">
        <is>
          <t>7. The "Financing" tab matches what you need with what you put in and builds the amortization schedule of the loan. If the difference is red, the plan is not funded.</t>
        </is>
      </c>
      <c r="B11" s="29" t="n"/>
      <c r="C11" s="29" t="n"/>
      <c r="D11" s="29" t="n"/>
      <c r="E11" s="29" t="n"/>
    </row>
    <row r="12" ht="135" customHeight="1">
      <c r="A12" s="48" t="inlineStr">
        <is>
          <t>8. The Word business plan in this pack quotes the figures in this Excel: if you change a green cell, the Excel rules. The Dough &amp; Food Cost Calculator is separate and is used to COST each pizza: do not copy the food cost of one pizza into the "0. Assumptions" tab. The "Cost of goods sold on FOOD sales" cell is the weighted average of the WHOLE menu (pizzas, starters and desserts, each by what it sells) plus waste, so it comes out well above the food cost of the Margherita. With your menu costed, check that this average adds up.</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8">
        <f>IFERROR(IF('3-Year P&amp;L'!$B$52="","",'3-Year P&amp;L'!$B$52),"")</f>
        <v>0.26</v>
      </c>
      <c r="C18" s="68">
        <f>IFERROR(IF('3-Year P&amp;L'!$E$52="","",'3-Year P&amp;L'!$E$52),"")</f>
        <v>0.28</v>
      </c>
      <c r="D18" s="29" t="str">
        <f>IFERROR(IF(OR(B18="",C18=""),"",IF(B18&lt;=C18,"OK","REVIEW")),"")</f>
        <v>OK</v>
      </c>
      <c r="E18" s="29" t="n"/>
    </row>
    <row r="19">
      <c r="A19" s="29" t="inlineStr">
        <is>
          <t>Labor cost / Sales</t>
        </is>
      </c>
      <c r="B19" s="68">
        <f>IFERROR(IF('3-Year P&amp;L'!$B$53="","",'3-Year P&amp;L'!$B$53),"")</f>
        <v>0.3276541218637993</v>
      </c>
      <c r="C19" s="68">
        <f>IFERROR(IF('3-Year P&amp;L'!$E$53="","",'3-Year P&amp;L'!$E$53),"")</f>
        <v>0.36</v>
      </c>
      <c r="D19" s="29" t="str">
        <f>IFERROR(IF(OR(B19="",C19=""),"",IF(B19&lt;=C19,"OK","REVIEW")),"")</f>
        <v>OK</v>
      </c>
      <c r="E19" s="29" t="n"/>
    </row>
    <row r="20">
      <c r="A20" s="29" t="inlineStr">
        <is>
          <t>Rent / Sales</t>
        </is>
      </c>
      <c r="B20" s="68">
        <f>IFERROR(IF('3-Year P&amp;L'!$B$54="","",'3-Year P&amp;L'!$B$54),"")</f>
        <v>0.07168458781362007</v>
      </c>
      <c r="C20" s="68">
        <f>IFERROR(IF('3-Year P&amp;L'!$E$54="","",'3-Year P&amp;L'!$E$54),"")</f>
        <v>0.1</v>
      </c>
      <c r="D20" s="29" t="str">
        <f>IFERROR(IF(OR(B20="",C20=""),"",IF(B20&lt;=C20,"OK","REVIEW")),"")</f>
        <v>OK</v>
      </c>
      <c r="E20" s="29" t="n"/>
    </row>
    <row r="21">
      <c r="A21" s="29" t="inlineStr">
        <is>
          <t>Net income / Sales</t>
        </is>
      </c>
      <c r="B21" s="68">
        <f>IFERROR(IF('3-Year P&amp;L'!$B$55="","",'3-Year P&amp;L'!$B$55),"")</f>
        <v>0.058654409882232465</v>
      </c>
      <c r="C21" s="68">
        <f>IFERROR(IF('3-Year P&amp;L'!$E$55="","",'3-Year P&amp;L'!$E$55),"")</f>
        <v>0.05</v>
      </c>
      <c r="D21" s="29" t="str">
        <f>IFERROR(IF(OR(B21="",C21=""),"",IF(B21&gt;=C21,"OK","REVIEW")),"")</f>
        <v>OK</v>
      </c>
      <c r="E21" s="29" t="n"/>
    </row>
    <row r="22">
      <c r="A22" s="29" t="inlineStr">
        <is>
          <t>Gross margin / Sales</t>
        </is>
      </c>
      <c r="B22" s="68">
        <f>IFERROR(IF('3-Year P&amp;L'!$B$50="","",'3-Year P&amp;L'!$B$50),"")</f>
        <v>0.635</v>
      </c>
      <c r="C22" s="68">
        <f>IFERROR(IF('3-Year P&amp;L'!$E$50="","",'3-Year P&amp;L'!$E$50),"")</f>
        <v>0.62</v>
      </c>
      <c r="D22" s="29" t="str">
        <f>IFERROR(IF(OR(B22="",C22=""),"",IF(B22&gt;=C22,"OK","REVIEW")),"")</f>
        <v>OK</v>
      </c>
      <c r="E22" s="29" t="n"/>
    </row>
    <row r="23">
      <c r="A23" s="29" t="n"/>
      <c r="B23" s="29" t="n"/>
      <c r="C23" s="29" t="n"/>
      <c r="D23" s="29" t="n"/>
      <c r="E23" s="29" t="n"/>
    </row>
    <row r="24">
      <c r="A24" s="26" t="inlineStr">
        <is>
          <t>THIS PLAN'S KEY FIGURES</t>
        </is>
      </c>
      <c r="B24" s="29" t="n"/>
      <c r="C24" s="29" t="n"/>
      <c r="D24" s="29" t="n"/>
      <c r="E24" s="29" t="n"/>
    </row>
    <row r="25">
      <c r="A25" s="29" t="inlineStr">
        <is>
          <t>Total startup costs (sum of the blocks)</t>
        </is>
      </c>
      <c r="B25" s="41">
        <f>IFERROR(IF('Startup Costs'!$B$30="","",'Startup Costs'!$B$30),"")</f>
        <v>329274.3</v>
      </c>
      <c r="C25" s="29" t="n"/>
      <c r="D25" s="29" t="n"/>
      <c r="E25" s="29" t="n"/>
    </row>
    <row r="26">
      <c r="A26" s="29" t="inlineStr">
        <is>
          <t>Total cash needed at launch</t>
        </is>
      </c>
      <c r="B26" s="41">
        <f>IFERROR(IF('Startup Costs'!$B$33="","",'Startup Costs'!$B$33),"")</f>
        <v>329274.3</v>
      </c>
      <c r="C26" s="29" t="n"/>
      <c r="D26" s="29" t="n"/>
      <c r="E26" s="29" t="n"/>
    </row>
    <row r="27">
      <c r="A27" s="29" t="inlineStr">
        <is>
          <t>Working capital funded</t>
        </is>
      </c>
      <c r="B27" s="41">
        <f>IFERROR(IF('Startup Costs'!$B$29="","",'Startup Costs'!$B$29),"")</f>
        <v>86724.3</v>
      </c>
      <c r="C27" s="29" t="n"/>
      <c r="D27" s="29" t="n"/>
      <c r="E27" s="29" t="n"/>
    </row>
    <row r="28">
      <c r="A28" s="29" t="inlineStr">
        <is>
          <t>Forecast year-1 revenue</t>
        </is>
      </c>
      <c r="B28" s="41">
        <f>IFERROR(IF('3-Year P&amp;L'!$B$9="","",'3-Year P&amp;L'!$B$9),"")</f>
        <v>669600.0</v>
      </c>
      <c r="C28" s="29" t="n"/>
      <c r="D28" s="29" t="n"/>
      <c r="E28" s="29" t="n"/>
    </row>
    <row r="29">
      <c r="A29" s="29" t="inlineStr">
        <is>
          <t>Year-1 net income</t>
        </is>
      </c>
      <c r="B29" s="41">
        <f>IFERROR(IF('3-Year P&amp;L'!$B$47="","",'3-Year P&amp;L'!$B$47),"")</f>
        <v>39274.99285714286</v>
      </c>
      <c r="C29" s="29" t="n"/>
      <c r="D29" s="29" t="n"/>
      <c r="E29" s="29" t="n"/>
    </row>
    <row r="30">
      <c r="A30" s="29" t="inlineStr">
        <is>
          <t>Covers per day for the ACCOUNTING break-even (depreciation included)</t>
        </is>
      </c>
      <c r="B30" s="45">
        <f>IFERROR(IF('Break-Even'!$B$15="","",'Break-Even'!$B$15),"")</f>
        <v>54.36415031454401</v>
      </c>
      <c r="C30" s="29" t="n"/>
      <c r="D30" s="29" t="n"/>
      <c r="E30" s="29" t="n"/>
    </row>
    <row r="31">
      <c r="A31" s="29" t="inlineStr">
        <is>
          <t>Project payback (years), before debt</t>
        </is>
      </c>
      <c r="B31" s="29" t="str">
        <f>IFERROR(IF('12-Month Cash Flow'!$B$31="","",'12-Month Cash Flow'!$B$31),"")</f>
        <v>Over 3 years</v>
      </c>
      <c r="C31" s="29" t="n"/>
      <c r="D31" s="29" t="n"/>
      <c r="E31" s="29" t="n"/>
    </row>
    <row r="32">
      <c r="A32" s="29" t="n"/>
      <c r="B32" s="29" t="n"/>
      <c r="C32" s="29" t="n"/>
      <c r="D32" s="29" t="n"/>
      <c r="E32" s="29" t="n"/>
    </row>
    <row r="33">
      <c r="A33" s="26" t="inlineStr">
        <is>
          <t>US PIZZA SHOP BENCHMARKS (sourced) AND KIT ESTIMATES</t>
        </is>
      </c>
      <c r="B33" s="29" t="n"/>
      <c r="C33" s="29" t="n"/>
      <c r="D33" s="29" t="n"/>
      <c r="E33" s="29" t="n"/>
    </row>
    <row r="34">
      <c r="A34" s="26" t="inlineStr">
        <is>
          <t>Benchmark</t>
        </is>
      </c>
      <c r="B34" s="26" t="inlineStr">
        <is>
          <t>Value</t>
        </is>
      </c>
      <c r="C34" s="26" t="inlineStr">
        <is>
          <t>Source</t>
        </is>
      </c>
      <c r="D34" s="26" t="inlineStr">
        <is>
          <t>Note</t>
        </is>
      </c>
      <c r="E34" s="29" t="n"/>
    </row>
    <row r="35" ht="59.75" customHeight="1">
      <c r="A35" s="29" t="inlineStr">
        <is>
          <t>Month 1 of the plan</t>
        </is>
      </c>
      <c r="B35" s="29" t="inlineStr">
        <is>
          <t>September</t>
        </is>
      </c>
      <c r="C35" s="29" t="inlineStr">
        <is>
          <t>Plan decision</t>
        </is>
      </c>
      <c r="D35" s="48" t="inlineStr">
        <is>
          <t>The shop opens after the summer: the ramp falls in mid and high months, the holidays arrive with a customer base and January and February with the cash cushion intact. The seasonality row of the cash flow is already rotated</t>
        </is>
      </c>
      <c r="E35" s="29" t="n"/>
    </row>
    <row r="36" ht="60" customHeight="1">
      <c r="A36" s="29" t="inlineStr">
        <is>
          <t>Margherita food cost</t>
        </is>
      </c>
      <c r="B36" s="29" t="inlineStr">
        <is>
          <t>About 16% of its price excl. sales tax</t>
        </is>
      </c>
      <c r="C36" s="29" t="inlineStr">
        <is>
          <t>Kit estimate (Pizza Dough &amp; Food Cost Calculator)</t>
        </is>
      </c>
      <c r="D36" s="48" t="inlineStr">
        <is>
          <t>00 flour, fior di latte, San Marzano tomatoes, olive oil and basil, with waste; replace the prices with your distributor's. With mozzarella di bufala, burrata or Italian cured meats, 22-28%</t>
        </is>
      </c>
      <c r="E36" s="29" t="n"/>
    </row>
    <row r="37" ht="15" customHeight="1">
      <c r="A37" s="29" t="inlineStr">
        <is>
          <t>Margherita on the menu</t>
        </is>
      </c>
      <c r="B37" s="29" t="inlineStr">
        <is>
          <t>$18 (median)</t>
        </is>
      </c>
      <c r="C37" s="29" t="inlineStr">
        <is>
          <t>Bufalina (Austin), Antico (Atlanta), via Marina (Des Moines): menus read Oct 2026</t>
        </is>
      </c>
      <c r="D37" s="48" t="inlineStr">
        <is>
          <t>Range $15-24; specialties $20-24</t>
        </is>
      </c>
      <c r="E37" s="29" t="n"/>
    </row>
    <row r="38" ht="45" customHeight="1">
      <c r="A38" s="29" t="inlineStr">
        <is>
          <t>Traditional Neapolitan dough ratios</t>
        </is>
      </c>
      <c r="B38" s="29" t="inlineStr">
        <is>
          <t>1.06 quarts (1 liter) of water per ~4 lb (1.8 kg) of flour, 50-55 g of salt, 3 g of fresh yeast</t>
        </is>
      </c>
      <c r="C38" s="29" t="inlineStr">
        <is>
          <t>EU TSG "Pizza Napoletana" specification (Reg. (EU) 97/2010), also used by the AVPN</t>
        </is>
      </c>
      <c r="D38" s="48" t="inlineStr">
        <is>
          <t>About 56% hydration; dough balls 6.3-8.8 oz (180-250 g); 2 hours of first rise and 4-6 hours of second rise at room temperature. A reference, not a US rule</t>
        </is>
      </c>
      <c r="E38" s="29" t="n"/>
    </row>
    <row r="39" ht="30" customHeight="1">
      <c r="A39" s="29" t="inlineStr">
        <is>
          <t>Bake</t>
        </is>
      </c>
      <c r="B39" s="29" t="inlineStr">
        <is>
          <t>60-90 seconds at about 900 °F (480 °C)</t>
        </is>
      </c>
      <c r="C39" s="29" t="inlineStr">
        <is>
          <t>Kit estimate (EU TSG specification and AVPN)</t>
        </is>
      </c>
      <c r="D39" s="48" t="inlineStr">
        <is>
          <t>Wood-fired dome oven; gas only where wood is banned (documented); electric does not qualify for VPN</t>
        </is>
      </c>
      <c r="E39" s="29" t="n"/>
    </row>
    <row r="40" ht="45" customHeight="1">
      <c r="A40" s="29" t="inlineStr">
        <is>
          <t>"Neapolitan-style" vs "VPN-certified"</t>
        </is>
      </c>
      <c r="B40" s="29" t="inlineStr">
        <is>
          <t>"Neapolitan-style": no US rule; "VPN-certified": only after AVPN certification</t>
        </is>
      </c>
      <c r="C40" s="29" t="inlineStr">
        <is>
          <t>AVPN Americas (americas.pizzanapoletana.org)</t>
        </is>
      </c>
      <c r="D40" s="48" t="inlineStr">
        <is>
          <t>$2,500 certification + $300 inspection + $400 a year (USA/Canada); needs an open location and a wood-fired dome oven (gas only where wood is banned)</t>
        </is>
      </c>
      <c r="E40" s="29" t="n"/>
    </row>
    <row r="41" ht="30" customHeight="1">
      <c r="A41" s="29" t="inlineStr">
        <is>
          <t>Delivery marketplace commission</t>
        </is>
      </c>
      <c r="B41" s="29" t="inlineStr">
        <is>
          <t>DoorDash 15 / 25 / 30% + 6% pickup; Uber Eats 15-30%</t>
        </is>
      </c>
      <c r="C41" s="29" t="inlineStr">
        <is>
          <t>merchants.ubereats.com; DoorDash tiers via duck-hub.com (Oct 2026)</t>
        </is>
      </c>
      <c r="D41" s="48" t="inlineStr">
        <is>
          <t>This plan: 25% on the 12% of sales that go through marketplaces. Direct pickup pays no commission; check your contract</t>
        </is>
      </c>
      <c r="E41" s="29" t="n"/>
    </row>
    <row r="42" ht="45" customHeight="1">
      <c r="A42" s="29" t="inlineStr">
        <is>
          <t>Sales tax</t>
        </is>
      </c>
      <c r="B42" s="29" t="inlineStr">
        <is>
          <t>8% (example: state + local)</t>
        </is>
      </c>
      <c r="C42" s="29" t="inlineStr">
        <is>
          <t>Kit example: look up your state and city rate</t>
        </is>
      </c>
      <c r="D42" s="48" t="inlineStr">
        <is>
          <t>One rate in the workbook; some states tax food to go differently</t>
        </is>
      </c>
      <c r="E42" s="29" t="n"/>
    </row>
    <row r="43" ht="30" customHeight="1">
      <c r="A43" s="29" t="inlineStr">
        <is>
          <t>Minimum wage</t>
        </is>
      </c>
      <c r="B43" s="29" t="inlineStr">
        <is>
          <t>Federal $7.25/h + your state</t>
        </is>
      </c>
      <c r="C43" s="29" t="inlineStr">
        <is>
          <t>U.S. Department of Labor (dol.gov)</t>
        </is>
      </c>
      <c r="D43" s="48" t="inlineStr">
        <is>
          <t>This plan budgets at least $15/h; enter your state's floor on "0. Assumptions"</t>
        </is>
      </c>
      <c r="E43" s="29" t="n"/>
    </row>
    <row r="44" ht="30" customHeight="1">
      <c r="A44" s="29" t="inlineStr">
        <is>
          <t>Labor cost / sales</t>
        </is>
      </c>
      <c r="B44" s="29" t="inlineStr">
        <is>
          <t>25-35%</t>
        </is>
      </c>
      <c r="C44" s="29" t="inlineStr">
        <is>
          <t>UpMenu (upmenu.com)</t>
        </is>
      </c>
      <c r="D44" s="48" t="inlineStr">
        <is>
          <t>The owner on payroll and table service push it toward the high end; a single pizzaiolo is a risk, not a saving</t>
        </is>
      </c>
      <c r="E44" s="29" t="n"/>
    </row>
    <row r="45" ht="30" customHeight="1">
      <c r="A45" s="29" t="inlineStr">
        <is>
          <t>Rent / sales</t>
        </is>
      </c>
      <c r="B45" s="29" t="inlineStr">
        <is>
          <t>≤ 10%</t>
        </is>
      </c>
      <c r="C45" s="29" t="inlineStr">
        <is>
          <t>Kit estimate</t>
        </is>
      </c>
      <c r="D45" s="48" t="inlineStr">
        <is>
          <t>A space with smoke exhaust to the roof is harder to find than to pay for</t>
        </is>
      </c>
      <c r="E45" s="29" t="n"/>
    </row>
    <row r="46" ht="59.75" customHeight="1">
      <c r="A46" s="29" t="inlineStr">
        <is>
          <t>Firewood</t>
        </is>
      </c>
      <c r="B46" s="29" t="inlineStr">
        <is>
          <t>About $5,500 a year</t>
        </is>
      </c>
      <c r="C46" s="29" t="inlineStr">
        <is>
          <t>Kit estimate</t>
        </is>
      </c>
      <c r="D46" s="48" t="inlineStr">
        <is>
          <t>About 18 US tons (16.5 t) a year; ask your supplier for the delivered price. It is a FIXED cost: the oven burns by the hour it is lit, not by the pizza. With gas or electric it goes to utilities</t>
        </is>
      </c>
      <c r="E46" s="29" t="n"/>
    </row>
    <row r="47" ht="30" customHeight="1">
      <c r="A47" s="29" t="inlineStr">
        <is>
          <t>Prime cost (food + labor)</t>
        </is>
      </c>
      <c r="B47" s="29" t="inlineStr">
        <is>
          <t>≤ 60% of sales</t>
        </is>
      </c>
      <c r="C47" s="29" t="inlineStr">
        <is>
          <t>Restaurant365 (restaurant365.com)</t>
        </is>
      </c>
      <c r="D47" s="48" t="inlineStr">
        <is>
          <t>Good operators run around 55%</t>
        </is>
      </c>
      <c r="E47" s="29" t="n"/>
    </row>
    <row r="48">
      <c r="A48" s="29" t="n"/>
      <c r="B48" s="29" t="n"/>
      <c r="C48" s="29" t="n"/>
      <c r="D48" s="29" t="n"/>
      <c r="E48" s="29" t="n"/>
    </row>
    <row r="49">
      <c r="A49" s="75" t="inlineStr">
        <is>
          <t>To edit a cell that is not green: Review → Unprotect Sheet (there is no password).</t>
        </is>
      </c>
      <c r="B49" s="29" t="n"/>
      <c r="C49" s="29" t="n"/>
      <c r="D49" s="29" t="n"/>
      <c r="E49" s="29" t="n"/>
    </row>
    <row r="50">
      <c r="A50" s="75" t="inlineStr">
        <is>
          <t>More templates and kits in the catalog at aichef.pro/en/digital-products</t>
        </is>
      </c>
      <c r="B50" s="29" t="n"/>
      <c r="C50" s="29" t="n"/>
      <c r="D50" s="29" t="n"/>
      <c r="E50" s="29" t="n"/>
    </row>
    <row r="51">
      <c r="A51" s="75" t="inlineStr">
        <is>
          <t>Designed by John Guerrero — chef and restaurant consultant since 2010, in the kitchen since age 17 · johnguerrero.es</t>
        </is>
      </c>
      <c r="B51" s="29" t="n"/>
      <c r="C51" s="29" t="n"/>
      <c r="D51" s="29" t="n"/>
      <c r="E51" s="29" t="n"/>
    </row>
    <row r="52">
      <c r="A52" s="75" t="inlineStr">
        <is>
          <t>Version 2.2 · October 2026 · aichef.pro/en/digital-products/pizza-shop-business-plan · info@aichef.pro</t>
        </is>
      </c>
      <c r="B52" s="29" t="n"/>
      <c r="C52" s="29" t="n"/>
      <c r="D52" s="29" t="n"/>
      <c r="E52" s="29" t="n"/>
    </row>
    <row r="53" ht="45" customHeight="1">
      <c r="A53" s="77" t="inlineStr">
        <is>
          <t>Planning tool, not financial, tax or legal advice. Requirements vary by state, county and city — check with your accountant and local authorities.</t>
        </is>
      </c>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4" t="n">
        <v>0.08400000000000001</v>
      </c>
      <c r="C5" s="74" t="n">
        <v>0.08799999999999999</v>
      </c>
      <c r="D5" s="74" t="n">
        <v>0.08400000000000001</v>
      </c>
      <c r="E5" s="74" t="n">
        <v>0.096</v>
      </c>
      <c r="F5" s="74" t="n">
        <v>0.068</v>
      </c>
      <c r="G5" s="74" t="n">
        <v>0.07199999999999999</v>
      </c>
      <c r="H5" s="74" t="n">
        <v>0.082</v>
      </c>
      <c r="I5" s="74" t="n">
        <v>0.08599999999999999</v>
      </c>
      <c r="J5" s="74" t="n">
        <v>0.09</v>
      </c>
      <c r="K5" s="74" t="n">
        <v>0.09</v>
      </c>
      <c r="L5" s="74" t="n">
        <v>0.08799999999999999</v>
      </c>
      <c r="M5" s="74" t="n">
        <v>0.07199999999999999</v>
      </c>
      <c r="N5" s="68">
        <f>IFERROR(IF('3-Year P&amp;L'!$B$9="","",SUM(B5:M5)),"")</f>
        <v>1.0</v>
      </c>
      <c r="O5" s="29" t="inlineStr">
        <is>
          <t>Month 1 = SEPTEMBER: the plan opens after the summer to reach the holidays with regulars and January-February (Months 5 and 6, the slowest) with the reserve intact. December (Month 4) is the peak; January (Month 5) the low point, with a short closure. Kit weights for a mid-size US city: replace the weights with your area's pattern; if you open in another month, rotate the row. It must add up to 100%</t>
        </is>
      </c>
    </row>
    <row r="6">
      <c r="A6" s="29" t="inlineStr">
        <is>
          <t>Launch ramp-up (% of steady-state activity)</t>
        </is>
      </c>
      <c r="B6" s="68">
        <f>IFERROR(IF('3-Year P&amp;L'!$B$9="","",MIN(1,'0. Assumptions'!$B$52+(1-'0. Assumptions'!$B$52)*0/MAX(1,'0. Assumptions'!$B$53-1))),"")</f>
        <v>0.75</v>
      </c>
      <c r="C6" s="68">
        <f>IFERROR(IF('3-Year P&amp;L'!$B$9="","",MIN(1,'0. Assumptions'!$B$52+(1-'0. Assumptions'!$B$52)*1/MAX(1,'0. Assumptions'!$B$53-1))),"")</f>
        <v>0.8333333333333334</v>
      </c>
      <c r="D6" s="68">
        <f>IFERROR(IF('3-Year P&amp;L'!$B$9="","",MIN(1,'0. Assumptions'!$B$52+(1-'0. Assumptions'!$B$52)*2/MAX(1,'0. Assumptions'!$B$53-1))),"")</f>
        <v>0.9166666666666666</v>
      </c>
      <c r="E6" s="68">
        <f>IFERROR(IF('3-Year P&amp;L'!$B$9="","",MIN(1,'0. Assumptions'!$B$52+(1-'0. Assumptions'!$B$52)*3/MAX(1,'0. Assumptions'!$B$53-1))),"")</f>
        <v>1.0</v>
      </c>
      <c r="F6" s="68">
        <f>IFERROR(IF('3-Year P&amp;L'!$B$9="","",MIN(1,'0. Assumptions'!$B$52+(1-'0. Assumptions'!$B$52)*4/MAX(1,'0. Assumptions'!$B$53-1))),"")</f>
        <v>1.0</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8">
        <f>IFERROR(IF('3-Year P&amp;L'!$B$9="","",B5*B6/SUMPRODUCT($B$5:$M$5,$B$6:$M$6)),"")</f>
        <v>0.06580779944289696</v>
      </c>
      <c r="C7" s="68">
        <f>IFERROR(IF('3-Year P&amp;L'!$B$9="","",C5*C6/SUMPRODUCT($B$5:$M$5,$B$6:$M$6)),"")</f>
        <v>0.07660167130919221</v>
      </c>
      <c r="D7" s="68">
        <f>IFERROR(IF('3-Year P&amp;L'!$B$9="","",D5*D6/SUMPRODUCT($B$5:$M$5,$B$6:$M$6)),"")</f>
        <v>0.08043175487465183</v>
      </c>
      <c r="E7" s="68">
        <f>IFERROR(IF('3-Year P&amp;L'!$B$9="","",E5*E6/SUMPRODUCT($B$5:$M$5,$B$6:$M$6)),"")</f>
        <v>0.10027855153203345</v>
      </c>
      <c r="F7" s="68">
        <f>IFERROR(IF('3-Year P&amp;L'!$B$9="","",F5*F6/SUMPRODUCT($B$5:$M$5,$B$6:$M$6)),"")</f>
        <v>0.0710306406685237</v>
      </c>
      <c r="G7" s="68">
        <f>IFERROR(IF('3-Year P&amp;L'!$B$9="","",G5*G6/SUMPRODUCT($B$5:$M$5,$B$6:$M$6)),"")</f>
        <v>0.07520891364902507</v>
      </c>
      <c r="H7" s="68">
        <f>IFERROR(IF('3-Year P&amp;L'!$B$9="","",H5*H6/SUMPRODUCT($B$5:$M$5,$B$6:$M$6)),"")</f>
        <v>0.08565459610027858</v>
      </c>
      <c r="I7" s="68">
        <f>IFERROR(IF('3-Year P&amp;L'!$B$9="","",I5*I6/SUMPRODUCT($B$5:$M$5,$B$6:$M$6)),"")</f>
        <v>0.08983286908077995</v>
      </c>
      <c r="J7" s="68">
        <f>IFERROR(IF('3-Year P&amp;L'!$B$9="","",J5*J6/SUMPRODUCT($B$5:$M$5,$B$6:$M$6)),"")</f>
        <v>0.09401114206128135</v>
      </c>
      <c r="K7" s="68">
        <f>IFERROR(IF('3-Year P&amp;L'!$B$9="","",K5*K6/SUMPRODUCT($B$5:$M$5,$B$6:$M$6)),"")</f>
        <v>0.09401114206128135</v>
      </c>
      <c r="L7" s="68">
        <f>IFERROR(IF('3-Year P&amp;L'!$B$9="","",L5*L6/SUMPRODUCT($B$5:$M$5,$B$6:$M$6)),"")</f>
        <v>0.09192200557103065</v>
      </c>
      <c r="M7" s="68">
        <f>IFERROR(IF('3-Year P&amp;L'!$B$9="","",M5*M6/SUMPRODUCT($B$5:$M$5,$B$6:$M$6)),"")</f>
        <v>0.07520891364902507</v>
      </c>
      <c r="N7" s="68">
        <f>IFERROR(IF('3-Year P&amp;L'!$B$9="","",SUM(B7:M7)),"")</f>
        <v>1.0000000000000002</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44417.42172701951</v>
      </c>
      <c r="C9" s="41">
        <f>IFERROR(IF('3-Year P&amp;L'!$B$9="","",('3-Year P&amp;L'!$B$9+'3-Year P&amp;L'!$B$9*SUMPRODUCT('3-Year P&amp;L'!$E$10:$E$11,'3-Year P&amp;L'!$G$10:$G$11))*(C7*(1-MIN(30,'0. Assumptions'!$B$58)/30)+B7*MIN(30,'0. Assumptions'!$B$58)/30)),"")</f>
        <v>54875.491922005574</v>
      </c>
      <c r="D9" s="41">
        <f>IFERROR(IF('3-Year P&amp;L'!$B$9="","",('3-Year P&amp;L'!$B$9+'3-Year P&amp;L'!$B$9*SUMPRODUCT('3-Year P&amp;L'!$E$10:$E$11,'3-Year P&amp;L'!$G$10:$G$11))*(D7*(1-MIN(30,'0. Assumptions'!$B$58)/30)+C7*MIN(30,'0. Assumptions'!$B$58)/30)),"")</f>
        <v>57981.01838440113</v>
      </c>
      <c r="E9" s="41">
        <f>IFERROR(IF('3-Year P&amp;L'!$B$9="","",('3-Year P&amp;L'!$B$9+'3-Year P&amp;L'!$B$9*SUMPRODUCT('3-Year P&amp;L'!$E$10:$E$11,'3-Year P&amp;L'!$G$10:$G$11))*(E7*(1-MIN(30,'0. Assumptions'!$B$58)/30)+D7*MIN(30,'0. Assumptions'!$B$58)/30)),"")</f>
        <v>71561.40167130921</v>
      </c>
      <c r="F9" s="41">
        <f>IFERROR(IF('3-Year P&amp;L'!$B$9="","",('3-Year P&amp;L'!$B$9+'3-Year P&amp;L'!$B$9*SUMPRODUCT('3-Year P&amp;L'!$E$10:$E$11,'3-Year P&amp;L'!$G$10:$G$11))*(F7*(1-MIN(30,'0. Assumptions'!$B$58)/30)+E7*MIN(30,'0. Assumptions'!$B$58)/30)),"")</f>
        <v>52777.16323119778</v>
      </c>
      <c r="G9" s="41">
        <f>IFERROR(IF('3-Year P&amp;L'!$B$9="","",('3-Year P&amp;L'!$B$9+'3-Year P&amp;L'!$B$9*SUMPRODUCT('3-Year P&amp;L'!$E$10:$E$11,'3-Year P&amp;L'!$G$10:$G$11))*(G7*(1-MIN(30,'0. Assumptions'!$B$58)/30)+F7*MIN(30,'0. Assumptions'!$B$58)/30)),"")</f>
        <v>54187.24011142062</v>
      </c>
      <c r="H9" s="41">
        <f>IFERROR(IF('3-Year P&amp;L'!$B$9="","",('3-Year P&amp;L'!$B$9+'3-Year P&amp;L'!$B$9*SUMPRODUCT('3-Year P&amp;L'!$E$10:$E$11,'3-Year P&amp;L'!$G$10:$G$11))*(H7*(1-MIN(30,'0. Assumptions'!$B$58)/30)+G7*MIN(30,'0. Assumptions'!$B$58)/30)),"")</f>
        <v>61439.064066852385</v>
      </c>
      <c r="I9" s="41">
        <f>IFERROR(IF('3-Year P&amp;L'!$B$9="","",('3-Year P&amp;L'!$B$9+'3-Year P&amp;L'!$B$9*SUMPRODUCT('3-Year P&amp;L'!$E$10:$E$11,'3-Year P&amp;L'!$G$10:$G$11))*(I7*(1-MIN(30,'0. Assumptions'!$B$58)/30)+H7*MIN(30,'0. Assumptions'!$B$58)/30)),"")</f>
        <v>64762.81671309193</v>
      </c>
      <c r="J9" s="41">
        <f>IFERROR(IF('3-Year P&amp;L'!$B$9="","",('3-Year P&amp;L'!$B$9+'3-Year P&amp;L'!$B$9*SUMPRODUCT('3-Year P&amp;L'!$E$10:$E$11,'3-Year P&amp;L'!$G$10:$G$11))*(J7*(1-MIN(30,'0. Assumptions'!$B$58)/30)+I7*MIN(30,'0. Assumptions'!$B$58)/30)),"")</f>
        <v>67784.41002785515</v>
      </c>
      <c r="K9" s="41">
        <f>IFERROR(IF('3-Year P&amp;L'!$B$9="","",('3-Year P&amp;L'!$B$9+'3-Year P&amp;L'!$B$9*SUMPRODUCT('3-Year P&amp;L'!$E$10:$E$11,'3-Year P&amp;L'!$G$10:$G$11))*(K7*(1-MIN(30,'0. Assumptions'!$B$58)/30)+J7*MIN(30,'0. Assumptions'!$B$58)/30)),"")</f>
        <v>67985.84958217271</v>
      </c>
      <c r="L9" s="41">
        <f>IFERROR(IF('3-Year P&amp;L'!$B$9="","",('3-Year P&amp;L'!$B$9+'3-Year P&amp;L'!$B$9*SUMPRODUCT('3-Year P&amp;L'!$E$10:$E$11,'3-Year P&amp;L'!$G$10:$G$11))*(L7*(1-MIN(30,'0. Assumptions'!$B$58)/30)+K7*MIN(30,'0. Assumptions'!$B$58)/30)),"")</f>
        <v>66575.77270194987</v>
      </c>
      <c r="M9" s="41">
        <f>IFERROR(IF('3-Year P&amp;L'!$B$9="","",('3-Year P&amp;L'!$B$9+'3-Year P&amp;L'!$B$9*SUMPRODUCT('3-Year P&amp;L'!$E$10:$E$11,'3-Year P&amp;L'!$G$10:$G$11))*(M7*(1-MIN(30,'0. Assumptions'!$B$58)/30)+L7*MIN(30,'0. Assumptions'!$B$58)/30)),"")</f>
        <v>55194.43788300836</v>
      </c>
      <c r="N9" s="41">
        <f>IFERROR(IF('3-Year P&amp;L'!$B$9="","",SUM(B9:M9)),"")</f>
        <v>719542.0880222843</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-8577.967688022287</v>
      </c>
      <c r="C11" s="41">
        <f>IFERROR(IF('3-Year P&amp;L'!$B$9="","",-('3-Year P&amp;L'!$B$13*(1+'3-Year P&amp;L'!$G$13)+'3-Year P&amp;L'!$B$14*(1+'3-Year P&amp;L'!$G$14)+'3-Year P&amp;L'!$B$15*(1+'3-Year P&amp;L'!$G$15)+'3-Year P&amp;L'!$B$16*(1+'3-Year P&amp;L'!$G$16)+'3-Year P&amp;L'!$B$17*(1+'3-Year P&amp;L'!$G$17)+'3-Year P&amp;L'!$B$18*(1+'3-Year P&amp;L'!$G$18))*(C7*(1-MIN(30,'0. Assumptions'!$B$59)/30)+B7*MIN(30,'0. Assumptions'!$B$59)/30)),"")</f>
        <v>-17490.657660167133</v>
      </c>
      <c r="D11" s="41">
        <f>IFERROR(IF('3-Year P&amp;L'!$B$9="","",-('3-Year P&amp;L'!$B$13*(1+'3-Year P&amp;L'!$G$13)+'3-Year P&amp;L'!$B$14*(1+'3-Year P&amp;L'!$G$14)+'3-Year P&amp;L'!$B$15*(1+'3-Year P&amp;L'!$G$15)+'3-Year P&amp;L'!$B$16*(1+'3-Year P&amp;L'!$G$16)+'3-Year P&amp;L'!$B$17*(1+'3-Year P&amp;L'!$G$17)+'3-Year P&amp;L'!$B$18*(1+'3-Year P&amp;L'!$G$18))*(D7*(1-MIN(30,'0. Assumptions'!$B$59)/30)+C7*MIN(30,'0. Assumptions'!$B$59)/30)),"")</f>
        <v>-19221.001671309197</v>
      </c>
      <c r="E11" s="41">
        <f>IFERROR(IF('3-Year P&amp;L'!$B$9="","",-('3-Year P&amp;L'!$B$13*(1+'3-Year P&amp;L'!$G$13)+'3-Year P&amp;L'!$B$14*(1+'3-Year P&amp;L'!$G$14)+'3-Year P&amp;L'!$B$15*(1+'3-Year P&amp;L'!$G$15)+'3-Year P&amp;L'!$B$16*(1+'3-Year P&amp;L'!$G$16)+'3-Year P&amp;L'!$B$17*(1+'3-Year P&amp;L'!$G$17)+'3-Year P&amp;L'!$B$18*(1+'3-Year P&amp;L'!$G$18))*(E7*(1-MIN(30,'0. Assumptions'!$B$59)/30)+D7*MIN(30,'0. Assumptions'!$B$59)/30)),"")</f>
        <v>-22244.84874651811</v>
      </c>
      <c r="F11" s="41">
        <f>IFERROR(IF('3-Year P&amp;L'!$B$9="","",-('3-Year P&amp;L'!$B$13*(1+'3-Year P&amp;L'!$G$13)+'3-Year P&amp;L'!$B$14*(1+'3-Year P&amp;L'!$G$14)+'3-Year P&amp;L'!$B$15*(1+'3-Year P&amp;L'!$G$15)+'3-Year P&amp;L'!$B$16*(1+'3-Year P&amp;L'!$G$16)+'3-Year P&amp;L'!$B$17*(1+'3-Year P&amp;L'!$G$17)+'3-Year P&amp;L'!$B$18*(1+'3-Year P&amp;L'!$G$18))*(F7*(1-MIN(30,'0. Assumptions'!$B$59)/30)+E7*MIN(30,'0. Assumptions'!$B$59)/30)),"")</f>
        <v>-20696.049025069646</v>
      </c>
      <c r="G11" s="41">
        <f>IFERROR(IF('3-Year P&amp;L'!$B$9="","",-('3-Year P&amp;L'!$B$13*(1+'3-Year P&amp;L'!$G$13)+'3-Year P&amp;L'!$B$14*(1+'3-Year P&amp;L'!$G$14)+'3-Year P&amp;L'!$B$15*(1+'3-Year P&amp;L'!$G$15)+'3-Year P&amp;L'!$B$16*(1+'3-Year P&amp;L'!$G$16)+'3-Year P&amp;L'!$B$17*(1+'3-Year P&amp;L'!$G$17)+'3-Year P&amp;L'!$B$18*(1+'3-Year P&amp;L'!$G$18))*(G7*(1-MIN(30,'0. Assumptions'!$B$59)/30)+F7*MIN(30,'0. Assumptions'!$B$59)/30)),"")</f>
        <v>-17904.805571030643</v>
      </c>
      <c r="H11" s="41">
        <f>IFERROR(IF('3-Year P&amp;L'!$B$9="","",-('3-Year P&amp;L'!$B$13*(1+'3-Year P&amp;L'!$G$13)+'3-Year P&amp;L'!$B$14*(1+'3-Year P&amp;L'!$G$14)+'3-Year P&amp;L'!$B$15*(1+'3-Year P&amp;L'!$G$15)+'3-Year P&amp;L'!$B$16*(1+'3-Year P&amp;L'!$G$16)+'3-Year P&amp;L'!$B$17*(1+'3-Year P&amp;L'!$G$17)+'3-Year P&amp;L'!$B$18*(1+'3-Year P&amp;L'!$G$18))*(H7*(1-MIN(30,'0. Assumptions'!$B$59)/30)+G7*MIN(30,'0. Assumptions'!$B$59)/30)),"")</f>
        <v>-19742.941504178278</v>
      </c>
      <c r="I11" s="41">
        <f>IFERROR(IF('3-Year P&amp;L'!$B$9="","",-('3-Year P&amp;L'!$B$13*(1+'3-Year P&amp;L'!$G$13)+'3-Year P&amp;L'!$B$14*(1+'3-Year P&amp;L'!$G$14)+'3-Year P&amp;L'!$B$15*(1+'3-Year P&amp;L'!$G$15)+'3-Year P&amp;L'!$B$16*(1+'3-Year P&amp;L'!$G$16)+'3-Year P&amp;L'!$B$17*(1+'3-Year P&amp;L'!$G$17)+'3-Year P&amp;L'!$B$18*(1+'3-Year P&amp;L'!$G$18))*(I7*(1-MIN(30,'0. Assumptions'!$B$59)/30)+H7*MIN(30,'0. Assumptions'!$B$59)/30)),"")</f>
        <v>-21478.958774373263</v>
      </c>
      <c r="J11" s="41">
        <f>IFERROR(IF('3-Year P&amp;L'!$B$9="","",-('3-Year P&amp;L'!$B$13*(1+'3-Year P&amp;L'!$G$13)+'3-Year P&amp;L'!$B$14*(1+'3-Year P&amp;L'!$G$14)+'3-Year P&amp;L'!$B$15*(1+'3-Year P&amp;L'!$G$15)+'3-Year P&amp;L'!$B$16*(1+'3-Year P&amp;L'!$G$16)+'3-Year P&amp;L'!$B$17*(1+'3-Year P&amp;L'!$G$17)+'3-Year P&amp;L'!$B$18*(1+'3-Year P&amp;L'!$G$18))*(J7*(1-MIN(30,'0. Assumptions'!$B$59)/30)+I7*MIN(30,'0. Assumptions'!$B$59)/30)),"")</f>
        <v>-22500.14540389972</v>
      </c>
      <c r="K11" s="41">
        <f>IFERROR(IF('3-Year P&amp;L'!$B$9="","",-('3-Year P&amp;L'!$B$13*(1+'3-Year P&amp;L'!$G$13)+'3-Year P&amp;L'!$B$14*(1+'3-Year P&amp;L'!$G$14)+'3-Year P&amp;L'!$B$15*(1+'3-Year P&amp;L'!$G$15)+'3-Year P&amp;L'!$B$16*(1+'3-Year P&amp;L'!$G$16)+'3-Year P&amp;L'!$B$17*(1+'3-Year P&amp;L'!$G$17)+'3-Year P&amp;L'!$B$18*(1+'3-Year P&amp;L'!$G$18))*(K7*(1-MIN(30,'0. Assumptions'!$B$59)/30)+J7*MIN(30,'0. Assumptions'!$B$59)/30)),"")</f>
        <v>-22976.699164345406</v>
      </c>
      <c r="L11" s="41">
        <f>IFERROR(IF('3-Year P&amp;L'!$B$9="","",-('3-Year P&amp;L'!$B$13*(1+'3-Year P&amp;L'!$G$13)+'3-Year P&amp;L'!$B$14*(1+'3-Year P&amp;L'!$G$14)+'3-Year P&amp;L'!$B$15*(1+'3-Year P&amp;L'!$G$15)+'3-Year P&amp;L'!$B$16*(1+'3-Year P&amp;L'!$G$16)+'3-Year P&amp;L'!$B$17*(1+'3-Year P&amp;L'!$G$17)+'3-Year P&amp;L'!$B$18*(1+'3-Year P&amp;L'!$G$18))*(L7*(1-MIN(30,'0. Assumptions'!$B$59)/30)+K7*MIN(30,'0. Assumptions'!$B$59)/30)),"")</f>
        <v>-22704.382729805016</v>
      </c>
      <c r="M11" s="41">
        <f>IFERROR(IF('3-Year P&amp;L'!$B$9="","",-('3-Year P&amp;L'!$B$13*(1+'3-Year P&amp;L'!$G$13)+'3-Year P&amp;L'!$B$14*(1+'3-Year P&amp;L'!$G$14)+'3-Year P&amp;L'!$B$15*(1+'3-Year P&amp;L'!$G$15)+'3-Year P&amp;L'!$B$16*(1+'3-Year P&amp;L'!$G$16)+'3-Year P&amp;L'!$B$17*(1+'3-Year P&amp;L'!$G$17)+'3-Year P&amp;L'!$B$18*(1+'3-Year P&amp;L'!$G$18))*(M7*(1-MIN(30,'0. Assumptions'!$B$59)/30)+L7*MIN(30,'0. Assumptions'!$B$59)/30)),"")</f>
        <v>-20287.574373259053</v>
      </c>
      <c r="N11" s="41">
        <f>IFERROR(IF('3-Year P&amp;L'!$B$9="","",SUM(B11:M11)),"")</f>
        <v>-235826.03231197773</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-8958.333333333332</v>
      </c>
      <c r="C12" s="41">
        <f>IFERROR(IF('3-Year P&amp;L'!$B$9="","",-('3-Year P&amp;L'!$B$37-'3-Year P&amp;L'!$B$23-'3-Year P&amp;L'!$B$35-'3-Year P&amp;L'!$B$36+'3-Year P&amp;L'!$B$39)/12),"")</f>
        <v>-8958.333333333332</v>
      </c>
      <c r="D12" s="41">
        <f>IFERROR(IF('3-Year P&amp;L'!$B$9="","",-('3-Year P&amp;L'!$B$37-'3-Year P&amp;L'!$B$23-'3-Year P&amp;L'!$B$35-'3-Year P&amp;L'!$B$36+'3-Year P&amp;L'!$B$39)/12),"")</f>
        <v>-8958.333333333332</v>
      </c>
      <c r="E12" s="41">
        <f>IFERROR(IF('3-Year P&amp;L'!$B$9="","",-('3-Year P&amp;L'!$B$37-'3-Year P&amp;L'!$B$23-'3-Year P&amp;L'!$B$35-'3-Year P&amp;L'!$B$36+'3-Year P&amp;L'!$B$39)/12),"")</f>
        <v>-8958.333333333332</v>
      </c>
      <c r="F12" s="41">
        <f>IFERROR(IF('3-Year P&amp;L'!$B$9="","",-('3-Year P&amp;L'!$B$37-'3-Year P&amp;L'!$B$23-'3-Year P&amp;L'!$B$35-'3-Year P&amp;L'!$B$36+'3-Year P&amp;L'!$B$39)/12),"")</f>
        <v>-8958.333333333332</v>
      </c>
      <c r="G12" s="41">
        <f>IFERROR(IF('3-Year P&amp;L'!$B$9="","",-('3-Year P&amp;L'!$B$37-'3-Year P&amp;L'!$B$23-'3-Year P&amp;L'!$B$35-'3-Year P&amp;L'!$B$36+'3-Year P&amp;L'!$B$39)/12),"")</f>
        <v>-8958.333333333332</v>
      </c>
      <c r="H12" s="41">
        <f>IFERROR(IF('3-Year P&amp;L'!$B$9="","",-('3-Year P&amp;L'!$B$37-'3-Year P&amp;L'!$B$23-'3-Year P&amp;L'!$B$35-'3-Year P&amp;L'!$B$36+'3-Year P&amp;L'!$B$39)/12),"")</f>
        <v>-8958.333333333332</v>
      </c>
      <c r="I12" s="41">
        <f>IFERROR(IF('3-Year P&amp;L'!$B$9="","",-('3-Year P&amp;L'!$B$37-'3-Year P&amp;L'!$B$23-'3-Year P&amp;L'!$B$35-'3-Year P&amp;L'!$B$36+'3-Year P&amp;L'!$B$39)/12),"")</f>
        <v>-8958.333333333332</v>
      </c>
      <c r="J12" s="41">
        <f>IFERROR(IF('3-Year P&amp;L'!$B$9="","",-('3-Year P&amp;L'!$B$37-'3-Year P&amp;L'!$B$23-'3-Year P&amp;L'!$B$35-'3-Year P&amp;L'!$B$36+'3-Year P&amp;L'!$B$39)/12),"")</f>
        <v>-8958.333333333332</v>
      </c>
      <c r="K12" s="41">
        <f>IFERROR(IF('3-Year P&amp;L'!$B$9="","",-('3-Year P&amp;L'!$B$37-'3-Year P&amp;L'!$B$23-'3-Year P&amp;L'!$B$35-'3-Year P&amp;L'!$B$36+'3-Year P&amp;L'!$B$39)/12),"")</f>
        <v>-8958.333333333332</v>
      </c>
      <c r="L12" s="41">
        <f>IFERROR(IF('3-Year P&amp;L'!$B$9="","",-('3-Year P&amp;L'!$B$37-'3-Year P&amp;L'!$B$23-'3-Year P&amp;L'!$B$35-'3-Year P&amp;L'!$B$36+'3-Year P&amp;L'!$B$39)/12),"")</f>
        <v>-8958.333333333332</v>
      </c>
      <c r="M12" s="41">
        <f>IFERROR(IF('3-Year P&amp;L'!$B$9="","",-('3-Year P&amp;L'!$B$37-'3-Year P&amp;L'!$B$23-'3-Year P&amp;L'!$B$35-'3-Year P&amp;L'!$B$36+'3-Year P&amp;L'!$B$39)/12),"")</f>
        <v>-8958.333333333332</v>
      </c>
      <c r="N12" s="41">
        <f>IFERROR(IF('3-Year P&amp;L'!$B$9="","",SUM(B12:M12)),"")</f>
        <v>-107499.99999999999</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-18283.100000000002</v>
      </c>
      <c r="C13" s="41">
        <f>IFERROR(IF('3-Year P&amp;L'!$B$9="","",-'3-Year P&amp;L'!$B$23/MAX(12,'0. Assumptions'!$B$21)*(1+IF(2='0. Assumptions'!$B$60,(MAX(12,'0. Assumptions'!$B$21)-12)/2,0)+IF(2='0. Assumptions'!$B$61,(MAX(12,'0. Assumptions'!$B$21)-12)/2,0))),"")</f>
        <v>-18283.100000000002</v>
      </c>
      <c r="D13" s="41">
        <f>IFERROR(IF('3-Year P&amp;L'!$B$9="","",-'3-Year P&amp;L'!$B$23/MAX(12,'0. Assumptions'!$B$21)*(1+IF(3='0. Assumptions'!$B$60,(MAX(12,'0. Assumptions'!$B$21)-12)/2,0)+IF(3='0. Assumptions'!$B$61,(MAX(12,'0. Assumptions'!$B$21)-12)/2,0))),"")</f>
        <v>-18283.100000000002</v>
      </c>
      <c r="E13" s="41">
        <f>IFERROR(IF('3-Year P&amp;L'!$B$9="","",-'3-Year P&amp;L'!$B$23/MAX(12,'0. Assumptions'!$B$21)*(1+IF(4='0. Assumptions'!$B$60,(MAX(12,'0. Assumptions'!$B$21)-12)/2,0)+IF(4='0. Assumptions'!$B$61,(MAX(12,'0. Assumptions'!$B$21)-12)/2,0))),"")</f>
        <v>-18283.100000000002</v>
      </c>
      <c r="F13" s="41">
        <f>IFERROR(IF('3-Year P&amp;L'!$B$9="","",-'3-Year P&amp;L'!$B$23/MAX(12,'0. Assumptions'!$B$21)*(1+IF(5='0. Assumptions'!$B$60,(MAX(12,'0. Assumptions'!$B$21)-12)/2,0)+IF(5='0. Assumptions'!$B$61,(MAX(12,'0. Assumptions'!$B$21)-12)/2,0))),"")</f>
        <v>-18283.100000000002</v>
      </c>
      <c r="G13" s="41">
        <f>IFERROR(IF('3-Year P&amp;L'!$B$9="","",-'3-Year P&amp;L'!$B$23/MAX(12,'0. Assumptions'!$B$21)*(1+IF(6='0. Assumptions'!$B$60,(MAX(12,'0. Assumptions'!$B$21)-12)/2,0)+IF(6='0. Assumptions'!$B$61,(MAX(12,'0. Assumptions'!$B$21)-12)/2,0))),"")</f>
        <v>-18283.100000000002</v>
      </c>
      <c r="H13" s="41">
        <f>IFERROR(IF('3-Year P&amp;L'!$B$9="","",-'3-Year P&amp;L'!$B$23/MAX(12,'0. Assumptions'!$B$21)*(1+IF(7='0. Assumptions'!$B$60,(MAX(12,'0. Assumptions'!$B$21)-12)/2,0)+IF(7='0. Assumptions'!$B$61,(MAX(12,'0. Assumptions'!$B$21)-12)/2,0))),"")</f>
        <v>-18283.100000000002</v>
      </c>
      <c r="I13" s="41">
        <f>IFERROR(IF('3-Year P&amp;L'!$B$9="","",-'3-Year P&amp;L'!$B$23/MAX(12,'0. Assumptions'!$B$21)*(1+IF(8='0. Assumptions'!$B$60,(MAX(12,'0. Assumptions'!$B$21)-12)/2,0)+IF(8='0. Assumptions'!$B$61,(MAX(12,'0. Assumptions'!$B$21)-12)/2,0))),"")</f>
        <v>-18283.100000000002</v>
      </c>
      <c r="J13" s="41">
        <f>IFERROR(IF('3-Year P&amp;L'!$B$9="","",-'3-Year P&amp;L'!$B$23/MAX(12,'0. Assumptions'!$B$21)*(1+IF(9='0. Assumptions'!$B$60,(MAX(12,'0. Assumptions'!$B$21)-12)/2,0)+IF(9='0. Assumptions'!$B$61,(MAX(12,'0. Assumptions'!$B$21)-12)/2,0))),"")</f>
        <v>-18283.100000000002</v>
      </c>
      <c r="K13" s="41">
        <f>IFERROR(IF('3-Year P&amp;L'!$B$9="","",-'3-Year P&amp;L'!$B$23/MAX(12,'0. Assumptions'!$B$21)*(1+IF(10='0. Assumptions'!$B$60,(MAX(12,'0. Assumptions'!$B$21)-12)/2,0)+IF(10='0. Assumptions'!$B$61,(MAX(12,'0. Assumptions'!$B$21)-12)/2,0))),"")</f>
        <v>-18283.100000000002</v>
      </c>
      <c r="L13" s="41">
        <f>IFERROR(IF('3-Year P&amp;L'!$B$9="","",-'3-Year P&amp;L'!$B$23/MAX(12,'0. Assumptions'!$B$21)*(1+IF(11='0. Assumptions'!$B$60,(MAX(12,'0. Assumptions'!$B$21)-12)/2,0)+IF(11='0. Assumptions'!$B$61,(MAX(12,'0. Assumptions'!$B$21)-12)/2,0))),"")</f>
        <v>-18283.100000000002</v>
      </c>
      <c r="M13" s="41">
        <f>IFERROR(IF('3-Year P&amp;L'!$B$9="","",-'3-Year P&amp;L'!$B$23/MAX(12,'0. Assumptions'!$B$21)*(1+IF(12='0. Assumptions'!$B$60,(MAX(12,'0. Assumptions'!$B$21)-12)/2,0)+IF(12='0. Assumptions'!$B$61,(MAX(12,'0. Assumptions'!$B$21)-12)/2,0))),"")</f>
        <v>-18283.100000000002</v>
      </c>
      <c r="N13" s="41">
        <f>IFERROR(IF('3-Year P&amp;L'!$B$9="","",SUM(B13:M13)),"")</f>
        <v>-219397.2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-1666.6666666666667</v>
      </c>
      <c r="C14" s="41">
        <f>IFERROR(IF('3-Year P&amp;L'!$B$9="","",-Financing!$B$44/12),"")</f>
        <v>-1666.6666666666667</v>
      </c>
      <c r="D14" s="41">
        <f>IFERROR(IF('3-Year P&amp;L'!$B$9="","",-Financing!$B$44/12),"")</f>
        <v>-1666.6666666666667</v>
      </c>
      <c r="E14" s="41">
        <f>IFERROR(IF('3-Year P&amp;L'!$B$9="","",-Financing!$B$44/12),"")</f>
        <v>-1666.6666666666667</v>
      </c>
      <c r="F14" s="41">
        <f>IFERROR(IF('3-Year P&amp;L'!$B$9="","",-Financing!$B$44/12),"")</f>
        <v>-1666.6666666666667</v>
      </c>
      <c r="G14" s="41">
        <f>IFERROR(IF('3-Year P&amp;L'!$B$9="","",-Financing!$B$44/12),"")</f>
        <v>-1666.6666666666667</v>
      </c>
      <c r="H14" s="41">
        <f>IFERROR(IF('3-Year P&amp;L'!$B$9="","",-Financing!$B$44/12),"")</f>
        <v>-1666.6666666666667</v>
      </c>
      <c r="I14" s="41">
        <f>IFERROR(IF('3-Year P&amp;L'!$B$9="","",-Financing!$B$44/12),"")</f>
        <v>-1666.6666666666667</v>
      </c>
      <c r="J14" s="41">
        <f>IFERROR(IF('3-Year P&amp;L'!$B$9="","",-Financing!$B$44/12),"")</f>
        <v>-1666.6666666666667</v>
      </c>
      <c r="K14" s="41">
        <f>IFERROR(IF('3-Year P&amp;L'!$B$9="","",-Financing!$B$44/12),"")</f>
        <v>-1666.6666666666667</v>
      </c>
      <c r="L14" s="41">
        <f>IFERROR(IF('3-Year P&amp;L'!$B$9="","",-Financing!$B$44/12),"")</f>
        <v>-1666.6666666666667</v>
      </c>
      <c r="M14" s="41">
        <f>IFERROR(IF('3-Year P&amp;L'!$B$9="","",-Financing!$B$44/12),"")</f>
        <v>-1666.6666666666667</v>
      </c>
      <c r="N14" s="41">
        <f>IFERROR(IF('3-Year P&amp;L'!$B$9="","",SUM(B14:M14)),"")</f>
        <v>-20000.0</v>
      </c>
      <c r="O14" s="29" t="n"/>
    </row>
    <row r="15">
      <c r="A15" s="29" t="inlineStr">
        <is>
          <t>Loan principal repaid</t>
        </is>
      </c>
      <c r="B15" s="41">
        <f>IFERROR(IF('3-Year P&amp;L'!$B$9="","",-Financing!$B$45/12),"")</f>
        <v>-1045.756581375192</v>
      </c>
      <c r="C15" s="41">
        <f>IFERROR(IF('3-Year P&amp;L'!$B$9="","",-Financing!$B$45/12),"")</f>
        <v>-1045.756581375192</v>
      </c>
      <c r="D15" s="41">
        <f>IFERROR(IF('3-Year P&amp;L'!$B$9="","",-Financing!$B$45/12),"")</f>
        <v>-1045.756581375192</v>
      </c>
      <c r="E15" s="41">
        <f>IFERROR(IF('3-Year P&amp;L'!$B$9="","",-Financing!$B$45/12),"")</f>
        <v>-1045.756581375192</v>
      </c>
      <c r="F15" s="41">
        <f>IFERROR(IF('3-Year P&amp;L'!$B$9="","",-Financing!$B$45/12),"")</f>
        <v>-1045.756581375192</v>
      </c>
      <c r="G15" s="41">
        <f>IFERROR(IF('3-Year P&amp;L'!$B$9="","",-Financing!$B$45/12),"")</f>
        <v>-1045.756581375192</v>
      </c>
      <c r="H15" s="41">
        <f>IFERROR(IF('3-Year P&amp;L'!$B$9="","",-Financing!$B$45/12),"")</f>
        <v>-1045.756581375192</v>
      </c>
      <c r="I15" s="41">
        <f>IFERROR(IF('3-Year P&amp;L'!$B$9="","",-Financing!$B$45/12),"")</f>
        <v>-1045.756581375192</v>
      </c>
      <c r="J15" s="41">
        <f>IFERROR(IF('3-Year P&amp;L'!$B$9="","",-Financing!$B$45/12),"")</f>
        <v>-1045.756581375192</v>
      </c>
      <c r="K15" s="41">
        <f>IFERROR(IF('3-Year P&amp;L'!$B$9="","",-Financing!$B$45/12),"")</f>
        <v>-1045.756581375192</v>
      </c>
      <c r="L15" s="41">
        <f>IFERROR(IF('3-Year P&amp;L'!$B$9="","",-Financing!$B$45/12),"")</f>
        <v>-1045.756581375192</v>
      </c>
      <c r="M15" s="41">
        <f>IFERROR(IF('3-Year P&amp;L'!$B$9="","",-Financing!$B$45/12),"")</f>
        <v>-1045.756581375192</v>
      </c>
      <c r="N15" s="41">
        <f>IFERROR(IF('3-Year P&amp;L'!$B$9="","",SUM(B15:M15)),"")</f>
        <v>-12549.078976502304</v>
      </c>
      <c r="O15" s="29" t="n"/>
    </row>
    <row r="16">
      <c r="A16" s="29" t="inlineStr">
        <is>
          <t>Sales tax collected (memo)</t>
        </is>
      </c>
      <c r="B16" s="41">
        <f>IFERROR(IF('3-Year P&amp;L'!$B$9="","",'3-Year P&amp;L'!$B$9*B7*SUMPRODUCT('3-Year P&amp;L'!$E$10:$E$11,'3-Year P&amp;L'!$G$10:$G$11)),"")</f>
        <v>3525.192200557104</v>
      </c>
      <c r="C16" s="41">
        <f>IFERROR(IF('3-Year P&amp;L'!$B$9="","",'3-Year P&amp;L'!$B$9*C7*SUMPRODUCT('3-Year P&amp;L'!$E$10:$E$11,'3-Year P&amp;L'!$G$10:$G$11)),"")</f>
        <v>4103.398328690809</v>
      </c>
      <c r="D16" s="41">
        <f>IFERROR(IF('3-Year P&amp;L'!$B$9="","",'3-Year P&amp;L'!$B$9*D7*SUMPRODUCT('3-Year P&amp;L'!$E$10:$E$11,'3-Year P&amp;L'!$G$10:$G$11)),"")</f>
        <v>4308.56824512535</v>
      </c>
      <c r="E16" s="41">
        <f>IFERROR(IF('3-Year P&amp;L'!$B$9="","",'3-Year P&amp;L'!$B$9*E7*SUMPRODUCT('3-Year P&amp;L'!$E$10:$E$11,'3-Year P&amp;L'!$G$10:$G$11)),"")</f>
        <v>5371.721448467968</v>
      </c>
      <c r="F16" s="41">
        <f>IFERROR(IF('3-Year P&amp;L'!$B$9="","",'3-Year P&amp;L'!$B$9*F7*SUMPRODUCT('3-Year P&amp;L'!$E$10:$E$11,'3-Year P&amp;L'!$G$10:$G$11)),"")</f>
        <v>3804.9693593314773</v>
      </c>
      <c r="G16" s="41">
        <f>IFERROR(IF('3-Year P&amp;L'!$B$9="","",'3-Year P&amp;L'!$B$9*G7*SUMPRODUCT('3-Year P&amp;L'!$E$10:$E$11,'3-Year P&amp;L'!$G$10:$G$11)),"")</f>
        <v>4028.791086350975</v>
      </c>
      <c r="H16" s="41">
        <f>IFERROR(IF('3-Year P&amp;L'!$B$9="","",'3-Year P&amp;L'!$B$9*H7*SUMPRODUCT('3-Year P&amp;L'!$E$10:$E$11,'3-Year P&amp;L'!$G$10:$G$11)),"")</f>
        <v>4588.345403899722</v>
      </c>
      <c r="I16" s="41">
        <f>IFERROR(IF('3-Year P&amp;L'!$B$9="","",'3-Year P&amp;L'!$B$9*I7*SUMPRODUCT('3-Year P&amp;L'!$E$10:$E$11,'3-Year P&amp;L'!$G$10:$G$11)),"")</f>
        <v>4812.167130919221</v>
      </c>
      <c r="J16" s="41">
        <f>IFERROR(IF('3-Year P&amp;L'!$B$9="","",'3-Year P&amp;L'!$B$9*J7*SUMPRODUCT('3-Year P&amp;L'!$E$10:$E$11,'3-Year P&amp;L'!$G$10:$G$11)),"")</f>
        <v>5035.98885793872</v>
      </c>
      <c r="K16" s="41">
        <f>IFERROR(IF('3-Year P&amp;L'!$B$9="","",'3-Year P&amp;L'!$B$9*K7*SUMPRODUCT('3-Year P&amp;L'!$E$10:$E$11,'3-Year P&amp;L'!$G$10:$G$11)),"")</f>
        <v>5035.98885793872</v>
      </c>
      <c r="L16" s="41">
        <f>IFERROR(IF('3-Year P&amp;L'!$B$9="","",'3-Year P&amp;L'!$B$9*L7*SUMPRODUCT('3-Year P&amp;L'!$E$10:$E$11,'3-Year P&amp;L'!$G$10:$G$11)),"")</f>
        <v>4924.077994428971</v>
      </c>
      <c r="M16" s="41">
        <f>IFERROR(IF('3-Year P&amp;L'!$B$9="","",'3-Year P&amp;L'!$B$9*M7*SUMPRODUCT('3-Year P&amp;L'!$E$10:$E$11,'3-Year P&amp;L'!$G$10:$G$11)),"")</f>
        <v>4028.791086350975</v>
      </c>
      <c r="N16" s="41">
        <f>IFERROR(IF('3-Year P&amp;L'!$B$9="","",SUM(B16:M16)),"")</f>
        <v>53568.00000000001</v>
      </c>
      <c r="O16" s="29" t="inlineStr">
        <is>
          <t>Each sales line at ITS rate, read from the sales tax column of the P&amp;L. The example uses one rate for everything, so alcohol to go carries the same rate as dine-in; the share of beverages taxed at the alcohol rate is set in column H of its line on the P&amp;L</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11937.158774373263</v>
      </c>
      <c r="F19" s="29" t="n"/>
      <c r="G19" s="29" t="n"/>
      <c r="H19" s="41">
        <f>IFERROR(IF('3-Year P&amp;L'!$B$9="","",SUM(E16:G16)-SUM(E17:G17)-H18),"")</f>
        <v>13205.48189415042</v>
      </c>
      <c r="I19" s="29" t="n"/>
      <c r="J19" s="29" t="n"/>
      <c r="K19" s="41">
        <f>IFERROR(IF('3-Year P&amp;L'!$B$9="","",SUM(H16:J16)-SUM(H17:J17)-K18),"")</f>
        <v>14436.501392757662</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-11937.158774373263</v>
      </c>
      <c r="F20" s="29" t="n"/>
      <c r="G20" s="29" t="n"/>
      <c r="H20" s="41">
        <f>IFERROR(IF('3-Year P&amp;L'!$B$9="","",IF(H19&lt;=0,"",-H19)),"")</f>
        <v>-13205.48189415042</v>
      </c>
      <c r="I20" s="29" t="n"/>
      <c r="J20" s="29" t="n"/>
      <c r="K20" s="41">
        <f>IFERROR(IF('3-Year P&amp;L'!$B$9="","",IF(K19&lt;=0,"",-K19)),"")</f>
        <v>-14436.501392757662</v>
      </c>
      <c r="L20" s="29" t="n"/>
      <c r="M20" s="29" t="n"/>
      <c r="N20" s="41">
        <f>IFERROR(IF('3-Year P&amp;L'!$B$9="","",SUM(B20:M20)),"")</f>
        <v>-39579.142061281345</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December, March and June with Month 1 in September; the fourth quarter is remitted in Month 13): if your state requires monthly filing, expect smaller payments every month instead</t>
        </is>
      </c>
    </row>
    <row r="21">
      <c r="A21" s="26" t="inlineStr">
        <is>
          <t>MONTHLY NET CASH FLOW</t>
        </is>
      </c>
      <c r="B21" s="54">
        <f>IFERROR(IF('3-Year P&amp;L'!$B$9="","",SUM(B9:B15)+IF(B20="",0,B20)),"")</f>
        <v>5885.5974576220315</v>
      </c>
      <c r="C21" s="54">
        <f>IFERROR(IF('3-Year P&amp;L'!$B$9="","",SUM(C9:C15)+IF(C20="",0,C20)),"")</f>
        <v>7430.977680463249</v>
      </c>
      <c r="D21" s="54">
        <f>IFERROR(IF('3-Year P&amp;L'!$B$9="","",SUM(D9:D15)+IF(D20="",0,D20)),"")</f>
        <v>8806.160131716744</v>
      </c>
      <c r="E21" s="54">
        <f>IFERROR(IF('3-Year P&amp;L'!$B$9="","",SUM(E9:E15)+IF(E20="",0,E20)),"")</f>
        <v>7425.537569042648</v>
      </c>
      <c r="F21" s="54">
        <f>IFERROR(IF('3-Year P&amp;L'!$B$9="","",SUM(F9:F15)+IF(F20="",0,F20)),"")</f>
        <v>2127.2576247529423</v>
      </c>
      <c r="G21" s="54">
        <f>IFERROR(IF('3-Year P&amp;L'!$B$9="","",SUM(G9:G15)+IF(G20="",0,G20)),"")</f>
        <v>6328.577959014786</v>
      </c>
      <c r="H21" s="54">
        <f>IFERROR(IF('3-Year P&amp;L'!$B$9="","",SUM(H9:H15)+IF(H20="",0,H20)),"")</f>
        <v>-1463.215912851505</v>
      </c>
      <c r="I21" s="54">
        <f>IFERROR(IF('3-Year P&amp;L'!$B$9="","",SUM(I9:I15)+IF(I20="",0,I20)),"")</f>
        <v>13330.001357343474</v>
      </c>
      <c r="J21" s="54">
        <f>IFERROR(IF('3-Year P&amp;L'!$B$9="","",SUM(J9:J15)+IF(J20="",0,J20)),"")</f>
        <v>15330.408042580242</v>
      </c>
      <c r="K21" s="54">
        <f>IFERROR(IF('3-Year P&amp;L'!$B$9="","",SUM(K9:K15)+IF(K20="",0,K20)),"")</f>
        <v>618.7924436944522</v>
      </c>
      <c r="L21" s="54">
        <f>IFERROR(IF('3-Year P&amp;L'!$B$9="","",SUM(L9:L15)+IF(L20="",0,L20)),"")</f>
        <v>13917.533390769666</v>
      </c>
      <c r="M21" s="54">
        <f>IFERROR(IF('3-Year P&amp;L'!$B$9="","",SUM(M9:M15)+IF(M20="",0,M20)),"")</f>
        <v>4953.006928374117</v>
      </c>
      <c r="N21" s="54">
        <f>IFERROR(IF('3-Year P&amp;L'!$B$9="","",SUM(B21:M21)),"")</f>
        <v>84690.63467252285</v>
      </c>
      <c r="O21" s="29" t="n"/>
    </row>
    <row r="22">
      <c r="A22" s="26" t="inlineStr">
        <is>
          <t>CUMULATIVE CASH BALANCE</t>
        </is>
      </c>
      <c r="B22" s="54">
        <f>IFERROR(IF('3-Year P&amp;L'!$B$9="","",'Startup Costs'!$B$29+B21),"")</f>
        <v>92609.89745762204</v>
      </c>
      <c r="C22" s="54">
        <f>IFERROR(IF('3-Year P&amp;L'!$B$9="","",B22+C21),"")</f>
        <v>100040.87513808528</v>
      </c>
      <c r="D22" s="54">
        <f>IFERROR(IF('3-Year P&amp;L'!$B$9="","",C22+D21),"")</f>
        <v>108847.03526980203</v>
      </c>
      <c r="E22" s="54">
        <f>IFERROR(IF('3-Year P&amp;L'!$B$9="","",D22+E21),"")</f>
        <v>116272.57283884467</v>
      </c>
      <c r="F22" s="54">
        <f>IFERROR(IF('3-Year P&amp;L'!$B$9="","",E22+F21),"")</f>
        <v>118399.83046359761</v>
      </c>
      <c r="G22" s="54">
        <f>IFERROR(IF('3-Year P&amp;L'!$B$9="","",F22+G21),"")</f>
        <v>124728.4084226124</v>
      </c>
      <c r="H22" s="54">
        <f>IFERROR(IF('3-Year P&amp;L'!$B$9="","",G22+H21),"")</f>
        <v>123265.19250976089</v>
      </c>
      <c r="I22" s="54">
        <f>IFERROR(IF('3-Year P&amp;L'!$B$9="","",H22+I21),"")</f>
        <v>136595.19386710436</v>
      </c>
      <c r="J22" s="54">
        <f>IFERROR(IF('3-Year P&amp;L'!$B$9="","",I22+J21),"")</f>
        <v>151925.6019096846</v>
      </c>
      <c r="K22" s="54">
        <f>IFERROR(IF('3-Year P&amp;L'!$B$9="","",J22+K21),"")</f>
        <v>152544.39435337906</v>
      </c>
      <c r="L22" s="54">
        <f>IFERROR(IF('3-Year P&amp;L'!$B$9="","",K22+L21),"")</f>
        <v>166461.92774414874</v>
      </c>
      <c r="M22" s="54">
        <f>IFERROR(IF('3-Year P&amp;L'!$B$9="","",L22+M21),"")</f>
        <v>171414.93467252285</v>
      </c>
      <c r="N22" s="29" t="n"/>
      <c r="O22" s="29" t="n"/>
    </row>
    <row r="23">
      <c r="A23" s="29" t="inlineStr">
        <is>
          <t>Minimum balance of the year</t>
        </is>
      </c>
      <c r="B23" s="41">
        <f>IFERROR(IF('3-Year P&amp;L'!$B$9="","",IF(COUNT(B22:M22)=0,"",MIN(B22:M22))),"")</f>
        <v>92609.89745762204</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1.0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85207.13571428572</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100277.22873987316</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109703.36186801933</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117239.71364902516</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329274.3</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t="str">
        <f>IFERROR(IF('3-Year P&amp;L'!$B$9="","",IF(B26&gt;=B30,ROUND(B30/B26,1),IF(B26+B27&gt;=B30,ROUND(1+(B30-B26)/B27,1),IF(B26+B27+B28&gt;=B30,ROUND(2+(B30-B26-B27)/B28,1),"Over 3 years")))),"")</f>
        <v>Over 3 years</v>
      </c>
      <c r="C31" s="29" t="n"/>
      <c r="D31" s="26" t="inlineStr">
        <is>
          <t>Measures how long the business takes to pay back the investment with what it generates BEFORE paying the lender, on the SAME cash flow basis in all three years; whether you can make the loan payment is answered by the DSCR on the "Financing" tab. The Word business plan quotes this figure; if you change a green cell, this workbook rules</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2.5</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95" customHeight="1">
      <c r="A34" s="48" t="inlineStr">
        <is>
          <t>The quarters in this sheet are plan quarters, not calendar quarters (September-November, December-February, March-May and June-August): with Month 1 in September, the workbook remits the sales tax of each plan quarter in the month after it. Your state sets the real filing calendar (monthly, quarterly or annual): check it. Income tax for year 1 is paid in year 2. The loan payment is split into twelve equal parts following the ANNUAL schedule in "Financing", and payroll into twelve monthly installments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130000.0</v>
      </c>
      <c r="C6" s="29" t="n"/>
      <c r="D6" s="29" t="n"/>
      <c r="E6" s="29" t="n"/>
      <c r="F6" s="29" t="n"/>
      <c r="G6" s="29" t="n"/>
      <c r="H6" s="29" t="n"/>
    </row>
    <row r="7">
      <c r="A7" s="29" t="inlineStr">
        <is>
          <t>Loan requested — bank or SBA 7(a) (amortized below)</t>
        </is>
      </c>
      <c r="B7" s="41">
        <f>IFERROR(IF('0. Assumptions'!$B$31="","",'0. Assumptions'!$B$31),"")</f>
        <v>200000.0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330000.0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329274.3</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725.7000000000116</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8">
        <f>IFERROR(B15/B14,"")</f>
        <v>0.002203937568161292</v>
      </c>
      <c r="C16" s="29" t="inlineStr">
        <is>
          <t>Amber above the margin you set: it is debt you pay for without needing it</t>
        </is>
      </c>
      <c r="D16" s="29" t="n"/>
      <c r="E16" s="29" t="n"/>
      <c r="F16" s="29" t="n"/>
      <c r="G16" s="29" t="n"/>
      <c r="H16" s="29" t="n"/>
    </row>
    <row r="17">
      <c r="A17" s="29" t="inlineStr">
        <is>
          <t>Acceptable over-funding (%)</t>
        </is>
      </c>
      <c r="B17" s="74"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199274.3</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200000.0</v>
      </c>
      <c r="C20" s="29" t="n"/>
      <c r="D20" s="29" t="n"/>
      <c r="E20" s="29" t="n"/>
      <c r="F20" s="29" t="n"/>
      <c r="G20" s="29" t="n"/>
      <c r="H20" s="29" t="n"/>
    </row>
    <row r="21">
      <c r="A21" s="29" t="inlineStr">
        <is>
          <t>Nominal annual interest rate (not APR)</t>
        </is>
      </c>
      <c r="B21" s="68">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32549.078976502304</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200000.0</v>
      </c>
      <c r="C27" s="62">
        <f>IFERROR(IF(OR(1&gt;B22,B27=""),"",B27*B21),"")</f>
        <v>20000.0</v>
      </c>
      <c r="D27" s="62">
        <f>IFERROR(IF(OR(1&gt;B22,B27=""),"",IF(1&lt;=B23,0,MIN(B27,B24-C27))),"")</f>
        <v>12549.078976502304</v>
      </c>
      <c r="E27" s="62">
        <f>IFERROR(IF(C27="","",C27+D27),"")</f>
        <v>32549.078976502304</v>
      </c>
      <c r="F27" s="62">
        <f>IFERROR(IF(D27="","",B27-D27),"")</f>
        <v>187450.9210234977</v>
      </c>
      <c r="G27" s="62">
        <f>IFERROR(IF(E27="","",'3-Year P&amp;L'!$B$40-'3-Year P&amp;L'!$B$45+'3-Year P&amp;L'!$B$35+'3-Year P&amp;L'!$B$36),"")</f>
        <v>85207.13571428572</v>
      </c>
      <c r="H27" s="62">
        <f>IFERROR(IF(OR(E27="",E27=0),"",G27/E27),"")</f>
        <v>2.617804816406575</v>
      </c>
    </row>
    <row r="28">
      <c r="A28" s="41" t="n">
        <v>2</v>
      </c>
      <c r="B28" s="62">
        <f>IFERROR(IF(OR(2&gt;B22,F27=""),"",F27),"")</f>
        <v>187450.9210234977</v>
      </c>
      <c r="C28" s="62">
        <f>IFERROR(IF(OR(2&gt;B22,B28=""),"",B28*B21),"")</f>
        <v>18745.092102349772</v>
      </c>
      <c r="D28" s="62">
        <f>IFERROR(IF(OR(2&gt;B22,B28=""),"",IF(2&lt;=B23,0,MIN(B28,B24-C28))),"")</f>
        <v>13803.986874152532</v>
      </c>
      <c r="E28" s="62">
        <f>IFERROR(IF(C28="","",C28+D28),"")</f>
        <v>32549.078976502304</v>
      </c>
      <c r="F28" s="62">
        <f>IFERROR(IF(D28="","",B28-D28),"")</f>
        <v>173646.93414934518</v>
      </c>
      <c r="G28" s="62">
        <f>IFERROR(IF(E28="","",'3-Year P&amp;L'!$C$40-'3-Year P&amp;L'!$C$45+'3-Year P&amp;L'!$C$35+'3-Year P&amp;L'!$C$36),"")</f>
        <v>100277.22873987316</v>
      </c>
      <c r="H28" s="62">
        <f>IFERROR(IF(OR(E28="",E28=0),"",G28/E28),"")</f>
        <v>3.0808008058312457</v>
      </c>
    </row>
    <row r="29">
      <c r="A29" s="41" t="n">
        <v>3</v>
      </c>
      <c r="B29" s="62">
        <f>IFERROR(IF(OR(3&gt;B22,F28=""),"",F28),"")</f>
        <v>173646.93414934518</v>
      </c>
      <c r="C29" s="62">
        <f>IFERROR(IF(OR(3&gt;B22,B29=""),"",B29*B21),"")</f>
        <v>17364.693414934518</v>
      </c>
      <c r="D29" s="62">
        <f>IFERROR(IF(OR(3&gt;B22,B29=""),"",IF(3&lt;=B23,0,MIN(B29,B24-C29))),"")</f>
        <v>15184.385561567786</v>
      </c>
      <c r="E29" s="62">
        <f>IFERROR(IF(C29="","",C29+D29),"")</f>
        <v>32549.078976502304</v>
      </c>
      <c r="F29" s="62">
        <f>IFERROR(IF(D29="","",B29-D29),"")</f>
        <v>158462.5485877774</v>
      </c>
      <c r="G29" s="62">
        <f>IFERROR(IF(E29="","",'3-Year P&amp;L'!$D$40-'3-Year P&amp;L'!$D$45+'3-Year P&amp;L'!$D$35+'3-Year P&amp;L'!$D$36),"")</f>
        <v>109703.36186801933</v>
      </c>
      <c r="H29" s="62">
        <f>IFERROR(IF(OR(E29="",E29=0),"",G29/E29),"")</f>
        <v>3.370398343597247</v>
      </c>
    </row>
    <row r="30">
      <c r="A30" s="41" t="n">
        <v>4</v>
      </c>
      <c r="B30" s="62">
        <f>IFERROR(IF(OR(4&gt;B22,F29=""),"",F29),"")</f>
        <v>158462.5485877774</v>
      </c>
      <c r="C30" s="62">
        <f>IFERROR(IF(OR(4&gt;B22,B30=""),"",B30*B21),"")</f>
        <v>15846.25485877774</v>
      </c>
      <c r="D30" s="62">
        <f>IFERROR(IF(OR(4&gt;B22,B30=""),"",IF(4&lt;=B23,0,MIN(B30,B24-C30))),"")</f>
        <v>16702.824117724565</v>
      </c>
      <c r="E30" s="62">
        <f>IFERROR(IF(C30="","",C30+D30),"")</f>
        <v>32549.078976502307</v>
      </c>
      <c r="F30" s="62">
        <f>IFERROR(IF(D30="","",B30-D30),"")</f>
        <v>141759.7244700528</v>
      </c>
      <c r="G30" s="62">
        <f>IFERROR(IF(E30="","",'3-Year P&amp;L'!$D$40-'3-Year P&amp;L'!$D$45+'3-Year P&amp;L'!$D$35+'3-Year P&amp;L'!$D$36),"")</f>
        <v>109703.36186801933</v>
      </c>
      <c r="H30" s="62">
        <f>IFERROR(IF(OR(E30="",E30=0),"",G30/E30),"")</f>
        <v>3.3703983435972464</v>
      </c>
    </row>
    <row r="31">
      <c r="A31" s="41" t="n">
        <v>5</v>
      </c>
      <c r="B31" s="62">
        <f>IFERROR(IF(OR(5&gt;B22,F30=""),"",F30),"")</f>
        <v>141759.7244700528</v>
      </c>
      <c r="C31" s="62">
        <f>IFERROR(IF(OR(5&gt;B22,B31=""),"",B31*B21),"")</f>
        <v>14175.972447005282</v>
      </c>
      <c r="D31" s="62">
        <f>IFERROR(IF(OR(5&gt;B22,B31=""),"",IF(5&lt;=B23,0,MIN(B31,B24-C31))),"")</f>
        <v>18373.10652949702</v>
      </c>
      <c r="E31" s="62">
        <f>IFERROR(IF(C31="","",C31+D31),"")</f>
        <v>32549.078976502304</v>
      </c>
      <c r="F31" s="62">
        <f>IFERROR(IF(D31="","",B31-D31),"")</f>
        <v>123386.61794055579</v>
      </c>
      <c r="G31" s="62">
        <f>IFERROR(IF(E31="","",'3-Year P&amp;L'!$D$40-'3-Year P&amp;L'!$D$45+'3-Year P&amp;L'!$D$35+'3-Year P&amp;L'!$D$36),"")</f>
        <v>109703.36186801933</v>
      </c>
      <c r="H31" s="62">
        <f>IFERROR(IF(OR(E31="",E31=0),"",G31/E31),"")</f>
        <v>3.370398343597247</v>
      </c>
    </row>
    <row r="32">
      <c r="A32" s="41" t="n">
        <v>6</v>
      </c>
      <c r="B32" s="62">
        <f>IFERROR(IF(OR(6&gt;B22,F31=""),"",F31),"")</f>
        <v>123386.61794055579</v>
      </c>
      <c r="C32" s="62">
        <f>IFERROR(IF(OR(6&gt;B22,B32=""),"",B32*B21),"")</f>
        <v>12338.66179405558</v>
      </c>
      <c r="D32" s="62">
        <f>IFERROR(IF(OR(6&gt;B22,B32=""),"",IF(6&lt;=B23,0,MIN(B32,B24-C32))),"")</f>
        <v>20210.417182446723</v>
      </c>
      <c r="E32" s="62">
        <f>IFERROR(IF(C32="","",C32+D32),"")</f>
        <v>32549.078976502304</v>
      </c>
      <c r="F32" s="62">
        <f>IFERROR(IF(D32="","",B32-D32),"")</f>
        <v>103176.20075810907</v>
      </c>
      <c r="G32" s="62">
        <f>IFERROR(IF(E32="","",'3-Year P&amp;L'!$D$40-'3-Year P&amp;L'!$D$45+'3-Year P&amp;L'!$D$35+'3-Year P&amp;L'!$D$36),"")</f>
        <v>109703.36186801933</v>
      </c>
      <c r="H32" s="62">
        <f>IFERROR(IF(OR(E32="",E32=0),"",G32/E32),"")</f>
        <v>3.370398343597247</v>
      </c>
    </row>
    <row r="33">
      <c r="A33" s="41" t="n">
        <v>7</v>
      </c>
      <c r="B33" s="62">
        <f>IFERROR(IF(OR(7&gt;B22,F32=""),"",F32),"")</f>
        <v>103176.20075810907</v>
      </c>
      <c r="C33" s="62">
        <f>IFERROR(IF(OR(7&gt;B22,B33=""),"",B33*B21),"")</f>
        <v>10317.620075810908</v>
      </c>
      <c r="D33" s="62">
        <f>IFERROR(IF(OR(7&gt;B22,B33=""),"",IF(7&lt;=B23,0,MIN(B33,B24-C33))),"")</f>
        <v>22231.458900691396</v>
      </c>
      <c r="E33" s="62">
        <f>IFERROR(IF(C33="","",C33+D33),"")</f>
        <v>32549.078976502304</v>
      </c>
      <c r="F33" s="62">
        <f>IFERROR(IF(D33="","",B33-D33),"")</f>
        <v>80944.74185741768</v>
      </c>
      <c r="G33" s="62">
        <f>IFERROR(IF(E33="","",'3-Year P&amp;L'!$D$40-'3-Year P&amp;L'!$D$45+'3-Year P&amp;L'!$D$35+'3-Year P&amp;L'!$D$36),"")</f>
        <v>109703.36186801933</v>
      </c>
      <c r="H33" s="62">
        <f>IFERROR(IF(OR(E33="",E33=0),"",G33/E33),"")</f>
        <v>3.370398343597247</v>
      </c>
    </row>
    <row r="34">
      <c r="A34" s="41" t="n">
        <v>8</v>
      </c>
      <c r="B34" s="62">
        <f>IFERROR(IF(OR(8&gt;B22,F33=""),"",F33),"")</f>
        <v>80944.74185741768</v>
      </c>
      <c r="C34" s="62">
        <f>IFERROR(IF(OR(8&gt;B22,B34=""),"",B34*B21),"")</f>
        <v>8094.474185741768</v>
      </c>
      <c r="D34" s="62">
        <f>IFERROR(IF(OR(8&gt;B22,B34=""),"",IF(8&lt;=B23,0,MIN(B34,B24-C34))),"")</f>
        <v>24454.604790760535</v>
      </c>
      <c r="E34" s="62">
        <f>IFERROR(IF(C34="","",C34+D34),"")</f>
        <v>32549.078976502304</v>
      </c>
      <c r="F34" s="62">
        <f>IFERROR(IF(D34="","",B34-D34),"")</f>
        <v>56490.137066657146</v>
      </c>
      <c r="G34" s="62">
        <f>IFERROR(IF(E34="","",'3-Year P&amp;L'!$D$40-'3-Year P&amp;L'!$D$45+'3-Year P&amp;L'!$D$35+'3-Year P&amp;L'!$D$36),"")</f>
        <v>109703.36186801933</v>
      </c>
      <c r="H34" s="62">
        <f>IFERROR(IF(OR(E34="",E34=0),"",G34/E34),"")</f>
        <v>3.370398343597247</v>
      </c>
    </row>
    <row r="35">
      <c r="A35" s="41" t="n">
        <v>9</v>
      </c>
      <c r="B35" s="62">
        <f>IFERROR(IF(OR(9&gt;B22,F34=""),"",F34),"")</f>
        <v>56490.137066657146</v>
      </c>
      <c r="C35" s="62">
        <f>IFERROR(IF(OR(9&gt;B22,B35=""),"",B35*B21),"")</f>
        <v>5649.013706665715</v>
      </c>
      <c r="D35" s="62">
        <f>IFERROR(IF(OR(9&gt;B22,B35=""),"",IF(9&lt;=B23,0,MIN(B35,B24-C35))),"")</f>
        <v>26900.06526983659</v>
      </c>
      <c r="E35" s="62">
        <f>IFERROR(IF(C35="","",C35+D35),"")</f>
        <v>32549.078976502304</v>
      </c>
      <c r="F35" s="62">
        <f>IFERROR(IF(D35="","",B35-D35),"")</f>
        <v>29590.071796820557</v>
      </c>
      <c r="G35" s="62">
        <f>IFERROR(IF(E35="","",'3-Year P&amp;L'!$D$40-'3-Year P&amp;L'!$D$45+'3-Year P&amp;L'!$D$35+'3-Year P&amp;L'!$D$36),"")</f>
        <v>109703.36186801933</v>
      </c>
      <c r="H35" s="62">
        <f>IFERROR(IF(OR(E35="",E35=0),"",G35/E35),"")</f>
        <v>3.370398343597247</v>
      </c>
    </row>
    <row r="36">
      <c r="A36" s="41" t="n">
        <v>10</v>
      </c>
      <c r="B36" s="62">
        <f>IFERROR(IF(OR(10&gt;B22,F35=""),"",F35),"")</f>
        <v>29590.071796820557</v>
      </c>
      <c r="C36" s="62">
        <f>IFERROR(IF(OR(10&gt;B22,B36=""),"",B36*B21),"")</f>
        <v>2959.0071796820557</v>
      </c>
      <c r="D36" s="62">
        <f>IFERROR(IF(OR(10&gt;B22,B36=""),"",IF(10&lt;=B23,0,MIN(B36,B24-C36))),"")</f>
        <v>29590.071796820248</v>
      </c>
      <c r="E36" s="62">
        <f>IFERROR(IF(C36="","",C36+D36),"")</f>
        <v>32549.078976502304</v>
      </c>
      <c r="F36" s="62">
        <f>IFERROR(IF(D36="","",B36-D36),"")</f>
        <v>3.092281986027956e-10</v>
      </c>
      <c r="G36" s="62">
        <f>IFERROR(IF(E36="","",'3-Year P&amp;L'!$D$40-'3-Year P&amp;L'!$D$45+'3-Year P&amp;L'!$D$35+'3-Year P&amp;L'!$D$36),"")</f>
        <v>109703.36186801933</v>
      </c>
      <c r="H36" s="62">
        <f>IFERROR(IF(OR(E36="",E36=0),"",G36/E36),"")</f>
        <v>3.370398343597247</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6"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20000.0</v>
      </c>
      <c r="C44" s="29" t="n"/>
      <c r="D44" s="29" t="n"/>
      <c r="E44" s="29" t="n"/>
      <c r="F44" s="29" t="n"/>
      <c r="G44" s="29" t="n"/>
      <c r="H44" s="29" t="n"/>
    </row>
    <row r="45">
      <c r="A45" s="29" t="inlineStr">
        <is>
          <t>Year-1 principal repaid</t>
        </is>
      </c>
      <c r="B45" s="41">
        <f>IFERROR(IF(B20="","",IF(D27="",0,D27)),"")</f>
        <v>12549.078976502304</v>
      </c>
      <c r="C45" s="29" t="n"/>
      <c r="D45" s="29" t="n"/>
      <c r="E45" s="29" t="n"/>
      <c r="F45" s="29" t="n"/>
      <c r="G45" s="29" t="n"/>
      <c r="H45" s="29" t="n"/>
    </row>
    <row r="46">
      <c r="A46" s="29" t="inlineStr">
        <is>
          <t>Year-2 interest</t>
        </is>
      </c>
      <c r="B46" s="41">
        <f>IFERROR(IF(B20="","",IF(C28="",0,C28)),"")</f>
        <v>18745.092102349772</v>
      </c>
      <c r="C46" s="29" t="n"/>
      <c r="D46" s="29" t="n"/>
      <c r="E46" s="29" t="n"/>
      <c r="F46" s="29" t="n"/>
      <c r="G46" s="29" t="n"/>
      <c r="H46" s="29" t="n"/>
    </row>
    <row r="47">
      <c r="A47" s="29" t="inlineStr">
        <is>
          <t>Year-2 principal repaid</t>
        </is>
      </c>
      <c r="B47" s="41">
        <f>IFERROR(IF(B20="","",IF(D28="",0,D28)),"")</f>
        <v>13803.986874152532</v>
      </c>
      <c r="C47" s="29" t="n"/>
      <c r="D47" s="29" t="n"/>
      <c r="E47" s="29" t="n"/>
      <c r="F47" s="29" t="n"/>
      <c r="G47" s="29" t="n"/>
      <c r="H47" s="29" t="n"/>
    </row>
    <row r="48">
      <c r="A48" s="29" t="inlineStr">
        <is>
          <t>Year-3 interest</t>
        </is>
      </c>
      <c r="B48" s="41">
        <f>IFERROR(IF(B20="","",IF(C29="",0,C29)),"")</f>
        <v>17364.693414934518</v>
      </c>
      <c r="C48" s="29" t="n"/>
      <c r="D48" s="29" t="n"/>
      <c r="E48" s="29" t="n"/>
      <c r="F48" s="29" t="n"/>
      <c r="G48" s="29" t="n"/>
      <c r="H48" s="29" t="n"/>
    </row>
    <row r="49">
      <c r="A49" s="29" t="inlineStr">
        <is>
          <t>Year-3 principal repaid</t>
        </is>
      </c>
      <c r="B49" s="41">
        <f>IFERROR(IF(B20="","",IF(D29="",0,D29)),"")</f>
        <v>15184.385561567786</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2.617804816406575</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3.0808008058312457</v>
      </c>
      <c r="C52" s="29" t="n"/>
      <c r="D52" s="29" t="n"/>
      <c r="E52" s="29" t="n"/>
      <c r="F52" s="29" t="n"/>
      <c r="G52" s="29" t="n"/>
      <c r="H52" s="29" t="n"/>
    </row>
    <row r="53">
      <c r="A53" s="29" t="inlineStr">
        <is>
          <t>Year-3 DSCR</t>
        </is>
      </c>
      <c r="B53" s="62">
        <f>IFERROR(('3-Year P&amp;L'!$D$40-'3-Year P&amp;L'!$D$45+'3-Year P&amp;L'!$D$35+B48)/(B48+B49),"")</f>
        <v>3.370398343597247</v>
      </c>
      <c r="C53" s="29" t="n"/>
      <c r="D53" s="29" t="n"/>
      <c r="E53" s="29" t="n"/>
      <c r="F53" s="29" t="n"/>
      <c r="G53" s="29" t="n"/>
      <c r="H53" s="29" t="n"/>
    </row>
    <row r="54">
      <c r="A54" s="26" t="inlineStr">
        <is>
          <t>Minimum DSCR across the whole schedule</t>
        </is>
      </c>
      <c r="B54" s="55">
        <f>IFERROR(IF(COUNT(H27:H41)=0,"",MIN(H27:H41)),"")</f>
        <v>2.617804816406575</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Pizza Shop Financial Projections: 3-Year P&amp;L, Cash Flow &amp; Financing · Pizza Shop Business Plan Kit</dc:title>
  <dc:description xmlns:dc="http://purl.org/dc/elements/1.1/">aichef.pro/en/digital-products/pizza-shop-business-plan</dc:description>
  <dc:subject xmlns:dc="http://purl.org/dc/elements/1.1/">Pizza Shop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2026-10-25T20:36:54Z</dcterms:modified>
  <cp:lastModifiedBy>AI Chef Pro</cp:lastModifiedBy>
  <cp:category>AI Chef Pro · Digital products</cp:category>
  <cp:keywords>pizza shop business plan, pizzeria business plan, how to open a pizza shop, pizza shop startup costs, wood fired pizza oven cost, AI Chef Pro</cp:keywords>
</cp:coreProperties>
</file>