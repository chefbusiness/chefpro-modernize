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quipamiento" sheetId="2" state="visible" r:id="rId2"/>
    <sheet xmlns:r="http://schemas.openxmlformats.org/officeDocument/2006/relationships" name="Variante del Formato" sheetId="3" state="visible" r:id="rId3"/>
    <sheet xmlns:r="http://schemas.openxmlformats.org/officeDocument/2006/relationships" name="Proveedores y EUDR" sheetId="4" state="visible" r:id="rId4"/>
    <sheet xmlns:r="http://schemas.openxmlformats.org/officeDocument/2006/relationships" name="Clientes a los que Suministras" sheetId="5" state="visible" r:id="rId5"/>
    <sheet xmlns:r="http://schemas.openxmlformats.org/officeDocument/2006/relationships" name="Contador" sheetId="6" state="visible" r:id="rId6"/>
  </sheets>
  <definedNames>
    <definedName name="_xlnm.Print_Area" localSheetId="0">'Instrucciones'!$A$1:$C$38</definedName>
    <definedName name="_xlnm.Print_Titles" localSheetId="1">'Equipamiento'!$14:$14</definedName>
    <definedName name="_xlnm.Print_Area" localSheetId="1">'Equipamiento'!$A$1:$AA$74</definedName>
    <definedName name="_xlnm.Print_Area" localSheetId="2">'Variante del Formato'!$A$1:$F$54</definedName>
    <definedName name="_xlnm.Print_Titles" localSheetId="3">'Proveedores y EUDR'!$6:$6</definedName>
    <definedName name="_xlnm.Print_Area" localSheetId="3">'Proveedores y EUDR'!$A$1:$P$43</definedName>
    <definedName name="_xlnm.Print_Titles" localSheetId="4">'Clientes a los que Suministras'!$9:$9</definedName>
    <definedName name="_xlnm.Print_Area" localSheetId="4">'Clientes a los que Suministras'!$A$1:$J$42</definedName>
    <definedName name="_xlnm.Print_Area" localSheetId="5">'Contador'!$A$1:$D$40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 €"/>
    <numFmt numFmtId="166" formatCode="yyyy-mm-dd"/>
    <numFmt numFmtId="167" formatCode="dd/mm/yyyy"/>
  </numFmts>
  <fonts count="8">
    <font>
      <name val="Calibri"/>
      <family val="2"/>
      <color theme="1"/>
      <sz val="11"/>
      <scheme val="minor"/>
    </font>
    <font>
      <b val="1"/>
      <color rgb="00FFD700"/>
      <sz val="16"/>
    </font>
    <font>
      <sz val="9"/>
    </font>
    <font>
      <i val="1"/>
      <sz val="9"/>
    </font>
    <font>
      <b val="1"/>
      <color theme="1"/>
      <sz val="11"/>
    </font>
    <font>
      <b val="1"/>
      <sz val="12"/>
    </font>
    <font>
      <b val="1"/>
      <color rgb="00FFFFFF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general" vertical="top" wrapText="1"/>
    </xf>
    <xf numFmtId="0" fontId="0" fillId="2" borderId="0" applyProtection="1" pivotButton="0" quotePrefix="0" xfId="0">
      <protection locked="0" hidden="0"/>
    </xf>
    <xf numFmtId="0" fontId="6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4" fillId="0" borderId="0" pivotButton="0" quotePrefix="0" xfId="0"/>
    <xf numFmtId="164" fontId="0" fillId="2" borderId="0" applyProtection="1" pivotButton="0" quotePrefix="0" xfId="0">
      <protection locked="0" hidden="0"/>
    </xf>
    <xf numFmtId="3" fontId="0" fillId="2" borderId="0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center" vertical="top"/>
      <protection locked="0" hidden="0"/>
    </xf>
    <xf numFmtId="3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  <xf numFmtId="165" fontId="0" fillId="2" borderId="0" applyProtection="1" pivotButton="0" quotePrefix="0" xfId="0">
      <protection locked="0" hidden="0"/>
    </xf>
    <xf numFmtId="3" fontId="0" fillId="2" borderId="0" applyAlignment="1" applyProtection="1" pivotButton="0" quotePrefix="0" xfId="0">
      <alignment horizontal="center" vertical="top"/>
      <protection locked="0" hidden="0"/>
    </xf>
    <xf numFmtId="3" fontId="0" fillId="0" borderId="0" pivotButton="0" quotePrefix="0" xfId="0"/>
    <xf numFmtId="3" fontId="4" fillId="4" borderId="0" pivotButton="0" quotePrefix="0" xfId="0"/>
    <xf numFmtId="165" fontId="4" fillId="4" borderId="0" pivotButton="0" quotePrefix="0" xfId="0"/>
    <xf numFmtId="164" fontId="4" fillId="4" borderId="0" pivotButton="0" quotePrefix="0" xfId="0"/>
    <xf numFmtId="0" fontId="7" fillId="4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3" fontId="7" fillId="4" borderId="0" pivotButton="0" quotePrefix="0" xfId="0"/>
    <xf numFmtId="0" fontId="3" fillId="4" borderId="0" applyAlignment="1" pivotButton="0" quotePrefix="0" xfId="0">
      <alignment horizontal="general" vertical="top" wrapText="1"/>
    </xf>
    <xf numFmtId="167" fontId="0" fillId="2" borderId="0" applyProtection="1" pivotButton="0" quotePrefix="0" xfId="0">
      <protection locked="0" hidden="0"/>
    </xf>
    <xf numFmtId="0" fontId="7" fillId="4" borderId="0" applyAlignment="1" pivotButton="0" quotePrefix="0" xfId="0">
      <alignment vertical="top" wrapText="1"/>
    </xf>
    <xf numFmtId="4" fontId="4" fillId="4" borderId="0" pivotButton="0" quotePrefix="0" xfId="0"/>
    <xf numFmtId="0" fontId="0" fillId="2" borderId="0" applyAlignment="1" applyProtection="1" pivotButton="0" quotePrefix="0" xfId="0">
      <alignment horizontal="general" vertical="top" wrapText="1"/>
      <protection locked="0" hidden="0"/>
    </xf>
    <xf numFmtId="167" fontId="0" fillId="0" borderId="0" pivotButton="0" quotePrefix="0" xfId="0"/>
    <xf numFmtId="167" fontId="4" fillId="4" borderId="0" pivotButton="0" quotePrefix="0" xfId="0"/>
    <xf numFmtId="0" fontId="4" fillId="4" borderId="0" applyAlignment="1" pivotButton="0" quotePrefix="0" xfId="0">
      <alignment vertical="top" wrapText="1"/>
    </xf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595959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AI Chef Pro</author>
  </authors>
  <commentList>
    <comment ref="I15" authorId="0" shapeId="0">
      <text>
        <t>Atemperadoras — Selmi One (12 kg (55 kg/h)) (CHS-41a) · Fuente: Utilcentre, S.L. (distribuidor Selmi/Pavoni en España) · Consultada el 2026-09-12 · https://www.utilcentre.com/temperadora-selmi-one-12kg.html</t>
      </text>
    </comment>
    <comment ref="I16" authorId="0" shapeId="0">
      <text>
        <t>Atemperadoras — Selmi One (12 kg (55 kg/h)) (CHS-41a) · Fuente: Utilcentre, S.L. (distribuidor Selmi/Pavoni en España) · Consultada el 2026-09-12 · https://www.utilcentre.com/temperadora-selmi-one-12kg.html</t>
      </text>
    </comment>
    <comment ref="I17" authorId="0" shapeId="0">
      <text>
        <t>Enrobadoras, bañadoras y dosificación — Enrobadora Selmi R200 Legend (CHS-42a) · Fuente: Utilcentre, S.L. · Consultada el 2026-09-12 · https://www.utilcentre.com/maquinaria-chocolate.html</t>
      </text>
    </comment>
    <comment ref="I18" authorId="0" shapeId="0">
      <text>
        <t>Enrobadoras, bañadoras y dosificación — Placa dosificadora (CHS-42i) · Fuente: Utilcentre, S.L. · Consultada el 2026-09-12 · https://www.utilcentre.com/maquinaria-chocolate.html</t>
      </text>
    </comment>
    <comment ref="I19" authorId="0" shapeId="0">
      <text>
        <t>Atemperadoras — Temperador baño maría digital (22 L) (CHS-41j) · Fuente: Utilcentre, S.L. (distribuidor Selmi/Pavoni en España) · Consultada el 2026-09-12 · https://www.utilcentre.com/maquinaria/chocolate/temperadoras.html</t>
      </text>
    </comment>
    <comment ref="I20" authorId="0" shapeId="0">
      <text>
        <t>Atemperadoras — Mantenedor 1 cubeta digital (—) (CHS-41i) · Fuente: Utilcentre, S.L. (distribuidor Selmi/Pavoni en España) · Consultada el 2026-09-12 · https://www.utilcentre.com/maquinaria/chocolate/temperadoras.html</t>
      </text>
    </comment>
    <comment ref="I21" authorId="0" shapeId="0">
      <text>
        <t>Atemperadoras — Pavoni MINITEMPER (4,5 L (3 kg)) (CHS-41h) · Fuente: Utilcentre, S.L. (distribuidor Selmi/Pavoni en España) · Consultada el 2026-09-12 · https://www.utilcentre.com/maquinaria/chocolate/temperadoras.html</t>
      </text>
    </comment>
    <comment ref="I22" authorId="0" shapeId="0">
      <text>
        <t>Atemperadoras — Pavoni MINITEMPER (4,5 L (3 kg)) (CHS-41h) · Fuente: Utilcentre, S.L. (distribuidor Selmi/Pavoni en España) · Consultada el 2026-09-12 · https://www.utilcentre.com/maquinaria/chocolate/temperadoras.html</t>
      </text>
    </comment>
    <comment ref="I23" authorId="0" shapeId="0">
      <text>
        <t>Vitrina de tienda — refrigeración específica para chocolate (+14/+17 °C) (CHS-43) · Fuente: Equipo H · Consultada el 2026-09-12 · https://www.equipoh.com/vitrinas-expositoras/vitrina-expositora-refrigerada-para-chocolate-docriluc-wb-6-6-r-2824.html</t>
      </text>
    </comment>
    <comment ref="I26" authorId="0" shapeId="0">
      <text>
        <t>Moldes, chocolateras y pequeño material — Moldes de policarbonato Chocolate World (CHS-45a) · Fuente: RestorHome · Consultada el 2026-09-12 · https://www.restorhome.es/471-moldes-bomboneria-Chocolate-World</t>
      </text>
    </comment>
    <comment ref="C27" authorId="0" shapeId="0">
      <text>
        <t>Verificado el 12-09-2026 · Real Decreto 1055/2022 (BOE-A-2022-22690), arts. 2.e), 2.f), 2.j), 15.1 y 28.1 · https://www.boe.es/buscar/act.php?id=BOE-A-2022-22690</t>
      </text>
    </comment>
    <comment ref="C30" authorId="0" shapeId="0">
      <text>
        <t>Verificado el 12-09-2026 · Real Decreto 100/2011, de 28 de enero, por el que se actualiza el catálogo de actividades potencialmente contaminadoras de la atmósfera (BOE-A-2011-1643), texto consolidado · «Última modificación: 23 de diciembre de 2017» · https://www.boe.es/buscar/act.php?id=BOE-A-2011-1643</t>
      </text>
    </comment>
    <comment ref="C31" authorId="0" shapeId="0">
      <text>
        <t>Verificado el 12-09-2026 · Real Decreto 919/2006 (BOE-A-2006-15345), ITC-ICG 07, apartados 3.3 y 4.1 · «Última modificación: 03-09-2025» · https://www.boe.es/buscar/act.php?id=BOE-A-2006-15345</t>
      </text>
    </comment>
    <comment ref="I31" authorId="0" shapeId="0">
      <text>
        <t>Moldes, chocolateras y pequeño material — Chocolatera Ugolini Delice 3 (3 L) (CHS-46a) · Fuente: Equipo H · Consultada el 2026-09-12 · https://www.equipoh.com/chocolateras-196</t>
      </text>
    </comment>
  </commentList>
</comments>
</file>

<file path=xl/comments/comment2.xml><?xml version="1.0" encoding="utf-8"?>
<comments xmlns="http://schemas.openxmlformats.org/spreadsheetml/2006/main">
  <authors>
    <author>AI Chef Pro</author>
  </authors>
  <commentList>
    <comment ref="C7" authorId="0" shapeId="0">
      <text>
        <t>Verificado el 12-09-2026 · Ley 12/2012, de 26 de diciembre, de medidas urgentes de liberalización del comercio y de determinados servicios (BOE-A-2012-15595), texto consolidado · «Última modificación: 29... (Enumerados los 55 grupos del Anexo: 435, 439, 442, 452, 454, 474, 491, 495, 615, 641-647, 651-659, 662, 665,...) · https://www.boe.es/buscar/act.php?id=BOE-A-2012-15595</t>
      </text>
    </comment>
    <comment ref="C30" authorId="0" shapeId="0">
      <text>
        <t>Verificado el 12-09-2026 · Reglamento (UE) 2023/1115 del Parlamento Europeo y del Consejo, de 31 de mayo de 2023 (EUDR) · texto consolidado CELEX:02023R1115-20251226 (versión 26-12-2025, 002.001) (Arts.) · https://eur-lex.europa.eu/legal-content/ES/TXT/HTML/?uri=CELEX:02023R1115-20251226</t>
      </text>
    </comment>
    <comment ref="C34" authorId="0" shapeId="0">
      <text>
        <t>Moldes, chocolateras y pequeño material — Chocolatera Ugolini Delice 3 (3 L) (CHS-46a) · Fuente: Equipo H · Consultada el 2026-09-12 · https://www.equipoh.com/chocolateras-196</t>
      </text>
    </comment>
    <comment ref="C40" authorId="0" shapeId="0">
      <text>
        <t>Verificado el 12-09-2026 · Real Decreto 919/2006 (BOE-A-2006-15345), ITC-ICG 07, apartados 3.3 y 4.1 · «Última modificación: 03-09-2025» · https://www.boe.es/buscar/act.php?id=BOE-A-2006-15345</t>
      </text>
    </comment>
  </commentList>
</comments>
</file>

<file path=xl/comments/comment3.xml><?xml version="1.0" encoding="utf-8"?>
<comments xmlns="http://schemas.openxmlformats.org/spreadsheetml/2006/main">
  <authors>
    <author>AI Chef Pro</author>
  </authors>
  <commentList>
    <comment ref="G6" authorId="0" shapeId="0">
      <text>
        <t>Verificado el 12-09-2026 · Reglamento (UE) 2023/1115 del Parlamento Europeo y del Consejo, de 31 de mayo de 2023 (EUDR) · texto consolidado CELEX:02023R1115-20251226 (versión 26-12-2025, 002.001) (Art. 5.3.a).) · https://eur-lex.europa.eu/legal-content/ES/TXT/HTML/?uri=CELEX:02023R1115-20251226</t>
      </text>
    </comment>
    <comment ref="I6" authorId="0" shapeId="0">
      <text>
        <t>Verificado el 12-09-2026 · Reglamento (UE) 2023/1115 del Parlamento Europeo y del Consejo, de 31 de mayo de 2023 (EUDR) · texto consolidado CELEX:02023R1115-20251226 (versión 26-12-2025, 002.001) (Arts.) · https://eur-lex.europa.eu/legal-content/ES/TXT/HTML/?uri=CELEX:02023R1115-20251226</t>
      </text>
    </comment>
    <comment ref="K6" authorId="0" shapeId="0">
      <text>
        <t>Verificado el 12-09-2026 · Reglamento (UE) 2023/915 de la Comisión, de 25 de abril de 2023, relativo a los límites máximos de determinados contaminantes en los alimentos · texto consolidado CELEX:02023R09... (Anexo I, puntos 5.1.4 y 5.1.5.) · https://eur-lex.europa.eu/legal-content/ES/TXT/HTML/?uri=CELEX:02023R0915-20250101</t>
      </text>
    </comment>
    <comment ref="F26" authorId="0" shapeId="0">
      <text>
        <t>Verificado el 12-09-2026 · Reglamento (UE) 2023/1115 del Parlamento Europeo y del Consejo, de 31 de mayo de 2023 (EUDR) · texto consolidado CELEX:02023R1115-20251226 (versión 26-12-2025, 002.001) (Art. 5.3.a).) · https://eur-lex.europa.eu/legal-content/ES/TXT/HTML/?uri=CELEX:02023R1115-20251226</t>
      </text>
    </comment>
  </commentList>
</comments>
</file>

<file path=xl/comments/comment4.xml><?xml version="1.0" encoding="utf-8"?>
<comments xmlns="http://schemas.openxmlformats.org/spreadsheetml/2006/main">
  <authors>
    <author>AI Chef Pro</author>
  </authors>
  <commentList>
    <comment ref="C6" authorId="0" shapeId="0">
      <text>
        <t>Verificado el 12-09-2026 · Reglamento (UE) 2023/1115 del Parlamento Europeo y del Consejo, de 31 de mayo de 2023 (EUDR) · texto consolidado CELEX:02023R1115-20251226 (versión 26-12-2025, 002.001) (Art. 5.3.a).) · https://eur-lex.europa.eu/legal-content/ES/TXT/HTML/?uri=CELEX:02023R1115-20251226</t>
      </text>
    </comment>
    <comment ref="E26" authorId="0" shapeId="0">
      <text>
        <t>Verificado el 12-09-2026 · Reglamento (UE) 2023/1115 del Parlamento Europeo y del Consejo, de 31 de mayo de 2023 (EUDR) · texto consolidado CELEX:02023R1115-20251226 (versión 26-12-2025, 002.001) (Art. 5.3.a).) · https://eur-lex.europa.eu/legal-content/ES/TXT/HTML/?uri=CELEX:02023R1115-20251226</t>
      </text>
    </comment>
    <comment ref="E27" authorId="0" shapeId="0">
      <text>
        <t>Verificado el 12-09-2026 · Real Decreto 1021/2022 (BOE-A-2022-21681), art. 3 · https://www.boe.es/buscar/act.php?id=BOE-A-2022-21681</t>
      </text>
    </comment>
    <comment ref="A38" authorId="0" shapeId="0">
      <text>
        <t>Verificado el 12-09-2026 · Real Decreto 1021/2022 (BOE-A-2022-21681), arts. 2.2.a), 3.1 y 4.3 · https://www.boe.es/buscar/act.php?id=BOE-A-2022-21681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 ht="26" customHeight="1">
      <c r="A1" s="1" t="inlineStr">
        <is>
          <t>Checklist de equipamiento y proveedores de cacao</t>
        </is>
      </c>
    </row>
    <row r="2">
      <c r="A2" s="2" t="inlineStr">
        <is>
          <t>AI Chef Pro · aichef.pro — Cómo Montar una Chocolatería</t>
        </is>
      </c>
    </row>
    <row r="3">
      <c r="A3" s="3" t="inlineStr">
        <is>
          <t>Para qué sirve: saber qué compras, a quién, a qué precio real, con qué plazo, con qué papeles — y a quién le vendes.</t>
        </is>
      </c>
    </row>
    <row r="4"/>
    <row r="5">
      <c r="A5" s="4" t="inlineStr">
        <is>
          <t>Instrucciones de uso</t>
        </is>
      </c>
    </row>
    <row r="6" ht="64" customHeight="1">
      <c r="A6" s="5" t="inlineStr">
        <is>
          <t>1. Hoja «Equipamiento»: las diecisiete líneas de la dotación, con su precio de referencia y SU BASE FISCAL. Marca el estado, escribe el precio real que negocies (siempre SIN IVA), el proveedor y el plazo que te comprometan por escrito. La hoja te dice cuánto te desvías de la referencia, qué línea marca el plazo crítico y si llegas a la apertura.</t>
        </is>
      </c>
    </row>
    <row r="7" ht="64" customHeight="1">
      <c r="A7" s="5" t="inlineStr">
        <is>
          <t>2. Hoja «Variante del Formato»: si te planteas bean-to-bar o chocolatería de taza y churros. El bean-to-bar va SIN CIFRAS DE MAQUINARIA a propósito -no existe precio público verificado-: lo que hay es la lista de la compra y las cinco preguntas que hay que hacerle al fabricante, con casilla para apuntar quién te ha contestado.</t>
        </is>
      </c>
    </row>
    <row r="8" ht="64" customHeight="1">
      <c r="A8" s="5" t="inlineStr">
        <is>
          <t>3. Hoja «Proveedores y EUDR»: los seis proveedores publicados —cinco con URL comprobada el 12-09-2026 y uno, SelfPackaging, pendiente—, y el árbol que decide qué papeles le tocan a cada uno. Pregúntale a cada proveedor si es operador, operador posterior o comerciante: el número de referencia de su declaración de diligencia debida SÓLO se le pide al primero. Y en las dos últimas columnas, los boletines de cadmio y de HAP.</t>
        </is>
      </c>
    </row>
    <row r="9" ht="64" customHeight="1">
      <c r="A9" s="5" t="inlineStr">
        <is>
          <t>4. Hoja «Clientes a los que Suministras»: la otra mitad del mismo artículo, la que casi nadie conoce. Si vendes a hostelería, a empresas o a otra tienda, tienes que registrar a quién le has vendido qué, y conservar ese registro cinco años. La hoja calcula la fecha hasta la que hay que guardarlo.</t>
        </is>
      </c>
    </row>
    <row r="10" ht="64" customHeight="1">
      <c r="A10" s="5" t="inlineStr">
        <is>
          <t>5. Hoja «Contador»: el avance de la compra en una pantalla, con el presupuesto, lo que llevas gastado y cuántos papeles te faltan.</t>
        </is>
      </c>
    </row>
    <row r="11"/>
    <row r="12">
      <c r="A12" s="6" t="inlineStr">
        <is>
          <t>Celdas verdes = campos editables</t>
        </is>
      </c>
    </row>
    <row r="13"/>
    <row r="14">
      <c r="A14" s="4" t="inlineStr">
        <is>
          <t>Lo que conviene saber antes de empezar</t>
        </is>
      </c>
    </row>
    <row r="15" ht="76" customHeight="1">
      <c r="A15" s="5" t="inlineStr">
        <is>
          <t>LA COLUMNA QUE NO TRAE NINGÚN CHECKLIST DEL MERCADO ES «¿LLEVA IVA?». Seis de las diecisiete líneas vienen de fichas de distribuidor que NO declaran su base fiscal: aquí se tratan como base imponible y se marcan como «no declarada», que es lo honesto. Si mezclas precios con IVA y sin IVA en la misma columna, tu inversión sale un 21 % desviada y no lo ves hasta que llega la primera factura.</t>
        </is>
      </c>
    </row>
    <row r="16" ht="76" customHeight="1">
      <c r="A16" s="5" t="inlineStr">
        <is>
          <t>LOS PLAZOS DE ENTREGA SON SUPUESTOS: ningún distribuidor los publica. Sustitúyelos por el que te comprometan POR ESCRITO en el presupuesto. Son la columna que de verdad mueve la fecha de apertura, y por eso el cronograma del libro «checklist-legal-licencias-y-cacao» te pide que traigas aquí el plazo crítico y te avisa si tu ruta crítica es más corta que él.</t>
        </is>
      </c>
    </row>
    <row r="17" ht="76" customHeight="1">
      <c r="A17" s="5" t="inlineStr">
        <is>
          <t>NO SE PUBLICAN LOS PROVEEDORES SIN VERIFICAR. El research recogió muchos más; aquí entran los seis publicados: cinco con URL comprobada el 12 de septiembre de 2026 y uno (SelfPackaging) pendiente, con su web devolviendo un HTTP 403 ese día. Un directorio con un enlace roto vale menos que uno corto.</t>
        </is>
      </c>
    </row>
    <row r="18" ht="76" customHeight="1">
      <c r="A18" s="5" t="inlineStr">
        <is>
          <t>EL NÚMERO DE LA DDS NO SE LE PIDE A TODO EL MUNDO. El art. 5.3.a) del reglamento de deforestación obliga a guardar los datos de todos tus proveedores, pero los números de referencia de las declaraciones de diligencia debida «únicamente en el caso de que su proveedor sea un operador». Pedírselo a un comerciante es pedirle algo que no tiene.</t>
        </is>
      </c>
    </row>
    <row r="19" ht="76" customHeight="1">
      <c r="A19" s="5" t="inlineStr">
        <is>
          <t>Y LA OTRA MITAD DEL ARTÍCULO OBLIGA A REGISTRAR A TUS CLIENTES. El mismo 5.3, letra b), habla de los operadores posteriores y comerciantes «a los que hayan suministrado los productos pertinentes». Si sirves a la cafetería de al lado, a una empresa o a una tienda gourmet, esa tabla te toca. Se conserva cinco años.</t>
        </is>
      </c>
    </row>
    <row r="20" ht="76" customHeight="1">
      <c r="A20" s="5" t="inlineStr">
        <is>
          <t>ESTE LIBRO NO CALCULA TU INVERSIÓN. Eso lo hace «calculadora-capex-chocolateria.xlsx». Aquí el CAPEX del libro 2 entra como CELDA VERDE que tú copias, con su valor por defecto declarado: en toda la guía no hay una sola fórmula que apunte a otro fichero.</t>
        </is>
      </c>
    </row>
    <row r="21"/>
    <row r="22">
      <c r="A22" s="4" t="inlineStr">
        <is>
          <t>Qué hace este libro y qué hace otro (para no teclear dos veces)</t>
        </is>
      </c>
    </row>
    <row r="23" ht="26" customHeight="1">
      <c r="A23" s="7" t="inlineStr">
        <is>
          <t>Producto o libro</t>
        </is>
      </c>
      <c r="B23" s="7" t="inlineStr">
        <is>
          <t>Qué aporta</t>
        </is>
      </c>
      <c r="C23" s="7" t="inlineStr">
        <is>
          <t>Qué NO hace este libro</t>
        </is>
      </c>
    </row>
    <row r="24" ht="64" customHeight="1">
      <c r="A24" s="8" t="inlineStr">
        <is>
          <t>kit-tareas-chocolateria (12 €)</t>
        </is>
      </c>
      <c r="B24" s="9" t="inlineStr">
        <is>
          <t>Las curvas de templado, las fichas de moldeado y el calendario anual de campañas, ya construidos.</t>
        </is>
      </c>
      <c r="C24" s="9" t="inlineStr">
        <is>
          <t>Este libro decide el obrador que vas a COMPRAR; el kit organiza el que ya tienes montado. Ninguna de sus once plantillas sustituye a esta hoja.</t>
        </is>
      </c>
    </row>
    <row r="25" ht="64" customHeight="1">
      <c r="A25" s="8" t="inlineStr">
        <is>
          <t>calculadora-capex-chocolateria.xlsx (libro 2 de esta guía)</t>
        </is>
      </c>
      <c r="B25" s="9" t="inlineStr">
        <is>
          <t>Los euros de la apertura ordenados en nueve bloques, con su IVA soportado y su calendario de tesorería.</t>
        </is>
      </c>
      <c r="C25" s="9" t="inlineStr">
        <is>
          <t>Aquí se anota lo que de verdad pagas, línea a línea, y se compara con lo que aquel libro presupuestó. La comparación viaja por celda verde, nunca por fórmula entre ficheros.</t>
        </is>
      </c>
    </row>
    <row r="26" ht="64" customHeight="1">
      <c r="A26" s="8" t="inlineStr">
        <is>
          <t>checklist-legal-licencias-y-cacao.xlsx (libro 8 de esta guía)</t>
        </is>
      </c>
      <c r="B26" s="9" t="inlineStr">
        <is>
          <t>El expediente legal, el árbol del EUDR completo y el cronograma de apertura con su ruta crítica.</t>
        </is>
      </c>
      <c r="C26" s="9" t="inlineStr">
        <is>
          <t>Aquí sólo se resuelve el papel EUDR de cada PROVEEDOR y el registro de tus CLIENTES. Tu propio papel en la cadena lo decide el libro 8.</t>
        </is>
      </c>
    </row>
    <row r="27" ht="64" customHeight="1">
      <c r="A27" s="8" t="inlineStr">
        <is>
          <t>sensibilidad-al-precio-del-cacao.xlsx (libro 3 de esta guía)</t>
        </is>
      </c>
      <c r="B27" s="9" t="inlineStr">
        <is>
          <t>El precio de la cobertura y qué pasa cuando el cacao sube.</t>
        </is>
      </c>
      <c r="C27" s="9" t="inlineStr">
        <is>
          <t>Este libro compra MÁQUINAS, no materia prima. El pedido mínimo de cada proveedor sí está aquí, porque es dinero parado en el almacén.</t>
        </is>
      </c>
    </row>
    <row r="28"/>
    <row r="29">
      <c r="A29" s="4" t="inlineStr">
        <is>
          <t>Cada cuánto se usa este libro</t>
        </is>
      </c>
    </row>
    <row r="30" ht="76" customHeight="1">
      <c r="A30" s="5" t="inlineStr">
        <is>
          <t>Cadencia: la hoja «Equipamiento», UNA VEZ A LA SEMANA desde que pides el primer presupuesto hasta que se instala la última máquina. La de proveedores, cada vez que des de alta a uno nuevo, y entera una vez al año para refrescar los papeles del EUDR. La de clientes, CADA VEZ QUE SIRVAS A UNO NUEVO: es un registro, no un listado comercial, y se conserva cinco años.</t>
        </is>
      </c>
    </row>
    <row r="31"/>
    <row r="32" ht="40" customHeight="1">
      <c r="A32" s="5" t="inlineStr">
        <is>
          <t>Frontera con el Kit de Tareas Chocolatería (12 €): si ya lo tienes, sus plantillas organizan el obrador montado. Este libro es el de la COMPRA, y no repite ninguna de ellas.</t>
        </is>
      </c>
    </row>
    <row r="33"/>
    <row r="34" ht="28" customHeight="1">
      <c r="A34" s="5" t="inlineStr">
        <is>
          <t>Para editar la estructura o una celda que no esté en verde: Revisar &gt; Desproteger hoja (no tiene contraseña).</t>
        </is>
      </c>
    </row>
    <row r="35"/>
    <row r="36">
      <c r="A36" s="9" t="inlineStr">
        <is>
          <t>Diseñado por John Guerrero — chef y consultor gastronómico desde 2010, en cocina desde los 17 años.</t>
        </is>
      </c>
    </row>
    <row r="37">
      <c r="A37" s="9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6">
    <mergeCell ref="A6:C6"/>
    <mergeCell ref="A10:C10"/>
    <mergeCell ref="A16:C16"/>
    <mergeCell ref="A32:C32"/>
    <mergeCell ref="A17:C17"/>
    <mergeCell ref="A9:C9"/>
    <mergeCell ref="A7:C7"/>
    <mergeCell ref="A18:C18"/>
    <mergeCell ref="A30:C30"/>
    <mergeCell ref="A34:C34"/>
    <mergeCell ref="A36:C36"/>
    <mergeCell ref="A8:C8"/>
    <mergeCell ref="A19:C19"/>
    <mergeCell ref="A37:C37"/>
    <mergeCell ref="A20:C20"/>
    <mergeCell ref="A15:C15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73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46" customWidth="1" min="3" max="3"/>
    <col width="13" customWidth="1" min="4" max="4"/>
    <col width="24" customWidth="1" min="5" max="5"/>
    <col width="12" customWidth="1" min="6" max="6"/>
    <col width="26" customWidth="1" min="7" max="7"/>
    <col width="11" customWidth="1" min="8" max="8"/>
    <col width="15" customWidth="1" min="9" max="9"/>
    <col width="13" customWidth="1" min="10" max="10"/>
    <col width="11" customWidth="1" min="11" max="11"/>
    <col width="16" customWidth="1" min="12" max="12"/>
    <col width="13" customWidth="1" min="13" max="13"/>
    <col width="13" customWidth="1" min="14" max="14"/>
    <col width="17" customWidth="1" min="15" max="15"/>
    <col width="13" customWidth="1" min="16" max="16"/>
    <col width="26" customWidth="1" min="17" max="17"/>
    <col width="12" customWidth="1" min="18" max="18"/>
    <col width="14" customWidth="1" min="19" max="19"/>
    <col width="13" customWidth="1" min="20" max="20"/>
    <col width="13" customWidth="1" min="21" max="21"/>
    <col width="13" customWidth="1" min="22" max="22"/>
    <col width="13" customWidth="1" min="23" max="23"/>
    <col width="14" customWidth="1" min="24" max="24"/>
    <col width="28" customWidth="1" min="25" max="25"/>
    <col width="22" customWidth="1" min="26" max="26"/>
    <col width="78" customWidth="1" min="27" max="27"/>
    <col width="36" customWidth="1" min="28" max="28"/>
  </cols>
  <sheetData>
    <row r="1" ht="28" customHeight="1">
      <c r="A1" s="1" t="inlineStr">
        <is>
          <t>Equipamiento, Línea a Línea</t>
        </is>
      </c>
    </row>
    <row r="2">
      <c r="A2" t="inlineStr">
        <is>
          <t>AI Chef Pro · aichef.pro — Cómo Montar una Chocolatería</t>
        </is>
      </c>
    </row>
    <row r="3" ht="26" customHeight="1">
      <c r="A3" s="5" t="inlineStr">
        <is>
          <t>Diecisiete líneas. Los precios con id `CHS-*` salen de fichas de distribuidor leídas el 12-09-2026; el resto son supuestos declarados. Cada uno con SU base fiscal: mezclarlas desvía la inversión un 21 %.</t>
        </is>
      </c>
    </row>
    <row r="4"/>
    <row r="5">
      <c r="A5" s="4" t="inlineStr">
        <is>
          <t>Parámetros de esta hoja</t>
        </is>
      </c>
    </row>
    <row r="6" ht="20" customHeight="1">
      <c r="A6" s="7" t="inlineStr">
        <is>
          <t>Parámetro</t>
        </is>
      </c>
      <c r="C6" s="7" t="inlineStr">
        <is>
          <t>Valor</t>
        </is>
      </c>
      <c r="D6" s="7" t="inlineStr">
        <is>
          <t>Nota</t>
        </is>
      </c>
    </row>
    <row r="7" ht="26" customHeight="1">
      <c r="A7" s="10" t="inlineStr">
        <is>
          <t>Tipo de IVA general (%)</t>
        </is>
      </c>
      <c r="C7" s="11" t="n">
        <v>0.21</v>
      </c>
      <c r="D7" s="5" t="inlineStr">
        <is>
          <t>La maquinaria, el mobiliario y el packaging van al tipo general: no hay tipo reducido para el equipamiento de un obrador. Cámbialo aquí y se recalcula toda la columna K.</t>
        </is>
      </c>
    </row>
    <row r="8" ht="26" customHeight="1">
      <c r="A8" s="10" t="inlineStr">
        <is>
          <t>Horquilla del precio de referencia (±%)</t>
        </is>
      </c>
      <c r="C8" s="11" t="n">
        <v>0.25</v>
      </c>
      <c r="D8" s="5" t="inlineStr">
        <is>
          <t>SUPUESTO. Con cuánta amplitud quieres ver el mínimo y el máximo alrededor del precio de referencia. El 25 % es la banda entre lo que pide una ficha web y lo que se cierra con tres presupuestos. Las líneas que se publican COMO RANGO no la usan: llevan el suyo.</t>
        </is>
      </c>
    </row>
    <row r="9" ht="26" customHeight="1">
      <c r="A9" s="10" t="inlineStr">
        <is>
          <t>Umbral de desviación admitida (%)</t>
        </is>
      </c>
      <c r="C9" s="11" t="n">
        <v>0.1</v>
      </c>
      <c r="D9" s="5" t="inlineStr">
        <is>
          <t>SUPUESTO. Por encima de esta desviación contra el CAPEX del libro 2, la fila de CUADRE se pone en rojo: o has comprado de más, o el plan financiero está calculado con una inversión que ya no es la tuya.</t>
        </is>
      </c>
    </row>
    <row r="10" ht="26" customHeight="1">
      <c r="A10" s="10" t="inlineStr">
        <is>
          <t>Semanas que faltan hasta la apertura prevista</t>
        </is>
      </c>
      <c r="C10" s="12" t="n">
        <v>36</v>
      </c>
      <c r="D10" s="5" t="inlineStr">
        <is>
          <t>SUPUESTO. Cuenta desde hoy hasta la fecha que tienes en la cabeza. El cronograma completo, con la ruta crítica del papeleo y de la obra, lo calcula la hoja «Cronograma y Ruta Crítica» del libro 8.</t>
        </is>
      </c>
    </row>
    <row r="11" ht="26" customHeight="1">
      <c r="A11" s="10" t="inlineStr">
        <is>
          <t>Margen de seguridad entre la entrega y la apertura (semanas)</t>
        </is>
      </c>
      <c r="C11" s="12" t="n">
        <v>3</v>
      </c>
      <c r="D11" s="5" t="inlineStr">
        <is>
          <t>SUPUESTO. Lo que necesitas entre que llega la máquina y que abres: montaje, conexión, puesta en marcha y las pruebas de templado. Con menos de dos semanas, el primer ajuste de curva te pilla con la tienda abierta.</t>
        </is>
      </c>
    </row>
    <row r="12"/>
    <row r="13">
      <c r="A13" s="4" t="inlineStr">
        <is>
          <t>La dotación completa, línea a línea</t>
        </is>
      </c>
    </row>
    <row r="14" ht="50" customHeight="1">
      <c r="A14" s="7" t="inlineStr">
        <is>
          <t>Estado</t>
        </is>
      </c>
      <c r="B14" s="7" t="inlineStr">
        <is>
          <t>Nº</t>
        </is>
      </c>
      <c r="C14" s="7" t="inlineStr">
        <is>
          <t>Partida</t>
        </is>
      </c>
      <c r="D14" s="7" t="inlineStr">
        <is>
          <t>Marca</t>
        </is>
      </c>
      <c r="E14" s="7" t="inlineStr">
        <is>
          <t>Modelo</t>
        </is>
      </c>
      <c r="F14" s="7" t="inlineStr">
        <is>
          <t>Categoría</t>
        </is>
      </c>
      <c r="G14" s="7" t="inlineStr">
        <is>
          <t>Bloque de CAPEX</t>
        </is>
      </c>
      <c r="H14" s="7" t="inlineStr">
        <is>
          <t>Prioridad</t>
        </is>
      </c>
      <c r="I14" s="7" t="inlineStr">
        <is>
          <t>Precio de referencia (€)</t>
        </is>
      </c>
      <c r="J14" s="7" t="inlineStr">
        <is>
          <t>¿Lleva IVA?</t>
        </is>
      </c>
      <c r="K14" s="7" t="inlineStr">
        <is>
          <t>Tipo de IVA (%)</t>
        </is>
      </c>
      <c r="L14" s="7" t="inlineStr">
        <is>
          <t>Precio de referencia SIN IVA (€)</t>
        </is>
      </c>
      <c r="M14" s="7" t="inlineStr">
        <is>
          <t>Mínimo (€)</t>
        </is>
      </c>
      <c r="N14" s="7" t="inlineStr">
        <is>
          <t>Máximo (€)</t>
        </is>
      </c>
      <c r="O14" s="7" t="inlineStr">
        <is>
          <t>Precio real negociado (€, sin IVA)</t>
        </is>
      </c>
      <c r="P14" s="7" t="inlineStr">
        <is>
          <t>Desviación sobre la referencia (%)</t>
        </is>
      </c>
      <c r="Q14" s="7" t="inlineStr">
        <is>
          <t>Proveedor</t>
        </is>
      </c>
      <c r="R14" s="7" t="inlineStr">
        <is>
          <t>Plazo de entrega (semanas)</t>
        </is>
      </c>
      <c r="S14" s="7" t="inlineStr">
        <is>
          <t>Margen hasta la apertura (semanas)</t>
        </is>
      </c>
      <c r="T14" s="7" t="inlineStr">
        <is>
          <t>Aux · mínimo publicado del rango</t>
        </is>
      </c>
      <c r="U14" s="7" t="inlineStr">
        <is>
          <t>Aux · máximo publicado del rango</t>
        </is>
      </c>
      <c r="V14" s="7" t="inlineStr">
        <is>
          <t>Aux · plazo de las líneas críticas</t>
        </is>
      </c>
      <c r="W14" s="7" t="inlineStr">
        <is>
          <t>Aux · ¿el plazo se pasa? (1 = sí)</t>
        </is>
      </c>
      <c r="X14" s="7" t="inlineStr">
        <is>
          <t>Aux · real del bloque de templado</t>
        </is>
      </c>
      <c r="Y14" s="7" t="inlineStr">
        <is>
          <t>Cómo se publica el precio</t>
        </is>
      </c>
      <c r="Z14" s="7" t="inlineStr">
        <is>
          <t>Fuente del precio</t>
        </is>
      </c>
      <c r="AA14" s="7" t="inlineStr">
        <is>
          <t>Nota</t>
        </is>
      </c>
      <c r="AB14" s="7" t="inlineStr">
        <is>
          <t>Precio tal como se publica</t>
        </is>
      </c>
    </row>
    <row r="15" ht="40" customHeight="1">
      <c r="A15" s="13" t="inlineStr">
        <is>
          <t>Pendiente</t>
        </is>
      </c>
      <c r="B15" s="14" t="n">
        <v>1</v>
      </c>
      <c r="C15" s="9" t="inlineStr">
        <is>
          <t>Atemperadora continua de sobremesa, 12 kg (55 kg/h)</t>
        </is>
      </c>
      <c r="D15" t="inlineStr">
        <is>
          <t>Selmi</t>
        </is>
      </c>
      <c r="E15" t="inlineStr">
        <is>
          <t>One</t>
        </is>
      </c>
      <c r="F15" t="inlineStr">
        <is>
          <t>Templado</t>
        </is>
      </c>
      <c r="G15" t="inlineStr">
        <is>
          <t>Equipo de templado y moldeado</t>
        </is>
      </c>
      <c r="H15" s="15" t="inlineStr">
        <is>
          <t>Crítico</t>
        </is>
      </c>
      <c r="I15" s="16" t="n">
        <v>8500</v>
      </c>
      <c r="J15" s="15" t="inlineStr">
        <is>
          <t>no declarada</t>
        </is>
      </c>
      <c r="K15" s="17">
        <f>$C$7</f>
        <v>0.21</v>
      </c>
      <c r="L15" s="16">
        <f>IFERROR(IF($I15="","",IF($J15=$E$62,$I15/(1+$K15),$I15)),"")</f>
        <v>8500.0</v>
      </c>
      <c r="M15" s="16">
        <f>IF($L15="","",IF($T15&gt;0,$T15,$L15*(1-$C$8)))</f>
        <v>6375.0</v>
      </c>
      <c r="N15" s="16">
        <f>IF($L15="","",IF($U15&gt;0,$U15,$L15*(1+$C$8)))</f>
        <v>10625.0</v>
      </c>
      <c r="O15" s="18" t="n">
        <v>8500</v>
      </c>
      <c r="P15" s="17">
        <f>IFERROR(IF(OR($O15="",$L15=""),"",$O15/$L15-1),"")</f>
        <v>0.0</v>
      </c>
      <c r="Q15" s="6" t="inlineStr">
        <is>
          <t>Selmi</t>
        </is>
      </c>
      <c r="R15" s="19" t="n">
        <v>10</v>
      </c>
      <c r="S15" s="20">
        <f>IFERROR(IF(OR($R15="",$C$10="",$C$11=""),"",$C$10-$R15-$C$11),"")</f>
        <v>23.0</v>
      </c>
      <c r="T15" s="16" t="n">
        <v>0</v>
      </c>
      <c r="U15" s="16" t="n">
        <v>0</v>
      </c>
      <c r="V15" s="20">
        <f>IF($H15=$C$61,$R15,"")</f>
        <v>10.0</v>
      </c>
      <c r="W15" s="20">
        <f>IF($S15="","",IF($S15&lt;0,1,0))</f>
        <v>0.0</v>
      </c>
      <c r="X15" s="16">
        <f>IF(AND($G15=$G$15,$H15=$C$61),$O15,"")</f>
        <v>8500.0</v>
      </c>
      <c r="Y15" s="9" t="inlineStr">
        <is>
          <t>Precio cerrado</t>
        </is>
      </c>
      <c r="Z15" t="inlineStr">
        <is>
          <t>CHS-41a</t>
        </is>
      </c>
      <c r="AA15" s="9" t="inlineStr">
        <is>
          <t>El corazón del obrador y la decisión 2 del bonus 2. Base de IVA NO declarada: la ficha trae el indicio «/Neto» en la línea de embalaje, que no es confirmable. La escalera completa va de esta a la Cento EX de 100 kg (`CHS-41g`), y la elección la decide los kg/semana que salga en la hoja de capacidad del libro 1.</t>
        </is>
      </c>
      <c r="AB15" s="9" t="inlineStr">
        <is>
          <t>8.500 €</t>
        </is>
      </c>
    </row>
    <row r="16" ht="40" customHeight="1">
      <c r="A16" s="13" t="inlineStr">
        <is>
          <t>Pendiente</t>
        </is>
      </c>
      <c r="B16" s="14" t="n">
        <v>2</v>
      </c>
      <c r="C16" s="9" t="inlineStr">
        <is>
          <t>Embalaje, transporte y puesta en marcha de la atemperadora</t>
        </is>
      </c>
      <c r="D16" t="inlineStr">
        <is>
          <t>Selmi</t>
        </is>
      </c>
      <c r="E16" t="inlineStr">
        <is>
          <t>servicio</t>
        </is>
      </c>
      <c r="F16" t="inlineStr">
        <is>
          <t>Templado</t>
        </is>
      </c>
      <c r="G16" t="inlineStr">
        <is>
          <t>Equipo de templado y moldeado</t>
        </is>
      </c>
      <c r="H16" s="15" t="inlineStr">
        <is>
          <t>Crítico</t>
        </is>
      </c>
      <c r="I16" s="16" t="n">
        <v>1045</v>
      </c>
      <c r="J16" s="15" t="inlineStr">
        <is>
          <t>no declarada</t>
        </is>
      </c>
      <c r="K16" s="17">
        <f>$C$7</f>
        <v>0.21</v>
      </c>
      <c r="L16" s="16">
        <f>IFERROR(IF($I16="","",IF($J16=$E$62,$I16/(1+$K16),$I16)),"")</f>
        <v>1045.0</v>
      </c>
      <c r="M16" s="16">
        <f>IF($L16="","",IF($T16&gt;0,$T16,$L16*(1-$C$8)))</f>
        <v>783.75</v>
      </c>
      <c r="N16" s="16">
        <f>IF($L16="","",IF($U16&gt;0,$U16,$L16*(1+$C$8)))</f>
        <v>1306.25</v>
      </c>
      <c r="O16" s="18" t="n">
        <v>1045</v>
      </c>
      <c r="P16" s="17">
        <f>IFERROR(IF(OR($O16="",$L16=""),"",$O16/$L16-1),"")</f>
        <v>0.0</v>
      </c>
      <c r="Q16" s="6" t="inlineStr">
        <is>
          <t>Selmi</t>
        </is>
      </c>
      <c r="R16" s="19" t="n">
        <v>10</v>
      </c>
      <c r="S16" s="20">
        <f>IFERROR(IF(OR($R16="",$C$10="",$C$11=""),"",$C$10-$R16-$C$11),"")</f>
        <v>23.0</v>
      </c>
      <c r="T16" s="16" t="n">
        <v>0</v>
      </c>
      <c r="U16" s="16" t="n">
        <v>0</v>
      </c>
      <c r="V16" s="20">
        <f>IF($H16=$C$61,$R16,"")</f>
        <v>10.0</v>
      </c>
      <c r="W16" s="20">
        <f>IF($S16="","",IF($S16&lt;0,1,0))</f>
        <v>0.0</v>
      </c>
      <c r="X16" s="16">
        <f>IF(AND($G16=$G$15,$H16=$C$61),$O16,"")</f>
        <v>1045.0</v>
      </c>
      <c r="Y16" s="9" t="inlineStr">
        <is>
          <t>Precio cerrado</t>
        </is>
      </c>
      <c r="Z16" t="inlineStr">
        <is>
          <t>CHS-41a</t>
        </is>
      </c>
      <c r="AA16" s="9" t="inlineStr">
        <is>
          <t>La línea que nadie presupuesta: es el 12 % del precio de la máquina. La ficha la marca «Neto», que es un INDICIO de base sin IVA, no una declaración: por eso va como «no declarada».</t>
        </is>
      </c>
      <c r="AB16" s="9" t="inlineStr">
        <is>
          <t>1.045 €</t>
        </is>
      </c>
    </row>
    <row r="17" ht="40" customHeight="1">
      <c r="A17" s="13" t="inlineStr">
        <is>
          <t>Pendiente</t>
        </is>
      </c>
      <c r="B17" s="14" t="n">
        <v>3</v>
      </c>
      <c r="C17" s="9" t="inlineStr">
        <is>
          <t>Enrobadora de banda, 200 mm</t>
        </is>
      </c>
      <c r="D17" t="inlineStr">
        <is>
          <t>Selmi</t>
        </is>
      </c>
      <c r="E17" t="inlineStr">
        <is>
          <t>R200 Legend</t>
        </is>
      </c>
      <c r="F17" t="inlineStr">
        <is>
          <t>Moldeado</t>
        </is>
      </c>
      <c r="G17" t="inlineStr">
        <is>
          <t>Equipo de templado y moldeado</t>
        </is>
      </c>
      <c r="H17" s="15" t="inlineStr">
        <is>
          <t>Crítico</t>
        </is>
      </c>
      <c r="I17" s="16" t="n">
        <v>6800</v>
      </c>
      <c r="J17" s="15" t="inlineStr">
        <is>
          <t>no declarada</t>
        </is>
      </c>
      <c r="K17" s="17">
        <f>$C$7</f>
        <v>0.21</v>
      </c>
      <c r="L17" s="16">
        <f>IFERROR(IF($I17="","",IF($J17=$E$62,$I17/(1+$K17),$I17)),"")</f>
        <v>6800.0</v>
      </c>
      <c r="M17" s="16">
        <f>IF($L17="","",IF($T17&gt;0,$T17,$L17*(1-$C$8)))</f>
        <v>5100.0</v>
      </c>
      <c r="N17" s="16">
        <f>IF($L17="","",IF($U17&gt;0,$U17,$L17*(1+$C$8)))</f>
        <v>8500.0</v>
      </c>
      <c r="O17" s="18" t="n">
        <v>6800</v>
      </c>
      <c r="P17" s="17">
        <f>IFERROR(IF(OR($O17="",$L17=""),"",$O17/$L17-1),"")</f>
        <v>0.0</v>
      </c>
      <c r="Q17" s="6" t="inlineStr">
        <is>
          <t>Selmi</t>
        </is>
      </c>
      <c r="R17" s="19" t="n">
        <v>10</v>
      </c>
      <c r="S17" s="20">
        <f>IFERROR(IF(OR($R17="",$C$10="",$C$11=""),"",$C$10-$R17-$C$11),"")</f>
        <v>23.0</v>
      </c>
      <c r="T17" s="16" t="n">
        <v>0</v>
      </c>
      <c r="U17" s="16" t="n">
        <v>0</v>
      </c>
      <c r="V17" s="20">
        <f>IF($H17=$C$61,$R17,"")</f>
        <v>10.0</v>
      </c>
      <c r="W17" s="20">
        <f>IF($S17="","",IF($S17&lt;0,1,0))</f>
        <v>0.0</v>
      </c>
      <c r="X17" s="16">
        <f>IF(AND($G17=$G$15,$H17=$C$61),$O17,"")</f>
        <v>6800.0</v>
      </c>
      <c r="Y17" s="9" t="inlineStr">
        <is>
          <t>Precio cerrado</t>
        </is>
      </c>
      <c r="Z17" t="inlineStr">
        <is>
          <t>CHS-42a</t>
        </is>
      </c>
      <c r="AA17" s="9" t="inlineStr">
        <is>
          <t>Base de IVA NO declarada por la ficha del distribuidor.</t>
        </is>
      </c>
      <c r="AB17" s="9" t="inlineStr">
        <is>
          <t>6.800 €</t>
        </is>
      </c>
    </row>
    <row r="18" ht="40" customHeight="1">
      <c r="A18" s="13" t="inlineStr">
        <is>
          <t>Pendiente</t>
        </is>
      </c>
      <c r="B18" s="14" t="n">
        <v>4</v>
      </c>
      <c r="C18" s="9" t="inlineStr">
        <is>
          <t>Placa dosificadora de rellenos</t>
        </is>
      </c>
      <c r="D18" t="inlineStr">
        <is>
          <t>Selmi</t>
        </is>
      </c>
      <c r="E18" t="inlineStr">
        <is>
          <t>placa dosificadora</t>
        </is>
      </c>
      <c r="F18" t="inlineStr">
        <is>
          <t>Moldeado</t>
        </is>
      </c>
      <c r="G18" t="inlineStr">
        <is>
          <t>Equipo de templado y moldeado</t>
        </is>
      </c>
      <c r="H18" s="15" t="inlineStr">
        <is>
          <t>Crítico</t>
        </is>
      </c>
      <c r="I18" s="16" t="n">
        <v>1495</v>
      </c>
      <c r="J18" s="15" t="inlineStr">
        <is>
          <t>no declarada</t>
        </is>
      </c>
      <c r="K18" s="17">
        <f>$C$7</f>
        <v>0.21</v>
      </c>
      <c r="L18" s="16">
        <f>IFERROR(IF($I18="","",IF($J18=$E$62,$I18/(1+$K18),$I18)),"")</f>
        <v>1495.0</v>
      </c>
      <c r="M18" s="16">
        <f>IF($L18="","",IF($T18&gt;0,$T18,$L18*(1-$C$8)))</f>
        <v>1121.25</v>
      </c>
      <c r="N18" s="16">
        <f>IF($L18="","",IF($U18&gt;0,$U18,$L18*(1+$C$8)))</f>
        <v>1868.75</v>
      </c>
      <c r="O18" s="18" t="n">
        <v>1495</v>
      </c>
      <c r="P18" s="17">
        <f>IFERROR(IF(OR($O18="",$L18=""),"",$O18/$L18-1),"")</f>
        <v>0.0</v>
      </c>
      <c r="Q18" s="6" t="inlineStr">
        <is>
          <t>Selmi</t>
        </is>
      </c>
      <c r="R18" s="19" t="n">
        <v>8</v>
      </c>
      <c r="S18" s="20">
        <f>IFERROR(IF(OR($R18="",$C$10="",$C$11=""),"",$C$10-$R18-$C$11),"")</f>
        <v>25.0</v>
      </c>
      <c r="T18" s="16" t="n">
        <v>0</v>
      </c>
      <c r="U18" s="16" t="n">
        <v>0</v>
      </c>
      <c r="V18" s="20">
        <f>IF($H18=$C$61,$R18,"")</f>
        <v>8.0</v>
      </c>
      <c r="W18" s="20">
        <f>IF($S18="","",IF($S18&lt;0,1,0))</f>
        <v>0.0</v>
      </c>
      <c r="X18" s="16">
        <f>IF(AND($G18=$G$15,$H18=$C$61),$O18,"")</f>
        <v>1495.0</v>
      </c>
      <c r="Y18" s="9" t="inlineStr">
        <is>
          <t>Precio cerrado</t>
        </is>
      </c>
      <c r="Z18" t="inlineStr">
        <is>
          <t>CHS-42i</t>
        </is>
      </c>
      <c r="AA18" s="9" t="inlineStr">
        <is>
          <t>Base de IVA NO declarada por la ficha del distribuidor.</t>
        </is>
      </c>
      <c r="AB18" s="9" t="inlineStr">
        <is>
          <t>1.495 €</t>
        </is>
      </c>
    </row>
    <row r="19" ht="40" customHeight="1">
      <c r="A19" s="13" t="inlineStr">
        <is>
          <t>Pendiente</t>
        </is>
      </c>
      <c r="B19" s="14" t="n">
        <v>5</v>
      </c>
      <c r="C19" s="9" t="inlineStr">
        <is>
          <t>Temperador de baño maría digital, 22 L</t>
        </is>
      </c>
      <c r="D19" t="inlineStr">
        <is>
          <t>Utilcentre</t>
        </is>
      </c>
      <c r="E19" t="inlineStr">
        <is>
          <t>baño maría digital 22 L</t>
        </is>
      </c>
      <c r="F19" t="inlineStr">
        <is>
          <t>Templado</t>
        </is>
      </c>
      <c r="G19" t="inlineStr">
        <is>
          <t>Equipo de templado y moldeado</t>
        </is>
      </c>
      <c r="H19" s="15" t="inlineStr">
        <is>
          <t>Crítico</t>
        </is>
      </c>
      <c r="I19" s="16" t="n">
        <v>2650</v>
      </c>
      <c r="J19" s="15" t="inlineStr">
        <is>
          <t>no declarada</t>
        </is>
      </c>
      <c r="K19" s="17">
        <f>$C$7</f>
        <v>0.21</v>
      </c>
      <c r="L19" s="16">
        <f>IFERROR(IF($I19="","",IF($J19=$E$62,$I19/(1+$K19),$I19)),"")</f>
        <v>2650.0</v>
      </c>
      <c r="M19" s="16">
        <f>IF($L19="","",IF($T19&gt;0,$T19,$L19*(1-$C$8)))</f>
        <v>1987.5</v>
      </c>
      <c r="N19" s="16">
        <f>IF($L19="","",IF($U19&gt;0,$U19,$L19*(1+$C$8)))</f>
        <v>3312.5</v>
      </c>
      <c r="O19" s="18" t="n">
        <v>2650</v>
      </c>
      <c r="P19" s="17">
        <f>IFERROR(IF(OR($O19="",$L19=""),"",$O19/$L19-1),"")</f>
        <v>0.0</v>
      </c>
      <c r="Q19" s="6" t="inlineStr">
        <is>
          <t>Utilcentre</t>
        </is>
      </c>
      <c r="R19" s="19" t="n">
        <v>6</v>
      </c>
      <c r="S19" s="20">
        <f>IFERROR(IF(OR($R19="",$C$10="",$C$11=""),"",$C$10-$R19-$C$11),"")</f>
        <v>27.0</v>
      </c>
      <c r="T19" s="16" t="n">
        <v>0</v>
      </c>
      <c r="U19" s="16" t="n">
        <v>0</v>
      </c>
      <c r="V19" s="20">
        <f>IF($H19=$C$61,$R19,"")</f>
        <v>6.0</v>
      </c>
      <c r="W19" s="20">
        <f>IF($S19="","",IF($S19&lt;0,1,0))</f>
        <v>0.0</v>
      </c>
      <c r="X19" s="16">
        <f>IF(AND($G19=$G$15,$H19=$C$61),$O19,"")</f>
        <v>2650.0</v>
      </c>
      <c r="Y19" s="9" t="inlineStr">
        <is>
          <t>Precio cerrado</t>
        </is>
      </c>
      <c r="Z19" t="inlineStr">
        <is>
          <t>CHS-41j</t>
        </is>
      </c>
      <c r="AA19" s="9" t="inlineStr">
        <is>
          <t>Segunda línea de templado: sin ella no se trabajan dos coberturas a la vez.</t>
        </is>
      </c>
      <c r="AB19" s="9" t="inlineStr">
        <is>
          <t>2.650 €</t>
        </is>
      </c>
    </row>
    <row r="20" ht="40" customHeight="1">
      <c r="A20" s="13" t="inlineStr">
        <is>
          <t>Pendiente</t>
        </is>
      </c>
      <c r="B20" s="14" t="n">
        <v>6</v>
      </c>
      <c r="C20" s="9" t="inlineStr">
        <is>
          <t>Mantenedor de 1 cubeta, digital</t>
        </is>
      </c>
      <c r="D20" t="inlineStr">
        <is>
          <t>Utilcentre</t>
        </is>
      </c>
      <c r="E20" t="inlineStr">
        <is>
          <t>mantenedor 1 cubeta digital</t>
        </is>
      </c>
      <c r="F20" t="inlineStr">
        <is>
          <t>Templado</t>
        </is>
      </c>
      <c r="G20" t="inlineStr">
        <is>
          <t>Equipo de templado y moldeado</t>
        </is>
      </c>
      <c r="H20" s="15" t="inlineStr">
        <is>
          <t>Crítico</t>
        </is>
      </c>
      <c r="I20" s="16" t="n">
        <v>570</v>
      </c>
      <c r="J20" s="15" t="inlineStr">
        <is>
          <t>no declarada</t>
        </is>
      </c>
      <c r="K20" s="17">
        <f>$C$7</f>
        <v>0.21</v>
      </c>
      <c r="L20" s="16">
        <f>IFERROR(IF($I20="","",IF($J20=$E$62,$I20/(1+$K20),$I20)),"")</f>
        <v>570.0</v>
      </c>
      <c r="M20" s="16">
        <f>IF($L20="","",IF($T20&gt;0,$T20,$L20*(1-$C$8)))</f>
        <v>427.5</v>
      </c>
      <c r="N20" s="16">
        <f>IF($L20="","",IF($U20&gt;0,$U20,$L20*(1+$C$8)))</f>
        <v>712.5</v>
      </c>
      <c r="O20" s="18" t="n">
        <v>570</v>
      </c>
      <c r="P20" s="17">
        <f>IFERROR(IF(OR($O20="",$L20=""),"",$O20/$L20-1),"")</f>
        <v>0.0</v>
      </c>
      <c r="Q20" s="6" t="inlineStr">
        <is>
          <t>Utilcentre</t>
        </is>
      </c>
      <c r="R20" s="19" t="n">
        <v>5</v>
      </c>
      <c r="S20" s="20">
        <f>IFERROR(IF(OR($R20="",$C$10="",$C$11=""),"",$C$10-$R20-$C$11),"")</f>
        <v>28.0</v>
      </c>
      <c r="T20" s="16" t="n">
        <v>0</v>
      </c>
      <c r="U20" s="16" t="n">
        <v>0</v>
      </c>
      <c r="V20" s="20">
        <f>IF($H20=$C$61,$R20,"")</f>
        <v>5.0</v>
      </c>
      <c r="W20" s="20">
        <f>IF($S20="","",IF($S20&lt;0,1,0))</f>
        <v>0.0</v>
      </c>
      <c r="X20" s="16">
        <f>IF(AND($G20=$G$15,$H20=$C$61),$O20,"")</f>
        <v>570.0</v>
      </c>
      <c r="Y20" s="9" t="inlineStr">
        <is>
          <t>DESDE: suelo comercial, presupuestar</t>
        </is>
      </c>
      <c r="Z20" t="inlineStr">
        <is>
          <t>CHS-41i</t>
        </is>
      </c>
      <c r="AA20" s="9" t="inlineStr">
        <is>
          <t>ES UN «DESDE», NO UN PRECIO (D23b): la ficha publica «desde 570,00 euros» y eso es un SUELO comercial, no el precio de la unidad que vas a comprar. Se presupuesta. Publicarlo como precio cerrado esta prohibido, y el techo del escenario B solo puede subir por su culpa.</t>
        </is>
      </c>
      <c r="AB20" s="9" t="inlineStr">
        <is>
          <t>desde 570 € (suelo, presupuestar)</t>
        </is>
      </c>
    </row>
    <row r="21" ht="40" customHeight="1">
      <c r="A21" s="13" t="inlineStr">
        <is>
          <t>Pendiente</t>
        </is>
      </c>
      <c r="B21" s="14" t="n">
        <v>7</v>
      </c>
      <c r="C21" s="9" t="inlineStr">
        <is>
          <t>Atemperadora de arranque, 4,5 L (unos 3 kg)</t>
        </is>
      </c>
      <c r="D21" t="inlineStr">
        <is>
          <t>Pavoni</t>
        </is>
      </c>
      <c r="E21" t="inlineStr">
        <is>
          <t>MINITEMPER</t>
        </is>
      </c>
      <c r="F21" t="inlineStr">
        <is>
          <t>Templado</t>
        </is>
      </c>
      <c r="G21" t="inlineStr">
        <is>
          <t>Equipo de templado y moldeado</t>
        </is>
      </c>
      <c r="H21" s="15" t="inlineStr">
        <is>
          <t>Opcional</t>
        </is>
      </c>
      <c r="I21" s="16" t="n">
        <v>1960</v>
      </c>
      <c r="J21" s="15" t="inlineStr">
        <is>
          <t>no declarada</t>
        </is>
      </c>
      <c r="K21" s="17">
        <f>$C$7</f>
        <v>0.21</v>
      </c>
      <c r="L21" s="16">
        <f>IFERROR(IF($I21="","",IF($J21=$E$62,$I21/(1+$K21),$I21)),"")</f>
        <v>1960.0</v>
      </c>
      <c r="M21" s="16">
        <f>IF($L21="","",IF($T21&gt;0,$T21,$L21*(1-$C$8)))</f>
        <v>1470.0</v>
      </c>
      <c r="N21" s="16">
        <f>IF($L21="","",IF($U21&gt;0,$U21,$L21*(1+$C$8)))</f>
        <v>2450.0</v>
      </c>
      <c r="O21" s="18" t="n">
        <v>1960</v>
      </c>
      <c r="P21" s="17">
        <f>IFERROR(IF(OR($O21="",$L21=""),"",$O21/$L21-1),"")</f>
        <v>0.0</v>
      </c>
      <c r="Q21" s="6" t="inlineStr">
        <is>
          <t>Pavoni</t>
        </is>
      </c>
      <c r="R21" s="19" t="n">
        <v>4</v>
      </c>
      <c r="S21" s="20">
        <f>IFERROR(IF(OR($R21="",$C$10="",$C$11=""),"",$C$10-$R21-$C$11),"")</f>
        <v>29.0</v>
      </c>
      <c r="T21" s="16" t="n">
        <v>0</v>
      </c>
      <c r="U21" s="16" t="n">
        <v>0</v>
      </c>
      <c r="V21" s="20">
        <f>IF($H21=$C$61,$R21,"")</f>
        <v/>
      </c>
      <c r="W21" s="20">
        <f>IF($S21="","",IF($S21&lt;0,1,0))</f>
        <v>0.0</v>
      </c>
      <c r="X21" s="16">
        <f>IF(AND($G21=$G$15,$H21=$C$61),$O21,"")</f>
        <v/>
      </c>
      <c r="Y21" s="9" t="inlineStr">
        <is>
          <t>Precio cerrado</t>
        </is>
      </c>
      <c r="Z21" t="inlineStr">
        <is>
          <t>CHS-41h</t>
        </is>
      </c>
      <c r="AA21" s="9" t="inlineStr">
        <is>
          <t>NO esta en la dotación de La Almendra: es la máquina del ESCENARIO B, el arranque mínimo, y aparece para que el lector vea la escalera. Cubeta adicional, 165,30 euros (`CHS-41h`).</t>
        </is>
      </c>
      <c r="AB21" s="9" t="inlineStr">
        <is>
          <t>1.960 €</t>
        </is>
      </c>
    </row>
    <row r="22" ht="40" customHeight="1">
      <c r="A22" s="13" t="inlineStr">
        <is>
          <t>Pendiente</t>
        </is>
      </c>
      <c r="B22" s="14" t="n">
        <v>8</v>
      </c>
      <c r="C22" s="9" t="inlineStr">
        <is>
          <t>Cubeta adicional para la atemperadora de arranque</t>
        </is>
      </c>
      <c r="D22" t="inlineStr">
        <is>
          <t>Pavoni</t>
        </is>
      </c>
      <c r="E22" t="inlineStr">
        <is>
          <t>cubeta MINITEMPER</t>
        </is>
      </c>
      <c r="F22" t="inlineStr">
        <is>
          <t>Templado</t>
        </is>
      </c>
      <c r="G22" t="inlineStr">
        <is>
          <t>Equipo de templado y moldeado</t>
        </is>
      </c>
      <c r="H22" s="15" t="inlineStr">
        <is>
          <t>Opcional</t>
        </is>
      </c>
      <c r="I22" s="16" t="n">
        <v>165.3</v>
      </c>
      <c r="J22" s="15" t="inlineStr">
        <is>
          <t>no declarada</t>
        </is>
      </c>
      <c r="K22" s="17">
        <f>$C$7</f>
        <v>0.21</v>
      </c>
      <c r="L22" s="16">
        <f>IFERROR(IF($I22="","",IF($J22=$E$62,$I22/(1+$K22),$I22)),"")</f>
        <v>165.3</v>
      </c>
      <c r="M22" s="16">
        <f>IF($L22="","",IF($T22&gt;0,$T22,$L22*(1-$C$8)))</f>
        <v>123.97500000000001</v>
      </c>
      <c r="N22" s="16">
        <f>IF($L22="","",IF($U22&gt;0,$U22,$L22*(1+$C$8)))</f>
        <v>206.625</v>
      </c>
      <c r="O22" s="18" t="n">
        <v>165.3</v>
      </c>
      <c r="P22" s="17">
        <f>IFERROR(IF(OR($O22="",$L22=""),"",$O22/$L22-1),"")</f>
        <v>0.0</v>
      </c>
      <c r="Q22" s="6" t="inlineStr">
        <is>
          <t>Pavoni</t>
        </is>
      </c>
      <c r="R22" s="19" t="n">
        <v>4</v>
      </c>
      <c r="S22" s="20">
        <f>IFERROR(IF(OR($R22="",$C$10="",$C$11=""),"",$C$10-$R22-$C$11),"")</f>
        <v>29.0</v>
      </c>
      <c r="T22" s="16" t="n">
        <v>0</v>
      </c>
      <c r="U22" s="16" t="n">
        <v>0</v>
      </c>
      <c r="V22" s="20">
        <f>IF($H22=$C$61,$R22,"")</f>
        <v/>
      </c>
      <c r="W22" s="20">
        <f>IF($S22="","",IF($S22&lt;0,1,0))</f>
        <v>0.0</v>
      </c>
      <c r="X22" s="16">
        <f>IF(AND($G22=$G$15,$H22=$C$61),$O22,"")</f>
        <v/>
      </c>
      <c r="Y22" s="9" t="inlineStr">
        <is>
          <t>Precio cerrado</t>
        </is>
      </c>
      <c r="Z22" t="inlineStr">
        <is>
          <t>CHS-41h</t>
        </is>
      </c>
      <c r="AA22" s="9" t="inlineStr">
        <is>
          <t>Accesorio del escenario B.</t>
        </is>
      </c>
      <c r="AB22" s="9" t="inlineStr">
        <is>
          <t>165,30 €</t>
        </is>
      </c>
    </row>
    <row r="23" ht="40" customHeight="1">
      <c r="A23" s="13" t="inlineStr">
        <is>
          <t>Pendiente</t>
        </is>
      </c>
      <c r="B23" s="14" t="n">
        <v>9</v>
      </c>
      <c r="C23" s="9" t="inlineStr">
        <is>
          <t>Vitrina refrigerada específica para chocolate</t>
        </is>
      </c>
      <c r="D23" t="inlineStr">
        <is>
          <t>Docriluc</t>
        </is>
      </c>
      <c r="E23" t="inlineStr">
        <is>
          <t>WB-6-6-R</t>
        </is>
      </c>
      <c r="F23" t="inlineStr">
        <is>
          <t>Frío</t>
        </is>
      </c>
      <c r="G23" t="inlineStr">
        <is>
          <t>Frío</t>
        </is>
      </c>
      <c r="H23" s="15" t="inlineStr">
        <is>
          <t>Crítico</t>
        </is>
      </c>
      <c r="I23" s="16" t="n">
        <v>2684.99</v>
      </c>
      <c r="J23" s="15" t="inlineStr">
        <is>
          <t>sin IVA</t>
        </is>
      </c>
      <c r="K23" s="17">
        <f>$C$7</f>
        <v>0.21</v>
      </c>
      <c r="L23" s="16">
        <f>IFERROR(IF($I23="","",IF($J23=$E$62,$I23/(1+$K23),$I23)),"")</f>
        <v>2684.99</v>
      </c>
      <c r="M23" s="16">
        <f>IF($L23="","",IF($T23&gt;0,$T23,$L23*(1-$C$8)))</f>
        <v>2013.7424999999998</v>
      </c>
      <c r="N23" s="16">
        <f>IF($L23="","",IF($U23&gt;0,$U23,$L23*(1+$C$8)))</f>
        <v>3356.2374999999997</v>
      </c>
      <c r="O23" s="18" t="n">
        <v>2684.99</v>
      </c>
      <c r="P23" s="17">
        <f>IFERROR(IF(OR($O23="",$L23=""),"",$O23/$L23-1),"")</f>
        <v>0.0</v>
      </c>
      <c r="Q23" s="6" t="inlineStr">
        <is>
          <t>Docriluc</t>
        </is>
      </c>
      <c r="R23" s="19" t="n">
        <v>7</v>
      </c>
      <c r="S23" s="20">
        <f>IFERROR(IF(OR($R23="",$C$10="",$C$11=""),"",$C$10-$R23-$C$11),"")</f>
        <v>26.0</v>
      </c>
      <c r="T23" s="16" t="n">
        <v>0</v>
      </c>
      <c r="U23" s="16" t="n">
        <v>0</v>
      </c>
      <c r="V23" s="20">
        <f>IF($H23=$C$61,$R23,"")</f>
        <v>7.0</v>
      </c>
      <c r="W23" s="20">
        <f>IF($S23="","",IF($S23&lt;0,1,0))</f>
        <v>0.0</v>
      </c>
      <c r="X23" s="16">
        <f>IF(AND($G23=$G$15,$H23=$C$61),$O23,"")</f>
        <v/>
      </c>
      <c r="Y23" s="9" t="inlineStr">
        <is>
          <t>Precio cerrado</t>
        </is>
      </c>
      <c r="Z23" t="inlineStr">
        <is>
          <t>CHS-43</t>
        </is>
      </c>
      <c r="AA23" s="9" t="inlineStr">
        <is>
          <t>600x730x1380 mm. RANGO DE TRABAJO DEL EQUIPO: +14 a +17 °C, con base SIN IVA declarada literalmente por la ficha. NO son los +2/+4 °C de una vitrina de pastelería, que arruina el bombón por condensación, sugar bloom y perdida de brillo. El OBJETIVO OPERATIVO es otra cosa y lo pone el kit: 16-18 °C y menos del 55 % de humedad. El semáforo del libro 5 solo avisa por encima de 20 °C, y queda PROHIBIDO uno que ponga en rojo los 16-18 del propio kit. Precio de oferta (antes 3.487,00 euros): esta FECHADO el 12-09-2026 y puede caducar.</t>
        </is>
      </c>
      <c r="AB23" s="9" t="inlineStr">
        <is>
          <t>2.684,99 €</t>
        </is>
      </c>
    </row>
    <row r="24" ht="40" customHeight="1">
      <c r="A24" s="13" t="inlineStr">
        <is>
          <t>Pendiente</t>
        </is>
      </c>
      <c r="B24" s="14" t="n">
        <v>10</v>
      </c>
      <c r="C24" s="9" t="inlineStr">
        <is>
          <t>Cámara climatizada de chocolate, unos 6 m²</t>
        </is>
      </c>
      <c r="D24" t="inlineStr"/>
      <c r="E24" t="inlineStr"/>
      <c r="F24" t="inlineStr">
        <is>
          <t>Frío</t>
        </is>
      </c>
      <c r="G24" t="inlineStr">
        <is>
          <t>Frío</t>
        </is>
      </c>
      <c r="H24" s="15" t="inlineStr">
        <is>
          <t>Crítico</t>
        </is>
      </c>
      <c r="I24" s="16" t="n">
        <v>6400</v>
      </c>
      <c r="J24" s="15" t="inlineStr">
        <is>
          <t>sin IVA</t>
        </is>
      </c>
      <c r="K24" s="17">
        <f>$C$7</f>
        <v>0.21</v>
      </c>
      <c r="L24" s="16">
        <f>IFERROR(IF($I24="","",IF($J24=$E$62,$I24/(1+$K24),$I24)),"")</f>
        <v>6400.0</v>
      </c>
      <c r="M24" s="16">
        <f>IF($L24="","",IF($T24&gt;0,$T24,$L24*(1-$C$8)))</f>
        <v>4800.0</v>
      </c>
      <c r="N24" s="16">
        <f>IF($L24="","",IF($U24&gt;0,$U24,$L24*(1+$C$8)))</f>
        <v>8000.0</v>
      </c>
      <c r="O24" s="18" t="n">
        <v>6400</v>
      </c>
      <c r="P24" s="17">
        <f>IFERROR(IF(OR($O24="",$L24=""),"",$O24/$L24-1),"")</f>
        <v>0.0</v>
      </c>
      <c r="Q24" s="6" t="inlineStr">
        <is>
          <t>Pendiente: pide tres presupuestos</t>
        </is>
      </c>
      <c r="R24" s="19" t="n">
        <v>8</v>
      </c>
      <c r="S24" s="20">
        <f>IFERROR(IF(OR($R24="",$C$10="",$C$11=""),"",$C$10-$R24-$C$11),"")</f>
        <v>25.0</v>
      </c>
      <c r="T24" s="16" t="n">
        <v>0</v>
      </c>
      <c r="U24" s="16" t="n">
        <v>0</v>
      </c>
      <c r="V24" s="20">
        <f>IF($H24=$C$61,$R24,"")</f>
        <v>8.0</v>
      </c>
      <c r="W24" s="20">
        <f>IF($S24="","",IF($S24&lt;0,1,0))</f>
        <v>0.0</v>
      </c>
      <c r="X24" s="16">
        <f>IF(AND($G24=$G$15,$H24=$C$61),$O24,"")</f>
        <v/>
      </c>
      <c r="Y24" s="9" t="inlineStr">
        <is>
          <t>SUPUESTO declarado</t>
        </is>
      </c>
      <c r="Z24" t="inlineStr">
        <is>
          <t>supuesto</t>
        </is>
      </c>
      <c r="AA24" s="9" t="inlineStr">
        <is>
          <t>SUPUESTO declarado: ninguna fuente del research publica el precio de una cámara de chocolate. Celda verde con valor por defecto. No es una nevera: trabaja a 15-18 °C y 50-60 % de humedad, y ese control de HUMEDAD es lo que la encarece frente a una cámara de pastelería.</t>
        </is>
      </c>
      <c r="AB24" s="9" t="inlineStr">
        <is>
          <t>6.400 €</t>
        </is>
      </c>
    </row>
    <row r="25" ht="40" customHeight="1">
      <c r="A25" s="13" t="inlineStr">
        <is>
          <t>Pendiente</t>
        </is>
      </c>
      <c r="B25" s="14" t="n">
        <v>11</v>
      </c>
      <c r="C25" s="9" t="inlineStr">
        <is>
          <t>Nevera de rellenos y ganaches</t>
        </is>
      </c>
      <c r="D25" t="inlineStr"/>
      <c r="E25" t="inlineStr"/>
      <c r="F25" t="inlineStr">
        <is>
          <t>Frío</t>
        </is>
      </c>
      <c r="G25" t="inlineStr">
        <is>
          <t>Frío</t>
        </is>
      </c>
      <c r="H25" s="15" t="inlineStr">
        <is>
          <t>Crítico</t>
        </is>
      </c>
      <c r="I25" s="16" t="n">
        <v>1450</v>
      </c>
      <c r="J25" s="15" t="inlineStr">
        <is>
          <t>sin IVA</t>
        </is>
      </c>
      <c r="K25" s="17">
        <f>$C$7</f>
        <v>0.21</v>
      </c>
      <c r="L25" s="16">
        <f>IFERROR(IF($I25="","",IF($J25=$E$62,$I25/(1+$K25),$I25)),"")</f>
        <v>1450.0</v>
      </c>
      <c r="M25" s="16">
        <f>IF($L25="","",IF($T25&gt;0,$T25,$L25*(1-$C$8)))</f>
        <v>1087.5</v>
      </c>
      <c r="N25" s="16">
        <f>IF($L25="","",IF($U25&gt;0,$U25,$L25*(1+$C$8)))</f>
        <v>1812.5</v>
      </c>
      <c r="O25" s="18" t="n">
        <v>1450</v>
      </c>
      <c r="P25" s="17">
        <f>IFERROR(IF(OR($O25="",$L25=""),"",$O25/$L25-1),"")</f>
        <v>0.0</v>
      </c>
      <c r="Q25" s="6" t="inlineStr">
        <is>
          <t>Pendiente: pide tres presupuestos</t>
        </is>
      </c>
      <c r="R25" s="19" t="n">
        <v>5</v>
      </c>
      <c r="S25" s="20">
        <f>IFERROR(IF(OR($R25="",$C$10="",$C$11=""),"",$C$10-$R25-$C$11),"")</f>
        <v>28.0</v>
      </c>
      <c r="T25" s="16" t="n">
        <v>0</v>
      </c>
      <c r="U25" s="16" t="n">
        <v>0</v>
      </c>
      <c r="V25" s="20">
        <f>IF($H25=$C$61,$R25,"")</f>
        <v>5.0</v>
      </c>
      <c r="W25" s="20">
        <f>IF($S25="","",IF($S25&lt;0,1,0))</f>
        <v>0.0</v>
      </c>
      <c r="X25" s="16">
        <f>IF(AND($G25=$G$15,$H25=$C$61),$O25,"")</f>
        <v/>
      </c>
      <c r="Y25" s="9" t="inlineStr">
        <is>
          <t>SUPUESTO declarado</t>
        </is>
      </c>
      <c r="Z25" t="inlineStr">
        <is>
          <t>supuesto</t>
        </is>
      </c>
      <c r="AA25" s="9" t="inlineStr">
        <is>
          <t>SUPUESTO. Es la del RELLENO, a 0-4 °C, no la del bombón acabado. Confundirlas es el error de método que la SPEC persigue.</t>
        </is>
      </c>
      <c r="AB25" s="9" t="inlineStr">
        <is>
          <t>1.450 €</t>
        </is>
      </c>
    </row>
    <row r="26" ht="40" customHeight="1">
      <c r="A26" s="13" t="inlineStr">
        <is>
          <t>Pendiente</t>
        </is>
      </c>
      <c r="B26" s="14" t="n">
        <v>12</v>
      </c>
      <c r="C26" s="9" t="inlineStr">
        <is>
          <t>Moldes de policarbonato para bombonería (24 unidades)</t>
        </is>
      </c>
      <c r="D26" t="inlineStr">
        <is>
          <t>Chocolate World</t>
        </is>
      </c>
      <c r="E26" t="inlineStr">
        <is>
          <t>varios (CF0246, CW12064, CW1000L07)</t>
        </is>
      </c>
      <c r="F26" t="inlineStr">
        <is>
          <t>Moldes</t>
        </is>
      </c>
      <c r="G26" t="inlineStr">
        <is>
          <t>Packaging y moldes</t>
        </is>
      </c>
      <c r="H26" s="15" t="inlineStr">
        <is>
          <t>Crítico</t>
        </is>
      </c>
      <c r="I26" s="16" t="n">
        <v>804.36</v>
      </c>
      <c r="J26" s="15" t="inlineStr">
        <is>
          <t>no declarada</t>
        </is>
      </c>
      <c r="K26" s="17">
        <f>$C$7</f>
        <v>0.21</v>
      </c>
      <c r="L26" s="16">
        <f>IFERROR(IF($I26="","",IF($J26=$E$62,$I26/(1+$K26),$I26)),"")</f>
        <v>804.36</v>
      </c>
      <c r="M26" s="16">
        <f>IF($L26="","",IF($T26&gt;0,$T26,$L26*(1-$C$8)))</f>
        <v>580.8</v>
      </c>
      <c r="N26" s="16">
        <f>IF($L26="","",IF($U26&gt;0,$U26,$L26*(1+$C$8)))</f>
        <v>1027.92</v>
      </c>
      <c r="O26" s="18" t="n">
        <v>804.36</v>
      </c>
      <c r="P26" s="17">
        <f>IFERROR(IF(OR($O26="",$L26=""),"",$O26/$L26-1),"")</f>
        <v>0.0</v>
      </c>
      <c r="Q26" s="6" t="inlineStr">
        <is>
          <t>Chocolate World</t>
        </is>
      </c>
      <c r="R26" s="19" t="n">
        <v>4</v>
      </c>
      <c r="S26" s="20">
        <f>IFERROR(IF(OR($R26="",$C$10="",$C$11=""),"",$C$10-$R26-$C$11),"")</f>
        <v>29.0</v>
      </c>
      <c r="T26" s="16" t="n">
        <v>580.8</v>
      </c>
      <c r="U26" s="16" t="n">
        <v>1027.92</v>
      </c>
      <c r="V26" s="20">
        <f>IF($H26=$C$61,$R26,"")</f>
        <v>4.0</v>
      </c>
      <c r="W26" s="20">
        <f>IF($S26="","",IF($S26&lt;0,1,0))</f>
        <v>0.0</v>
      </c>
      <c r="X26" s="16">
        <f>IF(AND($G26=$G$15,$H26=$C$61),$O26,"")</f>
        <v/>
      </c>
      <c r="Y26" s="9" t="inlineStr">
        <is>
          <t>RANGO publicado (no es un precio)</t>
        </is>
      </c>
      <c r="Z26" t="inlineStr">
        <is>
          <t>CHS-45a</t>
        </is>
      </c>
      <c r="AA26" s="9" t="inlineStr">
        <is>
          <t>SE PUBLICA COMO RANGO (D23a). El único dato medido es 24,20-42,83 euros/ud (`CHS-45a`): 24 moldes valen entre 580,80 y 1.027,92 euros. El valor por defecto (804,36) es el punto medio del rango, y es SUPUESTO. Escribir una multiplicación con un precio unitario elegido a ojo esta prohibido. Y los moldes de policarbonato NO pagan el impuesto al plastico: no están sujetos por el art. 73.d) de la Ley 7/2022 (`CHN-62c`), porque no se entregan junto con la mercancía.</t>
        </is>
      </c>
      <c r="AB26" s="9" t="inlineStr">
        <is>
          <t>580,80 - 1.027,92 € (RANGO, no es un precio)</t>
        </is>
      </c>
    </row>
    <row r="27" ht="40" customHeight="1">
      <c r="A27" s="13" t="inlineStr">
        <is>
          <t>Pendiente</t>
        </is>
      </c>
      <c r="B27" s="14" t="n">
        <v>13</v>
      </c>
      <c r="C27" s="9" t="inlineStr">
        <is>
          <t>Primer pedido de packaging: cajas, estuches, cintas y etiquetas</t>
        </is>
      </c>
      <c r="D27" t="inlineStr"/>
      <c r="E27" t="inlineStr"/>
      <c r="F27" t="inlineStr">
        <is>
          <t>Packaging</t>
        </is>
      </c>
      <c r="G27" t="inlineStr">
        <is>
          <t>Packaging y moldes</t>
        </is>
      </c>
      <c r="H27" s="15" t="inlineStr">
        <is>
          <t>Crítico</t>
        </is>
      </c>
      <c r="I27" s="16" t="n">
        <v>2200</v>
      </c>
      <c r="J27" s="15" t="inlineStr">
        <is>
          <t>sin IVA</t>
        </is>
      </c>
      <c r="K27" s="17">
        <f>$C$7</f>
        <v>0.21</v>
      </c>
      <c r="L27" s="16">
        <f>IFERROR(IF($I27="","",IF($J27=$E$62,$I27/(1+$K27),$I27)),"")</f>
        <v>2200.0</v>
      </c>
      <c r="M27" s="16">
        <f>IF($L27="","",IF($T27&gt;0,$T27,$L27*(1-$C$8)))</f>
        <v>1650.0</v>
      </c>
      <c r="N27" s="16">
        <f>IF($L27="","",IF($U27&gt;0,$U27,$L27*(1+$C$8)))</f>
        <v>2750.0</v>
      </c>
      <c r="O27" s="18" t="n">
        <v>2200</v>
      </c>
      <c r="P27" s="17">
        <f>IFERROR(IF(OR($O27="",$L27=""),"",$O27/$L27-1),"")</f>
        <v>0.0</v>
      </c>
      <c r="Q27" s="6" t="inlineStr">
        <is>
          <t>Pendiente: pide tres presupuestos</t>
        </is>
      </c>
      <c r="R27" s="19" t="n">
        <v>5</v>
      </c>
      <c r="S27" s="20">
        <f>IFERROR(IF(OR($R27="",$C$10="",$C$11=""),"",$C$10-$R27-$C$11),"")</f>
        <v>28.0</v>
      </c>
      <c r="T27" s="16" t="n">
        <v>0</v>
      </c>
      <c r="U27" s="16" t="n">
        <v>0</v>
      </c>
      <c r="V27" s="20">
        <f>IF($H27=$C$61,$R27,"")</f>
        <v>5.0</v>
      </c>
      <c r="W27" s="20">
        <f>IF($S27="","",IF($S27&lt;0,1,0))</f>
        <v>0.0</v>
      </c>
      <c r="X27" s="16">
        <f>IF(AND($G27=$G$15,$H27=$C$61),$O27,"")</f>
        <v/>
      </c>
      <c r="Y27" s="9" t="inlineStr">
        <is>
          <t>SUPUESTO declarado</t>
        </is>
      </c>
      <c r="Z27" t="inlineStr">
        <is>
          <t>supuesto</t>
        </is>
      </c>
      <c r="AA27" s="9" t="inlineStr">
        <is>
          <t>SUPUESTO: la web del proveedor de packaging verificado devolvió HTTP 403 y no publica precio (`CHS-54`). En bombonería la caja ES el producto en campana, y el personalizado obliga a pedidos grandes: es dinero parado en el almacén. Si lo compras fuera de España, mira el contador de plastico del libro 2 (`PLASTICO`).</t>
        </is>
      </c>
      <c r="AB27" s="9" t="inlineStr">
        <is>
          <t>2.200 €</t>
        </is>
      </c>
    </row>
    <row r="28" ht="40" customHeight="1">
      <c r="A28" s="13" t="inlineStr">
        <is>
          <t>Pendiente</t>
        </is>
      </c>
      <c r="B28" s="14" t="n">
        <v>14</v>
      </c>
      <c r="C28" s="9" t="inlineStr">
        <is>
          <t>Mobiliario de tienda, mostrador y estantería</t>
        </is>
      </c>
      <c r="D28" t="inlineStr"/>
      <c r="E28" t="inlineStr"/>
      <c r="F28" t="inlineStr">
        <is>
          <t>Tienda</t>
        </is>
      </c>
      <c r="G28" t="inlineStr">
        <is>
          <t>Mobiliario y tienda</t>
        </is>
      </c>
      <c r="H28" s="15" t="inlineStr">
        <is>
          <t>Crítico</t>
        </is>
      </c>
      <c r="I28" s="16" t="n">
        <v>6900</v>
      </c>
      <c r="J28" s="15" t="inlineStr">
        <is>
          <t>sin IVA</t>
        </is>
      </c>
      <c r="K28" s="17">
        <f>$C$7</f>
        <v>0.21</v>
      </c>
      <c r="L28" s="16">
        <f>IFERROR(IF($I28="","",IF($J28=$E$62,$I28/(1+$K28),$I28)),"")</f>
        <v>6900.0</v>
      </c>
      <c r="M28" s="16">
        <f>IF($L28="","",IF($T28&gt;0,$T28,$L28*(1-$C$8)))</f>
        <v>5175.0</v>
      </c>
      <c r="N28" s="16">
        <f>IF($L28="","",IF($U28&gt;0,$U28,$L28*(1+$C$8)))</f>
        <v>8625.0</v>
      </c>
      <c r="O28" s="18" t="n">
        <v>6900</v>
      </c>
      <c r="P28" s="17">
        <f>IFERROR(IF(OR($O28="",$L28=""),"",$O28/$L28-1),"")</f>
        <v>0.0</v>
      </c>
      <c r="Q28" s="6" t="inlineStr">
        <is>
          <t>Pendiente: pide tres presupuestos</t>
        </is>
      </c>
      <c r="R28" s="19" t="n">
        <v>6</v>
      </c>
      <c r="S28" s="20">
        <f>IFERROR(IF(OR($R28="",$C$10="",$C$11=""),"",$C$10-$R28-$C$11),"")</f>
        <v>27.0</v>
      </c>
      <c r="T28" s="16" t="n">
        <v>0</v>
      </c>
      <c r="U28" s="16" t="n">
        <v>0</v>
      </c>
      <c r="V28" s="20">
        <f>IF($H28=$C$61,$R28,"")</f>
        <v>6.0</v>
      </c>
      <c r="W28" s="20">
        <f>IF($S28="","",IF($S28&lt;0,1,0))</f>
        <v>0.0</v>
      </c>
      <c r="X28" s="16">
        <f>IF(AND($G28=$G$15,$H28=$C$61),$O28,"")</f>
        <v/>
      </c>
      <c r="Y28" s="9" t="inlineStr">
        <is>
          <t>SUPUESTO declarado</t>
        </is>
      </c>
      <c r="Z28" t="inlineStr">
        <is>
          <t>supuesto</t>
        </is>
      </c>
      <c r="AA28" s="9" t="inlineStr">
        <is>
          <t>SUPUESTO declarado. Celda verde con valor por defecto.</t>
        </is>
      </c>
      <c r="AB28" s="9" t="inlineStr">
        <is>
          <t>6.900 €</t>
        </is>
      </c>
    </row>
    <row r="29" ht="40" customHeight="1">
      <c r="A29" s="13" t="inlineStr">
        <is>
          <t>Pendiente</t>
        </is>
      </c>
      <c r="B29" s="14" t="n">
        <v>15</v>
      </c>
      <c r="C29" s="9" t="inlineStr">
        <is>
          <t>TPV, ordenador, impresora de etiquetas y rótulo</t>
        </is>
      </c>
      <c r="D29" t="inlineStr"/>
      <c r="E29" t="inlineStr"/>
      <c r="F29" t="inlineStr">
        <is>
          <t>Tienda</t>
        </is>
      </c>
      <c r="G29" t="inlineStr">
        <is>
          <t>TPV, informática y rótulo</t>
        </is>
      </c>
      <c r="H29" s="15" t="inlineStr">
        <is>
          <t>Crítico</t>
        </is>
      </c>
      <c r="I29" s="16" t="n">
        <v>3200</v>
      </c>
      <c r="J29" s="15" t="inlineStr">
        <is>
          <t>sin IVA</t>
        </is>
      </c>
      <c r="K29" s="17">
        <f>$C$7</f>
        <v>0.21</v>
      </c>
      <c r="L29" s="16">
        <f>IFERROR(IF($I29="","",IF($J29=$E$62,$I29/(1+$K29),$I29)),"")</f>
        <v>3200.0</v>
      </c>
      <c r="M29" s="16">
        <f>IF($L29="","",IF($T29&gt;0,$T29,$L29*(1-$C$8)))</f>
        <v>2400.0</v>
      </c>
      <c r="N29" s="16">
        <f>IF($L29="","",IF($U29&gt;0,$U29,$L29*(1+$C$8)))</f>
        <v>4000.0</v>
      </c>
      <c r="O29" s="18" t="n">
        <v>3200</v>
      </c>
      <c r="P29" s="17">
        <f>IFERROR(IF(OR($O29="",$L29=""),"",$O29/$L29-1),"")</f>
        <v>0.0</v>
      </c>
      <c r="Q29" s="6" t="inlineStr">
        <is>
          <t>Pendiente: pide tres presupuestos</t>
        </is>
      </c>
      <c r="R29" s="19" t="n">
        <v>4</v>
      </c>
      <c r="S29" s="20">
        <f>IFERROR(IF(OR($R29="",$C$10="",$C$11=""),"",$C$10-$R29-$C$11),"")</f>
        <v>29.0</v>
      </c>
      <c r="T29" s="16" t="n">
        <v>0</v>
      </c>
      <c r="U29" s="16" t="n">
        <v>0</v>
      </c>
      <c r="V29" s="20">
        <f>IF($H29=$C$61,$R29,"")</f>
        <v>4.0</v>
      </c>
      <c r="W29" s="20">
        <f>IF($S29="","",IF($S29&lt;0,1,0))</f>
        <v>0.0</v>
      </c>
      <c r="X29" s="16">
        <f>IF(AND($G29=$G$15,$H29=$C$61),$O29,"")</f>
        <v/>
      </c>
      <c r="Y29" s="9" t="inlineStr">
        <is>
          <t>SUPUESTO declarado</t>
        </is>
      </c>
      <c r="Z29" t="inlineStr">
        <is>
          <t>supuesto</t>
        </is>
      </c>
      <c r="AA29" s="9" t="inlineStr">
        <is>
          <t>SUPUESTO. La impresora de etiquetas deja de ser opcional en cuanto una sola referencia sale envasada con etiqueta (D47). Y Verifactu no es 2026, es 2027: 1-ene para sociedades y 1-jul para autónomos (`CHN-75`).</t>
        </is>
      </c>
      <c r="AB29" s="9" t="inlineStr">
        <is>
          <t>3.200 €</t>
        </is>
      </c>
    </row>
    <row r="30" ht="40" customHeight="1">
      <c r="A30" s="13" t="inlineStr">
        <is>
          <t>Pendiente</t>
        </is>
      </c>
      <c r="B30" s="14" t="n">
        <v>16</v>
      </c>
      <c r="C30" s="9" t="inlineStr">
        <is>
          <t>Climatización del obrador con deshumidificación</t>
        </is>
      </c>
      <c r="D30" t="inlineStr"/>
      <c r="E30" t="inlineStr"/>
      <c r="F30" t="inlineStr">
        <is>
          <t>Clima</t>
        </is>
      </c>
      <c r="G30" t="inlineStr">
        <is>
          <t>Climatización y deshumidificación</t>
        </is>
      </c>
      <c r="H30" s="15" t="inlineStr">
        <is>
          <t>Crítico</t>
        </is>
      </c>
      <c r="I30" s="16" t="n">
        <v>7600</v>
      </c>
      <c r="J30" s="15" t="inlineStr">
        <is>
          <t>sin IVA</t>
        </is>
      </c>
      <c r="K30" s="17">
        <f>$C$7</f>
        <v>0.21</v>
      </c>
      <c r="L30" s="16">
        <f>IFERROR(IF($I30="","",IF($J30=$E$62,$I30/(1+$K30),$I30)),"")</f>
        <v>7600.0</v>
      </c>
      <c r="M30" s="16">
        <f>IF($L30="","",IF($T30&gt;0,$T30,$L30*(1-$C$8)))</f>
        <v>5700.0</v>
      </c>
      <c r="N30" s="16">
        <f>IF($L30="","",IF($U30&gt;0,$U30,$L30*(1+$C$8)))</f>
        <v>9500.0</v>
      </c>
      <c r="O30" s="18" t="n">
        <v>7600</v>
      </c>
      <c r="P30" s="17">
        <f>IFERROR(IF(OR($O30="",$L30=""),"",$O30/$L30-1),"")</f>
        <v>0.0</v>
      </c>
      <c r="Q30" s="6" t="inlineStr">
        <is>
          <t>Pendiente: pide tres presupuestos</t>
        </is>
      </c>
      <c r="R30" s="19" t="n">
        <v>9</v>
      </c>
      <c r="S30" s="20">
        <f>IFERROR(IF(OR($R30="",$C$10="",$C$11=""),"",$C$10-$R30-$C$11),"")</f>
        <v>24.0</v>
      </c>
      <c r="T30" s="16" t="n">
        <v>0</v>
      </c>
      <c r="U30" s="16" t="n">
        <v>0</v>
      </c>
      <c r="V30" s="20">
        <f>IF($H30=$C$61,$R30,"")</f>
        <v>9.0</v>
      </c>
      <c r="W30" s="20">
        <f>IF($S30="","",IF($S30&lt;0,1,0))</f>
        <v>0.0</v>
      </c>
      <c r="X30" s="16">
        <f>IF(AND($G30=$G$15,$H30=$C$61),$O30,"")</f>
        <v/>
      </c>
      <c r="Y30" s="9" t="inlineStr">
        <is>
          <t>SUPUESTO declarado</t>
        </is>
      </c>
      <c r="Z30" t="inlineStr">
        <is>
          <t>supuesto</t>
        </is>
      </c>
      <c r="AA30" s="9" t="inlineStr">
        <is>
          <t>SUPUESTO declarado, y es la partida que nadie presupuesta. El libro 1 NO calcula carga térmica (D33): no hay un solo coeficiente con fuente ni de transmitancia, ni por m³, ni de aportes, ni de renovaciones. Lo que hace es (a) un semáforo de coherencia entre la temperatura objetivo, la exterior de agosto de TU ciudad y la potencia frigorífica que te OFREZCA EL INSTALADOR, y (b) una ficha de preguntas para el instalador. PROHIBIDO el climatizador evaporativo: añade humedad, que es justo lo contrario de lo que necesita un obrador de chocolate.</t>
        </is>
      </c>
      <c r="AB30" s="9" t="inlineStr">
        <is>
          <t>7.600 €</t>
        </is>
      </c>
    </row>
    <row r="31" ht="40" customHeight="1">
      <c r="A31" s="13" t="inlineStr">
        <is>
          <t>Pendiente</t>
        </is>
      </c>
      <c r="B31" s="14" t="n">
        <v>17</v>
      </c>
      <c r="C31" s="9" t="inlineStr">
        <is>
          <t>Chocolatera de 3 L para la variante de taza</t>
        </is>
      </c>
      <c r="D31" t="inlineStr">
        <is>
          <t>Ugolini</t>
        </is>
      </c>
      <c r="E31" t="inlineStr">
        <is>
          <t>Delice 3</t>
        </is>
      </c>
      <c r="F31" t="inlineStr">
        <is>
          <t>Taza</t>
        </is>
      </c>
      <c r="G31" t="inlineStr">
        <is>
          <t>Mobiliario y tienda</t>
        </is>
      </c>
      <c r="H31" s="15" t="inlineStr">
        <is>
          <t>Opcional</t>
        </is>
      </c>
      <c r="I31" s="16" t="n">
        <v>527</v>
      </c>
      <c r="J31" s="15" t="inlineStr">
        <is>
          <t>sin IVA</t>
        </is>
      </c>
      <c r="K31" s="17">
        <f>$C$7</f>
        <v>0.21</v>
      </c>
      <c r="L31" s="16">
        <f>IFERROR(IF($I31="","",IF($J31=$E$62,$I31/(1+$K31),$I31)),"")</f>
        <v>527.0</v>
      </c>
      <c r="M31" s="16">
        <f>IF($L31="","",IF($T31&gt;0,$T31,$L31*(1-$C$8)))</f>
        <v>395.25</v>
      </c>
      <c r="N31" s="16">
        <f>IF($L31="","",IF($U31&gt;0,$U31,$L31*(1+$C$8)))</f>
        <v>658.75</v>
      </c>
      <c r="O31" s="18" t="n">
        <v>527</v>
      </c>
      <c r="P31" s="17">
        <f>IFERROR(IF(OR($O31="",$L31=""),"",$O31/$L31-1),"")</f>
        <v>0.0</v>
      </c>
      <c r="Q31" s="6" t="inlineStr">
        <is>
          <t>Ugolini</t>
        </is>
      </c>
      <c r="R31" s="19" t="n">
        <v>4</v>
      </c>
      <c r="S31" s="20">
        <f>IFERROR(IF(OR($R31="",$C$10="",$C$11=""),"",$C$10-$R31-$C$11),"")</f>
        <v>29.0</v>
      </c>
      <c r="T31" s="16" t="n">
        <v>0</v>
      </c>
      <c r="U31" s="16" t="n">
        <v>0</v>
      </c>
      <c r="V31" s="20">
        <f>IF($H31=$C$61,$R31,"")</f>
        <v/>
      </c>
      <c r="W31" s="20">
        <f>IF($S31="","",IF($S31&lt;0,1,0))</f>
        <v>0.0</v>
      </c>
      <c r="X31" s="16">
        <f>IF(AND($G31=$G$15,$H31=$C$61),$O31,"")</f>
        <v/>
      </c>
      <c r="Y31" s="9" t="inlineStr">
        <is>
          <t>Precio cerrado</t>
        </is>
      </c>
      <c r="Z31" t="inlineStr">
        <is>
          <t>CHS-46a</t>
        </is>
      </c>
      <c r="AA31" s="9" t="inlineStr">
        <is>
          <t>Base SIN IVA declarada literalmente por la ficha. Solo entra en el escenario de taza y churros, que es OTRO negocio (D1): la Ley 12/2012 los separa sola, porque su Anexo incluye el epígrafe 644.5 de bombones y caramelos y NO contiene ningún grupo de la agrupación 67, donde esta la chocolatería de taza (`CHN-49c`).</t>
        </is>
      </c>
      <c r="AB31" s="9" t="inlineStr">
        <is>
          <t>527 €</t>
        </is>
      </c>
    </row>
    <row r="32"/>
    <row r="33">
      <c r="A33" s="4" t="inlineStr">
        <is>
          <t>Resumen de la compra</t>
        </is>
      </c>
    </row>
    <row r="34" ht="26" customHeight="1">
      <c r="A34" s="8" t="inlineStr">
        <is>
          <t>Líneas del checklist</t>
        </is>
      </c>
      <c r="I34" s="21">
        <f>COUNTIF($C$15:$C$31,"&lt;&gt;")</f>
        <v>17.0</v>
      </c>
      <c r="K34" s="5" t="inlineStr">
        <is>
          <t>Las diecisiete líneas de la dotación tipo de una bombonería con obrador, opcionales incluidas.</t>
        </is>
      </c>
    </row>
    <row r="35" ht="26" customHeight="1">
      <c r="A35" s="8" t="inlineStr">
        <is>
          <t>Total de referencia sin IVA, sólo líneas críticas (€)</t>
        </is>
      </c>
      <c r="I35" s="22">
        <f>SUMPRODUCT(--($H$15:$H$31=$C$61),$L$15:$L$31)</f>
        <v>52299.35</v>
      </c>
      <c r="K35" s="5" t="inlineStr">
        <is>
          <t>Lo que cuesta lo que no puedes dejar de comprar, a precio de referencia y en base imponible.</t>
        </is>
      </c>
    </row>
    <row r="36" ht="26" customHeight="1">
      <c r="A36" s="8" t="inlineStr">
        <is>
          <t>Total de referencia sin IVA, todas las líneas (€)</t>
        </is>
      </c>
      <c r="I36" s="22">
        <f>SUM($L$15:$L$31)</f>
        <v>54951.65</v>
      </c>
      <c r="K36" s="5" t="inlineStr">
        <is>
          <t>Con la atemperadora de arranque, su cubeta y la chocolatera de la variante de taza dentro, que son opcionales según el formato.</t>
        </is>
      </c>
    </row>
    <row r="37" ht="26" customHeight="1">
      <c r="A37" s="8" t="inlineStr">
        <is>
          <t>Total real negociado sin IVA, sólo líneas críticas (€)</t>
        </is>
      </c>
      <c r="I37" s="22">
        <f>SUMPRODUCT(--($H$15:$H$31=$C$61),$O$15:$O$31)</f>
        <v>52299.35</v>
      </c>
      <c r="K37" s="5" t="inlineStr">
        <is>
          <t>Lo mismo con TUS precios: es el número que se lleva al libro 2.</t>
        </is>
      </c>
    </row>
    <row r="38" ht="26" customHeight="1">
      <c r="A38" s="8" t="inlineStr">
        <is>
          <t>Total real negociado sin IVA, todas las líneas (€)</t>
        </is>
      </c>
      <c r="I38" s="22">
        <f>SUM($O$15:$O$31)</f>
        <v>54951.65</v>
      </c>
      <c r="K38" s="5" t="inlineStr">
        <is>
          <t>La base imponible de toda tu compra de equipamiento.</t>
        </is>
      </c>
    </row>
    <row r="39" ht="26" customHeight="1">
      <c r="A39" s="8" t="inlineStr">
        <is>
          <t>Lo que has ganado (o perdido) negociando (€)</t>
        </is>
      </c>
      <c r="I39" s="22">
        <f>IFERROR($I$38-$I$36,"")</f>
        <v>0.0</v>
      </c>
      <c r="K39" s="5" t="inlineStr">
        <is>
          <t>Negativo = has comprado por debajo del precio de referencia. Es el único sitio del paquete donde se mide lo que vale pedir tres presupuestos.</t>
        </is>
      </c>
    </row>
    <row r="40" ht="26" customHeight="1">
      <c r="A40" s="8" t="inlineStr">
        <is>
          <t>IVA soportado sobre el precio real (€)</t>
        </is>
      </c>
      <c r="I40" s="22">
        <f>SUMPRODUCT($O$15:$O$31,$K$15:$K$31)</f>
        <v>11539.8465</v>
      </c>
      <c r="K40" s="5" t="inlineStr">
        <is>
          <t>Se recupera vía declaraciones, pero hay que ADELANTARLO el día que pagas la máquina. La hoja «IVA y Tesorería» del libro 2 dice cuándo vuelve.</t>
        </is>
      </c>
    </row>
    <row r="41" ht="26" customHeight="1">
      <c r="A41" s="8" t="inlineStr">
        <is>
          <t>Desembolso real con IVA (€)</t>
        </is>
      </c>
      <c r="I41" s="22">
        <f>IFERROR($I$38+$I$40,"")</f>
        <v>66491.49650000001</v>
      </c>
      <c r="K41" s="5" t="inlineStr">
        <is>
          <t>Lo que sale de la cuenta corriente.</t>
        </is>
      </c>
    </row>
    <row r="42" ht="26" customHeight="1">
      <c r="A42" s="8" t="inlineStr">
        <is>
          <t>Líneas que sólo pueden publicarse COMO RANGO</t>
        </is>
      </c>
      <c r="I42" s="21">
        <f>COUNTIF($Y$15:$Y$31,"RANGO publicado (no es un precio)")</f>
        <v>1.0</v>
      </c>
      <c r="K42" s="5" t="inlineStr">
        <is>
          <t>Los moldes de policarbonato: el dato medido es 24,20 a 42,83 euros por unidad, y elegir un punto dentro de ese rango sería inventarse un precio. Su mínimo y su máximo van en las columnas T y U y mandan sobre la horquilla.</t>
        </is>
      </c>
    </row>
    <row r="43" ht="26" customHeight="1">
      <c r="A43" s="8" t="inlineStr">
        <is>
          <t>Líneas que son un «desde» y hay que presupuestar</t>
        </is>
      </c>
      <c r="I43" s="21">
        <f>COUNTIF($Y$15:$Y$31,"DESDE: suelo comercial, presupuestar")</f>
        <v>1.0</v>
      </c>
      <c r="K43" s="5" t="inlineStr">
        <is>
          <t>El mantenedor se publica «desde 570,00 euros»: es un suelo comercial, no el precio de la unidad que vas a comprar. Su techo sólo puede subir.</t>
        </is>
      </c>
    </row>
    <row r="44"/>
    <row r="45">
      <c r="A45" s="4" t="inlineStr">
        <is>
          <t>Cruce con el libro 2: la desviación contra el CAPEX presupuestado</t>
        </is>
      </c>
    </row>
    <row r="46" ht="26" customHeight="1">
      <c r="A46" s="8" t="inlineStr">
        <is>
          <t>Trae aquí la base sin IVA del bloque «Equipo de templado y moldeado» de calculadora-capex-chocolateria.xlsx!CAPEX por Bloque!L33</t>
        </is>
      </c>
      <c r="I46" s="18" t="n">
        <v>21060</v>
      </c>
      <c r="K46" s="5" t="inlineStr">
        <is>
          <t>VALOR POR DEFECTO DECLARADO: el bloque de templado y moldeado de La Almendra en base imponible, que es lo que suman sus seis líneas críticas. En cuanto tengas tu libro 2 relleno, copia aquí SU cifra: no la calcules otra vez. No hay ninguna fórmula que apunte a otro fichero.</t>
        </is>
      </c>
    </row>
    <row r="47" ht="26" customHeight="1">
      <c r="A47" s="8" t="inlineStr">
        <is>
          <t>Lo que suman tus líneas críticas de ese mismo bloque (€)</t>
        </is>
      </c>
      <c r="I47" s="22">
        <f>IFERROR(SUM($X$15:$X$31),"")</f>
        <v>21060.0</v>
      </c>
      <c r="K47" s="5" t="inlineStr">
        <is>
          <t>Se calcula sobre la columna auxiliar X, que sólo recoge las líneas CRÍTICAS cuyo bloque de CAPEX es el de templado y moldeado: comparar críticas contra críticas es lo único que da una desviación que significa algo.</t>
        </is>
      </c>
    </row>
    <row r="48" ht="26" customHeight="1">
      <c r="A48" s="8" t="inlineStr">
        <is>
          <t>Desviación contra el libro 2 (€)</t>
        </is>
      </c>
      <c r="I48" s="22">
        <f>IFERROR(IF($I$46="","",$I$47-$I$46),"")</f>
        <v>0.0</v>
      </c>
      <c r="K48" s="5" t="inlineStr">
        <is>
          <t>Positivo = estás comprando más caro de lo que había presupuestado el plan.</t>
        </is>
      </c>
    </row>
    <row r="49" ht="26" customHeight="1">
      <c r="A49" s="8" t="inlineStr">
        <is>
          <t>Desviación contra el libro 2 (%)</t>
        </is>
      </c>
      <c r="I49" s="23">
        <f>IFERROR(IF($I$46="","",$I$47/$I$46-1),"")</f>
        <v>0.0</v>
      </c>
      <c r="K49" s="5" t="inlineStr">
        <is>
          <t>Se compara con el umbral que has fijado arriba.</t>
        </is>
      </c>
    </row>
    <row r="50" ht="40" customHeight="1">
      <c r="A50" s="10" t="inlineStr">
        <is>
          <t>CUADRE CONTRA EL CAPEX DEL LIBRO 2</t>
        </is>
      </c>
      <c r="I50" s="24" t="str">
        <f>IF($I$49="","",IF(ABS($I$49)&gt;$C$9,"NO CUADRA: rehaz el CAPEX del libro 2 con estos precios","CUADRA con el CAPEX del libro 2"))</f>
        <v>CUADRA con el CAPEX del libro 2</v>
      </c>
      <c r="K50" s="5" t="inlineStr">
        <is>
          <t>El plan financiero del libro 7 se calcula sobre el CAPEX del libro 2. Si esto se sale del umbral hay que rehacer los dos, no cambiar este número: es la diferencia entre un presupuesto y una lista de deseos.</t>
        </is>
      </c>
    </row>
    <row r="51"/>
    <row r="52">
      <c r="A52" s="4" t="inlineStr">
        <is>
          <t>El plazo crítico, que es lo que de verdad mueve tu fecha de apertura</t>
        </is>
      </c>
    </row>
    <row r="53" ht="26" customHeight="1">
      <c r="A53" s="8" t="inlineStr">
        <is>
          <t>Plazo crítico de entrega (semanas)</t>
        </is>
      </c>
      <c r="I53" s="21">
        <f>IFERROR(MAX($V$15:$V$31),"")</f>
        <v>10.0</v>
      </c>
      <c r="K53" s="5" t="inlineStr">
        <is>
          <t>El plazo más largo de las líneas CRÍTICAS. Las opcionales no cuentan: si la atemperadora de arranque tarda un mes y no la necesitas para abrir, no puede mover tu fecha. ESTA ES LA CELDA QUE SE COPIA EN EL CRONOGRAMA DEL LIBRO 8.</t>
        </is>
      </c>
    </row>
    <row r="54" ht="26" customHeight="1">
      <c r="A54" s="8" t="inlineStr">
        <is>
          <t>Línea que marca el plazo crítico</t>
        </is>
      </c>
      <c r="I54" s="25" t="str">
        <f>IFERROR(INDEX($C$15:$C$31,MATCH($I$53,$V$15:$V$31,0)),"")</f>
        <v>Atemperadora continua de sobremesa, 12 kg (55 kg/h)</v>
      </c>
      <c r="K54" s="5" t="inlineStr">
        <is>
          <t>Ésta es la primera que hay que pedir, aunque sea de las últimas que vayas a instalar.</t>
        </is>
      </c>
    </row>
    <row r="55" ht="26" customHeight="1">
      <c r="A55" s="8" t="inlineStr">
        <is>
          <t>Margen del plazo crítico (semanas)</t>
        </is>
      </c>
      <c r="I55" s="21">
        <f>IFERROR(IF(OR($C$10="",$I$53=""),"",$C$10-$I$53-$C$11),"")</f>
        <v>23.0</v>
      </c>
      <c r="K55" s="5" t="inlineStr">
        <is>
          <t>Semanas que te sobran entre pedir hoy el equipo de mayor plazo y abrir con el margen de seguridad dentro.</t>
        </is>
      </c>
    </row>
    <row r="56" ht="26" customHeight="1">
      <c r="A56" s="8" t="inlineStr">
        <is>
          <t>Veredicto del plazo</t>
        </is>
      </c>
      <c r="I56" s="25" t="str">
        <f>IFERROR(IF($I$55="","",IF($I$55&lt;0,"El equipo de mayor plazo mueve la apertura: pídelo hoy o retrasa la fecha","Llegas con margen, pero pide primero el de mayor plazo")),"")</f>
        <v>Llegas con margen, pero pide primero el de mayor plazo</v>
      </c>
      <c r="K56" s="5" t="inlineStr">
        <is>
          <t>Un obrador no abre porque falte una máquina, y la que falta casi siempre es la que se pidió la última.</t>
        </is>
      </c>
    </row>
    <row r="57" ht="26" customHeight="1">
      <c r="A57" s="8" t="inlineStr">
        <is>
          <t>Líneas cuyo plazo se pasa de la apertura</t>
        </is>
      </c>
      <c r="I57" s="21">
        <f>IFERROR(SUM($W$15:$W$31),"")</f>
        <v>0.0</v>
      </c>
      <c r="K57" s="5" t="inlineStr">
        <is>
          <t>Cuenta también las opcionales: si la pides, tiene que llegar.</t>
        </is>
      </c>
    </row>
    <row r="58"/>
    <row r="59">
      <c r="A59" s="4" t="inlineStr">
        <is>
          <t>Listas (origen de los desplegables)</t>
        </is>
      </c>
    </row>
    <row r="60" ht="20" customHeight="1">
      <c r="A60" s="7" t="inlineStr">
        <is>
          <t>Estado</t>
        </is>
      </c>
      <c r="C60" s="7" t="inlineStr">
        <is>
          <t>Prioridad</t>
        </is>
      </c>
      <c r="E60" s="7" t="inlineStr">
        <is>
          <t>Base del precio</t>
        </is>
      </c>
    </row>
    <row r="61">
      <c r="A61" t="inlineStr">
        <is>
          <t>Pendiente</t>
        </is>
      </c>
      <c r="C61" t="inlineStr">
        <is>
          <t>Crítico</t>
        </is>
      </c>
      <c r="E61" t="inlineStr">
        <is>
          <t>sin IVA</t>
        </is>
      </c>
    </row>
    <row r="62">
      <c r="A62" t="inlineStr">
        <is>
          <t>Presupuestado</t>
        </is>
      </c>
      <c r="C62" t="inlineStr">
        <is>
          <t>Opcional</t>
        </is>
      </c>
      <c r="E62" t="inlineStr">
        <is>
          <t>con IVA</t>
        </is>
      </c>
    </row>
    <row r="63">
      <c r="A63" t="inlineStr">
        <is>
          <t>Pedido</t>
        </is>
      </c>
      <c r="E63" t="inlineStr">
        <is>
          <t>no declarada</t>
        </is>
      </c>
    </row>
    <row r="64">
      <c r="A64" t="inlineStr">
        <is>
          <t>Recibido</t>
        </is>
      </c>
    </row>
    <row r="65">
      <c r="A65" t="inlineStr">
        <is>
          <t>Instalado</t>
        </is>
      </c>
    </row>
    <row r="66">
      <c r="A66" t="inlineStr">
        <is>
          <t>N/A</t>
        </is>
      </c>
    </row>
    <row r="67"/>
    <row r="68" ht="44" customHeight="1">
      <c r="A68" s="5" t="inlineStr">
        <is>
          <t>CRÍTICO quiere decir «sin esto no abres», y es la lista que calcula el plazo crítico. OPCIONAL quiere decir «depende del formato»: la atemperadora de arranque y su cubeta (son la alternativa barata a la continua, no un complemento) y la chocolatera de la variante de taza. No hay un nivel intermedio a propósito: en una apertura, «recomendado» siempre acaba comprándose.</t>
        </is>
      </c>
    </row>
    <row r="69" ht="44" customHeight="1">
      <c r="A69" s="5" t="inlineStr">
        <is>
          <t>SEIS LÍNEAS TRAEN LA BASE FISCAL «NO DECLARADA»: el distribuidor no dice si su precio lleva IVA. Se tratan como base imponible y se marcan. La ficha de la atemperadora trae el indicio «Neto» en la línea de embalaje, que es un indicio, no una declaración. Pregúntalo por escrito antes de firmar: es un 21 % de la partida más cara del obrador.</t>
        </is>
      </c>
    </row>
    <row r="70" ht="32" customHeight="1">
      <c r="A70" s="5" t="inlineStr">
        <is>
          <t>Los precios verificados llevan su id de fuente en la columna Z y su ficha completa en el comentario de la celda del precio. Están fechados el 12-09-2026 y pueden caducar: un catálogo de maquinaria se revisa un par de veces al año.</t>
        </is>
      </c>
    </row>
    <row r="71"/>
    <row r="72">
      <c r="A72" s="9" t="inlineStr">
        <is>
          <t>Diseñado por John Guerrero — chef y consultor gastronómico desde 2010, en cocina desde los 17 años.</t>
        </is>
      </c>
    </row>
    <row r="73">
      <c r="A73" s="9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58">
    <mergeCell ref="A50:H50"/>
    <mergeCell ref="A68:AB68"/>
    <mergeCell ref="K47:AA47"/>
    <mergeCell ref="A9:B9"/>
    <mergeCell ref="K49:AA49"/>
    <mergeCell ref="A69:AB69"/>
    <mergeCell ref="K34:AA34"/>
    <mergeCell ref="K46:AA46"/>
    <mergeCell ref="A53:H53"/>
    <mergeCell ref="K39:AA39"/>
    <mergeCell ref="A40:H40"/>
    <mergeCell ref="K57:AA57"/>
    <mergeCell ref="K53:AA53"/>
    <mergeCell ref="A7:B7"/>
    <mergeCell ref="A73:F73"/>
    <mergeCell ref="A47:H47"/>
    <mergeCell ref="A49:H49"/>
    <mergeCell ref="K48:AA48"/>
    <mergeCell ref="A37:H37"/>
    <mergeCell ref="K41:AA41"/>
    <mergeCell ref="K42:AA42"/>
    <mergeCell ref="K54:AA54"/>
    <mergeCell ref="K37:AA37"/>
    <mergeCell ref="A55:H55"/>
    <mergeCell ref="K56:AA56"/>
    <mergeCell ref="D6:AA6"/>
    <mergeCell ref="A70:AB70"/>
    <mergeCell ref="A34:H34"/>
    <mergeCell ref="A46:H46"/>
    <mergeCell ref="A48:H48"/>
    <mergeCell ref="A3:AB3"/>
    <mergeCell ref="K50:AA50"/>
    <mergeCell ref="A8:B8"/>
    <mergeCell ref="A42:H42"/>
    <mergeCell ref="A54:H54"/>
    <mergeCell ref="A43:H43"/>
    <mergeCell ref="D9:AA9"/>
    <mergeCell ref="A6:B6"/>
    <mergeCell ref="K38:AA38"/>
    <mergeCell ref="A39:H39"/>
    <mergeCell ref="K43:AA43"/>
    <mergeCell ref="A57:H57"/>
    <mergeCell ref="K40:AA40"/>
    <mergeCell ref="D10:AA10"/>
    <mergeCell ref="K36:AA36"/>
    <mergeCell ref="D8:AA8"/>
    <mergeCell ref="A11:B11"/>
    <mergeCell ref="D11:AA11"/>
    <mergeCell ref="A36:H36"/>
    <mergeCell ref="A72:F72"/>
    <mergeCell ref="A38:H38"/>
    <mergeCell ref="A35:H35"/>
    <mergeCell ref="K55:AA55"/>
    <mergeCell ref="D7:AA7"/>
    <mergeCell ref="A56:H56"/>
    <mergeCell ref="A10:B10"/>
    <mergeCell ref="A41:H41"/>
    <mergeCell ref="K35:AA35"/>
  </mergeCells>
  <conditionalFormatting sqref="I50">
    <cfRule type="cellIs" priority="1" operator="equal" dxfId="0" stopIfTrue="1">
      <formula>"NO CUADRA: rehaz el CAPEX del libro 2 con estos precios"</formula>
    </cfRule>
    <cfRule type="cellIs" priority="2" operator="equal" dxfId="1" stopIfTrue="1">
      <formula>"CUADRA con el CAPEX del libro 2"</formula>
    </cfRule>
  </conditionalFormatting>
  <conditionalFormatting sqref="A15:A31">
    <cfRule type="cellIs" priority="3" operator="equal" dxfId="1" stopIfTrue="1">
      <formula>"Completado"</formula>
    </cfRule>
    <cfRule type="cellIs" priority="4" operator="equal" dxfId="1" stopIfTrue="1">
      <formula>"Instalado"</formula>
    </cfRule>
    <cfRule type="cellIs" priority="5" operator="equal" dxfId="2" stopIfTrue="1">
      <formula>"Recibido"</formula>
    </cfRule>
    <cfRule type="cellIs" priority="6" operator="equal" dxfId="2" stopIfTrue="1">
      <formula>"En Curso"</formula>
    </cfRule>
    <cfRule type="cellIs" priority="7" operator="equal" dxfId="2" stopIfTrue="1">
      <formula>"En Proceso"</formula>
    </cfRule>
    <cfRule type="cellIs" priority="8" operator="equal" dxfId="2" stopIfTrue="1">
      <formula>"Pedido"</formula>
    </cfRule>
    <cfRule type="cellIs" priority="9" operator="equal" dxfId="3" stopIfTrue="1">
      <formula>"Pendiente"</formula>
    </cfRule>
  </conditionalFormatting>
  <conditionalFormatting sqref="S15:S31">
    <cfRule type="expression" priority="10" dxfId="0" stopIfTrue="1">
      <formula>=AND(ISNUMBER($S15),$S15&lt;0)</formula>
    </cfRule>
  </conditionalFormatting>
  <conditionalFormatting sqref="P15:P31">
    <cfRule type="expression" priority="11" dxfId="0" stopIfTrue="1">
      <formula>=AND(ISNUMBER($P15),$P15&gt;$C$9)</formula>
    </cfRule>
  </conditionalFormatting>
  <conditionalFormatting sqref="I55">
    <cfRule type="expression" priority="12" dxfId="0" stopIfTrue="1">
      <formula>=AND(ISNUMBER($I$55),$I$55&lt;0)</formula>
    </cfRule>
  </conditionalFormatting>
  <conditionalFormatting sqref="I49">
    <cfRule type="expression" priority="13" dxfId="0" stopIfTrue="1">
      <formula>=AND(ISNUMBER($I$49),ABS($I$49)&gt;$C$9)</formula>
    </cfRule>
  </conditionalFormatting>
  <dataValidations count="6">
    <dataValidation sqref="A15 A16 A17 A18 A19 A20 A21 A22 A23 A24 A25 A26 A27 A28 A29 A30 A31" showDropDown="0" showInputMessage="0" showErrorMessage="1" allowBlank="0" errorTitle="Estado no válido" error="Elige un estado de la lista del pie de la hoja: Pendiente, Presupuestado, Pedido, Recibido, Instalado o N/A." type="list">
      <formula1>$A$61:$A$66</formula1>
    </dataValidation>
    <dataValidation sqref="O15 O16 O17 O18 O19 O20 O21 O22 O23 O24 O25 O26 O27 O28 O29 O30 O31" showDropDown="0" showInputMessage="0" showErrorMessage="1" allowBlank="1" errorTitle="Precio negociado" error="Escribe el precio SIN IVA, en euros." type="decimal" operator="greaterThanOrEqual">
      <formula1>0</formula1>
    </dataValidation>
    <dataValidation sqref="R15 R16 R17 R18 R19 R20 R21 R22 R23 R24 R25 R26 R27 R28 R29 R30 R31" showDropDown="0" showInputMessage="0" showErrorMessage="1" allowBlank="1" errorTitle="Plazo de entrega" error="Escribe el plazo en SEMANAS (0 a 104)." type="decimal" operator="between">
      <formula1>0</formula1>
      <formula2>104</formula2>
    </dataValidation>
    <dataValidation sqref="C7 C8 C9" showDropDown="0" showInputMessage="1" showErrorMessage="1" allowBlank="1" errorTitle="Porcentaje" error="Escribe un porcentaje entre 0 y 1 (0,20 = 20 %)." promptTitle="Porcentaje" prompt="Se escribe en tanto por uno: 0,20 = 20 %." type="decimal" operator="between">
      <formula1>0</formula1>
      <formula2>1.0</formula2>
    </dataValidation>
    <dataValidation sqref="C10 C11" showDropDown="0" showInputMessage="0" showErrorMessage="1" allowBlank="1" errorTitle="Semanas" error="Escribe un número de semanas (0 a 104)." type="decimal" operator="between">
      <formula1>0</formula1>
      <formula2>104</formula2>
    </dataValidation>
    <dataValidation sqref="I46" showDropDown="0" showInputMessage="0" showErrorMessage="1" allowBlank="1" errorTitle="CAPEX del libro 2" error="Escribe la base SIN IVA del bloque, en euros." type="decimal" operator="greaterThanOrEqual">
      <formula1>0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0" customWidth="1" min="4" max="4"/>
    <col width="18" customWidth="1" min="5" max="5"/>
    <col width="88" customWidth="1" min="6" max="6"/>
  </cols>
  <sheetData>
    <row r="1" ht="28" customHeight="1">
      <c r="A1" s="1" t="inlineStr">
        <is>
          <t>Variante del Formato: Bean-to-bar o Taza y Churros</t>
        </is>
      </c>
    </row>
    <row r="2">
      <c r="A2" t="inlineStr">
        <is>
          <t>AI Chef Pro · aichef.pro — Cómo Montar una Chocolatería</t>
        </is>
      </c>
    </row>
    <row r="3" ht="26" customHeight="1">
      <c r="A3" s="5" t="inlineStr">
        <is>
          <t>Dos caminos que NO son este producto y se deciden aquí. El bean-to-bar va SIN CIFRAS DE MAQUINARIA a propósito: no hay precio público verificado, y lo que se entrega es la lista de la compra y las preguntas que hay que hacer.</t>
        </is>
      </c>
    </row>
    <row r="4"/>
    <row r="5">
      <c r="A5" s="4" t="inlineStr">
        <is>
          <t>Tu formato</t>
        </is>
      </c>
    </row>
    <row r="6">
      <c r="A6" s="10" t="inlineStr">
        <is>
          <t>¿Qué vas a montar?</t>
        </is>
      </c>
      <c r="C6" s="6" t="inlineStr">
        <is>
          <t>Bombonería (el caso del libro)</t>
        </is>
      </c>
      <c r="D6" s="5" t="inlineStr">
        <is>
          <t>El libro 2 calcula el CAPEX de cada variante. Aquí sólo se resuelve QUÉ hay que comprar y QUÉ hay que preguntar.</t>
        </is>
      </c>
    </row>
    <row r="7" ht="34" customHeight="1">
      <c r="A7" s="10" t="inlineStr">
        <is>
          <t>Lo primero que cambia</t>
        </is>
      </c>
      <c r="C7" s="26" t="str">
        <f>IFERROR(IF($C$6=$A$45,"Si importas grano ERES OPERADOR a efectos del EUDR: diligencia debida completa y declaración presentada ANTES de introducir en el mercado",IF($C$6=$A$46,"La chocolatería de taza NO está en el Anexo de la Ley 12/2012: el amparo frente a la licencia previa de actividad NO te cubre","Bombonería: el epígrafe 644.5 SÍ está en ese Anexo, hasta 750 metros cuadrados")),"")</f>
        <v>Bombonería: el epígrafe 644.5 SÍ está en ese Anexo, hasta 750 metros cuadrados</v>
      </c>
    </row>
    <row r="8"/>
    <row r="9">
      <c r="A9" s="4" t="inlineStr">
        <is>
          <t>BEAN-TO-BAR: la lista de la compra, SIN precios (D2)</t>
        </is>
      </c>
    </row>
    <row r="10" ht="30" customHeight="1">
      <c r="A10" s="7" t="inlineStr">
        <is>
          <t>Nº</t>
        </is>
      </c>
      <c r="B10" s="7" t="inlineStr">
        <is>
          <t>Equipo del tren bean-to-bar</t>
        </is>
      </c>
      <c r="C10" s="7" t="inlineStr">
        <is>
          <t>¿Lo necesitas?</t>
        </is>
      </c>
      <c r="D10" s="7" t="inlineStr">
        <is>
          <t>¿Tienes precio por escrito?</t>
        </is>
      </c>
      <c r="E10" s="7" t="inlineStr">
        <is>
          <t>Plazo prometido (semanas)</t>
        </is>
      </c>
      <c r="F10" s="7" t="inlineStr">
        <is>
          <t>Notas</t>
        </is>
      </c>
    </row>
    <row r="11">
      <c r="A11" s="14" t="n">
        <v>1</v>
      </c>
      <c r="B11" s="9" t="inlineStr">
        <is>
          <t>Tostador de grano</t>
        </is>
      </c>
      <c r="C11" s="13" t="inlineStr">
        <is>
          <t>No</t>
        </is>
      </c>
      <c r="D11" s="13" t="inlineStr">
        <is>
          <t>No</t>
        </is>
      </c>
      <c r="E11" s="19" t="n">
        <v>0</v>
      </c>
      <c r="F11" s="9" t="inlineStr"/>
    </row>
    <row r="12">
      <c r="A12" s="14" t="n">
        <v>2</v>
      </c>
      <c r="B12" s="9" t="inlineStr">
        <is>
          <t>Bandeja de enfriado</t>
        </is>
      </c>
      <c r="C12" s="13" t="inlineStr">
        <is>
          <t>No</t>
        </is>
      </c>
      <c r="D12" s="13" t="inlineStr">
        <is>
          <t>No</t>
        </is>
      </c>
      <c r="E12" s="19" t="n">
        <v>0</v>
      </c>
      <c r="F12" s="9" t="inlineStr"/>
    </row>
    <row r="13">
      <c r="A13" s="14" t="n">
        <v>3</v>
      </c>
      <c r="B13" s="9" t="inlineStr">
        <is>
          <t>Descascarilladora</t>
        </is>
      </c>
      <c r="C13" s="13" t="inlineStr">
        <is>
          <t>No</t>
        </is>
      </c>
      <c r="D13" s="13" t="inlineStr">
        <is>
          <t>No</t>
        </is>
      </c>
      <c r="E13" s="19" t="n">
        <v>0</v>
      </c>
      <c r="F13" s="9" t="inlineStr"/>
    </row>
    <row r="14">
      <c r="A14" s="14" t="n">
        <v>4</v>
      </c>
      <c r="B14" s="9" t="inlineStr">
        <is>
          <t>Winnower (aventadora)</t>
        </is>
      </c>
      <c r="C14" s="13" t="inlineStr">
        <is>
          <t>No</t>
        </is>
      </c>
      <c r="D14" s="13" t="inlineStr">
        <is>
          <t>No</t>
        </is>
      </c>
      <c r="E14" s="19" t="n">
        <v>0</v>
      </c>
      <c r="F14" s="9" t="inlineStr"/>
    </row>
    <row r="15">
      <c r="A15" s="14" t="n">
        <v>5</v>
      </c>
      <c r="B15" s="9" t="inlineStr">
        <is>
          <t>Melanger o refinadora de piedra</t>
        </is>
      </c>
      <c r="C15" s="13" t="inlineStr">
        <is>
          <t>No</t>
        </is>
      </c>
      <c r="D15" s="13" t="inlineStr">
        <is>
          <t>No</t>
        </is>
      </c>
      <c r="E15" s="19" t="n">
        <v>0</v>
      </c>
      <c r="F15" s="9" t="inlineStr"/>
    </row>
    <row r="16">
      <c r="A16" s="14" t="n">
        <v>6</v>
      </c>
      <c r="B16" s="9" t="inlineStr">
        <is>
          <t>Concha</t>
        </is>
      </c>
      <c r="C16" s="13" t="inlineStr">
        <is>
          <t>No</t>
        </is>
      </c>
      <c r="D16" s="13" t="inlineStr">
        <is>
          <t>No</t>
        </is>
      </c>
      <c r="E16" s="19" t="n">
        <v>0</v>
      </c>
      <c r="F16" s="9" t="inlineStr"/>
    </row>
    <row r="17">
      <c r="A17" s="14" t="n">
        <v>7</v>
      </c>
      <c r="B17" s="9" t="inlineStr">
        <is>
          <t>Prensa de manteca (solo si separas manteca)</t>
        </is>
      </c>
      <c r="C17" s="13" t="inlineStr">
        <is>
          <t>No</t>
        </is>
      </c>
      <c r="D17" s="13" t="inlineStr">
        <is>
          <t>No</t>
        </is>
      </c>
      <c r="E17" s="19" t="n">
        <v>0</v>
      </c>
      <c r="F17" s="9" t="inlineStr"/>
    </row>
    <row r="18">
      <c r="A18" s="14" t="n">
        <v>8</v>
      </c>
      <c r="B18" s="9" t="inlineStr">
        <is>
          <t>Tamizadora</t>
        </is>
      </c>
      <c r="C18" s="13" t="inlineStr">
        <is>
          <t>No</t>
        </is>
      </c>
      <c r="D18" s="13" t="inlineStr">
        <is>
          <t>No</t>
        </is>
      </c>
      <c r="E18" s="19" t="n">
        <v>0</v>
      </c>
      <c r="F18" s="9" t="inlineStr"/>
    </row>
    <row r="19">
      <c r="A19" s="14" t="n">
        <v>9</v>
      </c>
      <c r="B19" s="9" t="inlineStr">
        <is>
          <t>Balanza de precisión para la formulación</t>
        </is>
      </c>
      <c r="C19" s="13" t="inlineStr">
        <is>
          <t>No</t>
        </is>
      </c>
      <c r="D19" s="13" t="inlineStr">
        <is>
          <t>No</t>
        </is>
      </c>
      <c r="E19" s="19" t="n">
        <v>0</v>
      </c>
      <c r="F19" s="9" t="inlineStr"/>
    </row>
    <row r="20">
      <c r="A20" s="24" t="n"/>
      <c r="B20" s="24" t="inlineStr">
        <is>
          <t>Equipos que dices necesitar</t>
        </is>
      </c>
      <c r="C20" s="27">
        <f>IFERROR(COUNTIF(C11:C19,"Sí"),"")</f>
        <v>0.0</v>
      </c>
      <c r="D20" s="27">
        <f>IFERROR(COUNTIF(D11:D19,"Sí"),"")</f>
        <v>0.0</v>
      </c>
      <c r="E20" s="27">
        <f>IFERROR(MAX(E11:E19),"")</f>
        <v>0.0</v>
      </c>
      <c r="F20" s="28" t="inlineStr">
        <is>
          <t>Equipos que necesitas · con precio por escrito · plazo más largo prometido. Mientras las dos primeras cifras no coincidan, no tienes un presupuesto: tienes una intención.</t>
        </is>
      </c>
    </row>
    <row r="21"/>
    <row r="22">
      <c r="A22" s="4" t="inlineStr">
        <is>
          <t>Las cinco preguntas que hay que hacerle al fabricante</t>
        </is>
      </c>
    </row>
    <row r="23" ht="30" customHeight="1">
      <c r="A23" s="7" t="inlineStr">
        <is>
          <t>Nº</t>
        </is>
      </c>
      <c r="B23" s="7" t="inlineStr">
        <is>
          <t>Pregunta</t>
        </is>
      </c>
      <c r="C23" s="7" t="inlineStr">
        <is>
          <t>¿Te la han contestado?</t>
        </is>
      </c>
      <c r="D23" s="7" t="inlineStr">
        <is>
          <t>Quién te contestó</t>
        </is>
      </c>
      <c r="E23" s="7" t="inlineStr">
        <is>
          <t>Fecha</t>
        </is>
      </c>
      <c r="F23" s="7" t="inlineStr">
        <is>
          <t>Por qué importa</t>
        </is>
      </c>
    </row>
    <row r="24" ht="40" customHeight="1">
      <c r="A24" s="14" t="n">
        <v>1</v>
      </c>
      <c r="B24" s="9" t="inlineStr">
        <is>
          <t>Precio de la máquina puesta en España, con transporte, aduana y puesta en marcha desglosados: los catálogos existen y están verificados, pero los precios NO son publicos (venta a presupuesto o tienda fuera de la UE).</t>
        </is>
      </c>
      <c r="C24" s="13" t="inlineStr">
        <is>
          <t>No</t>
        </is>
      </c>
      <c r="D24" s="6" t="inlineStr">
        <is>
          <t>Pendiente</t>
        </is>
      </c>
      <c r="E24" s="29" t="n">
        <v>46277</v>
      </c>
      <c r="F24" s="9" t="inlineStr"/>
    </row>
    <row r="25" ht="40" customHeight="1">
      <c r="A25" s="14" t="n">
        <v>2</v>
      </c>
      <c r="B25" s="9" t="inlineStr">
        <is>
          <t>Plazo de entrega real y quien hace el mantenimiento en España.</t>
        </is>
      </c>
      <c r="C25" s="13" t="inlineStr">
        <is>
          <t>No</t>
        </is>
      </c>
      <c r="D25" s="6" t="inlineStr">
        <is>
          <t>Pendiente</t>
        </is>
      </c>
      <c r="E25" s="29" t="n">
        <v>46277</v>
      </c>
      <c r="F25" s="9" t="inlineStr"/>
    </row>
    <row r="26" ht="40" customHeight="1">
      <c r="A26" s="14" t="n">
        <v>3</v>
      </c>
      <c r="B26" s="9" t="inlineStr">
        <is>
          <t>Potencia eléctrica y si necesita trifasica.</t>
        </is>
      </c>
      <c r="C26" s="13" t="inlineStr">
        <is>
          <t>No</t>
        </is>
      </c>
      <c r="D26" s="6" t="inlineStr">
        <is>
          <t>Pendiente</t>
        </is>
      </c>
      <c r="E26" s="29" t="n">
        <v>46277</v>
      </c>
      <c r="F26" s="9" t="inlineStr"/>
    </row>
    <row r="27" ht="40" customHeight="1">
      <c r="A27" s="14" t="n">
        <v>4</v>
      </c>
      <c r="B27" s="9" t="inlineStr">
        <is>
          <t>Ruido en dB a un metro: el tostador y el winnower son los dos equipos ruidosos de un obrador que por lo demás es silencioso.</t>
        </is>
      </c>
      <c r="C27" s="13" t="inlineStr">
        <is>
          <t>No</t>
        </is>
      </c>
      <c r="D27" s="6" t="inlineStr">
        <is>
          <t>Pendiente</t>
        </is>
      </c>
      <c r="E27" s="29" t="n">
        <v>46277</v>
      </c>
      <c r="F27" s="9" t="inlineStr"/>
    </row>
    <row r="28" ht="40" customHeight="1">
      <c r="A28" s="14" t="n">
        <v>5</v>
      </c>
      <c r="B28" s="9" t="inlineStr">
        <is>
          <t>Rendimiento en kg de grano por hora y merma de cascarilla.</t>
        </is>
      </c>
      <c r="C28" s="13" t="inlineStr">
        <is>
          <t>No</t>
        </is>
      </c>
      <c r="D28" s="6" t="inlineStr">
        <is>
          <t>Pendiente</t>
        </is>
      </c>
      <c r="E28" s="29" t="n">
        <v>46277</v>
      </c>
      <c r="F28" s="9" t="inlineStr"/>
    </row>
    <row r="29">
      <c r="A29" s="24" t="n"/>
      <c r="B29" s="24" t="inlineStr">
        <is>
          <t>Preguntas contestadas POR ESCRITO</t>
        </is>
      </c>
      <c r="C29" s="27">
        <f>IFERROR(COUNTIF(C24:C28,"Sí"),"")</f>
        <v>0.0</v>
      </c>
      <c r="D29" s="24" t="n"/>
      <c r="E29" s="24" t="n"/>
      <c r="F29" s="24" t="n"/>
    </row>
    <row r="30" ht="34" customHeight="1">
      <c r="B30" s="10" t="inlineStr">
        <is>
          <t>VEREDICTO DEL BEAN-TO-BAR</t>
        </is>
      </c>
      <c r="C30" s="30" t="str">
        <f>IFERROR(IF($C$6&lt;&gt;$A$45,"No es tu variante: no hay nada que presupuestar",IF(AND($C$20&gt;0,$D$20=$C$20,$C$29=5),"Ya puedes presupuestarlo: tienes precio y respuesta de todo lo que necesitas","Te faltan precios por escrito o respuestas: no cierres el CAPEX del bean-to-bar todavía")),"")</f>
        <v>No es tu variante: no hay nada que presupuestar</v>
      </c>
    </row>
    <row r="31"/>
    <row r="32">
      <c r="A32" s="4" t="inlineStr">
        <is>
          <t>TAZA Y CHURROS: lo único con precio verificado, y lo que no lo tiene</t>
        </is>
      </c>
    </row>
    <row r="33" ht="26" customHeight="1">
      <c r="A33" s="7" t="inlineStr">
        <is>
          <t>Nº</t>
        </is>
      </c>
      <c r="B33" s="7" t="inlineStr">
        <is>
          <t>Equipo</t>
        </is>
      </c>
      <c r="C33" s="7" t="inlineStr">
        <is>
          <t>Precio (€, sin IVA)</t>
        </is>
      </c>
      <c r="D33" s="7" t="inlineStr">
        <is>
          <t>¿Lo necesitas?</t>
        </is>
      </c>
      <c r="E33" s="7" t="inlineStr">
        <is>
          <t>Fuente</t>
        </is>
      </c>
      <c r="F33" s="7" t="inlineStr">
        <is>
          <t>Notas</t>
        </is>
      </c>
    </row>
    <row r="34">
      <c r="A34" s="14" t="n">
        <v>1</v>
      </c>
      <c r="B34" s="9" t="inlineStr">
        <is>
          <t>Chocolatera Ugolini Delice 3 (3 L)</t>
        </is>
      </c>
      <c r="C34" s="16" t="n">
        <v>527</v>
      </c>
      <c r="D34" s="13" t="inlineStr">
        <is>
          <t>No</t>
        </is>
      </c>
      <c r="E34" t="inlineStr">
        <is>
          <t>CHS-46a</t>
        </is>
      </c>
      <c r="F34" s="9" t="inlineStr">
        <is>
          <t>Base sin IVA declarada por la ficha. Es la única línea de esta variante con precio público verificado.</t>
        </is>
      </c>
    </row>
    <row r="35" ht="30" customHeight="1">
      <c r="A35" s="14" t="n">
        <v>2</v>
      </c>
      <c r="B35" s="9" t="inlineStr">
        <is>
          <t>Churrera</t>
        </is>
      </c>
      <c r="C35" t="inlineStr"/>
      <c r="D35" s="13" t="inlineStr">
        <is>
          <t>No</t>
        </is>
      </c>
      <c r="E35" t="inlineStr">
        <is>
          <t>CHS-49 (sin verificar)</t>
        </is>
      </c>
      <c r="F35" s="9" t="inlineStr">
        <is>
          <t>SIN PRECIO: los precios de churrera, freidora y extracción no están verificados. Presupuéstalo, no lo estimes.</t>
        </is>
      </c>
    </row>
    <row r="36" ht="30" customHeight="1">
      <c r="A36" s="14" t="n">
        <v>3</v>
      </c>
      <c r="B36" s="9" t="inlineStr">
        <is>
          <t>Freidora</t>
        </is>
      </c>
      <c r="C36" t="inlineStr"/>
      <c r="D36" s="13" t="inlineStr">
        <is>
          <t>No</t>
        </is>
      </c>
      <c r="E36" t="inlineStr">
        <is>
          <t>CHS-49 (sin verificar)</t>
        </is>
      </c>
      <c r="F36" s="9" t="inlineStr">
        <is>
          <t>SIN PRECIO: los precios de churrera, freidora y extracción no están verificados. Presupuéstalo, no lo estimes.</t>
        </is>
      </c>
    </row>
    <row r="37" ht="30" customHeight="1">
      <c r="A37" s="14" t="n">
        <v>4</v>
      </c>
      <c r="B37" s="9" t="inlineStr">
        <is>
          <t>Extracción de humos</t>
        </is>
      </c>
      <c r="C37" t="inlineStr"/>
      <c r="D37" s="13" t="inlineStr">
        <is>
          <t>No</t>
        </is>
      </c>
      <c r="E37" t="inlineStr">
        <is>
          <t>CHS-49 (sin verificar)</t>
        </is>
      </c>
      <c r="F37" s="9" t="inlineStr">
        <is>
          <t>SIN PRECIO: los precios de churrera, freidora y extracción no están verificados. Presupuéstalo, no lo estimes.</t>
        </is>
      </c>
    </row>
    <row r="38" ht="30" customHeight="1">
      <c r="A38" s="14" t="n">
        <v>5</v>
      </c>
      <c r="B38" s="9" t="inlineStr">
        <is>
          <t>Campana y conducto a cubierta</t>
        </is>
      </c>
      <c r="C38" t="inlineStr"/>
      <c r="D38" s="13" t="inlineStr">
        <is>
          <t>No</t>
        </is>
      </c>
      <c r="E38" t="inlineStr">
        <is>
          <t>CHS-49 (sin verificar)</t>
        </is>
      </c>
      <c r="F38" s="9" t="inlineStr">
        <is>
          <t>SIN PRECIO: los precios de churrera, freidora y extracción no están verificados. Presupuéstalo, no lo estimes.</t>
        </is>
      </c>
    </row>
    <row r="39">
      <c r="A39" s="24" t="n"/>
      <c r="B39" s="24" t="inlineStr">
        <is>
          <t>Equipos de la variante que necesitas</t>
        </is>
      </c>
      <c r="C39" s="27">
        <f>IFERROR(COUNTIF(D34:D38,"Sí"),"")</f>
        <v>0.0</v>
      </c>
      <c r="D39" s="24" t="n"/>
      <c r="E39" s="24" t="n"/>
      <c r="F39" s="24" t="n"/>
    </row>
    <row r="40" ht="46" customHeight="1">
      <c r="B40" s="10" t="inlineStr">
        <is>
          <t>LO QUE TE OBLIGA ADEMÁS</t>
        </is>
      </c>
      <c r="C40" s="30" t="str">
        <f>IFERROR(IF($C$6&lt;&gt;$A$46,"No es tu variante","Si hay freidora de gas, inspección periódica obligatoria de la instalación receptora CADA CINCO AÑOS, que en instalaciones de hasta 70 kW incluye los aparatos y comprueba la ventilación y el volumen mínimo del local "),"")</f>
        <v>No es tu variante</v>
      </c>
    </row>
    <row r="41"/>
    <row r="42">
      <c r="A42" s="4" t="inlineStr">
        <is>
          <t>Listas de validación (no las borres: las usan los desplegables)</t>
        </is>
      </c>
    </row>
    <row r="43">
      <c r="A43" s="10" t="inlineStr">
        <is>
          <t>Variante</t>
        </is>
      </c>
      <c r="B43" s="10" t="inlineStr">
        <is>
          <t>Sí o No</t>
        </is>
      </c>
    </row>
    <row r="44">
      <c r="A44" t="inlineStr">
        <is>
          <t>Bombonería (el caso del libro)</t>
        </is>
      </c>
      <c r="B44" t="inlineStr">
        <is>
          <t>Sí</t>
        </is>
      </c>
    </row>
    <row r="45">
      <c r="A45" t="inlineStr">
        <is>
          <t>Bombonería + bean-to-bar</t>
        </is>
      </c>
      <c r="B45" t="inlineStr">
        <is>
          <t>No</t>
        </is>
      </c>
    </row>
    <row r="46">
      <c r="A46" t="inlineStr">
        <is>
          <t>Bombonería + taza y churros</t>
        </is>
      </c>
    </row>
    <row r="47"/>
    <row r="48" ht="48" customHeight="1">
      <c r="A48" s="5" t="inlineStr">
        <is>
          <t>POR QUÉ EL BEAN-TO-BAR VA SIN CIFRAS: no existe precio público verificado del tren completo. Los catálogos existen y están comprobados, pero la venta es a presupuesto o desde tiendas fuera de la Unión. Inventar aquí un número sería justo el patrón que esta casa prohíbe, y en una máquina de tostar el error se paga con la aduana dentro.</t>
        </is>
      </c>
    </row>
    <row r="49" ht="56" customHeight="1">
      <c r="A49" s="5" t="inlineStr">
        <is>
          <t>Y sube de valor por dos motivos legales: si importas grano eres OPERADOR a efectos del reglamento de deforestación -diligencia debida completa, declaración presentada previamente y registro durante cinco años-, y el TOSTADO te puede meter en el catálogo de actividades potencialmente contaminadoras de la atmósfera, cuya nota (2) sube de grupo C a B cuando la actividad está a menos de 500 metros de un núcleo de población: en ciudad, siempre.</t>
        </is>
      </c>
    </row>
    <row r="50" ht="40" customHeight="1">
      <c r="A50" s="5" t="inlineStr">
        <is>
          <t>Ojo con el encaje: «cacao» y «chocolate» tienen CERO ocurrencias en ese catálogo, así que meter el tostado de cacao en «café o similares» es una INTERPRETACIÓN, no una mención expresa. Pregúntalo en tu comunidad antes de comprar el tostador.</t>
        </is>
      </c>
    </row>
    <row r="51"/>
    <row r="52">
      <c r="A52" s="9" t="inlineStr">
        <is>
          <t>Diseñado por John Guerrero — chef y consultor gastronómico desde 2010, en cocina desde los 17 años.</t>
        </is>
      </c>
    </row>
    <row r="53">
      <c r="A53" s="9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12">
    <mergeCell ref="A48:F48"/>
    <mergeCell ref="A50:F50"/>
    <mergeCell ref="A7:B7"/>
    <mergeCell ref="C40:F40"/>
    <mergeCell ref="D6:F6"/>
    <mergeCell ref="C7:F7"/>
    <mergeCell ref="A3:F3"/>
    <mergeCell ref="A53:C53"/>
    <mergeCell ref="A6:B6"/>
    <mergeCell ref="A49:F49"/>
    <mergeCell ref="A52:C52"/>
    <mergeCell ref="C30:F30"/>
  </mergeCells>
  <dataValidations count="3">
    <dataValidation sqref="C6" showDropDown="0" showInputMessage="0" showErrorMessage="1" allowBlank="0" errorTitle="Elige una variante" error="Elige una de las tres opciones de la lista del pie de la hoja." type="list">
      <formula1>=$A$44:$A$46</formula1>
    </dataValidation>
    <dataValidation sqref="C11 C12 C13 C14 C15 C16 C17 C18 C19 C24 C25 C26 C27 C28 D11 D12 D13 D14 D15 D16 D17 D18 D19 D34 D35 D36 D37 D38" showDropDown="0" showInputMessage="0" showErrorMessage="1" allowBlank="0" errorTitle="Marca Sí o No" error="Elige «Sí» o «No» de la lista del pie de la hoja." type="list">
      <formula1>=$B$44:$B$45</formula1>
    </dataValidation>
    <dataValidation sqref="E11 E12 E13 E14 E15 E16 E17 E18 E19" showDropDown="0" showInputMessage="0" showErrorMessage="1" allowBlank="1" errorTitle="Plazo prometido" error="Escribe el plazo en SEMANAS (0 a 104)." type="decimal" operator="between">
      <formula1>0</formula1>
      <formula2>104</formula2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46" customWidth="1" min="4" max="4"/>
    <col width="10" customWidth="1" min="5" max="5"/>
    <col width="13" customWidth="1" min="6" max="6"/>
    <col width="20" customWidth="1" min="7" max="7"/>
    <col width="15" customWidth="1" min="8" max="8"/>
    <col width="24" customWidth="1" min="9" max="9"/>
    <col width="14" customWidth="1" min="10" max="10"/>
    <col width="14" customWidth="1" min="11" max="11"/>
    <col width="15" customWidth="1" min="12" max="12"/>
    <col width="12" customWidth="1" min="13" max="13"/>
    <col width="54" customWidth="1" min="14" max="14"/>
    <col width="46" customWidth="1" min="15" max="15"/>
    <col width="78" customWidth="1" min="16" max="16"/>
  </cols>
  <sheetData>
    <row r="1" ht="28" customHeight="1">
      <c r="A1" s="1" t="inlineStr">
        <is>
          <t>Proveedores: Operador, Operador Posterior o Comerciante</t>
        </is>
      </c>
    </row>
    <row r="2">
      <c r="A2" t="inlineStr">
        <is>
          <t>AI Chef Pro · aichef.pro — Cómo Montar una Chocolatería</t>
        </is>
      </c>
    </row>
    <row r="3" ht="26" customHeight="1">
      <c r="A3" s="5" t="inlineStr">
        <is>
          <t>Cinco con URL comprobada el 12-09-2026 y uno (SelfPackaging) pendiente: HTTP 403 ese día. La columna que decide es la G: el número de referencia de la declaración de diligencia debida SÓLO se le pide a un operador. Pedírselo a un comerciante es pedirle algo que no tiene.</t>
        </is>
      </c>
    </row>
    <row r="4"/>
    <row r="5">
      <c r="A5" s="4" t="inlineStr">
        <is>
          <t>Los seis proveedores publicados</t>
        </is>
      </c>
    </row>
    <row r="6" ht="52" customHeight="1">
      <c r="A6" s="7" t="inlineStr">
        <is>
          <t>Nº</t>
        </is>
      </c>
      <c r="B6" s="7" t="inlineStr">
        <is>
          <t>Proveedor</t>
        </is>
      </c>
      <c r="C6" s="7" t="inlineStr">
        <is>
          <t>Qué te vende</t>
        </is>
      </c>
      <c r="D6" s="7" t="inlineStr">
        <is>
          <t>URL</t>
        </is>
      </c>
      <c r="E6" s="7" t="inlineStr">
        <is>
          <t>Id</t>
        </is>
      </c>
      <c r="F6" s="7" t="inlineStr">
        <is>
          <t>¿Trabajas con él?</t>
        </is>
      </c>
      <c r="G6" s="7" t="inlineStr">
        <is>
          <t>¿Operador, operador posterior o comerciante?</t>
        </is>
      </c>
      <c r="H6" s="7" t="inlineStr">
        <is>
          <t>¿Te ha dado el nº de su DDS?</t>
        </is>
      </c>
      <c r="I6" s="7" t="inlineStr">
        <is>
          <t>Nº de referencia de la DDS</t>
        </is>
      </c>
      <c r="J6" s="7" t="inlineStr">
        <is>
          <t>¿Boletín de cadmio?</t>
        </is>
      </c>
      <c r="K6" s="7" t="inlineStr">
        <is>
          <t>¿Boletín de HAP?</t>
        </is>
      </c>
      <c r="L6" s="7" t="inlineStr">
        <is>
          <t>Pedido mínimo (€)</t>
        </is>
      </c>
      <c r="M6" s="7" t="inlineStr">
        <is>
          <t>Plazo (días)</t>
        </is>
      </c>
      <c r="N6" s="7" t="inlineStr">
        <is>
          <t>Qué papeles le tocan a ÉL</t>
        </is>
      </c>
      <c r="O6" s="7" t="inlineStr">
        <is>
          <t>Semáforo de documentación</t>
        </is>
      </c>
      <c r="P6" s="7" t="inlineStr">
        <is>
          <t>Por qué está en la lista</t>
        </is>
      </c>
    </row>
    <row r="7" ht="60" customHeight="1">
      <c r="A7" s="14" t="n">
        <v>1</v>
      </c>
      <c r="B7" s="9" t="inlineStr">
        <is>
          <t>Callebaut / Barry Callebaut Ibérica</t>
        </is>
      </c>
      <c r="C7" s="9" t="inlineStr">
        <is>
          <t>Coberturas y chocolate profesional</t>
        </is>
      </c>
      <c r="D7" t="inlineStr">
        <is>
          <t>https://www.callebaut.com/es-ES/</t>
        </is>
      </c>
      <c r="E7" s="15" t="inlineStr">
        <is>
          <t>CHS-50</t>
        </is>
      </c>
      <c r="F7" s="13" t="inlineStr">
        <is>
          <t>No</t>
        </is>
      </c>
      <c r="G7" s="6" t="inlineStr">
        <is>
          <t>No lo sé</t>
        </is>
      </c>
      <c r="H7" s="13" t="inlineStr">
        <is>
          <t>No lo sé</t>
        </is>
      </c>
      <c r="I7" s="6" t="inlineStr">
        <is>
          <t>Pendiente de pedir</t>
        </is>
      </c>
      <c r="J7" s="13" t="inlineStr">
        <is>
          <t>No lo sé</t>
        </is>
      </c>
      <c r="K7" s="13" t="inlineStr">
        <is>
          <t>No lo sé</t>
        </is>
      </c>
      <c r="L7" s="18" t="n">
        <v>250</v>
      </c>
      <c r="M7" s="19" t="n">
        <v>7</v>
      </c>
      <c r="N7" s="26" t="str">
        <f>IFERROR(IF($G7="","",IF($G7=$A$30,"Sus datos Y el nº de referencia de su DDS (art. 5.3.a)",IF($G7="No aplica: no vende producto del Anexo I","No le pidas papeles EUDR: no vende producto del Anexo I",IF($G7="No lo sé","Pregúntaselo por escrito antes de comprar: de su respuesta depende qué papeles pedirle","Sus datos, su dirección y el producto: el nº de DDS NO se le pide por el art. 5.3.a)")))),"")</f>
        <v>Pregúntaselo por escrito antes de comprar: de su respuesta depende qué papeles pedirle</v>
      </c>
      <c r="O7" s="26" t="str">
        <f>IFERROR(IF($G7="","",IF($G7=$A$30,IF(AND($H7="Sí",$I7&lt;&gt;"Pendiente de pedir"),"Completa: tienes su nº de DDS","FALTA el nº de referencia de su DDS"),IF($G7="No aplica: no vende producto del Anexo I","No aplica: fuera del ámbito EUDR",IF($G7="No lo sé","Pregúntaselo por escrito antes de comprar",IF(OR($J7="No",$K7="No"),"Pídele los boletines de cadmio y de HAP","Completa para su papel en la cadena"))))),"")</f>
        <v>Pregúntaselo por escrito antes de comprar</v>
      </c>
      <c r="P7" s="9" t="inlineStr">
        <is>
          <t>Mayor grupo del sector con presencia industrial en España. De aquí sale la referencia de precio del juego de datos (`CHS-28a`): Callebaut 811, bloque de 5 kg a 125,08 euros CON IVA, o sea 25,02 euros/kg.</t>
        </is>
      </c>
    </row>
    <row r="8" ht="60" customHeight="1">
      <c r="A8" s="14" t="n">
        <v>2</v>
      </c>
      <c r="B8" s="9" t="inlineStr">
        <is>
          <t>Asociación Chocolate Bean to Bar España</t>
        </is>
      </c>
      <c r="C8" s="9" t="inlineStr">
        <is>
          <t>Grano de cacao para bean-to-bar</t>
        </is>
      </c>
      <c r="D8" t="inlineStr">
        <is>
          <t>https://www.chocolatebeantobar.com/asociados/</t>
        </is>
      </c>
      <c r="E8" s="15" t="inlineStr">
        <is>
          <t>CHS-51</t>
        </is>
      </c>
      <c r="F8" s="13" t="inlineStr">
        <is>
          <t>No</t>
        </is>
      </c>
      <c r="G8" s="6" t="inlineStr">
        <is>
          <t>No lo sé</t>
        </is>
      </c>
      <c r="H8" s="13" t="inlineStr">
        <is>
          <t>No lo sé</t>
        </is>
      </c>
      <c r="I8" s="6" t="inlineStr">
        <is>
          <t>Pendiente de pedir</t>
        </is>
      </c>
      <c r="J8" s="13" t="inlineStr">
        <is>
          <t>No lo sé</t>
        </is>
      </c>
      <c r="K8" s="13" t="inlineStr">
        <is>
          <t>No lo sé</t>
        </is>
      </c>
      <c r="L8" s="18" t="n">
        <v>250</v>
      </c>
      <c r="M8" s="19" t="n">
        <v>7</v>
      </c>
      <c r="N8" s="26" t="str">
        <f>IFERROR(IF($G8="","",IF($G8=$A$30,"Sus datos Y el nº de referencia de su DDS (art. 5.3.a)",IF($G8="No aplica: no vende producto del Anexo I","No le pidas papeles EUDR: no vende producto del Anexo I",IF($G8="No lo sé","Pregúntaselo por escrito antes de comprar: de su respuesta depende qué papeles pedirle","Sus datos, su dirección y el producto: el nº de DDS NO se le pide por el art. 5.3.a)")))),"")</f>
        <v>Pregúntaselo por escrito antes de comprar: de su respuesta depende qué papeles pedirle</v>
      </c>
      <c r="O8" s="26" t="str">
        <f>IFERROR(IF($G8="","",IF($G8=$A$30,IF(AND($H8="Sí",$I8&lt;&gt;"Pendiente de pedir"),"Completa: tienes su nº de DDS","FALTA el nº de referencia de su DDS"),IF($G8="No aplica: no vende producto del Anexo I","No aplica: fuera del ámbito EUDR",IF($G8="No lo sé","Pregúntaselo por escrito antes de comprar",IF(OR($J8="No",$K8="No"),"Pídele los boletines de cadmio y de HAP","Completa para su papel en la cadena"))))),"")</f>
        <v>Pregúntaselo por escrito antes de comprar</v>
      </c>
      <c r="P8" s="9" t="inlineStr">
        <is>
          <t>La vía fiable para el grano: su listado publico permite identificar a los makers y a los importadores. Se publica como «MAS DE 40 MIEMBROS», nunca con una cifra cerrada (`N-18` prohíbe «45 miembros»). Ojo: las webs individuales de los proveedores de grano NO se abrieron, así que no se publica ninguna.</t>
        </is>
      </c>
    </row>
    <row r="9" ht="60" customHeight="1">
      <c r="A9" s="14" t="n">
        <v>3</v>
      </c>
      <c r="B9" s="9" t="inlineStr">
        <is>
          <t>Utilcentre</t>
        </is>
      </c>
      <c r="C9" s="9" t="inlineStr">
        <is>
          <t>Maquinaria de chocolate (distribuidor Selmi y Pavoni)</t>
        </is>
      </c>
      <c r="D9" t="inlineStr">
        <is>
          <t>https://www.utilcentre.com/maquinaria-chocolate.html</t>
        </is>
      </c>
      <c r="E9" s="15" t="inlineStr">
        <is>
          <t>CHS-52</t>
        </is>
      </c>
      <c r="F9" s="13" t="inlineStr">
        <is>
          <t>No</t>
        </is>
      </c>
      <c r="G9" s="6" t="inlineStr">
        <is>
          <t>No aplica: no vende producto del Anexo I</t>
        </is>
      </c>
      <c r="H9" s="13" t="inlineStr">
        <is>
          <t>No lo sé</t>
        </is>
      </c>
      <c r="I9" s="6" t="inlineStr">
        <is>
          <t>Pendiente de pedir</t>
        </is>
      </c>
      <c r="J9" s="13" t="inlineStr">
        <is>
          <t>No lo sé</t>
        </is>
      </c>
      <c r="K9" s="13" t="inlineStr">
        <is>
          <t>No lo sé</t>
        </is>
      </c>
      <c r="L9" s="18" t="n">
        <v>250</v>
      </c>
      <c r="M9" s="19" t="n">
        <v>7</v>
      </c>
      <c r="N9" s="26" t="str">
        <f>IFERROR(IF($G9="","",IF($G9=$A$30,"Sus datos Y el nº de referencia de su DDS (art. 5.3.a)",IF($G9="No aplica: no vende producto del Anexo I","No le pidas papeles EUDR: no vende producto del Anexo I",IF($G9="No lo sé","Pregúntaselo por escrito antes de comprar: de su respuesta depende qué papeles pedirle","Sus datos, su dirección y el producto: el nº de DDS NO se le pide por el art. 5.3.a)")))),"")</f>
        <v>No le pidas papeles EUDR: no vende producto del Anexo I</v>
      </c>
      <c r="O9" s="26" t="str">
        <f>IFERROR(IF($G9="","",IF($G9=$A$30,IF(AND($H9="Sí",$I9&lt;&gt;"Pendiente de pedir"),"Completa: tienes su nº de DDS","FALTA el nº de referencia de su DDS"),IF($G9="No aplica: no vende producto del Anexo I","No aplica: fuera del ámbito EUDR",IF($G9="No lo sé","Pregúntaselo por escrito antes de comprar",IF(OR($J9="No",$K9="No"),"Pídele los boletines de cadmio y de HAP","Completa para su papel en la cadena"))))),"")</f>
        <v>No aplica: fuera del ámbito EUDR</v>
      </c>
      <c r="P9" s="9" t="inlineStr">
        <is>
          <t>Precios publicos, y es de donde salen `CHS-41a` a `CHS-41j` y `CHS-42a` a `CHS-42j`. Base de IVA NO declarada en casi todas sus fichas: es exactamente la trampa que explica el cap. 08.</t>
        </is>
      </c>
    </row>
    <row r="10" ht="60" customHeight="1">
      <c r="A10" s="14" t="n">
        <v>4</v>
      </c>
      <c r="B10" s="9" t="inlineStr">
        <is>
          <t>RestorHome</t>
        </is>
      </c>
      <c r="C10" s="9" t="inlineStr">
        <is>
          <t>Moldes de bombonería y utensilios</t>
        </is>
      </c>
      <c r="D10" t="inlineStr">
        <is>
          <t>https://www.restorhome.es/471-moldes-bomboneria-Chocolate-World</t>
        </is>
      </c>
      <c r="E10" s="15" t="inlineStr">
        <is>
          <t>CHS-53</t>
        </is>
      </c>
      <c r="F10" s="13" t="inlineStr">
        <is>
          <t>No</t>
        </is>
      </c>
      <c r="G10" s="6" t="inlineStr">
        <is>
          <t>No lo sé</t>
        </is>
      </c>
      <c r="H10" s="13" t="inlineStr">
        <is>
          <t>No lo sé</t>
        </is>
      </c>
      <c r="I10" s="6" t="inlineStr">
        <is>
          <t>Pendiente de pedir</t>
        </is>
      </c>
      <c r="J10" s="13" t="inlineStr">
        <is>
          <t>No lo sé</t>
        </is>
      </c>
      <c r="K10" s="13" t="inlineStr">
        <is>
          <t>No lo sé</t>
        </is>
      </c>
      <c r="L10" s="18" t="n">
        <v>250</v>
      </c>
      <c r="M10" s="19" t="n">
        <v>7</v>
      </c>
      <c r="N10" s="26" t="str">
        <f>IFERROR(IF($G10="","",IF($G10=$A$30,"Sus datos Y el nº de referencia de su DDS (art. 5.3.a)",IF($G10="No aplica: no vende producto del Anexo I","No le pidas papeles EUDR: no vende producto del Anexo I",IF($G10="No lo sé","Pregúntaselo por escrito antes de comprar: de su respuesta depende qué papeles pedirle","Sus datos, su dirección y el producto: el nº de DDS NO se le pide por el art. 5.3.a)")))),"")</f>
        <v>Pregúntaselo por escrito antes de comprar: de su respuesta depende qué papeles pedirle</v>
      </c>
      <c r="O10" s="26" t="str">
        <f>IFERROR(IF($G10="","",IF($G10=$A$30,IF(AND($H10="Sí",$I10&lt;&gt;"Pendiente de pedir"),"Completa: tienes su nº de DDS","FALTA el nº de referencia de su DDS"),IF($G10="No aplica: no vende producto del Anexo I","No aplica: fuera del ámbito EUDR",IF($G10="No lo sé","Pregúntaselo por escrito antes de comprar",IF(OR($J10="No",$K10="No"),"Pídele los boletines de cadmio y de HAP","Completa para su papel en la cadena"))))),"")</f>
        <v>Pregúntaselo por escrito antes de comprar</v>
      </c>
      <c r="P10" s="9" t="inlineStr">
        <is>
          <t>Moldes Chocolate World, Pavoni y Martellato. De aquí sale el rango de 24,20-42,83 euros/ud (`CHS-45a`) que el juego de datos publica COMO RANGO.</t>
        </is>
      </c>
    </row>
    <row r="11" ht="60" customHeight="1">
      <c r="A11" s="14" t="n">
        <v>5</v>
      </c>
      <c r="B11" s="9" t="inlineStr">
        <is>
          <t>SelfPackaging</t>
        </is>
      </c>
      <c r="C11" s="9" t="inlineStr">
        <is>
          <t>Packaging: cajas y estuches para bombones</t>
        </is>
      </c>
      <c r="D11" t="inlineStr">
        <is>
          <t>https://selfpackaging.es/90-cajas-para-bombones (web no accesible el 12-09-2026, HTTP 403: pendiente de comprobar)</t>
        </is>
      </c>
      <c r="E11" s="15" t="inlineStr">
        <is>
          <t>CHS-54</t>
        </is>
      </c>
      <c r="F11" s="13" t="inlineStr">
        <is>
          <t>No</t>
        </is>
      </c>
      <c r="G11" s="6" t="inlineStr">
        <is>
          <t>No aplica: no vende producto del Anexo I</t>
        </is>
      </c>
      <c r="H11" s="13" t="inlineStr">
        <is>
          <t>No lo sé</t>
        </is>
      </c>
      <c r="I11" s="6" t="inlineStr">
        <is>
          <t>Pendiente de pedir</t>
        </is>
      </c>
      <c r="J11" s="13" t="inlineStr">
        <is>
          <t>No lo sé</t>
        </is>
      </c>
      <c r="K11" s="13" t="inlineStr">
        <is>
          <t>No lo sé</t>
        </is>
      </c>
      <c r="L11" s="18" t="n">
        <v>250</v>
      </c>
      <c r="M11" s="19" t="n">
        <v>7</v>
      </c>
      <c r="N11" s="26" t="str">
        <f>IFERROR(IF($G11="","",IF($G11=$A$30,"Sus datos Y el nº de referencia de su DDS (art. 5.3.a)",IF($G11="No aplica: no vende producto del Anexo I","No le pidas papeles EUDR: no vende producto del Anexo I",IF($G11="No lo sé","Pregúntaselo por escrito antes de comprar: de su respuesta depende qué papeles pedirle","Sus datos, su dirección y el producto: el nº de DDS NO se le pide por el art. 5.3.a)")))),"")</f>
        <v>No le pidas papeles EUDR: no vende producto del Anexo I</v>
      </c>
      <c r="O11" s="26" t="str">
        <f>IFERROR(IF($G11="","",IF($G11=$A$30,IF(AND($H11="Sí",$I11&lt;&gt;"Pendiente de pedir"),"Completa: tienes su nº de DDS","FALTA el nº de referencia de su DDS"),IF($G11="No aplica: no vende producto del Anexo I","No aplica: fuera del ámbito EUDR",IF($G11="No lo sé","Pregúntaselo por escrito antes de comprar",IF(OR($J11="No",$K11="No"),"Pídele los boletines de cadmio y de HAP","Completa para su papel en la cadena"))))),"")</f>
        <v>No aplica: fuera del ámbito EUDR</v>
      </c>
      <c r="P11" s="9" t="inlineStr">
        <is>
          <t>Personalización con logo desde pocas unidades. Su web devolvió HTTP 403 al intentar leer precios, así que el packaging del CAPEX es SUPUESTO.</t>
        </is>
      </c>
    </row>
    <row r="12" ht="60" customHeight="1">
      <c r="A12" s="14" t="n">
        <v>6</v>
      </c>
      <c r="B12" s="9" t="inlineStr">
        <is>
          <t>Gift Campaign</t>
        </is>
      </c>
      <c r="C12" s="9" t="inlineStr">
        <is>
          <t>Regalo corporativo B2B</t>
        </is>
      </c>
      <c r="D12" t="inlineStr">
        <is>
          <t>https://www.giftcampaign.es/dulces-personalizados/chocolates.html</t>
        </is>
      </c>
      <c r="E12" s="15" t="inlineStr">
        <is>
          <t>CHS-55</t>
        </is>
      </c>
      <c r="F12" s="13" t="inlineStr">
        <is>
          <t>No</t>
        </is>
      </c>
      <c r="G12" s="6" t="inlineStr">
        <is>
          <t>No aplica: no vende producto del Anexo I</t>
        </is>
      </c>
      <c r="H12" s="13" t="inlineStr">
        <is>
          <t>No lo sé</t>
        </is>
      </c>
      <c r="I12" s="6" t="inlineStr">
        <is>
          <t>Pendiente de pedir</t>
        </is>
      </c>
      <c r="J12" s="13" t="inlineStr">
        <is>
          <t>No lo sé</t>
        </is>
      </c>
      <c r="K12" s="13" t="inlineStr">
        <is>
          <t>No lo sé</t>
        </is>
      </c>
      <c r="L12" s="18" t="n">
        <v>250</v>
      </c>
      <c r="M12" s="19" t="n">
        <v>7</v>
      </c>
      <c r="N12" s="26" t="str">
        <f>IFERROR(IF($G12="","",IF($G12=$A$30,"Sus datos Y el nº de referencia de su DDS (art. 5.3.a)",IF($G12="No aplica: no vende producto del Anexo I","No le pidas papeles EUDR: no vende producto del Anexo I",IF($G12="No lo sé","Pregúntaselo por escrito antes de comprar: de su respuesta depende qué papeles pedirle","Sus datos, su dirección y el producto: el nº de DDS NO se le pide por el art. 5.3.a)")))),"")</f>
        <v>No le pidas papeles EUDR: no vende producto del Anexo I</v>
      </c>
      <c r="O12" s="26" t="str">
        <f>IFERROR(IF($G12="","",IF($G12=$A$30,IF(AND($H12="Sí",$I12&lt;&gt;"Pendiente de pedir"),"Completa: tienes su nº de DDS","FALTA el nº de referencia de su DDS"),IF($G12="No aplica: no vende producto del Anexo I","No aplica: fuera del ámbito EUDR",IF($G12="No lo sé","Pregúntaselo por escrito antes de comprar",IF(OR($J12="No",$K12="No"),"Pídele los boletines de cadmio y de HAP","Completa para su papel en la cadena"))))),"")</f>
        <v>No aplica: fuera del ámbito EUDR</v>
      </c>
      <c r="P12" s="9" t="inlineStr">
        <is>
          <t>Dos reglas operativas verificadas del canal corporativo: plazo de entrega de 14-16 días desde la aprobación de la muestra virtual, y mínimos de fabricación de 10 a 25 cajas. El plazo es lo que decide si aceptas un pedido de empresa en diciembre.</t>
        </is>
      </c>
    </row>
    <row r="13"/>
    <row r="14">
      <c r="A14" s="4" t="inlineStr">
        <is>
          <t>Resumen de la cartera de proveedores</t>
        </is>
      </c>
    </row>
    <row r="15" ht="26" customHeight="1">
      <c r="A15" s="8" t="inlineStr">
        <is>
          <t>Proveedores publicados en esta hoja</t>
        </is>
      </c>
      <c r="F15" s="21">
        <f>COUNTIF($B$7:$B$12,"&lt;&gt;")</f>
        <v>6.0</v>
      </c>
      <c r="H15" s="5" t="inlineStr">
        <is>
          <t>Cinco con URL comprobada el 12-09-2026 y uno (SelfPackaging) pendiente, marcado en su fila. Los que el research recogió sin verificar no entran.</t>
        </is>
      </c>
    </row>
    <row r="16" ht="26" customHeight="1">
      <c r="A16" s="8" t="inlineStr">
        <is>
          <t>Proveedores con los que ya trabajas</t>
        </is>
      </c>
      <c r="F16" s="21">
        <f>COUNTIF($F$7:$F$12,"Sí")</f>
        <v>0.0</v>
      </c>
      <c r="H16" s="5" t="inlineStr">
        <is>
          <t>Empieza por dos o tres: abrir ficha en seis proveedores a la vez es una semana de papeleo y ningún descuento.</t>
        </is>
      </c>
    </row>
    <row r="17" ht="26" customHeight="1">
      <c r="A17" s="8" t="inlineStr">
        <is>
          <t>De ellos, OPERADORES (primera comercialización o exportación)</t>
        </is>
      </c>
      <c r="F17" s="21">
        <f>COUNTIF($G$7:$G$12,"operador")</f>
        <v>0.0</v>
      </c>
      <c r="H17" s="5" t="inlineStr">
        <is>
          <t>A éstos, y sólo a éstos, hay que pedirles el número de referencia de su declaración de diligencia debida.</t>
        </is>
      </c>
    </row>
    <row r="18" ht="26" customHeight="1">
      <c r="A18" s="8" t="inlineStr">
        <is>
          <t>De ellos, operadores posteriores</t>
        </is>
      </c>
      <c r="F18" s="21">
        <f>COUNTIF($G$7:$G$12,"operador posterior")</f>
        <v>0.0</v>
      </c>
      <c r="H18" s="5" t="inlineStr">
        <is>
          <t>Introducen en el mercado productos elaborados con otros YA amparados por una declaración. Es lo que normalmente será tu proveedor de cobertura.</t>
        </is>
      </c>
    </row>
    <row r="19" ht="26" customHeight="1">
      <c r="A19" s="8" t="inlineStr">
        <is>
          <t>De ellos, comerciantes</t>
        </is>
      </c>
      <c r="F19" s="21">
        <f>COUNTIF($G$7:$G$12,"comerciante")</f>
        <v>0.0</v>
      </c>
      <c r="H19" s="5" t="inlineStr">
        <is>
          <t>Ni introducen ni exportan: comercian dentro.</t>
        </is>
      </c>
    </row>
    <row r="20" ht="26" customHeight="1">
      <c r="A20" s="8" t="inlineStr">
        <is>
          <t>Proveedores a los que todavía no les has preguntado</t>
        </is>
      </c>
      <c r="F20" s="21">
        <f>IFERROR($F$15-($F$17+$F$18+$F$19),"")</f>
        <v>6.0</v>
      </c>
      <c r="H20" s="5" t="inlineStr">
        <is>
          <t>Mientras esta cifra no sea cero, no sabes qué papeles te faltan. Es una pregunta de dos líneas en un correo.</t>
        </is>
      </c>
    </row>
    <row r="21" ht="26" customHeight="1">
      <c r="A21" s="8" t="inlineStr">
        <is>
          <t>Operadores que todavía no te han dado su nº de DDS</t>
        </is>
      </c>
      <c r="F21" s="21">
        <f>SUMPRODUCT(--($G$7:$G$12="operador"),--($I$7:$I$12="Pendiente de pedir"))</f>
        <v>0.0</v>
      </c>
      <c r="H21" s="5" t="inlineStr">
        <is>
          <t>Sólo cuenta a los operadores: a los demás no se les pide, y un semáforo que se lo exigiera suspendería a proveedores que cumplen.</t>
        </is>
      </c>
    </row>
    <row r="22" ht="26" customHeight="1">
      <c r="A22" s="8" t="inlineStr">
        <is>
          <t>Proveedores que NO te dan boletín de cadmio</t>
        </is>
      </c>
      <c r="F22" s="21">
        <f>COUNTIF($J$7:$J$12,"No")</f>
        <v>0.0</v>
      </c>
      <c r="H22" s="5" t="inlineStr">
        <is>
          <t>El boletín del proveedor es la primera línea de defensa: la analítica propia es la segunda. La hoja «Cadmio y Analíticas» del libro 8 decide si te hace falta y con qué frecuencia.</t>
        </is>
      </c>
    </row>
    <row r="23" ht="26" customHeight="1">
      <c r="A23" s="8" t="inlineStr">
        <is>
          <t>Proveedores que NO te dan boletín de HAP</t>
        </is>
      </c>
      <c r="F23" s="21">
        <f>COUNTIF($K$7:$K$12,"No")</f>
        <v>0.0</v>
      </c>
      <c r="H23" s="5" t="inlineStr">
        <is>
          <t>Los hidrocarburos aromáticos policíclicos aparecen en el grano y en la fibra de cacao, no en la cobertura terminada: pídeselo sobre todo a quien te venda grano.</t>
        </is>
      </c>
    </row>
    <row r="24" ht="26" customHeight="1">
      <c r="A24" s="8" t="inlineStr">
        <is>
          <t>Pedido mínimo acumulado si pides a todos a la vez (€)</t>
        </is>
      </c>
      <c r="F24" s="22">
        <f>SUM($L$7:$L$12)</f>
        <v>1500.0</v>
      </c>
      <c r="H24" s="5" t="inlineStr">
        <is>
          <t>Es dinero parado en el almacén el día que menos caja tienes. Los pedidos mínimos que vienen puestos son SUPUESTOS: te los confirma cada comercial.</t>
        </is>
      </c>
    </row>
    <row r="25" ht="26" customHeight="1">
      <c r="A25" s="8" t="inlineStr">
        <is>
          <t>Plazo medio de entrega comprometido (días)</t>
        </is>
      </c>
      <c r="F25" s="31">
        <f>IFERROR(AVERAGE($M$7:$M$12),"")</f>
        <v>7.0</v>
      </c>
      <c r="H25" s="5" t="inlineStr">
        <is>
          <t>Con qué antelación tienes que pedir. La antelación de compra por campaña la calcula «campanas-y-valle-del-ano.xlsx».</t>
        </is>
      </c>
    </row>
    <row r="26" ht="40" customHeight="1">
      <c r="A26" s="8" t="inlineStr">
        <is>
          <t>VEREDICTO DE LA DOCUMENTACIÓN</t>
        </is>
      </c>
      <c r="F26" s="30" t="str">
        <f>IFERROR(IF($F$20&gt;0,"Te faltan proveedores por clasificar: pregúntales su papel en la cadena",IF($F$21&gt;0,"Te falta el nº de DDS de algún OPERADOR: sin él no puedes acreditar tu diligencia debida","Documentación coherente con tu papel en la cadena")),"")</f>
        <v>Te faltan proveedores por clasificar: pregúntales su papel en la cadena</v>
      </c>
      <c r="H26" s="5" t="inlineStr"/>
    </row>
    <row r="27"/>
    <row r="28">
      <c r="A28" s="4" t="inlineStr">
        <is>
          <t>Listas de validación (no las borres: las usan los desplegables)</t>
        </is>
      </c>
    </row>
    <row r="29">
      <c r="A29" s="10" t="inlineStr">
        <is>
          <t>Papel en la cadena</t>
        </is>
      </c>
      <c r="B29" s="10" t="inlineStr">
        <is>
          <t>Sí, No o No lo sé</t>
        </is>
      </c>
    </row>
    <row r="30">
      <c r="A30" t="inlineStr">
        <is>
          <t>operador</t>
        </is>
      </c>
      <c r="B30" t="inlineStr">
        <is>
          <t>Sí</t>
        </is>
      </c>
    </row>
    <row r="31">
      <c r="A31" t="inlineStr">
        <is>
          <t>operador posterior</t>
        </is>
      </c>
      <c r="B31" t="inlineStr">
        <is>
          <t>No</t>
        </is>
      </c>
    </row>
    <row r="32">
      <c r="A32" t="inlineStr">
        <is>
          <t>comerciante</t>
        </is>
      </c>
      <c r="B32" t="inlineStr">
        <is>
          <t>No lo sé</t>
        </is>
      </c>
    </row>
    <row r="33">
      <c r="A33" t="inlineStr">
        <is>
          <t>No lo sé</t>
        </is>
      </c>
    </row>
    <row r="34">
      <c r="A34" t="inlineStr">
        <is>
          <t>No aplica: no vende producto del Anexo I</t>
        </is>
      </c>
    </row>
    <row r="35"/>
    <row r="36" ht="48" customHeight="1">
      <c r="A36" s="5" t="inlineStr">
        <is>
          <t>Seis proveedores con URL comprobada el 12-09-2026. El research recogió muchos mas sin verificar y NO se publican. La columna «papel EUDR» va VACIA: la rellena el lector preguntando, y el número de DDS solo se pide en la rama «operador» (D48). Directorio del grupo: hosply.pro, y su TLS se comprueba ANTES de enlazarlo desde el cap. 13 (precedente: ingredientsindex.pro tiene el certificado roto y 62 posts del blog enlazan a un aviso de seguridad).</t>
        </is>
      </c>
    </row>
    <row r="37" ht="76" customHeight="1">
      <c r="A37" s="5" t="inlineStr">
        <is>
          <t>REDACCION OBLIGATORIA, y el paso es INFERENCIA DECLARADA, no nivel A: «si tu cobertura llega ya comercializada en la UE y amparada por una declaración de diligencia debida, eres operador posterior (art. 2.15 ter) y el aplazamiento del art. 38.3 -que es para operadores- no te alcanza: tu fecha es el 30 de diciembre de 2026. Si tu cobertura NO esta amparada (compra anterior al EUDR, proveedor que no lo acredita), la calificación deja de ser automática y hay que revisarla». Están PROHIBIDAS «siempre eres operador posterior» y «tu fecha es el 30-12-2026 pase lo que pase». Y la exclusión de los operadores posteriores del punto 15 se PARAFRASEA, no se entrecomilla: consta en la nota de `CHN-22`, no entre las 81 citas del gate de literalidad. Verificado a 12-09-2026: comprueba el estado del EUDR antes de comprar cacao.</t>
        </is>
      </c>
    </row>
    <row r="38" ht="28" customHeight="1">
      <c r="A38" s="5" t="inlineStr">
        <is>
          <t>Directorio HORECA del grupo, con su certificado comprobado antes de publicarlo: https://hosply.pro/?utm_source=guia-chocolateria-obrador&amp;utm_medium=producto&amp;utm_campaign=cap13-proveedores</t>
        </is>
      </c>
    </row>
    <row r="39" ht="40" customHeight="1">
      <c r="A39" s="5" t="inlineStr">
        <is>
          <t>Los pedidos mínimos, los plazos y la respuesta del papel en la cadena que vienen rellenos son SUPUESTOS para que la hoja funcione desde el primer minuto: no son las condiciones de estas empresas ni su clasificación real. Cada una te dará las suyas.</t>
        </is>
      </c>
    </row>
    <row r="40"/>
    <row r="41">
      <c r="A41" s="9" t="inlineStr">
        <is>
          <t>Diseñado por John Guerrero — chef y consultor gastronómico desde 2010, en cocina desde los 17 años.</t>
        </is>
      </c>
    </row>
    <row r="42">
      <c r="A42" s="9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32">
    <mergeCell ref="A39:P39"/>
    <mergeCell ref="H22:P22"/>
    <mergeCell ref="A24:E24"/>
    <mergeCell ref="A20:E20"/>
    <mergeCell ref="A36:P36"/>
    <mergeCell ref="H18:P18"/>
    <mergeCell ref="A38:P38"/>
    <mergeCell ref="H24:P24"/>
    <mergeCell ref="A25:E25"/>
    <mergeCell ref="H26:P26"/>
    <mergeCell ref="A21:E21"/>
    <mergeCell ref="H21:P21"/>
    <mergeCell ref="A41:C41"/>
    <mergeCell ref="A18:E18"/>
    <mergeCell ref="H15:P15"/>
    <mergeCell ref="H17:P17"/>
    <mergeCell ref="A23:E23"/>
    <mergeCell ref="H16:P16"/>
    <mergeCell ref="A22:E22"/>
    <mergeCell ref="H25:P25"/>
    <mergeCell ref="H20:P20"/>
    <mergeCell ref="A16:E16"/>
    <mergeCell ref="F26:G26"/>
    <mergeCell ref="A42:C42"/>
    <mergeCell ref="A19:E19"/>
    <mergeCell ref="H19:P19"/>
    <mergeCell ref="A3:P3"/>
    <mergeCell ref="A37:P37"/>
    <mergeCell ref="A26:E26"/>
    <mergeCell ref="A15:E15"/>
    <mergeCell ref="A17:E17"/>
    <mergeCell ref="H23:P23"/>
  </mergeCells>
  <conditionalFormatting sqref="F20">
    <cfRule type="expression" priority="1" dxfId="2" stopIfTrue="1">
      <formula>=AND(ISNUMBER($F$20),$F$20&gt;0)</formula>
    </cfRule>
  </conditionalFormatting>
  <conditionalFormatting sqref="F21">
    <cfRule type="expression" priority="2" dxfId="0" stopIfTrue="1">
      <formula>=AND(ISNUMBER($F$21),$F$21&gt;0)</formula>
    </cfRule>
  </conditionalFormatting>
  <conditionalFormatting sqref="F22">
    <cfRule type="expression" priority="3" dxfId="2" stopIfTrue="1">
      <formula>=AND(ISNUMBER($F$22),$F$22&gt;0)</formula>
    </cfRule>
  </conditionalFormatting>
  <dataValidations count="4">
    <dataValidation sqref="G7 G8 G9 G10 G11 G12" showDropDown="0" showInputMessage="0" showErrorMessage="1" allowBlank="0" errorTitle="Elige el papel en la cadena" error="Operador, operador posterior o comerciante si te vende producto del Anexo I; «No lo sé» mientras no se lo hayas preguntado, y «No aplica» si ni siquiera te vende un producto pertinente (maquinaria, moldes, packaging, regalo corporativo). La diferencia decide qué papeles pedirle." type="list">
      <formula1>=$A$30:$A$34</formula1>
    </dataValidation>
    <dataValidation sqref="F7 F8 F9 F10 F11 F12 H7 H8 H9 H10 H11 H12 J7 J8 J9 J10 J11 J12 K7 K8 K9 K10 K11 K12" showDropDown="0" showInputMessage="0" showErrorMessage="1" allowBlank="0" errorTitle="Marca Sí, No o No lo sé" error="Elige una de las tres opciones de la lista del pie." type="list">
      <formula1>=$B$30:$B$32</formula1>
    </dataValidation>
    <dataValidation sqref="L7 L8 L9 L10 L11 L12" showDropDown="0" showInputMessage="0" showErrorMessage="1" allowBlank="1" errorTitle="Pedido mínimo" error="Escribe el pedido mínimo en euros, sin IVA." type="decimal" operator="greaterThanOrEqual">
      <formula1>0</formula1>
    </dataValidation>
    <dataValidation sqref="M7 M8 M9 M10 M11 M12" showDropDown="0" showInputMessage="0" showErrorMessage="1" allowBlank="1" errorTitle="Plazo" error="Escribe el plazo de entrega en días (0 a 180)." type="decimal" operator="between">
      <formula1>0</formula1>
      <formula2>180</formula2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26" customWidth="1" min="4" max="4"/>
    <col width="30" customWidth="1" min="5" max="5"/>
    <col width="44" customWidth="1" min="6" max="6"/>
    <col width="15" customWidth="1" min="7" max="7"/>
    <col width="17" customWidth="1" min="8" max="8"/>
    <col width="17" customWidth="1" min="9" max="9"/>
    <col width="62" customWidth="1" min="10" max="10"/>
  </cols>
  <sheetData>
    <row r="1" ht="28" customHeight="1">
      <c r="A1" s="1" t="inlineStr">
        <is>
          <t>Clientes a los que Suministras: El Registro del Art. 5.3.b)</t>
        </is>
      </c>
    </row>
    <row r="2">
      <c r="A2" t="inlineStr">
        <is>
          <t>AI Chef Pro · aichef.pro — Cómo Montar una Chocolatería</t>
        </is>
      </c>
    </row>
    <row r="3" ht="26" customHeight="1">
      <c r="A3" s="5" t="inlineStr">
        <is>
          <t>La tabla que no existe en ningún otro libro del catálogo. El mismo artículo que te hace guardar los datos de tus proveedores te obliga a registrar a los operadores posteriores y comerciantes A LOS QUE TÚ HAS SUMINISTRADO. Se conserva cinco años.</t>
        </is>
      </c>
    </row>
    <row r="4"/>
    <row r="5">
      <c r="A5" s="4" t="inlineStr">
        <is>
          <t>Parámetro de esta hoja</t>
        </is>
      </c>
    </row>
    <row r="6">
      <c r="A6" s="10" t="inlineStr">
        <is>
          <t>Años que hay que conservar el registro</t>
        </is>
      </c>
      <c r="C6" s="19" t="n">
        <v>5</v>
      </c>
      <c r="D6" s="5" t="inlineStr">
        <is>
          <t>Cinco años, y de ahí sale la columna «Conservar hasta». Está en celda verde porque es un parámetro normativo: si cambia, se cambia aquí y no en once fórmulas.</t>
        </is>
      </c>
    </row>
    <row r="7"/>
    <row r="8">
      <c r="A8" s="4" t="inlineStr">
        <is>
          <t>A quién le has suministrado, qué y cuándo</t>
        </is>
      </c>
    </row>
    <row r="9" ht="36" customHeight="1">
      <c r="A9" s="7" t="inlineStr">
        <is>
          <t>Nº</t>
        </is>
      </c>
      <c r="B9" s="7" t="inlineStr">
        <is>
          <t>Nombre del cliente</t>
        </is>
      </c>
      <c r="C9" s="7" t="inlineStr">
        <is>
          <t>Dirección o población</t>
        </is>
      </c>
      <c r="D9" s="7" t="inlineStr">
        <is>
          <t>Tipo</t>
        </is>
      </c>
      <c r="E9" s="7" t="inlineStr">
        <is>
          <t>Canal</t>
        </is>
      </c>
      <c r="F9" s="7" t="inlineStr">
        <is>
          <t>Producto suministrado</t>
        </is>
      </c>
      <c r="G9" s="7" t="inlineStr">
        <is>
          <t>Primer suministro</t>
        </is>
      </c>
      <c r="H9" s="7" t="inlineStr">
        <is>
          <t>¿Inscrito en el RGSEAA?</t>
        </is>
      </c>
      <c r="I9" s="7" t="inlineStr">
        <is>
          <t>Conservar hasta</t>
        </is>
      </c>
      <c r="J9" s="7" t="inlineStr">
        <is>
          <t>Notas</t>
        </is>
      </c>
    </row>
    <row r="10" ht="32" customHeight="1">
      <c r="A10" s="14" t="n">
        <v>1</v>
      </c>
      <c r="B10" s="6" t="inlineStr">
        <is>
          <t>Cafetería El Mirador</t>
        </is>
      </c>
      <c r="C10" s="6" t="inlineStr">
        <is>
          <t>Ciudad de ejemplo</t>
        </is>
      </c>
      <c r="D10" s="6" t="inlineStr">
        <is>
          <t>Hostelería</t>
        </is>
      </c>
      <c r="E10" s="6" t="inlineStr">
        <is>
          <t>B2B a hostelería</t>
        </is>
      </c>
      <c r="F10" s="32" t="inlineStr">
        <is>
          <t>Bombones de colección a granel y tabletas</t>
        </is>
      </c>
      <c r="G10" s="29" t="n">
        <v>46277</v>
      </c>
      <c r="H10" s="13" t="inlineStr">
        <is>
          <t>No lo sé</t>
        </is>
      </c>
      <c r="I10" s="33">
        <f>IFERROR(IF($B10="(libre: escribe aquí tu cliente)","",DATE(YEAR($G10)+$C$6,MONTH($G10),DAY($G10))),"")</f>
        <v>48103.0</v>
      </c>
      <c r="J10" s="9" t="inlineStr">
        <is>
          <t>Cliente de EJEMPLO declarado: sustitúyelo por el tuyo. Lo que no es un ejemplo es la obligación de tener esta tabla.</t>
        </is>
      </c>
    </row>
    <row r="11" ht="32" customHeight="1">
      <c r="A11" s="14" t="n">
        <v>2</v>
      </c>
      <c r="B11" s="6" t="inlineStr">
        <is>
          <t>Hotel Plaza Mayor (A&amp;B)</t>
        </is>
      </c>
      <c r="C11" s="6" t="inlineStr">
        <is>
          <t>Ciudad de ejemplo</t>
        </is>
      </c>
      <c r="D11" s="6" t="inlineStr">
        <is>
          <t>Hostelería</t>
        </is>
      </c>
      <c r="E11" s="6" t="inlineStr">
        <is>
          <t>B2B a hostelería</t>
        </is>
      </c>
      <c r="F11" s="32" t="inlineStr">
        <is>
          <t>Bombón de cortesia de habitación y cajas de 12</t>
        </is>
      </c>
      <c r="G11" s="29" t="n">
        <v>46277</v>
      </c>
      <c r="H11" s="13" t="inlineStr">
        <is>
          <t>No lo sé</t>
        </is>
      </c>
      <c r="I11" s="33">
        <f>IFERROR(IF($B11="(libre: escribe aquí tu cliente)","",DATE(YEAR($G11)+$C$6,MONTH($G11),DAY($G11))),"")</f>
        <v>48103.0</v>
      </c>
      <c r="J11" s="9" t="inlineStr">
        <is>
          <t>Cliente de EJEMPLO declarado: sustitúyelo por el tuyo. Lo que no es un ejemplo es la obligación de tener esta tabla.</t>
        </is>
      </c>
    </row>
    <row r="12" ht="32" customHeight="1">
      <c r="A12" s="14" t="n">
        <v>3</v>
      </c>
      <c r="B12" s="6" t="inlineStr">
        <is>
          <t>Industrias Nogal, S.L.</t>
        </is>
      </c>
      <c r="C12" s="6" t="inlineStr">
        <is>
          <t>Ciudad de ejemplo</t>
        </is>
      </c>
      <c r="D12" s="6" t="inlineStr">
        <is>
          <t>Empresa</t>
        </is>
      </c>
      <c r="E12" s="6" t="inlineStr">
        <is>
          <t>Regalo corporativo</t>
        </is>
      </c>
      <c r="F12" s="32" t="inlineStr">
        <is>
          <t>Estuche corporativo personalizado de 24 bombones</t>
        </is>
      </c>
      <c r="G12" s="29" t="n">
        <v>46277</v>
      </c>
      <c r="H12" s="13" t="inlineStr">
        <is>
          <t>No lo sé</t>
        </is>
      </c>
      <c r="I12" s="33">
        <f>IFERROR(IF($B12="(libre: escribe aquí tu cliente)","",DATE(YEAR($G12)+$C$6,MONTH($G12),DAY($G12))),"")</f>
        <v>48103.0</v>
      </c>
      <c r="J12" s="9" t="inlineStr">
        <is>
          <t>Cliente de EJEMPLO declarado: sustitúyelo por el tuyo. Lo que no es un ejemplo es la obligación de tener esta tabla.</t>
        </is>
      </c>
    </row>
    <row r="13" ht="32" customHeight="1">
      <c r="A13" s="14" t="n">
        <v>4</v>
      </c>
      <c r="B13" s="6" t="inlineStr">
        <is>
          <t>Tienda gourmet La Despensa</t>
        </is>
      </c>
      <c r="C13" s="6" t="inlineStr">
        <is>
          <t>Ciudad de ejemplo</t>
        </is>
      </c>
      <c r="D13" s="6" t="inlineStr">
        <is>
          <t>Minorista de distinta titularidad</t>
        </is>
      </c>
      <c r="E13" s="6" t="inlineStr">
        <is>
          <t>Minorista de distinta titularidad</t>
        </is>
      </c>
      <c r="F13" s="32" t="inlineStr">
        <is>
          <t>Tabletas de origen y almendras bañadas</t>
        </is>
      </c>
      <c r="G13" s="29" t="n">
        <v>46277</v>
      </c>
      <c r="H13" s="13" t="inlineStr">
        <is>
          <t>No lo sé</t>
        </is>
      </c>
      <c r="I13" s="33">
        <f>IFERROR(IF($B13="(libre: escribe aquí tu cliente)","",DATE(YEAR($G13)+$C$6,MONTH($G13),DAY($G13))),"")</f>
        <v>48103.0</v>
      </c>
      <c r="J13" s="9" t="inlineStr">
        <is>
          <t>Cliente de EJEMPLO declarado: sustitúyelo por el tuyo. Lo que no es un ejemplo es la obligación de tener esta tabla.</t>
        </is>
      </c>
    </row>
    <row r="14" ht="32" customHeight="1">
      <c r="A14" s="14" t="n">
        <v>5</v>
      </c>
      <c r="B14" s="6" t="inlineStr">
        <is>
          <t>(libre: escribe aquí tu cliente)</t>
        </is>
      </c>
      <c r="C14" s="6" t="inlineStr">
        <is>
          <t>Pendiente</t>
        </is>
      </c>
      <c r="D14" s="6" t="inlineStr">
        <is>
          <t>Consumidor final</t>
        </is>
      </c>
      <c r="E14" s="6" t="inlineStr">
        <is>
          <t>Otro</t>
        </is>
      </c>
      <c r="F14" s="32" t="inlineStr">
        <is>
          <t>Pendiente</t>
        </is>
      </c>
      <c r="G14" s="29" t="n">
        <v>46277</v>
      </c>
      <c r="H14" s="13" t="inlineStr">
        <is>
          <t>No lo sé</t>
        </is>
      </c>
      <c r="I14" s="33">
        <f>IFERROR(IF($B14="(libre: escribe aquí tu cliente)","",DATE(YEAR($G14)+$C$6,MONTH($G14),DAY($G14))),"")</f>
        <v/>
      </c>
      <c r="J14" s="9" t="inlineStr">
        <is>
          <t>Fila libre: escribe aquí tu cliente.</t>
        </is>
      </c>
    </row>
    <row r="15" ht="32" customHeight="1">
      <c r="A15" s="14" t="n">
        <v>6</v>
      </c>
      <c r="B15" s="6" t="inlineStr">
        <is>
          <t>(libre: escribe aquí tu cliente)</t>
        </is>
      </c>
      <c r="C15" s="6" t="inlineStr">
        <is>
          <t>Pendiente</t>
        </is>
      </c>
      <c r="D15" s="6" t="inlineStr">
        <is>
          <t>Consumidor final</t>
        </is>
      </c>
      <c r="E15" s="6" t="inlineStr">
        <is>
          <t>Otro</t>
        </is>
      </c>
      <c r="F15" s="32" t="inlineStr">
        <is>
          <t>Pendiente</t>
        </is>
      </c>
      <c r="G15" s="29" t="n">
        <v>46277</v>
      </c>
      <c r="H15" s="13" t="inlineStr">
        <is>
          <t>No lo sé</t>
        </is>
      </c>
      <c r="I15" s="33">
        <f>IFERROR(IF($B15="(libre: escribe aquí tu cliente)","",DATE(YEAR($G15)+$C$6,MONTH($G15),DAY($G15))),"")</f>
        <v/>
      </c>
      <c r="J15" s="9" t="inlineStr">
        <is>
          <t>Fila libre: escribe aquí tu cliente.</t>
        </is>
      </c>
    </row>
    <row r="16" ht="32" customHeight="1">
      <c r="A16" s="14" t="n">
        <v>7</v>
      </c>
      <c r="B16" s="6" t="inlineStr">
        <is>
          <t>(libre: escribe aquí tu cliente)</t>
        </is>
      </c>
      <c r="C16" s="6" t="inlineStr">
        <is>
          <t>Pendiente</t>
        </is>
      </c>
      <c r="D16" s="6" t="inlineStr">
        <is>
          <t>Consumidor final</t>
        </is>
      </c>
      <c r="E16" s="6" t="inlineStr">
        <is>
          <t>Otro</t>
        </is>
      </c>
      <c r="F16" s="32" t="inlineStr">
        <is>
          <t>Pendiente</t>
        </is>
      </c>
      <c r="G16" s="29" t="n">
        <v>46277</v>
      </c>
      <c r="H16" s="13" t="inlineStr">
        <is>
          <t>No lo sé</t>
        </is>
      </c>
      <c r="I16" s="33">
        <f>IFERROR(IF($B16="(libre: escribe aquí tu cliente)","",DATE(YEAR($G16)+$C$6,MONTH($G16),DAY($G16))),"")</f>
        <v/>
      </c>
      <c r="J16" s="9" t="inlineStr">
        <is>
          <t>Fila libre: escribe aquí tu cliente.</t>
        </is>
      </c>
    </row>
    <row r="17" ht="32" customHeight="1">
      <c r="A17" s="14" t="n">
        <v>8</v>
      </c>
      <c r="B17" s="6" t="inlineStr">
        <is>
          <t>(libre: escribe aquí tu cliente)</t>
        </is>
      </c>
      <c r="C17" s="6" t="inlineStr">
        <is>
          <t>Pendiente</t>
        </is>
      </c>
      <c r="D17" s="6" t="inlineStr">
        <is>
          <t>Consumidor final</t>
        </is>
      </c>
      <c r="E17" s="6" t="inlineStr">
        <is>
          <t>Otro</t>
        </is>
      </c>
      <c r="F17" s="32" t="inlineStr">
        <is>
          <t>Pendiente</t>
        </is>
      </c>
      <c r="G17" s="29" t="n">
        <v>46277</v>
      </c>
      <c r="H17" s="13" t="inlineStr">
        <is>
          <t>No lo sé</t>
        </is>
      </c>
      <c r="I17" s="33">
        <f>IFERROR(IF($B17="(libre: escribe aquí tu cliente)","",DATE(YEAR($G17)+$C$6,MONTH($G17),DAY($G17))),"")</f>
        <v/>
      </c>
      <c r="J17" s="9" t="inlineStr">
        <is>
          <t>Fila libre: escribe aquí tu cliente.</t>
        </is>
      </c>
    </row>
    <row r="18"/>
    <row r="19">
      <c r="A19" s="4" t="inlineStr">
        <is>
          <t>Resumen del registro</t>
        </is>
      </c>
    </row>
    <row r="20" ht="26" customHeight="1">
      <c r="A20" s="8" t="inlineStr">
        <is>
          <t>Clientes registrados</t>
        </is>
      </c>
      <c r="E20" s="21">
        <f>SUMPRODUCT(--($B$10:$B$17&lt;&gt;"(libre: escribe aquí tu cliente)"))</f>
        <v>4.0</v>
      </c>
      <c r="G20" s="5" t="inlineStr">
        <is>
          <t>Las filas libres no cuentan: cuentan las que tienen nombre.</t>
        </is>
      </c>
    </row>
    <row r="21" ht="26" customHeight="1">
      <c r="A21" s="8" t="inlineStr">
        <is>
          <t>De ellos, B2B de hostelería</t>
        </is>
      </c>
      <c r="E21" s="21">
        <f>SUMPRODUCT(--($B$10:$B$17&lt;&gt;"(libre: escribe aquí tu cliente)"),--($E$10:$E$17="B2B a hostelería"))</f>
        <v>2.0</v>
      </c>
      <c r="G21" s="5" t="inlineStr">
        <is>
          <t>Cafeterías, hoteles y restaurantes. Es el canal que puede meterte en el art. 3 del RD 1021/2022.</t>
        </is>
      </c>
    </row>
    <row r="22" ht="26" customHeight="1">
      <c r="A22" s="8" t="inlineStr">
        <is>
          <t>De ellos, regalo corporativo</t>
        </is>
      </c>
      <c r="E22" s="21">
        <f>SUMPRODUCT(--($B$10:$B$17&lt;&gt;"(libre: escribe aquí tu cliente)"),--($E$10:$E$17="Regalo corporativo"))</f>
        <v>1.0</v>
      </c>
      <c r="G22" s="5" t="inlineStr">
        <is>
          <t>El canal de diciembre. Su plazo verificado es de 14 días desde la aprobación de la muestra, con mínimos de 10 a 25 cajas.</t>
        </is>
      </c>
    </row>
    <row r="23" ht="26" customHeight="1">
      <c r="A23" s="8" t="inlineStr">
        <is>
          <t>De ellos, minoristas de DISTINTA titularidad</t>
        </is>
      </c>
      <c r="E23" s="21">
        <f>SUMPRODUCT(--($B$10:$B$17&lt;&gt;"(libre: escribe aquí tu cliente)"),--($D$10:$D$17="Minorista de distinta titularidad"))</f>
        <v>1.0</v>
      </c>
      <c r="G23" s="5" t="inlineStr">
        <is>
          <t>Se cuenta por el TIPO de cliente, no por el canal: a una tienda gourmet se le puede servir por la misma ruta que a una cafetería y sigue siendo un minorista de distinta titularidad. Éstos son los que abren la puerta del art. 3, y si tienes al menos uno la hoja «Suministro a Otros Minoristas» del libro 8 te toca entera.</t>
        </is>
      </c>
    </row>
    <row r="24" ht="26" customHeight="1">
      <c r="A24" s="8" t="inlineStr">
        <is>
          <t>Clientes inscritos en el RGSEAA</t>
        </is>
      </c>
      <c r="E24" s="21">
        <f>SUMPRODUCT(--($B$10:$B$17&lt;&gt;"(libre: escribe aquí tu cliente)"),--($H$10:$H$17="Sí"))</f>
        <v>0.0</v>
      </c>
      <c r="G24" s="5" t="inlineStr">
        <is>
          <t>BASTA UNO para romper el requisito de «restringido» del art. 3, y los tres requisitos son acumulativos. Es la casilla más cara de esta hoja. Los «No lo sé» NO se cuentan aquí: mientras queden, este 0 no significa que ninguno esté inscrito.</t>
        </is>
      </c>
    </row>
    <row r="25" ht="26" customHeight="1">
      <c r="A25" s="8" t="inlineStr">
        <is>
          <t>Fecha hasta la que hay que conservar el registro</t>
        </is>
      </c>
      <c r="E25" s="34">
        <f>IFERROR(MAX($I$10:$I$17),"")</f>
        <v>48103.0</v>
      </c>
      <c r="G25" s="5" t="inlineStr">
        <is>
          <t>La del suministro más reciente más los años del parámetro. Hasta esa fecha, esta tabla es un documento, no una lista de contactos.</t>
        </is>
      </c>
    </row>
    <row r="26" ht="40" customHeight="1">
      <c r="A26" s="8" t="inlineStr">
        <is>
          <t>VEREDICTO DEL REGISTRO</t>
        </is>
      </c>
      <c r="E26" s="30" t="str">
        <f>IFERROR(IF($E$20=0,"Todavía no suministras a nadie: el art. 5.3.b) no te pide nada","Tienes que conservar este registro, con nombre, dirección y producto, durante los años del parámetro"),"")</f>
        <v>Tienes que conservar este registro, con nombre, dirección y producto, durante los años del parámetro</v>
      </c>
      <c r="G26" s="5" t="inlineStr"/>
    </row>
    <row r="27" ht="44" customHeight="1">
      <c r="A27" s="8" t="inlineStr">
        <is>
          <t>Y lo que además te cambia de régimen SANITARIO</t>
        </is>
      </c>
      <c r="E27" s="35" t="str">
        <f>IFERROR(IF($E$23=0,"Ninguno de tus clientes es un minorista de distinta titularidad: el art. 3 del RD 1021/2022 no te aplica",IF($E$24&gt;0,"Tienes un cliente inscrito en el RGSEAA: pierdes «restringido» y el art. 3 deja de ampararte","Suministras a otros minoristas: resuelve los TRES semáforos del art. 3 en el libro 8")),"")</f>
        <v>Suministras a otros minoristas: resuelve los TRES semáforos del art. 3 en el libro 8</v>
      </c>
      <c r="G27" s="5" t="inlineStr"/>
    </row>
    <row r="28"/>
    <row r="29">
      <c r="A29" s="4" t="inlineStr">
        <is>
          <t>Listas de validación (no las borres: las usan los desplegables)</t>
        </is>
      </c>
    </row>
    <row r="30">
      <c r="A30" s="10" t="inlineStr">
        <is>
          <t>Canal</t>
        </is>
      </c>
      <c r="B30" s="10" t="inlineStr">
        <is>
          <t>Tipo de cliente</t>
        </is>
      </c>
      <c r="C30" s="10" t="inlineStr">
        <is>
          <t>Sí, No o No lo sé</t>
        </is>
      </c>
    </row>
    <row r="31">
      <c r="A31" t="inlineStr">
        <is>
          <t>B2B a hostelería</t>
        </is>
      </c>
      <c r="B31" t="inlineStr">
        <is>
          <t>Hostelería</t>
        </is>
      </c>
      <c r="C31" t="inlineStr">
        <is>
          <t>Sí</t>
        </is>
      </c>
    </row>
    <row r="32">
      <c r="A32" t="inlineStr">
        <is>
          <t>Regalo corporativo</t>
        </is>
      </c>
      <c r="B32" t="inlineStr">
        <is>
          <t>Empresa</t>
        </is>
      </c>
      <c r="C32" t="inlineStr">
        <is>
          <t>No</t>
        </is>
      </c>
    </row>
    <row r="33">
      <c r="A33" t="inlineStr">
        <is>
          <t>Minorista de distinta titularidad</t>
        </is>
      </c>
      <c r="B33" t="inlineStr">
        <is>
          <t>Minorista de distinta titularidad</t>
        </is>
      </c>
      <c r="C33" t="inlineStr">
        <is>
          <t>No lo sé</t>
        </is>
      </c>
    </row>
    <row r="34">
      <c r="A34" t="inlineStr">
        <is>
          <t>Otro</t>
        </is>
      </c>
      <c r="B34" t="inlineStr">
        <is>
          <t>Consumidor final</t>
        </is>
      </c>
    </row>
    <row r="35"/>
    <row r="36" ht="76" customHeight="1">
      <c r="A36" s="5" t="inlineStr">
        <is>
          <t>CUATRO CLIENTES FICTICIOS DECLARADOS, para que la tabla del libro 9 tenga forma. Lo que NO es ficticio es la obligación: registrar a quien suministras (art. 5.3.b) del EUDR, `CHN-24`) y conservarlo cinco años. Escribir «basta con registrar a tus proveedores» esta PROHIBIDO (§5.1, prohibición 3).
Y el cuarto cliente es el que cambia tu régimen sanitario: «Tienda gourmet La Despensa» es un MINORISTA DE DISTINTA TITULARIDAD, así que activa el art. 3 del RD 1021/2022 (`CHN-41`). Basta con que UNO de tus clientes este inscrito en el RGSEAA para romper el requisito de «restringido», y los tres requisitos son ACUMULATIVOS.</t>
        </is>
      </c>
    </row>
    <row r="37" ht="48" customHeight="1">
      <c r="A37" s="5" t="inlineStr">
        <is>
          <t>ESTA TABLA CIERRA EL CÍRCULO CON LA HOJA «Checklist Legal» DEL LIBRO 8: los canales que se salen de la nota del epígrafe 644.5 -online con envío, B2B a hostelería y regalo corporativo- son justo los que hay que registrar aquí. Un mismo cliente puede costarte una pregunta al asesor fiscal y una línea en este registro.</t>
        </is>
      </c>
    </row>
    <row r="38" ht="44" customHeight="1">
      <c r="A38" s="5" t="inlineStr">
        <is>
          <t>Vender online AL CONSUMIDOR FINAL no entra aquí: esto es el registro de los operadores posteriores y comerciantes a los que suministras, no el de tus compradores particulares. Y vender online a toda España tampoco rompe por sí solo el requisito de «localizado» del art. 3, que habla del suministro a otros minoristas.</t>
        </is>
      </c>
    </row>
    <row r="39"/>
    <row r="40">
      <c r="A40" s="9" t="inlineStr">
        <is>
          <t>Diseñado por John Guerrero — chef y consultor gastronómico desde 2010, en cocina desde los 17 años.</t>
        </is>
      </c>
    </row>
    <row r="41">
      <c r="A41" s="9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6">
    <mergeCell ref="A21:D21"/>
    <mergeCell ref="G25:J25"/>
    <mergeCell ref="G20:J20"/>
    <mergeCell ref="A3:J3"/>
    <mergeCell ref="A37:J37"/>
    <mergeCell ref="A23:D23"/>
    <mergeCell ref="G21:J21"/>
    <mergeCell ref="A36:J36"/>
    <mergeCell ref="G23:J23"/>
    <mergeCell ref="A38:J38"/>
    <mergeCell ref="A22:D22"/>
    <mergeCell ref="G22:J22"/>
    <mergeCell ref="A41:C41"/>
    <mergeCell ref="A40:C40"/>
    <mergeCell ref="A26:D26"/>
    <mergeCell ref="G26:J26"/>
    <mergeCell ref="E26:F26"/>
    <mergeCell ref="E27:F27"/>
    <mergeCell ref="A6:B6"/>
    <mergeCell ref="D6:J6"/>
    <mergeCell ref="G27:J27"/>
    <mergeCell ref="A27:D27"/>
    <mergeCell ref="A24:D24"/>
    <mergeCell ref="A20:D20"/>
    <mergeCell ref="G24:J24"/>
    <mergeCell ref="A25:D25"/>
  </mergeCells>
  <conditionalFormatting sqref="E24">
    <cfRule type="expression" priority="1" dxfId="0" stopIfTrue="1">
      <formula>=AND(ISNUMBER($E$24),$E$24&gt;0)</formula>
    </cfRule>
  </conditionalFormatting>
  <dataValidations count="4">
    <dataValidation sqref="E10 E11 E12 E13 E14 E15 E16 E17" showDropDown="0" showInputMessage="0" showErrorMessage="1" allowBlank="0" errorTitle="Elige el canal" error="Elige el canal de la lista del pie de la hoja." type="list">
      <formula1>=$A$31:$A$34</formula1>
    </dataValidation>
    <dataValidation sqref="D10 D11 D12 D13 D14 D15 D16 D17" showDropDown="0" showInputMessage="0" showErrorMessage="1" allowBlank="0" errorTitle="Elige el tipo de cliente" error="Elige el tipo de la lista del pie de la hoja. «Minorista de distinta titularidad» es el que te mete en el art. 3 del RD 1021/2022." type="list">
      <formula1>=$B$31:$B$34</formula1>
    </dataValidation>
    <dataValidation sqref="H10 H11 H12 H13 H14 H15 H16 H17" showDropDown="0" showInputMessage="0" showErrorMessage="1" allowBlank="0" errorTitle="Marca Sí, No o No lo sé" error="Elige una de las tres opciones de la lista del pie." type="list">
      <formula1>=$C$31:$C$33</formula1>
    </dataValidation>
    <dataValidation sqref="G10 G11 G12 G13 G14 G15 G16 G17" showDropDown="0" showInputMessage="0" showErrorMessage="1" allowBlank="1" errorTitle="Fecha no válida" error="Escribe una fecha (dd/mm/aaaa) entre 2020 y 2040." type="date" operator="between">
      <formula1>DATE(2020,1,1)</formula1>
      <formula2>DATE(2040,12,31)</formula2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86" customWidth="1" min="4" max="4"/>
  </cols>
  <sheetData>
    <row r="1" ht="28" customHeight="1">
      <c r="A1" s="1" t="inlineStr">
        <is>
          <t>Contador: Cómo Va la Compra</t>
        </is>
      </c>
    </row>
    <row r="2">
      <c r="A2" t="inlineStr">
        <is>
          <t>AI Chef Pro · aichef.pro — Cómo Montar una Chocolatería</t>
        </is>
      </c>
    </row>
    <row r="3" ht="26" customHeight="1">
      <c r="A3" s="5" t="inlineStr">
        <is>
          <t>Todo lo que hay aquí sale de las hojas anteriores. No se teclea nada en esta pantalla.</t>
        </is>
      </c>
    </row>
    <row r="4"/>
    <row r="5">
      <c r="A5" s="4" t="inlineStr">
        <is>
          <t>Avance del equipamiento</t>
        </is>
      </c>
    </row>
    <row r="6" ht="20" customHeight="1">
      <c r="A6" s="7" t="inlineStr">
        <is>
          <t>Concepto</t>
        </is>
      </c>
      <c r="B6" s="7" t="inlineStr">
        <is>
          <t>Valor</t>
        </is>
      </c>
      <c r="C6" s="7" t="inlineStr"/>
      <c r="D6" s="7" t="inlineStr">
        <is>
          <t>Notas</t>
        </is>
      </c>
    </row>
    <row r="7">
      <c r="A7" s="9" t="inlineStr">
        <is>
          <t>Líneas de equipamiento</t>
        </is>
      </c>
      <c r="B7" s="20">
        <f>'Equipamiento'!I34</f>
        <v>17.0</v>
      </c>
      <c r="D7" s="5" t="inlineStr">
        <is>
          <t>Las diecisiete de la dotación, opcionales incluidas.</t>
        </is>
      </c>
    </row>
    <row r="8">
      <c r="A8" s="9" t="inlineStr">
        <is>
          <t>Líneas marcadas como N/A</t>
        </is>
      </c>
      <c r="B8" s="20">
        <f>IFERROR(COUNTIF('Equipamiento'!$A$15:$A$31,"N/A"),"")</f>
        <v>0.0</v>
      </c>
      <c r="D8" s="5" t="inlineStr">
        <is>
          <t>Las que has decidido que no te tocan.</t>
        </is>
      </c>
    </row>
    <row r="9">
      <c r="A9" s="8" t="inlineStr">
        <is>
          <t>Líneas que de verdad vas a comprar</t>
        </is>
      </c>
      <c r="B9" s="36">
        <f>IFERROR(B7-B8,"")</f>
        <v>17.0</v>
      </c>
      <c r="D9" s="5" t="inlineStr">
        <is>
          <t>Es el denominador del avance: lo que no vas a comprar no puede contar como pendiente.</t>
        </is>
      </c>
    </row>
    <row r="10">
      <c r="A10" s="9" t="inlineStr">
        <is>
          <t>Líneas en estado «Instalado»</t>
        </is>
      </c>
      <c r="B10" s="20">
        <f>IFERROR(COUNTIF('Equipamiento'!$A$15:$A$31,"Instalado"),"")</f>
        <v>0.0</v>
      </c>
    </row>
    <row r="11">
      <c r="A11" s="9" t="inlineStr">
        <is>
          <t>Líneas en estado «Recibido»</t>
        </is>
      </c>
      <c r="B11" s="20">
        <f>IFERROR(COUNTIF('Equipamiento'!$A$15:$A$31,"Recibido"),"")</f>
        <v>0.0</v>
      </c>
    </row>
    <row r="12">
      <c r="A12" s="9" t="inlineStr">
        <is>
          <t>Líneas en estado «Pedido»</t>
        </is>
      </c>
      <c r="B12" s="20">
        <f>IFERROR(COUNTIF('Equipamiento'!$A$15:$A$31,"Pedido"),"")</f>
        <v>0.0</v>
      </c>
    </row>
    <row r="13">
      <c r="A13" s="9" t="inlineStr">
        <is>
          <t>Líneas en estado «Presupuestado»</t>
        </is>
      </c>
      <c r="B13" s="20">
        <f>IFERROR(COUNTIF('Equipamiento'!$A$15:$A$31,"Presupuestado"),"")</f>
        <v>0.0</v>
      </c>
    </row>
    <row r="14">
      <c r="A14" s="9" t="inlineStr">
        <is>
          <t>Líneas en estado «Pendiente»</t>
        </is>
      </c>
      <c r="B14" s="20">
        <f>IFERROR(COUNTIF('Equipamiento'!$A$15:$A$31,"Pendiente"),"")</f>
        <v>17.0</v>
      </c>
    </row>
    <row r="15">
      <c r="A15" s="8" t="inlineStr">
        <is>
          <t>Avance de la compra (%)</t>
        </is>
      </c>
      <c r="B15" s="37">
        <f>IFERROR(IF(B9=0,"",B10/B9),"")</f>
        <v>0.0</v>
      </c>
      <c r="D15" s="5" t="inlineStr">
        <is>
          <t>Sólo cuenta «Instalado»: una máquina pedida y no montada no produce ni un bombón.</t>
        </is>
      </c>
    </row>
    <row r="16"/>
    <row r="17">
      <c r="A17" s="4" t="inlineStr">
        <is>
          <t>El dinero</t>
        </is>
      </c>
    </row>
    <row r="18" ht="20" customHeight="1">
      <c r="A18" s="7" t="inlineStr">
        <is>
          <t>Concepto</t>
        </is>
      </c>
      <c r="B18" s="7" t="inlineStr">
        <is>
          <t>Importe</t>
        </is>
      </c>
      <c r="C18" s="7" t="inlineStr"/>
      <c r="D18" s="7" t="inlineStr">
        <is>
          <t>Notas</t>
        </is>
      </c>
    </row>
    <row r="19">
      <c r="A19" s="9" t="inlineStr">
        <is>
          <t>Presupuesto de referencia sin IVA, todas las líneas (€)</t>
        </is>
      </c>
      <c r="B19" s="16">
        <f>'Equipamiento'!I36</f>
        <v>54951.65</v>
      </c>
    </row>
    <row r="20">
      <c r="A20" s="9" t="inlineStr">
        <is>
          <t>Compromiso real negociado sin IVA (€)</t>
        </is>
      </c>
      <c r="B20" s="16">
        <f>'Equipamiento'!I38</f>
        <v>54951.65</v>
      </c>
    </row>
    <row r="21">
      <c r="A21" s="8" t="inlineStr">
        <is>
          <t>Diferencia (real menos referencia, €)</t>
        </is>
      </c>
      <c r="B21" s="38">
        <f>IFERROR(B20-B19,"")</f>
        <v>0.0</v>
      </c>
      <c r="D21" s="5" t="inlineStr">
        <is>
          <t>Negativo es buena noticia: has negociado por debajo de la referencia.</t>
        </is>
      </c>
    </row>
    <row r="22"/>
    <row r="23">
      <c r="A23" s="4" t="inlineStr">
        <is>
          <t>Los papeles</t>
        </is>
      </c>
    </row>
    <row r="24" ht="20" customHeight="1">
      <c r="A24" s="7" t="inlineStr">
        <is>
          <t>Concepto</t>
        </is>
      </c>
      <c r="B24" s="7" t="inlineStr">
        <is>
          <t>Valor</t>
        </is>
      </c>
      <c r="C24" s="7" t="inlineStr"/>
      <c r="D24" s="7" t="inlineStr">
        <is>
          <t>Notas</t>
        </is>
      </c>
    </row>
    <row r="25">
      <c r="A25" s="9" t="inlineStr">
        <is>
          <t>Proveedores publicados</t>
        </is>
      </c>
      <c r="B25" s="20">
        <f>'Proveedores y EUDR'!F15</f>
        <v>6.0</v>
      </c>
    </row>
    <row r="26">
      <c r="A26" s="9" t="inlineStr">
        <is>
          <t>Proveedores sin clasificar en la cadena EUDR</t>
        </is>
      </c>
      <c r="B26" s="20">
        <f>'Proveedores y EUDR'!F20</f>
        <v>6.0</v>
      </c>
      <c r="D26" s="5" t="inlineStr">
        <is>
          <t>Una pregunta de dos líneas en un correo.</t>
        </is>
      </c>
    </row>
    <row r="27">
      <c r="A27" s="9" t="inlineStr">
        <is>
          <t>Operadores que te deben su nº de DDS</t>
        </is>
      </c>
      <c r="B27" s="20">
        <f>'Proveedores y EUDR'!F21</f>
        <v>0.0</v>
      </c>
      <c r="D27" s="5" t="inlineStr">
        <is>
          <t>Sólo los operadores: a los demás no se les pide.</t>
        </is>
      </c>
    </row>
    <row r="28">
      <c r="A28" s="9" t="inlineStr">
        <is>
          <t>Clientes registrados (art. 5.3.b)</t>
        </is>
      </c>
      <c r="B28" s="20">
        <f>'Clientes a los que Suministras'!E20</f>
        <v>4.0</v>
      </c>
    </row>
    <row r="29">
      <c r="A29" s="9" t="inlineStr">
        <is>
          <t>Clientes inscritos en el RGSEAA</t>
        </is>
      </c>
      <c r="B29" s="20">
        <f>'Clientes a los que Suministras'!E24</f>
        <v>0.0</v>
      </c>
      <c r="D29" s="5" t="inlineStr">
        <is>
          <t>Basta uno para perder «restringido» en el art. 3.</t>
        </is>
      </c>
    </row>
    <row r="30"/>
    <row r="31">
      <c r="A31" s="4" t="inlineStr">
        <is>
          <t>Lo que falta para abrir</t>
        </is>
      </c>
    </row>
    <row r="32" ht="40" customHeight="1">
      <c r="A32" s="10" t="inlineStr">
        <is>
          <t>VEREDICTO</t>
        </is>
      </c>
      <c r="B32" s="30" t="str">
        <f>IFERROR(IF(B15&lt;1,"Todavía te falta equipo por instalar: mira la columna del plazo crítico antes de fijar la fecha",IF(B27&gt;0,"El equipo está, pero te faltan papeles del EUDR","Equipo instalado y papeles coherentes: la fecha ya no depende de la maquinaria")),"")</f>
        <v>Todavía te falta equipo por instalar: mira la columna del plazo crítico antes de fijar la fecha</v>
      </c>
    </row>
    <row r="33"/>
    <row r="34" ht="48" customHeight="1">
      <c r="A34" s="5" t="inlineStr">
        <is>
          <t>El plazo crítico de entrega -la celda «Plazo crítico de entrega (semanas)» de la hoja «Equipamiento»- es el dato que se copia en el cronograma del libro «checklist-legal-licencias-y-cacao.xlsx». Si tu ruta crítica de papeleo es más corta que ese plazo, la fecha de apertura la manda la maquinaria, no el ayuntamiento.</t>
        </is>
      </c>
    </row>
    <row r="35" ht="32" customHeight="1">
      <c r="A35" s="5" t="inlineStr">
        <is>
          <t>Y al revés: si el plazo crítico baja porque encuentras la máquina en stock, la fecha vuelve a mandarla el papeleo. Los dos libros hay que mirarlos juntos una vez por semana.</t>
        </is>
      </c>
    </row>
    <row r="36"/>
    <row r="37"/>
    <row r="38">
      <c r="A38" s="9" t="inlineStr">
        <is>
          <t>Diseñado por John Guerrero — chef y consultor gastronómico desde 2010, en cocina desde los 17 años.</t>
        </is>
      </c>
    </row>
    <row r="39">
      <c r="A39" s="9" t="inlineStr">
        <is>
          <t>Versión 1.0 · septiembre 2026 · aichef.pro/guia-chocolateria-obrador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6">
    <mergeCell ref="A3:D3"/>
    <mergeCell ref="A38:C38"/>
    <mergeCell ref="A35:D35"/>
    <mergeCell ref="B32:D32"/>
    <mergeCell ref="A39:C39"/>
    <mergeCell ref="A34:D34"/>
  </mergeCells>
  <conditionalFormatting sqref="B15">
    <cfRule type="expression" priority="1" dxfId="2" stopIfTrue="1">
      <formula>=AND(ISNUMBER($B$15),$B$15&lt;1)</formula>
    </cfRule>
  </conditionalFormatting>
  <conditionalFormatting sqref="B21">
    <cfRule type="expression" priority="2" dxfId="0" stopIfTrue="1">
      <formula>=AND(ISNUMBER($B$21),$B$21&gt;0)</formula>
    </cfRule>
  </conditionalFormatting>
  <conditionalFormatting sqref="B26">
    <cfRule type="expression" priority="3" dxfId="2" stopIfTrue="1">
      <formula>=AND(ISNUMBER($B$26),$B$26&gt;0)</formula>
    </cfRule>
  </conditionalFormatting>
  <conditionalFormatting sqref="B27">
    <cfRule type="expression" priority="4" dxfId="0" stopIfTrue="1">
      <formula>=AND(ISNUMBER($B$27),$B$27&gt;0)</formula>
    </cfRule>
  </conditionalFormatting>
  <conditionalFormatting sqref="B29">
    <cfRule type="expression" priority="5" dxfId="0" stopIfTrue="1">
      <formula>=AND(ISNUMBER($B$29),$B$29&gt;0)</formula>
    </cfRule>
  </conditionalFormatting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equipamiento y proveedores de cacao</dc:title>
  <dc:subject xmlns:dc="http://purl.org/dc/elements/1.1/">Cómo Montar una Chocolatería · Versión 1.0 · septiembre 2026</dc:subject>
  <dcterms:created xmlns:dcterms="http://purl.org/dc/terms/" xmlns:xsi="http://www.w3.org/2001/XMLSchema-instance" xsi:type="dcterms:W3CDTF">2026-09-19T13:24:24Z</dcterms:created>
  <dcterms:modified xmlns:dcterms="http://purl.org/dc/terms/" xmlns:xsi="http://www.w3.org/2001/XMLSchema-instance" xsi:type="dcterms:W3CDTF">2026-09-19T13:24:24Z</dcterms:modified>
  <cp:lastModifiedBy>AI Chef Pro</cp:lastModifiedBy>
</cp:coreProperties>
</file>