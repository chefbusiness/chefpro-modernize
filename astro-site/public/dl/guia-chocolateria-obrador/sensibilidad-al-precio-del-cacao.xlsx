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Coste de Cobertura" sheetId="3" state="visible" r:id="rId3"/>
    <sheet xmlns:r="http://schemas.openxmlformats.org/officeDocument/2006/relationships" name="Escenarios de Precio" sheetId="4" state="visible" r:id="rId4"/>
    <sheet xmlns:r="http://schemas.openxmlformats.org/officeDocument/2006/relationships" name="Repercusión al PVP" sheetId="5" state="visible" r:id="rId5"/>
    <sheet xmlns:r="http://schemas.openxmlformats.org/officeDocument/2006/relationships" name="Stock y Cobertura de Compra" sheetId="6" state="visible" r:id="rId6"/>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
  </numFmts>
  <fonts count="8">
    <font>
      <name val="Calibri"/>
      <family val="2"/>
      <color theme="1"/>
      <sz val="11"/>
      <scheme val="minor"/>
    </font>
    <font>
      <b val="1"/>
      <color rgb="00FFD700"/>
      <sz val="16"/>
    </font>
    <font>
      <i val="1"/>
      <sz val="9"/>
    </font>
    <font>
      <b val="1"/>
      <color theme="1"/>
      <sz val="11"/>
    </font>
    <font>
      <b val="1"/>
      <sz val="12"/>
    </font>
    <font>
      <sz val="9"/>
    </font>
    <font>
      <b val="1"/>
      <color rgb="00FFFFFF"/>
      <sz val="10"/>
    </font>
    <font>
      <b val="1"/>
      <sz val="11"/>
    </font>
  </fonts>
  <fills count="5">
    <fill>
      <patternFill/>
    </fill>
    <fill>
      <patternFill patternType="gray125"/>
    </fill>
    <fill>
      <patternFill patternType="solid">
        <fgColor rgb="002D2D2D"/>
      </patternFill>
    </fill>
    <fill>
      <patternFill patternType="solid">
        <fgColor rgb="00E8F5E9"/>
      </patternFill>
    </fill>
    <fill>
      <patternFill patternType="solid">
        <fgColor rgb="00FFF6DC"/>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horizontal="general" vertical="top" wrapText="1"/>
    </xf>
    <xf numFmtId="0" fontId="4" fillId="0" borderId="0" pivotButton="0" quotePrefix="0" xfId="0"/>
    <xf numFmtId="0" fontId="3" fillId="0" borderId="0" pivotButton="0" quotePrefix="0" xfId="0"/>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center" vertical="center" wrapText="1"/>
    </xf>
    <xf numFmtId="164" fontId="0" fillId="3" borderId="0" applyProtection="1" pivotButton="0" quotePrefix="0" xfId="0">
      <protection locked="0" hidden="0"/>
    </xf>
    <xf numFmtId="164" fontId="0" fillId="0" borderId="0" pivotButton="0" quotePrefix="0" xfId="0"/>
    <xf numFmtId="3" fontId="0" fillId="3" borderId="0" applyProtection="1" pivotButton="0" quotePrefix="0" xfId="0">
      <protection locked="0" hidden="0"/>
    </xf>
    <xf numFmtId="165" fontId="0" fillId="3" borderId="0" applyProtection="1" pivotButton="0" quotePrefix="0" xfId="0">
      <protection locked="0" hidden="0"/>
    </xf>
    <xf numFmtId="3" fontId="0" fillId="0" borderId="0" pivotButton="0" quotePrefix="0" xfId="0"/>
    <xf numFmtId="4" fontId="0" fillId="3" borderId="0" applyProtection="1" pivotButton="0" quotePrefix="0" xfId="0">
      <protection locked="0" hidden="0"/>
    </xf>
    <xf numFmtId="0" fontId="0" fillId="3" borderId="0" applyProtection="1" pivotButton="0" quotePrefix="0" xfId="0">
      <protection locked="0" hidden="0"/>
    </xf>
    <xf numFmtId="4" fontId="7" fillId="4" borderId="0" pivotButton="0" quotePrefix="0" xfId="0"/>
    <xf numFmtId="4" fontId="0" fillId="0" borderId="0" pivotButton="0" quotePrefix="0" xfId="0"/>
    <xf numFmtId="165" fontId="0" fillId="0" borderId="0" pivotButton="0" quotePrefix="0" xfId="0"/>
    <xf numFmtId="166" fontId="0" fillId="0" borderId="0" pivotButton="0" quotePrefix="0" xfId="0"/>
    <xf numFmtId="165" fontId="3" fillId="0" borderId="0" pivotButton="0" quotePrefix="0" xfId="0"/>
    <xf numFmtId="3" fontId="3" fillId="0" borderId="0" pivotButton="0" quotePrefix="0" xfId="0"/>
    <xf numFmtId="166" fontId="3" fillId="0" borderId="0" pivotButton="0" quotePrefix="0" xfId="0"/>
    <xf numFmtId="0" fontId="3" fillId="0" borderId="0" applyAlignment="1" pivotButton="0" quotePrefix="0" xfId="0">
      <alignment horizontal="general" vertical="top" wrapText="1"/>
    </xf>
    <xf numFmtId="0" fontId="2" fillId="0" borderId="0" pivotButton="0" quotePrefix="0" xfId="0"/>
  </cellXfs>
  <cellStyles count="1">
    <cellStyle name="Normal" xfId="0" builtinId="0" hidden="0"/>
  </cellStyles>
  <dxfs count="1">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AI Chef Pro</author>
  </authors>
  <commentList>
    <comment ref="B6" authorId="0" shapeId="0">
      <text>
        <t>Verificado el 12-09-2026 · Ley 37/1992, de 28 de diciembre, del Impuesto sobre el Valor Añadido (BOE-A-1992-28740), texto consolidado · «Última modificación: 28 de febrero de 2026» (Art. 91.Dos.1.1.º (las siete letras: pan común, harinas panificables, leches, qu...) · https://www.boe.es/buscar/act.php?id=BOE-A-1992-28740</t>
      </text>
    </comment>
    <comment ref="B7" authorId="0" shapeId="0">
      <text>
        <t>Verificado el 12-09-2026 · Ley 37/1992, de 28 de diciembre, del Impuesto sobre el Valor Añadido (BOE-A-1992-28740), texto consolidado · «Última modificación: 28 de febrero de 2026» (Art. 91.Uno.2.2.º y art. 90.Uno («El Impuesto se exigirá al tipo del 21 por ciento, salvo lo dispuesto en el artículo siguiente»).) · https://www.boe.es/buscar/act.php?id=BOE-A-1992-28740</t>
      </text>
    </comment>
  </commentList>
</comments>
</file>

<file path=xl/comments/comment2.xml><?xml version="1.0" encoding="utf-8"?>
<comments xmlns="http://schemas.openxmlformats.org/spreadsheetml/2006/main">
  <authors>
    <author>AI Chef Pro</author>
  </authors>
  <commentList>
    <comment ref="D7" authorId="0" shapeId="0">
      <text>
        <t>Precio de la cobertura — Callebaut 811 en bloque de 5 kg (CON IVA) (CHS-28a) · Fuente: Planeta Torta · Consultada el 2026-09-12 · https://www.planeta-torta.es/los-chocolates-reposteria-gotas-fundir/11351-chocolate-negro-de-cobertura-811-de-callebaut-55-en-bloque-5-kg.html</t>
      </text>
    </comment>
    <comment ref="F7" authorId="0" shapeId="0">
      <text>
        <t>Verificado el 12-09-2026 · Ley 37/1992, de 28 de diciembre, del Impuesto sobre el Valor Añadido (BOE-A-1992-28740), texto consolidado · «Última modificación: 28 de febrero de 2026» (Art. 91.Dos.1.1.º (las siete letras: pan común, harinas panificables, leches, qu...) · https://www.boe.es/buscar/act.php?id=BOE-A-1992-28740</t>
      </text>
    </comment>
    <comment ref="D8" authorId="0" shapeId="0">
      <text>
        <t>Precio de la cobertura — Valrhona pepitas 400 g (CHS-28c) · Fuente: Club del Chocolate · Consultada el 2026-09-12 · https://www.clubdelchocolate.com/en/452-cobertura-valrhona</t>
      </text>
    </comment>
    <comment ref="F8" authorId="0" shapeId="0">
      <text>
        <t>Verificado el 12-09-2026 · Ley 37/1992, de 28 de diciembre, del Impuesto sobre el Valor Añadido (BOE-A-1992-28740), texto consolidado · «Última modificación: 28 de febrero de 2026» (Art. 91.Dos.1.1.º (las siete letras: pan común, harinas panificables, leches, qu...) · https://www.boe.es/buscar/act.php?id=BOE-A-1992-28740</t>
      </text>
    </comment>
    <comment ref="F9" authorId="0" shapeId="0">
      <text>
        <t>Verificado el 12-09-2026 · Ley 37/1992, de 28 de diciembre, del Impuesto sobre el Valor Añadido (BOE-A-1992-28740), texto consolidado · «Última modificación: 28 de febrero de 2026» (Art. 91.Dos.1.1.º (las siete letras: pan común, harinas panificables, leches, qu...) · https://www.boe.es/buscar/act.php?id=BOE-A-1992-28740</t>
      </text>
    </comment>
    <comment ref="F10" authorId="0" shapeId="0">
      <text>
        <t>Verificado el 12-09-2026 · Ley 37/1992, de 28 de diciembre, del Impuesto sobre el Valor Añadido (BOE-A-1992-28740), texto consolidado · «Última modificación: 28 de febrero de 2026» (Art. 91.Dos.1.1.º (las siete letras: pan común, harinas panificables, leches, qu...) · https://www.boe.es/buscar/act.php?id=BOE-A-1992-28740</t>
      </text>
    </comment>
    <comment ref="I15" authorId="0" shapeId="0">
      <text>
        <t>Verificado el 12-09-2026 · Real Decreto 1055/2003, de 1 de agosto, por el que se aprueba la Reglamentación técnico-sanitaria sobre los productos de cacao y chocolate destinados a la alimentación humana (B... (Apartado 4.) · https://www.boe.es/buscar/act.php?id=BOE-A-2003-15599</t>
      </text>
    </comment>
  </commentList>
</comments>
</file>

<file path=xl/comments/comment3.xml><?xml version="1.0" encoding="utf-8"?>
<comments xmlns="http://schemas.openxmlformats.org/spreadsheetml/2006/main">
  <authors>
    <author>AI Chef Pro</author>
  </authors>
  <commentList>
    <comment ref="I7" authorId="0" shapeId="0">
      <text>
        <t>Precio de la cobertura — Callebaut 811 en bloque de 5 kg (CON IVA) (CHS-28a) · Fuente: Planeta Torta · Consultada el 2026-09-12 · https://www.planeta-torta.es/los-chocolates-reposteria-gotas-fundir/11351-chocolate-negro-de-cobertura-811-de-callebaut-55-en-bloque-5-kg.html</t>
      </text>
    </comment>
    <comment ref="I8" authorId="0" shapeId="0">
      <text>
        <t>Precio de la cobertura — Valrhona pepitas 400 g (CHS-28c) · Fuente: Club del Chocolate · Consultada el 2026-09-12 · https://www.clubdelchocolate.com/en/452-cobertura-valrhona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C33"/>
  <sheetViews>
    <sheetView workbookViewId="0">
      <selection activeCell="A1" sqref="A1"/>
    </sheetView>
  </sheetViews>
  <sheetFormatPr baseColWidth="8" defaultRowHeight="15"/>
  <cols>
    <col width="26" customWidth="1" min="1" max="1"/>
    <col width="34" customWidth="1" min="2" max="2"/>
    <col width="62" customWidth="1" min="3" max="3"/>
  </cols>
  <sheetData>
    <row r="1" ht="28" customHeight="1">
      <c r="A1" s="1" t="inlineStr">
        <is>
          <t>Sensibilidad al Precio del Cacao</t>
        </is>
      </c>
    </row>
    <row r="2">
      <c r="A2" t="inlineStr">
        <is>
          <t>AI Chef Pro · aichef.pro — Cómo Montar una Chocolatería</t>
        </is>
      </c>
    </row>
    <row r="3" ht="26" customHeight="1">
      <c r="A3" s="2" t="inlineStr">
        <is>
          <t>Celdas verdes = campos editables</t>
        </is>
      </c>
    </row>
    <row r="4"/>
    <row r="5">
      <c r="A5" s="3" t="inlineStr">
        <is>
          <t>Qué Decide Este Libro</t>
        </is>
      </c>
    </row>
    <row r="6" ht="46" customHeight="1">
      <c r="A6" s="2" t="inlineStr">
        <is>
          <t>Qué haces cuando el cacao sube: subir el precio, bajar el gramaje, cambiar de cobertura o aceptar menos margen. El libro no elige por ti: pone las cuatro salidas en euros y te dice cuál de tus referencias se rompe la primera.</t>
        </is>
      </c>
    </row>
    <row r="7"/>
    <row r="8">
      <c r="A8" s="3" t="inlineStr">
        <is>
          <t>La Celda Más Importante del Paquete</t>
        </is>
      </c>
    </row>
    <row r="9" ht="58" customHeight="1">
      <c r="A9" s="2" t="inlineStr">
        <is>
          <t>El precio de cada cobertura vive SÓLO en este libro, en la hoja «Coste de Cobertura». El libro 4 (carta y escandallo) y el libro 7 (plan financiero) lo COPIAN a mano en una celda verde y lo cuadran: no hay ni una fórmula entre ficheros. Si cambias aquí el precio, cámbialo también allí -las dos hojas te avisan si no cuadran-.</t>
        </is>
      </c>
    </row>
    <row r="10"/>
    <row r="11">
      <c r="A11" s="3" t="inlineStr">
        <is>
          <t>El IVA: por Qué el Precio Sale en Dos Bases</t>
        </is>
      </c>
    </row>
    <row r="12" ht="70" customHeight="1">
      <c r="A12" s="2" t="inlineStr">
        <is>
          <t>La tarifa del distribuidor puede venir con IVA o sin él, y casi nunca lo dice en la misma línea. Un escandallo se calcula SIEMPRE con precios sin IVA: el que soportas al comprar te lo deduces. Por eso escribes el precio tal y como te lo pasan, marcas en qué base viene, y la hoja te devuelve la base imponible. Mezclar las dos bases infla el food cost alrededor de un 9 %, que es justo el margen que creías tener.</t>
        </is>
      </c>
    </row>
    <row r="13"/>
    <row r="14">
      <c r="A14" s="3" t="inlineStr">
        <is>
          <t>Las Hojas, y Qué Hace Cada Una</t>
        </is>
      </c>
    </row>
    <row r="15" ht="42" customHeight="1">
      <c r="A15" s="4" t="inlineStr">
        <is>
          <t>Parámetros</t>
        </is>
      </c>
      <c r="B15" s="5" t="inlineStr">
        <is>
          <t>Los números que gobiernan todo el libro: IVA, food cost objetivo, food cost máximo, volumen de venta y condiciones de compra. Nada de esto está escrito dentro de una fórmula.</t>
        </is>
      </c>
    </row>
    <row r="16" ht="42" customHeight="1">
      <c r="A16" s="4" t="inlineStr">
        <is>
          <t>Coste de Cobertura</t>
        </is>
      </c>
      <c r="B16" s="5" t="inlineStr">
        <is>
          <t>El precio de las cuatro coberturas en las dos bases, y el coste de cobertura de cada una de las 28 referencias de la carta. De aquí sale todo lo demás.</t>
        </is>
      </c>
    </row>
    <row r="17" ht="42" customHeight="1">
      <c r="A17" s="4" t="inlineStr">
        <is>
          <t>Escenarios de Precio</t>
        </is>
      </c>
      <c r="B17" s="5" t="inlineStr">
        <is>
          <t>Cinco escenarios de subida -hoy, +20 %, +40 %, +60 % y el tuyo- con el coste de materia y el food cost de cada referencia en cada uno.</t>
        </is>
      </c>
    </row>
    <row r="18" ht="42" customHeight="1">
      <c r="A18" s="4" t="inlineStr">
        <is>
          <t>Repercusión al PVP</t>
        </is>
      </c>
      <c r="B18" s="5" t="inlineStr">
        <is>
          <t>Las cuatro salidas, referencia a referencia: subir el PVP, bajar el gramaje, cambiar de cobertura o aguantar. Y la referencia que primero se rompe.</t>
        </is>
      </c>
    </row>
    <row r="19" ht="42" customHeight="1">
      <c r="A19" s="4" t="inlineStr">
        <is>
          <t>Stock y Cobertura de Compra</t>
        </is>
      </c>
      <c r="B19" s="5" t="inlineStr">
        <is>
          <t>Cuánta cobertura tienes que tener parada, qué dinero es eso, cuándo hay que volver a pedir y qué te cuesta comprar por delante para una campaña.</t>
        </is>
      </c>
    </row>
    <row r="20"/>
    <row r="21">
      <c r="A21" s="3" t="inlineStr">
        <is>
          <t>Cada Cuánto Se Usa</t>
        </is>
      </c>
    </row>
    <row r="22" ht="46" customHeight="1">
      <c r="A22" s="2" t="inlineStr">
        <is>
          <t>Cada vez que tu proveedor te pase tarifa nueva, y como mínimo una vez por trimestre. Son diez minutos: cambias los precios de la hoja «Coste de Cobertura», miras la hoja «Repercusión al PVP» y decides. Antes de Navidad, míralo también con la compra anticipada de la hoja «Stock y Cobertura de Compra».</t>
        </is>
      </c>
    </row>
    <row r="23"/>
    <row r="24">
      <c r="A24" s="3" t="inlineStr">
        <is>
          <t>Frontera con el Kit de Tareas Chocolatería</t>
        </is>
      </c>
    </row>
    <row r="25" ht="70" customHeight="1">
      <c r="A25" s="2" t="inlineStr">
        <is>
          <t>El Kit de Tareas Chocolatería (12 €) no costea nada: publica las curvas de templado, las fichas de moldeado y los plazos de vida útil. Este libro no repite ninguna de esas tablas; lo que hace es ponerle precio al kilo de cobertura que se va en cada pieza. Si tienes el kit, los porcentajes de cacao de las tres coberturas son los suyos: cobertura negra 55-70 %, con leche 35-40 % y blanca 28-33 % (02-partidas-produccion.xlsx, hoja Templado).</t>
        </is>
      </c>
    </row>
    <row r="26"/>
    <row r="27">
      <c r="A27" s="3" t="inlineStr">
        <is>
          <t>De Dónde Salen los Números del Ejemplo</t>
        </is>
      </c>
    </row>
    <row r="28" ht="70" customHeight="1">
      <c r="A28" s="2" t="inlineStr">
        <is>
          <t>Todo lo que ves relleno es la bombonería «La Almendra», el caso de ejemplo de la guía: 75 m², obrador y tienda, 28 referencias. Los precios de las coberturas negra y de origen están verificados con su tienda y su fecha; los de leche y blanca son supuestos declarados, porque no hay precio público verificado. Todos los gramajes, el mix y el volumen son supuestos: sustitúyelos por los tuyos en cuanto tengas dos semanas de TPV.</t>
        </is>
      </c>
    </row>
    <row r="29"/>
    <row r="30" ht="30" customHeight="1">
      <c r="A30" s="2" t="inlineStr">
        <is>
          <t>Para editar la estructura o una celda que no esté en verde: Revisar &gt; Desproteger hoja (no tiene contraseña).</t>
        </is>
      </c>
    </row>
    <row r="31"/>
    <row r="32">
      <c r="A32" s="6" t="inlineStr">
        <is>
          <t>Diseñado por John Guerrero — chef y consultor gastronómico desde 2010, en cocina desde los 17 años.</t>
        </is>
      </c>
    </row>
    <row r="33">
      <c r="A33" s="6"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5">
    <mergeCell ref="A6:C6"/>
    <mergeCell ref="A22:C22"/>
    <mergeCell ref="A32:C32"/>
    <mergeCell ref="B17:C17"/>
    <mergeCell ref="A9:C9"/>
    <mergeCell ref="B19:C19"/>
    <mergeCell ref="A25:C25"/>
    <mergeCell ref="B16:C16"/>
    <mergeCell ref="A30:C30"/>
    <mergeCell ref="A33:C33"/>
    <mergeCell ref="A3:C3"/>
    <mergeCell ref="B15:C15"/>
    <mergeCell ref="A12:C12"/>
    <mergeCell ref="B18:C18"/>
    <mergeCell ref="A28:C28"/>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0"/>
  <sheetViews>
    <sheetView workbookViewId="0">
      <pane ySplit="5" topLeftCell="A6" activePane="bottomLeft" state="frozen"/>
      <selection pane="bottomLeft" activeCell="A1" sqref="A1"/>
    </sheetView>
  </sheetViews>
  <sheetFormatPr baseColWidth="8" defaultRowHeight="15"/>
  <cols>
    <col width="48" customWidth="1" min="1" max="1"/>
    <col width="14" customWidth="1" min="2" max="2"/>
    <col width="15" customWidth="1" min="3" max="3"/>
    <col width="20" customWidth="1" min="4" max="4"/>
    <col width="78" customWidth="1" min="5" max="5"/>
  </cols>
  <sheetData>
    <row r="1" ht="28" customHeight="1">
      <c r="A1" s="1" t="inlineStr">
        <is>
          <t>Parámetros</t>
        </is>
      </c>
    </row>
    <row r="2">
      <c r="A2" t="inlineStr">
        <is>
          <t>AI Chef Pro · aichef.pro — Cómo Montar una Chocolatería</t>
        </is>
      </c>
    </row>
    <row r="3" ht="26" customHeight="1">
      <c r="A3" s="2" t="inlineStr">
        <is>
          <t>Ninguna de estas cifras está escrita dentro de una fórmula: se cambian aquí y el libro entero se mueve.</t>
        </is>
      </c>
    </row>
    <row r="4"/>
    <row r="5" ht="24" customHeight="1">
      <c r="A5" s="7" t="inlineStr">
        <is>
          <t>Parámetro</t>
        </is>
      </c>
      <c r="B5" s="7" t="inlineStr">
        <is>
          <t>Valor</t>
        </is>
      </c>
      <c r="C5" s="7" t="inlineStr">
        <is>
          <t>Unidad</t>
        </is>
      </c>
      <c r="D5" s="7" t="inlineStr">
        <is>
          <t>De dónde sale</t>
        </is>
      </c>
      <c r="E5" s="7" t="inlineStr">
        <is>
          <t>Nota</t>
        </is>
      </c>
    </row>
    <row r="6" ht="34" customHeight="1">
      <c r="A6" s="6" t="inlineStr">
        <is>
          <t>IVA de la cobertura y del chocolate</t>
        </is>
      </c>
      <c r="B6" s="8" t="n">
        <v>0.1</v>
      </c>
      <c r="C6" t="inlineStr">
        <is>
          <t>sobre la base</t>
        </is>
      </c>
      <c r="D6" t="inlineStr">
        <is>
          <t>CHN-71</t>
        </is>
      </c>
      <c r="E6" s="5" t="inlineStr">
        <is>
          <t>El chocolate va al 10 % POR EXCLUSION, no porque un precepto lo nombre: la lista del 4 % del art. 91.Dos.1.1.o es cerrada y tiene siete letras, el chocolate no esta en ninguna, y tampoco esta entre las dos exclusiones del 10 % (bebidas alcoholicas y refrescantes).</t>
        </is>
      </c>
    </row>
    <row r="7" ht="34" customHeight="1">
      <c r="A7" s="6" t="inlineStr">
        <is>
          <t>IVA del producto que vendes en mostrador</t>
        </is>
      </c>
      <c r="B7" s="8" t="n">
        <v>0.1</v>
      </c>
      <c r="C7" t="inlineStr">
        <is>
          <t>sobre la base</t>
        </is>
      </c>
      <c r="D7" t="inlineStr">
        <is>
          <t>CHN-71</t>
        </is>
      </c>
      <c r="E7" s="5" t="inlineStr">
        <is>
          <t>El mismo tipo, y por la misma razón. La taza SERVIDA EN SALA va al 10 % por otra vía -es prestación de servicio de hostelería, no entrega de un bien-, y por eso la nota de esta celda cita las dos.</t>
        </is>
      </c>
    </row>
    <row r="8" ht="34" customHeight="1">
      <c r="A8" s="6" t="inlineStr">
        <is>
          <t>Food cost objetivo (sobre PVP sin IVA)</t>
        </is>
      </c>
      <c r="B8" s="8" t="n">
        <v>0.3</v>
      </c>
      <c r="C8" t="inlineStr">
        <is>
          <t>sobre PVP</t>
        </is>
      </c>
      <c r="D8" t="inlineStr">
        <is>
          <t>supuesto</t>
        </is>
      </c>
      <c r="E8" s="5" t="inlineStr">
        <is>
          <t>REGLA ÚNICA de la casa, y es SUPUESTO: no existe dato publico de food cost de bombonería. `margen_bruto_objetivo()` deriva el margen sobre PVP, que con este food cost es el 70 %. El libro 4 pide UNO de los dos números y calcula el otro: margen bruto y food cost son la misma regla dicha dos veces, y publicarlos como dos reglas es un error de método prohibido. Se calcula SIEMPRE sobre base imponible en los DOS lados del cociente (regla 3 de §2.3).</t>
        </is>
      </c>
    </row>
    <row r="9" ht="34" customHeight="1">
      <c r="A9" s="6" t="inlineStr">
        <is>
          <t>Margen bruto objetivo sobre PVP</t>
        </is>
      </c>
      <c r="B9" s="9">
        <f>IFERROR(1-'Parámetros'!$B$8,"")</f>
        <v>0.7</v>
      </c>
      <c r="C9" t="inlineStr">
        <is>
          <t>sobre PVP</t>
        </is>
      </c>
      <c r="D9" t="inlineStr">
        <is>
          <t>calculado</t>
        </is>
      </c>
      <c r="E9" s="5" t="inlineStr">
        <is>
          <t>Es el food cost objetivo dicho al revés. Son la misma regla, no dos: por eso sólo se teclea una y la otra se calcula.</t>
        </is>
      </c>
    </row>
    <row r="10" ht="34" customHeight="1">
      <c r="A10" s="6" t="inlineStr">
        <is>
          <t>Food cost máximo antes de dar la referencia por rota</t>
        </is>
      </c>
      <c r="B10" s="8" t="n">
        <v>0.35</v>
      </c>
      <c r="C10" t="inlineStr">
        <is>
          <t>sobre PVP</t>
        </is>
      </c>
      <c r="D10" t="inlineStr">
        <is>
          <t>supuesto</t>
        </is>
      </c>
      <c r="E10" s="5" t="inlineStr">
        <is>
          <t>El techo que te pones tú. Por encima de él la hoja «Repercusión al PVP» marca la referencia como ROTA. No es un límite del sector: es tu línea roja, y con ella se calcula «la subida máxima que aguanta».</t>
        </is>
      </c>
    </row>
    <row r="11" ht="34" customHeight="1">
      <c r="A11" s="6" t="inlineStr">
        <is>
          <t>Clientes al día en velocidad de crucero</t>
        </is>
      </c>
      <c r="B11" s="10" t="n">
        <v>67</v>
      </c>
      <c r="C11" t="inlineStr">
        <is>
          <t>tickets/día</t>
        </is>
      </c>
      <c r="D11" t="inlineStr">
        <is>
          <t>supuesto</t>
        </is>
      </c>
      <c r="E11" s="5" t="inlineStr">
        <is>
          <t>Clientes por día en velocidad de crucero. NO es un dato del sector: `N-13` prohíbe publicar un ticket medio de chocolatería o un reparto mensual de ventas como dato, porque no existe dato publico. La guía enseña a medirlo con el TPV en dos semanas. Esta calibrado para que el margen neto del año de crucero caiga entre el 9 % y el 11 %: por encima, el caso se lee como optimista y un refutador lo tumba con razón. Es la ÚNICA palanca que se toca para mover el margen; los costes no se maquillan.</t>
        </is>
      </c>
    </row>
    <row r="12" ht="34" customHeight="1">
      <c r="A12" s="6" t="inlineStr">
        <is>
          <t>Piezas por ticket</t>
        </is>
      </c>
      <c r="B12" s="11" t="n">
        <v>1.4</v>
      </c>
      <c r="C12" t="inlineStr">
        <is>
          <t>piezas/ticket</t>
        </is>
      </c>
      <c r="D12" t="inlineStr">
        <is>
          <t>supuesto</t>
        </is>
      </c>
      <c r="E12" s="5" t="inlineStr">
        <is>
          <t>De aquí sale el ticket medio, que NO se teclea: se calcula como PVP medio ponderado de la carta x piezas por ticket. En bombonería es BAJO -1,4- porque la unidad de venta real es la caja, no la pieza: quien entra a por un regalo se lleva UNA caja de 20 euros, no ocho bombones sueltos.</t>
        </is>
      </c>
    </row>
    <row r="13" ht="34" customHeight="1">
      <c r="A13" s="6" t="inlineStr">
        <is>
          <t>Días de apertura al año</t>
        </is>
      </c>
      <c r="B13" s="10" t="n">
        <v>304</v>
      </c>
      <c r="C13" t="inlineStr">
        <is>
          <t>días/año</t>
        </is>
      </c>
      <c r="D13" t="inlineStr">
        <is>
          <t>supuesto</t>
        </is>
      </c>
      <c r="E13" s="5" t="inlineStr">
        <is>
          <t>6 días por semana x 52 semanas = 312, menos 8 días de cierre por festivos = 304. En agosto la TIENDA NO CIERRA: lo que para es el obrador (D36, y el literal del kit dice «la tienda abre para el turista aunque el obrador pare»). Una bombonería de menos de 300 m² tiene libertad horaria por el art. 5.2 de la Ley 1/2004, no por el 5.1 (`CHN-77`).</t>
        </is>
      </c>
    </row>
    <row r="14" ht="34" customHeight="1">
      <c r="A14" s="6" t="inlineStr">
        <is>
          <t>Piezas vendibles al año</t>
        </is>
      </c>
      <c r="B14" s="12">
        <f>IFERROR('Parámetros'!$B$11*'Parámetros'!$B$12*'Parámetros'!$B$13,"")</f>
        <v>28515.2</v>
      </c>
      <c r="C14" t="inlineStr">
        <is>
          <t>piezas/año</t>
        </is>
      </c>
      <c r="D14" t="inlineStr">
        <is>
          <t>calculado</t>
        </is>
      </c>
      <c r="E14" s="5" t="inlineStr">
        <is>
          <t>Clientes al día por piezas por ticket por días de apertura. Es la base sobre la que el mix de cada referencia reparte las unidades. Una caja surtida cuenta como UNA pieza vendible: la unidad de venta de una bombonería es la caja, no el bombón.</t>
        </is>
      </c>
    </row>
    <row r="15" ht="34" customHeight="1">
      <c r="A15" s="6" t="inlineStr">
        <is>
          <t>Semanas al año</t>
        </is>
      </c>
      <c r="B15" s="10" t="n">
        <v>52</v>
      </c>
      <c r="C15" t="inlineStr">
        <is>
          <t>semanas</t>
        </is>
      </c>
      <c r="D15" t="inlineStr">
        <is>
          <t>supuesto</t>
        </is>
      </c>
      <c r="E15" s="5" t="inlineStr">
        <is>
          <t>Se usa para pasar el consumo anual de cobertura a consumo semanal y para prorratear el coste financiero de la compra anticipada.</t>
        </is>
      </c>
    </row>
    <row r="16" ht="34" customHeight="1">
      <c r="A16" s="6" t="inlineStr">
        <is>
          <t>Semanas de stock de cobertura que quieres tener</t>
        </is>
      </c>
      <c r="B16" s="10" t="n">
        <v>3</v>
      </c>
      <c r="C16" t="inlineStr">
        <is>
          <t>semanas</t>
        </is>
      </c>
      <c r="D16" t="inlineStr">
        <is>
          <t>supuesto</t>
        </is>
      </c>
      <c r="E16" s="5" t="inlineStr">
        <is>
          <t>Cuánta cobertura quieres tener parada en el almacén. Tres semanas es el supuesto de partida de La Almendra; súbelo si tu proveedor sirve mal o si entras en campaña.</t>
        </is>
      </c>
    </row>
    <row r="17" ht="34" customHeight="1">
      <c r="A17" s="6" t="inlineStr">
        <is>
          <t>Plazo de entrega de tu proveedor</t>
        </is>
      </c>
      <c r="B17" s="10" t="n">
        <v>2</v>
      </c>
      <c r="C17" t="inlineStr">
        <is>
          <t>semanas</t>
        </is>
      </c>
      <c r="D17" t="inlineStr">
        <is>
          <t>supuesto</t>
        </is>
      </c>
      <c r="E17" s="5" t="inlineStr">
        <is>
          <t>Desde que haces el pedido hasta que lo tienes en el almacén. Es el número que de verdad fija el punto de recompra: pídeselo por escrito a tu comercial, y anótalo también en el libro 9.</t>
        </is>
      </c>
    </row>
    <row r="18" ht="34" customHeight="1">
      <c r="A18" s="6" t="inlineStr">
        <is>
          <t>Stock de seguridad</t>
        </is>
      </c>
      <c r="B18" s="10" t="n">
        <v>1</v>
      </c>
      <c r="C18" t="inlineStr">
        <is>
          <t>semanas</t>
        </is>
      </c>
      <c r="D18" t="inlineStr">
        <is>
          <t>supuesto</t>
        </is>
      </c>
      <c r="E18" s="5" t="inlineStr">
        <is>
          <t>El colchón por encima del plazo de entrega. Sin él, cualquier retraso del proveedor te para el obrador.</t>
        </is>
      </c>
    </row>
    <row r="19" ht="34" customHeight="1">
      <c r="A19" s="6" t="inlineStr">
        <is>
          <t>Tipo de interés anual del circulante</t>
        </is>
      </c>
      <c r="B19" s="8" t="n">
        <v>0.06</v>
      </c>
      <c r="C19" t="inlineStr">
        <is>
          <t>anual</t>
        </is>
      </c>
      <c r="D19" t="inlineStr">
        <is>
          <t>supuesto</t>
        </is>
      </c>
      <c r="E19" s="5" t="inlineStr">
        <is>
          <t>Lo que te cuesta el dinero que tienes parado en existencias. Si tiras de póliza, es el tipo de tu póliza; si tiras de caja, es lo que dejas de ganar con ese dinero.</t>
        </is>
      </c>
    </row>
    <row r="20" ht="34" customHeight="1">
      <c r="A20" s="6" t="inlineStr">
        <is>
          <t>Semanas de compra anticipada para campaña</t>
        </is>
      </c>
      <c r="B20" s="10" t="n">
        <v>8</v>
      </c>
      <c r="C20" t="inlineStr">
        <is>
          <t>semanas</t>
        </is>
      </c>
      <c r="D20" t="inlineStr">
        <is>
          <t>supuesto</t>
        </is>
      </c>
      <c r="E20" s="5" t="inlineStr">
        <is>
          <t>Cuántas semanas de consumo compras por delante cuando llega Navidad. Es la compra que más tesorería inmoviliza del año, y la hoja «Stock y Cobertura de Compra» le pone precio.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3:E3"/>
  </mergeCell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U64"/>
  <sheetViews>
    <sheetView workbookViewId="0">
      <pane ySplit="50" topLeftCell="A51" activePane="bottomLeft" state="frozen"/>
      <selection pane="bottomLeft"/>
      <selection pane="bottomLeft"/>
      <selection pane="bottomRight" activeCell="A1" sqref="A1"/>
    </sheetView>
  </sheetViews>
  <sheetFormatPr baseColWidth="8" defaultRowHeight="15"/>
  <cols>
    <col width="9" customWidth="1" min="1" max="1"/>
    <col width="46" customWidth="1" min="2" max="2"/>
    <col width="26" customWidth="1" min="3" max="3"/>
    <col width="11" customWidth="1" min="4" max="4"/>
    <col width="12" customWidth="1" min="5" max="5"/>
    <col width="12" customWidth="1" min="6" max="6"/>
    <col width="12" customWidth="1" min="7" max="7"/>
    <col width="12" customWidth="1" min="8" max="8"/>
    <col width="13" customWidth="1" min="9" max="9"/>
    <col width="13" customWidth="1" min="10" max="10"/>
    <col width="13" customWidth="1" min="11" max="11"/>
    <col width="13" customWidth="1" min="12" max="12"/>
    <col width="13" customWidth="1" min="13" max="13"/>
    <col width="10" customWidth="1" min="14" max="14"/>
    <col width="12" customWidth="1" min="15" max="15"/>
    <col width="13" customWidth="1" min="16" max="16"/>
    <col width="14" customWidth="1" min="17" max="17"/>
    <col width="12" customWidth="1" min="18" max="18"/>
    <col width="9" customWidth="1" min="19" max="19"/>
    <col width="12" customWidth="1" min="20" max="20"/>
    <col width="12" customWidth="1" min="21" max="21"/>
  </cols>
  <sheetData>
    <row r="1" ht="28" customHeight="1">
      <c r="A1" s="1" t="inlineStr">
        <is>
          <t>Coste de Cobertura por Referencia</t>
        </is>
      </c>
    </row>
    <row r="2">
      <c r="A2" t="inlineStr">
        <is>
          <t>AI Chef Pro · aichef.pro — Cómo Montar una Chocolatería</t>
        </is>
      </c>
    </row>
    <row r="3" ht="26" customHeight="1">
      <c r="A3" s="2" t="inlineStr">
        <is>
          <t>El precio de la cobertura vive SÓLO en esta hoja. Lo que copian el libro 4 y el libro 7 es la columna de BASE IMPONIBLE, nunca la de «como lo trae la fuente».</t>
        </is>
      </c>
    </row>
    <row r="4"/>
    <row r="5">
      <c r="A5" s="3" t="inlineStr">
        <is>
          <t>La Celda Única: el Precio de Cada Cobertura en las Dos Bases</t>
        </is>
      </c>
    </row>
    <row r="6" ht="46" customHeight="1">
      <c r="A6" s="7" t="inlineStr">
        <is>
          <t>Clave</t>
        </is>
      </c>
      <c r="B6" s="7" t="inlineStr">
        <is>
          <t>Cobertura</t>
        </is>
      </c>
      <c r="C6" s="7" t="inlineStr">
        <is>
          <t>Formato de compra</t>
        </is>
      </c>
      <c r="D6" s="7" t="inlineStr">
        <is>
          <t>Precio como lo trae la fuente (€/kg)</t>
        </is>
      </c>
      <c r="E6" s="7" t="inlineStr">
        <is>
          <t>Base declarada por la fuente</t>
        </is>
      </c>
      <c r="F6" s="7" t="inlineStr">
        <is>
          <t>Tipo de IVA</t>
        </is>
      </c>
      <c r="G6" s="7" t="inlineStr">
        <is>
          <t>Precio en BASE IMPONIBLE (€/kg)</t>
        </is>
      </c>
      <c r="H6" s="7" t="inlineStr">
        <is>
          <t>Fuente</t>
        </is>
      </c>
      <c r="I6" s="7" t="inlineStr">
        <is>
          <t>% de cacao (rango del kit)</t>
        </is>
      </c>
      <c r="J6" s="7" t="inlineStr">
        <is>
          <t>Nota</t>
        </is>
      </c>
    </row>
    <row r="7" ht="46" customHeight="1">
      <c r="A7" t="inlineStr">
        <is>
          <t>negra</t>
        </is>
      </c>
      <c r="B7" s="6" t="inlineStr">
        <is>
          <t>Cobertura de chocolate negro (marca, 54,5 % de cacao)</t>
        </is>
      </c>
      <c r="C7" s="6" t="inlineStr">
        <is>
          <t>bloque de 5 kg a 125,08 euros</t>
        </is>
      </c>
      <c r="D7" s="13" t="n">
        <v>25.02</v>
      </c>
      <c r="E7" s="14" t="inlineStr">
        <is>
          <t>con IVA</t>
        </is>
      </c>
      <c r="F7" s="8" t="n">
        <v>0.1</v>
      </c>
      <c r="G7" s="15">
        <f>IFERROR(IF($E7=$A$62,$D7/(1+$F7),$D7),"")</f>
        <v>22.745454545454542</v>
      </c>
      <c r="H7" t="inlineStr">
        <is>
          <t>CHS-28a</t>
        </is>
      </c>
      <c r="I7" t="inlineStr">
        <is>
          <t>55-70 %</t>
        </is>
      </c>
      <c r="J7" s="5" t="inlineStr">
        <is>
          <t>LA CELDA MAS CRITICA DEL PAQUETE. Base CON IVA declarada por la ficha (`CHS-28a`): el libro 3 la publica en las dos bases y lo que viaja al 4 y al 7 es la base imponible. Las tres magnitudes de arriba son SUPUESTO: pidesela a tu proveedor, la bolsa solo trae el total.</t>
        </is>
      </c>
    </row>
    <row r="8" ht="46" customHeight="1">
      <c r="A8" t="inlineStr">
        <is>
          <t>origen</t>
        </is>
      </c>
      <c r="B8" s="6" t="inlineStr">
        <is>
          <t>Cobertura de chocolate de origen (70 % de cacao)</t>
        </is>
      </c>
      <c r="C8" s="6" t="inlineStr">
        <is>
          <t>pepitas de 400 g a 14,99 euros</t>
        </is>
      </c>
      <c r="D8" s="13" t="n">
        <v>37.48</v>
      </c>
      <c r="E8" s="14" t="inlineStr">
        <is>
          <t>no declarada</t>
        </is>
      </c>
      <c r="F8" s="8" t="n">
        <v>0.1</v>
      </c>
      <c r="G8" s="16">
        <f>IFERROR(IF($E8=$A$62,$D8/(1+$F8),$D8),"")</f>
        <v>37.48</v>
      </c>
      <c r="H8" t="inlineStr">
        <is>
          <t>CHS-28c</t>
        </is>
      </c>
      <c r="I8" t="inlineStr">
        <is>
          <t>55-70 %</t>
        </is>
      </c>
      <c r="J8" s="5" t="inlineStr">
        <is>
          <t>Factor 1,5 frente a la de marca, y es la decisión de posicionamiento mas cara del negocio (decisión 5 del bonus 2). La pagina no declara si el precio lleva IVA: se trata como base imponible y se marca.</t>
        </is>
      </c>
    </row>
    <row r="9" ht="46" customHeight="1">
      <c r="A9" t="inlineStr">
        <is>
          <t>leche</t>
        </is>
      </c>
      <c r="B9" s="6" t="inlineStr">
        <is>
          <t>Cobertura de chocolate con leche (38 % de cacao)</t>
        </is>
      </c>
      <c r="C9" s="6" t="inlineStr">
        <is>
          <t>saco de 10 kg</t>
        </is>
      </c>
      <c r="D9" s="13" t="n">
        <v>19.5</v>
      </c>
      <c r="E9" s="14" t="inlineStr">
        <is>
          <t>sin IVA</t>
        </is>
      </c>
      <c r="F9" s="8" t="n">
        <v>0.1</v>
      </c>
      <c r="G9" s="16">
        <f>IFERROR(IF($E9=$A$62,$D9/(1+$F9),$D9),"")</f>
        <v>19.5</v>
      </c>
      <c r="H9" t="inlineStr">
        <is>
          <t>supuesto</t>
        </is>
      </c>
      <c r="I9" t="inlineStr">
        <is>
          <t>35-40 %</t>
        </is>
      </c>
      <c r="J9" s="5" t="inlineStr">
        <is>
          <t>SUPUESTO declarado: no hay precio verificado de cobertura con leche en el research. Celda verde con valor por defecto (regla 2 de §2.3: ninguna celda verde vacia).</t>
        </is>
      </c>
    </row>
    <row r="10" ht="46" customHeight="1">
      <c r="A10" t="inlineStr">
        <is>
          <t>blanca</t>
        </is>
      </c>
      <c r="B10" s="6" t="inlineStr">
        <is>
          <t>Cobertura de chocolate blanco (30 % de cacao)</t>
        </is>
      </c>
      <c r="C10" s="6" t="inlineStr">
        <is>
          <t>saco de 10 kg</t>
        </is>
      </c>
      <c r="D10" s="13" t="n">
        <v>21</v>
      </c>
      <c r="E10" s="14" t="inlineStr">
        <is>
          <t>sin IVA</t>
        </is>
      </c>
      <c r="F10" s="8" t="n">
        <v>0.1</v>
      </c>
      <c r="G10" s="16">
        <f>IFERROR(IF($E10=$A$62,$D10/(1+$F10),$D10),"")</f>
        <v>21.0</v>
      </c>
      <c r="H10" t="inlineStr">
        <is>
          <t>supuesto</t>
        </is>
      </c>
      <c r="I10" t="inlineStr">
        <is>
          <t>28-33 %</t>
        </is>
      </c>
      <c r="J10" s="5" t="inlineStr">
        <is>
          <t>SUPUESTO declarado. Ojo al chocolate blanco: NO lleva materia seca desgrasada de cacao, y por eso el art. 6.d) del RD 1055/2003 NO le obliga a la mención «cacao: X % mínimo» (`CHN-07`).</t>
        </is>
      </c>
    </row>
    <row r="11" ht="30" customHeight="1">
      <c r="A11" s="2" t="inlineStr">
        <is>
          <t>ESTA es la celda que copian el libro 4 y el libro 7: Coste de Cobertura!G7, la de BASE IMPONIBLE. La de la izquierda (D7) viene CON IVA declarado por la ficha, y un escandallo hecho con ella sale un 9 % alto.</t>
        </is>
      </c>
    </row>
    <row r="12"/>
    <row r="13">
      <c r="A13" s="3" t="inlineStr">
        <is>
          <t>Coste de Chocolate por Referencia</t>
        </is>
      </c>
    </row>
    <row r="14" ht="40" customHeight="1">
      <c r="A14" s="2" t="inlineStr">
        <is>
          <t>Los gramos son los mismos que tecleas en el libro 4 (carta y escandallo); aquí sirven para medir cuánto te expone cada referencia al precio del cacao, e incluyen la cobertura que va DENTRO del relleno. Las cuatro cajas surtidas no tienen gramaje propio: se componen de lo que llevan dentro, se prorratean a su cobertura dominante y la diferencia queda en «demás materias», así que su coste de materia total es el exacto.</t>
        </is>
      </c>
    </row>
    <row r="15" ht="58" customHeight="1">
      <c r="A15" s="7" t="inlineStr">
        <is>
          <t>Id</t>
        </is>
      </c>
      <c r="B15" s="7" t="inlineStr">
        <is>
          <t>Referencia</t>
        </is>
      </c>
      <c r="C15" s="7" t="inlineStr">
        <is>
          <t>Familia</t>
        </is>
      </c>
      <c r="D15" s="7" t="inlineStr">
        <is>
          <t>Cobertura</t>
        </is>
      </c>
      <c r="E15" s="7" t="inlineStr">
        <is>
          <t>Gramos de cobertura en la cáscara</t>
        </is>
      </c>
      <c r="F15" s="7" t="inlineStr">
        <is>
          <t>Gramos de cobertura dentro del relleno</t>
        </is>
      </c>
      <c r="G15" s="7" t="inlineStr">
        <is>
          <t>Gramos de cobertura por pieza</t>
        </is>
      </c>
      <c r="H15" s="7" t="inlineStr">
        <is>
          <t>Peso total de la pieza (g)</t>
        </is>
      </c>
      <c r="I15" s="7" t="inlineStr">
        <is>
          <t>% del peso que es cobertura</t>
        </is>
      </c>
      <c r="J15" s="7" t="inlineStr">
        <is>
          <t>Precio de su cobertura (€/kg)</t>
        </is>
      </c>
      <c r="K15" s="7" t="inlineStr">
        <is>
          <t>Coste de cobertura por pieza (€)</t>
        </is>
      </c>
      <c r="L15" s="7" t="inlineStr">
        <is>
          <t>Coste de las demás materias (€)</t>
        </is>
      </c>
      <c r="M15" s="7" t="inlineStr">
        <is>
          <t>Coste de materia por pieza (€)</t>
        </is>
      </c>
      <c r="N15" s="7" t="inlineStr">
        <is>
          <t>Mix (% de unidades)</t>
        </is>
      </c>
      <c r="O15" s="7" t="inlineStr">
        <is>
          <t>Unidades al año</t>
        </is>
      </c>
      <c r="P15" s="7" t="inlineStr">
        <is>
          <t>Kg de cobertura al año</t>
        </is>
      </c>
      <c r="Q15" s="7" t="inlineStr">
        <is>
          <t>€ de cobertura al año</t>
        </is>
      </c>
      <c r="R15" s="7" t="inlineStr">
        <is>
          <t>PVP con IVA (€)</t>
        </is>
      </c>
      <c r="S15" s="7" t="inlineStr">
        <is>
          <t>IVA</t>
        </is>
      </c>
      <c r="T15" s="7" t="inlineStr">
        <is>
          <t>PVP sin IVA (€)</t>
        </is>
      </c>
      <c r="U15" s="7" t="inlineStr">
        <is>
          <t>Food cost de materia</t>
        </is>
      </c>
    </row>
    <row r="16" ht="26" customHeight="1">
      <c r="A16" t="inlineStr">
        <is>
          <t>BC1</t>
        </is>
      </c>
      <c r="B16" s="6" t="inlineStr">
        <is>
          <t>Bombón de ganache de chocolate negro 70 %</t>
        </is>
      </c>
      <c r="C16" t="inlineStr">
        <is>
          <t>Bombones de colección</t>
        </is>
      </c>
      <c r="D16" s="14" t="inlineStr">
        <is>
          <t>negra</t>
        </is>
      </c>
      <c r="E16" s="11" t="n">
        <v>5.5</v>
      </c>
      <c r="F16" s="11" t="n">
        <v>3.38</v>
      </c>
      <c r="G16" s="17">
        <f>$E16+$F16</f>
        <v>8.879999999999999</v>
      </c>
      <c r="H16" s="11" t="n">
        <v>12</v>
      </c>
      <c r="I16" s="9">
        <f>IFERROR($G16/$H16,"")</f>
        <v>0.7399999999999999</v>
      </c>
      <c r="J16" s="16">
        <f>IFERROR(INDEX($G$7:$G$10,MATCH($D16,$A$7:$A$10,0)),"")</f>
        <v>22.745454545454542</v>
      </c>
      <c r="K16" s="16">
        <f>IFERROR($G16/1000*$J16,"")</f>
        <v>0.2019796363636363</v>
      </c>
      <c r="L16" s="13" t="n">
        <v>0.0156</v>
      </c>
      <c r="M16" s="16">
        <f>IFERROR($K16+$L16,"")</f>
        <v>0.2175796363636363</v>
      </c>
      <c r="N16" s="11" t="n">
        <v>6</v>
      </c>
      <c r="O16" s="12">
        <f>IFERROR('Parámetros'!$B$14*$N16/100,"")</f>
        <v>1710.912</v>
      </c>
      <c r="P16" s="17">
        <f>IFERROR($G16/1000*$O16,"")</f>
        <v>15.192898559999998</v>
      </c>
      <c r="Q16" s="18">
        <f>IFERROR($K16*$O16,"")</f>
        <v>345.5693836101817</v>
      </c>
      <c r="R16" s="13" t="n">
        <v>2</v>
      </c>
      <c r="S16" s="8" t="n">
        <v>0.1</v>
      </c>
      <c r="T16" s="16">
        <f>IFERROR($R16/(1+$S16),"")</f>
        <v>1.8181818181818181</v>
      </c>
      <c r="U16" s="9">
        <f>IFERROR($M16/$T16,"")</f>
        <v>0.11966879999999998</v>
      </c>
    </row>
    <row r="17" ht="26" customHeight="1">
      <c r="A17" t="inlineStr">
        <is>
          <t>BC2</t>
        </is>
      </c>
      <c r="B17" s="6" t="inlineStr">
        <is>
          <t>Bombón de ganache de leche y vainilla</t>
        </is>
      </c>
      <c r="C17" t="inlineStr">
        <is>
          <t>Bombones de colección</t>
        </is>
      </c>
      <c r="D17" s="14" t="inlineStr">
        <is>
          <t>leche</t>
        </is>
      </c>
      <c r="E17" s="11" t="n">
        <v>5.5</v>
      </c>
      <c r="F17" s="11" t="n">
        <v>3.64</v>
      </c>
      <c r="G17" s="17">
        <f>$E17+$F17</f>
        <v>9.14</v>
      </c>
      <c r="H17" s="11" t="n">
        <v>12</v>
      </c>
      <c r="I17" s="9">
        <f>IFERROR($G17/$H17,"")</f>
        <v>0.7616666666666667</v>
      </c>
      <c r="J17" s="16">
        <f>IFERROR(INDEX($G$7:$G$10,MATCH($D17,$A$7:$A$10,0)),"")</f>
        <v>19.5</v>
      </c>
      <c r="K17" s="16">
        <f>IFERROR($G17/1000*$J17,"")</f>
        <v>0.17823</v>
      </c>
      <c r="L17" s="13" t="n">
        <v>0.0125</v>
      </c>
      <c r="M17" s="16">
        <f>IFERROR($K17+$L17,"")</f>
        <v>0.19073</v>
      </c>
      <c r="N17" s="11" t="n">
        <v>5</v>
      </c>
      <c r="O17" s="12">
        <f>IFERROR('Parámetros'!$B$14*$N17/100,"")</f>
        <v>1425.76</v>
      </c>
      <c r="P17" s="17">
        <f>IFERROR($G17/1000*$O17,"")</f>
        <v>13.0314464</v>
      </c>
      <c r="Q17" s="18">
        <f>IFERROR($K17*$O17,"")</f>
        <v>254.1132048</v>
      </c>
      <c r="R17" s="13" t="n">
        <v>1.95</v>
      </c>
      <c r="S17" s="8" t="n">
        <v>0.1</v>
      </c>
      <c r="T17" s="16">
        <f>IFERROR($R17/(1+$S17),"")</f>
        <v>1.7727272727272725</v>
      </c>
      <c r="U17" s="9">
        <f>IFERROR($M17/$T17,"")</f>
        <v>0.10759128205128207</v>
      </c>
    </row>
    <row r="18" ht="26" customHeight="1">
      <c r="A18" t="inlineStr">
        <is>
          <t>BC3</t>
        </is>
      </c>
      <c r="B18" s="6" t="inlineStr">
        <is>
          <t>Bombón de praliné de avellana</t>
        </is>
      </c>
      <c r="C18" t="inlineStr">
        <is>
          <t>Bombones de colección</t>
        </is>
      </c>
      <c r="D18" s="14" t="inlineStr">
        <is>
          <t>leche</t>
        </is>
      </c>
      <c r="E18" s="11" t="n">
        <v>5</v>
      </c>
      <c r="F18" s="11" t="n">
        <v>1.96</v>
      </c>
      <c r="G18" s="17">
        <f>$E18+$F18</f>
        <v>6.96</v>
      </c>
      <c r="H18" s="11" t="n">
        <v>12</v>
      </c>
      <c r="I18" s="9">
        <f>IFERROR($G18/$H18,"")</f>
        <v>0.58</v>
      </c>
      <c r="J18" s="16">
        <f>IFERROR(INDEX($G$7:$G$10,MATCH($D18,$A$7:$A$10,0)),"")</f>
        <v>19.5</v>
      </c>
      <c r="K18" s="16">
        <f>IFERROR($G18/1000*$J18,"")</f>
        <v>0.13572</v>
      </c>
      <c r="L18" s="13" t="n">
        <v>0.07770000000000001</v>
      </c>
      <c r="M18" s="16">
        <f>IFERROR($K18+$L18,"")</f>
        <v>0.21342</v>
      </c>
      <c r="N18" s="11" t="n">
        <v>6</v>
      </c>
      <c r="O18" s="12">
        <f>IFERROR('Parámetros'!$B$14*$N18/100,"")</f>
        <v>1710.912</v>
      </c>
      <c r="P18" s="17">
        <f>IFERROR($G18/1000*$O18,"")</f>
        <v>11.90794752</v>
      </c>
      <c r="Q18" s="18">
        <f>IFERROR($K18*$O18,"")</f>
        <v>232.20497664</v>
      </c>
      <c r="R18" s="13" t="n">
        <v>2.1</v>
      </c>
      <c r="S18" s="8" t="n">
        <v>0.1</v>
      </c>
      <c r="T18" s="16">
        <f>IFERROR($R18/(1+$S18),"")</f>
        <v>1.909090909090909</v>
      </c>
      <c r="U18" s="9">
        <f>IFERROR($M18/$T18,"")</f>
        <v>0.11179142857142858</v>
      </c>
    </row>
    <row r="19" ht="26" customHeight="1">
      <c r="A19" t="inlineStr">
        <is>
          <t>BC4</t>
        </is>
      </c>
      <c r="B19" s="6" t="inlineStr">
        <is>
          <t>Bombón de gianduja de avellana</t>
        </is>
      </c>
      <c r="C19" t="inlineStr">
        <is>
          <t>Bombones de colección</t>
        </is>
      </c>
      <c r="D19" s="14" t="inlineStr">
        <is>
          <t>leche</t>
        </is>
      </c>
      <c r="E19" s="11" t="n">
        <v>5</v>
      </c>
      <c r="F19" s="11" t="n">
        <v>2.8</v>
      </c>
      <c r="G19" s="17">
        <f>$E19+$F19</f>
        <v>7.8</v>
      </c>
      <c r="H19" s="11" t="n">
        <v>12</v>
      </c>
      <c r="I19" s="9">
        <f>IFERROR($G19/$H19,"")</f>
        <v>0.65</v>
      </c>
      <c r="J19" s="16">
        <f>IFERROR(INDEX($G$7:$G$10,MATCH($D19,$A$7:$A$10,0)),"")</f>
        <v>19.5</v>
      </c>
      <c r="K19" s="16">
        <f>IFERROR($G19/1000*$J19,"")</f>
        <v>0.15209999999999999</v>
      </c>
      <c r="L19" s="13" t="n">
        <v>0.0722</v>
      </c>
      <c r="M19" s="16">
        <f>IFERROR($K19+$L19,"")</f>
        <v>0.2243</v>
      </c>
      <c r="N19" s="11" t="n">
        <v>4</v>
      </c>
      <c r="O19" s="12">
        <f>IFERROR('Parámetros'!$B$14*$N19/100,"")</f>
        <v>1140.608</v>
      </c>
      <c r="P19" s="17">
        <f>IFERROR($G19/1000*$O19,"")</f>
        <v>8.896742399999999</v>
      </c>
      <c r="Q19" s="18">
        <f>IFERROR($K19*$O19,"")</f>
        <v>173.48647679999996</v>
      </c>
      <c r="R19" s="13" t="n">
        <v>2.1</v>
      </c>
      <c r="S19" s="8" t="n">
        <v>0.1</v>
      </c>
      <c r="T19" s="16">
        <f>IFERROR($R19/(1+$S19),"")</f>
        <v>1.909090909090909</v>
      </c>
      <c r="U19" s="9">
        <f>IFERROR($M19/$T19,"")</f>
        <v>0.1174904761904762</v>
      </c>
    </row>
    <row r="20" ht="26" customHeight="1">
      <c r="A20" t="inlineStr">
        <is>
          <t>BC5</t>
        </is>
      </c>
      <c r="B20" s="6" t="inlineStr">
        <is>
          <t>Trufa de chocolate negro al cacao</t>
        </is>
      </c>
      <c r="C20" t="inlineStr">
        <is>
          <t>Bombones de colección</t>
        </is>
      </c>
      <c r="D20" s="14" t="inlineStr">
        <is>
          <t>negra</t>
        </is>
      </c>
      <c r="E20" s="11" t="n">
        <v>4</v>
      </c>
      <c r="F20" s="11" t="n">
        <v>4.86</v>
      </c>
      <c r="G20" s="17">
        <f>$E20+$F20</f>
        <v>8.86</v>
      </c>
      <c r="H20" s="11" t="n">
        <v>13</v>
      </c>
      <c r="I20" s="9">
        <f>IFERROR($G20/$H20,"")</f>
        <v>0.6815384615384615</v>
      </c>
      <c r="J20" s="16">
        <f>IFERROR(INDEX($G$7:$G$10,MATCH($D20,$A$7:$A$10,0)),"")</f>
        <v>22.745454545454542</v>
      </c>
      <c r="K20" s="16">
        <f>IFERROR($G20/1000*$J20,"")</f>
        <v>0.20152472727272724</v>
      </c>
      <c r="L20" s="13" t="n">
        <v>0.0166</v>
      </c>
      <c r="M20" s="16">
        <f>IFERROR($K20+$L20,"")</f>
        <v>0.21812472727272725</v>
      </c>
      <c r="N20" s="11" t="n">
        <v>5</v>
      </c>
      <c r="O20" s="12">
        <f>IFERROR('Parámetros'!$B$14*$N20/100,"")</f>
        <v>1425.76</v>
      </c>
      <c r="P20" s="17">
        <f>IFERROR($G20/1000*$O20,"")</f>
        <v>12.6322336</v>
      </c>
      <c r="Q20" s="18">
        <f>IFERROR($K20*$O20,"")</f>
        <v>287.3258951563636</v>
      </c>
      <c r="R20" s="13" t="n">
        <v>1.9</v>
      </c>
      <c r="S20" s="8" t="n">
        <v>0.1</v>
      </c>
      <c r="T20" s="16">
        <f>IFERROR($R20/(1+$S20),"")</f>
        <v>1.727272727272727</v>
      </c>
      <c r="U20" s="9">
        <f>IFERROR($M20/$T20,"")</f>
        <v>0.12628273684210525</v>
      </c>
    </row>
    <row r="21" ht="26" customHeight="1">
      <c r="A21" t="inlineStr">
        <is>
          <t>BC6</t>
        </is>
      </c>
      <c r="B21" s="6" t="inlineStr">
        <is>
          <t>Bombón de licor de ron</t>
        </is>
      </c>
      <c r="C21" t="inlineStr">
        <is>
          <t>Bombones de colección</t>
        </is>
      </c>
      <c r="D21" s="14" t="inlineStr">
        <is>
          <t>negra</t>
        </is>
      </c>
      <c r="E21" s="11" t="n">
        <v>6</v>
      </c>
      <c r="F21" s="11" t="n">
        <v>0</v>
      </c>
      <c r="G21" s="17">
        <f>$E21+$F21</f>
        <v>6.0</v>
      </c>
      <c r="H21" s="11" t="n">
        <v>14</v>
      </c>
      <c r="I21" s="9">
        <f>IFERROR($G21/$H21,"")</f>
        <v>0.42857142857142855</v>
      </c>
      <c r="J21" s="16">
        <f>IFERROR(INDEX($G$7:$G$10,MATCH($D21,$A$7:$A$10,0)),"")</f>
        <v>22.745454545454542</v>
      </c>
      <c r="K21" s="16">
        <f>IFERROR($G21/1000*$J21,"")</f>
        <v>0.13647272727272725</v>
      </c>
      <c r="L21" s="13" t="n">
        <v>0.0364</v>
      </c>
      <c r="M21" s="16">
        <f>IFERROR($K21+$L21,"")</f>
        <v>0.17287272727272723</v>
      </c>
      <c r="N21" s="11" t="n">
        <v>3</v>
      </c>
      <c r="O21" s="12">
        <f>IFERROR('Parámetros'!$B$14*$N21/100,"")</f>
        <v>855.456</v>
      </c>
      <c r="P21" s="17">
        <f>IFERROR($G21/1000*$O21,"")</f>
        <v>5.132736</v>
      </c>
      <c r="Q21" s="18">
        <f>IFERROR($K21*$O21,"")</f>
        <v>116.74641338181816</v>
      </c>
      <c r="R21" s="13" t="n">
        <v>2.3</v>
      </c>
      <c r="S21" s="8" t="n">
        <v>0.1</v>
      </c>
      <c r="T21" s="16">
        <f>IFERROR($R21/(1+$S21),"")</f>
        <v>2.0909090909090904</v>
      </c>
      <c r="U21" s="9">
        <f>IFERROR($M21/$T21,"")</f>
        <v>0.08267826086956521</v>
      </c>
    </row>
    <row r="22" ht="26" customHeight="1">
      <c r="A22" t="inlineStr">
        <is>
          <t>BC7</t>
        </is>
      </c>
      <c r="B22" s="6" t="inlineStr">
        <is>
          <t>Bombón de caramelo salado</t>
        </is>
      </c>
      <c r="C22" t="inlineStr">
        <is>
          <t>Bombones de colección</t>
        </is>
      </c>
      <c r="D22" s="14" t="inlineStr">
        <is>
          <t>leche</t>
        </is>
      </c>
      <c r="E22" s="11" t="n">
        <v>5.5</v>
      </c>
      <c r="F22" s="11" t="n">
        <v>0</v>
      </c>
      <c r="G22" s="17">
        <f>$E22+$F22</f>
        <v>5.5</v>
      </c>
      <c r="H22" s="11" t="n">
        <v>12</v>
      </c>
      <c r="I22" s="9">
        <f>IFERROR($G22/$H22,"")</f>
        <v>0.4583333333333333</v>
      </c>
      <c r="J22" s="16">
        <f>IFERROR(INDEX($G$7:$G$10,MATCH($D22,$A$7:$A$10,0)),"")</f>
        <v>19.5</v>
      </c>
      <c r="K22" s="16">
        <f>IFERROR($G22/1000*$J22,"")</f>
        <v>0.10725</v>
      </c>
      <c r="L22" s="13" t="n">
        <v>0.0259</v>
      </c>
      <c r="M22" s="16">
        <f>IFERROR($K22+$L22,"")</f>
        <v>0.13315</v>
      </c>
      <c r="N22" s="11" t="n">
        <v>4</v>
      </c>
      <c r="O22" s="12">
        <f>IFERROR('Parámetros'!$B$14*$N22/100,"")</f>
        <v>1140.608</v>
      </c>
      <c r="P22" s="17">
        <f>IFERROR($G22/1000*$O22,"")</f>
        <v>6.273343999999999</v>
      </c>
      <c r="Q22" s="18">
        <f>IFERROR($K22*$O22,"")</f>
        <v>122.330208</v>
      </c>
      <c r="R22" s="13" t="n">
        <v>2</v>
      </c>
      <c r="S22" s="8" t="n">
        <v>0.1</v>
      </c>
      <c r="T22" s="16">
        <f>IFERROR($R22/(1+$S22),"")</f>
        <v>1.8181818181818181</v>
      </c>
      <c r="U22" s="9">
        <f>IFERROR($M22/$T22,"")</f>
        <v>0.07323249999999999</v>
      </c>
    </row>
    <row r="23" ht="26" customHeight="1">
      <c r="A23" t="inlineStr">
        <is>
          <t>BC8</t>
        </is>
      </c>
      <c r="B23" s="6" t="inlineStr">
        <is>
          <t>Bombón de praliné de cacahuete</t>
        </is>
      </c>
      <c r="C23" t="inlineStr">
        <is>
          <t>Bombones de colección</t>
        </is>
      </c>
      <c r="D23" s="14" t="inlineStr">
        <is>
          <t>leche</t>
        </is>
      </c>
      <c r="E23" s="11" t="n">
        <v>5</v>
      </c>
      <c r="F23" s="11" t="n">
        <v>1.82</v>
      </c>
      <c r="G23" s="17">
        <f>$E23+$F23</f>
        <v>6.82</v>
      </c>
      <c r="H23" s="11" t="n">
        <v>12</v>
      </c>
      <c r="I23" s="9">
        <f>IFERROR($G23/$H23,"")</f>
        <v>0.5683333333333334</v>
      </c>
      <c r="J23" s="16">
        <f>IFERROR(INDEX($G$7:$G$10,MATCH($D23,$A$7:$A$10,0)),"")</f>
        <v>19.5</v>
      </c>
      <c r="K23" s="16">
        <f>IFERROR($G23/1000*$J23,"")</f>
        <v>0.13299</v>
      </c>
      <c r="L23" s="13" t="n">
        <v>0.0536</v>
      </c>
      <c r="M23" s="16">
        <f>IFERROR($K23+$L23,"")</f>
        <v>0.18659</v>
      </c>
      <c r="N23" s="11" t="n">
        <v>3</v>
      </c>
      <c r="O23" s="12">
        <f>IFERROR('Parámetros'!$B$14*$N23/100,"")</f>
        <v>855.456</v>
      </c>
      <c r="P23" s="17">
        <f>IFERROR($G23/1000*$O23,"")</f>
        <v>5.83420992</v>
      </c>
      <c r="Q23" s="18">
        <f>IFERROR($K23*$O23,"")</f>
        <v>113.76709344</v>
      </c>
      <c r="R23" s="13" t="n">
        <v>1.95</v>
      </c>
      <c r="S23" s="8" t="n">
        <v>0.1</v>
      </c>
      <c r="T23" s="16">
        <f>IFERROR($R23/(1+$S23),"")</f>
        <v>1.7727272727272725</v>
      </c>
      <c r="U23" s="9">
        <f>IFERROR($M23/$T23,"")</f>
        <v>0.10525589743589746</v>
      </c>
    </row>
    <row r="24" ht="26" customHeight="1">
      <c r="A24" t="inlineStr">
        <is>
          <t>BC9</t>
        </is>
      </c>
      <c r="B24" s="6" t="inlineStr">
        <is>
          <t>Bombón crujiente de sésamo y barquillo</t>
        </is>
      </c>
      <c r="C24" t="inlineStr">
        <is>
          <t>Bombones de colección</t>
        </is>
      </c>
      <c r="D24" s="14" t="inlineStr">
        <is>
          <t>leche</t>
        </is>
      </c>
      <c r="E24" s="11" t="n">
        <v>5</v>
      </c>
      <c r="F24" s="11" t="n">
        <v>3.08</v>
      </c>
      <c r="G24" s="17">
        <f>$E24+$F24</f>
        <v>8.08</v>
      </c>
      <c r="H24" s="11" t="n">
        <v>12</v>
      </c>
      <c r="I24" s="9">
        <f>IFERROR($G24/$H24,"")</f>
        <v>0.6733333333333333</v>
      </c>
      <c r="J24" s="16">
        <f>IFERROR(INDEX($G$7:$G$10,MATCH($D24,$A$7:$A$10,0)),"")</f>
        <v>19.5</v>
      </c>
      <c r="K24" s="16">
        <f>IFERROR($G24/1000*$J24,"")</f>
        <v>0.15756</v>
      </c>
      <c r="L24" s="13" t="n">
        <v>0.0329</v>
      </c>
      <c r="M24" s="16">
        <f>IFERROR($K24+$L24,"")</f>
        <v>0.19046000000000002</v>
      </c>
      <c r="N24" s="11" t="n">
        <v>3</v>
      </c>
      <c r="O24" s="12">
        <f>IFERROR('Parámetros'!$B$14*$N24/100,"")</f>
        <v>855.456</v>
      </c>
      <c r="P24" s="17">
        <f>IFERROR($G24/1000*$O24,"")</f>
        <v>6.912084480000001</v>
      </c>
      <c r="Q24" s="18">
        <f>IFERROR($K24*$O24,"")</f>
        <v>134.78564736</v>
      </c>
      <c r="R24" s="13" t="n">
        <v>2.05</v>
      </c>
      <c r="S24" s="8" t="n">
        <v>0.1</v>
      </c>
      <c r="T24" s="16">
        <f>IFERROR($R24/(1+$S24),"")</f>
        <v>1.8636363636363633</v>
      </c>
      <c r="U24" s="9">
        <f>IFERROR($M24/$T24,"")</f>
        <v>0.10219804878048783</v>
      </c>
    </row>
    <row r="25" ht="26" customHeight="1">
      <c r="A25" t="inlineStr">
        <is>
          <t>BC10</t>
        </is>
      </c>
      <c r="B25" s="6" t="inlineStr">
        <is>
          <t>Bombón de naranja confitada y chocolate negro</t>
        </is>
      </c>
      <c r="C25" t="inlineStr">
        <is>
          <t>Bombones de colección</t>
        </is>
      </c>
      <c r="D25" s="14" t="inlineStr">
        <is>
          <t>negra</t>
        </is>
      </c>
      <c r="E25" s="11" t="n">
        <v>5.5</v>
      </c>
      <c r="F25" s="11" t="n">
        <v>2.47</v>
      </c>
      <c r="G25" s="17">
        <f>$E25+$F25</f>
        <v>7.970000000000001</v>
      </c>
      <c r="H25" s="11" t="n">
        <v>12</v>
      </c>
      <c r="I25" s="9">
        <f>IFERROR($G25/$H25,"")</f>
        <v>0.6641666666666667</v>
      </c>
      <c r="J25" s="16">
        <f>IFERROR(INDEX($G$7:$G$10,MATCH($D25,$A$7:$A$10,0)),"")</f>
        <v>22.745454545454542</v>
      </c>
      <c r="K25" s="16">
        <f>IFERROR($G25/1000*$J25,"")</f>
        <v>0.18128127272727274</v>
      </c>
      <c r="L25" s="13" t="n">
        <v>0.0371</v>
      </c>
      <c r="M25" s="16">
        <f>IFERROR($K25+$L25,"")</f>
        <v>0.21838127272727273</v>
      </c>
      <c r="N25" s="11" t="n">
        <v>3</v>
      </c>
      <c r="O25" s="12">
        <f>IFERROR('Parámetros'!$B$14*$N25/100,"")</f>
        <v>855.456</v>
      </c>
      <c r="P25" s="17">
        <f>IFERROR($G25/1000*$O25,"")</f>
        <v>6.817984320000002</v>
      </c>
      <c r="Q25" s="18">
        <f>IFERROR($K25*$O25,"")</f>
        <v>155.07815244218182</v>
      </c>
      <c r="R25" s="13" t="n">
        <v>2.05</v>
      </c>
      <c r="S25" s="8" t="n">
        <v>0.1</v>
      </c>
      <c r="T25" s="16">
        <f>IFERROR($R25/(1+$S25),"")</f>
        <v>1.8636363636363633</v>
      </c>
      <c r="U25" s="9">
        <f>IFERROR($M25/$T25,"")</f>
        <v>0.11718019512195124</v>
      </c>
    </row>
    <row r="26" ht="26" customHeight="1">
      <c r="A26" t="inlineStr">
        <is>
          <t>TB1</t>
        </is>
      </c>
      <c r="B26" s="6" t="inlineStr">
        <is>
          <t>Tableta de chocolate negro de origen 70 %, 100 g</t>
        </is>
      </c>
      <c r="C26" t="inlineStr">
        <is>
          <t>Tabletas</t>
        </is>
      </c>
      <c r="D26" s="14" t="inlineStr">
        <is>
          <t>origen</t>
        </is>
      </c>
      <c r="E26" s="11" t="n">
        <v>100</v>
      </c>
      <c r="F26" s="11" t="n">
        <v>0</v>
      </c>
      <c r="G26" s="17">
        <f>$E26+$F26</f>
        <v>100.0</v>
      </c>
      <c r="H26" s="11" t="n">
        <v>100</v>
      </c>
      <c r="I26" s="9">
        <f>IFERROR($G26/$H26,"")</f>
        <v>1.0</v>
      </c>
      <c r="J26" s="16">
        <f>IFERROR(INDEX($G$7:$G$10,MATCH($D26,$A$7:$A$10,0)),"")</f>
        <v>37.48</v>
      </c>
      <c r="K26" s="16">
        <f>IFERROR($G26/1000*$J26,"")</f>
        <v>3.7479999999999998</v>
      </c>
      <c r="L26" s="13" t="n">
        <v>0</v>
      </c>
      <c r="M26" s="16">
        <f>IFERROR($K26+$L26,"")</f>
        <v>3.7479999999999998</v>
      </c>
      <c r="N26" s="11" t="n">
        <v>7</v>
      </c>
      <c r="O26" s="12">
        <f>IFERROR('Parámetros'!$B$14*$N26/100,"")</f>
        <v>1996.0639999999999</v>
      </c>
      <c r="P26" s="17">
        <f>IFERROR($G26/1000*$O26,"")</f>
        <v>199.6064</v>
      </c>
      <c r="Q26" s="18">
        <f>IFERROR($K26*$O26,"")</f>
        <v>7481.247871999999</v>
      </c>
      <c r="R26" s="13" t="n">
        <v>8.5</v>
      </c>
      <c r="S26" s="8" t="n">
        <v>0.1</v>
      </c>
      <c r="T26" s="16">
        <f>IFERROR($R26/(1+$S26),"")</f>
        <v>7.727272727272727</v>
      </c>
      <c r="U26" s="9">
        <f>IFERROR($M26/$T26,"")</f>
        <v>0.48503529411764706</v>
      </c>
    </row>
    <row r="27" ht="26" customHeight="1">
      <c r="A27" t="inlineStr">
        <is>
          <t>TB2</t>
        </is>
      </c>
      <c r="B27" s="6" t="inlineStr">
        <is>
          <t>Tableta de chocolate con leche 38 %, 100 g</t>
        </is>
      </c>
      <c r="C27" t="inlineStr">
        <is>
          <t>Tabletas</t>
        </is>
      </c>
      <c r="D27" s="14" t="inlineStr">
        <is>
          <t>leche</t>
        </is>
      </c>
      <c r="E27" s="11" t="n">
        <v>100</v>
      </c>
      <c r="F27" s="11" t="n">
        <v>0</v>
      </c>
      <c r="G27" s="17">
        <f>$E27+$F27</f>
        <v>100.0</v>
      </c>
      <c r="H27" s="11" t="n">
        <v>100</v>
      </c>
      <c r="I27" s="9">
        <f>IFERROR($G27/$H27,"")</f>
        <v>1.0</v>
      </c>
      <c r="J27" s="16">
        <f>IFERROR(INDEX($G$7:$G$10,MATCH($D27,$A$7:$A$10,0)),"")</f>
        <v>19.5</v>
      </c>
      <c r="K27" s="16">
        <f>IFERROR($G27/1000*$J27,"")</f>
        <v>1.9500000000000002</v>
      </c>
      <c r="L27" s="13" t="n">
        <v>0</v>
      </c>
      <c r="M27" s="16">
        <f>IFERROR($K27+$L27,"")</f>
        <v>1.9500000000000002</v>
      </c>
      <c r="N27" s="11" t="n">
        <v>6</v>
      </c>
      <c r="O27" s="12">
        <f>IFERROR('Parámetros'!$B$14*$N27/100,"")</f>
        <v>1710.912</v>
      </c>
      <c r="P27" s="17">
        <f>IFERROR($G27/1000*$O27,"")</f>
        <v>171.09120000000001</v>
      </c>
      <c r="Q27" s="18">
        <f>IFERROR($K27*$O27,"")</f>
        <v>3336.2784</v>
      </c>
      <c r="R27" s="13" t="n">
        <v>5.9</v>
      </c>
      <c r="S27" s="8" t="n">
        <v>0.1</v>
      </c>
      <c r="T27" s="16">
        <f>IFERROR($R27/(1+$S27),"")</f>
        <v>5.363636363636363</v>
      </c>
      <c r="U27" s="9">
        <f>IFERROR($M27/$T27,"")</f>
        <v>0.36355932203389835</v>
      </c>
    </row>
    <row r="28" ht="26" customHeight="1">
      <c r="A28" t="inlineStr">
        <is>
          <t>TB3</t>
        </is>
      </c>
      <c r="B28" s="6" t="inlineStr">
        <is>
          <t>Tableta de chocolate blanco 30 %, 100 g</t>
        </is>
      </c>
      <c r="C28" t="inlineStr">
        <is>
          <t>Tabletas</t>
        </is>
      </c>
      <c r="D28" s="14" t="inlineStr">
        <is>
          <t>blanca</t>
        </is>
      </c>
      <c r="E28" s="11" t="n">
        <v>100</v>
      </c>
      <c r="F28" s="11" t="n">
        <v>0</v>
      </c>
      <c r="G28" s="17">
        <f>$E28+$F28</f>
        <v>100.0</v>
      </c>
      <c r="H28" s="11" t="n">
        <v>100</v>
      </c>
      <c r="I28" s="9">
        <f>IFERROR($G28/$H28,"")</f>
        <v>1.0</v>
      </c>
      <c r="J28" s="16">
        <f>IFERROR(INDEX($G$7:$G$10,MATCH($D28,$A$7:$A$10,0)),"")</f>
        <v>21.0</v>
      </c>
      <c r="K28" s="16">
        <f>IFERROR($G28/1000*$J28,"")</f>
        <v>2.1</v>
      </c>
      <c r="L28" s="13" t="n">
        <v>0</v>
      </c>
      <c r="M28" s="16">
        <f>IFERROR($K28+$L28,"")</f>
        <v>2.1</v>
      </c>
      <c r="N28" s="11" t="n">
        <v>4</v>
      </c>
      <c r="O28" s="12">
        <f>IFERROR('Parámetros'!$B$14*$N28/100,"")</f>
        <v>1140.608</v>
      </c>
      <c r="P28" s="17">
        <f>IFERROR($G28/1000*$O28,"")</f>
        <v>114.0608</v>
      </c>
      <c r="Q28" s="18">
        <f>IFERROR($K28*$O28,"")</f>
        <v>2395.2768</v>
      </c>
      <c r="R28" s="13" t="n">
        <v>5.9</v>
      </c>
      <c r="S28" s="8" t="n">
        <v>0.1</v>
      </c>
      <c r="T28" s="16">
        <f>IFERROR($R28/(1+$S28),"")</f>
        <v>5.363636363636363</v>
      </c>
      <c r="U28" s="9">
        <f>IFERROR($M28/$T28,"")</f>
        <v>0.3915254237288136</v>
      </c>
    </row>
    <row r="29" ht="26" customHeight="1">
      <c r="A29" t="inlineStr">
        <is>
          <t>TB4</t>
        </is>
      </c>
      <c r="B29" s="6" t="inlineStr">
        <is>
          <t>Tableta de chocolate negro con almendra marcona, 100 g</t>
        </is>
      </c>
      <c r="C29" t="inlineStr">
        <is>
          <t>Tabletas</t>
        </is>
      </c>
      <c r="D29" s="14" t="inlineStr">
        <is>
          <t>negra</t>
        </is>
      </c>
      <c r="E29" s="11" t="n">
        <v>78</v>
      </c>
      <c r="F29" s="11" t="n">
        <v>0</v>
      </c>
      <c r="G29" s="17">
        <f>$E29+$F29</f>
        <v>78.0</v>
      </c>
      <c r="H29" s="11" t="n">
        <v>100</v>
      </c>
      <c r="I29" s="9">
        <f>IFERROR($G29/$H29,"")</f>
        <v>0.78</v>
      </c>
      <c r="J29" s="16">
        <f>IFERROR(INDEX($G$7:$G$10,MATCH($D29,$A$7:$A$10,0)),"")</f>
        <v>22.745454545454542</v>
      </c>
      <c r="K29" s="16">
        <f>IFERROR($G29/1000*$J29,"")</f>
        <v>1.7741454545454542</v>
      </c>
      <c r="L29" s="13" t="n">
        <v>0.2728</v>
      </c>
      <c r="M29" s="16">
        <f>IFERROR($K29+$L29,"")</f>
        <v>2.046945454545454</v>
      </c>
      <c r="N29" s="11" t="n">
        <v>5</v>
      </c>
      <c r="O29" s="12">
        <f>IFERROR('Parámetros'!$B$14*$N29/100,"")</f>
        <v>1425.76</v>
      </c>
      <c r="P29" s="17">
        <f>IFERROR($G29/1000*$O29,"")</f>
        <v>111.20927999999999</v>
      </c>
      <c r="Q29" s="18">
        <f>IFERROR($K29*$O29,"")</f>
        <v>2529.505623272727</v>
      </c>
      <c r="R29" s="13" t="n">
        <v>6.5</v>
      </c>
      <c r="S29" s="8" t="n">
        <v>0.1</v>
      </c>
      <c r="T29" s="16">
        <f>IFERROR($R29/(1+$S29),"")</f>
        <v>5.909090909090908</v>
      </c>
      <c r="U29" s="9">
        <f>IFERROR($M29/$T29,"")</f>
        <v>0.3464061538461538</v>
      </c>
    </row>
    <row r="30" ht="26" customHeight="1">
      <c r="A30" t="inlineStr">
        <is>
          <t>TB5</t>
        </is>
      </c>
      <c r="B30" s="6" t="inlineStr">
        <is>
          <t>Tableta de chocolate con leche y avellana, 100 g</t>
        </is>
      </c>
      <c r="C30" t="inlineStr">
        <is>
          <t>Tabletas</t>
        </is>
      </c>
      <c r="D30" s="14" t="inlineStr">
        <is>
          <t>leche</t>
        </is>
      </c>
      <c r="E30" s="11" t="n">
        <v>80</v>
      </c>
      <c r="F30" s="11" t="n">
        <v>0</v>
      </c>
      <c r="G30" s="17">
        <f>$E30+$F30</f>
        <v>80.0</v>
      </c>
      <c r="H30" s="11" t="n">
        <v>100</v>
      </c>
      <c r="I30" s="9">
        <f>IFERROR($G30/$H30,"")</f>
        <v>0.8</v>
      </c>
      <c r="J30" s="16">
        <f>IFERROR(INDEX($G$7:$G$10,MATCH($D30,$A$7:$A$10,0)),"")</f>
        <v>19.5</v>
      </c>
      <c r="K30" s="16">
        <f>IFERROR($G30/1000*$J30,"")</f>
        <v>1.56</v>
      </c>
      <c r="L30" s="13" t="n">
        <v>0.278</v>
      </c>
      <c r="M30" s="16">
        <f>IFERROR($K30+$L30,"")</f>
        <v>1.838</v>
      </c>
      <c r="N30" s="11" t="n">
        <v>4</v>
      </c>
      <c r="O30" s="12">
        <f>IFERROR('Parámetros'!$B$14*$N30/100,"")</f>
        <v>1140.608</v>
      </c>
      <c r="P30" s="17">
        <f>IFERROR($G30/1000*$O30,"")</f>
        <v>91.24864</v>
      </c>
      <c r="Q30" s="18">
        <f>IFERROR($K30*$O30,"")</f>
        <v>1779.3484799999999</v>
      </c>
      <c r="R30" s="13" t="n">
        <v>6.5</v>
      </c>
      <c r="S30" s="8" t="n">
        <v>0.1</v>
      </c>
      <c r="T30" s="16">
        <f>IFERROR($R30/(1+$S30),"")</f>
        <v>5.909090909090908</v>
      </c>
      <c r="U30" s="9">
        <f>IFERROR($M30/$T30,"")</f>
        <v>0.3110461538461539</v>
      </c>
    </row>
    <row r="31" ht="26" customHeight="1">
      <c r="A31" t="inlineStr">
        <is>
          <t>TB6</t>
        </is>
      </c>
      <c r="B31" s="6" t="inlineStr">
        <is>
          <t>Tableta rellena de praliné, 100 g</t>
        </is>
      </c>
      <c r="C31" t="inlineStr">
        <is>
          <t>Tabletas</t>
        </is>
      </c>
      <c r="D31" s="14" t="inlineStr">
        <is>
          <t>leche</t>
        </is>
      </c>
      <c r="E31" s="11" t="n">
        <v>55</v>
      </c>
      <c r="F31" s="11" t="n">
        <v>9.9</v>
      </c>
      <c r="G31" s="17">
        <f>$E31+$F31</f>
        <v>64.9</v>
      </c>
      <c r="H31" s="11" t="n">
        <v>100</v>
      </c>
      <c r="I31" s="9">
        <f>IFERROR($G31/$H31,"")</f>
        <v>0.649</v>
      </c>
      <c r="J31" s="16">
        <f>IFERROR(INDEX($G$7:$G$10,MATCH($D31,$A$7:$A$10,0)),"")</f>
        <v>19.5</v>
      </c>
      <c r="K31" s="16">
        <f>IFERROR($G31/1000*$J31,"")</f>
        <v>1.26555</v>
      </c>
      <c r="L31" s="13" t="n">
        <v>0.5328000000000001</v>
      </c>
      <c r="M31" s="16">
        <f>IFERROR($K31+$L31,"")</f>
        <v>1.7983500000000001</v>
      </c>
      <c r="N31" s="11" t="n">
        <v>3</v>
      </c>
      <c r="O31" s="12">
        <f>IFERROR('Parámetros'!$B$14*$N31/100,"")</f>
        <v>855.456</v>
      </c>
      <c r="P31" s="17">
        <f>IFERROR($G31/1000*$O31,"")</f>
        <v>55.5190944</v>
      </c>
      <c r="Q31" s="18">
        <f>IFERROR($K31*$O31,"")</f>
        <v>1082.6223408</v>
      </c>
      <c r="R31" s="13" t="n">
        <v>7.5</v>
      </c>
      <c r="S31" s="8" t="n">
        <v>0.1</v>
      </c>
      <c r="T31" s="16">
        <f>IFERROR($R31/(1+$S31),"")</f>
        <v>6.8181818181818175</v>
      </c>
      <c r="U31" s="9">
        <f>IFERROR($M31/$T31,"")</f>
        <v>0.26375800000000005</v>
      </c>
    </row>
    <row r="32" ht="26" customHeight="1">
      <c r="A32" t="inlineStr">
        <is>
          <t>CT1</t>
        </is>
      </c>
      <c r="B32" s="6" t="inlineStr">
        <is>
          <t>Tableta de chocolate a la taza, 200 g</t>
        </is>
      </c>
      <c r="C32" t="inlineStr">
        <is>
          <t>Chocolate a la taza</t>
        </is>
      </c>
      <c r="D32" s="14" t="inlineStr">
        <is>
          <t>negra</t>
        </is>
      </c>
      <c r="E32" s="11" t="n">
        <v>80</v>
      </c>
      <c r="F32" s="11" t="n">
        <v>0</v>
      </c>
      <c r="G32" s="17">
        <f>$E32+$F32</f>
        <v>80.0</v>
      </c>
      <c r="H32" s="11" t="n">
        <v>200</v>
      </c>
      <c r="I32" s="9">
        <f>IFERROR($G32/$H32,"")</f>
        <v>0.4</v>
      </c>
      <c r="J32" s="16">
        <f>IFERROR(INDEX($G$7:$G$10,MATCH($D32,$A$7:$A$10,0)),"")</f>
        <v>22.745454545454542</v>
      </c>
      <c r="K32" s="16">
        <f>IFERROR($G32/1000*$J32,"")</f>
        <v>1.8196363636363635</v>
      </c>
      <c r="L32" s="13" t="n">
        <v>0.5197000000000001</v>
      </c>
      <c r="M32" s="16">
        <f>IFERROR($K32+$L32,"")</f>
        <v>2.3393363636363635</v>
      </c>
      <c r="N32" s="11" t="n">
        <v>3</v>
      </c>
      <c r="O32" s="12">
        <f>IFERROR('Parámetros'!$B$14*$N32/100,"")</f>
        <v>855.456</v>
      </c>
      <c r="P32" s="17">
        <f>IFERROR($G32/1000*$O32,"")</f>
        <v>68.43648</v>
      </c>
      <c r="Q32" s="18">
        <f>IFERROR($K32*$O32,"")</f>
        <v>1556.618845090909</v>
      </c>
      <c r="R32" s="13" t="n">
        <v>6.5</v>
      </c>
      <c r="S32" s="8" t="n">
        <v>0.1</v>
      </c>
      <c r="T32" s="16">
        <f>IFERROR($R32/(1+$S32),"")</f>
        <v>5.909090909090908</v>
      </c>
      <c r="U32" s="9">
        <f>IFERROR($M32/$T32,"")</f>
        <v>0.39588769230769233</v>
      </c>
    </row>
    <row r="33" ht="26" customHeight="1">
      <c r="A33" t="inlineStr">
        <is>
          <t>CT2</t>
        </is>
      </c>
      <c r="B33" s="6" t="inlineStr">
        <is>
          <t>Caja de 6 sobres monodosis de chocolate a la taza</t>
        </is>
      </c>
      <c r="C33" t="inlineStr">
        <is>
          <t>Chocolate a la taza</t>
        </is>
      </c>
      <c r="D33" s="14" t="inlineStr">
        <is>
          <t>negra</t>
        </is>
      </c>
      <c r="E33" s="11" t="n">
        <v>72</v>
      </c>
      <c r="F33" s="11" t="n">
        <v>0</v>
      </c>
      <c r="G33" s="17">
        <f>$E33+$F33</f>
        <v>72.0</v>
      </c>
      <c r="H33" s="11" t="n">
        <v>180</v>
      </c>
      <c r="I33" s="9">
        <f>IFERROR($G33/$H33,"")</f>
        <v>0.4</v>
      </c>
      <c r="J33" s="16">
        <f>IFERROR(INDEX($G$7:$G$10,MATCH($D33,$A$7:$A$10,0)),"")</f>
        <v>22.745454545454542</v>
      </c>
      <c r="K33" s="16">
        <f>IFERROR($G33/1000*$J33,"")</f>
        <v>1.637672727272727</v>
      </c>
      <c r="L33" s="13" t="n">
        <v>0.4677</v>
      </c>
      <c r="M33" s="16">
        <f>IFERROR($K33+$L33,"")</f>
        <v>2.105372727272727</v>
      </c>
      <c r="N33" s="11" t="n">
        <v>2</v>
      </c>
      <c r="O33" s="12">
        <f>IFERROR('Parámetros'!$B$14*$N33/100,"")</f>
        <v>570.304</v>
      </c>
      <c r="P33" s="17">
        <f>IFERROR($G33/1000*$O33,"")</f>
        <v>41.061887999999996</v>
      </c>
      <c r="Q33" s="18">
        <f>IFERROR($K33*$O33,"")</f>
        <v>933.9713070545453</v>
      </c>
      <c r="R33" s="13" t="n">
        <v>7.8</v>
      </c>
      <c r="S33" s="8" t="n">
        <v>0.1</v>
      </c>
      <c r="T33" s="16">
        <f>IFERROR($R33/(1+$S33),"")</f>
        <v>7.09090909090909</v>
      </c>
      <c r="U33" s="9">
        <f>IFERROR($M33/$T33,"")</f>
        <v>0.29691153846153845</v>
      </c>
    </row>
    <row r="34" ht="26" customHeight="1">
      <c r="A34" t="inlineStr">
        <is>
          <t>CT3</t>
        </is>
      </c>
      <c r="B34" s="6" t="inlineStr">
        <is>
          <t>Chocolate a la taza servido en sala, 200 ml</t>
        </is>
      </c>
      <c r="C34" t="inlineStr">
        <is>
          <t>Chocolate a la taza</t>
        </is>
      </c>
      <c r="D34" s="14" t="inlineStr">
        <is>
          <t>negra</t>
        </is>
      </c>
      <c r="E34" s="11" t="n">
        <v>18</v>
      </c>
      <c r="F34" s="11" t="n">
        <v>0</v>
      </c>
      <c r="G34" s="17">
        <f>$E34+$F34</f>
        <v>18.0</v>
      </c>
      <c r="H34" s="11" t="n">
        <v>45</v>
      </c>
      <c r="I34" s="9">
        <f>IFERROR($G34/$H34,"")</f>
        <v>0.4</v>
      </c>
      <c r="J34" s="16">
        <f>IFERROR(INDEX($G$7:$G$10,MATCH($D34,$A$7:$A$10,0)),"")</f>
        <v>22.745454545454542</v>
      </c>
      <c r="K34" s="16">
        <f>IFERROR($G34/1000*$J34,"")</f>
        <v>0.40941818181818174</v>
      </c>
      <c r="L34" s="13" t="n">
        <v>0.1169</v>
      </c>
      <c r="M34" s="16">
        <f>IFERROR($K34+$L34,"")</f>
        <v>0.5263181818181817</v>
      </c>
      <c r="N34" s="11" t="n">
        <v>3</v>
      </c>
      <c r="O34" s="12">
        <f>IFERROR('Parámetros'!$B$14*$N34/100,"")</f>
        <v>855.456</v>
      </c>
      <c r="P34" s="17">
        <f>IFERROR($G34/1000*$O34,"")</f>
        <v>15.398207999999999</v>
      </c>
      <c r="Q34" s="18">
        <f>IFERROR($K34*$O34,"")</f>
        <v>350.23924014545446</v>
      </c>
      <c r="R34" s="13" t="n">
        <v>3.2</v>
      </c>
      <c r="S34" s="8" t="n">
        <v>0.1</v>
      </c>
      <c r="T34" s="16">
        <f>IFERROR($R34/(1+$S34),"")</f>
        <v>2.909090909090909</v>
      </c>
      <c r="U34" s="9">
        <f>IFERROR($M34/$T34,"")</f>
        <v>0.18092187499999995</v>
      </c>
    </row>
    <row r="35" ht="26" customHeight="1">
      <c r="A35" t="inlineStr">
        <is>
          <t>TF1</t>
        </is>
      </c>
      <c r="B35" s="6" t="inlineStr">
        <is>
          <t>Huevo de Pascua de chocolate con leche, 250 g</t>
        </is>
      </c>
      <c r="C35" t="inlineStr">
        <is>
          <t>Turrones, figuras y temporada</t>
        </is>
      </c>
      <c r="D35" s="14" t="inlineStr">
        <is>
          <t>leche</t>
        </is>
      </c>
      <c r="E35" s="11" t="n">
        <v>250</v>
      </c>
      <c r="F35" s="11" t="n">
        <v>0</v>
      </c>
      <c r="G35" s="17">
        <f>$E35+$F35</f>
        <v>250.0</v>
      </c>
      <c r="H35" s="11" t="n">
        <v>250</v>
      </c>
      <c r="I35" s="9">
        <f>IFERROR($G35/$H35,"")</f>
        <v>1.0</v>
      </c>
      <c r="J35" s="16">
        <f>IFERROR(INDEX($G$7:$G$10,MATCH($D35,$A$7:$A$10,0)),"")</f>
        <v>19.5</v>
      </c>
      <c r="K35" s="16">
        <f>IFERROR($G35/1000*$J35,"")</f>
        <v>4.875</v>
      </c>
      <c r="L35" s="13" t="n">
        <v>0</v>
      </c>
      <c r="M35" s="16">
        <f>IFERROR($K35+$L35,"")</f>
        <v>4.875</v>
      </c>
      <c r="N35" s="11" t="n">
        <v>2</v>
      </c>
      <c r="O35" s="12">
        <f>IFERROR('Parámetros'!$B$14*$N35/100,"")</f>
        <v>570.304</v>
      </c>
      <c r="P35" s="17">
        <f>IFERROR($G35/1000*$O35,"")</f>
        <v>142.576</v>
      </c>
      <c r="Q35" s="18">
        <f>IFERROR($K35*$O35,"")</f>
        <v>2780.232</v>
      </c>
      <c r="R35" s="13" t="n">
        <v>18.5</v>
      </c>
      <c r="S35" s="8" t="n">
        <v>0.1</v>
      </c>
      <c r="T35" s="16">
        <f>IFERROR($R35/(1+$S35),"")</f>
        <v>16.818181818181817</v>
      </c>
      <c r="U35" s="9">
        <f>IFERROR($M35/$T35,"")</f>
        <v>0.2898648648648649</v>
      </c>
    </row>
    <row r="36" ht="26" customHeight="1">
      <c r="A36" t="inlineStr">
        <is>
          <t>TF2</t>
        </is>
      </c>
      <c r="B36" s="6" t="inlineStr">
        <is>
          <t>Mona de Pascua de chocolate, 400 g</t>
        </is>
      </c>
      <c r="C36" t="inlineStr">
        <is>
          <t>Turrones, figuras y temporada</t>
        </is>
      </c>
      <c r="D36" s="14" t="inlineStr">
        <is>
          <t>leche</t>
        </is>
      </c>
      <c r="E36" s="11" t="n">
        <v>380</v>
      </c>
      <c r="F36" s="11" t="n">
        <v>0</v>
      </c>
      <c r="G36" s="17">
        <f>$E36+$F36</f>
        <v>380.0</v>
      </c>
      <c r="H36" s="11" t="n">
        <v>400</v>
      </c>
      <c r="I36" s="9">
        <f>IFERROR($G36/$H36,"")</f>
        <v>0.95</v>
      </c>
      <c r="J36" s="16">
        <f>IFERROR(INDEX($G$7:$G$10,MATCH($D36,$A$7:$A$10,0)),"")</f>
        <v>19.5</v>
      </c>
      <c r="K36" s="16">
        <f>IFERROR($G36/1000*$J36,"")</f>
        <v>7.41</v>
      </c>
      <c r="L36" s="13" t="n">
        <v>0.248</v>
      </c>
      <c r="M36" s="16">
        <f>IFERROR($K36+$L36,"")</f>
        <v>7.658</v>
      </c>
      <c r="N36" s="11" t="n">
        <v>1.5</v>
      </c>
      <c r="O36" s="12">
        <f>IFERROR('Parámetros'!$B$14*$N36/100,"")</f>
        <v>427.728</v>
      </c>
      <c r="P36" s="17">
        <f>IFERROR($G36/1000*$O36,"")</f>
        <v>162.53664</v>
      </c>
      <c r="Q36" s="18">
        <f>IFERROR($K36*$O36,"")</f>
        <v>3169.46448</v>
      </c>
      <c r="R36" s="13" t="n">
        <v>26</v>
      </c>
      <c r="S36" s="8" t="n">
        <v>0.1</v>
      </c>
      <c r="T36" s="16">
        <f>IFERROR($R36/(1+$S36),"")</f>
        <v>23.636363636363633</v>
      </c>
      <c r="U36" s="9">
        <f>IFERROR($M36/$T36,"")</f>
        <v>0.32399230769230775</v>
      </c>
    </row>
    <row r="37" ht="26" customHeight="1">
      <c r="A37" t="inlineStr">
        <is>
          <t>TF3</t>
        </is>
      </c>
      <c r="B37" s="6" t="inlineStr">
        <is>
          <t>Hueso de santo bañado en chocolate</t>
        </is>
      </c>
      <c r="C37" t="inlineStr">
        <is>
          <t>Turrones, figuras y temporada</t>
        </is>
      </c>
      <c r="D37" s="14" t="inlineStr">
        <is>
          <t>negra</t>
        </is>
      </c>
      <c r="E37" s="11" t="n">
        <v>9</v>
      </c>
      <c r="F37" s="11" t="n">
        <v>0</v>
      </c>
      <c r="G37" s="17">
        <f>$E37+$F37</f>
        <v>9.0</v>
      </c>
      <c r="H37" s="11" t="n">
        <v>30</v>
      </c>
      <c r="I37" s="9">
        <f>IFERROR($G37/$H37,"")</f>
        <v>0.3</v>
      </c>
      <c r="J37" s="16">
        <f>IFERROR(INDEX($G$7:$G$10,MATCH($D37,$A$7:$A$10,0)),"")</f>
        <v>22.745454545454542</v>
      </c>
      <c r="K37" s="16">
        <f>IFERROR($G37/1000*$J37,"")</f>
        <v>0.20470909090909087</v>
      </c>
      <c r="L37" s="13" t="n">
        <v>0.0544</v>
      </c>
      <c r="M37" s="16">
        <f>IFERROR($K37+$L37,"")</f>
        <v>0.25910909090909084</v>
      </c>
      <c r="N37" s="11" t="n">
        <v>1</v>
      </c>
      <c r="O37" s="12">
        <f>IFERROR('Parámetros'!$B$14*$N37/100,"")</f>
        <v>285.152</v>
      </c>
      <c r="P37" s="17">
        <f>IFERROR($G37/1000*$O37,"")</f>
        <v>2.5663679999999998</v>
      </c>
      <c r="Q37" s="18">
        <f>IFERROR($K37*$O37,"")</f>
        <v>58.37320669090908</v>
      </c>
      <c r="R37" s="13" t="n">
        <v>1.6</v>
      </c>
      <c r="S37" s="8" t="n">
        <v>0.1</v>
      </c>
      <c r="T37" s="16">
        <f>IFERROR($R37/(1+$S37),"")</f>
        <v>1.4545454545454546</v>
      </c>
      <c r="U37" s="9">
        <f>IFERROR($M37/$T37,"")</f>
        <v>0.17813749999999995</v>
      </c>
    </row>
    <row r="38" ht="26" customHeight="1">
      <c r="A38" t="inlineStr">
        <is>
          <t>TF4</t>
        </is>
      </c>
      <c r="B38" s="6" t="inlineStr">
        <is>
          <t>Turrón de chocolate con almendra, 250 g</t>
        </is>
      </c>
      <c r="C38" t="inlineStr">
        <is>
          <t>Turrones, figuras y temporada</t>
        </is>
      </c>
      <c r="D38" s="14" t="inlineStr">
        <is>
          <t>negra</t>
        </is>
      </c>
      <c r="E38" s="11" t="n">
        <v>168</v>
      </c>
      <c r="F38" s="11" t="n">
        <v>0</v>
      </c>
      <c r="G38" s="17">
        <f>$E38+$F38</f>
        <v>168.0</v>
      </c>
      <c r="H38" s="11" t="n">
        <v>250</v>
      </c>
      <c r="I38" s="9">
        <f>IFERROR($G38/$H38,"")</f>
        <v>0.672</v>
      </c>
      <c r="J38" s="16">
        <f>IFERROR(INDEX($G$7:$G$10,MATCH($D38,$A$7:$A$10,0)),"")</f>
        <v>22.745454545454542</v>
      </c>
      <c r="K38" s="16">
        <f>IFERROR($G38/1000*$J38,"")</f>
        <v>3.8212363636363635</v>
      </c>
      <c r="L38" s="13" t="n">
        <v>1.0168</v>
      </c>
      <c r="M38" s="16">
        <f>IFERROR($K38+$L38,"")</f>
        <v>4.8380363636363635</v>
      </c>
      <c r="N38" s="11" t="n">
        <v>2</v>
      </c>
      <c r="O38" s="12">
        <f>IFERROR('Parámetros'!$B$14*$N38/100,"")</f>
        <v>570.304</v>
      </c>
      <c r="P38" s="17">
        <f>IFERROR($G38/1000*$O38,"")</f>
        <v>95.811072</v>
      </c>
      <c r="Q38" s="18">
        <f>IFERROR($K38*$O38,"")</f>
        <v>2179.2663831272725</v>
      </c>
      <c r="R38" s="13" t="n">
        <v>13.5</v>
      </c>
      <c r="S38" s="8" t="n">
        <v>0.1</v>
      </c>
      <c r="T38" s="16">
        <f>IFERROR($R38/(1+$S38),"")</f>
        <v>12.272727272727272</v>
      </c>
      <c r="U38" s="9">
        <f>IFERROR($M38/$T38,"")</f>
        <v>0.3942103703703704</v>
      </c>
    </row>
    <row r="39" ht="26" customHeight="1">
      <c r="A39" t="inlineStr">
        <is>
          <t>TF5</t>
        </is>
      </c>
      <c r="B39" s="6" t="inlineStr">
        <is>
          <t>Almendras marcona bañadas en chocolate, bolsa de 150 g</t>
        </is>
      </c>
      <c r="C39" t="inlineStr">
        <is>
          <t>Turrones, figuras y temporada</t>
        </is>
      </c>
      <c r="D39" s="14" t="inlineStr">
        <is>
          <t>negra</t>
        </is>
      </c>
      <c r="E39" s="11" t="n">
        <v>88</v>
      </c>
      <c r="F39" s="11" t="n">
        <v>0</v>
      </c>
      <c r="G39" s="17">
        <f>$E39+$F39</f>
        <v>88.0</v>
      </c>
      <c r="H39" s="11" t="n">
        <v>150</v>
      </c>
      <c r="I39" s="9">
        <f>IFERROR($G39/$H39,"")</f>
        <v>0.5866666666666667</v>
      </c>
      <c r="J39" s="16">
        <f>IFERROR(INDEX($G$7:$G$10,MATCH($D39,$A$7:$A$10,0)),"")</f>
        <v>22.745454545454542</v>
      </c>
      <c r="K39" s="16">
        <f>IFERROR($G39/1000*$J39,"")</f>
        <v>2.0016</v>
      </c>
      <c r="L39" s="13" t="n">
        <v>0.7688</v>
      </c>
      <c r="M39" s="16">
        <f>IFERROR($K39+$L39,"")</f>
        <v>2.7704</v>
      </c>
      <c r="N39" s="11" t="n">
        <v>3.5</v>
      </c>
      <c r="O39" s="12">
        <f>IFERROR('Parámetros'!$B$14*$N39/100,"")</f>
        <v>998.0319999999999</v>
      </c>
      <c r="P39" s="17">
        <f>IFERROR($G39/1000*$O39,"")</f>
        <v>87.826816</v>
      </c>
      <c r="Q39" s="18">
        <f>IFERROR($K39*$O39,"")</f>
        <v>1997.6608511999996</v>
      </c>
      <c r="R39" s="13" t="n">
        <v>7.4</v>
      </c>
      <c r="S39" s="8" t="n">
        <v>0.1</v>
      </c>
      <c r="T39" s="16">
        <f>IFERROR($R39/(1+$S39),"")</f>
        <v>6.727272727272727</v>
      </c>
      <c r="U39" s="9">
        <f>IFERROR($M39/$T39,"")</f>
        <v>0.4118162162162162</v>
      </c>
    </row>
    <row r="40" ht="26" customHeight="1">
      <c r="A40" t="inlineStr">
        <is>
          <t>CJ1</t>
        </is>
      </c>
      <c r="B40" s="6" t="inlineStr">
        <is>
          <t>Caja surtida de 12 bombones</t>
        </is>
      </c>
      <c r="C40" t="inlineStr">
        <is>
          <t>Cajas y regalo</t>
        </is>
      </c>
      <c r="D40" s="14" t="inlineStr">
        <is>
          <t>leche</t>
        </is>
      </c>
      <c r="E40" s="11" t="n">
        <v>92.69</v>
      </c>
      <c r="F40" s="11" t="n">
        <v>0</v>
      </c>
      <c r="G40" s="17">
        <f>$E40+$F40</f>
        <v>92.69</v>
      </c>
      <c r="H40" s="11" t="n">
        <v>145</v>
      </c>
      <c r="I40" s="9">
        <f>IFERROR($G40/$H40,"")</f>
        <v>0.6392413793103449</v>
      </c>
      <c r="J40" s="16">
        <f>IFERROR(INDEX($G$7:$G$10,MATCH($D40,$A$7:$A$10,0)),"")</f>
        <v>19.5</v>
      </c>
      <c r="K40" s="16">
        <f>IFERROR($G40/1000*$J40,"")</f>
        <v>1.8074549999999998</v>
      </c>
      <c r="L40" s="13" t="n">
        <v>0.5158</v>
      </c>
      <c r="M40" s="16">
        <f>IFERROR($K40+$L40,"")</f>
        <v>2.3232549999999996</v>
      </c>
      <c r="N40" s="11" t="n">
        <v>5</v>
      </c>
      <c r="O40" s="12">
        <f>IFERROR('Parámetros'!$B$14*$N40/100,"")</f>
        <v>1425.76</v>
      </c>
      <c r="P40" s="17">
        <f>IFERROR($G40/1000*$O40,"")</f>
        <v>132.15369439999998</v>
      </c>
      <c r="Q40" s="18">
        <f>IFERROR($K40*$O40,"")</f>
        <v>2576.9970408</v>
      </c>
      <c r="R40" s="13" t="n">
        <v>20</v>
      </c>
      <c r="S40" s="8" t="n">
        <v>0.1</v>
      </c>
      <c r="T40" s="16">
        <f>IFERROR($R40/(1+$S40),"")</f>
        <v>18.18181818181818</v>
      </c>
      <c r="U40" s="9">
        <f>IFERROR($M40/$T40,"")</f>
        <v>0.127779025</v>
      </c>
    </row>
    <row r="41" ht="26" customHeight="1">
      <c r="A41" t="inlineStr">
        <is>
          <t>CJ2</t>
        </is>
      </c>
      <c r="B41" s="6" t="inlineStr">
        <is>
          <t>Caja surtida de 20 bombones</t>
        </is>
      </c>
      <c r="C41" t="inlineStr">
        <is>
          <t>Cajas y regalo</t>
        </is>
      </c>
      <c r="D41" s="14" t="inlineStr">
        <is>
          <t>leche</t>
        </is>
      </c>
      <c r="E41" s="11" t="n">
        <v>156.99</v>
      </c>
      <c r="F41" s="11" t="n">
        <v>0</v>
      </c>
      <c r="G41" s="17">
        <f>$E41+$F41</f>
        <v>156.99</v>
      </c>
      <c r="H41" s="11" t="n">
        <v>245</v>
      </c>
      <c r="I41" s="9">
        <f>IFERROR($G41/$H41,"")</f>
        <v>0.6407755102040816</v>
      </c>
      <c r="J41" s="16">
        <f>IFERROR(INDEX($G$7:$G$10,MATCH($D41,$A$7:$A$10,0)),"")</f>
        <v>19.5</v>
      </c>
      <c r="K41" s="16">
        <f>IFERROR($G41/1000*$J41,"")</f>
        <v>3.0613050000000004</v>
      </c>
      <c r="L41" s="13" t="n">
        <v>0.9415</v>
      </c>
      <c r="M41" s="16">
        <f>IFERROR($K41+$L41,"")</f>
        <v>4.002805</v>
      </c>
      <c r="N41" s="11" t="n">
        <v>3</v>
      </c>
      <c r="O41" s="12">
        <f>IFERROR('Parámetros'!$B$14*$N41/100,"")</f>
        <v>855.456</v>
      </c>
      <c r="P41" s="17">
        <f>IFERROR($G41/1000*$O41,"")</f>
        <v>134.29803744000003</v>
      </c>
      <c r="Q41" s="18">
        <f>IFERROR($K41*$O41,"")</f>
        <v>2618.8117300800004</v>
      </c>
      <c r="R41" s="13" t="n">
        <v>28</v>
      </c>
      <c r="S41" s="8" t="n">
        <v>0.1</v>
      </c>
      <c r="T41" s="16">
        <f>IFERROR($R41/(1+$S41),"")</f>
        <v>25.454545454545453</v>
      </c>
      <c r="U41" s="9">
        <f>IFERROR($M41/$T41,"")</f>
        <v>0.1572530535714286</v>
      </c>
    </row>
    <row r="42" ht="26" customHeight="1">
      <c r="A42" t="inlineStr">
        <is>
          <t>CJ3</t>
        </is>
      </c>
      <c r="B42" s="6" t="inlineStr">
        <is>
          <t>Caja surtida de 35 bombones</t>
        </is>
      </c>
      <c r="C42" t="inlineStr">
        <is>
          <t>Cajas y regalo</t>
        </is>
      </c>
      <c r="D42" s="14" t="inlineStr">
        <is>
          <t>leche</t>
        </is>
      </c>
      <c r="E42" s="11" t="n">
        <v>270.3</v>
      </c>
      <c r="F42" s="11" t="n">
        <v>0</v>
      </c>
      <c r="G42" s="17">
        <f>$E42+$F42</f>
        <v>270.3</v>
      </c>
      <c r="H42" s="11" t="n">
        <v>428</v>
      </c>
      <c r="I42" s="9">
        <f>IFERROR($G42/$H42,"")</f>
        <v>0.6315420560747664</v>
      </c>
      <c r="J42" s="16">
        <f>IFERROR(INDEX($G$7:$G$10,MATCH($D42,$A$7:$A$10,0)),"")</f>
        <v>19.5</v>
      </c>
      <c r="K42" s="16">
        <f>IFERROR($G42/1000*$J42,"")</f>
        <v>5.270849999999999</v>
      </c>
      <c r="L42" s="13" t="n">
        <v>1.6391</v>
      </c>
      <c r="M42" s="16">
        <f>IFERROR($K42+$L42,"")</f>
        <v>6.909949999999999</v>
      </c>
      <c r="N42" s="11" t="n">
        <v>2</v>
      </c>
      <c r="O42" s="12">
        <f>IFERROR('Parámetros'!$B$14*$N42/100,"")</f>
        <v>570.304</v>
      </c>
      <c r="P42" s="17">
        <f>IFERROR($G42/1000*$O42,"")</f>
        <v>154.15317119999997</v>
      </c>
      <c r="Q42" s="18">
        <f>IFERROR($K42*$O42,"")</f>
        <v>3005.9868383999997</v>
      </c>
      <c r="R42" s="13" t="n">
        <v>45</v>
      </c>
      <c r="S42" s="8" t="n">
        <v>0.1</v>
      </c>
      <c r="T42" s="16">
        <f>IFERROR($R42/(1+$S42),"")</f>
        <v>40.90909090909091</v>
      </c>
      <c r="U42" s="9">
        <f>IFERROR($M42/$T42,"")</f>
        <v>0.1689098888888889</v>
      </c>
    </row>
    <row r="43" ht="26" customHeight="1">
      <c r="A43" t="inlineStr">
        <is>
          <t>CJ4</t>
        </is>
      </c>
      <c r="B43" s="6" t="inlineStr">
        <is>
          <t>Estuche corporativo personalizado de 24 bombones</t>
        </is>
      </c>
      <c r="C43" t="inlineStr">
        <is>
          <t>Cajas y regalo</t>
        </is>
      </c>
      <c r="D43" s="14" t="inlineStr">
        <is>
          <t>leche</t>
        </is>
      </c>
      <c r="E43" s="11" t="n">
        <v>184.35</v>
      </c>
      <c r="F43" s="11" t="n">
        <v>0</v>
      </c>
      <c r="G43" s="17">
        <f>$E43+$F43</f>
        <v>184.35</v>
      </c>
      <c r="H43" s="11" t="n">
        <v>293</v>
      </c>
      <c r="I43" s="9">
        <f>IFERROR($G43/$H43,"")</f>
        <v>0.6291808873720136</v>
      </c>
      <c r="J43" s="16">
        <f>IFERROR(INDEX($G$7:$G$10,MATCH($D43,$A$7:$A$10,0)),"")</f>
        <v>19.5</v>
      </c>
      <c r="K43" s="16">
        <f>IFERROR($G43/1000*$J43,"")</f>
        <v>3.5948249999999997</v>
      </c>
      <c r="L43" s="13" t="n">
        <v>1.1316</v>
      </c>
      <c r="M43" s="16">
        <f>IFERROR($K43+$L43,"")</f>
        <v>4.726425</v>
      </c>
      <c r="N43" s="11" t="n">
        <v>1</v>
      </c>
      <c r="O43" s="12">
        <f>IFERROR('Parámetros'!$B$14*$N43/100,"")</f>
        <v>285.152</v>
      </c>
      <c r="P43" s="17">
        <f>IFERROR($G43/1000*$O43,"")</f>
        <v>52.567771199999996</v>
      </c>
      <c r="Q43" s="18">
        <f>IFERROR($K43*$O43,"")</f>
        <v>1025.0715383999998</v>
      </c>
      <c r="R43" s="13" t="n">
        <v>34</v>
      </c>
      <c r="S43" s="8" t="n">
        <v>0.1</v>
      </c>
      <c r="T43" s="16">
        <f>IFERROR($R43/(1+$S43),"")</f>
        <v>30.909090909090907</v>
      </c>
      <c r="U43" s="9">
        <f>IFERROR($M43/$T43,"")</f>
        <v>0.15291375000000001</v>
      </c>
    </row>
    <row r="44">
      <c r="A44" s="4" t="inlineStr">
        <is>
          <t>TOTAL</t>
        </is>
      </c>
      <c r="B44" s="4" t="inlineStr">
        <is>
          <t>Las 28 referencias de la carta</t>
        </is>
      </c>
      <c r="N44" s="19">
        <f>SUM(N16:N43)</f>
        <v>100.0</v>
      </c>
      <c r="O44" s="20">
        <f>SUM(O16:O43)</f>
        <v>28515.199999999986</v>
      </c>
      <c r="P44" s="19">
        <f>SUM(P16:P43)</f>
        <v>1924.7531878399998</v>
      </c>
      <c r="Q44" s="21">
        <f>SUM(Q16:Q43)</f>
        <v>42792.38042869236</v>
      </c>
    </row>
    <row r="45"/>
    <row r="46">
      <c r="A46" s="6" t="inlineStr">
        <is>
          <t>Coste de materia de todo el año (€)</t>
        </is>
      </c>
      <c r="D46" s="18">
        <f>IFERROR(SUMPRODUCT($M$16:$M$43,$O$16:$O$43),"")</f>
        <v>49482.44556149237</v>
      </c>
      <c r="F46" s="2" t="inlineStr">
        <is>
          <t>Suma del coste de materia de cada referencia por sus unidades. Es la cifra contra la que se mide lo que pesa la cobertura.</t>
        </is>
      </c>
    </row>
    <row r="47">
      <c r="A47" s="6" t="inlineStr">
        <is>
          <t>Parte del coste de materia que es cobertura</t>
        </is>
      </c>
      <c r="D47" s="9">
        <f>IFERROR($Q$44/$D$46,"")</f>
        <v>0.8647992220900603</v>
      </c>
      <c r="F47" s="2" t="inlineStr">
        <is>
          <t>Cuanto más alto sea este número, más te mueve el precio del cacao. Por encima del 80 % no hay escandallo que te salve de una subida: la decisión es de carta, no de coste.</t>
        </is>
      </c>
    </row>
    <row r="48"/>
    <row r="49">
      <c r="A49" s="3" t="inlineStr">
        <is>
          <t>Consumo por Cobertura</t>
        </is>
      </c>
    </row>
    <row r="50" ht="24" customHeight="1">
      <c r="A50" s="7" t="inlineStr">
        <is>
          <t>Clave</t>
        </is>
      </c>
      <c r="B50" s="7" t="inlineStr">
        <is>
          <t>Cobertura</t>
        </is>
      </c>
      <c r="C50" s="7" t="inlineStr">
        <is>
          <t>Kg al año</t>
        </is>
      </c>
      <c r="D50" s="7" t="inlineStr">
        <is>
          <t>€ al año</t>
        </is>
      </c>
      <c r="E50" s="7" t="inlineStr">
        <is>
          <t>Referencias que la llevan</t>
        </is>
      </c>
    </row>
    <row r="51">
      <c r="A51" t="inlineStr">
        <is>
          <t>negra</t>
        </is>
      </c>
      <c r="B51" s="6" t="inlineStr">
        <is>
          <t>Cobertura de chocolate negro (marca, 54,5 % de cacao)</t>
        </is>
      </c>
      <c r="C51" s="17">
        <f>IFERROR(SUMIF($D$16:$D$43,$A51,$P$16:$P$43),"")</f>
        <v>462.08596448000003</v>
      </c>
      <c r="D51" s="18">
        <f>IFERROR(SUMIF($D$16:$D$43,$A51,$Q$16:$Q$43),"")</f>
        <v>10510.355301172362</v>
      </c>
      <c r="E51" s="12">
        <f>COUNTIF($D$16:$D$43,$A51)</f>
        <v>11.0</v>
      </c>
    </row>
    <row r="52">
      <c r="A52" t="inlineStr">
        <is>
          <t>origen</t>
        </is>
      </c>
      <c r="B52" s="6" t="inlineStr">
        <is>
          <t>Cobertura de chocolate de origen (70 % de cacao)</t>
        </is>
      </c>
      <c r="C52" s="17">
        <f>IFERROR(SUMIF($D$16:$D$43,$A52,$P$16:$P$43),"")</f>
        <v>199.6064</v>
      </c>
      <c r="D52" s="18">
        <f>IFERROR(SUMIF($D$16:$D$43,$A52,$Q$16:$Q$43),"")</f>
        <v>7481.247871999999</v>
      </c>
      <c r="E52" s="12">
        <f>COUNTIF($D$16:$D$43,$A52)</f>
        <v>1.0</v>
      </c>
    </row>
    <row r="53">
      <c r="A53" t="inlineStr">
        <is>
          <t>leche</t>
        </is>
      </c>
      <c r="B53" s="6" t="inlineStr">
        <is>
          <t>Cobertura de chocolate con leche (38 % de cacao)</t>
        </is>
      </c>
      <c r="C53" s="17">
        <f>IFERROR(SUMIF($D$16:$D$43,$A53,$P$16:$P$43),"")</f>
        <v>1149.00002336</v>
      </c>
      <c r="D53" s="18">
        <f>IFERROR(SUMIF($D$16:$D$43,$A53,$Q$16:$Q$43),"")</f>
        <v>22405.50045552</v>
      </c>
      <c r="E53" s="12">
        <f>COUNTIF($D$16:$D$43,$A53)</f>
        <v>15.0</v>
      </c>
    </row>
    <row r="54">
      <c r="A54" t="inlineStr">
        <is>
          <t>blanca</t>
        </is>
      </c>
      <c r="B54" s="6" t="inlineStr">
        <is>
          <t>Cobertura de chocolate blanco (30 % de cacao)</t>
        </is>
      </c>
      <c r="C54" s="17">
        <f>IFERROR(SUMIF($D$16:$D$43,$A54,$P$16:$P$43),"")</f>
        <v>114.0608</v>
      </c>
      <c r="D54" s="18">
        <f>IFERROR(SUMIF($D$16:$D$43,$A54,$Q$16:$Q$43),"")</f>
        <v>2395.2768</v>
      </c>
      <c r="E54" s="12">
        <f>COUNTIF($D$16:$D$43,$A54)</f>
        <v>1.0</v>
      </c>
    </row>
    <row r="55"/>
    <row r="56"/>
    <row r="57"/>
    <row r="58"/>
    <row r="59"/>
    <row r="60">
      <c r="A60" s="3" t="inlineStr">
        <is>
          <t>Listas de validación (no las borres: las usan los desplegables)</t>
        </is>
      </c>
    </row>
    <row r="61">
      <c r="A61" s="4" t="inlineStr">
        <is>
          <t>Base de IVA declarada</t>
        </is>
      </c>
    </row>
    <row r="62">
      <c r="A62" t="inlineStr">
        <is>
          <t>con IVA</t>
        </is>
      </c>
    </row>
    <row r="63">
      <c r="A63" t="inlineStr">
        <is>
          <t>sin IVA</t>
        </is>
      </c>
    </row>
    <row r="64">
      <c r="A64" t="inlineStr">
        <is>
          <t>no declarada</t>
        </is>
      </c>
    </row>
  </sheetData>
  <sheetProtection selectLockedCells="0" selectUnlockedCells="0" sheet="1" objects="0" insertRows="0" insertHyperlinks="1" autoFilter="1" scenarios="0" formatColumns="0" deleteColumns="1" insertColumns="1" pivotTables="1" deleteRows="1" formatCells="1" formatRows="0" sort="0"/>
  <mergeCells count="11">
    <mergeCell ref="J8:U8"/>
    <mergeCell ref="A11:J11"/>
    <mergeCell ref="F47:U47"/>
    <mergeCell ref="F46:U46"/>
    <mergeCell ref="J7:U7"/>
    <mergeCell ref="J9:U9"/>
    <mergeCell ref="A14:U14"/>
    <mergeCell ref="A46:C46"/>
    <mergeCell ref="J10:U10"/>
    <mergeCell ref="A3:U3"/>
    <mergeCell ref="A47:C47"/>
  </mergeCells>
  <dataValidations count="2">
    <dataValidation sqref="E7 E8 E9 E10" showDropDown="0" showInputMessage="0" showErrorMessage="1" allowBlank="0" errorTitle="Base de IVA no válida" error="Elige una de las tres: con IVA, sin IVA o no declarada. Si tu proveedor no lo dice, marca «no declarada» y pídeselo por escrito." type="list">
      <formula1>=$A$62:$A$64</formula1>
    </dataValidation>
    <dataValidation sqref="D16 D17 D18 D19 D20 D21 D22 D23 D24 D25 D26 D27 D28 D29 D30 D31 D32 D33 D34 D35 D36 D37 D38 D39 D40 D41 D42 D43" showDropDown="0" showInputMessage="0" showErrorMessage="1" allowBlank="0" errorTitle="Cobertura no válida" error="Elige una de las cuatro coberturas del bloque de arriba." type="list">
      <formula1>=$A$7:$A$10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R44"/>
  <sheetViews>
    <sheetView workbookViewId="0">
      <pane xSplit="2" ySplit="15" topLeftCell="C16"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14" customWidth="1" min="3" max="3"/>
    <col width="14" customWidth="1" min="4" max="4"/>
    <col width="13" customWidth="1" min="5" max="5"/>
    <col width="13" customWidth="1" min="6" max="6"/>
    <col width="12" customWidth="1" min="7" max="7"/>
    <col width="13" customWidth="1" min="8" max="8"/>
    <col width="12" customWidth="1" min="9" max="9"/>
    <col width="13" customWidth="1" min="10" max="10"/>
    <col width="12" customWidth="1" min="11" max="11"/>
    <col width="13" customWidth="1" min="12" max="12"/>
    <col width="12" customWidth="1" min="13" max="13"/>
    <col width="13" customWidth="1" min="14" max="14"/>
    <col width="12" customWidth="1" min="15" max="15"/>
    <col width="14" customWidth="1" min="16" max="16"/>
    <col width="40" customWidth="1" min="17" max="17"/>
  </cols>
  <sheetData>
    <row r="1" ht="28" customHeight="1">
      <c r="A1" s="1" t="inlineStr">
        <is>
          <t>Escenarios de Precio</t>
        </is>
      </c>
    </row>
    <row r="2">
      <c r="A2" t="inlineStr">
        <is>
          <t>AI Chef Pro · aichef.pro — Cómo Montar una Chocolatería</t>
        </is>
      </c>
    </row>
    <row r="3" ht="26" customHeight="1">
      <c r="A3" s="2" t="inlineStr">
        <is>
          <t>Cinco escenarios sobre el MISMO precio de partida. Lo único que se teclea es el porcentaje de subida: los precios y los food cost salen solos.</t>
        </is>
      </c>
    </row>
    <row r="4"/>
    <row r="5"/>
    <row r="6" ht="46" customHeight="1">
      <c r="A6" s="7" t="inlineStr">
        <is>
          <t>Escenario</t>
        </is>
      </c>
      <c r="B6" s="7" t="inlineStr">
        <is>
          <t>Qué es</t>
        </is>
      </c>
      <c r="C6" s="7" t="inlineStr">
        <is>
          <t>Subida sobre el precio de hoy</t>
        </is>
      </c>
      <c r="D6" s="7" t="inlineStr">
        <is>
          <t>Factor</t>
        </is>
      </c>
      <c r="E6" s="7" t="inlineStr">
        <is>
          <t>Cobertura negra (€/kg)</t>
        </is>
      </c>
      <c r="F6" s="7" t="inlineStr">
        <is>
          <t>Cobertura de origen (€/kg)</t>
        </is>
      </c>
      <c r="G6" s="7" t="inlineStr">
        <is>
          <t>Cobertura con leche (€/kg)</t>
        </is>
      </c>
      <c r="H6" s="7" t="inlineStr">
        <is>
          <t>Cobertura blanca (€/kg)</t>
        </is>
      </c>
    </row>
    <row r="7" ht="40" customHeight="1">
      <c r="A7" s="4" t="inlineStr">
        <is>
          <t>Precio de hoy</t>
        </is>
      </c>
      <c r="B7" s="6" t="inlineStr">
        <is>
          <t>La tarifa que tienes hoy delante. Es el punto de partida, no un escenario: si tu proveedor te ha pasado tarifa nueva, cámbiala arriba.</t>
        </is>
      </c>
      <c r="C7" s="8" t="n">
        <v>0</v>
      </c>
      <c r="D7" s="16">
        <f>1+$C7</f>
        <v>1.0</v>
      </c>
      <c r="E7" s="16">
        <f>IFERROR('Coste de Cobertura'!$G$7*$D7,"")</f>
        <v>22.745454545454542</v>
      </c>
      <c r="F7" s="16">
        <f>IFERROR('Coste de Cobertura'!$G$8*$D7,"")</f>
        <v>37.48</v>
      </c>
      <c r="G7" s="16">
        <f>IFERROR('Coste de Cobertura'!$G$9*$D7,"")</f>
        <v>19.5</v>
      </c>
      <c r="H7" s="16">
        <f>IFERROR('Coste de Cobertura'!$G$10*$D7,"")</f>
        <v>21.0</v>
      </c>
    </row>
    <row r="8" ht="40" customHeight="1">
      <c r="A8" s="4" t="inlineStr">
        <is>
          <t>Subida moderada</t>
        </is>
      </c>
      <c r="B8" s="6" t="inlineStr">
        <is>
          <t>Una subida que el mercado del cacao se ha comido varias veces sin que nadie cambie la carta. Se absorbe con gramaje o con margen.</t>
        </is>
      </c>
      <c r="C8" s="8" t="n">
        <v>0.2</v>
      </c>
      <c r="D8" s="16">
        <f>1+$C8</f>
        <v>1.2</v>
      </c>
      <c r="E8" s="16">
        <f>IFERROR('Coste de Cobertura'!$G$7*$D8,"")</f>
        <v>27.29454545454545</v>
      </c>
      <c r="F8" s="16">
        <f>IFERROR('Coste de Cobertura'!$G$8*$D8,"")</f>
        <v>44.97599999999999</v>
      </c>
      <c r="G8" s="16">
        <f>IFERROR('Coste de Cobertura'!$G$9*$D8,"")</f>
        <v>23.4</v>
      </c>
      <c r="H8" s="16">
        <f>IFERROR('Coste de Cobertura'!$G$10*$D8,"")</f>
        <v>25.2</v>
      </c>
    </row>
    <row r="9" ht="40" customHeight="1">
      <c r="A9" s="4" t="inlineStr">
        <is>
          <t>Subida fuerte</t>
        </is>
      </c>
      <c r="B9" s="6" t="inlineStr">
        <is>
          <t>El escenario de trabajo de esta hoja: el que obliga a decidir. A partir de aquí no hay una sola palanca que lo arregle.</t>
        </is>
      </c>
      <c r="C9" s="8" t="n">
        <v>0.4</v>
      </c>
      <c r="D9" s="16">
        <f>1+$C9</f>
        <v>1.4</v>
      </c>
      <c r="E9" s="16">
        <f>IFERROR('Coste de Cobertura'!$G$7*$D9,"")</f>
        <v>31.843636363636357</v>
      </c>
      <c r="F9" s="16">
        <f>IFERROR('Coste de Cobertura'!$G$8*$D9,"")</f>
        <v>52.471999999999994</v>
      </c>
      <c r="G9" s="16">
        <f>IFERROR('Coste de Cobertura'!$G$9*$D9,"")</f>
        <v>27.299999999999997</v>
      </c>
      <c r="H9" s="16">
        <f>IFERROR('Coste de Cobertura'!$G$10*$D9,"")</f>
        <v>29.4</v>
      </c>
    </row>
    <row r="10" ht="40" customHeight="1">
      <c r="A10" s="4" t="inlineStr">
        <is>
          <t>Crisis del cacao</t>
        </is>
      </c>
      <c r="B10" s="6" t="inlineStr">
        <is>
          <t>El peor caso razonable. Sirve para saber qué referencias tendrías que retirar del surtido, no para poner precios.</t>
        </is>
      </c>
      <c r="C10" s="8" t="n">
        <v>0.6</v>
      </c>
      <c r="D10" s="16">
        <f>1+$C10</f>
        <v>1.6</v>
      </c>
      <c r="E10" s="16">
        <f>IFERROR('Coste de Cobertura'!$G$7*$D10,"")</f>
        <v>36.39272727272727</v>
      </c>
      <c r="F10" s="16">
        <f>IFERROR('Coste de Cobertura'!$G$8*$D10,"")</f>
        <v>59.967999999999996</v>
      </c>
      <c r="G10" s="16">
        <f>IFERROR('Coste de Cobertura'!$G$9*$D10,"")</f>
        <v>31.200000000000003</v>
      </c>
      <c r="H10" s="16">
        <f>IFERROR('Coste de Cobertura'!$G$10*$D10,"")</f>
        <v>33.6</v>
      </c>
    </row>
    <row r="11" ht="40" customHeight="1">
      <c r="A11" s="4" t="inlineStr">
        <is>
          <t>Tu escenario</t>
        </is>
      </c>
      <c r="B11" s="6" t="inlineStr">
        <is>
          <t>Escribe aquí la subida que te ha comunicado TU proveedor. Es la celda que vas a usar de verdad.</t>
        </is>
      </c>
      <c r="C11" s="8" t="n">
        <v>0.35</v>
      </c>
      <c r="D11" s="16">
        <f>1+$C11</f>
        <v>1.35</v>
      </c>
      <c r="E11" s="16">
        <f>IFERROR('Coste de Cobertura'!$G$7*$D11,"")</f>
        <v>30.706363636363633</v>
      </c>
      <c r="F11" s="16">
        <f>IFERROR('Coste de Cobertura'!$G$8*$D11,"")</f>
        <v>50.598</v>
      </c>
      <c r="G11" s="16">
        <f>IFERROR('Coste de Cobertura'!$G$9*$D11,"")</f>
        <v>26.325000000000003</v>
      </c>
      <c r="H11" s="16">
        <f>IFERROR('Coste de Cobertura'!$G$10*$D11,"")</f>
        <v>28.35</v>
      </c>
    </row>
    <row r="12"/>
    <row r="13">
      <c r="A13" s="3" t="inlineStr">
        <is>
          <t>Coste de Materia y Food Cost, Referencia a Referencia</t>
        </is>
      </c>
    </row>
    <row r="14" ht="28" customHeight="1">
      <c r="A14" s="2" t="inlineStr">
        <is>
          <t>Lo que sube en cada escenario es SÓLO la parte de cobertura: las demás materias se quedan donde estaban. Por eso una tableta de origen -que es cobertura y poco más- se mueve mucho más que un bombón de praliné.</t>
        </is>
      </c>
    </row>
    <row r="15" ht="58" customHeight="1">
      <c r="A15" s="7" t="inlineStr">
        <is>
          <t>Id</t>
        </is>
      </c>
      <c r="B15" s="7" t="inlineStr">
        <is>
          <t>Referencia</t>
        </is>
      </c>
      <c r="C15" s="7" t="inlineStr">
        <is>
          <t>Coste de cobertura hoy (€)</t>
        </is>
      </c>
      <c r="D15" s="7" t="inlineStr">
        <is>
          <t>Coste de las demás materias (€)</t>
        </is>
      </c>
      <c r="E15" s="7" t="inlineStr">
        <is>
          <t>PVP sin IVA (€)</t>
        </is>
      </c>
      <c r="F15" s="7" t="inlineStr">
        <is>
          <t>Coste de materia CON merma · Precio de hoy (€)</t>
        </is>
      </c>
      <c r="G15" s="7" t="inlineStr">
        <is>
          <t>Food cost · Precio de hoy</t>
        </is>
      </c>
      <c r="H15" s="7" t="inlineStr">
        <is>
          <t>Coste de materia CON merma · Subida moderada (€)</t>
        </is>
      </c>
      <c r="I15" s="7" t="inlineStr">
        <is>
          <t>Food cost · Subida moderada</t>
        </is>
      </c>
      <c r="J15" s="7" t="inlineStr">
        <is>
          <t>Coste de materia CON merma · Subida fuerte (€)</t>
        </is>
      </c>
      <c r="K15" s="7" t="inlineStr">
        <is>
          <t>Food cost · Subida fuerte</t>
        </is>
      </c>
      <c r="L15" s="7" t="inlineStr">
        <is>
          <t>Coste de materia CON merma · Crisis del cacao (€)</t>
        </is>
      </c>
      <c r="M15" s="7" t="inlineStr">
        <is>
          <t>Food cost · Crisis del cacao</t>
        </is>
      </c>
      <c r="N15" s="7" t="inlineStr">
        <is>
          <t>Coste de materia CON merma · Tu escenario (€)</t>
        </is>
      </c>
      <c r="O15" s="7" t="inlineStr">
        <is>
          <t>Food cost · Tu escenario</t>
        </is>
      </c>
      <c r="P15" s="7" t="inlineStr">
        <is>
          <t>Subida máxima que aguanta</t>
        </is>
      </c>
      <c r="Q15" s="7" t="inlineStr">
        <is>
          <t>Veredicto</t>
        </is>
      </c>
      <c r="R15" s="7" t="inlineStr">
        <is>
          <t>Merma no recuperable (%)</t>
        </is>
      </c>
    </row>
    <row r="16" ht="26" customHeight="1">
      <c r="A16" t="inlineStr">
        <is>
          <t>BC1</t>
        </is>
      </c>
      <c r="B16" s="6" t="inlineStr">
        <is>
          <t>Bombón de ganache de chocolate negro 70 %</t>
        </is>
      </c>
      <c r="C16" s="16">
        <f>'Coste de Cobertura'!K16</f>
        <v>0.2019796363636363</v>
      </c>
      <c r="D16" s="16">
        <f>'Coste de Cobertura'!L16</f>
        <v>0.0156</v>
      </c>
      <c r="E16" s="16">
        <f>'Coste de Cobertura'!T16</f>
        <v>1.8181818181818181</v>
      </c>
      <c r="F16" s="16">
        <f>IFERROR(($D16+$C16*$D$7)/(1-$R16),"")</f>
        <v>0.2243089034676663</v>
      </c>
      <c r="G16" s="9">
        <f>IFERROR(F16/$E16,"")</f>
        <v>0.12336989690721646</v>
      </c>
      <c r="H16" s="16">
        <f>IFERROR(($D16+$C16*$D$8)/(1-$R16),"")</f>
        <v>0.2659541893158387</v>
      </c>
      <c r="I16" s="9">
        <f>IFERROR(H16/$E16,"")</f>
        <v>0.1462748041237113</v>
      </c>
      <c r="J16" s="16">
        <f>IFERROR(($D16+$C16*$D$9)/(1-$R16),"")</f>
        <v>0.30759947516401115</v>
      </c>
      <c r="K16" s="9">
        <f>IFERROR(J16/$E16,"")</f>
        <v>0.16917971134020615</v>
      </c>
      <c r="L16" s="16">
        <f>IFERROR(($D16+$C16*$D$10)/(1-$R16),"")</f>
        <v>0.3492447610121836</v>
      </c>
      <c r="M16" s="9">
        <f>IFERROR(L16/$E16,"")</f>
        <v>0.19208461855670098</v>
      </c>
      <c r="N16" s="16">
        <f>IFERROR(($D16+$C16*$D$11)/(1-$R16),"")</f>
        <v>0.29718815370196805</v>
      </c>
      <c r="O16" s="9">
        <f>IFERROR(N16/$E16,"")</f>
        <v>0.16345348453608244</v>
      </c>
      <c r="P16" s="9">
        <f>IFERROR(($E16*'Parámetros'!$B$10*(1-$R16)-$D16)/$C16-1,"")</f>
        <v>1.9788781587342745</v>
      </c>
      <c r="Q16" t="str">
        <f>IF(ISNUMBER($P16),IF($P16&lt;0,"Ya está por encima de tu food cost máximo","Aguanta esa subida sin pasar de tu food cost máximo"),"")</f>
        <v>Aguanta esa subida sin pasar de tu food cost máximo</v>
      </c>
      <c r="R16" s="9" t="n">
        <v>0.03</v>
      </c>
    </row>
    <row r="17" ht="26" customHeight="1">
      <c r="A17" t="inlineStr">
        <is>
          <t>BC2</t>
        </is>
      </c>
      <c r="B17" s="6" t="inlineStr">
        <is>
          <t>Bombón de ganache de leche y vainilla</t>
        </is>
      </c>
      <c r="C17" s="16">
        <f>'Coste de Cobertura'!K17</f>
        <v>0.17823</v>
      </c>
      <c r="D17" s="16">
        <f>'Coste de Cobertura'!L17</f>
        <v>0.0125</v>
      </c>
      <c r="E17" s="16">
        <f>'Coste de Cobertura'!T17</f>
        <v>1.7727272727272725</v>
      </c>
      <c r="F17" s="16">
        <f>IFERROR(($D17+$C17*$D$7)/(1-$R17),"")</f>
        <v>0.19662886597938145</v>
      </c>
      <c r="G17" s="9">
        <f>IFERROR(F17/$E17,"")</f>
        <v>0.11091884747554853</v>
      </c>
      <c r="H17" s="16">
        <f>IFERROR(($D17+$C17*$D$8)/(1-$R17),"")</f>
        <v>0.23337731958762886</v>
      </c>
      <c r="I17" s="9">
        <f>IFERROR(H17/$E17,"")</f>
        <v>0.13164874438276503</v>
      </c>
      <c r="J17" s="16">
        <f>IFERROR(($D17+$C17*$D$9)/(1-$R17),"")</f>
        <v>0.2701257731958763</v>
      </c>
      <c r="K17" s="9">
        <f>IFERROR(J17/$E17,"")</f>
        <v>0.15237864128998152</v>
      </c>
      <c r="L17" s="16">
        <f>IFERROR(($D17+$C17*$D$10)/(1-$R17),"")</f>
        <v>0.30687422680412374</v>
      </c>
      <c r="M17" s="9">
        <f>IFERROR(L17/$E17,"")</f>
        <v>0.17310853819719804</v>
      </c>
      <c r="N17" s="16">
        <f>IFERROR(($D17+$C17*$D$11)/(1-$R17),"")</f>
        <v>0.2609386597938145</v>
      </c>
      <c r="O17" s="9">
        <f>IFERROR(N17/$E17,"")</f>
        <v>0.14719616706317742</v>
      </c>
      <c r="P17" s="9">
        <f>IFERROR(($E17*'Parámetros'!$B$10*(1-$R17)-$D17)/$C17-1,"")</f>
        <v>2.3066313700887005</v>
      </c>
      <c r="Q17" t="str">
        <f>IF(ISNUMBER($P17),IF($P17&lt;0,"Ya está por encima de tu food cost máximo","Aguanta esa subida sin pasar de tu food cost máximo"),"")</f>
        <v>Aguanta esa subida sin pasar de tu food cost máximo</v>
      </c>
      <c r="R17" s="9" t="n">
        <v>0.03</v>
      </c>
    </row>
    <row r="18" ht="26" customHeight="1">
      <c r="A18" t="inlineStr">
        <is>
          <t>BC3</t>
        </is>
      </c>
      <c r="B18" s="6" t="inlineStr">
        <is>
          <t>Bombón de praliné de avellana</t>
        </is>
      </c>
      <c r="C18" s="16">
        <f>'Coste de Cobertura'!K18</f>
        <v>0.13572</v>
      </c>
      <c r="D18" s="16">
        <f>'Coste de Cobertura'!L18</f>
        <v>0.0777</v>
      </c>
      <c r="E18" s="16">
        <f>'Coste de Cobertura'!T18</f>
        <v>1.909090909090909</v>
      </c>
      <c r="F18" s="16">
        <f>IFERROR(($D18+$C18*$D$7)/(1-$R18),"")</f>
        <v>0.21777551020408165</v>
      </c>
      <c r="G18" s="9">
        <f>IFERROR(F18/$E18,"")</f>
        <v>0.11407288629737611</v>
      </c>
      <c r="H18" s="16">
        <f>IFERROR(($D18+$C18*$D$8)/(1-$R18),"")</f>
        <v>0.2454734693877551</v>
      </c>
      <c r="I18" s="9">
        <f>IFERROR(H18/$E18,"")</f>
        <v>0.12858134110787173</v>
      </c>
      <c r="J18" s="16">
        <f>IFERROR(($D18+$C18*$D$9)/(1-$R18),"")</f>
        <v>0.27317142857142857</v>
      </c>
      <c r="K18" s="9">
        <f>IFERROR(J18/$E18,"")</f>
        <v>0.14308979591836735</v>
      </c>
      <c r="L18" s="16">
        <f>IFERROR(($D18+$C18*$D$10)/(1-$R18),"")</f>
        <v>0.300869387755102</v>
      </c>
      <c r="M18" s="9">
        <f>IFERROR(L18/$E18,"")</f>
        <v>0.15759825072886297</v>
      </c>
      <c r="N18" s="16">
        <f>IFERROR(($D18+$C18*$D$11)/(1-$R18),"")</f>
        <v>0.26624693877551026</v>
      </c>
      <c r="O18" s="9">
        <f>IFERROR(N18/$E18,"")</f>
        <v>0.13946268221574348</v>
      </c>
      <c r="P18" s="9">
        <f>IFERROR(($E18*'Parámetros'!$B$10*(1-$R18)-$D18)/$C18-1,"")</f>
        <v>3.252270717787958</v>
      </c>
      <c r="Q18" t="str">
        <f>IF(ISNUMBER($P18),IF($P18&lt;0,"Ya está por encima de tu food cost máximo","Aguanta esa subida sin pasar de tu food cost máximo"),"")</f>
        <v>Aguanta esa subida sin pasar de tu food cost máximo</v>
      </c>
      <c r="R18" s="9" t="n">
        <v>0.02</v>
      </c>
    </row>
    <row r="19" ht="26" customHeight="1">
      <c r="A19" t="inlineStr">
        <is>
          <t>BC4</t>
        </is>
      </c>
      <c r="B19" s="6" t="inlineStr">
        <is>
          <t>Bombón de gianduja de avellana</t>
        </is>
      </c>
      <c r="C19" s="16">
        <f>'Coste de Cobertura'!K19</f>
        <v>0.15209999999999999</v>
      </c>
      <c r="D19" s="16">
        <f>'Coste de Cobertura'!L19</f>
        <v>0.0722</v>
      </c>
      <c r="E19" s="16">
        <f>'Coste de Cobertura'!T19</f>
        <v>1.909090909090909</v>
      </c>
      <c r="F19" s="16">
        <f>IFERROR(($D19+$C19*$D$7)/(1-$R19),"")</f>
        <v>0.22887755102040816</v>
      </c>
      <c r="G19" s="9">
        <f>IFERROR(F19/$E19,"")</f>
        <v>0.11988824101069</v>
      </c>
      <c r="H19" s="16">
        <f>IFERROR(($D19+$C19*$D$8)/(1-$R19),"")</f>
        <v>0.2599183673469388</v>
      </c>
      <c r="I19" s="9">
        <f>IFERROR(H19/$E19,"")</f>
        <v>0.1361477162293489</v>
      </c>
      <c r="J19" s="16">
        <f>IFERROR(($D19+$C19*$D$9)/(1-$R19),"")</f>
        <v>0.29095918367346935</v>
      </c>
      <c r="K19" s="9">
        <f>IFERROR(J19/$E19,"")</f>
        <v>0.15240719144800777</v>
      </c>
      <c r="L19" s="16">
        <f>IFERROR(($D19+$C19*$D$10)/(1-$R19),"")</f>
        <v>0.322</v>
      </c>
      <c r="M19" s="9">
        <f>IFERROR(L19/$E19,"")</f>
        <v>0.1686666666666667</v>
      </c>
      <c r="N19" s="16">
        <f>IFERROR(($D19+$C19*$D$11)/(1-$R19),"")</f>
        <v>0.2831989795918367</v>
      </c>
      <c r="O19" s="9">
        <f>IFERROR(N19/$E19,"")</f>
        <v>0.14834232264334304</v>
      </c>
      <c r="P19" s="9">
        <f>IFERROR(($E19*'Parámetros'!$B$10*(1-$R19)-$D19)/$C19-1,"")</f>
        <v>2.8304942920327534</v>
      </c>
      <c r="Q19" t="str">
        <f>IF(ISNUMBER($P19),IF($P19&lt;0,"Ya está por encima de tu food cost máximo","Aguanta esa subida sin pasar de tu food cost máximo"),"")</f>
        <v>Aguanta esa subida sin pasar de tu food cost máximo</v>
      </c>
      <c r="R19" s="9" t="n">
        <v>0.02</v>
      </c>
    </row>
    <row r="20" ht="26" customHeight="1">
      <c r="A20" t="inlineStr">
        <is>
          <t>BC5</t>
        </is>
      </c>
      <c r="B20" s="6" t="inlineStr">
        <is>
          <t>Trufa de chocolate negro al cacao</t>
        </is>
      </c>
      <c r="C20" s="16">
        <f>'Coste de Cobertura'!K20</f>
        <v>0.20152472727272724</v>
      </c>
      <c r="D20" s="16">
        <f>'Coste de Cobertura'!L20</f>
        <v>0.0166</v>
      </c>
      <c r="E20" s="16">
        <f>'Coste de Cobertura'!T20</f>
        <v>1.727272727272727</v>
      </c>
      <c r="F20" s="16">
        <f>IFERROR(($D20+$C20*$D$7)/(1-$R20),"")</f>
        <v>0.22721325757575755</v>
      </c>
      <c r="G20" s="9">
        <f>IFERROR(F20/$E20,"")</f>
        <v>0.13154451754385965</v>
      </c>
      <c r="H20" s="16">
        <f>IFERROR(($D20+$C20*$D$8)/(1-$R20),"")</f>
        <v>0.26919757575757575</v>
      </c>
      <c r="I20" s="9">
        <f>IFERROR(H20/$E20,"")</f>
        <v>0.15585122807017546</v>
      </c>
      <c r="J20" s="16">
        <f>IFERROR(($D20+$C20*$D$9)/(1-$R20),"")</f>
        <v>0.3111818939393939</v>
      </c>
      <c r="K20" s="9">
        <f>IFERROR(J20/$E20,"")</f>
        <v>0.1801579385964912</v>
      </c>
      <c r="L20" s="16">
        <f>IFERROR(($D20+$C20*$D$10)/(1-$R20),"")</f>
        <v>0.35316621212121213</v>
      </c>
      <c r="M20" s="9">
        <f>IFERROR(L20/$E20,"")</f>
        <v>0.20446464912280704</v>
      </c>
      <c r="N20" s="16">
        <f>IFERROR(($D20+$C20*$D$11)/(1-$R20),"")</f>
        <v>0.30068581439393943</v>
      </c>
      <c r="O20" s="9">
        <f>IFERROR(N20/$E20,"")</f>
        <v>0.17408126096491233</v>
      </c>
      <c r="P20" s="9">
        <f>IFERROR(($E20*'Parámetros'!$B$10*(1-$R20)-$D20)/$C20-1,"")</f>
        <v>1.797491126737436</v>
      </c>
      <c r="Q20" t="str">
        <f>IF(ISNUMBER($P20),IF($P20&lt;0,"Ya está por encima de tu food cost máximo","Aguanta esa subida sin pasar de tu food cost máximo"),"")</f>
        <v>Aguanta esa subida sin pasar de tu food cost máximo</v>
      </c>
      <c r="R20" s="9" t="n">
        <v>0.04</v>
      </c>
    </row>
    <row r="21" ht="26" customHeight="1">
      <c r="A21" t="inlineStr">
        <is>
          <t>BC6</t>
        </is>
      </c>
      <c r="B21" s="6" t="inlineStr">
        <is>
          <t>Bombón de licor de ron</t>
        </is>
      </c>
      <c r="C21" s="16">
        <f>'Coste de Cobertura'!K21</f>
        <v>0.13647272727272725</v>
      </c>
      <c r="D21" s="16">
        <f>'Coste de Cobertura'!L21</f>
        <v>0.0364</v>
      </c>
      <c r="E21" s="16">
        <f>'Coste de Cobertura'!T21</f>
        <v>2.0909090909090904</v>
      </c>
      <c r="F21" s="16">
        <f>IFERROR(($D21+$C21*$D$7)/(1-$R21),"")</f>
        <v>0.18007575757575753</v>
      </c>
      <c r="G21" s="9">
        <f>IFERROR(F21/$E21,"")</f>
        <v>0.0861231884057971</v>
      </c>
      <c r="H21" s="16">
        <f>IFERROR(($D21+$C21*$D$8)/(1-$R21),"")</f>
        <v>0.20850757575757572</v>
      </c>
      <c r="I21" s="9">
        <f>IFERROR(H21/$E21,"")</f>
        <v>0.09972101449275363</v>
      </c>
      <c r="J21" s="16">
        <f>IFERROR(($D21+$C21*$D$9)/(1-$R21),"")</f>
        <v>0.23693939393939392</v>
      </c>
      <c r="K21" s="9">
        <f>IFERROR(J21/$E21,"")</f>
        <v>0.11331884057971016</v>
      </c>
      <c r="L21" s="16">
        <f>IFERROR(($D21+$C21*$D$10)/(1-$R21),"")</f>
        <v>0.2653712121212121</v>
      </c>
      <c r="M21" s="9">
        <f>IFERROR(L21/$E21,"")</f>
        <v>0.1269166666666667</v>
      </c>
      <c r="N21" s="16">
        <f>IFERROR(($D21+$C21*$D$11)/(1-$R21),"")</f>
        <v>0.22983143939393938</v>
      </c>
      <c r="O21" s="9">
        <f>IFERROR(N21/$E21,"")</f>
        <v>0.10991938405797104</v>
      </c>
      <c r="P21" s="9">
        <f>IFERROR(($E21*'Parámetros'!$B$10*(1-$R21)-$D21)/$C21-1,"")</f>
        <v>3.8811617372768437</v>
      </c>
      <c r="Q21" t="str">
        <f>IF(ISNUMBER($P21),IF($P21&lt;0,"Ya está por encima de tu food cost máximo","Aguanta esa subida sin pasar de tu food cost máximo"),"")</f>
        <v>Aguanta esa subida sin pasar de tu food cost máximo</v>
      </c>
      <c r="R21" s="9" t="n">
        <v>0.04</v>
      </c>
    </row>
    <row r="22" ht="26" customHeight="1">
      <c r="A22" t="inlineStr">
        <is>
          <t>BC7</t>
        </is>
      </c>
      <c r="B22" s="6" t="inlineStr">
        <is>
          <t>Bombón de caramelo salado</t>
        </is>
      </c>
      <c r="C22" s="16">
        <f>'Coste de Cobertura'!K22</f>
        <v>0.10725</v>
      </c>
      <c r="D22" s="16">
        <f>'Coste de Cobertura'!L22</f>
        <v>0.0259</v>
      </c>
      <c r="E22" s="16">
        <f>'Coste de Cobertura'!T22</f>
        <v>1.8181818181818181</v>
      </c>
      <c r="F22" s="16">
        <f>IFERROR(($D22+$C22*$D$7)/(1-$R22),"")</f>
        <v>0.1372680412371134</v>
      </c>
      <c r="G22" s="9">
        <f>IFERROR(F22/$E22,"")</f>
        <v>0.07549742268041237</v>
      </c>
      <c r="H22" s="16">
        <f>IFERROR(($D22+$C22*$D$8)/(1-$R22),"")</f>
        <v>0.15938144329896906</v>
      </c>
      <c r="I22" s="9">
        <f>IFERROR(H22/$E22,"")</f>
        <v>0.08765979381443298</v>
      </c>
      <c r="J22" s="16">
        <f>IFERROR(($D22+$C22*$D$9)/(1-$R22),"")</f>
        <v>0.18149484536082472</v>
      </c>
      <c r="K22" s="9">
        <f>IFERROR(J22/$E22,"")</f>
        <v>0.0998221649484536</v>
      </c>
      <c r="L22" s="16">
        <f>IFERROR(($D22+$C22*$D$10)/(1-$R22),"")</f>
        <v>0.20360824742268044</v>
      </c>
      <c r="M22" s="9">
        <f>IFERROR(L22/$E22,"")</f>
        <v>0.11198453608247425</v>
      </c>
      <c r="N22" s="16">
        <f>IFERROR(($D22+$C22*$D$11)/(1-$R22),"")</f>
        <v>0.17596649484536084</v>
      </c>
      <c r="O22" s="9">
        <f>IFERROR(N22/$E22,"")</f>
        <v>0.09678157216494847</v>
      </c>
      <c r="P22" s="9">
        <f>IFERROR(($E22*'Parámetros'!$B$10*(1-$R22)-$D22)/$C22-1,"")</f>
        <v>4.513964823055731</v>
      </c>
      <c r="Q22" t="str">
        <f>IF(ISNUMBER($P22),IF($P22&lt;0,"Ya está por encima de tu food cost máximo","Aguanta esa subida sin pasar de tu food cost máximo"),"")</f>
        <v>Aguanta esa subida sin pasar de tu food cost máximo</v>
      </c>
      <c r="R22" s="9" t="n">
        <v>0.03</v>
      </c>
    </row>
    <row r="23" ht="26" customHeight="1">
      <c r="A23" t="inlineStr">
        <is>
          <t>BC8</t>
        </is>
      </c>
      <c r="B23" s="6" t="inlineStr">
        <is>
          <t>Bombón de praliné de cacahuete</t>
        </is>
      </c>
      <c r="C23" s="16">
        <f>'Coste de Cobertura'!K23</f>
        <v>0.13299</v>
      </c>
      <c r="D23" s="16">
        <f>'Coste de Cobertura'!L23</f>
        <v>0.0536</v>
      </c>
      <c r="E23" s="16">
        <f>'Coste de Cobertura'!T23</f>
        <v>1.7727272727272725</v>
      </c>
      <c r="F23" s="16">
        <f>IFERROR(($D23+$C23*$D$7)/(1-$R23),"")</f>
        <v>0.19039795918367347</v>
      </c>
      <c r="G23" s="9">
        <f>IFERROR(F23/$E23,"")</f>
        <v>0.10740397697540556</v>
      </c>
      <c r="H23" s="16">
        <f>IFERROR(($D23+$C23*$D$8)/(1-$R23),"")</f>
        <v>0.21753877551020406</v>
      </c>
      <c r="I23" s="9">
        <f>IFERROR(H23/$E23,"")</f>
        <v>0.12271418105703821</v>
      </c>
      <c r="J23" s="16">
        <f>IFERROR(($D23+$C23*$D$9)/(1-$R23),"")</f>
        <v>0.2446795918367347</v>
      </c>
      <c r="K23" s="9">
        <f>IFERROR(J23/$E23,"")</f>
        <v>0.13802438513867088</v>
      </c>
      <c r="L23" s="16">
        <f>IFERROR(($D23+$C23*$D$10)/(1-$R23),"")</f>
        <v>0.2718204081632653</v>
      </c>
      <c r="M23" s="9">
        <f>IFERROR(L23/$E23,"")</f>
        <v>0.15333458922030352</v>
      </c>
      <c r="N23" s="16">
        <f>IFERROR(($D23+$C23*$D$11)/(1-$R23),"")</f>
        <v>0.23789438775510208</v>
      </c>
      <c r="O23" s="9">
        <f>IFERROR(N23/$E23,"")</f>
        <v>0.13419683411826272</v>
      </c>
      <c r="P23" s="9">
        <f>IFERROR(($E23*'Parámetros'!$B$10*(1-$R23)-$D23)/$C23-1,"")</f>
        <v>3.16907628051323</v>
      </c>
      <c r="Q23" t="str">
        <f>IF(ISNUMBER($P23),IF($P23&lt;0,"Ya está por encima de tu food cost máximo","Aguanta esa subida sin pasar de tu food cost máximo"),"")</f>
        <v>Aguanta esa subida sin pasar de tu food cost máximo</v>
      </c>
      <c r="R23" s="9" t="n">
        <v>0.02</v>
      </c>
    </row>
    <row r="24" ht="26" customHeight="1">
      <c r="A24" t="inlineStr">
        <is>
          <t>BC9</t>
        </is>
      </c>
      <c r="B24" s="6" t="inlineStr">
        <is>
          <t>Bombón crujiente de sésamo y barquillo</t>
        </is>
      </c>
      <c r="C24" s="16">
        <f>'Coste de Cobertura'!K24</f>
        <v>0.15756</v>
      </c>
      <c r="D24" s="16">
        <f>'Coste de Cobertura'!L24</f>
        <v>0.0329</v>
      </c>
      <c r="E24" s="16">
        <f>'Coste de Cobertura'!T24</f>
        <v>1.8636363636363633</v>
      </c>
      <c r="F24" s="16">
        <f>IFERROR(($D24+$C24*$D$7)/(1-$R24),"")</f>
        <v>0.19434693877551024</v>
      </c>
      <c r="G24" s="9">
        <f>IFERROR(F24/$E24,"")</f>
        <v>0.10428372324539575</v>
      </c>
      <c r="H24" s="16">
        <f>IFERROR(($D24+$C24*$D$8)/(1-$R24),"")</f>
        <v>0.22650204081632655</v>
      </c>
      <c r="I24" s="9">
        <f>IFERROR(H24/$E24,"")</f>
        <v>0.1215376804380289</v>
      </c>
      <c r="J24" s="16">
        <f>IFERROR(($D24+$C24*$D$9)/(1-$R24),"")</f>
        <v>0.25865714285714286</v>
      </c>
      <c r="K24" s="9">
        <f>IFERROR(J24/$E24,"")</f>
        <v>0.13879163763066205</v>
      </c>
      <c r="L24" s="16">
        <f>IFERROR(($D24+$C24*$D$10)/(1-$R24),"")</f>
        <v>0.2908122448979592</v>
      </c>
      <c r="M24" s="9">
        <f>IFERROR(L24/$E24,"")</f>
        <v>0.15604559482329522</v>
      </c>
      <c r="N24" s="16">
        <f>IFERROR(($D24+$C24*$D$11)/(1-$R24),"")</f>
        <v>0.2506183673469388</v>
      </c>
      <c r="O24" s="9">
        <f>IFERROR(N24/$E24,"")</f>
        <v>0.13447814833250377</v>
      </c>
      <c r="P24" s="9">
        <f>IFERROR(($E24*'Parámetros'!$B$10*(1-$R24)-$D24)/$C24-1,"")</f>
        <v>2.8482309769438467</v>
      </c>
      <c r="Q24" t="str">
        <f>IF(ISNUMBER($P24),IF($P24&lt;0,"Ya está por encima de tu food cost máximo","Aguanta esa subida sin pasar de tu food cost máximo"),"")</f>
        <v>Aguanta esa subida sin pasar de tu food cost máximo</v>
      </c>
      <c r="R24" s="9" t="n">
        <v>0.02</v>
      </c>
    </row>
    <row r="25" ht="26" customHeight="1">
      <c r="A25" t="inlineStr">
        <is>
          <t>BC10</t>
        </is>
      </c>
      <c r="B25" s="6" t="inlineStr">
        <is>
          <t>Bombón de naranja confitada y chocolate negro</t>
        </is>
      </c>
      <c r="C25" s="16">
        <f>'Coste de Cobertura'!K25</f>
        <v>0.18128127272727274</v>
      </c>
      <c r="D25" s="16">
        <f>'Coste de Cobertura'!L25</f>
        <v>0.0371</v>
      </c>
      <c r="E25" s="16">
        <f>'Coste de Cobertura'!T25</f>
        <v>1.8636363636363633</v>
      </c>
      <c r="F25" s="16">
        <f>IFERROR(($D25+$C25*$D$7)/(1-$R25),"")</f>
        <v>0.229875023923445</v>
      </c>
      <c r="G25" s="9">
        <f>IFERROR(F25/$E25,"")</f>
        <v>0.12334757381258027</v>
      </c>
      <c r="H25" s="16">
        <f>IFERROR(($D25+$C25*$D$8)/(1-$R25),"")</f>
        <v>0.2680395023923445</v>
      </c>
      <c r="I25" s="9">
        <f>IFERROR(H25/$E25,"")</f>
        <v>0.14382607445442877</v>
      </c>
      <c r="J25" s="16">
        <f>IFERROR(($D25+$C25*$D$9)/(1-$R25),"")</f>
        <v>0.306203980861244</v>
      </c>
      <c r="K25" s="9">
        <f>IFERROR(J25/$E25,"")</f>
        <v>0.1643045750962773</v>
      </c>
      <c r="L25" s="16">
        <f>IFERROR(($D25+$C25*$D$10)/(1-$R25),"")</f>
        <v>0.34436845933014365</v>
      </c>
      <c r="M25" s="9">
        <f>IFERROR(L25/$E25,"")</f>
        <v>0.18478307573812588</v>
      </c>
      <c r="N25" s="16">
        <f>IFERROR(($D25+$C25*$D$11)/(1-$R25),"")</f>
        <v>0.2966628612440192</v>
      </c>
      <c r="O25" s="9">
        <f>IFERROR(N25/$E25,"")</f>
        <v>0.1591849499358152</v>
      </c>
      <c r="P25" s="9">
        <f>IFERROR(($E25*'Parámetros'!$B$10*(1-$R25)-$D25)/$C25-1,"")</f>
        <v>2.213564656430438</v>
      </c>
      <c r="Q25" t="str">
        <f>IF(ISNUMBER($P25),IF($P25&lt;0,"Ya está por encima de tu food cost máximo","Aguanta esa subida sin pasar de tu food cost máximo"),"")</f>
        <v>Aguanta esa subida sin pasar de tu food cost máximo</v>
      </c>
      <c r="R25" s="9" t="n">
        <v>0.05</v>
      </c>
    </row>
    <row r="26" ht="26" customHeight="1">
      <c r="A26" t="inlineStr">
        <is>
          <t>TB1</t>
        </is>
      </c>
      <c r="B26" s="6" t="inlineStr">
        <is>
          <t>Tableta de chocolate negro de origen 70 %, 100 g</t>
        </is>
      </c>
      <c r="C26" s="16">
        <f>'Coste de Cobertura'!K26</f>
        <v>3.7479999999999998</v>
      </c>
      <c r="D26" s="16">
        <f>'Coste de Cobertura'!L26</f>
        <v>0.0</v>
      </c>
      <c r="E26" s="16">
        <f>'Coste de Cobertura'!T26</f>
        <v>7.727272727272727</v>
      </c>
      <c r="F26" s="16">
        <f>IFERROR(($D26+$C26*$D$7)/(1-$R26),"")</f>
        <v>3.785858585858586</v>
      </c>
      <c r="G26" s="9">
        <f>IFERROR(F26/$E26,"")</f>
        <v>0.48993464052287583</v>
      </c>
      <c r="H26" s="16">
        <f>IFERROR(($D26+$C26*$D$8)/(1-$R26),"")</f>
        <v>4.543030303030302</v>
      </c>
      <c r="I26" s="9">
        <f>IFERROR(H26/$E26,"")</f>
        <v>0.5879215686274509</v>
      </c>
      <c r="J26" s="16">
        <f>IFERROR(($D26+$C26*$D$9)/(1-$R26),"")</f>
        <v>5.300202020202019</v>
      </c>
      <c r="K26" s="9">
        <f>IFERROR(J26/$E26,"")</f>
        <v>0.685908496732026</v>
      </c>
      <c r="L26" s="16">
        <f>IFERROR(($D26+$C26*$D$10)/(1-$R26),"")</f>
        <v>6.057373737373738</v>
      </c>
      <c r="M26" s="9">
        <f>IFERROR(L26/$E26,"")</f>
        <v>0.7838954248366015</v>
      </c>
      <c r="N26" s="16">
        <f>IFERROR(($D26+$C26*$D$11)/(1-$R26),"")</f>
        <v>5.110909090909091</v>
      </c>
      <c r="O26" s="9">
        <f>IFERROR(N26/$E26,"")</f>
        <v>0.6614117647058825</v>
      </c>
      <c r="P26" s="9">
        <f>IFERROR(($E26*'Parámetros'!$B$10*(1-$R26)-$D26)/$C26-1,"")</f>
        <v>-0.2856189967982924</v>
      </c>
      <c r="Q26" t="str">
        <f>IF(ISNUMBER($P26),IF($P26&lt;0,"Ya está por encima de tu food cost máximo","Aguanta esa subida sin pasar de tu food cost máximo"),"")</f>
        <v>Ya está por encima de tu food cost máximo</v>
      </c>
      <c r="R26" s="9" t="n">
        <v>0.01</v>
      </c>
    </row>
    <row r="27" ht="26" customHeight="1">
      <c r="A27" t="inlineStr">
        <is>
          <t>TB2</t>
        </is>
      </c>
      <c r="B27" s="6" t="inlineStr">
        <is>
          <t>Tableta de chocolate con leche 38 %, 100 g</t>
        </is>
      </c>
      <c r="C27" s="16">
        <f>'Coste de Cobertura'!K27</f>
        <v>1.9500000000000002</v>
      </c>
      <c r="D27" s="16">
        <f>'Coste de Cobertura'!L27</f>
        <v>0.0</v>
      </c>
      <c r="E27" s="16">
        <f>'Coste de Cobertura'!T27</f>
        <v>5.363636363636363</v>
      </c>
      <c r="F27" s="16">
        <f>IFERROR(($D27+$C27*$D$7)/(1-$R27),"")</f>
        <v>1.96969696969697</v>
      </c>
      <c r="G27" s="9">
        <f>IFERROR(F27/$E27,"")</f>
        <v>0.36723163841807915</v>
      </c>
      <c r="H27" s="16">
        <f>IFERROR(($D27+$C27*$D$8)/(1-$R27),"")</f>
        <v>2.3636363636363638</v>
      </c>
      <c r="I27" s="9">
        <f>IFERROR(H27/$E27,"")</f>
        <v>0.44067796610169496</v>
      </c>
      <c r="J27" s="16">
        <f>IFERROR(($D27+$C27*$D$9)/(1-$R27),"")</f>
        <v>2.757575757575758</v>
      </c>
      <c r="K27" s="9">
        <f>IFERROR(J27/$E27,"")</f>
        <v>0.5141242937853108</v>
      </c>
      <c r="L27" s="16">
        <f>IFERROR(($D27+$C27*$D$10)/(1-$R27),"")</f>
        <v>3.1515151515151523</v>
      </c>
      <c r="M27" s="9">
        <f>IFERROR(L27/$E27,"")</f>
        <v>0.5875706214689267</v>
      </c>
      <c r="N27" s="16">
        <f>IFERROR(($D27+$C27*$D$11)/(1-$R27),"")</f>
        <v>2.6590909090909096</v>
      </c>
      <c r="O27" s="9">
        <f>IFERROR(N27/$E27,"")</f>
        <v>0.4957627118644069</v>
      </c>
      <c r="P27" s="9">
        <f>IFERROR(($E27*'Parámetros'!$B$10*(1-$R27)-$D27)/$C27-1,"")</f>
        <v>-0.04692307692307718</v>
      </c>
      <c r="Q27" t="str">
        <f>IF(ISNUMBER($P27),IF($P27&lt;0,"Ya está por encima de tu food cost máximo","Aguanta esa subida sin pasar de tu food cost máximo"),"")</f>
        <v>Ya está por encima de tu food cost máximo</v>
      </c>
      <c r="R27" s="9" t="n">
        <v>0.01</v>
      </c>
    </row>
    <row r="28" ht="26" customHeight="1">
      <c r="A28" t="inlineStr">
        <is>
          <t>TB3</t>
        </is>
      </c>
      <c r="B28" s="6" t="inlineStr">
        <is>
          <t>Tableta de chocolate blanco 30 %, 100 g</t>
        </is>
      </c>
      <c r="C28" s="16">
        <f>'Coste de Cobertura'!K28</f>
        <v>2.1</v>
      </c>
      <c r="D28" s="16">
        <f>'Coste de Cobertura'!L28</f>
        <v>0.0</v>
      </c>
      <c r="E28" s="16">
        <f>'Coste de Cobertura'!T28</f>
        <v>5.363636363636363</v>
      </c>
      <c r="F28" s="16">
        <f>IFERROR(($D28+$C28*$D$7)/(1-$R28),"")</f>
        <v>2.121212121212121</v>
      </c>
      <c r="G28" s="9">
        <f>IFERROR(F28/$E28,"")</f>
        <v>0.3954802259887006</v>
      </c>
      <c r="H28" s="16">
        <f>IFERROR(($D28+$C28*$D$8)/(1-$R28),"")</f>
        <v>2.5454545454545454</v>
      </c>
      <c r="I28" s="9">
        <f>IFERROR(H28/$E28,"")</f>
        <v>0.4745762711864407</v>
      </c>
      <c r="J28" s="16">
        <f>IFERROR(($D28+$C28*$D$9)/(1-$R28),"")</f>
        <v>2.9696969696969697</v>
      </c>
      <c r="K28" s="9">
        <f>IFERROR(J28/$E28,"")</f>
        <v>0.5536723163841808</v>
      </c>
      <c r="L28" s="16">
        <f>IFERROR(($D28+$C28*$D$10)/(1-$R28),"")</f>
        <v>3.3939393939393945</v>
      </c>
      <c r="M28" s="9">
        <f>IFERROR(L28/$E28,"")</f>
        <v>0.6327683615819211</v>
      </c>
      <c r="N28" s="16">
        <f>IFERROR(($D28+$C28*$D$11)/(1-$R28),"")</f>
        <v>2.863636363636364</v>
      </c>
      <c r="O28" s="9">
        <f>IFERROR(N28/$E28,"")</f>
        <v>0.5338983050847459</v>
      </c>
      <c r="P28" s="9">
        <f>IFERROR(($E28*'Parámetros'!$B$10*(1-$R28)-$D28)/$C28-1,"")</f>
        <v>-0.11500000000000021</v>
      </c>
      <c r="Q28" t="str">
        <f>IF(ISNUMBER($P28),IF($P28&lt;0,"Ya está por encima de tu food cost máximo","Aguanta esa subida sin pasar de tu food cost máximo"),"")</f>
        <v>Ya está por encima de tu food cost máximo</v>
      </c>
      <c r="R28" s="9" t="n">
        <v>0.01</v>
      </c>
    </row>
    <row r="29" ht="26" customHeight="1">
      <c r="A29" t="inlineStr">
        <is>
          <t>TB4</t>
        </is>
      </c>
      <c r="B29" s="6" t="inlineStr">
        <is>
          <t>Tableta de chocolate negro con almendra marcona, 100 g</t>
        </is>
      </c>
      <c r="C29" s="16">
        <f>'Coste de Cobertura'!K29</f>
        <v>1.7741454545454542</v>
      </c>
      <c r="D29" s="16">
        <f>'Coste de Cobertura'!L29</f>
        <v>0.2728</v>
      </c>
      <c r="E29" s="16">
        <f>'Coste de Cobertura'!T29</f>
        <v>5.909090909090908</v>
      </c>
      <c r="F29" s="16">
        <f>IFERROR(($D29+$C29*$D$7)/(1-$R29),"")</f>
        <v>2.088719851576994</v>
      </c>
      <c r="G29" s="9">
        <f>IFERROR(F29/$E29,"")</f>
        <v>0.3534756671899529</v>
      </c>
      <c r="H29" s="16">
        <f>IFERROR(($D29+$C29*$D$8)/(1-$R29),"")</f>
        <v>2.450790352504638</v>
      </c>
      <c r="I29" s="9">
        <f>IFERROR(H29/$E29,"")</f>
        <v>0.414749136577708</v>
      </c>
      <c r="J29" s="16">
        <f>IFERROR(($D29+$C29*$D$9)/(1-$R29),"")</f>
        <v>2.812860853432282</v>
      </c>
      <c r="K29" s="9">
        <f>IFERROR(J29/$E29,"")</f>
        <v>0.47602260596546314</v>
      </c>
      <c r="L29" s="16">
        <f>IFERROR(($D29+$C29*$D$10)/(1-$R29),"")</f>
        <v>3.174931354359926</v>
      </c>
      <c r="M29" s="9">
        <f>IFERROR(L29/$E29,"")</f>
        <v>0.5372960753532183</v>
      </c>
      <c r="N29" s="16">
        <f>IFERROR(($D29+$C29*$D$11)/(1-$R29),"")</f>
        <v>2.722343228200371</v>
      </c>
      <c r="O29" s="9">
        <f>IFERROR(N29/$E29,"")</f>
        <v>0.4607042386185244</v>
      </c>
      <c r="P29" s="9">
        <f>IFERROR(($E29*'Parámetros'!$B$10*(1-$R29)-$D29)/$C29-1,"")</f>
        <v>-0.011344770337576082</v>
      </c>
      <c r="Q29" t="str">
        <f>IF(ISNUMBER($P29),IF($P29&lt;0,"Ya está por encima de tu food cost máximo","Aguanta esa subida sin pasar de tu food cost máximo"),"")</f>
        <v>Ya está por encima de tu food cost máximo</v>
      </c>
      <c r="R29" s="9" t="n">
        <v>0.02</v>
      </c>
    </row>
    <row r="30" ht="26" customHeight="1">
      <c r="A30" t="inlineStr">
        <is>
          <t>TB5</t>
        </is>
      </c>
      <c r="B30" s="6" t="inlineStr">
        <is>
          <t>Tableta de chocolate con leche y avellana, 100 g</t>
        </is>
      </c>
      <c r="C30" s="16">
        <f>'Coste de Cobertura'!K30</f>
        <v>1.56</v>
      </c>
      <c r="D30" s="16">
        <f>'Coste de Cobertura'!L30</f>
        <v>0.278</v>
      </c>
      <c r="E30" s="16">
        <f>'Coste de Cobertura'!T30</f>
        <v>5.909090909090908</v>
      </c>
      <c r="F30" s="16">
        <f>IFERROR(($D30+$C30*$D$7)/(1-$R30),"")</f>
        <v>1.8755102040816327</v>
      </c>
      <c r="G30" s="9">
        <f>IFERROR(F30/$E30,"")</f>
        <v>0.31739403453689174</v>
      </c>
      <c r="H30" s="16">
        <f>IFERROR(($D30+$C30*$D$8)/(1-$R30),"")</f>
        <v>2.193877551020408</v>
      </c>
      <c r="I30" s="9">
        <f>IFERROR(H30/$E30,"")</f>
        <v>0.3712715855572999</v>
      </c>
      <c r="J30" s="16">
        <f>IFERROR(($D30+$C30*$D$9)/(1-$R30),"")</f>
        <v>2.5122448979591834</v>
      </c>
      <c r="K30" s="9">
        <f>IFERROR(J30/$E30,"")</f>
        <v>0.42514913657770803</v>
      </c>
      <c r="L30" s="16">
        <f>IFERROR(($D30+$C30*$D$10)/(1-$R30),"")</f>
        <v>2.8306122448979596</v>
      </c>
      <c r="M30" s="9">
        <f>IFERROR(L30/$E30,"")</f>
        <v>0.4790266875981163</v>
      </c>
      <c r="N30" s="16">
        <f>IFERROR(($D30+$C30*$D$11)/(1-$R30),"")</f>
        <v>2.43265306122449</v>
      </c>
      <c r="O30" s="9">
        <f>IFERROR(N30/$E30,"")</f>
        <v>0.41167974882260605</v>
      </c>
      <c r="P30" s="9">
        <f>IFERROR(($E30*'Parámetros'!$B$10*(1-$R30)-$D30)/$C30-1,"")</f>
        <v>0.12103729603729563</v>
      </c>
      <c r="Q30" t="str">
        <f>IF(ISNUMBER($P30),IF($P30&lt;0,"Ya está por encima de tu food cost máximo","Aguanta esa subida sin pasar de tu food cost máximo"),"")</f>
        <v>Aguanta esa subida sin pasar de tu food cost máximo</v>
      </c>
      <c r="R30" s="9" t="n">
        <v>0.02</v>
      </c>
    </row>
    <row r="31" ht="26" customHeight="1">
      <c r="A31" t="inlineStr">
        <is>
          <t>TB6</t>
        </is>
      </c>
      <c r="B31" s="6" t="inlineStr">
        <is>
          <t>Tableta rellena de praliné, 100 g</t>
        </is>
      </c>
      <c r="C31" s="16">
        <f>'Coste de Cobertura'!K31</f>
        <v>1.26555</v>
      </c>
      <c r="D31" s="16">
        <f>'Coste de Cobertura'!L31</f>
        <v>0.5328</v>
      </c>
      <c r="E31" s="16">
        <f>'Coste de Cobertura'!T31</f>
        <v>6.8181818181818175</v>
      </c>
      <c r="F31" s="16">
        <f>IFERROR(($D31+$C31*$D$7)/(1-$R31),"")</f>
        <v>1.8539690721649487</v>
      </c>
      <c r="G31" s="9">
        <f>IFERROR(F31/$E31,"")</f>
        <v>0.27191546391752586</v>
      </c>
      <c r="H31" s="16">
        <f>IFERROR(($D31+$C31*$D$8)/(1-$R31),"")</f>
        <v>2.1149072164948457</v>
      </c>
      <c r="I31" s="9">
        <f>IFERROR(H31/$E31,"")</f>
        <v>0.3101863917525774</v>
      </c>
      <c r="J31" s="16">
        <f>IFERROR(($D31+$C31*$D$9)/(1-$R31),"")</f>
        <v>2.3758453608247425</v>
      </c>
      <c r="K31" s="9">
        <f>IFERROR(J31/$E31,"")</f>
        <v>0.34845731958762893</v>
      </c>
      <c r="L31" s="16">
        <f>IFERROR(($D31+$C31*$D$10)/(1-$R31),"")</f>
        <v>2.6367835051546393</v>
      </c>
      <c r="M31" s="9">
        <f>IFERROR(L31/$E31,"")</f>
        <v>0.38672824742268047</v>
      </c>
      <c r="N31" s="16">
        <f>IFERROR(($D31+$C31*$D$11)/(1-$R31),"")</f>
        <v>2.3106108247422683</v>
      </c>
      <c r="O31" s="9">
        <f>IFERROR(N31/$E31,"")</f>
        <v>0.33888958762886606</v>
      </c>
      <c r="P31" s="9">
        <f>IFERROR(($E31*'Parámetros'!$B$10*(1-$R31)-$D31)/$C31-1,"")</f>
        <v>0.4080618918831549</v>
      </c>
      <c r="Q31" t="str">
        <f>IF(ISNUMBER($P31),IF($P31&lt;0,"Ya está por encima de tu food cost máximo","Aguanta esa subida sin pasar de tu food cost máximo"),"")</f>
        <v>Aguanta esa subida sin pasar de tu food cost máximo</v>
      </c>
      <c r="R31" s="9" t="n">
        <v>0.03</v>
      </c>
    </row>
    <row r="32" ht="26" customHeight="1">
      <c r="A32" t="inlineStr">
        <is>
          <t>CT1</t>
        </is>
      </c>
      <c r="B32" s="6" t="inlineStr">
        <is>
          <t>Tableta de chocolate a la taza, 200 g</t>
        </is>
      </c>
      <c r="C32" s="16">
        <f>'Coste de Cobertura'!K32</f>
        <v>1.8196363636363635</v>
      </c>
      <c r="D32" s="16">
        <f>'Coste de Cobertura'!L32</f>
        <v>0.5197</v>
      </c>
      <c r="E32" s="16">
        <f>'Coste de Cobertura'!T32</f>
        <v>5.909090909090908</v>
      </c>
      <c r="F32" s="16">
        <f>IFERROR(($D32+$C32*$D$7)/(1-$R32),"")</f>
        <v>2.362966023875115</v>
      </c>
      <c r="G32" s="9">
        <f>IFERROR(F32/$E32,"")</f>
        <v>0.39988655788655797</v>
      </c>
      <c r="H32" s="16">
        <f>IFERROR(($D32+$C32*$D$8)/(1-$R32),"")</f>
        <v>2.7305693296602387</v>
      </c>
      <c r="I32" s="9">
        <f>IFERROR(H32/$E32,"")</f>
        <v>0.46209634809634814</v>
      </c>
      <c r="J32" s="16">
        <f>IFERROR(($D32+$C32*$D$9)/(1-$R32),"")</f>
        <v>3.098172635445362</v>
      </c>
      <c r="K32" s="9">
        <f>IFERROR(J32/$E32,"")</f>
        <v>0.5243061383061383</v>
      </c>
      <c r="L32" s="16">
        <f>IFERROR(($D32+$C32*$D$10)/(1-$R32),"")</f>
        <v>3.4657759412304863</v>
      </c>
      <c r="M32" s="9">
        <f>IFERROR(L32/$E32,"")</f>
        <v>0.5865159285159285</v>
      </c>
      <c r="N32" s="16">
        <f>IFERROR(($D32+$C32*$D$11)/(1-$R32),"")</f>
        <v>3.006271808999082</v>
      </c>
      <c r="O32" s="9">
        <f>IFERROR(N32/$E32,"")</f>
        <v>0.5087536907536908</v>
      </c>
      <c r="P32" s="9">
        <f>IFERROR(($E32*'Parámetros'!$B$10*(1-$R32)-$D32)/$C32-1,"")</f>
        <v>-0.16038169464428464</v>
      </c>
      <c r="Q32" t="str">
        <f>IF(ISNUMBER($P32),IF($P32&lt;0,"Ya está por encima de tu food cost máximo","Aguanta esa subida sin pasar de tu food cost máximo"),"")</f>
        <v>Ya está por encima de tu food cost máximo</v>
      </c>
      <c r="R32" s="9" t="n">
        <v>0.01</v>
      </c>
    </row>
    <row r="33" ht="26" customHeight="1">
      <c r="A33" t="inlineStr">
        <is>
          <t>CT2</t>
        </is>
      </c>
      <c r="B33" s="6" t="inlineStr">
        <is>
          <t>Caja de 6 sobres monodosis de chocolate a la taza</t>
        </is>
      </c>
      <c r="C33" s="16">
        <f>'Coste de Cobertura'!K33</f>
        <v>1.637672727272727</v>
      </c>
      <c r="D33" s="16">
        <f>'Coste de Cobertura'!L33</f>
        <v>0.4677</v>
      </c>
      <c r="E33" s="16">
        <f>'Coste de Cobertura'!T33</f>
        <v>7.09090909090909</v>
      </c>
      <c r="F33" s="16">
        <f>IFERROR(($D33+$C33*$D$7)/(1-$R33),"")</f>
        <v>2.1266391184573</v>
      </c>
      <c r="G33" s="9">
        <f>IFERROR(F33/$E33,"")</f>
        <v>0.2999106449106449</v>
      </c>
      <c r="H33" s="16">
        <f>IFERROR(($D33+$C33*$D$8)/(1-$R33),"")</f>
        <v>2.457482093663911</v>
      </c>
      <c r="I33" s="9">
        <f>IFERROR(H33/$E33,"")</f>
        <v>0.3465679875679875</v>
      </c>
      <c r="J33" s="16">
        <f>IFERROR(($D33+$C33*$D$9)/(1-$R33),"")</f>
        <v>2.788325068870523</v>
      </c>
      <c r="K33" s="9">
        <f>IFERROR(J33/$E33,"")</f>
        <v>0.39322533022533024</v>
      </c>
      <c r="L33" s="16">
        <f>IFERROR(($D33+$C33*$D$10)/(1-$R33),"")</f>
        <v>3.1191680440771345</v>
      </c>
      <c r="M33" s="9">
        <f>IFERROR(L33/$E33,"")</f>
        <v>0.43988267288267285</v>
      </c>
      <c r="N33" s="16">
        <f>IFERROR(($D33+$C33*$D$11)/(1-$R33),"")</f>
        <v>2.7056143250688702</v>
      </c>
      <c r="O33" s="9">
        <f>IFERROR(N33/$E33,"")</f>
        <v>0.38156099456099457</v>
      </c>
      <c r="P33" s="9">
        <f>IFERROR(($E33*'Parámetros'!$B$10*(1-$R33)-$D33)/$C33-1,"")</f>
        <v>0.21471156408206782</v>
      </c>
      <c r="Q33" t="str">
        <f>IF(ISNUMBER($P33),IF($P33&lt;0,"Ya está por encima de tu food cost máximo","Aguanta esa subida sin pasar de tu food cost máximo"),"")</f>
        <v>Aguanta esa subida sin pasar de tu food cost máximo</v>
      </c>
      <c r="R33" s="9" t="n">
        <v>0.01</v>
      </c>
    </row>
    <row r="34" ht="26" customHeight="1">
      <c r="A34" t="inlineStr">
        <is>
          <t>CT3</t>
        </is>
      </c>
      <c r="B34" s="6" t="inlineStr">
        <is>
          <t>Chocolate a la taza servido en sala, 200 ml</t>
        </is>
      </c>
      <c r="C34" s="16">
        <f>'Coste de Cobertura'!K34</f>
        <v>0.40941818181818174</v>
      </c>
      <c r="D34" s="16">
        <f>'Coste de Cobertura'!L34</f>
        <v>0.1169</v>
      </c>
      <c r="E34" s="16">
        <f>'Coste de Cobertura'!T34</f>
        <v>2.909090909090909</v>
      </c>
      <c r="F34" s="16">
        <f>IFERROR(($D34+$C34*$D$7)/(1-$R34),"")</f>
        <v>0.5599129593810444</v>
      </c>
      <c r="G34" s="9">
        <f>IFERROR(F34/$E34,"")</f>
        <v>0.192470079787234</v>
      </c>
      <c r="H34" s="16">
        <f>IFERROR(($D34+$C34*$D$8)/(1-$R34),"")</f>
        <v>0.6470232108317214</v>
      </c>
      <c r="I34" s="9">
        <f>IFERROR(H34/$E34,"")</f>
        <v>0.22241422872340424</v>
      </c>
      <c r="J34" s="16">
        <f>IFERROR(($D34+$C34*$D$9)/(1-$R34),"")</f>
        <v>0.7341334622823984</v>
      </c>
      <c r="K34" s="9">
        <f>IFERROR(J34/$E34,"")</f>
        <v>0.2523583776595744</v>
      </c>
      <c r="L34" s="16">
        <f>IFERROR(($D34+$C34*$D$10)/(1-$R34),"")</f>
        <v>0.8212437137330754</v>
      </c>
      <c r="M34" s="9">
        <f>IFERROR(L34/$E34,"")</f>
        <v>0.2823025265957447</v>
      </c>
      <c r="N34" s="16">
        <f>IFERROR(($D34+$C34*$D$11)/(1-$R34),"")</f>
        <v>0.7123558994197291</v>
      </c>
      <c r="O34" s="9">
        <f>IFERROR(N34/$E34,"")</f>
        <v>0.24487234042553188</v>
      </c>
      <c r="P34" s="9">
        <f>IFERROR(($E34*'Parámetros'!$B$10*(1-$R34)-$D34)/$C34-1,"")</f>
        <v>1.0521582733812953</v>
      </c>
      <c r="Q34" t="str">
        <f>IF(ISNUMBER($P34),IF($P34&lt;0,"Ya está por encima de tu food cost máximo","Aguanta esa subida sin pasar de tu food cost máximo"),"")</f>
        <v>Aguanta esa subida sin pasar de tu food cost máximo</v>
      </c>
      <c r="R34" s="9" t="n">
        <v>0.06</v>
      </c>
    </row>
    <row r="35" ht="26" customHeight="1">
      <c r="A35" t="inlineStr">
        <is>
          <t>TF1</t>
        </is>
      </c>
      <c r="B35" s="6" t="inlineStr">
        <is>
          <t>Huevo de Pascua de chocolate con leche, 250 g</t>
        </is>
      </c>
      <c r="C35" s="16">
        <f>'Coste de Cobertura'!K35</f>
        <v>4.875</v>
      </c>
      <c r="D35" s="16">
        <f>'Coste de Cobertura'!L35</f>
        <v>0.0</v>
      </c>
      <c r="E35" s="16">
        <f>'Coste de Cobertura'!T35</f>
        <v>16.818181818181817</v>
      </c>
      <c r="F35" s="16">
        <f>IFERROR(($D35+$C35*$D$7)/(1-$R35),"")</f>
        <v>4.974489795918368</v>
      </c>
      <c r="G35" s="9">
        <f>IFERROR(F35/$E35,"")</f>
        <v>0.29578047435190297</v>
      </c>
      <c r="H35" s="16">
        <f>IFERROR(($D35+$C35*$D$8)/(1-$R35),"")</f>
        <v>5.969387755102041</v>
      </c>
      <c r="I35" s="9">
        <f>IFERROR(H35/$E35,"")</f>
        <v>0.35493656922228356</v>
      </c>
      <c r="J35" s="16">
        <f>IFERROR(($D35+$C35*$D$9)/(1-$R35),"")</f>
        <v>6.9642857142857135</v>
      </c>
      <c r="K35" s="9">
        <f>IFERROR(J35/$E35,"")</f>
        <v>0.4140926640926641</v>
      </c>
      <c r="L35" s="16">
        <f>IFERROR(($D35+$C35*$D$10)/(1-$R35),"")</f>
        <v>7.959183673469389</v>
      </c>
      <c r="M35" s="9">
        <f>IFERROR(L35/$E35,"")</f>
        <v>0.4732487589630448</v>
      </c>
      <c r="N35" s="16">
        <f>IFERROR(($D35+$C35*$D$11)/(1-$R35),"")</f>
        <v>6.715561224489797</v>
      </c>
      <c r="O35" s="9">
        <f>IFERROR(N35/$E35,"")</f>
        <v>0.39930364037506905</v>
      </c>
      <c r="P35" s="9">
        <f>IFERROR(($E35*'Parámetros'!$B$10*(1-$R35)-$D35)/$C35-1,"")</f>
        <v>0.1833100233100231</v>
      </c>
      <c r="Q35" t="str">
        <f>IF(ISNUMBER($P35),IF($P35&lt;0,"Ya está por encima de tu food cost máximo","Aguanta esa subida sin pasar de tu food cost máximo"),"")</f>
        <v>Aguanta esa subida sin pasar de tu food cost máximo</v>
      </c>
      <c r="R35" s="9" t="n">
        <v>0.02</v>
      </c>
    </row>
    <row r="36" ht="26" customHeight="1">
      <c r="A36" t="inlineStr">
        <is>
          <t>TF2</t>
        </is>
      </c>
      <c r="B36" s="6" t="inlineStr">
        <is>
          <t>Mona de Pascua de chocolate, 400 g</t>
        </is>
      </c>
      <c r="C36" s="16">
        <f>'Coste de Cobertura'!K36</f>
        <v>7.41</v>
      </c>
      <c r="D36" s="16">
        <f>'Coste de Cobertura'!L36</f>
        <v>0.248</v>
      </c>
      <c r="E36" s="16">
        <f>'Coste de Cobertura'!T36</f>
        <v>23.636363636363633</v>
      </c>
      <c r="F36" s="16">
        <f>IFERROR(($D36+$C36*$D$7)/(1-$R36),"")</f>
        <v>7.814285714285715</v>
      </c>
      <c r="G36" s="9">
        <f>IFERROR(F36/$E36,"")</f>
        <v>0.3306043956043957</v>
      </c>
      <c r="H36" s="16">
        <f>IFERROR(($D36+$C36*$D$8)/(1-$R36),"")</f>
        <v>9.326530612244897</v>
      </c>
      <c r="I36" s="9">
        <f>IFERROR(H36/$E36,"")</f>
        <v>0.39458398744113027</v>
      </c>
      <c r="J36" s="16">
        <f>IFERROR(($D36+$C36*$D$9)/(1-$R36),"")</f>
        <v>10.83877551020408</v>
      </c>
      <c r="K36" s="9">
        <f>IFERROR(J36/$E36,"")</f>
        <v>0.458563579277865</v>
      </c>
      <c r="L36" s="16">
        <f>IFERROR(($D36+$C36*$D$10)/(1-$R36),"")</f>
        <v>12.351020408163267</v>
      </c>
      <c r="M36" s="9">
        <f>IFERROR(L36/$E36,"")</f>
        <v>0.5225431711145998</v>
      </c>
      <c r="N36" s="16">
        <f>IFERROR(($D36+$C36*$D$11)/(1-$R36),"")</f>
        <v>10.460714285714285</v>
      </c>
      <c r="O36" s="9">
        <f>IFERROR(N36/$E36,"")</f>
        <v>0.4425686813186814</v>
      </c>
      <c r="P36" s="9">
        <f>IFERROR(($E36*'Parámetros'!$B$10*(1-$R36)-$D36)/$C36-1,"")</f>
        <v>0.060630597472702386</v>
      </c>
      <c r="Q36" t="str">
        <f>IF(ISNUMBER($P36),IF($P36&lt;0,"Ya está por encima de tu food cost máximo","Aguanta esa subida sin pasar de tu food cost máximo"),"")</f>
        <v>Aguanta esa subida sin pasar de tu food cost máximo</v>
      </c>
      <c r="R36" s="9" t="n">
        <v>0.02</v>
      </c>
    </row>
    <row r="37" ht="26" customHeight="1">
      <c r="A37" t="inlineStr">
        <is>
          <t>TF3</t>
        </is>
      </c>
      <c r="B37" s="6" t="inlineStr">
        <is>
          <t>Hueso de santo bañado en chocolate</t>
        </is>
      </c>
      <c r="C37" s="16">
        <f>'Coste de Cobertura'!K37</f>
        <v>0.20470909090909087</v>
      </c>
      <c r="D37" s="16">
        <f>'Coste de Cobertura'!L37</f>
        <v>0.0544</v>
      </c>
      <c r="E37" s="16">
        <f>'Coste de Cobertura'!T37</f>
        <v>1.4545454545454546</v>
      </c>
      <c r="F37" s="16">
        <f>IFERROR(($D37+$C37*$D$7)/(1-$R37),"")</f>
        <v>0.27564796905222433</v>
      </c>
      <c r="G37" s="9">
        <f>IFERROR(F37/$E37,"")</f>
        <v>0.18950797872340422</v>
      </c>
      <c r="H37" s="16">
        <f>IFERROR(($D37+$C37*$D$8)/(1-$R37),"")</f>
        <v>0.3192030947775628</v>
      </c>
      <c r="I37" s="9">
        <f>IFERROR(H37/$E37,"")</f>
        <v>0.21945212765957442</v>
      </c>
      <c r="J37" s="16">
        <f>IFERROR(($D37+$C37*$D$9)/(1-$R37),"")</f>
        <v>0.3627582205029013</v>
      </c>
      <c r="K37" s="9">
        <f>IFERROR(J37/$E37,"")</f>
        <v>0.24939627659574465</v>
      </c>
      <c r="L37" s="16">
        <f>IFERROR(($D37+$C37*$D$10)/(1-$R37),"")</f>
        <v>0.40631334622823984</v>
      </c>
      <c r="M37" s="9">
        <f>IFERROR(L37/$E37,"")</f>
        <v>0.2793404255319149</v>
      </c>
      <c r="N37" s="16">
        <f>IFERROR(($D37+$C37*$D$11)/(1-$R37),"")</f>
        <v>0.3518694390715667</v>
      </c>
      <c r="O37" s="9">
        <f>IFERROR(N37/$E37,"")</f>
        <v>0.2419102393617021</v>
      </c>
      <c r="P37" s="9">
        <f>IFERROR(($E37*'Parámetros'!$B$10*(1-$R37)-$D37)/$C37-1,"")</f>
        <v>1.0719424460431655</v>
      </c>
      <c r="Q37" t="str">
        <f>IF(ISNUMBER($P37),IF($P37&lt;0,"Ya está por encima de tu food cost máximo","Aguanta esa subida sin pasar de tu food cost máximo"),"")</f>
        <v>Aguanta esa subida sin pasar de tu food cost máximo</v>
      </c>
      <c r="R37" s="9" t="n">
        <v>0.06</v>
      </c>
    </row>
    <row r="38" ht="26" customHeight="1">
      <c r="A38" t="inlineStr">
        <is>
          <t>TF4</t>
        </is>
      </c>
      <c r="B38" s="6" t="inlineStr">
        <is>
          <t>Turrón de chocolate con almendra, 250 g</t>
        </is>
      </c>
      <c r="C38" s="16">
        <f>'Coste de Cobertura'!K38</f>
        <v>3.8212363636363635</v>
      </c>
      <c r="D38" s="16">
        <f>'Coste de Cobertura'!L38</f>
        <v>1.0168</v>
      </c>
      <c r="E38" s="16">
        <f>'Coste de Cobertura'!T38</f>
        <v>12.272727272727272</v>
      </c>
      <c r="F38" s="16">
        <f>IFERROR(($D38+$C38*$D$7)/(1-$R38),"")</f>
        <v>4.936771799628942</v>
      </c>
      <c r="G38" s="9">
        <f>IFERROR(F38/$E38,"")</f>
        <v>0.4022554799697657</v>
      </c>
      <c r="H38" s="16">
        <f>IFERROR(($D38+$C38*$D$8)/(1-$R38),"")</f>
        <v>5.716615955473099</v>
      </c>
      <c r="I38" s="9">
        <f>IFERROR(H38/$E38,"")</f>
        <v>0.4657983371126229</v>
      </c>
      <c r="J38" s="16">
        <f>IFERROR(($D38+$C38*$D$9)/(1-$R38),"")</f>
        <v>6.496460111317253</v>
      </c>
      <c r="K38" s="9">
        <f>IFERROR(J38/$E38,"")</f>
        <v>0.52934119425548</v>
      </c>
      <c r="L38" s="16">
        <f>IFERROR(($D38+$C38*$D$10)/(1-$R38),"")</f>
        <v>7.276304267161411</v>
      </c>
      <c r="M38" s="9">
        <f>IFERROR(L38/$E38,"")</f>
        <v>0.5928840513983372</v>
      </c>
      <c r="N38" s="16">
        <f>IFERROR(($D38+$C38*$D$11)/(1-$R38),"")</f>
        <v>6.301499072356216</v>
      </c>
      <c r="O38" s="9">
        <f>IFERROR(N38/$E38,"")</f>
        <v>0.5134554799697658</v>
      </c>
      <c r="P38" s="9">
        <f>IFERROR(($E38*'Parámetros'!$B$10*(1-$R38)-$D38)/$C38-1,"")</f>
        <v>-0.1644731833580756</v>
      </c>
      <c r="Q38" t="str">
        <f>IF(ISNUMBER($P38),IF($P38&lt;0,"Ya está por encima de tu food cost máximo","Aguanta esa subida sin pasar de tu food cost máximo"),"")</f>
        <v>Ya está por encima de tu food cost máximo</v>
      </c>
      <c r="R38" s="9" t="n">
        <v>0.02</v>
      </c>
    </row>
    <row r="39" ht="26" customHeight="1">
      <c r="A39" t="inlineStr">
        <is>
          <t>TF5</t>
        </is>
      </c>
      <c r="B39" s="6" t="inlineStr">
        <is>
          <t>Almendras marcona bañadas en chocolate, bolsa de 150 g</t>
        </is>
      </c>
      <c r="C39" s="16">
        <f>'Coste de Cobertura'!K39</f>
        <v>2.0016</v>
      </c>
      <c r="D39" s="16">
        <f>'Coste de Cobertura'!L39</f>
        <v>0.7688</v>
      </c>
      <c r="E39" s="16">
        <f>'Coste de Cobertura'!T39</f>
        <v>6.727272727272727</v>
      </c>
      <c r="F39" s="16">
        <f>IFERROR(($D39+$C39*$D$7)/(1-$R39),"")</f>
        <v>2.8269387755102042</v>
      </c>
      <c r="G39" s="9">
        <f>IFERROR(F39/$E39,"")</f>
        <v>0.4202206287920574</v>
      </c>
      <c r="H39" s="16">
        <f>IFERROR(($D39+$C39*$D$8)/(1-$R39),"")</f>
        <v>3.2354285714285713</v>
      </c>
      <c r="I39" s="9">
        <f>IFERROR(H39/$E39,"")</f>
        <v>0.48094208494208496</v>
      </c>
      <c r="J39" s="16">
        <f>IFERROR(($D39+$C39*$D$9)/(1-$R39),"")</f>
        <v>3.6439183673469384</v>
      </c>
      <c r="K39" s="9">
        <f>IFERROR(J39/$E39,"")</f>
        <v>0.5416635410921126</v>
      </c>
      <c r="L39" s="16">
        <f>IFERROR(($D39+$C39*$D$10)/(1-$R39),"")</f>
        <v>4.052408163265307</v>
      </c>
      <c r="M39" s="9">
        <f>IFERROR(L39/$E39,"")</f>
        <v>0.6023849972421402</v>
      </c>
      <c r="N39" s="16">
        <f>IFERROR(($D39+$C39*$D$11)/(1-$R39),"")</f>
        <v>3.541795918367347</v>
      </c>
      <c r="O39" s="9">
        <f>IFERROR(N39/$E39,"")</f>
        <v>0.5264831770546057</v>
      </c>
      <c r="P39" s="9">
        <f>IFERROR(($E39*'Parámetros'!$B$10*(1-$R39)-$D39)/$C39-1,"")</f>
        <v>-0.2312876971150355</v>
      </c>
      <c r="Q39" t="str">
        <f>IF(ISNUMBER($P39),IF($P39&lt;0,"Ya está por encima de tu food cost máximo","Aguanta esa subida sin pasar de tu food cost máximo"),"")</f>
        <v>Ya está por encima de tu food cost máximo</v>
      </c>
      <c r="R39" s="9" t="n">
        <v>0.02</v>
      </c>
    </row>
    <row r="40" ht="26" customHeight="1">
      <c r="A40" t="inlineStr">
        <is>
          <t>CJ1</t>
        </is>
      </c>
      <c r="B40" s="6" t="inlineStr">
        <is>
          <t>Caja surtida de 12 bombones</t>
        </is>
      </c>
      <c r="C40" s="16">
        <f>'Coste de Cobertura'!K40</f>
        <v>1.8074549999999998</v>
      </c>
      <c r="D40" s="16">
        <f>'Coste de Cobertura'!L40</f>
        <v>0.5158</v>
      </c>
      <c r="E40" s="16">
        <f>'Coste de Cobertura'!T40</f>
        <v>18.18181818181818</v>
      </c>
      <c r="F40" s="16">
        <f>IFERROR(($D40+$C40*$D$7)/(1-$R40),"")</f>
        <v>2.334929648241206</v>
      </c>
      <c r="G40" s="9">
        <f>IFERROR(F40/$E40,"")</f>
        <v>0.12842113065326632</v>
      </c>
      <c r="H40" s="16">
        <f>IFERROR(($D40+$C40*$D$8)/(1-$R40),"")</f>
        <v>2.698237185929648</v>
      </c>
      <c r="I40" s="9">
        <f>IFERROR(H40/$E40,"")</f>
        <v>0.14840304522613065</v>
      </c>
      <c r="J40" s="16">
        <f>IFERROR(($D40+$C40*$D$9)/(1-$R40),"")</f>
        <v>3.06154472361809</v>
      </c>
      <c r="K40" s="9">
        <f>IFERROR(J40/$E40,"")</f>
        <v>0.16838495979899495</v>
      </c>
      <c r="L40" s="16">
        <f>IFERROR(($D40+$C40*$D$10)/(1-$R40),"")</f>
        <v>3.424852261306533</v>
      </c>
      <c r="M40" s="9">
        <f>IFERROR(L40/$E40,"")</f>
        <v>0.18836687437185934</v>
      </c>
      <c r="N40" s="16">
        <f>IFERROR(($D40+$C40*$D$11)/(1-$R40),"")</f>
        <v>2.97071783919598</v>
      </c>
      <c r="O40" s="9">
        <f>IFERROR(N40/$E40,"")</f>
        <v>0.16338948115577892</v>
      </c>
      <c r="P40" s="9">
        <f>IFERROR(($E40*'Parámetros'!$B$10*(1-$R40)-$D40)/$C40-1,"")</f>
        <v>2.217794181220656</v>
      </c>
      <c r="Q40" t="str">
        <f>IF(ISNUMBER($P40),IF($P40&lt;0,"Ya está por encima de tu food cost máximo","Aguanta esa subida sin pasar de tu food cost máximo"),"")</f>
        <v>Aguanta esa subida sin pasar de tu food cost máximo</v>
      </c>
      <c r="R40" s="9" t="n">
        <v>0.005</v>
      </c>
    </row>
    <row r="41" ht="26" customHeight="1">
      <c r="A41" t="inlineStr">
        <is>
          <t>CJ2</t>
        </is>
      </c>
      <c r="B41" s="6" t="inlineStr">
        <is>
          <t>Caja surtida de 20 bombones</t>
        </is>
      </c>
      <c r="C41" s="16">
        <f>'Coste de Cobertura'!K41</f>
        <v>3.0613050000000004</v>
      </c>
      <c r="D41" s="16">
        <f>'Coste de Cobertura'!L41</f>
        <v>0.9415</v>
      </c>
      <c r="E41" s="16">
        <f>'Coste de Cobertura'!T41</f>
        <v>25.454545454545453</v>
      </c>
      <c r="F41" s="16">
        <f>IFERROR(($D41+$C41*$D$7)/(1-$R41),"")</f>
        <v>4.02291959798995</v>
      </c>
      <c r="G41" s="9">
        <f>IFERROR(F41/$E41,"")</f>
        <v>0.15804326992103376</v>
      </c>
      <c r="H41" s="16">
        <f>IFERROR(($D41+$C41*$D$8)/(1-$R41),"")</f>
        <v>4.638257286432161</v>
      </c>
      <c r="I41" s="9">
        <f>IFERROR(H41/$E41,"")</f>
        <v>0.18221725053840634</v>
      </c>
      <c r="J41" s="16">
        <f>IFERROR(($D41+$C41*$D$9)/(1-$R41),"")</f>
        <v>5.253594974874373</v>
      </c>
      <c r="K41" s="9">
        <f>IFERROR(J41/$E41,"")</f>
        <v>0.20639123115577895</v>
      </c>
      <c r="L41" s="16">
        <f>IFERROR(($D41+$C41*$D$10)/(1-$R41),"")</f>
        <v>5.868932663316584</v>
      </c>
      <c r="M41" s="9">
        <f>IFERROR(L41/$E41,"")</f>
        <v>0.23056521177315153</v>
      </c>
      <c r="N41" s="16">
        <f>IFERROR(($D41+$C41*$D$11)/(1-$R41),"")</f>
        <v>5.09976055276382</v>
      </c>
      <c r="O41" s="9">
        <f>IFERROR(N41/$E41,"")</f>
        <v>0.20034773600143582</v>
      </c>
      <c r="P41" s="9">
        <f>IFERROR(($E41*'Parámetros'!$B$10*(1-$R41)-$D41)/$C41-1,"")</f>
        <v>1.5881267807505144</v>
      </c>
      <c r="Q41" t="str">
        <f>IF(ISNUMBER($P41),IF($P41&lt;0,"Ya está por encima de tu food cost máximo","Aguanta esa subida sin pasar de tu food cost máximo"),"")</f>
        <v>Aguanta esa subida sin pasar de tu food cost máximo</v>
      </c>
      <c r="R41" s="9" t="n">
        <v>0.005</v>
      </c>
    </row>
    <row r="42" ht="26" customHeight="1">
      <c r="A42" t="inlineStr">
        <is>
          <t>CJ3</t>
        </is>
      </c>
      <c r="B42" s="6" t="inlineStr">
        <is>
          <t>Caja surtida de 35 bombones</t>
        </is>
      </c>
      <c r="C42" s="16">
        <f>'Coste de Cobertura'!K42</f>
        <v>5.270849999999999</v>
      </c>
      <c r="D42" s="16">
        <f>'Coste de Cobertura'!L42</f>
        <v>1.6391</v>
      </c>
      <c r="E42" s="16">
        <f>'Coste de Cobertura'!T42</f>
        <v>40.90909090909091</v>
      </c>
      <c r="F42" s="16">
        <f>IFERROR(($D42+$C42*$D$7)/(1-$R42),"")</f>
        <v>6.94467336683417</v>
      </c>
      <c r="G42" s="9">
        <f>IFERROR(F42/$E42,"")</f>
        <v>0.16975868230039085</v>
      </c>
      <c r="H42" s="16">
        <f>IFERROR(($D42+$C42*$D$8)/(1-$R42),"")</f>
        <v>8.004140703517587</v>
      </c>
      <c r="I42" s="9">
        <f>IFERROR(H42/$E42,"")</f>
        <v>0.19565677275265214</v>
      </c>
      <c r="J42" s="16">
        <f>IFERROR(($D42+$C42*$D$9)/(1-$R42),"")</f>
        <v>9.063608040201004</v>
      </c>
      <c r="K42" s="9">
        <f>IFERROR(J42/$E42,"")</f>
        <v>0.22155486320491344</v>
      </c>
      <c r="L42" s="16">
        <f>IFERROR(($D42+$C42*$D$10)/(1-$R42),"")</f>
        <v>10.123075376884422</v>
      </c>
      <c r="M42" s="9">
        <f>IFERROR(L42/$E42,"")</f>
        <v>0.2474529536571748</v>
      </c>
      <c r="N42" s="16">
        <f>IFERROR(($D42+$C42*$D$11)/(1-$R42),"")</f>
        <v>8.79874120603015</v>
      </c>
      <c r="O42" s="9">
        <f>IFERROR(N42/$E42,"")</f>
        <v>0.21508034059184813</v>
      </c>
      <c r="P42" s="9">
        <f>IFERROR(($E42*'Parámetros'!$B$10*(1-$R42)-$D42)/$C42-1,"")</f>
        <v>1.391927470728802</v>
      </c>
      <c r="Q42" t="str">
        <f>IF(ISNUMBER($P42),IF($P42&lt;0,"Ya está por encima de tu food cost máximo","Aguanta esa subida sin pasar de tu food cost máximo"),"")</f>
        <v>Aguanta esa subida sin pasar de tu food cost máximo</v>
      </c>
      <c r="R42" s="9" t="n">
        <v>0.005</v>
      </c>
    </row>
    <row r="43" ht="26" customHeight="1">
      <c r="A43" t="inlineStr">
        <is>
          <t>CJ4</t>
        </is>
      </c>
      <c r="B43" s="6" t="inlineStr">
        <is>
          <t>Estuche corporativo personalizado de 24 bombones</t>
        </is>
      </c>
      <c r="C43" s="16">
        <f>'Coste de Cobertura'!K43</f>
        <v>3.5948249999999997</v>
      </c>
      <c r="D43" s="16">
        <f>'Coste de Cobertura'!L43</f>
        <v>1.1316</v>
      </c>
      <c r="E43" s="16">
        <f>'Coste de Cobertura'!T43</f>
        <v>30.909090909090907</v>
      </c>
      <c r="F43" s="16">
        <f>IFERROR(($D43+$C43*$D$7)/(1-$R43),"")</f>
        <v>4.750175879396985</v>
      </c>
      <c r="G43" s="9">
        <f>IFERROR(F43/$E43,"")</f>
        <v>0.1536821608040201</v>
      </c>
      <c r="H43" s="16">
        <f>IFERROR(($D43+$C43*$D$8)/(1-$R43),"")</f>
        <v>5.47275376884422</v>
      </c>
      <c r="I43" s="9">
        <f>IFERROR(H43/$E43,"")</f>
        <v>0.1770596807567248</v>
      </c>
      <c r="J43" s="16">
        <f>IFERROR(($D43+$C43*$D$9)/(1-$R43),"")</f>
        <v>6.195331658291456</v>
      </c>
      <c r="K43" s="9">
        <f>IFERROR(J43/$E43,"")</f>
        <v>0.2004372007094295</v>
      </c>
      <c r="L43" s="16">
        <f>IFERROR(($D43+$C43*$D$10)/(1-$R43),"")</f>
        <v>6.917909547738693</v>
      </c>
      <c r="M43" s="9">
        <f>IFERROR(L43/$E43,"")</f>
        <v>0.2238147206621342</v>
      </c>
      <c r="N43" s="16">
        <f>IFERROR(($D43+$C43*$D$11)/(1-$R43),"")</f>
        <v>6.014687185929648</v>
      </c>
      <c r="O43" s="9">
        <f>IFERROR(N43/$E43,"")</f>
        <v>0.19459282072125333</v>
      </c>
      <c r="P43" s="9">
        <f>IFERROR(($E43*'Parámetros'!$B$10*(1-$R43)-$D43)/$C43-1,"")</f>
        <v>1.6795437633517367</v>
      </c>
      <c r="Q43" t="str">
        <f>IF(ISNUMBER($P43),IF($P43&lt;0,"Ya está por encima de tu food cost máximo","Aguanta esa subida sin pasar de tu food cost máximo"),"")</f>
        <v>Aguanta esa subida sin pasar de tu food cost máximo</v>
      </c>
      <c r="R43" s="9" t="n">
        <v>0.005</v>
      </c>
    </row>
    <row r="44">
      <c r="A44" s="4" t="inlineStr">
        <is>
          <t>ROTAS</t>
        </is>
      </c>
      <c r="B44" s="22" t="inlineStr">
        <is>
          <t>Referencias que en ese escenario pasan de tu food cost máximo</t>
        </is>
      </c>
      <c r="G44" s="20">
        <f>COUNTIF(G16:G43,"&gt;"&amp;'Parámetros'!$B$10)</f>
        <v>7.0</v>
      </c>
      <c r="I44" s="20">
        <f>COUNTIF(I16:I43,"&gt;"&amp;'Parámetros'!$B$10)</f>
        <v>10.0</v>
      </c>
      <c r="K44" s="20">
        <f>COUNTIF(K16:K43,"&gt;"&amp;'Parámetros'!$B$10)</f>
        <v>11.0</v>
      </c>
      <c r="M44" s="20">
        <f>COUNTIF(M16:M43,"&gt;"&amp;'Parámetros'!$B$10)</f>
        <v>12.0</v>
      </c>
      <c r="O44" s="20">
        <f>COUNTIF(O16:O43,"&gt;"&amp;'Parámetros'!$B$10)</f>
        <v>11.0</v>
      </c>
    </row>
  </sheetData>
  <sheetProtection selectLockedCells="0" selectUnlockedCells="0" sheet="1" objects="0" insertRows="0" insertHyperlinks="1" autoFilter="1" scenarios="0" formatColumns="0" deleteColumns="1" insertColumns="1" pivotTables="1" deleteRows="1" formatCells="1" formatRows="0" sort="0"/>
  <mergeCells count="2">
    <mergeCell ref="A14:Q14"/>
    <mergeCell ref="A3:Q3"/>
  </mergeCells>
  <conditionalFormatting sqref="P16:P43">
    <cfRule type="expression" priority="1" dxfId="0" stopIfTrue="1">
      <formula>=AND(ISNUMBER($P16),$P16&lt;0)</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R58"/>
  <sheetViews>
    <sheetView workbookViewId="0">
      <pane xSplit="2" ySplit="15" topLeftCell="C16"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12" customWidth="1" min="3" max="3"/>
    <col width="12" customWidth="1" min="4" max="4"/>
    <col width="13" customWidth="1" min="5" max="5"/>
    <col width="11" customWidth="1" min="6" max="6"/>
    <col width="14" customWidth="1" min="7" max="7"/>
    <col width="12" customWidth="1" min="8" max="8"/>
    <col width="14" customWidth="1" min="9" max="9"/>
    <col width="14" customWidth="1" min="10" max="10"/>
    <col width="12" customWidth="1" min="11" max="11"/>
    <col width="12" customWidth="1" min="12" max="12"/>
    <col width="14" customWidth="1" min="13" max="13"/>
    <col width="13" customWidth="1" min="14" max="14"/>
    <col width="15" customWidth="1" min="15" max="15"/>
    <col width="34" customWidth="1" min="16" max="16"/>
    <col width="13" customWidth="1" min="17" max="17"/>
    <col width="34" customWidth="1" min="18" max="18"/>
  </cols>
  <sheetData>
    <row r="1" ht="28" customHeight="1">
      <c r="A1" s="1" t="inlineStr">
        <is>
          <t>Repercusión al PVP</t>
        </is>
      </c>
    </row>
    <row r="2">
      <c r="A2" t="inlineStr">
        <is>
          <t>AI Chef Pro · aichef.pro — Cómo Montar una Chocolatería</t>
        </is>
      </c>
    </row>
    <row r="3" ht="26" customHeight="1">
      <c r="A3" s="2" t="inlineStr">
        <is>
          <t>Las cuatro salidas cuando sube el cacao: subir el PVP, bajar el gramaje, cambiar de cobertura o aguantar. Elige arriba el escenario y la hoja entera se recalcula.</t>
        </is>
      </c>
    </row>
    <row r="4"/>
    <row r="5">
      <c r="A5" s="3" t="inlineStr">
        <is>
          <t>El Escenario con el que Trabajas</t>
        </is>
      </c>
    </row>
    <row r="6">
      <c r="A6" t="inlineStr">
        <is>
          <t>Escenario elegido</t>
        </is>
      </c>
      <c r="C6" s="14" t="inlineStr">
        <is>
          <t>Subida fuerte</t>
        </is>
      </c>
      <c r="E6" s="2" t="inlineStr">
        <is>
          <t>Cambia sólo esta celda: el escenario elegido gobierna las 28 filas de abajo. Si quieres trabajar con la subida que te ha pasado tu proveedor, ponla en «Tu escenario» en la hoja «Escenarios de Precio» y elígelo aquí.</t>
        </is>
      </c>
    </row>
    <row r="7">
      <c r="A7" t="inlineStr">
        <is>
          <t>Subida que supone</t>
        </is>
      </c>
      <c r="C7" s="9">
        <f>IFERROR(INDEX('Escenarios de Precio'!C$7:C$11,MATCH($C$6,'Escenarios de Precio'!A$7:A$11,0)),"")</f>
        <v>0.4</v>
      </c>
    </row>
    <row r="8">
      <c r="A8" t="inlineStr">
        <is>
          <t>Factor sobre el precio de hoy</t>
        </is>
      </c>
      <c r="C8" s="16">
        <f>IFERROR(INDEX('Escenarios de Precio'!D$7:D$11,MATCH($C$6,'Escenarios de Precio'!A$7:A$11,0)),"")</f>
        <v>1.4</v>
      </c>
    </row>
    <row r="9"/>
    <row r="10"/>
    <row r="11"/>
    <row r="12"/>
    <row r="13">
      <c r="A13" s="3" t="inlineStr">
        <is>
          <t>Qué Haces con Cada Referencia</t>
        </is>
      </c>
    </row>
    <row r="14" ht="28" customHeight="1">
      <c r="A14" s="2" t="inlineStr">
        <is>
          <t>Las columnas I a L suben el precio; las M y N bajan el gramaje; las O y P cambian de cobertura. La columna Q dice cuánto aguanta la referencia antes de romper tu food cost máximo, y es la que ordena la lista: la que menos aguante es la primera que se te rompe.</t>
        </is>
      </c>
    </row>
    <row r="15" ht="58" customHeight="1">
      <c r="A15" s="7" t="inlineStr">
        <is>
          <t>Id</t>
        </is>
      </c>
      <c r="B15" s="7" t="inlineStr">
        <is>
          <t>Referencia</t>
        </is>
      </c>
      <c r="C15" s="7" t="inlineStr">
        <is>
          <t>PVP con IVA hoy (€)</t>
        </is>
      </c>
      <c r="D15" s="7" t="inlineStr">
        <is>
          <t>PVP sin IVA hoy (€)</t>
        </is>
      </c>
      <c r="E15" s="7" t="inlineStr">
        <is>
          <t>Coste de materia hoy (€)</t>
        </is>
      </c>
      <c r="F15" s="7" t="inlineStr">
        <is>
          <t>Food cost hoy</t>
        </is>
      </c>
      <c r="G15" s="7" t="inlineStr">
        <is>
          <t>Coste de materia en el escenario (€)</t>
        </is>
      </c>
      <c r="H15" s="7" t="inlineStr">
        <is>
          <t>Food cost en el escenario</t>
        </is>
      </c>
      <c r="I15" s="7" t="inlineStr">
        <is>
          <t>PVP sin IVA necesario (€)</t>
        </is>
      </c>
      <c r="J15" s="7" t="inlineStr">
        <is>
          <t>PVP con IVA necesario (€)</t>
        </is>
      </c>
      <c r="K15" s="7" t="inlineStr">
        <is>
          <t>Subida de PVP (€)</t>
        </is>
      </c>
      <c r="L15" s="7" t="inlineStr">
        <is>
          <t>Subida de PVP (%)</t>
        </is>
      </c>
      <c r="M15" s="7" t="inlineStr">
        <is>
          <t>Gramos de cobertura admisibles con el PVP de hoy</t>
        </is>
      </c>
      <c r="N15" s="7" t="inlineStr">
        <is>
          <t>Recorte de gramaje necesario (negativo: te sobra margen)</t>
        </is>
      </c>
      <c r="O15" s="7" t="inlineStr">
        <is>
          <t>Precio máximo de cobertura que aguanta (€/kg)</t>
        </is>
      </c>
      <c r="P15" s="7" t="inlineStr">
        <is>
          <t>¿Qué cobertura te vale a ese precio?</t>
        </is>
      </c>
      <c r="Q15" s="7" t="inlineStr">
        <is>
          <t>Subida máxima que aguanta</t>
        </is>
      </c>
      <c r="R15" s="7" t="inlineStr">
        <is>
          <t>Veredicto</t>
        </is>
      </c>
    </row>
    <row r="16" ht="26" customHeight="1">
      <c r="A16" t="inlineStr">
        <is>
          <t>BC1</t>
        </is>
      </c>
      <c r="B16" s="6" t="inlineStr">
        <is>
          <t>Bombón de ganache de chocolate negro 70 %</t>
        </is>
      </c>
      <c r="C16" s="16">
        <f>'Coste de Cobertura'!R16</f>
        <v>2.0</v>
      </c>
      <c r="D16" s="16">
        <f>'Coste de Cobertura'!T16</f>
        <v>1.8181818181818181</v>
      </c>
      <c r="E16" s="16">
        <f>'Coste de Cobertura'!M16</f>
        <v>0.2175796363636363</v>
      </c>
      <c r="F16" s="9">
        <f>'Coste de Cobertura'!U16</f>
        <v>0.11966879999999998</v>
      </c>
      <c r="G16" s="16">
        <f>IFERROR('Escenarios de Precio'!D16+'Escenarios de Precio'!C16*$C$8,"")</f>
        <v>0.2983714909090908</v>
      </c>
      <c r="H16" s="9">
        <f>IFERROR($G16/$D16,"")</f>
        <v>0.16410431999999994</v>
      </c>
      <c r="I16" s="16">
        <f>IFERROR($G16/'Parámetros'!$B$8,"")</f>
        <v>0.9945716363636361</v>
      </c>
      <c r="J16" s="16">
        <f>IFERROR($I16*(1+'Coste de Cobertura'!S16),"")</f>
        <v>1.0940287999999998</v>
      </c>
      <c r="K16" s="16">
        <f>IFERROR($J16-$C16,"")</f>
        <v>-0.9059712000000002</v>
      </c>
      <c r="L16" s="9">
        <f>IFERROR($J16/$C16-1,"")</f>
        <v>-0.4529856000000001</v>
      </c>
      <c r="M16" s="17">
        <f>IFERROR(($D16*'Parámetros'!$B$8-'Escenarios de Precio'!D16)/('Coste de Cobertura'!J16*$C$8)*1000,"")</f>
        <v>16.63926002055499</v>
      </c>
      <c r="N16" s="9">
        <f>IFERROR(1-$M16/'Coste de Cobertura'!G16,"")</f>
        <v>-0.8737905428552917</v>
      </c>
      <c r="O16" s="16">
        <f>IFERROR(($D16*'Parámetros'!$B$8-'Escenarios de Precio'!D16)/('Coste de Cobertura'!G16/1000),"")</f>
        <v>59.66830466830468</v>
      </c>
      <c r="P16" t="str">
        <f>IF(ISNUMBER($O16),IF($O16&gt;=MAX('Coste de Cobertura'!G$7:G$10),"Cualquiera de las cuatro, incluida la que usas",IF($O16&gt;=MIN('Coste de Cobertura'!G$7:G$10),"Sólo alguna de las más baratas: compáralas arriba","Ninguna: el gramaje o el PVP tienen que moverse")),"")</f>
        <v>Cualquiera de las cuatro, incluida la que usas</v>
      </c>
      <c r="Q16" s="9">
        <f>'Escenarios de Precio'!P16</f>
        <v>1.9788781587342745</v>
      </c>
      <c r="R16" t="str">
        <f>IF(ISNUMBER($H16),IF($H16&gt;'Parámetros'!$B$10,"ROTA: por encima de tu food cost máximo",IF($H16&gt;'Parámetros'!$B$8,"Avisa: por encima del objetivo","Aguanta")),"")</f>
        <v>Aguanta</v>
      </c>
    </row>
    <row r="17" ht="26" customHeight="1">
      <c r="A17" t="inlineStr">
        <is>
          <t>BC2</t>
        </is>
      </c>
      <c r="B17" s="6" t="inlineStr">
        <is>
          <t>Bombón de ganache de leche y vainilla</t>
        </is>
      </c>
      <c r="C17" s="16">
        <f>'Coste de Cobertura'!R17</f>
        <v>1.95</v>
      </c>
      <c r="D17" s="16">
        <f>'Coste de Cobertura'!T17</f>
        <v>1.7727272727272725</v>
      </c>
      <c r="E17" s="16">
        <f>'Coste de Cobertura'!M17</f>
        <v>0.19073</v>
      </c>
      <c r="F17" s="9">
        <f>'Coste de Cobertura'!U17</f>
        <v>0.10759128205128207</v>
      </c>
      <c r="G17" s="16">
        <f>IFERROR('Escenarios de Precio'!D17+'Escenarios de Precio'!C17*$C$8,"")</f>
        <v>0.262022</v>
      </c>
      <c r="H17" s="9">
        <f>IFERROR($G17/$D17,"")</f>
        <v>0.14780728205128205</v>
      </c>
      <c r="I17" s="16">
        <f>IFERROR($G17/'Parámetros'!$B$8,"")</f>
        <v>0.8734066666666667</v>
      </c>
      <c r="J17" s="16">
        <f>IFERROR($I17*(1+'Coste de Cobertura'!S17),"")</f>
        <v>0.9607473333333334</v>
      </c>
      <c r="K17" s="16">
        <f>IFERROR($J17-$C17,"")</f>
        <v>-0.9892526666666666</v>
      </c>
      <c r="L17" s="9">
        <f>IFERROR($J17/$C17-1,"")</f>
        <v>-0.5073090598290597</v>
      </c>
      <c r="M17" s="17">
        <f>IFERROR(($D17*'Parámetros'!$B$8-'Escenarios de Precio'!D17)/('Coste de Cobertura'!J17*$C$8)*1000,"")</f>
        <v>19.022644022644023</v>
      </c>
      <c r="N17" s="9">
        <f>IFERROR(1-$M17/'Coste de Cobertura'!G17,"")</f>
        <v>-1.0812520812520812</v>
      </c>
      <c r="O17" s="16">
        <f>IFERROR(($D17*'Parámetros'!$B$8-'Escenarios de Precio'!D17)/('Coste de Cobertura'!G17/1000),"")</f>
        <v>56.81818181818181</v>
      </c>
      <c r="P17" t="str">
        <f>IF(ISNUMBER($O17),IF($O17&gt;=MAX('Coste de Cobertura'!G$7:G$10),"Cualquiera de las cuatro, incluida la que usas",IF($O17&gt;=MIN('Coste de Cobertura'!G$7:G$10),"Sólo alguna de las más baratas: compáralas arriba","Ninguna: el gramaje o el PVP tienen que moverse")),"")</f>
        <v>Cualquiera de las cuatro, incluida la que usas</v>
      </c>
      <c r="Q17" s="9">
        <f>'Escenarios de Precio'!P17</f>
        <v>2.3066313700887005</v>
      </c>
      <c r="R17" t="str">
        <f>IF(ISNUMBER($H17),IF($H17&gt;'Parámetros'!$B$10,"ROTA: por encima de tu food cost máximo",IF($H17&gt;'Parámetros'!$B$8,"Avisa: por encima del objetivo","Aguanta")),"")</f>
        <v>Aguanta</v>
      </c>
    </row>
    <row r="18" ht="26" customHeight="1">
      <c r="A18" t="inlineStr">
        <is>
          <t>BC3</t>
        </is>
      </c>
      <c r="B18" s="6" t="inlineStr">
        <is>
          <t>Bombón de praliné de avellana</t>
        </is>
      </c>
      <c r="C18" s="16">
        <f>'Coste de Cobertura'!R18</f>
        <v>2.1</v>
      </c>
      <c r="D18" s="16">
        <f>'Coste de Cobertura'!T18</f>
        <v>1.909090909090909</v>
      </c>
      <c r="E18" s="16">
        <f>'Coste de Cobertura'!M18</f>
        <v>0.21342</v>
      </c>
      <c r="F18" s="9">
        <f>'Coste de Cobertura'!U18</f>
        <v>0.11179142857142858</v>
      </c>
      <c r="G18" s="16">
        <f>IFERROR('Escenarios de Precio'!D18+'Escenarios de Precio'!C18*$C$8,"")</f>
        <v>0.267708</v>
      </c>
      <c r="H18" s="9">
        <f>IFERROR($G18/$D18,"")</f>
        <v>0.14022800000000002</v>
      </c>
      <c r="I18" s="16">
        <f>IFERROR($G18/'Parámetros'!$B$8,"")</f>
        <v>0.89236</v>
      </c>
      <c r="J18" s="16">
        <f>IFERROR($I18*(1+'Coste de Cobertura'!S18),"")</f>
        <v>0.9815960000000001</v>
      </c>
      <c r="K18" s="16">
        <f>IFERROR($J18-$C18,"")</f>
        <v>-1.118404</v>
      </c>
      <c r="L18" s="9">
        <f>IFERROR($J18/$C18-1,"")</f>
        <v>-0.5325733333333333</v>
      </c>
      <c r="M18" s="17">
        <f>IFERROR(($D18*'Parámetros'!$B$8-'Escenarios de Precio'!D18)/('Coste de Cobertura'!J18*$C$8)*1000,"")</f>
        <v>18.13286713286713</v>
      </c>
      <c r="N18" s="9">
        <f>IFERROR(1-$M18/'Coste de Cobertura'!G18,"")</f>
        <v>-1.6052970018487254</v>
      </c>
      <c r="O18" s="16">
        <f>IFERROR(($D18*'Parámetros'!$B$8-'Escenarios de Precio'!D18)/('Coste de Cobertura'!G18/1000),"")</f>
        <v>71.12460815047021</v>
      </c>
      <c r="P18" t="str">
        <f>IF(ISNUMBER($O18),IF($O18&gt;=MAX('Coste de Cobertura'!G$7:G$10),"Cualquiera de las cuatro, incluida la que usas",IF($O18&gt;=MIN('Coste de Cobertura'!G$7:G$10),"Sólo alguna de las más baratas: compáralas arriba","Ninguna: el gramaje o el PVP tienen que moverse")),"")</f>
        <v>Cualquiera de las cuatro, incluida la que usas</v>
      </c>
      <c r="Q18" s="9">
        <f>'Escenarios de Precio'!P18</f>
        <v>3.252270717787958</v>
      </c>
      <c r="R18" t="str">
        <f>IF(ISNUMBER($H18),IF($H18&gt;'Parámetros'!$B$10,"ROTA: por encima de tu food cost máximo",IF($H18&gt;'Parámetros'!$B$8,"Avisa: por encima del objetivo","Aguanta")),"")</f>
        <v>Aguanta</v>
      </c>
    </row>
    <row r="19" ht="26" customHeight="1">
      <c r="A19" t="inlineStr">
        <is>
          <t>BC4</t>
        </is>
      </c>
      <c r="B19" s="6" t="inlineStr">
        <is>
          <t>Bombón de gianduja de avellana</t>
        </is>
      </c>
      <c r="C19" s="16">
        <f>'Coste de Cobertura'!R19</f>
        <v>2.1</v>
      </c>
      <c r="D19" s="16">
        <f>'Coste de Cobertura'!T19</f>
        <v>1.909090909090909</v>
      </c>
      <c r="E19" s="16">
        <f>'Coste de Cobertura'!M19</f>
        <v>0.2243</v>
      </c>
      <c r="F19" s="9">
        <f>'Coste de Cobertura'!U19</f>
        <v>0.1174904761904762</v>
      </c>
      <c r="G19" s="16">
        <f>IFERROR('Escenarios de Precio'!D19+'Escenarios de Precio'!C19*$C$8,"")</f>
        <v>0.28513999999999995</v>
      </c>
      <c r="H19" s="9">
        <f>IFERROR($G19/$D19,"")</f>
        <v>0.1493590476190476</v>
      </c>
      <c r="I19" s="16">
        <f>IFERROR($G19/'Parámetros'!$B$8,"")</f>
        <v>0.9504666666666666</v>
      </c>
      <c r="J19" s="16">
        <f>IFERROR($I19*(1+'Coste de Cobertura'!S19),"")</f>
        <v>1.0455133333333333</v>
      </c>
      <c r="K19" s="16">
        <f>IFERROR($J19-$C19,"")</f>
        <v>-1.0544866666666668</v>
      </c>
      <c r="L19" s="9">
        <f>IFERROR($J19/$C19-1,"")</f>
        <v>-0.502136507936508</v>
      </c>
      <c r="M19" s="17">
        <f>IFERROR(($D19*'Parámetros'!$B$8-'Escenarios de Precio'!D19)/('Coste de Cobertura'!J19*$C$8)*1000,"")</f>
        <v>18.33433233433233</v>
      </c>
      <c r="N19" s="9">
        <f>IFERROR(1-$M19/'Coste de Cobertura'!G19,"")</f>
        <v>-1.350555427478504</v>
      </c>
      <c r="O19" s="16">
        <f>IFERROR(($D19*'Parámetros'!$B$8-'Escenarios de Precio'!D19)/('Coste de Cobertura'!G19/1000),"")</f>
        <v>64.17016317016315</v>
      </c>
      <c r="P19" t="str">
        <f>IF(ISNUMBER($O19),IF($O19&gt;=MAX('Coste de Cobertura'!G$7:G$10),"Cualquiera de las cuatro, incluida la que usas",IF($O19&gt;=MIN('Coste de Cobertura'!G$7:G$10),"Sólo alguna de las más baratas: compáralas arriba","Ninguna: el gramaje o el PVP tienen que moverse")),"")</f>
        <v>Cualquiera de las cuatro, incluida la que usas</v>
      </c>
      <c r="Q19" s="9">
        <f>'Escenarios de Precio'!P19</f>
        <v>2.8304942920327534</v>
      </c>
      <c r="R19" t="str">
        <f>IF(ISNUMBER($H19),IF($H19&gt;'Parámetros'!$B$10,"ROTA: por encima de tu food cost máximo",IF($H19&gt;'Parámetros'!$B$8,"Avisa: por encima del objetivo","Aguanta")),"")</f>
        <v>Aguanta</v>
      </c>
    </row>
    <row r="20" ht="26" customHeight="1">
      <c r="A20" t="inlineStr">
        <is>
          <t>BC5</t>
        </is>
      </c>
      <c r="B20" s="6" t="inlineStr">
        <is>
          <t>Trufa de chocolate negro al cacao</t>
        </is>
      </c>
      <c r="C20" s="16">
        <f>'Coste de Cobertura'!R20</f>
        <v>1.9</v>
      </c>
      <c r="D20" s="16">
        <f>'Coste de Cobertura'!T20</f>
        <v>1.727272727272727</v>
      </c>
      <c r="E20" s="16">
        <f>'Coste de Cobertura'!M20</f>
        <v>0.21812472727272725</v>
      </c>
      <c r="F20" s="9">
        <f>'Coste de Cobertura'!U20</f>
        <v>0.12628273684210525</v>
      </c>
      <c r="G20" s="16">
        <f>IFERROR('Escenarios de Precio'!D20+'Escenarios de Precio'!C20*$C$8,"")</f>
        <v>0.2987346181818181</v>
      </c>
      <c r="H20" s="9">
        <f>IFERROR($G20/$D20,"")</f>
        <v>0.17295162105263157</v>
      </c>
      <c r="I20" s="16">
        <f>IFERROR($G20/'Parámetros'!$B$8,"")</f>
        <v>0.9957820606060604</v>
      </c>
      <c r="J20" s="16">
        <f>IFERROR($I20*(1+'Coste de Cobertura'!S20),"")</f>
        <v>1.0953602666666666</v>
      </c>
      <c r="K20" s="16">
        <f>IFERROR($J20-$C20,"")</f>
        <v>-0.8046397333333333</v>
      </c>
      <c r="L20" s="9">
        <f>IFERROR($J20/$C20-1,"")</f>
        <v>-0.423494596491228</v>
      </c>
      <c r="M20" s="17">
        <f>IFERROR(($D20*'Parámetros'!$B$8-'Escenarios de Precio'!D20)/('Coste de Cobertura'!J20*$C$8)*1000,"")</f>
        <v>15.751398880895287</v>
      </c>
      <c r="N20" s="9">
        <f>IFERROR(1-$M20/'Coste de Cobertura'!G20,"")</f>
        <v>-0.7778102574373915</v>
      </c>
      <c r="O20" s="16">
        <f>IFERROR(($D20*'Parámetros'!$B$8-'Escenarios de Precio'!D20)/('Coste de Cobertura'!G20/1000),"")</f>
        <v>56.61194336137902</v>
      </c>
      <c r="P20" t="str">
        <f>IF(ISNUMBER($O20),IF($O20&gt;=MAX('Coste de Cobertura'!G$7:G$10),"Cualquiera de las cuatro, incluida la que usas",IF($O20&gt;=MIN('Coste de Cobertura'!G$7:G$10),"Sólo alguna de las más baratas: compáralas arriba","Ninguna: el gramaje o el PVP tienen que moverse")),"")</f>
        <v>Cualquiera de las cuatro, incluida la que usas</v>
      </c>
      <c r="Q20" s="9">
        <f>'Escenarios de Precio'!P20</f>
        <v>1.797491126737436</v>
      </c>
      <c r="R20" t="str">
        <f>IF(ISNUMBER($H20),IF($H20&gt;'Parámetros'!$B$10,"ROTA: por encima de tu food cost máximo",IF($H20&gt;'Parámetros'!$B$8,"Avisa: por encima del objetivo","Aguanta")),"")</f>
        <v>Aguanta</v>
      </c>
    </row>
    <row r="21" ht="26" customHeight="1">
      <c r="A21" t="inlineStr">
        <is>
          <t>BC6</t>
        </is>
      </c>
      <c r="B21" s="6" t="inlineStr">
        <is>
          <t>Bombón de licor de ron</t>
        </is>
      </c>
      <c r="C21" s="16">
        <f>'Coste de Cobertura'!R21</f>
        <v>2.3</v>
      </c>
      <c r="D21" s="16">
        <f>'Coste de Cobertura'!T21</f>
        <v>2.0909090909090904</v>
      </c>
      <c r="E21" s="16">
        <f>'Coste de Cobertura'!M21</f>
        <v>0.17287272727272723</v>
      </c>
      <c r="F21" s="9">
        <f>'Coste de Cobertura'!U21</f>
        <v>0.08267826086956521</v>
      </c>
      <c r="G21" s="16">
        <f>IFERROR('Escenarios de Precio'!D21+'Escenarios de Precio'!C21*$C$8,"")</f>
        <v>0.22746181818181815</v>
      </c>
      <c r="H21" s="9">
        <f>IFERROR($G21/$D21,"")</f>
        <v>0.10878608695652175</v>
      </c>
      <c r="I21" s="16">
        <f>IFERROR($G21/'Parámetros'!$B$8,"")</f>
        <v>0.7582060606060606</v>
      </c>
      <c r="J21" s="16">
        <f>IFERROR($I21*(1+'Coste de Cobertura'!S21),"")</f>
        <v>0.8340266666666667</v>
      </c>
      <c r="K21" s="16">
        <f>IFERROR($J21-$C21,"")</f>
        <v>-1.4659733333333331</v>
      </c>
      <c r="L21" s="9">
        <f>IFERROR($J21/$C21-1,"")</f>
        <v>-0.6373797101449274</v>
      </c>
      <c r="M21" s="17">
        <f>IFERROR(($D21*'Parámetros'!$B$8-'Escenarios de Precio'!D21)/('Coste de Cobertura'!J21*$C$8)*1000,"")</f>
        <v>18.555441361196756</v>
      </c>
      <c r="N21" s="9">
        <f>IFERROR(1-$M21/'Coste de Cobertura'!G21,"")</f>
        <v>-2.0925735601994595</v>
      </c>
      <c r="O21" s="16">
        <f>IFERROR(($D21*'Parámetros'!$B$8-'Escenarios de Precio'!D21)/('Coste de Cobertura'!G21/1000),"")</f>
        <v>98.47878787878786</v>
      </c>
      <c r="P21" t="str">
        <f>IF(ISNUMBER($O21),IF($O21&gt;=MAX('Coste de Cobertura'!G$7:G$10),"Cualquiera de las cuatro, incluida la que usas",IF($O21&gt;=MIN('Coste de Cobertura'!G$7:G$10),"Sólo alguna de las más baratas: compáralas arriba","Ninguna: el gramaje o el PVP tienen que moverse")),"")</f>
        <v>Cualquiera de las cuatro, incluida la que usas</v>
      </c>
      <c r="Q21" s="9">
        <f>'Escenarios de Precio'!P21</f>
        <v>3.8811617372768437</v>
      </c>
      <c r="R21" t="str">
        <f>IF(ISNUMBER($H21),IF($H21&gt;'Parámetros'!$B$10,"ROTA: por encima de tu food cost máximo",IF($H21&gt;'Parámetros'!$B$8,"Avisa: por encima del objetivo","Aguanta")),"")</f>
        <v>Aguanta</v>
      </c>
    </row>
    <row r="22" ht="26" customHeight="1">
      <c r="A22" t="inlineStr">
        <is>
          <t>BC7</t>
        </is>
      </c>
      <c r="B22" s="6" t="inlineStr">
        <is>
          <t>Bombón de caramelo salado</t>
        </is>
      </c>
      <c r="C22" s="16">
        <f>'Coste de Cobertura'!R22</f>
        <v>2.0</v>
      </c>
      <c r="D22" s="16">
        <f>'Coste de Cobertura'!T22</f>
        <v>1.8181818181818181</v>
      </c>
      <c r="E22" s="16">
        <f>'Coste de Cobertura'!M22</f>
        <v>0.13315</v>
      </c>
      <c r="F22" s="9">
        <f>'Coste de Cobertura'!U22</f>
        <v>0.07323249999999999</v>
      </c>
      <c r="G22" s="16">
        <f>IFERROR('Escenarios de Precio'!D22+'Escenarios de Precio'!C22*$C$8,"")</f>
        <v>0.17604999999999998</v>
      </c>
      <c r="H22" s="9">
        <f>IFERROR($G22/$D22,"")</f>
        <v>0.0968275</v>
      </c>
      <c r="I22" s="16">
        <f>IFERROR($G22/'Parámetros'!$B$8,"")</f>
        <v>0.5868333333333333</v>
      </c>
      <c r="J22" s="16">
        <f>IFERROR($I22*(1+'Coste de Cobertura'!S22),"")</f>
        <v>0.6455166666666667</v>
      </c>
      <c r="K22" s="16">
        <f>IFERROR($J22-$C22,"")</f>
        <v>-1.3544833333333333</v>
      </c>
      <c r="L22" s="9">
        <f>IFERROR($J22/$C22-1,"")</f>
        <v>-0.6772416666666666</v>
      </c>
      <c r="M22" s="17">
        <f>IFERROR(($D22*'Parámetros'!$B$8-'Escenarios de Precio'!D22)/('Coste de Cobertura'!J22*$C$8)*1000,"")</f>
        <v>19.03130203130203</v>
      </c>
      <c r="N22" s="9">
        <f>IFERROR(1-$M22/'Coste de Cobertura'!G22,"")</f>
        <v>-2.4602367329640056</v>
      </c>
      <c r="O22" s="16">
        <f>IFERROR(($D22*'Parámetros'!$B$8-'Escenarios de Precio'!D22)/('Coste de Cobertura'!G22/1000),"")</f>
        <v>94.46446280991735</v>
      </c>
      <c r="P22" t="str">
        <f>IF(ISNUMBER($O22),IF($O22&gt;=MAX('Coste de Cobertura'!G$7:G$10),"Cualquiera de las cuatro, incluida la que usas",IF($O22&gt;=MIN('Coste de Cobertura'!G$7:G$10),"Sólo alguna de las más baratas: compáralas arriba","Ninguna: el gramaje o el PVP tienen que moverse")),"")</f>
        <v>Cualquiera de las cuatro, incluida la que usas</v>
      </c>
      <c r="Q22" s="9">
        <f>'Escenarios de Precio'!P22</f>
        <v>4.513964823055731</v>
      </c>
      <c r="R22" t="str">
        <f>IF(ISNUMBER($H22),IF($H22&gt;'Parámetros'!$B$10,"ROTA: por encima de tu food cost máximo",IF($H22&gt;'Parámetros'!$B$8,"Avisa: por encima del objetivo","Aguanta")),"")</f>
        <v>Aguanta</v>
      </c>
    </row>
    <row r="23" ht="26" customHeight="1">
      <c r="A23" t="inlineStr">
        <is>
          <t>BC8</t>
        </is>
      </c>
      <c r="B23" s="6" t="inlineStr">
        <is>
          <t>Bombón de praliné de cacahuete</t>
        </is>
      </c>
      <c r="C23" s="16">
        <f>'Coste de Cobertura'!R23</f>
        <v>1.95</v>
      </c>
      <c r="D23" s="16">
        <f>'Coste de Cobertura'!T23</f>
        <v>1.7727272727272725</v>
      </c>
      <c r="E23" s="16">
        <f>'Coste de Cobertura'!M23</f>
        <v>0.18659</v>
      </c>
      <c r="F23" s="9">
        <f>'Coste de Cobertura'!U23</f>
        <v>0.10525589743589746</v>
      </c>
      <c r="G23" s="16">
        <f>IFERROR('Escenarios de Precio'!D23+'Escenarios de Precio'!C23*$C$8,"")</f>
        <v>0.239786</v>
      </c>
      <c r="H23" s="9">
        <f>IFERROR($G23/$D23,"")</f>
        <v>0.13526389743589745</v>
      </c>
      <c r="I23" s="16">
        <f>IFERROR($G23/'Parámetros'!$B$8,"")</f>
        <v>0.7992866666666667</v>
      </c>
      <c r="J23" s="16">
        <f>IFERROR($I23*(1+'Coste de Cobertura'!S23),"")</f>
        <v>0.8792153333333335</v>
      </c>
      <c r="K23" s="16">
        <f>IFERROR($J23-$C23,"")</f>
        <v>-1.0707846666666665</v>
      </c>
      <c r="L23" s="9">
        <f>IFERROR($J23/$C23-1,"")</f>
        <v>-0.5491203418803419</v>
      </c>
      <c r="M23" s="17">
        <f>IFERROR(($D23*'Parámetros'!$B$8-'Escenarios de Precio'!D23)/('Coste de Cobertura'!J23*$C$8)*1000,"")</f>
        <v>17.517149517149516</v>
      </c>
      <c r="N23" s="9">
        <f>IFERROR(1-$M23/'Coste de Cobertura'!G23,"")</f>
        <v>-1.5684969966494888</v>
      </c>
      <c r="O23" s="16">
        <f>IFERROR(($D23*'Parámetros'!$B$8-'Escenarios de Precio'!D23)/('Coste de Cobertura'!G23/1000),"")</f>
        <v>70.11996800853105</v>
      </c>
      <c r="P23" t="str">
        <f>IF(ISNUMBER($O23),IF($O23&gt;=MAX('Coste de Cobertura'!G$7:G$10),"Cualquiera de las cuatro, incluida la que usas",IF($O23&gt;=MIN('Coste de Cobertura'!G$7:G$10),"Sólo alguna de las más baratas: compáralas arriba","Ninguna: el gramaje o el PVP tienen que moverse")),"")</f>
        <v>Cualquiera de las cuatro, incluida la que usas</v>
      </c>
      <c r="Q23" s="9">
        <f>'Escenarios de Precio'!P23</f>
        <v>3.16907628051323</v>
      </c>
      <c r="R23" t="str">
        <f>IF(ISNUMBER($H23),IF($H23&gt;'Parámetros'!$B$10,"ROTA: por encima de tu food cost máximo",IF($H23&gt;'Parámetros'!$B$8,"Avisa: por encima del objetivo","Aguanta")),"")</f>
        <v>Aguanta</v>
      </c>
    </row>
    <row r="24" ht="26" customHeight="1">
      <c r="A24" t="inlineStr">
        <is>
          <t>BC9</t>
        </is>
      </c>
      <c r="B24" s="6" t="inlineStr">
        <is>
          <t>Bombón crujiente de sésamo y barquillo</t>
        </is>
      </c>
      <c r="C24" s="16">
        <f>'Coste de Cobertura'!R24</f>
        <v>2.05</v>
      </c>
      <c r="D24" s="16">
        <f>'Coste de Cobertura'!T24</f>
        <v>1.8636363636363633</v>
      </c>
      <c r="E24" s="16">
        <f>'Coste de Cobertura'!M24</f>
        <v>0.19046000000000002</v>
      </c>
      <c r="F24" s="9">
        <f>'Coste de Cobertura'!U24</f>
        <v>0.10219804878048783</v>
      </c>
      <c r="G24" s="16">
        <f>IFERROR('Escenarios de Precio'!D24+'Escenarios de Precio'!C24*$C$8,"")</f>
        <v>0.253484</v>
      </c>
      <c r="H24" s="9">
        <f>IFERROR($G24/$D24,"")</f>
        <v>0.1360158048780488</v>
      </c>
      <c r="I24" s="16">
        <f>IFERROR($G24/'Parámetros'!$B$8,"")</f>
        <v>0.8449466666666666</v>
      </c>
      <c r="J24" s="16">
        <f>IFERROR($I24*(1+'Coste de Cobertura'!S24),"")</f>
        <v>0.9294413333333333</v>
      </c>
      <c r="K24" s="16">
        <f>IFERROR($J24-$C24,"")</f>
        <v>-1.1205586666666665</v>
      </c>
      <c r="L24" s="9">
        <f>IFERROR($J24/$C24-1,"")</f>
        <v>-0.5466139837398374</v>
      </c>
      <c r="M24" s="17">
        <f>IFERROR(($D24*'Parámetros'!$B$8-'Escenarios de Precio'!D24)/('Coste de Cobertura'!J24*$C$8)*1000,"")</f>
        <v>19.27439227439227</v>
      </c>
      <c r="N24" s="9">
        <f>IFERROR(1-$M24/'Coste de Cobertura'!G24,"")</f>
        <v>-1.385444588414885</v>
      </c>
      <c r="O24" s="16">
        <f>IFERROR(($D24*'Parámetros'!$B$8-'Escenarios de Precio'!D24)/('Coste de Cobertura'!G24/1000),"")</f>
        <v>65.12263726372635</v>
      </c>
      <c r="P24" t="str">
        <f>IF(ISNUMBER($O24),IF($O24&gt;=MAX('Coste de Cobertura'!G$7:G$10),"Cualquiera de las cuatro, incluida la que usas",IF($O24&gt;=MIN('Coste de Cobertura'!G$7:G$10),"Sólo alguna de las más baratas: compáralas arriba","Ninguna: el gramaje o el PVP tienen que moverse")),"")</f>
        <v>Cualquiera de las cuatro, incluida la que usas</v>
      </c>
      <c r="Q24" s="9">
        <f>'Escenarios de Precio'!P24</f>
        <v>2.8482309769438467</v>
      </c>
      <c r="R24" t="str">
        <f>IF(ISNUMBER($H24),IF($H24&gt;'Parámetros'!$B$10,"ROTA: por encima de tu food cost máximo",IF($H24&gt;'Parámetros'!$B$8,"Avisa: por encima del objetivo","Aguanta")),"")</f>
        <v>Aguanta</v>
      </c>
    </row>
    <row r="25" ht="26" customHeight="1">
      <c r="A25" t="inlineStr">
        <is>
          <t>BC10</t>
        </is>
      </c>
      <c r="B25" s="6" t="inlineStr">
        <is>
          <t>Bombón de naranja confitada y chocolate negro</t>
        </is>
      </c>
      <c r="C25" s="16">
        <f>'Coste de Cobertura'!R25</f>
        <v>2.05</v>
      </c>
      <c r="D25" s="16">
        <f>'Coste de Cobertura'!T25</f>
        <v>1.8636363636363633</v>
      </c>
      <c r="E25" s="16">
        <f>'Coste de Cobertura'!M25</f>
        <v>0.21838127272727273</v>
      </c>
      <c r="F25" s="9">
        <f>'Coste de Cobertura'!U25</f>
        <v>0.11718019512195124</v>
      </c>
      <c r="G25" s="16">
        <f>IFERROR('Escenarios de Precio'!D25+'Escenarios de Precio'!C25*$C$8,"")</f>
        <v>0.2908937818181818</v>
      </c>
      <c r="H25" s="9">
        <f>IFERROR($G25/$D25,"")</f>
        <v>0.15608934634146343</v>
      </c>
      <c r="I25" s="16">
        <f>IFERROR($G25/'Parámetros'!$B$8,"")</f>
        <v>0.9696459393939394</v>
      </c>
      <c r="J25" s="16">
        <f>IFERROR($I25*(1+'Coste de Cobertura'!S25),"")</f>
        <v>1.0666105333333333</v>
      </c>
      <c r="K25" s="16">
        <f>IFERROR($J25-$C25,"")</f>
        <v>-0.9833894666666665</v>
      </c>
      <c r="L25" s="9">
        <f>IFERROR($J25/$C25-1,"")</f>
        <v>-0.47970217886178856</v>
      </c>
      <c r="M25" s="17">
        <f>IFERROR(($D25*'Parámetros'!$B$8-'Escenarios de Precio'!D25)/('Coste de Cobertura'!J25*$C$8)*1000,"")</f>
        <v>16.39231471965285</v>
      </c>
      <c r="N25" s="9">
        <f>IFERROR(1-$M25/'Coste de Cobertura'!G25,"")</f>
        <v>-1.056752160558701</v>
      </c>
      <c r="O25" s="16">
        <f>IFERROR(($D25*'Parámetros'!$B$8-'Escenarios de Precio'!D25)/('Coste de Cobertura'!G25/1000),"")</f>
        <v>65.49446789095468</v>
      </c>
      <c r="P25" t="str">
        <f>IF(ISNUMBER($O25),IF($O25&gt;=MAX('Coste de Cobertura'!G$7:G$10),"Cualquiera de las cuatro, incluida la que usas",IF($O25&gt;=MIN('Coste de Cobertura'!G$7:G$10),"Sólo alguna de las más baratas: compáralas arriba","Ninguna: el gramaje o el PVP tienen que moverse")),"")</f>
        <v>Cualquiera de las cuatro, incluida la que usas</v>
      </c>
      <c r="Q25" s="9">
        <f>'Escenarios de Precio'!P25</f>
        <v>2.213564656430438</v>
      </c>
      <c r="R25" t="str">
        <f>IF(ISNUMBER($H25),IF($H25&gt;'Parámetros'!$B$10,"ROTA: por encima de tu food cost máximo",IF($H25&gt;'Parámetros'!$B$8,"Avisa: por encima del objetivo","Aguanta")),"")</f>
        <v>Aguanta</v>
      </c>
    </row>
    <row r="26" ht="26" customHeight="1">
      <c r="A26" t="inlineStr">
        <is>
          <t>TB1</t>
        </is>
      </c>
      <c r="B26" s="6" t="inlineStr">
        <is>
          <t>Tableta de chocolate negro de origen 70 %, 100 g</t>
        </is>
      </c>
      <c r="C26" s="16">
        <f>'Coste de Cobertura'!R26</f>
        <v>8.5</v>
      </c>
      <c r="D26" s="16">
        <f>'Coste de Cobertura'!T26</f>
        <v>7.727272727272727</v>
      </c>
      <c r="E26" s="16">
        <f>'Coste de Cobertura'!M26</f>
        <v>3.7479999999999998</v>
      </c>
      <c r="F26" s="9">
        <f>'Coste de Cobertura'!U26</f>
        <v>0.48503529411764706</v>
      </c>
      <c r="G26" s="16">
        <f>IFERROR('Escenarios de Precio'!D26+'Escenarios de Precio'!C26*$C$8,"")</f>
        <v>5.247199999999999</v>
      </c>
      <c r="H26" s="9">
        <f>IFERROR($G26/$D26,"")</f>
        <v>0.6790494117647059</v>
      </c>
      <c r="I26" s="16">
        <f>IFERROR($G26/'Parámetros'!$B$8,"")</f>
        <v>17.490666666666666</v>
      </c>
      <c r="J26" s="16">
        <f>IFERROR($I26*(1+'Coste de Cobertura'!S26),"")</f>
        <v>19.239733333333334</v>
      </c>
      <c r="K26" s="16">
        <f>IFERROR($J26-$C26,"")</f>
        <v>10.739733333333334</v>
      </c>
      <c r="L26" s="9">
        <f>IFERROR($J26/$C26-1,"")</f>
        <v>1.2634980392156865</v>
      </c>
      <c r="M26" s="17">
        <f>IFERROR(($D26*'Parámetros'!$B$8-'Escenarios de Precio'!D26)/('Coste de Cobertura'!J26*$C$8)*1000,"")</f>
        <v>44.17940650598068</v>
      </c>
      <c r="N26" s="9">
        <f>IFERROR(1-$M26/'Coste de Cobertura'!G26,"")</f>
        <v>0.5582059349401932</v>
      </c>
      <c r="O26" s="16">
        <f>IFERROR(($D26*'Parámetros'!$B$8-'Escenarios de Precio'!D26)/('Coste de Cobertura'!G26/1000),"")</f>
        <v>23.181818181818176</v>
      </c>
      <c r="P26" t="str">
        <f>IF(ISNUMBER($O26),IF($O26&gt;=MAX('Coste de Cobertura'!G$7:G$10),"Cualquiera de las cuatro, incluida la que usas",IF($O26&gt;=MIN('Coste de Cobertura'!G$7:G$10),"Sólo alguna de las más baratas: compáralas arriba","Ninguna: el gramaje o el PVP tienen que moverse")),"")</f>
        <v>Sólo alguna de las más baratas: compáralas arriba</v>
      </c>
      <c r="Q26" s="9">
        <f>'Escenarios de Precio'!P26</f>
        <v>-0.2856189967982924</v>
      </c>
      <c r="R26" t="str">
        <f>IF(ISNUMBER($H26),IF($H26&gt;'Parámetros'!$B$10,"ROTA: por encima de tu food cost máximo",IF($H26&gt;'Parámetros'!$B$8,"Avisa: por encima del objetivo","Aguanta")),"")</f>
        <v>ROTA: por encima de tu food cost máximo</v>
      </c>
    </row>
    <row r="27" ht="26" customHeight="1">
      <c r="A27" t="inlineStr">
        <is>
          <t>TB2</t>
        </is>
      </c>
      <c r="B27" s="6" t="inlineStr">
        <is>
          <t>Tableta de chocolate con leche 38 %, 100 g</t>
        </is>
      </c>
      <c r="C27" s="16">
        <f>'Coste de Cobertura'!R27</f>
        <v>5.9</v>
      </c>
      <c r="D27" s="16">
        <f>'Coste de Cobertura'!T27</f>
        <v>5.363636363636363</v>
      </c>
      <c r="E27" s="16">
        <f>'Coste de Cobertura'!M27</f>
        <v>1.9500000000000002</v>
      </c>
      <c r="F27" s="9">
        <f>'Coste de Cobertura'!U27</f>
        <v>0.36355932203389835</v>
      </c>
      <c r="G27" s="16">
        <f>IFERROR('Escenarios de Precio'!D27+'Escenarios de Precio'!C27*$C$8,"")</f>
        <v>2.73</v>
      </c>
      <c r="H27" s="9">
        <f>IFERROR($G27/$D27,"")</f>
        <v>0.5089830508474577</v>
      </c>
      <c r="I27" s="16">
        <f>IFERROR($G27/'Parámetros'!$B$8,"")</f>
        <v>9.1</v>
      </c>
      <c r="J27" s="16">
        <f>IFERROR($I27*(1+'Coste de Cobertura'!S27),"")</f>
        <v>10.01</v>
      </c>
      <c r="K27" s="16">
        <f>IFERROR($J27-$C27,"")</f>
        <v>4.109999999999999</v>
      </c>
      <c r="L27" s="9">
        <f>IFERROR($J27/$C27-1,"")</f>
        <v>0.6966101694915252</v>
      </c>
      <c r="M27" s="17">
        <f>IFERROR(($D27*'Parámetros'!$B$8-'Escenarios de Precio'!D27)/('Coste de Cobertura'!J27*$C$8)*1000,"")</f>
        <v>58.94105894105894</v>
      </c>
      <c r="N27" s="9">
        <f>IFERROR(1-$M27/'Coste de Cobertura'!G27,"")</f>
        <v>0.41058941058941056</v>
      </c>
      <c r="O27" s="16">
        <f>IFERROR(($D27*'Parámetros'!$B$8-'Escenarios de Precio'!D27)/('Coste de Cobertura'!G27/1000),"")</f>
        <v>16.090909090909086</v>
      </c>
      <c r="P27" t="str">
        <f>IF(ISNUMBER($O27),IF($O27&gt;=MAX('Coste de Cobertura'!G$7:G$10),"Cualquiera de las cuatro, incluida la que usas",IF($O27&gt;=MIN('Coste de Cobertura'!G$7:G$10),"Sólo alguna de las más baratas: compáralas arriba","Ninguna: el gramaje o el PVP tienen que moverse")),"")</f>
        <v>Ninguna: el gramaje o el PVP tienen que moverse</v>
      </c>
      <c r="Q27" s="9">
        <f>'Escenarios de Precio'!P27</f>
        <v>-0.04692307692307718</v>
      </c>
      <c r="R27" t="str">
        <f>IF(ISNUMBER($H27),IF($H27&gt;'Parámetros'!$B$10,"ROTA: por encima de tu food cost máximo",IF($H27&gt;'Parámetros'!$B$8,"Avisa: por encima del objetivo","Aguanta")),"")</f>
        <v>ROTA: por encima de tu food cost máximo</v>
      </c>
    </row>
    <row r="28" ht="26" customHeight="1">
      <c r="A28" t="inlineStr">
        <is>
          <t>TB3</t>
        </is>
      </c>
      <c r="B28" s="6" t="inlineStr">
        <is>
          <t>Tableta de chocolate blanco 30 %, 100 g</t>
        </is>
      </c>
      <c r="C28" s="16">
        <f>'Coste de Cobertura'!R28</f>
        <v>5.9</v>
      </c>
      <c r="D28" s="16">
        <f>'Coste de Cobertura'!T28</f>
        <v>5.363636363636363</v>
      </c>
      <c r="E28" s="16">
        <f>'Coste de Cobertura'!M28</f>
        <v>2.1</v>
      </c>
      <c r="F28" s="9">
        <f>'Coste de Cobertura'!U28</f>
        <v>0.3915254237288136</v>
      </c>
      <c r="G28" s="16">
        <f>IFERROR('Escenarios de Precio'!D28+'Escenarios de Precio'!C28*$C$8,"")</f>
        <v>2.94</v>
      </c>
      <c r="H28" s="9">
        <f>IFERROR($G28/$D28,"")</f>
        <v>0.548135593220339</v>
      </c>
      <c r="I28" s="16">
        <f>IFERROR($G28/'Parámetros'!$B$8,"")</f>
        <v>9.8</v>
      </c>
      <c r="J28" s="16">
        <f>IFERROR($I28*(1+'Coste de Cobertura'!S28),"")</f>
        <v>10.780000000000001</v>
      </c>
      <c r="K28" s="16">
        <f>IFERROR($J28-$C28,"")</f>
        <v>4.880000000000001</v>
      </c>
      <c r="L28" s="9">
        <f>IFERROR($J28/$C28-1,"")</f>
        <v>0.8271186440677967</v>
      </c>
      <c r="M28" s="17">
        <f>IFERROR(($D28*'Parámetros'!$B$8-'Escenarios de Precio'!D28)/('Coste de Cobertura'!J28*$C$8)*1000,"")</f>
        <v>54.73098330241187</v>
      </c>
      <c r="N28" s="9">
        <f>IFERROR(1-$M28/'Coste de Cobertura'!G28,"")</f>
        <v>0.45269016697588127</v>
      </c>
      <c r="O28" s="16">
        <f>IFERROR(($D28*'Parámetros'!$B$8-'Escenarios de Precio'!D28)/('Coste de Cobertura'!G28/1000),"")</f>
        <v>16.090909090909086</v>
      </c>
      <c r="P28" t="str">
        <f>IF(ISNUMBER($O28),IF($O28&gt;=MAX('Coste de Cobertura'!G$7:G$10),"Cualquiera de las cuatro, incluida la que usas",IF($O28&gt;=MIN('Coste de Cobertura'!G$7:G$10),"Sólo alguna de las más baratas: compáralas arriba","Ninguna: el gramaje o el PVP tienen que moverse")),"")</f>
        <v>Ninguna: el gramaje o el PVP tienen que moverse</v>
      </c>
      <c r="Q28" s="9">
        <f>'Escenarios de Precio'!P28</f>
        <v>-0.11500000000000021</v>
      </c>
      <c r="R28" t="str">
        <f>IF(ISNUMBER($H28),IF($H28&gt;'Parámetros'!$B$10,"ROTA: por encima de tu food cost máximo",IF($H28&gt;'Parámetros'!$B$8,"Avisa: por encima del objetivo","Aguanta")),"")</f>
        <v>ROTA: por encima de tu food cost máximo</v>
      </c>
    </row>
    <row r="29" ht="26" customHeight="1">
      <c r="A29" t="inlineStr">
        <is>
          <t>TB4</t>
        </is>
      </c>
      <c r="B29" s="6" t="inlineStr">
        <is>
          <t>Tableta de chocolate negro con almendra marcona, 100 g</t>
        </is>
      </c>
      <c r="C29" s="16">
        <f>'Coste de Cobertura'!R29</f>
        <v>6.5</v>
      </c>
      <c r="D29" s="16">
        <f>'Coste de Cobertura'!T29</f>
        <v>5.909090909090908</v>
      </c>
      <c r="E29" s="16">
        <f>'Coste de Cobertura'!M29</f>
        <v>2.046945454545454</v>
      </c>
      <c r="F29" s="9">
        <f>'Coste de Cobertura'!U29</f>
        <v>0.3464061538461538</v>
      </c>
      <c r="G29" s="16">
        <f>IFERROR('Escenarios de Precio'!D29+'Escenarios de Precio'!C29*$C$8,"")</f>
        <v>2.756603636363636</v>
      </c>
      <c r="H29" s="9">
        <f>IFERROR($G29/$D29,"")</f>
        <v>0.4665021538461539</v>
      </c>
      <c r="I29" s="16">
        <f>IFERROR($G29/'Parámetros'!$B$8,"")</f>
        <v>9.188678787878787</v>
      </c>
      <c r="J29" s="16">
        <f>IFERROR($I29*(1+'Coste de Cobertura'!S29),"")</f>
        <v>10.107546666666668</v>
      </c>
      <c r="K29" s="16">
        <f>IFERROR($J29-$C29,"")</f>
        <v>3.607546666666668</v>
      </c>
      <c r="L29" s="9">
        <f>IFERROR($J29/$C29-1,"")</f>
        <v>0.5550071794871796</v>
      </c>
      <c r="M29" s="17">
        <f>IFERROR(($D29*'Parámetros'!$B$8-'Escenarios de Precio'!D29)/('Coste de Cobertura'!J29*$C$8)*1000,"")</f>
        <v>47.10288911727761</v>
      </c>
      <c r="N29" s="9">
        <f>IFERROR(1-$M29/'Coste de Cobertura'!G29,"")</f>
        <v>0.39611680618874856</v>
      </c>
      <c r="O29" s="16">
        <f>IFERROR(($D29*'Parámetros'!$B$8-'Escenarios de Precio'!D29)/('Coste de Cobertura'!G29/1000),"")</f>
        <v>19.229836829836827</v>
      </c>
      <c r="P29" t="str">
        <f>IF(ISNUMBER($O29),IF($O29&gt;=MAX('Coste de Cobertura'!G$7:G$10),"Cualquiera de las cuatro, incluida la que usas",IF($O29&gt;=MIN('Coste de Cobertura'!G$7:G$10),"Sólo alguna de las más baratas: compáralas arriba","Ninguna: el gramaje o el PVP tienen que moverse")),"")</f>
        <v>Ninguna: el gramaje o el PVP tienen que moverse</v>
      </c>
      <c r="Q29" s="9">
        <f>'Escenarios de Precio'!P29</f>
        <v>-0.011344770337576082</v>
      </c>
      <c r="R29" t="str">
        <f>IF(ISNUMBER($H29),IF($H29&gt;'Parámetros'!$B$10,"ROTA: por encima de tu food cost máximo",IF($H29&gt;'Parámetros'!$B$8,"Avisa: por encima del objetivo","Aguanta")),"")</f>
        <v>ROTA: por encima de tu food cost máximo</v>
      </c>
    </row>
    <row r="30" ht="26" customHeight="1">
      <c r="A30" t="inlineStr">
        <is>
          <t>TB5</t>
        </is>
      </c>
      <c r="B30" s="6" t="inlineStr">
        <is>
          <t>Tableta de chocolate con leche y avellana, 100 g</t>
        </is>
      </c>
      <c r="C30" s="16">
        <f>'Coste de Cobertura'!R30</f>
        <v>6.5</v>
      </c>
      <c r="D30" s="16">
        <f>'Coste de Cobertura'!T30</f>
        <v>5.909090909090908</v>
      </c>
      <c r="E30" s="16">
        <f>'Coste de Cobertura'!M30</f>
        <v>1.838</v>
      </c>
      <c r="F30" s="9">
        <f>'Coste de Cobertura'!U30</f>
        <v>0.3110461538461539</v>
      </c>
      <c r="G30" s="16">
        <f>IFERROR('Escenarios de Precio'!D30+'Escenarios de Precio'!C30*$C$8,"")</f>
        <v>2.4619999999999997</v>
      </c>
      <c r="H30" s="9">
        <f>IFERROR($G30/$D30,"")</f>
        <v>0.41664615384615383</v>
      </c>
      <c r="I30" s="16">
        <f>IFERROR($G30/'Parámetros'!$B$8,"")</f>
        <v>8.206666666666667</v>
      </c>
      <c r="J30" s="16">
        <f>IFERROR($I30*(1+'Coste de Cobertura'!S30),"")</f>
        <v>9.027333333333335</v>
      </c>
      <c r="K30" s="16">
        <f>IFERROR($J30-$C30,"")</f>
        <v>2.5273333333333348</v>
      </c>
      <c r="L30" s="9">
        <f>IFERROR($J30/$C30-1,"")</f>
        <v>0.3888205128205131</v>
      </c>
      <c r="M30" s="17">
        <f>IFERROR(($D30*'Parámetros'!$B$8-'Escenarios de Precio'!D30)/('Coste de Cobertura'!J30*$C$8)*1000,"")</f>
        <v>54.75191475191475</v>
      </c>
      <c r="N30" s="9">
        <f>IFERROR(1-$M30/'Coste de Cobertura'!G30,"")</f>
        <v>0.3156010656010657</v>
      </c>
      <c r="O30" s="16">
        <f>IFERROR(($D30*'Parámetros'!$B$8-'Escenarios de Precio'!D30)/('Coste de Cobertura'!G30/1000),"")</f>
        <v>18.684090909090905</v>
      </c>
      <c r="P30" t="str">
        <f>IF(ISNUMBER($O30),IF($O30&gt;=MAX('Coste de Cobertura'!G$7:G$10),"Cualquiera de las cuatro, incluida la que usas",IF($O30&gt;=MIN('Coste de Cobertura'!G$7:G$10),"Sólo alguna de las más baratas: compáralas arriba","Ninguna: el gramaje o el PVP tienen que moverse")),"")</f>
        <v>Ninguna: el gramaje o el PVP tienen que moverse</v>
      </c>
      <c r="Q30" s="9">
        <f>'Escenarios de Precio'!P30</f>
        <v>0.12103729603729563</v>
      </c>
      <c r="R30" t="str">
        <f>IF(ISNUMBER($H30),IF($H30&gt;'Parámetros'!$B$10,"ROTA: por encima de tu food cost máximo",IF($H30&gt;'Parámetros'!$B$8,"Avisa: por encima del objetivo","Aguanta")),"")</f>
        <v>ROTA: por encima de tu food cost máximo</v>
      </c>
    </row>
    <row r="31" ht="26" customHeight="1">
      <c r="A31" t="inlineStr">
        <is>
          <t>TB6</t>
        </is>
      </c>
      <c r="B31" s="6" t="inlineStr">
        <is>
          <t>Tableta rellena de praliné, 100 g</t>
        </is>
      </c>
      <c r="C31" s="16">
        <f>'Coste de Cobertura'!R31</f>
        <v>7.5</v>
      </c>
      <c r="D31" s="16">
        <f>'Coste de Cobertura'!T31</f>
        <v>6.8181818181818175</v>
      </c>
      <c r="E31" s="16">
        <f>'Coste de Cobertura'!M31</f>
        <v>1.7983500000000001</v>
      </c>
      <c r="F31" s="9">
        <f>'Coste de Cobertura'!U31</f>
        <v>0.26375800000000005</v>
      </c>
      <c r="G31" s="16">
        <f>IFERROR('Escenarios de Precio'!D31+'Escenarios de Precio'!C31*$C$8,"")</f>
        <v>2.30457</v>
      </c>
      <c r="H31" s="9">
        <f>IFERROR($G31/$D31,"")</f>
        <v>0.3380036</v>
      </c>
      <c r="I31" s="16">
        <f>IFERROR($G31/'Parámetros'!$B$8,"")</f>
        <v>7.681900000000001</v>
      </c>
      <c r="J31" s="16">
        <f>IFERROR($I31*(1+'Coste de Cobertura'!S31),"")</f>
        <v>8.450090000000001</v>
      </c>
      <c r="K31" s="16">
        <f>IFERROR($J31-$C31,"")</f>
        <v>0.9500900000000012</v>
      </c>
      <c r="L31" s="9">
        <f>IFERROR($J31/$C31-1,"")</f>
        <v>0.12667866666666683</v>
      </c>
      <c r="M31" s="17">
        <f>IFERROR(($D31*'Parámetros'!$B$8-'Escenarios de Precio'!D31)/('Coste de Cobertura'!J31*$C$8)*1000,"")</f>
        <v>55.4085914085914</v>
      </c>
      <c r="N31" s="9">
        <f>IFERROR(1-$M31/'Coste de Cobertura'!G31,"")</f>
        <v>0.14624666550706633</v>
      </c>
      <c r="O31" s="16">
        <f>IFERROR(($D31*'Parámetros'!$B$8-'Escenarios de Precio'!D31)/('Coste de Cobertura'!G31/1000),"")</f>
        <v>23.30746603165709</v>
      </c>
      <c r="P31" t="str">
        <f>IF(ISNUMBER($O31),IF($O31&gt;=MAX('Coste de Cobertura'!G$7:G$10),"Cualquiera de las cuatro, incluida la que usas",IF($O31&gt;=MIN('Coste de Cobertura'!G$7:G$10),"Sólo alguna de las más baratas: compáralas arriba","Ninguna: el gramaje o el PVP tienen que moverse")),"")</f>
        <v>Sólo alguna de las más baratas: compáralas arriba</v>
      </c>
      <c r="Q31" s="9">
        <f>'Escenarios de Precio'!P31</f>
        <v>0.4080618918831549</v>
      </c>
      <c r="R31" t="str">
        <f>IF(ISNUMBER($H31),IF($H31&gt;'Parámetros'!$B$10,"ROTA: por encima de tu food cost máximo",IF($H31&gt;'Parámetros'!$B$8,"Avisa: por encima del objetivo","Aguanta")),"")</f>
        <v>Avisa: por encima del objetivo</v>
      </c>
    </row>
    <row r="32" ht="26" customHeight="1">
      <c r="A32" t="inlineStr">
        <is>
          <t>CT1</t>
        </is>
      </c>
      <c r="B32" s="6" t="inlineStr">
        <is>
          <t>Tableta de chocolate a la taza, 200 g</t>
        </is>
      </c>
      <c r="C32" s="16">
        <f>'Coste de Cobertura'!R32</f>
        <v>6.5</v>
      </c>
      <c r="D32" s="16">
        <f>'Coste de Cobertura'!T32</f>
        <v>5.909090909090908</v>
      </c>
      <c r="E32" s="16">
        <f>'Coste de Cobertura'!M32</f>
        <v>2.3393363636363635</v>
      </c>
      <c r="F32" s="9">
        <f>'Coste de Cobertura'!U32</f>
        <v>0.39588769230769233</v>
      </c>
      <c r="G32" s="16">
        <f>IFERROR('Escenarios de Precio'!D32+'Escenarios de Precio'!C32*$C$8,"")</f>
        <v>3.0671909090909084</v>
      </c>
      <c r="H32" s="9">
        <f>IFERROR($G32/$D32,"")</f>
        <v>0.5190630769230768</v>
      </c>
      <c r="I32" s="16">
        <f>IFERROR($G32/'Parámetros'!$B$8,"")</f>
        <v>10.223969696969695</v>
      </c>
      <c r="J32" s="16">
        <f>IFERROR($I32*(1+'Coste de Cobertura'!S32),"")</f>
        <v>11.246366666666665</v>
      </c>
      <c r="K32" s="16">
        <f>IFERROR($J32-$C32,"")</f>
        <v>4.746366666666665</v>
      </c>
      <c r="L32" s="9">
        <f>IFERROR($J32/$C32-1,"")</f>
        <v>0.7302102564102562</v>
      </c>
      <c r="M32" s="17">
        <f>IFERROR(($D32*'Parámetros'!$B$8-'Escenarios de Precio'!D32)/('Coste de Cobertura'!J32*$C$8)*1000,"")</f>
        <v>39.34937764074454</v>
      </c>
      <c r="N32" s="9">
        <f>IFERROR(1-$M32/'Coste de Cobertura'!G32,"")</f>
        <v>0.5081327794906932</v>
      </c>
      <c r="O32" s="16">
        <f>IFERROR(($D32*'Parámetros'!$B$8-'Escenarios de Precio'!D32)/('Coste de Cobertura'!G32/1000),"")</f>
        <v>15.662840909090905</v>
      </c>
      <c r="P32" t="str">
        <f>IF(ISNUMBER($O32),IF($O32&gt;=MAX('Coste de Cobertura'!G$7:G$10),"Cualquiera de las cuatro, incluida la que usas",IF($O32&gt;=MIN('Coste de Cobertura'!G$7:G$10),"Sólo alguna de las más baratas: compáralas arriba","Ninguna: el gramaje o el PVP tienen que moverse")),"")</f>
        <v>Ninguna: el gramaje o el PVP tienen que moverse</v>
      </c>
      <c r="Q32" s="9">
        <f>'Escenarios de Precio'!P32</f>
        <v>-0.16038169464428464</v>
      </c>
      <c r="R32" t="str">
        <f>IF(ISNUMBER($H32),IF($H32&gt;'Parámetros'!$B$10,"ROTA: por encima de tu food cost máximo",IF($H32&gt;'Parámetros'!$B$8,"Avisa: por encima del objetivo","Aguanta")),"")</f>
        <v>ROTA: por encima de tu food cost máximo</v>
      </c>
    </row>
    <row r="33" ht="26" customHeight="1">
      <c r="A33" t="inlineStr">
        <is>
          <t>CT2</t>
        </is>
      </c>
      <c r="B33" s="6" t="inlineStr">
        <is>
          <t>Caja de 6 sobres monodosis de chocolate a la taza</t>
        </is>
      </c>
      <c r="C33" s="16">
        <f>'Coste de Cobertura'!R33</f>
        <v>7.8</v>
      </c>
      <c r="D33" s="16">
        <f>'Coste de Cobertura'!T33</f>
        <v>7.09090909090909</v>
      </c>
      <c r="E33" s="16">
        <f>'Coste de Cobertura'!M33</f>
        <v>2.105372727272727</v>
      </c>
      <c r="F33" s="9">
        <f>'Coste de Cobertura'!U33</f>
        <v>0.29691153846153845</v>
      </c>
      <c r="G33" s="16">
        <f>IFERROR('Escenarios de Precio'!D33+'Escenarios de Precio'!C33*$C$8,"")</f>
        <v>2.7604418181818176</v>
      </c>
      <c r="H33" s="9">
        <f>IFERROR($G33/$D33,"")</f>
        <v>0.3892930769230769</v>
      </c>
      <c r="I33" s="16">
        <f>IFERROR($G33/'Parámetros'!$B$8,"")</f>
        <v>9.201472727272726</v>
      </c>
      <c r="J33" s="16">
        <f>IFERROR($I33*(1+'Coste de Cobertura'!S33),"")</f>
        <v>10.12162</v>
      </c>
      <c r="K33" s="16">
        <f>IFERROR($J33-$C33,"")</f>
        <v>2.3216200000000002</v>
      </c>
      <c r="L33" s="9">
        <f>IFERROR($J33/$C33-1,"")</f>
        <v>0.29764358974358984</v>
      </c>
      <c r="M33" s="17">
        <f>IFERROR(($D33*'Parámetros'!$B$8-'Escenarios de Precio'!D33)/('Coste de Cobertura'!J33*$C$8)*1000,"")</f>
        <v>52.11630695443645</v>
      </c>
      <c r="N33" s="9">
        <f>IFERROR(1-$M33/'Coste de Cobertura'!G33,"")</f>
        <v>0.27616240341060483</v>
      </c>
      <c r="O33" s="16">
        <f>IFERROR(($D33*'Parámetros'!$B$8-'Escenarios de Precio'!D33)/('Coste de Cobertura'!G33/1000),"")</f>
        <v>23.04962121212121</v>
      </c>
      <c r="P33" t="str">
        <f>IF(ISNUMBER($O33),IF($O33&gt;=MAX('Coste de Cobertura'!G$7:G$10),"Cualquiera de las cuatro, incluida la que usas",IF($O33&gt;=MIN('Coste de Cobertura'!G$7:G$10),"Sólo alguna de las más baratas: compáralas arriba","Ninguna: el gramaje o el PVP tienen que moverse")),"")</f>
        <v>Sólo alguna de las más baratas: compáralas arriba</v>
      </c>
      <c r="Q33" s="9">
        <f>'Escenarios de Precio'!P33</f>
        <v>0.21471156408206782</v>
      </c>
      <c r="R33" t="str">
        <f>IF(ISNUMBER($H33),IF($H33&gt;'Parámetros'!$B$10,"ROTA: por encima de tu food cost máximo",IF($H33&gt;'Parámetros'!$B$8,"Avisa: por encima del objetivo","Aguanta")),"")</f>
        <v>ROTA: por encima de tu food cost máximo</v>
      </c>
    </row>
    <row r="34" ht="26" customHeight="1">
      <c r="A34" t="inlineStr">
        <is>
          <t>CT3</t>
        </is>
      </c>
      <c r="B34" s="6" t="inlineStr">
        <is>
          <t>Chocolate a la taza servido en sala, 200 ml</t>
        </is>
      </c>
      <c r="C34" s="16">
        <f>'Coste de Cobertura'!R34</f>
        <v>3.2</v>
      </c>
      <c r="D34" s="16">
        <f>'Coste de Cobertura'!T34</f>
        <v>2.909090909090909</v>
      </c>
      <c r="E34" s="16">
        <f>'Coste de Cobertura'!M34</f>
        <v>0.5263181818181817</v>
      </c>
      <c r="F34" s="9">
        <f>'Coste de Cobertura'!U34</f>
        <v>0.18092187499999995</v>
      </c>
      <c r="G34" s="16">
        <f>IFERROR('Escenarios de Precio'!D34+'Escenarios de Precio'!C34*$C$8,"")</f>
        <v>0.6900854545454544</v>
      </c>
      <c r="H34" s="9">
        <f>IFERROR($G34/$D34,"")</f>
        <v>0.23721687499999997</v>
      </c>
      <c r="I34" s="16">
        <f>IFERROR($G34/'Parámetros'!$B$8,"")</f>
        <v>2.300284848484848</v>
      </c>
      <c r="J34" s="16">
        <f>IFERROR($I34*(1+'Coste de Cobertura'!S34),"")</f>
        <v>2.530313333333333</v>
      </c>
      <c r="K34" s="16">
        <f>IFERROR($J34-$C34,"")</f>
        <v>-0.6696866666666672</v>
      </c>
      <c r="L34" s="9">
        <f>IFERROR($J34/$C34-1,"")</f>
        <v>-0.2092770833333335</v>
      </c>
      <c r="M34" s="17">
        <f>IFERROR(($D34*'Parámetros'!$B$8-'Escenarios de Precio'!D34)/('Coste de Cobertura'!J34*$C$8)*1000,"")</f>
        <v>23.735582962201672</v>
      </c>
      <c r="N34" s="9">
        <f>IFERROR(1-$M34/'Coste de Cobertura'!G34,"")</f>
        <v>-0.31864349790009294</v>
      </c>
      <c r="O34" s="16">
        <f>IFERROR(($D34*'Parámetros'!$B$8-'Escenarios de Precio'!D34)/('Coste de Cobertura'!G34/1000),"")</f>
        <v>41.990404040404044</v>
      </c>
      <c r="P34" t="str">
        <f>IF(ISNUMBER($O34),IF($O34&gt;=MAX('Coste de Cobertura'!G$7:G$10),"Cualquiera de las cuatro, incluida la que usas",IF($O34&gt;=MIN('Coste de Cobertura'!G$7:G$10),"Sólo alguna de las más baratas: compáralas arriba","Ninguna: el gramaje o el PVP tienen que moverse")),"")</f>
        <v>Cualquiera de las cuatro, incluida la que usas</v>
      </c>
      <c r="Q34" s="9">
        <f>'Escenarios de Precio'!P34</f>
        <v>1.0521582733812953</v>
      </c>
      <c r="R34" t="str">
        <f>IF(ISNUMBER($H34),IF($H34&gt;'Parámetros'!$B$10,"ROTA: por encima de tu food cost máximo",IF($H34&gt;'Parámetros'!$B$8,"Avisa: por encima del objetivo","Aguanta")),"")</f>
        <v>Aguanta</v>
      </c>
    </row>
    <row r="35" ht="26" customHeight="1">
      <c r="A35" t="inlineStr">
        <is>
          <t>TF1</t>
        </is>
      </c>
      <c r="B35" s="6" t="inlineStr">
        <is>
          <t>Huevo de Pascua de chocolate con leche, 250 g</t>
        </is>
      </c>
      <c r="C35" s="16">
        <f>'Coste de Cobertura'!R35</f>
        <v>18.5</v>
      </c>
      <c r="D35" s="16">
        <f>'Coste de Cobertura'!T35</f>
        <v>16.818181818181817</v>
      </c>
      <c r="E35" s="16">
        <f>'Coste de Cobertura'!M35</f>
        <v>4.875</v>
      </c>
      <c r="F35" s="9">
        <f>'Coste de Cobertura'!U35</f>
        <v>0.2898648648648649</v>
      </c>
      <c r="G35" s="16">
        <f>IFERROR('Escenarios de Precio'!D35+'Escenarios de Precio'!C35*$C$8,"")</f>
        <v>6.824999999999999</v>
      </c>
      <c r="H35" s="9">
        <f>IFERROR($G35/$D35,"")</f>
        <v>0.40581081081081083</v>
      </c>
      <c r="I35" s="16">
        <f>IFERROR($G35/'Parámetros'!$B$8,"")</f>
        <v>22.75</v>
      </c>
      <c r="J35" s="16">
        <f>IFERROR($I35*(1+'Coste de Cobertura'!S35),"")</f>
        <v>25.025000000000002</v>
      </c>
      <c r="K35" s="16">
        <f>IFERROR($J35-$C35,"")</f>
        <v>6.525000000000002</v>
      </c>
      <c r="L35" s="9">
        <f>IFERROR($J35/$C35-1,"")</f>
        <v>0.35270270270270276</v>
      </c>
      <c r="M35" s="17">
        <f>IFERROR(($D35*'Parámetros'!$B$8-'Escenarios de Precio'!D35)/('Coste de Cobertura'!J35*$C$8)*1000,"")</f>
        <v>184.81518481518484</v>
      </c>
      <c r="N35" s="9">
        <f>IFERROR(1-$M35/'Coste de Cobertura'!G35,"")</f>
        <v>0.2607392607392607</v>
      </c>
      <c r="O35" s="16">
        <f>IFERROR(($D35*'Parámetros'!$B$8-'Escenarios de Precio'!D35)/('Coste de Cobertura'!G35/1000),"")</f>
        <v>20.18181818181818</v>
      </c>
      <c r="P35" t="str">
        <f>IF(ISNUMBER($O35),IF($O35&gt;=MAX('Coste de Cobertura'!G$7:G$10),"Cualquiera de las cuatro, incluida la que usas",IF($O35&gt;=MIN('Coste de Cobertura'!G$7:G$10),"Sólo alguna de las más baratas: compáralas arriba","Ninguna: el gramaje o el PVP tienen que moverse")),"")</f>
        <v>Sólo alguna de las más baratas: compáralas arriba</v>
      </c>
      <c r="Q35" s="9">
        <f>'Escenarios de Precio'!P35</f>
        <v>0.1833100233100231</v>
      </c>
      <c r="R35" t="str">
        <f>IF(ISNUMBER($H35),IF($H35&gt;'Parámetros'!$B$10,"ROTA: por encima de tu food cost máximo",IF($H35&gt;'Parámetros'!$B$8,"Avisa: por encima del objetivo","Aguanta")),"")</f>
        <v>ROTA: por encima de tu food cost máximo</v>
      </c>
    </row>
    <row r="36" ht="26" customHeight="1">
      <c r="A36" t="inlineStr">
        <is>
          <t>TF2</t>
        </is>
      </c>
      <c r="B36" s="6" t="inlineStr">
        <is>
          <t>Mona de Pascua de chocolate, 400 g</t>
        </is>
      </c>
      <c r="C36" s="16">
        <f>'Coste de Cobertura'!R36</f>
        <v>26.0</v>
      </c>
      <c r="D36" s="16">
        <f>'Coste de Cobertura'!T36</f>
        <v>23.636363636363633</v>
      </c>
      <c r="E36" s="16">
        <f>'Coste de Cobertura'!M36</f>
        <v>7.658</v>
      </c>
      <c r="F36" s="9">
        <f>'Coste de Cobertura'!U36</f>
        <v>0.32399230769230775</v>
      </c>
      <c r="G36" s="16">
        <f>IFERROR('Escenarios de Precio'!D36+'Escenarios de Precio'!C36*$C$8,"")</f>
        <v>10.621999999999998</v>
      </c>
      <c r="H36" s="9">
        <f>IFERROR($G36/$D36,"")</f>
        <v>0.44939230769230765</v>
      </c>
      <c r="I36" s="16">
        <f>IFERROR($G36/'Parámetros'!$B$8,"")</f>
        <v>35.40666666666666</v>
      </c>
      <c r="J36" s="16">
        <f>IFERROR($I36*(1+'Coste de Cobertura'!S36),"")</f>
        <v>38.947333333333326</v>
      </c>
      <c r="K36" s="16">
        <f>IFERROR($J36-$C36,"")</f>
        <v>12.947333333333326</v>
      </c>
      <c r="L36" s="9">
        <f>IFERROR($J36/$C36-1,"")</f>
        <v>0.4979743589743586</v>
      </c>
      <c r="M36" s="17">
        <f>IFERROR(($D36*'Parámetros'!$B$8-'Escenarios de Precio'!D36)/('Coste de Cobertura'!J36*$C$8)*1000,"")</f>
        <v>250.6560106560106</v>
      </c>
      <c r="N36" s="9">
        <f>IFERROR(1-$M36/'Coste de Cobertura'!G36,"")</f>
        <v>0.34037891932628783</v>
      </c>
      <c r="O36" s="16">
        <f>IFERROR(($D36*'Parámetros'!$B$8-'Escenarios de Precio'!D36)/('Coste de Cobertura'!G36/1000),"")</f>
        <v>18.007655502392343</v>
      </c>
      <c r="P36" t="str">
        <f>IF(ISNUMBER($O36),IF($O36&gt;=MAX('Coste de Cobertura'!G$7:G$10),"Cualquiera de las cuatro, incluida la que usas",IF($O36&gt;=MIN('Coste de Cobertura'!G$7:G$10),"Sólo alguna de las más baratas: compáralas arriba","Ninguna: el gramaje o el PVP tienen que moverse")),"")</f>
        <v>Ninguna: el gramaje o el PVP tienen que moverse</v>
      </c>
      <c r="Q36" s="9">
        <f>'Escenarios de Precio'!P36</f>
        <v>0.060630597472702386</v>
      </c>
      <c r="R36" t="str">
        <f>IF(ISNUMBER($H36),IF($H36&gt;'Parámetros'!$B$10,"ROTA: por encima de tu food cost máximo",IF($H36&gt;'Parámetros'!$B$8,"Avisa: por encima del objetivo","Aguanta")),"")</f>
        <v>ROTA: por encima de tu food cost máximo</v>
      </c>
    </row>
    <row r="37" ht="26" customHeight="1">
      <c r="A37" t="inlineStr">
        <is>
          <t>TF3</t>
        </is>
      </c>
      <c r="B37" s="6" t="inlineStr">
        <is>
          <t>Hueso de santo bañado en chocolate</t>
        </is>
      </c>
      <c r="C37" s="16">
        <f>'Coste de Cobertura'!R37</f>
        <v>1.6</v>
      </c>
      <c r="D37" s="16">
        <f>'Coste de Cobertura'!T37</f>
        <v>1.4545454545454546</v>
      </c>
      <c r="E37" s="16">
        <f>'Coste de Cobertura'!M37</f>
        <v>0.25910909090909084</v>
      </c>
      <c r="F37" s="9">
        <f>'Coste de Cobertura'!U37</f>
        <v>0.17813749999999995</v>
      </c>
      <c r="G37" s="16">
        <f>IFERROR('Escenarios de Precio'!D37+'Escenarios de Precio'!C37*$C$8,"")</f>
        <v>0.3409927272727272</v>
      </c>
      <c r="H37" s="9">
        <f>IFERROR($G37/$D37,"")</f>
        <v>0.23443249999999996</v>
      </c>
      <c r="I37" s="16">
        <f>IFERROR($G37/'Parámetros'!$B$8,"")</f>
        <v>1.1366424242424242</v>
      </c>
      <c r="J37" s="16">
        <f>IFERROR($I37*(1+'Coste de Cobertura'!S37),"")</f>
        <v>1.2503066666666667</v>
      </c>
      <c r="K37" s="16">
        <f>IFERROR($J37-$C37,"")</f>
        <v>-0.3496933333333334</v>
      </c>
      <c r="L37" s="9">
        <f>IFERROR($J37/$C37-1,"")</f>
        <v>-0.2185583333333334</v>
      </c>
      <c r="M37" s="17">
        <f>IFERROR(($D37*'Parámetros'!$B$8-'Escenarios de Precio'!D37)/('Coste de Cobertura'!J37*$C$8)*1000,"")</f>
        <v>11.99497544821286</v>
      </c>
      <c r="N37" s="9">
        <f>IFERROR(1-$M37/'Coste de Cobertura'!G37,"")</f>
        <v>-0.332775049801429</v>
      </c>
      <c r="O37" s="16">
        <f>IFERROR(($D37*'Parámetros'!$B$8-'Escenarios de Precio'!D37)/('Coste de Cobertura'!G37/1000),"")</f>
        <v>42.44040404040404</v>
      </c>
      <c r="P37" t="str">
        <f>IF(ISNUMBER($O37),IF($O37&gt;=MAX('Coste de Cobertura'!G$7:G$10),"Cualquiera de las cuatro, incluida la que usas",IF($O37&gt;=MIN('Coste de Cobertura'!G$7:G$10),"Sólo alguna de las más baratas: compáralas arriba","Ninguna: el gramaje o el PVP tienen que moverse")),"")</f>
        <v>Cualquiera de las cuatro, incluida la que usas</v>
      </c>
      <c r="Q37" s="9">
        <f>'Escenarios de Precio'!P37</f>
        <v>1.0719424460431655</v>
      </c>
      <c r="R37" t="str">
        <f>IF(ISNUMBER($H37),IF($H37&gt;'Parámetros'!$B$10,"ROTA: por encima de tu food cost máximo",IF($H37&gt;'Parámetros'!$B$8,"Avisa: por encima del objetivo","Aguanta")),"")</f>
        <v>Aguanta</v>
      </c>
    </row>
    <row r="38" ht="26" customHeight="1">
      <c r="A38" t="inlineStr">
        <is>
          <t>TF4</t>
        </is>
      </c>
      <c r="B38" s="6" t="inlineStr">
        <is>
          <t>Turrón de chocolate con almendra, 250 g</t>
        </is>
      </c>
      <c r="C38" s="16">
        <f>'Coste de Cobertura'!R38</f>
        <v>13.5</v>
      </c>
      <c r="D38" s="16">
        <f>'Coste de Cobertura'!T38</f>
        <v>12.272727272727272</v>
      </c>
      <c r="E38" s="16">
        <f>'Coste de Cobertura'!M38</f>
        <v>4.8380363636363635</v>
      </c>
      <c r="F38" s="9">
        <f>'Coste de Cobertura'!U38</f>
        <v>0.3942103703703704</v>
      </c>
      <c r="G38" s="16">
        <f>IFERROR('Escenarios de Precio'!D38+'Escenarios de Precio'!C38*$C$8,"")</f>
        <v>6.366530909090908</v>
      </c>
      <c r="H38" s="9">
        <f>IFERROR($G38/$D38,"")</f>
        <v>0.5187543703703703</v>
      </c>
      <c r="I38" s="16">
        <f>IFERROR($G38/'Parámetros'!$B$8,"")</f>
        <v>21.221769696969695</v>
      </c>
      <c r="J38" s="16">
        <f>IFERROR($I38*(1+'Coste de Cobertura'!S38),"")</f>
        <v>23.343946666666668</v>
      </c>
      <c r="K38" s="16">
        <f>IFERROR($J38-$C38,"")</f>
        <v>9.843946666666668</v>
      </c>
      <c r="L38" s="9">
        <f>IFERROR($J38/$C38-1,"")</f>
        <v>0.7291812345679014</v>
      </c>
      <c r="M38" s="17">
        <f>IFERROR(($D38*'Parámetros'!$B$8-'Escenarios de Precio'!D38)/('Coste de Cobertura'!J38*$C$8)*1000,"")</f>
        <v>83.69076167637319</v>
      </c>
      <c r="N38" s="9">
        <f>IFERROR(1-$M38/'Coste de Cobertura'!G38,"")</f>
        <v>0.5018407043073025</v>
      </c>
      <c r="O38" s="16">
        <f>IFERROR(($D38*'Parámetros'!$B$8-'Escenarios de Precio'!D38)/('Coste de Cobertura'!G38/1000),"")</f>
        <v>15.863203463203458</v>
      </c>
      <c r="P38" t="str">
        <f>IF(ISNUMBER($O38),IF($O38&gt;=MAX('Coste de Cobertura'!G$7:G$10),"Cualquiera de las cuatro, incluida la que usas",IF($O38&gt;=MIN('Coste de Cobertura'!G$7:G$10),"Sólo alguna de las más baratas: compáralas arriba","Ninguna: el gramaje o el PVP tienen que moverse")),"")</f>
        <v>Ninguna: el gramaje o el PVP tienen que moverse</v>
      </c>
      <c r="Q38" s="9">
        <f>'Escenarios de Precio'!P38</f>
        <v>-0.1644731833580756</v>
      </c>
      <c r="R38" t="str">
        <f>IF(ISNUMBER($H38),IF($H38&gt;'Parámetros'!$B$10,"ROTA: por encima de tu food cost máximo",IF($H38&gt;'Parámetros'!$B$8,"Avisa: por encima del objetivo","Aguanta")),"")</f>
        <v>ROTA: por encima de tu food cost máximo</v>
      </c>
    </row>
    <row r="39" ht="26" customHeight="1">
      <c r="A39" t="inlineStr">
        <is>
          <t>TF5</t>
        </is>
      </c>
      <c r="B39" s="6" t="inlineStr">
        <is>
          <t>Almendras marcona bañadas en chocolate, bolsa de 150 g</t>
        </is>
      </c>
      <c r="C39" s="16">
        <f>'Coste de Cobertura'!R39</f>
        <v>7.4</v>
      </c>
      <c r="D39" s="16">
        <f>'Coste de Cobertura'!T39</f>
        <v>6.727272727272727</v>
      </c>
      <c r="E39" s="16">
        <f>'Coste de Cobertura'!M39</f>
        <v>2.7704</v>
      </c>
      <c r="F39" s="9">
        <f>'Coste de Cobertura'!U39</f>
        <v>0.4118162162162162</v>
      </c>
      <c r="G39" s="16">
        <f>IFERROR('Escenarios de Precio'!D39+'Escenarios de Precio'!C39*$C$8,"")</f>
        <v>3.5710399999999995</v>
      </c>
      <c r="H39" s="9">
        <f>IFERROR($G39/$D39,"")</f>
        <v>0.5308302702702703</v>
      </c>
      <c r="I39" s="16">
        <f>IFERROR($G39/'Parámetros'!$B$8,"")</f>
        <v>11.903466666666665</v>
      </c>
      <c r="J39" s="16">
        <f>IFERROR($I39*(1+'Coste de Cobertura'!S39),"")</f>
        <v>13.093813333333332</v>
      </c>
      <c r="K39" s="16">
        <f>IFERROR($J39-$C39,"")</f>
        <v>5.693813333333331</v>
      </c>
      <c r="L39" s="9">
        <f>IFERROR($J39/$C39-1,"")</f>
        <v>0.769434234234234</v>
      </c>
      <c r="M39" s="17">
        <f>IFERROR(($D39*'Parámetros'!$B$8-'Escenarios de Precio'!D39)/('Coste de Cobertura'!J39*$C$8)*1000,"")</f>
        <v>39.23489779604888</v>
      </c>
      <c r="N39" s="9">
        <f>IFERROR(1-$M39/'Coste de Cobertura'!G39,"")</f>
        <v>0.5541488886812628</v>
      </c>
      <c r="O39" s="16">
        <f>IFERROR(($D39*'Parámetros'!$B$8-'Escenarios de Precio'!D39)/('Coste de Cobertura'!G39/1000),"")</f>
        <v>14.197520661157023</v>
      </c>
      <c r="P39" t="str">
        <f>IF(ISNUMBER($O39),IF($O39&gt;=MAX('Coste de Cobertura'!G$7:G$10),"Cualquiera de las cuatro, incluida la que usas",IF($O39&gt;=MIN('Coste de Cobertura'!G$7:G$10),"Sólo alguna de las más baratas: compáralas arriba","Ninguna: el gramaje o el PVP tienen que moverse")),"")</f>
        <v>Ninguna: el gramaje o el PVP tienen que moverse</v>
      </c>
      <c r="Q39" s="9">
        <f>'Escenarios de Precio'!P39</f>
        <v>-0.2312876971150355</v>
      </c>
      <c r="R39" t="str">
        <f>IF(ISNUMBER($H39),IF($H39&gt;'Parámetros'!$B$10,"ROTA: por encima de tu food cost máximo",IF($H39&gt;'Parámetros'!$B$8,"Avisa: por encima del objetivo","Aguanta")),"")</f>
        <v>ROTA: por encima de tu food cost máximo</v>
      </c>
    </row>
    <row r="40" ht="26" customHeight="1">
      <c r="A40" t="inlineStr">
        <is>
          <t>CJ1</t>
        </is>
      </c>
      <c r="B40" s="6" t="inlineStr">
        <is>
          <t>Caja surtida de 12 bombones</t>
        </is>
      </c>
      <c r="C40" s="16">
        <f>'Coste de Cobertura'!R40</f>
        <v>20.0</v>
      </c>
      <c r="D40" s="16">
        <f>'Coste de Cobertura'!T40</f>
        <v>18.18181818181818</v>
      </c>
      <c r="E40" s="16">
        <f>'Coste de Cobertura'!M40</f>
        <v>2.3232549999999996</v>
      </c>
      <c r="F40" s="9">
        <f>'Coste de Cobertura'!U40</f>
        <v>0.127779025</v>
      </c>
      <c r="G40" s="16">
        <f>IFERROR('Escenarios de Precio'!D40+'Escenarios de Precio'!C40*$C$8,"")</f>
        <v>3.0462369999999996</v>
      </c>
      <c r="H40" s="9">
        <f>IFERROR($G40/$D40,"")</f>
        <v>0.167543035</v>
      </c>
      <c r="I40" s="16">
        <f>IFERROR($G40/'Parámetros'!$B$8,"")</f>
        <v>10.154123333333333</v>
      </c>
      <c r="J40" s="16">
        <f>IFERROR($I40*(1+'Coste de Cobertura'!S40),"")</f>
        <v>11.169535666666667</v>
      </c>
      <c r="K40" s="16">
        <f>IFERROR($J40-$C40,"")</f>
        <v>-8.830464333333333</v>
      </c>
      <c r="L40" s="9">
        <f>IFERROR($J40/$C40-1,"")</f>
        <v>-0.4415232166666667</v>
      </c>
      <c r="M40" s="17">
        <f>IFERROR(($D40*'Parámetros'!$B$8-'Escenarios de Precio'!D40)/('Coste de Cobertura'!J40*$C$8)*1000,"")</f>
        <v>180.9064269064269</v>
      </c>
      <c r="N40" s="9">
        <f>IFERROR(1-$M40/'Coste de Cobertura'!G40,"")</f>
        <v>-0.9517361841237124</v>
      </c>
      <c r="O40" s="16">
        <f>IFERROR(($D40*'Parámetros'!$B$8-'Escenarios de Precio'!D40)/('Coste de Cobertura'!G40/1000),"")</f>
        <v>53.28239782657735</v>
      </c>
      <c r="P40" t="str">
        <f>IF(ISNUMBER($O40),IF($O40&gt;=MAX('Coste de Cobertura'!G$7:G$10),"Cualquiera de las cuatro, incluida la que usas",IF($O40&gt;=MIN('Coste de Cobertura'!G$7:G$10),"Sólo alguna de las más baratas: compáralas arriba","Ninguna: el gramaje o el PVP tienen que moverse")),"")</f>
        <v>Cualquiera de las cuatro, incluida la que usas</v>
      </c>
      <c r="Q40" s="9">
        <f>'Escenarios de Precio'!P40</f>
        <v>2.217794181220656</v>
      </c>
      <c r="R40" t="str">
        <f>IF(ISNUMBER($H40),IF($H40&gt;'Parámetros'!$B$10,"ROTA: por encima de tu food cost máximo",IF($H40&gt;'Parámetros'!$B$8,"Avisa: por encima del objetivo","Aguanta")),"")</f>
        <v>Aguanta</v>
      </c>
    </row>
    <row r="41" ht="26" customHeight="1">
      <c r="A41" t="inlineStr">
        <is>
          <t>CJ2</t>
        </is>
      </c>
      <c r="B41" s="6" t="inlineStr">
        <is>
          <t>Caja surtida de 20 bombones</t>
        </is>
      </c>
      <c r="C41" s="16">
        <f>'Coste de Cobertura'!R41</f>
        <v>28.0</v>
      </c>
      <c r="D41" s="16">
        <f>'Coste de Cobertura'!T41</f>
        <v>25.454545454545453</v>
      </c>
      <c r="E41" s="16">
        <f>'Coste de Cobertura'!M41</f>
        <v>4.002805</v>
      </c>
      <c r="F41" s="9">
        <f>'Coste de Cobertura'!U41</f>
        <v>0.1572530535714286</v>
      </c>
      <c r="G41" s="16">
        <f>IFERROR('Escenarios de Precio'!D41+'Escenarios de Precio'!C41*$C$8,"")</f>
        <v>5.227327000000001</v>
      </c>
      <c r="H41" s="9">
        <f>IFERROR($G41/$D41,"")</f>
        <v>0.20535927500000004</v>
      </c>
      <c r="I41" s="16">
        <f>IFERROR($G41/'Parámetros'!$B$8,"")</f>
        <v>17.424423333333337</v>
      </c>
      <c r="J41" s="16">
        <f>IFERROR($I41*(1+'Coste de Cobertura'!S41),"")</f>
        <v>19.166865666666673</v>
      </c>
      <c r="K41" s="16">
        <f>IFERROR($J41-$C41,"")</f>
        <v>-8.833134333333327</v>
      </c>
      <c r="L41" s="9">
        <f>IFERROR($J41/$C41-1,"")</f>
        <v>-0.3154690833333331</v>
      </c>
      <c r="M41" s="17">
        <f>IFERROR(($D41*'Parámetros'!$B$8-'Escenarios de Precio'!D41)/('Coste de Cobertura'!J41*$C$8)*1000,"")</f>
        <v>245.2331002331002</v>
      </c>
      <c r="N41" s="9">
        <f>IFERROR(1-$M41/'Coste de Cobertura'!G41,"")</f>
        <v>-0.5620937654188176</v>
      </c>
      <c r="O41" s="16">
        <f>IFERROR(($D41*'Parámetros'!$B$8-'Escenarios de Precio'!D41)/('Coste de Cobertura'!G41/1000),"")</f>
        <v>42.64515979593372</v>
      </c>
      <c r="P41" t="str">
        <f>IF(ISNUMBER($O41),IF($O41&gt;=MAX('Coste de Cobertura'!G$7:G$10),"Cualquiera de las cuatro, incluida la que usas",IF($O41&gt;=MIN('Coste de Cobertura'!G$7:G$10),"Sólo alguna de las más baratas: compáralas arriba","Ninguna: el gramaje o el PVP tienen que moverse")),"")</f>
        <v>Cualquiera de las cuatro, incluida la que usas</v>
      </c>
      <c r="Q41" s="9">
        <f>'Escenarios de Precio'!P41</f>
        <v>1.5881267807505144</v>
      </c>
      <c r="R41" t="str">
        <f>IF(ISNUMBER($H41),IF($H41&gt;'Parámetros'!$B$10,"ROTA: por encima de tu food cost máximo",IF($H41&gt;'Parámetros'!$B$8,"Avisa: por encima del objetivo","Aguanta")),"")</f>
        <v>Aguanta</v>
      </c>
    </row>
    <row r="42" ht="26" customHeight="1">
      <c r="A42" t="inlineStr">
        <is>
          <t>CJ3</t>
        </is>
      </c>
      <c r="B42" s="6" t="inlineStr">
        <is>
          <t>Caja surtida de 35 bombones</t>
        </is>
      </c>
      <c r="C42" s="16">
        <f>'Coste de Cobertura'!R42</f>
        <v>45.0</v>
      </c>
      <c r="D42" s="16">
        <f>'Coste de Cobertura'!T42</f>
        <v>40.90909090909091</v>
      </c>
      <c r="E42" s="16">
        <f>'Coste de Cobertura'!M42</f>
        <v>6.909949999999999</v>
      </c>
      <c r="F42" s="9">
        <f>'Coste de Cobertura'!U42</f>
        <v>0.1689098888888889</v>
      </c>
      <c r="G42" s="16">
        <f>IFERROR('Escenarios de Precio'!D42+'Escenarios de Precio'!C42*$C$8,"")</f>
        <v>9.018289999999999</v>
      </c>
      <c r="H42" s="9">
        <f>IFERROR($G42/$D42,"")</f>
        <v>0.22044708888888886</v>
      </c>
      <c r="I42" s="16">
        <f>IFERROR($G42/'Parámetros'!$B$8,"")</f>
        <v>30.060966666666662</v>
      </c>
      <c r="J42" s="16">
        <f>IFERROR($I42*(1+'Coste de Cobertura'!S42),"")</f>
        <v>33.06706333333333</v>
      </c>
      <c r="K42" s="16">
        <f>IFERROR($J42-$C42,"")</f>
        <v>-11.93293666666667</v>
      </c>
      <c r="L42" s="9">
        <f>IFERROR($J42/$C42-1,"")</f>
        <v>-0.26517637037037045</v>
      </c>
      <c r="M42" s="17">
        <f>IFERROR(($D42*'Parámetros'!$B$8-'Escenarios de Precio'!D42)/('Coste de Cobertura'!J42*$C$8)*1000,"")</f>
        <v>389.5101565101565</v>
      </c>
      <c r="N42" s="9">
        <f>IFERROR(1-$M42/'Coste de Cobertura'!G42,"")</f>
        <v>-0.4410290658903311</v>
      </c>
      <c r="O42" s="16">
        <f>IFERROR(($D42*'Parámetros'!$B$8-'Escenarios de Precio'!D42)/('Coste de Cobertura'!G42/1000),"")</f>
        <v>39.340093498806034</v>
      </c>
      <c r="P42" t="str">
        <f>IF(ISNUMBER($O42),IF($O42&gt;=MAX('Coste de Cobertura'!G$7:G$10),"Cualquiera de las cuatro, incluida la que usas",IF($O42&gt;=MIN('Coste de Cobertura'!G$7:G$10),"Sólo alguna de las más baratas: compáralas arriba","Ninguna: el gramaje o el PVP tienen que moverse")),"")</f>
        <v>Cualquiera de las cuatro, incluida la que usas</v>
      </c>
      <c r="Q42" s="9">
        <f>'Escenarios de Precio'!P42</f>
        <v>1.391927470728802</v>
      </c>
      <c r="R42" t="str">
        <f>IF(ISNUMBER($H42),IF($H42&gt;'Parámetros'!$B$10,"ROTA: por encima de tu food cost máximo",IF($H42&gt;'Parámetros'!$B$8,"Avisa: por encima del objetivo","Aguanta")),"")</f>
        <v>Aguanta</v>
      </c>
    </row>
    <row r="43" ht="26" customHeight="1">
      <c r="A43" t="inlineStr">
        <is>
          <t>CJ4</t>
        </is>
      </c>
      <c r="B43" s="6" t="inlineStr">
        <is>
          <t>Estuche corporativo personalizado de 24 bombones</t>
        </is>
      </c>
      <c r="C43" s="16">
        <f>'Coste de Cobertura'!R43</f>
        <v>34.0</v>
      </c>
      <c r="D43" s="16">
        <f>'Coste de Cobertura'!T43</f>
        <v>30.909090909090907</v>
      </c>
      <c r="E43" s="16">
        <f>'Coste de Cobertura'!M43</f>
        <v>4.726425</v>
      </c>
      <c r="F43" s="9">
        <f>'Coste de Cobertura'!U43</f>
        <v>0.15291375000000001</v>
      </c>
      <c r="G43" s="16">
        <f>IFERROR('Escenarios de Precio'!D43+'Escenarios de Precio'!C43*$C$8,"")</f>
        <v>6.164354999999999</v>
      </c>
      <c r="H43" s="9">
        <f>IFERROR($G43/$D43,"")</f>
        <v>0.19943501470588232</v>
      </c>
      <c r="I43" s="16">
        <f>IFERROR($G43/'Parámetros'!$B$8,"")</f>
        <v>20.547849999999997</v>
      </c>
      <c r="J43" s="16">
        <f>IFERROR($I43*(1+'Coste de Cobertura'!S43),"")</f>
        <v>22.602635</v>
      </c>
      <c r="K43" s="16">
        <f>IFERROR($J43-$C43,"")</f>
        <v>-11.397365</v>
      </c>
      <c r="L43" s="9">
        <f>IFERROR($J43/$C43-1,"")</f>
        <v>-0.3352166176470588</v>
      </c>
      <c r="M43" s="17">
        <f>IFERROR(($D43*'Parámetros'!$B$8-'Escenarios de Precio'!D43)/('Coste de Cobertura'!J43*$C$8)*1000,"")</f>
        <v>298.2097902097902</v>
      </c>
      <c r="N43" s="9">
        <f>IFERROR(1-$M43/'Coste de Cobertura'!G43,"")</f>
        <v>-0.617628371086467</v>
      </c>
      <c r="O43" s="16">
        <f>IFERROR(($D43*'Parámetros'!$B$8-'Escenarios de Precio'!D43)/('Coste de Cobertura'!G43/1000),"")</f>
        <v>44.16125453066054</v>
      </c>
      <c r="P43" t="str">
        <f>IF(ISNUMBER($O43),IF($O43&gt;=MAX('Coste de Cobertura'!G$7:G$10),"Cualquiera de las cuatro, incluida la que usas",IF($O43&gt;=MIN('Coste de Cobertura'!G$7:G$10),"Sólo alguna de las más baratas: compáralas arriba","Ninguna: el gramaje o el PVP tienen que moverse")),"")</f>
        <v>Cualquiera de las cuatro, incluida la que usas</v>
      </c>
      <c r="Q43" s="9">
        <f>'Escenarios de Precio'!P43</f>
        <v>1.6795437633517367</v>
      </c>
      <c r="R43" t="str">
        <f>IF(ISNUMBER($H43),IF($H43&gt;'Parámetros'!$B$10,"ROTA: por encima de tu food cost máximo",IF($H43&gt;'Parámetros'!$B$8,"Avisa: por encima del objetivo","Aguanta")),"")</f>
        <v>Aguanta</v>
      </c>
    </row>
    <row r="44"/>
    <row r="45">
      <c r="A45" s="3" t="inlineStr">
        <is>
          <t>La Referencia que Primero se Rompe</t>
        </is>
      </c>
    </row>
    <row r="46">
      <c r="A46" s="4" t="inlineStr">
        <is>
          <t>Referencia</t>
        </is>
      </c>
      <c r="C46" t="str">
        <f>IFERROR(INDEX($B$16:$B$43,MATCH(MIN($Q$16:$Q$43),$Q$16:$Q$43,0)),"")</f>
        <v>Tableta de chocolate negro de origen 70 %, 100 g</v>
      </c>
      <c r="I46" s="2" t="inlineStr">
        <is>
          <t>Es la que menos subida aguanta antes de pasar de tu food cost máximo. No es la más cara ni la que más vendes: es la que peor reparte el precio del cacao.</t>
        </is>
      </c>
    </row>
    <row r="47">
      <c r="A47" s="4" t="inlineStr">
        <is>
          <t>Subida que la rompe</t>
        </is>
      </c>
      <c r="C47" s="9">
        <f>IFERROR(MIN($Q$16:$Q$43),"")</f>
        <v>-0.2856189967982924</v>
      </c>
      <c r="I47" s="23" t="str">
        <f>IF(ISNUMBER($C47),IF($C47&lt;0,"En NEGATIVO: esa referencia ya está por encima de tu food cost máximo con el precio de hoy, y lo que mide es cuánto tendría que BAJAR el cacao para que entrase","Es la subida a partir de la cual tu carta empieza a romperse"),"")</f>
        <v>En NEGATIVO: esa referencia ya está por encima de tu food cost máximo con el precio de hoy, y lo que mide es cuánto tendría que BAJAR el cacao para que entrase</v>
      </c>
    </row>
    <row r="48">
      <c r="A48" s="4" t="inlineStr">
        <is>
          <t>Referencias rotas en el escenario elegido</t>
        </is>
      </c>
      <c r="C48" s="12">
        <f>COUNTIF($H$16:$H$43,"&gt;"&amp;'Parámetros'!$B$10)</f>
        <v>11.0</v>
      </c>
    </row>
    <row r="49">
      <c r="A49" s="4" t="inlineStr">
        <is>
          <t>Subida media de PVP que haría falta</t>
        </is>
      </c>
      <c r="C49" s="9">
        <f>IFERROR(SUMPRODUCT($L$16:$L$43,'Coste de Cobertura'!N$16:N$43)/SUM('Coste de Cobertura'!N$16:N$43),"")</f>
        <v>0.026433274990393173</v>
      </c>
      <c r="I49" s="2" t="inlineStr">
        <is>
          <t>Ponderada por el mix: es la subida media de carta, no la media de las 28 subidas. Si sale por encima del 10 %, no es una subida de precios: es un cambio de carta.</t>
        </is>
      </c>
    </row>
    <row r="50"/>
    <row r="51"/>
    <row r="52">
      <c r="A52" s="3" t="inlineStr">
        <is>
          <t>Listas de validación (no las borres: las usan los desplegables)</t>
        </is>
      </c>
    </row>
    <row r="53">
      <c r="A53" s="4" t="inlineStr">
        <is>
          <t>Escenarios</t>
        </is>
      </c>
    </row>
    <row r="54">
      <c r="A54" t="inlineStr">
        <is>
          <t>Precio de hoy</t>
        </is>
      </c>
    </row>
    <row r="55">
      <c r="A55" t="inlineStr">
        <is>
          <t>Subida moderada</t>
        </is>
      </c>
    </row>
    <row r="56">
      <c r="A56" t="inlineStr">
        <is>
          <t>Subida fuerte</t>
        </is>
      </c>
    </row>
    <row r="57">
      <c r="A57" t="inlineStr">
        <is>
          <t>Crisis del cacao</t>
        </is>
      </c>
    </row>
    <row r="58">
      <c r="A58" t="inlineStr">
        <is>
          <t>Tu escenario</t>
        </is>
      </c>
    </row>
  </sheetData>
  <sheetProtection selectLockedCells="0" selectUnlockedCells="0" sheet="1" objects="0" insertRows="0" insertHyperlinks="1" autoFilter="1" scenarios="0" formatColumns="0" deleteColumns="1" insertColumns="1" pivotTables="1" deleteRows="1" formatCells="1" formatRows="0" sort="0"/>
  <mergeCells count="14">
    <mergeCell ref="I46:R46"/>
    <mergeCell ref="A14:R14"/>
    <mergeCell ref="A7:B7"/>
    <mergeCell ref="A46:B46"/>
    <mergeCell ref="C46:H46"/>
    <mergeCell ref="E6:R8"/>
    <mergeCell ref="A8:B8"/>
    <mergeCell ref="I47:R47"/>
    <mergeCell ref="I49:R49"/>
    <mergeCell ref="A47:B47"/>
    <mergeCell ref="A49:B49"/>
    <mergeCell ref="A6:B6"/>
    <mergeCell ref="A48:B48"/>
    <mergeCell ref="A3:R3"/>
  </mergeCells>
  <conditionalFormatting sqref="Q16:Q43">
    <cfRule type="expression" priority="1" dxfId="0" stopIfTrue="1">
      <formula>=AND(ISNUMBER($Q16),$Q16&lt;0)</formula>
    </cfRule>
  </conditionalFormatting>
  <dataValidations count="1">
    <dataValidation sqref="C6" showDropDown="0" showInputMessage="0" showErrorMessage="1" allowBlank="0" errorTitle="Escenario no válido" error="Elige uno de los cinco escenarios de la hoja «Escenarios de Precio»." type="list">
      <formula1>=$A$54:$A$58</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13"/>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13" customWidth="1" min="3" max="3"/>
    <col width="13" customWidth="1" min="4" max="4"/>
    <col width="12" customWidth="1" min="5" max="5"/>
    <col width="13" customWidth="1" min="6" max="6"/>
    <col width="13" customWidth="1" min="7" max="7"/>
    <col width="15" customWidth="1" min="8" max="8"/>
    <col width="14" customWidth="1" min="9" max="9"/>
    <col width="13" customWidth="1" min="10" max="10"/>
    <col width="12" customWidth="1" min="11" max="11"/>
    <col width="12" customWidth="1" min="12" max="12"/>
    <col width="14" customWidth="1" min="13" max="13"/>
    <col width="40" customWidth="1" min="14" max="14"/>
    <col width="14" customWidth="1" min="15" max="15"/>
    <col width="16" customWidth="1" min="16" max="16"/>
    <col width="15" customWidth="1" min="17" max="17"/>
  </cols>
  <sheetData>
    <row r="1" ht="28" customHeight="1">
      <c r="A1" s="1" t="inlineStr">
        <is>
          <t>Stock y Cobertura de Compra</t>
        </is>
      </c>
    </row>
    <row r="2">
      <c r="A2" t="inlineStr">
        <is>
          <t>AI Chef Pro · aichef.pro — Cómo Montar una Chocolatería</t>
        </is>
      </c>
    </row>
    <row r="3" ht="26" customHeight="1">
      <c r="A3" s="2" t="inlineStr">
        <is>
          <t>Cuánta cobertura tienes parada, qué dinero es eso, cuándo hay que volver a pedir y qué te cuesta comprar por delante para Navidad.</t>
        </is>
      </c>
    </row>
    <row r="4"/>
    <row r="5"/>
    <row r="6" ht="58" customHeight="1">
      <c r="A6" s="7" t="inlineStr">
        <is>
          <t>Clave</t>
        </is>
      </c>
      <c r="B6" s="7" t="inlineStr">
        <is>
          <t>Cobertura</t>
        </is>
      </c>
      <c r="C6" s="7" t="inlineStr">
        <is>
          <t>Consumo al año (kg)</t>
        </is>
      </c>
      <c r="D6" s="7" t="inlineStr">
        <is>
          <t>Consumo a la semana (kg)</t>
        </is>
      </c>
      <c r="E6" s="7" t="inlineStr">
        <is>
          <t>Semanas de stock objetivo</t>
        </is>
      </c>
      <c r="F6" s="7" t="inlineStr">
        <is>
          <t>Stock objetivo (kg)</t>
        </is>
      </c>
      <c r="G6" s="7" t="inlineStr">
        <is>
          <t>Precio en base imponible (€/kg)</t>
        </is>
      </c>
      <c r="H6" s="7" t="inlineStr">
        <is>
          <t>€ parados en el almacén</t>
        </is>
      </c>
      <c r="I6" s="7" t="inlineStr">
        <is>
          <t>Formato de compra (kg)</t>
        </is>
      </c>
      <c r="J6" s="7" t="inlineStr">
        <is>
          <t>Bloques que hay que pedir</t>
        </is>
      </c>
      <c r="K6" s="7" t="inlineStr">
        <is>
          <t>Plazo de entrega (semanas)</t>
        </is>
      </c>
      <c r="L6" s="7" t="inlineStr">
        <is>
          <t>Stock de seguridad (semanas)</t>
        </is>
      </c>
      <c r="M6" s="7" t="inlineStr">
        <is>
          <t>Punto de recompra (kg)</t>
        </is>
      </c>
      <c r="N6" s="7" t="inlineStr">
        <is>
          <t>¿Tu stock objetivo cubre el plazo?</t>
        </is>
      </c>
      <c r="O6" s="7" t="inlineStr">
        <is>
          <t>Semanas de compra anticipada</t>
        </is>
      </c>
      <c r="P6" s="7" t="inlineStr">
        <is>
          <t>€ parados en la compra anticipada</t>
        </is>
      </c>
      <c r="Q6" s="7" t="inlineStr">
        <is>
          <t>Coste financiero del adelanto (€)</t>
        </is>
      </c>
    </row>
    <row r="7" ht="28" customHeight="1">
      <c r="A7" t="inlineStr">
        <is>
          <t>negra</t>
        </is>
      </c>
      <c r="B7" s="6" t="inlineStr">
        <is>
          <t>Cobertura de chocolate negro (marca, 54,5 % de cacao)</t>
        </is>
      </c>
      <c r="C7" s="17">
        <f>IFERROR(SUMIF('Coste de Cobertura'!$D$16:$D$43,$A7,'Coste de Cobertura'!$P$16:$P$43),"")</f>
        <v>462.08596448000003</v>
      </c>
      <c r="D7" s="17">
        <f>IFERROR($C7/'Parámetros'!$B$15,"")</f>
        <v>8.886268547692309</v>
      </c>
      <c r="E7" s="10" t="n">
        <v>3</v>
      </c>
      <c r="F7" s="17">
        <f>IFERROR($D7*$E7,"")</f>
        <v>26.658805643076924</v>
      </c>
      <c r="G7" s="16">
        <f>'Coste de Cobertura'!G7</f>
        <v>22.745454545454542</v>
      </c>
      <c r="H7" s="18">
        <f>IFERROR($F7*$G7,"")</f>
        <v>606.3666519907132</v>
      </c>
      <c r="I7" s="11" t="n">
        <v>5</v>
      </c>
      <c r="J7" s="12">
        <f>IFERROR(ROUNDUP($F7/$I7,0),"")</f>
        <v>6.0</v>
      </c>
      <c r="K7" s="10" t="n">
        <v>2</v>
      </c>
      <c r="L7" s="10" t="n">
        <v>1</v>
      </c>
      <c r="M7" s="17">
        <f>IFERROR($D7*($K7+$L7),"")</f>
        <v>26.658805643076924</v>
      </c>
      <c r="N7" t="str">
        <f>IF(AND(ISNUMBER($F7),ISNUMBER($M7)),IF($F7&gt;=$M7,"Sí","No: te quedas sin cobertura antes de que llegue el pedido"),"")</f>
        <v>Sí</v>
      </c>
      <c r="O7" s="10" t="n">
        <v>8</v>
      </c>
      <c r="P7" s="18">
        <f>IFERROR($D7*$O7*$G7,"")</f>
        <v>1616.977738641902</v>
      </c>
      <c r="Q7" s="18">
        <f>IFERROR($P7*'Parámetros'!$B$19*$O7/'Parámetros'!$B$15,"")</f>
        <v>14.92594835669448</v>
      </c>
    </row>
    <row r="8" ht="28" customHeight="1">
      <c r="A8" t="inlineStr">
        <is>
          <t>origen</t>
        </is>
      </c>
      <c r="B8" s="6" t="inlineStr">
        <is>
          <t>Cobertura de chocolate de origen (70 % de cacao)</t>
        </is>
      </c>
      <c r="C8" s="17">
        <f>IFERROR(SUMIF('Coste de Cobertura'!$D$16:$D$43,$A8,'Coste de Cobertura'!$P$16:$P$43),"")</f>
        <v>199.6064</v>
      </c>
      <c r="D8" s="17">
        <f>IFERROR($C8/'Parámetros'!$B$15,"")</f>
        <v>3.8385846153846157</v>
      </c>
      <c r="E8" s="10" t="n">
        <v>3</v>
      </c>
      <c r="F8" s="17">
        <f>IFERROR($D8*$E8,"")</f>
        <v>11.515753846153848</v>
      </c>
      <c r="G8" s="16">
        <f>'Coste de Cobertura'!G8</f>
        <v>37.48</v>
      </c>
      <c r="H8" s="18">
        <f>IFERROR($F8*$G8,"")</f>
        <v>431.61045415384615</v>
      </c>
      <c r="I8" s="11" t="n">
        <v>0.4</v>
      </c>
      <c r="J8" s="12">
        <f>IFERROR(ROUNDUP($F8/$I8,0),"")</f>
        <v>29.0</v>
      </c>
      <c r="K8" s="10" t="n">
        <v>2</v>
      </c>
      <c r="L8" s="10" t="n">
        <v>1</v>
      </c>
      <c r="M8" s="17">
        <f>IFERROR($D8*($K8+$L8),"")</f>
        <v>11.515753846153848</v>
      </c>
      <c r="N8" t="str">
        <f>IF(AND(ISNUMBER($F8),ISNUMBER($M8)),IF($F8&gt;=$M8,"Sí","No: te quedas sin cobertura antes de que llegue el pedido"),"")</f>
        <v>Sí</v>
      </c>
      <c r="O8" s="10" t="n">
        <v>8</v>
      </c>
      <c r="P8" s="18">
        <f>IFERROR($D8*$O8*$G8,"")</f>
        <v>1150.961211076923</v>
      </c>
      <c r="Q8" s="18">
        <f>IFERROR($P8*'Parámetros'!$B$19*$O8/'Parámetros'!$B$15,"")</f>
        <v>10.62425733301775</v>
      </c>
    </row>
    <row r="9" ht="28" customHeight="1">
      <c r="A9" t="inlineStr">
        <is>
          <t>leche</t>
        </is>
      </c>
      <c r="B9" s="6" t="inlineStr">
        <is>
          <t>Cobertura de chocolate con leche (38 % de cacao)</t>
        </is>
      </c>
      <c r="C9" s="17">
        <f>IFERROR(SUMIF('Coste de Cobertura'!$D$16:$D$43,$A9,'Coste de Cobertura'!$P$16:$P$43),"")</f>
        <v>1149.00002336</v>
      </c>
      <c r="D9" s="17">
        <f>IFERROR($C9/'Parámetros'!$B$15,"")</f>
        <v>22.096154295384615</v>
      </c>
      <c r="E9" s="10" t="n">
        <v>3</v>
      </c>
      <c r="F9" s="17">
        <f>IFERROR($D9*$E9,"")</f>
        <v>66.28846288615384</v>
      </c>
      <c r="G9" s="16">
        <f>'Coste de Cobertura'!G9</f>
        <v>19.5</v>
      </c>
      <c r="H9" s="18">
        <f>IFERROR($F9*$G9,"")</f>
        <v>1292.62502628</v>
      </c>
      <c r="I9" s="11" t="n">
        <v>10</v>
      </c>
      <c r="J9" s="12">
        <f>IFERROR(ROUNDUP($F9/$I9,0),"")</f>
        <v>7.0</v>
      </c>
      <c r="K9" s="10" t="n">
        <v>2</v>
      </c>
      <c r="L9" s="10" t="n">
        <v>1</v>
      </c>
      <c r="M9" s="17">
        <f>IFERROR($D9*($K9+$L9),"")</f>
        <v>66.28846288615384</v>
      </c>
      <c r="N9" t="str">
        <f>IF(AND(ISNUMBER($F9),ISNUMBER($M9)),IF($F9&gt;=$M9,"Sí","No: te quedas sin cobertura antes de que llegue el pedido"),"")</f>
        <v>Sí</v>
      </c>
      <c r="O9" s="10" t="n">
        <v>8</v>
      </c>
      <c r="P9" s="18">
        <f>IFERROR($D9*$O9*$G9,"")</f>
        <v>3447.00007008</v>
      </c>
      <c r="Q9" s="18">
        <f>IFERROR($P9*'Parámetros'!$B$19*$O9/'Parámetros'!$B$15,"")</f>
        <v>31.818462185353845</v>
      </c>
    </row>
    <row r="10" ht="28" customHeight="1">
      <c r="A10" t="inlineStr">
        <is>
          <t>blanca</t>
        </is>
      </c>
      <c r="B10" s="6" t="inlineStr">
        <is>
          <t>Cobertura de chocolate blanco (30 % de cacao)</t>
        </is>
      </c>
      <c r="C10" s="17">
        <f>IFERROR(SUMIF('Coste de Cobertura'!$D$16:$D$43,$A10,'Coste de Cobertura'!$P$16:$P$43),"")</f>
        <v>114.0608</v>
      </c>
      <c r="D10" s="17">
        <f>IFERROR($C10/'Parámetros'!$B$15,"")</f>
        <v>2.193476923076923</v>
      </c>
      <c r="E10" s="10" t="n">
        <v>3</v>
      </c>
      <c r="F10" s="17">
        <f>IFERROR($D10*$E10,"")</f>
        <v>6.580430769230769</v>
      </c>
      <c r="G10" s="16">
        <f>'Coste de Cobertura'!G10</f>
        <v>21.0</v>
      </c>
      <c r="H10" s="18">
        <f>IFERROR($F10*$G10,"")</f>
        <v>138.18904615384614</v>
      </c>
      <c r="I10" s="11" t="n">
        <v>10</v>
      </c>
      <c r="J10" s="12">
        <f>IFERROR(ROUNDUP($F10/$I10,0),"")</f>
        <v>1.0</v>
      </c>
      <c r="K10" s="10" t="n">
        <v>2</v>
      </c>
      <c r="L10" s="10" t="n">
        <v>1</v>
      </c>
      <c r="M10" s="17">
        <f>IFERROR($D10*($K10+$L10),"")</f>
        <v>6.580430769230769</v>
      </c>
      <c r="N10" t="str">
        <f>IF(AND(ISNUMBER($F10),ISNUMBER($M10)),IF($F10&gt;=$M10,"Sí","No: te quedas sin cobertura antes de que llegue el pedido"),"")</f>
        <v>Sí</v>
      </c>
      <c r="O10" s="10" t="n">
        <v>8</v>
      </c>
      <c r="P10" s="18">
        <f>IFERROR($D10*$O10*$G10,"")</f>
        <v>368.50412307692307</v>
      </c>
      <c r="Q10" s="18">
        <f>IFERROR($P10*'Parámetros'!$B$19*$O10/'Parámetros'!$B$15,"")</f>
        <v>3.401576520710059</v>
      </c>
    </row>
    <row r="11">
      <c r="A11" s="4" t="inlineStr">
        <is>
          <t>TOTAL</t>
        </is>
      </c>
      <c r="B11" s="4" t="inlineStr">
        <is>
          <t>Las cuatro coberturas</t>
        </is>
      </c>
      <c r="C11" s="19">
        <f>SUM(C7:C10)</f>
        <v>1924.7531878399998</v>
      </c>
      <c r="F11" s="19">
        <f>SUM(F7:F10)</f>
        <v>111.04345314461538</v>
      </c>
      <c r="H11" s="21">
        <f>SUM(H7:H10)</f>
        <v>2468.7911785784054</v>
      </c>
      <c r="P11" s="21">
        <f>SUM(P7:P10)</f>
        <v>6583.443142875748</v>
      </c>
      <c r="Q11" s="21">
        <f>SUM(Q7:Q10)</f>
        <v>60.77024439577613</v>
      </c>
    </row>
    <row r="12"/>
    <row r="13" ht="40" customHeight="1">
      <c r="A13" s="2" t="inlineStr">
        <is>
          <t>El dinero parado en cobertura no está en tu cuenta de resultados: está en tu tesorería. Por eso esta hoja va aparte del food cost, y por eso la compra anticipada de Navidad -que nadie discute- tiene su propia columna. Si el coste financiero del adelanto te parece pequeño, míralo al lado del margen de las semanas que estás financiando.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13:Q13"/>
    <mergeCell ref="A3:Q3"/>
  </mergeCell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Sensibilidad al Precio del Cacao</dc:title>
  <dc:subject xmlns:dc="http://purl.org/dc/elements/1.1/">Cómo Montar una Chocolatería · Versión 1.0 · septiembre 2026</dc:subject>
  <dcterms:created xmlns:dcterms="http://purl.org/dc/terms/" xmlns:xsi="http://www.w3.org/2001/XMLSchema-instance" xsi:type="dcterms:W3CDTF">2026-09-19T13:21:16Z</dcterms:created>
  <dcterms:modified xmlns:dcterms="http://purl.org/dc/terms/" xmlns:xsi="http://www.w3.org/2001/XMLSchema-instance" xsi:type="dcterms:W3CDTF">2026-09-19T13:21:16Z</dcterms:modified>
  <cp:lastModifiedBy>AI Chef Pro</cp:lastModifiedBy>
</cp:coreProperties>
</file>