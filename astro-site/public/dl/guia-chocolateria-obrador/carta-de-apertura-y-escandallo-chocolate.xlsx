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arámetros" sheetId="2" state="visible" r:id="rId2"/>
    <sheet xmlns:r="http://schemas.openxmlformats.org/officeDocument/2006/relationships" name="Denominaciones y Mínimos" sheetId="3" state="visible" r:id="rId3"/>
    <sheet xmlns:r="http://schemas.openxmlformats.org/officeDocument/2006/relationships" name="Escandallo por Molde y Tanda" sheetId="4" state="visible" r:id="rId4"/>
    <sheet xmlns:r="http://schemas.openxmlformats.org/officeDocument/2006/relationships" name="Merma de Templado y Recortes" sheetId="5" state="visible" r:id="rId5"/>
    <sheet xmlns:r="http://schemas.openxmlformats.org/officeDocument/2006/relationships" name="Coste Hora y Mano de Obra" sheetId="6" state="visible" r:id="rId6"/>
    <sheet xmlns:r="http://schemas.openxmlformats.org/officeDocument/2006/relationships" name="Unidad vs Caja" sheetId="7" state="visible" r:id="rId7"/>
    <sheet xmlns:r="http://schemas.openxmlformats.org/officeDocument/2006/relationships" name="Mix y Ticket Medio" sheetId="8" state="visible" r:id="rId8"/>
    <sheet xmlns:r="http://schemas.openxmlformats.org/officeDocument/2006/relationships" name="Decisión de Surtido" sheetId="9" state="visible" r:id="rId9"/>
  </sheets>
  <definedNames>
    <definedName name="_xlnm.Print_Titles" localSheetId="1">'Parámetros'!$47:$47</definedName>
    <definedName name="_xlnm.Print_Titles" localSheetId="2">'Denominaciones y Mínimos'!$6:$6</definedName>
    <definedName name="_xlnm.Print_Titles" localSheetId="3">'Escandallo por Molde y Tanda'!$69:$69</definedName>
    <definedName name="_xlnm.Print_Titles" localSheetId="4">'Merma de Templado y Recortes'!$6:$6</definedName>
    <definedName name="_xlnm.Print_Titles" localSheetId="5">'Coste Hora y Mano de Obra'!$6:$6</definedName>
    <definedName name="_xlnm.Print_Titles" localSheetId="7">'Mix y Ticket Medio'!$6:$6</definedName>
    <definedName name="_xlnm.Print_Titles" localSheetId="8">'Decisión de Surtido'!$6:$6</definedName>
  </definedNames>
  <calcPr calcId="124519" fullCalcOnLoad="1"/>
</workbook>
</file>

<file path=xl/styles.xml><?xml version="1.0" encoding="utf-8"?>
<styleSheet xmlns="http://schemas.openxmlformats.org/spreadsheetml/2006/main">
  <numFmts count="5">
    <numFmt numFmtId="164" formatCode="#,##0.0"/>
    <numFmt numFmtId="165" formatCode="#,##0.00 €"/>
    <numFmt numFmtId="166" formatCode="0.0%"/>
    <numFmt numFmtId="167" formatCode="#,##0.0000 €"/>
    <numFmt numFmtId="168" formatCode="#,##0.000"/>
  </numFmts>
  <fonts count="11">
    <font>
      <name val="Calibri"/>
      <family val="2"/>
      <color theme="1"/>
      <sz val="11"/>
      <scheme val="minor"/>
    </font>
    <font>
      <b val="1"/>
      <color theme="1"/>
      <sz val="11"/>
    </font>
    <font>
      <b val="1"/>
      <color rgb="00FFD700"/>
      <sz val="16"/>
    </font>
    <font>
      <color rgb="00888888"/>
      <sz val="10"/>
    </font>
    <font>
      <i val="1"/>
      <sz val="9"/>
    </font>
    <font>
      <b val="1"/>
      <color rgb="00FFD700"/>
      <sz val="12"/>
    </font>
    <font>
      <i val="1"/>
      <sz val="8"/>
    </font>
    <font>
      <b val="1"/>
      <color rgb="00FFFFFF"/>
      <sz val="9"/>
    </font>
    <font>
      <color rgb="00888888"/>
      <sz val="8"/>
    </font>
    <font>
      <color rgb="00888888"/>
      <sz val="9"/>
    </font>
    <font>
      <sz val="8"/>
    </font>
  </fonts>
  <fills count="5">
    <fill>
      <patternFill/>
    </fill>
    <fill>
      <patternFill patternType="gray125"/>
    </fill>
    <fill>
      <patternFill patternType="solid">
        <fgColor rgb="00E8F5E9"/>
      </patternFill>
    </fill>
    <fill>
      <patternFill patternType="solid">
        <fgColor rgb="002D2D2D"/>
      </patternFill>
    </fill>
    <fill>
      <patternFill patternType="solid">
        <fgColor rgb="00FFF8E1"/>
      </patternFill>
    </fill>
  </fills>
  <borders count="1">
    <border>
      <left/>
      <right/>
      <top/>
      <bottom/>
      <diagonal/>
    </border>
  </borders>
  <cellStyleXfs count="1">
    <xf numFmtId="0" fontId="0" fillId="0" borderId="0"/>
  </cellStyleXfs>
  <cellXfs count="35">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horizontal="general" vertical="top" wrapText="1"/>
    </xf>
    <xf numFmtId="0" fontId="0" fillId="2" borderId="0" applyProtection="1" pivotButton="0" quotePrefix="0" xfId="0">
      <protection locked="0" hidden="0"/>
    </xf>
    <xf numFmtId="0" fontId="6" fillId="0" borderId="0" pivotButton="0" quotePrefix="0" xfId="0"/>
    <xf numFmtId="0" fontId="7" fillId="3" borderId="0" applyAlignment="1" pivotButton="0" quotePrefix="0" xfId="0">
      <alignment horizontal="center" vertical="center" wrapText="1"/>
    </xf>
    <xf numFmtId="164" fontId="0" fillId="2" borderId="0" applyProtection="1" pivotButton="0" quotePrefix="0" xfId="0">
      <protection locked="0" hidden="0"/>
    </xf>
    <xf numFmtId="165" fontId="0" fillId="2" borderId="0" applyProtection="1" pivotButton="0" quotePrefix="0" xfId="0">
      <protection locked="0" hidden="0"/>
    </xf>
    <xf numFmtId="165" fontId="0" fillId="0" borderId="0" pivotButton="0" quotePrefix="0" xfId="0"/>
    <xf numFmtId="3" fontId="0" fillId="0" borderId="0" pivotButton="0" quotePrefix="0" xfId="0"/>
    <xf numFmtId="0" fontId="8" fillId="0" borderId="0" applyAlignment="1" pivotButton="0" quotePrefix="0" xfId="0">
      <alignment horizontal="general" vertical="top" wrapText="1"/>
    </xf>
    <xf numFmtId="0" fontId="1" fillId="0" borderId="0" pivotButton="0" quotePrefix="0" xfId="0"/>
    <xf numFmtId="165" fontId="1" fillId="0" borderId="0" pivotButton="0" quotePrefix="0" xfId="0"/>
    <xf numFmtId="3" fontId="1" fillId="0" borderId="0" pivotButton="0" quotePrefix="0" xfId="0"/>
    <xf numFmtId="3" fontId="0" fillId="2" borderId="0" applyProtection="1" pivotButton="0" quotePrefix="0" xfId="0">
      <protection locked="0" hidden="0"/>
    </xf>
    <xf numFmtId="0" fontId="8" fillId="0" borderId="0" pivotButton="0" quotePrefix="0" xfId="0"/>
    <xf numFmtId="166" fontId="0" fillId="2" borderId="0" applyProtection="1" pivotButton="0" quotePrefix="0" xfId="0">
      <protection locked="0" hidden="0"/>
    </xf>
    <xf numFmtId="165" fontId="1" fillId="4" borderId="0" pivotButton="0" quotePrefix="0" xfId="0"/>
    <xf numFmtId="166" fontId="1" fillId="4" borderId="0" pivotButton="0" quotePrefix="0" xfId="0"/>
    <xf numFmtId="0" fontId="9" fillId="0" borderId="0" applyAlignment="1" pivotButton="0" quotePrefix="0" xfId="0">
      <alignment horizontal="general" vertical="top" wrapText="1"/>
    </xf>
    <xf numFmtId="167" fontId="0" fillId="2" borderId="0" applyProtection="1" pivotButton="0" quotePrefix="0" xfId="0">
      <protection locked="0" hidden="0"/>
    </xf>
    <xf numFmtId="166" fontId="0" fillId="0" borderId="0" pivotButton="0" quotePrefix="0" xfId="0"/>
    <xf numFmtId="166" fontId="1" fillId="0" borderId="0" pivotButton="0" quotePrefix="0" xfId="0"/>
    <xf numFmtId="164" fontId="1" fillId="4" borderId="0" pivotButton="0" quotePrefix="0" xfId="0"/>
    <xf numFmtId="3" fontId="1" fillId="4" borderId="0" pivotButton="0" quotePrefix="0" xfId="0"/>
    <xf numFmtId="167" fontId="0" fillId="0" borderId="0" pivotButton="0" quotePrefix="0" xfId="0"/>
    <xf numFmtId="0" fontId="10" fillId="0" borderId="0" applyAlignment="1" pivotButton="0" quotePrefix="0" xfId="0">
      <alignment horizontal="general" vertical="top" wrapText="1"/>
    </xf>
    <xf numFmtId="164" fontId="0" fillId="0" borderId="0" pivotButton="0" quotePrefix="0" xfId="0"/>
    <xf numFmtId="168" fontId="0" fillId="2" borderId="0" applyProtection="1" pivotButton="0" quotePrefix="0" xfId="0">
      <protection locked="0" hidden="0"/>
    </xf>
    <xf numFmtId="167" fontId="1" fillId="0" borderId="0" pivotButton="0" quotePrefix="0" xfId="0"/>
    <xf numFmtId="168" fontId="0" fillId="0" borderId="0" pivotButton="0" quotePrefix="0" xfId="0"/>
    <xf numFmtId="164" fontId="1" fillId="0" borderId="0" pivotButton="0" quotePrefix="0" xfId="0"/>
  </cellXfs>
  <cellStyles count="1">
    <cellStyle name="Normal" xfId="0" builtinId="0" hidden="0"/>
  </cellStyles>
  <dxfs count="3">
    <dxf>
      <font>
        <b val="1"/>
        <color rgb="009C0006"/>
      </font>
      <fill>
        <patternFill patternType="solid">
          <fgColor rgb="00FFC7CE"/>
          <bgColor rgb="00FFC7CE"/>
        </patternFill>
      </fill>
    </dxf>
    <dxf>
      <font>
        <b val="1"/>
        <color rgb="009C6500"/>
      </font>
      <fill>
        <patternFill patternType="solid">
          <fgColor rgb="00FFEB9C"/>
          <bgColor rgb="00FFEB9C"/>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AI Chef Pro</author>
  </authors>
  <commentList>
    <comment ref="D7" authorId="0" shapeId="0">
      <text>
        <t>Verificado el 12-09-2026 · Revisión salarial 2026 del convenio 28001025011981 · BOCM núm. 50, de 28-02-2026 (BOCM-20260228-2) · https://www.bocm.es/boletin/CM_Orden_BOCM/2026/02/28/BOCM-20260228-2.PDF</t>
      </text>
    </comment>
    <comment ref="D8" authorId="0" shapeId="0">
      <text>
        <t>Verificado el 12-09-2026 · Revisión salarial 2026 del convenio 28001025011981 · BOCM núm. 50, de 28-02-2026 (BOCM-20260228-2) · https://www.bocm.es/boletin/CM_Orden_BOCM/2026/02/28/BOCM-20260228-2.PDF</t>
      </text>
    </comment>
    <comment ref="B11" authorId="0" shapeId="0">
      <text>
        <t>Verificado el 12-09-2026 · Revisión salarial 2026 del convenio 28001025011981 · BOCM núm. 50, de 28-02-2026 (BOCM-20260228-2) · https://www.bocm.es/boletin/CM_Orden_BOCM/2026/02/28/BOCM-20260228-2.PDF</t>
      </text>
    </comment>
    <comment ref="B18" authorId="0" shapeId="0">
      <text>
        <t>Verificado el 12-09-2026 · Ley 37/1992, de 28 de diciembre, del Impuesto sobre el Valor Añadido (BOE-A-1992-28740), texto consolidado · «Última modificación: 28 de febrero de 2026» (Art. 91.Dos.1.1.º (las siete letras: pan común, harinas panificables, leches, qu...) · https://www.boe.es/buscar/act.php?id=BOE-A-1992-28740</t>
      </text>
    </comment>
    <comment ref="B19" authorId="0" shapeId="0">
      <text>
        <t>Verificado el 12-09-2026 · Ley 37/1992, de 28 de diciembre, del Impuesto sobre el Valor Añadido (BOE-A-1992-28740), texto consolidado · «Última modificación: 28 de febrero de 2026» (Art. 91.Uno.2.2.º y art. 90.Uno («El Impuesto se exigirá al tipo del 21 por ciento, salvo lo dispuesto en el artículo siguiente»).) · https://www.boe.es/buscar/act.php?id=BOE-A-1992-28740</t>
      </text>
    </comment>
    <comment ref="B27" authorId="0" shapeId="0">
      <text>
        <t>CHS-28a: Precio de la cobertura — Callebaut 811 en bloque de 5 kg (CON IVA) · fiabilidad media · https://www.planeta-torta.es/los-chocolates-reposteria-gotas-fundir/11351-chocolate-negro-de-cobertura-811-de-callebaut-55-en-bloque-5-kg.html</t>
      </text>
    </comment>
    <comment ref="B28" authorId="0" shapeId="0">
      <text>
        <t>CHS-28c: Precio de la cobertura — Valrhona pepitas 400 g · fiabilidad media · https://www.clubdelchocolate.com/en/452-cobertura-valrhona</t>
      </text>
    </comment>
  </commentList>
</comments>
</file>

<file path=xl/comments/comment2.xml><?xml version="1.0" encoding="utf-8"?>
<comments xmlns="http://schemas.openxmlformats.org/spreadsheetml/2006/main">
  <authors>
    <author>AI Chef Pro</author>
  </authors>
  <commentList>
    <comment ref="H6" authorId="0" shapeId="0">
      <text>
        <t>Verificado el 12-09-2026 · Real Decreto 1021/2022, de 13 de diciembre, por el que se regulan determinados requisitos en materia de higiene de la producción y comercialización de los productos alimenticios... (confirmada, y con un matiz que la lente no traía: el art. 4.2 cierra «por el operador que los ha producido y envasa... · https://www.boe.es/buscar/act.php?id=BOE-A-2022-21681</t>
      </text>
    </comment>
    <comment ref="E7" authorId="0" shapeId="0">
      <text>
        <t>Verificado el 12-09-2026 · Real Decreto 1055/2003, de 1 de agosto, por el que se aprueba la Reglamentación técnico-sanitaria sobre los productos de cacao y chocolate destinados a la alimentación humana (B... (Apartado 1.13, que cierra: «siempre que el chocolate represente, al menos, el 25 por ciento del peso total del prod... · https://www.boe.es/buscar/act.php?id=BOE-A-2003-15599</t>
      </text>
    </comment>
    <comment ref="E8" authorId="0" shapeId="0">
      <text>
        <t>Verificado el 12-09-2026 · Real Decreto 1055/2003, de 1 de agosto, por el que se aprueba la Reglamentación técnico-sanitaria sobre los productos de cacao y chocolate destinados a la alimentación humana (B... (Apartado 1.13, que cierra: «siempre que el chocolate represente, al menos, el 25 por ciento del peso total del prod... · https://www.boe.es/buscar/act.php?id=BOE-A-2003-15599</t>
      </text>
    </comment>
    <comment ref="E9" authorId="0" shapeId="0">
      <text>
        <t>Verificado el 12-09-2026 · Real Decreto 1055/2003, de 1 de agosto, por el que se aprueba la Reglamentación técnico-sanitaria sobre los productos de cacao y chocolate destinados a la alimentación humana (B... (Apartado 1.13, que cierra: «siempre que el chocolate represente, al menos, el 25 por ciento del peso total del prod... · https://www.boe.es/buscar/act.php?id=BOE-A-2003-15599</t>
      </text>
    </comment>
    <comment ref="E10" authorId="0" shapeId="0">
      <text>
        <t>Verificado el 12-09-2026 · Real Decreto 1055/2003, de 1 de agosto, por el que se aprueba la Reglamentación técnico-sanitaria sobre los productos de cacao y chocolate destinados a la alimentación humana (B... (Apartado 1.13, que cierra: «siempre que el chocolate represente, al menos, el 25 por ciento del peso total del prod... · https://www.boe.es/buscar/act.php?id=BOE-A-2003-15599</t>
      </text>
    </comment>
    <comment ref="E11" authorId="0" shapeId="0">
      <text>
        <t>Verificado el 12-09-2026 · Real Decreto 1055/2003, de 1 de agosto, por el que se aprueba la Reglamentación técnico-sanitaria sobre los productos de cacao y chocolate destinados a la alimentación humana (B... (Apartado 1.13, que cierra: «siempre que el chocolate represente, al menos, el 25 por ciento del peso total del prod... · https://www.boe.es/buscar/act.php?id=BOE-A-2003-15599</t>
      </text>
    </comment>
    <comment ref="E12" authorId="0" shapeId="0">
      <text>
        <t>Verificado el 12-09-2026 · Real Decreto 1055/2003, de 1 de agosto, por el que se aprueba la Reglamentación técnico-sanitaria sobre los productos de cacao y chocolate destinados a la alimentación humana (B... (Apartado 1.13, que cierra: «siempre que el chocolate represente, al menos, el 25 por ciento del peso total del prod... · https://www.boe.es/buscar/act.php?id=BOE-A-2003-15599</t>
      </text>
    </comment>
    <comment ref="E13" authorId="0" shapeId="0">
      <text>
        <t>Verificado el 12-09-2026 · Real Decreto 1055/2003, de 1 de agosto, por el que se aprueba la Reglamentación técnico-sanitaria sobre los productos de cacao y chocolate destinados a la alimentación humana (B... (Apartado 1.13, que cierra: «siempre que el chocolate represente, al menos, el 25 por ciento del peso total del prod... · https://www.boe.es/buscar/act.php?id=BOE-A-2003-15599</t>
      </text>
    </comment>
    <comment ref="E14" authorId="0" shapeId="0">
      <text>
        <t>Verificado el 12-09-2026 · Real Decreto 1055/2003, de 1 de agosto, por el que se aprueba la Reglamentación técnico-sanitaria sobre los productos de cacao y chocolate destinados a la alimentación humana (B... (Apartado 1.13, que cierra: «siempre que el chocolate represente, al menos, el 25 por ciento del peso total del prod... · https://www.boe.es/buscar/act.php?id=BOE-A-2003-15599</t>
      </text>
    </comment>
    <comment ref="E15" authorId="0" shapeId="0">
      <text>
        <t>Verificado el 12-09-2026 · Real Decreto 1055/2003, de 1 de agosto, por el que se aprueba la Reglamentación técnico-sanitaria sobre los productos de cacao y chocolate destinados a la alimentación humana (B... (Apartado 1.13, que cierra: «siempre que el chocolate represente, al menos, el 25 por ciento del peso total del prod... · https://www.boe.es/buscar/act.php?id=BOE-A-2003-15599</t>
      </text>
    </comment>
    <comment ref="E16" authorId="0" shapeId="0">
      <text>
        <t>Verificado el 12-09-2026 · Real Decreto 1055/2003, de 1 de agosto, por el que se aprueba la Reglamentación técnico-sanitaria sobre los productos de cacao y chocolate destinados a la alimentación humana (B... (Apartado 1.13, que cierra: «siempre que el chocolate represente, al menos, el 25 por ciento del peso total del prod... · https://www.boe.es/buscar/act.php?id=BOE-A-2003-15599</t>
      </text>
    </comment>
    <comment ref="E17" authorId="0" shapeId="0">
      <text>
        <t>Verificado el 12-09-2026 · Real Decreto 1055/2003, de 1 de agosto, por el que se aprueba la Reglamentación técnico-sanitaria sobre los productos de cacao y chocolate destinados a la alimentación humana (B... (La tabla de mínimos de los apartados 1.1 a 1.13 más 6.g) se ha cotejado fila a fila contra el consolidado:...) · https://www.boe.es/buscar/act.php?id=BOE-A-2003-15599</t>
      </text>
    </comment>
    <comment ref="E18" authorId="0" shapeId="0">
      <text>
        <t>Verificado el 12-09-2026 · Real Decreto 1055/2003, de 1 de agosto, por el que se aprueba la Reglamentación técnico-sanitaria sobre los productos de cacao y chocolate destinados a la alimentación humana (B... (La tabla de mínimos de los apartados 1.1 a 1.13 más 6.g) se ha cotejado fila a fila contra el consolidado:...) · https://www.boe.es/buscar/act.php?id=BOE-A-2003-15599</t>
      </text>
    </comment>
    <comment ref="E19" authorId="0" shapeId="0">
      <text>
        <t>Verificado el 12-09-2026 · Real Decreto 1055/2003, de 1 de agosto, por el que se aprueba la Reglamentación técnico-sanitaria sobre los productos de cacao y chocolate destinados a la alimentación humana (B... (La tabla de mínimos de los apartados 1.1 a 1.13 más 6.g) se ha cotejado fila a fila contra el consolidado:...) · https://www.boe.es/buscar/act.php?id=BOE-A-2003-15599</t>
      </text>
    </comment>
    <comment ref="E20" authorId="0" shapeId="0">
      <text>
        <t>Verificado el 12-09-2026 · Real Decreto 1055/2003, de 1 de agosto, por el que se aprueba la Reglamentación técnico-sanitaria sobre los productos de cacao y chocolate destinados a la alimentación humana (B... (La tabla de mínimos de los apartados 1.1 a 1.13 más 6.g) se ha cotejado fila a fila contra el consolidado:...) · https://www.boe.es/buscar/act.php?id=BOE-A-2003-15599</t>
      </text>
    </comment>
    <comment ref="E21" authorId="0" shapeId="0">
      <text>
        <t>Verificado el 12-09-2026 · Real Decreto 1055/2003, de 1 de agosto, por el que se aprueba la Reglamentación técnico-sanitaria sobre los productos de cacao y chocolate destinados a la alimentación humana (B... (La tabla de mínimos de los apartados 1.1 a 1.13 más 6.g) se ha cotejado fila a fila contra el consolidado:...) · https://www.boe.es/buscar/act.php?id=BOE-A-2003-15599</t>
      </text>
    </comment>
    <comment ref="E22" authorId="0" shapeId="0">
      <text>
        <t>Verificado el 12-09-2026 · Real Decreto 1055/2003, de 1 de agosto, por el que se aprueba la Reglamentación técnico-sanitaria sobre los productos de cacao y chocolate destinados a la alimentación humana (B... (Apartado 1.10.) · https://www.boe.es/buscar/act.php?id=BOE-A-2003-15599</t>
      </text>
    </comment>
    <comment ref="E23" authorId="0" shapeId="0">
      <text>
        <t>Verificado el 12-09-2026 · Real Decreto 1055/2003, de 1 de agosto, por el que se aprueba la Reglamentación técnico-sanitaria sobre los productos de cacao y chocolate destinados a la alimentación humana (B... (Apartados 1.11, 1.12 y 6.e).) · https://www.boe.es/buscar/act.php?id=BOE-A-2003-15599</t>
      </text>
    </comment>
    <comment ref="E24" authorId="0" shapeId="0">
      <text>
        <t>Verificado el 12-09-2026 · Real Decreto 1055/2003, de 1 de agosto, por el que se aprueba la Reglamentación técnico-sanitaria sobre los productos de cacao y chocolate destinados a la alimentación humana (B... (Apartados 1.11, 1.12 y 6.e).) · https://www.boe.es/buscar/act.php?id=BOE-A-2003-15599</t>
      </text>
    </comment>
    <comment ref="E25" authorId="0" shapeId="0">
      <text>
        <t>Verificado el 12-09-2026 · Real Decreto 1055/2003, de 1 de agosto, por el que se aprueba la Reglamentación técnico-sanitaria sobre los productos de cacao y chocolate destinados a la alimentación humana (B... (Apartados 1.11, 1.12 y 6.e).) · https://www.boe.es/buscar/act.php?id=BOE-A-2003-15599</t>
      </text>
    </comment>
    <comment ref="E26" authorId="0" shapeId="0">
      <text>
        <t>Verificado el 12-09-2026 · Real Decreto 1055/2003, de 1 de agosto, por el que se aprueba la Reglamentación técnico-sanitaria sobre los productos de cacao y chocolate destinados a la alimentación humana (B... (La tabla de mínimos de los apartados 1.1 a 1.13 más 6.g) se ha cotejado fila a fila contra el consolidado:...) · https://www.boe.es/buscar/act.php?id=BOE-A-2003-15599</t>
      </text>
    </comment>
    <comment ref="E27" authorId="0" shapeId="0">
      <text>
        <t>Verificado el 12-09-2026 · Real Decreto 1055/2003, de 1 de agosto, por el que se aprueba la Reglamentación técnico-sanitaria sobre los productos de cacao y chocolate destinados a la alimentación humana (B... (La tabla de mínimos de los apartados 1.1 a 1.13 más 6.g) se ha cotejado fila a fila contra el consolidado:...) · https://www.boe.es/buscar/act.php?id=BOE-A-2003-15599</t>
      </text>
    </comment>
    <comment ref="E28" authorId="0" shapeId="0">
      <text>
        <t>Verificado el 12-09-2026 · Real Decreto 348/2011, de 11 de marzo, por el que se aprueba la norma de calidad para caramelos, chicles, confites y golosinas (BOE-A-2011-5394), texto consolidado · «Última mod... (Apartados 1.3, 1.3.1.3, 1.3.3 y 3.1.4 de la norma de calidad.) · https://www.boe.es/buscar/act.php?id=BOE-A-2011-5394</t>
      </text>
    </comment>
    <comment ref="E29" authorId="0" shapeId="0">
      <text>
        <t>Verificado el 12-09-2026 · Real Decreto 1055/2003, de 1 de agosto, por el que se aprueba la Reglamentación técnico-sanitaria sobre los productos de cacao y chocolate destinados a la alimentación humana (B... (La tabla de mínimos de los apartados 1.1 a 1.13 más 6.g) se ha cotejado fila a fila contra el consolidado:...) · https://www.boe.es/buscar/act.php?id=BOE-A-2003-15599</t>
      </text>
    </comment>
    <comment ref="E30" authorId="0" shapeId="0">
      <text>
        <t>Verificado el 12-09-2026 · Real Decreto 348/2011, de 11 de marzo, por el que se aprueba la norma de calidad para caramelos, chicles, confites y golosinas (BOE-A-2011-5394), texto consolidado · «Última mod... (Apartados 1.3, 1.3.1.3, 1.3.3 y 3.1.4 de la norma de calidad.) · https://www.boe.es/buscar/act.php?id=BOE-A-2011-5394</t>
      </text>
    </comment>
    <comment ref="E31" authorId="0" shapeId="0">
      <text>
        <t>Verificado el 12-09-2026 · Real Decreto 1055/2003, de 1 de agosto, por el que se aprueba la Reglamentación técnico-sanitaria sobre los productos de cacao y chocolate destinados a la alimentación humana (B... (Apartados 6.a) («sólo se aplicarán a los productos que en él figuran y deberán ser utilizadas en el comercio para d... · https://www.boe.es/buscar/act.php?id=BOE-A-2003-15599</t>
      </text>
    </comment>
    <comment ref="E32" authorId="0" shapeId="0">
      <text>
        <t>Verificado el 12-09-2026 · Real Decreto 1055/2003, de 1 de agosto, por el que se aprueba la Reglamentación técnico-sanitaria sobre los productos de cacao y chocolate destinados a la alimentación humana (B... (Apartados 6.a) («sólo se aplicarán a los productos que en él figuran y deberán ser utilizadas en el comercio para d... · https://www.boe.es/buscar/act.php?id=BOE-A-2003-15599</t>
      </text>
    </comment>
    <comment ref="E33" authorId="0" shapeId="0">
      <text>
        <t>Verificado el 12-09-2026 · Real Decreto 1055/2003, de 1 de agosto, por el que se aprueba la Reglamentación técnico-sanitaria sobre los productos de cacao y chocolate destinados a la alimentación humana (B... (Apartados 6.a) («sólo se aplicarán a los productos que en él figuran y deberán ser utilizadas en el comercio para d... · https://www.boe.es/buscar/act.php?id=BOE-A-2003-15599</t>
      </text>
    </comment>
    <comment ref="E34" authorId="0" shapeId="0">
      <text>
        <t>Verificado el 12-09-2026 · Real Decreto 1055/2003, de 1 de agosto, por el que se aprueba la Reglamentación técnico-sanitaria sobre los productos de cacao y chocolate destinados a la alimentación humana (B... (Apartados 6.a) («sólo se aplicarán a los productos que en él figuran y deberán ser utilizadas en el comercio para d... · https://www.boe.es/buscar/act.php?id=BOE-A-2003-15599</t>
      </text>
    </comment>
    <comment ref="B38" authorId="0" shapeId="0">
      <text>
        <t>Verificado el 12-09-2026 · Real Decreto 1055/2003, de 1 de agosto, por el que se aprueba la Reglamentación técnico-sanitaria sobre los productos de cacao y chocolate destinados a la alimentación humana (B... (Apartado 4.) · https://www.boe.es/buscar/act.php?id=BOE-A-2003-15599</t>
      </text>
    </comment>
    <comment ref="B39" authorId="0" shapeId="0">
      <text>
        <t>Verificado el 12-09-2026 · Real Decreto 1055/2003, de 1 de agosto, por el que se aprueba la Reglamentación técnico-sanitaria sobre los productos de cacao y chocolate destinados a la alimentación humana (B... (Apartados 1.11, 1.12 y 6.e).) · https://www.boe.es/buscar/act.php?id=BOE-A-2003-15599</t>
      </text>
    </comment>
    <comment ref="B40" authorId="0" shapeId="0">
      <text>
        <t>Verificado el 12-09-2026 · Real Decreto 1055/2003, de 1 de agosto, por el que se aprueba la Reglamentación técnico-sanitaria sobre los productos de cacao y chocolate destinados a la alimentación humana (B... (Apartados 1.11, 1.12 y 6.e).) · https://www.boe.es/buscar/act.php?id=BOE-A-2003-15599</t>
      </text>
    </comment>
    <comment ref="B41" authorId="0" shapeId="0">
      <text>
        <t>Verificado el 12-09-2026 · Real Decreto 1055/2003, de 1 de agosto, por el que se aprueba la Reglamentación técnico-sanitaria sobre los productos de cacao y chocolate destinados a la alimentación humana (B... (Apartados 1.11, 1.12 y 6.e).) · https://www.boe.es/buscar/act.php?id=BOE-A-2003-15599</t>
      </text>
    </comment>
    <comment ref="B53" authorId="0" shapeId="0">
      <text>
        <t>Verificado el 12-09-2026 · Real Decreto 1055/2003, de 1 de agosto, por el que se aprueba la Reglamentación técnico-sanitaria sobre los productos de cacao y chocolate destinados a la alimentación humana (B... (Apartados 3.1 y 3.2.) · https://www.boe.es/buscar/act.php?id=BOE-A-2003-15599</t>
      </text>
    </comment>
  </commentList>
</comments>
</file>

<file path=xl/comments/comment3.xml><?xml version="1.0" encoding="utf-8"?>
<comments xmlns="http://schemas.openxmlformats.org/spreadsheetml/2006/main">
  <authors>
    <author>AI Chef Pro</author>
  </authors>
  <commentList>
    <comment ref="C36" authorId="0" shapeId="0">
      <text>
        <t>CHS-29: Precio de venta al público del bombón artesano · fiabilidad media · https://www.confiteriagascon.com/bombones-artesanos-caja-mediana-20-unidades_pr385952</t>
      </text>
    </comment>
    <comment ref="D36" authorId="0" shapeId="0">
      <text>
        <t>CHS-29: Precio de venta al público del bombón artesano · fiabilidad media · https://www.confiteriagascon.com/bombones-artesanos-caja-mediana-20-unidades_pr385952</t>
      </text>
    </comment>
    <comment ref="E36" authorId="0" shapeId="0">
      <text>
        <t>CHS-29: Precio de venta al público del bombón artesano · fiabilidad media · https://www.confiteriagascon.com/bombones-artesanos-caja-mediana-20-unidades_pr385952</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fitToPage="1"/>
  </sheetPr>
  <dimension ref="A1:A33"/>
  <sheetViews>
    <sheetView workbookViewId="0">
      <selection activeCell="A1" sqref="A1"/>
    </sheetView>
  </sheetViews>
  <sheetFormatPr baseColWidth="8" defaultRowHeight="15"/>
  <cols>
    <col width="90" customWidth="1" min="1" max="1"/>
  </cols>
  <sheetData>
    <row r="1">
      <c r="A1" s="1" t="inlineStr">
        <is>
          <t>Carta de Apertura y Escandallo del Obrador de Bombonería</t>
        </is>
      </c>
    </row>
    <row r="2">
      <c r="A2" s="2" t="inlineStr">
        <is>
          <t>AI Chef Pro · aichef.pro — Cómo Montar una Chocolatería</t>
        </is>
      </c>
    </row>
    <row r="3">
      <c r="A3" s="3" t="inlineStr">
        <is>
          <t>Para qué sirve: decidir qué vendes, a cuánto, cómo lo puedes llamar y si la caja te gana o te cuesta dinero.</t>
        </is>
      </c>
    </row>
    <row r="4"/>
    <row r="5">
      <c r="A5" s="4" t="inlineStr">
        <is>
          <t>Instrucciones de uso</t>
        </is>
      </c>
    </row>
    <row r="6" ht="72" customHeight="1">
      <c r="A6" s="5" t="inlineStr">
        <is>
          <t>1. Hoja «Parámetros». Empieza por el bloque de personal de obrador: el coste de la hora de obrador NO es un dato del sector y no se teclea, se calcula con el bruto de tu convenio, las pagas, la jornada de cada persona y la Seguridad Social a cargo de la empresa. Justo debajo está el bloque del PRECIO DE COBERTURA, que viene del libro 3 y que es la celda más crítica de todo el paquete, y la tabla de precios de compra: es la única tabla donde se tocan los precios, y de ella beben las 42 líneas de las fórmulas de relleno.</t>
        </is>
      </c>
    </row>
    <row r="7" ht="72" customHeight="1">
      <c r="A7" s="5" t="inlineStr">
        <is>
          <t>2. Hoja «Denominaciones y Mínimos Legales». Dos capas, y no son lo mismo. La capa (a) la calcula el libro solo, con los gramos que tú metes en el escandallo: el porcentaje de chocolate sobre el PESO TOTAL de la pieza, con el relleno dentro. La capa (b) son tres celdas verdes por cobertura -materia seca total de cacao, manteca de cacao y materia seca desgrasada- que tienes que COPIAR de la ficha técnica de tu proveedor: la bolsa sólo trae el total, y la norma trabaja con las tres.</t>
        </is>
      </c>
    </row>
    <row r="8" ht="72" customHeight="1">
      <c r="A8" s="5" t="inlineStr">
        <is>
          <t>3. Hoja «Escandallo por Molde y Tanda». Arriba, las fórmulas de relleno: una línea por ingrediente, con la cantidad que entra en un kilo. Abajo, una fila por referencia con los gramos de chocolate y los gramos de relleno por pieza. El coste de materia sale solo. Las cajas no tienen escandallo propio: se componen de sus bombones.</t>
        </is>
      </c>
    </row>
    <row r="9" ht="72" customHeight="1">
      <c r="A9" s="5" t="inlineStr">
        <is>
          <t>4. Hoja «Merma de Templado y Recortes». Dos tasas por referencia, y son distintas a propósito: el chocolate limpio que recortas vuelve a la cuba y no se pierde; el que lleva ganache o fruta va a residuo. La hoja te dice cuántos kilos al año vuelven, cuántos se van y cuánto te cuesta eso.</t>
        </is>
      </c>
    </row>
    <row r="10" ht="72" customHeight="1">
      <c r="A10" s="5" t="inlineStr">
        <is>
          <t>5. Hoja «Coste Hora y Mano de Obra». Piezas por molde, moldes por tanda y minutos de la tanda. De ahí salen el coste de mano de obra por pieza, el coste total, el food cost, el margen en euros y el precio que te pide tu propia regla de margen. Es la hoja que enseña a dejar de regalar el trabajo del obrador.</t>
        </is>
      </c>
    </row>
    <row r="11" ht="72" customHeight="1">
      <c r="A11" s="5" t="inlineStr">
        <is>
          <t>6. Hoja «Unidad vs Caja». Escribe cuántos bombones de cada tipo lleva cada caja. El libro compara el precio de la caja con la suma de sus unidades sueltas y te dice si la caja te gana o te cuesta dinero. Y aquí sí entra la mano de obra de los bombones de dentro: una caja no cuesta sólo lo que cuesta montarla.</t>
        </is>
      </c>
    </row>
    <row r="12" ht="72" customHeight="1">
      <c r="A12" s="5" t="inlineStr">
        <is>
          <t>7. Hoja «Mix y Ticket Medio». Reparte el 100 % de tus unidades entre las 28 referencias, y otra vez para julio y agosto, que no se vende lo mismo. De ahí sale tu ticket medio, que no se copia de ningún estudio porque no existe un ticket medio publicado de chocolatería.</t>
        </is>
      </c>
    </row>
    <row r="13" ht="72" customHeight="1">
      <c r="A13" s="5" t="inlineStr">
        <is>
          <t>8. Hoja «Decisión de Surtido». Cruza margen y rotación y te dice qué mantener, a qué revisarle el precio y qué retirar. Repásala a los tres meses de abrir, con ventas reales, y otra vez al cambiar de temporada.</t>
        </is>
      </c>
    </row>
    <row r="14"/>
    <row r="15">
      <c r="A15" s="6" t="inlineStr">
        <is>
          <t>Celdas verdes = campos editables</t>
        </is>
      </c>
    </row>
    <row r="16"/>
    <row r="17">
      <c r="A17" s="4" t="inlineStr">
        <is>
          <t>Lo que conviene saber antes de empezar</t>
        </is>
      </c>
    </row>
    <row r="18" ht="86" customHeight="1">
      <c r="A18" s="5" t="inlineStr">
        <is>
          <t>EL 25 % DEL BOMBÓN SE CALCULA SOBRE EL PESO TOTAL, CON EL RELLENO DENTRO. La norma tiene DOS bases de cálculo opuestas y confundirlas cambia el veredicto: en los apartados 1.6 a 1.9, 1.11 y 1.12 los mínimos se calculan DESCONTANDO los ingredientes añadidos; en el 1.10 (chocolate relleno) y en el 1.13 (bombón) el contenido de chocolate se calcula SOBRE EL PESO TOTAL del producto acabado, relleno incluido. Calcular el 25 % del bombón descontando el relleno da un resultado más favorable que el legal y deja pasar una referencia que no cumple.</t>
        </is>
      </c>
    </row>
    <row r="19" ht="86" customHeight="1">
      <c r="A19" s="5" t="inlineStr">
        <is>
          <t>LA BOLSA DE COBERTURA NO TRAE LO QUE LA NORMA PIDE. Una bolsa publica «54,5 %» y nada más. La norma no trabaja con «% de cacao»: trabaja con materia seca TOTAL de cacao, manteca de cacao y materia seca DESGRASADA. Son tres magnitudes y están en la ficha técnica del proveedor, no en el envase. Pídesela: es la misma ficha que te va a pedir el libro de proveedores para el boletín de cadmio.</t>
        </is>
      </c>
    </row>
    <row r="20" ht="86" customHeight="1">
      <c r="A20" s="5" t="inlineStr">
        <is>
          <t>PRALINÉ NO ES UN NOMBRE COMERCIAL. El punto 10 de la parte A del Anexo I de la Directiva 2000/36/CE se titula «Bombón de chocolate o praliné»: es denominación de venta europea y le aplica el MISMO mínimo del 25 %. «Trufa», en cambio, no aparece ni una vez en el Real Decreto 1055/2003: es un TIPO de bombón, no una categoría legal.</t>
        </is>
      </c>
    </row>
    <row r="21" ht="86" customHeight="1">
      <c r="A21" s="5" t="inlineStr">
        <is>
          <t>EL RECORTE LIMPIO NO ES MERMA, Y EL QUE LLEVA GANACHE SÍ. Lo dice el propio Kit de Tareas Chocolatería: «El chocolate sin relleno y sin contaminar se puede refundir; el que lleva ganache o fruta, a residuo». Por eso este libro lleva DOS tasas por referencia. La recuperable no encarece la materia -vuelve a la cuba-, pero sí cuesta volver a templarla, y ese trabajo lo paga la mano de obra. La no recuperable se reparte entre las piezas que salen bien.</t>
        </is>
      </c>
    </row>
    <row r="22" ht="86" customHeight="1">
      <c r="A22" s="5" t="inlineStr">
        <is>
          <t>EL FOOD COST SE CALCULA CON LAS DOS PATAS EN LA MISMA BASE. El precio de cobertura publicado por el distribuidor viene CON IVA y el precio de la caja de bombones es un precio de mostrador, que también lo lleva. Un escandallo se calcula con precios SIN IVA, porque el soportado es deducible: con la base equivocada en un solo lado del cociente el food cost sale alrededor de un 9 % alto y el margen que crees tener no existe.</t>
        </is>
      </c>
    </row>
    <row r="23" ht="86" customHeight="1">
      <c r="A23" s="5" t="inlineStr">
        <is>
          <t>LA REGLA DEL MARGEN ES UNA SOLA, DICHA DE DOS FORMAS. Food cost del 30 % y margen bruto del 70 % son el mismo número visto del derecho y del revés. Por eso «Parámetros» te pide UNO y calcula el otro: cualquier herramienta que te pida los dos te va a dejar ponerlos incoherentes.</t>
        </is>
      </c>
    </row>
    <row r="24" ht="86" customHeight="1">
      <c r="A24" s="5" t="inlineStr">
        <is>
          <t>DÓNDE ESTÁ EL ESCANDALLO UNITARIO, QUE AQUÍ NO ESTÁ. El Kit de Escandallos trae una hoja de tarta de chocolate dentro de su libro de pastelería: costea una elaboración por unidad. Lo que no existe en el catálogo es el escandallo del obrador de bombonería -por molde y por tanda, con merma de templado, recorte recuperable y la caja como unidad de venta-, y eso es lo que construye esta guía. El método de costeo por lote y la ingeniería de menú son la Guía Food Cost, capítulo 17.</t>
        </is>
      </c>
    </row>
    <row r="25" ht="86" customHeight="1">
      <c r="A25" s="5" t="inlineStr">
        <is>
          <t>DÓNDE ESTÁN LAS CURVAS DE TEMPLADO, QUE AQUÍ TAMPOCO. Las curvas y las fichas de moldeado son del Kit de Tareas Chocolatería (12 €), hoja «Templado» de su 02-partidas-produccion.xlsx. Esta guía no repite la técnica: pone los euros. Y los tres tipos de cobertura con los que se monta el escandallo son los que el propio kit precarga: negra del 55 al 70 % de cacao, con leche del 35 al 40 % y blanca del 28 al 33 %.</t>
        </is>
      </c>
    </row>
    <row r="26" ht="86" customHeight="1">
      <c r="A26" s="5" t="inlineStr">
        <is>
          <t>LOS PRECIOS DE COMPRA DEL EJEMPLO SON DE UNA BOMBONERÍA MODELADA. Sólo dos están verificados con fuente: la cobertura de marca y la de origen. El resto son supuestos declarados, porque no hay precio público de materia prima de relleno. Bórralos y pon tus albaranes: un escandallo con precios de otro no vale nada.</t>
        </is>
      </c>
    </row>
    <row r="27"/>
    <row r="28" ht="62" customHeight="1">
      <c r="A28" s="5" t="inlineStr">
        <is>
          <t>Cada cuánto se usa este libro: el precio de la cobertura y los precios de compra, CADA VEZ que te suba un proveedor y como mínimo una vez al trimestre -y el del cacao se mueve solo, por eso tiene un libro entero para él-. El escandallo y los minutos de la tanda, al montar la carta y cada vez que cambies un proceso. Las denominaciones, UNA VEZ por referencia y siempre que cambies de cobertura. El mix, el ticket medio y la decisión de surtido, a los tres meses de abrir y luego cada temporada, con el mix de julio y agosto aparte.</t>
        </is>
      </c>
    </row>
    <row r="29"/>
    <row r="30" ht="30" customHeight="1">
      <c r="A30" s="5" t="inlineStr">
        <is>
          <t>Para editar la estructura o una celda que no esté en verde: Revisar &gt; Desproteger hoja (no tiene contraseña).</t>
        </is>
      </c>
    </row>
    <row r="31"/>
    <row r="32">
      <c r="A32" s="5" t="inlineStr">
        <is>
          <t>Diseñado por John Guerrero — chef y consultor gastronómico desde 2010, en cocina desde los 17 años.</t>
        </is>
      </c>
    </row>
    <row r="33">
      <c r="A33"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pageMargins left="0.39" right="0.39" top="0.59" bottom="0.59" header="0.5" footer="0.5"/>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75"/>
  <sheetViews>
    <sheetView workbookViewId="0">
      <pane ySplit="47" topLeftCell="A48" activePane="bottomLeft" state="frozen"/>
      <selection pane="bottomLeft" activeCell="A1" sqref="A1"/>
    </sheetView>
  </sheetViews>
  <sheetFormatPr baseColWidth="8" defaultRowHeight="15"/>
  <cols>
    <col width="52" customWidth="1" min="1" max="1"/>
    <col width="16" customWidth="1" min="2" max="2"/>
    <col width="14" customWidth="1" min="3" max="3"/>
    <col width="22" customWidth="1" min="4" max="4"/>
    <col width="78" customWidth="1" min="5" max="5"/>
    <col width="16" customWidth="1" min="6" max="6"/>
    <col width="18" customWidth="1" min="7" max="7"/>
    <col width="46" customWidth="1" min="8" max="8"/>
  </cols>
  <sheetData>
    <row r="1">
      <c r="A1" s="1" t="inlineStr">
        <is>
          <t>Parámetros</t>
        </is>
      </c>
    </row>
    <row r="2">
      <c r="A2" s="2" t="inlineStr">
        <is>
          <t>AI Chef Pro · aichef.pro — Cómo Montar una Chocolatería</t>
        </is>
      </c>
    </row>
    <row r="3">
      <c r="A3" s="3" t="inlineStr">
        <is>
          <t>Todo lo que el resto de hojas da por sabido vive aquí. Ninguna fórmula de este libro lleva un número dentro.</t>
        </is>
      </c>
    </row>
    <row r="4"/>
    <row r="5">
      <c r="A5" s="4" t="inlineStr">
        <is>
          <t>Personal de obrador y coste de la hora (se CALCULA, no se teclea)</t>
        </is>
      </c>
    </row>
    <row r="6" ht="48" customHeight="1">
      <c r="A6" s="8" t="inlineStr">
        <is>
          <t>Perfil (nombre literal del Kit de Tareas Chocolatería)</t>
        </is>
      </c>
      <c r="B6" s="8" t="inlineStr">
        <is>
          <t>Jornada (1,0 = completa)</t>
        </is>
      </c>
      <c r="C6" s="8" t="inlineStr">
        <is>
          <t>Grupo del convenio</t>
        </is>
      </c>
      <c r="D6" s="8" t="inlineStr">
        <is>
          <t>Bruto mensual del grupo (EUR)</t>
        </is>
      </c>
      <c r="E6" s="8" t="inlineStr">
        <is>
          <t>Bruto anual con pagas y jornada (EUR)</t>
        </is>
      </c>
      <c r="F6" s="8" t="inlineStr">
        <is>
          <t>Coste de empresa con Seguridad Social (EUR)</t>
        </is>
      </c>
      <c r="G6" s="8" t="inlineStr">
        <is>
          <t>Horas productivas al año</t>
        </is>
      </c>
      <c r="H6" s="8" t="inlineStr">
        <is>
          <t>Nota</t>
        </is>
      </c>
    </row>
    <row r="7" ht="38" customHeight="1">
      <c r="A7" t="inlineStr">
        <is>
          <t>Encargado</t>
        </is>
      </c>
      <c r="B7" s="9" t="n">
        <v>1</v>
      </c>
      <c r="C7" t="inlineStr">
        <is>
          <t>2 - Direccion, jefes y encargados</t>
        </is>
      </c>
      <c r="D7" s="10" t="n">
        <v>1427.89</v>
      </c>
      <c r="E7" s="11">
        <f>D7*'Parámetros'!$B$11*B7</f>
        <v>21418.350000000002</v>
      </c>
      <c r="F7" s="11">
        <f>E7*(1+'Parámetros'!$B$12)</f>
        <v>28486.405500000004</v>
      </c>
      <c r="G7" s="12">
        <f>'Parámetros'!$B$13*B7*'Parámetros'!$B$14</f>
        <v>1513.0</v>
      </c>
      <c r="H7" s="13" t="inlineStr">
        <is>
          <t>Turno partido (08:00-13:00 y 17:00-20:00). Tabla salarial de Madrid, marcada EJEMPLO: sustitúyela por la de TU convenio.</t>
        </is>
      </c>
    </row>
    <row r="8" ht="38" customHeight="1">
      <c r="A8" t="inlineStr">
        <is>
          <t>Chocolatero</t>
        </is>
      </c>
      <c r="B8" s="9" t="n">
        <v>1</v>
      </c>
      <c r="C8" t="inlineStr">
        <is>
          <t>3 - Personal especialista</t>
        </is>
      </c>
      <c r="D8" s="10" t="n">
        <v>1376.91</v>
      </c>
      <c r="E8" s="11">
        <f>D8*'Parámetros'!$B$11*B8</f>
        <v>20653.65</v>
      </c>
      <c r="F8" s="11">
        <f>E8*(1+'Parámetros'!$B$12)</f>
        <v>27469.354500000005</v>
      </c>
      <c r="G8" s="12">
        <f>'Parámetros'!$B$13*B8*'Parámetros'!$B$14</f>
        <v>1513.0</v>
      </c>
      <c r="H8" s="13" t="inlineStr">
        <is>
          <t>Turno manana (07:00-15:00). Tabla salarial de Madrid, marcada EJEMPLO: sustitúyela por la de TU convenio.</t>
        </is>
      </c>
    </row>
    <row r="9">
      <c r="A9" s="14" t="inlineStr">
        <is>
          <t>TOTAL del obrador</t>
        </is>
      </c>
      <c r="E9" s="15">
        <f>SUM(E7:E8)</f>
        <v>42072.0</v>
      </c>
      <c r="F9" s="15">
        <f>SUM(F7:F8)</f>
        <v>55955.76000000001</v>
      </c>
      <c r="G9" s="16">
        <f>SUM(G7:G8)</f>
        <v>3026.0</v>
      </c>
    </row>
    <row r="10"/>
    <row r="11" ht="42" customHeight="1">
      <c r="A11" s="5" t="inlineStr">
        <is>
          <t>Pagas del convenio al año</t>
        </is>
      </c>
      <c r="B11" s="17" t="n">
        <v>15</v>
      </c>
      <c r="C11" t="inlineStr">
        <is>
          <t>pagas</t>
        </is>
      </c>
      <c r="D11" s="18" t="inlineStr">
        <is>
          <t>CHN-65b</t>
        </is>
      </c>
      <c r="E11" s="13" t="inlineStr">
        <is>
          <t>El convenio de Madrid paga 15, no 14: cambia el coste mes a mes.</t>
        </is>
      </c>
    </row>
    <row r="12" ht="42" customHeight="1">
      <c r="A12" s="5" t="inlineStr">
        <is>
          <t>Seguridad Social a cargo de la empresa</t>
        </is>
      </c>
      <c r="B12" s="19" t="n">
        <v>0.33</v>
      </c>
      <c r="C12" t="inlineStr">
        <is>
          <t>sobre bruto</t>
        </is>
      </c>
      <c r="D12" s="18" t="inlineStr">
        <is>
          <t>motor.PARAMETROS</t>
        </is>
      </c>
      <c r="E12" s="13" t="inlineStr">
        <is>
          <t>Cotización empresarial aproximada sobre el bruto: contingencias comunes, desempleo, FOGASA y formación. Ajústala a tus contratos.</t>
        </is>
      </c>
    </row>
    <row r="13" ht="42" customHeight="1">
      <c r="A13" s="5" t="inlineStr">
        <is>
          <t>Horas anuales de contrato a jornada completa</t>
        </is>
      </c>
      <c r="B13" s="17" t="n">
        <v>1780</v>
      </c>
      <c r="C13" t="inlineStr">
        <is>
          <t>horas/año</t>
        </is>
      </c>
      <c r="D13" s="18" t="inlineStr">
        <is>
          <t>supuesto</t>
        </is>
      </c>
      <c r="E13" s="13" t="inlineStr">
        <is>
          <t>40 horas por 52 semanas son 2.080, menos 30 días naturales de vacaciones y los festivos del calendario laboral.</t>
        </is>
      </c>
    </row>
    <row r="14" ht="42" customHeight="1">
      <c r="A14" s="5" t="inlineStr">
        <is>
          <t>Parte de la jornada que se pasa a pie de mesa</t>
        </is>
      </c>
      <c r="B14" s="19" t="n">
        <v>0.85</v>
      </c>
      <c r="C14" t="inlineStr">
        <is>
          <t>sobre la jornada</t>
        </is>
      </c>
      <c r="D14" s="18" t="inlineStr">
        <is>
          <t>supuesto</t>
        </is>
      </c>
      <c r="E14" s="13" t="inlineStr">
        <is>
          <t>El resto es recepción, limpieza, formación y reuniones. Repartir el coste entre las horas de contrato en vez de entre las productivas abarata la hora de obrador y sale un margen que no existe.</t>
        </is>
      </c>
    </row>
    <row r="15" ht="42" customHeight="1">
      <c r="A15" s="5" t="inlineStr">
        <is>
          <t>COSTE DE LA HORA DE OBRADOR</t>
        </is>
      </c>
      <c r="B15" s="20">
        <f>IFERROR(F9/G9,"")</f>
        <v>18.49165895571712</v>
      </c>
      <c r="C15" t="inlineStr">
        <is>
          <t>EUR/hora productiva</t>
        </is>
      </c>
      <c r="D15" s="18" t="inlineStr">
        <is>
          <t>calculado</t>
        </is>
      </c>
      <c r="E15" s="13" t="inlineStr">
        <is>
          <t>Coste de empresa de las personas de obrador entre sus horas PRODUCTIVAS. Del bruto al coste de empresa hay un 33 %, y es el salto que más sorprende. No es el bruto ni el bruto con Seguridad Social.</t>
        </is>
      </c>
    </row>
    <row r="16"/>
    <row r="17">
      <c r="A17" s="4" t="inlineStr">
        <is>
          <t>IVA por familia (regla 3 de la SPEC)</t>
        </is>
      </c>
    </row>
    <row r="18" ht="42" customHeight="1">
      <c r="A18" s="5" t="inlineStr">
        <is>
          <t>IVA del chocolate (entrega de un bien)</t>
        </is>
      </c>
      <c r="B18" s="19" t="n">
        <v>0.1</v>
      </c>
      <c r="C18" t="inlineStr">
        <is>
          <t>sobre base</t>
        </is>
      </c>
      <c r="D18" s="18" t="inlineStr">
        <is>
          <t>CHN-71</t>
        </is>
      </c>
      <c r="E18" s="13" t="inlineStr">
        <is>
          <t>El chocolate va al 10 % POR EXCLUSIÓN, no porque un precepto lo nombre: la lista del 4 % es cerrada y tiene siete letras, y el chocolate no está en ninguna ni entre las dos exclusiones del 10 %.</t>
        </is>
      </c>
    </row>
    <row r="19" ht="42" customHeight="1">
      <c r="A19" s="5" t="inlineStr">
        <is>
          <t>IVA del chocolate a la taza servido en sala</t>
        </is>
      </c>
      <c r="B19" s="19" t="n">
        <v>0.1</v>
      </c>
      <c r="C19" t="inlineStr">
        <is>
          <t>sobre base</t>
        </is>
      </c>
      <c r="D19" s="18" t="inlineStr">
        <is>
          <t>CHN-71c</t>
        </is>
      </c>
      <c r="E19" s="13" t="inlineStr">
        <is>
          <t>Servirlo en sala es prestación de servicio de hostelería, no entrega de un bien: va al 10 % por el art. 91.Uno.2.2.º. Si mañana cambia uno de los dos tipos, el libro no se toca: se cambia aquí.</t>
        </is>
      </c>
    </row>
    <row r="20"/>
    <row r="21">
      <c r="A21" s="4" t="inlineStr">
        <is>
          <t>La regla del margen, que es UNA SOLA</t>
        </is>
      </c>
    </row>
    <row r="22" ht="42" customHeight="1">
      <c r="A22" s="5" t="inlineStr">
        <is>
          <t>Food cost objetivo (coste de materia sobre PVP)</t>
        </is>
      </c>
      <c r="B22" s="19" t="n">
        <v>0.3</v>
      </c>
      <c r="C22" t="inlineStr">
        <is>
          <t>sobre PVP sin IVA</t>
        </is>
      </c>
      <c r="D22" s="18" t="inlineStr">
        <is>
          <t>supuesto</t>
        </is>
      </c>
      <c r="E22" s="13" t="inlineStr">
        <is>
          <t>SUPUESTO declarado: no existe dato público de food cost de bombonería. Es el ÚNICO de los dos números que se teclea.</t>
        </is>
      </c>
    </row>
    <row r="23" ht="42" customHeight="1">
      <c r="A23" s="5" t="inlineStr">
        <is>
          <t>Margen bruto objetivo (se DERIVA del anterior)</t>
        </is>
      </c>
      <c r="B23" s="21">
        <f>1-'Parámetros'!$B$22</f>
        <v>0.7</v>
      </c>
      <c r="C23" t="inlineStr">
        <is>
          <t>sobre PVP sin IVA</t>
        </is>
      </c>
      <c r="D23" s="18" t="inlineStr">
        <is>
          <t>calculado</t>
        </is>
      </c>
      <c r="E23" s="13" t="inlineStr">
        <is>
          <t>Margen bruto y food cost son la misma regla dicha dos veces. Publicarlos como dos reglas independientes es un error de método: se pueden poner incoherentes y nadie se entera.</t>
        </is>
      </c>
    </row>
    <row r="24"/>
    <row r="25" ht="30" customHeight="1">
      <c r="A25" s="4" t="inlineStr">
        <is>
          <t>Precio de cobertura EN BASE IMPONIBLE: trae aquí la cifra de sensibilidad-al-precio-del-cacao.xlsx!Coste de Cobertura!G7 (negra; G8/G9/G10 para origen/leche/blanca en la fila de cada una, columna de base imponible, nunca la de base con IVA)</t>
        </is>
      </c>
      <c r="H25" s="22" t="inlineStr">
        <is>
          <t>Cruce 4 &lt;- 3 de la SPEC: celda verde con su valor por defecto declarado y fila de CUADRE. NO hay fórmula entre ficheros.</t>
        </is>
      </c>
    </row>
    <row r="26" ht="48" customHeight="1">
      <c r="A26" s="8" t="inlineStr">
        <is>
          <t>Cobertura</t>
        </is>
      </c>
      <c r="B26" s="8" t="inlineStr">
        <is>
          <t>Precio en BASE IMPONIBLE traído del libro 3 (EUR/kg)</t>
        </is>
      </c>
      <c r="C26" s="8" t="inlineStr">
        <is>
          <t>Precio que publica hoy el libro 3 (EUR/kg)</t>
        </is>
      </c>
      <c r="D26" s="8" t="inlineStr">
        <is>
          <t>Desviación</t>
        </is>
      </c>
      <c r="E26" s="8" t="inlineStr">
        <is>
          <t>Base de IVA de la fuente, y nota</t>
        </is>
      </c>
      <c r="F26" s="8" t="inlineStr">
        <is>
          <t>Celda exacta del libro 3</t>
        </is>
      </c>
    </row>
    <row r="27" ht="44" customHeight="1">
      <c r="A27" s="5" t="inlineStr">
        <is>
          <t>Cobertura de chocolate negro (marca, 54,5 % de cacao)</t>
        </is>
      </c>
      <c r="B27" s="23" t="n">
        <v>22.7455</v>
      </c>
      <c r="C27" s="23" t="n">
        <v>22.7455</v>
      </c>
      <c r="D27" s="24">
        <f>IFERROR(ABS(B27-C27)/C27,"")</f>
        <v>0.0</v>
      </c>
      <c r="E27" s="13" t="inlineStr">
        <is>
          <t>Base de la fuente: con IVA. LA CELDA MAS CRITICA DEL PAQUETE. Base CON IVA declarada por la ficha (`CHS-28a`): el libro 3 la publica en las dos bases y lo que viaja al 4 y al 7 es la base imponible. Las tres magnitudes de arriba son SUPUESTO: pidesela a tu proveedor, la bolsa solo trae el total.</t>
        </is>
      </c>
      <c r="F27" s="5" t="inlineStr">
        <is>
          <t>Coste de Cobertura!G7 (cacao del 55 al 70 % según el kit)</t>
        </is>
      </c>
    </row>
    <row r="28" ht="44" customHeight="1">
      <c r="A28" s="5" t="inlineStr">
        <is>
          <t>Cobertura de chocolate de origen (70 % de cacao)</t>
        </is>
      </c>
      <c r="B28" s="23" t="n">
        <v>37.48</v>
      </c>
      <c r="C28" s="23" t="n">
        <v>37.48</v>
      </c>
      <c r="D28" s="24">
        <f>IFERROR(ABS(B28-C28)/C28,"")</f>
        <v>0.0</v>
      </c>
      <c r="E28" s="13" t="inlineStr">
        <is>
          <t>Base de la fuente: no declarada. Factor 1,5 frente a la de marca, y es la decision de posicionamiento mas cara del negocio (decision 5 del bonus 2). La pagina no declara si el precio lleva IVA: se trata como base imponible y se marca.</t>
        </is>
      </c>
      <c r="F28" s="5" t="inlineStr">
        <is>
          <t>Coste de Cobertura!G8 (cacao del 55 al 70 % según el kit)</t>
        </is>
      </c>
    </row>
    <row r="29" ht="44" customHeight="1">
      <c r="A29" s="5" t="inlineStr">
        <is>
          <t>Cobertura de chocolate con leche (38 % de cacao)</t>
        </is>
      </c>
      <c r="B29" s="23" t="n">
        <v>19.5</v>
      </c>
      <c r="C29" s="23" t="n">
        <v>19.5</v>
      </c>
      <c r="D29" s="24">
        <f>IFERROR(ABS(B29-C29)/C29,"")</f>
        <v>0.0</v>
      </c>
      <c r="E29" s="13" t="inlineStr">
        <is>
          <t>Base de la fuente: sin IVA. SUPUESTO declarado: no hay precio verificado de cobertura con leche en el research. Celda verde con valor por defecto (regla 2 de §2.3: ninguna celda verde vacia).</t>
        </is>
      </c>
      <c r="F29" s="5" t="inlineStr">
        <is>
          <t>Coste de Cobertura!G9 (cacao del 35 al 40 % según el kit)</t>
        </is>
      </c>
    </row>
    <row r="30" ht="44" customHeight="1">
      <c r="A30" s="5" t="inlineStr">
        <is>
          <t>Cobertura de chocolate blanco (30 % de cacao)</t>
        </is>
      </c>
      <c r="B30" s="23" t="n">
        <v>21</v>
      </c>
      <c r="C30" s="23" t="n">
        <v>21</v>
      </c>
      <c r="D30" s="24">
        <f>IFERROR(ABS(B30-C30)/C30,"")</f>
        <v>0.0</v>
      </c>
      <c r="E30" s="13" t="inlineStr">
        <is>
          <t>Base de la fuente: sin IVA. SUPUESTO declarado. Ojo al chocolate blanco: NO lleva materia seca desgrasada de cacao, y por eso el art. 6.d) del RD 1055/2003 NO le obliga a la mencion «cacao: X % minimo» (`CHN-07`).</t>
        </is>
      </c>
      <c r="F30" s="5" t="inlineStr">
        <is>
          <t>Coste de Cobertura!G10 (cacao del 28 al 33 % según el kit)</t>
        </is>
      </c>
    </row>
    <row r="31">
      <c r="A31" s="14" t="inlineStr">
        <is>
          <t>CUADRE: lo que has traído frente a lo que publica el libro 3</t>
        </is>
      </c>
      <c r="B31" s="25">
        <f>MAX(D27:D30)</f>
        <v>0.0</v>
      </c>
      <c r="C31" t="inlineStr">
        <is>
          <t>desviación máxima</t>
        </is>
      </c>
      <c r="D31" s="14" t="str">
        <f>IF(NOT(ISNUMBER(B31)),"",IF(B31&lt;='Parámetros'!$B$40,"CUADRA","REVISA: lo que has traído no es lo que publica el libro 3"))</f>
        <v>CUADRA</v>
      </c>
      <c r="E31" s="13" t="inlineStr">
        <is>
          <t>Si el libro 3 cambia de escenario de precio, cambian las dos columnas. Esta fila existe para que no se quede una sola.</t>
        </is>
      </c>
    </row>
    <row r="32"/>
    <row r="33">
      <c r="A33" s="4" t="inlineStr">
        <is>
          <t>Volumen, packaging y umbrales</t>
        </is>
      </c>
    </row>
    <row r="34" ht="42" customHeight="1">
      <c r="A34" s="5" t="inlineStr">
        <is>
          <t>Clientes al día en velocidad de crucero</t>
        </is>
      </c>
      <c r="B34" s="17" t="n">
        <v>67</v>
      </c>
      <c r="C34" t="inlineStr">
        <is>
          <t>clientes/día</t>
        </is>
      </c>
      <c r="D34" s="18" t="inlineStr">
        <is>
          <t>supuesto</t>
        </is>
      </c>
      <c r="E34" s="13" t="inlineStr">
        <is>
          <t>NO es un dato del sector: no existe ticket medio publicado de chocolatería. Mídelo con tu TPV en dos semanas.</t>
        </is>
      </c>
    </row>
    <row r="35" ht="42" customHeight="1">
      <c r="A35" s="5" t="inlineStr">
        <is>
          <t>Piezas por ticket</t>
        </is>
      </c>
      <c r="B35" s="9" t="n">
        <v>1.4</v>
      </c>
      <c r="C35" t="inlineStr">
        <is>
          <t>piezas/ticket</t>
        </is>
      </c>
      <c r="D35" s="18" t="inlineStr">
        <is>
          <t>supuesto</t>
        </is>
      </c>
      <c r="E35" s="13" t="inlineStr">
        <is>
          <t>En bombonería es BAJO porque la unidad de venta real es la caja: quien entra a por un regalo se lleva UNA caja, no ocho bombones.</t>
        </is>
      </c>
    </row>
    <row r="36" ht="42" customHeight="1">
      <c r="A36" s="5" t="inlineStr">
        <is>
          <t>Días de apertura al año</t>
        </is>
      </c>
      <c r="B36" s="17" t="n">
        <v>304</v>
      </c>
      <c r="C36" t="inlineStr">
        <is>
          <t>días</t>
        </is>
      </c>
      <c r="D36" s="18" t="inlineStr">
        <is>
          <t>supuesto</t>
        </is>
      </c>
      <c r="E36" s="13" t="inlineStr">
        <is>
          <t>6 dias por semana x 52 semanas = 312, menos 8 dias de cierre por festivos = 304. En agosto la TIENDA NO CIERRA: lo que para es el obrador (D36, y el literal del kit dice «la tienda abre para el turista aunque el obrador pare»). Una bomboneria de menos de 300 m2 tiene libertad horaria por el art. 5.2 de la Ley 1/2004, no por el 5.1 (`CHN-77`).</t>
        </is>
      </c>
    </row>
    <row r="37" ht="42" customHeight="1">
      <c r="A37" s="5" t="inlineStr">
        <is>
          <t>Piezas vendidas al día</t>
        </is>
      </c>
      <c r="B37" s="26">
        <f>IFERROR('Parámetros'!$B$34*'Parámetros'!$B$35,"")</f>
        <v>93.8</v>
      </c>
      <c r="C37" t="inlineStr">
        <is>
          <t>piezas/día</t>
        </is>
      </c>
      <c r="D37" s="18" t="inlineStr">
        <is>
          <t>calculado</t>
        </is>
      </c>
      <c r="E37" s="13" t="inlineStr">
        <is>
          <t>Clientes al día por piezas por ticket.</t>
        </is>
      </c>
    </row>
    <row r="38" ht="42" customHeight="1">
      <c r="A38" s="5" t="inlineStr">
        <is>
          <t>Piezas vendidas al año</t>
        </is>
      </c>
      <c r="B38" s="27">
        <f>IFERROR('Parámetros'!$B$37*'Parámetros'!$B$36,"")</f>
        <v>28515.2</v>
      </c>
      <c r="C38" t="inlineStr">
        <is>
          <t>piezas/año</t>
        </is>
      </c>
      <c r="D38" s="18" t="inlineStr">
        <is>
          <t>calculado</t>
        </is>
      </c>
      <c r="E38" s="13" t="inlineStr">
        <is>
          <t>Es el volumen con el que la hoja de merma pasa de euros por pieza a euros al año, y el que reparte el mix en unidades.</t>
        </is>
      </c>
    </row>
    <row r="39" ht="42" customHeight="1">
      <c r="A39" s="5" t="inlineStr">
        <is>
          <t>Packaging sobre el coste de la pieza</t>
        </is>
      </c>
      <c r="B39" s="19" t="n">
        <v>0.12</v>
      </c>
      <c r="C39" t="inlineStr">
        <is>
          <t>sobre el coste</t>
        </is>
      </c>
      <c r="D39" s="18" t="inlineStr">
        <is>
          <t>supuesto</t>
        </is>
      </c>
      <c r="E39" s="13" t="inlineStr">
        <is>
          <t>En bombonería pesa más que en pastelería: en las campañas de regalo la caja ES el producto. Es lo que separa el food cost de escandallo del food cost servido.</t>
        </is>
      </c>
    </row>
    <row r="40" ht="42" customHeight="1">
      <c r="A40" s="5" t="inlineStr">
        <is>
          <t>Tolerancia de las filas de CUADRE</t>
        </is>
      </c>
      <c r="B40" s="19" t="n">
        <v>0.02</v>
      </c>
      <c r="C40" t="inlineStr">
        <is>
          <t>desviación</t>
        </is>
      </c>
      <c r="D40" s="18" t="inlineStr">
        <is>
          <t>supuesto</t>
        </is>
      </c>
      <c r="E40" s="13" t="inlineStr">
        <is>
          <t>Por encima de esta desviación, la fila de CUADRE avisa de que lo que has traído de otro libro ya no es lo que aquel publica.</t>
        </is>
      </c>
    </row>
    <row r="41" ht="42" customHeight="1">
      <c r="A41" s="5" t="inlineStr">
        <is>
          <t>Food cost por encima del cual la hoja avisa</t>
        </is>
      </c>
      <c r="B41" s="19" t="n">
        <v>0.35</v>
      </c>
      <c r="C41" t="inlineStr">
        <is>
          <t>sobre PVP</t>
        </is>
      </c>
      <c r="D41" s="18" t="inlineStr">
        <is>
          <t>supuesto</t>
        </is>
      </c>
      <c r="E41" s="13" t="inlineStr">
        <is>
          <t>Criterio de la casa, no del sector. Una referencia por encima no es necesariamente mala: puede ser la que trae gente. Pero tiene que ser una decisión, no un descuido.</t>
        </is>
      </c>
    </row>
    <row r="42" ht="42" customHeight="1">
      <c r="A42" s="5" t="inlineStr">
        <is>
          <t>Rotación mínima para no revisar una referencia</t>
        </is>
      </c>
      <c r="B42" s="9" t="n">
        <v>2</v>
      </c>
      <c r="C42" t="inlineStr">
        <is>
          <t>% del mix</t>
        </is>
      </c>
      <c r="D42" s="18" t="inlineStr">
        <is>
          <t>supuesto</t>
        </is>
      </c>
      <c r="E42" s="13" t="inlineStr">
        <is>
          <t>Por debajo de este peso en el mix, la referencia entra en la decisión de surtido aunque tenga buen margen: ocupa molde, cámara y cabeza.</t>
        </is>
      </c>
    </row>
    <row r="43" ht="42" customHeight="1">
      <c r="A43" s="5" t="inlineStr">
        <is>
          <t>Merma NO recuperable por encima de la cual avisa</t>
        </is>
      </c>
      <c r="B43" s="19" t="n">
        <v>0.05</v>
      </c>
      <c r="C43" t="inlineStr">
        <is>
          <t>sobre la tanda</t>
        </is>
      </c>
      <c r="D43" s="18" t="inlineStr">
        <is>
          <t>supuesto</t>
        </is>
      </c>
      <c r="E43" s="13" t="inlineStr">
        <is>
          <t>La recuperable no dispara nada: vuelve a la cuba. La que se tira, sí.</t>
        </is>
      </c>
    </row>
    <row r="44" ht="42" customHeight="1">
      <c r="A44" s="5" t="inlineStr">
        <is>
          <t>Margen mínimo por pieza</t>
        </is>
      </c>
      <c r="B44" s="10" t="n">
        <v>0.9</v>
      </c>
      <c r="C44" t="inlineStr">
        <is>
          <t>EUR/pieza</t>
        </is>
      </c>
      <c r="D44" s="18" t="inlineStr">
        <is>
          <t>supuesto</t>
        </is>
      </c>
      <c r="E44" s="13" t="inlineStr">
        <is>
          <t>Umbral de la decisión de surtido. Es el margen en EUROS, no el porcentaje: un 70 % sobre una pieza de 0,40 EUR no paga el alquiler.</t>
        </is>
      </c>
    </row>
    <row r="45"/>
    <row r="46">
      <c r="A46" s="4" t="inlineStr">
        <is>
          <t>Precios de compra: la ÚNICA tabla donde se tocan los precios</t>
        </is>
      </c>
    </row>
    <row r="47" ht="32" customHeight="1">
      <c r="A47" s="8" t="inlineStr">
        <is>
          <t>Ingrediente</t>
        </is>
      </c>
      <c r="B47" s="8" t="inlineStr">
        <is>
          <t>Precio de compra SIN IVA (EUR)</t>
        </is>
      </c>
      <c r="C47" s="8" t="inlineStr">
        <is>
          <t>Unidad de compra</t>
        </is>
      </c>
      <c r="D47" s="8" t="inlineStr">
        <is>
          <t>De dónde sale</t>
        </is>
      </c>
      <c r="E47" s="8" t="inlineStr">
        <is>
          <t>Nota</t>
        </is>
      </c>
    </row>
    <row r="48" ht="30" customHeight="1">
      <c r="A48" t="inlineStr">
        <is>
          <t>Almendra marcona repelada</t>
        </is>
      </c>
      <c r="B48" s="23" t="n">
        <v>12.4</v>
      </c>
      <c r="C48" t="inlineStr">
        <is>
          <t>kg</t>
        </is>
      </c>
      <c r="D48" s="18" t="inlineStr">
        <is>
          <t>supuesto</t>
        </is>
      </c>
      <c r="E48" s="13" t="inlineStr">
        <is>
          <t>SUPUESTO declarado: el research no verificó ningún precio de materia prima de relleno. Ponlo de tu albarán.</t>
        </is>
      </c>
    </row>
    <row r="49" ht="30" customHeight="1">
      <c r="A49" t="inlineStr">
        <is>
          <t>Almidon de maiz</t>
        </is>
      </c>
      <c r="B49" s="23" t="n">
        <v>2.1</v>
      </c>
      <c r="C49" t="inlineStr">
        <is>
          <t>kg</t>
        </is>
      </c>
      <c r="D49" s="18" t="inlineStr">
        <is>
          <t>supuesto</t>
        </is>
      </c>
      <c r="E49" s="13" t="inlineStr">
        <is>
          <t>SUPUESTO declarado: el research no verificó ningún precio de materia prima de relleno. Ponlo de tu albarán.</t>
        </is>
      </c>
    </row>
    <row r="50" ht="30" customHeight="1">
      <c r="A50" t="inlineStr">
        <is>
          <t>Avellana tostada</t>
        </is>
      </c>
      <c r="B50" s="23" t="n">
        <v>13.9</v>
      </c>
      <c r="C50" t="inlineStr">
        <is>
          <t>kg</t>
        </is>
      </c>
      <c r="D50" s="18" t="inlineStr">
        <is>
          <t>supuesto</t>
        </is>
      </c>
      <c r="E50" s="13" t="inlineStr">
        <is>
          <t>SUPUESTO declarado: el research no verificó ningún precio de materia prima de relleno. Ponlo de tu albarán.</t>
        </is>
      </c>
    </row>
    <row r="51" ht="30" customHeight="1">
      <c r="A51" t="inlineStr">
        <is>
          <t>Azucar</t>
        </is>
      </c>
      <c r="B51" s="23" t="n">
        <v>1.15</v>
      </c>
      <c r="C51" t="inlineStr">
        <is>
          <t>kg</t>
        </is>
      </c>
      <c r="D51" s="18" t="inlineStr">
        <is>
          <t>supuesto</t>
        </is>
      </c>
      <c r="E51" s="13" t="inlineStr">
        <is>
          <t>SUPUESTO declarado: el research no verificó ningún precio de materia prima de relleno. Ponlo de tu albarán.</t>
        </is>
      </c>
    </row>
    <row r="52" ht="30" customHeight="1">
      <c r="A52" t="inlineStr">
        <is>
          <t>Barquillo triturado</t>
        </is>
      </c>
      <c r="B52" s="23" t="n">
        <v>7.6</v>
      </c>
      <c r="C52" t="inlineStr">
        <is>
          <t>kg</t>
        </is>
      </c>
      <c r="D52" s="18" t="inlineStr">
        <is>
          <t>supuesto</t>
        </is>
      </c>
      <c r="E52" s="13" t="inlineStr">
        <is>
          <t>SUPUESTO declarado: el research no verificó ningún precio de materia prima de relleno. Ponlo de tu albarán.</t>
        </is>
      </c>
    </row>
    <row r="53" ht="30" customHeight="1">
      <c r="A53" t="inlineStr">
        <is>
          <t>Cacao en polvo desgrasado</t>
        </is>
      </c>
      <c r="B53" s="23" t="n">
        <v>11.5</v>
      </c>
      <c r="C53" t="inlineStr">
        <is>
          <t>kg</t>
        </is>
      </c>
      <c r="D53" s="18" t="inlineStr">
        <is>
          <t>supuesto</t>
        </is>
      </c>
      <c r="E53" s="13" t="inlineStr">
        <is>
          <t>SUPUESTO declarado: el research no verificó ningún precio de materia prima de relleno. Ponlo de tu albarán.</t>
        </is>
      </c>
    </row>
    <row r="54" ht="30" customHeight="1">
      <c r="A54" t="inlineStr">
        <is>
          <t>Cobertura blanca</t>
        </is>
      </c>
      <c r="B54" s="28">
        <f>B30</f>
        <v>21.0</v>
      </c>
      <c r="C54" t="inlineStr">
        <is>
          <t>kg</t>
        </is>
      </c>
      <c r="D54" s="18" t="inlineStr">
        <is>
          <t>supuesto</t>
        </is>
      </c>
      <c r="E54" s="13" t="inlineStr">
        <is>
          <t>Un concepto, una fuente: el precio de esta cobertura vive en el bloque de arriba, que es el que trae la cifra del libro 3. No se teclea dos veces.</t>
        </is>
      </c>
    </row>
    <row r="55" ht="30" customHeight="1">
      <c r="A55" t="inlineStr">
        <is>
          <t>Cobertura con leche</t>
        </is>
      </c>
      <c r="B55" s="28">
        <f>B29</f>
        <v>19.5</v>
      </c>
      <c r="C55" t="inlineStr">
        <is>
          <t>kg</t>
        </is>
      </c>
      <c r="D55" s="18" t="inlineStr">
        <is>
          <t>supuesto</t>
        </is>
      </c>
      <c r="E55" s="13" t="inlineStr">
        <is>
          <t>Un concepto, una fuente: el precio de esta cobertura vive en el bloque de arriba, que es el que trae la cifra del libro 3. No se teclea dos veces.</t>
        </is>
      </c>
    </row>
    <row r="56" ht="30" customHeight="1">
      <c r="A56" t="inlineStr">
        <is>
          <t>Cobertura de origen</t>
        </is>
      </c>
      <c r="B56" s="28">
        <f>B28</f>
        <v>37.48</v>
      </c>
      <c r="C56" t="inlineStr">
        <is>
          <t>kg</t>
        </is>
      </c>
      <c r="D56" s="18" t="inlineStr">
        <is>
          <t>CHS-28c</t>
        </is>
      </c>
      <c r="E56" s="13" t="inlineStr">
        <is>
          <t>Un concepto, una fuente: el precio de esta cobertura vive en el bloque de arriba, que es el que trae la cifra del libro 3. No se teclea dos veces.</t>
        </is>
      </c>
    </row>
    <row r="57" ht="30" customHeight="1">
      <c r="A57" t="inlineStr">
        <is>
          <t>Cobertura negra</t>
        </is>
      </c>
      <c r="B57" s="28">
        <f>B27</f>
        <v>22.7455</v>
      </c>
      <c r="C57" t="inlineStr">
        <is>
          <t>kg</t>
        </is>
      </c>
      <c r="D57" s="18" t="inlineStr">
        <is>
          <t>CHS-28a</t>
        </is>
      </c>
      <c r="E57" s="13" t="inlineStr">
        <is>
          <t>Un concepto, una fuente: el precio de esta cobertura vive en el bloque de arriba, que es el que trae la cifra del libro 3. No se teclea dos veces.</t>
        </is>
      </c>
    </row>
    <row r="58" ht="30" customHeight="1">
      <c r="A58" t="inlineStr">
        <is>
          <t>Glucosa</t>
        </is>
      </c>
      <c r="B58" s="23" t="n">
        <v>3.4</v>
      </c>
      <c r="C58" t="inlineStr">
        <is>
          <t>kg</t>
        </is>
      </c>
      <c r="D58" s="18" t="inlineStr">
        <is>
          <t>supuesto</t>
        </is>
      </c>
      <c r="E58" s="13" t="inlineStr">
        <is>
          <t>SUPUESTO declarado: el research no verificó ningún precio de materia prima de relleno. Ponlo de tu albarán.</t>
        </is>
      </c>
    </row>
    <row r="59" ht="30" customHeight="1">
      <c r="A59" t="inlineStr">
        <is>
          <t>Leche en polvo desnatada</t>
        </is>
      </c>
      <c r="B59" s="23" t="n">
        <v>6.4</v>
      </c>
      <c r="C59" t="inlineStr">
        <is>
          <t>kg</t>
        </is>
      </c>
      <c r="D59" s="18" t="inlineStr">
        <is>
          <t>supuesto</t>
        </is>
      </c>
      <c r="E59" s="13" t="inlineStr">
        <is>
          <t>SUPUESTO declarado: el research no verificó ningún precio de materia prima de relleno. Ponlo de tu albarán.</t>
        </is>
      </c>
    </row>
    <row r="60" ht="30" customHeight="1">
      <c r="A60" t="inlineStr">
        <is>
          <t>Manteca de cacao</t>
        </is>
      </c>
      <c r="B60" s="23" t="n">
        <v>18.6</v>
      </c>
      <c r="C60" t="inlineStr">
        <is>
          <t>kg</t>
        </is>
      </c>
      <c r="D60" s="18" t="inlineStr">
        <is>
          <t>supuesto</t>
        </is>
      </c>
      <c r="E60" s="13" t="inlineStr">
        <is>
          <t>SUPUESTO declarado: el research no verificó ningún precio de materia prima de relleno. Ponlo de tu albarán.</t>
        </is>
      </c>
    </row>
    <row r="61" ht="30" customHeight="1">
      <c r="A61" t="inlineStr">
        <is>
          <t>Mantequilla</t>
        </is>
      </c>
      <c r="B61" s="23" t="n">
        <v>9.800000000000001</v>
      </c>
      <c r="C61" t="inlineStr">
        <is>
          <t>kg</t>
        </is>
      </c>
      <c r="D61" s="18" t="inlineStr">
        <is>
          <t>supuesto</t>
        </is>
      </c>
      <c r="E61" s="13" t="inlineStr">
        <is>
          <t>SUPUESTO declarado: el research no verificó ningún precio de materia prima de relleno. Ponlo de tu albarán.</t>
        </is>
      </c>
    </row>
    <row r="62" ht="30" customHeight="1">
      <c r="A62" t="inlineStr">
        <is>
          <t>Naranja confitada</t>
        </is>
      </c>
      <c r="B62" s="23" t="n">
        <v>9.199999999999999</v>
      </c>
      <c r="C62" t="inlineStr">
        <is>
          <t>kg</t>
        </is>
      </c>
      <c r="D62" s="18" t="inlineStr">
        <is>
          <t>supuesto</t>
        </is>
      </c>
      <c r="E62" s="13" t="inlineStr">
        <is>
          <t>SUPUESTO declarado: el research no verificó ningún precio de materia prima de relleno. Ponlo de tu albarán.</t>
        </is>
      </c>
    </row>
    <row r="63" ht="30" customHeight="1">
      <c r="A63" t="inlineStr">
        <is>
          <t>Nata 35 % MG UHT</t>
        </is>
      </c>
      <c r="B63" s="23" t="n">
        <v>3.1</v>
      </c>
      <c r="C63" t="inlineStr">
        <is>
          <t>L</t>
        </is>
      </c>
      <c r="D63" s="18" t="inlineStr">
        <is>
          <t>supuesto</t>
        </is>
      </c>
      <c r="E63" s="13" t="inlineStr">
        <is>
          <t>SUPUESTO declarado: el research no verificó ningún precio de materia prima de relleno. Ponlo de tu albarán.</t>
        </is>
      </c>
    </row>
    <row r="64" ht="30" customHeight="1">
      <c r="A64" t="inlineStr">
        <is>
          <t>Nata 35 % MG fresca</t>
        </is>
      </c>
      <c r="B64" s="23" t="n">
        <v>4.2</v>
      </c>
      <c r="C64" t="inlineStr">
        <is>
          <t>L</t>
        </is>
      </c>
      <c r="D64" s="18" t="inlineStr">
        <is>
          <t>supuesto</t>
        </is>
      </c>
      <c r="E64" s="13" t="inlineStr">
        <is>
          <t>SUPUESTO declarado: el research no verificó ningún precio de materia prima de relleno. Ponlo de tu albarán.</t>
        </is>
      </c>
    </row>
    <row r="65" ht="30" customHeight="1">
      <c r="A65" t="inlineStr">
        <is>
          <t>Pasta de sesamo</t>
        </is>
      </c>
      <c r="B65" s="23" t="n">
        <v>8.9</v>
      </c>
      <c r="C65" t="inlineStr">
        <is>
          <t>kg</t>
        </is>
      </c>
      <c r="D65" s="18" t="inlineStr">
        <is>
          <t>supuesto</t>
        </is>
      </c>
      <c r="E65" s="13" t="inlineStr">
        <is>
          <t>SUPUESTO declarado: el research no verificó ningún precio de materia prima de relleno. Ponlo de tu albarán.</t>
        </is>
      </c>
    </row>
    <row r="66" ht="30" customHeight="1">
      <c r="A66" t="inlineStr">
        <is>
          <t>Pasta pura de avellana</t>
        </is>
      </c>
      <c r="B66" s="23" t="n">
        <v>22.5</v>
      </c>
      <c r="C66" t="inlineStr">
        <is>
          <t>kg</t>
        </is>
      </c>
      <c r="D66" s="18" t="inlineStr">
        <is>
          <t>supuesto</t>
        </is>
      </c>
      <c r="E66" s="13" t="inlineStr">
        <is>
          <t>SUPUESTO declarado: el research no verificó ningún precio de materia prima de relleno. Ponlo de tu albarán.</t>
        </is>
      </c>
    </row>
    <row r="67" ht="30" customHeight="1">
      <c r="A67" t="inlineStr">
        <is>
          <t>Praline de avellana 50 %</t>
        </is>
      </c>
      <c r="B67" s="23" t="n">
        <v>14.8</v>
      </c>
      <c r="C67" t="inlineStr">
        <is>
          <t>kg</t>
        </is>
      </c>
      <c r="D67" s="18" t="inlineStr">
        <is>
          <t>supuesto</t>
        </is>
      </c>
      <c r="E67" s="13" t="inlineStr">
        <is>
          <t>SUPUESTO declarado: el research no verificó ningún precio de materia prima de relleno. Ponlo de tu albarán.</t>
        </is>
      </c>
    </row>
    <row r="68" ht="30" customHeight="1">
      <c r="A68" t="inlineStr">
        <is>
          <t>Praline de cacahuete 50 %</t>
        </is>
      </c>
      <c r="B68" s="23" t="n">
        <v>9.6</v>
      </c>
      <c r="C68" t="inlineStr">
        <is>
          <t>kg</t>
        </is>
      </c>
      <c r="D68" s="18" t="inlineStr">
        <is>
          <t>supuesto</t>
        </is>
      </c>
      <c r="E68" s="13" t="inlineStr">
        <is>
          <t>SUPUESTO declarado: el research no verificó ningún precio de materia prima de relleno. Ponlo de tu albarán.</t>
        </is>
      </c>
    </row>
    <row r="69" ht="30" customHeight="1">
      <c r="A69" t="inlineStr">
        <is>
          <t>Ron anejo</t>
        </is>
      </c>
      <c r="B69" s="23" t="n">
        <v>16</v>
      </c>
      <c r="C69" t="inlineStr">
        <is>
          <t>L</t>
        </is>
      </c>
      <c r="D69" s="18" t="inlineStr">
        <is>
          <t>supuesto</t>
        </is>
      </c>
      <c r="E69" s="13" t="inlineStr">
        <is>
          <t>SUPUESTO declarado: el research no verificó ningún precio de materia prima de relleno. Ponlo de tu albarán.</t>
        </is>
      </c>
    </row>
    <row r="70" ht="30" customHeight="1">
      <c r="A70" t="inlineStr">
        <is>
          <t>Sal</t>
        </is>
      </c>
      <c r="B70" s="23" t="n">
        <v>0.9</v>
      </c>
      <c r="C70" t="inlineStr">
        <is>
          <t>kg</t>
        </is>
      </c>
      <c r="D70" s="18" t="inlineStr">
        <is>
          <t>supuesto</t>
        </is>
      </c>
      <c r="E70" s="13" t="inlineStr">
        <is>
          <t>SUPUESTO declarado: el research no verificó ningún precio de materia prima de relleno. Ponlo de tu albarán.</t>
        </is>
      </c>
    </row>
    <row r="71" ht="30" customHeight="1">
      <c r="A71" t="inlineStr">
        <is>
          <t>Sorbitol</t>
        </is>
      </c>
      <c r="B71" s="23" t="n">
        <v>6.2</v>
      </c>
      <c r="C71" t="inlineStr">
        <is>
          <t>kg</t>
        </is>
      </c>
      <c r="D71" s="18" t="inlineStr">
        <is>
          <t>supuesto</t>
        </is>
      </c>
      <c r="E71" s="13" t="inlineStr">
        <is>
          <t>SUPUESTO declarado: el research no verificó ningún precio de materia prima de relleno. Ponlo de tu albarán.</t>
        </is>
      </c>
    </row>
    <row r="72" ht="30" customHeight="1">
      <c r="A72" t="inlineStr">
        <is>
          <t>Vainilla en pasta</t>
        </is>
      </c>
      <c r="B72" s="23" t="n">
        <v>140</v>
      </c>
      <c r="C72" t="inlineStr">
        <is>
          <t>kg</t>
        </is>
      </c>
      <c r="D72" s="18" t="inlineStr">
        <is>
          <t>supuesto</t>
        </is>
      </c>
      <c r="E72" s="13" t="inlineStr">
        <is>
          <t>SUPUESTO declarado: el research no verificó ningún precio de materia prima de relleno. Ponlo de tu albarán.</t>
        </is>
      </c>
    </row>
    <row r="73" ht="30" customHeight="1">
      <c r="A73" t="inlineStr">
        <is>
          <t>Yema de huevo pasteurizada</t>
        </is>
      </c>
      <c r="B73" s="23" t="n">
        <v>4.6</v>
      </c>
      <c r="C73" t="inlineStr">
        <is>
          <t>L</t>
        </is>
      </c>
      <c r="D73" s="18" t="inlineStr">
        <is>
          <t>supuesto</t>
        </is>
      </c>
      <c r="E73" s="13" t="inlineStr">
        <is>
          <t>SUPUESTO declarado: el research no verificó ningún precio de materia prima de relleno. Ponlo de tu albarán.</t>
        </is>
      </c>
    </row>
    <row r="74"/>
    <row r="75">
      <c r="A75"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conditionalFormatting sqref="B31">
    <cfRule type="expression" priority="1" dxfId="0" stopIfTrue="1">
      <formula>=AND(ISNUMBER($B$31),$B$31&gt;'Parámetros'!$B$40)</formula>
    </cfRule>
  </conditionalFormatting>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O63"/>
  <sheetViews>
    <sheetView workbookViewId="0">
      <pane ySplit="55" topLeftCell="A56" activePane="bottomLeft" state="frozen"/>
      <selection pane="bottomLeft" activeCell="A1" sqref="A1"/>
    </sheetView>
  </sheetViews>
  <sheetFormatPr baseColWidth="8" defaultRowHeight="15"/>
  <cols>
    <col width="8" customWidth="1" min="1" max="1"/>
    <col width="46" customWidth="1" min="2" max="2"/>
    <col width="24" customWidth="1" min="3" max="3"/>
    <col width="34" customWidth="1" min="4" max="4"/>
    <col width="22" customWidth="1" min="5" max="5"/>
    <col width="58" customWidth="1" min="6" max="6"/>
    <col width="18" customWidth="1" min="7" max="7"/>
    <col width="20" customWidth="1" min="8" max="8"/>
    <col width="12" customWidth="1" min="9" max="9"/>
    <col width="14" customWidth="1" min="10" max="10"/>
    <col width="13" customWidth="1" min="11" max="11"/>
    <col width="15" customWidth="1" min="12" max="12"/>
    <col width="13" customWidth="1" min="13" max="13"/>
    <col width="36" customWidth="1" min="14" max="14"/>
    <col width="70" customWidth="1" min="15" max="15"/>
  </cols>
  <sheetData>
    <row r="1">
      <c r="A1" s="1" t="inlineStr">
        <is>
          <t>Denominaciones y Mínimos Legales</t>
        </is>
      </c>
    </row>
    <row r="2">
      <c r="A2" s="2" t="inlineStr">
        <is>
          <t>AI Chef Pro · aichef.pro — Cómo Montar una Chocolatería</t>
        </is>
      </c>
    </row>
    <row r="3">
      <c r="A3" s="3" t="inlineStr">
        <is>
          <t>Capa (a): lo que el escandallo SÍ calcula -el 25 % sobre el PESO TOTAL, relleno incluido-. Capa (b): las tres magnitudes que se COPIAN de la ficha técnica del proveedor, porque la bolsa no las trae.</t>
        </is>
      </c>
    </row>
    <row r="4"/>
    <row r="5">
      <c r="A5" s="4" t="inlineStr">
        <is>
          <t>Capa (a): el mínimo que sale de tus propios gramajes</t>
        </is>
      </c>
    </row>
    <row r="6" ht="62" customHeight="1">
      <c r="A6" s="8" t="inlineStr">
        <is>
          <t>Id</t>
        </is>
      </c>
      <c r="B6" s="8" t="inlineStr">
        <is>
          <t>Referencia</t>
        </is>
      </c>
      <c r="C6" s="8" t="inlineStr">
        <is>
          <t>Familia</t>
        </is>
      </c>
      <c r="D6" s="8" t="inlineStr">
        <is>
          <t>Denominación legal</t>
        </is>
      </c>
      <c r="E6" s="8" t="inlineStr">
        <is>
          <t>Fuente verificada</t>
        </is>
      </c>
      <c r="F6" s="8" t="inlineStr">
        <is>
          <t>Mínimo aplicable</t>
        </is>
      </c>
      <c r="G6" s="8" t="inlineStr">
        <is>
          <t>¿Obliga la mención «cacao: X % mínimo»?</t>
        </is>
      </c>
      <c r="H6" s="8" t="inlineStr">
        <is>
          <t>Vía de despacho</t>
        </is>
      </c>
      <c r="I6" s="8" t="inlineStr">
        <is>
          <t>Gramos de chocolate</t>
        </is>
      </c>
      <c r="J6" s="8" t="inlineStr">
        <is>
          <t>Gramos de relleno o materia añadida</t>
        </is>
      </c>
      <c r="K6" s="8" t="inlineStr">
        <is>
          <t>Peso total de la pieza (g)</t>
        </is>
      </c>
      <c r="L6" s="8" t="inlineStr">
        <is>
          <t>Chocolate sobre el PESO TOTAL</t>
        </is>
      </c>
      <c r="M6" s="8" t="inlineStr">
        <is>
          <t>¿Le aplica el 25 %?</t>
        </is>
      </c>
      <c r="N6" s="8" t="inlineStr">
        <is>
          <t>Veredicto</t>
        </is>
      </c>
      <c r="O6" s="8" t="inlineStr">
        <is>
          <t>Nota</t>
        </is>
      </c>
    </row>
    <row r="7" ht="54" customHeight="1">
      <c r="A7" t="inlineStr">
        <is>
          <t>BC1</t>
        </is>
      </c>
      <c r="B7" s="5" t="inlineStr">
        <is>
          <t>Bombon de ganache de chocolate negro 70 %</t>
        </is>
      </c>
      <c r="C7" t="inlineStr">
        <is>
          <t>Bombones de coleccion</t>
        </is>
      </c>
      <c r="D7" s="5" t="inlineStr">
        <is>
          <t>Bombon de chocolate</t>
        </is>
      </c>
      <c r="E7" s="18" t="inlineStr">
        <is>
          <t>CHN-03</t>
        </is>
      </c>
      <c r="F7" s="29" t="inlineStr">
        <is>
          <t>25 % de chocolate sobre el peso TOTAL</t>
        </is>
      </c>
      <c r="G7" t="inlineStr">
        <is>
          <t>No</t>
        </is>
      </c>
      <c r="H7" t="inlineStr">
        <is>
          <t>a granel</t>
        </is>
      </c>
      <c r="I7" s="30">
        <f>'Escandallo por Molde y Tanda'!E70</f>
        <v>5.5</v>
      </c>
      <c r="J7" s="30">
        <f>'Escandallo por Molde y Tanda'!F70</f>
        <v>6.5</v>
      </c>
      <c r="K7" s="30">
        <f>'Escandallo por Molde y Tanda'!G70</f>
        <v>12.0</v>
      </c>
      <c r="L7" s="24">
        <f>IFERROR(I7/K7,"")</f>
        <v>0.4583333333333333</v>
      </c>
      <c r="M7" t="inlineStr">
        <is>
          <t>Sí</t>
        </is>
      </c>
      <c r="N7" t="str">
        <f>IF(M7="No","No aplica: su mínimo es el de su denominación",IF(NOT(ISNUMBER(L7)),"",IF(L7&gt;=$B$38,"CUMPLE el 25 % sobre el peso total","NO CUMPLE: no puede llamarse así")))</f>
        <v>CUMPLE el 25 % sobre el peso total</v>
      </c>
      <c r="O7" s="13" t="inlineStr">
        <is>
          <t>La referencia que mas margen deja y la que antes caduca. Con 5,5 g de chocolate sobre 12 g de pieza, el chocolate es el 45,8 % del peso total: cumple el 25 % del ap. 1.13 con holgura. En julio y agosto baja a un tercio de su mix: es la primera que sale del catalogo de verano (literal del kit para junio: «menos ganache fresca»).</t>
        </is>
      </c>
    </row>
    <row r="8" ht="54" customHeight="1">
      <c r="A8" t="inlineStr">
        <is>
          <t>BC2</t>
        </is>
      </c>
      <c r="B8" s="5" t="inlineStr">
        <is>
          <t>Bombon de ganache de leche y vainilla</t>
        </is>
      </c>
      <c r="C8" t="inlineStr">
        <is>
          <t>Bombones de coleccion</t>
        </is>
      </c>
      <c r="D8" s="5" t="inlineStr">
        <is>
          <t>Bombon de chocolate</t>
        </is>
      </c>
      <c r="E8" s="18" t="inlineStr">
        <is>
          <t>CHN-03</t>
        </is>
      </c>
      <c r="F8" s="29" t="inlineStr">
        <is>
          <t>25 % de chocolate sobre el peso TOTAL</t>
        </is>
      </c>
      <c r="G8" t="inlineStr">
        <is>
          <t>No</t>
        </is>
      </c>
      <c r="H8" t="inlineStr">
        <is>
          <t>a granel</t>
        </is>
      </c>
      <c r="I8" s="30">
        <f>'Escandallo por Molde y Tanda'!E71</f>
        <v>5.5</v>
      </c>
      <c r="J8" s="30">
        <f>'Escandallo por Molde y Tanda'!F71</f>
        <v>6.5</v>
      </c>
      <c r="K8" s="30">
        <f>'Escandallo por Molde y Tanda'!G71</f>
        <v>12.0</v>
      </c>
      <c r="L8" s="24">
        <f>IFERROR(I8/K8,"")</f>
        <v>0.4583333333333333</v>
      </c>
      <c r="M8" t="inlineStr">
        <is>
          <t>Sí</t>
        </is>
      </c>
      <c r="N8" t="str">
        <f>IF(M8="No","No aplica: su mínimo es el de su denominación",IF(NOT(ISNUMBER(L8)),"",IF(L8&gt;=$B$38,"CUMPLE el 25 % sobre el peso total","NO CUMPLE: no puede llamarse así")))</f>
        <v>CUMPLE el 25 % sobre el peso total</v>
      </c>
      <c r="O8" s="13" t="inlineStr">
        <is>
          <t>Misma pieza que BC1 con otra formulacion: nata UHT y sorbitol. El kit le da 4-8 semanas frente a los 10-15 dias de BC1. Es LA decision de modelo de negocio del producto, y el libro 5 la cuantifica en euros de merma por caducidad al ano.</t>
        </is>
      </c>
    </row>
    <row r="9" ht="54" customHeight="1">
      <c r="A9" t="inlineStr">
        <is>
          <t>BC3</t>
        </is>
      </c>
      <c r="B9" s="5" t="inlineStr">
        <is>
          <t>Bombon de praline de avellana</t>
        </is>
      </c>
      <c r="C9" t="inlineStr">
        <is>
          <t>Bombones de coleccion</t>
        </is>
      </c>
      <c r="D9" s="5" t="inlineStr">
        <is>
          <t>Bombon de chocolate (praline)</t>
        </is>
      </c>
      <c r="E9" s="18" t="inlineStr">
        <is>
          <t>CHN-03 + CHN-82</t>
        </is>
      </c>
      <c r="F9" s="29" t="inlineStr">
        <is>
          <t>25 % de chocolate sobre el peso TOTAL</t>
        </is>
      </c>
      <c r="G9" t="inlineStr">
        <is>
          <t>No</t>
        </is>
      </c>
      <c r="H9" t="inlineStr">
        <is>
          <t>a granel</t>
        </is>
      </c>
      <c r="I9" s="30">
        <f>'Escandallo por Molde y Tanda'!E72</f>
        <v>5.0</v>
      </c>
      <c r="J9" s="30">
        <f>'Escandallo por Molde y Tanda'!F72</f>
        <v>7.0</v>
      </c>
      <c r="K9" s="30">
        <f>'Escandallo por Molde y Tanda'!G72</f>
        <v>12.0</v>
      </c>
      <c r="L9" s="24">
        <f>IFERROR(I9/K9,"")</f>
        <v>0.4166666666666667</v>
      </c>
      <c r="M9" t="inlineStr">
        <is>
          <t>Sí</t>
        </is>
      </c>
      <c r="N9" t="str">
        <f>IF(M9="No","No aplica: su mínimo es el de su denominación",IF(NOT(ISNUMBER(L9)),"",IF(L9&gt;=$B$38,"CUMPLE el 25 % sobre el peso total","NO CUMPLE: no puede llamarse así")))</f>
        <v>CUMPLE el 25 % sobre el peso total</v>
      </c>
      <c r="O9" s="13" t="inlineStr">
        <is>
          <t>«Praline» SI significa algo legalmente: es la denominacion de venta europea del bombon de chocolate (`CHN-82`), con el mismo minimo del 25 %. Escribir lo contrario esta prohibido (§5.1, prohibicion 7).</t>
        </is>
      </c>
    </row>
    <row r="10" ht="54" customHeight="1">
      <c r="A10" t="inlineStr">
        <is>
          <t>BC4</t>
        </is>
      </c>
      <c r="B10" s="5" t="inlineStr">
        <is>
          <t>Bombon de gianduja de avellana</t>
        </is>
      </c>
      <c r="C10" t="inlineStr">
        <is>
          <t>Bombones de coleccion</t>
        </is>
      </c>
      <c r="D10" s="5" t="inlineStr">
        <is>
          <t>Bombon de chocolate</t>
        </is>
      </c>
      <c r="E10" s="18" t="inlineStr">
        <is>
          <t>CHN-03</t>
        </is>
      </c>
      <c r="F10" s="29" t="inlineStr">
        <is>
          <t>25 % de chocolate sobre el peso TOTAL</t>
        </is>
      </c>
      <c r="G10" t="inlineStr">
        <is>
          <t>No</t>
        </is>
      </c>
      <c r="H10" t="inlineStr">
        <is>
          <t>a granel</t>
        </is>
      </c>
      <c r="I10" s="30">
        <f>'Escandallo por Molde y Tanda'!E73</f>
        <v>5.0</v>
      </c>
      <c r="J10" s="30">
        <f>'Escandallo por Molde y Tanda'!F73</f>
        <v>7.0</v>
      </c>
      <c r="K10" s="30">
        <f>'Escandallo por Molde y Tanda'!G73</f>
        <v>12.0</v>
      </c>
      <c r="L10" s="24">
        <f>IFERROR(I10/K10,"")</f>
        <v>0.4166666666666667</v>
      </c>
      <c r="M10" t="inlineStr">
        <is>
          <t>Sí</t>
        </is>
      </c>
      <c r="N10" t="str">
        <f>IF(M10="No","No aplica: su mínimo es el de su denominación",IF(NOT(ISNUMBER(L10)),"",IF(L10&gt;=$B$38,"CUMPLE el 25 % sobre el peso total","NO CUMPLE: no puede llamarse así")))</f>
        <v>CUMPLE el 25 % sobre el peso total</v>
      </c>
      <c r="O10" s="13" t="inlineStr">
        <is>
          <t>La gianduja tiene apartado propio en la norma (1.6.b.3), pero aqui va DENTRO de un bombon: la denominacion de venta que manda es la del producto que vendes, no la del relleno.</t>
        </is>
      </c>
    </row>
    <row r="11" ht="54" customHeight="1">
      <c r="A11" t="inlineStr">
        <is>
          <t>BC5</t>
        </is>
      </c>
      <c r="B11" s="5" t="inlineStr">
        <is>
          <t>Trufa de chocolate negro al cacao</t>
        </is>
      </c>
      <c r="C11" t="inlineStr">
        <is>
          <t>Bombones de coleccion</t>
        </is>
      </c>
      <c r="D11" s="5" t="inlineStr">
        <is>
          <t>Bombon de chocolate</t>
        </is>
      </c>
      <c r="E11" s="18" t="inlineStr">
        <is>
          <t>CHN-03 + CHN-03b</t>
        </is>
      </c>
      <c r="F11" s="29" t="inlineStr">
        <is>
          <t>25 % de chocolate sobre el peso TOTAL</t>
        </is>
      </c>
      <c r="G11" t="inlineStr">
        <is>
          <t>No</t>
        </is>
      </c>
      <c r="H11" t="inlineStr">
        <is>
          <t>a granel</t>
        </is>
      </c>
      <c r="I11" s="30">
        <f>'Escandallo por Molde y Tanda'!E74</f>
        <v>4.0</v>
      </c>
      <c r="J11" s="30">
        <f>'Escandallo por Molde y Tanda'!F74</f>
        <v>9.0</v>
      </c>
      <c r="K11" s="30">
        <f>'Escandallo por Molde y Tanda'!G74</f>
        <v>13.0</v>
      </c>
      <c r="L11" s="24">
        <f>IFERROR(I11/K11,"")</f>
        <v>0.3076923076923077</v>
      </c>
      <c r="M11" t="inlineStr">
        <is>
          <t>Sí</t>
        </is>
      </c>
      <c r="N11" t="str">
        <f>IF(M11="No","No aplica: su mínimo es el de su denominación",IF(NOT(ISNUMBER(L11)),"",IF(L11&gt;=$B$38,"CUMPLE el 25 % sobre el peso total","NO CUMPLE: no puede llamarse así")))</f>
        <v>CUMPLE el 25 % sobre el peso total</v>
      </c>
      <c r="O11" s="13" t="inlineStr">
        <is>
          <t>Aqui el 25 % se pelea: 4 g de chocolate sobre 13 g de pieza son el 30,8 %, y bajando el bano un gramo se cae por debajo del minimo legal. Es el ejemplo con el que el semaforo del libro 4 ensena para que sirve. «Trufa» no es una categoria legal espanola (`CHN-03b`).</t>
        </is>
      </c>
    </row>
    <row r="12" ht="54" customHeight="1">
      <c r="A12" t="inlineStr">
        <is>
          <t>BC6</t>
        </is>
      </c>
      <c r="B12" s="5" t="inlineStr">
        <is>
          <t>Bombon de licor de ron</t>
        </is>
      </c>
      <c r="C12" t="inlineStr">
        <is>
          <t>Bombones de coleccion</t>
        </is>
      </c>
      <c r="D12" s="5" t="inlineStr">
        <is>
          <t>Bombon de chocolate</t>
        </is>
      </c>
      <c r="E12" s="18" t="inlineStr">
        <is>
          <t>CHN-03</t>
        </is>
      </c>
      <c r="F12" s="29" t="inlineStr">
        <is>
          <t>25 % de chocolate sobre el peso TOTAL</t>
        </is>
      </c>
      <c r="G12" t="inlineStr">
        <is>
          <t>No</t>
        </is>
      </c>
      <c r="H12" t="inlineStr">
        <is>
          <t>a granel</t>
        </is>
      </c>
      <c r="I12" s="30">
        <f>'Escandallo por Molde y Tanda'!E75</f>
        <v>6.0</v>
      </c>
      <c r="J12" s="30">
        <f>'Escandallo por Molde y Tanda'!F75</f>
        <v>8.0</v>
      </c>
      <c r="K12" s="30">
        <f>'Escandallo por Molde y Tanda'!G75</f>
        <v>14.0</v>
      </c>
      <c r="L12" s="24">
        <f>IFERROR(I12/K12,"")</f>
        <v>0.42857142857142855</v>
      </c>
      <c r="M12" t="inlineStr">
        <is>
          <t>Sí</t>
        </is>
      </c>
      <c r="N12" t="str">
        <f>IF(M12="No","No aplica: su mínimo es el de su denominación",IF(NOT(ISNUMBER(L12)),"",IF(L12&gt;=$B$38,"CUMPLE el 25 % sobre el peso total","NO CUMPLE: no puede llamarse así")))</f>
        <v>CUMPLE el 25 % sobre el peso total</v>
      </c>
      <c r="O12" s="13" t="inlineStr">
        <is>
          <t>Cascara mas gruesa (6 g) porque el licor la ataca. La unica del surtido sin leche: si la vendes a granel al lado de las demas, la contaminacion cruzada en la pinza se come esa ventaja.</t>
        </is>
      </c>
    </row>
    <row r="13" ht="54" customHeight="1">
      <c r="A13" t="inlineStr">
        <is>
          <t>BC7</t>
        </is>
      </c>
      <c r="B13" s="5" t="inlineStr">
        <is>
          <t>Bombon de caramelo salado</t>
        </is>
      </c>
      <c r="C13" t="inlineStr">
        <is>
          <t>Bombones de coleccion</t>
        </is>
      </c>
      <c r="D13" s="5" t="inlineStr">
        <is>
          <t>Bombon de chocolate</t>
        </is>
      </c>
      <c r="E13" s="18" t="inlineStr">
        <is>
          <t>CHN-03</t>
        </is>
      </c>
      <c r="F13" s="29" t="inlineStr">
        <is>
          <t>25 % de chocolate sobre el peso TOTAL</t>
        </is>
      </c>
      <c r="G13" t="inlineStr">
        <is>
          <t>No</t>
        </is>
      </c>
      <c r="H13" t="inlineStr">
        <is>
          <t>a granel</t>
        </is>
      </c>
      <c r="I13" s="30">
        <f>'Escandallo por Molde y Tanda'!E76</f>
        <v>5.5</v>
      </c>
      <c r="J13" s="30">
        <f>'Escandallo por Molde y Tanda'!F76</f>
        <v>6.5</v>
      </c>
      <c r="K13" s="30">
        <f>'Escandallo por Molde y Tanda'!G76</f>
        <v>12.0</v>
      </c>
      <c r="L13" s="24">
        <f>IFERROR(I13/K13,"")</f>
        <v>0.4583333333333333</v>
      </c>
      <c r="M13" t="inlineStr">
        <is>
          <t>Sí</t>
        </is>
      </c>
      <c r="N13" t="str">
        <f>IF(M13="No","No aplica: su mínimo es el de su denominación",IF(NOT(ISNUMBER(L13)),"",IF(L13&gt;=$B$38,"CUMPLE el 25 % sobre el peso total","NO CUMPLE: no puede llamarse así")))</f>
        <v>CUMPLE el 25 % sobre el peso total</v>
      </c>
      <c r="O13" s="13" t="inlineStr">
        <is>
          <t>Azucar alto y agua baja: aguanta mucho mas que una ganache fresca.</t>
        </is>
      </c>
    </row>
    <row r="14" ht="54" customHeight="1">
      <c r="A14" t="inlineStr">
        <is>
          <t>BC8</t>
        </is>
      </c>
      <c r="B14" s="5" t="inlineStr">
        <is>
          <t>Bombon de praline de cacahuete</t>
        </is>
      </c>
      <c r="C14" t="inlineStr">
        <is>
          <t>Bombones de coleccion</t>
        </is>
      </c>
      <c r="D14" s="5" t="inlineStr">
        <is>
          <t>Bombon de chocolate (praline)</t>
        </is>
      </c>
      <c r="E14" s="18" t="inlineStr">
        <is>
          <t>CHN-03 + CHN-82</t>
        </is>
      </c>
      <c r="F14" s="29" t="inlineStr">
        <is>
          <t>25 % de chocolate sobre el peso TOTAL</t>
        </is>
      </c>
      <c r="G14" t="inlineStr">
        <is>
          <t>No</t>
        </is>
      </c>
      <c r="H14" t="inlineStr">
        <is>
          <t>a granel</t>
        </is>
      </c>
      <c r="I14" s="30">
        <f>'Escandallo por Molde y Tanda'!E77</f>
        <v>5.0</v>
      </c>
      <c r="J14" s="30">
        <f>'Escandallo por Molde y Tanda'!F77</f>
        <v>7.0</v>
      </c>
      <c r="K14" s="30">
        <f>'Escandallo por Molde y Tanda'!G77</f>
        <v>12.0</v>
      </c>
      <c r="L14" s="24">
        <f>IFERROR(I14/K14,"")</f>
        <v>0.4166666666666667</v>
      </c>
      <c r="M14" t="inlineStr">
        <is>
          <t>Sí</t>
        </is>
      </c>
      <c r="N14" t="str">
        <f>IF(M14="No","No aplica: su mínimo es el de su denominación",IF(NOT(ISNUMBER(L14)),"",IF(L14&gt;=$B$38,"CUMPLE el 25 % sobre el peso total","NO CUMPLE: no puede llamarse así")))</f>
        <v>CUMPLE el 25 % sobre el peso total</v>
      </c>
      <c r="O14" s="13" t="inlineStr">
        <is>
          <t>LA REFERENCIA QUE DEMUESTRA POR QUE SON OCHO Y NO CINCO: el cacahuete es el punto 5 del Anexo II y NO es un fruto de cascara (punto 8). Meterlo dentro de «frutos secos» es un error de etiquetado que puede mandar a alguien al hospital.</t>
        </is>
      </c>
    </row>
    <row r="15" ht="54" customHeight="1">
      <c r="A15" t="inlineStr">
        <is>
          <t>BC9</t>
        </is>
      </c>
      <c r="B15" s="5" t="inlineStr">
        <is>
          <t>Bombon crujiente de sesamo y barquillo</t>
        </is>
      </c>
      <c r="C15" t="inlineStr">
        <is>
          <t>Bombones de coleccion</t>
        </is>
      </c>
      <c r="D15" s="5" t="inlineStr">
        <is>
          <t>Bombon de chocolate</t>
        </is>
      </c>
      <c r="E15" s="18" t="inlineStr">
        <is>
          <t>CHN-03</t>
        </is>
      </c>
      <c r="F15" s="29" t="inlineStr">
        <is>
          <t>25 % de chocolate sobre el peso TOTAL</t>
        </is>
      </c>
      <c r="G15" t="inlineStr">
        <is>
          <t>No</t>
        </is>
      </c>
      <c r="H15" t="inlineStr">
        <is>
          <t>a granel</t>
        </is>
      </c>
      <c r="I15" s="30">
        <f>'Escandallo por Molde y Tanda'!E78</f>
        <v>5.0</v>
      </c>
      <c r="J15" s="30">
        <f>'Escandallo por Molde y Tanda'!F78</f>
        <v>7.0</v>
      </c>
      <c r="K15" s="30">
        <f>'Escandallo por Molde y Tanda'!G78</f>
        <v>12.0</v>
      </c>
      <c r="L15" s="24">
        <f>IFERROR(I15/K15,"")</f>
        <v>0.4166666666666667</v>
      </c>
      <c r="M15" t="inlineStr">
        <is>
          <t>Sí</t>
        </is>
      </c>
      <c r="N15" t="str">
        <f>IF(M15="No","No aplica: su mínimo es el de su denominación",IF(NOT(ISNUMBER(L15)),"",IF(L15&gt;=$B$38,"CUMPLE el 25 % sobre el peso total","NO CUMPLE: no puede llamarse así")))</f>
        <v>CUMPLE el 25 % sobre el peso total</v>
      </c>
      <c r="O15" s="13" t="inlineStr">
        <is>
          <t>Dos alergenos mas que sus companeras, y los dos independientes: granos de sesamo (punto 11) y cereales con gluten del barquillo (punto 1). El kit le da 3-4 semanas, y no por seguridad: pierde el crujiente mucho antes.</t>
        </is>
      </c>
    </row>
    <row r="16" ht="54" customHeight="1">
      <c r="A16" t="inlineStr">
        <is>
          <t>BC10</t>
        </is>
      </c>
      <c r="B16" s="5" t="inlineStr">
        <is>
          <t>Bombon de naranja confitada y chocolate negro</t>
        </is>
      </c>
      <c r="C16" t="inlineStr">
        <is>
          <t>Bombones de coleccion</t>
        </is>
      </c>
      <c r="D16" s="5" t="inlineStr">
        <is>
          <t>Bombon de chocolate</t>
        </is>
      </c>
      <c r="E16" s="18" t="inlineStr">
        <is>
          <t>CHN-03</t>
        </is>
      </c>
      <c r="F16" s="29" t="inlineStr">
        <is>
          <t>25 % de chocolate sobre el peso TOTAL</t>
        </is>
      </c>
      <c r="G16" t="inlineStr">
        <is>
          <t>No</t>
        </is>
      </c>
      <c r="H16" t="inlineStr">
        <is>
          <t>a granel</t>
        </is>
      </c>
      <c r="I16" s="30">
        <f>'Escandallo por Molde y Tanda'!E79</f>
        <v>5.5</v>
      </c>
      <c r="J16" s="30">
        <f>'Escandallo por Molde y Tanda'!F79</f>
        <v>6.5</v>
      </c>
      <c r="K16" s="30">
        <f>'Escandallo por Molde y Tanda'!G79</f>
        <v>12.0</v>
      </c>
      <c r="L16" s="24">
        <f>IFERROR(I16/K16,"")</f>
        <v>0.4583333333333333</v>
      </c>
      <c r="M16" t="inlineStr">
        <is>
          <t>Sí</t>
        </is>
      </c>
      <c r="N16" t="str">
        <f>IF(M16="No","No aplica: su mínimo es el de su denominación",IF(NOT(ISNUMBER(L16)),"",IF(L16&gt;=$B$38,"CUMPLE el 25 % sobre el peso total","NO CUMPLE: no puede llamarse así")))</f>
        <v>CUMPLE el 25 % sobre el peso total</v>
      </c>
      <c r="O16" s="13" t="inlineStr">
        <is>
          <t>La unica del surtido con SULFITOS, que es el octavo alergeno y el que mas se olvida: la fruta confitada suele llevarlos y el umbral de declaracion es de 10 mg/kg. La fruta ademas contamina el recorte: su merma NO recuperable es la mas alta de la carta (D40).</t>
        </is>
      </c>
    </row>
    <row r="17" ht="54" customHeight="1">
      <c r="A17" t="inlineStr">
        <is>
          <t>TB1</t>
        </is>
      </c>
      <c r="B17" s="5" t="inlineStr">
        <is>
          <t>Tableta de chocolate negro de origen 70 %, 100 g</t>
        </is>
      </c>
      <c r="C17" t="inlineStr">
        <is>
          <t>Tabletas</t>
        </is>
      </c>
      <c r="D17" s="5" t="inlineStr">
        <is>
          <t>Chocolate</t>
        </is>
      </c>
      <c r="E17" s="18" t="inlineStr">
        <is>
          <t>CHN-02 + CHN-13</t>
        </is>
      </c>
      <c r="F17" s="29" t="inlineStr">
        <is>
          <t>ap. 1.6: minimos calculados DESCONTANDO los ingredientes anadidos del ap. 3</t>
        </is>
      </c>
      <c r="G17" t="inlineStr">
        <is>
          <t>Sí</t>
        </is>
      </c>
      <c r="H17" t="inlineStr">
        <is>
          <t>envasado con etiqueta</t>
        </is>
      </c>
      <c r="I17" s="30">
        <f>'Escandallo por Molde y Tanda'!E80</f>
        <v>100.0</v>
      </c>
      <c r="J17" s="30">
        <f>'Escandallo por Molde y Tanda'!F80</f>
        <v>0.0</v>
      </c>
      <c r="K17" s="30">
        <f>'Escandallo por Molde y Tanda'!G80</f>
        <v>100.0</v>
      </c>
      <c r="L17" s="24">
        <f>IFERROR(I17/K17,"")</f>
        <v>1.0</v>
      </c>
      <c r="M17" t="inlineStr">
        <is>
          <t>No</t>
        </is>
      </c>
      <c r="N17" t="str">
        <f>IF(M17="No","No aplica: su mínimo es el de su denominación",IF(NOT(ISNUMBER(L17)),"",IF(L17&gt;=$B$38,"CUMPLE el 25 % sobre el peso total","NO CUMPLE: no puede llamarse así")))</f>
        <v>No aplica: su mínimo es el de su denominación</v>
      </c>
      <c r="O17" s="13" t="inlineStr">
        <is>
          <t>La referencia que vende el posicionamiento: cobertura de origen a 37,48 euros/kg (`CHS-28c`) frente a los 25,02 de la de marca (`CHS-28a`), factor 1,5. Lleva la mencion «cacao: X % minimo» obligatoria (`CHN-07`) y es la que mas sube en verano: no lleva agua, aguanta 12-18 meses y viaja. Y es la referencia con el food cost MAS ALTO de la carta, con diferencia: comprar cobertura de origen y ponerle precio de cobertura de marca es como se regala el trabajo. El libro 3 lo ensena con el escenario de subida del cacao.</t>
        </is>
      </c>
    </row>
    <row r="18" ht="54" customHeight="1">
      <c r="A18" t="inlineStr">
        <is>
          <t>TB2</t>
        </is>
      </c>
      <c r="B18" s="5" t="inlineStr">
        <is>
          <t>Tableta de chocolate con leche 38 %, 100 g</t>
        </is>
      </c>
      <c r="C18" t="inlineStr">
        <is>
          <t>Tabletas</t>
        </is>
      </c>
      <c r="D18" s="5" t="inlineStr">
        <is>
          <t>Chocolate con leche</t>
        </is>
      </c>
      <c r="E18" s="18" t="inlineStr">
        <is>
          <t>CHN-02 + CHN-13</t>
        </is>
      </c>
      <c r="F18" s="29" t="inlineStr">
        <is>
          <t>ap. 1.7: minimos calculados DESCONTANDO los ingredientes anadidos del ap. 3</t>
        </is>
      </c>
      <c r="G18" t="inlineStr">
        <is>
          <t>Sí</t>
        </is>
      </c>
      <c r="H18" t="inlineStr">
        <is>
          <t>envasado con etiqueta</t>
        </is>
      </c>
      <c r="I18" s="30">
        <f>'Escandallo por Molde y Tanda'!E81</f>
        <v>100.0</v>
      </c>
      <c r="J18" s="30">
        <f>'Escandallo por Molde y Tanda'!F81</f>
        <v>0.0</v>
      </c>
      <c r="K18" s="30">
        <f>'Escandallo por Molde y Tanda'!G81</f>
        <v>100.0</v>
      </c>
      <c r="L18" s="24">
        <f>IFERROR(I18/K18,"")</f>
        <v>1.0</v>
      </c>
      <c r="M18" t="inlineStr">
        <is>
          <t>No</t>
        </is>
      </c>
      <c r="N18" t="str">
        <f>IF(M18="No","No aplica: su mínimo es el de su denominación",IF(NOT(ISNUMBER(L18)),"",IF(L18&gt;=$B$38,"CUMPLE el 25 % sobre el peso total","NO CUMPLE: no puede llamarse así")))</f>
        <v>No aplica: su mínimo es el de su denominación</v>
      </c>
      <c r="O18" s="13" t="inlineStr">
        <is>
          <t>Tambien lleva la mencion «cacao: X % minimo» (`CHN-07`).</t>
        </is>
      </c>
    </row>
    <row r="19" ht="54" customHeight="1">
      <c r="A19" t="inlineStr">
        <is>
          <t>TB3</t>
        </is>
      </c>
      <c r="B19" s="5" t="inlineStr">
        <is>
          <t>Tableta de chocolate blanco 30 %, 100 g</t>
        </is>
      </c>
      <c r="C19" t="inlineStr">
        <is>
          <t>Tabletas</t>
        </is>
      </c>
      <c r="D19" s="5" t="inlineStr">
        <is>
          <t>Chocolate blanco</t>
        </is>
      </c>
      <c r="E19" s="18" t="inlineStr">
        <is>
          <t>CHN-02 + CHN-13</t>
        </is>
      </c>
      <c r="F19" s="29" t="inlineStr">
        <is>
          <t>ap. 1.9: 20 % de manteca, 14 % de materia seca lactea, 3,5 % de grasa lactea</t>
        </is>
      </c>
      <c r="G19" t="inlineStr">
        <is>
          <t>No</t>
        </is>
      </c>
      <c r="H19" t="inlineStr">
        <is>
          <t>envasado con etiqueta</t>
        </is>
      </c>
      <c r="I19" s="30">
        <f>'Escandallo por Molde y Tanda'!E82</f>
        <v>100.0</v>
      </c>
      <c r="J19" s="30">
        <f>'Escandallo por Molde y Tanda'!F82</f>
        <v>0.0</v>
      </c>
      <c r="K19" s="30">
        <f>'Escandallo por Molde y Tanda'!G82</f>
        <v>100.0</v>
      </c>
      <c r="L19" s="24">
        <f>IFERROR(I19/K19,"")</f>
        <v>1.0</v>
      </c>
      <c r="M19" t="inlineStr">
        <is>
          <t>No</t>
        </is>
      </c>
      <c r="N19" t="str">
        <f>IF(M19="No","No aplica: su mínimo es el de su denominación",IF(NOT(ISNUMBER(L19)),"",IF(L19&gt;=$B$38,"CUMPLE el 25 % sobre el peso total","NO CUMPLE: no puede llamarse así")))</f>
        <v>No aplica: su mínimo es el de su denominación</v>
      </c>
      <c r="O19" s="13" t="inlineStr">
        <is>
          <t>El chocolate blanco NO lleva la mencion «cacao: X % minimo»: `CHN-07` acota esa obligacion a los apartados 1.4, 1.5, 1.6, 1.7, 1.8, 1.11 y 1.12, y el blanco es el 1.9. Escribir que la mencion es obligatoria en todos los chocolates esta prohibido (§5.1, 27).</t>
        </is>
      </c>
    </row>
    <row r="20" ht="54" customHeight="1">
      <c r="A20" t="inlineStr">
        <is>
          <t>TB4</t>
        </is>
      </c>
      <c r="B20" s="5" t="inlineStr">
        <is>
          <t>Tableta de chocolate negro con almendra marcona, 100 g</t>
        </is>
      </c>
      <c r="C20" t="inlineStr">
        <is>
          <t>Tabletas</t>
        </is>
      </c>
      <c r="D20" s="5" t="inlineStr">
        <is>
          <t>Chocolate con almendras</t>
        </is>
      </c>
      <c r="E20" s="18" t="inlineStr">
        <is>
          <t>CHN-02 + CHN-09 + CHN-13</t>
        </is>
      </c>
      <c r="F20" s="29" t="inlineStr">
        <is>
          <t>ap. 1.6 con materias comestibles anadidas del ap. 3: no pueden exceder el 40 % del peso total del producto acabado</t>
        </is>
      </c>
      <c r="G20" t="inlineStr">
        <is>
          <t>Sí</t>
        </is>
      </c>
      <c r="H20" t="inlineStr">
        <is>
          <t>envasado con etiqueta</t>
        </is>
      </c>
      <c r="I20" s="30">
        <f>'Escandallo por Molde y Tanda'!E83</f>
        <v>78.0</v>
      </c>
      <c r="J20" s="30">
        <f>'Escandallo por Molde y Tanda'!F83</f>
        <v>22.0</v>
      </c>
      <c r="K20" s="30">
        <f>'Escandallo por Molde y Tanda'!G83</f>
        <v>100.0</v>
      </c>
      <c r="L20" s="24">
        <f>IFERROR(I20/K20,"")</f>
        <v>0.78</v>
      </c>
      <c r="M20" t="inlineStr">
        <is>
          <t>No</t>
        </is>
      </c>
      <c r="N20" t="str">
        <f>IF(M20="No","No aplica: su mínimo es el de su denominación",IF(NOT(ISNUMBER(L20)),"",IF(L20&gt;=$B$38,"CUMPLE el 25 % sobre el peso total","NO CUMPLE: no puede llamarse así")))</f>
        <v>No aplica: su mínimo es el de su denominación</v>
      </c>
      <c r="O20" s="13" t="inlineStr">
        <is>
          <t>La almendra va en `g_relleno` porque es materia comestible ANADIDA del ap. 3, y su tope es el 40 % del peso total (`CHN-09`). Con 22 g sobre 100 esta en el 22 %: dentro. La almendra enrancia, y el frio no lo evita: manda la fecha, no el aspecto (nota del kit).</t>
        </is>
      </c>
    </row>
    <row r="21" ht="54" customHeight="1">
      <c r="A21" t="inlineStr">
        <is>
          <t>TB5</t>
        </is>
      </c>
      <c r="B21" s="5" t="inlineStr">
        <is>
          <t>Tableta de chocolate con leche y avellana, 100 g</t>
        </is>
      </c>
      <c r="C21" t="inlineStr">
        <is>
          <t>Tabletas</t>
        </is>
      </c>
      <c r="D21" s="5" t="inlineStr">
        <is>
          <t>Chocolate con leche y avellanas</t>
        </is>
      </c>
      <c r="E21" s="18" t="inlineStr">
        <is>
          <t>CHN-02 + CHN-09 + CHN-13</t>
        </is>
      </c>
      <c r="F21" s="29" t="inlineStr">
        <is>
          <t>ap. 1.7 con materias comestibles anadidas del ap. 3 (tope 40 %)</t>
        </is>
      </c>
      <c r="G21" t="inlineStr">
        <is>
          <t>Sí</t>
        </is>
      </c>
      <c r="H21" t="inlineStr">
        <is>
          <t>envasado con etiqueta</t>
        </is>
      </c>
      <c r="I21" s="30">
        <f>'Escandallo por Molde y Tanda'!E84</f>
        <v>80.0</v>
      </c>
      <c r="J21" s="30">
        <f>'Escandallo por Molde y Tanda'!F84</f>
        <v>20.0</v>
      </c>
      <c r="K21" s="30">
        <f>'Escandallo por Molde y Tanda'!G84</f>
        <v>100.0</v>
      </c>
      <c r="L21" s="24">
        <f>IFERROR(I21/K21,"")</f>
        <v>0.8</v>
      </c>
      <c r="M21" t="inlineStr">
        <is>
          <t>No</t>
        </is>
      </c>
      <c r="N21" t="str">
        <f>IF(M21="No","No aplica: su mínimo es el de su denominación",IF(NOT(ISNUMBER(L21)),"",IF(L21&gt;=$B$38,"CUMPLE el 25 % sobre el peso total","NO CUMPLE: no puede llamarse así")))</f>
        <v>No aplica: su mínimo es el de su denominación</v>
      </c>
      <c r="O21" s="13" t="inlineStr">
        <is>
          <t>La avellana va como materia anadida del ap. 3, igual que la almendra de TB4.</t>
        </is>
      </c>
    </row>
    <row r="22" ht="54" customHeight="1">
      <c r="A22" t="inlineStr">
        <is>
          <t>TB6</t>
        </is>
      </c>
      <c r="B22" s="5" t="inlineStr">
        <is>
          <t>Tableta rellena de praline, 100 g</t>
        </is>
      </c>
      <c r="C22" t="inlineStr">
        <is>
          <t>Tabletas</t>
        </is>
      </c>
      <c r="D22" s="5" t="inlineStr">
        <is>
          <t>Chocolate relleno</t>
        </is>
      </c>
      <c r="E22" s="18" t="inlineStr">
        <is>
          <t>CHN-04 + CHN-10 + CHN-13</t>
        </is>
      </c>
      <c r="F22" s="29" t="inlineStr">
        <is>
          <t>ap. 1.10: el exterior de chocolate tiene que ser al menos el 25 % del peso TOTAL del producto acabado, relleno incluido</t>
        </is>
      </c>
      <c r="G22" t="inlineStr">
        <is>
          <t>No</t>
        </is>
      </c>
      <c r="H22" t="inlineStr">
        <is>
          <t>envasado con etiqueta</t>
        </is>
      </c>
      <c r="I22" s="30">
        <f>'Escandallo por Molde y Tanda'!E85</f>
        <v>55.0</v>
      </c>
      <c r="J22" s="30">
        <f>'Escandallo por Molde y Tanda'!F85</f>
        <v>45.0</v>
      </c>
      <c r="K22" s="30">
        <f>'Escandallo por Molde y Tanda'!G85</f>
        <v>100.0</v>
      </c>
      <c r="L22" s="24">
        <f>IFERROR(I22/K22,"")</f>
        <v>0.55</v>
      </c>
      <c r="M22" t="inlineStr">
        <is>
          <t>Sí</t>
        </is>
      </c>
      <c r="N22" t="str">
        <f>IF(M22="No","No aplica: su mínimo es el de su denominación",IF(NOT(ISNUMBER(L22)),"",IF(L22&gt;=$B$38,"CUMPLE el 25 % sobre el peso total","NO CUMPLE: no puede llamarse así")))</f>
        <v>CUMPLE el 25 % sobre el peso total</v>
      </c>
      <c r="O22" s="13" t="inlineStr">
        <is>
          <t>La segunda referencia del ap. 1.10, y la que ensena la base de calculo: 55 g de chocolate sobre 100 g de pieza son el 55 %, calculado SOBRE EL PESO TOTAL con el relleno dentro (`CHN-10`). Si alguien lo calculase descontando el relleno le saldria el 100 % y el semaforo dejaria pasar cualquier cosa: por eso invertir las dos bases esta prohibido. Y NO es chocolate relleno lo que lleva interior de panaderia, pasteleria, galleteria, bolleria o helado (`CHN-04`).</t>
        </is>
      </c>
    </row>
    <row r="23" ht="54" customHeight="1">
      <c r="A23" t="inlineStr">
        <is>
          <t>CT1</t>
        </is>
      </c>
      <c r="B23" s="5" t="inlineStr">
        <is>
          <t>Tableta de chocolate a la taza, 200 g</t>
        </is>
      </c>
      <c r="C23" t="inlineStr">
        <is>
          <t>Chocolate a la taza</t>
        </is>
      </c>
      <c r="D23" s="5" t="inlineStr">
        <is>
          <t>Chocolate a la taza</t>
        </is>
      </c>
      <c r="E23" s="18" t="inlineStr">
        <is>
          <t>CHN-05</t>
        </is>
      </c>
      <c r="F23" s="29" t="inlineStr">
        <is>
          <t>ap. 1.11: 35 % de materia seca total de cacao, 18 % de manteca, 14 % de desgrasada y hasta 8 % de harina o almidon de trigo, arroz o maiz</t>
        </is>
      </c>
      <c r="G23" t="inlineStr">
        <is>
          <t>Sí</t>
        </is>
      </c>
      <c r="H23" t="inlineStr">
        <is>
          <t>envasado con etiqueta</t>
        </is>
      </c>
      <c r="I23" s="30">
        <f>'Escandallo por Molde y Tanda'!E86</f>
        <v>80.0</v>
      </c>
      <c r="J23" s="30">
        <f>'Escandallo por Molde y Tanda'!F86</f>
        <v>120.0</v>
      </c>
      <c r="K23" s="30">
        <f>'Escandallo por Molde y Tanda'!G86</f>
        <v>200.0</v>
      </c>
      <c r="L23" s="24">
        <f>IFERROR(I23/K23,"")</f>
        <v>0.4</v>
      </c>
      <c r="M23" t="inlineStr">
        <is>
          <t>No</t>
        </is>
      </c>
      <c r="N23" t="str">
        <f>IF(M23="No","No aplica: su mínimo es el de su denominación",IF(NOT(ISNUMBER(L23)),"",IF(L23&gt;=$B$38,"CUMPLE el 25 % sobre el peso total","NO CUMPLE: no puede llamarse así")))</f>
        <v>No aplica: su mínimo es el de su denominación</v>
      </c>
      <c r="O23" s="13" t="inlineStr">
        <is>
          <t>El almidon (9,6 g sobre 200, el 4,8 %) esta por debajo del tope del 8 %. Se usa ALMIDON DE MAIZ a proposito: con almidon de TRIGO habria que declarar gluten, y la norma admite los tres. La etiqueta lleva ademas la expresion «para su consumo cocido» (ap. 6.e): es una ADICION ESPANOLA que NO existe en la Directiva 2000/36/CE (`CHN-83`), asi que no se escribe que sea un requisito europeo.</t>
        </is>
      </c>
    </row>
    <row r="24" ht="54" customHeight="1">
      <c r="A24" t="inlineStr">
        <is>
          <t>CT2</t>
        </is>
      </c>
      <c r="B24" s="5" t="inlineStr">
        <is>
          <t>Caja de 6 sobres monodosis de chocolate a la taza</t>
        </is>
      </c>
      <c r="C24" t="inlineStr">
        <is>
          <t>Chocolate a la taza</t>
        </is>
      </c>
      <c r="D24" s="5" t="inlineStr">
        <is>
          <t>Chocolate a la taza</t>
        </is>
      </c>
      <c r="E24" s="18" t="inlineStr">
        <is>
          <t>CHN-05</t>
        </is>
      </c>
      <c r="F24" s="29" t="inlineStr">
        <is>
          <t>ap. 1.11: 35 % cacao total, 18 % manteca, 14 % desgrasada, almidon hasta 8 %</t>
        </is>
      </c>
      <c r="G24" t="inlineStr">
        <is>
          <t>Sí</t>
        </is>
      </c>
      <c r="H24" t="inlineStr">
        <is>
          <t>envasado con etiqueta</t>
        </is>
      </c>
      <c r="I24" s="30">
        <f>'Escandallo por Molde y Tanda'!E87</f>
        <v>72.0</v>
      </c>
      <c r="J24" s="30">
        <f>'Escandallo por Molde y Tanda'!F87</f>
        <v>108.0</v>
      </c>
      <c r="K24" s="30">
        <f>'Escandallo por Molde y Tanda'!G87</f>
        <v>180.0</v>
      </c>
      <c r="L24" s="24">
        <f>IFERROR(I24/K24,"")</f>
        <v>0.4</v>
      </c>
      <c r="M24" t="inlineStr">
        <is>
          <t>No</t>
        </is>
      </c>
      <c r="N24" t="str">
        <f>IF(M24="No","No aplica: su mínimo es el de su denominación",IF(NOT(ISNUMBER(L24)),"",IF(L24&gt;=$B$38,"CUMPLE el 25 % sobre el peso total","NO CUMPLE: no puede llamarse así")))</f>
        <v>No aplica: su mínimo es el de su denominación</v>
      </c>
      <c r="O24" s="13" t="inlineStr">
        <is>
          <t>Seis sobres de 30 g. Ojo al art. 2.2.c) del RD 1808/1991: los envases cuya cara mayor mide menos de 10 cm2 estan exentos de lote, pero la CAJA que los contiene no (`CHN-36`).</t>
        </is>
      </c>
    </row>
    <row r="25" ht="54" customHeight="1">
      <c r="A25" t="inlineStr">
        <is>
          <t>CT3</t>
        </is>
      </c>
      <c r="B25" s="5" t="inlineStr">
        <is>
          <t>Chocolate a la taza servido en sala, 200 ml</t>
        </is>
      </c>
      <c r="C25" t="inlineStr">
        <is>
          <t>Chocolate a la taza</t>
        </is>
      </c>
      <c r="D25" s="5" t="inlineStr">
        <is>
          <t>Chocolate a la taza</t>
        </is>
      </c>
      <c r="E25" s="18" t="inlineStr">
        <is>
          <t>CHN-05</t>
        </is>
      </c>
      <c r="F25" s="29" t="inlineStr">
        <is>
          <t>ap. 1.11 sobre el producto que sirves, no sobre la taza preparada</t>
        </is>
      </c>
      <c r="G25" t="inlineStr">
        <is>
          <t>No</t>
        </is>
      </c>
      <c r="H25" t="inlineStr">
        <is>
          <t>a granel</t>
        </is>
      </c>
      <c r="I25" s="30">
        <f>'Escandallo por Molde y Tanda'!E88</f>
        <v>18.0</v>
      </c>
      <c r="J25" s="30">
        <f>'Escandallo por Molde y Tanda'!F88</f>
        <v>27.0</v>
      </c>
      <c r="K25" s="30">
        <f>'Escandallo por Molde y Tanda'!G88</f>
        <v>45.0</v>
      </c>
      <c r="L25" s="24">
        <f>IFERROR(I25/K25,"")</f>
        <v>0.4</v>
      </c>
      <c r="M25" t="inlineStr">
        <is>
          <t>No</t>
        </is>
      </c>
      <c r="N25" t="str">
        <f>IF(M25="No","No aplica: su mínimo es el de su denominación",IF(NOT(ISNUMBER(L25)),"",IF(L25&gt;=$B$38,"CUMPLE el 25 % sobre el peso total","NO CUMPLE: no puede llamarse así")))</f>
        <v>No aplica: su mínimo es el de su denominación</v>
      </c>
      <c r="O25" s="13" t="inlineStr">
        <is>
          <t>Aqui NO entregas un bien: prestas un servicio de hosteleria, y el IVA va al 10 % por el art. 91.Uno.2.2.o (`CHN-71c`). No lleva etiqueta, asi que su referencia es tu sistema de autocontrol (D47). Y si pones mesas, el art. 8 de la Ley 1/2025 te obliga a facilitar que el cliente se lleve lo que no ha consumido, aunque seas microempresa: la exclusion del art. 6.6 NO alcanza al art. 8 (`CHN-92`). Es la pieza que sube el ticket del churro un 40-60 % en la variante de taza (`CHS-32`), y es OTRO negocio (D1).</t>
        </is>
      </c>
    </row>
    <row r="26" ht="54" customHeight="1">
      <c r="A26" t="inlineStr">
        <is>
          <t>TF1</t>
        </is>
      </c>
      <c r="B26" s="5" t="inlineStr">
        <is>
          <t>Huevo de Pascua de chocolate con leche, 250 g</t>
        </is>
      </c>
      <c r="C26" t="inlineStr">
        <is>
          <t>Turrones, figuras y temporada</t>
        </is>
      </c>
      <c r="D26" s="5" t="inlineStr">
        <is>
          <t>Chocolate con leche</t>
        </is>
      </c>
      <c r="E26" s="18" t="inlineStr">
        <is>
          <t>CHN-02 + CHN-13</t>
        </is>
      </c>
      <c r="F26" s="29" t="inlineStr">
        <is>
          <t>ap. 1.7: minimos descontando los ingredientes anadidos del ap. 3</t>
        </is>
      </c>
      <c r="G26" t="inlineStr">
        <is>
          <t>Sí</t>
        </is>
      </c>
      <c r="H26" t="inlineStr">
        <is>
          <t>envasado con etiqueta</t>
        </is>
      </c>
      <c r="I26" s="30">
        <f>'Escandallo por Molde y Tanda'!E89</f>
        <v>250.0</v>
      </c>
      <c r="J26" s="30">
        <f>'Escandallo por Molde y Tanda'!F89</f>
        <v>0.0</v>
      </c>
      <c r="K26" s="30">
        <f>'Escandallo por Molde y Tanda'!G89</f>
        <v>250.0</v>
      </c>
      <c r="L26" s="24">
        <f>IFERROR(I26/K26,"")</f>
        <v>1.0</v>
      </c>
      <c r="M26" t="inlineStr">
        <is>
          <t>No</t>
        </is>
      </c>
      <c r="N26" t="str">
        <f>IF(M26="No","No aplica: su mínimo es el de su denominación",IF(NOT(ISNUMBER(L26)),"",IF(L26&gt;=$B$38,"CUMPLE el 25 % sobre el peso total","NO CUMPLE: no puede llamarse así")))</f>
        <v>No aplica: su mínimo es el de su denominación</v>
      </c>
      <c r="O26" s="13" t="inlineStr">
        <is>
          <t>La merma recuperable mas alta del catalogo: la pieza hueca se raja con los cambios bruscos de temperatura (nota del kit) y lo que se rompe SIN relleno vuelve entero a la cuba. Cero mix en verano: es de campana.</t>
        </is>
      </c>
    </row>
    <row r="27" ht="54" customHeight="1">
      <c r="A27" t="inlineStr">
        <is>
          <t>TF2</t>
        </is>
      </c>
      <c r="B27" s="5" t="inlineStr">
        <is>
          <t>Mona de Pascua de chocolate, 400 g</t>
        </is>
      </c>
      <c r="C27" t="inlineStr">
        <is>
          <t>Turrones, figuras y temporada</t>
        </is>
      </c>
      <c r="D27" s="5" t="inlineStr">
        <is>
          <t>Chocolate con leche</t>
        </is>
      </c>
      <c r="E27" s="18" t="inlineStr">
        <is>
          <t>CHN-02 + CHN-13</t>
        </is>
      </c>
      <c r="F27" s="29" t="inlineStr">
        <is>
          <t>ap. 1.7 con materias comestibles anadidas del ap. 3 (tope 40 %)</t>
        </is>
      </c>
      <c r="G27" t="inlineStr">
        <is>
          <t>Sí</t>
        </is>
      </c>
      <c r="H27" t="inlineStr">
        <is>
          <t>envasado con etiqueta</t>
        </is>
      </c>
      <c r="I27" s="30">
        <f>'Escandallo por Molde y Tanda'!E90</f>
        <v>380.0</v>
      </c>
      <c r="J27" s="30">
        <f>'Escandallo por Molde y Tanda'!F90</f>
        <v>20.0</v>
      </c>
      <c r="K27" s="30">
        <f>'Escandallo por Molde y Tanda'!G90</f>
        <v>400.0</v>
      </c>
      <c r="L27" s="24">
        <f>IFERROR(I27/K27,"")</f>
        <v>0.95</v>
      </c>
      <c r="M27" t="inlineStr">
        <is>
          <t>No</t>
        </is>
      </c>
      <c r="N27" t="str">
        <f>IF(M27="No","No aplica: su mínimo es el de su denominación",IF(NOT(ISNUMBER(L27)),"",IF(L27&gt;=$B$38,"CUMPLE el 25 % sobre el peso total","NO CUMPLE: no puede llamarse así")))</f>
        <v>No aplica: su mínimo es el de su denominación</v>
      </c>
      <c r="O27" s="13" t="inlineStr">
        <is>
          <t>Pieza de autor y la que mas minutos de obrador se lleva: 210 por tanda de seis. La decoracion va como materia anadida del ap. 3. Es la referencia que pone a prueba la capacidad del libro 1 en abril.</t>
        </is>
      </c>
    </row>
    <row r="28" ht="54" customHeight="1">
      <c r="A28" t="inlineStr">
        <is>
          <t>TF3</t>
        </is>
      </c>
      <c r="B28" s="5" t="inlineStr">
        <is>
          <t>Hueso de santo banado en chocolate</t>
        </is>
      </c>
      <c r="C28" t="inlineStr">
        <is>
          <t>Turrones, figuras y temporada</t>
        </is>
      </c>
      <c r="D28" s="5" t="inlineStr">
        <is>
          <t>Producto de confiteria recubierto de chocolate</t>
        </is>
      </c>
      <c r="E28" s="18" t="inlineStr">
        <is>
          <t>CHN-15</t>
        </is>
      </c>
      <c r="F28" s="29" t="inlineStr">
        <is>
          <t>RD 348/2011: si el producto esta relleno, recubierto o grageado, la denominacion de venta tiene que decirlo</t>
        </is>
      </c>
      <c r="G28" t="inlineStr">
        <is>
          <t>No</t>
        </is>
      </c>
      <c r="H28" t="inlineStr">
        <is>
          <t>a granel</t>
        </is>
      </c>
      <c r="I28" s="30">
        <f>'Escandallo por Molde y Tanda'!E91</f>
        <v>9.0</v>
      </c>
      <c r="J28" s="30">
        <f>'Escandallo por Molde y Tanda'!F91</f>
        <v>21.0</v>
      </c>
      <c r="K28" s="30">
        <f>'Escandallo por Molde y Tanda'!G91</f>
        <v>30.0</v>
      </c>
      <c r="L28" s="24">
        <f>IFERROR(I28/K28,"")</f>
        <v>0.3</v>
      </c>
      <c r="M28" t="inlineStr">
        <is>
          <t>No</t>
        </is>
      </c>
      <c r="N28" t="str">
        <f>IF(M28="No","No aplica: su mínimo es el de su denominación",IF(NOT(ISNUMBER(L28)),"",IF(L28&gt;=$B$38,"CUMPLE el 25 % sobre el peso total","NO CUMPLE: no puede llamarse así")))</f>
        <v>No aplica: su mínimo es el de su denominación</v>
      </c>
      <c r="O28" s="13" t="inlineStr">
        <is>
          <t>LA REFERENCIA QUE ROMPE LA REGLA, y por eso esta aqui: 9 g de chocolate sobre 30 g de pieza son el 30 %, pero NO es un bombon de chocolate, porque el 1.13 pide una pieza «del tamano de un bocado constituida por chocolate», y esto es un producto de confiteria RECUBIERTO. Su denominacion sale del RD 348/2011 (`CHN-15`), no del RD 1055/2003. La UNICA con huevo, por la yema, y va con ovoproducto pasteurizado (`CHN-31`). Esta literalmente en el calendario del kit: «Todos los Santos (1): panellets y huesos de santo banados».</t>
        </is>
      </c>
    </row>
    <row r="29" ht="54" customHeight="1">
      <c r="A29" t="inlineStr">
        <is>
          <t>TF4</t>
        </is>
      </c>
      <c r="B29" s="5" t="inlineStr">
        <is>
          <t>Turron de chocolate con almendra, 250 g</t>
        </is>
      </c>
      <c r="C29" t="inlineStr">
        <is>
          <t>Turrones, figuras y temporada</t>
        </is>
      </c>
      <c r="D29" s="5" t="inlineStr">
        <is>
          <t>Chocolate con almendras</t>
        </is>
      </c>
      <c r="E29" s="18" t="inlineStr">
        <is>
          <t>CHN-02 + CHN-09 + CHN-13</t>
        </is>
      </c>
      <c r="F29" s="29" t="inlineStr">
        <is>
          <t>ap. 1.6 con materias comestibles anadidas del ap. 3 (tope 40 %)</t>
        </is>
      </c>
      <c r="G29" t="inlineStr">
        <is>
          <t>Sí</t>
        </is>
      </c>
      <c r="H29" t="inlineStr">
        <is>
          <t>envasado con etiqueta</t>
        </is>
      </c>
      <c r="I29" s="30">
        <f>'Escandallo por Molde y Tanda'!E92</f>
        <v>168.0</v>
      </c>
      <c r="J29" s="30">
        <f>'Escandallo por Molde y Tanda'!F92</f>
        <v>82.0</v>
      </c>
      <c r="K29" s="30">
        <f>'Escandallo por Molde y Tanda'!G92</f>
        <v>250.0</v>
      </c>
      <c r="L29" s="24">
        <f>IFERROR(I29/K29,"")</f>
        <v>0.672</v>
      </c>
      <c r="M29" t="inlineStr">
        <is>
          <t>No</t>
        </is>
      </c>
      <c r="N29" t="str">
        <f>IF(M29="No","No aplica: su mínimo es el de su denominación",IF(NOT(ISNUMBER(L29)),"",IF(L29&gt;=$B$38,"CUMPLE el 25 % sobre el peso total","NO CUMPLE: no puede llamarse así")))</f>
        <v>No aplica: su mínimo es el de su denominación</v>
      </c>
      <c r="O29" s="13" t="inlineStr">
        <is>
          <t>HUECO DECLARADO: la denominacion que publica este juego de datos es la del RD 1055/2003, porque la norma de calidad de TURRONES no se abrio en la verificacion legal del 12-09-2026 y ninguna ficha `CHN-*` la cubre. «Turron de chocolate con almendra» es el NOMBRE COMERCIAL; antes de imprimir la etiqueta hay que comprobar si la norma de turrones te obliga a otra denominacion de venta. La almendra (82 g sobre 250, el 32,8 %) esta dentro del tope del 40 % del ap. 3 (`CHN-09`).</t>
        </is>
      </c>
    </row>
    <row r="30" ht="54" customHeight="1">
      <c r="A30" t="inlineStr">
        <is>
          <t>TF5</t>
        </is>
      </c>
      <c r="B30" s="5" t="inlineStr">
        <is>
          <t>Almendras marcona banadas en chocolate, bolsa de 150 g</t>
        </is>
      </c>
      <c r="C30" t="inlineStr">
        <is>
          <t>Turrones, figuras y temporada</t>
        </is>
      </c>
      <c r="D30" s="5" t="inlineStr">
        <is>
          <t>Grageas o confites de chocolate</t>
        </is>
      </c>
      <c r="E30" s="18" t="inlineStr">
        <is>
          <t>CHN-15</t>
        </is>
      </c>
      <c r="F30" s="29" t="inlineStr">
        <is>
          <t>RD 348/2011, ap. 1.3: la denominacion de venta se complementa con «relleno», «recubierto» o «grageado» segun el caso</t>
        </is>
      </c>
      <c r="G30" t="inlineStr">
        <is>
          <t>No</t>
        </is>
      </c>
      <c r="H30" t="inlineStr">
        <is>
          <t>envasado con etiqueta</t>
        </is>
      </c>
      <c r="I30" s="30">
        <f>'Escandallo por Molde y Tanda'!E93</f>
        <v>88.0</v>
      </c>
      <c r="J30" s="30">
        <f>'Escandallo por Molde y Tanda'!F93</f>
        <v>62.0</v>
      </c>
      <c r="K30" s="30">
        <f>'Escandallo por Molde y Tanda'!G93</f>
        <v>150.0</v>
      </c>
      <c r="L30" s="24">
        <f>IFERROR(I30/K30,"")</f>
        <v>0.5866666666666667</v>
      </c>
      <c r="M30" t="inlineStr">
        <is>
          <t>No</t>
        </is>
      </c>
      <c r="N30" t="str">
        <f>IF(M30="No","No aplica: su mínimo es el de su denominación",IF(NOT(ISNUMBER(L30)),"",IF(L30&gt;=$B$38,"CUMPLE el 25 % sobre el peso total","NO CUMPLE: no puede llamarse así")))</f>
        <v>No aplica: su mínimo es el de su denominación</v>
      </c>
      <c r="O30" s="13" t="inlineStr">
        <is>
          <t>La que da nombre a la casa, y su denominacion NO sale del RD 1055/2003 sino del RD 348/2011: «grageas o confites de chocolate» (`CHN-15`). Se hace en bombo, no en molde: `moldes_tanda` vale 1 y los 95 minutos son de la tanda entera, de la que salen 40 bolsas. Es la segunda que mas sube en verano: no lleva agua y es souvenir (literal del kit para julio: «packs souvenir y colaboraciones locales»).</t>
        </is>
      </c>
    </row>
    <row r="31" ht="54" customHeight="1">
      <c r="A31" t="inlineStr">
        <is>
          <t>CJ1</t>
        </is>
      </c>
      <c r="B31" s="5" t="inlineStr">
        <is>
          <t>Caja surtida de 12 bombones</t>
        </is>
      </c>
      <c r="C31" t="inlineStr">
        <is>
          <t>Cajas y regalo</t>
        </is>
      </c>
      <c r="D31" s="5" t="inlineStr">
        <is>
          <t>Chocolates rellenos surtidos</t>
        </is>
      </c>
      <c r="E31" s="18" t="inlineStr">
        <is>
          <t>CHN-13</t>
        </is>
      </c>
      <c r="F31" s="29" t="inlineStr">
        <is>
          <t>ap. 6.a) y 6.c): la denominacion va por pieza o, si el surtido es de los aps. 1.6 a 1.10 y 1.13, se sustituye por la de surtido, con una unica lista de ingredientes. Es una DECISION de etiquetado, no una obligacion</t>
        </is>
      </c>
      <c r="G31" t="inlineStr">
        <is>
          <t>No</t>
        </is>
      </c>
      <c r="H31" t="inlineStr">
        <is>
          <t>envasado con etiqueta</t>
        </is>
      </c>
      <c r="I31" s="30">
        <f>'Escandallo por Molde y Tanda'!E94</f>
        <v>62.5</v>
      </c>
      <c r="J31" s="30">
        <f>'Escandallo por Molde y Tanda'!F94</f>
        <v>82.5</v>
      </c>
      <c r="K31" s="30">
        <f>'Escandallo por Molde y Tanda'!G94</f>
        <v>145.0</v>
      </c>
      <c r="L31" s="24">
        <f>IFERROR(I31/K31,"")</f>
        <v>0.43103448275862066</v>
      </c>
      <c r="M31" t="inlineStr">
        <is>
          <t>No</t>
        </is>
      </c>
      <c r="N31" t="str">
        <f>IF(M31="No","La denominación va por pieza: el 25 % lo comprueba cada bombón en su propia fila, no el agregado de la caja",IF(NOT(ISNUMBER(L31)),"",IF(L31&gt;=$B$38,"CUMPLE el 25 % sobre el peso total","NO CUMPLE: no puede llamarse así")))</f>
        <v>La denominación va por pieza: el 25 % lo comprueba cada bombón en su propia fila, no el agregado de la caja</v>
      </c>
      <c r="O31" s="13" t="inlineStr">
        <is>
          <t>PVP de `CHS-29`, precio de MOSTRADOR (con IVA) y base de IVA NO declarada por la fuente: entra con su columna «lleva IVA» y el libro 4 publica el PVP base por formula, porque el libro 7 pide el ticket medio SIN IVA. 12 unidades a 20,00 euros son 1,67 euros por bombon. Su coste de materia NO se teclea: se COMPONE de las referencias que lleva dentro (`composicion_caja`), y por eso `g_chocolate` vale 0. Los siete alergenos son la UNION de lo que va dentro: en un surtido a granel no puedes prometer que una pinza no ha tocado otra cosa.</t>
        </is>
      </c>
    </row>
    <row r="32" ht="54" customHeight="1">
      <c r="A32" t="inlineStr">
        <is>
          <t>CJ2</t>
        </is>
      </c>
      <c r="B32" s="5" t="inlineStr">
        <is>
          <t>Caja surtida de 20 bombones</t>
        </is>
      </c>
      <c r="C32" t="inlineStr">
        <is>
          <t>Cajas y regalo</t>
        </is>
      </c>
      <c r="D32" s="5" t="inlineStr">
        <is>
          <t>Chocolates rellenos surtidos</t>
        </is>
      </c>
      <c r="E32" s="18" t="inlineStr">
        <is>
          <t>CHN-13</t>
        </is>
      </c>
      <c r="F32" s="29" t="inlineStr">
        <is>
          <t>ap. 6.a) y 6.c), igual que CJ1</t>
        </is>
      </c>
      <c r="G32" t="inlineStr">
        <is>
          <t>No</t>
        </is>
      </c>
      <c r="H32" t="inlineStr">
        <is>
          <t>envasado con etiqueta</t>
        </is>
      </c>
      <c r="I32" s="30">
        <f>'Escandallo por Molde y Tanda'!E95</f>
        <v>102.5</v>
      </c>
      <c r="J32" s="30">
        <f>'Escandallo por Molde y Tanda'!F95</f>
        <v>142.5</v>
      </c>
      <c r="K32" s="30">
        <f>'Escandallo por Molde y Tanda'!G95</f>
        <v>245.0</v>
      </c>
      <c r="L32" s="24">
        <f>IFERROR(I32/K32,"")</f>
        <v>0.41836734693877553</v>
      </c>
      <c r="M32" t="inlineStr">
        <is>
          <t>No</t>
        </is>
      </c>
      <c r="N32" t="str">
        <f>IF(M32="No","La denominación va por pieza: el 25 % lo comprueba cada bombón en su propia fila, no el agregado de la caja",IF(NOT(ISNUMBER(L32)),"",IF(L32&gt;=$B$38,"CUMPLE el 25 % sobre el peso total","NO CUMPLE: no puede llamarse así")))</f>
        <v>La denominación va por pieza: el 25 % lo comprueba cada bombón en su propia fila, no el agregado de la caja</v>
      </c>
      <c r="O32" s="13" t="inlineStr">
        <is>
          <t>1,40 euros por bombon: un 16 % menos que en la caja de 12.</t>
        </is>
      </c>
    </row>
    <row r="33" ht="54" customHeight="1">
      <c r="A33" t="inlineStr">
        <is>
          <t>CJ3</t>
        </is>
      </c>
      <c r="B33" s="5" t="inlineStr">
        <is>
          <t>Caja surtida de 35 bombones</t>
        </is>
      </c>
      <c r="C33" t="inlineStr">
        <is>
          <t>Cajas y regalo</t>
        </is>
      </c>
      <c r="D33" s="5" t="inlineStr">
        <is>
          <t>Chocolates rellenos surtidos</t>
        </is>
      </c>
      <c r="E33" s="18" t="inlineStr">
        <is>
          <t>CHN-13</t>
        </is>
      </c>
      <c r="F33" s="29" t="inlineStr">
        <is>
          <t>ap. 6.a) y 6.c), igual que CJ1</t>
        </is>
      </c>
      <c r="G33" t="inlineStr">
        <is>
          <t>No</t>
        </is>
      </c>
      <c r="H33" t="inlineStr">
        <is>
          <t>envasado con etiqueta</t>
        </is>
      </c>
      <c r="I33" s="30">
        <f>'Escandallo por Molde y Tanda'!E96</f>
        <v>181.0</v>
      </c>
      <c r="J33" s="30">
        <f>'Escandallo por Molde y Tanda'!F96</f>
        <v>247.0</v>
      </c>
      <c r="K33" s="30">
        <f>'Escandallo por Molde y Tanda'!G96</f>
        <v>428.0</v>
      </c>
      <c r="L33" s="24">
        <f>IFERROR(I33/K33,"")</f>
        <v>0.42289719626168226</v>
      </c>
      <c r="M33" t="inlineStr">
        <is>
          <t>No</t>
        </is>
      </c>
      <c r="N33" t="str">
        <f>IF(M33="No","La denominación va por pieza: el 25 % lo comprueba cada bombón en su propia fila, no el agregado de la caja",IF(NOT(ISNUMBER(L33)),"",IF(L33&gt;=$B$38,"CUMPLE el 25 % sobre el peso total","NO CUMPLE: no puede llamarse así")))</f>
        <v>La denominación va por pieza: el 25 % lo comprueba cada bombón en su propia fila, no el agregado de la caja</v>
      </c>
      <c r="O33" s="13" t="inlineStr">
        <is>
          <t>1,29 euros por bombon: un 23 % menos que en la caja de 12. Esa escalera es la decision 4 del bonus 2, y el libro 4 la resuelve comparando el precio de la caja con la suma de sus unidades sueltas.</t>
        </is>
      </c>
    </row>
    <row r="34" ht="54" customHeight="1">
      <c r="A34" t="inlineStr">
        <is>
          <t>CJ4</t>
        </is>
      </c>
      <c r="B34" s="5" t="inlineStr">
        <is>
          <t>Estuche corporativo personalizado de 24 bombones</t>
        </is>
      </c>
      <c r="C34" t="inlineStr">
        <is>
          <t>Cajas y regalo</t>
        </is>
      </c>
      <c r="D34" s="5" t="inlineStr">
        <is>
          <t>Chocolates rellenos surtidos</t>
        </is>
      </c>
      <c r="E34" s="18" t="inlineStr">
        <is>
          <t>CHN-13</t>
        </is>
      </c>
      <c r="F34" s="29" t="inlineStr">
        <is>
          <t>ap. 6.a) y 6.c), igual que CJ1</t>
        </is>
      </c>
      <c r="G34" t="inlineStr">
        <is>
          <t>No</t>
        </is>
      </c>
      <c r="H34" t="inlineStr">
        <is>
          <t>envasado con etiqueta</t>
        </is>
      </c>
      <c r="I34" s="30">
        <f>'Escandallo por Molde y Tanda'!E97</f>
        <v>123.0</v>
      </c>
      <c r="J34" s="30">
        <f>'Escandallo por Molde y Tanda'!F97</f>
        <v>170.0</v>
      </c>
      <c r="K34" s="30">
        <f>'Escandallo por Molde y Tanda'!G97</f>
        <v>293.0</v>
      </c>
      <c r="L34" s="24">
        <f>IFERROR(I34/K34,"")</f>
        <v>0.4197952218430034</v>
      </c>
      <c r="M34" t="inlineStr">
        <is>
          <t>No</t>
        </is>
      </c>
      <c r="N34" t="str">
        <f>IF(M34="No","La denominación va por pieza: el 25 % lo comprueba cada bombón en su propia fila, no el agregado de la caja",IF(NOT(ISNUMBER(L34)),"",IF(L34&gt;=$B$38,"CUMPLE el 25 % sobre el peso total","NO CUMPLE: no puede llamarse así")))</f>
        <v>La denominación va por pieza: el 25 % lo comprueba cada bombón en su propia fila, no el agregado de la caja</v>
      </c>
      <c r="O34" s="13" t="inlineStr">
        <is>
          <t>SUPUESTO: `CHS-29` no cubre el estuche corporativo. Lo que SI esta verificado es su regla operativa: 14 dias de plazo minimo desde la aprobacion de la muestra (`CHS-55`), que es lo que decide si aceptas un pedido de empresa en diciembre. Y es el canal que te saca de la nota del epigrafe 644.5 y te mete en la tabla de CLIENTES del art. 5.3.b) del EUDR (`CHN-24`, D48).</t>
        </is>
      </c>
    </row>
    <row r="35" ht="46" customHeight="1">
      <c r="A35" s="13" t="inlineStr">
        <is>
          <t>ENVASADO CON ETIQUETA: 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t>
        </is>
      </c>
    </row>
    <row r="36"/>
    <row r="37">
      <c r="A37" s="4" t="inlineStr">
        <is>
          <t>Los mínimos que usa el semáforo</t>
        </is>
      </c>
    </row>
    <row r="38" ht="40" customHeight="1">
      <c r="A38" s="5" t="inlineStr">
        <is>
          <t>Chocolate mínimo sobre el PESO TOTAL del bombón y del chocolate relleno (aps. 1.10 y 1.13, y la base es el peso total CON el relleno dentro)</t>
        </is>
      </c>
      <c r="B38" s="19" t="n">
        <v>0.25</v>
      </c>
    </row>
    <row r="39" ht="30" customHeight="1">
      <c r="A39" s="5" t="inlineStr">
        <is>
          <t>Materia seca TOTAL de cacao del chocolate a la taza (ap. 1.11)</t>
        </is>
      </c>
      <c r="B39" s="19" t="n">
        <v>0.35</v>
      </c>
    </row>
    <row r="40" ht="30" customHeight="1">
      <c r="A40" s="5" t="inlineStr">
        <is>
          <t>Manteca de cacao del chocolate a la taza (ap. 1.11)</t>
        </is>
      </c>
      <c r="B40" s="19" t="n">
        <v>0.18</v>
      </c>
    </row>
    <row r="41" ht="30" customHeight="1">
      <c r="A41" s="5" t="inlineStr">
        <is>
          <t>Materia seca DESGRASADA de cacao del chocolate a la taza (ap. 1.11)</t>
        </is>
      </c>
      <c r="B41" s="19" t="n">
        <v>0.14</v>
      </c>
    </row>
    <row r="42"/>
    <row r="43" ht="28" customHeight="1">
      <c r="A43" s="4" t="inlineStr">
        <is>
          <t>Capa (b): las tres magnitudes que la norma pide y la bolsa no trae. Cópialas de la ficha técnica de tu proveedor</t>
        </is>
      </c>
    </row>
    <row r="44" ht="48" customHeight="1">
      <c r="A44" s="8" t="inlineStr">
        <is>
          <t>Cobertura</t>
        </is>
      </c>
      <c r="B44" s="8" t="inlineStr">
        <is>
          <t>Materia seca TOTAL de cacao</t>
        </is>
      </c>
      <c r="C44" s="8" t="inlineStr">
        <is>
          <t>Manteca de cacao</t>
        </is>
      </c>
      <c r="D44" s="8" t="inlineStr">
        <is>
          <t>Materia seca DESGRASADA de cacao</t>
        </is>
      </c>
      <c r="E44" s="8" t="inlineStr">
        <is>
          <t>¿Llega a los tres umbrales de materia seca del ap. 1.11?</t>
        </is>
      </c>
      <c r="F44" s="8" t="inlineStr">
        <is>
          <t>Qué te dice eso, y qué no</t>
        </is>
      </c>
      <c r="G44" s="8" t="inlineStr">
        <is>
          <t>Nota</t>
        </is>
      </c>
    </row>
    <row r="45" ht="48" customHeight="1">
      <c r="A45" s="5" t="inlineStr">
        <is>
          <t>Cobertura de chocolate negro (marca, 54,5 % de cacao)</t>
        </is>
      </c>
      <c r="B45" s="19" t="n">
        <v>0.545</v>
      </c>
      <c r="C45" s="19" t="n">
        <v>0.31</v>
      </c>
      <c r="D45" s="19" t="n">
        <v>0.235</v>
      </c>
      <c r="E45" t="str">
        <f>IF(OR(NOT(ISNUMBER(B45)),NOT(ISNUMBER(C45)),NOT(ISNUMBER(D45))),"",IF(AND(B45&gt;=$B$39,C45&gt;=$B$40,D45&gt;=$B$41),"Sí","No"))</f>
        <v>Sí</v>
      </c>
      <c r="F45" t="str">
        <f>IF(E45="","",IF(E45="Sí","Pasa los tres umbrales de materia seca. Eso NO decide la denominación por sí solo: depende además de qué lleva (leche, harina o almidón hasta el 8 %), y lo confirma la ficha técnica de tu proveedor","No llega a los tres umbrales: con esta cobertura no puedes ir por esa denominación"))</f>
        <v>Pasa los tres umbrales de materia seca. Eso NO decide la denominación por sí solo: depende además de qué lleva (leche, harina o almidón hasta el 8 %), y lo confirma la ficha técnica de tu proveedor</v>
      </c>
      <c r="G45" s="13" t="inlineStr">
        <is>
          <t>LA CELDA MAS CRITICA DEL PAQUETE. Base CON IVA declarada por la ficha (`CHS-28a`): el libro 3 la publica en las dos bases y lo que viaja al 4 y al 7 es la base imponible. Las tres magnitudes de arriba son SUPUESTO: pidesela a tu proveedor, la bolsa solo trae el total.</t>
        </is>
      </c>
    </row>
    <row r="46" ht="48" customHeight="1">
      <c r="A46" s="5" t="inlineStr">
        <is>
          <t>Cobertura de chocolate de origen (70 % de cacao)</t>
        </is>
      </c>
      <c r="B46" s="19" t="n">
        <v>0.7</v>
      </c>
      <c r="C46" s="19" t="n">
        <v>0.42</v>
      </c>
      <c r="D46" s="19" t="n">
        <v>0.28</v>
      </c>
      <c r="E46" t="str">
        <f>IF(OR(NOT(ISNUMBER(B46)),NOT(ISNUMBER(C46)),NOT(ISNUMBER(D46))),"",IF(AND(B46&gt;=$B$39,C46&gt;=$B$40,D46&gt;=$B$41),"Sí","No"))</f>
        <v>Sí</v>
      </c>
      <c r="F46" t="str">
        <f>IF(E46="","",IF(E46="Sí","Pasa los tres umbrales de materia seca. Eso NO decide la denominación por sí solo: depende además de qué lleva (leche, harina o almidón hasta el 8 %), y lo confirma la ficha técnica de tu proveedor","No llega a los tres umbrales: con esta cobertura no puedes ir por esa denominación"))</f>
        <v>Pasa los tres umbrales de materia seca. Eso NO decide la denominación por sí solo: depende además de qué lleva (leche, harina o almidón hasta el 8 %), y lo confirma la ficha técnica de tu proveedor</v>
      </c>
      <c r="G46" s="13" t="inlineStr">
        <is>
          <t>Factor 1,5 frente a la de marca, y es la decision de posicionamiento mas cara del negocio (decision 5 del bonus 2). La pagina no declara si el precio lleva IVA: se trata como base imponible y se marca.</t>
        </is>
      </c>
    </row>
    <row r="47" ht="48" customHeight="1">
      <c r="A47" s="5" t="inlineStr">
        <is>
          <t>Cobertura de chocolate con leche (38 % de cacao)</t>
        </is>
      </c>
      <c r="B47" s="19" t="n">
        <v>0.38</v>
      </c>
      <c r="C47" s="19" t="n">
        <v>0.21</v>
      </c>
      <c r="D47" s="19" t="n">
        <v>0.17</v>
      </c>
      <c r="E47" t="str">
        <f>IF(OR(NOT(ISNUMBER(B47)),NOT(ISNUMBER(C47)),NOT(ISNUMBER(D47))),"",IF(AND(B47&gt;=$B$39,C47&gt;=$B$40,D47&gt;=$B$41),"Sí","No"))</f>
        <v>Sí</v>
      </c>
      <c r="F47" t="str">
        <f>IF(E47="","",IF(E47="Sí","Pasa los tres umbrales de materia seca. Eso NO decide la denominación por sí solo: depende además de qué lleva (leche, harina o almidón hasta el 8 %), y lo confirma la ficha técnica de tu proveedor","No llega a los tres umbrales: con esta cobertura no puedes ir por esa denominación"))</f>
        <v>Pasa los tres umbrales de materia seca. Eso NO decide la denominación por sí solo: depende además de qué lleva (leche, harina o almidón hasta el 8 %), y lo confirma la ficha técnica de tu proveedor</v>
      </c>
      <c r="G47" s="13" t="inlineStr">
        <is>
          <t>SUPUESTO declarado: no hay precio verificado de cobertura con leche en el research. Celda verde con valor por defecto (regla 2 de §2.3: ninguna celda verde vacia).</t>
        </is>
      </c>
    </row>
    <row r="48" ht="48" customHeight="1">
      <c r="A48" s="5" t="inlineStr">
        <is>
          <t>Cobertura de chocolate blanco (30 % de cacao)</t>
        </is>
      </c>
      <c r="B48" s="19" t="n">
        <v>0.3</v>
      </c>
      <c r="C48" s="19" t="n">
        <v>0.3</v>
      </c>
      <c r="D48" s="19" t="n">
        <v>0</v>
      </c>
      <c r="E48" t="str">
        <f>IF(OR(NOT(ISNUMBER(B48)),NOT(ISNUMBER(C48)),NOT(ISNUMBER(D48))),"",IF(AND(B48&gt;=$B$39,C48&gt;=$B$40,D48&gt;=$B$41),"Sí","No"))</f>
        <v>No</v>
      </c>
      <c r="F48" t="str">
        <f>IF(E48="","",IF(E48="Sí","Pasa los tres umbrales de materia seca. Eso NO decide la denominación por sí solo: depende además de qué lleva (leche, harina o almidón hasta el 8 %), y lo confirma la ficha técnica de tu proveedor","No llega a los tres umbrales: con esta cobertura no puedes ir por esa denominación"))</f>
        <v>No llega a los tres umbrales: con esta cobertura no puedes ir por esa denominación</v>
      </c>
      <c r="G48" s="13" t="inlineStr">
        <is>
          <t>SUPUESTO declarado. Ojo al chocolate blanco: NO lleva materia seca desgrasada de cacao, y por eso el art. 6.d) del RD 1055/2003 NO le obliga a la mencion «cacao: X % minimo» (`CHN-07`).</t>
        </is>
      </c>
    </row>
    <row r="49"/>
    <row r="50" ht="46" customHeight="1">
      <c r="A50" s="13" t="inlineStr">
        <is>
          <t>Las tres magnitudes de arriba son SUPUESTOS de ejemplo, no un dato de tu proveedor: la bolsa de una cobertura de marca publica un solo número («54,5 %») y la norma necesita tres. Es la misma ficha técnica que te va a pedir el libro de proveedores para el boletín de cadmio, así que se pide una sola vez.</t>
        </is>
      </c>
    </row>
    <row r="51"/>
    <row r="52">
      <c r="A52" s="4" t="inlineStr">
        <is>
          <t>El tope del 40 % de materias añadidas (ap. 3)</t>
        </is>
      </c>
    </row>
    <row r="53">
      <c r="A53" s="14" t="inlineStr">
        <is>
          <t>Tope de materias añadidas del ap. 3</t>
        </is>
      </c>
      <c r="B53" s="19" t="n">
        <v>0.4</v>
      </c>
    </row>
    <row r="54"/>
    <row r="55" ht="24" customHeight="1">
      <c r="A55" s="8" t="inlineStr">
        <is>
          <t>Id</t>
        </is>
      </c>
      <c r="B55" s="8" t="inlineStr">
        <is>
          <t>Referencia</t>
        </is>
      </c>
      <c r="C55" s="8" t="inlineStr">
        <is>
          <t>Materia añadida sobre el peso total</t>
        </is>
      </c>
      <c r="D55" s="8" t="inlineStr">
        <is>
          <t>Veredicto</t>
        </is>
      </c>
    </row>
    <row r="56">
      <c r="A56" t="inlineStr">
        <is>
          <t>TB4</t>
        </is>
      </c>
      <c r="B56" s="5" t="inlineStr">
        <is>
          <t>Tableta de chocolate negro con almendra marcona, 100 g</t>
        </is>
      </c>
      <c r="C56" s="24">
        <f>IFERROR('Escandallo por Molde y Tanda'!F83/'Escandallo por Molde y Tanda'!G83,"")</f>
        <v>0.22</v>
      </c>
      <c r="D56" t="str">
        <f>IF(NOT(ISNUMBER(C56)),"",IF(C56&lt;=$B$53,"CUMPLE el tope del 40 %","NO CUMPLE: revisa el gramaje"))</f>
        <v>CUMPLE el tope del 40 %</v>
      </c>
    </row>
    <row r="57">
      <c r="A57" t="inlineStr">
        <is>
          <t>TB5</t>
        </is>
      </c>
      <c r="B57" s="5" t="inlineStr">
        <is>
          <t>Tableta de chocolate con leche y avellana, 100 g</t>
        </is>
      </c>
      <c r="C57" s="24">
        <f>IFERROR('Escandallo por Molde y Tanda'!F84/'Escandallo por Molde y Tanda'!G84,"")</f>
        <v>0.2</v>
      </c>
      <c r="D57" t="str">
        <f>IF(NOT(ISNUMBER(C57)),"",IF(C57&lt;=$B$53,"CUMPLE el tope del 40 %","NO CUMPLE: revisa el gramaje"))</f>
        <v>CUMPLE el tope del 40 %</v>
      </c>
    </row>
    <row r="58">
      <c r="A58" t="inlineStr">
        <is>
          <t>TF2</t>
        </is>
      </c>
      <c r="B58" s="5" t="inlineStr">
        <is>
          <t>Mona de Pascua de chocolate, 400 g</t>
        </is>
      </c>
      <c r="C58" s="24">
        <f>IFERROR('Escandallo por Molde y Tanda'!F90/'Escandallo por Molde y Tanda'!G90,"")</f>
        <v>0.05</v>
      </c>
      <c r="D58" t="str">
        <f>IF(NOT(ISNUMBER(C58)),"",IF(C58&lt;=$B$53,"CUMPLE el tope del 40 %","NO CUMPLE: revisa el gramaje"))</f>
        <v>CUMPLE el tope del 40 %</v>
      </c>
    </row>
    <row r="59">
      <c r="A59" t="inlineStr">
        <is>
          <t>TF4</t>
        </is>
      </c>
      <c r="B59" s="5" t="inlineStr">
        <is>
          <t>Turron de chocolate con almendra, 250 g</t>
        </is>
      </c>
      <c r="C59" s="24">
        <f>IFERROR('Escandallo por Molde y Tanda'!F92/'Escandallo por Molde y Tanda'!G92,"")</f>
        <v>0.328</v>
      </c>
      <c r="D59" t="str">
        <f>IF(NOT(ISNUMBER(C59)),"",IF(C59&lt;=$B$53,"CUMPLE el tope del 40 %","NO CUMPLE: revisa el gramaje"))</f>
        <v>CUMPLE el tope del 40 %</v>
      </c>
    </row>
    <row r="60"/>
    <row r="61"/>
    <row r="62"/>
    <row r="63">
      <c r="A63"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conditionalFormatting sqref="L7:L34">
    <cfRule type="expression" priority="1" dxfId="0" stopIfTrue="1">
      <formula>=AND(ISNUMBER($L7),$L7&lt;$B$38)</formula>
    </cfRule>
  </conditionalFormatting>
  <conditionalFormatting sqref="C56:C59">
    <cfRule type="expression" priority="2" dxfId="0" stopIfTrue="1">
      <formula>=AND(ISNUMBER($C56),$C56&gt;$B$53)</formula>
    </cfRule>
  </conditionalFormatting>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P99"/>
  <sheetViews>
    <sheetView workbookViewId="0">
      <pane ySplit="69" topLeftCell="A70" activePane="bottomLeft" state="frozen"/>
      <selection pane="bottomLeft" activeCell="A1" sqref="A1"/>
    </sheetView>
  </sheetViews>
  <sheetFormatPr baseColWidth="8" defaultRowHeight="15"/>
  <cols>
    <col width="8" customWidth="1" min="1" max="1"/>
    <col width="46" customWidth="1" min="2" max="2"/>
    <col width="24" customWidth="1" min="3" max="3"/>
    <col width="26" customWidth="1" min="4" max="4"/>
    <col width="13" customWidth="1" min="5" max="5"/>
    <col width="14" customWidth="1" min="6" max="6"/>
    <col width="12" customWidth="1" min="7" max="7"/>
    <col width="30" customWidth="1" min="8" max="8"/>
    <col width="13" customWidth="1" min="9" max="9"/>
    <col width="12" customWidth="1" min="10" max="10"/>
    <col width="13" customWidth="1" min="11" max="11"/>
    <col width="12" customWidth="1" min="12" max="12"/>
    <col width="15" customWidth="1" min="13" max="13"/>
    <col width="13" customWidth="1" min="14" max="14"/>
    <col width="17" customWidth="1" min="15" max="15"/>
    <col width="70" customWidth="1" min="16" max="16"/>
  </cols>
  <sheetData>
    <row r="1">
      <c r="A1" s="1" t="inlineStr">
        <is>
          <t>Escandallo por Molde y Tanda</t>
        </is>
      </c>
    </row>
    <row r="2">
      <c r="A2" s="2" t="inlineStr">
        <is>
          <t>AI Chef Pro · aichef.pro — Cómo Montar una Chocolatería</t>
        </is>
      </c>
    </row>
    <row r="3">
      <c r="A3" s="3" t="inlineStr">
        <is>
          <t>Arriba, lo que cuesta un kilo de cada relleno. Abajo, lo que cuesta una pieza. Las cajas no tienen escandallo propio: se componen de sus bombones.</t>
        </is>
      </c>
    </row>
    <row r="4"/>
    <row r="5">
      <c r="A5" s="4" t="inlineStr">
        <is>
          <t>Fórmulas de relleno: cantidad que entra en UN KILO</t>
        </is>
      </c>
    </row>
    <row r="6" ht="32" customHeight="1">
      <c r="A6" s="8" t="inlineStr">
        <is>
          <t>Relleno</t>
        </is>
      </c>
      <c r="B6" s="8" t="inlineStr">
        <is>
          <t>Ingrediente</t>
        </is>
      </c>
      <c r="C6" s="8" t="inlineStr">
        <is>
          <t>Cantidad por kilo</t>
        </is>
      </c>
      <c r="D6" s="8" t="inlineStr">
        <is>
          <t>Precio de compra (EUR)</t>
        </is>
      </c>
      <c r="E6" s="8" t="inlineStr">
        <is>
          <t>Unidad de compra</t>
        </is>
      </c>
      <c r="F6" s="8" t="inlineStr">
        <is>
          <t>Coste de la línea (EUR)</t>
        </is>
      </c>
      <c r="G6" s="8" t="inlineStr">
        <is>
          <t>Nota</t>
        </is>
      </c>
    </row>
    <row r="7" ht="46" customHeight="1">
      <c r="A7" t="inlineStr">
        <is>
          <t>ganache negra fresca</t>
        </is>
      </c>
      <c r="B7" t="inlineStr">
        <is>
          <t>Nata 35 % MG fresca</t>
        </is>
      </c>
      <c r="C7" s="31" t="n">
        <v>0.4</v>
      </c>
      <c r="D7" s="28">
        <f>IFERROR(VLOOKUP(B7,'Parámetros'!$A$48:$B$73,2,FALSE),"")</f>
        <v>4.2</v>
      </c>
      <c r="E7" t="inlineStr">
        <is>
          <t>L</t>
        </is>
      </c>
      <c r="F7" s="28">
        <f>IFERROR(C7*D7,"")</f>
        <v>1.6800000000000002</v>
      </c>
      <c r="G7" s="13" t="inlineStr">
        <is>
          <t>Fórmulas de EJEMPLO, declaradas. Este producto NO es un recetario y no publica curvas de templado: una curva mal publicada arruina producción. Lo que hacen estas líneas es dar al libro algo que costear.</t>
        </is>
      </c>
    </row>
    <row r="8">
      <c r="A8" t="inlineStr">
        <is>
          <t>ganache negra fresca</t>
        </is>
      </c>
      <c r="B8" t="inlineStr">
        <is>
          <t>Cobertura negra</t>
        </is>
      </c>
      <c r="C8" s="31" t="n">
        <v>0.52</v>
      </c>
      <c r="D8" s="28">
        <f>IFERROR(VLOOKUP(B8,'Parámetros'!$A$48:$B$73,2,FALSE),"")</f>
        <v>22.7455</v>
      </c>
      <c r="E8" t="inlineStr">
        <is>
          <t>kg</t>
        </is>
      </c>
      <c r="F8" s="28">
        <f>IFERROR(C8*D8,"")</f>
        <v>11.82766</v>
      </c>
    </row>
    <row r="9">
      <c r="A9" t="inlineStr">
        <is>
          <t>ganache negra fresca</t>
        </is>
      </c>
      <c r="B9" t="inlineStr">
        <is>
          <t>Mantequilla</t>
        </is>
      </c>
      <c r="C9" s="31" t="n">
        <v>0.06</v>
      </c>
      <c r="D9" s="28">
        <f>IFERROR(VLOOKUP(B9,'Parámetros'!$A$48:$B$73,2,FALSE),"")</f>
        <v>9.8</v>
      </c>
      <c r="E9" t="inlineStr">
        <is>
          <t>kg</t>
        </is>
      </c>
      <c r="F9" s="28">
        <f>IFERROR(C9*D9,"")</f>
        <v>0.588</v>
      </c>
    </row>
    <row r="10">
      <c r="A10" t="inlineStr">
        <is>
          <t>ganache negra fresca</t>
        </is>
      </c>
      <c r="B10" t="inlineStr">
        <is>
          <t>Glucosa</t>
        </is>
      </c>
      <c r="C10" s="31" t="n">
        <v>0.04</v>
      </c>
      <c r="D10" s="28">
        <f>IFERROR(VLOOKUP(B10,'Parámetros'!$A$48:$B$73,2,FALSE),"")</f>
        <v>3.4</v>
      </c>
      <c r="E10" t="inlineStr">
        <is>
          <t>kg</t>
        </is>
      </c>
      <c r="F10" s="28">
        <f>IFERROR(C10*D10,"")</f>
        <v>0.136</v>
      </c>
    </row>
    <row r="11">
      <c r="A11" t="inlineStr">
        <is>
          <t>ganache leche estabilizada</t>
        </is>
      </c>
      <c r="B11" t="inlineStr">
        <is>
          <t>Nata 35 % MG UHT</t>
        </is>
      </c>
      <c r="C11" s="31" t="n">
        <v>0.34</v>
      </c>
      <c r="D11" s="28">
        <f>IFERROR(VLOOKUP(B11,'Parámetros'!$A$48:$B$73,2,FALSE),"")</f>
        <v>3.1</v>
      </c>
      <c r="E11" t="inlineStr">
        <is>
          <t>L</t>
        </is>
      </c>
      <c r="F11" s="28">
        <f>IFERROR(C11*D11,"")</f>
        <v>1.054</v>
      </c>
    </row>
    <row r="12">
      <c r="A12" t="inlineStr">
        <is>
          <t>ganache leche estabilizada</t>
        </is>
      </c>
      <c r="B12" t="inlineStr">
        <is>
          <t>Cobertura con leche</t>
        </is>
      </c>
      <c r="C12" s="31" t="n">
        <v>0.5600000000000001</v>
      </c>
      <c r="D12" s="28">
        <f>IFERROR(VLOOKUP(B12,'Parámetros'!$A$48:$B$73,2,FALSE),"")</f>
        <v>19.5</v>
      </c>
      <c r="E12" t="inlineStr">
        <is>
          <t>kg</t>
        </is>
      </c>
      <c r="F12" s="28">
        <f>IFERROR(C12*D12,"")</f>
        <v>10.920000000000002</v>
      </c>
    </row>
    <row r="13">
      <c r="A13" t="inlineStr">
        <is>
          <t>ganache leche estabilizada</t>
        </is>
      </c>
      <c r="B13" t="inlineStr">
        <is>
          <t>Sorbitol</t>
        </is>
      </c>
      <c r="C13" s="31" t="n">
        <v>0.06</v>
      </c>
      <c r="D13" s="28">
        <f>IFERROR(VLOOKUP(B13,'Parámetros'!$A$48:$B$73,2,FALSE),"")</f>
        <v>6.2</v>
      </c>
      <c r="E13" t="inlineStr">
        <is>
          <t>kg</t>
        </is>
      </c>
      <c r="F13" s="28">
        <f>IFERROR(C13*D13,"")</f>
        <v>0.372</v>
      </c>
    </row>
    <row r="14">
      <c r="A14" t="inlineStr">
        <is>
          <t>ganache leche estabilizada</t>
        </is>
      </c>
      <c r="B14" t="inlineStr">
        <is>
          <t>Mantequilla</t>
        </is>
      </c>
      <c r="C14" s="31" t="n">
        <v>0.05</v>
      </c>
      <c r="D14" s="28">
        <f>IFERROR(VLOOKUP(B14,'Parámetros'!$A$48:$B$73,2,FALSE),"")</f>
        <v>9.8</v>
      </c>
      <c r="E14" t="inlineStr">
        <is>
          <t>kg</t>
        </is>
      </c>
      <c r="F14" s="28">
        <f>IFERROR(C14*D14,"")</f>
        <v>0.49000000000000005</v>
      </c>
    </row>
    <row r="15">
      <c r="A15" t="inlineStr">
        <is>
          <t>praline avellana</t>
        </is>
      </c>
      <c r="B15" t="inlineStr">
        <is>
          <t>Praline de avellana 50 %</t>
        </is>
      </c>
      <c r="C15" s="31" t="n">
        <v>0.7</v>
      </c>
      <c r="D15" s="28">
        <f>IFERROR(VLOOKUP(B15,'Parámetros'!$A$48:$B$73,2,FALSE),"")</f>
        <v>14.8</v>
      </c>
      <c r="E15" t="inlineStr">
        <is>
          <t>kg</t>
        </is>
      </c>
      <c r="F15" s="28">
        <f>IFERROR(C15*D15,"")</f>
        <v>10.36</v>
      </c>
    </row>
    <row r="16">
      <c r="A16" t="inlineStr">
        <is>
          <t>praline avellana</t>
        </is>
      </c>
      <c r="B16" t="inlineStr">
        <is>
          <t>Cobertura con leche</t>
        </is>
      </c>
      <c r="C16" s="31" t="n">
        <v>0.28</v>
      </c>
      <c r="D16" s="28">
        <f>IFERROR(VLOOKUP(B16,'Parámetros'!$A$48:$B$73,2,FALSE),"")</f>
        <v>19.5</v>
      </c>
      <c r="E16" t="inlineStr">
        <is>
          <t>kg</t>
        </is>
      </c>
      <c r="F16" s="28">
        <f>IFERROR(C16*D16,"")</f>
        <v>5.460000000000001</v>
      </c>
    </row>
    <row r="17">
      <c r="A17" t="inlineStr">
        <is>
          <t>praline avellana</t>
        </is>
      </c>
      <c r="B17" t="inlineStr">
        <is>
          <t>Manteca de cacao</t>
        </is>
      </c>
      <c r="C17" s="31" t="n">
        <v>0.04</v>
      </c>
      <c r="D17" s="28">
        <f>IFERROR(VLOOKUP(B17,'Parámetros'!$A$48:$B$73,2,FALSE),"")</f>
        <v>18.6</v>
      </c>
      <c r="E17" t="inlineStr">
        <is>
          <t>kg</t>
        </is>
      </c>
      <c r="F17" s="28">
        <f>IFERROR(C17*D17,"")</f>
        <v>0.7440000000000001</v>
      </c>
    </row>
    <row r="18">
      <c r="A18" t="inlineStr">
        <is>
          <t>gianduja avellana</t>
        </is>
      </c>
      <c r="B18" t="inlineStr">
        <is>
          <t>Pasta pura de avellana</t>
        </is>
      </c>
      <c r="C18" s="31" t="n">
        <v>0.45</v>
      </c>
      <c r="D18" s="28">
        <f>IFERROR(VLOOKUP(B18,'Parámetros'!$A$48:$B$73,2,FALSE),"")</f>
        <v>22.5</v>
      </c>
      <c r="E18" t="inlineStr">
        <is>
          <t>kg</t>
        </is>
      </c>
      <c r="F18" s="28">
        <f>IFERROR(C18*D18,"")</f>
        <v>10.125</v>
      </c>
    </row>
    <row r="19">
      <c r="A19" t="inlineStr">
        <is>
          <t>gianduja avellana</t>
        </is>
      </c>
      <c r="B19" t="inlineStr">
        <is>
          <t>Cobertura con leche</t>
        </is>
      </c>
      <c r="C19" s="31" t="n">
        <v>0.4</v>
      </c>
      <c r="D19" s="28">
        <f>IFERROR(VLOOKUP(B19,'Parámetros'!$A$48:$B$73,2,FALSE),"")</f>
        <v>19.5</v>
      </c>
      <c r="E19" t="inlineStr">
        <is>
          <t>kg</t>
        </is>
      </c>
      <c r="F19" s="28">
        <f>IFERROR(C19*D19,"")</f>
        <v>7.800000000000001</v>
      </c>
    </row>
    <row r="20">
      <c r="A20" t="inlineStr">
        <is>
          <t>gianduja avellana</t>
        </is>
      </c>
      <c r="B20" t="inlineStr">
        <is>
          <t>Azucar</t>
        </is>
      </c>
      <c r="C20" s="31" t="n">
        <v>0.17</v>
      </c>
      <c r="D20" s="28">
        <f>IFERROR(VLOOKUP(B20,'Parámetros'!$A$48:$B$73,2,FALSE),"")</f>
        <v>1.15</v>
      </c>
      <c r="E20" t="inlineStr">
        <is>
          <t>kg</t>
        </is>
      </c>
      <c r="F20" s="28">
        <f>IFERROR(C20*D20,"")</f>
        <v>0.1955</v>
      </c>
    </row>
    <row r="21">
      <c r="A21" t="inlineStr">
        <is>
          <t>trufa</t>
        </is>
      </c>
      <c r="B21" t="inlineStr">
        <is>
          <t>Nata 35 % MG UHT</t>
        </is>
      </c>
      <c r="C21" s="31" t="n">
        <v>0.36</v>
      </c>
      <c r="D21" s="28">
        <f>IFERROR(VLOOKUP(B21,'Parámetros'!$A$48:$B$73,2,FALSE),"")</f>
        <v>3.1</v>
      </c>
      <c r="E21" t="inlineStr">
        <is>
          <t>L</t>
        </is>
      </c>
      <c r="F21" s="28">
        <f>IFERROR(C21*D21,"")</f>
        <v>1.1159999999999999</v>
      </c>
    </row>
    <row r="22">
      <c r="A22" t="inlineStr">
        <is>
          <t>trufa</t>
        </is>
      </c>
      <c r="B22" t="inlineStr">
        <is>
          <t>Cobertura negra</t>
        </is>
      </c>
      <c r="C22" s="31" t="n">
        <v>0.54</v>
      </c>
      <c r="D22" s="28">
        <f>IFERROR(VLOOKUP(B22,'Parámetros'!$A$48:$B$73,2,FALSE),"")</f>
        <v>22.7455</v>
      </c>
      <c r="E22" t="inlineStr">
        <is>
          <t>kg</t>
        </is>
      </c>
      <c r="F22" s="28">
        <f>IFERROR(C22*D22,"")</f>
        <v>12.282570000000002</v>
      </c>
    </row>
    <row r="23">
      <c r="A23" t="inlineStr">
        <is>
          <t>trufa</t>
        </is>
      </c>
      <c r="B23" t="inlineStr">
        <is>
          <t>Mantequilla</t>
        </is>
      </c>
      <c r="C23" s="31" t="n">
        <v>0.06</v>
      </c>
      <c r="D23" s="28">
        <f>IFERROR(VLOOKUP(B23,'Parámetros'!$A$48:$B$73,2,FALSE),"")</f>
        <v>9.8</v>
      </c>
      <c r="E23" t="inlineStr">
        <is>
          <t>kg</t>
        </is>
      </c>
      <c r="F23" s="28">
        <f>IFERROR(C23*D23,"")</f>
        <v>0.588</v>
      </c>
    </row>
    <row r="24">
      <c r="A24" t="inlineStr">
        <is>
          <t>trufa</t>
        </is>
      </c>
      <c r="B24" t="inlineStr">
        <is>
          <t>Glucosa</t>
        </is>
      </c>
      <c r="C24" s="31" t="n">
        <v>0.04</v>
      </c>
      <c r="D24" s="28">
        <f>IFERROR(VLOOKUP(B24,'Parámetros'!$A$48:$B$73,2,FALSE),"")</f>
        <v>3.4</v>
      </c>
      <c r="E24" t="inlineStr">
        <is>
          <t>kg</t>
        </is>
      </c>
      <c r="F24" s="28">
        <f>IFERROR(C24*D24,"")</f>
        <v>0.136</v>
      </c>
    </row>
    <row r="25">
      <c r="A25" t="inlineStr">
        <is>
          <t>licor</t>
        </is>
      </c>
      <c r="B25" t="inlineStr">
        <is>
          <t>Ron anejo</t>
        </is>
      </c>
      <c r="C25" s="31" t="n">
        <v>0.22</v>
      </c>
      <c r="D25" s="28">
        <f>IFERROR(VLOOKUP(B25,'Parámetros'!$A$48:$B$73,2,FALSE),"")</f>
        <v>16.0</v>
      </c>
      <c r="E25" t="inlineStr">
        <is>
          <t>L</t>
        </is>
      </c>
      <c r="F25" s="28">
        <f>IFERROR(C25*D25,"")</f>
        <v>3.52</v>
      </c>
    </row>
    <row r="26">
      <c r="A26" t="inlineStr">
        <is>
          <t>licor</t>
        </is>
      </c>
      <c r="B26" t="inlineStr">
        <is>
          <t>Azucar</t>
        </is>
      </c>
      <c r="C26" s="31" t="n">
        <v>0.72</v>
      </c>
      <c r="D26" s="28">
        <f>IFERROR(VLOOKUP(B26,'Parámetros'!$A$48:$B$73,2,FALSE),"")</f>
        <v>1.15</v>
      </c>
      <c r="E26" t="inlineStr">
        <is>
          <t>kg</t>
        </is>
      </c>
      <c r="F26" s="28">
        <f>IFERROR(C26*D26,"")</f>
        <v>0.828</v>
      </c>
    </row>
    <row r="27">
      <c r="A27" t="inlineStr">
        <is>
          <t>licor</t>
        </is>
      </c>
      <c r="B27" t="inlineStr">
        <is>
          <t>Glucosa</t>
        </is>
      </c>
      <c r="C27" s="31" t="n">
        <v>0.06</v>
      </c>
      <c r="D27" s="28">
        <f>IFERROR(VLOOKUP(B27,'Parámetros'!$A$48:$B$73,2,FALSE),"")</f>
        <v>3.4</v>
      </c>
      <c r="E27" t="inlineStr">
        <is>
          <t>kg</t>
        </is>
      </c>
      <c r="F27" s="28">
        <f>IFERROR(C27*D27,"")</f>
        <v>0.204</v>
      </c>
    </row>
    <row r="28">
      <c r="A28" t="inlineStr">
        <is>
          <t>caramelo salado</t>
        </is>
      </c>
      <c r="B28" t="inlineStr">
        <is>
          <t>Azucar</t>
        </is>
      </c>
      <c r="C28" s="31" t="n">
        <v>0.36</v>
      </c>
      <c r="D28" s="28">
        <f>IFERROR(VLOOKUP(B28,'Parámetros'!$A$48:$B$73,2,FALSE),"")</f>
        <v>1.15</v>
      </c>
      <c r="E28" t="inlineStr">
        <is>
          <t>kg</t>
        </is>
      </c>
      <c r="F28" s="28">
        <f>IFERROR(C28*D28,"")</f>
        <v>0.414</v>
      </c>
    </row>
    <row r="29">
      <c r="A29" t="inlineStr">
        <is>
          <t>caramelo salado</t>
        </is>
      </c>
      <c r="B29" t="inlineStr">
        <is>
          <t>Nata 35 % MG UHT</t>
        </is>
      </c>
      <c r="C29" s="31" t="n">
        <v>0.28</v>
      </c>
      <c r="D29" s="28">
        <f>IFERROR(VLOOKUP(B29,'Parámetros'!$A$48:$B$73,2,FALSE),"")</f>
        <v>3.1</v>
      </c>
      <c r="E29" t="inlineStr">
        <is>
          <t>L</t>
        </is>
      </c>
      <c r="F29" s="28">
        <f>IFERROR(C29*D29,"")</f>
        <v>0.8680000000000001</v>
      </c>
    </row>
    <row r="30">
      <c r="A30" t="inlineStr">
        <is>
          <t>caramelo salado</t>
        </is>
      </c>
      <c r="B30" t="inlineStr">
        <is>
          <t>Mantequilla</t>
        </is>
      </c>
      <c r="C30" s="31" t="n">
        <v>0.22</v>
      </c>
      <c r="D30" s="28">
        <f>IFERROR(VLOOKUP(B30,'Parámetros'!$A$48:$B$73,2,FALSE),"")</f>
        <v>9.8</v>
      </c>
      <c r="E30" t="inlineStr">
        <is>
          <t>kg</t>
        </is>
      </c>
      <c r="F30" s="28">
        <f>IFERROR(C30*D30,"")</f>
        <v>2.156</v>
      </c>
    </row>
    <row r="31">
      <c r="A31" t="inlineStr">
        <is>
          <t>caramelo salado</t>
        </is>
      </c>
      <c r="B31" t="inlineStr">
        <is>
          <t>Glucosa</t>
        </is>
      </c>
      <c r="C31" s="31" t="n">
        <v>0.16</v>
      </c>
      <c r="D31" s="28">
        <f>IFERROR(VLOOKUP(B31,'Parámetros'!$A$48:$B$73,2,FALSE),"")</f>
        <v>3.4</v>
      </c>
      <c r="E31" t="inlineStr">
        <is>
          <t>kg</t>
        </is>
      </c>
      <c r="F31" s="28">
        <f>IFERROR(C31*D31,"")</f>
        <v>0.544</v>
      </c>
    </row>
    <row r="32">
      <c r="A32" t="inlineStr">
        <is>
          <t>caramelo salado</t>
        </is>
      </c>
      <c r="B32" t="inlineStr">
        <is>
          <t>Sal</t>
        </is>
      </c>
      <c r="C32" s="31" t="n">
        <v>0.008</v>
      </c>
      <c r="D32" s="28">
        <f>IFERROR(VLOOKUP(B32,'Parámetros'!$A$48:$B$73,2,FALSE),"")</f>
        <v>0.9</v>
      </c>
      <c r="E32" t="inlineStr">
        <is>
          <t>kg</t>
        </is>
      </c>
      <c r="F32" s="28">
        <f>IFERROR(C32*D32,"")</f>
        <v>0.007200000000000001</v>
      </c>
    </row>
    <row r="33">
      <c r="A33" t="inlineStr">
        <is>
          <t>praline cacahuete</t>
        </is>
      </c>
      <c r="B33" t="inlineStr">
        <is>
          <t>Praline de cacahuete 50 %</t>
        </is>
      </c>
      <c r="C33" s="31" t="n">
        <v>0.72</v>
      </c>
      <c r="D33" s="28">
        <f>IFERROR(VLOOKUP(B33,'Parámetros'!$A$48:$B$73,2,FALSE),"")</f>
        <v>9.6</v>
      </c>
      <c r="E33" t="inlineStr">
        <is>
          <t>kg</t>
        </is>
      </c>
      <c r="F33" s="28">
        <f>IFERROR(C33*D33,"")</f>
        <v>6.912</v>
      </c>
    </row>
    <row r="34">
      <c r="A34" t="inlineStr">
        <is>
          <t>praline cacahuete</t>
        </is>
      </c>
      <c r="B34" t="inlineStr">
        <is>
          <t>Cobertura con leche</t>
        </is>
      </c>
      <c r="C34" s="31" t="n">
        <v>0.26</v>
      </c>
      <c r="D34" s="28">
        <f>IFERROR(VLOOKUP(B34,'Parámetros'!$A$48:$B$73,2,FALSE),"")</f>
        <v>19.5</v>
      </c>
      <c r="E34" t="inlineStr">
        <is>
          <t>kg</t>
        </is>
      </c>
      <c r="F34" s="28">
        <f>IFERROR(C34*D34,"")</f>
        <v>5.07</v>
      </c>
    </row>
    <row r="35">
      <c r="A35" t="inlineStr">
        <is>
          <t>praline cacahuete</t>
        </is>
      </c>
      <c r="B35" t="inlineStr">
        <is>
          <t>Manteca de cacao</t>
        </is>
      </c>
      <c r="C35" s="31" t="n">
        <v>0.04</v>
      </c>
      <c r="D35" s="28">
        <f>IFERROR(VLOOKUP(B35,'Parámetros'!$A$48:$B$73,2,FALSE),"")</f>
        <v>18.6</v>
      </c>
      <c r="E35" t="inlineStr">
        <is>
          <t>kg</t>
        </is>
      </c>
      <c r="F35" s="28">
        <f>IFERROR(C35*D35,"")</f>
        <v>0.7440000000000001</v>
      </c>
    </row>
    <row r="36">
      <c r="A36" t="inlineStr">
        <is>
          <t>crujiente sesamo</t>
        </is>
      </c>
      <c r="B36" t="inlineStr">
        <is>
          <t>Pasta de sesamo</t>
        </is>
      </c>
      <c r="C36" s="31" t="n">
        <v>0.34</v>
      </c>
      <c r="D36" s="28">
        <f>IFERROR(VLOOKUP(B36,'Parámetros'!$A$48:$B$73,2,FALSE),"")</f>
        <v>8.9</v>
      </c>
      <c r="E36" t="inlineStr">
        <is>
          <t>kg</t>
        </is>
      </c>
      <c r="F36" s="28">
        <f>IFERROR(C36*D36,"")</f>
        <v>3.0260000000000002</v>
      </c>
    </row>
    <row r="37">
      <c r="A37" t="inlineStr">
        <is>
          <t>crujiente sesamo</t>
        </is>
      </c>
      <c r="B37" t="inlineStr">
        <is>
          <t>Barquillo triturado</t>
        </is>
      </c>
      <c r="C37" s="31" t="n">
        <v>0.22</v>
      </c>
      <c r="D37" s="28">
        <f>IFERROR(VLOOKUP(B37,'Parámetros'!$A$48:$B$73,2,FALSE),"")</f>
        <v>7.6</v>
      </c>
      <c r="E37" t="inlineStr">
        <is>
          <t>kg</t>
        </is>
      </c>
      <c r="F37" s="28">
        <f>IFERROR(C37*D37,"")</f>
        <v>1.672</v>
      </c>
    </row>
    <row r="38">
      <c r="A38" t="inlineStr">
        <is>
          <t>crujiente sesamo</t>
        </is>
      </c>
      <c r="B38" t="inlineStr">
        <is>
          <t>Cobertura con leche</t>
        </is>
      </c>
      <c r="C38" s="31" t="n">
        <v>0.44</v>
      </c>
      <c r="D38" s="28">
        <f>IFERROR(VLOOKUP(B38,'Parámetros'!$A$48:$B$73,2,FALSE),"")</f>
        <v>19.5</v>
      </c>
      <c r="E38" t="inlineStr">
        <is>
          <t>kg</t>
        </is>
      </c>
      <c r="F38" s="28">
        <f>IFERROR(C38*D38,"")</f>
        <v>8.58</v>
      </c>
    </row>
    <row r="39">
      <c r="A39" t="inlineStr">
        <is>
          <t>naranja confitada</t>
        </is>
      </c>
      <c r="B39" t="inlineStr">
        <is>
          <t>Naranja confitada</t>
        </is>
      </c>
      <c r="C39" s="31" t="n">
        <v>0.62</v>
      </c>
      <c r="D39" s="28">
        <f>IFERROR(VLOOKUP(B39,'Parámetros'!$A$48:$B$73,2,FALSE),"")</f>
        <v>9.2</v>
      </c>
      <c r="E39" t="inlineStr">
        <is>
          <t>kg</t>
        </is>
      </c>
      <c r="F39" s="28">
        <f>IFERROR(C39*D39,"")</f>
        <v>5.704</v>
      </c>
    </row>
    <row r="40">
      <c r="A40" t="inlineStr">
        <is>
          <t>naranja confitada</t>
        </is>
      </c>
      <c r="B40" t="inlineStr">
        <is>
          <t>Cobertura negra</t>
        </is>
      </c>
      <c r="C40" s="31" t="n">
        <v>0.38</v>
      </c>
      <c r="D40" s="28">
        <f>IFERROR(VLOOKUP(B40,'Parámetros'!$A$48:$B$73,2,FALSE),"")</f>
        <v>22.7455</v>
      </c>
      <c r="E40" t="inlineStr">
        <is>
          <t>kg</t>
        </is>
      </c>
      <c r="F40" s="28">
        <f>IFERROR(C40*D40,"")</f>
        <v>8.64329</v>
      </c>
    </row>
    <row r="41">
      <c r="A41" t="inlineStr">
        <is>
          <t>praline de tableta</t>
        </is>
      </c>
      <c r="B41" t="inlineStr">
        <is>
          <t>Praline de avellana 50 %</t>
        </is>
      </c>
      <c r="C41" s="31" t="n">
        <v>0.8</v>
      </c>
      <c r="D41" s="28">
        <f>IFERROR(VLOOKUP(B41,'Parámetros'!$A$48:$B$73,2,FALSE),"")</f>
        <v>14.8</v>
      </c>
      <c r="E41" t="inlineStr">
        <is>
          <t>kg</t>
        </is>
      </c>
      <c r="F41" s="28">
        <f>IFERROR(C41*D41,"")</f>
        <v>11.840000000000002</v>
      </c>
    </row>
    <row r="42">
      <c r="A42" t="inlineStr">
        <is>
          <t>praline de tableta</t>
        </is>
      </c>
      <c r="B42" t="inlineStr">
        <is>
          <t>Cobertura con leche</t>
        </is>
      </c>
      <c r="C42" s="31" t="n">
        <v>0.22</v>
      </c>
      <c r="D42" s="28">
        <f>IFERROR(VLOOKUP(B42,'Parámetros'!$A$48:$B$73,2,FALSE),"")</f>
        <v>19.5</v>
      </c>
      <c r="E42" t="inlineStr">
        <is>
          <t>kg</t>
        </is>
      </c>
      <c r="F42" s="28">
        <f>IFERROR(C42*D42,"")</f>
        <v>4.29</v>
      </c>
    </row>
    <row r="43">
      <c r="A43" t="inlineStr">
        <is>
          <t>masa a la taza</t>
        </is>
      </c>
      <c r="B43" t="inlineStr">
        <is>
          <t>Azucar</t>
        </is>
      </c>
      <c r="C43" s="31" t="n">
        <v>0.62</v>
      </c>
      <c r="D43" s="28">
        <f>IFERROR(VLOOKUP(B43,'Parámetros'!$A$48:$B$73,2,FALSE),"")</f>
        <v>1.15</v>
      </c>
      <c r="E43" t="inlineStr">
        <is>
          <t>kg</t>
        </is>
      </c>
      <c r="F43" s="28">
        <f>IFERROR(C43*D43,"")</f>
        <v>0.713</v>
      </c>
    </row>
    <row r="44">
      <c r="A44" t="inlineStr">
        <is>
          <t>masa a la taza</t>
        </is>
      </c>
      <c r="B44" t="inlineStr">
        <is>
          <t>Cacao en polvo desgrasado</t>
        </is>
      </c>
      <c r="C44" s="31" t="n">
        <v>0.3</v>
      </c>
      <c r="D44" s="28">
        <f>IFERROR(VLOOKUP(B44,'Parámetros'!$A$48:$B$73,2,FALSE),"")</f>
        <v>11.5</v>
      </c>
      <c r="E44" t="inlineStr">
        <is>
          <t>kg</t>
        </is>
      </c>
      <c r="F44" s="28">
        <f>IFERROR(C44*D44,"")</f>
        <v>3.4499999999999997</v>
      </c>
    </row>
    <row r="45">
      <c r="A45" t="inlineStr">
        <is>
          <t>masa a la taza</t>
        </is>
      </c>
      <c r="B45" t="inlineStr">
        <is>
          <t>Almidon de maiz</t>
        </is>
      </c>
      <c r="C45" s="31" t="n">
        <v>0.08</v>
      </c>
      <c r="D45" s="28">
        <f>IFERROR(VLOOKUP(B45,'Parámetros'!$A$48:$B$73,2,FALSE),"")</f>
        <v>2.1</v>
      </c>
      <c r="E45" t="inlineStr">
        <is>
          <t>kg</t>
        </is>
      </c>
      <c r="F45" s="28">
        <f>IFERROR(C45*D45,"")</f>
        <v>0.168</v>
      </c>
    </row>
    <row r="46">
      <c r="A46" t="inlineStr">
        <is>
          <t>yema tostada</t>
        </is>
      </c>
      <c r="B46" t="inlineStr">
        <is>
          <t>Yema de huevo pasteurizada</t>
        </is>
      </c>
      <c r="C46" s="31" t="n">
        <v>0.4</v>
      </c>
      <c r="D46" s="28">
        <f>IFERROR(VLOOKUP(B46,'Parámetros'!$A$48:$B$73,2,FALSE),"")</f>
        <v>4.6</v>
      </c>
      <c r="E46" t="inlineStr">
        <is>
          <t>L</t>
        </is>
      </c>
      <c r="F46" s="28">
        <f>IFERROR(C46*D46,"")</f>
        <v>1.8399999999999999</v>
      </c>
    </row>
    <row r="47">
      <c r="A47" t="inlineStr">
        <is>
          <t>yema tostada</t>
        </is>
      </c>
      <c r="B47" t="inlineStr">
        <is>
          <t>Azucar</t>
        </is>
      </c>
      <c r="C47" s="31" t="n">
        <v>0.5600000000000001</v>
      </c>
      <c r="D47" s="28">
        <f>IFERROR(VLOOKUP(B47,'Parámetros'!$A$48:$B$73,2,FALSE),"")</f>
        <v>1.15</v>
      </c>
      <c r="E47" t="inlineStr">
        <is>
          <t>kg</t>
        </is>
      </c>
      <c r="F47" s="28">
        <f>IFERROR(C47*D47,"")</f>
        <v>0.644</v>
      </c>
    </row>
    <row r="48">
      <c r="A48" t="inlineStr">
        <is>
          <t>yema tostada</t>
        </is>
      </c>
      <c r="B48" t="inlineStr">
        <is>
          <t>Almidon de maiz</t>
        </is>
      </c>
      <c r="C48" s="31" t="n">
        <v>0.05</v>
      </c>
      <c r="D48" s="28">
        <f>IFERROR(VLOOKUP(B48,'Parámetros'!$A$48:$B$73,2,FALSE),"")</f>
        <v>2.1</v>
      </c>
      <c r="E48" t="inlineStr">
        <is>
          <t>kg</t>
        </is>
      </c>
      <c r="F48" s="28">
        <f>IFERROR(C48*D48,"")</f>
        <v>0.10500000000000001</v>
      </c>
    </row>
    <row r="49"/>
    <row r="50">
      <c r="A50" s="4" t="inlineStr">
        <is>
          <t>Coste por kilo de cada relleno y de cada materia añadida</t>
        </is>
      </c>
    </row>
    <row r="51" ht="40" customHeight="1">
      <c r="A51" s="8" t="inlineStr">
        <is>
          <t>Relleno o materia añadida</t>
        </is>
      </c>
      <c r="B51" s="8" t="inlineStr">
        <is>
          <t>Coste por kilo (EUR)</t>
        </is>
      </c>
      <c r="C51" s="8" t="inlineStr">
        <is>
          <t>Familia de vida útil del kit (se CITA, no se reescribe)</t>
        </is>
      </c>
      <c r="D51" s="8" t="inlineStr">
        <is>
          <t>Plazo orientativo que publica el kit</t>
        </is>
      </c>
      <c r="E51" s="8" t="inlineStr">
        <is>
          <t>Nota</t>
        </is>
      </c>
    </row>
    <row r="52" ht="40" customHeight="1">
      <c r="A52" t="inlineStr">
        <is>
          <t>ganache negra fresca</t>
        </is>
      </c>
      <c r="B52" s="28">
        <f>SUM(F7:F10)</f>
        <v>14.231659999999998</v>
      </c>
      <c r="C52" s="5" t="inlineStr">
        <is>
          <t>Bombones de ganache con nata fresca</t>
        </is>
      </c>
      <c r="D52" t="inlineStr">
        <is>
          <t>10-15 dias</t>
        </is>
      </c>
      <c r="E52" s="13" t="inlineStr">
        <is>
          <t>La ganache que obliga a decidir el modelo de negocio: agua disponible alta, y el kit le da 10-15 dias. Es la que manda en la decision 3 del bonus 2.</t>
        </is>
      </c>
    </row>
    <row r="53" ht="40" customHeight="1">
      <c r="A53" t="inlineStr">
        <is>
          <t>ganache leche estabilizada</t>
        </is>
      </c>
      <c r="B53" s="28">
        <f>SUM(F11:F14)</f>
        <v>12.836000000000002</v>
      </c>
      <c r="C53" s="5" t="inlineStr">
        <is>
          <t>Bombones de ganache con nata UHT, sorbato o alcohol</t>
        </is>
      </c>
      <c r="D53" t="inlineStr">
        <is>
          <t>4-8 semanas</t>
        </is>
      </c>
      <c r="E53" s="13" t="inlineStr">
        <is>
          <t>La misma pieza con otra formulacion: el kit le da 4-8 semanas. Entre esta y la anterior hay un factor DE TRES A CINCO, y esa es una decision de modelo de negocio, no tecnica.</t>
        </is>
      </c>
    </row>
    <row r="54" ht="40" customHeight="1">
      <c r="A54" t="inlineStr">
        <is>
          <t>praline avellana</t>
        </is>
      </c>
      <c r="B54" s="28">
        <f>SUM(F15:F17)</f>
        <v>16.564</v>
      </c>
      <c r="C54" s="5" t="inlineStr">
        <is>
          <t>Bombones de praline, gianduja y frutos secos</t>
        </is>
      </c>
      <c r="D54" t="inlineStr">
        <is>
          <t>2-4 meses</t>
        </is>
      </c>
      <c r="E54" s="13" t="inlineStr">
        <is>
          <t>«Praline» NO es un nombre comercial: el punto 10 de la parte A del Anexo I de la Directiva 2000/36/CE se titula «Bombon de chocolate o praline» (`CHN-82`), con el mismo minimo del 25 %.</t>
        </is>
      </c>
    </row>
    <row r="55" ht="40" customHeight="1">
      <c r="A55" t="inlineStr">
        <is>
          <t>gianduja avellana</t>
        </is>
      </c>
      <c r="B55" s="28">
        <f>SUM(F18:F20)</f>
        <v>18.1205</v>
      </c>
      <c r="C55" s="5" t="inlineStr">
        <is>
          <t>Bombones de praline, gianduja y frutos secos</t>
        </is>
      </c>
      <c r="D55" t="inlineStr">
        <is>
          <t>2-4 meses</t>
        </is>
      </c>
      <c r="E55" s="13" t="inlineStr">
        <is>
          <t>La gianduja tiene su propio apartado en la norma (1.6.b.3), con avellanas entre 20 y 40 g por 100 g. Aqui es RELLENO de un bombon, asi que la denominacion de venta es la del bombon.</t>
        </is>
      </c>
    </row>
    <row r="56" ht="40" customHeight="1">
      <c r="A56" t="inlineStr">
        <is>
          <t>trufa</t>
        </is>
      </c>
      <c r="B56" s="28">
        <f>SUM(F21:F24)</f>
        <v>14.12257</v>
      </c>
      <c r="C56" s="5" t="inlineStr">
        <is>
          <t>Trufas y rocas recubiertas</t>
        </is>
      </c>
      <c r="D56" t="inlineStr">
        <is>
          <t>3-4 semanas</t>
        </is>
      </c>
      <c r="E56" s="13" t="inlineStr">
        <is>
          <t>«Trufa» no aparece ni una vez en el RD 1055/2003 (`CHN-03b`): es un TIPO de bombon, no una categoria legal ni un sinonimo de bombon.</t>
        </is>
      </c>
    </row>
    <row r="57" ht="40" customHeight="1">
      <c r="A57" t="inlineStr">
        <is>
          <t>licor</t>
        </is>
      </c>
      <c r="B57" s="28">
        <f>SUM(F25:F27)</f>
        <v>4.552</v>
      </c>
      <c r="C57" s="5" t="inlineStr">
        <is>
          <t>Bombones de licor y cristalizados</t>
        </is>
      </c>
      <c r="D57" t="inlineStr">
        <is>
          <t>3-6 meses</t>
        </is>
      </c>
      <c r="E57" s="13" t="inlineStr">
        <is>
          <t>El alcohol baja la actividad de agua. Vigilar la cristalizacion del azucar en la cascara: revienta y gotea (nota literal del kit).</t>
        </is>
      </c>
    </row>
    <row r="58" ht="40" customHeight="1">
      <c r="A58" t="inlineStr">
        <is>
          <t>caramelo salado</t>
        </is>
      </c>
      <c r="B58" s="28">
        <f>SUM(F28:F32)</f>
        <v>3.9892000000000003</v>
      </c>
      <c r="C58" s="5" t="inlineStr">
        <is>
          <t>Bombones de ganache con nata UHT, sorbato o alcohol</t>
        </is>
      </c>
      <c r="D58" t="inlineStr">
        <is>
          <t>4-8 semanas</t>
        </is>
      </c>
      <c r="E58" s="13" t="inlineStr">
        <is>
          <t>Azucar alto y agua baja: aguanta mas que una ganache fresca.</t>
        </is>
      </c>
    </row>
    <row r="59" ht="40" customHeight="1">
      <c r="A59" t="inlineStr">
        <is>
          <t>praline cacahuete</t>
        </is>
      </c>
      <c r="B59" s="28">
        <f>SUM(F33:F35)</f>
        <v>12.725999999999999</v>
      </c>
      <c r="C59" s="5" t="inlineStr">
        <is>
          <t>Bombones de praline, gianduja y frutos secos</t>
        </is>
      </c>
      <c r="D59" t="inlineStr">
        <is>
          <t>2-4 meses</t>
        </is>
      </c>
      <c r="E59" s="13" t="inlineStr">
        <is>
          <t>EL CACAHUETE ES EL PUNTO 5 DEL ANEXO II y NO es un fruto de cascara (`CHN-34b`): esta referencia se etiqueta con su propio alergeno, no dentro de «frutos secos».</t>
        </is>
      </c>
    </row>
    <row r="60" ht="40" customHeight="1">
      <c r="A60" t="inlineStr">
        <is>
          <t>crujiente sesamo</t>
        </is>
      </c>
      <c r="B60" s="28">
        <f>SUM(F36:F38)</f>
        <v>13.278</v>
      </c>
      <c r="C60" s="5" t="inlineStr">
        <is>
          <t>Barquillos y crujientes banados</t>
        </is>
      </c>
      <c r="D60" t="inlineStr">
        <is>
          <t>3-4 semanas</t>
        </is>
      </c>
      <c r="E60" s="13" t="inlineStr">
        <is>
          <t>DOS alergenos independientes en una sola pieza: granos de sesamo (punto 11) y cereales con gluten del barquillo (punto 1). El kit le da 3-4 semanas, y no por seguridad: pierde el crujiente mucho antes.</t>
        </is>
      </c>
    </row>
    <row r="61" ht="40" customHeight="1">
      <c r="A61" t="inlineStr">
        <is>
          <t>naranja confitada</t>
        </is>
      </c>
      <c r="B61" s="28">
        <f>SUM(F39:F40)</f>
        <v>14.347290000000001</v>
      </c>
      <c r="C61" s="5" t="inlineStr">
        <is>
          <t>Frutos secos garrapinados y frutas confitadas banadas</t>
        </is>
      </c>
      <c r="D61" t="inlineStr">
        <is>
          <t>1-3 meses</t>
        </is>
      </c>
      <c r="E61" s="13" t="inlineStr">
        <is>
          <t>La fruta confitada suele llevar SULFITOS (punto 12 del Anexo II), que es el octavo alergeno y el que mas se olvida. Pidele a tu proveedor la ficha tecnica: el umbral de declaracion es 10 mg/kg.</t>
        </is>
      </c>
    </row>
    <row r="62" ht="40" customHeight="1">
      <c r="A62" t="inlineStr">
        <is>
          <t>praline de tableta</t>
        </is>
      </c>
      <c r="B62" s="28">
        <f>SUM(F41:F42)</f>
        <v>16.130000000000003</v>
      </c>
      <c r="C62" s="5" t="inlineStr">
        <is>
          <t>Bombones de praline, gianduja y frutos secos</t>
        </is>
      </c>
      <c r="D62" t="inlineStr">
        <is>
          <t>2-4 meses</t>
        </is>
      </c>
      <c r="E62" s="13" t="inlineStr">
        <is>
          <t>En una TABLETA RELLENA la denominacion es «chocolate relleno» (ap. 1.10) y el exterior tiene que ser al menos el 25 % del peso total (`CHN-04`), calculado SOBRE EL PESO TOTAL con el relleno dentro (`CHN-10`).</t>
        </is>
      </c>
    </row>
    <row r="63" ht="40" customHeight="1">
      <c r="A63" t="inlineStr">
        <is>
          <t>masa a la taza</t>
        </is>
      </c>
      <c r="B63" s="28">
        <f>SUM(F43:F45)</f>
        <v>4.3309999999999995</v>
      </c>
      <c r="C63" s="5" t="inlineStr">
        <is>
          <t>Tabletas y chocolate sin relleno</t>
        </is>
      </c>
      <c r="D63" t="inlineStr">
        <is>
          <t>12-18 meses</t>
        </is>
      </c>
      <c r="E63" s="13" t="inlineStr">
        <is>
          <t>NO es un relleno: es la otra mitad de la formula del chocolate a la taza, que NO se hace solo con cobertura. Va aqui para que el escandallo pueda costearla. El almidon es DE MAIZ a proposito: la norma admite trigo, arroz o maiz hasta el 8 %, y con el de trigo habria que declarar gluten.</t>
        </is>
      </c>
    </row>
    <row r="64" ht="40" customHeight="1">
      <c r="A64" t="inlineStr">
        <is>
          <t>yema tostada</t>
        </is>
      </c>
      <c r="B64" s="28">
        <f>SUM(F46:F48)</f>
        <v>2.589</v>
      </c>
      <c r="C64" s="5" t="inlineStr">
        <is>
          <t>Bombones de ganache con nata fresca</t>
        </is>
      </c>
      <c r="D64" t="inlineStr">
        <is>
          <t>10-15 dias</t>
        </is>
      </c>
      <c r="E64" s="13" t="inlineStr">
        <is>
          <t>La UNICA referencia del surtido con huevo, y va con ovoproducto pasteurizado de establecimiento autorizado, que es la tercera via del art. 9 del RD 1021/2022 (`CHN-31`). Con huevo crudo habria que llegar a 70 grados C durante 2 s en el centro.</t>
        </is>
      </c>
    </row>
    <row r="65" ht="32" customHeight="1">
      <c r="A65" t="inlineStr">
        <is>
          <t>Almendra marcona repelada</t>
        </is>
      </c>
      <c r="B65" s="28">
        <f>IFERROR(VLOOKUP(A65,'Parámetros'!$A$48:$B$73,2,FALSE),"")</f>
        <v>12.4</v>
      </c>
      <c r="C65" s="5" t="inlineStr">
        <is>
          <t>No es un relleno: es materia comestible añadida del ap. 3</t>
        </is>
      </c>
      <c r="D65" t="inlineStr">
        <is>
          <t>la de la referencia que la lleva</t>
        </is>
      </c>
      <c r="E65" s="13" t="inlineStr">
        <is>
          <t>Va en la misma tabla para que el escandallo busque en un solo sitio, lleve relleno o lleve almendra.</t>
        </is>
      </c>
    </row>
    <row r="66" ht="32" customHeight="1">
      <c r="A66" t="inlineStr">
        <is>
          <t>Avellana tostada</t>
        </is>
      </c>
      <c r="B66" s="28">
        <f>IFERROR(VLOOKUP(A66,'Parámetros'!$A$48:$B$73,2,FALSE),"")</f>
        <v>13.9</v>
      </c>
      <c r="C66" s="5" t="inlineStr">
        <is>
          <t>No es un relleno: es materia comestible añadida del ap. 3</t>
        </is>
      </c>
      <c r="D66" t="inlineStr">
        <is>
          <t>la de la referencia que la lleva</t>
        </is>
      </c>
      <c r="E66" s="13" t="inlineStr">
        <is>
          <t>Va en la misma tabla para que el escandallo busque en un solo sitio, lleve relleno o lleve almendra.</t>
        </is>
      </c>
    </row>
    <row r="67"/>
    <row r="68">
      <c r="A68" s="4" t="inlineStr">
        <is>
          <t>Escandallo por referencia</t>
        </is>
      </c>
    </row>
    <row r="69" ht="62" customHeight="1">
      <c r="A69" s="8" t="inlineStr">
        <is>
          <t>Id</t>
        </is>
      </c>
      <c r="B69" s="8" t="inlineStr">
        <is>
          <t>Referencia</t>
        </is>
      </c>
      <c r="C69" s="8" t="inlineStr">
        <is>
          <t>Familia</t>
        </is>
      </c>
      <c r="D69" s="8" t="inlineStr">
        <is>
          <t>Cobertura</t>
        </is>
      </c>
      <c r="E69" s="8" t="inlineStr">
        <is>
          <t>Gramos de chocolate por pieza</t>
        </is>
      </c>
      <c r="F69" s="8" t="inlineStr">
        <is>
          <t>Gramos de relleno o materia por pieza</t>
        </is>
      </c>
      <c r="G69" s="8" t="inlineStr">
        <is>
          <t>Peso total de la pieza (g)</t>
        </is>
      </c>
      <c r="H69" s="8" t="inlineStr">
        <is>
          <t>Relleno o materia añadida</t>
        </is>
      </c>
      <c r="I69" s="8" t="inlineStr">
        <is>
          <t>Precio de la cobertura (EUR/kg)</t>
        </is>
      </c>
      <c r="J69" s="8" t="inlineStr">
        <is>
          <t>Coste del chocolate (EUR)</t>
        </is>
      </c>
      <c r="K69" s="8" t="inlineStr">
        <is>
          <t>Coste por kilo del relleno (EUR)</t>
        </is>
      </c>
      <c r="L69" s="8" t="inlineStr">
        <is>
          <t>Coste del relleno (EUR)</t>
        </is>
      </c>
      <c r="M69" s="8" t="inlineStr">
        <is>
          <t>COSTE DE MATERIA SIN MERMA (EUR)</t>
        </is>
      </c>
      <c r="N69" s="8" t="inlineStr">
        <is>
          <t>Merma NO recuperable</t>
        </is>
      </c>
      <c r="O69" s="8" t="inlineStr">
        <is>
          <t>COSTE DE MATERIA CON EL RECORTE QUE NO VUELVE (EUR)</t>
        </is>
      </c>
      <c r="P69" s="8" t="inlineStr">
        <is>
          <t>Procedencia y nota</t>
        </is>
      </c>
    </row>
    <row r="70" ht="54" customHeight="1">
      <c r="A70" t="inlineStr">
        <is>
          <t>BC1</t>
        </is>
      </c>
      <c r="B70" s="5" t="inlineStr">
        <is>
          <t>Bombon de ganache de chocolate negro 70 %</t>
        </is>
      </c>
      <c r="C70" t="inlineStr">
        <is>
          <t>Bombones de coleccion</t>
        </is>
      </c>
      <c r="D70" t="inlineStr">
        <is>
          <t>Cobertura negra</t>
        </is>
      </c>
      <c r="E70" s="9" t="n">
        <v>5.5</v>
      </c>
      <c r="F70" s="9" t="n">
        <v>6.5</v>
      </c>
      <c r="G70" s="30">
        <f>IFERROR(E70+F70,"")</f>
        <v>12.0</v>
      </c>
      <c r="H70" t="inlineStr">
        <is>
          <t>ganache negra fresca</t>
        </is>
      </c>
      <c r="I70" s="28">
        <f>IFERROR(VLOOKUP(D70,'Parámetros'!$A$48:$B$73,2,FALSE),"")</f>
        <v>22.7455</v>
      </c>
      <c r="J70" s="28">
        <f>IFERROR(E70/1000*I70,"")</f>
        <v>0.12510025</v>
      </c>
      <c r="K70" s="28">
        <f>IFERROR(VLOOKUP(H70,'Escandallo por Molde y Tanda'!$A$52:$B$66,2,FALSE),"")</f>
        <v>14.231659999999998</v>
      </c>
      <c r="L70" s="28">
        <f>IFERROR(F70/1000*K70,"")</f>
        <v>0.09250578999999998</v>
      </c>
      <c r="M70" s="32">
        <f>IFERROR(J70+L70,"")</f>
        <v>0.21760603999999997</v>
      </c>
      <c r="N70" s="24">
        <f>'Merma de Templado y Recortes'!E7</f>
        <v>0.03</v>
      </c>
      <c r="O70" s="32">
        <f>IFERROR(M70/(1-N70),"")</f>
        <v>0.22433612371134018</v>
      </c>
      <c r="P70" s="13" t="inlineStr">
        <is>
          <t>La referencia que mas margen deja y la que antes caduca. Con 5,5 g de chocolate sobre 12 g de pieza, el chocolate es el 45,8 % del peso total: cumple el 25 % del ap. 1.13 con holgura. En julio y agosto baja a un tercio de su mix: es la primera que sale del catalogo de verano (literal del kit para junio: «menos ganache fresca»).</t>
        </is>
      </c>
    </row>
    <row r="71" ht="54" customHeight="1">
      <c r="A71" t="inlineStr">
        <is>
          <t>BC2</t>
        </is>
      </c>
      <c r="B71" s="5" t="inlineStr">
        <is>
          <t>Bombon de ganache de leche y vainilla</t>
        </is>
      </c>
      <c r="C71" t="inlineStr">
        <is>
          <t>Bombones de coleccion</t>
        </is>
      </c>
      <c r="D71" t="inlineStr">
        <is>
          <t>Cobertura con leche</t>
        </is>
      </c>
      <c r="E71" s="9" t="n">
        <v>5.5</v>
      </c>
      <c r="F71" s="9" t="n">
        <v>6.5</v>
      </c>
      <c r="G71" s="30">
        <f>IFERROR(E71+F71,"")</f>
        <v>12.0</v>
      </c>
      <c r="H71" t="inlineStr">
        <is>
          <t>ganache leche estabilizada</t>
        </is>
      </c>
      <c r="I71" s="28">
        <f>IFERROR(VLOOKUP(D71,'Parámetros'!$A$48:$B$73,2,FALSE),"")</f>
        <v>19.5</v>
      </c>
      <c r="J71" s="28">
        <f>IFERROR(E71/1000*I71,"")</f>
        <v>0.10725</v>
      </c>
      <c r="K71" s="28">
        <f>IFERROR(VLOOKUP(H71,'Escandallo por Molde y Tanda'!$A$52:$B$66,2,FALSE),"")</f>
        <v>12.836000000000002</v>
      </c>
      <c r="L71" s="28">
        <f>IFERROR(F71/1000*K71,"")</f>
        <v>0.08343400000000001</v>
      </c>
      <c r="M71" s="32">
        <f>IFERROR(J71+L71,"")</f>
        <v>0.19068400000000002</v>
      </c>
      <c r="N71" s="24">
        <f>'Merma de Templado y Recortes'!E8</f>
        <v>0.03</v>
      </c>
      <c r="O71" s="32">
        <f>IFERROR(M71/(1-N71),"")</f>
        <v>0.1965814432989691</v>
      </c>
      <c r="P71" s="13" t="inlineStr">
        <is>
          <t>Misma pieza que BC1 con otra formulacion: nata UHT y sorbitol. El kit le da 4-8 semanas frente a los 10-15 dias de BC1. Es LA decision de modelo de negocio del producto, y el libro 5 la cuantifica en euros de merma por caducidad al ano.</t>
        </is>
      </c>
    </row>
    <row r="72" ht="54" customHeight="1">
      <c r="A72" t="inlineStr">
        <is>
          <t>BC3</t>
        </is>
      </c>
      <c r="B72" s="5" t="inlineStr">
        <is>
          <t>Bombon de praline de avellana</t>
        </is>
      </c>
      <c r="C72" t="inlineStr">
        <is>
          <t>Bombones de coleccion</t>
        </is>
      </c>
      <c r="D72" t="inlineStr">
        <is>
          <t>Cobertura con leche</t>
        </is>
      </c>
      <c r="E72" s="9" t="n">
        <v>5</v>
      </c>
      <c r="F72" s="9" t="n">
        <v>7</v>
      </c>
      <c r="G72" s="30">
        <f>IFERROR(E72+F72,"")</f>
        <v>12.0</v>
      </c>
      <c r="H72" t="inlineStr">
        <is>
          <t>praline avellana</t>
        </is>
      </c>
      <c r="I72" s="28">
        <f>IFERROR(VLOOKUP(D72,'Parámetros'!$A$48:$B$73,2,FALSE),"")</f>
        <v>19.5</v>
      </c>
      <c r="J72" s="28">
        <f>IFERROR(E72/1000*I72,"")</f>
        <v>0.0975</v>
      </c>
      <c r="K72" s="28">
        <f>IFERROR(VLOOKUP(H72,'Escandallo por Molde y Tanda'!$A$52:$B$66,2,FALSE),"")</f>
        <v>16.564</v>
      </c>
      <c r="L72" s="28">
        <f>IFERROR(F72/1000*K72,"")</f>
        <v>0.11594800000000001</v>
      </c>
      <c r="M72" s="32">
        <f>IFERROR(J72+L72,"")</f>
        <v>0.21344800000000003</v>
      </c>
      <c r="N72" s="24">
        <f>'Merma de Templado y Recortes'!E9</f>
        <v>0.02</v>
      </c>
      <c r="O72" s="32">
        <f>IFERROR(M72/(1-N72),"")</f>
        <v>0.21780408163265308</v>
      </c>
      <c r="P72" s="13" t="inlineStr">
        <is>
          <t>«Praline» SI significa algo legalmente: es la denominacion de venta europea del bombon de chocolate (`CHN-82`), con el mismo minimo del 25 %. Escribir lo contrario esta prohibido (§5.1, prohibicion 7).</t>
        </is>
      </c>
    </row>
    <row r="73" ht="54" customHeight="1">
      <c r="A73" t="inlineStr">
        <is>
          <t>BC4</t>
        </is>
      </c>
      <c r="B73" s="5" t="inlineStr">
        <is>
          <t>Bombon de gianduja de avellana</t>
        </is>
      </c>
      <c r="C73" t="inlineStr">
        <is>
          <t>Bombones de coleccion</t>
        </is>
      </c>
      <c r="D73" t="inlineStr">
        <is>
          <t>Cobertura con leche</t>
        </is>
      </c>
      <c r="E73" s="9" t="n">
        <v>5</v>
      </c>
      <c r="F73" s="9" t="n">
        <v>7</v>
      </c>
      <c r="G73" s="30">
        <f>IFERROR(E73+F73,"")</f>
        <v>12.0</v>
      </c>
      <c r="H73" t="inlineStr">
        <is>
          <t>gianduja avellana</t>
        </is>
      </c>
      <c r="I73" s="28">
        <f>IFERROR(VLOOKUP(D73,'Parámetros'!$A$48:$B$73,2,FALSE),"")</f>
        <v>19.5</v>
      </c>
      <c r="J73" s="28">
        <f>IFERROR(E73/1000*I73,"")</f>
        <v>0.0975</v>
      </c>
      <c r="K73" s="28">
        <f>IFERROR(VLOOKUP(H73,'Escandallo por Molde y Tanda'!$A$52:$B$66,2,FALSE),"")</f>
        <v>18.1205</v>
      </c>
      <c r="L73" s="28">
        <f>IFERROR(F73/1000*K73,"")</f>
        <v>0.1268435</v>
      </c>
      <c r="M73" s="32">
        <f>IFERROR(J73+L73,"")</f>
        <v>0.2243435</v>
      </c>
      <c r="N73" s="24">
        <f>'Merma de Templado y Recortes'!E10</f>
        <v>0.02</v>
      </c>
      <c r="O73" s="32">
        <f>IFERROR(M73/(1-N73),"")</f>
        <v>0.2289219387755102</v>
      </c>
      <c r="P73" s="13" t="inlineStr">
        <is>
          <t>La gianduja tiene apartado propio en la norma (1.6.b.3), pero aqui va DENTRO de un bombon: la denominacion de venta que manda es la del producto que vendes, no la del relleno.</t>
        </is>
      </c>
    </row>
    <row r="74" ht="54" customHeight="1">
      <c r="A74" t="inlineStr">
        <is>
          <t>BC5</t>
        </is>
      </c>
      <c r="B74" s="5" t="inlineStr">
        <is>
          <t>Trufa de chocolate negro al cacao</t>
        </is>
      </c>
      <c r="C74" t="inlineStr">
        <is>
          <t>Bombones de coleccion</t>
        </is>
      </c>
      <c r="D74" t="inlineStr">
        <is>
          <t>Cobertura negra</t>
        </is>
      </c>
      <c r="E74" s="9" t="n">
        <v>4</v>
      </c>
      <c r="F74" s="9" t="n">
        <v>9</v>
      </c>
      <c r="G74" s="30">
        <f>IFERROR(E74+F74,"")</f>
        <v>13.0</v>
      </c>
      <c r="H74" t="inlineStr">
        <is>
          <t>trufa</t>
        </is>
      </c>
      <c r="I74" s="28">
        <f>IFERROR(VLOOKUP(D74,'Parámetros'!$A$48:$B$73,2,FALSE),"")</f>
        <v>22.7455</v>
      </c>
      <c r="J74" s="28">
        <f>IFERROR(E74/1000*I74,"")</f>
        <v>0.09098200000000001</v>
      </c>
      <c r="K74" s="28">
        <f>IFERROR(VLOOKUP(H74,'Escandallo por Molde y Tanda'!$A$52:$B$66,2,FALSE),"")</f>
        <v>14.12257</v>
      </c>
      <c r="L74" s="28">
        <f>IFERROR(F74/1000*K74,"")</f>
        <v>0.12710312999999998</v>
      </c>
      <c r="M74" s="32">
        <f>IFERROR(J74+L74,"")</f>
        <v>0.21808513</v>
      </c>
      <c r="N74" s="24">
        <f>'Merma de Templado y Recortes'!E11</f>
        <v>0.04</v>
      </c>
      <c r="O74" s="32">
        <f>IFERROR(M74/(1-N74),"")</f>
        <v>0.22717201041666665</v>
      </c>
      <c r="P74" s="13" t="inlineStr">
        <is>
          <t>Aqui el 25 % se pelea: 4 g de chocolate sobre 13 g de pieza son el 30,8 %, y bajando el bano un gramo se cae por debajo del minimo legal. Es el ejemplo con el que el semaforo del libro 4 ensena para que sirve. «Trufa» no es una categoria legal espanola (`CHN-03b`).</t>
        </is>
      </c>
    </row>
    <row r="75" ht="54" customHeight="1">
      <c r="A75" t="inlineStr">
        <is>
          <t>BC6</t>
        </is>
      </c>
      <c r="B75" s="5" t="inlineStr">
        <is>
          <t>Bombon de licor de ron</t>
        </is>
      </c>
      <c r="C75" t="inlineStr">
        <is>
          <t>Bombones de coleccion</t>
        </is>
      </c>
      <c r="D75" t="inlineStr">
        <is>
          <t>Cobertura negra</t>
        </is>
      </c>
      <c r="E75" s="9" t="n">
        <v>6</v>
      </c>
      <c r="F75" s="9" t="n">
        <v>8</v>
      </c>
      <c r="G75" s="30">
        <f>IFERROR(E75+F75,"")</f>
        <v>14.0</v>
      </c>
      <c r="H75" t="inlineStr">
        <is>
          <t>licor</t>
        </is>
      </c>
      <c r="I75" s="28">
        <f>IFERROR(VLOOKUP(D75,'Parámetros'!$A$48:$B$73,2,FALSE),"")</f>
        <v>22.7455</v>
      </c>
      <c r="J75" s="28">
        <f>IFERROR(E75/1000*I75,"")</f>
        <v>0.136473</v>
      </c>
      <c r="K75" s="28">
        <f>IFERROR(VLOOKUP(H75,'Escandallo por Molde y Tanda'!$A$52:$B$66,2,FALSE),"")</f>
        <v>4.552</v>
      </c>
      <c r="L75" s="28">
        <f>IFERROR(F75/1000*K75,"")</f>
        <v>0.036416</v>
      </c>
      <c r="M75" s="32">
        <f>IFERROR(J75+L75,"")</f>
        <v>0.17288900000000001</v>
      </c>
      <c r="N75" s="24">
        <f>'Merma de Templado y Recortes'!E12</f>
        <v>0.04</v>
      </c>
      <c r="O75" s="32">
        <f>IFERROR(M75/(1-N75),"")</f>
        <v>0.18009270833333335</v>
      </c>
      <c r="P75" s="13" t="inlineStr">
        <is>
          <t>Cascara mas gruesa (6 g) porque el licor la ataca. La unica del surtido sin leche: si la vendes a granel al lado de las demas, la contaminacion cruzada en la pinza se come esa ventaja.</t>
        </is>
      </c>
    </row>
    <row r="76" ht="54" customHeight="1">
      <c r="A76" t="inlineStr">
        <is>
          <t>BC7</t>
        </is>
      </c>
      <c r="B76" s="5" t="inlineStr">
        <is>
          <t>Bombon de caramelo salado</t>
        </is>
      </c>
      <c r="C76" t="inlineStr">
        <is>
          <t>Bombones de coleccion</t>
        </is>
      </c>
      <c r="D76" t="inlineStr">
        <is>
          <t>Cobertura con leche</t>
        </is>
      </c>
      <c r="E76" s="9" t="n">
        <v>5.5</v>
      </c>
      <c r="F76" s="9" t="n">
        <v>6.5</v>
      </c>
      <c r="G76" s="30">
        <f>IFERROR(E76+F76,"")</f>
        <v>12.0</v>
      </c>
      <c r="H76" t="inlineStr">
        <is>
          <t>caramelo salado</t>
        </is>
      </c>
      <c r="I76" s="28">
        <f>IFERROR(VLOOKUP(D76,'Parámetros'!$A$48:$B$73,2,FALSE),"")</f>
        <v>19.5</v>
      </c>
      <c r="J76" s="28">
        <f>IFERROR(E76/1000*I76,"")</f>
        <v>0.10725</v>
      </c>
      <c r="K76" s="28">
        <f>IFERROR(VLOOKUP(H76,'Escandallo por Molde y Tanda'!$A$52:$B$66,2,FALSE),"")</f>
        <v>3.9892000000000003</v>
      </c>
      <c r="L76" s="28">
        <f>IFERROR(F76/1000*K76,"")</f>
        <v>0.0259298</v>
      </c>
      <c r="M76" s="32">
        <f>IFERROR(J76+L76,"")</f>
        <v>0.1331798</v>
      </c>
      <c r="N76" s="24">
        <f>'Merma de Templado y Recortes'!E13</f>
        <v>0.03</v>
      </c>
      <c r="O76" s="32">
        <f>IFERROR(M76/(1-N76),"")</f>
        <v>0.13729876288659792</v>
      </c>
      <c r="P76" s="13" t="inlineStr">
        <is>
          <t>Azucar alto y agua baja: aguanta mucho mas que una ganache fresca.</t>
        </is>
      </c>
    </row>
    <row r="77" ht="54" customHeight="1">
      <c r="A77" t="inlineStr">
        <is>
          <t>BC8</t>
        </is>
      </c>
      <c r="B77" s="5" t="inlineStr">
        <is>
          <t>Bombon de praline de cacahuete</t>
        </is>
      </c>
      <c r="C77" t="inlineStr">
        <is>
          <t>Bombones de coleccion</t>
        </is>
      </c>
      <c r="D77" t="inlineStr">
        <is>
          <t>Cobertura con leche</t>
        </is>
      </c>
      <c r="E77" s="9" t="n">
        <v>5</v>
      </c>
      <c r="F77" s="9" t="n">
        <v>7</v>
      </c>
      <c r="G77" s="30">
        <f>IFERROR(E77+F77,"")</f>
        <v>12.0</v>
      </c>
      <c r="H77" t="inlineStr">
        <is>
          <t>praline cacahuete</t>
        </is>
      </c>
      <c r="I77" s="28">
        <f>IFERROR(VLOOKUP(D77,'Parámetros'!$A$48:$B$73,2,FALSE),"")</f>
        <v>19.5</v>
      </c>
      <c r="J77" s="28">
        <f>IFERROR(E77/1000*I77,"")</f>
        <v>0.0975</v>
      </c>
      <c r="K77" s="28">
        <f>IFERROR(VLOOKUP(H77,'Escandallo por Molde y Tanda'!$A$52:$B$66,2,FALSE),"")</f>
        <v>12.725999999999999</v>
      </c>
      <c r="L77" s="28">
        <f>IFERROR(F77/1000*K77,"")</f>
        <v>0.089082</v>
      </c>
      <c r="M77" s="32">
        <f>IFERROR(J77+L77,"")</f>
        <v>0.186582</v>
      </c>
      <c r="N77" s="24">
        <f>'Merma de Templado y Recortes'!E14</f>
        <v>0.02</v>
      </c>
      <c r="O77" s="32">
        <f>IFERROR(M77/(1-N77),"")</f>
        <v>0.19038979591836735</v>
      </c>
      <c r="P77" s="13" t="inlineStr">
        <is>
          <t>LA REFERENCIA QUE DEMUESTRA POR QUE SON OCHO Y NO CINCO: el cacahuete es el punto 5 del Anexo II y NO es un fruto de cascara (punto 8). Meterlo dentro de «frutos secos» es un error de etiquetado que puede mandar a alguien al hospital.</t>
        </is>
      </c>
    </row>
    <row r="78" ht="54" customHeight="1">
      <c r="A78" t="inlineStr">
        <is>
          <t>BC9</t>
        </is>
      </c>
      <c r="B78" s="5" t="inlineStr">
        <is>
          <t>Bombon crujiente de sesamo y barquillo</t>
        </is>
      </c>
      <c r="C78" t="inlineStr">
        <is>
          <t>Bombones de coleccion</t>
        </is>
      </c>
      <c r="D78" t="inlineStr">
        <is>
          <t>Cobertura con leche</t>
        </is>
      </c>
      <c r="E78" s="9" t="n">
        <v>5</v>
      </c>
      <c r="F78" s="9" t="n">
        <v>7</v>
      </c>
      <c r="G78" s="30">
        <f>IFERROR(E78+F78,"")</f>
        <v>12.0</v>
      </c>
      <c r="H78" t="inlineStr">
        <is>
          <t>crujiente sesamo</t>
        </is>
      </c>
      <c r="I78" s="28">
        <f>IFERROR(VLOOKUP(D78,'Parámetros'!$A$48:$B$73,2,FALSE),"")</f>
        <v>19.5</v>
      </c>
      <c r="J78" s="28">
        <f>IFERROR(E78/1000*I78,"")</f>
        <v>0.0975</v>
      </c>
      <c r="K78" s="28">
        <f>IFERROR(VLOOKUP(H78,'Escandallo por Molde y Tanda'!$A$52:$B$66,2,FALSE),"")</f>
        <v>13.278</v>
      </c>
      <c r="L78" s="28">
        <f>IFERROR(F78/1000*K78,"")</f>
        <v>0.092946</v>
      </c>
      <c r="M78" s="32">
        <f>IFERROR(J78+L78,"")</f>
        <v>0.190446</v>
      </c>
      <c r="N78" s="24">
        <f>'Merma de Templado y Recortes'!E15</f>
        <v>0.02</v>
      </c>
      <c r="O78" s="32">
        <f>IFERROR(M78/(1-N78),"")</f>
        <v>0.1943326530612245</v>
      </c>
      <c r="P78" s="13" t="inlineStr">
        <is>
          <t>Dos alergenos mas que sus companeras, y los dos independientes: granos de sesamo (punto 11) y cereales con gluten del barquillo (punto 1). El kit le da 3-4 semanas, y no por seguridad: pierde el crujiente mucho antes.</t>
        </is>
      </c>
    </row>
    <row r="79" ht="54" customHeight="1">
      <c r="A79" t="inlineStr">
        <is>
          <t>BC10</t>
        </is>
      </c>
      <c r="B79" s="5" t="inlineStr">
        <is>
          <t>Bombon de naranja confitada y chocolate negro</t>
        </is>
      </c>
      <c r="C79" t="inlineStr">
        <is>
          <t>Bombones de coleccion</t>
        </is>
      </c>
      <c r="D79" t="inlineStr">
        <is>
          <t>Cobertura negra</t>
        </is>
      </c>
      <c r="E79" s="9" t="n">
        <v>5.5</v>
      </c>
      <c r="F79" s="9" t="n">
        <v>6.5</v>
      </c>
      <c r="G79" s="30">
        <f>IFERROR(E79+F79,"")</f>
        <v>12.0</v>
      </c>
      <c r="H79" t="inlineStr">
        <is>
          <t>naranja confitada</t>
        </is>
      </c>
      <c r="I79" s="28">
        <f>IFERROR(VLOOKUP(D79,'Parámetros'!$A$48:$B$73,2,FALSE),"")</f>
        <v>22.7455</v>
      </c>
      <c r="J79" s="28">
        <f>IFERROR(E79/1000*I79,"")</f>
        <v>0.12510025</v>
      </c>
      <c r="K79" s="28">
        <f>IFERROR(VLOOKUP(H79,'Escandallo por Molde y Tanda'!$A$52:$B$66,2,FALSE),"")</f>
        <v>14.347290000000001</v>
      </c>
      <c r="L79" s="28">
        <f>IFERROR(F79/1000*K79,"")</f>
        <v>0.093257385</v>
      </c>
      <c r="M79" s="32">
        <f>IFERROR(J79+L79,"")</f>
        <v>0.218357635</v>
      </c>
      <c r="N79" s="24">
        <f>'Merma de Templado y Recortes'!E16</f>
        <v>0.05</v>
      </c>
      <c r="O79" s="32">
        <f>IFERROR(M79/(1-N79),"")</f>
        <v>0.22985014210526317</v>
      </c>
      <c r="P79" s="13" t="inlineStr">
        <is>
          <t>La unica del surtido con SULFITOS, que es el octavo alergeno y el que mas se olvida: la fruta confitada suele llevarlos y el umbral de declaracion es de 10 mg/kg. La fruta ademas contamina el recorte: su merma NO recuperable es la mas alta de la carta (D40).</t>
        </is>
      </c>
    </row>
    <row r="80" ht="54" customHeight="1">
      <c r="A80" t="inlineStr">
        <is>
          <t>TB1</t>
        </is>
      </c>
      <c r="B80" s="5" t="inlineStr">
        <is>
          <t>Tableta de chocolate negro de origen 70 %, 100 g</t>
        </is>
      </c>
      <c r="C80" t="inlineStr">
        <is>
          <t>Tabletas</t>
        </is>
      </c>
      <c r="D80" t="inlineStr">
        <is>
          <t>Cobertura de origen</t>
        </is>
      </c>
      <c r="E80" s="9" t="n">
        <v>100</v>
      </c>
      <c r="F80" s="9" t="n">
        <v>0</v>
      </c>
      <c r="G80" s="30">
        <f>IFERROR(E80+F80,"")</f>
        <v>100.0</v>
      </c>
      <c r="H80" t="inlineStr">
        <is>
          <t>No lleva</t>
        </is>
      </c>
      <c r="I80" s="28">
        <f>IFERROR(VLOOKUP(D80,'Parámetros'!$A$48:$B$73,2,FALSE),"")</f>
        <v>37.48</v>
      </c>
      <c r="J80" s="28">
        <f>IFERROR(E80/1000*I80,"")</f>
        <v>3.7479999999999998</v>
      </c>
      <c r="K80" s="28" t="n">
        <v>0</v>
      </c>
      <c r="L80" s="28">
        <f>IFERROR(F80/1000*K80,"")</f>
        <v>0.0</v>
      </c>
      <c r="M80" s="32">
        <f>IFERROR(J80+L80,"")</f>
        <v>3.7479999999999998</v>
      </c>
      <c r="N80" s="24">
        <f>'Merma de Templado y Recortes'!E17</f>
        <v>0.01</v>
      </c>
      <c r="O80" s="32">
        <f>IFERROR(M80/(1-N80),"")</f>
        <v>3.785858585858586</v>
      </c>
      <c r="P80" s="13" t="inlineStr">
        <is>
          <t>La referencia que vende el posicionamiento: cobertura de origen a 37,48 euros/kg (`CHS-28c`) frente a los 25,02 de la de marca (`CHS-28a`), factor 1,5. Lleva la mencion «cacao: X % minimo» obligatoria (`CHN-07`) y es la que mas sube en verano: no lleva agua, aguanta 12-18 meses y viaja. Y es la referencia con el food cost MAS ALTO de la carta, con diferencia: comprar cobertura de origen y ponerle precio de cobertura de marca es como se regala el trabajo. El libro 3 lo ensena con el escenario de subida del cacao.</t>
        </is>
      </c>
    </row>
    <row r="81" ht="54" customHeight="1">
      <c r="A81" t="inlineStr">
        <is>
          <t>TB2</t>
        </is>
      </c>
      <c r="B81" s="5" t="inlineStr">
        <is>
          <t>Tableta de chocolate con leche 38 %, 100 g</t>
        </is>
      </c>
      <c r="C81" t="inlineStr">
        <is>
          <t>Tabletas</t>
        </is>
      </c>
      <c r="D81" t="inlineStr">
        <is>
          <t>Cobertura con leche</t>
        </is>
      </c>
      <c r="E81" s="9" t="n">
        <v>100</v>
      </c>
      <c r="F81" s="9" t="n">
        <v>0</v>
      </c>
      <c r="G81" s="30">
        <f>IFERROR(E81+F81,"")</f>
        <v>100.0</v>
      </c>
      <c r="H81" t="inlineStr">
        <is>
          <t>No lleva</t>
        </is>
      </c>
      <c r="I81" s="28">
        <f>IFERROR(VLOOKUP(D81,'Parámetros'!$A$48:$B$73,2,FALSE),"")</f>
        <v>19.5</v>
      </c>
      <c r="J81" s="28">
        <f>IFERROR(E81/1000*I81,"")</f>
        <v>1.9500000000000002</v>
      </c>
      <c r="K81" s="28" t="n">
        <v>0</v>
      </c>
      <c r="L81" s="28">
        <f>IFERROR(F81/1000*K81,"")</f>
        <v>0.0</v>
      </c>
      <c r="M81" s="32">
        <f>IFERROR(J81+L81,"")</f>
        <v>1.9500000000000002</v>
      </c>
      <c r="N81" s="24">
        <f>'Merma de Templado y Recortes'!E18</f>
        <v>0.01</v>
      </c>
      <c r="O81" s="32">
        <f>IFERROR(M81/(1-N81),"")</f>
        <v>1.96969696969697</v>
      </c>
      <c r="P81" s="13" t="inlineStr">
        <is>
          <t>Tambien lleva la mencion «cacao: X % minimo» (`CHN-07`).</t>
        </is>
      </c>
    </row>
    <row r="82" ht="54" customHeight="1">
      <c r="A82" t="inlineStr">
        <is>
          <t>TB3</t>
        </is>
      </c>
      <c r="B82" s="5" t="inlineStr">
        <is>
          <t>Tableta de chocolate blanco 30 %, 100 g</t>
        </is>
      </c>
      <c r="C82" t="inlineStr">
        <is>
          <t>Tabletas</t>
        </is>
      </c>
      <c r="D82" t="inlineStr">
        <is>
          <t>Cobertura blanca</t>
        </is>
      </c>
      <c r="E82" s="9" t="n">
        <v>100</v>
      </c>
      <c r="F82" s="9" t="n">
        <v>0</v>
      </c>
      <c r="G82" s="30">
        <f>IFERROR(E82+F82,"")</f>
        <v>100.0</v>
      </c>
      <c r="H82" t="inlineStr">
        <is>
          <t>No lleva</t>
        </is>
      </c>
      <c r="I82" s="28">
        <f>IFERROR(VLOOKUP(D82,'Parámetros'!$A$48:$B$73,2,FALSE),"")</f>
        <v>21.0</v>
      </c>
      <c r="J82" s="28">
        <f>IFERROR(E82/1000*I82,"")</f>
        <v>2.1</v>
      </c>
      <c r="K82" s="28" t="n">
        <v>0</v>
      </c>
      <c r="L82" s="28">
        <f>IFERROR(F82/1000*K82,"")</f>
        <v>0.0</v>
      </c>
      <c r="M82" s="32">
        <f>IFERROR(J82+L82,"")</f>
        <v>2.1</v>
      </c>
      <c r="N82" s="24">
        <f>'Merma de Templado y Recortes'!E19</f>
        <v>0.01</v>
      </c>
      <c r="O82" s="32">
        <f>IFERROR(M82/(1-N82),"")</f>
        <v>2.121212121212121</v>
      </c>
      <c r="P82" s="13" t="inlineStr">
        <is>
          <t>El chocolate blanco NO lleva la mencion «cacao: X % minimo»: `CHN-07` acota esa obligacion a los apartados 1.4, 1.5, 1.6, 1.7, 1.8, 1.11 y 1.12, y el blanco es el 1.9. Escribir que la mencion es obligatoria en todos los chocolates esta prohibido (§5.1, 27).</t>
        </is>
      </c>
    </row>
    <row r="83" ht="54" customHeight="1">
      <c r="A83" t="inlineStr">
        <is>
          <t>TB4</t>
        </is>
      </c>
      <c r="B83" s="5" t="inlineStr">
        <is>
          <t>Tableta de chocolate negro con almendra marcona, 100 g</t>
        </is>
      </c>
      <c r="C83" t="inlineStr">
        <is>
          <t>Tabletas</t>
        </is>
      </c>
      <c r="D83" t="inlineStr">
        <is>
          <t>Cobertura negra</t>
        </is>
      </c>
      <c r="E83" s="9" t="n">
        <v>78</v>
      </c>
      <c r="F83" s="9" t="n">
        <v>22</v>
      </c>
      <c r="G83" s="30">
        <f>IFERROR(E83+F83,"")</f>
        <v>100.0</v>
      </c>
      <c r="H83" t="inlineStr">
        <is>
          <t>Almendra marcona repelada</t>
        </is>
      </c>
      <c r="I83" s="28">
        <f>IFERROR(VLOOKUP(D83,'Parámetros'!$A$48:$B$73,2,FALSE),"")</f>
        <v>22.7455</v>
      </c>
      <c r="J83" s="28">
        <f>IFERROR(E83/1000*I83,"")</f>
        <v>1.774149</v>
      </c>
      <c r="K83" s="28">
        <f>IFERROR(VLOOKUP(H83,'Escandallo por Molde y Tanda'!$A$52:$B$66,2,FALSE),"")</f>
        <v>12.4</v>
      </c>
      <c r="L83" s="28">
        <f>IFERROR(F83/1000*K83,"")</f>
        <v>0.2728</v>
      </c>
      <c r="M83" s="32">
        <f>IFERROR(J83+L83,"")</f>
        <v>2.046949</v>
      </c>
      <c r="N83" s="24">
        <f>'Merma de Templado y Recortes'!E20</f>
        <v>0.02</v>
      </c>
      <c r="O83" s="32">
        <f>IFERROR(M83/(1-N83),"")</f>
        <v>2.088723469387755</v>
      </c>
      <c r="P83" s="13" t="inlineStr">
        <is>
          <t>La almendra va en `g_relleno` porque es materia comestible ANADIDA del ap. 3, y su tope es el 40 % del peso total (`CHN-09`). Con 22 g sobre 100 esta en el 22 %: dentro. La almendra enrancia, y el frio no lo evita: manda la fecha, no el aspecto (nota del kit).</t>
        </is>
      </c>
    </row>
    <row r="84" ht="54" customHeight="1">
      <c r="A84" t="inlineStr">
        <is>
          <t>TB5</t>
        </is>
      </c>
      <c r="B84" s="5" t="inlineStr">
        <is>
          <t>Tableta de chocolate con leche y avellana, 100 g</t>
        </is>
      </c>
      <c r="C84" t="inlineStr">
        <is>
          <t>Tabletas</t>
        </is>
      </c>
      <c r="D84" t="inlineStr">
        <is>
          <t>Cobertura con leche</t>
        </is>
      </c>
      <c r="E84" s="9" t="n">
        <v>80</v>
      </c>
      <c r="F84" s="9" t="n">
        <v>20</v>
      </c>
      <c r="G84" s="30">
        <f>IFERROR(E84+F84,"")</f>
        <v>100.0</v>
      </c>
      <c r="H84" t="inlineStr">
        <is>
          <t>Avellana tostada</t>
        </is>
      </c>
      <c r="I84" s="28">
        <f>IFERROR(VLOOKUP(D84,'Parámetros'!$A$48:$B$73,2,FALSE),"")</f>
        <v>19.5</v>
      </c>
      <c r="J84" s="28">
        <f>IFERROR(E84/1000*I84,"")</f>
        <v>1.56</v>
      </c>
      <c r="K84" s="28">
        <f>IFERROR(VLOOKUP(H84,'Escandallo por Molde y Tanda'!$A$52:$B$66,2,FALSE),"")</f>
        <v>13.9</v>
      </c>
      <c r="L84" s="28">
        <f>IFERROR(F84/1000*K84,"")</f>
        <v>0.278</v>
      </c>
      <c r="M84" s="32">
        <f>IFERROR(J84+L84,"")</f>
        <v>1.838</v>
      </c>
      <c r="N84" s="24">
        <f>'Merma de Templado y Recortes'!E21</f>
        <v>0.02</v>
      </c>
      <c r="O84" s="32">
        <f>IFERROR(M84/(1-N84),"")</f>
        <v>1.8755102040816327</v>
      </c>
      <c r="P84" s="13" t="inlineStr">
        <is>
          <t>La avellana va como materia anadida del ap. 3, igual que la almendra de TB4.</t>
        </is>
      </c>
    </row>
    <row r="85" ht="54" customHeight="1">
      <c r="A85" t="inlineStr">
        <is>
          <t>TB6</t>
        </is>
      </c>
      <c r="B85" s="5" t="inlineStr">
        <is>
          <t>Tableta rellena de praline, 100 g</t>
        </is>
      </c>
      <c r="C85" t="inlineStr">
        <is>
          <t>Tabletas</t>
        </is>
      </c>
      <c r="D85" t="inlineStr">
        <is>
          <t>Cobertura con leche</t>
        </is>
      </c>
      <c r="E85" s="9" t="n">
        <v>55</v>
      </c>
      <c r="F85" s="9" t="n">
        <v>45</v>
      </c>
      <c r="G85" s="30">
        <f>IFERROR(E85+F85,"")</f>
        <v>100.0</v>
      </c>
      <c r="H85" t="inlineStr">
        <is>
          <t>praline de tableta</t>
        </is>
      </c>
      <c r="I85" s="28">
        <f>IFERROR(VLOOKUP(D85,'Parámetros'!$A$48:$B$73,2,FALSE),"")</f>
        <v>19.5</v>
      </c>
      <c r="J85" s="28">
        <f>IFERROR(E85/1000*I85,"")</f>
        <v>1.0725</v>
      </c>
      <c r="K85" s="28">
        <f>IFERROR(VLOOKUP(H85,'Escandallo por Molde y Tanda'!$A$52:$B$66,2,FALSE),"")</f>
        <v>16.130000000000003</v>
      </c>
      <c r="L85" s="28">
        <f>IFERROR(F85/1000*K85,"")</f>
        <v>0.7258500000000001</v>
      </c>
      <c r="M85" s="32">
        <f>IFERROR(J85+L85,"")</f>
        <v>1.7983500000000001</v>
      </c>
      <c r="N85" s="24">
        <f>'Merma de Templado y Recortes'!E22</f>
        <v>0.03</v>
      </c>
      <c r="O85" s="32">
        <f>IFERROR(M85/(1-N85),"")</f>
        <v>1.8539690721649487</v>
      </c>
      <c r="P85" s="13" t="inlineStr">
        <is>
          <t>La segunda referencia del ap. 1.10, y la que ensena la base de calculo: 55 g de chocolate sobre 100 g de pieza son el 55 %, calculado SOBRE EL PESO TOTAL con el relleno dentro (`CHN-10`). Si alguien lo calculase descontando el relleno le saldria el 100 % y el semaforo dejaria pasar cualquier cosa: por eso invertir las dos bases esta prohibido. Y NO es chocolate relleno lo que lleva interior de panaderia, pasteleria, galleteria, bolleria o helado (`CHN-04`).</t>
        </is>
      </c>
    </row>
    <row r="86" ht="54" customHeight="1">
      <c r="A86" t="inlineStr">
        <is>
          <t>CT1</t>
        </is>
      </c>
      <c r="B86" s="5" t="inlineStr">
        <is>
          <t>Tableta de chocolate a la taza, 200 g</t>
        </is>
      </c>
      <c r="C86" t="inlineStr">
        <is>
          <t>Chocolate a la taza</t>
        </is>
      </c>
      <c r="D86" t="inlineStr">
        <is>
          <t>Cobertura negra</t>
        </is>
      </c>
      <c r="E86" s="9" t="n">
        <v>80</v>
      </c>
      <c r="F86" s="9" t="n">
        <v>120</v>
      </c>
      <c r="G86" s="30">
        <f>IFERROR(E86+F86,"")</f>
        <v>200.0</v>
      </c>
      <c r="H86" t="inlineStr">
        <is>
          <t>masa a la taza</t>
        </is>
      </c>
      <c r="I86" s="28">
        <f>IFERROR(VLOOKUP(D86,'Parámetros'!$A$48:$B$73,2,FALSE),"")</f>
        <v>22.7455</v>
      </c>
      <c r="J86" s="28">
        <f>IFERROR(E86/1000*I86,"")</f>
        <v>1.81964</v>
      </c>
      <c r="K86" s="28">
        <f>IFERROR(VLOOKUP(H86,'Escandallo por Molde y Tanda'!$A$52:$B$66,2,FALSE),"")</f>
        <v>4.3309999999999995</v>
      </c>
      <c r="L86" s="28">
        <f>IFERROR(F86/1000*K86,"")</f>
        <v>0.51972</v>
      </c>
      <c r="M86" s="32">
        <f>IFERROR(J86+L86,"")</f>
        <v>2.33936</v>
      </c>
      <c r="N86" s="24">
        <f>'Merma de Templado y Recortes'!E23</f>
        <v>0.01</v>
      </c>
      <c r="O86" s="32">
        <f>IFERROR(M86/(1-N86),"")</f>
        <v>2.362989898989899</v>
      </c>
      <c r="P86" s="13" t="inlineStr">
        <is>
          <t>El almidon (9,6 g sobre 200, el 4,8 %) esta por debajo del tope del 8 %. Se usa ALMIDON DE MAIZ a proposito: con almidon de TRIGO habria que declarar gluten, y la norma admite los tres. La etiqueta lleva ademas la expresion «para su consumo cocido» (ap. 6.e): es una ADICION ESPANOLA que NO existe en la Directiva 2000/36/CE (`CHN-83`), asi que no se escribe que sea un requisito europeo.</t>
        </is>
      </c>
    </row>
    <row r="87" ht="54" customHeight="1">
      <c r="A87" t="inlineStr">
        <is>
          <t>CT2</t>
        </is>
      </c>
      <c r="B87" s="5" t="inlineStr">
        <is>
          <t>Caja de 6 sobres monodosis de chocolate a la taza</t>
        </is>
      </c>
      <c r="C87" t="inlineStr">
        <is>
          <t>Chocolate a la taza</t>
        </is>
      </c>
      <c r="D87" t="inlineStr">
        <is>
          <t>Cobertura negra</t>
        </is>
      </c>
      <c r="E87" s="9" t="n">
        <v>72</v>
      </c>
      <c r="F87" s="9" t="n">
        <v>108</v>
      </c>
      <c r="G87" s="30">
        <f>IFERROR(E87+F87,"")</f>
        <v>180.0</v>
      </c>
      <c r="H87" t="inlineStr">
        <is>
          <t>masa a la taza</t>
        </is>
      </c>
      <c r="I87" s="28">
        <f>IFERROR(VLOOKUP(D87,'Parámetros'!$A$48:$B$73,2,FALSE),"")</f>
        <v>22.7455</v>
      </c>
      <c r="J87" s="28">
        <f>IFERROR(E87/1000*I87,"")</f>
        <v>1.637676</v>
      </c>
      <c r="K87" s="28">
        <f>IFERROR(VLOOKUP(H87,'Escandallo por Molde y Tanda'!$A$52:$B$66,2,FALSE),"")</f>
        <v>4.3309999999999995</v>
      </c>
      <c r="L87" s="28">
        <f>IFERROR(F87/1000*K87,"")</f>
        <v>0.46774799999999994</v>
      </c>
      <c r="M87" s="32">
        <f>IFERROR(J87+L87,"")</f>
        <v>2.1054239999999997</v>
      </c>
      <c r="N87" s="24">
        <f>'Merma de Templado y Recortes'!E24</f>
        <v>0.01</v>
      </c>
      <c r="O87" s="32">
        <f>IFERROR(M87/(1-N87),"")</f>
        <v>2.1266909090909087</v>
      </c>
      <c r="P87" s="13" t="inlineStr">
        <is>
          <t>Seis sobres de 30 g. Ojo al art. 2.2.c) del RD 1808/1991: los envases cuya cara mayor mide menos de 10 cm2 estan exentos de lote, pero la CAJA que los contiene no (`CHN-36`).</t>
        </is>
      </c>
    </row>
    <row r="88" ht="54" customHeight="1">
      <c r="A88" t="inlineStr">
        <is>
          <t>CT3</t>
        </is>
      </c>
      <c r="B88" s="5" t="inlineStr">
        <is>
          <t>Chocolate a la taza servido en sala, 200 ml</t>
        </is>
      </c>
      <c r="C88" t="inlineStr">
        <is>
          <t>Chocolate a la taza</t>
        </is>
      </c>
      <c r="D88" t="inlineStr">
        <is>
          <t>Cobertura negra</t>
        </is>
      </c>
      <c r="E88" s="9" t="n">
        <v>18</v>
      </c>
      <c r="F88" s="9" t="n">
        <v>27</v>
      </c>
      <c r="G88" s="30">
        <f>IFERROR(E88+F88,"")</f>
        <v>45.0</v>
      </c>
      <c r="H88" t="inlineStr">
        <is>
          <t>masa a la taza</t>
        </is>
      </c>
      <c r="I88" s="28">
        <f>IFERROR(VLOOKUP(D88,'Parámetros'!$A$48:$B$73,2,FALSE),"")</f>
        <v>22.7455</v>
      </c>
      <c r="J88" s="28">
        <f>IFERROR(E88/1000*I88,"")</f>
        <v>0.409419</v>
      </c>
      <c r="K88" s="28">
        <f>IFERROR(VLOOKUP(H88,'Escandallo por Molde y Tanda'!$A$52:$B$66,2,FALSE),"")</f>
        <v>4.3309999999999995</v>
      </c>
      <c r="L88" s="28">
        <f>IFERROR(F88/1000*K88,"")</f>
        <v>0.11693699999999999</v>
      </c>
      <c r="M88" s="32">
        <f>IFERROR(J88+L88,"")</f>
        <v>0.5263559999999999</v>
      </c>
      <c r="N88" s="24">
        <f>'Merma de Templado y Recortes'!E25</f>
        <v>0.06</v>
      </c>
      <c r="O88" s="32">
        <f>IFERROR(M88/(1-N88),"")</f>
        <v>0.5599531914893616</v>
      </c>
      <c r="P88" s="13" t="inlineStr">
        <is>
          <t>Aqui NO entregas un bien: prestas un servicio de hosteleria, y el IVA va al 10 % por el art. 91.Uno.2.2.o (`CHN-71c`). No lleva etiqueta, asi que su referencia es tu sistema de autocontrol (D47). Y si pones mesas, el art. 8 de la Ley 1/2025 te obliga a facilitar que el cliente se lleve lo que no ha consumido, aunque seas microempresa: la exclusion del art. 6.6 NO alcanza al art. 8 (`CHN-92`). Es la pieza que sube el ticket del churro un 40-60 % en la variante de taza (`CHS-32`), y es OTRO negocio (D1).</t>
        </is>
      </c>
    </row>
    <row r="89" ht="54" customHeight="1">
      <c r="A89" t="inlineStr">
        <is>
          <t>TF1</t>
        </is>
      </c>
      <c r="B89" s="5" t="inlineStr">
        <is>
          <t>Huevo de Pascua de chocolate con leche, 250 g</t>
        </is>
      </c>
      <c r="C89" t="inlineStr">
        <is>
          <t>Turrones, figuras y temporada</t>
        </is>
      </c>
      <c r="D89" t="inlineStr">
        <is>
          <t>Cobertura con leche</t>
        </is>
      </c>
      <c r="E89" s="9" t="n">
        <v>250</v>
      </c>
      <c r="F89" s="9" t="n">
        <v>0</v>
      </c>
      <c r="G89" s="30">
        <f>IFERROR(E89+F89,"")</f>
        <v>250.0</v>
      </c>
      <c r="H89" t="inlineStr">
        <is>
          <t>No lleva</t>
        </is>
      </c>
      <c r="I89" s="28">
        <f>IFERROR(VLOOKUP(D89,'Parámetros'!$A$48:$B$73,2,FALSE),"")</f>
        <v>19.5</v>
      </c>
      <c r="J89" s="28">
        <f>IFERROR(E89/1000*I89,"")</f>
        <v>4.875</v>
      </c>
      <c r="K89" s="28" t="n">
        <v>0</v>
      </c>
      <c r="L89" s="28">
        <f>IFERROR(F89/1000*K89,"")</f>
        <v>0.0</v>
      </c>
      <c r="M89" s="32">
        <f>IFERROR(J89+L89,"")</f>
        <v>4.875</v>
      </c>
      <c r="N89" s="24">
        <f>'Merma de Templado y Recortes'!E26</f>
        <v>0.02</v>
      </c>
      <c r="O89" s="32">
        <f>IFERROR(M89/(1-N89),"")</f>
        <v>4.974489795918368</v>
      </c>
      <c r="P89" s="13" t="inlineStr">
        <is>
          <t>La merma recuperable mas alta del catalogo: la pieza hueca se raja con los cambios bruscos de temperatura (nota del kit) y lo que se rompe SIN relleno vuelve entero a la cuba. Cero mix en verano: es de campana.</t>
        </is>
      </c>
    </row>
    <row r="90" ht="54" customHeight="1">
      <c r="A90" t="inlineStr">
        <is>
          <t>TF2</t>
        </is>
      </c>
      <c r="B90" s="5" t="inlineStr">
        <is>
          <t>Mona de Pascua de chocolate, 400 g</t>
        </is>
      </c>
      <c r="C90" t="inlineStr">
        <is>
          <t>Turrones, figuras y temporada</t>
        </is>
      </c>
      <c r="D90" t="inlineStr">
        <is>
          <t>Cobertura con leche</t>
        </is>
      </c>
      <c r="E90" s="9" t="n">
        <v>380</v>
      </c>
      <c r="F90" s="9" t="n">
        <v>20</v>
      </c>
      <c r="G90" s="30">
        <f>IFERROR(E90+F90,"")</f>
        <v>400.0</v>
      </c>
      <c r="H90" t="inlineStr">
        <is>
          <t>Almendra marcona repelada</t>
        </is>
      </c>
      <c r="I90" s="28">
        <f>IFERROR(VLOOKUP(D90,'Parámetros'!$A$48:$B$73,2,FALSE),"")</f>
        <v>19.5</v>
      </c>
      <c r="J90" s="28">
        <f>IFERROR(E90/1000*I90,"")</f>
        <v>7.41</v>
      </c>
      <c r="K90" s="28">
        <f>IFERROR(VLOOKUP(H90,'Escandallo por Molde y Tanda'!$A$52:$B$66,2,FALSE),"")</f>
        <v>12.4</v>
      </c>
      <c r="L90" s="28">
        <f>IFERROR(F90/1000*K90,"")</f>
        <v>0.24800000000000003</v>
      </c>
      <c r="M90" s="32">
        <f>IFERROR(J90+L90,"")</f>
        <v>7.658</v>
      </c>
      <c r="N90" s="24">
        <f>'Merma de Templado y Recortes'!E27</f>
        <v>0.02</v>
      </c>
      <c r="O90" s="32">
        <f>IFERROR(M90/(1-N90),"")</f>
        <v>7.814285714285715</v>
      </c>
      <c r="P90" s="13" t="inlineStr">
        <is>
          <t>Pieza de autor y la que mas minutos de obrador se lleva: 210 por tanda de seis. La decoracion va como materia anadida del ap. 3. Es la referencia que pone a prueba la capacidad del libro 1 en abril.</t>
        </is>
      </c>
    </row>
    <row r="91" ht="54" customHeight="1">
      <c r="A91" t="inlineStr">
        <is>
          <t>TF3</t>
        </is>
      </c>
      <c r="B91" s="5" t="inlineStr">
        <is>
          <t>Hueso de santo banado en chocolate</t>
        </is>
      </c>
      <c r="C91" t="inlineStr">
        <is>
          <t>Turrones, figuras y temporada</t>
        </is>
      </c>
      <c r="D91" t="inlineStr">
        <is>
          <t>Cobertura negra</t>
        </is>
      </c>
      <c r="E91" s="9" t="n">
        <v>9</v>
      </c>
      <c r="F91" s="9" t="n">
        <v>21</v>
      </c>
      <c r="G91" s="30">
        <f>IFERROR(E91+F91,"")</f>
        <v>30.0</v>
      </c>
      <c r="H91" t="inlineStr">
        <is>
          <t>yema tostada</t>
        </is>
      </c>
      <c r="I91" s="28">
        <f>IFERROR(VLOOKUP(D91,'Parámetros'!$A$48:$B$73,2,FALSE),"")</f>
        <v>22.7455</v>
      </c>
      <c r="J91" s="28">
        <f>IFERROR(E91/1000*I91,"")</f>
        <v>0.2047095</v>
      </c>
      <c r="K91" s="28">
        <f>IFERROR(VLOOKUP(H91,'Escandallo por Molde y Tanda'!$A$52:$B$66,2,FALSE),"")</f>
        <v>2.589</v>
      </c>
      <c r="L91" s="28">
        <f>IFERROR(F91/1000*K91,"")</f>
        <v>0.054369</v>
      </c>
      <c r="M91" s="32">
        <f>IFERROR(J91+L91,"")</f>
        <v>0.2590785</v>
      </c>
      <c r="N91" s="24">
        <f>'Merma de Templado y Recortes'!E28</f>
        <v>0.06</v>
      </c>
      <c r="O91" s="32">
        <f>IFERROR(M91/(1-N91),"")</f>
        <v>0.27561542553191487</v>
      </c>
      <c r="P91" s="13" t="inlineStr">
        <is>
          <t>LA REFERENCIA QUE ROMPE LA REGLA, y por eso esta aqui: 9 g de chocolate sobre 30 g de pieza son el 30 %, pero NO es un bombon de chocolate, porque el 1.13 pide una pieza «del tamano de un bocado constituida por chocolate», y esto es un producto de confiteria RECUBIERTO. Su denominacion sale del RD 348/2011 (`CHN-15`), no del RD 1055/2003. La UNICA con huevo, por la yema, y va con ovoproducto pasteurizado (`CHN-31`). Esta literalmente en el calendario del kit: «Todos los Santos (1): panellets y huesos de santo banados».</t>
        </is>
      </c>
    </row>
    <row r="92" ht="54" customHeight="1">
      <c r="A92" t="inlineStr">
        <is>
          <t>TF4</t>
        </is>
      </c>
      <c r="B92" s="5" t="inlineStr">
        <is>
          <t>Turron de chocolate con almendra, 250 g</t>
        </is>
      </c>
      <c r="C92" t="inlineStr">
        <is>
          <t>Turrones, figuras y temporada</t>
        </is>
      </c>
      <c r="D92" t="inlineStr">
        <is>
          <t>Cobertura negra</t>
        </is>
      </c>
      <c r="E92" s="9" t="n">
        <v>168</v>
      </c>
      <c r="F92" s="9" t="n">
        <v>82</v>
      </c>
      <c r="G92" s="30">
        <f>IFERROR(E92+F92,"")</f>
        <v>250.0</v>
      </c>
      <c r="H92" t="inlineStr">
        <is>
          <t>Almendra marcona repelada</t>
        </is>
      </c>
      <c r="I92" s="28">
        <f>IFERROR(VLOOKUP(D92,'Parámetros'!$A$48:$B$73,2,FALSE),"")</f>
        <v>22.7455</v>
      </c>
      <c r="J92" s="28">
        <f>IFERROR(E92/1000*I92,"")</f>
        <v>3.821244</v>
      </c>
      <c r="K92" s="28">
        <f>IFERROR(VLOOKUP(H92,'Escandallo por Molde y Tanda'!$A$52:$B$66,2,FALSE),"")</f>
        <v>12.4</v>
      </c>
      <c r="L92" s="28">
        <f>IFERROR(F92/1000*K92,"")</f>
        <v>1.0168000000000001</v>
      </c>
      <c r="M92" s="32">
        <f>IFERROR(J92+L92,"")</f>
        <v>4.838044</v>
      </c>
      <c r="N92" s="24">
        <f>'Merma de Templado y Recortes'!E29</f>
        <v>0.02</v>
      </c>
      <c r="O92" s="32">
        <f>IFERROR(M92/(1-N92),"")</f>
        <v>4.936779591836735</v>
      </c>
      <c r="P92" s="13" t="inlineStr">
        <is>
          <t>HUECO DECLARADO: la denominacion que publica este juego de datos es la del RD 1055/2003, porque la norma de calidad de TURRONES no se abrio en la verificacion legal del 12-09-2026 y ninguna ficha `CHN-*` la cubre. «Turron de chocolate con almendra» es el NOMBRE COMERCIAL; antes de imprimir la etiqueta hay que comprobar si la norma de turrones te obliga a otra denominacion de venta. La almendra (82 g sobre 250, el 32,8 %) esta dentro del tope del 40 % del ap. 3 (`CHN-09`).</t>
        </is>
      </c>
    </row>
    <row r="93" ht="54" customHeight="1">
      <c r="A93" t="inlineStr">
        <is>
          <t>TF5</t>
        </is>
      </c>
      <c r="B93" s="5" t="inlineStr">
        <is>
          <t>Almendras marcona banadas en chocolate, bolsa de 150 g</t>
        </is>
      </c>
      <c r="C93" t="inlineStr">
        <is>
          <t>Turrones, figuras y temporada</t>
        </is>
      </c>
      <c r="D93" t="inlineStr">
        <is>
          <t>Cobertura negra</t>
        </is>
      </c>
      <c r="E93" s="9" t="n">
        <v>88</v>
      </c>
      <c r="F93" s="9" t="n">
        <v>62</v>
      </c>
      <c r="G93" s="30">
        <f>IFERROR(E93+F93,"")</f>
        <v>150.0</v>
      </c>
      <c r="H93" t="inlineStr">
        <is>
          <t>Almendra marcona repelada</t>
        </is>
      </c>
      <c r="I93" s="28">
        <f>IFERROR(VLOOKUP(D93,'Parámetros'!$A$48:$B$73,2,FALSE),"")</f>
        <v>22.7455</v>
      </c>
      <c r="J93" s="28">
        <f>IFERROR(E93/1000*I93,"")</f>
        <v>2.001604</v>
      </c>
      <c r="K93" s="28">
        <f>IFERROR(VLOOKUP(H93,'Escandallo por Molde y Tanda'!$A$52:$B$66,2,FALSE),"")</f>
        <v>12.4</v>
      </c>
      <c r="L93" s="28">
        <f>IFERROR(F93/1000*K93,"")</f>
        <v>0.7688</v>
      </c>
      <c r="M93" s="32">
        <f>IFERROR(J93+L93,"")</f>
        <v>2.770404</v>
      </c>
      <c r="N93" s="24">
        <f>'Merma de Templado y Recortes'!E30</f>
        <v>0.02</v>
      </c>
      <c r="O93" s="32">
        <f>IFERROR(M93/(1-N93),"")</f>
        <v>2.8269428571428574</v>
      </c>
      <c r="P93" s="13" t="inlineStr">
        <is>
          <t>La que da nombre a la casa, y su denominacion NO sale del RD 1055/2003 sino del RD 348/2011: «grageas o confites de chocolate» (`CHN-15`). Se hace en bombo, no en molde: `moldes_tanda` vale 1 y los 95 minutos son de la tanda entera, de la que salen 40 bolsas. Es la segunda que mas sube en verano: no lleva agua y es souvenir (literal del kit para julio: «packs souvenir y colaboraciones locales»).</t>
        </is>
      </c>
    </row>
    <row r="94" ht="54" customHeight="1">
      <c r="A94" t="inlineStr">
        <is>
          <t>CJ1</t>
        </is>
      </c>
      <c r="B94" s="5" t="inlineStr">
        <is>
          <t>Caja surtida de 12 bombones</t>
        </is>
      </c>
      <c r="C94" t="inlineStr">
        <is>
          <t>Cajas y regalo</t>
        </is>
      </c>
      <c r="D94" t="inlineStr">
        <is>
          <t>No aplica: caja surtida</t>
        </is>
      </c>
      <c r="E94" s="30">
        <f>'Unidad vs Caja'!C20</f>
        <v>62.5</v>
      </c>
      <c r="F94" s="30">
        <f>IFERROR('Unidad vs Caja'!C21-'Unidad vs Caja'!C20,"")</f>
        <v>82.5</v>
      </c>
      <c r="G94" s="30">
        <f>IFERROR(E94+F94,"")</f>
        <v>145.0</v>
      </c>
      <c r="H94" t="inlineStr">
        <is>
          <t>Se compone de sus bombones</t>
        </is>
      </c>
      <c r="M94" s="32">
        <f>'Unidad vs Caja'!C23</f>
        <v>2.323306445</v>
      </c>
      <c r="N94" s="24">
        <f>'Merma de Templado y Recortes'!E31</f>
        <v>0.005</v>
      </c>
      <c r="O94" s="32">
        <f>IFERROR(M94/(1-N94),"")</f>
        <v>2.334981351758794</v>
      </c>
      <c r="P94" s="13" t="inlineStr">
        <is>
          <t>Una caja no tiene escandallo propio: su coste de materia es el de los bombones que lleva dentro, y se calcula en la hoja «Unidad vs Caja». Lo que sí tiene propio es la merma de montaje y los minutos de montar y lazar.</t>
        </is>
      </c>
    </row>
    <row r="95" ht="54" customHeight="1">
      <c r="A95" t="inlineStr">
        <is>
          <t>CJ2</t>
        </is>
      </c>
      <c r="B95" s="5" t="inlineStr">
        <is>
          <t>Caja surtida de 20 bombones</t>
        </is>
      </c>
      <c r="C95" t="inlineStr">
        <is>
          <t>Cajas y regalo</t>
        </is>
      </c>
      <c r="D95" t="inlineStr">
        <is>
          <t>No aplica: caja surtida</t>
        </is>
      </c>
      <c r="E95" s="30">
        <f>'Unidad vs Caja'!D20</f>
        <v>102.5</v>
      </c>
      <c r="F95" s="30">
        <f>IFERROR('Unidad vs Caja'!D21-'Unidad vs Caja'!D20,"")</f>
        <v>142.5</v>
      </c>
      <c r="G95" s="30">
        <f>IFERROR(E95+F95,"")</f>
        <v>245.0</v>
      </c>
      <c r="H95" t="inlineStr">
        <is>
          <t>Se compone de sus bombones</t>
        </is>
      </c>
      <c r="M95" s="32">
        <f>'Unidad vs Caja'!D23</f>
        <v>4.0027907449999995</v>
      </c>
      <c r="N95" s="24">
        <f>'Merma de Templado y Recortes'!E32</f>
        <v>0.005</v>
      </c>
      <c r="O95" s="32">
        <f>IFERROR(M95/(1-N95),"")</f>
        <v>4.022905271356784</v>
      </c>
      <c r="P95" s="13" t="inlineStr">
        <is>
          <t>Una caja no tiene escandallo propio: su coste de materia es el de los bombones que lleva dentro, y se calcula en la hoja «Unidad vs Caja». Lo que sí tiene propio es la merma de montaje y los minutos de montar y lazar.</t>
        </is>
      </c>
    </row>
    <row r="96" ht="54" customHeight="1">
      <c r="A96" t="inlineStr">
        <is>
          <t>CJ3</t>
        </is>
      </c>
      <c r="B96" s="5" t="inlineStr">
        <is>
          <t>Caja surtida de 35 bombones</t>
        </is>
      </c>
      <c r="C96" t="inlineStr">
        <is>
          <t>Cajas y regalo</t>
        </is>
      </c>
      <c r="D96" t="inlineStr">
        <is>
          <t>No aplica: caja surtida</t>
        </is>
      </c>
      <c r="E96" s="30">
        <f>'Unidad vs Caja'!E20</f>
        <v>181.0</v>
      </c>
      <c r="F96" s="30">
        <f>IFERROR('Unidad vs Caja'!E21-'Unidad vs Caja'!E20,"")</f>
        <v>247.0</v>
      </c>
      <c r="G96" s="30">
        <f>IFERROR(E96+F96,"")</f>
        <v>428.0</v>
      </c>
      <c r="H96" t="inlineStr">
        <is>
          <t>Se compone de sus bombones</t>
        </is>
      </c>
      <c r="M96" s="32">
        <f>'Unidad vs Caja'!E23</f>
        <v>6.9099116899999995</v>
      </c>
      <c r="N96" s="24">
        <f>'Merma de Templado y Recortes'!E33</f>
        <v>0.005</v>
      </c>
      <c r="O96" s="32">
        <f>IFERROR(M96/(1-N96),"")</f>
        <v>6.944634864321608</v>
      </c>
      <c r="P96" s="13" t="inlineStr">
        <is>
          <t>Una caja no tiene escandallo propio: su coste de materia es el de los bombones que lleva dentro, y se calcula en la hoja «Unidad vs Caja». Lo que sí tiene propio es la merma de montaje y los minutos de montar y lazar.</t>
        </is>
      </c>
    </row>
    <row r="97" ht="54" customHeight="1">
      <c r="A97" t="inlineStr">
        <is>
          <t>CJ4</t>
        </is>
      </c>
      <c r="B97" s="5" t="inlineStr">
        <is>
          <t>Estuche corporativo personalizado de 24 bombones</t>
        </is>
      </c>
      <c r="C97" t="inlineStr">
        <is>
          <t>Cajas y regalo</t>
        </is>
      </c>
      <c r="D97" t="inlineStr">
        <is>
          <t>No aplica: caja surtida</t>
        </is>
      </c>
      <c r="E97" s="30">
        <f>'Unidad vs Caja'!F20</f>
        <v>123.0</v>
      </c>
      <c r="F97" s="30">
        <f>IFERROR('Unidad vs Caja'!F21-'Unidad vs Caja'!F20,"")</f>
        <v>170.0</v>
      </c>
      <c r="G97" s="30">
        <f>IFERROR(E97+F97,"")</f>
        <v>293.0</v>
      </c>
      <c r="H97" t="inlineStr">
        <is>
          <t>Se compone de sus bombones</t>
        </is>
      </c>
      <c r="M97" s="32">
        <f>'Unidad vs Caja'!F23</f>
        <v>4.726446545000001</v>
      </c>
      <c r="N97" s="24">
        <f>'Merma de Templado y Recortes'!E34</f>
        <v>0.005</v>
      </c>
      <c r="O97" s="32">
        <f>IFERROR(M97/(1-N97),"")</f>
        <v>4.750197532663317</v>
      </c>
      <c r="P97" s="13" t="inlineStr">
        <is>
          <t>Una caja no tiene escandallo propio: su coste de materia es el de los bombones que lleva dentro, y se calcula en la hoja «Unidad vs Caja». Lo que sí tiene propio es la merma de montaje y los minutos de montar y lazar.</t>
        </is>
      </c>
    </row>
    <row r="98"/>
    <row r="99">
      <c r="A99"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P39"/>
  <sheetViews>
    <sheetView workbookViewId="0">
      <pane ySplit="6" topLeftCell="A7" activePane="bottomLeft" state="frozen"/>
      <selection pane="bottomLeft" activeCell="A1" sqref="A1"/>
    </sheetView>
  </sheetViews>
  <sheetFormatPr baseColWidth="8" defaultRowHeight="15"/>
  <cols>
    <col width="8" customWidth="1" min="1" max="1"/>
    <col width="46" customWidth="1" min="2" max="2"/>
    <col width="16" customWidth="1" min="3" max="3"/>
    <col width="15" customWidth="1" min="4" max="4"/>
    <col width="15" customWidth="1" min="5" max="5"/>
    <col width="14" customWidth="1" min="6" max="6"/>
    <col width="16" customWidth="1" min="7" max="7"/>
    <col width="14" customWidth="1" min="8" max="8"/>
    <col width="13" customWidth="1" min="9" max="9"/>
    <col width="15" customWidth="1" min="10" max="10"/>
    <col width="15" customWidth="1" min="11" max="11"/>
    <col width="13" customWidth="1" min="12" max="12"/>
    <col width="15" customWidth="1" min="13" max="13"/>
    <col width="14" customWidth="1" min="14" max="14"/>
    <col width="16" customWidth="1" min="15" max="15"/>
    <col width="66" customWidth="1" min="16" max="16"/>
  </cols>
  <sheetData>
    <row r="1">
      <c r="A1" s="1" t="inlineStr">
        <is>
          <t>Merma de Templado y Recortes</t>
        </is>
      </c>
    </row>
    <row r="2">
      <c r="A2" s="2" t="inlineStr">
        <is>
          <t>AI Chef Pro · aichef.pro — Cómo Montar una Chocolatería</t>
        </is>
      </c>
    </row>
    <row r="3">
      <c r="A3" s="3" t="inlineStr">
        <is>
          <t>DOS tasas por referencia, y la regla es del kit: «El chocolate sin relleno y sin contaminar se puede refundir; el que lleva ganache o fruta, a residuo» (02-partidas-produccion.xlsx!Moldeado). Lo que vuelve a la cuba no encarece la materia; lo que se tira, sí.</t>
        </is>
      </c>
    </row>
    <row r="4"/>
    <row r="5"/>
    <row r="6" ht="70" customHeight="1">
      <c r="A6" s="8" t="inlineStr">
        <is>
          <t>Id</t>
        </is>
      </c>
      <c r="B6" s="8" t="inlineStr">
        <is>
          <t>Referencia</t>
        </is>
      </c>
      <c r="C6" s="8" t="inlineStr">
        <is>
          <t>¿Lleva ganache, relleno o fruta?</t>
        </is>
      </c>
      <c r="D6" s="8" t="inlineStr">
        <is>
          <t>Merma RECUPERABLE (vuelve a la cuba)</t>
        </is>
      </c>
      <c r="E6" s="8" t="inlineStr">
        <is>
          <t>Merma NO RECUPERABLE (a residuo)</t>
        </is>
      </c>
      <c r="F6" s="8" t="inlineStr">
        <is>
          <t>Coste de materia sin merma (EUR)</t>
        </is>
      </c>
      <c r="G6" s="8" t="inlineStr">
        <is>
          <t>Coste real con el recorte que vuelve (EUR)</t>
        </is>
      </c>
      <c r="H6" s="8" t="inlineStr">
        <is>
          <t>Sobrecoste de la merma (EUR)</t>
        </is>
      </c>
      <c r="I6" s="8" t="inlineStr">
        <is>
          <t>Sobrecoste sobre el coste</t>
        </is>
      </c>
      <c r="J6" s="8" t="inlineStr">
        <is>
          <t>Chocolate limpio que vuelve a la cuba (g/pieza)</t>
        </is>
      </c>
      <c r="K6" s="8" t="inlineStr">
        <is>
          <t>Producto que va a residuo (g/pieza)</t>
        </is>
      </c>
      <c r="L6" s="8" t="inlineStr">
        <is>
          <t>Unidades al año</t>
        </is>
      </c>
      <c r="M6" s="8" t="inlineStr">
        <is>
          <t>Kilos al año que vuelven a la cuba</t>
        </is>
      </c>
      <c r="N6" s="8" t="inlineStr">
        <is>
          <t>Kilos al año a residuo</t>
        </is>
      </c>
      <c r="O6" s="8" t="inlineStr">
        <is>
          <t>Coste anual de la merma no recuperable (EUR)</t>
        </is>
      </c>
      <c r="P6" s="8" t="inlineStr">
        <is>
          <t>Nota</t>
        </is>
      </c>
    </row>
    <row r="7" ht="40" customHeight="1">
      <c r="A7" t="inlineStr">
        <is>
          <t>BC1</t>
        </is>
      </c>
      <c r="B7" s="5" t="inlineStr">
        <is>
          <t>Bombon de ganache de chocolate negro 70 %</t>
        </is>
      </c>
      <c r="C7" t="inlineStr">
        <is>
          <t>Sí</t>
        </is>
      </c>
      <c r="D7" s="19" t="n">
        <v>0.04</v>
      </c>
      <c r="E7" s="19" t="n">
        <v>0.03</v>
      </c>
      <c r="F7" s="28">
        <f>'Escandallo por Molde y Tanda'!M70</f>
        <v>0.21760603999999997</v>
      </c>
      <c r="G7" s="28">
        <f>'Escandallo por Molde y Tanda'!O70</f>
        <v>0.22433612371134018</v>
      </c>
      <c r="H7" s="28">
        <f>IFERROR(G7-F7,"")</f>
        <v>0.006730083711340207</v>
      </c>
      <c r="I7" s="24">
        <f>IFERROR(H7/F7,"")</f>
        <v>0.0309278350515464</v>
      </c>
      <c r="J7" s="33">
        <f>IFERROR('Escandallo por Molde y Tanda'!E70*D7,"")</f>
        <v>0.22</v>
      </c>
      <c r="K7" s="33">
        <f>IFERROR('Escandallo por Molde y Tanda'!G70*E7,"")</f>
        <v>0.36</v>
      </c>
      <c r="L7" s="12">
        <f>'Mix y Ticket Medio'!K7</f>
        <v>1710.912</v>
      </c>
      <c r="M7" s="30">
        <f>IFERROR(J7*L7/1000,"")</f>
        <v>0.37640064</v>
      </c>
      <c r="N7" s="30">
        <f>IFERROR(K7*L7/1000,"")</f>
        <v>0.61592832</v>
      </c>
      <c r="O7" s="11">
        <f>IFERROR(H7*L7,"")</f>
        <v>11.514580982736495</v>
      </c>
      <c r="P7" s="13" t="inlineStr">
        <is>
          <t>Lleva ganache, relleno o fruta: lo que se recorta va a residuo y se reparte entre las piezas que salen bien.</t>
        </is>
      </c>
    </row>
    <row r="8" ht="40" customHeight="1">
      <c r="A8" t="inlineStr">
        <is>
          <t>BC2</t>
        </is>
      </c>
      <c r="B8" s="5" t="inlineStr">
        <is>
          <t>Bombon de ganache de leche y vainilla</t>
        </is>
      </c>
      <c r="C8" t="inlineStr">
        <is>
          <t>Sí</t>
        </is>
      </c>
      <c r="D8" s="19" t="n">
        <v>0.04</v>
      </c>
      <c r="E8" s="19" t="n">
        <v>0.03</v>
      </c>
      <c r="F8" s="28">
        <f>'Escandallo por Molde y Tanda'!M71</f>
        <v>0.19068400000000002</v>
      </c>
      <c r="G8" s="28">
        <f>'Escandallo por Molde y Tanda'!O71</f>
        <v>0.1965814432989691</v>
      </c>
      <c r="H8" s="28">
        <f>IFERROR(G8-F8,"")</f>
        <v>0.005897443298969074</v>
      </c>
      <c r="I8" s="24">
        <f>IFERROR(H8/F8,"")</f>
        <v>0.030927835051546396</v>
      </c>
      <c r="J8" s="33">
        <f>IFERROR('Escandallo por Molde y Tanda'!E71*D8,"")</f>
        <v>0.22</v>
      </c>
      <c r="K8" s="33">
        <f>IFERROR('Escandallo por Molde y Tanda'!G71*E8,"")</f>
        <v>0.36</v>
      </c>
      <c r="L8" s="12">
        <f>'Mix y Ticket Medio'!K8</f>
        <v>1425.76</v>
      </c>
      <c r="M8" s="30">
        <f>IFERROR(J8*L8/1000,"")</f>
        <v>0.3136672</v>
      </c>
      <c r="N8" s="30">
        <f>IFERROR(K8*L8/1000,"")</f>
        <v>0.5132736</v>
      </c>
      <c r="O8" s="11">
        <f>IFERROR(H8*L8,"")</f>
        <v>8.408338757938147</v>
      </c>
      <c r="P8" s="13" t="inlineStr">
        <is>
          <t>Lleva ganache, relleno o fruta: lo que se recorta va a residuo y se reparte entre las piezas que salen bien.</t>
        </is>
      </c>
    </row>
    <row r="9" ht="40" customHeight="1">
      <c r="A9" t="inlineStr">
        <is>
          <t>BC3</t>
        </is>
      </c>
      <c r="B9" s="5" t="inlineStr">
        <is>
          <t>Bombon de praline de avellana</t>
        </is>
      </c>
      <c r="C9" t="inlineStr">
        <is>
          <t>Sí</t>
        </is>
      </c>
      <c r="D9" s="19" t="n">
        <v>0.04</v>
      </c>
      <c r="E9" s="19" t="n">
        <v>0.02</v>
      </c>
      <c r="F9" s="28">
        <f>'Escandallo por Molde y Tanda'!M72</f>
        <v>0.21344800000000003</v>
      </c>
      <c r="G9" s="28">
        <f>'Escandallo por Molde y Tanda'!O72</f>
        <v>0.21780408163265308</v>
      </c>
      <c r="H9" s="28">
        <f>IFERROR(G9-F9,"")</f>
        <v>0.004356081632653053</v>
      </c>
      <c r="I9" s="24">
        <f>IFERROR(H9/F9,"")</f>
        <v>0.02040816326530608</v>
      </c>
      <c r="J9" s="33">
        <f>IFERROR('Escandallo por Molde y Tanda'!E72*D9,"")</f>
        <v>0.2</v>
      </c>
      <c r="K9" s="33">
        <f>IFERROR('Escandallo por Molde y Tanda'!G72*E9,"")</f>
        <v>0.24</v>
      </c>
      <c r="L9" s="12">
        <f>'Mix y Ticket Medio'!K9</f>
        <v>1710.912</v>
      </c>
      <c r="M9" s="30">
        <f>IFERROR(J9*L9/1000,"")</f>
        <v>0.34218240000000005</v>
      </c>
      <c r="N9" s="30">
        <f>IFERROR(K9*L9/1000,"")</f>
        <v>0.41061887999999996</v>
      </c>
      <c r="O9" s="11">
        <f>IFERROR(H9*L9,"")</f>
        <v>7.4528723382857</v>
      </c>
      <c r="P9" s="13" t="inlineStr">
        <is>
          <t>Lleva ganache, relleno o fruta: lo que se recorta va a residuo y se reparte entre las piezas que salen bien.</t>
        </is>
      </c>
    </row>
    <row r="10" ht="40" customHeight="1">
      <c r="A10" t="inlineStr">
        <is>
          <t>BC4</t>
        </is>
      </c>
      <c r="B10" s="5" t="inlineStr">
        <is>
          <t>Bombon de gianduja de avellana</t>
        </is>
      </c>
      <c r="C10" t="inlineStr">
        <is>
          <t>Sí</t>
        </is>
      </c>
      <c r="D10" s="19" t="n">
        <v>0.04</v>
      </c>
      <c r="E10" s="19" t="n">
        <v>0.02</v>
      </c>
      <c r="F10" s="28">
        <f>'Escandallo por Molde y Tanda'!M73</f>
        <v>0.2243435</v>
      </c>
      <c r="G10" s="28">
        <f>'Escandallo por Molde y Tanda'!O73</f>
        <v>0.2289219387755102</v>
      </c>
      <c r="H10" s="28">
        <f>IFERROR(G10-F10,"")</f>
        <v>0.004578438775510202</v>
      </c>
      <c r="I10" s="24">
        <f>IFERROR(H10/F10,"")</f>
        <v>0.020408163265306114</v>
      </c>
      <c r="J10" s="33">
        <f>IFERROR('Escandallo por Molde y Tanda'!E73*D10,"")</f>
        <v>0.2</v>
      </c>
      <c r="K10" s="33">
        <f>IFERROR('Escandallo por Molde y Tanda'!G73*E10,"")</f>
        <v>0.24</v>
      </c>
      <c r="L10" s="12">
        <f>'Mix y Ticket Medio'!K10</f>
        <v>1140.608</v>
      </c>
      <c r="M10" s="30">
        <f>IFERROR(J10*L10/1000,"")</f>
        <v>0.2281216</v>
      </c>
      <c r="N10" s="30">
        <f>IFERROR(K10*L10/1000,"")</f>
        <v>0.27374592</v>
      </c>
      <c r="O10" s="11">
        <f>IFERROR(H10*L10,"")</f>
        <v>5.22220389485714</v>
      </c>
      <c r="P10" s="13" t="inlineStr">
        <is>
          <t>Lleva ganache, relleno o fruta: lo que se recorta va a residuo y se reparte entre las piezas que salen bien.</t>
        </is>
      </c>
    </row>
    <row r="11" ht="40" customHeight="1">
      <c r="A11" t="inlineStr">
        <is>
          <t>BC5</t>
        </is>
      </c>
      <c r="B11" s="5" t="inlineStr">
        <is>
          <t>Trufa de chocolate negro al cacao</t>
        </is>
      </c>
      <c r="C11" t="inlineStr">
        <is>
          <t>Sí</t>
        </is>
      </c>
      <c r="D11" s="19" t="n">
        <v>0.03</v>
      </c>
      <c r="E11" s="19" t="n">
        <v>0.04</v>
      </c>
      <c r="F11" s="28">
        <f>'Escandallo por Molde y Tanda'!M74</f>
        <v>0.21808513</v>
      </c>
      <c r="G11" s="28">
        <f>'Escandallo por Molde y Tanda'!O74</f>
        <v>0.22717201041666665</v>
      </c>
      <c r="H11" s="28">
        <f>IFERROR(G11-F11,"")</f>
        <v>0.009086880416666665</v>
      </c>
      <c r="I11" s="24">
        <f>IFERROR(H11/F11,"")</f>
        <v>0.041666666666666664</v>
      </c>
      <c r="J11" s="33">
        <f>IFERROR('Escandallo por Molde y Tanda'!E74*D11,"")</f>
        <v>0.12</v>
      </c>
      <c r="K11" s="33">
        <f>IFERROR('Escandallo por Molde y Tanda'!G74*E11,"")</f>
        <v>0.52</v>
      </c>
      <c r="L11" s="12">
        <f>'Mix y Ticket Medio'!K11</f>
        <v>1425.76</v>
      </c>
      <c r="M11" s="30">
        <f>IFERROR(J11*L11/1000,"")</f>
        <v>0.1710912</v>
      </c>
      <c r="N11" s="30">
        <f>IFERROR(K11*L11/1000,"")</f>
        <v>0.7413952</v>
      </c>
      <c r="O11" s="11">
        <f>IFERROR(H11*L11,"")</f>
        <v>12.955710622866665</v>
      </c>
      <c r="P11" s="13" t="inlineStr">
        <is>
          <t>Lleva ganache, relleno o fruta: lo que se recorta va a residuo y se reparte entre las piezas que salen bien.</t>
        </is>
      </c>
    </row>
    <row r="12" ht="40" customHeight="1">
      <c r="A12" t="inlineStr">
        <is>
          <t>BC6</t>
        </is>
      </c>
      <c r="B12" s="5" t="inlineStr">
        <is>
          <t>Bombon de licor de ron</t>
        </is>
      </c>
      <c r="C12" t="inlineStr">
        <is>
          <t>Sí</t>
        </is>
      </c>
      <c r="D12" s="19" t="n">
        <v>0.05</v>
      </c>
      <c r="E12" s="19" t="n">
        <v>0.04</v>
      </c>
      <c r="F12" s="28">
        <f>'Escandallo por Molde y Tanda'!M75</f>
        <v>0.17288900000000001</v>
      </c>
      <c r="G12" s="28">
        <f>'Escandallo por Molde y Tanda'!O75</f>
        <v>0.18009270833333335</v>
      </c>
      <c r="H12" s="28">
        <f>IFERROR(G12-F12,"")</f>
        <v>0.007203708333333336</v>
      </c>
      <c r="I12" s="24">
        <f>IFERROR(H12/F12,"")</f>
        <v>0.04166666666666668</v>
      </c>
      <c r="J12" s="33">
        <f>IFERROR('Escandallo por Molde y Tanda'!E75*D12,"")</f>
        <v>0.30000000000000004</v>
      </c>
      <c r="K12" s="33">
        <f>IFERROR('Escandallo por Molde y Tanda'!G75*E12,"")</f>
        <v>0.56</v>
      </c>
      <c r="L12" s="12">
        <f>'Mix y Ticket Medio'!K12</f>
        <v>855.456</v>
      </c>
      <c r="M12" s="30">
        <f>IFERROR(J12*L12/1000,"")</f>
        <v>0.25663680000000005</v>
      </c>
      <c r="N12" s="30">
        <f>IFERROR(K12*L12/1000,"")</f>
        <v>0.47905536000000004</v>
      </c>
      <c r="O12" s="11">
        <f>IFERROR(H12*L12,"")</f>
        <v>6.162455516000002</v>
      </c>
      <c r="P12" s="13" t="inlineStr">
        <is>
          <t>Lleva ganache, relleno o fruta: lo que se recorta va a residuo y se reparte entre las piezas que salen bien.</t>
        </is>
      </c>
    </row>
    <row r="13" ht="40" customHeight="1">
      <c r="A13" t="inlineStr">
        <is>
          <t>BC7</t>
        </is>
      </c>
      <c r="B13" s="5" t="inlineStr">
        <is>
          <t>Bombon de caramelo salado</t>
        </is>
      </c>
      <c r="C13" t="inlineStr">
        <is>
          <t>Sí</t>
        </is>
      </c>
      <c r="D13" s="19" t="n">
        <v>0.04</v>
      </c>
      <c r="E13" s="19" t="n">
        <v>0.03</v>
      </c>
      <c r="F13" s="28">
        <f>'Escandallo por Molde y Tanda'!M76</f>
        <v>0.1331798</v>
      </c>
      <c r="G13" s="28">
        <f>'Escandallo por Molde y Tanda'!O76</f>
        <v>0.13729876288659792</v>
      </c>
      <c r="H13" s="28">
        <f>IFERROR(G13-F13,"")</f>
        <v>0.004118962886597938</v>
      </c>
      <c r="I13" s="24">
        <f>IFERROR(H13/F13,"")</f>
        <v>0.030927835051546393</v>
      </c>
      <c r="J13" s="33">
        <f>IFERROR('Escandallo por Molde y Tanda'!E76*D13,"")</f>
        <v>0.22</v>
      </c>
      <c r="K13" s="33">
        <f>IFERROR('Escandallo por Molde y Tanda'!G76*E13,"")</f>
        <v>0.36</v>
      </c>
      <c r="L13" s="12">
        <f>'Mix y Ticket Medio'!K13</f>
        <v>1140.608</v>
      </c>
      <c r="M13" s="30">
        <f>IFERROR(J13*L13/1000,"")</f>
        <v>0.25093376</v>
      </c>
      <c r="N13" s="30">
        <f>IFERROR(K13*L13/1000,"")</f>
        <v>0.41061887999999996</v>
      </c>
      <c r="O13" s="11">
        <f>IFERROR(H13*L13,"")</f>
        <v>4.6981220201567</v>
      </c>
      <c r="P13" s="13" t="inlineStr">
        <is>
          <t>Lleva ganache, relleno o fruta: lo que se recorta va a residuo y se reparte entre las piezas que salen bien.</t>
        </is>
      </c>
    </row>
    <row r="14" ht="40" customHeight="1">
      <c r="A14" t="inlineStr">
        <is>
          <t>BC8</t>
        </is>
      </c>
      <c r="B14" s="5" t="inlineStr">
        <is>
          <t>Bombon de praline de cacahuete</t>
        </is>
      </c>
      <c r="C14" t="inlineStr">
        <is>
          <t>Sí</t>
        </is>
      </c>
      <c r="D14" s="19" t="n">
        <v>0.04</v>
      </c>
      <c r="E14" s="19" t="n">
        <v>0.02</v>
      </c>
      <c r="F14" s="28">
        <f>'Escandallo por Molde y Tanda'!M77</f>
        <v>0.186582</v>
      </c>
      <c r="G14" s="28">
        <f>'Escandallo por Molde y Tanda'!O77</f>
        <v>0.19038979591836735</v>
      </c>
      <c r="H14" s="28">
        <f>IFERROR(G14-F14,"")</f>
        <v>0.003807795918367357</v>
      </c>
      <c r="I14" s="24">
        <f>IFERROR(H14/F14,"")</f>
        <v>0.020408163265306176</v>
      </c>
      <c r="J14" s="33">
        <f>IFERROR('Escandallo por Molde y Tanda'!E77*D14,"")</f>
        <v>0.2</v>
      </c>
      <c r="K14" s="33">
        <f>IFERROR('Escandallo por Molde y Tanda'!G77*E14,"")</f>
        <v>0.24</v>
      </c>
      <c r="L14" s="12">
        <f>'Mix y Ticket Medio'!K14</f>
        <v>855.456</v>
      </c>
      <c r="M14" s="30">
        <f>IFERROR(J14*L14/1000,"")</f>
        <v>0.17109120000000003</v>
      </c>
      <c r="N14" s="30">
        <f>IFERROR(K14*L14/1000,"")</f>
        <v>0.20530943999999998</v>
      </c>
      <c r="O14" s="11">
        <f>IFERROR(H14*L14,"")</f>
        <v>3.257401865142866</v>
      </c>
      <c r="P14" s="13" t="inlineStr">
        <is>
          <t>Lleva ganache, relleno o fruta: lo que se recorta va a residuo y se reparte entre las piezas que salen bien.</t>
        </is>
      </c>
    </row>
    <row r="15" ht="40" customHeight="1">
      <c r="A15" t="inlineStr">
        <is>
          <t>BC9</t>
        </is>
      </c>
      <c r="B15" s="5" t="inlineStr">
        <is>
          <t>Bombon crujiente de sesamo y barquillo</t>
        </is>
      </c>
      <c r="C15" t="inlineStr">
        <is>
          <t>Sí</t>
        </is>
      </c>
      <c r="D15" s="19" t="n">
        <v>0.04</v>
      </c>
      <c r="E15" s="19" t="n">
        <v>0.02</v>
      </c>
      <c r="F15" s="28">
        <f>'Escandallo por Molde y Tanda'!M78</f>
        <v>0.190446</v>
      </c>
      <c r="G15" s="28">
        <f>'Escandallo por Molde y Tanda'!O78</f>
        <v>0.1943326530612245</v>
      </c>
      <c r="H15" s="28">
        <f>IFERROR(G15-F15,"")</f>
        <v>0.0038866530612244876</v>
      </c>
      <c r="I15" s="24">
        <f>IFERROR(H15/F15,"")</f>
        <v>0.02040816326530611</v>
      </c>
      <c r="J15" s="33">
        <f>IFERROR('Escandallo por Molde y Tanda'!E78*D15,"")</f>
        <v>0.2</v>
      </c>
      <c r="K15" s="33">
        <f>IFERROR('Escandallo por Molde y Tanda'!G78*E15,"")</f>
        <v>0.24</v>
      </c>
      <c r="L15" s="12">
        <f>'Mix y Ticket Medio'!K15</f>
        <v>855.456</v>
      </c>
      <c r="M15" s="30">
        <f>IFERROR(J15*L15/1000,"")</f>
        <v>0.17109120000000003</v>
      </c>
      <c r="N15" s="30">
        <f>IFERROR(K15*L15/1000,"")</f>
        <v>0.20530943999999998</v>
      </c>
      <c r="O15" s="11">
        <f>IFERROR(H15*L15,"")</f>
        <v>3.324860681142855</v>
      </c>
      <c r="P15" s="13" t="inlineStr">
        <is>
          <t>Lleva ganache, relleno o fruta: lo que se recorta va a residuo y se reparte entre las piezas que salen bien.</t>
        </is>
      </c>
    </row>
    <row r="16" ht="40" customHeight="1">
      <c r="A16" t="inlineStr">
        <is>
          <t>BC10</t>
        </is>
      </c>
      <c r="B16" s="5" t="inlineStr">
        <is>
          <t>Bombon de naranja confitada y chocolate negro</t>
        </is>
      </c>
      <c r="C16" t="inlineStr">
        <is>
          <t>Sí</t>
        </is>
      </c>
      <c r="D16" s="19" t="n">
        <v>0.03</v>
      </c>
      <c r="E16" s="19" t="n">
        <v>0.05</v>
      </c>
      <c r="F16" s="28">
        <f>'Escandallo por Molde y Tanda'!M79</f>
        <v>0.218357635</v>
      </c>
      <c r="G16" s="28">
        <f>'Escandallo por Molde y Tanda'!O79</f>
        <v>0.22985014210526317</v>
      </c>
      <c r="H16" s="28">
        <f>IFERROR(G16-F16,"")</f>
        <v>0.011492507105263172</v>
      </c>
      <c r="I16" s="24">
        <f>IFERROR(H16/F16,"")</f>
        <v>0.05263157894736849</v>
      </c>
      <c r="J16" s="33">
        <f>IFERROR('Escandallo por Molde y Tanda'!E79*D16,"")</f>
        <v>0.16499999999999998</v>
      </c>
      <c r="K16" s="33">
        <f>IFERROR('Escandallo por Molde y Tanda'!G79*E16,"")</f>
        <v>0.6000000000000001</v>
      </c>
      <c r="L16" s="12">
        <f>'Mix y Ticket Medio'!K16</f>
        <v>855.456</v>
      </c>
      <c r="M16" s="30">
        <f>IFERROR(J16*L16/1000,"")</f>
        <v>0.14115024</v>
      </c>
      <c r="N16" s="30">
        <f>IFERROR(K16*L16/1000,"")</f>
        <v>0.5132736000000001</v>
      </c>
      <c r="O16" s="11">
        <f>IFERROR(H16*L16,"")</f>
        <v>9.831334158240013</v>
      </c>
      <c r="P16" s="13" t="inlineStr">
        <is>
          <t>Lleva ganache, relleno o fruta: lo que se recorta va a residuo y se reparte entre las piezas que salen bien.</t>
        </is>
      </c>
    </row>
    <row r="17" ht="40" customHeight="1">
      <c r="A17" t="inlineStr">
        <is>
          <t>TB1</t>
        </is>
      </c>
      <c r="B17" s="5" t="inlineStr">
        <is>
          <t>Tableta de chocolate negro de origen 70 %, 100 g</t>
        </is>
      </c>
      <c r="C17" t="inlineStr">
        <is>
          <t>No</t>
        </is>
      </c>
      <c r="D17" s="19" t="n">
        <v>0.06</v>
      </c>
      <c r="E17" s="19" t="n">
        <v>0.01</v>
      </c>
      <c r="F17" s="28">
        <f>'Escandallo por Molde y Tanda'!M80</f>
        <v>3.7479999999999998</v>
      </c>
      <c r="G17" s="28">
        <f>'Escandallo por Molde y Tanda'!O80</f>
        <v>3.785858585858586</v>
      </c>
      <c r="H17" s="28">
        <f>IFERROR(G17-F17,"")</f>
        <v>0.037858585858586036</v>
      </c>
      <c r="I17" s="24">
        <f>IFERROR(H17/F17,"")</f>
        <v>0.010101010101010149</v>
      </c>
      <c r="J17" s="33">
        <f>IFERROR('Escandallo por Molde y Tanda'!E80*D17,"")</f>
        <v>6.0</v>
      </c>
      <c r="K17" s="33">
        <f>IFERROR('Escandallo por Molde y Tanda'!G80*E17,"")</f>
        <v>1.0</v>
      </c>
      <c r="L17" s="12">
        <f>'Mix y Ticket Medio'!K17</f>
        <v>1996.0639999999999</v>
      </c>
      <c r="M17" s="30">
        <f>IFERROR(J17*L17/1000,"")</f>
        <v>11.976383999999998</v>
      </c>
      <c r="N17" s="30">
        <f>IFERROR(K17*L17/1000,"")</f>
        <v>1.9960639999999998</v>
      </c>
      <c r="O17" s="11">
        <f>IFERROR(H17*L17,"")</f>
        <v>75.56816032323268</v>
      </c>
      <c r="P17" s="13" t="inlineStr">
        <is>
          <t>El recorte limpio vuelve a la cuba: no es coste de materia, pero hay que volver a templarlo y ese trabajo lo paga la mano de obra.</t>
        </is>
      </c>
    </row>
    <row r="18" ht="40" customHeight="1">
      <c r="A18" t="inlineStr">
        <is>
          <t>TB2</t>
        </is>
      </c>
      <c r="B18" s="5" t="inlineStr">
        <is>
          <t>Tableta de chocolate con leche 38 %, 100 g</t>
        </is>
      </c>
      <c r="C18" t="inlineStr">
        <is>
          <t>No</t>
        </is>
      </c>
      <c r="D18" s="19" t="n">
        <v>0.06</v>
      </c>
      <c r="E18" s="19" t="n">
        <v>0.01</v>
      </c>
      <c r="F18" s="28">
        <f>'Escandallo por Molde y Tanda'!M81</f>
        <v>1.9500000000000002</v>
      </c>
      <c r="G18" s="28">
        <f>'Escandallo por Molde y Tanda'!O81</f>
        <v>1.96969696969697</v>
      </c>
      <c r="H18" s="28">
        <f>IFERROR(G18-F18,"")</f>
        <v>0.01969696969696977</v>
      </c>
      <c r="I18" s="24">
        <f>IFERROR(H18/F18,"")</f>
        <v>0.010101010101010137</v>
      </c>
      <c r="J18" s="33">
        <f>IFERROR('Escandallo por Molde y Tanda'!E81*D18,"")</f>
        <v>6.0</v>
      </c>
      <c r="K18" s="33">
        <f>IFERROR('Escandallo por Molde y Tanda'!G81*E18,"")</f>
        <v>1.0</v>
      </c>
      <c r="L18" s="12">
        <f>'Mix y Ticket Medio'!K18</f>
        <v>1710.912</v>
      </c>
      <c r="M18" s="30">
        <f>IFERROR(J18*L18/1000,"")</f>
        <v>10.265471999999999</v>
      </c>
      <c r="N18" s="30">
        <f>IFERROR(K18*L18/1000,"")</f>
        <v>1.710912</v>
      </c>
      <c r="O18" s="11">
        <f>IFERROR(H18*L18,"")</f>
        <v>33.69978181818194</v>
      </c>
      <c r="P18" s="13" t="inlineStr">
        <is>
          <t>El recorte limpio vuelve a la cuba: no es coste de materia, pero hay que volver a templarlo y ese trabajo lo paga la mano de obra.</t>
        </is>
      </c>
    </row>
    <row r="19" ht="40" customHeight="1">
      <c r="A19" t="inlineStr">
        <is>
          <t>TB3</t>
        </is>
      </c>
      <c r="B19" s="5" t="inlineStr">
        <is>
          <t>Tableta de chocolate blanco 30 %, 100 g</t>
        </is>
      </c>
      <c r="C19" t="inlineStr">
        <is>
          <t>No</t>
        </is>
      </c>
      <c r="D19" s="19" t="n">
        <v>0.07000000000000001</v>
      </c>
      <c r="E19" s="19" t="n">
        <v>0.01</v>
      </c>
      <c r="F19" s="28">
        <f>'Escandallo por Molde y Tanda'!M82</f>
        <v>2.1</v>
      </c>
      <c r="G19" s="28">
        <f>'Escandallo por Molde y Tanda'!O82</f>
        <v>2.121212121212121</v>
      </c>
      <c r="H19" s="28">
        <f>IFERROR(G19-F19,"")</f>
        <v>0.021212121212121016</v>
      </c>
      <c r="I19" s="24">
        <f>IFERROR(H19/F19,"")</f>
        <v>0.010101010101010006</v>
      </c>
      <c r="J19" s="33">
        <f>IFERROR('Escandallo por Molde y Tanda'!E82*D19,"")</f>
        <v>7.000000000000001</v>
      </c>
      <c r="K19" s="33">
        <f>IFERROR('Escandallo por Molde y Tanda'!G82*E19,"")</f>
        <v>1.0</v>
      </c>
      <c r="L19" s="12">
        <f>'Mix y Ticket Medio'!K19</f>
        <v>1140.608</v>
      </c>
      <c r="M19" s="30">
        <f>IFERROR(J19*L19/1000,"")</f>
        <v>7.984256</v>
      </c>
      <c r="N19" s="30">
        <f>IFERROR(K19*L19/1000,"")</f>
        <v>1.1406079999999998</v>
      </c>
      <c r="O19" s="11">
        <f>IFERROR(H19*L19,"")</f>
        <v>24.194715151514927</v>
      </c>
      <c r="P19" s="13" t="inlineStr">
        <is>
          <t>El recorte limpio vuelve a la cuba: no es coste de materia, pero hay que volver a templarlo y ese trabajo lo paga la mano de obra.</t>
        </is>
      </c>
    </row>
    <row r="20" ht="40" customHeight="1">
      <c r="A20" t="inlineStr">
        <is>
          <t>TB4</t>
        </is>
      </c>
      <c r="B20" s="5" t="inlineStr">
        <is>
          <t>Tableta de chocolate negro con almendra marcona, 100 g</t>
        </is>
      </c>
      <c r="C20" t="inlineStr">
        <is>
          <t>Sí</t>
        </is>
      </c>
      <c r="D20" s="19" t="n">
        <v>0.05</v>
      </c>
      <c r="E20" s="19" t="n">
        <v>0.02</v>
      </c>
      <c r="F20" s="28">
        <f>'Escandallo por Molde y Tanda'!M83</f>
        <v>2.046949</v>
      </c>
      <c r="G20" s="28">
        <f>'Escandallo por Molde y Tanda'!O83</f>
        <v>2.088723469387755</v>
      </c>
      <c r="H20" s="28">
        <f>IFERROR(G20-F20,"")</f>
        <v>0.04177446938775509</v>
      </c>
      <c r="I20" s="24">
        <f>IFERROR(H20/F20,"")</f>
        <v>0.020408163265306114</v>
      </c>
      <c r="J20" s="33">
        <f>IFERROR('Escandallo por Molde y Tanda'!E83*D20,"")</f>
        <v>3.9000000000000004</v>
      </c>
      <c r="K20" s="33">
        <f>IFERROR('Escandallo por Molde y Tanda'!G83*E20,"")</f>
        <v>2.0</v>
      </c>
      <c r="L20" s="12">
        <f>'Mix y Ticket Medio'!K20</f>
        <v>1425.76</v>
      </c>
      <c r="M20" s="30">
        <f>IFERROR(J20*L20/1000,"")</f>
        <v>5.5604640000000005</v>
      </c>
      <c r="N20" s="30">
        <f>IFERROR(K20*L20/1000,"")</f>
        <v>2.85152</v>
      </c>
      <c r="O20" s="11">
        <f>IFERROR(H20*L20,"")</f>
        <v>59.56036747428569</v>
      </c>
      <c r="P20" s="13" t="inlineStr">
        <is>
          <t>Lleva ganache, relleno o fruta: lo que se recorta va a residuo y se reparte entre las piezas que salen bien.</t>
        </is>
      </c>
    </row>
    <row r="21" ht="40" customHeight="1">
      <c r="A21" t="inlineStr">
        <is>
          <t>TB5</t>
        </is>
      </c>
      <c r="B21" s="5" t="inlineStr">
        <is>
          <t>Tableta de chocolate con leche y avellana, 100 g</t>
        </is>
      </c>
      <c r="C21" t="inlineStr">
        <is>
          <t>Sí</t>
        </is>
      </c>
      <c r="D21" s="19" t="n">
        <v>0.05</v>
      </c>
      <c r="E21" s="19" t="n">
        <v>0.02</v>
      </c>
      <c r="F21" s="28">
        <f>'Escandallo por Molde y Tanda'!M84</f>
        <v>1.838</v>
      </c>
      <c r="G21" s="28">
        <f>'Escandallo por Molde y Tanda'!O84</f>
        <v>1.8755102040816327</v>
      </c>
      <c r="H21" s="28">
        <f>IFERROR(G21-F21,"")</f>
        <v>0.037510204081632637</v>
      </c>
      <c r="I21" s="24">
        <f>IFERROR(H21/F21,"")</f>
        <v>0.020408163265306114</v>
      </c>
      <c r="J21" s="33">
        <f>IFERROR('Escandallo por Molde y Tanda'!E84*D21,"")</f>
        <v>4.0</v>
      </c>
      <c r="K21" s="33">
        <f>IFERROR('Escandallo por Molde y Tanda'!G84*E21,"")</f>
        <v>2.0</v>
      </c>
      <c r="L21" s="12">
        <f>'Mix y Ticket Medio'!K21</f>
        <v>1140.608</v>
      </c>
      <c r="M21" s="30">
        <f>IFERROR(J21*L21/1000,"")</f>
        <v>4.562431999999999</v>
      </c>
      <c r="N21" s="30">
        <f>IFERROR(K21*L21/1000,"")</f>
        <v>2.2812159999999997</v>
      </c>
      <c r="O21" s="11">
        <f>IFERROR(H21*L21,"")</f>
        <v>42.78443885714284</v>
      </c>
      <c r="P21" s="13" t="inlineStr">
        <is>
          <t>Lleva ganache, relleno o fruta: lo que se recorta va a residuo y se reparte entre las piezas que salen bien.</t>
        </is>
      </c>
    </row>
    <row r="22" ht="40" customHeight="1">
      <c r="A22" t="inlineStr">
        <is>
          <t>TB6</t>
        </is>
      </c>
      <c r="B22" s="5" t="inlineStr">
        <is>
          <t>Tableta rellena de praline, 100 g</t>
        </is>
      </c>
      <c r="C22" t="inlineStr">
        <is>
          <t>Sí</t>
        </is>
      </c>
      <c r="D22" s="19" t="n">
        <v>0.05</v>
      </c>
      <c r="E22" s="19" t="n">
        <v>0.03</v>
      </c>
      <c r="F22" s="28">
        <f>'Escandallo por Molde y Tanda'!M85</f>
        <v>1.7983500000000001</v>
      </c>
      <c r="G22" s="28">
        <f>'Escandallo por Molde y Tanda'!O85</f>
        <v>1.8539690721649487</v>
      </c>
      <c r="H22" s="28">
        <f>IFERROR(G22-F22,"")</f>
        <v>0.055619072164948546</v>
      </c>
      <c r="I22" s="24">
        <f>IFERROR(H22/F22,"")</f>
        <v>0.03092783505154644</v>
      </c>
      <c r="J22" s="33">
        <f>IFERROR('Escandallo por Molde y Tanda'!E85*D22,"")</f>
        <v>2.75</v>
      </c>
      <c r="K22" s="33">
        <f>IFERROR('Escandallo por Molde y Tanda'!G85*E22,"")</f>
        <v>3.0</v>
      </c>
      <c r="L22" s="12">
        <f>'Mix y Ticket Medio'!K22</f>
        <v>855.456</v>
      </c>
      <c r="M22" s="30">
        <f>IFERROR(J22*L22/1000,"")</f>
        <v>2.3525039999999997</v>
      </c>
      <c r="N22" s="30">
        <f>IFERROR(K22*L22/1000,"")</f>
        <v>2.5663679999999998</v>
      </c>
      <c r="O22" s="11">
        <f>IFERROR(H22*L22,"")</f>
        <v>47.57966899793823</v>
      </c>
      <c r="P22" s="13" t="inlineStr">
        <is>
          <t>Lleva ganache, relleno o fruta: lo que se recorta va a residuo y se reparte entre las piezas que salen bien.</t>
        </is>
      </c>
    </row>
    <row r="23" ht="40" customHeight="1">
      <c r="A23" t="inlineStr">
        <is>
          <t>CT1</t>
        </is>
      </c>
      <c r="B23" s="5" t="inlineStr">
        <is>
          <t>Tableta de chocolate a la taza, 200 g</t>
        </is>
      </c>
      <c r="C23" t="inlineStr">
        <is>
          <t>Sí</t>
        </is>
      </c>
      <c r="D23" s="19" t="n">
        <v>0.05</v>
      </c>
      <c r="E23" s="19" t="n">
        <v>0.01</v>
      </c>
      <c r="F23" s="28">
        <f>'Escandallo por Molde y Tanda'!M86</f>
        <v>2.33936</v>
      </c>
      <c r="G23" s="28">
        <f>'Escandallo por Molde y Tanda'!O86</f>
        <v>2.362989898989899</v>
      </c>
      <c r="H23" s="28">
        <f>IFERROR(G23-F23,"")</f>
        <v>0.02362989898989909</v>
      </c>
      <c r="I23" s="24">
        <f>IFERROR(H23/F23,"")</f>
        <v>0.010101010101010144</v>
      </c>
      <c r="J23" s="33">
        <f>IFERROR('Escandallo por Molde y Tanda'!E86*D23,"")</f>
        <v>4.0</v>
      </c>
      <c r="K23" s="33">
        <f>IFERROR('Escandallo por Molde y Tanda'!G86*E23,"")</f>
        <v>2.0</v>
      </c>
      <c r="L23" s="12">
        <f>'Mix y Ticket Medio'!K23</f>
        <v>855.456</v>
      </c>
      <c r="M23" s="30">
        <f>IFERROR(J23*L23/1000,"")</f>
        <v>3.421824</v>
      </c>
      <c r="N23" s="30">
        <f>IFERROR(K23*L23/1000,"")</f>
        <v>1.710912</v>
      </c>
      <c r="O23" s="11">
        <f>IFERROR(H23*L23,"")</f>
        <v>20.214338870303116</v>
      </c>
      <c r="P23" s="13" t="inlineStr">
        <is>
          <t>Lleva ganache, relleno o fruta: lo que se recorta va a residuo y se reparte entre las piezas que salen bien.</t>
        </is>
      </c>
    </row>
    <row r="24" ht="40" customHeight="1">
      <c r="A24" t="inlineStr">
        <is>
          <t>CT2</t>
        </is>
      </c>
      <c r="B24" s="5" t="inlineStr">
        <is>
          <t>Caja de 6 sobres monodosis de chocolate a la taza</t>
        </is>
      </c>
      <c r="C24" t="inlineStr">
        <is>
          <t>Sí</t>
        </is>
      </c>
      <c r="D24" s="19" t="n">
        <v>0.05</v>
      </c>
      <c r="E24" s="19" t="n">
        <v>0.01</v>
      </c>
      <c r="F24" s="28">
        <f>'Escandallo por Molde y Tanda'!M87</f>
        <v>2.1054239999999997</v>
      </c>
      <c r="G24" s="28">
        <f>'Escandallo por Molde y Tanda'!O87</f>
        <v>2.1266909090909087</v>
      </c>
      <c r="H24" s="28">
        <f>IFERROR(G24-F24,"")</f>
        <v>0.021266909090909003</v>
      </c>
      <c r="I24" s="24">
        <f>IFERROR(H24/F24,"")</f>
        <v>0.01010101010101006</v>
      </c>
      <c r="J24" s="33">
        <f>IFERROR('Escandallo por Molde y Tanda'!E87*D24,"")</f>
        <v>3.6</v>
      </c>
      <c r="K24" s="33">
        <f>IFERROR('Escandallo por Molde y Tanda'!G87*E24,"")</f>
        <v>1.8</v>
      </c>
      <c r="L24" s="12">
        <f>'Mix y Ticket Medio'!K24</f>
        <v>570.304</v>
      </c>
      <c r="M24" s="30">
        <f>IFERROR(J24*L24/1000,"")</f>
        <v>2.0530944</v>
      </c>
      <c r="N24" s="30">
        <f>IFERROR(K24*L24/1000,"")</f>
        <v>1.0265472</v>
      </c>
      <c r="O24" s="11">
        <f>IFERROR(H24*L24,"")</f>
        <v>12.128603322181768</v>
      </c>
      <c r="P24" s="13" t="inlineStr">
        <is>
          <t>Lleva ganache, relleno o fruta: lo que se recorta va a residuo y se reparte entre las piezas que salen bien.</t>
        </is>
      </c>
    </row>
    <row r="25" ht="40" customHeight="1">
      <c r="A25" t="inlineStr">
        <is>
          <t>CT3</t>
        </is>
      </c>
      <c r="B25" s="5" t="inlineStr">
        <is>
          <t>Chocolate a la taza servido en sala, 200 ml</t>
        </is>
      </c>
      <c r="C25" t="inlineStr">
        <is>
          <t>Sí</t>
        </is>
      </c>
      <c r="D25" s="19" t="n">
        <v>0</v>
      </c>
      <c r="E25" s="19" t="n">
        <v>0.06</v>
      </c>
      <c r="F25" s="28">
        <f>'Escandallo por Molde y Tanda'!M88</f>
        <v>0.5263559999999999</v>
      </c>
      <c r="G25" s="28">
        <f>'Escandallo por Molde y Tanda'!O88</f>
        <v>0.5599531914893616</v>
      </c>
      <c r="H25" s="28">
        <f>IFERROR(G25-F25,"")</f>
        <v>0.03359719148936169</v>
      </c>
      <c r="I25" s="24">
        <f>IFERROR(H25/F25,"")</f>
        <v>0.06382978723404253</v>
      </c>
      <c r="J25" s="33">
        <f>IFERROR('Escandallo por Molde y Tanda'!E88*D25,"")</f>
        <v>0.0</v>
      </c>
      <c r="K25" s="33">
        <f>IFERROR('Escandallo por Molde y Tanda'!G88*E25,"")</f>
        <v>2.6999999999999997</v>
      </c>
      <c r="L25" s="12">
        <f>'Mix y Ticket Medio'!K25</f>
        <v>855.456</v>
      </c>
      <c r="M25" s="30">
        <f>IFERROR(J25*L25/1000,"")</f>
        <v>0.0</v>
      </c>
      <c r="N25" s="30">
        <f>IFERROR(K25*L25/1000,"")</f>
        <v>2.3097312</v>
      </c>
      <c r="O25" s="11">
        <f>IFERROR(H25*L25,"")</f>
        <v>28.740919042723394</v>
      </c>
      <c r="P25" s="13" t="inlineStr">
        <is>
          <t>Lleva ganache, relleno o fruta: lo que se recorta va a residuo y se reparte entre las piezas que salen bien.</t>
        </is>
      </c>
    </row>
    <row r="26" ht="40" customHeight="1">
      <c r="A26" t="inlineStr">
        <is>
          <t>TF1</t>
        </is>
      </c>
      <c r="B26" s="5" t="inlineStr">
        <is>
          <t>Huevo de Pascua de chocolate con leche, 250 g</t>
        </is>
      </c>
      <c r="C26" t="inlineStr">
        <is>
          <t>No</t>
        </is>
      </c>
      <c r="D26" s="19" t="n">
        <v>0.09</v>
      </c>
      <c r="E26" s="19" t="n">
        <v>0.02</v>
      </c>
      <c r="F26" s="28">
        <f>'Escandallo por Molde y Tanda'!M89</f>
        <v>4.875</v>
      </c>
      <c r="G26" s="28">
        <f>'Escandallo por Molde y Tanda'!O89</f>
        <v>4.974489795918368</v>
      </c>
      <c r="H26" s="28">
        <f>IFERROR(G26-F26,"")</f>
        <v>0.09948979591836782</v>
      </c>
      <c r="I26" s="24">
        <f>IFERROR(H26/F26,"")</f>
        <v>0.020408163265306218</v>
      </c>
      <c r="J26" s="33">
        <f>IFERROR('Escandallo por Molde y Tanda'!E89*D26,"")</f>
        <v>22.5</v>
      </c>
      <c r="K26" s="33">
        <f>IFERROR('Escandallo por Molde y Tanda'!G89*E26,"")</f>
        <v>5.0</v>
      </c>
      <c r="L26" s="12">
        <f>'Mix y Ticket Medio'!K26</f>
        <v>570.304</v>
      </c>
      <c r="M26" s="30">
        <f>IFERROR(J26*L26/1000,"")</f>
        <v>12.83184</v>
      </c>
      <c r="N26" s="30">
        <f>IFERROR(K26*L26/1000,"")</f>
        <v>2.85152</v>
      </c>
      <c r="O26" s="11">
        <f>IFERROR(H26*L26,"")</f>
        <v>56.73942857142884</v>
      </c>
      <c r="P26" s="13" t="inlineStr">
        <is>
          <t>El recorte limpio vuelve a la cuba: no es coste de materia, pero hay que volver a templarlo y ese trabajo lo paga la mano de obra.</t>
        </is>
      </c>
    </row>
    <row r="27" ht="40" customHeight="1">
      <c r="A27" t="inlineStr">
        <is>
          <t>TF2</t>
        </is>
      </c>
      <c r="B27" s="5" t="inlineStr">
        <is>
          <t>Mona de Pascua de chocolate, 400 g</t>
        </is>
      </c>
      <c r="C27" t="inlineStr">
        <is>
          <t>Sí</t>
        </is>
      </c>
      <c r="D27" s="19" t="n">
        <v>0.09</v>
      </c>
      <c r="E27" s="19" t="n">
        <v>0.02</v>
      </c>
      <c r="F27" s="28">
        <f>'Escandallo por Molde y Tanda'!M90</f>
        <v>7.658</v>
      </c>
      <c r="G27" s="28">
        <f>'Escandallo por Molde y Tanda'!O90</f>
        <v>7.814285714285715</v>
      </c>
      <c r="H27" s="28">
        <f>IFERROR(G27-F27,"")</f>
        <v>0.15628571428571458</v>
      </c>
      <c r="I27" s="24">
        <f>IFERROR(H27/F27,"")</f>
        <v>0.02040816326530616</v>
      </c>
      <c r="J27" s="33">
        <f>IFERROR('Escandallo por Molde y Tanda'!E90*D27,"")</f>
        <v>34.199999999999996</v>
      </c>
      <c r="K27" s="33">
        <f>IFERROR('Escandallo por Molde y Tanda'!G90*E27,"")</f>
        <v>8.0</v>
      </c>
      <c r="L27" s="12">
        <f>'Mix y Ticket Medio'!K27</f>
        <v>427.728</v>
      </c>
      <c r="M27" s="30">
        <f>IFERROR(J27*L27/1000,"")</f>
        <v>14.628297599999998</v>
      </c>
      <c r="N27" s="30">
        <f>IFERROR(K27*L27/1000,"")</f>
        <v>3.421824</v>
      </c>
      <c r="O27" s="11">
        <f>IFERROR(H27*L27,"")</f>
        <v>66.84777600000012</v>
      </c>
      <c r="P27" s="13" t="inlineStr">
        <is>
          <t>Lleva ganache, relleno o fruta: lo que se recorta va a residuo y se reparte entre las piezas que salen bien.</t>
        </is>
      </c>
    </row>
    <row r="28" ht="40" customHeight="1">
      <c r="A28" t="inlineStr">
        <is>
          <t>TF3</t>
        </is>
      </c>
      <c r="B28" s="5" t="inlineStr">
        <is>
          <t>Hueso de santo banado en chocolate</t>
        </is>
      </c>
      <c r="C28" t="inlineStr">
        <is>
          <t>Sí</t>
        </is>
      </c>
      <c r="D28" s="19" t="n">
        <v>0.02</v>
      </c>
      <c r="E28" s="19" t="n">
        <v>0.06</v>
      </c>
      <c r="F28" s="28">
        <f>'Escandallo por Molde y Tanda'!M91</f>
        <v>0.2590785</v>
      </c>
      <c r="G28" s="28">
        <f>'Escandallo por Molde y Tanda'!O91</f>
        <v>0.27561542553191487</v>
      </c>
      <c r="H28" s="28">
        <f>IFERROR(G28-F28,"")</f>
        <v>0.01653692553191488</v>
      </c>
      <c r="I28" s="24">
        <f>IFERROR(H28/F28,"")</f>
        <v>0.0638297872340425</v>
      </c>
      <c r="J28" s="33">
        <f>IFERROR('Escandallo por Molde y Tanda'!E91*D28,"")</f>
        <v>0.18</v>
      </c>
      <c r="K28" s="33">
        <f>IFERROR('Escandallo por Molde y Tanda'!G91*E28,"")</f>
        <v>1.7999999999999998</v>
      </c>
      <c r="L28" s="12">
        <f>'Mix y Ticket Medio'!K28</f>
        <v>285.152</v>
      </c>
      <c r="M28" s="30">
        <f>IFERROR(J28*L28/1000,"")</f>
        <v>0.051327359999999995</v>
      </c>
      <c r="N28" s="30">
        <f>IFERROR(K28*L28/1000,"")</f>
        <v>0.5132735999999999</v>
      </c>
      <c r="O28" s="11">
        <f>IFERROR(H28*L28,"")</f>
        <v>4.715537389276592</v>
      </c>
      <c r="P28" s="13" t="inlineStr">
        <is>
          <t>Lleva ganache, relleno o fruta: lo que se recorta va a residuo y se reparte entre las piezas que salen bien.</t>
        </is>
      </c>
    </row>
    <row r="29" ht="40" customHeight="1">
      <c r="A29" t="inlineStr">
        <is>
          <t>TF4</t>
        </is>
      </c>
      <c r="B29" s="5" t="inlineStr">
        <is>
          <t>Turron de chocolate con almendra, 250 g</t>
        </is>
      </c>
      <c r="C29" t="inlineStr">
        <is>
          <t>Sí</t>
        </is>
      </c>
      <c r="D29" s="19" t="n">
        <v>0.05</v>
      </c>
      <c r="E29" s="19" t="n">
        <v>0.02</v>
      </c>
      <c r="F29" s="28">
        <f>'Escandallo por Molde y Tanda'!M92</f>
        <v>4.838044</v>
      </c>
      <c r="G29" s="28">
        <f>'Escandallo por Molde y Tanda'!O92</f>
        <v>4.936779591836735</v>
      </c>
      <c r="H29" s="28">
        <f>IFERROR(G29-F29,"")</f>
        <v>0.09873559183673475</v>
      </c>
      <c r="I29" s="24">
        <f>IFERROR(H29/F29,"")</f>
        <v>0.020408163265306135</v>
      </c>
      <c r="J29" s="33">
        <f>IFERROR('Escandallo por Molde y Tanda'!E92*D29,"")</f>
        <v>8.4</v>
      </c>
      <c r="K29" s="33">
        <f>IFERROR('Escandallo por Molde y Tanda'!G92*E29,"")</f>
        <v>5.0</v>
      </c>
      <c r="L29" s="12">
        <f>'Mix y Ticket Medio'!K29</f>
        <v>570.304</v>
      </c>
      <c r="M29" s="30">
        <f>IFERROR(J29*L29/1000,"")</f>
        <v>4.7905536</v>
      </c>
      <c r="N29" s="30">
        <f>IFERROR(K29*L29/1000,"")</f>
        <v>2.85152</v>
      </c>
      <c r="O29" s="11">
        <f>IFERROR(H29*L29,"")</f>
        <v>56.309302966857175</v>
      </c>
      <c r="P29" s="13" t="inlineStr">
        <is>
          <t>Lleva ganache, relleno o fruta: lo que se recorta va a residuo y se reparte entre las piezas que salen bien.</t>
        </is>
      </c>
    </row>
    <row r="30" ht="40" customHeight="1">
      <c r="A30" t="inlineStr">
        <is>
          <t>TF5</t>
        </is>
      </c>
      <c r="B30" s="5" t="inlineStr">
        <is>
          <t>Almendras marcona banadas en chocolate, bolsa de 150 g</t>
        </is>
      </c>
      <c r="C30" t="inlineStr">
        <is>
          <t>Sí</t>
        </is>
      </c>
      <c r="D30" s="19" t="n">
        <v>0.04</v>
      </c>
      <c r="E30" s="19" t="n">
        <v>0.02</v>
      </c>
      <c r="F30" s="28">
        <f>'Escandallo por Molde y Tanda'!M93</f>
        <v>2.770404</v>
      </c>
      <c r="G30" s="28">
        <f>'Escandallo por Molde y Tanda'!O93</f>
        <v>2.8269428571428574</v>
      </c>
      <c r="H30" s="28">
        <f>IFERROR(G30-F30,"")</f>
        <v>0.056538857142857335</v>
      </c>
      <c r="I30" s="24">
        <f>IFERROR(H30/F30,"")</f>
        <v>0.02040816326530619</v>
      </c>
      <c r="J30" s="33">
        <f>IFERROR('Escandallo por Molde y Tanda'!E93*D30,"")</f>
        <v>3.52</v>
      </c>
      <c r="K30" s="33">
        <f>IFERROR('Escandallo por Molde y Tanda'!G93*E30,"")</f>
        <v>3.0</v>
      </c>
      <c r="L30" s="12">
        <f>'Mix y Ticket Medio'!K30</f>
        <v>998.0319999999999</v>
      </c>
      <c r="M30" s="30">
        <f>IFERROR(J30*L30/1000,"")</f>
        <v>3.51307264</v>
      </c>
      <c r="N30" s="30">
        <f>IFERROR(K30*L30/1000,"")</f>
        <v>2.9940959999999994</v>
      </c>
      <c r="O30" s="11">
        <f>IFERROR(H30*L30,"")</f>
        <v>56.42758867200019</v>
      </c>
      <c r="P30" s="13" t="inlineStr">
        <is>
          <t>Lleva ganache, relleno o fruta: lo que se recorta va a residuo y se reparte entre las piezas que salen bien.</t>
        </is>
      </c>
    </row>
    <row r="31" ht="40" customHeight="1">
      <c r="A31" t="inlineStr">
        <is>
          <t>CJ1</t>
        </is>
      </c>
      <c r="B31" s="5" t="inlineStr">
        <is>
          <t>Caja surtida de 12 bombones</t>
        </is>
      </c>
      <c r="C31" t="inlineStr">
        <is>
          <t>Sí</t>
        </is>
      </c>
      <c r="D31" s="19" t="n">
        <v>0</v>
      </c>
      <c r="E31" s="19" t="n">
        <v>0.005</v>
      </c>
      <c r="F31" s="28">
        <f>'Escandallo por Molde y Tanda'!M94</f>
        <v>2.323306445</v>
      </c>
      <c r="G31" s="28">
        <f>'Escandallo por Molde y Tanda'!O94</f>
        <v>2.334981351758794</v>
      </c>
      <c r="H31" s="28">
        <f>IFERROR(G31-F31,"")</f>
        <v>0.011674906758794013</v>
      </c>
      <c r="I31" s="24">
        <f>IFERROR(H31/F31,"")</f>
        <v>0.005025125628140722</v>
      </c>
      <c r="J31" s="33">
        <f>IFERROR('Escandallo por Molde y Tanda'!E94*D31,"")</f>
        <v>0.0</v>
      </c>
      <c r="K31" s="33">
        <f>IFERROR('Escandallo por Molde y Tanda'!G94*E31,"")</f>
        <v>0.725</v>
      </c>
      <c r="L31" s="12">
        <f>'Mix y Ticket Medio'!K31</f>
        <v>1425.76</v>
      </c>
      <c r="M31" s="30">
        <f>IFERROR(J31*L31/1000,"")</f>
        <v>0.0</v>
      </c>
      <c r="N31" s="30">
        <f>IFERROR(K31*L31/1000,"")</f>
        <v>1.033676</v>
      </c>
      <c r="O31" s="11">
        <f>IFERROR(H31*L31,"")</f>
        <v>16.64561506041815</v>
      </c>
      <c r="P31" s="13" t="inlineStr">
        <is>
          <t>Lleva ganache, relleno o fruta: lo que se recorta va a residuo y se reparte entre las piezas que salen bien.</t>
        </is>
      </c>
    </row>
    <row r="32" ht="40" customHeight="1">
      <c r="A32" t="inlineStr">
        <is>
          <t>CJ2</t>
        </is>
      </c>
      <c r="B32" s="5" t="inlineStr">
        <is>
          <t>Caja surtida de 20 bombones</t>
        </is>
      </c>
      <c r="C32" t="inlineStr">
        <is>
          <t>Sí</t>
        </is>
      </c>
      <c r="D32" s="19" t="n">
        <v>0</v>
      </c>
      <c r="E32" s="19" t="n">
        <v>0.005</v>
      </c>
      <c r="F32" s="28">
        <f>'Escandallo por Molde y Tanda'!M95</f>
        <v>4.0027907449999995</v>
      </c>
      <c r="G32" s="28">
        <f>'Escandallo por Molde y Tanda'!O95</f>
        <v>4.022905271356784</v>
      </c>
      <c r="H32" s="28">
        <f>IFERROR(G32-F32,"")</f>
        <v>0.020114526356784346</v>
      </c>
      <c r="I32" s="24">
        <f>IFERROR(H32/F32,"")</f>
        <v>0.00502512562814081</v>
      </c>
      <c r="J32" s="33">
        <f>IFERROR('Escandallo por Molde y Tanda'!E95*D32,"")</f>
        <v>0.0</v>
      </c>
      <c r="K32" s="33">
        <f>IFERROR('Escandallo por Molde y Tanda'!G95*E32,"")</f>
        <v>1.225</v>
      </c>
      <c r="L32" s="12">
        <f>'Mix y Ticket Medio'!K32</f>
        <v>855.456</v>
      </c>
      <c r="M32" s="30">
        <f>IFERROR(J32*L32/1000,"")</f>
        <v>0.0</v>
      </c>
      <c r="N32" s="30">
        <f>IFERROR(K32*L32/1000,"")</f>
        <v>1.0479336000000001</v>
      </c>
      <c r="O32" s="11">
        <f>IFERROR(H32*L32,"")</f>
        <v>17.20709225906931</v>
      </c>
      <c r="P32" s="13" t="inlineStr">
        <is>
          <t>Lleva ganache, relleno o fruta: lo que se recorta va a residuo y se reparte entre las piezas que salen bien.</t>
        </is>
      </c>
    </row>
    <row r="33" ht="40" customHeight="1">
      <c r="A33" t="inlineStr">
        <is>
          <t>CJ3</t>
        </is>
      </c>
      <c r="B33" s="5" t="inlineStr">
        <is>
          <t>Caja surtida de 35 bombones</t>
        </is>
      </c>
      <c r="C33" t="inlineStr">
        <is>
          <t>Sí</t>
        </is>
      </c>
      <c r="D33" s="19" t="n">
        <v>0</v>
      </c>
      <c r="E33" s="19" t="n">
        <v>0.005</v>
      </c>
      <c r="F33" s="28">
        <f>'Escandallo por Molde y Tanda'!M96</f>
        <v>6.9099116899999995</v>
      </c>
      <c r="G33" s="28">
        <f>'Escandallo por Molde y Tanda'!O96</f>
        <v>6.944634864321608</v>
      </c>
      <c r="H33" s="28">
        <f>IFERROR(G33-F33,"")</f>
        <v>0.03472317432160832</v>
      </c>
      <c r="I33" s="24">
        <f>IFERROR(H33/F33,"")</f>
        <v>0.005025125628140744</v>
      </c>
      <c r="J33" s="33">
        <f>IFERROR('Escandallo por Molde y Tanda'!E96*D33,"")</f>
        <v>0.0</v>
      </c>
      <c r="K33" s="33">
        <f>IFERROR('Escandallo por Molde y Tanda'!G96*E33,"")</f>
        <v>2.14</v>
      </c>
      <c r="L33" s="12">
        <f>'Mix y Ticket Medio'!K33</f>
        <v>570.304</v>
      </c>
      <c r="M33" s="30">
        <f>IFERROR(J33*L33/1000,"")</f>
        <v>0.0</v>
      </c>
      <c r="N33" s="30">
        <f>IFERROR(K33*L33/1000,"")</f>
        <v>1.22045056</v>
      </c>
      <c r="O33" s="11">
        <f>IFERROR(H33*L33,"")</f>
        <v>19.80276520831051</v>
      </c>
      <c r="P33" s="13" t="inlineStr">
        <is>
          <t>Lleva ganache, relleno o fruta: lo que se recorta va a residuo y se reparte entre las piezas que salen bien.</t>
        </is>
      </c>
    </row>
    <row r="34" ht="40" customHeight="1">
      <c r="A34" t="inlineStr">
        <is>
          <t>CJ4</t>
        </is>
      </c>
      <c r="B34" s="5" t="inlineStr">
        <is>
          <t>Estuche corporativo personalizado de 24 bombones</t>
        </is>
      </c>
      <c r="C34" t="inlineStr">
        <is>
          <t>Sí</t>
        </is>
      </c>
      <c r="D34" s="19" t="n">
        <v>0</v>
      </c>
      <c r="E34" s="19" t="n">
        <v>0.005</v>
      </c>
      <c r="F34" s="28">
        <f>'Escandallo por Molde y Tanda'!M97</f>
        <v>4.726446545000001</v>
      </c>
      <c r="G34" s="28">
        <f>'Escandallo por Molde y Tanda'!O97</f>
        <v>4.750197532663317</v>
      </c>
      <c r="H34" s="28">
        <f>IFERROR(G34-F34,"")</f>
        <v>0.02375098766331618</v>
      </c>
      <c r="I34" s="24">
        <f>IFERROR(H34/F34,"")</f>
        <v>0.005025125628140618</v>
      </c>
      <c r="J34" s="33">
        <f>IFERROR('Escandallo por Molde y Tanda'!E97*D34,"")</f>
        <v>0.0</v>
      </c>
      <c r="K34" s="33">
        <f>IFERROR('Escandallo por Molde y Tanda'!G97*E34,"")</f>
        <v>1.465</v>
      </c>
      <c r="L34" s="12">
        <f>'Mix y Ticket Medio'!K34</f>
        <v>285.152</v>
      </c>
      <c r="M34" s="30">
        <f>IFERROR(J34*L34/1000,"")</f>
        <v>0.0</v>
      </c>
      <c r="N34" s="30">
        <f>IFERROR(K34*L34/1000,"")</f>
        <v>0.41774768</v>
      </c>
      <c r="O34" s="11">
        <f>IFERROR(H34*L34,"")</f>
        <v>6.772641634169935</v>
      </c>
      <c r="P34" s="13" t="inlineStr">
        <is>
          <t>Lleva ganache, relleno o fruta: lo que se recorta va a residuo y se reparte entre las piezas que salen bien.</t>
        </is>
      </c>
    </row>
    <row r="35">
      <c r="A35" s="14" t="inlineStr">
        <is>
          <t>TOTAL del año</t>
        </is>
      </c>
      <c r="M35" s="34">
        <f>SUM(M7:M34)</f>
        <v>86.41388784</v>
      </c>
      <c r="N35" s="34">
        <f>SUM(N7:N34)</f>
        <v>38.31444848000001</v>
      </c>
      <c r="O35" s="15">
        <f>SUM(O7:O34)</f>
        <v>718.766622456402</v>
      </c>
    </row>
    <row r="36"/>
    <row r="37" ht="46" customHeight="1">
      <c r="A37" s="13" t="inlineStr">
        <is>
          <t>Los kilos que vuelven a la cuba NO son un ahorro que apuntar en ningún sitio: son chocolate que ya has pagado y que no vuelves a pagar. Lo que sí es una decisión es cuánto recortas: si la columna de residuo se dispara, el problema no es el precio del cacao, es el molde o la mano.</t>
        </is>
      </c>
    </row>
    <row r="38"/>
    <row r="39">
      <c r="A39"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conditionalFormatting sqref="E7:E34">
    <cfRule type="expression" priority="1" dxfId="0" stopIfTrue="1">
      <formula>=AND(ISNUMBER($E7),$E7&gt;'Parámetros'!$B$43)</formula>
    </cfRule>
  </conditionalFormatting>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V39"/>
  <sheetViews>
    <sheetView workbookViewId="0">
      <pane ySplit="6" topLeftCell="A7" activePane="bottomLeft" state="frozen"/>
      <selection pane="bottomLeft" activeCell="A1" sqref="A1"/>
    </sheetView>
  </sheetViews>
  <sheetFormatPr baseColWidth="8" defaultRowHeight="15"/>
  <cols>
    <col width="8" customWidth="1" min="1" max="1"/>
    <col width="46" customWidth="1" min="2" max="2"/>
    <col width="12" customWidth="1" min="3" max="3"/>
    <col width="12" customWidth="1" min="4" max="4"/>
    <col width="12" customWidth="1" min="5" max="5"/>
    <col width="12" customWidth="1" min="6" max="6"/>
    <col width="13" customWidth="1" min="7" max="7"/>
    <col width="13" customWidth="1" min="8" max="8"/>
    <col width="15" customWidth="1" min="9" max="9"/>
    <col width="15" customWidth="1" min="10" max="10"/>
    <col width="15" customWidth="1" min="11" max="11"/>
    <col width="14" customWidth="1" min="12" max="12"/>
    <col width="14" customWidth="1" min="13" max="13"/>
    <col width="12" customWidth="1" min="14" max="14"/>
    <col width="11" customWidth="1" min="15" max="15"/>
    <col width="12" customWidth="1" min="16" max="16"/>
    <col width="11" customWidth="1" min="17" max="17"/>
    <col width="12" customWidth="1" min="18" max="18"/>
    <col width="11" customWidth="1" min="19" max="19"/>
    <col width="14" customWidth="1" min="20" max="20"/>
    <col width="14" customWidth="1" min="21" max="21"/>
    <col width="60" customWidth="1" min="22" max="22"/>
  </cols>
  <sheetData>
    <row r="1">
      <c r="A1" s="1" t="inlineStr">
        <is>
          <t>Coste Hora y Mano de Obra</t>
        </is>
      </c>
    </row>
    <row r="2">
      <c r="A2" s="2" t="inlineStr">
        <is>
          <t>AI Chef Pro · aichef.pro — Cómo Montar una Chocolatería</t>
        </is>
      </c>
    </row>
    <row r="3">
      <c r="A3" s="3" t="inlineStr">
        <is>
          <t>La unidad de costeo es la TANDA: piezas por molde por moldes por tanda. Los minutos se reparten entre las piezas que SALEN BIEN, no entre las que entran.</t>
        </is>
      </c>
    </row>
    <row r="4"/>
    <row r="5"/>
    <row r="6" ht="70" customHeight="1">
      <c r="A6" s="8" t="inlineStr">
        <is>
          <t>Id</t>
        </is>
      </c>
      <c r="B6" s="8" t="inlineStr">
        <is>
          <t>Referencia</t>
        </is>
      </c>
      <c r="C6" s="8" t="inlineStr">
        <is>
          <t>Piezas por molde</t>
        </is>
      </c>
      <c r="D6" s="8" t="inlineStr">
        <is>
          <t>Moldes por tanda</t>
        </is>
      </c>
      <c r="E6" s="8" t="inlineStr">
        <is>
          <t>Piezas por tanda</t>
        </is>
      </c>
      <c r="F6" s="8" t="inlineStr">
        <is>
          <t>Minutos de la tanda</t>
        </is>
      </c>
      <c r="G6" s="8" t="inlineStr">
        <is>
          <t>Piezas buenas por tanda</t>
        </is>
      </c>
      <c r="H6" s="8" t="inlineStr">
        <is>
          <t>Minutos por pieza buena</t>
        </is>
      </c>
      <c r="I6" s="8" t="inlineStr">
        <is>
          <t>Coste de mano de obra de la tanda o el montaje (EUR)</t>
        </is>
      </c>
      <c r="J6" s="8" t="inlineStr">
        <is>
          <t>Coste de mano de obra de las piezas de dentro (EUR)</t>
        </is>
      </c>
      <c r="K6" s="8" t="inlineStr">
        <is>
          <t>COSTE DE MANO DE OBRA POR PIEZA (EUR)</t>
        </is>
      </c>
      <c r="L6" s="8" t="inlineStr">
        <is>
          <t>Coste de materia con merma (EUR)</t>
        </is>
      </c>
      <c r="M6" s="8" t="inlineStr">
        <is>
          <t>COSTE TOTAL POR PIEZA (EUR)</t>
        </is>
      </c>
      <c r="N6" s="8" t="inlineStr">
        <is>
          <t>PVP con IVA (EUR)</t>
        </is>
      </c>
      <c r="O6" s="8" t="inlineStr">
        <is>
          <t>Tipo de IVA</t>
        </is>
      </c>
      <c r="P6" s="8" t="inlineStr">
        <is>
          <t>PVP sin IVA (EUR)</t>
        </is>
      </c>
      <c r="Q6" s="8" t="inlineStr">
        <is>
          <t>Food cost</t>
        </is>
      </c>
      <c r="R6" s="8" t="inlineStr">
        <is>
          <t>Margen (EUR)</t>
        </is>
      </c>
      <c r="S6" s="8" t="inlineStr">
        <is>
          <t>Margen sobre PVP</t>
        </is>
      </c>
      <c r="T6" s="8" t="inlineStr">
        <is>
          <t>PVP sin IVA que pide tu regla de margen (EUR)</t>
        </is>
      </c>
      <c r="U6" s="8" t="inlineStr">
        <is>
          <t>PVP con IVA que pide tu regla de margen (EUR)</t>
        </is>
      </c>
      <c r="V6" s="8" t="inlineStr">
        <is>
          <t>Nota</t>
        </is>
      </c>
    </row>
    <row r="7" ht="46" customHeight="1">
      <c r="A7" t="inlineStr">
        <is>
          <t>BC1</t>
        </is>
      </c>
      <c r="B7" s="5" t="inlineStr">
        <is>
          <t>Bombon de ganache de chocolate negro 70 %</t>
        </is>
      </c>
      <c r="C7" s="17" t="n">
        <v>24</v>
      </c>
      <c r="D7" s="17" t="n">
        <v>6</v>
      </c>
      <c r="E7" s="12">
        <f>C7*D7</f>
        <v>144.0</v>
      </c>
      <c r="F7" s="17" t="n">
        <v>155</v>
      </c>
      <c r="G7" s="30">
        <f>IFERROR(E7*(1-'Merma de Templado y Recortes'!E7),"")</f>
        <v>139.68</v>
      </c>
      <c r="H7" s="33">
        <f>IFERROR(F7/G7,"")</f>
        <v>1.1096792668957618</v>
      </c>
      <c r="I7" s="28">
        <f>IFERROR(H7/60*'Parámetros'!$B$15,"")</f>
        <v>0.3419968425611104</v>
      </c>
      <c r="J7" s="28" t="n">
        <v>0</v>
      </c>
      <c r="K7" s="32">
        <f>IFERROR(I7+J7,"")</f>
        <v>0.3419968425611104</v>
      </c>
      <c r="L7" s="28">
        <f>'Escandallo por Molde y Tanda'!O70</f>
        <v>0.22433612371134018</v>
      </c>
      <c r="M7" s="32">
        <f>IFERROR(K7+L7,"")</f>
        <v>0.5663329662724506</v>
      </c>
      <c r="N7" s="10" t="n">
        <v>2</v>
      </c>
      <c r="O7" s="24">
        <f>'Parámetros'!$B$18</f>
        <v>0.1</v>
      </c>
      <c r="P7" s="28">
        <f>IFERROR(N7/(1+O7),"")</f>
        <v>1.8181818181818181</v>
      </c>
      <c r="Q7" s="24">
        <f>IFERROR(L7/P7,"")</f>
        <v>0.1233848680412371</v>
      </c>
      <c r="R7" s="28">
        <f>IFERROR(P7-M7,"")</f>
        <v>1.2518488519093676</v>
      </c>
      <c r="S7" s="24">
        <f>IFERROR(R7/P7,"")</f>
        <v>0.6885168685501522</v>
      </c>
      <c r="T7" s="28">
        <f>IFERROR(L7/'Parámetros'!$B$22,"")</f>
        <v>0.7477870790378006</v>
      </c>
      <c r="U7" s="28">
        <f>IFERROR(T7*(1+O7),"")</f>
        <v>0.8225657869415808</v>
      </c>
      <c r="V7" s="13" t="inlineStr">
        <is>
          <t>Cero real, no «sin dato»: esta referencia no lleva piezas terminadas dentro.</t>
        </is>
      </c>
    </row>
    <row r="8" ht="46" customHeight="1">
      <c r="A8" t="inlineStr">
        <is>
          <t>BC2</t>
        </is>
      </c>
      <c r="B8" s="5" t="inlineStr">
        <is>
          <t>Bombon de ganache de leche y vainilla</t>
        </is>
      </c>
      <c r="C8" s="17" t="n">
        <v>24</v>
      </c>
      <c r="D8" s="17" t="n">
        <v>6</v>
      </c>
      <c r="E8" s="12">
        <f>C8*D8</f>
        <v>144.0</v>
      </c>
      <c r="F8" s="17" t="n">
        <v>155</v>
      </c>
      <c r="G8" s="30">
        <f>IFERROR(E8*(1-'Merma de Templado y Recortes'!E8),"")</f>
        <v>139.68</v>
      </c>
      <c r="H8" s="33">
        <f>IFERROR(F8/G8,"")</f>
        <v>1.1096792668957618</v>
      </c>
      <c r="I8" s="28">
        <f>IFERROR(H8/60*'Parámetros'!$B$15,"")</f>
        <v>0.3419968425611104</v>
      </c>
      <c r="J8" s="28" t="n">
        <v>0</v>
      </c>
      <c r="K8" s="32">
        <f>IFERROR(I8+J8,"")</f>
        <v>0.3419968425611104</v>
      </c>
      <c r="L8" s="28">
        <f>'Escandallo por Molde y Tanda'!O71</f>
        <v>0.1965814432989691</v>
      </c>
      <c r="M8" s="32">
        <f>IFERROR(K8+L8,"")</f>
        <v>0.5385782858600795</v>
      </c>
      <c r="N8" s="10" t="n">
        <v>1.95</v>
      </c>
      <c r="O8" s="24">
        <f>'Parámetros'!$B$18</f>
        <v>0.1</v>
      </c>
      <c r="P8" s="28">
        <f>IFERROR(N8/(1+O8),"")</f>
        <v>1.7727272727272725</v>
      </c>
      <c r="Q8" s="24">
        <f>IFERROR(L8/P8,"")</f>
        <v>0.1108920962199313</v>
      </c>
      <c r="R8" s="28">
        <f>IFERROR(P8-M8,"")</f>
        <v>1.234148986867193</v>
      </c>
      <c r="S8" s="24">
        <f>IFERROR(R8/P8,"")</f>
        <v>0.6961866079763654</v>
      </c>
      <c r="T8" s="28">
        <f>IFERROR(L8/'Parámetros'!$B$22,"")</f>
        <v>0.6552714776632304</v>
      </c>
      <c r="U8" s="28">
        <f>IFERROR(T8*(1+O8),"")</f>
        <v>0.7207986254295534</v>
      </c>
      <c r="V8" s="13" t="inlineStr">
        <is>
          <t>Cero real, no «sin dato»: esta referencia no lleva piezas terminadas dentro.</t>
        </is>
      </c>
    </row>
    <row r="9" ht="46" customHeight="1">
      <c r="A9" t="inlineStr">
        <is>
          <t>BC3</t>
        </is>
      </c>
      <c r="B9" s="5" t="inlineStr">
        <is>
          <t>Bombon de praline de avellana</t>
        </is>
      </c>
      <c r="C9" s="17" t="n">
        <v>24</v>
      </c>
      <c r="D9" s="17" t="n">
        <v>6</v>
      </c>
      <c r="E9" s="12">
        <f>C9*D9</f>
        <v>144.0</v>
      </c>
      <c r="F9" s="17" t="n">
        <v>140</v>
      </c>
      <c r="G9" s="30">
        <f>IFERROR(E9*(1-'Merma de Templado y Recortes'!E9),"")</f>
        <v>141.12</v>
      </c>
      <c r="H9" s="33">
        <f>IFERROR(F9/G9,"")</f>
        <v>0.992063492063492</v>
      </c>
      <c r="I9" s="28">
        <f>IFERROR(H9/60*'Parámetros'!$B$15,"")</f>
        <v>0.30574832929426454</v>
      </c>
      <c r="J9" s="28" t="n">
        <v>0</v>
      </c>
      <c r="K9" s="32">
        <f>IFERROR(I9+J9,"")</f>
        <v>0.30574832929426454</v>
      </c>
      <c r="L9" s="28">
        <f>'Escandallo por Molde y Tanda'!O72</f>
        <v>0.21780408163265308</v>
      </c>
      <c r="M9" s="32">
        <f>IFERROR(K9+L9,"")</f>
        <v>0.5235524109269176</v>
      </c>
      <c r="N9" s="10" t="n">
        <v>2.1</v>
      </c>
      <c r="O9" s="24">
        <f>'Parámetros'!$B$18</f>
        <v>0.1</v>
      </c>
      <c r="P9" s="28">
        <f>IFERROR(N9/(1+O9),"")</f>
        <v>1.909090909090909</v>
      </c>
      <c r="Q9" s="24">
        <f>IFERROR(L9/P9,"")</f>
        <v>0.11408785228377066</v>
      </c>
      <c r="R9" s="28">
        <f>IFERROR(P9-M9,"")</f>
        <v>1.3855384981639913</v>
      </c>
      <c r="S9" s="24">
        <f>IFERROR(R9/P9,"")</f>
        <v>0.7257582609430431</v>
      </c>
      <c r="T9" s="28">
        <f>IFERROR(L9/'Parámetros'!$B$22,"")</f>
        <v>0.726013605442177</v>
      </c>
      <c r="U9" s="28">
        <f>IFERROR(T9*(1+O9),"")</f>
        <v>0.7986149659863947</v>
      </c>
      <c r="V9" s="13" t="inlineStr">
        <is>
          <t>Cero real, no «sin dato»: esta referencia no lleva piezas terminadas dentro.</t>
        </is>
      </c>
    </row>
    <row r="10" ht="46" customHeight="1">
      <c r="A10" t="inlineStr">
        <is>
          <t>BC4</t>
        </is>
      </c>
      <c r="B10" s="5" t="inlineStr">
        <is>
          <t>Bombon de gianduja de avellana</t>
        </is>
      </c>
      <c r="C10" s="17" t="n">
        <v>24</v>
      </c>
      <c r="D10" s="17" t="n">
        <v>5</v>
      </c>
      <c r="E10" s="12">
        <f>C10*D10</f>
        <v>120.0</v>
      </c>
      <c r="F10" s="17" t="n">
        <v>130</v>
      </c>
      <c r="G10" s="30">
        <f>IFERROR(E10*(1-'Merma de Templado y Recortes'!E10),"")</f>
        <v>117.6</v>
      </c>
      <c r="H10" s="33">
        <f>IFERROR(F10/G10,"")</f>
        <v>1.1054421768707483</v>
      </c>
      <c r="I10" s="28">
        <f>IFERROR(H10/60*'Parámetros'!$B$15,"")</f>
        <v>0.34069099549932336</v>
      </c>
      <c r="J10" s="28" t="n">
        <v>0</v>
      </c>
      <c r="K10" s="32">
        <f>IFERROR(I10+J10,"")</f>
        <v>0.34069099549932336</v>
      </c>
      <c r="L10" s="28">
        <f>'Escandallo por Molde y Tanda'!O73</f>
        <v>0.2289219387755102</v>
      </c>
      <c r="M10" s="32">
        <f>IFERROR(K10+L10,"")</f>
        <v>0.5696129342748335</v>
      </c>
      <c r="N10" s="10" t="n">
        <v>2.1</v>
      </c>
      <c r="O10" s="24">
        <f>'Parámetros'!$B$18</f>
        <v>0.1</v>
      </c>
      <c r="P10" s="28">
        <f>IFERROR(N10/(1+O10),"")</f>
        <v>1.909090909090909</v>
      </c>
      <c r="Q10" s="24">
        <f>IFERROR(L10/P10,"")</f>
        <v>0.11991149173955297</v>
      </c>
      <c r="R10" s="28">
        <f>IFERROR(P10-M10,"")</f>
        <v>1.3394779748160754</v>
      </c>
      <c r="S10" s="24">
        <f>IFERROR(R10/P10,"")</f>
        <v>0.7016313201417539</v>
      </c>
      <c r="T10" s="28">
        <f>IFERROR(L10/'Parámetros'!$B$22,"")</f>
        <v>0.7630731292517007</v>
      </c>
      <c r="U10" s="28">
        <f>IFERROR(T10*(1+O10),"")</f>
        <v>0.8393804421768708</v>
      </c>
      <c r="V10" s="13" t="inlineStr">
        <is>
          <t>Cero real, no «sin dato»: esta referencia no lleva piezas terminadas dentro.</t>
        </is>
      </c>
    </row>
    <row r="11" ht="46" customHeight="1">
      <c r="A11" t="inlineStr">
        <is>
          <t>BC5</t>
        </is>
      </c>
      <c r="B11" s="5" t="inlineStr">
        <is>
          <t>Trufa de chocolate negro al cacao</t>
        </is>
      </c>
      <c r="C11" s="17" t="n">
        <v>40</v>
      </c>
      <c r="D11" s="17" t="n">
        <v>4</v>
      </c>
      <c r="E11" s="12">
        <f>C11*D11</f>
        <v>160.0</v>
      </c>
      <c r="F11" s="17" t="n">
        <v>120</v>
      </c>
      <c r="G11" s="30">
        <f>IFERROR(E11*(1-'Merma de Templado y Recortes'!E11),"")</f>
        <v>153.6</v>
      </c>
      <c r="H11" s="33">
        <f>IFERROR(F11/G11,"")</f>
        <v>0.78125</v>
      </c>
      <c r="I11" s="28">
        <f>IFERROR(H11/60*'Parámetros'!$B$15,"")</f>
        <v>0.24077680931923334</v>
      </c>
      <c r="J11" s="28" t="n">
        <v>0</v>
      </c>
      <c r="K11" s="32">
        <f>IFERROR(I11+J11,"")</f>
        <v>0.24077680931923334</v>
      </c>
      <c r="L11" s="28">
        <f>'Escandallo por Molde y Tanda'!O74</f>
        <v>0.22717201041666665</v>
      </c>
      <c r="M11" s="32">
        <f>IFERROR(K11+L11,"")</f>
        <v>0.46794881973589997</v>
      </c>
      <c r="N11" s="10" t="n">
        <v>1.9</v>
      </c>
      <c r="O11" s="24">
        <f>'Parámetros'!$B$18</f>
        <v>0.1</v>
      </c>
      <c r="P11" s="28">
        <f>IFERROR(N11/(1+O11),"")</f>
        <v>1.727272727272727</v>
      </c>
      <c r="Q11" s="24">
        <f>IFERROR(L11/P11,"")</f>
        <v>0.13152063760964913</v>
      </c>
      <c r="R11" s="28">
        <f>IFERROR(P11-M11,"")</f>
        <v>1.2593239075368272</v>
      </c>
      <c r="S11" s="24">
        <f>IFERROR(R11/P11,"")</f>
        <v>0.7290822622581632</v>
      </c>
      <c r="T11" s="28">
        <f>IFERROR(L11/'Parámetros'!$B$22,"")</f>
        <v>0.7572400347222222</v>
      </c>
      <c r="U11" s="28">
        <f>IFERROR(T11*(1+O11),"")</f>
        <v>0.8329640381944445</v>
      </c>
      <c r="V11" s="13" t="inlineStr">
        <is>
          <t>Cero real, no «sin dato»: esta referencia no lleva piezas terminadas dentro.</t>
        </is>
      </c>
    </row>
    <row r="12" ht="46" customHeight="1">
      <c r="A12" t="inlineStr">
        <is>
          <t>BC6</t>
        </is>
      </c>
      <c r="B12" s="5" t="inlineStr">
        <is>
          <t>Bombon de licor de ron</t>
        </is>
      </c>
      <c r="C12" s="17" t="n">
        <v>24</v>
      </c>
      <c r="D12" s="17" t="n">
        <v>4</v>
      </c>
      <c r="E12" s="12">
        <f>C12*D12</f>
        <v>96.0</v>
      </c>
      <c r="F12" s="17" t="n">
        <v>145</v>
      </c>
      <c r="G12" s="30">
        <f>IFERROR(E12*(1-'Merma de Templado y Recortes'!E12),"")</f>
        <v>92.16</v>
      </c>
      <c r="H12" s="33">
        <f>IFERROR(F12/G12,"")</f>
        <v>1.5733506944444444</v>
      </c>
      <c r="I12" s="28">
        <f>IFERROR(H12/60*'Parámetros'!$B$15,"")</f>
        <v>0.48489774099012267</v>
      </c>
      <c r="J12" s="28" t="n">
        <v>0</v>
      </c>
      <c r="K12" s="32">
        <f>IFERROR(I12+J12,"")</f>
        <v>0.48489774099012267</v>
      </c>
      <c r="L12" s="28">
        <f>'Escandallo por Molde y Tanda'!O75</f>
        <v>0.18009270833333335</v>
      </c>
      <c r="M12" s="32">
        <f>IFERROR(K12+L12,"")</f>
        <v>0.664990449323456</v>
      </c>
      <c r="N12" s="10" t="n">
        <v>2.3</v>
      </c>
      <c r="O12" s="24">
        <f>'Parámetros'!$B$18</f>
        <v>0.1</v>
      </c>
      <c r="P12" s="28">
        <f>IFERROR(N12/(1+O12),"")</f>
        <v>2.0909090909090904</v>
      </c>
      <c r="Q12" s="24">
        <f>IFERROR(L12/P12,"")</f>
        <v>0.08613129528985511</v>
      </c>
      <c r="R12" s="28">
        <f>IFERROR(P12-M12,"")</f>
        <v>1.4259186415856344</v>
      </c>
      <c r="S12" s="24">
        <f>IFERROR(R12/P12,"")</f>
        <v>0.6819610894539992</v>
      </c>
      <c r="T12" s="28">
        <f>IFERROR(L12/'Parámetros'!$B$22,"")</f>
        <v>0.6003090277777778</v>
      </c>
      <c r="U12" s="28">
        <f>IFERROR(T12*(1+O12),"")</f>
        <v>0.6603399305555556</v>
      </c>
      <c r="V12" s="13" t="inlineStr">
        <is>
          <t>Cero real, no «sin dato»: esta referencia no lleva piezas terminadas dentro.</t>
        </is>
      </c>
    </row>
    <row r="13" ht="46" customHeight="1">
      <c r="A13" t="inlineStr">
        <is>
          <t>BC7</t>
        </is>
      </c>
      <c r="B13" s="5" t="inlineStr">
        <is>
          <t>Bombon de caramelo salado</t>
        </is>
      </c>
      <c r="C13" s="17" t="n">
        <v>24</v>
      </c>
      <c r="D13" s="17" t="n">
        <v>6</v>
      </c>
      <c r="E13" s="12">
        <f>C13*D13</f>
        <v>144.0</v>
      </c>
      <c r="F13" s="17" t="n">
        <v>150</v>
      </c>
      <c r="G13" s="30">
        <f>IFERROR(E13*(1-'Merma de Templado y Recortes'!E13),"")</f>
        <v>139.68</v>
      </c>
      <c r="H13" s="33">
        <f>IFERROR(F13/G13,"")</f>
        <v>1.0738831615120275</v>
      </c>
      <c r="I13" s="28">
        <f>IFERROR(H13/60*'Parámetros'!$B$15,"")</f>
        <v>0.33096468634946163</v>
      </c>
      <c r="J13" s="28" t="n">
        <v>0</v>
      </c>
      <c r="K13" s="32">
        <f>IFERROR(I13+J13,"")</f>
        <v>0.33096468634946163</v>
      </c>
      <c r="L13" s="28">
        <f>'Escandallo por Molde y Tanda'!O76</f>
        <v>0.13729876288659792</v>
      </c>
      <c r="M13" s="32">
        <f>IFERROR(K13+L13,"")</f>
        <v>0.46826344923605956</v>
      </c>
      <c r="N13" s="10" t="n">
        <v>2</v>
      </c>
      <c r="O13" s="24">
        <f>'Parámetros'!$B$18</f>
        <v>0.1</v>
      </c>
      <c r="P13" s="28">
        <f>IFERROR(N13/(1+O13),"")</f>
        <v>1.8181818181818181</v>
      </c>
      <c r="Q13" s="24">
        <f>IFERROR(L13/P13,"")</f>
        <v>0.07551431958762886</v>
      </c>
      <c r="R13" s="28">
        <f>IFERROR(P13-M13,"")</f>
        <v>1.3499183689457586</v>
      </c>
      <c r="S13" s="24">
        <f>IFERROR(R13/P13,"")</f>
        <v>0.7424551029201673</v>
      </c>
      <c r="T13" s="28">
        <f>IFERROR(L13/'Parámetros'!$B$22,"")</f>
        <v>0.45766254295532643</v>
      </c>
      <c r="U13" s="28">
        <f>IFERROR(T13*(1+O13),"")</f>
        <v>0.5034287972508591</v>
      </c>
      <c r="V13" s="13" t="inlineStr">
        <is>
          <t>Cero real, no «sin dato»: esta referencia no lleva piezas terminadas dentro.</t>
        </is>
      </c>
    </row>
    <row r="14" ht="46" customHeight="1">
      <c r="A14" t="inlineStr">
        <is>
          <t>BC8</t>
        </is>
      </c>
      <c r="B14" s="5" t="inlineStr">
        <is>
          <t>Bombon de praline de cacahuete</t>
        </is>
      </c>
      <c r="C14" s="17" t="n">
        <v>24</v>
      </c>
      <c r="D14" s="17" t="n">
        <v>5</v>
      </c>
      <c r="E14" s="12">
        <f>C14*D14</f>
        <v>120.0</v>
      </c>
      <c r="F14" s="17" t="n">
        <v>135</v>
      </c>
      <c r="G14" s="30">
        <f>IFERROR(E14*(1-'Merma de Templado y Recortes'!E14),"")</f>
        <v>117.6</v>
      </c>
      <c r="H14" s="33">
        <f>IFERROR(F14/G14,"")</f>
        <v>1.1479591836734695</v>
      </c>
      <c r="I14" s="28">
        <f>IFERROR(H14/60*'Parámetros'!$B$15,"")</f>
        <v>0.3537944953262204</v>
      </c>
      <c r="J14" s="28" t="n">
        <v>0</v>
      </c>
      <c r="K14" s="32">
        <f>IFERROR(I14+J14,"")</f>
        <v>0.3537944953262204</v>
      </c>
      <c r="L14" s="28">
        <f>'Escandallo por Molde y Tanda'!O77</f>
        <v>0.19038979591836735</v>
      </c>
      <c r="M14" s="32">
        <f>IFERROR(K14+L14,"")</f>
        <v>0.5441842912445878</v>
      </c>
      <c r="N14" s="10" t="n">
        <v>1.95</v>
      </c>
      <c r="O14" s="24">
        <f>'Parámetros'!$B$18</f>
        <v>0.1</v>
      </c>
      <c r="P14" s="28">
        <f>IFERROR(N14/(1+O14),"")</f>
        <v>1.7727272727272725</v>
      </c>
      <c r="Q14" s="24">
        <f>IFERROR(L14/P14,"")</f>
        <v>0.10739937205651494</v>
      </c>
      <c r="R14" s="28">
        <f>IFERROR(P14-M14,"")</f>
        <v>1.2285429814826847</v>
      </c>
      <c r="S14" s="24">
        <f>IFERROR(R14/P14,"")</f>
        <v>0.6930242459645914</v>
      </c>
      <c r="T14" s="28">
        <f>IFERROR(L14/'Parámetros'!$B$22,"")</f>
        <v>0.6346326530612245</v>
      </c>
      <c r="U14" s="28">
        <f>IFERROR(T14*(1+O14),"")</f>
        <v>0.6980959183673471</v>
      </c>
      <c r="V14" s="13" t="inlineStr">
        <is>
          <t>Cero real, no «sin dato»: esta referencia no lleva piezas terminadas dentro.</t>
        </is>
      </c>
    </row>
    <row r="15" ht="46" customHeight="1">
      <c r="A15" t="inlineStr">
        <is>
          <t>BC9</t>
        </is>
      </c>
      <c r="B15" s="5" t="inlineStr">
        <is>
          <t>Bombon crujiente de sesamo y barquillo</t>
        </is>
      </c>
      <c r="C15" s="17" t="n">
        <v>24</v>
      </c>
      <c r="D15" s="17" t="n">
        <v>5</v>
      </c>
      <c r="E15" s="12">
        <f>C15*D15</f>
        <v>120.0</v>
      </c>
      <c r="F15" s="17" t="n">
        <v>140</v>
      </c>
      <c r="G15" s="30">
        <f>IFERROR(E15*(1-'Merma de Templado y Recortes'!E15),"")</f>
        <v>117.6</v>
      </c>
      <c r="H15" s="33">
        <f>IFERROR(F15/G15,"")</f>
        <v>1.1904761904761905</v>
      </c>
      <c r="I15" s="28">
        <f>IFERROR(H15/60*'Parámetros'!$B$15,"")</f>
        <v>0.36689799515311744</v>
      </c>
      <c r="J15" s="28" t="n">
        <v>0</v>
      </c>
      <c r="K15" s="32">
        <f>IFERROR(I15+J15,"")</f>
        <v>0.36689799515311744</v>
      </c>
      <c r="L15" s="28">
        <f>'Escandallo por Molde y Tanda'!O78</f>
        <v>0.1943326530612245</v>
      </c>
      <c r="M15" s="32">
        <f>IFERROR(K15+L15,"")</f>
        <v>0.5612306482143419</v>
      </c>
      <c r="N15" s="10" t="n">
        <v>2.05</v>
      </c>
      <c r="O15" s="24">
        <f>'Parámetros'!$B$18</f>
        <v>0.1</v>
      </c>
      <c r="P15" s="28">
        <f>IFERROR(N15/(1+O15),"")</f>
        <v>1.8636363636363633</v>
      </c>
      <c r="Q15" s="24">
        <f>IFERROR(L15/P15,"")</f>
        <v>0.10427605774016925</v>
      </c>
      <c r="R15" s="28">
        <f>IFERROR(P15-M15,"")</f>
        <v>1.3024057154220214</v>
      </c>
      <c r="S15" s="24">
        <f>IFERROR(R15/P15,"")</f>
        <v>0.6988518472996214</v>
      </c>
      <c r="T15" s="28">
        <f>IFERROR(L15/'Parámetros'!$B$22,"")</f>
        <v>0.6477755102040816</v>
      </c>
      <c r="U15" s="28">
        <f>IFERROR(T15*(1+O15),"")</f>
        <v>0.7125530612244899</v>
      </c>
      <c r="V15" s="13" t="inlineStr">
        <is>
          <t>Cero real, no «sin dato»: esta referencia no lleva piezas terminadas dentro.</t>
        </is>
      </c>
    </row>
    <row r="16" ht="46" customHeight="1">
      <c r="A16" t="inlineStr">
        <is>
          <t>BC10</t>
        </is>
      </c>
      <c r="B16" s="5" t="inlineStr">
        <is>
          <t>Bombon de naranja confitada y chocolate negro</t>
        </is>
      </c>
      <c r="C16" s="17" t="n">
        <v>24</v>
      </c>
      <c r="D16" s="17" t="n">
        <v>5</v>
      </c>
      <c r="E16" s="12">
        <f>C16*D16</f>
        <v>120.0</v>
      </c>
      <c r="F16" s="17" t="n">
        <v>145</v>
      </c>
      <c r="G16" s="30">
        <f>IFERROR(E16*(1-'Merma de Templado y Recortes'!E16),"")</f>
        <v>114.0</v>
      </c>
      <c r="H16" s="33">
        <f>IFERROR(F16/G16,"")</f>
        <v>1.2719298245614035</v>
      </c>
      <c r="I16" s="28">
        <f>IFERROR(H16/60*'Parámetros'!$B$15,"")</f>
        <v>0.3920015421899097</v>
      </c>
      <c r="J16" s="28" t="n">
        <v>0</v>
      </c>
      <c r="K16" s="32">
        <f>IFERROR(I16+J16,"")</f>
        <v>0.3920015421899097</v>
      </c>
      <c r="L16" s="28">
        <f>'Escandallo por Molde y Tanda'!O79</f>
        <v>0.22985014210526317</v>
      </c>
      <c r="M16" s="32">
        <f>IFERROR(K16+L16,"")</f>
        <v>0.6218516842951729</v>
      </c>
      <c r="N16" s="10" t="n">
        <v>2.05</v>
      </c>
      <c r="O16" s="24">
        <f>'Parámetros'!$B$18</f>
        <v>0.1</v>
      </c>
      <c r="P16" s="28">
        <f>IFERROR(N16/(1+O16),"")</f>
        <v>1.8636363636363633</v>
      </c>
      <c r="Q16" s="24">
        <f>IFERROR(L16/P16,"")</f>
        <v>0.12333422259306806</v>
      </c>
      <c r="R16" s="28">
        <f>IFERROR(P16-M16,"")</f>
        <v>1.2417846793411904</v>
      </c>
      <c r="S16" s="24">
        <f>IFERROR(R16/P16,"")</f>
        <v>0.6663234864757608</v>
      </c>
      <c r="T16" s="28">
        <f>IFERROR(L16/'Parámetros'!$B$22,"")</f>
        <v>0.7661671403508773</v>
      </c>
      <c r="U16" s="28">
        <f>IFERROR(T16*(1+O16),"")</f>
        <v>0.8427838543859651</v>
      </c>
      <c r="V16" s="13" t="inlineStr">
        <is>
          <t>Cero real, no «sin dato»: esta referencia no lleva piezas terminadas dentro.</t>
        </is>
      </c>
    </row>
    <row r="17" ht="46" customHeight="1">
      <c r="A17" t="inlineStr">
        <is>
          <t>TB1</t>
        </is>
      </c>
      <c r="B17" s="5" t="inlineStr">
        <is>
          <t>Tableta de chocolate negro de origen 70 %, 100 g</t>
        </is>
      </c>
      <c r="C17" s="17" t="n">
        <v>3</v>
      </c>
      <c r="D17" s="17" t="n">
        <v>10</v>
      </c>
      <c r="E17" s="12">
        <f>C17*D17</f>
        <v>30.0</v>
      </c>
      <c r="F17" s="17" t="n">
        <v>55</v>
      </c>
      <c r="G17" s="30">
        <f>IFERROR(E17*(1-'Merma de Templado y Recortes'!E17),"")</f>
        <v>29.7</v>
      </c>
      <c r="H17" s="33">
        <f>IFERROR(F17/G17,"")</f>
        <v>1.8518518518518519</v>
      </c>
      <c r="I17" s="28">
        <f>IFERROR(H17/60*'Parámetros'!$B$15,"")</f>
        <v>0.5707302146826272</v>
      </c>
      <c r="J17" s="28" t="n">
        <v>0</v>
      </c>
      <c r="K17" s="32">
        <f>IFERROR(I17+J17,"")</f>
        <v>0.5707302146826272</v>
      </c>
      <c r="L17" s="28">
        <f>'Escandallo por Molde y Tanda'!O80</f>
        <v>3.785858585858586</v>
      </c>
      <c r="M17" s="32">
        <f>IFERROR(K17+L17,"")</f>
        <v>4.356588800541213</v>
      </c>
      <c r="N17" s="10" t="n">
        <v>8.5</v>
      </c>
      <c r="O17" s="24">
        <f>'Parámetros'!$B$18</f>
        <v>0.1</v>
      </c>
      <c r="P17" s="28">
        <f>IFERROR(N17/(1+O17),"")</f>
        <v>7.727272727272727</v>
      </c>
      <c r="Q17" s="24">
        <f>IFERROR(L17/P17,"")</f>
        <v>0.48993464052287583</v>
      </c>
      <c r="R17" s="28">
        <f>IFERROR(P17-M17,"")</f>
        <v>3.3706839267315134</v>
      </c>
      <c r="S17" s="24">
        <f>IFERROR(R17/P17,"")</f>
        <v>0.43620615522407824</v>
      </c>
      <c r="T17" s="28">
        <f>IFERROR(L17/'Parámetros'!$B$22,"")</f>
        <v>12.61952861952862</v>
      </c>
      <c r="U17" s="28">
        <f>IFERROR(T17*(1+O17),"")</f>
        <v>13.881481481481483</v>
      </c>
      <c r="V17" s="13" t="inlineStr">
        <is>
          <t>Cero real, no «sin dato»: esta referencia no lleva piezas terminadas dentro.</t>
        </is>
      </c>
    </row>
    <row r="18" ht="46" customHeight="1">
      <c r="A18" t="inlineStr">
        <is>
          <t>TB2</t>
        </is>
      </c>
      <c r="B18" s="5" t="inlineStr">
        <is>
          <t>Tableta de chocolate con leche 38 %, 100 g</t>
        </is>
      </c>
      <c r="C18" s="17" t="n">
        <v>3</v>
      </c>
      <c r="D18" s="17" t="n">
        <v>10</v>
      </c>
      <c r="E18" s="12">
        <f>C18*D18</f>
        <v>30.0</v>
      </c>
      <c r="F18" s="17" t="n">
        <v>55</v>
      </c>
      <c r="G18" s="30">
        <f>IFERROR(E18*(1-'Merma de Templado y Recortes'!E18),"")</f>
        <v>29.7</v>
      </c>
      <c r="H18" s="33">
        <f>IFERROR(F18/G18,"")</f>
        <v>1.8518518518518519</v>
      </c>
      <c r="I18" s="28">
        <f>IFERROR(H18/60*'Parámetros'!$B$15,"")</f>
        <v>0.5707302146826272</v>
      </c>
      <c r="J18" s="28" t="n">
        <v>0</v>
      </c>
      <c r="K18" s="32">
        <f>IFERROR(I18+J18,"")</f>
        <v>0.5707302146826272</v>
      </c>
      <c r="L18" s="28">
        <f>'Escandallo por Molde y Tanda'!O81</f>
        <v>1.96969696969697</v>
      </c>
      <c r="M18" s="32">
        <f>IFERROR(K18+L18,"")</f>
        <v>2.540427184379597</v>
      </c>
      <c r="N18" s="10" t="n">
        <v>5.9</v>
      </c>
      <c r="O18" s="24">
        <f>'Parámetros'!$B$18</f>
        <v>0.1</v>
      </c>
      <c r="P18" s="28">
        <f>IFERROR(N18/(1+O18),"")</f>
        <v>5.363636363636363</v>
      </c>
      <c r="Q18" s="24">
        <f>IFERROR(L18/P18,"")</f>
        <v>0.36723163841807915</v>
      </c>
      <c r="R18" s="28">
        <f>IFERROR(P18-M18,"")</f>
        <v>2.823209179256766</v>
      </c>
      <c r="S18" s="24">
        <f>IFERROR(R18/P18,"")</f>
        <v>0.526361033420753</v>
      </c>
      <c r="T18" s="28">
        <f>IFERROR(L18/'Parámetros'!$B$22,"")</f>
        <v>6.565656565656567</v>
      </c>
      <c r="U18" s="28">
        <f>IFERROR(T18*(1+O18),"")</f>
        <v>7.222222222222224</v>
      </c>
      <c r="V18" s="13" t="inlineStr">
        <is>
          <t>Cero real, no «sin dato»: esta referencia no lleva piezas terminadas dentro.</t>
        </is>
      </c>
    </row>
    <row r="19" ht="46" customHeight="1">
      <c r="A19" t="inlineStr">
        <is>
          <t>TB3</t>
        </is>
      </c>
      <c r="B19" s="5" t="inlineStr">
        <is>
          <t>Tableta de chocolate blanco 30 %, 100 g</t>
        </is>
      </c>
      <c r="C19" s="17" t="n">
        <v>3</v>
      </c>
      <c r="D19" s="17" t="n">
        <v>8</v>
      </c>
      <c r="E19" s="12">
        <f>C19*D19</f>
        <v>24.0</v>
      </c>
      <c r="F19" s="17" t="n">
        <v>55</v>
      </c>
      <c r="G19" s="30">
        <f>IFERROR(E19*(1-'Merma de Templado y Recortes'!E19),"")</f>
        <v>23.759999999999998</v>
      </c>
      <c r="H19" s="33">
        <f>IFERROR(F19/G19,"")</f>
        <v>2.314814814814815</v>
      </c>
      <c r="I19" s="28">
        <f>IFERROR(H19/60*'Parámetros'!$B$15,"")</f>
        <v>0.7134127683532839</v>
      </c>
      <c r="J19" s="28" t="n">
        <v>0</v>
      </c>
      <c r="K19" s="32">
        <f>IFERROR(I19+J19,"")</f>
        <v>0.7134127683532839</v>
      </c>
      <c r="L19" s="28">
        <f>'Escandallo por Molde y Tanda'!O82</f>
        <v>2.121212121212121</v>
      </c>
      <c r="M19" s="32">
        <f>IFERROR(K19+L19,"")</f>
        <v>2.834624889565405</v>
      </c>
      <c r="N19" s="10" t="n">
        <v>5.9</v>
      </c>
      <c r="O19" s="24">
        <f>'Parámetros'!$B$18</f>
        <v>0.1</v>
      </c>
      <c r="P19" s="28">
        <f>IFERROR(N19/(1+O19),"")</f>
        <v>5.363636363636363</v>
      </c>
      <c r="Q19" s="24">
        <f>IFERROR(L19/P19,"")</f>
        <v>0.3954802259887006</v>
      </c>
      <c r="R19" s="28">
        <f>IFERROR(P19-M19,"")</f>
        <v>2.529011474070958</v>
      </c>
      <c r="S19" s="24">
        <f>IFERROR(R19/P19,"")</f>
        <v>0.47151061380983966</v>
      </c>
      <c r="T19" s="28">
        <f>IFERROR(L19/'Parámetros'!$B$22,"")</f>
        <v>7.070707070707071</v>
      </c>
      <c r="U19" s="28">
        <f>IFERROR(T19*(1+O19),"")</f>
        <v>7.777777777777779</v>
      </c>
      <c r="V19" s="13" t="inlineStr">
        <is>
          <t>Cero real, no «sin dato»: esta referencia no lleva piezas terminadas dentro.</t>
        </is>
      </c>
    </row>
    <row r="20" ht="46" customHeight="1">
      <c r="A20" t="inlineStr">
        <is>
          <t>TB4</t>
        </is>
      </c>
      <c r="B20" s="5" t="inlineStr">
        <is>
          <t>Tableta de chocolate negro con almendra marcona, 100 g</t>
        </is>
      </c>
      <c r="C20" s="17" t="n">
        <v>3</v>
      </c>
      <c r="D20" s="17" t="n">
        <v>8</v>
      </c>
      <c r="E20" s="12">
        <f>C20*D20</f>
        <v>24.0</v>
      </c>
      <c r="F20" s="17" t="n">
        <v>65</v>
      </c>
      <c r="G20" s="30">
        <f>IFERROR(E20*(1-'Merma de Templado y Recortes'!E20),"")</f>
        <v>23.52</v>
      </c>
      <c r="H20" s="33">
        <f>IFERROR(F20/G20,"")</f>
        <v>2.7636054421768708</v>
      </c>
      <c r="I20" s="28">
        <f>IFERROR(H20/60*'Parámetros'!$B$15,"")</f>
        <v>0.8517274887483084</v>
      </c>
      <c r="J20" s="28" t="n">
        <v>0</v>
      </c>
      <c r="K20" s="32">
        <f>IFERROR(I20+J20,"")</f>
        <v>0.8517274887483084</v>
      </c>
      <c r="L20" s="28">
        <f>'Escandallo por Molde y Tanda'!O83</f>
        <v>2.088723469387755</v>
      </c>
      <c r="M20" s="32">
        <f>IFERROR(K20+L20,"")</f>
        <v>2.9404509581360636</v>
      </c>
      <c r="N20" s="10" t="n">
        <v>6.5</v>
      </c>
      <c r="O20" s="24">
        <f>'Parámetros'!$B$18</f>
        <v>0.1</v>
      </c>
      <c r="P20" s="28">
        <f>IFERROR(N20/(1+O20),"")</f>
        <v>5.909090909090908</v>
      </c>
      <c r="Q20" s="24">
        <f>IFERROR(L20/P20,"")</f>
        <v>0.35347627943485094</v>
      </c>
      <c r="R20" s="28">
        <f>IFERROR(P20-M20,"")</f>
        <v>2.9686399509548447</v>
      </c>
      <c r="S20" s="24">
        <f>IFERROR(R20/P20,"")</f>
        <v>0.5023852224692815</v>
      </c>
      <c r="T20" s="28">
        <f>IFERROR(L20/'Parámetros'!$B$22,"")</f>
        <v>6.962411564625851</v>
      </c>
      <c r="U20" s="28">
        <f>IFERROR(T20*(1+O20),"")</f>
        <v>7.658652721088437</v>
      </c>
      <c r="V20" s="13" t="inlineStr">
        <is>
          <t>Cero real, no «sin dato»: esta referencia no lleva piezas terminadas dentro.</t>
        </is>
      </c>
    </row>
    <row r="21" ht="46" customHeight="1">
      <c r="A21" t="inlineStr">
        <is>
          <t>TB5</t>
        </is>
      </c>
      <c r="B21" s="5" t="inlineStr">
        <is>
          <t>Tableta de chocolate con leche y avellana, 100 g</t>
        </is>
      </c>
      <c r="C21" s="17" t="n">
        <v>3</v>
      </c>
      <c r="D21" s="17" t="n">
        <v>8</v>
      </c>
      <c r="E21" s="12">
        <f>C21*D21</f>
        <v>24.0</v>
      </c>
      <c r="F21" s="17" t="n">
        <v>65</v>
      </c>
      <c r="G21" s="30">
        <f>IFERROR(E21*(1-'Merma de Templado y Recortes'!E21),"")</f>
        <v>23.52</v>
      </c>
      <c r="H21" s="33">
        <f>IFERROR(F21/G21,"")</f>
        <v>2.7636054421768708</v>
      </c>
      <c r="I21" s="28">
        <f>IFERROR(H21/60*'Parámetros'!$B$15,"")</f>
        <v>0.8517274887483084</v>
      </c>
      <c r="J21" s="28" t="n">
        <v>0</v>
      </c>
      <c r="K21" s="32">
        <f>IFERROR(I21+J21,"")</f>
        <v>0.8517274887483084</v>
      </c>
      <c r="L21" s="28">
        <f>'Escandallo por Molde y Tanda'!O84</f>
        <v>1.8755102040816327</v>
      </c>
      <c r="M21" s="32">
        <f>IFERROR(K21+L21,"")</f>
        <v>2.727237692829941</v>
      </c>
      <c r="N21" s="10" t="n">
        <v>6.5</v>
      </c>
      <c r="O21" s="24">
        <f>'Parámetros'!$B$18</f>
        <v>0.1</v>
      </c>
      <c r="P21" s="28">
        <f>IFERROR(N21/(1+O21),"")</f>
        <v>5.909090909090908</v>
      </c>
      <c r="Q21" s="24">
        <f>IFERROR(L21/P21,"")</f>
        <v>0.31739403453689174</v>
      </c>
      <c r="R21" s="28">
        <f>IFERROR(P21-M21,"")</f>
        <v>3.181853216260967</v>
      </c>
      <c r="S21" s="24">
        <f>IFERROR(R21/P21,"")</f>
        <v>0.5384674673672407</v>
      </c>
      <c r="T21" s="28">
        <f>IFERROR(L21/'Parámetros'!$B$22,"")</f>
        <v>6.251700680272109</v>
      </c>
      <c r="U21" s="28">
        <f>IFERROR(T21*(1+O21),"")</f>
        <v>6.8768707482993205</v>
      </c>
      <c r="V21" s="13" t="inlineStr">
        <is>
          <t>Cero real, no «sin dato»: esta referencia no lleva piezas terminadas dentro.</t>
        </is>
      </c>
    </row>
    <row r="22" ht="46" customHeight="1">
      <c r="A22" t="inlineStr">
        <is>
          <t>TB6</t>
        </is>
      </c>
      <c r="B22" s="5" t="inlineStr">
        <is>
          <t>Tableta rellena de praline, 100 g</t>
        </is>
      </c>
      <c r="C22" s="17" t="n">
        <v>3</v>
      </c>
      <c r="D22" s="17" t="n">
        <v>6</v>
      </c>
      <c r="E22" s="12">
        <f>C22*D22</f>
        <v>18.0</v>
      </c>
      <c r="F22" s="17" t="n">
        <v>105</v>
      </c>
      <c r="G22" s="30">
        <f>IFERROR(E22*(1-'Merma de Templado y Recortes'!E22),"")</f>
        <v>17.46</v>
      </c>
      <c r="H22" s="33">
        <f>IFERROR(F22/G22,"")</f>
        <v>6.013745704467354</v>
      </c>
      <c r="I22" s="28">
        <f>IFERROR(H22/60*'Parámetros'!$B$15,"")</f>
        <v>1.8534022435569852</v>
      </c>
      <c r="J22" s="28" t="n">
        <v>0</v>
      </c>
      <c r="K22" s="32">
        <f>IFERROR(I22+J22,"")</f>
        <v>1.8534022435569852</v>
      </c>
      <c r="L22" s="28">
        <f>'Escandallo por Molde y Tanda'!O85</f>
        <v>1.8539690721649487</v>
      </c>
      <c r="M22" s="32">
        <f>IFERROR(K22+L22,"")</f>
        <v>3.707371315721934</v>
      </c>
      <c r="N22" s="10" t="n">
        <v>7.5</v>
      </c>
      <c r="O22" s="24">
        <f>'Parámetros'!$B$18</f>
        <v>0.1</v>
      </c>
      <c r="P22" s="28">
        <f>IFERROR(N22/(1+O22),"")</f>
        <v>6.8181818181818175</v>
      </c>
      <c r="Q22" s="24">
        <f>IFERROR(L22/P22,"")</f>
        <v>0.27191546391752586</v>
      </c>
      <c r="R22" s="28">
        <f>IFERROR(P22-M22,"")</f>
        <v>3.1108105024598833</v>
      </c>
      <c r="S22" s="24">
        <f>IFERROR(R22/P22,"")</f>
        <v>0.4562522070274496</v>
      </c>
      <c r="T22" s="28">
        <f>IFERROR(L22/'Parámetros'!$B$22,"")</f>
        <v>6.179896907216496</v>
      </c>
      <c r="U22" s="28">
        <f>IFERROR(T22*(1+O22),"")</f>
        <v>6.797886597938146</v>
      </c>
      <c r="V22" s="13" t="inlineStr">
        <is>
          <t>Cero real, no «sin dato»: esta referencia no lleva piezas terminadas dentro.</t>
        </is>
      </c>
    </row>
    <row r="23" ht="46" customHeight="1">
      <c r="A23" t="inlineStr">
        <is>
          <t>CT1</t>
        </is>
      </c>
      <c r="B23" s="5" t="inlineStr">
        <is>
          <t>Tableta de chocolate a la taza, 200 g</t>
        </is>
      </c>
      <c r="C23" s="17" t="n">
        <v>2</v>
      </c>
      <c r="D23" s="17" t="n">
        <v>8</v>
      </c>
      <c r="E23" s="12">
        <f>C23*D23</f>
        <v>16.0</v>
      </c>
      <c r="F23" s="17" t="n">
        <v>70</v>
      </c>
      <c r="G23" s="30">
        <f>IFERROR(E23*(1-'Merma de Templado y Recortes'!E23),"")</f>
        <v>15.84</v>
      </c>
      <c r="H23" s="33">
        <f>IFERROR(F23/G23,"")</f>
        <v>4.41919191919192</v>
      </c>
      <c r="I23" s="28">
        <f>IFERROR(H23/60*'Parámetros'!$B$15,"")</f>
        <v>1.3619698304926333</v>
      </c>
      <c r="J23" s="28" t="n">
        <v>0</v>
      </c>
      <c r="K23" s="32">
        <f>IFERROR(I23+J23,"")</f>
        <v>1.3619698304926333</v>
      </c>
      <c r="L23" s="28">
        <f>'Escandallo por Molde y Tanda'!O86</f>
        <v>2.362989898989899</v>
      </c>
      <c r="M23" s="32">
        <f>IFERROR(K23+L23,"")</f>
        <v>3.7249597294825323</v>
      </c>
      <c r="N23" s="10" t="n">
        <v>6.5</v>
      </c>
      <c r="O23" s="24">
        <f>'Parámetros'!$B$18</f>
        <v>0.1</v>
      </c>
      <c r="P23" s="28">
        <f>IFERROR(N23/(1+O23),"")</f>
        <v>5.909090909090908</v>
      </c>
      <c r="Q23" s="24">
        <f>IFERROR(L23/P23,"")</f>
        <v>0.39989059829059836</v>
      </c>
      <c r="R23" s="28">
        <f>IFERROR(P23-M23,"")</f>
        <v>2.184131179608376</v>
      </c>
      <c r="S23" s="24">
        <f>IFERROR(R23/P23,"")</f>
        <v>0.36962219962603293</v>
      </c>
      <c r="T23" s="28">
        <f>IFERROR(L23/'Parámetros'!$B$22,"")</f>
        <v>7.876632996632997</v>
      </c>
      <c r="U23" s="28">
        <f>IFERROR(T23*(1+O23),"")</f>
        <v>8.664296296296298</v>
      </c>
      <c r="V23" s="13" t="inlineStr">
        <is>
          <t>Cero real, no «sin dato»: esta referencia no lleva piezas terminadas dentro.</t>
        </is>
      </c>
    </row>
    <row r="24" ht="46" customHeight="1">
      <c r="A24" t="inlineStr">
        <is>
          <t>CT2</t>
        </is>
      </c>
      <c r="B24" s="5" t="inlineStr">
        <is>
          <t>Caja de 6 sobres monodosis de chocolate a la taza</t>
        </is>
      </c>
      <c r="C24" s="17" t="n">
        <v>6</v>
      </c>
      <c r="D24" s="17" t="n">
        <v>6</v>
      </c>
      <c r="E24" s="12">
        <f>C24*D24</f>
        <v>36.0</v>
      </c>
      <c r="F24" s="17" t="n">
        <v>95</v>
      </c>
      <c r="G24" s="30">
        <f>IFERROR(E24*(1-'Merma de Templado y Recortes'!E24),"")</f>
        <v>35.64</v>
      </c>
      <c r="H24" s="33">
        <f>IFERROR(F24/G24,"")</f>
        <v>2.665544332210999</v>
      </c>
      <c r="I24" s="28">
        <f>IFERROR(H24/60*'Parámetros'!$B$15,"")</f>
        <v>0.8215056120431755</v>
      </c>
      <c r="J24" s="28" t="n">
        <v>0</v>
      </c>
      <c r="K24" s="32">
        <f>IFERROR(I24+J24,"")</f>
        <v>0.8215056120431755</v>
      </c>
      <c r="L24" s="28">
        <f>'Escandallo por Molde y Tanda'!O87</f>
        <v>2.1266909090909087</v>
      </c>
      <c r="M24" s="32">
        <f>IFERROR(K24+L24,"")</f>
        <v>2.948196521134084</v>
      </c>
      <c r="N24" s="10" t="n">
        <v>7.8</v>
      </c>
      <c r="O24" s="24">
        <f>'Parámetros'!$B$18</f>
        <v>0.1</v>
      </c>
      <c r="P24" s="28">
        <f>IFERROR(N24/(1+O24),"")</f>
        <v>7.09090909090909</v>
      </c>
      <c r="Q24" s="24">
        <f>IFERROR(L24/P24,"")</f>
        <v>0.2999179487179487</v>
      </c>
      <c r="R24" s="28">
        <f>IFERROR(P24-M24,"")</f>
        <v>4.142712569775005</v>
      </c>
      <c r="S24" s="24">
        <f>IFERROR(R24/P24,"")</f>
        <v>0.5842286957375008</v>
      </c>
      <c r="T24" s="28">
        <f>IFERROR(L24/'Parámetros'!$B$22,"")</f>
        <v>7.088969696969696</v>
      </c>
      <c r="U24" s="28">
        <f>IFERROR(T24*(1+O24),"")</f>
        <v>7.797866666666666</v>
      </c>
      <c r="V24" s="13" t="inlineStr">
        <is>
          <t>Cero real, no «sin dato»: esta referencia no lleva piezas terminadas dentro.</t>
        </is>
      </c>
    </row>
    <row r="25" ht="46" customHeight="1">
      <c r="A25" t="inlineStr">
        <is>
          <t>CT3</t>
        </is>
      </c>
      <c r="B25" s="5" t="inlineStr">
        <is>
          <t>Chocolate a la taza servido en sala, 200 ml</t>
        </is>
      </c>
      <c r="C25" s="17" t="n">
        <v>1</v>
      </c>
      <c r="D25" s="17" t="n">
        <v>1</v>
      </c>
      <c r="E25" s="12">
        <f>C25*D25</f>
        <v>1.0</v>
      </c>
      <c r="F25" s="17" t="n">
        <v>3</v>
      </c>
      <c r="G25" s="30">
        <f>IFERROR(E25*(1-'Merma de Templado y Recortes'!E25),"")</f>
        <v>0.94</v>
      </c>
      <c r="H25" s="33">
        <f>IFERROR(F25/G25,"")</f>
        <v>3.191489361702128</v>
      </c>
      <c r="I25" s="28">
        <f>IFERROR(H25/60*'Parámetros'!$B$15,"")</f>
        <v>0.9835988806232513</v>
      </c>
      <c r="J25" s="28" t="n">
        <v>0</v>
      </c>
      <c r="K25" s="32">
        <f>IFERROR(I25+J25,"")</f>
        <v>0.9835988806232513</v>
      </c>
      <c r="L25" s="28">
        <f>'Escandallo por Molde y Tanda'!O88</f>
        <v>0.5599531914893616</v>
      </c>
      <c r="M25" s="32">
        <f>IFERROR(K25+L25,"")</f>
        <v>1.5435520721126128</v>
      </c>
      <c r="N25" s="10" t="n">
        <v>3.2</v>
      </c>
      <c r="O25" s="24">
        <f>'Parámetros'!$B$19</f>
        <v>0.1</v>
      </c>
      <c r="P25" s="28">
        <f>IFERROR(N25/(1+O25),"")</f>
        <v>2.909090909090909</v>
      </c>
      <c r="Q25" s="24">
        <f>IFERROR(L25/P25,"")</f>
        <v>0.19248390957446807</v>
      </c>
      <c r="R25" s="28">
        <f>IFERROR(P25-M25,"")</f>
        <v>1.3655388369782964</v>
      </c>
      <c r="S25" s="24">
        <f>IFERROR(R25/P25,"")</f>
        <v>0.46940397521128935</v>
      </c>
      <c r="T25" s="28">
        <f>IFERROR(L25/'Parámetros'!$B$22,"")</f>
        <v>1.8665106382978722</v>
      </c>
      <c r="U25" s="28">
        <f>IFERROR(T25*(1+O25),"")</f>
        <v>2.05316170212766</v>
      </c>
      <c r="V25" s="13" t="inlineStr">
        <is>
          <t>Cero real, no «sin dato»: esta referencia no lleva piezas terminadas dentro.</t>
        </is>
      </c>
    </row>
    <row r="26" ht="46" customHeight="1">
      <c r="A26" t="inlineStr">
        <is>
          <t>TF1</t>
        </is>
      </c>
      <c r="B26" s="5" t="inlineStr">
        <is>
          <t>Huevo de Pascua de chocolate con leche, 250 g</t>
        </is>
      </c>
      <c r="C26" s="17" t="n">
        <v>2</v>
      </c>
      <c r="D26" s="17" t="n">
        <v>6</v>
      </c>
      <c r="E26" s="12">
        <f>C26*D26</f>
        <v>12.0</v>
      </c>
      <c r="F26" s="17" t="n">
        <v>150</v>
      </c>
      <c r="G26" s="30">
        <f>IFERROR(E26*(1-'Merma de Templado y Recortes'!E26),"")</f>
        <v>11.76</v>
      </c>
      <c r="H26" s="33">
        <f>IFERROR(F26/G26,"")</f>
        <v>12.755102040816327</v>
      </c>
      <c r="I26" s="28">
        <f>IFERROR(H26/60*'Parámetros'!$B$15,"")</f>
        <v>3.931049948069116</v>
      </c>
      <c r="J26" s="28" t="n">
        <v>0</v>
      </c>
      <c r="K26" s="32">
        <f>IFERROR(I26+J26,"")</f>
        <v>3.931049948069116</v>
      </c>
      <c r="L26" s="28">
        <f>'Escandallo por Molde y Tanda'!O89</f>
        <v>4.974489795918368</v>
      </c>
      <c r="M26" s="32">
        <f>IFERROR(K26+L26,"")</f>
        <v>8.905539743987484</v>
      </c>
      <c r="N26" s="10" t="n">
        <v>18.5</v>
      </c>
      <c r="O26" s="24">
        <f>'Parámetros'!$B$18</f>
        <v>0.1</v>
      </c>
      <c r="P26" s="28">
        <f>IFERROR(N26/(1+O26),"")</f>
        <v>16.818181818181817</v>
      </c>
      <c r="Q26" s="24">
        <f>IFERROR(L26/P26,"")</f>
        <v>0.29578047435190297</v>
      </c>
      <c r="R26" s="28">
        <f>IFERROR(P26-M26,"")</f>
        <v>7.912642074194332</v>
      </c>
      <c r="S26" s="24">
        <f>IFERROR(R26/P26,"")</f>
        <v>0.47048142062777115</v>
      </c>
      <c r="T26" s="28">
        <f>IFERROR(L26/'Parámetros'!$B$22,"")</f>
        <v>16.581632653061227</v>
      </c>
      <c r="U26" s="28">
        <f>IFERROR(T26*(1+O26),"")</f>
        <v>18.239795918367353</v>
      </c>
      <c r="V26" s="13" t="inlineStr">
        <is>
          <t>Cero real, no «sin dato»: esta referencia no lleva piezas terminadas dentro.</t>
        </is>
      </c>
    </row>
    <row r="27" ht="46" customHeight="1">
      <c r="A27" t="inlineStr">
        <is>
          <t>TF2</t>
        </is>
      </c>
      <c r="B27" s="5" t="inlineStr">
        <is>
          <t>Mona de Pascua de chocolate, 400 g</t>
        </is>
      </c>
      <c r="C27" s="17" t="n">
        <v>1</v>
      </c>
      <c r="D27" s="17" t="n">
        <v>6</v>
      </c>
      <c r="E27" s="12">
        <f>C27*D27</f>
        <v>6.0</v>
      </c>
      <c r="F27" s="17" t="n">
        <v>210</v>
      </c>
      <c r="G27" s="30">
        <f>IFERROR(E27*(1-'Merma de Templado y Recortes'!E27),"")</f>
        <v>5.88</v>
      </c>
      <c r="H27" s="33">
        <f>IFERROR(F27/G27,"")</f>
        <v>35.714285714285715</v>
      </c>
      <c r="I27" s="28">
        <f>IFERROR(H27/60*'Parámetros'!$B$15,"")</f>
        <v>11.006939854593524</v>
      </c>
      <c r="J27" s="28" t="n">
        <v>0</v>
      </c>
      <c r="K27" s="32">
        <f>IFERROR(I27+J27,"")</f>
        <v>11.006939854593524</v>
      </c>
      <c r="L27" s="28">
        <f>'Escandallo por Molde y Tanda'!O90</f>
        <v>7.814285714285715</v>
      </c>
      <c r="M27" s="32">
        <f>IFERROR(K27+L27,"")</f>
        <v>18.82122556887924</v>
      </c>
      <c r="N27" s="10" t="n">
        <v>26</v>
      </c>
      <c r="O27" s="24">
        <f>'Parámetros'!$B$18</f>
        <v>0.1</v>
      </c>
      <c r="P27" s="28">
        <f>IFERROR(N27/(1+O27),"")</f>
        <v>23.636363636363633</v>
      </c>
      <c r="Q27" s="24">
        <f>IFERROR(L27/P27,"")</f>
        <v>0.3306043956043957</v>
      </c>
      <c r="R27" s="28">
        <f>IFERROR(P27-M27,"")</f>
        <v>4.815138067484394</v>
      </c>
      <c r="S27" s="24">
        <f>IFERROR(R27/P27,"")</f>
        <v>0.20371737977818594</v>
      </c>
      <c r="T27" s="28">
        <f>IFERROR(L27/'Parámetros'!$B$22,"")</f>
        <v>26.04761904761905</v>
      </c>
      <c r="U27" s="28">
        <f>IFERROR(T27*(1+O27),"")</f>
        <v>28.65238095238096</v>
      </c>
      <c r="V27" s="13" t="inlineStr">
        <is>
          <t>Cero real, no «sin dato»: esta referencia no lleva piezas terminadas dentro.</t>
        </is>
      </c>
    </row>
    <row r="28" ht="46" customHeight="1">
      <c r="A28" t="inlineStr">
        <is>
          <t>TF3</t>
        </is>
      </c>
      <c r="B28" s="5" t="inlineStr">
        <is>
          <t>Hueso de santo banado en chocolate</t>
        </is>
      </c>
      <c r="C28" s="17" t="n">
        <v>30</v>
      </c>
      <c r="D28" s="17" t="n">
        <v>4</v>
      </c>
      <c r="E28" s="12">
        <f>C28*D28</f>
        <v>120.0</v>
      </c>
      <c r="F28" s="17" t="n">
        <v>170</v>
      </c>
      <c r="G28" s="30">
        <f>IFERROR(E28*(1-'Merma de Templado y Recortes'!E28),"")</f>
        <v>112.8</v>
      </c>
      <c r="H28" s="33">
        <f>IFERROR(F28/G28,"")</f>
        <v>1.5070921985815604</v>
      </c>
      <c r="I28" s="28">
        <f>IFERROR(H28/60*'Parámetros'!$B$15,"")</f>
        <v>0.46447724918320193</v>
      </c>
      <c r="J28" s="28" t="n">
        <v>0</v>
      </c>
      <c r="K28" s="32">
        <f>IFERROR(I28+J28,"")</f>
        <v>0.46447724918320193</v>
      </c>
      <c r="L28" s="28">
        <f>'Escandallo por Molde y Tanda'!O91</f>
        <v>0.27561542553191487</v>
      </c>
      <c r="M28" s="32">
        <f>IFERROR(K28+L28,"")</f>
        <v>0.7400926747151169</v>
      </c>
      <c r="N28" s="10" t="n">
        <v>1.6</v>
      </c>
      <c r="O28" s="24">
        <f>'Parámetros'!$B$18</f>
        <v>0.1</v>
      </c>
      <c r="P28" s="28">
        <f>IFERROR(N28/(1+O28),"")</f>
        <v>1.4545454545454546</v>
      </c>
      <c r="Q28" s="24">
        <f>IFERROR(L28/P28,"")</f>
        <v>0.18948560505319148</v>
      </c>
      <c r="R28" s="28">
        <f>IFERROR(P28-M28,"")</f>
        <v>0.7144527798303377</v>
      </c>
      <c r="S28" s="24">
        <f>IFERROR(R28/P28,"")</f>
        <v>0.4911862861333572</v>
      </c>
      <c r="T28" s="28">
        <f>IFERROR(L28/'Parámetros'!$B$22,"")</f>
        <v>0.918718085106383</v>
      </c>
      <c r="U28" s="28">
        <f>IFERROR(T28*(1+O28),"")</f>
        <v>1.0105898936170215</v>
      </c>
      <c r="V28" s="13" t="inlineStr">
        <is>
          <t>Cero real, no «sin dato»: esta referencia no lleva piezas terminadas dentro.</t>
        </is>
      </c>
    </row>
    <row r="29" ht="46" customHeight="1">
      <c r="A29" t="inlineStr">
        <is>
          <t>TF4</t>
        </is>
      </c>
      <c r="B29" s="5" t="inlineStr">
        <is>
          <t>Turron de chocolate con almendra, 250 g</t>
        </is>
      </c>
      <c r="C29" s="17" t="n">
        <v>4</v>
      </c>
      <c r="D29" s="17" t="n">
        <v>6</v>
      </c>
      <c r="E29" s="12">
        <f>C29*D29</f>
        <v>24.0</v>
      </c>
      <c r="F29" s="17" t="n">
        <v>120</v>
      </c>
      <c r="G29" s="30">
        <f>IFERROR(E29*(1-'Merma de Templado y Recortes'!E29),"")</f>
        <v>23.52</v>
      </c>
      <c r="H29" s="33">
        <f>IFERROR(F29/G29,"")</f>
        <v>5.1020408163265305</v>
      </c>
      <c r="I29" s="28">
        <f>IFERROR(H29/60*'Parámetros'!$B$15,"")</f>
        <v>1.5724199792276463</v>
      </c>
      <c r="J29" s="28" t="n">
        <v>0</v>
      </c>
      <c r="K29" s="32">
        <f>IFERROR(I29+J29,"")</f>
        <v>1.5724199792276463</v>
      </c>
      <c r="L29" s="28">
        <f>'Escandallo por Molde y Tanda'!O92</f>
        <v>4.936779591836735</v>
      </c>
      <c r="M29" s="32">
        <f>IFERROR(K29+L29,"")</f>
        <v>6.509199571064381</v>
      </c>
      <c r="N29" s="10" t="n">
        <v>13.5</v>
      </c>
      <c r="O29" s="24">
        <f>'Parámetros'!$B$18</f>
        <v>0.1</v>
      </c>
      <c r="P29" s="28">
        <f>IFERROR(N29/(1+O29),"")</f>
        <v>12.272727272727272</v>
      </c>
      <c r="Q29" s="24">
        <f>IFERROR(L29/P29,"")</f>
        <v>0.40225611489040064</v>
      </c>
      <c r="R29" s="28">
        <f>IFERROR(P29-M29,"")</f>
        <v>5.76352770166289</v>
      </c>
      <c r="S29" s="24">
        <f>IFERROR(R29/P29,"")</f>
        <v>0.4696207756910504</v>
      </c>
      <c r="T29" s="28">
        <f>IFERROR(L29/'Parámetros'!$B$22,"")</f>
        <v>16.455931972789116</v>
      </c>
      <c r="U29" s="28">
        <f>IFERROR(T29*(1+O29),"")</f>
        <v>18.10152517006803</v>
      </c>
      <c r="V29" s="13" t="inlineStr">
        <is>
          <t>Cero real, no «sin dato»: esta referencia no lleva piezas terminadas dentro.</t>
        </is>
      </c>
    </row>
    <row r="30" ht="46" customHeight="1">
      <c r="A30" t="inlineStr">
        <is>
          <t>TF5</t>
        </is>
      </c>
      <c r="B30" s="5" t="inlineStr">
        <is>
          <t>Almendras marcona banadas en chocolate, bolsa de 150 g</t>
        </is>
      </c>
      <c r="C30" s="17" t="n">
        <v>40</v>
      </c>
      <c r="D30" s="17" t="n">
        <v>1</v>
      </c>
      <c r="E30" s="12">
        <f>C30*D30</f>
        <v>40.0</v>
      </c>
      <c r="F30" s="17" t="n">
        <v>95</v>
      </c>
      <c r="G30" s="30">
        <f>IFERROR(E30*(1-'Merma de Templado y Recortes'!E30),"")</f>
        <v>39.2</v>
      </c>
      <c r="H30" s="33">
        <f>IFERROR(F30/G30,"")</f>
        <v>2.4234693877551017</v>
      </c>
      <c r="I30" s="28">
        <f>IFERROR(H30/60*'Parámetros'!$B$15,"")</f>
        <v>0.746899490133132</v>
      </c>
      <c r="J30" s="28" t="n">
        <v>0</v>
      </c>
      <c r="K30" s="32">
        <f>IFERROR(I30+J30,"")</f>
        <v>0.746899490133132</v>
      </c>
      <c r="L30" s="28">
        <f>'Escandallo por Molde y Tanda'!O93</f>
        <v>2.8269428571428574</v>
      </c>
      <c r="M30" s="32">
        <f>IFERROR(K30+L30,"")</f>
        <v>3.5738423472759893</v>
      </c>
      <c r="N30" s="10" t="n">
        <v>7.4</v>
      </c>
      <c r="O30" s="24">
        <f>'Parámetros'!$B$18</f>
        <v>0.1</v>
      </c>
      <c r="P30" s="28">
        <f>IFERROR(N30/(1+O30),"")</f>
        <v>6.727272727272727</v>
      </c>
      <c r="Q30" s="24">
        <f>IFERROR(L30/P30,"")</f>
        <v>0.4202212355212356</v>
      </c>
      <c r="R30" s="28">
        <f>IFERROR(P30-M30,"")</f>
        <v>3.1534303799967374</v>
      </c>
      <c r="S30" s="24">
        <f>IFERROR(R30/P30,"")</f>
        <v>0.46875316459410965</v>
      </c>
      <c r="T30" s="28">
        <f>IFERROR(L30/'Parámetros'!$B$22,"")</f>
        <v>9.423142857142858</v>
      </c>
      <c r="U30" s="28">
        <f>IFERROR(T30*(1+O30),"")</f>
        <v>10.365457142857146</v>
      </c>
      <c r="V30" s="13" t="inlineStr">
        <is>
          <t>Cero real, no «sin dato»: esta referencia no lleva piezas terminadas dentro.</t>
        </is>
      </c>
    </row>
    <row r="31" ht="46" customHeight="1">
      <c r="A31" t="inlineStr">
        <is>
          <t>CJ1</t>
        </is>
      </c>
      <c r="B31" s="5" t="inlineStr">
        <is>
          <t>Caja surtida de 12 bombones</t>
        </is>
      </c>
      <c r="C31" s="17" t="n">
        <v>1</v>
      </c>
      <c r="D31" s="17" t="n">
        <v>1</v>
      </c>
      <c r="E31" s="12">
        <f>C31*D31</f>
        <v>1.0</v>
      </c>
      <c r="F31" s="17" t="n">
        <v>4</v>
      </c>
      <c r="G31" s="30">
        <f>IFERROR(E31*(1-'Merma de Templado y Recortes'!E31),"")</f>
        <v>0.995</v>
      </c>
      <c r="H31" s="33">
        <f>IFERROR(F31/G31,"")</f>
        <v>4.0201005025125625</v>
      </c>
      <c r="I31" s="28">
        <f>IFERROR(H31/60*'Parámetros'!$B$15,"")</f>
        <v>1.2389721243361553</v>
      </c>
      <c r="J31" s="28">
        <f>'Unidad vs Caja'!C26</f>
        <v>3.9948842435203753</v>
      </c>
      <c r="K31" s="32">
        <f>IFERROR(I31+J31,"")</f>
        <v>5.23385636785653</v>
      </c>
      <c r="L31" s="28">
        <f>'Escandallo por Molde y Tanda'!O94</f>
        <v>2.334981351758794</v>
      </c>
      <c r="M31" s="32">
        <f>IFERROR(K31+L31,"")</f>
        <v>7.568837719615324</v>
      </c>
      <c r="N31" s="10" t="n">
        <v>20</v>
      </c>
      <c r="O31" s="24">
        <f>'Parámetros'!$B$18</f>
        <v>0.1</v>
      </c>
      <c r="P31" s="28">
        <f>IFERROR(N31/(1+O31),"")</f>
        <v>18.18181818181818</v>
      </c>
      <c r="Q31" s="24">
        <f>IFERROR(L31/P31,"")</f>
        <v>0.1284239743467337</v>
      </c>
      <c r="R31" s="28">
        <f>IFERROR(P31-M31,"")</f>
        <v>10.612980462202856</v>
      </c>
      <c r="S31" s="24">
        <f>IFERROR(R31/P31,"")</f>
        <v>0.5837139254211572</v>
      </c>
      <c r="T31" s="28">
        <f>IFERROR(L31/'Parámetros'!$B$22,"")</f>
        <v>7.7832711725293136</v>
      </c>
      <c r="U31" s="28">
        <f>IFERROR(T31*(1+O31),"")</f>
        <v>8.561598289782246</v>
      </c>
      <c r="V31" s="13" t="inlineStr">
        <is>
          <t>Una caja cuesta lo que cuesta montarla MÁS lo que cuesta hacer los bombones que lleva. La columna I es sólo el montaje; la J trae el trabajo de dentro desde la hoja «Unidad vs Caja». Sumar sólo el montaje infla el margen de la caja y es el error que hace vender cajas a pérdida.</t>
        </is>
      </c>
    </row>
    <row r="32" ht="46" customHeight="1">
      <c r="A32" t="inlineStr">
        <is>
          <t>CJ2</t>
        </is>
      </c>
      <c r="B32" s="5" t="inlineStr">
        <is>
          <t>Caja surtida de 20 bombones</t>
        </is>
      </c>
      <c r="C32" s="17" t="n">
        <v>1</v>
      </c>
      <c r="D32" s="17" t="n">
        <v>1</v>
      </c>
      <c r="E32" s="12">
        <f>C32*D32</f>
        <v>1.0</v>
      </c>
      <c r="F32" s="17" t="n">
        <v>6</v>
      </c>
      <c r="G32" s="30">
        <f>IFERROR(E32*(1-'Merma de Templado y Recortes'!E32),"")</f>
        <v>0.995</v>
      </c>
      <c r="H32" s="33">
        <f>IFERROR(F32/G32,"")</f>
        <v>6.030150753768845</v>
      </c>
      <c r="I32" s="28">
        <f>IFERROR(H32/60*'Parámetros'!$B$15,"")</f>
        <v>1.8584581865042333</v>
      </c>
      <c r="J32" s="28">
        <f>'Unidad vs Caja'!D26</f>
        <v>6.632459608564096</v>
      </c>
      <c r="K32" s="32">
        <f>IFERROR(I32+J32,"")</f>
        <v>8.490917795068329</v>
      </c>
      <c r="L32" s="28">
        <f>'Escandallo por Molde y Tanda'!O95</f>
        <v>4.022905271356784</v>
      </c>
      <c r="M32" s="32">
        <f>IFERROR(K32+L32,"")</f>
        <v>12.513823066425113</v>
      </c>
      <c r="N32" s="10" t="n">
        <v>28</v>
      </c>
      <c r="O32" s="24">
        <f>'Parámetros'!$B$18</f>
        <v>0.1</v>
      </c>
      <c r="P32" s="28">
        <f>IFERROR(N32/(1+O32),"")</f>
        <v>25.454545454545453</v>
      </c>
      <c r="Q32" s="24">
        <f>IFERROR(L32/P32,"")</f>
        <v>0.15804270708901652</v>
      </c>
      <c r="R32" s="28">
        <f>IFERROR(P32-M32,"")</f>
        <v>12.94072238812034</v>
      </c>
      <c r="S32" s="24">
        <f>IFERROR(R32/P32,"")</f>
        <v>0.508385522390442</v>
      </c>
      <c r="T32" s="28">
        <f>IFERROR(L32/'Parámetros'!$B$22,"")</f>
        <v>13.409684237855947</v>
      </c>
      <c r="U32" s="28">
        <f>IFERROR(T32*(1+O32),"")</f>
        <v>14.750652661641542</v>
      </c>
      <c r="V32" s="13" t="inlineStr">
        <is>
          <t>Una caja cuesta lo que cuesta montarla MÁS lo que cuesta hacer los bombones que lleva. La columna I es sólo el montaje; la J trae el trabajo de dentro desde la hoja «Unidad vs Caja». Sumar sólo el montaje infla el margen de la caja y es el error que hace vender cajas a pérdida.</t>
        </is>
      </c>
    </row>
    <row r="33" ht="46" customHeight="1">
      <c r="A33" t="inlineStr">
        <is>
          <t>CJ3</t>
        </is>
      </c>
      <c r="B33" s="5" t="inlineStr">
        <is>
          <t>Caja surtida de 35 bombones</t>
        </is>
      </c>
      <c r="C33" s="17" t="n">
        <v>1</v>
      </c>
      <c r="D33" s="17" t="n">
        <v>1</v>
      </c>
      <c r="E33" s="12">
        <f>C33*D33</f>
        <v>1.0</v>
      </c>
      <c r="F33" s="17" t="n">
        <v>9</v>
      </c>
      <c r="G33" s="30">
        <f>IFERROR(E33*(1-'Merma de Templado y Recortes'!E33),"")</f>
        <v>0.995</v>
      </c>
      <c r="H33" s="33">
        <f>IFERROR(F33/G33,"")</f>
        <v>9.045226130653266</v>
      </c>
      <c r="I33" s="28">
        <f>IFERROR(H33/60*'Parámetros'!$B$15,"")</f>
        <v>2.7876872797563497</v>
      </c>
      <c r="J33" s="28">
        <f>'Unidad vs Caja'!E26</f>
        <v>11.806727083900135</v>
      </c>
      <c r="K33" s="32">
        <f>IFERROR(I33+J33,"")</f>
        <v>14.594414363656485</v>
      </c>
      <c r="L33" s="28">
        <f>'Escandallo por Molde y Tanda'!O96</f>
        <v>6.944634864321608</v>
      </c>
      <c r="M33" s="32">
        <f>IFERROR(K33+L33,"")</f>
        <v>21.539049227978094</v>
      </c>
      <c r="N33" s="10" t="n">
        <v>45</v>
      </c>
      <c r="O33" s="24">
        <f>'Parámetros'!$B$18</f>
        <v>0.1</v>
      </c>
      <c r="P33" s="28">
        <f>IFERROR(N33/(1+O33),"")</f>
        <v>40.90909090909091</v>
      </c>
      <c r="Q33" s="24">
        <f>IFERROR(L33/P33,"")</f>
        <v>0.16975774112786154</v>
      </c>
      <c r="R33" s="28">
        <f>IFERROR(P33-M33,"")</f>
        <v>19.370041681112813</v>
      </c>
      <c r="S33" s="24">
        <f>IFERROR(R33/P33,"")</f>
        <v>0.47348990776053546</v>
      </c>
      <c r="T33" s="28">
        <f>IFERROR(L33/'Parámetros'!$B$22,"")</f>
        <v>23.148782881072027</v>
      </c>
      <c r="U33" s="28">
        <f>IFERROR(T33*(1+O33),"")</f>
        <v>25.463661169179233</v>
      </c>
      <c r="V33" s="13" t="inlineStr">
        <is>
          <t>Una caja cuesta lo que cuesta montarla MÁS lo que cuesta hacer los bombones que lleva. La columna I es sólo el montaje; la J trae el trabajo de dentro desde la hoja «Unidad vs Caja». Sumar sólo el montaje infla el margen de la caja y es el error que hace vender cajas a pérdida.</t>
        </is>
      </c>
    </row>
    <row r="34" ht="46" customHeight="1">
      <c r="A34" t="inlineStr">
        <is>
          <t>CJ4</t>
        </is>
      </c>
      <c r="B34" s="5" t="inlineStr">
        <is>
          <t>Estuche corporativo personalizado de 24 bombones</t>
        </is>
      </c>
      <c r="C34" s="17" t="n">
        <v>1</v>
      </c>
      <c r="D34" s="17" t="n">
        <v>1</v>
      </c>
      <c r="E34" s="12">
        <f>C34*D34</f>
        <v>1.0</v>
      </c>
      <c r="F34" s="17" t="n">
        <v>11</v>
      </c>
      <c r="G34" s="30">
        <f>IFERROR(E34*(1-'Merma de Templado y Recortes'!E34),"")</f>
        <v>0.995</v>
      </c>
      <c r="H34" s="33">
        <f>IFERROR(F34/G34,"")</f>
        <v>11.055276381909549</v>
      </c>
      <c r="I34" s="28">
        <f>IFERROR(H34/60*'Parámetros'!$B$15,"")</f>
        <v>3.4071733419244277</v>
      </c>
      <c r="J34" s="28">
        <f>'Unidad vs Caja'!F26</f>
        <v>7.98986511468716</v>
      </c>
      <c r="K34" s="32">
        <f>IFERROR(I34+J34,"")</f>
        <v>11.397038456611588</v>
      </c>
      <c r="L34" s="28">
        <f>'Escandallo por Molde y Tanda'!O97</f>
        <v>4.750197532663317</v>
      </c>
      <c r="M34" s="32">
        <f>IFERROR(K34+L34,"")</f>
        <v>16.147235989274904</v>
      </c>
      <c r="N34" s="10" t="n">
        <v>34</v>
      </c>
      <c r="O34" s="24">
        <f>'Parámetros'!$B$18</f>
        <v>0.1</v>
      </c>
      <c r="P34" s="28">
        <f>IFERROR(N34/(1+O34),"")</f>
        <v>30.909090909090907</v>
      </c>
      <c r="Q34" s="24">
        <f>IFERROR(L34/P34,"")</f>
        <v>0.15368286135087203</v>
      </c>
      <c r="R34" s="28">
        <f>IFERROR(P34-M34,"")</f>
        <v>14.761854919816003</v>
      </c>
      <c r="S34" s="24">
        <f>IFERROR(R34/P34,"")</f>
        <v>0.47758942387640013</v>
      </c>
      <c r="T34" s="28">
        <f>IFERROR(L34/'Parámetros'!$B$22,"")</f>
        <v>15.83399177554439</v>
      </c>
      <c r="U34" s="28">
        <f>IFERROR(T34*(1+O34),"")</f>
        <v>17.41739095309883</v>
      </c>
      <c r="V34" s="13" t="inlineStr">
        <is>
          <t>Una caja cuesta lo que cuesta montarla MÁS lo que cuesta hacer los bombones que lleva. La columna I es sólo el montaje; la J trae el trabajo de dentro desde la hoja «Unidad vs Caja». Sumar sólo el montaje infla el margen de la caja y es el error que hace vender cajas a pérdida.</t>
        </is>
      </c>
    </row>
    <row r="35">
      <c r="A35" s="14" t="inlineStr">
        <is>
          <t>Media de la carta</t>
        </is>
      </c>
      <c r="Q35" s="25">
        <f>IFERROR(AVERAGE(Q7:Q34),"")</f>
        <v>0.22972971649639032</v>
      </c>
      <c r="R35" s="32">
        <f>IFERROR(AVERAGE(R7:R34),"")</f>
        <v>4.240724639163859</v>
      </c>
      <c r="S35" s="25">
        <f>IFERROR(AVERAGE(S7:S34),"")</f>
        <v>0.5544702310053606</v>
      </c>
    </row>
    <row r="36"/>
    <row r="37" ht="40" customHeight="1">
      <c r="A37" s="13" t="inlineStr">
        <is>
          <t>La media de la última fila es una media SIMPLE de las 28 referencias y sirve para ver dispersión, no para decidir: el food cost que hay que mirar es el ponderado por lo que de verdad vendes, y ése lo calcula la hoja «Mix y Ticket Medio».</t>
        </is>
      </c>
    </row>
    <row r="38"/>
    <row r="39">
      <c r="A39"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conditionalFormatting sqref="Q7:Q34">
    <cfRule type="expression" priority="1" dxfId="0" stopIfTrue="1">
      <formula>=AND(ISNUMBER($Q7),$Q7&gt;'Parámetros'!$B$41)</formula>
    </cfRule>
  </conditionalFormatting>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44"/>
  <sheetViews>
    <sheetView workbookViewId="0">
      <pane ySplit="6" topLeftCell="A7" activePane="bottomLeft" state="frozen"/>
      <selection pane="bottomLeft" activeCell="A1" sqref="A1"/>
    </sheetView>
  </sheetViews>
  <sheetFormatPr baseColWidth="8" defaultRowHeight="15"/>
  <cols>
    <col width="58" customWidth="1" min="1" max="1"/>
    <col width="46" customWidth="1" min="2" max="2"/>
    <col width="16" customWidth="1" min="3" max="3"/>
    <col width="16" customWidth="1" min="4" max="4"/>
    <col width="16" customWidth="1" min="5" max="5"/>
    <col width="16" customWidth="1" min="6" max="6"/>
    <col width="14" customWidth="1" min="7" max="7"/>
    <col width="15" customWidth="1" min="8" max="8"/>
    <col width="15" customWidth="1" min="9" max="9"/>
    <col width="60" customWidth="1" min="10" max="10"/>
  </cols>
  <sheetData>
    <row r="1">
      <c r="A1" s="1" t="inlineStr">
        <is>
          <t>Unidad vs Caja</t>
        </is>
      </c>
    </row>
    <row r="2">
      <c r="A2" s="2" t="inlineStr">
        <is>
          <t>AI Chef Pro · aichef.pro — Cómo Montar una Chocolatería</t>
        </is>
      </c>
    </row>
    <row r="3">
      <c r="A3" s="3" t="inlineStr">
        <is>
          <t>La caja es la unidad de venta real de una bombonería, y por eso tiene hoja propia: el precio por bombón cae según crece la caja, y el trabajo de hacer esos bombones no desaparece.</t>
        </is>
      </c>
    </row>
    <row r="4"/>
    <row r="5">
      <c r="A5" s="4" t="inlineStr">
        <is>
          <t>Qué lleva dentro cada caja</t>
        </is>
      </c>
    </row>
    <row r="6" ht="56" customHeight="1">
      <c r="A6" s="8" t="inlineStr">
        <is>
          <t>Id</t>
        </is>
      </c>
      <c r="B6" s="8" t="inlineStr">
        <is>
          <t>Bombón</t>
        </is>
      </c>
      <c r="C6" s="8" t="inlineStr">
        <is>
          <t>Caja surtida de 12 bombones</t>
        </is>
      </c>
      <c r="D6" s="8" t="inlineStr">
        <is>
          <t>Caja surtida de 20 bombones</t>
        </is>
      </c>
      <c r="E6" s="8" t="inlineStr">
        <is>
          <t>Caja surtida de 35 bombones</t>
        </is>
      </c>
      <c r="F6" s="8" t="inlineStr">
        <is>
          <t>Estuche corporativo personalizado de 24 bombones</t>
        </is>
      </c>
      <c r="G6" s="8" t="inlineStr">
        <is>
          <t>PVP suelto con IVA (EUR)</t>
        </is>
      </c>
      <c r="H6" s="8" t="inlineStr">
        <is>
          <t>Coste de materia sin merma (EUR)</t>
        </is>
      </c>
      <c r="I6" s="8" t="inlineStr">
        <is>
          <t>Coste de mano de obra por pieza (EUR)</t>
        </is>
      </c>
      <c r="J6" s="8" t="inlineStr">
        <is>
          <t>Nota</t>
        </is>
      </c>
    </row>
    <row r="7" ht="34" customHeight="1">
      <c r="A7" t="inlineStr">
        <is>
          <t>BC1</t>
        </is>
      </c>
      <c r="B7" s="5" t="inlineStr">
        <is>
          <t>Bombon de ganache de chocolate negro 70 %</t>
        </is>
      </c>
      <c r="C7" s="17" t="n">
        <v>2</v>
      </c>
      <c r="D7" s="17" t="n">
        <v>3</v>
      </c>
      <c r="E7" s="17" t="n">
        <v>5</v>
      </c>
      <c r="F7" s="17" t="n">
        <v>3</v>
      </c>
      <c r="G7" s="11">
        <f>'Coste Hora y Mano de Obra'!N7</f>
        <v>2.0</v>
      </c>
      <c r="H7" s="28">
        <f>'Escandallo por Molde y Tanda'!M70</f>
        <v>0.21760603999999997</v>
      </c>
      <c r="I7" s="28">
        <f>'Coste Hora y Mano de Obra'!K7</f>
        <v>0.3419968425611104</v>
      </c>
      <c r="J7" s="13" t="inlineStr">
        <is>
          <t>Un cero aquí es un cero REAL: ese bombón no entra en esa caja. Cambia las cantidades y todo lo de abajo se mueve.</t>
        </is>
      </c>
    </row>
    <row r="8" ht="30" customHeight="1">
      <c r="A8" t="inlineStr">
        <is>
          <t>BC2</t>
        </is>
      </c>
      <c r="B8" s="5" t="inlineStr">
        <is>
          <t>Bombon de ganache de leche y vainilla</t>
        </is>
      </c>
      <c r="C8" s="17" t="n">
        <v>2</v>
      </c>
      <c r="D8" s="17" t="n">
        <v>3</v>
      </c>
      <c r="E8" s="17" t="n">
        <v>5</v>
      </c>
      <c r="F8" s="17" t="n">
        <v>3</v>
      </c>
      <c r="G8" s="11">
        <f>'Coste Hora y Mano de Obra'!N8</f>
        <v>1.95</v>
      </c>
      <c r="H8" s="28">
        <f>'Escandallo por Molde y Tanda'!M71</f>
        <v>0.19068400000000002</v>
      </c>
      <c r="I8" s="28">
        <f>'Coste Hora y Mano de Obra'!K8</f>
        <v>0.3419968425611104</v>
      </c>
    </row>
    <row r="9" ht="30" customHeight="1">
      <c r="A9" t="inlineStr">
        <is>
          <t>BC3</t>
        </is>
      </c>
      <c r="B9" s="5" t="inlineStr">
        <is>
          <t>Bombon de praline de avellana</t>
        </is>
      </c>
      <c r="C9" s="17" t="n">
        <v>2</v>
      </c>
      <c r="D9" s="17" t="n">
        <v>3</v>
      </c>
      <c r="E9" s="17" t="n">
        <v>5</v>
      </c>
      <c r="F9" s="17" t="n">
        <v>4</v>
      </c>
      <c r="G9" s="11">
        <f>'Coste Hora y Mano de Obra'!N9</f>
        <v>2.1</v>
      </c>
      <c r="H9" s="28">
        <f>'Escandallo por Molde y Tanda'!M72</f>
        <v>0.21344800000000003</v>
      </c>
      <c r="I9" s="28">
        <f>'Coste Hora y Mano de Obra'!K9</f>
        <v>0.30574832929426454</v>
      </c>
    </row>
    <row r="10" ht="30" customHeight="1">
      <c r="A10" t="inlineStr">
        <is>
          <t>BC4</t>
        </is>
      </c>
      <c r="B10" s="5" t="inlineStr">
        <is>
          <t>Bombon de gianduja de avellana</t>
        </is>
      </c>
      <c r="C10" s="17" t="n">
        <v>0</v>
      </c>
      <c r="D10" s="17" t="n">
        <v>2</v>
      </c>
      <c r="E10" s="17" t="n">
        <v>3</v>
      </c>
      <c r="F10" s="17" t="n">
        <v>2</v>
      </c>
      <c r="G10" s="11">
        <f>'Coste Hora y Mano de Obra'!N10</f>
        <v>2.1</v>
      </c>
      <c r="H10" s="28">
        <f>'Escandallo por Molde y Tanda'!M73</f>
        <v>0.2243435</v>
      </c>
      <c r="I10" s="28">
        <f>'Coste Hora y Mano de Obra'!K10</f>
        <v>0.34069099549932336</v>
      </c>
    </row>
    <row r="11" ht="30" customHeight="1">
      <c r="A11" t="inlineStr">
        <is>
          <t>BC5</t>
        </is>
      </c>
      <c r="B11" s="5" t="inlineStr">
        <is>
          <t>Trufa de chocolate negro al cacao</t>
        </is>
      </c>
      <c r="C11" s="17" t="n">
        <v>1</v>
      </c>
      <c r="D11" s="17" t="n">
        <v>3</v>
      </c>
      <c r="E11" s="17" t="n">
        <v>4</v>
      </c>
      <c r="F11" s="17" t="n">
        <v>3</v>
      </c>
      <c r="G11" s="11">
        <f>'Coste Hora y Mano de Obra'!N11</f>
        <v>1.9</v>
      </c>
      <c r="H11" s="28">
        <f>'Escandallo por Molde y Tanda'!M74</f>
        <v>0.21808513</v>
      </c>
      <c r="I11" s="28">
        <f>'Coste Hora y Mano de Obra'!K11</f>
        <v>0.24077680931923334</v>
      </c>
    </row>
    <row r="12" ht="30" customHeight="1">
      <c r="A12" t="inlineStr">
        <is>
          <t>BC6</t>
        </is>
      </c>
      <c r="B12" s="5" t="inlineStr">
        <is>
          <t>Bombon de licor de ron</t>
        </is>
      </c>
      <c r="C12" s="17" t="n">
        <v>0</v>
      </c>
      <c r="D12" s="17" t="n">
        <v>1</v>
      </c>
      <c r="E12" s="17" t="n">
        <v>2</v>
      </c>
      <c r="F12" s="17" t="n">
        <v>1</v>
      </c>
      <c r="G12" s="11">
        <f>'Coste Hora y Mano de Obra'!N12</f>
        <v>2.3</v>
      </c>
      <c r="H12" s="28">
        <f>'Escandallo por Molde y Tanda'!M75</f>
        <v>0.17288900000000001</v>
      </c>
      <c r="I12" s="28">
        <f>'Coste Hora y Mano de Obra'!K12</f>
        <v>0.48489774099012267</v>
      </c>
    </row>
    <row r="13" ht="30" customHeight="1">
      <c r="A13" t="inlineStr">
        <is>
          <t>BC7</t>
        </is>
      </c>
      <c r="B13" s="5" t="inlineStr">
        <is>
          <t>Bombon de caramelo salado</t>
        </is>
      </c>
      <c r="C13" s="17" t="n">
        <v>2</v>
      </c>
      <c r="D13" s="17" t="n">
        <v>2</v>
      </c>
      <c r="E13" s="17" t="n">
        <v>4</v>
      </c>
      <c r="F13" s="17" t="n">
        <v>3</v>
      </c>
      <c r="G13" s="11">
        <f>'Coste Hora y Mano de Obra'!N13</f>
        <v>2.0</v>
      </c>
      <c r="H13" s="28">
        <f>'Escandallo por Molde y Tanda'!M76</f>
        <v>0.1331798</v>
      </c>
      <c r="I13" s="28">
        <f>'Coste Hora y Mano de Obra'!K13</f>
        <v>0.33096468634946163</v>
      </c>
    </row>
    <row r="14" ht="30" customHeight="1">
      <c r="A14" t="inlineStr">
        <is>
          <t>BC8</t>
        </is>
      </c>
      <c r="B14" s="5" t="inlineStr">
        <is>
          <t>Bombon de praline de cacahuete</t>
        </is>
      </c>
      <c r="C14" s="17" t="n">
        <v>1</v>
      </c>
      <c r="D14" s="17" t="n">
        <v>1</v>
      </c>
      <c r="E14" s="17" t="n">
        <v>3</v>
      </c>
      <c r="F14" s="17" t="n">
        <v>2</v>
      </c>
      <c r="G14" s="11">
        <f>'Coste Hora y Mano de Obra'!N14</f>
        <v>1.95</v>
      </c>
      <c r="H14" s="28">
        <f>'Escandallo por Molde y Tanda'!M77</f>
        <v>0.186582</v>
      </c>
      <c r="I14" s="28">
        <f>'Coste Hora y Mano de Obra'!K14</f>
        <v>0.3537944953262204</v>
      </c>
    </row>
    <row r="15" ht="30" customHeight="1">
      <c r="A15" t="inlineStr">
        <is>
          <t>BC9</t>
        </is>
      </c>
      <c r="B15" s="5" t="inlineStr">
        <is>
          <t>Bombon crujiente de sesamo y barquillo</t>
        </is>
      </c>
      <c r="C15" s="17" t="n">
        <v>1</v>
      </c>
      <c r="D15" s="17" t="n">
        <v>1</v>
      </c>
      <c r="E15" s="17" t="n">
        <v>2</v>
      </c>
      <c r="F15" s="17" t="n">
        <v>2</v>
      </c>
      <c r="G15" s="11">
        <f>'Coste Hora y Mano de Obra'!N15</f>
        <v>2.05</v>
      </c>
      <c r="H15" s="28">
        <f>'Escandallo por Molde y Tanda'!M78</f>
        <v>0.190446</v>
      </c>
      <c r="I15" s="28">
        <f>'Coste Hora y Mano de Obra'!K15</f>
        <v>0.36689799515311744</v>
      </c>
    </row>
    <row r="16" ht="30" customHeight="1">
      <c r="A16" t="inlineStr">
        <is>
          <t>BC10</t>
        </is>
      </c>
      <c r="B16" s="5" t="inlineStr">
        <is>
          <t>Bombon de naranja confitada y chocolate negro</t>
        </is>
      </c>
      <c r="C16" s="17" t="n">
        <v>1</v>
      </c>
      <c r="D16" s="17" t="n">
        <v>1</v>
      </c>
      <c r="E16" s="17" t="n">
        <v>2</v>
      </c>
      <c r="F16" s="17" t="n">
        <v>1</v>
      </c>
      <c r="G16" s="11">
        <f>'Coste Hora y Mano de Obra'!N16</f>
        <v>2.05</v>
      </c>
      <c r="H16" s="28">
        <f>'Escandallo por Molde y Tanda'!M79</f>
        <v>0.218357635</v>
      </c>
      <c r="I16" s="28">
        <f>'Coste Hora y Mano de Obra'!K16</f>
        <v>0.3920015421899097</v>
      </c>
    </row>
    <row r="17"/>
    <row r="18">
      <c r="A18" s="4" t="inlineStr">
        <is>
          <t>Lo que sale de cada caja</t>
        </is>
      </c>
    </row>
    <row r="19" ht="26" customHeight="1">
      <c r="A19" s="5" t="inlineStr">
        <is>
          <t>Unidades que lleva la caja</t>
        </is>
      </c>
      <c r="C19" s="16">
        <f>SUM(C7:C16)</f>
        <v>12.0</v>
      </c>
      <c r="D19" s="16">
        <f>SUM(D7:D16)</f>
        <v>20.0</v>
      </c>
      <c r="E19" s="16">
        <f>SUM(E7:E16)</f>
        <v>35.0</v>
      </c>
      <c r="F19" s="16">
        <f>SUM(F7:F16)</f>
        <v>24.0</v>
      </c>
    </row>
    <row r="20" ht="26" customHeight="1">
      <c r="A20" s="5" t="inlineStr">
        <is>
          <t>Peso de chocolate de la caja (g)</t>
        </is>
      </c>
      <c r="C20" s="30">
        <f>SUMPRODUCT($C$7:$C$16,'Escandallo por Molde y Tanda'!$E$70:$E$79)</f>
        <v>62.5</v>
      </c>
      <c r="D20" s="30">
        <f>SUMPRODUCT($D$7:$D$16,'Escandallo por Molde y Tanda'!$E$70:$E$79)</f>
        <v>102.5</v>
      </c>
      <c r="E20" s="30">
        <f>SUMPRODUCT($E$7:$E$16,'Escandallo por Molde y Tanda'!$E$70:$E$79)</f>
        <v>181.0</v>
      </c>
      <c r="F20" s="30">
        <f>SUMPRODUCT($F$7:$F$16,'Escandallo por Molde y Tanda'!$E$70:$E$79)</f>
        <v>123.0</v>
      </c>
    </row>
    <row r="21" ht="26" customHeight="1">
      <c r="A21" s="5" t="inlineStr">
        <is>
          <t>Peso total de la caja (g)</t>
        </is>
      </c>
      <c r="C21" s="30">
        <f>SUMPRODUCT($C$7:$C$16,'Escandallo por Molde y Tanda'!$G$70:$G$79)</f>
        <v>145.0</v>
      </c>
      <c r="D21" s="30">
        <f>SUMPRODUCT($D$7:$D$16,'Escandallo por Molde y Tanda'!$G$70:$G$79)</f>
        <v>245.0</v>
      </c>
      <c r="E21" s="30">
        <f>SUMPRODUCT($E$7:$E$16,'Escandallo por Molde y Tanda'!$G$70:$G$79)</f>
        <v>428.0</v>
      </c>
      <c r="F21" s="30">
        <f>SUMPRODUCT($F$7:$F$16,'Escandallo por Molde y Tanda'!$G$70:$G$79)</f>
        <v>293.0</v>
      </c>
    </row>
    <row r="22" ht="26" customHeight="1">
      <c r="A22" s="5" t="inlineStr">
        <is>
          <t>Porcentaje de chocolate sobre el peso TOTAL</t>
        </is>
      </c>
      <c r="C22" s="24">
        <f>IFERROR(C20/C21,"")</f>
        <v>0.43103448275862066</v>
      </c>
      <c r="D22" s="24">
        <f>IFERROR(D20/D21,"")</f>
        <v>0.41836734693877553</v>
      </c>
      <c r="E22" s="24">
        <f>IFERROR(E20/E21,"")</f>
        <v>0.42289719626168226</v>
      </c>
      <c r="F22" s="24">
        <f>IFERROR(F20/F21,"")</f>
        <v>0.4197952218430034</v>
      </c>
    </row>
    <row r="23" ht="26" customHeight="1">
      <c r="A23" s="5" t="inlineStr">
        <is>
          <t>Coste de materia de las piezas, sin merma (EUR)</t>
        </is>
      </c>
      <c r="C23" s="28">
        <f>SUMPRODUCT($C$7:$C$16,$H$7:$H$16)</f>
        <v>2.323306445</v>
      </c>
      <c r="D23" s="28">
        <f>SUMPRODUCT($D$7:$D$16,$H$7:$H$16)</f>
        <v>4.0027907449999995</v>
      </c>
      <c r="E23" s="28">
        <f>SUMPRODUCT($E$7:$E$16,$H$7:$H$16)</f>
        <v>6.9099116899999995</v>
      </c>
      <c r="F23" s="28">
        <f>SUMPRODUCT($F$7:$F$16,$H$7:$H$16)</f>
        <v>4.726446545000001</v>
      </c>
    </row>
    <row r="24" ht="26" customHeight="1">
      <c r="A24" s="5" t="inlineStr">
        <is>
          <t>Coste de materia de la caja, con su merma de montaje (EUR)</t>
        </is>
      </c>
      <c r="C24" s="28">
        <f>IFERROR(C23/(1-'Merma de Templado y Recortes'!E31),"")</f>
        <v>2.334981351758794</v>
      </c>
      <c r="D24" s="28">
        <f>IFERROR(D23/(1-'Merma de Templado y Recortes'!E32),"")</f>
        <v>4.022905271356784</v>
      </c>
      <c r="E24" s="28">
        <f>IFERROR(E23/(1-'Merma de Templado y Recortes'!E33),"")</f>
        <v>6.944634864321608</v>
      </c>
      <c r="F24" s="28">
        <f>IFERROR(F23/(1-'Merma de Templado y Recortes'!E34),"")</f>
        <v>4.750197532663317</v>
      </c>
    </row>
    <row r="25" ht="26" customHeight="1">
      <c r="A25" s="5" t="inlineStr">
        <is>
          <t>Coste de materia de esos bombones vendidos sueltos, con su merma (EUR)</t>
        </is>
      </c>
      <c r="C25" s="28">
        <f>SUMPRODUCT($C$7:$C$16,'Escandallo por Molde y Tanda'!$O$70:$O$79)</f>
        <v>2.393785424560642</v>
      </c>
      <c r="D25" s="28">
        <f>SUMPRODUCT($D$7:$D$16,'Escandallo por Molde y Tanda'!$O$70:$O$79)</f>
        <v>4.124787679921291</v>
      </c>
      <c r="E25" s="28">
        <f>SUMPRODUCT($E$7:$E$16,'Escandallo por Molde y Tanda'!$O$70:$O$79)</f>
        <v>7.1179775475091445</v>
      </c>
      <c r="F25" s="28">
        <f>SUMPRODUCT($F$7:$F$16,'Escandallo por Molde y Tanda'!$O$70:$O$79)</f>
        <v>4.864612973420134</v>
      </c>
    </row>
    <row r="26" ht="26" customHeight="1">
      <c r="A26" s="5" t="inlineStr">
        <is>
          <t>Coste de mano de obra de las piezas que lleva dentro (EUR)</t>
        </is>
      </c>
      <c r="C26" s="28">
        <f>SUMPRODUCT($C$7:$C$16,$I$7:$I$16)</f>
        <v>3.9948842435203753</v>
      </c>
      <c r="D26" s="28">
        <f>SUMPRODUCT($D$7:$D$16,$I$7:$I$16)</f>
        <v>6.632459608564096</v>
      </c>
      <c r="E26" s="28">
        <f>SUMPRODUCT($E$7:$E$16,$I$7:$I$16)</f>
        <v>11.806727083900135</v>
      </c>
      <c r="F26" s="28">
        <f>SUMPRODUCT($F$7:$F$16,$I$7:$I$16)</f>
        <v>7.98986511468716</v>
      </c>
    </row>
    <row r="27" ht="26" customHeight="1">
      <c r="A27" s="5" t="inlineStr">
        <is>
          <t>Coste de mano de obra del montaje de la caja (EUR)</t>
        </is>
      </c>
      <c r="C27" s="28">
        <f>'Coste Hora y Mano de Obra'!I31</f>
        <v>1.2389721243361553</v>
      </c>
      <c r="D27" s="28">
        <f>'Coste Hora y Mano de Obra'!I32</f>
        <v>1.8584581865042333</v>
      </c>
      <c r="E27" s="28">
        <f>'Coste Hora y Mano de Obra'!I33</f>
        <v>2.7876872797563497</v>
      </c>
      <c r="F27" s="28">
        <f>'Coste Hora y Mano de Obra'!I34</f>
        <v>3.4071733419244277</v>
      </c>
    </row>
    <row r="28" ht="26" customHeight="1">
      <c r="A28" s="5" t="inlineStr">
        <is>
          <t>COSTE TOTAL DE LA CAJA (EUR)</t>
        </is>
      </c>
      <c r="C28" s="15">
        <f>IFERROR(C24+C26+C27,"")</f>
        <v>7.568837719615325</v>
      </c>
      <c r="D28" s="15">
        <f>IFERROR(D24+D26+D27,"")</f>
        <v>12.513823066425113</v>
      </c>
      <c r="E28" s="15">
        <f>IFERROR(E24+E26+E27,"")</f>
        <v>21.53904922797809</v>
      </c>
      <c r="F28" s="15">
        <f>IFERROR(F24+F26+F27,"")</f>
        <v>16.147235989274904</v>
      </c>
    </row>
    <row r="29" ht="26" customHeight="1">
      <c r="A29" s="5" t="inlineStr">
        <is>
          <t>PVP de la caja, con IVA (EUR)</t>
        </is>
      </c>
      <c r="C29" s="11">
        <f>'Coste Hora y Mano de Obra'!N31</f>
        <v>20.0</v>
      </c>
      <c r="D29" s="11">
        <f>'Coste Hora y Mano de Obra'!N32</f>
        <v>28.0</v>
      </c>
      <c r="E29" s="11">
        <f>'Coste Hora y Mano de Obra'!N33</f>
        <v>45.0</v>
      </c>
      <c r="F29" s="11">
        <f>'Coste Hora y Mano de Obra'!N34</f>
        <v>34.0</v>
      </c>
    </row>
    <row r="30" ht="26" customHeight="1">
      <c r="A30" s="5" t="inlineStr">
        <is>
          <t>PVP de la caja, sin IVA (EUR)</t>
        </is>
      </c>
      <c r="C30" s="11">
        <f>'Coste Hora y Mano de Obra'!P31</f>
        <v>18.18181818181818</v>
      </c>
      <c r="D30" s="11">
        <f>'Coste Hora y Mano de Obra'!P32</f>
        <v>25.454545454545453</v>
      </c>
      <c r="E30" s="11">
        <f>'Coste Hora y Mano de Obra'!P33</f>
        <v>40.90909090909091</v>
      </c>
      <c r="F30" s="11">
        <f>'Coste Hora y Mano de Obra'!P34</f>
        <v>30.909090909090907</v>
      </c>
    </row>
    <row r="31" ht="26" customHeight="1">
      <c r="A31" s="5" t="inlineStr">
        <is>
          <t>PVP de esos bombones vendidos sueltos, con IVA (EUR)</t>
        </is>
      </c>
      <c r="C31" s="11">
        <f>SUMPRODUCT($C$7:$C$16,$G$7:$G$16)</f>
        <v>24.050000000000004</v>
      </c>
      <c r="D31" s="11">
        <f>SUMPRODUCT($D$7:$D$16,$G$7:$G$16)</f>
        <v>40.39999999999999</v>
      </c>
      <c r="E31" s="11">
        <f>SUMPRODUCT($E$7:$E$16,$G$7:$G$16)</f>
        <v>70.79999999999998</v>
      </c>
      <c r="F31" s="11">
        <f>SUMPRODUCT($F$7:$F$16,$G$7:$G$16)</f>
        <v>48.5</v>
      </c>
    </row>
    <row r="32" ht="26" customHeight="1">
      <c r="A32" s="5" t="inlineStr">
        <is>
          <t>PVP de esos bombones vendidos sueltos, sin IVA (EUR)</t>
        </is>
      </c>
      <c r="C32" s="11">
        <f>IFERROR(C31/(1+'Coste Hora y Mano de Obra'!O31),"")</f>
        <v>21.863636363636367</v>
      </c>
      <c r="D32" s="11">
        <f>IFERROR(D31/(1+'Coste Hora y Mano de Obra'!O32),"")</f>
        <v>36.72727272727272</v>
      </c>
      <c r="E32" s="11">
        <f>IFERROR(E31/(1+'Coste Hora y Mano de Obra'!O33),"")</f>
        <v>64.36363636363635</v>
      </c>
      <c r="F32" s="11">
        <f>IFERROR(F31/(1+'Coste Hora y Mano de Obra'!O34),"")</f>
        <v>44.090909090909086</v>
      </c>
    </row>
    <row r="33" ht="26" customHeight="1">
      <c r="A33" s="5" t="inlineStr">
        <is>
          <t>Precio por bombón EN CAJA, con IVA (EUR)</t>
        </is>
      </c>
      <c r="C33" s="11">
        <f>IFERROR(C29/C19,"")</f>
        <v>1.6666666666666667</v>
      </c>
      <c r="D33" s="11">
        <f>IFERROR(D29/D19,"")</f>
        <v>1.4</v>
      </c>
      <c r="E33" s="11">
        <f>IFERROR(E29/E19,"")</f>
        <v>1.2857142857142858</v>
      </c>
      <c r="F33" s="11">
        <f>IFERROR(F29/F19,"")</f>
        <v>1.4166666666666667</v>
      </c>
    </row>
    <row r="34" ht="26" customHeight="1">
      <c r="A34" s="5" t="inlineStr">
        <is>
          <t>Precio por bombón SUELTO, con IVA (EUR)</t>
        </is>
      </c>
      <c r="C34" s="11">
        <f>IFERROR(C31/C19,"")</f>
        <v>2.004166666666667</v>
      </c>
      <c r="D34" s="11">
        <f>IFERROR(D31/D19,"")</f>
        <v>2.0199999999999996</v>
      </c>
      <c r="E34" s="11">
        <f>IFERROR(E31/E19,"")</f>
        <v>2.0228571428571422</v>
      </c>
      <c r="F34" s="11">
        <f>IFERROR(F31/F19,"")</f>
        <v>2.0208333333333335</v>
      </c>
    </row>
    <row r="35" ht="26" customHeight="1">
      <c r="A35" s="5" t="inlineStr">
        <is>
          <t>Descuento que le haces al cliente por comprar la caja</t>
        </is>
      </c>
      <c r="C35" s="24">
        <f>IFERROR(1-C33/C34,"")</f>
        <v>0.16839916839916846</v>
      </c>
      <c r="D35" s="24">
        <f>IFERROR(1-D33/D34,"")</f>
        <v>0.30693069306930687</v>
      </c>
      <c r="E35" s="24">
        <f>IFERROR(1-E33/E34,"")</f>
        <v>0.36440677966101676</v>
      </c>
      <c r="F35" s="24">
        <f>IFERROR(1-F33/F34,"")</f>
        <v>0.2989690721649485</v>
      </c>
    </row>
    <row r="36" ht="26" customHeight="1">
      <c r="A36" s="5" t="inlineStr">
        <is>
          <t>Contraste de mercado: EUR por bombón publicado (CHS-29)</t>
        </is>
      </c>
      <c r="C36" s="11" t="n">
        <v>1.67</v>
      </c>
      <c r="D36" s="11" t="n">
        <v>1.4</v>
      </c>
      <c r="E36" s="11" t="n">
        <v>1.29</v>
      </c>
      <c r="F36" t="inlineStr">
        <is>
          <t>sin dato publicado</t>
        </is>
      </c>
    </row>
    <row r="37" ht="26" customHeight="1">
      <c r="A37" s="5" t="inlineStr">
        <is>
          <t>MARGEN DE LA CAJA (EUR)</t>
        </is>
      </c>
      <c r="C37" s="15">
        <f>IFERROR(C30-C28,"")</f>
        <v>10.612980462202856</v>
      </c>
      <c r="D37" s="15">
        <f>IFERROR(D30-D28,"")</f>
        <v>12.94072238812034</v>
      </c>
      <c r="E37" s="15">
        <f>IFERROR(E30-E28,"")</f>
        <v>19.370041681112816</v>
      </c>
      <c r="F37" s="15">
        <f>IFERROR(F30-F28,"")</f>
        <v>14.761854919816003</v>
      </c>
    </row>
    <row r="38" ht="26" customHeight="1">
      <c r="A38" s="5" t="inlineStr">
        <is>
          <t>Margen vendiendo esos mismos bombones sueltos (EUR)</t>
        </is>
      </c>
      <c r="C38" s="11">
        <f>IFERROR(C32-C25-C26,"")</f>
        <v>15.474966695555352</v>
      </c>
      <c r="D38" s="11">
        <f>IFERROR(D32-D25-D26,"")</f>
        <v>25.97002543878733</v>
      </c>
      <c r="E38" s="11">
        <f>IFERROR(E32-E25-E26,"")</f>
        <v>45.43893173222707</v>
      </c>
      <c r="F38" s="11">
        <f>IFERROR(F32-F25-F26,"")</f>
        <v>31.23643100280179</v>
      </c>
    </row>
    <row r="39" ht="26" customHeight="1">
      <c r="A39" s="5" t="inlineStr">
        <is>
          <t>Diferencia de margen: la caja menos el suelto (EUR)</t>
        </is>
      </c>
      <c r="C39" s="15">
        <f>IFERROR(C37-C38,"")</f>
        <v>-4.861986233352496</v>
      </c>
      <c r="D39" s="15">
        <f>IFERROR(D37-D38,"")</f>
        <v>-13.029303050666991</v>
      </c>
      <c r="E39" s="15">
        <f>IFERROR(E37-E38,"")</f>
        <v>-26.068890051114252</v>
      </c>
      <c r="F39" s="15">
        <f>IFERROR(F37-F38,"")</f>
        <v>-16.474576082985788</v>
      </c>
    </row>
    <row r="40" ht="26" customHeight="1">
      <c r="A40" s="5" t="inlineStr">
        <is>
          <t>Veredicto</t>
        </is>
      </c>
      <c r="C40" s="14" t="str">
        <f>IF(OR(NOT(ISNUMBER(C39)),NOT(ISNUMBER(C37))),"",IF(C37&lt;=0,"La caja te cuesta dinero: su margen es cero o negativo",IF(C39&gt;=0,"La caja te gana dinero: deja más que vender esos bombones sueltos","Ganas MENOS que vendiendo sueltos: es un descuento, decide si lo quieres")))</f>
        <v>Ganas MENOS que vendiendo sueltos: es un descuento, decide si lo quieres</v>
      </c>
      <c r="D40" s="14" t="str">
        <f>IF(OR(NOT(ISNUMBER(D39)),NOT(ISNUMBER(D37))),"",IF(D37&lt;=0,"La caja te cuesta dinero: su margen es cero o negativo",IF(D39&gt;=0,"La caja te gana dinero: deja más que vender esos bombones sueltos","Ganas MENOS que vendiendo sueltos: es un descuento, decide si lo quieres")))</f>
        <v>Ganas MENOS que vendiendo sueltos: es un descuento, decide si lo quieres</v>
      </c>
      <c r="E40" s="14" t="str">
        <f>IF(OR(NOT(ISNUMBER(E39)),NOT(ISNUMBER(E37))),"",IF(E37&lt;=0,"La caja te cuesta dinero: su margen es cero o negativo",IF(E39&gt;=0,"La caja te gana dinero: deja más que vender esos bombones sueltos","Ganas MENOS que vendiendo sueltos: es un descuento, decide si lo quieres")))</f>
        <v>Ganas MENOS que vendiendo sueltos: es un descuento, decide si lo quieres</v>
      </c>
      <c r="F40" s="14" t="str">
        <f>IF(OR(NOT(ISNUMBER(F39)),NOT(ISNUMBER(F37))),"",IF(F37&lt;=0,"La caja te cuesta dinero: su margen es cero o negativo",IF(F39&gt;=0,"La caja te gana dinero: deja más que vender esos bombones sueltos","Ganas MENOS que vendiendo sueltos: es un descuento, decide si lo quieres")))</f>
        <v>Ganas MENOS que vendiendo sueltos: es un descuento, decide si lo quieres</v>
      </c>
    </row>
    <row r="41"/>
    <row r="42" ht="62" customHeight="1">
      <c r="A42" s="13" t="inlineStr">
        <is>
          <t>El contraste de mercado de la fila «EUR por bombón publicado» no es tu precio: es lo que se ve en el escaparate de otra casa, con IVA, y baja del formato pequeño al grande. Sirve para saber si tu descuento por caja se parece al del mercado, no para copiarlo. Y el estuche corporativo no tiene contraste publicado: se presupuesta por pedido, con su plazo mínimo de 14 días desde que el cliente aprueba la muestra.</t>
        </is>
      </c>
    </row>
    <row r="43"/>
    <row r="44">
      <c r="A44"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conditionalFormatting sqref="C39:F39">
    <cfRule type="expression" priority="1" dxfId="0" stopIfTrue="1">
      <formula>=AND(ISNUMBER(C$39),C$39&lt;0)</formula>
    </cfRule>
  </conditionalFormatting>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L55"/>
  <sheetViews>
    <sheetView workbookViewId="0">
      <pane ySplit="6" topLeftCell="A7" activePane="bottomLeft" state="frozen"/>
      <selection pane="bottomLeft" activeCell="A1" sqref="A1"/>
    </sheetView>
  </sheetViews>
  <sheetFormatPr baseColWidth="8" defaultRowHeight="15"/>
  <cols>
    <col width="56" customWidth="1" min="1" max="1"/>
    <col width="46" customWidth="1" min="2" max="2"/>
    <col width="24" customWidth="1" min="3" max="3"/>
    <col width="13" customWidth="1" min="4" max="4"/>
    <col width="13" customWidth="1" min="5" max="5"/>
    <col width="12" customWidth="1" min="6" max="6"/>
    <col width="12" customWidth="1" min="7" max="7"/>
    <col width="14" customWidth="1" min="8" max="8"/>
    <col width="14" customWidth="1" min="9" max="9"/>
    <col width="14" customWidth="1" min="10" max="10"/>
    <col width="13" customWidth="1" min="11" max="11"/>
    <col width="62" customWidth="1" min="12" max="12"/>
  </cols>
  <sheetData>
    <row r="1">
      <c r="A1" s="1" t="inlineStr">
        <is>
          <t>Mix y Ticket Medio</t>
        </is>
      </c>
    </row>
    <row r="2">
      <c r="A2" s="2" t="inlineStr">
        <is>
          <t>AI Chef Pro · aichef.pro — Cómo Montar una Chocolatería</t>
        </is>
      </c>
    </row>
    <row r="3">
      <c r="A3" s="3" t="inlineStr">
        <is>
          <t>Dos mixes, porque en julio y en agosto no se vende lo mismo: el turista no compra ganache, compra souvenir que viaja. Los dos tienen que sumar 100 %.</t>
        </is>
      </c>
    </row>
    <row r="4"/>
    <row r="5"/>
    <row r="6" ht="60" customHeight="1">
      <c r="A6" s="8" t="inlineStr">
        <is>
          <t>Id</t>
        </is>
      </c>
      <c r="B6" s="8" t="inlineStr">
        <is>
          <t>Referencia</t>
        </is>
      </c>
      <c r="C6" s="8" t="inlineStr">
        <is>
          <t>Familia</t>
        </is>
      </c>
      <c r="D6" s="8" t="inlineStr">
        <is>
          <t>Mix de todo el año (%)</t>
        </is>
      </c>
      <c r="E6" s="8" t="inlineStr">
        <is>
          <t>Mix de julio y agosto (%)</t>
        </is>
      </c>
      <c r="F6" s="8" t="inlineStr">
        <is>
          <t>PVP con IVA (EUR)</t>
        </is>
      </c>
      <c r="G6" s="8" t="inlineStr">
        <is>
          <t>PVP sin IVA (EUR)</t>
        </is>
      </c>
      <c r="H6" s="8" t="inlineStr">
        <is>
          <t>Coste de materia con merma (EUR)</t>
        </is>
      </c>
      <c r="I6" s="8" t="inlineStr">
        <is>
          <t>Aportación al PVP medio del año (EUR)</t>
        </is>
      </c>
      <c r="J6" s="8" t="inlineStr">
        <is>
          <t>Aportación al PVP medio de julio y agosto (EUR)</t>
        </is>
      </c>
      <c r="K6" s="8" t="inlineStr">
        <is>
          <t>Unidades al año</t>
        </is>
      </c>
      <c r="L6" s="8" t="inlineStr">
        <is>
          <t>Nota</t>
        </is>
      </c>
    </row>
    <row r="7" ht="26" customHeight="1">
      <c r="A7" t="inlineStr">
        <is>
          <t>BC1</t>
        </is>
      </c>
      <c r="B7" s="5" t="inlineStr">
        <is>
          <t>Bombon de ganache de chocolate negro 70 %</t>
        </is>
      </c>
      <c r="C7" t="inlineStr">
        <is>
          <t>Bombones de coleccion</t>
        </is>
      </c>
      <c r="D7" s="9" t="n">
        <v>6</v>
      </c>
      <c r="E7" s="9" t="n">
        <v>2</v>
      </c>
      <c r="F7" s="11">
        <f>'Coste Hora y Mano de Obra'!N7</f>
        <v>2.0</v>
      </c>
      <c r="G7" s="28">
        <f>'Coste Hora y Mano de Obra'!P7</f>
        <v>1.8181818181818181</v>
      </c>
      <c r="H7" s="28">
        <f>'Coste Hora y Mano de Obra'!L7</f>
        <v>0.22433612371134018</v>
      </c>
      <c r="I7" s="28">
        <f>IFERROR(F7*D7/100,"")</f>
        <v>0.12</v>
      </c>
      <c r="J7" s="28">
        <f>IFERROR(F7*E7/100,"")</f>
        <v>0.04</v>
      </c>
      <c r="K7" s="12">
        <f>IFERROR('Parámetros'!$B$38*D7/100,"")</f>
        <v>1710.912</v>
      </c>
    </row>
    <row r="8" ht="26" customHeight="1">
      <c r="A8" t="inlineStr">
        <is>
          <t>BC2</t>
        </is>
      </c>
      <c r="B8" s="5" t="inlineStr">
        <is>
          <t>Bombon de ganache de leche y vainilla</t>
        </is>
      </c>
      <c r="C8" t="inlineStr">
        <is>
          <t>Bombones de coleccion</t>
        </is>
      </c>
      <c r="D8" s="9" t="n">
        <v>5</v>
      </c>
      <c r="E8" s="9" t="n">
        <v>4</v>
      </c>
      <c r="F8" s="11">
        <f>'Coste Hora y Mano de Obra'!N8</f>
        <v>1.95</v>
      </c>
      <c r="G8" s="28">
        <f>'Coste Hora y Mano de Obra'!P8</f>
        <v>1.7727272727272725</v>
      </c>
      <c r="H8" s="28">
        <f>'Coste Hora y Mano de Obra'!L8</f>
        <v>0.1965814432989691</v>
      </c>
      <c r="I8" s="28">
        <f>IFERROR(F8*D8/100,"")</f>
        <v>0.0975</v>
      </c>
      <c r="J8" s="28">
        <f>IFERROR(F8*E8/100,"")</f>
        <v>0.078</v>
      </c>
      <c r="K8" s="12">
        <f>IFERROR('Parámetros'!$B$38*D8/100,"")</f>
        <v>1425.76</v>
      </c>
    </row>
    <row r="9" ht="26" customHeight="1">
      <c r="A9" t="inlineStr">
        <is>
          <t>BC3</t>
        </is>
      </c>
      <c r="B9" s="5" t="inlineStr">
        <is>
          <t>Bombon de praline de avellana</t>
        </is>
      </c>
      <c r="C9" t="inlineStr">
        <is>
          <t>Bombones de coleccion</t>
        </is>
      </c>
      <c r="D9" s="9" t="n">
        <v>6</v>
      </c>
      <c r="E9" s="9" t="n">
        <v>5</v>
      </c>
      <c r="F9" s="11">
        <f>'Coste Hora y Mano de Obra'!N9</f>
        <v>2.1</v>
      </c>
      <c r="G9" s="28">
        <f>'Coste Hora y Mano de Obra'!P9</f>
        <v>1.909090909090909</v>
      </c>
      <c r="H9" s="28">
        <f>'Coste Hora y Mano de Obra'!L9</f>
        <v>0.21780408163265308</v>
      </c>
      <c r="I9" s="28">
        <f>IFERROR(F9*D9/100,"")</f>
        <v>0.126</v>
      </c>
      <c r="J9" s="28">
        <f>IFERROR(F9*E9/100,"")</f>
        <v>0.105</v>
      </c>
      <c r="K9" s="12">
        <f>IFERROR('Parámetros'!$B$38*D9/100,"")</f>
        <v>1710.912</v>
      </c>
    </row>
    <row r="10" ht="26" customHeight="1">
      <c r="A10" t="inlineStr">
        <is>
          <t>BC4</t>
        </is>
      </c>
      <c r="B10" s="5" t="inlineStr">
        <is>
          <t>Bombon de gianduja de avellana</t>
        </is>
      </c>
      <c r="C10" t="inlineStr">
        <is>
          <t>Bombones de coleccion</t>
        </is>
      </c>
      <c r="D10" s="9" t="n">
        <v>4</v>
      </c>
      <c r="E10" s="9" t="n">
        <v>3</v>
      </c>
      <c r="F10" s="11">
        <f>'Coste Hora y Mano de Obra'!N10</f>
        <v>2.1</v>
      </c>
      <c r="G10" s="28">
        <f>'Coste Hora y Mano de Obra'!P10</f>
        <v>1.909090909090909</v>
      </c>
      <c r="H10" s="28">
        <f>'Coste Hora y Mano de Obra'!L10</f>
        <v>0.2289219387755102</v>
      </c>
      <c r="I10" s="28">
        <f>IFERROR(F10*D10/100,"")</f>
        <v>0.084</v>
      </c>
      <c r="J10" s="28">
        <f>IFERROR(F10*E10/100,"")</f>
        <v>0.063</v>
      </c>
      <c r="K10" s="12">
        <f>IFERROR('Parámetros'!$B$38*D10/100,"")</f>
        <v>1140.608</v>
      </c>
    </row>
    <row r="11" ht="26" customHeight="1">
      <c r="A11" t="inlineStr">
        <is>
          <t>BC5</t>
        </is>
      </c>
      <c r="B11" s="5" t="inlineStr">
        <is>
          <t>Trufa de chocolate negro al cacao</t>
        </is>
      </c>
      <c r="C11" t="inlineStr">
        <is>
          <t>Bombones de coleccion</t>
        </is>
      </c>
      <c r="D11" s="9" t="n">
        <v>5</v>
      </c>
      <c r="E11" s="9" t="n">
        <v>2</v>
      </c>
      <c r="F11" s="11">
        <f>'Coste Hora y Mano de Obra'!N11</f>
        <v>1.9</v>
      </c>
      <c r="G11" s="28">
        <f>'Coste Hora y Mano de Obra'!P11</f>
        <v>1.727272727272727</v>
      </c>
      <c r="H11" s="28">
        <f>'Coste Hora y Mano de Obra'!L11</f>
        <v>0.22717201041666665</v>
      </c>
      <c r="I11" s="28">
        <f>IFERROR(F11*D11/100,"")</f>
        <v>0.095</v>
      </c>
      <c r="J11" s="28">
        <f>IFERROR(F11*E11/100,"")</f>
        <v>0.038</v>
      </c>
      <c r="K11" s="12">
        <f>IFERROR('Parámetros'!$B$38*D11/100,"")</f>
        <v>1425.76</v>
      </c>
    </row>
    <row r="12" ht="26" customHeight="1">
      <c r="A12" t="inlineStr">
        <is>
          <t>BC6</t>
        </is>
      </c>
      <c r="B12" s="5" t="inlineStr">
        <is>
          <t>Bombon de licor de ron</t>
        </is>
      </c>
      <c r="C12" t="inlineStr">
        <is>
          <t>Bombones de coleccion</t>
        </is>
      </c>
      <c r="D12" s="9" t="n">
        <v>3</v>
      </c>
      <c r="E12" s="9" t="n">
        <v>3</v>
      </c>
      <c r="F12" s="11">
        <f>'Coste Hora y Mano de Obra'!N12</f>
        <v>2.3</v>
      </c>
      <c r="G12" s="28">
        <f>'Coste Hora y Mano de Obra'!P12</f>
        <v>2.0909090909090904</v>
      </c>
      <c r="H12" s="28">
        <f>'Coste Hora y Mano de Obra'!L12</f>
        <v>0.18009270833333335</v>
      </c>
      <c r="I12" s="28">
        <f>IFERROR(F12*D12/100,"")</f>
        <v>0.06899999999999999</v>
      </c>
      <c r="J12" s="28">
        <f>IFERROR(F12*E12/100,"")</f>
        <v>0.06899999999999999</v>
      </c>
      <c r="K12" s="12">
        <f>IFERROR('Parámetros'!$B$38*D12/100,"")</f>
        <v>855.456</v>
      </c>
    </row>
    <row r="13" ht="26" customHeight="1">
      <c r="A13" t="inlineStr">
        <is>
          <t>BC7</t>
        </is>
      </c>
      <c r="B13" s="5" t="inlineStr">
        <is>
          <t>Bombon de caramelo salado</t>
        </is>
      </c>
      <c r="C13" t="inlineStr">
        <is>
          <t>Bombones de coleccion</t>
        </is>
      </c>
      <c r="D13" s="9" t="n">
        <v>4</v>
      </c>
      <c r="E13" s="9" t="n">
        <v>2</v>
      </c>
      <c r="F13" s="11">
        <f>'Coste Hora y Mano de Obra'!N13</f>
        <v>2.0</v>
      </c>
      <c r="G13" s="28">
        <f>'Coste Hora y Mano de Obra'!P13</f>
        <v>1.8181818181818181</v>
      </c>
      <c r="H13" s="28">
        <f>'Coste Hora y Mano de Obra'!L13</f>
        <v>0.13729876288659792</v>
      </c>
      <c r="I13" s="28">
        <f>IFERROR(F13*D13/100,"")</f>
        <v>0.08</v>
      </c>
      <c r="J13" s="28">
        <f>IFERROR(F13*E13/100,"")</f>
        <v>0.04</v>
      </c>
      <c r="K13" s="12">
        <f>IFERROR('Parámetros'!$B$38*D13/100,"")</f>
        <v>1140.608</v>
      </c>
    </row>
    <row r="14" ht="26" customHeight="1">
      <c r="A14" t="inlineStr">
        <is>
          <t>BC8</t>
        </is>
      </c>
      <c r="B14" s="5" t="inlineStr">
        <is>
          <t>Bombon de praline de cacahuete</t>
        </is>
      </c>
      <c r="C14" t="inlineStr">
        <is>
          <t>Bombones de coleccion</t>
        </is>
      </c>
      <c r="D14" s="9" t="n">
        <v>3</v>
      </c>
      <c r="E14" s="9" t="n">
        <v>3</v>
      </c>
      <c r="F14" s="11">
        <f>'Coste Hora y Mano de Obra'!N14</f>
        <v>1.95</v>
      </c>
      <c r="G14" s="28">
        <f>'Coste Hora y Mano de Obra'!P14</f>
        <v>1.7727272727272725</v>
      </c>
      <c r="H14" s="28">
        <f>'Coste Hora y Mano de Obra'!L14</f>
        <v>0.19038979591836735</v>
      </c>
      <c r="I14" s="28">
        <f>IFERROR(F14*D14/100,"")</f>
        <v>0.058499999999999996</v>
      </c>
      <c r="J14" s="28">
        <f>IFERROR(F14*E14/100,"")</f>
        <v>0.058499999999999996</v>
      </c>
      <c r="K14" s="12">
        <f>IFERROR('Parámetros'!$B$38*D14/100,"")</f>
        <v>855.456</v>
      </c>
    </row>
    <row r="15" ht="26" customHeight="1">
      <c r="A15" t="inlineStr">
        <is>
          <t>BC9</t>
        </is>
      </c>
      <c r="B15" s="5" t="inlineStr">
        <is>
          <t>Bombon crujiente de sesamo y barquillo</t>
        </is>
      </c>
      <c r="C15" t="inlineStr">
        <is>
          <t>Bombones de coleccion</t>
        </is>
      </c>
      <c r="D15" s="9" t="n">
        <v>3</v>
      </c>
      <c r="E15" s="9" t="n">
        <v>3</v>
      </c>
      <c r="F15" s="11">
        <f>'Coste Hora y Mano de Obra'!N15</f>
        <v>2.05</v>
      </c>
      <c r="G15" s="28">
        <f>'Coste Hora y Mano de Obra'!P15</f>
        <v>1.8636363636363633</v>
      </c>
      <c r="H15" s="28">
        <f>'Coste Hora y Mano de Obra'!L15</f>
        <v>0.1943326530612245</v>
      </c>
      <c r="I15" s="28">
        <f>IFERROR(F15*D15/100,"")</f>
        <v>0.06149999999999999</v>
      </c>
      <c r="J15" s="28">
        <f>IFERROR(F15*E15/100,"")</f>
        <v>0.06149999999999999</v>
      </c>
      <c r="K15" s="12">
        <f>IFERROR('Parámetros'!$B$38*D15/100,"")</f>
        <v>855.456</v>
      </c>
    </row>
    <row r="16" ht="26" customHeight="1">
      <c r="A16" t="inlineStr">
        <is>
          <t>BC10</t>
        </is>
      </c>
      <c r="B16" s="5" t="inlineStr">
        <is>
          <t>Bombon de naranja confitada y chocolate negro</t>
        </is>
      </c>
      <c r="C16" t="inlineStr">
        <is>
          <t>Bombones de coleccion</t>
        </is>
      </c>
      <c r="D16" s="9" t="n">
        <v>3</v>
      </c>
      <c r="E16" s="9" t="n">
        <v>3</v>
      </c>
      <c r="F16" s="11">
        <f>'Coste Hora y Mano de Obra'!N16</f>
        <v>2.05</v>
      </c>
      <c r="G16" s="28">
        <f>'Coste Hora y Mano de Obra'!P16</f>
        <v>1.8636363636363633</v>
      </c>
      <c r="H16" s="28">
        <f>'Coste Hora y Mano de Obra'!L16</f>
        <v>0.22985014210526317</v>
      </c>
      <c r="I16" s="28">
        <f>IFERROR(F16*D16/100,"")</f>
        <v>0.06149999999999999</v>
      </c>
      <c r="J16" s="28">
        <f>IFERROR(F16*E16/100,"")</f>
        <v>0.06149999999999999</v>
      </c>
      <c r="K16" s="12">
        <f>IFERROR('Parámetros'!$B$38*D16/100,"")</f>
        <v>855.456</v>
      </c>
    </row>
    <row r="17" ht="26" customHeight="1">
      <c r="A17" t="inlineStr">
        <is>
          <t>TB1</t>
        </is>
      </c>
      <c r="B17" s="5" t="inlineStr">
        <is>
          <t>Tableta de chocolate negro de origen 70 %, 100 g</t>
        </is>
      </c>
      <c r="C17" t="inlineStr">
        <is>
          <t>Tabletas</t>
        </is>
      </c>
      <c r="D17" s="9" t="n">
        <v>7</v>
      </c>
      <c r="E17" s="9" t="n">
        <v>11</v>
      </c>
      <c r="F17" s="11">
        <f>'Coste Hora y Mano de Obra'!N17</f>
        <v>8.5</v>
      </c>
      <c r="G17" s="28">
        <f>'Coste Hora y Mano de Obra'!P17</f>
        <v>7.727272727272727</v>
      </c>
      <c r="H17" s="28">
        <f>'Coste Hora y Mano de Obra'!L17</f>
        <v>3.785858585858586</v>
      </c>
      <c r="I17" s="28">
        <f>IFERROR(F17*D17/100,"")</f>
        <v>0.595</v>
      </c>
      <c r="J17" s="28">
        <f>IFERROR(F17*E17/100,"")</f>
        <v>0.935</v>
      </c>
      <c r="K17" s="12">
        <f>IFERROR('Parámetros'!$B$38*D17/100,"")</f>
        <v>1996.0639999999999</v>
      </c>
    </row>
    <row r="18" ht="26" customHeight="1">
      <c r="A18" t="inlineStr">
        <is>
          <t>TB2</t>
        </is>
      </c>
      <c r="B18" s="5" t="inlineStr">
        <is>
          <t>Tableta de chocolate con leche 38 %, 100 g</t>
        </is>
      </c>
      <c r="C18" t="inlineStr">
        <is>
          <t>Tabletas</t>
        </is>
      </c>
      <c r="D18" s="9" t="n">
        <v>6</v>
      </c>
      <c r="E18" s="9" t="n">
        <v>9</v>
      </c>
      <c r="F18" s="11">
        <f>'Coste Hora y Mano de Obra'!N18</f>
        <v>5.9</v>
      </c>
      <c r="G18" s="28">
        <f>'Coste Hora y Mano de Obra'!P18</f>
        <v>5.363636363636363</v>
      </c>
      <c r="H18" s="28">
        <f>'Coste Hora y Mano de Obra'!L18</f>
        <v>1.96969696969697</v>
      </c>
      <c r="I18" s="28">
        <f>IFERROR(F18*D18/100,"")</f>
        <v>0.35400000000000004</v>
      </c>
      <c r="J18" s="28">
        <f>IFERROR(F18*E18/100,"")</f>
        <v>0.531</v>
      </c>
      <c r="K18" s="12">
        <f>IFERROR('Parámetros'!$B$38*D18/100,"")</f>
        <v>1710.912</v>
      </c>
    </row>
    <row r="19" ht="26" customHeight="1">
      <c r="A19" t="inlineStr">
        <is>
          <t>TB3</t>
        </is>
      </c>
      <c r="B19" s="5" t="inlineStr">
        <is>
          <t>Tableta de chocolate blanco 30 %, 100 g</t>
        </is>
      </c>
      <c r="C19" t="inlineStr">
        <is>
          <t>Tabletas</t>
        </is>
      </c>
      <c r="D19" s="9" t="n">
        <v>4</v>
      </c>
      <c r="E19" s="9" t="n">
        <v>6</v>
      </c>
      <c r="F19" s="11">
        <f>'Coste Hora y Mano de Obra'!N19</f>
        <v>5.9</v>
      </c>
      <c r="G19" s="28">
        <f>'Coste Hora y Mano de Obra'!P19</f>
        <v>5.363636363636363</v>
      </c>
      <c r="H19" s="28">
        <f>'Coste Hora y Mano de Obra'!L19</f>
        <v>2.121212121212121</v>
      </c>
      <c r="I19" s="28">
        <f>IFERROR(F19*D19/100,"")</f>
        <v>0.23600000000000002</v>
      </c>
      <c r="J19" s="28">
        <f>IFERROR(F19*E19/100,"")</f>
        <v>0.35400000000000004</v>
      </c>
      <c r="K19" s="12">
        <f>IFERROR('Parámetros'!$B$38*D19/100,"")</f>
        <v>1140.608</v>
      </c>
    </row>
    <row r="20" ht="26" customHeight="1">
      <c r="A20" t="inlineStr">
        <is>
          <t>TB4</t>
        </is>
      </c>
      <c r="B20" s="5" t="inlineStr">
        <is>
          <t>Tableta de chocolate negro con almendra marcona, 100 g</t>
        </is>
      </c>
      <c r="C20" t="inlineStr">
        <is>
          <t>Tabletas</t>
        </is>
      </c>
      <c r="D20" s="9" t="n">
        <v>5</v>
      </c>
      <c r="E20" s="9" t="n">
        <v>8</v>
      </c>
      <c r="F20" s="11">
        <f>'Coste Hora y Mano de Obra'!N20</f>
        <v>6.5</v>
      </c>
      <c r="G20" s="28">
        <f>'Coste Hora y Mano de Obra'!P20</f>
        <v>5.909090909090908</v>
      </c>
      <c r="H20" s="28">
        <f>'Coste Hora y Mano de Obra'!L20</f>
        <v>2.088723469387755</v>
      </c>
      <c r="I20" s="28">
        <f>IFERROR(F20*D20/100,"")</f>
        <v>0.325</v>
      </c>
      <c r="J20" s="28">
        <f>IFERROR(F20*E20/100,"")</f>
        <v>0.52</v>
      </c>
      <c r="K20" s="12">
        <f>IFERROR('Parámetros'!$B$38*D20/100,"")</f>
        <v>1425.76</v>
      </c>
    </row>
    <row r="21" ht="26" customHeight="1">
      <c r="A21" t="inlineStr">
        <is>
          <t>TB5</t>
        </is>
      </c>
      <c r="B21" s="5" t="inlineStr">
        <is>
          <t>Tableta de chocolate con leche y avellana, 100 g</t>
        </is>
      </c>
      <c r="C21" t="inlineStr">
        <is>
          <t>Tabletas</t>
        </is>
      </c>
      <c r="D21" s="9" t="n">
        <v>4</v>
      </c>
      <c r="E21" s="9" t="n">
        <v>6</v>
      </c>
      <c r="F21" s="11">
        <f>'Coste Hora y Mano de Obra'!N21</f>
        <v>6.5</v>
      </c>
      <c r="G21" s="28">
        <f>'Coste Hora y Mano de Obra'!P21</f>
        <v>5.909090909090908</v>
      </c>
      <c r="H21" s="28">
        <f>'Coste Hora y Mano de Obra'!L21</f>
        <v>1.8755102040816327</v>
      </c>
      <c r="I21" s="28">
        <f>IFERROR(F21*D21/100,"")</f>
        <v>0.26</v>
      </c>
      <c r="J21" s="28">
        <f>IFERROR(F21*E21/100,"")</f>
        <v>0.39</v>
      </c>
      <c r="K21" s="12">
        <f>IFERROR('Parámetros'!$B$38*D21/100,"")</f>
        <v>1140.608</v>
      </c>
    </row>
    <row r="22" ht="26" customHeight="1">
      <c r="A22" t="inlineStr">
        <is>
          <t>TB6</t>
        </is>
      </c>
      <c r="B22" s="5" t="inlineStr">
        <is>
          <t>Tableta rellena de praline, 100 g</t>
        </is>
      </c>
      <c r="C22" t="inlineStr">
        <is>
          <t>Tabletas</t>
        </is>
      </c>
      <c r="D22" s="9" t="n">
        <v>3</v>
      </c>
      <c r="E22" s="9" t="n">
        <v>4</v>
      </c>
      <c r="F22" s="11">
        <f>'Coste Hora y Mano de Obra'!N22</f>
        <v>7.5</v>
      </c>
      <c r="G22" s="28">
        <f>'Coste Hora y Mano de Obra'!P22</f>
        <v>6.8181818181818175</v>
      </c>
      <c r="H22" s="28">
        <f>'Coste Hora y Mano de Obra'!L22</f>
        <v>1.8539690721649487</v>
      </c>
      <c r="I22" s="28">
        <f>IFERROR(F22*D22/100,"")</f>
        <v>0.225</v>
      </c>
      <c r="J22" s="28">
        <f>IFERROR(F22*E22/100,"")</f>
        <v>0.3</v>
      </c>
      <c r="K22" s="12">
        <f>IFERROR('Parámetros'!$B$38*D22/100,"")</f>
        <v>855.456</v>
      </c>
    </row>
    <row r="23" ht="26" customHeight="1">
      <c r="A23" t="inlineStr">
        <is>
          <t>CT1</t>
        </is>
      </c>
      <c r="B23" s="5" t="inlineStr">
        <is>
          <t>Tableta de chocolate a la taza, 200 g</t>
        </is>
      </c>
      <c r="C23" t="inlineStr">
        <is>
          <t>Chocolate a la taza</t>
        </is>
      </c>
      <c r="D23" s="9" t="n">
        <v>3</v>
      </c>
      <c r="E23" s="9" t="n">
        <v>1</v>
      </c>
      <c r="F23" s="11">
        <f>'Coste Hora y Mano de Obra'!N23</f>
        <v>6.5</v>
      </c>
      <c r="G23" s="28">
        <f>'Coste Hora y Mano de Obra'!P23</f>
        <v>5.909090909090908</v>
      </c>
      <c r="H23" s="28">
        <f>'Coste Hora y Mano de Obra'!L23</f>
        <v>2.362989898989899</v>
      </c>
      <c r="I23" s="28">
        <f>IFERROR(F23*D23/100,"")</f>
        <v>0.195</v>
      </c>
      <c r="J23" s="28">
        <f>IFERROR(F23*E23/100,"")</f>
        <v>0.065</v>
      </c>
      <c r="K23" s="12">
        <f>IFERROR('Parámetros'!$B$38*D23/100,"")</f>
        <v>855.456</v>
      </c>
    </row>
    <row r="24" ht="26" customHeight="1">
      <c r="A24" t="inlineStr">
        <is>
          <t>CT2</t>
        </is>
      </c>
      <c r="B24" s="5" t="inlineStr">
        <is>
          <t>Caja de 6 sobres monodosis de chocolate a la taza</t>
        </is>
      </c>
      <c r="C24" t="inlineStr">
        <is>
          <t>Chocolate a la taza</t>
        </is>
      </c>
      <c r="D24" s="9" t="n">
        <v>2</v>
      </c>
      <c r="E24" s="9" t="n">
        <v>0.5</v>
      </c>
      <c r="F24" s="11">
        <f>'Coste Hora y Mano de Obra'!N24</f>
        <v>7.8</v>
      </c>
      <c r="G24" s="28">
        <f>'Coste Hora y Mano de Obra'!P24</f>
        <v>7.09090909090909</v>
      </c>
      <c r="H24" s="28">
        <f>'Coste Hora y Mano de Obra'!L24</f>
        <v>2.1266909090909087</v>
      </c>
      <c r="I24" s="28">
        <f>IFERROR(F24*D24/100,"")</f>
        <v>0.156</v>
      </c>
      <c r="J24" s="28">
        <f>IFERROR(F24*E24/100,"")</f>
        <v>0.039</v>
      </c>
      <c r="K24" s="12">
        <f>IFERROR('Parámetros'!$B$38*D24/100,"")</f>
        <v>570.304</v>
      </c>
    </row>
    <row r="25" ht="26" customHeight="1">
      <c r="A25" t="inlineStr">
        <is>
          <t>CT3</t>
        </is>
      </c>
      <c r="B25" s="5" t="inlineStr">
        <is>
          <t>Chocolate a la taza servido en sala, 200 ml</t>
        </is>
      </c>
      <c r="C25" t="inlineStr">
        <is>
          <t>Chocolate a la taza</t>
        </is>
      </c>
      <c r="D25" s="9" t="n">
        <v>3</v>
      </c>
      <c r="E25" s="9" t="n">
        <v>0.5</v>
      </c>
      <c r="F25" s="11">
        <f>'Coste Hora y Mano de Obra'!N25</f>
        <v>3.2</v>
      </c>
      <c r="G25" s="28">
        <f>'Coste Hora y Mano de Obra'!P25</f>
        <v>2.909090909090909</v>
      </c>
      <c r="H25" s="28">
        <f>'Coste Hora y Mano de Obra'!L25</f>
        <v>0.5599531914893616</v>
      </c>
      <c r="I25" s="28">
        <f>IFERROR(F25*D25/100,"")</f>
        <v>0.09600000000000002</v>
      </c>
      <c r="J25" s="28">
        <f>IFERROR(F25*E25/100,"")</f>
        <v>0.016</v>
      </c>
      <c r="K25" s="12">
        <f>IFERROR('Parámetros'!$B$38*D25/100,"")</f>
        <v>855.456</v>
      </c>
    </row>
    <row r="26" ht="26" customHeight="1">
      <c r="A26" t="inlineStr">
        <is>
          <t>TF1</t>
        </is>
      </c>
      <c r="B26" s="5" t="inlineStr">
        <is>
          <t>Huevo de Pascua de chocolate con leche, 250 g</t>
        </is>
      </c>
      <c r="C26" t="inlineStr">
        <is>
          <t>Turrones, figuras y temporada</t>
        </is>
      </c>
      <c r="D26" s="9" t="n">
        <v>2</v>
      </c>
      <c r="E26" s="9" t="n">
        <v>0</v>
      </c>
      <c r="F26" s="11">
        <f>'Coste Hora y Mano de Obra'!N26</f>
        <v>18.5</v>
      </c>
      <c r="G26" s="28">
        <f>'Coste Hora y Mano de Obra'!P26</f>
        <v>16.818181818181817</v>
      </c>
      <c r="H26" s="28">
        <f>'Coste Hora y Mano de Obra'!L26</f>
        <v>4.974489795918368</v>
      </c>
      <c r="I26" s="28">
        <f>IFERROR(F26*D26/100,"")</f>
        <v>0.37</v>
      </c>
      <c r="J26" s="28">
        <f>IFERROR(F26*E26/100,"")</f>
        <v>0.0</v>
      </c>
      <c r="K26" s="12">
        <f>IFERROR('Parámetros'!$B$38*D26/100,"")</f>
        <v>570.304</v>
      </c>
    </row>
    <row r="27" ht="26" customHeight="1">
      <c r="A27" t="inlineStr">
        <is>
          <t>TF2</t>
        </is>
      </c>
      <c r="B27" s="5" t="inlineStr">
        <is>
          <t>Mona de Pascua de chocolate, 400 g</t>
        </is>
      </c>
      <c r="C27" t="inlineStr">
        <is>
          <t>Turrones, figuras y temporada</t>
        </is>
      </c>
      <c r="D27" s="9" t="n">
        <v>1.5</v>
      </c>
      <c r="E27" s="9" t="n">
        <v>0</v>
      </c>
      <c r="F27" s="11">
        <f>'Coste Hora y Mano de Obra'!N27</f>
        <v>26.0</v>
      </c>
      <c r="G27" s="28">
        <f>'Coste Hora y Mano de Obra'!P27</f>
        <v>23.636363636363633</v>
      </c>
      <c r="H27" s="28">
        <f>'Coste Hora y Mano de Obra'!L27</f>
        <v>7.814285714285715</v>
      </c>
      <c r="I27" s="28">
        <f>IFERROR(F27*D27/100,"")</f>
        <v>0.39</v>
      </c>
      <c r="J27" s="28">
        <f>IFERROR(F27*E27/100,"")</f>
        <v>0.0</v>
      </c>
      <c r="K27" s="12">
        <f>IFERROR('Parámetros'!$B$38*D27/100,"")</f>
        <v>427.728</v>
      </c>
    </row>
    <row r="28" ht="26" customHeight="1">
      <c r="A28" t="inlineStr">
        <is>
          <t>TF3</t>
        </is>
      </c>
      <c r="B28" s="5" t="inlineStr">
        <is>
          <t>Hueso de santo banado en chocolate</t>
        </is>
      </c>
      <c r="C28" t="inlineStr">
        <is>
          <t>Turrones, figuras y temporada</t>
        </is>
      </c>
      <c r="D28" s="9" t="n">
        <v>1</v>
      </c>
      <c r="E28" s="9" t="n">
        <v>0</v>
      </c>
      <c r="F28" s="11">
        <f>'Coste Hora y Mano de Obra'!N28</f>
        <v>1.6</v>
      </c>
      <c r="G28" s="28">
        <f>'Coste Hora y Mano de Obra'!P28</f>
        <v>1.4545454545454546</v>
      </c>
      <c r="H28" s="28">
        <f>'Coste Hora y Mano de Obra'!L28</f>
        <v>0.27561542553191487</v>
      </c>
      <c r="I28" s="28">
        <f>IFERROR(F28*D28/100,"")</f>
        <v>0.016</v>
      </c>
      <c r="J28" s="28">
        <f>IFERROR(F28*E28/100,"")</f>
        <v>0.0</v>
      </c>
      <c r="K28" s="12">
        <f>IFERROR('Parámetros'!$B$38*D28/100,"")</f>
        <v>285.152</v>
      </c>
    </row>
    <row r="29" ht="26" customHeight="1">
      <c r="A29" t="inlineStr">
        <is>
          <t>TF4</t>
        </is>
      </c>
      <c r="B29" s="5" t="inlineStr">
        <is>
          <t>Turron de chocolate con almendra, 250 g</t>
        </is>
      </c>
      <c r="C29" t="inlineStr">
        <is>
          <t>Turrones, figuras y temporada</t>
        </is>
      </c>
      <c r="D29" s="9" t="n">
        <v>2</v>
      </c>
      <c r="E29" s="9" t="n">
        <v>1</v>
      </c>
      <c r="F29" s="11">
        <f>'Coste Hora y Mano de Obra'!N29</f>
        <v>13.5</v>
      </c>
      <c r="G29" s="28">
        <f>'Coste Hora y Mano de Obra'!P29</f>
        <v>12.272727272727272</v>
      </c>
      <c r="H29" s="28">
        <f>'Coste Hora y Mano de Obra'!L29</f>
        <v>4.936779591836735</v>
      </c>
      <c r="I29" s="28">
        <f>IFERROR(F29*D29/100,"")</f>
        <v>0.27</v>
      </c>
      <c r="J29" s="28">
        <f>IFERROR(F29*E29/100,"")</f>
        <v>0.135</v>
      </c>
      <c r="K29" s="12">
        <f>IFERROR('Parámetros'!$B$38*D29/100,"")</f>
        <v>570.304</v>
      </c>
    </row>
    <row r="30" ht="26" customHeight="1">
      <c r="A30" t="inlineStr">
        <is>
          <t>TF5</t>
        </is>
      </c>
      <c r="B30" s="5" t="inlineStr">
        <is>
          <t>Almendras marcona banadas en chocolate, bolsa de 150 g</t>
        </is>
      </c>
      <c r="C30" t="inlineStr">
        <is>
          <t>Turrones, figuras y temporada</t>
        </is>
      </c>
      <c r="D30" s="9" t="n">
        <v>3.5</v>
      </c>
      <c r="E30" s="9" t="n">
        <v>8</v>
      </c>
      <c r="F30" s="11">
        <f>'Coste Hora y Mano de Obra'!N30</f>
        <v>7.4</v>
      </c>
      <c r="G30" s="28">
        <f>'Coste Hora y Mano de Obra'!P30</f>
        <v>6.727272727272727</v>
      </c>
      <c r="H30" s="28">
        <f>'Coste Hora y Mano de Obra'!L30</f>
        <v>2.8269428571428574</v>
      </c>
      <c r="I30" s="28">
        <f>IFERROR(F30*D30/100,"")</f>
        <v>0.259</v>
      </c>
      <c r="J30" s="28">
        <f>IFERROR(F30*E30/100,"")</f>
        <v>0.5920000000000001</v>
      </c>
      <c r="K30" s="12">
        <f>IFERROR('Parámetros'!$B$38*D30/100,"")</f>
        <v>998.0319999999999</v>
      </c>
    </row>
    <row r="31" ht="26" customHeight="1">
      <c r="A31" t="inlineStr">
        <is>
          <t>CJ1</t>
        </is>
      </c>
      <c r="B31" s="5" t="inlineStr">
        <is>
          <t>Caja surtida de 12 bombones</t>
        </is>
      </c>
      <c r="C31" t="inlineStr">
        <is>
          <t>Cajas y regalo</t>
        </is>
      </c>
      <c r="D31" s="9" t="n">
        <v>5</v>
      </c>
      <c r="E31" s="9" t="n">
        <v>7</v>
      </c>
      <c r="F31" s="11">
        <f>'Coste Hora y Mano de Obra'!N31</f>
        <v>20.0</v>
      </c>
      <c r="G31" s="28">
        <f>'Coste Hora y Mano de Obra'!P31</f>
        <v>18.18181818181818</v>
      </c>
      <c r="H31" s="28">
        <f>'Coste Hora y Mano de Obra'!L31</f>
        <v>2.334981351758794</v>
      </c>
      <c r="I31" s="28">
        <f>IFERROR(F31*D31/100,"")</f>
        <v>1.0</v>
      </c>
      <c r="J31" s="28">
        <f>IFERROR(F31*E31/100,"")</f>
        <v>1.4</v>
      </c>
      <c r="K31" s="12">
        <f>IFERROR('Parámetros'!$B$38*D31/100,"")</f>
        <v>1425.76</v>
      </c>
    </row>
    <row r="32" ht="26" customHeight="1">
      <c r="A32" t="inlineStr">
        <is>
          <t>CJ2</t>
        </is>
      </c>
      <c r="B32" s="5" t="inlineStr">
        <is>
          <t>Caja surtida de 20 bombones</t>
        </is>
      </c>
      <c r="C32" t="inlineStr">
        <is>
          <t>Cajas y regalo</t>
        </is>
      </c>
      <c r="D32" s="9" t="n">
        <v>3</v>
      </c>
      <c r="E32" s="9" t="n">
        <v>5</v>
      </c>
      <c r="F32" s="11">
        <f>'Coste Hora y Mano de Obra'!N32</f>
        <v>28.0</v>
      </c>
      <c r="G32" s="28">
        <f>'Coste Hora y Mano de Obra'!P32</f>
        <v>25.454545454545453</v>
      </c>
      <c r="H32" s="28">
        <f>'Coste Hora y Mano de Obra'!L32</f>
        <v>4.022905271356784</v>
      </c>
      <c r="I32" s="28">
        <f>IFERROR(F32*D32/100,"")</f>
        <v>0.84</v>
      </c>
      <c r="J32" s="28">
        <f>IFERROR(F32*E32/100,"")</f>
        <v>1.4</v>
      </c>
      <c r="K32" s="12">
        <f>IFERROR('Parámetros'!$B$38*D32/100,"")</f>
        <v>855.456</v>
      </c>
    </row>
    <row r="33" ht="26" customHeight="1">
      <c r="A33" t="inlineStr">
        <is>
          <t>CJ3</t>
        </is>
      </c>
      <c r="B33" s="5" t="inlineStr">
        <is>
          <t>Caja surtida de 35 bombones</t>
        </is>
      </c>
      <c r="C33" t="inlineStr">
        <is>
          <t>Cajas y regalo</t>
        </is>
      </c>
      <c r="D33" s="9" t="n">
        <v>2</v>
      </c>
      <c r="E33" s="9" t="n">
        <v>2</v>
      </c>
      <c r="F33" s="11">
        <f>'Coste Hora y Mano de Obra'!N33</f>
        <v>45.0</v>
      </c>
      <c r="G33" s="28">
        <f>'Coste Hora y Mano de Obra'!P33</f>
        <v>40.90909090909091</v>
      </c>
      <c r="H33" s="28">
        <f>'Coste Hora y Mano de Obra'!L33</f>
        <v>6.944634864321608</v>
      </c>
      <c r="I33" s="28">
        <f>IFERROR(F33*D33/100,"")</f>
        <v>0.9</v>
      </c>
      <c r="J33" s="28">
        <f>IFERROR(F33*E33/100,"")</f>
        <v>0.9</v>
      </c>
      <c r="K33" s="12">
        <f>IFERROR('Parámetros'!$B$38*D33/100,"")</f>
        <v>570.304</v>
      </c>
    </row>
    <row r="34" ht="26" customHeight="1">
      <c r="A34" t="inlineStr">
        <is>
          <t>CJ4</t>
        </is>
      </c>
      <c r="B34" s="5" t="inlineStr">
        <is>
          <t>Estuche corporativo personalizado de 24 bombones</t>
        </is>
      </c>
      <c r="C34" t="inlineStr">
        <is>
          <t>Cajas y regalo</t>
        </is>
      </c>
      <c r="D34" s="9" t="n">
        <v>1</v>
      </c>
      <c r="E34" s="9" t="n">
        <v>1</v>
      </c>
      <c r="F34" s="11">
        <f>'Coste Hora y Mano de Obra'!N34</f>
        <v>34.0</v>
      </c>
      <c r="G34" s="28">
        <f>'Coste Hora y Mano de Obra'!P34</f>
        <v>30.909090909090907</v>
      </c>
      <c r="H34" s="28">
        <f>'Coste Hora y Mano de Obra'!L34</f>
        <v>4.750197532663317</v>
      </c>
      <c r="I34" s="28">
        <f>IFERROR(F34*D34/100,"")</f>
        <v>0.34</v>
      </c>
      <c r="J34" s="28">
        <f>IFERROR(F34*E34/100,"")</f>
        <v>0.34</v>
      </c>
      <c r="K34" s="12">
        <f>IFERROR('Parámetros'!$B$38*D34/100,"")</f>
        <v>285.152</v>
      </c>
    </row>
    <row r="35">
      <c r="A35" s="14" t="inlineStr">
        <is>
          <t>TOTAL</t>
        </is>
      </c>
      <c r="D35" s="34">
        <f>SUM(D7:D34)</f>
        <v>100.0</v>
      </c>
      <c r="E35" s="34">
        <f>SUM(E7:E34)</f>
        <v>100.0</v>
      </c>
      <c r="I35" s="32">
        <f>SUM(I7:I34)</f>
        <v>7.6800000000000015</v>
      </c>
      <c r="J35" s="32">
        <f>SUM(J7:J34)</f>
        <v>8.531500000000001</v>
      </c>
      <c r="K35" s="16">
        <f>SUM(K7:K34)</f>
        <v>28515.199999999986</v>
      </c>
    </row>
    <row r="36"/>
    <row r="37" ht="24" customHeight="1">
      <c r="A37" s="5" t="inlineStr">
        <is>
          <t>PVP medio ponderado con IVA (todo el año)</t>
        </is>
      </c>
      <c r="B37" s="20">
        <f>I35</f>
        <v>7.6800000000000015</v>
      </c>
    </row>
    <row r="38" ht="24" customHeight="1">
      <c r="A38" s="5" t="inlineStr">
        <is>
          <t>PVP medio ponderado con IVA (julio y agosto)</t>
        </is>
      </c>
      <c r="B38" s="20">
        <f>J35</f>
        <v>8.531500000000001</v>
      </c>
    </row>
    <row r="39" ht="24" customHeight="1">
      <c r="A39" s="5" t="inlineStr">
        <is>
          <t>Piezas por ticket</t>
        </is>
      </c>
      <c r="B39" s="26">
        <f>'Parámetros'!$B$35</f>
        <v>1.4</v>
      </c>
    </row>
    <row r="40" ht="24" customHeight="1">
      <c r="A40" s="5" t="inlineStr">
        <is>
          <t>TICKET MEDIO con IVA (todo el año)</t>
        </is>
      </c>
      <c r="B40" s="20">
        <f>IFERROR(B37*B39,"")</f>
        <v>10.752</v>
      </c>
    </row>
    <row r="41" ht="24" customHeight="1">
      <c r="A41" s="5" t="inlineStr">
        <is>
          <t>Ticket medio SIN IVA (todo el año)</t>
        </is>
      </c>
      <c r="B41" s="20">
        <f>IFERROR(B40/(1+'Parámetros'!$B$18),"")</f>
        <v>9.774545454545454</v>
      </c>
    </row>
    <row r="42" ht="24" customHeight="1">
      <c r="A42" s="5" t="inlineStr">
        <is>
          <t>Ticket medio con IVA (julio y agosto)</t>
        </is>
      </c>
      <c r="B42" s="20">
        <f>IFERROR(B38*B39,"")</f>
        <v>11.9441</v>
      </c>
    </row>
    <row r="43" ht="24" customHeight="1">
      <c r="A43" s="5" t="inlineStr">
        <is>
          <t>Food cost de escandallo de la carta (todo el año)</t>
        </is>
      </c>
      <c r="B43" s="21">
        <f>IFERROR(SUMPRODUCT(H7:H34,D7:D34)/SUMPRODUCT(G7:G34,D7:D34),"")</f>
        <v>0.25215677650282237</v>
      </c>
    </row>
    <row r="44" ht="24" customHeight="1">
      <c r="A44" s="5" t="inlineStr">
        <is>
          <t>Food cost de escandallo de la carta (julio y agosto)</t>
        </is>
      </c>
      <c r="B44" s="21">
        <f>IFERROR(SUMPRODUCT(H7:H34,E7:E34)/SUMPRODUCT(G7:G34,E7:E34),"")</f>
        <v>0.2578149537238</v>
      </c>
    </row>
    <row r="45" ht="24" customHeight="1">
      <c r="A45" s="5" t="inlineStr">
        <is>
          <t>Packaging sobre el coste de la pieza</t>
        </is>
      </c>
      <c r="B45" s="21">
        <f>'Parámetros'!$B$39</f>
        <v>0.12</v>
      </c>
    </row>
    <row r="46" ht="24" customHeight="1">
      <c r="A46" s="5" t="inlineStr">
        <is>
          <t>FOOD COST SERVIDO (el que va al plan financiero)</t>
        </is>
      </c>
      <c r="B46" s="21">
        <f>IFERROR(B43*(1+B45),"")</f>
        <v>0.28241558968316105</v>
      </c>
    </row>
    <row r="47" ht="24" customHeight="1">
      <c r="A47" s="5" t="inlineStr">
        <is>
          <t>Diferencia entre el de escandallo y el servido</t>
        </is>
      </c>
      <c r="B47" s="21">
        <f>IFERROR(B46-B43,"")</f>
        <v>0.030258813180338684</v>
      </c>
    </row>
    <row r="48" ht="24" customHeight="1">
      <c r="A48" s="5" t="inlineStr">
        <is>
          <t>Margen bruto medio con el mix de todo el año</t>
        </is>
      </c>
      <c r="B48" s="21">
        <f>IFERROR(1-B43,"")</f>
        <v>0.7478432234971777</v>
      </c>
    </row>
    <row r="49" ht="24" customHeight="1">
      <c r="A49" s="5" t="inlineStr">
        <is>
          <t>Margen bruto medio con el mix de julio y agosto</t>
        </is>
      </c>
      <c r="B49" s="21">
        <f>IFERROR(1-B44,"")</f>
        <v>0.7421850462762001</v>
      </c>
    </row>
    <row r="50" ht="24" customHeight="1">
      <c r="A50" s="5" t="inlineStr">
        <is>
          <t>Caída del margen al cambiar el mix en verano</t>
        </is>
      </c>
      <c r="B50" s="21">
        <f>IFERROR(B49-B48,"")</f>
        <v>-0.0056581772209776116</v>
      </c>
    </row>
    <row r="51">
      <c r="A51" s="14" t="inlineStr">
        <is>
          <t>Comprobación: los dos mixes suman 100 %</t>
        </is>
      </c>
      <c r="B51" s="14" t="str">
        <f>IF(OR(NOT(ISNUMBER(D35)),NOT(ISNUMBER(E35))),"",IF(AND(D35=100,E35=100),"CUADRAN los dos mixes","REVISA: alguno de los dos mixes no suma 100"))</f>
        <v>CUADRAN los dos mixes</v>
      </c>
    </row>
    <row r="52"/>
    <row r="53" ht="62" customHeight="1">
      <c r="A53" s="13" t="inlineStr">
        <is>
          <t>El food cost de escandallo y el que llega a la cuenta de resultados NO coinciden, y está bien: al de la pieza hay que sumarle el packaging, que en bombonería pesa porque la caja ES el producto. Esa diferencia es tu colchón, no un error. Y el ticket medio de aquí es el tuyo: no existe un ticket medio publicado de chocolatería, así que mídelo con el TPV en dos semanas y sustitúyelo.</t>
        </is>
      </c>
    </row>
    <row r="54"/>
    <row r="55">
      <c r="A55"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L43"/>
  <sheetViews>
    <sheetView workbookViewId="0">
      <pane ySplit="6" topLeftCell="A7" activePane="bottomLeft" state="frozen"/>
      <selection pane="bottomLeft" activeCell="A1" sqref="A1"/>
    </sheetView>
  </sheetViews>
  <sheetFormatPr baseColWidth="8" defaultRowHeight="15"/>
  <cols>
    <col width="46" customWidth="1" min="1" max="1"/>
    <col width="46" customWidth="1" min="2" max="2"/>
    <col width="24" customWidth="1" min="3" max="3"/>
    <col width="13" customWidth="1" min="4" max="4"/>
    <col width="12" customWidth="1" min="5" max="5"/>
    <col width="13" customWidth="1" min="6" max="6"/>
    <col width="14" customWidth="1" min="7" max="7"/>
    <col width="12" customWidth="1" min="8" max="8"/>
    <col width="14" customWidth="1" min="9" max="9"/>
    <col width="14" customWidth="1" min="10" max="10"/>
    <col width="20" customWidth="1" min="11" max="11"/>
    <col width="66" customWidth="1" min="12" max="12"/>
  </cols>
  <sheetData>
    <row r="1">
      <c r="A1" s="1" t="inlineStr">
        <is>
          <t>Decisión de Surtido</t>
        </is>
      </c>
    </row>
    <row r="2">
      <c r="A2" s="2" t="inlineStr">
        <is>
          <t>AI Chef Pro · aichef.pro — Cómo Montar una Chocolatería</t>
        </is>
      </c>
    </row>
    <row r="3">
      <c r="A3" s="3" t="inlineStr">
        <is>
          <t>Margen en EUROS por pieza contra rotación. Un 70 % de margen sobre una pieza de 0,40 EUR no paga el alquiler, y una referencia que no rota ocupa molde, cámara y cabeza.</t>
        </is>
      </c>
    </row>
    <row r="4"/>
    <row r="5"/>
    <row r="6" ht="56" customHeight="1">
      <c r="A6" s="8" t="inlineStr">
        <is>
          <t>Id</t>
        </is>
      </c>
      <c r="B6" s="8" t="inlineStr">
        <is>
          <t>Referencia</t>
        </is>
      </c>
      <c r="C6" s="8" t="inlineStr">
        <is>
          <t>Familia</t>
        </is>
      </c>
      <c r="D6" s="8" t="inlineStr">
        <is>
          <t>Margen por pieza (EUR)</t>
        </is>
      </c>
      <c r="E6" s="8" t="inlineStr">
        <is>
          <t>Margen sobre PVP</t>
        </is>
      </c>
      <c r="F6" s="8" t="inlineStr">
        <is>
          <t>Unidades al año</t>
        </is>
      </c>
      <c r="G6" s="8" t="inlineStr">
        <is>
          <t>Margen al año (EUR)</t>
        </is>
      </c>
      <c r="H6" s="8" t="inlineStr">
        <is>
          <t>Peso en el mix (%)</t>
        </is>
      </c>
      <c r="I6" s="8" t="inlineStr">
        <is>
          <t>¿Margen por encima del umbral?</t>
        </is>
      </c>
      <c r="J6" s="8" t="inlineStr">
        <is>
          <t>¿Rotación por encima del umbral?</t>
        </is>
      </c>
      <c r="K6" s="8" t="inlineStr">
        <is>
          <t>Veredicto</t>
        </is>
      </c>
      <c r="L6" s="8" t="inlineStr">
        <is>
          <t>Qué hacer</t>
        </is>
      </c>
    </row>
    <row r="7" ht="34" customHeight="1">
      <c r="A7" t="inlineStr">
        <is>
          <t>BC1</t>
        </is>
      </c>
      <c r="B7" s="5" t="inlineStr">
        <is>
          <t>Bombon de ganache de chocolate negro 70 %</t>
        </is>
      </c>
      <c r="C7" t="inlineStr">
        <is>
          <t>Bombones de coleccion</t>
        </is>
      </c>
      <c r="D7" s="28">
        <f>'Coste Hora y Mano de Obra'!R7</f>
        <v>1.2518488519093676</v>
      </c>
      <c r="E7" s="24">
        <f>'Coste Hora y Mano de Obra'!S7</f>
        <v>0.6885168685501522</v>
      </c>
      <c r="F7" s="12">
        <f>'Mix y Ticket Medio'!K7</f>
        <v>1710.912</v>
      </c>
      <c r="G7" s="11">
        <f>IFERROR(D7*F7,"")</f>
        <v>2141.80322291796</v>
      </c>
      <c r="H7" s="30">
        <f>'Mix y Ticket Medio'!D7</f>
        <v>6.0</v>
      </c>
      <c r="I7" t="str">
        <f>IF(NOT(ISNUMBER(D7)),"",IF(D7&gt;='Parámetros'!$B$44,"Sí","No"))</f>
        <v>Sí</v>
      </c>
      <c r="J7" t="str">
        <f>IF(NOT(ISNUMBER(H7)),"",IF(H7&gt;='Parámetros'!$B$42,"Sí","No"))</f>
        <v>Sí</v>
      </c>
      <c r="K7" t="str">
        <f>IF(OR(I7="",J7=""),"",IF(AND(I7="Sí",J7="Sí"),"Mantener",IF(I7="Sí","Revisar precio","Retirar")))</f>
        <v>Mantener</v>
      </c>
      <c r="L7" s="13" t="inlineStr">
        <is>
          <t>Si sale «Revisar precio», el primer sitio donde mirar es la columna del PVP que pide tu regla de margen, en la hoja de mano de obra.</t>
        </is>
      </c>
    </row>
    <row r="8" ht="34" customHeight="1">
      <c r="A8" t="inlineStr">
        <is>
          <t>BC2</t>
        </is>
      </c>
      <c r="B8" s="5" t="inlineStr">
        <is>
          <t>Bombon de ganache de leche y vainilla</t>
        </is>
      </c>
      <c r="C8" t="inlineStr">
        <is>
          <t>Bombones de coleccion</t>
        </is>
      </c>
      <c r="D8" s="28">
        <f>'Coste Hora y Mano de Obra'!R8</f>
        <v>1.234148986867193</v>
      </c>
      <c r="E8" s="24">
        <f>'Coste Hora y Mano de Obra'!S8</f>
        <v>0.6961866079763654</v>
      </c>
      <c r="F8" s="12">
        <f>'Mix y Ticket Medio'!K8</f>
        <v>1425.76</v>
      </c>
      <c r="G8" s="11">
        <f>IFERROR(D8*F8,"")</f>
        <v>1759.6002595157693</v>
      </c>
      <c r="H8" s="30">
        <f>'Mix y Ticket Medio'!D8</f>
        <v>5.0</v>
      </c>
      <c r="I8" t="str">
        <f>IF(NOT(ISNUMBER(D8)),"",IF(D8&gt;='Parámetros'!$B$44,"Sí","No"))</f>
        <v>Sí</v>
      </c>
      <c r="J8" t="str">
        <f>IF(NOT(ISNUMBER(H8)),"",IF(H8&gt;='Parámetros'!$B$42,"Sí","No"))</f>
        <v>Sí</v>
      </c>
      <c r="K8" t="str">
        <f>IF(OR(I8="",J8=""),"",IF(AND(I8="Sí",J8="Sí"),"Mantener",IF(I8="Sí","Revisar precio","Retirar")))</f>
        <v>Mantener</v>
      </c>
      <c r="L8" s="13" t="inlineStr">
        <is>
          <t>Si sale «Revisar precio», el primer sitio donde mirar es la columna del PVP que pide tu regla de margen, en la hoja de mano de obra.</t>
        </is>
      </c>
    </row>
    <row r="9" ht="34" customHeight="1">
      <c r="A9" t="inlineStr">
        <is>
          <t>BC3</t>
        </is>
      </c>
      <c r="B9" s="5" t="inlineStr">
        <is>
          <t>Bombon de praline de avellana</t>
        </is>
      </c>
      <c r="C9" t="inlineStr">
        <is>
          <t>Bombones de coleccion</t>
        </is>
      </c>
      <c r="D9" s="28">
        <f>'Coste Hora y Mano de Obra'!R9</f>
        <v>1.3855384981639913</v>
      </c>
      <c r="E9" s="24">
        <f>'Coste Hora y Mano de Obra'!S9</f>
        <v>0.7257582609430431</v>
      </c>
      <c r="F9" s="12">
        <f>'Mix y Ticket Medio'!K9</f>
        <v>1710.912</v>
      </c>
      <c r="G9" s="11">
        <f>IFERROR(D9*F9,"")</f>
        <v>2370.5344429707507</v>
      </c>
      <c r="H9" s="30">
        <f>'Mix y Ticket Medio'!D9</f>
        <v>6.0</v>
      </c>
      <c r="I9" t="str">
        <f>IF(NOT(ISNUMBER(D9)),"",IF(D9&gt;='Parámetros'!$B$44,"Sí","No"))</f>
        <v>Sí</v>
      </c>
      <c r="J9" t="str">
        <f>IF(NOT(ISNUMBER(H9)),"",IF(H9&gt;='Parámetros'!$B$42,"Sí","No"))</f>
        <v>Sí</v>
      </c>
      <c r="K9" t="str">
        <f>IF(OR(I9="",J9=""),"",IF(AND(I9="Sí",J9="Sí"),"Mantener",IF(I9="Sí","Revisar precio","Retirar")))</f>
        <v>Mantener</v>
      </c>
      <c r="L9" s="13" t="inlineStr">
        <is>
          <t>Si sale «Revisar precio», el primer sitio donde mirar es la columna del PVP que pide tu regla de margen, en la hoja de mano de obra.</t>
        </is>
      </c>
    </row>
    <row r="10" ht="34" customHeight="1">
      <c r="A10" t="inlineStr">
        <is>
          <t>BC4</t>
        </is>
      </c>
      <c r="B10" s="5" t="inlineStr">
        <is>
          <t>Bombon de gianduja de avellana</t>
        </is>
      </c>
      <c r="C10" t="inlineStr">
        <is>
          <t>Bombones de coleccion</t>
        </is>
      </c>
      <c r="D10" s="28">
        <f>'Coste Hora y Mano de Obra'!R10</f>
        <v>1.3394779748160754</v>
      </c>
      <c r="E10" s="24">
        <f>'Coste Hora y Mano de Obra'!S10</f>
        <v>0.7016313201417539</v>
      </c>
      <c r="F10" s="12">
        <f>'Mix y Ticket Medio'!K10</f>
        <v>1140.608</v>
      </c>
      <c r="G10" s="11">
        <f>IFERROR(D10*F10,"")</f>
        <v>1527.8192938990142</v>
      </c>
      <c r="H10" s="30">
        <f>'Mix y Ticket Medio'!D10</f>
        <v>4.0</v>
      </c>
      <c r="I10" t="str">
        <f>IF(NOT(ISNUMBER(D10)),"",IF(D10&gt;='Parámetros'!$B$44,"Sí","No"))</f>
        <v>Sí</v>
      </c>
      <c r="J10" t="str">
        <f>IF(NOT(ISNUMBER(H10)),"",IF(H10&gt;='Parámetros'!$B$42,"Sí","No"))</f>
        <v>Sí</v>
      </c>
      <c r="K10" t="str">
        <f>IF(OR(I10="",J10=""),"",IF(AND(I10="Sí",J10="Sí"),"Mantener",IF(I10="Sí","Revisar precio","Retirar")))</f>
        <v>Mantener</v>
      </c>
      <c r="L10" s="13" t="inlineStr">
        <is>
          <t>Si sale «Revisar precio», el primer sitio donde mirar es la columna del PVP que pide tu regla de margen, en la hoja de mano de obra.</t>
        </is>
      </c>
    </row>
    <row r="11" ht="34" customHeight="1">
      <c r="A11" t="inlineStr">
        <is>
          <t>BC5</t>
        </is>
      </c>
      <c r="B11" s="5" t="inlineStr">
        <is>
          <t>Trufa de chocolate negro al cacao</t>
        </is>
      </c>
      <c r="C11" t="inlineStr">
        <is>
          <t>Bombones de coleccion</t>
        </is>
      </c>
      <c r="D11" s="28">
        <f>'Coste Hora y Mano de Obra'!R11</f>
        <v>1.2593239075368272</v>
      </c>
      <c r="E11" s="24">
        <f>'Coste Hora y Mano de Obra'!S11</f>
        <v>0.7290822622581632</v>
      </c>
      <c r="F11" s="12">
        <f>'Mix y Ticket Medio'!K11</f>
        <v>1425.76</v>
      </c>
      <c r="G11" s="11">
        <f>IFERROR(D11*F11,"")</f>
        <v>1795.4936544097068</v>
      </c>
      <c r="H11" s="30">
        <f>'Mix y Ticket Medio'!D11</f>
        <v>5.0</v>
      </c>
      <c r="I11" t="str">
        <f>IF(NOT(ISNUMBER(D11)),"",IF(D11&gt;='Parámetros'!$B$44,"Sí","No"))</f>
        <v>Sí</v>
      </c>
      <c r="J11" t="str">
        <f>IF(NOT(ISNUMBER(H11)),"",IF(H11&gt;='Parámetros'!$B$42,"Sí","No"))</f>
        <v>Sí</v>
      </c>
      <c r="K11" t="str">
        <f>IF(OR(I11="",J11=""),"",IF(AND(I11="Sí",J11="Sí"),"Mantener",IF(I11="Sí","Revisar precio","Retirar")))</f>
        <v>Mantener</v>
      </c>
      <c r="L11" s="13" t="inlineStr">
        <is>
          <t>Si sale «Revisar precio», el primer sitio donde mirar es la columna del PVP que pide tu regla de margen, en la hoja de mano de obra.</t>
        </is>
      </c>
    </row>
    <row r="12" ht="34" customHeight="1">
      <c r="A12" t="inlineStr">
        <is>
          <t>BC6</t>
        </is>
      </c>
      <c r="B12" s="5" t="inlineStr">
        <is>
          <t>Bombon de licor de ron</t>
        </is>
      </c>
      <c r="C12" t="inlineStr">
        <is>
          <t>Bombones de coleccion</t>
        </is>
      </c>
      <c r="D12" s="28">
        <f>'Coste Hora y Mano de Obra'!R12</f>
        <v>1.4259186415856344</v>
      </c>
      <c r="E12" s="24">
        <f>'Coste Hora y Mano de Obra'!S12</f>
        <v>0.6819610894539992</v>
      </c>
      <c r="F12" s="12">
        <f>'Mix y Ticket Medio'!K12</f>
        <v>855.456</v>
      </c>
      <c r="G12" s="11">
        <f>IFERROR(D12*F12,"")</f>
        <v>1219.8106574562805</v>
      </c>
      <c r="H12" s="30">
        <f>'Mix y Ticket Medio'!D12</f>
        <v>3.0</v>
      </c>
      <c r="I12" t="str">
        <f>IF(NOT(ISNUMBER(D12)),"",IF(D12&gt;='Parámetros'!$B$44,"Sí","No"))</f>
        <v>Sí</v>
      </c>
      <c r="J12" t="str">
        <f>IF(NOT(ISNUMBER(H12)),"",IF(H12&gt;='Parámetros'!$B$42,"Sí","No"))</f>
        <v>Sí</v>
      </c>
      <c r="K12" t="str">
        <f>IF(OR(I12="",J12=""),"",IF(AND(I12="Sí",J12="Sí"),"Mantener",IF(I12="Sí","Revisar precio","Retirar")))</f>
        <v>Mantener</v>
      </c>
      <c r="L12" s="13" t="inlineStr">
        <is>
          <t>Si sale «Revisar precio», el primer sitio donde mirar es la columna del PVP que pide tu regla de margen, en la hoja de mano de obra.</t>
        </is>
      </c>
    </row>
    <row r="13" ht="34" customHeight="1">
      <c r="A13" t="inlineStr">
        <is>
          <t>BC7</t>
        </is>
      </c>
      <c r="B13" s="5" t="inlineStr">
        <is>
          <t>Bombon de caramelo salado</t>
        </is>
      </c>
      <c r="C13" t="inlineStr">
        <is>
          <t>Bombones de coleccion</t>
        </is>
      </c>
      <c r="D13" s="28">
        <f>'Coste Hora y Mano de Obra'!R13</f>
        <v>1.3499183689457586</v>
      </c>
      <c r="E13" s="24">
        <f>'Coste Hora y Mano de Obra'!S13</f>
        <v>0.7424551029201673</v>
      </c>
      <c r="F13" s="12">
        <f>'Mix y Ticket Medio'!K13</f>
        <v>1140.608</v>
      </c>
      <c r="G13" s="11">
        <f>IFERROR(D13*F13,"")</f>
        <v>1539.7276909664838</v>
      </c>
      <c r="H13" s="30">
        <f>'Mix y Ticket Medio'!D13</f>
        <v>4.0</v>
      </c>
      <c r="I13" t="str">
        <f>IF(NOT(ISNUMBER(D13)),"",IF(D13&gt;='Parámetros'!$B$44,"Sí","No"))</f>
        <v>Sí</v>
      </c>
      <c r="J13" t="str">
        <f>IF(NOT(ISNUMBER(H13)),"",IF(H13&gt;='Parámetros'!$B$42,"Sí","No"))</f>
        <v>Sí</v>
      </c>
      <c r="K13" t="str">
        <f>IF(OR(I13="",J13=""),"",IF(AND(I13="Sí",J13="Sí"),"Mantener",IF(I13="Sí","Revisar precio","Retirar")))</f>
        <v>Mantener</v>
      </c>
      <c r="L13" s="13" t="inlineStr">
        <is>
          <t>Si sale «Revisar precio», el primer sitio donde mirar es la columna del PVP que pide tu regla de margen, en la hoja de mano de obra.</t>
        </is>
      </c>
    </row>
    <row r="14" ht="34" customHeight="1">
      <c r="A14" t="inlineStr">
        <is>
          <t>BC8</t>
        </is>
      </c>
      <c r="B14" s="5" t="inlineStr">
        <is>
          <t>Bombon de praline de cacahuete</t>
        </is>
      </c>
      <c r="C14" t="inlineStr">
        <is>
          <t>Bombones de coleccion</t>
        </is>
      </c>
      <c r="D14" s="28">
        <f>'Coste Hora y Mano de Obra'!R14</f>
        <v>1.2285429814826847</v>
      </c>
      <c r="E14" s="24">
        <f>'Coste Hora y Mano de Obra'!S14</f>
        <v>0.6930242459645914</v>
      </c>
      <c r="F14" s="12">
        <f>'Mix y Ticket Medio'!K14</f>
        <v>855.456</v>
      </c>
      <c r="G14" s="11">
        <f>IFERROR(D14*F14,"")</f>
        <v>1050.9644647672515</v>
      </c>
      <c r="H14" s="30">
        <f>'Mix y Ticket Medio'!D14</f>
        <v>3.0</v>
      </c>
      <c r="I14" t="str">
        <f>IF(NOT(ISNUMBER(D14)),"",IF(D14&gt;='Parámetros'!$B$44,"Sí","No"))</f>
        <v>Sí</v>
      </c>
      <c r="J14" t="str">
        <f>IF(NOT(ISNUMBER(H14)),"",IF(H14&gt;='Parámetros'!$B$42,"Sí","No"))</f>
        <v>Sí</v>
      </c>
      <c r="K14" t="str">
        <f>IF(OR(I14="",J14=""),"",IF(AND(I14="Sí",J14="Sí"),"Mantener",IF(I14="Sí","Revisar precio","Retirar")))</f>
        <v>Mantener</v>
      </c>
      <c r="L14" s="13" t="inlineStr">
        <is>
          <t>Si sale «Revisar precio», el primer sitio donde mirar es la columna del PVP que pide tu regla de margen, en la hoja de mano de obra.</t>
        </is>
      </c>
    </row>
    <row r="15" ht="34" customHeight="1">
      <c r="A15" t="inlineStr">
        <is>
          <t>BC9</t>
        </is>
      </c>
      <c r="B15" s="5" t="inlineStr">
        <is>
          <t>Bombon crujiente de sesamo y barquillo</t>
        </is>
      </c>
      <c r="C15" t="inlineStr">
        <is>
          <t>Bombones de coleccion</t>
        </is>
      </c>
      <c r="D15" s="28">
        <f>'Coste Hora y Mano de Obra'!R15</f>
        <v>1.3024057154220214</v>
      </c>
      <c r="E15" s="24">
        <f>'Coste Hora y Mano de Obra'!S15</f>
        <v>0.6988518472996214</v>
      </c>
      <c r="F15" s="12">
        <f>'Mix y Ticket Medio'!K15</f>
        <v>855.456</v>
      </c>
      <c r="G15" s="11">
        <f>IFERROR(D15*F15,"")</f>
        <v>1114.1507836920607</v>
      </c>
      <c r="H15" s="30">
        <f>'Mix y Ticket Medio'!D15</f>
        <v>3.0</v>
      </c>
      <c r="I15" t="str">
        <f>IF(NOT(ISNUMBER(D15)),"",IF(D15&gt;='Parámetros'!$B$44,"Sí","No"))</f>
        <v>Sí</v>
      </c>
      <c r="J15" t="str">
        <f>IF(NOT(ISNUMBER(H15)),"",IF(H15&gt;='Parámetros'!$B$42,"Sí","No"))</f>
        <v>Sí</v>
      </c>
      <c r="K15" t="str">
        <f>IF(OR(I15="",J15=""),"",IF(AND(I15="Sí",J15="Sí"),"Mantener",IF(I15="Sí","Revisar precio","Retirar")))</f>
        <v>Mantener</v>
      </c>
      <c r="L15" s="13" t="inlineStr">
        <is>
          <t>Si sale «Revisar precio», el primer sitio donde mirar es la columna del PVP que pide tu regla de margen, en la hoja de mano de obra.</t>
        </is>
      </c>
    </row>
    <row r="16" ht="34" customHeight="1">
      <c r="A16" t="inlineStr">
        <is>
          <t>BC10</t>
        </is>
      </c>
      <c r="B16" s="5" t="inlineStr">
        <is>
          <t>Bombon de naranja confitada y chocolate negro</t>
        </is>
      </c>
      <c r="C16" t="inlineStr">
        <is>
          <t>Bombones de coleccion</t>
        </is>
      </c>
      <c r="D16" s="28">
        <f>'Coste Hora y Mano de Obra'!R16</f>
        <v>1.2417846793411904</v>
      </c>
      <c r="E16" s="24">
        <f>'Coste Hora y Mano de Obra'!S16</f>
        <v>0.6663234864757608</v>
      </c>
      <c r="F16" s="12">
        <f>'Mix y Ticket Medio'!K16</f>
        <v>855.456</v>
      </c>
      <c r="G16" s="11">
        <f>IFERROR(D16*F16,"")</f>
        <v>1062.2921546504974</v>
      </c>
      <c r="H16" s="30">
        <f>'Mix y Ticket Medio'!D16</f>
        <v>3.0</v>
      </c>
      <c r="I16" t="str">
        <f>IF(NOT(ISNUMBER(D16)),"",IF(D16&gt;='Parámetros'!$B$44,"Sí","No"))</f>
        <v>Sí</v>
      </c>
      <c r="J16" t="str">
        <f>IF(NOT(ISNUMBER(H16)),"",IF(H16&gt;='Parámetros'!$B$42,"Sí","No"))</f>
        <v>Sí</v>
      </c>
      <c r="K16" t="str">
        <f>IF(OR(I16="",J16=""),"",IF(AND(I16="Sí",J16="Sí"),"Mantener",IF(I16="Sí","Revisar precio","Retirar")))</f>
        <v>Mantener</v>
      </c>
      <c r="L16" s="13" t="inlineStr">
        <is>
          <t>Si sale «Revisar precio», el primer sitio donde mirar es la columna del PVP que pide tu regla de margen, en la hoja de mano de obra.</t>
        </is>
      </c>
    </row>
    <row r="17" ht="34" customHeight="1">
      <c r="A17" t="inlineStr">
        <is>
          <t>TB1</t>
        </is>
      </c>
      <c r="B17" s="5" t="inlineStr">
        <is>
          <t>Tableta de chocolate negro de origen 70 %, 100 g</t>
        </is>
      </c>
      <c r="C17" t="inlineStr">
        <is>
          <t>Tabletas</t>
        </is>
      </c>
      <c r="D17" s="28">
        <f>'Coste Hora y Mano de Obra'!R17</f>
        <v>3.3706839267315134</v>
      </c>
      <c r="E17" s="24">
        <f>'Coste Hora y Mano de Obra'!S17</f>
        <v>0.43620615522407824</v>
      </c>
      <c r="F17" s="12">
        <f>'Mix y Ticket Medio'!K17</f>
        <v>1996.0639999999999</v>
      </c>
      <c r="G17" s="11">
        <f>IFERROR(D17*F17,"")</f>
        <v>6728.100841527411</v>
      </c>
      <c r="H17" s="30">
        <f>'Mix y Ticket Medio'!D17</f>
        <v>7.0</v>
      </c>
      <c r="I17" t="str">
        <f>IF(NOT(ISNUMBER(D17)),"",IF(D17&gt;='Parámetros'!$B$44,"Sí","No"))</f>
        <v>Sí</v>
      </c>
      <c r="J17" t="str">
        <f>IF(NOT(ISNUMBER(H17)),"",IF(H17&gt;='Parámetros'!$B$42,"Sí","No"))</f>
        <v>Sí</v>
      </c>
      <c r="K17" t="str">
        <f>IF(OR(I17="",J17=""),"",IF(AND(I17="Sí",J17="Sí"),"Mantener",IF(I17="Sí","Revisar precio","Retirar")))</f>
        <v>Mantener</v>
      </c>
      <c r="L17" s="13" t="inlineStr">
        <is>
          <t>Si sale «Revisar precio», el primer sitio donde mirar es la columna del PVP que pide tu regla de margen, en la hoja de mano de obra.</t>
        </is>
      </c>
    </row>
    <row r="18" ht="34" customHeight="1">
      <c r="A18" t="inlineStr">
        <is>
          <t>TB2</t>
        </is>
      </c>
      <c r="B18" s="5" t="inlineStr">
        <is>
          <t>Tableta de chocolate con leche 38 %, 100 g</t>
        </is>
      </c>
      <c r="C18" t="inlineStr">
        <is>
          <t>Tabletas</t>
        </is>
      </c>
      <c r="D18" s="28">
        <f>'Coste Hora y Mano de Obra'!R18</f>
        <v>2.823209179256766</v>
      </c>
      <c r="E18" s="24">
        <f>'Coste Hora y Mano de Obra'!S18</f>
        <v>0.526361033420753</v>
      </c>
      <c r="F18" s="12">
        <f>'Mix y Ticket Medio'!K18</f>
        <v>1710.912</v>
      </c>
      <c r="G18" s="11">
        <f>IFERROR(D18*F18,"")</f>
        <v>4830.262463300553</v>
      </c>
      <c r="H18" s="30">
        <f>'Mix y Ticket Medio'!D18</f>
        <v>6.0</v>
      </c>
      <c r="I18" t="str">
        <f>IF(NOT(ISNUMBER(D18)),"",IF(D18&gt;='Parámetros'!$B$44,"Sí","No"))</f>
        <v>Sí</v>
      </c>
      <c r="J18" t="str">
        <f>IF(NOT(ISNUMBER(H18)),"",IF(H18&gt;='Parámetros'!$B$42,"Sí","No"))</f>
        <v>Sí</v>
      </c>
      <c r="K18" t="str">
        <f>IF(OR(I18="",J18=""),"",IF(AND(I18="Sí",J18="Sí"),"Mantener",IF(I18="Sí","Revisar precio","Retirar")))</f>
        <v>Mantener</v>
      </c>
      <c r="L18" s="13" t="inlineStr">
        <is>
          <t>Si sale «Revisar precio», el primer sitio donde mirar es la columna del PVP que pide tu regla de margen, en la hoja de mano de obra.</t>
        </is>
      </c>
    </row>
    <row r="19" ht="34" customHeight="1">
      <c r="A19" t="inlineStr">
        <is>
          <t>TB3</t>
        </is>
      </c>
      <c r="B19" s="5" t="inlineStr">
        <is>
          <t>Tableta de chocolate blanco 30 %, 100 g</t>
        </is>
      </c>
      <c r="C19" t="inlineStr">
        <is>
          <t>Tabletas</t>
        </is>
      </c>
      <c r="D19" s="28">
        <f>'Coste Hora y Mano de Obra'!R19</f>
        <v>2.529011474070958</v>
      </c>
      <c r="E19" s="24">
        <f>'Coste Hora y Mano de Obra'!S19</f>
        <v>0.47151061380983966</v>
      </c>
      <c r="F19" s="12">
        <f>'Mix y Ticket Medio'!K19</f>
        <v>1140.608</v>
      </c>
      <c r="G19" s="11">
        <f>IFERROR(D19*F19,"")</f>
        <v>2884.6107194171273</v>
      </c>
      <c r="H19" s="30">
        <f>'Mix y Ticket Medio'!D19</f>
        <v>4.0</v>
      </c>
      <c r="I19" t="str">
        <f>IF(NOT(ISNUMBER(D19)),"",IF(D19&gt;='Parámetros'!$B$44,"Sí","No"))</f>
        <v>Sí</v>
      </c>
      <c r="J19" t="str">
        <f>IF(NOT(ISNUMBER(H19)),"",IF(H19&gt;='Parámetros'!$B$42,"Sí","No"))</f>
        <v>Sí</v>
      </c>
      <c r="K19" t="str">
        <f>IF(OR(I19="",J19=""),"",IF(AND(I19="Sí",J19="Sí"),"Mantener",IF(I19="Sí","Revisar precio","Retirar")))</f>
        <v>Mantener</v>
      </c>
      <c r="L19" s="13" t="inlineStr">
        <is>
          <t>Si sale «Revisar precio», el primer sitio donde mirar es la columna del PVP que pide tu regla de margen, en la hoja de mano de obra.</t>
        </is>
      </c>
    </row>
    <row r="20" ht="34" customHeight="1">
      <c r="A20" t="inlineStr">
        <is>
          <t>TB4</t>
        </is>
      </c>
      <c r="B20" s="5" t="inlineStr">
        <is>
          <t>Tableta de chocolate negro con almendra marcona, 100 g</t>
        </is>
      </c>
      <c r="C20" t="inlineStr">
        <is>
          <t>Tabletas</t>
        </is>
      </c>
      <c r="D20" s="28">
        <f>'Coste Hora y Mano de Obra'!R20</f>
        <v>2.9686399509548447</v>
      </c>
      <c r="E20" s="24">
        <f>'Coste Hora y Mano de Obra'!S20</f>
        <v>0.5023852224692815</v>
      </c>
      <c r="F20" s="12">
        <f>'Mix y Ticket Medio'!K20</f>
        <v>1425.76</v>
      </c>
      <c r="G20" s="11">
        <f>IFERROR(D20*F20,"")</f>
        <v>4232.568096473379</v>
      </c>
      <c r="H20" s="30">
        <f>'Mix y Ticket Medio'!D20</f>
        <v>5.0</v>
      </c>
      <c r="I20" t="str">
        <f>IF(NOT(ISNUMBER(D20)),"",IF(D20&gt;='Parámetros'!$B$44,"Sí","No"))</f>
        <v>Sí</v>
      </c>
      <c r="J20" t="str">
        <f>IF(NOT(ISNUMBER(H20)),"",IF(H20&gt;='Parámetros'!$B$42,"Sí","No"))</f>
        <v>Sí</v>
      </c>
      <c r="K20" t="str">
        <f>IF(OR(I20="",J20=""),"",IF(AND(I20="Sí",J20="Sí"),"Mantener",IF(I20="Sí","Revisar precio","Retirar")))</f>
        <v>Mantener</v>
      </c>
      <c r="L20" s="13" t="inlineStr">
        <is>
          <t>Si sale «Revisar precio», el primer sitio donde mirar es la columna del PVP que pide tu regla de margen, en la hoja de mano de obra.</t>
        </is>
      </c>
    </row>
    <row r="21" ht="34" customHeight="1">
      <c r="A21" t="inlineStr">
        <is>
          <t>TB5</t>
        </is>
      </c>
      <c r="B21" s="5" t="inlineStr">
        <is>
          <t>Tableta de chocolate con leche y avellana, 100 g</t>
        </is>
      </c>
      <c r="C21" t="inlineStr">
        <is>
          <t>Tabletas</t>
        </is>
      </c>
      <c r="D21" s="28">
        <f>'Coste Hora y Mano de Obra'!R21</f>
        <v>3.181853216260967</v>
      </c>
      <c r="E21" s="24">
        <f>'Coste Hora y Mano de Obra'!S21</f>
        <v>0.5384674673672407</v>
      </c>
      <c r="F21" s="12">
        <f>'Mix y Ticket Medio'!K21</f>
        <v>1140.608</v>
      </c>
      <c r="G21" s="11">
        <f>IFERROR(D21*F21,"")</f>
        <v>3629.247233292989</v>
      </c>
      <c r="H21" s="30">
        <f>'Mix y Ticket Medio'!D21</f>
        <v>4.0</v>
      </c>
      <c r="I21" t="str">
        <f>IF(NOT(ISNUMBER(D21)),"",IF(D21&gt;='Parámetros'!$B$44,"Sí","No"))</f>
        <v>Sí</v>
      </c>
      <c r="J21" t="str">
        <f>IF(NOT(ISNUMBER(H21)),"",IF(H21&gt;='Parámetros'!$B$42,"Sí","No"))</f>
        <v>Sí</v>
      </c>
      <c r="K21" t="str">
        <f>IF(OR(I21="",J21=""),"",IF(AND(I21="Sí",J21="Sí"),"Mantener",IF(I21="Sí","Revisar precio","Retirar")))</f>
        <v>Mantener</v>
      </c>
      <c r="L21" s="13" t="inlineStr">
        <is>
          <t>Si sale «Revisar precio», el primer sitio donde mirar es la columna del PVP que pide tu regla de margen, en la hoja de mano de obra.</t>
        </is>
      </c>
    </row>
    <row r="22" ht="34" customHeight="1">
      <c r="A22" t="inlineStr">
        <is>
          <t>TB6</t>
        </is>
      </c>
      <c r="B22" s="5" t="inlineStr">
        <is>
          <t>Tableta rellena de praline, 100 g</t>
        </is>
      </c>
      <c r="C22" t="inlineStr">
        <is>
          <t>Tabletas</t>
        </is>
      </c>
      <c r="D22" s="28">
        <f>'Coste Hora y Mano de Obra'!R22</f>
        <v>3.1108105024598833</v>
      </c>
      <c r="E22" s="24">
        <f>'Coste Hora y Mano de Obra'!S22</f>
        <v>0.4562522070274496</v>
      </c>
      <c r="F22" s="12">
        <f>'Mix y Ticket Medio'!K22</f>
        <v>855.456</v>
      </c>
      <c r="G22" s="11">
        <f>IFERROR(D22*F22,"")</f>
        <v>2661.1615091923222</v>
      </c>
      <c r="H22" s="30">
        <f>'Mix y Ticket Medio'!D22</f>
        <v>3.0</v>
      </c>
      <c r="I22" t="str">
        <f>IF(NOT(ISNUMBER(D22)),"",IF(D22&gt;='Parámetros'!$B$44,"Sí","No"))</f>
        <v>Sí</v>
      </c>
      <c r="J22" t="str">
        <f>IF(NOT(ISNUMBER(H22)),"",IF(H22&gt;='Parámetros'!$B$42,"Sí","No"))</f>
        <v>Sí</v>
      </c>
      <c r="K22" t="str">
        <f>IF(OR(I22="",J22=""),"",IF(AND(I22="Sí",J22="Sí"),"Mantener",IF(I22="Sí","Revisar precio","Retirar")))</f>
        <v>Mantener</v>
      </c>
      <c r="L22" s="13" t="inlineStr">
        <is>
          <t>Si sale «Revisar precio», el primer sitio donde mirar es la columna del PVP que pide tu regla de margen, en la hoja de mano de obra.</t>
        </is>
      </c>
    </row>
    <row r="23" ht="34" customHeight="1">
      <c r="A23" t="inlineStr">
        <is>
          <t>CT1</t>
        </is>
      </c>
      <c r="B23" s="5" t="inlineStr">
        <is>
          <t>Tableta de chocolate a la taza, 200 g</t>
        </is>
      </c>
      <c r="C23" t="inlineStr">
        <is>
          <t>Chocolate a la taza</t>
        </is>
      </c>
      <c r="D23" s="28">
        <f>'Coste Hora y Mano de Obra'!R23</f>
        <v>2.184131179608376</v>
      </c>
      <c r="E23" s="24">
        <f>'Coste Hora y Mano de Obra'!S23</f>
        <v>0.36962219962603293</v>
      </c>
      <c r="F23" s="12">
        <f>'Mix y Ticket Medio'!K23</f>
        <v>855.456</v>
      </c>
      <c r="G23" s="11">
        <f>IFERROR(D23*F23,"")</f>
        <v>1868.4281223830628</v>
      </c>
      <c r="H23" s="30">
        <f>'Mix y Ticket Medio'!D23</f>
        <v>3.0</v>
      </c>
      <c r="I23" t="str">
        <f>IF(NOT(ISNUMBER(D23)),"",IF(D23&gt;='Parámetros'!$B$44,"Sí","No"))</f>
        <v>Sí</v>
      </c>
      <c r="J23" t="str">
        <f>IF(NOT(ISNUMBER(H23)),"",IF(H23&gt;='Parámetros'!$B$42,"Sí","No"))</f>
        <v>Sí</v>
      </c>
      <c r="K23" t="str">
        <f>IF(OR(I23="",J23=""),"",IF(AND(I23="Sí",J23="Sí"),"Mantener",IF(I23="Sí","Revisar precio","Retirar")))</f>
        <v>Mantener</v>
      </c>
      <c r="L23" s="13" t="inlineStr">
        <is>
          <t>Si sale «Revisar precio», el primer sitio donde mirar es la columna del PVP que pide tu regla de margen, en la hoja de mano de obra.</t>
        </is>
      </c>
    </row>
    <row r="24" ht="34" customHeight="1">
      <c r="A24" t="inlineStr">
        <is>
          <t>CT2</t>
        </is>
      </c>
      <c r="B24" s="5" t="inlineStr">
        <is>
          <t>Caja de 6 sobres monodosis de chocolate a la taza</t>
        </is>
      </c>
      <c r="C24" t="inlineStr">
        <is>
          <t>Chocolate a la taza</t>
        </is>
      </c>
      <c r="D24" s="28">
        <f>'Coste Hora y Mano de Obra'!R24</f>
        <v>4.142712569775005</v>
      </c>
      <c r="E24" s="24">
        <f>'Coste Hora y Mano de Obra'!S24</f>
        <v>0.5842286957375008</v>
      </c>
      <c r="F24" s="12">
        <f>'Mix y Ticket Medio'!K24</f>
        <v>570.304</v>
      </c>
      <c r="G24" s="11">
        <f>IFERROR(D24*F24,"")</f>
        <v>2362.6055493929643</v>
      </c>
      <c r="H24" s="30">
        <f>'Mix y Ticket Medio'!D24</f>
        <v>2.0</v>
      </c>
      <c r="I24" t="str">
        <f>IF(NOT(ISNUMBER(D24)),"",IF(D24&gt;='Parámetros'!$B$44,"Sí","No"))</f>
        <v>Sí</v>
      </c>
      <c r="J24" t="str">
        <f>IF(NOT(ISNUMBER(H24)),"",IF(H24&gt;='Parámetros'!$B$42,"Sí","No"))</f>
        <v>Sí</v>
      </c>
      <c r="K24" t="str">
        <f>IF(OR(I24="",J24=""),"",IF(AND(I24="Sí",J24="Sí"),"Mantener",IF(I24="Sí","Revisar precio","Retirar")))</f>
        <v>Mantener</v>
      </c>
      <c r="L24" s="13" t="inlineStr">
        <is>
          <t>Si sale «Revisar precio», el primer sitio donde mirar es la columna del PVP que pide tu regla de margen, en la hoja de mano de obra.</t>
        </is>
      </c>
    </row>
    <row r="25" ht="34" customHeight="1">
      <c r="A25" t="inlineStr">
        <is>
          <t>CT3</t>
        </is>
      </c>
      <c r="B25" s="5" t="inlineStr">
        <is>
          <t>Chocolate a la taza servido en sala, 200 ml</t>
        </is>
      </c>
      <c r="C25" t="inlineStr">
        <is>
          <t>Chocolate a la taza</t>
        </is>
      </c>
      <c r="D25" s="28">
        <f>'Coste Hora y Mano de Obra'!R25</f>
        <v>1.3655388369782964</v>
      </c>
      <c r="E25" s="24">
        <f>'Coste Hora y Mano de Obra'!S25</f>
        <v>0.46940397521128935</v>
      </c>
      <c r="F25" s="12">
        <f>'Mix y Ticket Medio'!K25</f>
        <v>855.456</v>
      </c>
      <c r="G25" s="11">
        <f>IFERROR(D25*F25,"")</f>
        <v>1168.1583913261056</v>
      </c>
      <c r="H25" s="30">
        <f>'Mix y Ticket Medio'!D25</f>
        <v>3.0</v>
      </c>
      <c r="I25" t="str">
        <f>IF(NOT(ISNUMBER(D25)),"",IF(D25&gt;='Parámetros'!$B$44,"Sí","No"))</f>
        <v>Sí</v>
      </c>
      <c r="J25" t="str">
        <f>IF(NOT(ISNUMBER(H25)),"",IF(H25&gt;='Parámetros'!$B$42,"Sí","No"))</f>
        <v>Sí</v>
      </c>
      <c r="K25" t="str">
        <f>IF(OR(I25="",J25=""),"",IF(AND(I25="Sí",J25="Sí"),"Mantener",IF(I25="Sí","Revisar precio","Retirar")))</f>
        <v>Mantener</v>
      </c>
      <c r="L25" s="13" t="inlineStr">
        <is>
          <t>Si sale «Revisar precio», el primer sitio donde mirar es la columna del PVP que pide tu regla de margen, en la hoja de mano de obra.</t>
        </is>
      </c>
    </row>
    <row r="26" ht="34" customHeight="1">
      <c r="A26" t="inlineStr">
        <is>
          <t>TF1</t>
        </is>
      </c>
      <c r="B26" s="5" t="inlineStr">
        <is>
          <t>Huevo de Pascua de chocolate con leche, 250 g</t>
        </is>
      </c>
      <c r="C26" t="inlineStr">
        <is>
          <t>Turrones, figuras y temporada</t>
        </is>
      </c>
      <c r="D26" s="28">
        <f>'Coste Hora y Mano de Obra'!R26</f>
        <v>7.912642074194332</v>
      </c>
      <c r="E26" s="24">
        <f>'Coste Hora y Mano de Obra'!S26</f>
        <v>0.47048142062777115</v>
      </c>
      <c r="F26" s="12">
        <f>'Mix y Ticket Medio'!K26</f>
        <v>570.304</v>
      </c>
      <c r="G26" s="11">
        <f>IFERROR(D26*F26,"")</f>
        <v>4512.611425481325</v>
      </c>
      <c r="H26" s="30">
        <f>'Mix y Ticket Medio'!D26</f>
        <v>2.0</v>
      </c>
      <c r="I26" t="str">
        <f>IF(NOT(ISNUMBER(D26)),"",IF(D26&gt;='Parámetros'!$B$44,"Sí","No"))</f>
        <v>Sí</v>
      </c>
      <c r="J26" t="str">
        <f>IF(NOT(ISNUMBER(H26)),"",IF(H26&gt;='Parámetros'!$B$42,"Sí","No"))</f>
        <v>Sí</v>
      </c>
      <c r="K26" t="str">
        <f>IF(OR(I26="",J26=""),"",IF(AND(I26="Sí",J26="Sí"),"Mantener",IF(I26="Sí","Revisar precio","Retirar")))</f>
        <v>Mantener</v>
      </c>
      <c r="L26" s="13" t="inlineStr">
        <is>
          <t>Retirar una referencia de campaña por rotación sería un error: no rota todo el año porque sólo se vende unas semanas. Léela con el libro de campañas al lado.</t>
        </is>
      </c>
    </row>
    <row r="27" ht="34" customHeight="1">
      <c r="A27" t="inlineStr">
        <is>
          <t>TF2</t>
        </is>
      </c>
      <c r="B27" s="5" t="inlineStr">
        <is>
          <t>Mona de Pascua de chocolate, 400 g</t>
        </is>
      </c>
      <c r="C27" t="inlineStr">
        <is>
          <t>Turrones, figuras y temporada</t>
        </is>
      </c>
      <c r="D27" s="28">
        <f>'Coste Hora y Mano de Obra'!R27</f>
        <v>4.815138067484394</v>
      </c>
      <c r="E27" s="24">
        <f>'Coste Hora y Mano de Obra'!S27</f>
        <v>0.20371737977818594</v>
      </c>
      <c r="F27" s="12">
        <f>'Mix y Ticket Medio'!K27</f>
        <v>427.728</v>
      </c>
      <c r="G27" s="11">
        <f>IFERROR(D27*F27,"")</f>
        <v>2059.569375328965</v>
      </c>
      <c r="H27" s="30">
        <f>'Mix y Ticket Medio'!D27</f>
        <v>1.5</v>
      </c>
      <c r="I27" t="str">
        <f>IF(NOT(ISNUMBER(D27)),"",IF(D27&gt;='Parámetros'!$B$44,"Sí","No"))</f>
        <v>Sí</v>
      </c>
      <c r="J27" t="str">
        <f>IF(NOT(ISNUMBER(H27)),"",IF(H27&gt;='Parámetros'!$B$42,"Sí","No"))</f>
        <v>No</v>
      </c>
      <c r="K27" t="str">
        <f>IF(OR(I27="",J27=""),"",IF(AND(I27="Sí",J27="Sí"),"Mantener",IF(I27="Sí","Revisar precio","Retirar")))</f>
        <v>Revisar precio</v>
      </c>
      <c r="L27" s="13" t="inlineStr">
        <is>
          <t>Retirar una referencia de campaña por rotación sería un error: no rota todo el año porque sólo se vende unas semanas. Léela con el libro de campañas al lado.</t>
        </is>
      </c>
    </row>
    <row r="28" ht="34" customHeight="1">
      <c r="A28" t="inlineStr">
        <is>
          <t>TF3</t>
        </is>
      </c>
      <c r="B28" s="5" t="inlineStr">
        <is>
          <t>Hueso de santo banado en chocolate</t>
        </is>
      </c>
      <c r="C28" t="inlineStr">
        <is>
          <t>Turrones, figuras y temporada</t>
        </is>
      </c>
      <c r="D28" s="28">
        <f>'Coste Hora y Mano de Obra'!R28</f>
        <v>0.7144527798303377</v>
      </c>
      <c r="E28" s="24">
        <f>'Coste Hora y Mano de Obra'!S28</f>
        <v>0.4911862861333572</v>
      </c>
      <c r="F28" s="12">
        <f>'Mix y Ticket Medio'!K28</f>
        <v>285.152</v>
      </c>
      <c r="G28" s="11">
        <f>IFERROR(D28*F28,"")</f>
        <v>203.72763907418044</v>
      </c>
      <c r="H28" s="30">
        <f>'Mix y Ticket Medio'!D28</f>
        <v>1.0</v>
      </c>
      <c r="I28" t="str">
        <f>IF(NOT(ISNUMBER(D28)),"",IF(D28&gt;='Parámetros'!$B$44,"Sí","No"))</f>
        <v>No</v>
      </c>
      <c r="J28" t="str">
        <f>IF(NOT(ISNUMBER(H28)),"",IF(H28&gt;='Parámetros'!$B$42,"Sí","No"))</f>
        <v>No</v>
      </c>
      <c r="K28" t="str">
        <f>IF(OR(I28="",J28=""),"",IF(AND(I28="Sí",J28="Sí"),"Mantener",IF(I28="Sí","Revisar precio","Retirar")))</f>
        <v>Retirar</v>
      </c>
      <c r="L28" s="13" t="inlineStr">
        <is>
          <t>Retirar una referencia de campaña por rotación sería un error: no rota todo el año porque sólo se vende unas semanas. Léela con el libro de campañas al lado.</t>
        </is>
      </c>
    </row>
    <row r="29" ht="34" customHeight="1">
      <c r="A29" t="inlineStr">
        <is>
          <t>TF4</t>
        </is>
      </c>
      <c r="B29" s="5" t="inlineStr">
        <is>
          <t>Turron de chocolate con almendra, 250 g</t>
        </is>
      </c>
      <c r="C29" t="inlineStr">
        <is>
          <t>Turrones, figuras y temporada</t>
        </is>
      </c>
      <c r="D29" s="28">
        <f>'Coste Hora y Mano de Obra'!R29</f>
        <v>5.76352770166289</v>
      </c>
      <c r="E29" s="24">
        <f>'Coste Hora y Mano de Obra'!S29</f>
        <v>0.4696207756910504</v>
      </c>
      <c r="F29" s="12">
        <f>'Mix y Ticket Medio'!K29</f>
        <v>570.304</v>
      </c>
      <c r="G29" s="11">
        <f>IFERROR(D29*F29,"")</f>
        <v>3286.9629023691527</v>
      </c>
      <c r="H29" s="30">
        <f>'Mix y Ticket Medio'!D29</f>
        <v>2.0</v>
      </c>
      <c r="I29" t="str">
        <f>IF(NOT(ISNUMBER(D29)),"",IF(D29&gt;='Parámetros'!$B$44,"Sí","No"))</f>
        <v>Sí</v>
      </c>
      <c r="J29" t="str">
        <f>IF(NOT(ISNUMBER(H29)),"",IF(H29&gt;='Parámetros'!$B$42,"Sí","No"))</f>
        <v>Sí</v>
      </c>
      <c r="K29" t="str">
        <f>IF(OR(I29="",J29=""),"",IF(AND(I29="Sí",J29="Sí"),"Mantener",IF(I29="Sí","Revisar precio","Retirar")))</f>
        <v>Mantener</v>
      </c>
      <c r="L29" s="13" t="inlineStr">
        <is>
          <t>Retirar una referencia de campaña por rotación sería un error: no rota todo el año porque sólo se vende unas semanas. Léela con el libro de campañas al lado.</t>
        </is>
      </c>
    </row>
    <row r="30" ht="34" customHeight="1">
      <c r="A30" t="inlineStr">
        <is>
          <t>TF5</t>
        </is>
      </c>
      <c r="B30" s="5" t="inlineStr">
        <is>
          <t>Almendras marcona banadas en chocolate, bolsa de 150 g</t>
        </is>
      </c>
      <c r="C30" t="inlineStr">
        <is>
          <t>Turrones, figuras y temporada</t>
        </is>
      </c>
      <c r="D30" s="28">
        <f>'Coste Hora y Mano de Obra'!R30</f>
        <v>3.1534303799967374</v>
      </c>
      <c r="E30" s="24">
        <f>'Coste Hora y Mano de Obra'!S30</f>
        <v>0.46875316459410965</v>
      </c>
      <c r="F30" s="12">
        <f>'Mix y Ticket Medio'!K30</f>
        <v>998.0319999999999</v>
      </c>
      <c r="G30" s="11">
        <f>IFERROR(D30*F30,"")</f>
        <v>3147.2244290089034</v>
      </c>
      <c r="H30" s="30">
        <f>'Mix y Ticket Medio'!D30</f>
        <v>3.5</v>
      </c>
      <c r="I30" t="str">
        <f>IF(NOT(ISNUMBER(D30)),"",IF(D30&gt;='Parámetros'!$B$44,"Sí","No"))</f>
        <v>Sí</v>
      </c>
      <c r="J30" t="str">
        <f>IF(NOT(ISNUMBER(H30)),"",IF(H30&gt;='Parámetros'!$B$42,"Sí","No"))</f>
        <v>Sí</v>
      </c>
      <c r="K30" t="str">
        <f>IF(OR(I30="",J30=""),"",IF(AND(I30="Sí",J30="Sí"),"Mantener",IF(I30="Sí","Revisar precio","Retirar")))</f>
        <v>Mantener</v>
      </c>
      <c r="L30" s="13" t="inlineStr">
        <is>
          <t>Retirar una referencia de campaña por rotación sería un error: no rota todo el año porque sólo se vende unas semanas. Léela con el libro de campañas al lado.</t>
        </is>
      </c>
    </row>
    <row r="31" ht="34" customHeight="1">
      <c r="A31" t="inlineStr">
        <is>
          <t>CJ1</t>
        </is>
      </c>
      <c r="B31" s="5" t="inlineStr">
        <is>
          <t>Caja surtida de 12 bombones</t>
        </is>
      </c>
      <c r="C31" t="inlineStr">
        <is>
          <t>Cajas y regalo</t>
        </is>
      </c>
      <c r="D31" s="28">
        <f>'Coste Hora y Mano de Obra'!R31</f>
        <v>10.612980462202856</v>
      </c>
      <c r="E31" s="24">
        <f>'Coste Hora y Mano de Obra'!S31</f>
        <v>0.5837139254211572</v>
      </c>
      <c r="F31" s="12">
        <f>'Mix y Ticket Medio'!K31</f>
        <v>1425.76</v>
      </c>
      <c r="G31" s="11">
        <f>IFERROR(D31*F31,"")</f>
        <v>15131.563023790344</v>
      </c>
      <c r="H31" s="30">
        <f>'Mix y Ticket Medio'!D31</f>
        <v>5.0</v>
      </c>
      <c r="I31" t="str">
        <f>IF(NOT(ISNUMBER(D31)),"",IF(D31&gt;='Parámetros'!$B$44,"Sí","No"))</f>
        <v>Sí</v>
      </c>
      <c r="J31" t="str">
        <f>IF(NOT(ISNUMBER(H31)),"",IF(H31&gt;='Parámetros'!$B$42,"Sí","No"))</f>
        <v>Sí</v>
      </c>
      <c r="K31" t="str">
        <f>IF(OR(I31="",J31=""),"",IF(AND(I31="Sí",J31="Sí"),"Mantener",IF(I31="Sí","Revisar precio","Retirar")))</f>
        <v>Mantener</v>
      </c>
      <c r="L31" s="13" t="inlineStr">
        <is>
          <t>Si sale «Revisar precio», el primer sitio donde mirar es la columna del PVP que pide tu regla de margen, en la hoja de mano de obra.</t>
        </is>
      </c>
    </row>
    <row r="32" ht="34" customHeight="1">
      <c r="A32" t="inlineStr">
        <is>
          <t>CJ2</t>
        </is>
      </c>
      <c r="B32" s="5" t="inlineStr">
        <is>
          <t>Caja surtida de 20 bombones</t>
        </is>
      </c>
      <c r="C32" t="inlineStr">
        <is>
          <t>Cajas y regalo</t>
        </is>
      </c>
      <c r="D32" s="28">
        <f>'Coste Hora y Mano de Obra'!R32</f>
        <v>12.94072238812034</v>
      </c>
      <c r="E32" s="24">
        <f>'Coste Hora y Mano de Obra'!S32</f>
        <v>0.508385522390442</v>
      </c>
      <c r="F32" s="12">
        <f>'Mix y Ticket Medio'!K32</f>
        <v>855.456</v>
      </c>
      <c r="G32" s="11">
        <f>IFERROR(D32*F32,"")</f>
        <v>11070.218611251874</v>
      </c>
      <c r="H32" s="30">
        <f>'Mix y Ticket Medio'!D32</f>
        <v>3.0</v>
      </c>
      <c r="I32" t="str">
        <f>IF(NOT(ISNUMBER(D32)),"",IF(D32&gt;='Parámetros'!$B$44,"Sí","No"))</f>
        <v>Sí</v>
      </c>
      <c r="J32" t="str">
        <f>IF(NOT(ISNUMBER(H32)),"",IF(H32&gt;='Parámetros'!$B$42,"Sí","No"))</f>
        <v>Sí</v>
      </c>
      <c r="K32" t="str">
        <f>IF(OR(I32="",J32=""),"",IF(AND(I32="Sí",J32="Sí"),"Mantener",IF(I32="Sí","Revisar precio","Retirar")))</f>
        <v>Mantener</v>
      </c>
      <c r="L32" s="13" t="inlineStr">
        <is>
          <t>Si sale «Revisar precio», el primer sitio donde mirar es la columna del PVP que pide tu regla de margen, en la hoja de mano de obra.</t>
        </is>
      </c>
    </row>
    <row r="33" ht="34" customHeight="1">
      <c r="A33" t="inlineStr">
        <is>
          <t>CJ3</t>
        </is>
      </c>
      <c r="B33" s="5" t="inlineStr">
        <is>
          <t>Caja surtida de 35 bombones</t>
        </is>
      </c>
      <c r="C33" t="inlineStr">
        <is>
          <t>Cajas y regalo</t>
        </is>
      </c>
      <c r="D33" s="28">
        <f>'Coste Hora y Mano de Obra'!R33</f>
        <v>19.370041681112813</v>
      </c>
      <c r="E33" s="24">
        <f>'Coste Hora y Mano de Obra'!S33</f>
        <v>0.47348990776053546</v>
      </c>
      <c r="F33" s="12">
        <f>'Mix y Ticket Medio'!K33</f>
        <v>570.304</v>
      </c>
      <c r="G33" s="11">
        <f>IFERROR(D33*F33,"")</f>
        <v>11046.812250905361</v>
      </c>
      <c r="H33" s="30">
        <f>'Mix y Ticket Medio'!D33</f>
        <v>2.0</v>
      </c>
      <c r="I33" t="str">
        <f>IF(NOT(ISNUMBER(D33)),"",IF(D33&gt;='Parámetros'!$B$44,"Sí","No"))</f>
        <v>Sí</v>
      </c>
      <c r="J33" t="str">
        <f>IF(NOT(ISNUMBER(H33)),"",IF(H33&gt;='Parámetros'!$B$42,"Sí","No"))</f>
        <v>Sí</v>
      </c>
      <c r="K33" t="str">
        <f>IF(OR(I33="",J33=""),"",IF(AND(I33="Sí",J33="Sí"),"Mantener",IF(I33="Sí","Revisar precio","Retirar")))</f>
        <v>Mantener</v>
      </c>
      <c r="L33" s="13" t="inlineStr">
        <is>
          <t>Si sale «Revisar precio», el primer sitio donde mirar es la columna del PVP que pide tu regla de margen, en la hoja de mano de obra.</t>
        </is>
      </c>
    </row>
    <row r="34" ht="34" customHeight="1">
      <c r="A34" t="inlineStr">
        <is>
          <t>CJ4</t>
        </is>
      </c>
      <c r="B34" s="5" t="inlineStr">
        <is>
          <t>Estuche corporativo personalizado de 24 bombones</t>
        </is>
      </c>
      <c r="C34" t="inlineStr">
        <is>
          <t>Cajas y regalo</t>
        </is>
      </c>
      <c r="D34" s="28">
        <f>'Coste Hora y Mano de Obra'!R34</f>
        <v>14.761854919816003</v>
      </c>
      <c r="E34" s="24">
        <f>'Coste Hora y Mano de Obra'!S34</f>
        <v>0.47758942387640013</v>
      </c>
      <c r="F34" s="12">
        <f>'Mix y Ticket Medio'!K34</f>
        <v>285.152</v>
      </c>
      <c r="G34" s="11">
        <f>IFERROR(D34*F34,"")</f>
        <v>4209.372454095373</v>
      </c>
      <c r="H34" s="30">
        <f>'Mix y Ticket Medio'!D34</f>
        <v>1.0</v>
      </c>
      <c r="I34" t="str">
        <f>IF(NOT(ISNUMBER(D34)),"",IF(D34&gt;='Parámetros'!$B$44,"Sí","No"))</f>
        <v>Sí</v>
      </c>
      <c r="J34" t="str">
        <f>IF(NOT(ISNUMBER(H34)),"",IF(H34&gt;='Parámetros'!$B$42,"Sí","No"))</f>
        <v>No</v>
      </c>
      <c r="K34" t="str">
        <f>IF(OR(I34="",J34=""),"",IF(AND(I34="Sí",J34="Sí"),"Mantener",IF(I34="Sí","Revisar precio","Retirar")))</f>
        <v>Revisar precio</v>
      </c>
      <c r="L34" s="13" t="inlineStr">
        <is>
          <t>Si sale «Revisar precio», el primer sitio donde mirar es la columna del PVP que pide tu regla de margen, en la hoja de mano de obra.</t>
        </is>
      </c>
    </row>
    <row r="35">
      <c r="A35" s="14" t="inlineStr">
        <is>
          <t>TOTAL</t>
        </is>
      </c>
      <c r="G35" s="15">
        <f>SUM(G7:G34)</f>
        <v>100615.40166285716</v>
      </c>
    </row>
    <row r="36"/>
    <row r="37">
      <c r="A37" t="inlineStr">
        <is>
          <t>Referencias con veredicto «Mantener»</t>
        </is>
      </c>
      <c r="B37" s="16">
        <f>COUNTIF(K7:K34,"Mantener")</f>
        <v>25.0</v>
      </c>
    </row>
    <row r="38">
      <c r="A38" t="inlineStr">
        <is>
          <t>Referencias con veredicto «Revisar precio»</t>
        </is>
      </c>
      <c r="B38" s="16">
        <f>COUNTIF(K7:K34,"Revisar precio")</f>
        <v>2.0</v>
      </c>
    </row>
    <row r="39">
      <c r="A39" t="inlineStr">
        <is>
          <t>Referencias con veredicto «Retirar»</t>
        </is>
      </c>
      <c r="B39" s="16">
        <f>COUNTIF(K7:K34,"Retirar")</f>
        <v>1.0</v>
      </c>
    </row>
    <row r="40"/>
    <row r="41" ht="46" customHeight="1">
      <c r="A41" s="13" t="inlineStr">
        <is>
          <t>Los dos umbrales están en «Parámetros» y son criterio de la casa, no del sector: súbelos o bájalos con tus números. Lo que no se puede es decidir el surtido con el margen en PORCENTAJE, que es lo que hace parecer rentable lo que sólo es barato.</t>
        </is>
      </c>
    </row>
    <row r="42"/>
    <row r="43">
      <c r="A43"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conditionalFormatting sqref="K7:K34">
    <cfRule type="cellIs" priority="1" operator="equal" dxfId="0" stopIfTrue="1">
      <formula>"Retirar"</formula>
    </cfRule>
    <cfRule type="cellIs" priority="2" operator="equal" dxfId="1" stopIfTrue="1">
      <formula>"Revisar precio"</formula>
    </cfRule>
    <cfRule type="cellIs" priority="3" operator="equal" dxfId="2" stopIfTrue="1">
      <formula>"Mantener"</formula>
    </cfRule>
  </conditionalFormatting>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Carta de Apertura y Escandallo del Obrador de Bombonería</dc:title>
  <dc:subject xmlns:dc="http://purl.org/dc/elements/1.1/">Cómo Montar una Chocolatería · Versión 1.0 · septiembre 2026</dc:subject>
  <dcterms:created xmlns:dcterms="http://purl.org/dc/terms/" xmlns:xsi="http://www.w3.org/2001/XMLSchema-instance" xsi:type="dcterms:W3CDTF">2026-09-12T20:50:14Z</dcterms:created>
  <dcterms:modified xmlns:dcterms="http://purl.org/dc/terms/" xmlns:xsi="http://www.w3.org/2001/XMLSchema-instance" xsi:type="dcterms:W3CDTF">2026-09-12T20:50:15Z</dcterms:modified>
  <cp:lastModifiedBy>AI Chef Pro</cp:lastModifiedBy>
</cp:coreProperties>
</file>