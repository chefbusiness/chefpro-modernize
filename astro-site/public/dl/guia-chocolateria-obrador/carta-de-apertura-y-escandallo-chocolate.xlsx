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arámetros" sheetId="2" state="visible" r:id="rId2"/>
    <sheet xmlns:r="http://schemas.openxmlformats.org/officeDocument/2006/relationships" name="Denominaciones y Mínimos" sheetId="3" state="visible" r:id="rId3"/>
    <sheet xmlns:r="http://schemas.openxmlformats.org/officeDocument/2006/relationships" name="Escandallo por Molde y Tanda" sheetId="4" state="visible" r:id="rId4"/>
    <sheet xmlns:r="http://schemas.openxmlformats.org/officeDocument/2006/relationships" name="Merma de Templado y Recortes" sheetId="5" state="visible" r:id="rId5"/>
    <sheet xmlns:r="http://schemas.openxmlformats.org/officeDocument/2006/relationships" name="Coste Hora y Mano de Obra" sheetId="6" state="visible" r:id="rId6"/>
    <sheet xmlns:r="http://schemas.openxmlformats.org/officeDocument/2006/relationships" name="Unidad vs Caja" sheetId="7" state="visible" r:id="rId7"/>
    <sheet xmlns:r="http://schemas.openxmlformats.org/officeDocument/2006/relationships" name="Mix y Ticket Medio" sheetId="8" state="visible" r:id="rId8"/>
    <sheet xmlns:r="http://schemas.openxmlformats.org/officeDocument/2006/relationships" name="Decisión de Surtido" sheetId="9" state="visible" r:id="rId9"/>
  </sheets>
  <definedNames>
    <definedName name="_xlnm.Print_Titles" localSheetId="1">'Parámetros'!$47:$47</definedName>
    <definedName name="_xlnm.Print_Titles" localSheetId="2">'Denominaciones y Mínimos'!$6:$6</definedName>
    <definedName name="_xlnm.Print_Titles" localSheetId="3">'Escandallo por Molde y Tanda'!$69:$69</definedName>
    <definedName name="_xlnm.Print_Titles" localSheetId="4">'Merma de Templado y Recortes'!$6:$6</definedName>
    <definedName name="_xlnm.Print_Titles" localSheetId="5">'Coste Hora y Mano de Obra'!$6:$6</definedName>
    <definedName name="_xlnm.Print_Titles" localSheetId="7">'Mix y Ticket Medio'!$6:$6</definedName>
    <definedName name="_xlnm.Print_Titles" localSheetId="8">'Decisión de Surtido'!$6:$6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#,##0.00 €"/>
    <numFmt numFmtId="166" formatCode="0.0%"/>
    <numFmt numFmtId="167" formatCode="#,##0.0000 €"/>
    <numFmt numFmtId="168" formatCode="#,##0.000"/>
  </numFmts>
  <fonts count="11">
    <font>
      <name val="Calibri"/>
      <family val="2"/>
      <color theme="1"/>
      <sz val="11"/>
      <scheme val="minor"/>
    </font>
    <font>
      <b val="1"/>
      <color theme="1"/>
      <sz val="11"/>
    </font>
    <font>
      <b val="1"/>
      <color rgb="00FFD700"/>
      <sz val="16"/>
    </font>
    <font>
      <color rgb="00888888"/>
      <sz val="10"/>
    </font>
    <font>
      <i val="1"/>
      <sz val="9"/>
    </font>
    <font>
      <b val="1"/>
      <color rgb="00FFD700"/>
      <sz val="12"/>
    </font>
    <font>
      <i val="1"/>
      <sz val="8"/>
    </font>
    <font>
      <b val="1"/>
      <color rgb="00FFFFFF"/>
      <sz val="9"/>
    </font>
    <font>
      <color rgb="00888888"/>
      <sz val="8"/>
    </font>
    <font>
      <color rgb="00888888"/>
      <sz val="9"/>
    </font>
    <font>
      <sz val="8"/>
    </font>
  </fonts>
  <fills count="5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2D2D2D"/>
      </patternFill>
    </fill>
    <fill>
      <patternFill patternType="solid">
        <fgColor rgb="00FFF8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2" borderId="0" applyProtection="1" pivotButton="0" quotePrefix="0" xfId="0">
      <protection locked="0" hidden="0"/>
    </xf>
    <xf numFmtId="0" fontId="6" fillId="0" borderId="0" pivotButton="0" quotePrefix="0" xfId="0"/>
    <xf numFmtId="0" fontId="7" fillId="3" borderId="0" applyAlignment="1" pivotButton="0" quotePrefix="0" xfId="0">
      <alignment horizontal="center" vertical="center" wrapText="1"/>
    </xf>
    <xf numFmtId="164" fontId="0" fillId="2" borderId="0" applyProtection="1" pivotButton="0" quotePrefix="0" xfId="0">
      <protection locked="0" hidden="0"/>
    </xf>
    <xf numFmtId="165" fontId="0" fillId="2" borderId="0" applyProtection="1" pivotButton="0" quotePrefix="0" xfId="0">
      <protection locked="0" hidden="0"/>
    </xf>
    <xf numFmtId="165" fontId="0" fillId="0" borderId="0" pivotButton="0" quotePrefix="0" xfId="0"/>
    <xf numFmtId="3" fontId="0" fillId="0" borderId="0" pivotButton="0" quotePrefix="0" xfId="0"/>
    <xf numFmtId="0" fontId="8" fillId="0" borderId="0" applyAlignment="1" pivotButton="0" quotePrefix="0" xfId="0">
      <alignment horizontal="general" vertical="top" wrapText="1"/>
    </xf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3" fontId="0" fillId="2" borderId="0" applyProtection="1" pivotButton="0" quotePrefix="0" xfId="0">
      <protection locked="0" hidden="0"/>
    </xf>
    <xf numFmtId="0" fontId="8" fillId="0" borderId="0" pivotButton="0" quotePrefix="0" xfId="0"/>
    <xf numFmtId="166" fontId="0" fillId="2" borderId="0" applyProtection="1" pivotButton="0" quotePrefix="0" xfId="0">
      <protection locked="0" hidden="0"/>
    </xf>
    <xf numFmtId="165" fontId="1" fillId="4" borderId="0" pivotButton="0" quotePrefix="0" xfId="0"/>
    <xf numFmtId="166" fontId="1" fillId="4" borderId="0" pivotButton="0" quotePrefix="0" xfId="0"/>
    <xf numFmtId="0" fontId="9" fillId="0" borderId="0" applyAlignment="1" pivotButton="0" quotePrefix="0" xfId="0">
      <alignment horizontal="general" vertical="top" wrapText="1"/>
    </xf>
    <xf numFmtId="167" fontId="0" fillId="2" borderId="0" applyProtection="1" pivotButton="0" quotePrefix="0" xfId="0">
      <protection locked="0" hidden="0"/>
    </xf>
    <xf numFmtId="166" fontId="0" fillId="0" borderId="0" pivotButton="0" quotePrefix="0" xfId="0"/>
    <xf numFmtId="166" fontId="1" fillId="0" borderId="0" pivotButton="0" quotePrefix="0" xfId="0"/>
    <xf numFmtId="164" fontId="1" fillId="4" borderId="0" pivotButton="0" quotePrefix="0" xfId="0"/>
    <xf numFmtId="3" fontId="1" fillId="4" borderId="0" pivotButton="0" quotePrefix="0" xfId="0"/>
    <xf numFmtId="167" fontId="0" fillId="0" borderId="0" pivotButton="0" quotePrefix="0" xfId="0"/>
    <xf numFmtId="0" fontId="10" fillId="0" borderId="0" applyAlignment="1" pivotButton="0" quotePrefix="0" xfId="0">
      <alignment horizontal="general" vertical="top" wrapText="1"/>
    </xf>
    <xf numFmtId="164" fontId="0" fillId="0" borderId="0" pivotButton="0" quotePrefix="0" xfId="0"/>
    <xf numFmtId="168" fontId="0" fillId="2" borderId="0" applyProtection="1" pivotButton="0" quotePrefix="0" xfId="0">
      <protection locked="0" hidden="0"/>
    </xf>
    <xf numFmtId="167" fontId="1" fillId="0" borderId="0" pivotButton="0" quotePrefix="0" xfId="0"/>
    <xf numFmtId="168" fontId="0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AI Chef Pro</author>
  </authors>
  <commentList>
    <comment ref="D7" authorId="0" shapeId="0">
      <text>
        <t>Verificado el 12-09-2026 · Revisión salarial 2026 del convenio 28001025011981 · BOCM núm. 50, de 28-02-2026 (BOCM-20260228-2) · https://www.bocm.es/boletin/CM_Orden_BOCM/2026/02/28/BOCM-20260228-2.PDF</t>
      </text>
    </comment>
    <comment ref="D8" authorId="0" shapeId="0">
      <text>
        <t>Verificado el 12-09-2026 · Revisión salarial 2026 del convenio 28001025011981 · BOCM núm. 50, de 28-02-2026 (BOCM-20260228-2) · https://www.bocm.es/boletin/CM_Orden_BOCM/2026/02/28/BOCM-20260228-2.PDF</t>
      </text>
    </comment>
    <comment ref="B11" authorId="0" shapeId="0">
      <text>
        <t>Verificado el 12-09-2026 · Revisión salarial 2026 del convenio 28001025011981 · BOCM núm. 50, de 28-02-2026 (BOCM-20260228-2) · https://www.bocm.es/boletin/CM_Orden_BOCM/2026/02/28/BOCM-20260228-2.PDF</t>
      </text>
    </comment>
    <comment ref="B18" authorId="0" shapeId="0">
      <text>
        <t>Verificado el 12-09-2026 · Ley 37/1992, de 28 de diciembre, del Impuesto sobre el Valor Añadido (BOE-A-1992-28740), texto consolidado · «Última modificación: 28 de febrero de 2026» (Art. 91.Dos.1.1.º (las siete letras: pan común, harinas panificables, leches, qu...) · https://www.boe.es/buscar/act.php?id=BOE-A-1992-28740</t>
      </text>
    </comment>
    <comment ref="B19" authorId="0" shapeId="0">
      <text>
        <t>Verificado el 12-09-2026 · Ley 37/1992, de 28 de diciembre, del Impuesto sobre el Valor Añadido (BOE-A-1992-28740), texto consolidado · «Última modificación: 28 de febrero de 2026» (Art. 91.Uno.2.2.º y art. 90.Uno («El Impuesto se exigirá al tipo del 21 por ciento, salvo lo dispuesto en el artículo siguiente»).) · https://www.boe.es/buscar/act.php?id=BOE-A-1992-28740</t>
      </text>
    </comment>
    <comment ref="B27" authorId="0" shapeId="0">
      <text>
        <t>CHS-28a: Precio de la cobertura — Callebaut 811 en bloque de 5 kg (CON IVA) · fiabilidad media · https://www.planeta-torta.es/los-chocolates-reposteria-gotas-fundir/11351-chocolate-negro-de-cobertura-811-de-callebaut-55-en-bloque-5-kg.html</t>
      </text>
    </comment>
    <comment ref="B28" authorId="0" shapeId="0">
      <text>
        <t>CHS-28c: Precio de la cobertura — Valrhona pepitas 400 g · fiabilidad media · https://www.clubdelchocolate.com/en/452-cobertura-valrhona</t>
      </text>
    </comment>
  </commentList>
</comments>
</file>

<file path=xl/comments/comment2.xml><?xml version="1.0" encoding="utf-8"?>
<comments xmlns="http://schemas.openxmlformats.org/spreadsheetml/2006/main">
  <authors>
    <author>AI Chef Pro</author>
  </authors>
  <commentList>
    <comment ref="H6" authorId="0" shapeId="0">
      <text>
        <t>Verificado el 12-09-2026 · Real Decreto 1021/2022, de 13 de diciembre, por el que se regulan determinados requisitos en materia de higiene de la producción y comercialización de los productos alimenticios... (confirmada, y con un matiz que la lente no traía: el art. 4.2 cierra «por el operador que los ha producido y envasa... · https://www.boe.es/buscar/act.php?id=BOE-A-2022-21681</t>
      </text>
    </comment>
    <comment ref="E7" authorId="0" shapeId="0">
      <text>
        <t>Verificado el 12-09-2026 · Real Decreto 1055/2003, de 1 de agosto, por el que se aprueba la Reglamentación técnico-sanitaria sobre los productos de cacao y chocolate destinados a la alimentación humana (B... (Apartado 1.13, que cierra: «siempre que el chocolate represente, al menos, el 25 por ciento del peso total del prod... · https://www.boe.es/buscar/act.php?id=BOE-A-2003-15599</t>
      </text>
    </comment>
    <comment ref="E8" authorId="0" shapeId="0">
      <text>
        <t>Verificado el 12-09-2026 · Real Decreto 1055/2003, de 1 de agosto, por el que se aprueba la Reglamentación técnico-sanitaria sobre los productos de cacao y chocolate destinados a la alimentación humana (B... (Apartado 1.13, que cierra: «siempre que el chocolate represente, al menos, el 25 por ciento del peso total del prod... · https://www.boe.es/buscar/act.php?id=BOE-A-2003-15599</t>
      </text>
    </comment>
    <comment ref="E9" authorId="0" shapeId="0">
      <text>
        <t>Verificado el 12-09-2026 · Real Decreto 1055/2003, de 1 de agosto, por el que se aprueba la Reglamentación técnico-sanitaria sobre los productos de cacao y chocolate destinados a la alimentación humana (B... (Apartado 1.13, que cierra: «siempre que el chocolate represente, al menos, el 25 por ciento del peso total del prod... · https://www.boe.es/buscar/act.php?id=BOE-A-2003-15599</t>
      </text>
    </comment>
    <comment ref="E10" authorId="0" shapeId="0">
      <text>
        <t>Verificado el 12-09-2026 · Real Decreto 1055/2003, de 1 de agosto, por el que se aprueba la Reglamentación técnico-sanitaria sobre los productos de cacao y chocolate destinados a la alimentación humana (B... (Apartado 1.13, que cierra: «siempre que el chocolate represente, al menos, el 25 por ciento del peso total del prod... · https://www.boe.es/buscar/act.php?id=BOE-A-2003-15599</t>
      </text>
    </comment>
    <comment ref="E11" authorId="0" shapeId="0">
      <text>
        <t>Verificado el 12-09-2026 · Real Decreto 1055/2003, de 1 de agosto, por el que se aprueba la Reglamentación técnico-sanitaria sobre los productos de cacao y chocolate destinados a la alimentación humana (B... (Apartado 1.13, que cierra: «siempre que el chocolate represente, al menos, el 25 por ciento del peso total del prod... · https://www.boe.es/buscar/act.php?id=BOE-A-2003-15599</t>
      </text>
    </comment>
    <comment ref="E12" authorId="0" shapeId="0">
      <text>
        <t>Verificado el 12-09-2026 · Real Decreto 1055/2003, de 1 de agosto, por el que se aprueba la Reglamentación técnico-sanitaria sobre los productos de cacao y chocolate destinados a la alimentación humana (B... (Apartado 1.13, que cierra: «siempre que el chocolate represente, al menos, el 25 por ciento del peso total del prod... · https://www.boe.es/buscar/act.php?id=BOE-A-2003-15599</t>
      </text>
    </comment>
    <comment ref="E13" authorId="0" shapeId="0">
      <text>
        <t>Verificado el 12-09-2026 · Real Decreto 1055/2003, de 1 de agosto, por el que se aprueba la Reglamentación técnico-sanitaria sobre los productos de cacao y chocolate destinados a la alimentación humana (B... (Apartado 1.13, que cierra: «siempre que el chocolate represente, al menos, el 25 por ciento del peso total del prod... · https://www.boe.es/buscar/act.php?id=BOE-A-2003-15599</t>
      </text>
    </comment>
    <comment ref="E14" authorId="0" shapeId="0">
      <text>
        <t>Verificado el 12-09-2026 · Real Decreto 1055/2003, de 1 de agosto, por el que se aprueba la Reglamentación técnico-sanitaria sobre los productos de cacao y chocolate destinados a la alimentación humana (B... (Apartado 1.13, que cierra: «siempre que el chocolate represente, al menos, el 25 por ciento del peso total del prod... · https://www.boe.es/buscar/act.php?id=BOE-A-2003-15599</t>
      </text>
    </comment>
    <comment ref="E15" authorId="0" shapeId="0">
      <text>
        <t>Verificado el 12-09-2026 · Real Decreto 1055/2003, de 1 de agosto, por el que se aprueba la Reglamentación técnico-sanitaria sobre los productos de cacao y chocolate destinados a la alimentación humana (B... (Apartado 1.13, que cierra: «siempre que el chocolate represente, al menos, el 25 por ciento del peso total del prod... · https://www.boe.es/buscar/act.php?id=BOE-A-2003-15599</t>
      </text>
    </comment>
    <comment ref="E16" authorId="0" shapeId="0">
      <text>
        <t>Verificado el 12-09-2026 · Real Decreto 1055/2003, de 1 de agosto, por el que se aprueba la Reglamentación técnico-sanitaria sobre los productos de cacao y chocolate destinados a la alimentación humana (B... (Apartado 1.13, que cierra: «siempre que el chocolate represente, al menos, el 25 por ciento del peso total del prod... · https://www.boe.es/buscar/act.php?id=BOE-A-2003-15599</t>
      </text>
    </comment>
    <comment ref="E17" authorId="0" shapeId="0">
      <text>
        <t>Verificado el 12-09-2026 · Real Decreto 1055/2003, de 1 de agosto, por el que se aprueba la Reglamentación técnico-sanitaria sobre los productos de cacao y chocolate destinados a la alimentación humana (B... (La tabla de mínimos de los apartados 1.1 a 1.13 más 6.g) se ha cotejado fila a fila contra el consolidado:...) · https://www.boe.es/buscar/act.php?id=BOE-A-2003-15599</t>
      </text>
    </comment>
    <comment ref="E18" authorId="0" shapeId="0">
      <text>
        <t>Verificado el 12-09-2026 · Real Decreto 1055/2003, de 1 de agosto, por el que se aprueba la Reglamentación técnico-sanitaria sobre los productos de cacao y chocolate destinados a la alimentación humana (B... (La tabla de mínimos de los apartados 1.1 a 1.13 más 6.g) se ha cotejado fila a fila contra el consolidado:...) · https://www.boe.es/buscar/act.php?id=BOE-A-2003-15599</t>
      </text>
    </comment>
    <comment ref="E19" authorId="0" shapeId="0">
      <text>
        <t>Verificado el 12-09-2026 · Real Decreto 1055/2003, de 1 de agosto, por el que se aprueba la Reglamentación técnico-sanitaria sobre los productos de cacao y chocolate destinados a la alimentación humana (B... (La tabla de mínimos de los apartados 1.1 a 1.13 más 6.g) se ha cotejado fila a fila contra el consolidado:...) · https://www.boe.es/buscar/act.php?id=BOE-A-2003-15599</t>
      </text>
    </comment>
    <comment ref="E20" authorId="0" shapeId="0">
      <text>
        <t>Verificado el 12-09-2026 · Real Decreto 1055/2003, de 1 de agosto, por el que se aprueba la Reglamentación técnico-sanitaria sobre los productos de cacao y chocolate destinados a la alimentación humana (B... (La tabla de mínimos de los apartados 1.1 a 1.13 más 6.g) se ha cotejado fila a fila contra el consolidado:...) · https://www.boe.es/buscar/act.php?id=BOE-A-2003-15599</t>
      </text>
    </comment>
    <comment ref="E21" authorId="0" shapeId="0">
      <text>
        <t>Verificado el 12-09-2026 · Real Decreto 1055/2003, de 1 de agosto, por el que se aprueba la Reglamentación técnico-sanitaria sobre los productos de cacao y chocolate destinados a la alimentación humana (B... (La tabla de mínimos de los apartados 1.1 a 1.13 más 6.g) se ha cotejado fila a fila contra el consolidado:...) · https://www.boe.es/buscar/act.php?id=BOE-A-2003-15599</t>
      </text>
    </comment>
    <comment ref="E22" authorId="0" shapeId="0">
      <text>
        <t>Verificado el 12-09-2026 · Real Decreto 1055/2003, de 1 de agosto, por el que se aprueba la Reglamentación técnico-sanitaria sobre los productos de cacao y chocolate destinados a la alimentación humana (B... (Apartado 1.10.) · https://www.boe.es/buscar/act.php?id=BOE-A-2003-15599</t>
      </text>
    </comment>
    <comment ref="E23" authorId="0" shapeId="0">
      <text>
        <t>Verificado el 12-09-2026 · Real Decreto 1055/2003, de 1 de agosto, por el que se aprueba la Reglamentación técnico-sanitaria sobre los productos de cacao y chocolate destinados a la alimentación humana (B... (Apartados 1.11, 1.12 y 6.e).) · https://www.boe.es/buscar/act.php?id=BOE-A-2003-15599</t>
      </text>
    </comment>
    <comment ref="E24" authorId="0" shapeId="0">
      <text>
        <t>Verificado el 12-09-2026 · Real Decreto 1055/2003, de 1 de agosto, por el que se aprueba la Reglamentación técnico-sanitaria sobre los productos de cacao y chocolate destinados a la alimentación humana (B... (Apartados 1.11, 1.12 y 6.e).) · https://www.boe.es/buscar/act.php?id=BOE-A-2003-15599</t>
      </text>
    </comment>
    <comment ref="E25" authorId="0" shapeId="0">
      <text>
        <t>Verificado el 12-09-2026 · Real Decreto 1055/2003, de 1 de agosto, por el que se aprueba la Reglamentación técnico-sanitaria sobre los productos de cacao y chocolate destinados a la alimentación humana (B... (Apartados 1.11, 1.12 y 6.e).) · https://www.boe.es/buscar/act.php?id=BOE-A-2003-15599</t>
      </text>
    </comment>
    <comment ref="E26" authorId="0" shapeId="0">
      <text>
        <t>Verificado el 12-09-2026 · Real Decreto 1055/2003, de 1 de agosto, por el que se aprueba la Reglamentación técnico-sanitaria sobre los productos de cacao y chocolate destinados a la alimentación humana (B... (La tabla de mínimos de los apartados 1.1 a 1.13 más 6.g) se ha cotejado fila a fila contra el consolidado:...) · https://www.boe.es/buscar/act.php?id=BOE-A-2003-15599</t>
      </text>
    </comment>
    <comment ref="E27" authorId="0" shapeId="0">
      <text>
        <t>Verificado el 12-09-2026 · Real Decreto 1055/2003, de 1 de agosto, por el que se aprueba la Reglamentación técnico-sanitaria sobre los productos de cacao y chocolate destinados a la alimentación humana (B... (La tabla de mínimos de los apartados 1.1 a 1.13 más 6.g) se ha cotejado fila a fila contra el consolidado:...) · https://www.boe.es/buscar/act.php?id=BOE-A-2003-15599</t>
      </text>
    </comment>
    <comment ref="E28" authorId="0" shapeId="0">
      <text>
        <t>Verificado el 12-09-2026 · Real Decreto 348/2011, de 11 de marzo, por el que se aprueba la norma de calidad para caramelos, chicles, confites y golosinas (BOE-A-2011-5394), texto consolidado · «Última mod... (Apartados 1.3, 1.3.1.3, 1.3.3 y 3.1.4 de la norma de calidad.) · https://www.boe.es/buscar/act.php?id=BOE-A-2011-5394</t>
      </text>
    </comment>
    <comment ref="E29" authorId="0" shapeId="0">
      <text>
        <t>Verificado el 12-09-2026 · Real Decreto 1055/2003, de 1 de agosto, por el que se aprueba la Reglamentación técnico-sanitaria sobre los productos de cacao y chocolate destinados a la alimentación humana (B... (La tabla de mínimos de los apartados 1.1 a 1.13 más 6.g) se ha cotejado fila a fila contra el consolidado:...) · https://www.boe.es/buscar/act.php?id=BOE-A-2003-15599</t>
      </text>
    </comment>
    <comment ref="E30" authorId="0" shapeId="0">
      <text>
        <t>Verificado el 12-09-2026 · Real Decreto 348/2011, de 11 de marzo, por el que se aprueba la norma de calidad para caramelos, chicles, confites y golosinas (BOE-A-2011-5394), texto consolidado · «Última mod... (Apartados 1.3, 1.3.1.3, 1.3.3 y 3.1.4 de la norma de calidad.) · https://www.boe.es/buscar/act.php?id=BOE-A-2011-5394</t>
      </text>
    </comment>
    <comment ref="E31" authorId="0" shapeId="0">
      <text>
        <t>Verificado el 12-09-2026 · Real Decreto 1055/2003, de 1 de agosto, por el que se aprueba la Reglamentación técnico-sanitaria sobre los productos de cacao y chocolate destinados a la alimentación humana (B... (Apartados 6.a) («sólo se aplicarán a los productos que en él figuran y deberán ser utilizadas en el comercio para d... · https://www.boe.es/buscar/act.php?id=BOE-A-2003-15599</t>
      </text>
    </comment>
    <comment ref="E32" authorId="0" shapeId="0">
      <text>
        <t>Verificado el 12-09-2026 · Real Decreto 1055/2003, de 1 de agosto, por el que se aprueba la Reglamentación técnico-sanitaria sobre los productos de cacao y chocolate destinados a la alimentación humana (B... (Apartados 6.a) («sólo se aplicarán a los productos que en él figuran y deberán ser utilizadas en el comercio para d... · https://www.boe.es/buscar/act.php?id=BOE-A-2003-15599</t>
      </text>
    </comment>
    <comment ref="E33" authorId="0" shapeId="0">
      <text>
        <t>Verificado el 12-09-2026 · Real Decreto 1055/2003, de 1 de agosto, por el que se aprueba la Reglamentación técnico-sanitaria sobre los productos de cacao y chocolate destinados a la alimentación humana (B... (Apartados 6.a) («sólo se aplicarán a los productos que en él figuran y deberán ser utilizadas en el comercio para d... · https://www.boe.es/buscar/act.php?id=BOE-A-2003-15599</t>
      </text>
    </comment>
    <comment ref="E34" authorId="0" shapeId="0">
      <text>
        <t>Verificado el 12-09-2026 · Real Decreto 1055/2003, de 1 de agosto, por el que se aprueba la Reglamentación técnico-sanitaria sobre los productos de cacao y chocolate destinados a la alimentación humana (B... (Apartados 6.a) («sólo se aplicarán a los productos que en él figuran y deberán ser utilizadas en el comercio para d... · https://www.boe.es/buscar/act.php?id=BOE-A-2003-15599</t>
      </text>
    </comment>
    <comment ref="B38" authorId="0" shapeId="0">
      <text>
        <t>Verificado el 12-09-2026 · Real Decreto 1055/2003, de 1 de agosto, por el que se aprueba la Reglamentación técnico-sanitaria sobre los productos de cacao y chocolate destinados a la alimentación humana (B... (Apartado 4.) · https://www.boe.es/buscar/act.php?id=BOE-A-2003-15599</t>
      </text>
    </comment>
    <comment ref="B39" authorId="0" shapeId="0">
      <text>
        <t>Verificado el 12-09-2026 · Real Decreto 1055/2003, de 1 de agosto, por el que se aprueba la Reglamentación técnico-sanitaria sobre los productos de cacao y chocolate destinados a la alimentación humana (B... (Apartados 1.11, 1.12 y 6.e).) · https://www.boe.es/buscar/act.php?id=BOE-A-2003-15599</t>
      </text>
    </comment>
    <comment ref="B40" authorId="0" shapeId="0">
      <text>
        <t>Verificado el 12-09-2026 · Real Decreto 1055/2003, de 1 de agosto, por el que se aprueba la Reglamentación técnico-sanitaria sobre los productos de cacao y chocolate destinados a la alimentación humana (B... (Apartados 1.11, 1.12 y 6.e).) · https://www.boe.es/buscar/act.php?id=BOE-A-2003-15599</t>
      </text>
    </comment>
    <comment ref="B41" authorId="0" shapeId="0">
      <text>
        <t>Verificado el 12-09-2026 · Real Decreto 1055/2003, de 1 de agosto, por el que se aprueba la Reglamentación técnico-sanitaria sobre los productos de cacao y chocolate destinados a la alimentación humana (B... (Apartados 1.11, 1.12 y 6.e).) · https://www.boe.es/buscar/act.php?id=BOE-A-2003-15599</t>
      </text>
    </comment>
    <comment ref="B53" authorId="0" shapeId="0">
      <text>
        <t>Verificado el 12-09-2026 · Real Decreto 1055/2003, de 1 de agosto, por el que se aprueba la Reglamentación técnico-sanitaria sobre los productos de cacao y chocolate destinados a la alimentación humana (B... (Apartados 3.1 y 3.2.) · https://www.boe.es/buscar/act.php?id=BOE-A-2003-15599</t>
      </text>
    </comment>
  </commentList>
</comments>
</file>

<file path=xl/comments/comment3.xml><?xml version="1.0" encoding="utf-8"?>
<comments xmlns="http://schemas.openxmlformats.org/spreadsheetml/2006/main">
  <authors>
    <author>AI Chef Pro</author>
  </authors>
  <commentList>
    <comment ref="C36" authorId="0" shapeId="0">
      <text>
        <t>CHS-29: Precio de venta al público del bombón artesano · fiabilidad media · https://www.confiteriagascon.com/bombones-artesanos-caja-mediana-20-unidades_pr385952</t>
      </text>
    </comment>
    <comment ref="D36" authorId="0" shapeId="0">
      <text>
        <t>CHS-29: Precio de venta al público del bombón artesano · fiabilidad media · https://www.confiteriagascon.com/bombones-artesanos-caja-mediana-20-unidades_pr385952</t>
      </text>
    </comment>
    <comment ref="E36" authorId="0" shapeId="0">
      <text>
        <t>CHS-29: Precio de venta al público del bombón artesano · fiabilidad media · https://www.confiteriagascon.com/bombones-artesanos-caja-mediana-20-unidades_pr385952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3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Carta de Apertura y Escandallo del Obrador de Bombonería</t>
        </is>
      </c>
    </row>
    <row r="2">
      <c r="A2" s="2" t="inlineStr">
        <is>
          <t>AI Chef Pro · aichef.pro — Cómo Montar una Chocolatería</t>
        </is>
      </c>
    </row>
    <row r="3">
      <c r="A3" s="3" t="inlineStr">
        <is>
          <t>Para qué sirve: decidir qué vendes, a cuánto, cómo lo puedes llamar y si la caja te gana o te cuesta dinero.</t>
        </is>
      </c>
    </row>
    <row r="4"/>
    <row r="5">
      <c r="A5" s="4" t="inlineStr">
        <is>
          <t>Instrucciones de uso</t>
        </is>
      </c>
    </row>
    <row r="6" ht="72" customHeight="1">
      <c r="A6" s="5" t="inlineStr">
        <is>
          <t>1. Hoja «Parámetros». Empieza por el bloque de personal de obrador: el coste de la hora de obrador NO es un dato del sector y no se teclea, se calcula con el bruto de tu convenio, las pagas, la jornada de cada persona y la Seguridad Social a cargo de la empresa. Justo debajo está el bloque del PRECIO DE COBERTURA, que viene del libro 3 y que es la celda más crítica de todo el paquete, y la tabla de precios de compra: es la única tabla donde se tocan los precios, y de ella beben las 42 líneas de las fórmulas de relleno.</t>
        </is>
      </c>
    </row>
    <row r="7" ht="72" customHeight="1">
      <c r="A7" s="5" t="inlineStr">
        <is>
          <t>2. Hoja «Denominaciones y Mínimos Legales». Dos capas, y no son lo mismo. La capa (a) la calcula el libro solo, con los gramos que tú metes en el escandallo: el porcentaje de chocolate sobre el PESO TOTAL de la pieza, con el relleno dentro. La capa (b) son tres celdas verdes por cobertura -materia seca total de cacao, manteca de cacao y materia seca desgrasada- que tienes que COPIAR de la ficha técnica de tu proveedor: la bolsa sólo trae el total, y la norma trabaja con las tres.</t>
        </is>
      </c>
    </row>
    <row r="8" ht="72" customHeight="1">
      <c r="A8" s="5" t="inlineStr">
        <is>
          <t>3. Hoja «Escandallo por Molde y Tanda». Arriba, las fórmulas de relleno: una línea por ingrediente, con la cantidad que entra en un kilo. Abajo, una fila por referencia con los gramos de chocolate y los gramos de relleno por pieza. El coste de materia sale solo. Las cajas no tienen escandallo propio: se componen de sus bombones.</t>
        </is>
      </c>
    </row>
    <row r="9" ht="72" customHeight="1">
      <c r="A9" s="5" t="inlineStr">
        <is>
          <t>4. Hoja «Merma de Templado y Recortes». Dos tasas por referencia, y son distintas a propósito: el chocolate limpio que recortas vuelve a la cuba y no se pierde; el que lleva ganache o fruta va a residuo. La hoja te dice cuántos kilos al año vuelven, cuántos se van y cuánto te cuesta eso.</t>
        </is>
      </c>
    </row>
    <row r="10" ht="72" customHeight="1">
      <c r="A10" s="5" t="inlineStr">
        <is>
          <t>5. Hoja «Coste Hora y Mano de Obra». Piezas por molde, moldes por tanda y minutos de la tanda. De ahí salen el coste de mano de obra por pieza, el coste total, el food cost, el margen en euros y el precio que te pide tu propia regla de margen. Es la hoja que enseña a dejar de regalar el trabajo del obrador.</t>
        </is>
      </c>
    </row>
    <row r="11" ht="72" customHeight="1">
      <c r="A11" s="5" t="inlineStr">
        <is>
          <t>6. Hoja «Unidad vs Caja». Escribe cuántos bombones de cada tipo lleva cada caja. El libro compara el precio de la caja con la suma de sus unidades sueltas y te dice si la caja te gana o te cuesta dinero. Y aquí sí entra la mano de obra de los bombones de dentro: una caja no cuesta sólo lo que cuesta montarla.</t>
        </is>
      </c>
    </row>
    <row r="12" ht="72" customHeight="1">
      <c r="A12" s="5" t="inlineStr">
        <is>
          <t>7. Hoja «Mix y Ticket Medio». Reparte el 100 % de tus unidades entre las 28 referencias, y otra vez para julio y agosto, que no se vende lo mismo. De ahí sale tu ticket medio, que no se copia de ningún estudio porque no existe un ticket medio publicado de chocolatería.</t>
        </is>
      </c>
    </row>
    <row r="13" ht="72" customHeight="1">
      <c r="A13" s="5" t="inlineStr">
        <is>
          <t>8. Hoja «Decisión de Surtido». Cruza margen y rotación y te dice qué mantener, a qué revisarle el precio y qué retirar. Repásala a los tres meses de abrir, con ventas reales, y otra vez al cambiar de temporada.</t>
        </is>
      </c>
    </row>
    <row r="14"/>
    <row r="15">
      <c r="A15" s="6" t="inlineStr">
        <is>
          <t>Celdas verdes = campos editables</t>
        </is>
      </c>
    </row>
    <row r="16"/>
    <row r="17">
      <c r="A17" s="4" t="inlineStr">
        <is>
          <t>Lo que conviene saber antes de empezar</t>
        </is>
      </c>
    </row>
    <row r="18" ht="86" customHeight="1">
      <c r="A18" s="5" t="inlineStr">
        <is>
          <t>EL 25 % DEL BOMBÓN SE CALCULA SOBRE EL PESO TOTAL, CON EL RELLENO DENTRO. La norma tiene DOS bases de cálculo opuestas y confundirlas cambia el veredicto: en los apartados 1.6 a 1.9, 1.11 y 1.12 los mínimos se calculan DESCONTANDO los ingredientes añadidos; en el 1.10 (chocolate relleno) y en el 1.13 (bombón) el contenido de chocolate se calcula SOBRE EL PESO TOTAL del producto acabado, relleno incluido. Calcular el 25 % del bombón descontando el relleno da un resultado más favorable que el legal y deja pasar una referencia que no cumple.</t>
        </is>
      </c>
    </row>
    <row r="19" ht="86" customHeight="1">
      <c r="A19" s="5" t="inlineStr">
        <is>
          <t>LA BOLSA DE COBERTURA NO TRAE LO QUE LA NORMA PIDE. Una bolsa publica «54,5 %» y nada más. La norma no trabaja con «% de cacao»: trabaja con materia seca TOTAL de cacao, manteca de cacao y materia seca DESGRASADA. Son tres magnitudes y están en la ficha técnica del proveedor, no en el envase. Pídesela: es la misma ficha que te va a pedir el libro de proveedores para el boletín de cadmio.</t>
        </is>
      </c>
    </row>
    <row r="20" ht="86" customHeight="1">
      <c r="A20" s="5" t="inlineStr">
        <is>
          <t>PRALINÉ NO ES UN NOMBRE COMERCIAL. El punto 10 de la parte A del Anexo I de la Directiva 2000/36/CE se titula «Bombón de chocolate o praliné»: es denominación de venta europea y le aplica el MISMO mínimo del 25 %. «Trufa», en cambio, no aparece ni una vez en el Real Decreto 1055/2003: es un TIPO de bombón, no una categoría legal.</t>
        </is>
      </c>
    </row>
    <row r="21" ht="86" customHeight="1">
      <c r="A21" s="5" t="inlineStr">
        <is>
          <t>EL RECORTE LIMPIO NO ES MERMA, Y EL QUE LLEVA GANACHE SÍ. Lo dice el propio Kit de Tareas Chocolatería: «El chocolate sin relleno y sin contaminar se puede refundir; el que lleva ganache o fruta, a residuo». Por eso este libro lleva DOS tasas por referencia. La recuperable no encarece la materia -vuelve a la cuba-, pero sí cuesta volver a templarla, y ese trabajo lo paga la mano de obra. La no recuperable se reparte entre las piezas que salen bien.</t>
        </is>
      </c>
    </row>
    <row r="22" ht="86" customHeight="1">
      <c r="A22" s="5" t="inlineStr">
        <is>
          <t>EL FOOD COST SE CALCULA CON LAS DOS PATAS EN LA MISMA BASE. El precio de cobertura publicado por el distribuidor viene CON IVA y el precio de la caja de bombones es un precio de mostrador, que también lo lleva. Un escandallo se calcula con precios SIN IVA, porque el soportado es deducible: con la base equivocada en un solo lado del cociente el food cost sale alrededor de un 9 % alto y el margen que crees tener no existe.</t>
        </is>
      </c>
    </row>
    <row r="23" ht="86" customHeight="1">
      <c r="A23" s="5" t="inlineStr">
        <is>
          <t>LA REGLA DEL MARGEN ES UNA SOLA, DICHA DE DOS FORMAS. Food cost del 30 % y margen bruto del 70 % son el mismo número visto del derecho y del revés. Por eso «Parámetros» te pide UNO y calcula el otro: cualquier herramienta que te pida los dos te va a dejar ponerlos incoherentes.</t>
        </is>
      </c>
    </row>
    <row r="24" ht="86" customHeight="1">
      <c r="A24" s="5" t="inlineStr">
        <is>
          <t>DÓNDE ESTÁ EL ESCANDALLO UNITARIO, QUE AQUÍ NO ESTÁ. El Kit de Escandallos trae una hoja de tarta de chocolate dentro de su libro de pastelería: costea una elaboración por unidad. Lo que no existe en el catálogo es el escandallo del obrador de bombonería -por molde y por tanda, con merma de templado, recorte recuperable y la caja como unidad de venta-, y eso es lo que construye esta guía. El método de costeo por lote y la ingeniería de menú son la Guía Food Cost, capítulo 17.</t>
        </is>
      </c>
    </row>
    <row r="25" ht="86" customHeight="1">
      <c r="A25" s="5" t="inlineStr">
        <is>
          <t>DÓNDE ESTÁN LAS CURVAS DE TEMPLADO, QUE AQUÍ TAMPOCO. Las curvas y las fichas de moldeado son del Kit de Tareas Chocolatería (12 €), hoja «Templado» de su 02-partidas-produccion.xlsx. Esta guía no repite la técnica: pone los euros. Y los tres tipos de cobertura con los que se monta el escandallo son los que el propio kit precarga: negra del 55 al 70 % de cacao, con leche del 35 al 40 % y blanca del 28 al 33 %.</t>
        </is>
      </c>
    </row>
    <row r="26" ht="86" customHeight="1">
      <c r="A26" s="5" t="inlineStr">
        <is>
          <t>LOS PRECIOS DE COMPRA DEL EJEMPLO SON DE UNA BOMBONERÍA MODELADA. Sólo dos están verificados con fuente: la cobertura de marca y la de origen. El resto son supuestos declarados, porque no hay precio público de materia prima de relleno. Bórralos y pon tus albaranes: un escandallo con precios de otro no vale nada.</t>
        </is>
      </c>
    </row>
    <row r="27"/>
    <row r="28" ht="62" customHeight="1">
      <c r="A28" s="5" t="inlineStr">
        <is>
          <t>Cada cuánto se usa este libro: el precio de la cobertura y los precios de compra, CADA VEZ que te suba un proveedor y como mínimo una vez al trimestre -y el del cacao se mueve solo, por eso tiene un libro entero para él-. El escandallo y los minutos de la tanda, al montar la carta y cada vez que cambies un proceso. Las denominaciones, UNA VEZ por referencia y siempre que cambies de cobertura. El mix, el ticket medio y la decisión de surtido, a los tres meses de abrir y luego cada temporada, con el mix de julio y agosto aparte.</t>
        </is>
      </c>
    </row>
    <row r="29"/>
    <row r="30" ht="30" customHeight="1">
      <c r="A30" s="5" t="inlineStr">
        <is>
          <t>Para editar la estructura o una celda que no esté en verde: Revisar &gt; Desproteger hoja (no tiene contraseña).</t>
        </is>
      </c>
    </row>
    <row r="31"/>
    <row r="32">
      <c r="A32" s="5" t="inlineStr">
        <is>
          <t>Diseñado por John Guerrero — chef y consultor gastronómico desde 2010, en cocina desde los 17 años.</t>
        </is>
      </c>
    </row>
    <row r="33">
      <c r="A33" s="7" t="inlineStr">
        <is>
          <t>Versión 1.0 · septiembre 2026 · aichef.pro/guia-chocolateria-obrador · info@aichef.pro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pageMargins left="0.39" right="0.39" top="0.59" bottom="0.59" header="0.5" footer="0.5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75"/>
  <sheetViews>
    <sheetView workbookViewId="0">
      <pane ySplit="47" topLeftCell="A48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22" customWidth="1" min="4" max="4"/>
    <col width="78" customWidth="1" min="5" max="5"/>
    <col width="16" customWidth="1" min="6" max="6"/>
    <col width="18" customWidth="1" min="7" max="7"/>
    <col width="46" customWidth="1" min="8" max="8"/>
  </cols>
  <sheetData>
    <row r="1">
      <c r="A1" s="1" t="inlineStr">
        <is>
          <t>Parámetros</t>
        </is>
      </c>
    </row>
    <row r="2">
      <c r="A2" s="2" t="inlineStr">
        <is>
          <t>AI Chef Pro · aichef.pro — Cómo Montar una Chocolatería</t>
        </is>
      </c>
    </row>
    <row r="3">
      <c r="A3" s="3" t="inlineStr">
        <is>
          <t>Todo lo que el resto de hojas da por sabido vive aquí. Ninguna fórmula de este libro lleva un número dentro.</t>
        </is>
      </c>
    </row>
    <row r="4"/>
    <row r="5">
      <c r="A5" s="4" t="inlineStr">
        <is>
          <t>Personal de obrador y coste de la hora (se CALCULA, no se teclea)</t>
        </is>
      </c>
    </row>
    <row r="6" ht="48" customHeight="1">
      <c r="A6" s="8" t="inlineStr">
        <is>
          <t>Perfil (nombre literal del Kit de Tareas Chocolatería)</t>
        </is>
      </c>
      <c r="B6" s="8" t="inlineStr">
        <is>
          <t>Jornada (1,0 = completa)</t>
        </is>
      </c>
      <c r="C6" s="8" t="inlineStr">
        <is>
          <t>Grupo del convenio</t>
        </is>
      </c>
      <c r="D6" s="8" t="inlineStr">
        <is>
          <t>Bruto mensual del grupo (EUR)</t>
        </is>
      </c>
      <c r="E6" s="8" t="inlineStr">
        <is>
          <t>Bruto anual con pagas y jornada (EUR)</t>
        </is>
      </c>
      <c r="F6" s="8" t="inlineStr">
        <is>
          <t>Coste de empresa con Seguridad Social (EUR)</t>
        </is>
      </c>
      <c r="G6" s="8" t="inlineStr">
        <is>
          <t>Horas productivas al año</t>
        </is>
      </c>
      <c r="H6" s="8" t="inlineStr">
        <is>
          <t>Nota</t>
        </is>
      </c>
    </row>
    <row r="7" ht="38" customHeight="1">
      <c r="A7" t="inlineStr">
        <is>
          <t>Encargado</t>
        </is>
      </c>
      <c r="B7" s="9" t="n">
        <v>1</v>
      </c>
      <c r="C7" t="inlineStr">
        <is>
          <t>2 - Dirección, jefes y encargados</t>
        </is>
      </c>
      <c r="D7" s="10" t="n">
        <v>1427.89</v>
      </c>
      <c r="E7" s="11">
        <f>D7*'Parámetros'!$B$11*B7</f>
        <v>21418.350000000002</v>
      </c>
      <c r="F7" s="11">
        <f>E7*(1+'Parámetros'!$B$12)</f>
        <v>28486.405500000004</v>
      </c>
      <c r="G7" s="12">
        <f>'Parámetros'!$B$13*B7*'Parámetros'!$B$14</f>
        <v>1513.0</v>
      </c>
      <c r="H7" s="13" t="inlineStr">
        <is>
          <t>Turno partido (08:00-13:00 y 17:00-20:00). Tabla salarial de Madrid, marcada EJEMPLO: sustitúyela por la de TU convenio.</t>
        </is>
      </c>
    </row>
    <row r="8" ht="38" customHeight="1">
      <c r="A8" t="inlineStr">
        <is>
          <t>Chocolatero</t>
        </is>
      </c>
      <c r="B8" s="9" t="n">
        <v>1</v>
      </c>
      <c r="C8" t="inlineStr">
        <is>
          <t>3 - Personal especialista</t>
        </is>
      </c>
      <c r="D8" s="10" t="n">
        <v>1376.91</v>
      </c>
      <c r="E8" s="11">
        <f>D8*'Parámetros'!$B$11*B8</f>
        <v>20653.65</v>
      </c>
      <c r="F8" s="11">
        <f>E8*(1+'Parámetros'!$B$12)</f>
        <v>27469.354500000005</v>
      </c>
      <c r="G8" s="12">
        <f>'Parámetros'!$B$13*B8*'Parámetros'!$B$14</f>
        <v>1513.0</v>
      </c>
      <c r="H8" s="13" t="inlineStr">
        <is>
          <t>Turno mañana (07:00-15:00). Tabla salarial de Madrid, marcada EJEMPLO: sustitúyela por la de TU convenio.</t>
        </is>
      </c>
    </row>
    <row r="9">
      <c r="A9" s="14" t="inlineStr">
        <is>
          <t>TOTAL del obrador</t>
        </is>
      </c>
      <c r="E9" s="15">
        <f>SUM(E7:E8)</f>
        <v>42072.0</v>
      </c>
      <c r="F9" s="15">
        <f>SUM(F7:F8)</f>
        <v>55955.76000000001</v>
      </c>
      <c r="G9" s="16">
        <f>SUM(G7:G8)</f>
        <v>3026.0</v>
      </c>
    </row>
    <row r="10"/>
    <row r="11" ht="42" customHeight="1">
      <c r="A11" s="5" t="inlineStr">
        <is>
          <t>Pagas del convenio al año</t>
        </is>
      </c>
      <c r="B11" s="17" t="n">
        <v>15</v>
      </c>
      <c r="C11" t="inlineStr">
        <is>
          <t>pagas</t>
        </is>
      </c>
      <c r="D11" s="18" t="inlineStr">
        <is>
          <t>CHN-65b</t>
        </is>
      </c>
      <c r="E11" s="13" t="inlineStr">
        <is>
          <t>El convenio de Madrid paga 15, no 14: cambia el coste mes a mes.</t>
        </is>
      </c>
    </row>
    <row r="12" ht="42" customHeight="1">
      <c r="A12" s="5" t="inlineStr">
        <is>
          <t>Seguridad Social a cargo de la empresa</t>
        </is>
      </c>
      <c r="B12" s="19" t="n">
        <v>0.33</v>
      </c>
      <c r="C12" t="inlineStr">
        <is>
          <t>sobre bruto</t>
        </is>
      </c>
      <c r="D12" s="18" t="inlineStr">
        <is>
          <t>motor.PARAMETROS</t>
        </is>
      </c>
      <c r="E12" s="13" t="inlineStr">
        <is>
          <t>Cotización empresarial aproximada sobre el bruto: contingencias comunes, desempleo, FOGASA y formación. Ajústala a tus contratos.</t>
        </is>
      </c>
    </row>
    <row r="13" ht="42" customHeight="1">
      <c r="A13" s="5" t="inlineStr">
        <is>
          <t>Horas anuales de contrato a jornada completa</t>
        </is>
      </c>
      <c r="B13" s="17" t="n">
        <v>1780</v>
      </c>
      <c r="C13" t="inlineStr">
        <is>
          <t>horas/año</t>
        </is>
      </c>
      <c r="D13" s="18" t="inlineStr">
        <is>
          <t>supuesto</t>
        </is>
      </c>
      <c r="E13" s="13" t="inlineStr">
        <is>
          <t>40 horas por 52 semanas son 2.080, menos 30 días naturales de vacaciones y los festivos del calendario laboral.</t>
        </is>
      </c>
    </row>
    <row r="14" ht="42" customHeight="1">
      <c r="A14" s="5" t="inlineStr">
        <is>
          <t>Parte de la jornada que se pasa a pie de mesa</t>
        </is>
      </c>
      <c r="B14" s="19" t="n">
        <v>0.85</v>
      </c>
      <c r="C14" t="inlineStr">
        <is>
          <t>sobre la jornada</t>
        </is>
      </c>
      <c r="D14" s="18" t="inlineStr">
        <is>
          <t>supuesto</t>
        </is>
      </c>
      <c r="E14" s="13" t="inlineStr">
        <is>
          <t>El resto es recepción, limpieza, formación y reuniones. Repartir el coste entre las horas de contrato en vez de entre las productivas abarata la hora de obrador y sale un margen que no existe.</t>
        </is>
      </c>
    </row>
    <row r="15" ht="42" customHeight="1">
      <c r="A15" s="5" t="inlineStr">
        <is>
          <t>COSTE DE LA HORA DE OBRADOR</t>
        </is>
      </c>
      <c r="B15" s="20">
        <f>IFERROR(F9/G9,"")</f>
        <v>18.49165895571712</v>
      </c>
      <c r="C15" t="inlineStr">
        <is>
          <t>EUR/hora productiva</t>
        </is>
      </c>
      <c r="D15" s="18" t="inlineStr">
        <is>
          <t>calculado</t>
        </is>
      </c>
      <c r="E15" s="13" t="inlineStr">
        <is>
          <t>Coste de empresa de las personas de obrador entre sus horas PRODUCTIVAS. Del bruto al coste de empresa hay un 33 %, y es el salto que más sorprende. No es el bruto ni el bruto con Seguridad Social.</t>
        </is>
      </c>
    </row>
    <row r="16"/>
    <row r="17">
      <c r="A17" s="4" t="inlineStr">
        <is>
          <t>IVA por familia (regla 3 de la SPEC)</t>
        </is>
      </c>
    </row>
    <row r="18" ht="42" customHeight="1">
      <c r="A18" s="5" t="inlineStr">
        <is>
          <t>IVA del chocolate (entrega de un bien)</t>
        </is>
      </c>
      <c r="B18" s="19" t="n">
        <v>0.1</v>
      </c>
      <c r="C18" t="inlineStr">
        <is>
          <t>sobre base</t>
        </is>
      </c>
      <c r="D18" s="18" t="inlineStr">
        <is>
          <t>CHN-71</t>
        </is>
      </c>
      <c r="E18" s="13" t="inlineStr">
        <is>
          <t>El chocolate va al 10 % POR EXCLUSIÓN, no porque un precepto lo nombre: la lista del 4 % es cerrada y tiene siete letras, y el chocolate no está en ninguna ni entre las dos exclusiones del 10 %.</t>
        </is>
      </c>
    </row>
    <row r="19" ht="42" customHeight="1">
      <c r="A19" s="5" t="inlineStr">
        <is>
          <t>IVA del chocolate a la taza servido en sala</t>
        </is>
      </c>
      <c r="B19" s="19" t="n">
        <v>0.1</v>
      </c>
      <c r="C19" t="inlineStr">
        <is>
          <t>sobre base</t>
        </is>
      </c>
      <c r="D19" s="18" t="inlineStr">
        <is>
          <t>CHN-71c</t>
        </is>
      </c>
      <c r="E19" s="13" t="inlineStr">
        <is>
          <t>Servirlo en sala es prestación de servicio de hostelería, no entrega de un bien: va al 10 % por el art. 91.Uno.2.2.º. Si mañana cambia uno de los dos tipos, el libro no se toca: se cambia aquí.</t>
        </is>
      </c>
    </row>
    <row r="20"/>
    <row r="21">
      <c r="A21" s="4" t="inlineStr">
        <is>
          <t>La regla del margen, que es UNA SOLA</t>
        </is>
      </c>
    </row>
    <row r="22" ht="42" customHeight="1">
      <c r="A22" s="5" t="inlineStr">
        <is>
          <t>Food cost objetivo (coste de materia sobre PVP)</t>
        </is>
      </c>
      <c r="B22" s="19" t="n">
        <v>0.3</v>
      </c>
      <c r="C22" t="inlineStr">
        <is>
          <t>sobre PVP sin IVA</t>
        </is>
      </c>
      <c r="D22" s="18" t="inlineStr">
        <is>
          <t>supuesto</t>
        </is>
      </c>
      <c r="E22" s="13" t="inlineStr">
        <is>
          <t>SUPUESTO declarado: no existe dato público de food cost de bombonería. Es el ÚNICO de los dos números que se teclea.</t>
        </is>
      </c>
    </row>
    <row r="23" ht="42" customHeight="1">
      <c r="A23" s="5" t="inlineStr">
        <is>
          <t>Margen bruto objetivo (se DERIVA del anterior)</t>
        </is>
      </c>
      <c r="B23" s="21">
        <f>1-'Parámetros'!$B$22</f>
        <v>0.7</v>
      </c>
      <c r="C23" t="inlineStr">
        <is>
          <t>sobre PVP sin IVA</t>
        </is>
      </c>
      <c r="D23" s="18" t="inlineStr">
        <is>
          <t>calculado</t>
        </is>
      </c>
      <c r="E23" s="13" t="inlineStr">
        <is>
          <t>Margen bruto y food cost son la misma regla dicha dos veces. Publicarlos como dos reglas independientes es un error de método: se pueden poner incoherentes y nadie se entera.</t>
        </is>
      </c>
    </row>
    <row r="24"/>
    <row r="25" ht="30" customHeight="1">
      <c r="A25" s="4" t="inlineStr">
        <is>
          <t>Precio de cobertura EN BASE IMPONIBLE: trae aquí la cifra de sensibilidad-al-precio-del-cacao.xlsx!Coste de Cobertura!G7 (negra; G8/G9/G10 para origen/leche/blanca en la fila de cada una, columna de base imponible, nunca la de base con IVA)</t>
        </is>
      </c>
      <c r="H25" s="22" t="inlineStr">
        <is>
          <t>Cruce 4 &lt;- 3 de la SPEC: celda verde con su valor por defecto declarado y fila de CUADRE. NO hay fórmula entre ficheros.</t>
        </is>
      </c>
    </row>
    <row r="26" ht="48" customHeight="1">
      <c r="A26" s="8" t="inlineStr">
        <is>
          <t>Cobertura</t>
        </is>
      </c>
      <c r="B26" s="8" t="inlineStr">
        <is>
          <t>Precio en BASE IMPONIBLE traído del libro 3 (EUR/kg)</t>
        </is>
      </c>
      <c r="C26" s="8" t="inlineStr">
        <is>
          <t>Precio que publica hoy el libro 3 (EUR/kg)</t>
        </is>
      </c>
      <c r="D26" s="8" t="inlineStr">
        <is>
          <t>Desviación</t>
        </is>
      </c>
      <c r="E26" s="8" t="inlineStr">
        <is>
          <t>Base de IVA de la fuente, y nota</t>
        </is>
      </c>
      <c r="F26" s="8" t="inlineStr">
        <is>
          <t>Celda exacta del libro 3</t>
        </is>
      </c>
    </row>
    <row r="27" ht="44" customHeight="1">
      <c r="A27" s="5" t="inlineStr">
        <is>
          <t>Cobertura de chocolate negro (marca, 54,5 % de cacao)</t>
        </is>
      </c>
      <c r="B27" s="23" t="n">
        <v>22.7455</v>
      </c>
      <c r="C27" s="23" t="n">
        <v>22.7455</v>
      </c>
      <c r="D27" s="24">
        <f>IFERROR(ABS(B27-C27)/C27,"")</f>
        <v>0.0</v>
      </c>
      <c r="E27" s="13" t="inlineStr">
        <is>
          <t>Base de la fuente: con IVA. LA CELDA MAS CRITICA DEL PAQUETE. Base CON IVA declarada por la ficha (`CHS-28a`): el libro 3 la publica en las dos bases y lo que viaja al 4 y al 7 es la base imponible. Las tres magnitudes de arriba son SUPUESTO: pidesela a tu proveedor, la bolsa solo trae el total.</t>
        </is>
      </c>
      <c r="F27" s="5" t="inlineStr">
        <is>
          <t>Coste de Cobertura!G7 (cacao del 55 al 70 % según el kit)</t>
        </is>
      </c>
    </row>
    <row r="28" ht="44" customHeight="1">
      <c r="A28" s="5" t="inlineStr">
        <is>
          <t>Cobertura de chocolate de origen (70 % de cacao)</t>
        </is>
      </c>
      <c r="B28" s="23" t="n">
        <v>37.48</v>
      </c>
      <c r="C28" s="23" t="n">
        <v>37.48</v>
      </c>
      <c r="D28" s="24">
        <f>IFERROR(ABS(B28-C28)/C28,"")</f>
        <v>0.0</v>
      </c>
      <c r="E28" s="13" t="inlineStr">
        <is>
          <t>Base de la fuente: no declarada. Factor 1,5 frente a la de marca, y es la decisión de posicionamiento mas cara del negocio (decisión 5 del bonus 2). La pagina no declara si el precio lleva IVA: se trata como base imponible y se marca.</t>
        </is>
      </c>
      <c r="F28" s="5" t="inlineStr">
        <is>
          <t>Coste de Cobertura!G8 (cacao del 55 al 70 % según el kit)</t>
        </is>
      </c>
    </row>
    <row r="29" ht="44" customHeight="1">
      <c r="A29" s="5" t="inlineStr">
        <is>
          <t>Cobertura de chocolate con leche (38 % de cacao)</t>
        </is>
      </c>
      <c r="B29" s="23" t="n">
        <v>19.5</v>
      </c>
      <c r="C29" s="23" t="n">
        <v>19.5</v>
      </c>
      <c r="D29" s="24">
        <f>IFERROR(ABS(B29-C29)/C29,"")</f>
        <v>0.0</v>
      </c>
      <c r="E29" s="13" t="inlineStr">
        <is>
          <t>Base de la fuente: sin IVA. SUPUESTO declarado: no hay precio verificado de cobertura con leche en el research. Celda verde con valor por defecto (regla 2 de §2.3: ninguna celda verde vacia).</t>
        </is>
      </c>
      <c r="F29" s="5" t="inlineStr">
        <is>
          <t>Coste de Cobertura!G9 (cacao del 35 al 40 % según el kit)</t>
        </is>
      </c>
    </row>
    <row r="30" ht="44" customHeight="1">
      <c r="A30" s="5" t="inlineStr">
        <is>
          <t>Cobertura de chocolate blanco (30 % de cacao)</t>
        </is>
      </c>
      <c r="B30" s="23" t="n">
        <v>21</v>
      </c>
      <c r="C30" s="23" t="n">
        <v>21</v>
      </c>
      <c r="D30" s="24">
        <f>IFERROR(ABS(B30-C30)/C30,"")</f>
        <v>0.0</v>
      </c>
      <c r="E30" s="13" t="inlineStr">
        <is>
          <t>Base de la fuente: sin IVA. SUPUESTO declarado. Ojo al chocolate blanco: NO lleva materia seca desgrasada de cacao, y por eso el art. 6.d) del RD 1055/2003 NO le obliga a la mención «cacao: X % mínimo» (`CHN-07`).</t>
        </is>
      </c>
      <c r="F30" s="5" t="inlineStr">
        <is>
          <t>Coste de Cobertura!G10 (cacao del 28 al 33 % según el kit)</t>
        </is>
      </c>
    </row>
    <row r="31">
      <c r="A31" s="14" t="inlineStr">
        <is>
          <t>CUADRE: lo que has traído frente a lo que publica el libro 3</t>
        </is>
      </c>
      <c r="B31" s="25">
        <f>MAX(D27:D30)</f>
        <v>0.0</v>
      </c>
      <c r="C31" t="inlineStr">
        <is>
          <t>desviación máxima</t>
        </is>
      </c>
      <c r="D31" s="14" t="str">
        <f>IF(NOT(ISNUMBER(B31)),"",IF(B31&lt;='Parámetros'!$B$40,"CUADRA","REVISA: lo que has traído no es lo que publica el libro 3"))</f>
        <v>CUADRA</v>
      </c>
      <c r="E31" s="13" t="inlineStr">
        <is>
          <t>Si el libro 3 cambia de escenario de precio, cambian las dos columnas. Esta fila existe para que no se quede una sola.</t>
        </is>
      </c>
    </row>
    <row r="32"/>
    <row r="33">
      <c r="A33" s="4" t="inlineStr">
        <is>
          <t>Volumen, packaging y umbrales</t>
        </is>
      </c>
    </row>
    <row r="34" ht="42" customHeight="1">
      <c r="A34" s="5" t="inlineStr">
        <is>
          <t>Clientes al día en velocidad de crucero</t>
        </is>
      </c>
      <c r="B34" s="17" t="n">
        <v>67</v>
      </c>
      <c r="C34" t="inlineStr">
        <is>
          <t>clientes/día</t>
        </is>
      </c>
      <c r="D34" s="18" t="inlineStr">
        <is>
          <t>supuesto</t>
        </is>
      </c>
      <c r="E34" s="13" t="inlineStr">
        <is>
          <t>NO es un dato del sector: no existe ticket medio publicado de chocolatería. Mídelo con tu TPV en dos semanas.</t>
        </is>
      </c>
    </row>
    <row r="35" ht="42" customHeight="1">
      <c r="A35" s="5" t="inlineStr">
        <is>
          <t>Piezas por ticket</t>
        </is>
      </c>
      <c r="B35" s="9" t="n">
        <v>1.4</v>
      </c>
      <c r="C35" t="inlineStr">
        <is>
          <t>piezas/ticket</t>
        </is>
      </c>
      <c r="D35" s="18" t="inlineStr">
        <is>
          <t>supuesto</t>
        </is>
      </c>
      <c r="E35" s="13" t="inlineStr">
        <is>
          <t>En bombonería es BAJO porque la unidad de venta real es la caja: quien entra a por un regalo se lleva UNA caja, no ocho bombones.</t>
        </is>
      </c>
    </row>
    <row r="36" ht="42" customHeight="1">
      <c r="A36" s="5" t="inlineStr">
        <is>
          <t>Días de apertura al año</t>
        </is>
      </c>
      <c r="B36" s="17" t="n">
        <v>304</v>
      </c>
      <c r="C36" t="inlineStr">
        <is>
          <t>días</t>
        </is>
      </c>
      <c r="D36" s="18" t="inlineStr">
        <is>
          <t>supuesto</t>
        </is>
      </c>
      <c r="E36" s="13" t="inlineStr">
        <is>
          <t>6 días por semana x 52 semanas = 312, menos 8 días de cierre por festivos = 304. En agosto la TIENDA NO CIERRA: lo que para es el obrador (D36, y el literal del kit dice «la tienda abre para el turista aunque el obrador pare»). Una bombonería de menos de 300 m² tiene libertad horaria por el art. 5.2 de la Ley 1/2004, no por el 5.1 (`CHN-77`).</t>
        </is>
      </c>
    </row>
    <row r="37" ht="42" customHeight="1">
      <c r="A37" s="5" t="inlineStr">
        <is>
          <t>Piezas vendidas al día</t>
        </is>
      </c>
      <c r="B37" s="26">
        <f>IFERROR('Parámetros'!$B$34*'Parámetros'!$B$35,"")</f>
        <v>93.8</v>
      </c>
      <c r="C37" t="inlineStr">
        <is>
          <t>piezas/día</t>
        </is>
      </c>
      <c r="D37" s="18" t="inlineStr">
        <is>
          <t>calculado</t>
        </is>
      </c>
      <c r="E37" s="13" t="inlineStr">
        <is>
          <t>Clientes al día por piezas por ticket.</t>
        </is>
      </c>
    </row>
    <row r="38" ht="42" customHeight="1">
      <c r="A38" s="5" t="inlineStr">
        <is>
          <t>Piezas vendidas al año</t>
        </is>
      </c>
      <c r="B38" s="27">
        <f>IFERROR('Parámetros'!$B$37*'Parámetros'!$B$36,"")</f>
        <v>28515.2</v>
      </c>
      <c r="C38" t="inlineStr">
        <is>
          <t>piezas/año</t>
        </is>
      </c>
      <c r="D38" s="18" t="inlineStr">
        <is>
          <t>calculado</t>
        </is>
      </c>
      <c r="E38" s="13" t="inlineStr">
        <is>
          <t>Es el volumen con el que la hoja de merma pasa de euros por pieza a euros al año, y el que reparte el mix en unidades.</t>
        </is>
      </c>
    </row>
    <row r="39" ht="42" customHeight="1">
      <c r="A39" s="5" t="inlineStr">
        <is>
          <t>Packaging sobre el coste de la pieza</t>
        </is>
      </c>
      <c r="B39" s="19" t="n">
        <v>0.12</v>
      </c>
      <c r="C39" t="inlineStr">
        <is>
          <t>sobre el coste</t>
        </is>
      </c>
      <c r="D39" s="18" t="inlineStr">
        <is>
          <t>supuesto</t>
        </is>
      </c>
      <c r="E39" s="13" t="inlineStr">
        <is>
          <t>En bombonería pesa más que en pastelería: en las campañas de regalo la caja ES el producto. Es lo que separa el food cost de escandallo del food cost servido.</t>
        </is>
      </c>
    </row>
    <row r="40" ht="42" customHeight="1">
      <c r="A40" s="5" t="inlineStr">
        <is>
          <t>Tolerancia de las filas de CUADRE</t>
        </is>
      </c>
      <c r="B40" s="19" t="n">
        <v>0.02</v>
      </c>
      <c r="C40" t="inlineStr">
        <is>
          <t>desviación</t>
        </is>
      </c>
      <c r="D40" s="18" t="inlineStr">
        <is>
          <t>supuesto</t>
        </is>
      </c>
      <c r="E40" s="13" t="inlineStr">
        <is>
          <t>Por encima de esta desviación, la fila de CUADRE avisa de que lo que has traído de otro libro ya no es lo que aquel publica.</t>
        </is>
      </c>
    </row>
    <row r="41" ht="42" customHeight="1">
      <c r="A41" s="5" t="inlineStr">
        <is>
          <t>Food cost por encima del cual la hoja avisa</t>
        </is>
      </c>
      <c r="B41" s="19" t="n">
        <v>0.35</v>
      </c>
      <c r="C41" t="inlineStr">
        <is>
          <t>sobre PVP</t>
        </is>
      </c>
      <c r="D41" s="18" t="inlineStr">
        <is>
          <t>supuesto</t>
        </is>
      </c>
      <c r="E41" s="13" t="inlineStr">
        <is>
          <t>Criterio de la casa, no del sector. Una referencia por encima no es necesariamente mala: puede ser la que trae gente. Pero tiene que ser una decisión, no un descuido.</t>
        </is>
      </c>
    </row>
    <row r="42" ht="42" customHeight="1">
      <c r="A42" s="5" t="inlineStr">
        <is>
          <t>Rotación mínima para no revisar una referencia</t>
        </is>
      </c>
      <c r="B42" s="9" t="n">
        <v>2</v>
      </c>
      <c r="C42" t="inlineStr">
        <is>
          <t>% del mix</t>
        </is>
      </c>
      <c r="D42" s="18" t="inlineStr">
        <is>
          <t>supuesto</t>
        </is>
      </c>
      <c r="E42" s="13" t="inlineStr">
        <is>
          <t>Por debajo de este peso en el mix, la referencia entra en la decisión de surtido aunque tenga buen margen: ocupa molde, cámara y cabeza.</t>
        </is>
      </c>
    </row>
    <row r="43" ht="42" customHeight="1">
      <c r="A43" s="5" t="inlineStr">
        <is>
          <t>Merma NO recuperable por encima de la cual avisa</t>
        </is>
      </c>
      <c r="B43" s="19" t="n">
        <v>0.05</v>
      </c>
      <c r="C43" t="inlineStr">
        <is>
          <t>sobre la tanda</t>
        </is>
      </c>
      <c r="D43" s="18" t="inlineStr">
        <is>
          <t>supuesto</t>
        </is>
      </c>
      <c r="E43" s="13" t="inlineStr">
        <is>
          <t>La recuperable no dispara nada: vuelve a la cuba. La que se tira, sí.</t>
        </is>
      </c>
    </row>
    <row r="44" ht="42" customHeight="1">
      <c r="A44" s="5" t="inlineStr">
        <is>
          <t>Margen mínimo por pieza</t>
        </is>
      </c>
      <c r="B44" s="10" t="n">
        <v>0.9</v>
      </c>
      <c r="C44" t="inlineStr">
        <is>
          <t>EUR/pieza</t>
        </is>
      </c>
      <c r="D44" s="18" t="inlineStr">
        <is>
          <t>supuesto</t>
        </is>
      </c>
      <c r="E44" s="13" t="inlineStr">
        <is>
          <t>Umbral de la decisión de surtido. Es el margen en EUROS, no el porcentaje: un 70 % sobre una pieza de 0,40 EUR no paga el alquiler.</t>
        </is>
      </c>
    </row>
    <row r="45"/>
    <row r="46">
      <c r="A46" s="4" t="inlineStr">
        <is>
          <t>Precios de compra: la ÚNICA tabla donde se tocan los precios</t>
        </is>
      </c>
    </row>
    <row r="47" ht="32" customHeight="1">
      <c r="A47" s="8" t="inlineStr">
        <is>
          <t>Ingrediente</t>
        </is>
      </c>
      <c r="B47" s="8" t="inlineStr">
        <is>
          <t>Precio de compra SIN IVA (EUR)</t>
        </is>
      </c>
      <c r="C47" s="8" t="inlineStr">
        <is>
          <t>Unidad de compra</t>
        </is>
      </c>
      <c r="D47" s="8" t="inlineStr">
        <is>
          <t>De dónde sale</t>
        </is>
      </c>
      <c r="E47" s="8" t="inlineStr">
        <is>
          <t>Nota</t>
        </is>
      </c>
    </row>
    <row r="48" ht="30" customHeight="1">
      <c r="A48" t="inlineStr">
        <is>
          <t>Almendra marcona repelada</t>
        </is>
      </c>
      <c r="B48" s="23" t="n">
        <v>12.4</v>
      </c>
      <c r="C48" t="inlineStr">
        <is>
          <t>kg</t>
        </is>
      </c>
      <c r="D48" s="18" t="inlineStr">
        <is>
          <t>supuesto</t>
        </is>
      </c>
      <c r="E48" s="13" t="inlineStr">
        <is>
          <t>SUPUESTO declarado: el research no verificó ningún precio de materia prima de relleno. Ponlo de tu albarán.</t>
        </is>
      </c>
    </row>
    <row r="49" ht="30" customHeight="1">
      <c r="A49" t="inlineStr">
        <is>
          <t>Almidón de maíz</t>
        </is>
      </c>
      <c r="B49" s="23" t="n">
        <v>2.1</v>
      </c>
      <c r="C49" t="inlineStr">
        <is>
          <t>kg</t>
        </is>
      </c>
      <c r="D49" s="18" t="inlineStr">
        <is>
          <t>supuesto</t>
        </is>
      </c>
      <c r="E49" s="13" t="inlineStr">
        <is>
          <t>SUPUESTO declarado: el research no verificó ningún precio de materia prima de relleno. Ponlo de tu albarán.</t>
        </is>
      </c>
    </row>
    <row r="50" ht="30" customHeight="1">
      <c r="A50" t="inlineStr">
        <is>
          <t>Avellana tostada</t>
        </is>
      </c>
      <c r="B50" s="23" t="n">
        <v>13.9</v>
      </c>
      <c r="C50" t="inlineStr">
        <is>
          <t>kg</t>
        </is>
      </c>
      <c r="D50" s="18" t="inlineStr">
        <is>
          <t>supuesto</t>
        </is>
      </c>
      <c r="E50" s="13" t="inlineStr">
        <is>
          <t>SUPUESTO declarado: el research no verificó ningún precio de materia prima de relleno. Ponlo de tu albarán.</t>
        </is>
      </c>
    </row>
    <row r="51" ht="30" customHeight="1">
      <c r="A51" t="inlineStr">
        <is>
          <t>Azucar</t>
        </is>
      </c>
      <c r="B51" s="23" t="n">
        <v>1.15</v>
      </c>
      <c r="C51" t="inlineStr">
        <is>
          <t>kg</t>
        </is>
      </c>
      <c r="D51" s="18" t="inlineStr">
        <is>
          <t>supuesto</t>
        </is>
      </c>
      <c r="E51" s="13" t="inlineStr">
        <is>
          <t>SUPUESTO declarado: el research no verificó ningún precio de materia prima de relleno. Ponlo de tu albarán.</t>
        </is>
      </c>
    </row>
    <row r="52" ht="30" customHeight="1">
      <c r="A52" t="inlineStr">
        <is>
          <t>Barquillo triturado</t>
        </is>
      </c>
      <c r="B52" s="23" t="n">
        <v>7.6</v>
      </c>
      <c r="C52" t="inlineStr">
        <is>
          <t>kg</t>
        </is>
      </c>
      <c r="D52" s="18" t="inlineStr">
        <is>
          <t>supuesto</t>
        </is>
      </c>
      <c r="E52" s="13" t="inlineStr">
        <is>
          <t>SUPUESTO declarado: el research no verificó ningún precio de materia prima de relleno. Ponlo de tu albarán.</t>
        </is>
      </c>
    </row>
    <row r="53" ht="30" customHeight="1">
      <c r="A53" t="inlineStr">
        <is>
          <t>Cacao en polvo desgrasado</t>
        </is>
      </c>
      <c r="B53" s="23" t="n">
        <v>11.5</v>
      </c>
      <c r="C53" t="inlineStr">
        <is>
          <t>kg</t>
        </is>
      </c>
      <c r="D53" s="18" t="inlineStr">
        <is>
          <t>supuesto</t>
        </is>
      </c>
      <c r="E53" s="13" t="inlineStr">
        <is>
          <t>SUPUESTO declarado: el research no verificó ningún precio de materia prima de relleno. Ponlo de tu albarán.</t>
        </is>
      </c>
    </row>
    <row r="54" ht="30" customHeight="1">
      <c r="A54" t="inlineStr">
        <is>
          <t>Cobertura blanca</t>
        </is>
      </c>
      <c r="B54" s="28">
        <f>B30</f>
        <v>21.0</v>
      </c>
      <c r="C54" t="inlineStr">
        <is>
          <t>kg</t>
        </is>
      </c>
      <c r="D54" s="18" t="inlineStr">
        <is>
          <t>supuesto</t>
        </is>
      </c>
      <c r="E54" s="13" t="inlineStr">
        <is>
          <t>Un concepto, una fuente: el precio de esta cobertura vive en el bloque de arriba, que es el que trae la cifra del libro 3. No se teclea dos veces.</t>
        </is>
      </c>
    </row>
    <row r="55" ht="30" customHeight="1">
      <c r="A55" t="inlineStr">
        <is>
          <t>Cobertura con leche</t>
        </is>
      </c>
      <c r="B55" s="28">
        <f>B29</f>
        <v>19.5</v>
      </c>
      <c r="C55" t="inlineStr">
        <is>
          <t>kg</t>
        </is>
      </c>
      <c r="D55" s="18" t="inlineStr">
        <is>
          <t>supuesto</t>
        </is>
      </c>
      <c r="E55" s="13" t="inlineStr">
        <is>
          <t>Un concepto, una fuente: el precio de esta cobertura vive en el bloque de arriba, que es el que trae la cifra del libro 3. No se teclea dos veces.</t>
        </is>
      </c>
    </row>
    <row r="56" ht="30" customHeight="1">
      <c r="A56" t="inlineStr">
        <is>
          <t>Cobertura de origen</t>
        </is>
      </c>
      <c r="B56" s="28">
        <f>B28</f>
        <v>37.48</v>
      </c>
      <c r="C56" t="inlineStr">
        <is>
          <t>kg</t>
        </is>
      </c>
      <c r="D56" s="18" t="inlineStr">
        <is>
          <t>CHS-28c</t>
        </is>
      </c>
      <c r="E56" s="13" t="inlineStr">
        <is>
          <t>Un concepto, una fuente: el precio de esta cobertura vive en el bloque de arriba, que es el que trae la cifra del libro 3. No se teclea dos veces.</t>
        </is>
      </c>
    </row>
    <row r="57" ht="30" customHeight="1">
      <c r="A57" t="inlineStr">
        <is>
          <t>Cobertura negra</t>
        </is>
      </c>
      <c r="B57" s="28">
        <f>B27</f>
        <v>22.7455</v>
      </c>
      <c r="C57" t="inlineStr">
        <is>
          <t>kg</t>
        </is>
      </c>
      <c r="D57" s="18" t="inlineStr">
        <is>
          <t>CHS-28a</t>
        </is>
      </c>
      <c r="E57" s="13" t="inlineStr">
        <is>
          <t>Un concepto, una fuente: el precio de esta cobertura vive en el bloque de arriba, que es el que trae la cifra del libro 3. No se teclea dos veces.</t>
        </is>
      </c>
    </row>
    <row r="58" ht="30" customHeight="1">
      <c r="A58" t="inlineStr">
        <is>
          <t>Glucosa</t>
        </is>
      </c>
      <c r="B58" s="23" t="n">
        <v>3.4</v>
      </c>
      <c r="C58" t="inlineStr">
        <is>
          <t>kg</t>
        </is>
      </c>
      <c r="D58" s="18" t="inlineStr">
        <is>
          <t>supuesto</t>
        </is>
      </c>
      <c r="E58" s="13" t="inlineStr">
        <is>
          <t>SUPUESTO declarado: el research no verificó ningún precio de materia prima de relleno. Ponlo de tu albarán.</t>
        </is>
      </c>
    </row>
    <row r="59" ht="30" customHeight="1">
      <c r="A59" t="inlineStr">
        <is>
          <t>Leche en polvo desnatada</t>
        </is>
      </c>
      <c r="B59" s="23" t="n">
        <v>6.4</v>
      </c>
      <c r="C59" t="inlineStr">
        <is>
          <t>kg</t>
        </is>
      </c>
      <c r="D59" s="18" t="inlineStr">
        <is>
          <t>supuesto</t>
        </is>
      </c>
      <c r="E59" s="13" t="inlineStr">
        <is>
          <t>SUPUESTO declarado: el research no verificó ningún precio de materia prima de relleno. Ponlo de tu albarán.</t>
        </is>
      </c>
    </row>
    <row r="60" ht="30" customHeight="1">
      <c r="A60" t="inlineStr">
        <is>
          <t>Manteca de cacao</t>
        </is>
      </c>
      <c r="B60" s="23" t="n">
        <v>18.6</v>
      </c>
      <c r="C60" t="inlineStr">
        <is>
          <t>kg</t>
        </is>
      </c>
      <c r="D60" s="18" t="inlineStr">
        <is>
          <t>supuesto</t>
        </is>
      </c>
      <c r="E60" s="13" t="inlineStr">
        <is>
          <t>SUPUESTO declarado: el research no verificó ningún precio de materia prima de relleno. Ponlo de tu albarán.</t>
        </is>
      </c>
    </row>
    <row r="61" ht="30" customHeight="1">
      <c r="A61" t="inlineStr">
        <is>
          <t>Mantequilla</t>
        </is>
      </c>
      <c r="B61" s="23" t="n">
        <v>9.800000000000001</v>
      </c>
      <c r="C61" t="inlineStr">
        <is>
          <t>kg</t>
        </is>
      </c>
      <c r="D61" s="18" t="inlineStr">
        <is>
          <t>supuesto</t>
        </is>
      </c>
      <c r="E61" s="13" t="inlineStr">
        <is>
          <t>SUPUESTO declarado: el research no verificó ningún precio de materia prima de relleno. Ponlo de tu albarán.</t>
        </is>
      </c>
    </row>
    <row r="62" ht="30" customHeight="1">
      <c r="A62" t="inlineStr">
        <is>
          <t>Naranja confitada</t>
        </is>
      </c>
      <c r="B62" s="23" t="n">
        <v>9.199999999999999</v>
      </c>
      <c r="C62" t="inlineStr">
        <is>
          <t>kg</t>
        </is>
      </c>
      <c r="D62" s="18" t="inlineStr">
        <is>
          <t>supuesto</t>
        </is>
      </c>
      <c r="E62" s="13" t="inlineStr">
        <is>
          <t>SUPUESTO declarado: el research no verificó ningún precio de materia prima de relleno. Ponlo de tu albarán.</t>
        </is>
      </c>
    </row>
    <row r="63" ht="30" customHeight="1">
      <c r="A63" t="inlineStr">
        <is>
          <t>Nata 35 % MG UHT</t>
        </is>
      </c>
      <c r="B63" s="23" t="n">
        <v>3.1</v>
      </c>
      <c r="C63" t="inlineStr">
        <is>
          <t>L</t>
        </is>
      </c>
      <c r="D63" s="18" t="inlineStr">
        <is>
          <t>supuesto</t>
        </is>
      </c>
      <c r="E63" s="13" t="inlineStr">
        <is>
          <t>SUPUESTO declarado: el research no verificó ningún precio de materia prima de relleno. Ponlo de tu albarán.</t>
        </is>
      </c>
    </row>
    <row r="64" ht="30" customHeight="1">
      <c r="A64" t="inlineStr">
        <is>
          <t>Nata 35 % MG fresca</t>
        </is>
      </c>
      <c r="B64" s="23" t="n">
        <v>4.2</v>
      </c>
      <c r="C64" t="inlineStr">
        <is>
          <t>L</t>
        </is>
      </c>
      <c r="D64" s="18" t="inlineStr">
        <is>
          <t>supuesto</t>
        </is>
      </c>
      <c r="E64" s="13" t="inlineStr">
        <is>
          <t>SUPUESTO declarado: el research no verificó ningún precio de materia prima de relleno. Ponlo de tu albarán.</t>
        </is>
      </c>
    </row>
    <row r="65" ht="30" customHeight="1">
      <c r="A65" t="inlineStr">
        <is>
          <t>Pasta de sésamo</t>
        </is>
      </c>
      <c r="B65" s="23" t="n">
        <v>8.9</v>
      </c>
      <c r="C65" t="inlineStr">
        <is>
          <t>kg</t>
        </is>
      </c>
      <c r="D65" s="18" t="inlineStr">
        <is>
          <t>supuesto</t>
        </is>
      </c>
      <c r="E65" s="13" t="inlineStr">
        <is>
          <t>SUPUESTO declarado: el research no verificó ningún precio de materia prima de relleno. Ponlo de tu albarán.</t>
        </is>
      </c>
    </row>
    <row r="66" ht="30" customHeight="1">
      <c r="A66" t="inlineStr">
        <is>
          <t>Pasta pura de avellana</t>
        </is>
      </c>
      <c r="B66" s="23" t="n">
        <v>22.5</v>
      </c>
      <c r="C66" t="inlineStr">
        <is>
          <t>kg</t>
        </is>
      </c>
      <c r="D66" s="18" t="inlineStr">
        <is>
          <t>supuesto</t>
        </is>
      </c>
      <c r="E66" s="13" t="inlineStr">
        <is>
          <t>SUPUESTO declarado: el research no verificó ningún precio de materia prima de relleno. Ponlo de tu albarán.</t>
        </is>
      </c>
    </row>
    <row r="67" ht="30" customHeight="1">
      <c r="A67" t="inlineStr">
        <is>
          <t>Praline de avellana 50 %</t>
        </is>
      </c>
      <c r="B67" s="23" t="n">
        <v>14.8</v>
      </c>
      <c r="C67" t="inlineStr">
        <is>
          <t>kg</t>
        </is>
      </c>
      <c r="D67" s="18" t="inlineStr">
        <is>
          <t>supuesto</t>
        </is>
      </c>
      <c r="E67" s="13" t="inlineStr">
        <is>
          <t>SUPUESTO declarado: el research no verificó ningún precio de materia prima de relleno. Ponlo de tu albarán.</t>
        </is>
      </c>
    </row>
    <row r="68" ht="30" customHeight="1">
      <c r="A68" t="inlineStr">
        <is>
          <t>Praline de cacahuete 50 %</t>
        </is>
      </c>
      <c r="B68" s="23" t="n">
        <v>9.6</v>
      </c>
      <c r="C68" t="inlineStr">
        <is>
          <t>kg</t>
        </is>
      </c>
      <c r="D68" s="18" t="inlineStr">
        <is>
          <t>supuesto</t>
        </is>
      </c>
      <c r="E68" s="13" t="inlineStr">
        <is>
          <t>SUPUESTO declarado: el research no verificó ningún precio de materia prima de relleno. Ponlo de tu albarán.</t>
        </is>
      </c>
    </row>
    <row r="69" ht="30" customHeight="1">
      <c r="A69" t="inlineStr">
        <is>
          <t>Ron anejo</t>
        </is>
      </c>
      <c r="B69" s="23" t="n">
        <v>16</v>
      </c>
      <c r="C69" t="inlineStr">
        <is>
          <t>L</t>
        </is>
      </c>
      <c r="D69" s="18" t="inlineStr">
        <is>
          <t>supuesto</t>
        </is>
      </c>
      <c r="E69" s="13" t="inlineStr">
        <is>
          <t>SUPUESTO declarado: el research no verificó ningún precio de materia prima de relleno. Ponlo de tu albarán.</t>
        </is>
      </c>
    </row>
    <row r="70" ht="30" customHeight="1">
      <c r="A70" t="inlineStr">
        <is>
          <t>Sal</t>
        </is>
      </c>
      <c r="B70" s="23" t="n">
        <v>0.9</v>
      </c>
      <c r="C70" t="inlineStr">
        <is>
          <t>kg</t>
        </is>
      </c>
      <c r="D70" s="18" t="inlineStr">
        <is>
          <t>supuesto</t>
        </is>
      </c>
      <c r="E70" s="13" t="inlineStr">
        <is>
          <t>SUPUESTO declarado: el research no verificó ningún precio de materia prima de relleno. Ponlo de tu albarán.</t>
        </is>
      </c>
    </row>
    <row r="71" ht="30" customHeight="1">
      <c r="A71" t="inlineStr">
        <is>
          <t>Sorbitol</t>
        </is>
      </c>
      <c r="B71" s="23" t="n">
        <v>6.2</v>
      </c>
      <c r="C71" t="inlineStr">
        <is>
          <t>kg</t>
        </is>
      </c>
      <c r="D71" s="18" t="inlineStr">
        <is>
          <t>supuesto</t>
        </is>
      </c>
      <c r="E71" s="13" t="inlineStr">
        <is>
          <t>SUPUESTO declarado: el research no verificó ningún precio de materia prima de relleno. Ponlo de tu albarán.</t>
        </is>
      </c>
    </row>
    <row r="72" ht="30" customHeight="1">
      <c r="A72" t="inlineStr">
        <is>
          <t>Vainilla en pasta</t>
        </is>
      </c>
      <c r="B72" s="23" t="n">
        <v>140</v>
      </c>
      <c r="C72" t="inlineStr">
        <is>
          <t>kg</t>
        </is>
      </c>
      <c r="D72" s="18" t="inlineStr">
        <is>
          <t>supuesto</t>
        </is>
      </c>
      <c r="E72" s="13" t="inlineStr">
        <is>
          <t>SUPUESTO declarado: el research no verificó ningún precio de materia prima de relleno. Ponlo de tu albarán.</t>
        </is>
      </c>
    </row>
    <row r="73" ht="30" customHeight="1">
      <c r="A73" t="inlineStr">
        <is>
          <t>Yema de huevo pasteurizada</t>
        </is>
      </c>
      <c r="B73" s="23" t="n">
        <v>4.6</v>
      </c>
      <c r="C73" t="inlineStr">
        <is>
          <t>L</t>
        </is>
      </c>
      <c r="D73" s="18" t="inlineStr">
        <is>
          <t>supuesto</t>
        </is>
      </c>
      <c r="E73" s="13" t="inlineStr">
        <is>
          <t>SUPUESTO declarado: el research no verificó ningún precio de materia prima de relleno. Ponlo de tu albarán.</t>
        </is>
      </c>
    </row>
    <row r="74"/>
    <row r="75">
      <c r="A75" s="7" t="inlineStr">
        <is>
          <t>Versión 1.0 · septiembre 2026 · aichef.pro/guia-chocolateria-obrador · info@aichef.pro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conditionalFormatting sqref="B31">
    <cfRule type="expression" priority="1" dxfId="0" stopIfTrue="1">
      <formula>=AND(ISNUMBER($B$31),$B$31&gt;'Parámetros'!$B$40)</formula>
    </cfRule>
  </conditionalFormatting>
  <pageMargins left="0.39" right="0.39" top="0.59" bottom="0.59" header="0.5" footer="0.5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63"/>
  <sheetViews>
    <sheetView workbookViewId="0">
      <pane ySplit="55" topLeftCell="A56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24" customWidth="1" min="3" max="3"/>
    <col width="34" customWidth="1" min="4" max="4"/>
    <col width="22" customWidth="1" min="5" max="5"/>
    <col width="58" customWidth="1" min="6" max="6"/>
    <col width="18" customWidth="1" min="7" max="7"/>
    <col width="20" customWidth="1" min="8" max="8"/>
    <col width="12" customWidth="1" min="9" max="9"/>
    <col width="14" customWidth="1" min="10" max="10"/>
    <col width="13" customWidth="1" min="11" max="11"/>
    <col width="15" customWidth="1" min="12" max="12"/>
    <col width="13" customWidth="1" min="13" max="13"/>
    <col width="36" customWidth="1" min="14" max="14"/>
    <col width="70" customWidth="1" min="15" max="15"/>
  </cols>
  <sheetData>
    <row r="1">
      <c r="A1" s="1" t="inlineStr">
        <is>
          <t>Denominaciones y Mínimos Legales</t>
        </is>
      </c>
    </row>
    <row r="2">
      <c r="A2" s="2" t="inlineStr">
        <is>
          <t>AI Chef Pro · aichef.pro — Cómo Montar una Chocolatería</t>
        </is>
      </c>
    </row>
    <row r="3">
      <c r="A3" s="3" t="inlineStr">
        <is>
          <t>Capa (a): lo que el escandallo SÍ calcula -el 25 % sobre el PESO TOTAL, relleno incluido-. Capa (b): las tres magnitudes que se COPIAN de la ficha técnica del proveedor, porque la bolsa no las trae.</t>
        </is>
      </c>
    </row>
    <row r="4"/>
    <row r="5">
      <c r="A5" s="4" t="inlineStr">
        <is>
          <t>Capa (a): el mínimo que sale de tus propios gramajes</t>
        </is>
      </c>
    </row>
    <row r="6" ht="62" customHeight="1">
      <c r="A6" s="8" t="inlineStr">
        <is>
          <t>Id</t>
        </is>
      </c>
      <c r="B6" s="8" t="inlineStr">
        <is>
          <t>Referencia</t>
        </is>
      </c>
      <c r="C6" s="8" t="inlineStr">
        <is>
          <t>Familia</t>
        </is>
      </c>
      <c r="D6" s="8" t="inlineStr">
        <is>
          <t>Denominación legal</t>
        </is>
      </c>
      <c r="E6" s="8" t="inlineStr">
        <is>
          <t>Fuente verificada</t>
        </is>
      </c>
      <c r="F6" s="8" t="inlineStr">
        <is>
          <t>Mínimo aplicable</t>
        </is>
      </c>
      <c r="G6" s="8" t="inlineStr">
        <is>
          <t>¿Obliga la mención «cacao: X % mínimo»?</t>
        </is>
      </c>
      <c r="H6" s="8" t="inlineStr">
        <is>
          <t>Vía de despacho</t>
        </is>
      </c>
      <c r="I6" s="8" t="inlineStr">
        <is>
          <t>Gramos de chocolate</t>
        </is>
      </c>
      <c r="J6" s="8" t="inlineStr">
        <is>
          <t>Gramos de relleno o materia añadida</t>
        </is>
      </c>
      <c r="K6" s="8" t="inlineStr">
        <is>
          <t>Peso total de la pieza (g)</t>
        </is>
      </c>
      <c r="L6" s="8" t="inlineStr">
        <is>
          <t>Chocolate sobre el PESO TOTAL</t>
        </is>
      </c>
      <c r="M6" s="8" t="inlineStr">
        <is>
          <t>¿Le aplica el 25 %?</t>
        </is>
      </c>
      <c r="N6" s="8" t="inlineStr">
        <is>
          <t>Veredicto</t>
        </is>
      </c>
      <c r="O6" s="8" t="inlineStr">
        <is>
          <t>Nota</t>
        </is>
      </c>
    </row>
    <row r="7" ht="54" customHeight="1">
      <c r="A7" t="inlineStr">
        <is>
          <t>BC1</t>
        </is>
      </c>
      <c r="B7" s="5" t="inlineStr">
        <is>
          <t>Bombón de ganache de chocolate negro 70 %</t>
        </is>
      </c>
      <c r="C7" t="inlineStr">
        <is>
          <t>Bombones de colección</t>
        </is>
      </c>
      <c r="D7" s="5" t="inlineStr">
        <is>
          <t>Bombón de chocolate</t>
        </is>
      </c>
      <c r="E7" s="18" t="inlineStr">
        <is>
          <t>CHN-03</t>
        </is>
      </c>
      <c r="F7" s="29" t="inlineStr">
        <is>
          <t>25 % de chocolate sobre el peso TOTAL</t>
        </is>
      </c>
      <c r="G7" t="inlineStr">
        <is>
          <t>No</t>
        </is>
      </c>
      <c r="H7" t="inlineStr">
        <is>
          <t>a granel</t>
        </is>
      </c>
      <c r="I7" s="30">
        <f>'Escandallo por Molde y Tanda'!E70</f>
        <v>5.5</v>
      </c>
      <c r="J7" s="30">
        <f>'Escandallo por Molde y Tanda'!F70</f>
        <v>6.5</v>
      </c>
      <c r="K7" s="30">
        <f>'Escandallo por Molde y Tanda'!G70</f>
        <v>12.0</v>
      </c>
      <c r="L7" s="24">
        <f>IFERROR(I7/K7,"")</f>
        <v>0.4583333333333333</v>
      </c>
      <c r="M7" t="inlineStr">
        <is>
          <t>Sí</t>
        </is>
      </c>
      <c r="N7" t="str">
        <f>IF(M7="No","No aplica: su mínimo es el de su denominación",IF(NOT(ISNUMBER(L7)),"",IF(L7&gt;=$B$38,"CUMPLE el 25 % sobre el peso total","NO CUMPLE: no puede llamarse así")))</f>
        <v>CUMPLE el 25 % sobre el peso total</v>
      </c>
      <c r="O7" s="13" t="inlineStr">
        <is>
          <t>La referencia que mas margen deja y la que antes caduca. Con 5,5 g de chocolate sobre 12 g de pieza, el chocolate es el 45,8 % del peso total: cumple el 25 % del ap. 1.13 con holgura. En julio y agosto baja a un tercio de su mix: es la primera que sale del catálogo de verano (literal del kit para junio: «menos ganache fresca»).</t>
        </is>
      </c>
    </row>
    <row r="8" ht="54" customHeight="1">
      <c r="A8" t="inlineStr">
        <is>
          <t>BC2</t>
        </is>
      </c>
      <c r="B8" s="5" t="inlineStr">
        <is>
          <t>Bombón de ganache de leche y vainilla</t>
        </is>
      </c>
      <c r="C8" t="inlineStr">
        <is>
          <t>Bombones de colección</t>
        </is>
      </c>
      <c r="D8" s="5" t="inlineStr">
        <is>
          <t>Bombón de chocolate</t>
        </is>
      </c>
      <c r="E8" s="18" t="inlineStr">
        <is>
          <t>CHN-03</t>
        </is>
      </c>
      <c r="F8" s="29" t="inlineStr">
        <is>
          <t>25 % de chocolate sobre el peso TOTAL</t>
        </is>
      </c>
      <c r="G8" t="inlineStr">
        <is>
          <t>No</t>
        </is>
      </c>
      <c r="H8" t="inlineStr">
        <is>
          <t>a granel</t>
        </is>
      </c>
      <c r="I8" s="30">
        <f>'Escandallo por Molde y Tanda'!E71</f>
        <v>5.5</v>
      </c>
      <c r="J8" s="30">
        <f>'Escandallo por Molde y Tanda'!F71</f>
        <v>6.5</v>
      </c>
      <c r="K8" s="30">
        <f>'Escandallo por Molde y Tanda'!G71</f>
        <v>12.0</v>
      </c>
      <c r="L8" s="24">
        <f>IFERROR(I8/K8,"")</f>
        <v>0.4583333333333333</v>
      </c>
      <c r="M8" t="inlineStr">
        <is>
          <t>Sí</t>
        </is>
      </c>
      <c r="N8" t="str">
        <f>IF(M8="No","No aplica: su mínimo es el de su denominación",IF(NOT(ISNUMBER(L8)),"",IF(L8&gt;=$B$38,"CUMPLE el 25 % sobre el peso total","NO CUMPLE: no puede llamarse así")))</f>
        <v>CUMPLE el 25 % sobre el peso total</v>
      </c>
      <c r="O8" s="13" t="inlineStr">
        <is>
          <t>Misma pieza que BC1 con otra formulación: nata UHT y sorbitol. El kit le da 4-8 semanas frente a los 10-15 días de BC1. Es LA decisión de modelo de negocio del producto, y el libro 5 la cuantifica en euros de merma por caducidad al año.</t>
        </is>
      </c>
    </row>
    <row r="9" ht="54" customHeight="1">
      <c r="A9" t="inlineStr">
        <is>
          <t>BC3</t>
        </is>
      </c>
      <c r="B9" s="5" t="inlineStr">
        <is>
          <t>Bombón de praliné de avellana</t>
        </is>
      </c>
      <c r="C9" t="inlineStr">
        <is>
          <t>Bombones de colección</t>
        </is>
      </c>
      <c r="D9" s="5" t="inlineStr">
        <is>
          <t>Bombón de chocolate (praliné)</t>
        </is>
      </c>
      <c r="E9" s="18" t="inlineStr">
        <is>
          <t>CHN-03 + CHN-82</t>
        </is>
      </c>
      <c r="F9" s="29" t="inlineStr">
        <is>
          <t>25 % de chocolate sobre el peso TOTAL</t>
        </is>
      </c>
      <c r="G9" t="inlineStr">
        <is>
          <t>No</t>
        </is>
      </c>
      <c r="H9" t="inlineStr">
        <is>
          <t>a granel</t>
        </is>
      </c>
      <c r="I9" s="30">
        <f>'Escandallo por Molde y Tanda'!E72</f>
        <v>5.0</v>
      </c>
      <c r="J9" s="30">
        <f>'Escandallo por Molde y Tanda'!F72</f>
        <v>7.0</v>
      </c>
      <c r="K9" s="30">
        <f>'Escandallo por Molde y Tanda'!G72</f>
        <v>12.0</v>
      </c>
      <c r="L9" s="24">
        <f>IFERROR(I9/K9,"")</f>
        <v>0.4166666666666667</v>
      </c>
      <c r="M9" t="inlineStr">
        <is>
          <t>Sí</t>
        </is>
      </c>
      <c r="N9" t="str">
        <f>IF(M9="No","No aplica: su mínimo es el de su denominación",IF(NOT(ISNUMBER(L9)),"",IF(L9&gt;=$B$38,"CUMPLE el 25 % sobre el peso total","NO CUMPLE: no puede llamarse así")))</f>
        <v>CUMPLE el 25 % sobre el peso total</v>
      </c>
      <c r="O9" s="13" t="inlineStr">
        <is>
          <t>«Praline» SI significa algo legalmente: es la denominación de venta europea del bombón de chocolate (`CHN-82`), con el mismo mínimo del 25 %. Escribir lo contrario esta prohibido (§5.1, prohibición 7).</t>
        </is>
      </c>
    </row>
    <row r="10" ht="54" customHeight="1">
      <c r="A10" t="inlineStr">
        <is>
          <t>BC4</t>
        </is>
      </c>
      <c r="B10" s="5" t="inlineStr">
        <is>
          <t>Bombón de gianduja de avellana</t>
        </is>
      </c>
      <c r="C10" t="inlineStr">
        <is>
          <t>Bombones de colección</t>
        </is>
      </c>
      <c r="D10" s="5" t="inlineStr">
        <is>
          <t>Bombón de chocolate</t>
        </is>
      </c>
      <c r="E10" s="18" t="inlineStr">
        <is>
          <t>CHN-03</t>
        </is>
      </c>
      <c r="F10" s="29" t="inlineStr">
        <is>
          <t>25 % de chocolate sobre el peso TOTAL</t>
        </is>
      </c>
      <c r="G10" t="inlineStr">
        <is>
          <t>No</t>
        </is>
      </c>
      <c r="H10" t="inlineStr">
        <is>
          <t>a granel</t>
        </is>
      </c>
      <c r="I10" s="30">
        <f>'Escandallo por Molde y Tanda'!E73</f>
        <v>5.0</v>
      </c>
      <c r="J10" s="30">
        <f>'Escandallo por Molde y Tanda'!F73</f>
        <v>7.0</v>
      </c>
      <c r="K10" s="30">
        <f>'Escandallo por Molde y Tanda'!G73</f>
        <v>12.0</v>
      </c>
      <c r="L10" s="24">
        <f>IFERROR(I10/K10,"")</f>
        <v>0.4166666666666667</v>
      </c>
      <c r="M10" t="inlineStr">
        <is>
          <t>Sí</t>
        </is>
      </c>
      <c r="N10" t="str">
        <f>IF(M10="No","No aplica: su mínimo es el de su denominación",IF(NOT(ISNUMBER(L10)),"",IF(L10&gt;=$B$38,"CUMPLE el 25 % sobre el peso total","NO CUMPLE: no puede llamarse así")))</f>
        <v>CUMPLE el 25 % sobre el peso total</v>
      </c>
      <c r="O10" s="13" t="inlineStr">
        <is>
          <t>La gianduja tiene apartado propio en la norma (1.6.b.3), pero aquí va DENTRO de un bombón: la denominación de venta que manda es la del producto que vendes, no la del relleno.</t>
        </is>
      </c>
    </row>
    <row r="11" ht="54" customHeight="1">
      <c r="A11" t="inlineStr">
        <is>
          <t>BC5</t>
        </is>
      </c>
      <c r="B11" s="5" t="inlineStr">
        <is>
          <t>Trufa de chocolate negro al cacao</t>
        </is>
      </c>
      <c r="C11" t="inlineStr">
        <is>
          <t>Bombones de colección</t>
        </is>
      </c>
      <c r="D11" s="5" t="inlineStr">
        <is>
          <t>Bombón de chocolate</t>
        </is>
      </c>
      <c r="E11" s="18" t="inlineStr">
        <is>
          <t>CHN-03 + CHN-03b</t>
        </is>
      </c>
      <c r="F11" s="29" t="inlineStr">
        <is>
          <t>25 % de chocolate sobre el peso TOTAL</t>
        </is>
      </c>
      <c r="G11" t="inlineStr">
        <is>
          <t>No</t>
        </is>
      </c>
      <c r="H11" t="inlineStr">
        <is>
          <t>a granel</t>
        </is>
      </c>
      <c r="I11" s="30">
        <f>'Escandallo por Molde y Tanda'!E74</f>
        <v>4.0</v>
      </c>
      <c r="J11" s="30">
        <f>'Escandallo por Molde y Tanda'!F74</f>
        <v>9.0</v>
      </c>
      <c r="K11" s="30">
        <f>'Escandallo por Molde y Tanda'!G74</f>
        <v>13.0</v>
      </c>
      <c r="L11" s="24">
        <f>IFERROR(I11/K11,"")</f>
        <v>0.3076923076923077</v>
      </c>
      <c r="M11" t="inlineStr">
        <is>
          <t>Sí</t>
        </is>
      </c>
      <c r="N11" t="str">
        <f>IF(M11="No","No aplica: su mínimo es el de su denominación",IF(NOT(ISNUMBER(L11)),"",IF(L11&gt;=$B$38,"CUMPLE el 25 % sobre el peso total","NO CUMPLE: no puede llamarse así")))</f>
        <v>CUMPLE el 25 % sobre el peso total</v>
      </c>
      <c r="O11" s="13" t="inlineStr">
        <is>
          <t>Aquí el 25 % se pelea: 4 g de chocolate sobre 13 g de pieza son el 30,8 %, y bajando el baño un gramo se cae por debajo del mínimo legal. Es el ejemplo con el que el semáforo del libro 4 enseña para que sirve. «Trufa» no es una categoría legal española (`CHN-03b`).</t>
        </is>
      </c>
    </row>
    <row r="12" ht="54" customHeight="1">
      <c r="A12" t="inlineStr">
        <is>
          <t>BC6</t>
        </is>
      </c>
      <c r="B12" s="5" t="inlineStr">
        <is>
          <t>Bombón de licor de ron</t>
        </is>
      </c>
      <c r="C12" t="inlineStr">
        <is>
          <t>Bombones de colección</t>
        </is>
      </c>
      <c r="D12" s="5" t="inlineStr">
        <is>
          <t>Bombón de chocolate</t>
        </is>
      </c>
      <c r="E12" s="18" t="inlineStr">
        <is>
          <t>CHN-03</t>
        </is>
      </c>
      <c r="F12" s="29" t="inlineStr">
        <is>
          <t>25 % de chocolate sobre el peso TOTAL</t>
        </is>
      </c>
      <c r="G12" t="inlineStr">
        <is>
          <t>No</t>
        </is>
      </c>
      <c r="H12" t="inlineStr">
        <is>
          <t>a granel</t>
        </is>
      </c>
      <c r="I12" s="30">
        <f>'Escandallo por Molde y Tanda'!E75</f>
        <v>6.0</v>
      </c>
      <c r="J12" s="30">
        <f>'Escandallo por Molde y Tanda'!F75</f>
        <v>8.0</v>
      </c>
      <c r="K12" s="30">
        <f>'Escandallo por Molde y Tanda'!G75</f>
        <v>14.0</v>
      </c>
      <c r="L12" s="24">
        <f>IFERROR(I12/K12,"")</f>
        <v>0.42857142857142855</v>
      </c>
      <c r="M12" t="inlineStr">
        <is>
          <t>Sí</t>
        </is>
      </c>
      <c r="N12" t="str">
        <f>IF(M12="No","No aplica: su mínimo es el de su denominación",IF(NOT(ISNUMBER(L12)),"",IF(L12&gt;=$B$38,"CUMPLE el 25 % sobre el peso total","NO CUMPLE: no puede llamarse así")))</f>
        <v>CUMPLE el 25 % sobre el peso total</v>
      </c>
      <c r="O12" s="13" t="inlineStr">
        <is>
          <t>Cascara mas gruesa (6 g) porque el licor la ataca. La única del surtido sin leche: si la vendes a granel al lado de las demás, la contaminación cruzada en la pinza se come esa ventaja.</t>
        </is>
      </c>
    </row>
    <row r="13" ht="54" customHeight="1">
      <c r="A13" t="inlineStr">
        <is>
          <t>BC7</t>
        </is>
      </c>
      <c r="B13" s="5" t="inlineStr">
        <is>
          <t>Bombón de caramelo salado</t>
        </is>
      </c>
      <c r="C13" t="inlineStr">
        <is>
          <t>Bombones de colección</t>
        </is>
      </c>
      <c r="D13" s="5" t="inlineStr">
        <is>
          <t>Bombón de chocolate</t>
        </is>
      </c>
      <c r="E13" s="18" t="inlineStr">
        <is>
          <t>CHN-03</t>
        </is>
      </c>
      <c r="F13" s="29" t="inlineStr">
        <is>
          <t>25 % de chocolate sobre el peso TOTAL</t>
        </is>
      </c>
      <c r="G13" t="inlineStr">
        <is>
          <t>No</t>
        </is>
      </c>
      <c r="H13" t="inlineStr">
        <is>
          <t>a granel</t>
        </is>
      </c>
      <c r="I13" s="30">
        <f>'Escandallo por Molde y Tanda'!E76</f>
        <v>5.5</v>
      </c>
      <c r="J13" s="30">
        <f>'Escandallo por Molde y Tanda'!F76</f>
        <v>6.5</v>
      </c>
      <c r="K13" s="30">
        <f>'Escandallo por Molde y Tanda'!G76</f>
        <v>12.0</v>
      </c>
      <c r="L13" s="24">
        <f>IFERROR(I13/K13,"")</f>
        <v>0.4583333333333333</v>
      </c>
      <c r="M13" t="inlineStr">
        <is>
          <t>Sí</t>
        </is>
      </c>
      <c r="N13" t="str">
        <f>IF(M13="No","No aplica: su mínimo es el de su denominación",IF(NOT(ISNUMBER(L13)),"",IF(L13&gt;=$B$38,"CUMPLE el 25 % sobre el peso total","NO CUMPLE: no puede llamarse así")))</f>
        <v>CUMPLE el 25 % sobre el peso total</v>
      </c>
      <c r="O13" s="13" t="inlineStr">
        <is>
          <t>Azúcar alto y agua baja: aguanta mucho mas que una ganache fresca.</t>
        </is>
      </c>
    </row>
    <row r="14" ht="54" customHeight="1">
      <c r="A14" t="inlineStr">
        <is>
          <t>BC8</t>
        </is>
      </c>
      <c r="B14" s="5" t="inlineStr">
        <is>
          <t>Bombón de praliné de cacahuete</t>
        </is>
      </c>
      <c r="C14" t="inlineStr">
        <is>
          <t>Bombones de colección</t>
        </is>
      </c>
      <c r="D14" s="5" t="inlineStr">
        <is>
          <t>Bombón de chocolate (praliné)</t>
        </is>
      </c>
      <c r="E14" s="18" t="inlineStr">
        <is>
          <t>CHN-03 + CHN-82</t>
        </is>
      </c>
      <c r="F14" s="29" t="inlineStr">
        <is>
          <t>25 % de chocolate sobre el peso TOTAL</t>
        </is>
      </c>
      <c r="G14" t="inlineStr">
        <is>
          <t>No</t>
        </is>
      </c>
      <c r="H14" t="inlineStr">
        <is>
          <t>a granel</t>
        </is>
      </c>
      <c r="I14" s="30">
        <f>'Escandallo por Molde y Tanda'!E77</f>
        <v>5.0</v>
      </c>
      <c r="J14" s="30">
        <f>'Escandallo por Molde y Tanda'!F77</f>
        <v>7.0</v>
      </c>
      <c r="K14" s="30">
        <f>'Escandallo por Molde y Tanda'!G77</f>
        <v>12.0</v>
      </c>
      <c r="L14" s="24">
        <f>IFERROR(I14/K14,"")</f>
        <v>0.4166666666666667</v>
      </c>
      <c r="M14" t="inlineStr">
        <is>
          <t>Sí</t>
        </is>
      </c>
      <c r="N14" t="str">
        <f>IF(M14="No","No aplica: su mínimo es el de su denominación",IF(NOT(ISNUMBER(L14)),"",IF(L14&gt;=$B$38,"CUMPLE el 25 % sobre el peso total","NO CUMPLE: no puede llamarse así")))</f>
        <v>CUMPLE el 25 % sobre el peso total</v>
      </c>
      <c r="O14" s="13" t="inlineStr">
        <is>
          <t>LA REFERENCIA QUE DEMUESTRA POR QUE SON OCHO Y NO CINCO: el cacahuete es el punto 5 del Anexo II y NO es un fruto de cáscara (punto 8). Meterlo dentro de «frutos secos» es un error de etiquetado que puede mandar a alguien al hospital.</t>
        </is>
      </c>
    </row>
    <row r="15" ht="54" customHeight="1">
      <c r="A15" t="inlineStr">
        <is>
          <t>BC9</t>
        </is>
      </c>
      <c r="B15" s="5" t="inlineStr">
        <is>
          <t>Bombón crujiente de sésamo y barquillo</t>
        </is>
      </c>
      <c r="C15" t="inlineStr">
        <is>
          <t>Bombones de colección</t>
        </is>
      </c>
      <c r="D15" s="5" t="inlineStr">
        <is>
          <t>Bombón de chocolate</t>
        </is>
      </c>
      <c r="E15" s="18" t="inlineStr">
        <is>
          <t>CHN-03</t>
        </is>
      </c>
      <c r="F15" s="29" t="inlineStr">
        <is>
          <t>25 % de chocolate sobre el peso TOTAL</t>
        </is>
      </c>
      <c r="G15" t="inlineStr">
        <is>
          <t>No</t>
        </is>
      </c>
      <c r="H15" t="inlineStr">
        <is>
          <t>a granel</t>
        </is>
      </c>
      <c r="I15" s="30">
        <f>'Escandallo por Molde y Tanda'!E78</f>
        <v>5.0</v>
      </c>
      <c r="J15" s="30">
        <f>'Escandallo por Molde y Tanda'!F78</f>
        <v>7.0</v>
      </c>
      <c r="K15" s="30">
        <f>'Escandallo por Molde y Tanda'!G78</f>
        <v>12.0</v>
      </c>
      <c r="L15" s="24">
        <f>IFERROR(I15/K15,"")</f>
        <v>0.4166666666666667</v>
      </c>
      <c r="M15" t="inlineStr">
        <is>
          <t>Sí</t>
        </is>
      </c>
      <c r="N15" t="str">
        <f>IF(M15="No","No aplica: su mínimo es el de su denominación",IF(NOT(ISNUMBER(L15)),"",IF(L15&gt;=$B$38,"CUMPLE el 25 % sobre el peso total","NO CUMPLE: no puede llamarse así")))</f>
        <v>CUMPLE el 25 % sobre el peso total</v>
      </c>
      <c r="O15" s="13" t="inlineStr">
        <is>
          <t>Dos alérgenos mas que sus compañeras, y los dos independientes: granos de sésamo (punto 11) y cereales con gluten del barquillo (punto 1). El kit le da 3-4 semanas, y no por seguridad: pierde el crujiente mucho antes.</t>
        </is>
      </c>
    </row>
    <row r="16" ht="54" customHeight="1">
      <c r="A16" t="inlineStr">
        <is>
          <t>BC10</t>
        </is>
      </c>
      <c r="B16" s="5" t="inlineStr">
        <is>
          <t>Bombón de naranja confitada y chocolate negro</t>
        </is>
      </c>
      <c r="C16" t="inlineStr">
        <is>
          <t>Bombones de colección</t>
        </is>
      </c>
      <c r="D16" s="5" t="inlineStr">
        <is>
          <t>Bombón de chocolate</t>
        </is>
      </c>
      <c r="E16" s="18" t="inlineStr">
        <is>
          <t>CHN-03</t>
        </is>
      </c>
      <c r="F16" s="29" t="inlineStr">
        <is>
          <t>25 % de chocolate sobre el peso TOTAL</t>
        </is>
      </c>
      <c r="G16" t="inlineStr">
        <is>
          <t>No</t>
        </is>
      </c>
      <c r="H16" t="inlineStr">
        <is>
          <t>a granel</t>
        </is>
      </c>
      <c r="I16" s="30">
        <f>'Escandallo por Molde y Tanda'!E79</f>
        <v>5.5</v>
      </c>
      <c r="J16" s="30">
        <f>'Escandallo por Molde y Tanda'!F79</f>
        <v>6.5</v>
      </c>
      <c r="K16" s="30">
        <f>'Escandallo por Molde y Tanda'!G79</f>
        <v>12.0</v>
      </c>
      <c r="L16" s="24">
        <f>IFERROR(I16/K16,"")</f>
        <v>0.4583333333333333</v>
      </c>
      <c r="M16" t="inlineStr">
        <is>
          <t>Sí</t>
        </is>
      </c>
      <c r="N16" t="str">
        <f>IF(M16="No","No aplica: su mínimo es el de su denominación",IF(NOT(ISNUMBER(L16)),"",IF(L16&gt;=$B$38,"CUMPLE el 25 % sobre el peso total","NO CUMPLE: no puede llamarse así")))</f>
        <v>CUMPLE el 25 % sobre el peso total</v>
      </c>
      <c r="O16" s="13" t="inlineStr">
        <is>
          <t>La única del surtido con SULFITOS, que es el octavo alérgeno y el que mas se olvida: la fruta confitada suele llevarlos y el umbral de declaración es de 10 mg/kg. La fruta además contamina el recorte: su merma NO recuperable es la mas alta de la carta (D40).</t>
        </is>
      </c>
    </row>
    <row r="17" ht="54" customHeight="1">
      <c r="A17" t="inlineStr">
        <is>
          <t>TB1</t>
        </is>
      </c>
      <c r="B17" s="5" t="inlineStr">
        <is>
          <t>Tableta de chocolate negro de origen 70 %, 100 g</t>
        </is>
      </c>
      <c r="C17" t="inlineStr">
        <is>
          <t>Tabletas</t>
        </is>
      </c>
      <c r="D17" s="5" t="inlineStr">
        <is>
          <t>Chocolate</t>
        </is>
      </c>
      <c r="E17" s="18" t="inlineStr">
        <is>
          <t>CHN-02 + CHN-13</t>
        </is>
      </c>
      <c r="F17" s="29" t="inlineStr">
        <is>
          <t>ap. 1.6: mínimos calculados DESCONTANDO los ingredientes añadidos del ap. 3</t>
        </is>
      </c>
      <c r="G17" t="inlineStr">
        <is>
          <t>Sí</t>
        </is>
      </c>
      <c r="H17" t="inlineStr">
        <is>
          <t>envasado con etiqueta</t>
        </is>
      </c>
      <c r="I17" s="30">
        <f>'Escandallo por Molde y Tanda'!E80</f>
        <v>100.0</v>
      </c>
      <c r="J17" s="30">
        <f>'Escandallo por Molde y Tanda'!F80</f>
        <v>0.0</v>
      </c>
      <c r="K17" s="30">
        <f>'Escandallo por Molde y Tanda'!G80</f>
        <v>100.0</v>
      </c>
      <c r="L17" s="24">
        <f>IFERROR(I17/K17,"")</f>
        <v>1.0</v>
      </c>
      <c r="M17" t="inlineStr">
        <is>
          <t>No</t>
        </is>
      </c>
      <c r="N17" t="str">
        <f>IF(M17="No","No aplica: su mínimo es el de su denominación",IF(NOT(ISNUMBER(L17)),"",IF(L17&gt;=$B$38,"CUMPLE el 25 % sobre el peso total","NO CUMPLE: no puede llamarse así")))</f>
        <v>No aplica: su mínimo es el de su denominación</v>
      </c>
      <c r="O17" s="13" t="inlineStr">
        <is>
          <t>La referencia que vende el posicionamiento: cobertura de origen a 37,48 euros/kg (`CHS-28c`) frente a los 25,02 de la de marca (`CHS-28a`), factor 1,5. Lleva la mención «cacao: X % mínimo» obligatoria (`CHN-07`) y es la que mas sube en verano: no lleva agua, aguanta 12-18 meses y viaja. Y es la referencia con el food cost MAS ALTO de la carta, con diferencia: comprar cobertura de origen y ponerle precio de cobertura de marca es como se regala el trabajo. El libro 3 lo enseña con el escenario de subida del cacao.</t>
        </is>
      </c>
    </row>
    <row r="18" ht="54" customHeight="1">
      <c r="A18" t="inlineStr">
        <is>
          <t>TB2</t>
        </is>
      </c>
      <c r="B18" s="5" t="inlineStr">
        <is>
          <t>Tableta de chocolate con leche 38 %, 100 g</t>
        </is>
      </c>
      <c r="C18" t="inlineStr">
        <is>
          <t>Tabletas</t>
        </is>
      </c>
      <c r="D18" s="5" t="inlineStr">
        <is>
          <t>Chocolate con leche</t>
        </is>
      </c>
      <c r="E18" s="18" t="inlineStr">
        <is>
          <t>CHN-02 + CHN-13</t>
        </is>
      </c>
      <c r="F18" s="29" t="inlineStr">
        <is>
          <t>ap. 1.7: mínimos calculados DESCONTANDO los ingredientes añadidos del ap. 3</t>
        </is>
      </c>
      <c r="G18" t="inlineStr">
        <is>
          <t>Sí</t>
        </is>
      </c>
      <c r="H18" t="inlineStr">
        <is>
          <t>envasado con etiqueta</t>
        </is>
      </c>
      <c r="I18" s="30">
        <f>'Escandallo por Molde y Tanda'!E81</f>
        <v>100.0</v>
      </c>
      <c r="J18" s="30">
        <f>'Escandallo por Molde y Tanda'!F81</f>
        <v>0.0</v>
      </c>
      <c r="K18" s="30">
        <f>'Escandallo por Molde y Tanda'!G81</f>
        <v>100.0</v>
      </c>
      <c r="L18" s="24">
        <f>IFERROR(I18/K18,"")</f>
        <v>1.0</v>
      </c>
      <c r="M18" t="inlineStr">
        <is>
          <t>No</t>
        </is>
      </c>
      <c r="N18" t="str">
        <f>IF(M18="No","No aplica: su mínimo es el de su denominación",IF(NOT(ISNUMBER(L18)),"",IF(L18&gt;=$B$38,"CUMPLE el 25 % sobre el peso total","NO CUMPLE: no puede llamarse así")))</f>
        <v>No aplica: su mínimo es el de su denominación</v>
      </c>
      <c r="O18" s="13" t="inlineStr">
        <is>
          <t>También lleva la mención «cacao: X % mínimo» (`CHN-07`).</t>
        </is>
      </c>
    </row>
    <row r="19" ht="54" customHeight="1">
      <c r="A19" t="inlineStr">
        <is>
          <t>TB3</t>
        </is>
      </c>
      <c r="B19" s="5" t="inlineStr">
        <is>
          <t>Tableta de chocolate blanco 30 %, 100 g</t>
        </is>
      </c>
      <c r="C19" t="inlineStr">
        <is>
          <t>Tabletas</t>
        </is>
      </c>
      <c r="D19" s="5" t="inlineStr">
        <is>
          <t>Chocolate blanco</t>
        </is>
      </c>
      <c r="E19" s="18" t="inlineStr">
        <is>
          <t>CHN-02 + CHN-13</t>
        </is>
      </c>
      <c r="F19" s="29" t="inlineStr">
        <is>
          <t>ap. 1.9: 20 % de manteca, 14 % de materia seca láctea, 3,5 % de grasa láctea</t>
        </is>
      </c>
      <c r="G19" t="inlineStr">
        <is>
          <t>No</t>
        </is>
      </c>
      <c r="H19" t="inlineStr">
        <is>
          <t>envasado con etiqueta</t>
        </is>
      </c>
      <c r="I19" s="30">
        <f>'Escandallo por Molde y Tanda'!E82</f>
        <v>100.0</v>
      </c>
      <c r="J19" s="30">
        <f>'Escandallo por Molde y Tanda'!F82</f>
        <v>0.0</v>
      </c>
      <c r="K19" s="30">
        <f>'Escandallo por Molde y Tanda'!G82</f>
        <v>100.0</v>
      </c>
      <c r="L19" s="24">
        <f>IFERROR(I19/K19,"")</f>
        <v>1.0</v>
      </c>
      <c r="M19" t="inlineStr">
        <is>
          <t>No</t>
        </is>
      </c>
      <c r="N19" t="str">
        <f>IF(M19="No","No aplica: su mínimo es el de su denominación",IF(NOT(ISNUMBER(L19)),"",IF(L19&gt;=$B$38,"CUMPLE el 25 % sobre el peso total","NO CUMPLE: no puede llamarse así")))</f>
        <v>No aplica: su mínimo es el de su denominación</v>
      </c>
      <c r="O19" s="13" t="inlineStr">
        <is>
          <t>El chocolate blanco NO lleva la mención «cacao: X % mínimo»: `CHN-07` acota esa obligación a los apartados 1.4, 1.5, 1.6, 1.7, 1.8, 1.11 y 1.12, y el blanco es el 1.9. Escribir que la mención es obligatoria en todos los chocolates esta prohibido (§5.1, 27).</t>
        </is>
      </c>
    </row>
    <row r="20" ht="54" customHeight="1">
      <c r="A20" t="inlineStr">
        <is>
          <t>TB4</t>
        </is>
      </c>
      <c r="B20" s="5" t="inlineStr">
        <is>
          <t>Tableta de chocolate negro con almendra marcona, 100 g</t>
        </is>
      </c>
      <c r="C20" t="inlineStr">
        <is>
          <t>Tabletas</t>
        </is>
      </c>
      <c r="D20" s="5" t="inlineStr">
        <is>
          <t>Chocolate con almendras</t>
        </is>
      </c>
      <c r="E20" s="18" t="inlineStr">
        <is>
          <t>CHN-02 + CHN-09 + CHN-13</t>
        </is>
      </c>
      <c r="F20" s="29" t="inlineStr">
        <is>
          <t>ap. 1.6 con materias comestibles añadidas del ap. 3: no pueden exceder el 40 % del peso total del producto acabado</t>
        </is>
      </c>
      <c r="G20" t="inlineStr">
        <is>
          <t>Sí</t>
        </is>
      </c>
      <c r="H20" t="inlineStr">
        <is>
          <t>envasado con etiqueta</t>
        </is>
      </c>
      <c r="I20" s="30">
        <f>'Escandallo por Molde y Tanda'!E83</f>
        <v>78.0</v>
      </c>
      <c r="J20" s="30">
        <f>'Escandallo por Molde y Tanda'!F83</f>
        <v>22.0</v>
      </c>
      <c r="K20" s="30">
        <f>'Escandallo por Molde y Tanda'!G83</f>
        <v>100.0</v>
      </c>
      <c r="L20" s="24">
        <f>IFERROR(I20/K20,"")</f>
        <v>0.78</v>
      </c>
      <c r="M20" t="inlineStr">
        <is>
          <t>No</t>
        </is>
      </c>
      <c r="N20" t="str">
        <f>IF(M20="No","No aplica: su mínimo es el de su denominación",IF(NOT(ISNUMBER(L20)),"",IF(L20&gt;=$B$38,"CUMPLE el 25 % sobre el peso total","NO CUMPLE: no puede llamarse así")))</f>
        <v>No aplica: su mínimo es el de su denominación</v>
      </c>
      <c r="O20" s="13" t="inlineStr">
        <is>
          <t>La almendra va en `g_relleno` porque es materia comestible AÑADIDA del ap. 3, y su tope es el 40 % del peso total (`CHN-09`). Con 22 g sobre 100 esta en el 22 %: dentro. La almendra enrancia, y el frío no lo evita: manda la fecha, no el aspecto (nota del kit).</t>
        </is>
      </c>
    </row>
    <row r="21" ht="54" customHeight="1">
      <c r="A21" t="inlineStr">
        <is>
          <t>TB5</t>
        </is>
      </c>
      <c r="B21" s="5" t="inlineStr">
        <is>
          <t>Tableta de chocolate con leche y avellana, 100 g</t>
        </is>
      </c>
      <c r="C21" t="inlineStr">
        <is>
          <t>Tabletas</t>
        </is>
      </c>
      <c r="D21" s="5" t="inlineStr">
        <is>
          <t>Chocolate con leche y avellanas</t>
        </is>
      </c>
      <c r="E21" s="18" t="inlineStr">
        <is>
          <t>CHN-02 + CHN-09 + CHN-13</t>
        </is>
      </c>
      <c r="F21" s="29" t="inlineStr">
        <is>
          <t>ap. 1.7 con materias comestibles añadidas del ap. 3 (tope 40 %)</t>
        </is>
      </c>
      <c r="G21" t="inlineStr">
        <is>
          <t>Sí</t>
        </is>
      </c>
      <c r="H21" t="inlineStr">
        <is>
          <t>envasado con etiqueta</t>
        </is>
      </c>
      <c r="I21" s="30">
        <f>'Escandallo por Molde y Tanda'!E84</f>
        <v>80.0</v>
      </c>
      <c r="J21" s="30">
        <f>'Escandallo por Molde y Tanda'!F84</f>
        <v>20.0</v>
      </c>
      <c r="K21" s="30">
        <f>'Escandallo por Molde y Tanda'!G84</f>
        <v>100.0</v>
      </c>
      <c r="L21" s="24">
        <f>IFERROR(I21/K21,"")</f>
        <v>0.8</v>
      </c>
      <c r="M21" t="inlineStr">
        <is>
          <t>No</t>
        </is>
      </c>
      <c r="N21" t="str">
        <f>IF(M21="No","No aplica: su mínimo es el de su denominación",IF(NOT(ISNUMBER(L21)),"",IF(L21&gt;=$B$38,"CUMPLE el 25 % sobre el peso total","NO CUMPLE: no puede llamarse así")))</f>
        <v>No aplica: su mínimo es el de su denominación</v>
      </c>
      <c r="O21" s="13" t="inlineStr">
        <is>
          <t>La avellana va como materia añadida del ap. 3, igual que la almendra de TB4.</t>
        </is>
      </c>
    </row>
    <row r="22" ht="54" customHeight="1">
      <c r="A22" t="inlineStr">
        <is>
          <t>TB6</t>
        </is>
      </c>
      <c r="B22" s="5" t="inlineStr">
        <is>
          <t>Tableta rellena de praliné, 100 g</t>
        </is>
      </c>
      <c r="C22" t="inlineStr">
        <is>
          <t>Tabletas</t>
        </is>
      </c>
      <c r="D22" s="5" t="inlineStr">
        <is>
          <t>Chocolate relleno</t>
        </is>
      </c>
      <c r="E22" s="18" t="inlineStr">
        <is>
          <t>CHN-04 + CHN-10 + CHN-13</t>
        </is>
      </c>
      <c r="F22" s="29" t="inlineStr">
        <is>
          <t>ap. 1.10: el exterior de chocolate tiene que ser al menos el 25 % del peso TOTAL del producto acabado, relleno incluido</t>
        </is>
      </c>
      <c r="G22" t="inlineStr">
        <is>
          <t>No</t>
        </is>
      </c>
      <c r="H22" t="inlineStr">
        <is>
          <t>envasado con etiqueta</t>
        </is>
      </c>
      <c r="I22" s="30">
        <f>'Escandallo por Molde y Tanda'!E85</f>
        <v>55.0</v>
      </c>
      <c r="J22" s="30">
        <f>'Escandallo por Molde y Tanda'!F85</f>
        <v>45.0</v>
      </c>
      <c r="K22" s="30">
        <f>'Escandallo por Molde y Tanda'!G85</f>
        <v>100.0</v>
      </c>
      <c r="L22" s="24">
        <f>IFERROR(I22/K22,"")</f>
        <v>0.55</v>
      </c>
      <c r="M22" t="inlineStr">
        <is>
          <t>Sí</t>
        </is>
      </c>
      <c r="N22" t="str">
        <f>IF(M22="No","No aplica: su mínimo es el de su denominación",IF(NOT(ISNUMBER(L22)),"",IF(L22&gt;=$B$38,"CUMPLE el 25 % sobre el peso total","NO CUMPLE: no puede llamarse así")))</f>
        <v>CUMPLE el 25 % sobre el peso total</v>
      </c>
      <c r="O22" s="13" t="inlineStr">
        <is>
          <t>La segunda referencia del ap. 1.10, y la que enseña la base de calculo: 55 g de chocolate sobre 100 g de pieza son el 55 %, calculado SOBRE EL PESO TOTAL con el relleno dentro (`CHN-10`). Si alguien lo calculase descontando el relleno le saldria el 100 % y el semáforo dejaría pasar cualquier cosa: por eso invertir las dos bases esta prohibido. Y NO es chocolate relleno lo que lleva interior de panadería, pastelería, galleteria, bollería o helado (`CHN-04`).</t>
        </is>
      </c>
    </row>
    <row r="23" ht="54" customHeight="1">
      <c r="A23" t="inlineStr">
        <is>
          <t>CT1</t>
        </is>
      </c>
      <c r="B23" s="5" t="inlineStr">
        <is>
          <t>Tableta de chocolate a la taza, 200 g</t>
        </is>
      </c>
      <c r="C23" t="inlineStr">
        <is>
          <t>Chocolate a la taza</t>
        </is>
      </c>
      <c r="D23" s="5" t="inlineStr">
        <is>
          <t>Chocolate a la taza</t>
        </is>
      </c>
      <c r="E23" s="18" t="inlineStr">
        <is>
          <t>CHN-05</t>
        </is>
      </c>
      <c r="F23" s="29" t="inlineStr">
        <is>
          <t>ap. 1.11: 35 % de materia seca total de cacao, 18 % de manteca, 14 % de desgrasada y hasta 8 % de harina o almidón de trigo, arroz o maíz</t>
        </is>
      </c>
      <c r="G23" t="inlineStr">
        <is>
          <t>Sí</t>
        </is>
      </c>
      <c r="H23" t="inlineStr">
        <is>
          <t>envasado con etiqueta</t>
        </is>
      </c>
      <c r="I23" s="30">
        <f>'Escandallo por Molde y Tanda'!E86</f>
        <v>80.0</v>
      </c>
      <c r="J23" s="30">
        <f>'Escandallo por Molde y Tanda'!F86</f>
        <v>120.0</v>
      </c>
      <c r="K23" s="30">
        <f>'Escandallo por Molde y Tanda'!G86</f>
        <v>200.0</v>
      </c>
      <c r="L23" s="24">
        <f>IFERROR(I23/K23,"")</f>
        <v>0.4</v>
      </c>
      <c r="M23" t="inlineStr">
        <is>
          <t>No</t>
        </is>
      </c>
      <c r="N23" t="str">
        <f>IF(M23="No","No aplica: su mínimo es el de su denominación",IF(NOT(ISNUMBER(L23)),"",IF(L23&gt;=$B$38,"CUMPLE el 25 % sobre el peso total","NO CUMPLE: no puede llamarse así")))</f>
        <v>No aplica: su mínimo es el de su denominación</v>
      </c>
      <c r="O23" s="13" t="inlineStr">
        <is>
          <t>El almidón (9,6 g sobre 200, el 4,8 %) esta por debajo del tope del 8 %. Se usa ALMIDÓN DE MAÍZ a propósito: con almidón de TRIGO habría que declarar gluten, y la norma admite los tres. La etiqueta lleva además la expresión «para su consumo cocido» (ap. 6.e): es una ADICION ESPAÑOLA que NO existe en la Directiva 2000/36/CE (`CHN-83`), así que no se escribe que sea un requisito europeo.</t>
        </is>
      </c>
    </row>
    <row r="24" ht="54" customHeight="1">
      <c r="A24" t="inlineStr">
        <is>
          <t>CT2</t>
        </is>
      </c>
      <c r="B24" s="5" t="inlineStr">
        <is>
          <t>Caja de 6 sobres monodosis de chocolate a la taza</t>
        </is>
      </c>
      <c r="C24" t="inlineStr">
        <is>
          <t>Chocolate a la taza</t>
        </is>
      </c>
      <c r="D24" s="5" t="inlineStr">
        <is>
          <t>Chocolate a la taza</t>
        </is>
      </c>
      <c r="E24" s="18" t="inlineStr">
        <is>
          <t>CHN-05</t>
        </is>
      </c>
      <c r="F24" s="29" t="inlineStr">
        <is>
          <t>ap. 1.11: 35 % cacao total, 18 % manteca, 14 % desgrasada, almidón hasta 8 %</t>
        </is>
      </c>
      <c r="G24" t="inlineStr">
        <is>
          <t>Sí</t>
        </is>
      </c>
      <c r="H24" t="inlineStr">
        <is>
          <t>envasado con etiqueta</t>
        </is>
      </c>
      <c r="I24" s="30">
        <f>'Escandallo por Molde y Tanda'!E87</f>
        <v>72.0</v>
      </c>
      <c r="J24" s="30">
        <f>'Escandallo por Molde y Tanda'!F87</f>
        <v>108.0</v>
      </c>
      <c r="K24" s="30">
        <f>'Escandallo por Molde y Tanda'!G87</f>
        <v>180.0</v>
      </c>
      <c r="L24" s="24">
        <f>IFERROR(I24/K24,"")</f>
        <v>0.4</v>
      </c>
      <c r="M24" t="inlineStr">
        <is>
          <t>No</t>
        </is>
      </c>
      <c r="N24" t="str">
        <f>IF(M24="No","No aplica: su mínimo es el de su denominación",IF(NOT(ISNUMBER(L24)),"",IF(L24&gt;=$B$38,"CUMPLE el 25 % sobre el peso total","NO CUMPLE: no puede llamarse así")))</f>
        <v>No aplica: su mínimo es el de su denominación</v>
      </c>
      <c r="O24" s="13" t="inlineStr">
        <is>
          <t>Seis sobres de 30 g. Ojo al art. 2.2.c) del RD 1808/1991: los envases cuya cara mayor mide menos de 10 cm2 están exentos de lote, pero la CAJA que los contiene no (`CHN-36`).</t>
        </is>
      </c>
    </row>
    <row r="25" ht="54" customHeight="1">
      <c r="A25" t="inlineStr">
        <is>
          <t>CT3</t>
        </is>
      </c>
      <c r="B25" s="5" t="inlineStr">
        <is>
          <t>Chocolate a la taza servido en sala, 200 ml</t>
        </is>
      </c>
      <c r="C25" t="inlineStr">
        <is>
          <t>Chocolate a la taza</t>
        </is>
      </c>
      <c r="D25" s="5" t="inlineStr">
        <is>
          <t>Chocolate a la taza</t>
        </is>
      </c>
      <c r="E25" s="18" t="inlineStr">
        <is>
          <t>CHN-05</t>
        </is>
      </c>
      <c r="F25" s="29" t="inlineStr">
        <is>
          <t>ap. 1.11 sobre el producto que sirves, no sobre la taza preparada</t>
        </is>
      </c>
      <c r="G25" t="inlineStr">
        <is>
          <t>No</t>
        </is>
      </c>
      <c r="H25" t="inlineStr">
        <is>
          <t>a granel</t>
        </is>
      </c>
      <c r="I25" s="30">
        <f>'Escandallo por Molde y Tanda'!E88</f>
        <v>18.0</v>
      </c>
      <c r="J25" s="30">
        <f>'Escandallo por Molde y Tanda'!F88</f>
        <v>27.0</v>
      </c>
      <c r="K25" s="30">
        <f>'Escandallo por Molde y Tanda'!G88</f>
        <v>45.0</v>
      </c>
      <c r="L25" s="24">
        <f>IFERROR(I25/K25,"")</f>
        <v>0.4</v>
      </c>
      <c r="M25" t="inlineStr">
        <is>
          <t>No</t>
        </is>
      </c>
      <c r="N25" t="str">
        <f>IF(M25="No","No aplica: su mínimo es el de su denominación",IF(NOT(ISNUMBER(L25)),"",IF(L25&gt;=$B$38,"CUMPLE el 25 % sobre el peso total","NO CUMPLE: no puede llamarse así")))</f>
        <v>No aplica: su mínimo es el de su denominación</v>
      </c>
      <c r="O25" s="13" t="inlineStr">
        <is>
          <t>Aquí NO entregas un bien: prestas un servicio de hostelería, y el IVA va al 10 % por el art. 91.Uno.2.2.o (`CHN-71c`). No lleva etiqueta, así que su referencia es tu sistema de autocontrol (D47). Y si pones mesas, el art. 8 de la Ley 1/2025 te obliga a facilitar que el cliente se lleve lo que no ha consumido, aunque seas microempresa: la exclusión del art. 6.6 NO alcanza al art. 8 (`CHN-92`). Es la pieza que sube el ticket del churro un 40-60 % en la variante de taza (`CHS-32`), y es OTRO negocio (D1).</t>
        </is>
      </c>
    </row>
    <row r="26" ht="54" customHeight="1">
      <c r="A26" t="inlineStr">
        <is>
          <t>TF1</t>
        </is>
      </c>
      <c r="B26" s="5" t="inlineStr">
        <is>
          <t>Huevo de Pascua de chocolate con leche, 250 g</t>
        </is>
      </c>
      <c r="C26" t="inlineStr">
        <is>
          <t>Turrones, figuras y temporada</t>
        </is>
      </c>
      <c r="D26" s="5" t="inlineStr">
        <is>
          <t>Chocolate con leche</t>
        </is>
      </c>
      <c r="E26" s="18" t="inlineStr">
        <is>
          <t>CHN-02 + CHN-13</t>
        </is>
      </c>
      <c r="F26" s="29" t="inlineStr">
        <is>
          <t>ap. 1.7: mínimos descontando los ingredientes añadidos del ap. 3</t>
        </is>
      </c>
      <c r="G26" t="inlineStr">
        <is>
          <t>Sí</t>
        </is>
      </c>
      <c r="H26" t="inlineStr">
        <is>
          <t>envasado con etiqueta</t>
        </is>
      </c>
      <c r="I26" s="30">
        <f>'Escandallo por Molde y Tanda'!E89</f>
        <v>250.0</v>
      </c>
      <c r="J26" s="30">
        <f>'Escandallo por Molde y Tanda'!F89</f>
        <v>0.0</v>
      </c>
      <c r="K26" s="30">
        <f>'Escandallo por Molde y Tanda'!G89</f>
        <v>250.0</v>
      </c>
      <c r="L26" s="24">
        <f>IFERROR(I26/K26,"")</f>
        <v>1.0</v>
      </c>
      <c r="M26" t="inlineStr">
        <is>
          <t>No</t>
        </is>
      </c>
      <c r="N26" t="str">
        <f>IF(M26="No","No aplica: su mínimo es el de su denominación",IF(NOT(ISNUMBER(L26)),"",IF(L26&gt;=$B$38,"CUMPLE el 25 % sobre el peso total","NO CUMPLE: no puede llamarse así")))</f>
        <v>No aplica: su mínimo es el de su denominación</v>
      </c>
      <c r="O26" s="13" t="inlineStr">
        <is>
          <t>La merma recuperable mas alta del catálogo: la pieza hueca se raja con los cambios bruscos de temperatura (nota del kit) y lo que se rompe SIN relleno vuelve entero a la cuba. Cero mix en verano: es de campana.</t>
        </is>
      </c>
    </row>
    <row r="27" ht="54" customHeight="1">
      <c r="A27" t="inlineStr">
        <is>
          <t>TF2</t>
        </is>
      </c>
      <c r="B27" s="5" t="inlineStr">
        <is>
          <t>Mona de Pascua de chocolate, 400 g</t>
        </is>
      </c>
      <c r="C27" t="inlineStr">
        <is>
          <t>Turrones, figuras y temporada</t>
        </is>
      </c>
      <c r="D27" s="5" t="inlineStr">
        <is>
          <t>Chocolate con leche</t>
        </is>
      </c>
      <c r="E27" s="18" t="inlineStr">
        <is>
          <t>CHN-02 + CHN-13</t>
        </is>
      </c>
      <c r="F27" s="29" t="inlineStr">
        <is>
          <t>ap. 1.7 con materias comestibles añadidas del ap. 3 (tope 40 %)</t>
        </is>
      </c>
      <c r="G27" t="inlineStr">
        <is>
          <t>Sí</t>
        </is>
      </c>
      <c r="H27" t="inlineStr">
        <is>
          <t>envasado con etiqueta</t>
        </is>
      </c>
      <c r="I27" s="30">
        <f>'Escandallo por Molde y Tanda'!E90</f>
        <v>380.0</v>
      </c>
      <c r="J27" s="30">
        <f>'Escandallo por Molde y Tanda'!F90</f>
        <v>20.0</v>
      </c>
      <c r="K27" s="30">
        <f>'Escandallo por Molde y Tanda'!G90</f>
        <v>400.0</v>
      </c>
      <c r="L27" s="24">
        <f>IFERROR(I27/K27,"")</f>
        <v>0.95</v>
      </c>
      <c r="M27" t="inlineStr">
        <is>
          <t>No</t>
        </is>
      </c>
      <c r="N27" t="str">
        <f>IF(M27="No","No aplica: su mínimo es el de su denominación",IF(NOT(ISNUMBER(L27)),"",IF(L27&gt;=$B$38,"CUMPLE el 25 % sobre el peso total","NO CUMPLE: no puede llamarse así")))</f>
        <v>No aplica: su mínimo es el de su denominación</v>
      </c>
      <c r="O27" s="13" t="inlineStr">
        <is>
          <t>Pieza de autor y la que mas minutos de obrador se lleva: 210 por tanda de seis. La decoración va como materia añadida del ap. 3. Es la referencia que pone a prueba la capacidad del libro 1 en abril.</t>
        </is>
      </c>
    </row>
    <row r="28" ht="54" customHeight="1">
      <c r="A28" t="inlineStr">
        <is>
          <t>TF3</t>
        </is>
      </c>
      <c r="B28" s="5" t="inlineStr">
        <is>
          <t>Hueso de santo bañado en chocolate</t>
        </is>
      </c>
      <c r="C28" t="inlineStr">
        <is>
          <t>Turrones, figuras y temporada</t>
        </is>
      </c>
      <c r="D28" s="5" t="inlineStr">
        <is>
          <t>Producto de confitería recubierto de chocolate</t>
        </is>
      </c>
      <c r="E28" s="18" t="inlineStr">
        <is>
          <t>CHN-15</t>
        </is>
      </c>
      <c r="F28" s="29" t="inlineStr">
        <is>
          <t>RD 348/2011: si el producto está relleno, recubierto o grageado, la denominación de venta tiene que decirlo</t>
        </is>
      </c>
      <c r="G28" t="inlineStr">
        <is>
          <t>No</t>
        </is>
      </c>
      <c r="H28" t="inlineStr">
        <is>
          <t>a granel</t>
        </is>
      </c>
      <c r="I28" s="30">
        <f>'Escandallo por Molde y Tanda'!E91</f>
        <v>9.0</v>
      </c>
      <c r="J28" s="30">
        <f>'Escandallo por Molde y Tanda'!F91</f>
        <v>21.0</v>
      </c>
      <c r="K28" s="30">
        <f>'Escandallo por Molde y Tanda'!G91</f>
        <v>30.0</v>
      </c>
      <c r="L28" s="24">
        <f>IFERROR(I28/K28,"")</f>
        <v>0.3</v>
      </c>
      <c r="M28" t="inlineStr">
        <is>
          <t>No</t>
        </is>
      </c>
      <c r="N28" t="str">
        <f>IF(M28="No","No aplica: su mínimo es el de su denominación",IF(NOT(ISNUMBER(L28)),"",IF(L28&gt;=$B$38,"CUMPLE el 25 % sobre el peso total","NO CUMPLE: no puede llamarse así")))</f>
        <v>No aplica: su mínimo es el de su denominación</v>
      </c>
      <c r="O28" s="13" t="inlineStr">
        <is>
          <t>LA REFERENCIA QUE ROMPE LA REGLA, y por eso esta aquí: 9 g de chocolate sobre 30 g de pieza son el 30 %, pero NO es un bombón de chocolate, porque el 1.13 pide una pieza «del tamaño de un bocado constituida por chocolate», y esto es un producto de confitería RECUBIERTO. Su denominación sale del RD 348/2011 (`CHN-15`), no del RD 1055/2003. La ÚNICA con huevo, por la yema, y va con ovoproducto pasteurizado (`CHN-31`). Esta literalmente en el calendario del kit: «Todos los Santos (1): panellets y huesos de santo bañados».</t>
        </is>
      </c>
    </row>
    <row r="29" ht="54" customHeight="1">
      <c r="A29" t="inlineStr">
        <is>
          <t>TF4</t>
        </is>
      </c>
      <c r="B29" s="5" t="inlineStr">
        <is>
          <t>Turrón de chocolate con almendra, 250 g</t>
        </is>
      </c>
      <c r="C29" t="inlineStr">
        <is>
          <t>Turrones, figuras y temporada</t>
        </is>
      </c>
      <c r="D29" s="5" t="inlineStr">
        <is>
          <t>Chocolate con almendras</t>
        </is>
      </c>
      <c r="E29" s="18" t="inlineStr">
        <is>
          <t>CHN-02 + CHN-09 + CHN-13</t>
        </is>
      </c>
      <c r="F29" s="29" t="inlineStr">
        <is>
          <t>ap. 1.6 con materias comestibles añadidas del ap. 3 (tope 40 %)</t>
        </is>
      </c>
      <c r="G29" t="inlineStr">
        <is>
          <t>Sí</t>
        </is>
      </c>
      <c r="H29" t="inlineStr">
        <is>
          <t>envasado con etiqueta</t>
        </is>
      </c>
      <c r="I29" s="30">
        <f>'Escandallo por Molde y Tanda'!E92</f>
        <v>168.0</v>
      </c>
      <c r="J29" s="30">
        <f>'Escandallo por Molde y Tanda'!F92</f>
        <v>82.0</v>
      </c>
      <c r="K29" s="30">
        <f>'Escandallo por Molde y Tanda'!G92</f>
        <v>250.0</v>
      </c>
      <c r="L29" s="24">
        <f>IFERROR(I29/K29,"")</f>
        <v>0.672</v>
      </c>
      <c r="M29" t="inlineStr">
        <is>
          <t>No</t>
        </is>
      </c>
      <c r="N29" t="str">
        <f>IF(M29="No","No aplica: su mínimo es el de su denominación",IF(NOT(ISNUMBER(L29)),"",IF(L29&gt;=$B$38,"CUMPLE el 25 % sobre el peso total","NO CUMPLE: no puede llamarse así")))</f>
        <v>No aplica: su mínimo es el de su denominación</v>
      </c>
      <c r="O29" s="13" t="inlineStr">
        <is>
          <t>HUECO DECLARADO: la denominación que publica este juego de datos es la del RD 1055/2003, porque la norma de calidad de TURRONES no se abrio en la verificación legal del 12-09-2026 y ninguna ficha `CHN-*` la cubre. «Turrón de chocolate con almendra» es el NOMBRE COMERCIAL; antes de imprimir la etiqueta hay que comprobar si la norma de turrones te obliga a otra denominación de venta. La almendra (82 g sobre 250, el 32,8 %) esta dentro del tope del 40 % del ap. 3 (`CHN-09`).</t>
        </is>
      </c>
    </row>
    <row r="30" ht="54" customHeight="1">
      <c r="A30" t="inlineStr">
        <is>
          <t>TF5</t>
        </is>
      </c>
      <c r="B30" s="5" t="inlineStr">
        <is>
          <t>Almendras marcona bañadas en chocolate, bolsa de 150 g</t>
        </is>
      </c>
      <c r="C30" t="inlineStr">
        <is>
          <t>Turrones, figuras y temporada</t>
        </is>
      </c>
      <c r="D30" s="5" t="inlineStr">
        <is>
          <t>Grageas o confites de chocolate</t>
        </is>
      </c>
      <c r="E30" s="18" t="inlineStr">
        <is>
          <t>CHN-15</t>
        </is>
      </c>
      <c r="F30" s="29" t="inlineStr">
        <is>
          <t>RD 348/2011, ap. 1.3: la denominación de venta se complementa con «relleno», «recubierto» o «grageado» según el caso</t>
        </is>
      </c>
      <c r="G30" t="inlineStr">
        <is>
          <t>No</t>
        </is>
      </c>
      <c r="H30" t="inlineStr">
        <is>
          <t>envasado con etiqueta</t>
        </is>
      </c>
      <c r="I30" s="30">
        <f>'Escandallo por Molde y Tanda'!E93</f>
        <v>88.0</v>
      </c>
      <c r="J30" s="30">
        <f>'Escandallo por Molde y Tanda'!F93</f>
        <v>62.0</v>
      </c>
      <c r="K30" s="30">
        <f>'Escandallo por Molde y Tanda'!G93</f>
        <v>150.0</v>
      </c>
      <c r="L30" s="24">
        <f>IFERROR(I30/K30,"")</f>
        <v>0.5866666666666667</v>
      </c>
      <c r="M30" t="inlineStr">
        <is>
          <t>No</t>
        </is>
      </c>
      <c r="N30" t="str">
        <f>IF(M30="No","No aplica: su mínimo es el de su denominación",IF(NOT(ISNUMBER(L30)),"",IF(L30&gt;=$B$38,"CUMPLE el 25 % sobre el peso total","NO CUMPLE: no puede llamarse así")))</f>
        <v>No aplica: su mínimo es el de su denominación</v>
      </c>
      <c r="O30" s="13" t="inlineStr">
        <is>
          <t>La que da nombre a la casa, y su denominación NO sale del RD 1055/2003 sino del RD 348/2011: «grageas o confites de chocolate» (`CHN-15`). Se hace en bombo, no en molde: `moldes_tanda` vale 1 y los 95 minutos son de la tanda entera, de la que salen 40 bolsas. Es la segunda que mas sube en verano: no lleva agua y es souvenir (literal del kit para julio: «packs souvenir y colaboraciones locales»).</t>
        </is>
      </c>
    </row>
    <row r="31" ht="54" customHeight="1">
      <c r="A31" t="inlineStr">
        <is>
          <t>CJ1</t>
        </is>
      </c>
      <c r="B31" s="5" t="inlineStr">
        <is>
          <t>Caja surtida de 12 bombones</t>
        </is>
      </c>
      <c r="C31" t="inlineStr">
        <is>
          <t>Cajas y regalo</t>
        </is>
      </c>
      <c r="D31" s="5" t="inlineStr">
        <is>
          <t>Chocolates rellenos surtidos</t>
        </is>
      </c>
      <c r="E31" s="18" t="inlineStr">
        <is>
          <t>CHN-13</t>
        </is>
      </c>
      <c r="F31" s="29" t="inlineStr">
        <is>
          <t>ap. 6.a) y 6.c): la denominación va por pieza o, si el surtido es de los aps. 1.6 a 1.10 y 1.13, se sustituye por la de surtido, con una única lista de ingredientes. Es una DECISIÓN de etiquetado, no una obligación</t>
        </is>
      </c>
      <c r="G31" t="inlineStr">
        <is>
          <t>No</t>
        </is>
      </c>
      <c r="H31" t="inlineStr">
        <is>
          <t>envasado con etiqueta</t>
        </is>
      </c>
      <c r="I31" s="30">
        <f>'Escandallo por Molde y Tanda'!E94</f>
        <v>62.5</v>
      </c>
      <c r="J31" s="30">
        <f>'Escandallo por Molde y Tanda'!F94</f>
        <v>82.5</v>
      </c>
      <c r="K31" s="30">
        <f>'Escandallo por Molde y Tanda'!G94</f>
        <v>145.0</v>
      </c>
      <c r="L31" s="24">
        <f>IFERROR(I31/K31,"")</f>
        <v>0.43103448275862066</v>
      </c>
      <c r="M31" t="inlineStr">
        <is>
          <t>No</t>
        </is>
      </c>
      <c r="N31" t="str">
        <f>IF(M31="No","La denominación va por pieza: el 25 % lo comprueba cada bombón en su propia fila, no el agregado de la caja",IF(NOT(ISNUMBER(L31)),"",IF(L31&gt;=$B$38,"CUMPLE el 25 % sobre el peso total","NO CUMPLE: no puede llamarse así")))</f>
        <v>La denominación va por pieza: el 25 % lo comprueba cada bombón en su propia fila, no el agregado de la caja</v>
      </c>
      <c r="O31" s="13" t="inlineStr">
        <is>
          <t>PVP de `CHS-29`, precio de MOSTRADOR (con IVA) y base de IVA NO declarada por la fuente: entra con su columna «lleva IVA» y el libro 4 publica el PVP base por fórmula, porque el libro 7 pide el ticket medio SIN IVA. 12 unidades a 20,00 euros son 1,67 euros por bombón. Su coste de materia NO se teclea: se COMPONE de las referencias que lleva dentro (`composicion_caja`), y por eso `g_chocolate` vale 0. Los siete alérgenos son la UNIÓN de lo que va dentro: en un surtido a granel no puedes prometer que una pinza no ha tocado otra cosa.</t>
        </is>
      </c>
    </row>
    <row r="32" ht="54" customHeight="1">
      <c r="A32" t="inlineStr">
        <is>
          <t>CJ2</t>
        </is>
      </c>
      <c r="B32" s="5" t="inlineStr">
        <is>
          <t>Caja surtida de 20 bombones</t>
        </is>
      </c>
      <c r="C32" t="inlineStr">
        <is>
          <t>Cajas y regalo</t>
        </is>
      </c>
      <c r="D32" s="5" t="inlineStr">
        <is>
          <t>Chocolates rellenos surtidos</t>
        </is>
      </c>
      <c r="E32" s="18" t="inlineStr">
        <is>
          <t>CHN-13</t>
        </is>
      </c>
      <c r="F32" s="29" t="inlineStr">
        <is>
          <t>ap. 6.a) y 6.c), igual que CJ1</t>
        </is>
      </c>
      <c r="G32" t="inlineStr">
        <is>
          <t>No</t>
        </is>
      </c>
      <c r="H32" t="inlineStr">
        <is>
          <t>envasado con etiqueta</t>
        </is>
      </c>
      <c r="I32" s="30">
        <f>'Escandallo por Molde y Tanda'!E95</f>
        <v>102.5</v>
      </c>
      <c r="J32" s="30">
        <f>'Escandallo por Molde y Tanda'!F95</f>
        <v>142.5</v>
      </c>
      <c r="K32" s="30">
        <f>'Escandallo por Molde y Tanda'!G95</f>
        <v>245.0</v>
      </c>
      <c r="L32" s="24">
        <f>IFERROR(I32/K32,"")</f>
        <v>0.41836734693877553</v>
      </c>
      <c r="M32" t="inlineStr">
        <is>
          <t>No</t>
        </is>
      </c>
      <c r="N32" t="str">
        <f>IF(M32="No","La denominación va por pieza: el 25 % lo comprueba cada bombón en su propia fila, no el agregado de la caja",IF(NOT(ISNUMBER(L32)),"",IF(L32&gt;=$B$38,"CUMPLE el 25 % sobre el peso total","NO CUMPLE: no puede llamarse así")))</f>
        <v>La denominación va por pieza: el 25 % lo comprueba cada bombón en su propia fila, no el agregado de la caja</v>
      </c>
      <c r="O32" s="13" t="inlineStr">
        <is>
          <t>1,40 euros por bombón: un 16 % menos que en la caja de 12.</t>
        </is>
      </c>
    </row>
    <row r="33" ht="54" customHeight="1">
      <c r="A33" t="inlineStr">
        <is>
          <t>CJ3</t>
        </is>
      </c>
      <c r="B33" s="5" t="inlineStr">
        <is>
          <t>Caja surtida de 35 bombones</t>
        </is>
      </c>
      <c r="C33" t="inlineStr">
        <is>
          <t>Cajas y regalo</t>
        </is>
      </c>
      <c r="D33" s="5" t="inlineStr">
        <is>
          <t>Chocolates rellenos surtidos</t>
        </is>
      </c>
      <c r="E33" s="18" t="inlineStr">
        <is>
          <t>CHN-13</t>
        </is>
      </c>
      <c r="F33" s="29" t="inlineStr">
        <is>
          <t>ap. 6.a) y 6.c), igual que CJ1</t>
        </is>
      </c>
      <c r="G33" t="inlineStr">
        <is>
          <t>No</t>
        </is>
      </c>
      <c r="H33" t="inlineStr">
        <is>
          <t>envasado con etiqueta</t>
        </is>
      </c>
      <c r="I33" s="30">
        <f>'Escandallo por Molde y Tanda'!E96</f>
        <v>181.0</v>
      </c>
      <c r="J33" s="30">
        <f>'Escandallo por Molde y Tanda'!F96</f>
        <v>247.0</v>
      </c>
      <c r="K33" s="30">
        <f>'Escandallo por Molde y Tanda'!G96</f>
        <v>428.0</v>
      </c>
      <c r="L33" s="24">
        <f>IFERROR(I33/K33,"")</f>
        <v>0.42289719626168226</v>
      </c>
      <c r="M33" t="inlineStr">
        <is>
          <t>No</t>
        </is>
      </c>
      <c r="N33" t="str">
        <f>IF(M33="No","La denominación va por pieza: el 25 % lo comprueba cada bombón en su propia fila, no el agregado de la caja",IF(NOT(ISNUMBER(L33)),"",IF(L33&gt;=$B$38,"CUMPLE el 25 % sobre el peso total","NO CUMPLE: no puede llamarse así")))</f>
        <v>La denominación va por pieza: el 25 % lo comprueba cada bombón en su propia fila, no el agregado de la caja</v>
      </c>
      <c r="O33" s="13" t="inlineStr">
        <is>
          <t>1,29 euros por bombón: un 23 % menos que en la caja de 12. Esa escalera es la decisión 4 del bonus 2, y el libro 4 la resuelve comparando el precio de la caja con la suma de sus unidades sueltas.</t>
        </is>
      </c>
    </row>
    <row r="34" ht="54" customHeight="1">
      <c r="A34" t="inlineStr">
        <is>
          <t>CJ4</t>
        </is>
      </c>
      <c r="B34" s="5" t="inlineStr">
        <is>
          <t>Estuche corporativo personalizado de 24 bombones</t>
        </is>
      </c>
      <c r="C34" t="inlineStr">
        <is>
          <t>Cajas y regalo</t>
        </is>
      </c>
      <c r="D34" s="5" t="inlineStr">
        <is>
          <t>Chocolates rellenos surtidos</t>
        </is>
      </c>
      <c r="E34" s="18" t="inlineStr">
        <is>
          <t>CHN-13</t>
        </is>
      </c>
      <c r="F34" s="29" t="inlineStr">
        <is>
          <t>ap. 6.a) y 6.c), igual que CJ1</t>
        </is>
      </c>
      <c r="G34" t="inlineStr">
        <is>
          <t>No</t>
        </is>
      </c>
      <c r="H34" t="inlineStr">
        <is>
          <t>envasado con etiqueta</t>
        </is>
      </c>
      <c r="I34" s="30">
        <f>'Escandallo por Molde y Tanda'!E97</f>
        <v>123.0</v>
      </c>
      <c r="J34" s="30">
        <f>'Escandallo por Molde y Tanda'!F97</f>
        <v>170.0</v>
      </c>
      <c r="K34" s="30">
        <f>'Escandallo por Molde y Tanda'!G97</f>
        <v>293.0</v>
      </c>
      <c r="L34" s="24">
        <f>IFERROR(I34/K34,"")</f>
        <v>0.4197952218430034</v>
      </c>
      <c r="M34" t="inlineStr">
        <is>
          <t>No</t>
        </is>
      </c>
      <c r="N34" t="str">
        <f>IF(M34="No","La denominación va por pieza: el 25 % lo comprueba cada bombón en su propia fila, no el agregado de la caja",IF(NOT(ISNUMBER(L34)),"",IF(L34&gt;=$B$38,"CUMPLE el 25 % sobre el peso total","NO CUMPLE: no puede llamarse así")))</f>
        <v>La denominación va por pieza: el 25 % lo comprueba cada bombón en su propia fila, no el agregado de la caja</v>
      </c>
      <c r="O34" s="13" t="inlineStr">
        <is>
          <t>SUPUESTO: `CHS-29` no cubre el estuche corporativo. Lo que SI esta verificado es su regla operativa: 14 días de plazo mínimo desde la aprobación de la muestra (`CHS-55`), que es lo que decide si aceptas un pedido de empresa en diciembre. Y es el canal que te saca de la nota del epígrafe 644.5 y te mete en la tabla de CLIENTES del art. 5.3.b) del EUDR (`CHN-24`, D48).</t>
        </is>
      </c>
    </row>
    <row r="35" ht="46" customHeight="1">
      <c r="A35" s="13" t="inlineStr">
        <is>
          <t>ENVASADO CON ETIQUETA: Sale envasado con SU etiqueta. El art. 4.2 del RD 1021/2022 fija la temperatura de conservación POR LA ETIQUETA que pone quien ha producido y envasado: la que tu has escrito te obliga a ti. Y con etiqueta entran además las doce menciones del art. 9.1 del Rgto. 1169/2011 (CHN-35) mas el lote, que NO viene de ese reglamento sino del RD 1808/1991 (CHN-36).</t>
        </is>
      </c>
    </row>
    <row r="36"/>
    <row r="37">
      <c r="A37" s="4" t="inlineStr">
        <is>
          <t>Los mínimos que usa el semáforo</t>
        </is>
      </c>
    </row>
    <row r="38" ht="40" customHeight="1">
      <c r="A38" s="5" t="inlineStr">
        <is>
          <t>Chocolate mínimo sobre el PESO TOTAL del bombón y del chocolate relleno (aps. 1.10 y 1.13, y la base es el peso total CON el relleno dentro)</t>
        </is>
      </c>
      <c r="B38" s="19" t="n">
        <v>0.25</v>
      </c>
    </row>
    <row r="39" ht="30" customHeight="1">
      <c r="A39" s="5" t="inlineStr">
        <is>
          <t>Materia seca TOTAL de cacao del chocolate a la taza (ap. 1.11)</t>
        </is>
      </c>
      <c r="B39" s="19" t="n">
        <v>0.35</v>
      </c>
    </row>
    <row r="40" ht="30" customHeight="1">
      <c r="A40" s="5" t="inlineStr">
        <is>
          <t>Manteca de cacao del chocolate a la taza (ap. 1.11)</t>
        </is>
      </c>
      <c r="B40" s="19" t="n">
        <v>0.18</v>
      </c>
    </row>
    <row r="41" ht="30" customHeight="1">
      <c r="A41" s="5" t="inlineStr">
        <is>
          <t>Materia seca DESGRASADA de cacao del chocolate a la taza (ap. 1.11)</t>
        </is>
      </c>
      <c r="B41" s="19" t="n">
        <v>0.14</v>
      </c>
    </row>
    <row r="42"/>
    <row r="43" ht="28" customHeight="1">
      <c r="A43" s="4" t="inlineStr">
        <is>
          <t>Capa (b): las tres magnitudes que la norma pide y la bolsa no trae. Cópialas de la ficha técnica de tu proveedor</t>
        </is>
      </c>
    </row>
    <row r="44" ht="48" customHeight="1">
      <c r="A44" s="8" t="inlineStr">
        <is>
          <t>Cobertura</t>
        </is>
      </c>
      <c r="B44" s="8" t="inlineStr">
        <is>
          <t>Materia seca TOTAL de cacao</t>
        </is>
      </c>
      <c r="C44" s="8" t="inlineStr">
        <is>
          <t>Manteca de cacao</t>
        </is>
      </c>
      <c r="D44" s="8" t="inlineStr">
        <is>
          <t>Materia seca DESGRASADA de cacao</t>
        </is>
      </c>
      <c r="E44" s="8" t="inlineStr">
        <is>
          <t>¿Llega a los tres umbrales de materia seca del ap. 1.11?</t>
        </is>
      </c>
      <c r="F44" s="8" t="inlineStr">
        <is>
          <t>Qué te dice eso, y qué no</t>
        </is>
      </c>
      <c r="G44" s="8" t="inlineStr">
        <is>
          <t>Nota</t>
        </is>
      </c>
    </row>
    <row r="45" ht="48" customHeight="1">
      <c r="A45" s="5" t="inlineStr">
        <is>
          <t>Cobertura de chocolate negro (marca, 54,5 % de cacao)</t>
        </is>
      </c>
      <c r="B45" s="19" t="n">
        <v>0.545</v>
      </c>
      <c r="C45" s="19" t="n">
        <v>0.31</v>
      </c>
      <c r="D45" s="19" t="n">
        <v>0.235</v>
      </c>
      <c r="E45" t="str">
        <f>IF(OR(NOT(ISNUMBER(B45)),NOT(ISNUMBER(C45)),NOT(ISNUMBER(D45))),"",IF(AND(B45&gt;=$B$39,C45&gt;=$B$40,D45&gt;=$B$41),"Sí","No"))</f>
        <v>Sí</v>
      </c>
      <c r="F45" t="str">
        <f>IF(E45="","",IF(E45="Sí","Pasa los tres umbrales de materia seca. Eso NO decide la denominación por sí solo: depende además de qué lleva (leche, harina o almidón hasta el 8 %), y lo confirma la ficha técnica de tu proveedor","No llega a los tres umbrales: con esta cobertura no puedes ir por esa denominación"))</f>
        <v>Pasa los tres umbrales de materia seca. Eso NO decide la denominación por sí solo: depende además de qué lleva (leche, harina o almidón hasta el 8 %), y lo confirma la ficha técnica de tu proveedor</v>
      </c>
      <c r="G45" s="13" t="inlineStr">
        <is>
          <t>LA CELDA MAS CRITICA DEL PAQUETE. Base CON IVA declarada por la ficha (`CHS-28a`): el libro 3 la publica en las dos bases y lo que viaja al 4 y al 7 es la base imponible. Las tres magnitudes de arriba son SUPUESTO: pidesela a tu proveedor, la bolsa solo trae el total.</t>
        </is>
      </c>
    </row>
    <row r="46" ht="48" customHeight="1">
      <c r="A46" s="5" t="inlineStr">
        <is>
          <t>Cobertura de chocolate de origen (70 % de cacao)</t>
        </is>
      </c>
      <c r="B46" s="19" t="n">
        <v>0.7</v>
      </c>
      <c r="C46" s="19" t="n">
        <v>0.42</v>
      </c>
      <c r="D46" s="19" t="n">
        <v>0.28</v>
      </c>
      <c r="E46" t="str">
        <f>IF(OR(NOT(ISNUMBER(B46)),NOT(ISNUMBER(C46)),NOT(ISNUMBER(D46))),"",IF(AND(B46&gt;=$B$39,C46&gt;=$B$40,D46&gt;=$B$41),"Sí","No"))</f>
        <v>Sí</v>
      </c>
      <c r="F46" t="str">
        <f>IF(E46="","",IF(E46="Sí","Pasa los tres umbrales de materia seca. Eso NO decide la denominación por sí solo: depende además de qué lleva (leche, harina o almidón hasta el 8 %), y lo confirma la ficha técnica de tu proveedor","No llega a los tres umbrales: con esta cobertura no puedes ir por esa denominación"))</f>
        <v>Pasa los tres umbrales de materia seca. Eso NO decide la denominación por sí solo: depende además de qué lleva (leche, harina o almidón hasta el 8 %), y lo confirma la ficha técnica de tu proveedor</v>
      </c>
      <c r="G46" s="13" t="inlineStr">
        <is>
          <t>Factor 1,5 frente a la de marca, y es la decisión de posicionamiento mas cara del negocio (decisión 5 del bonus 2). La pagina no declara si el precio lleva IVA: se trata como base imponible y se marca.</t>
        </is>
      </c>
    </row>
    <row r="47" ht="48" customHeight="1">
      <c r="A47" s="5" t="inlineStr">
        <is>
          <t>Cobertura de chocolate con leche (38 % de cacao)</t>
        </is>
      </c>
      <c r="B47" s="19" t="n">
        <v>0.38</v>
      </c>
      <c r="C47" s="19" t="n">
        <v>0.21</v>
      </c>
      <c r="D47" s="19" t="n">
        <v>0.17</v>
      </c>
      <c r="E47" t="str">
        <f>IF(OR(NOT(ISNUMBER(B47)),NOT(ISNUMBER(C47)),NOT(ISNUMBER(D47))),"",IF(AND(B47&gt;=$B$39,C47&gt;=$B$40,D47&gt;=$B$41),"Sí","No"))</f>
        <v>Sí</v>
      </c>
      <c r="F47" t="str">
        <f>IF(E47="","",IF(E47="Sí","Pasa los tres umbrales de materia seca. Eso NO decide la denominación por sí solo: depende además de qué lleva (leche, harina o almidón hasta el 8 %), y lo confirma la ficha técnica de tu proveedor","No llega a los tres umbrales: con esta cobertura no puedes ir por esa denominación"))</f>
        <v>Pasa los tres umbrales de materia seca. Eso NO decide la denominación por sí solo: depende además de qué lleva (leche, harina o almidón hasta el 8 %), y lo confirma la ficha técnica de tu proveedor</v>
      </c>
      <c r="G47" s="13" t="inlineStr">
        <is>
          <t>SUPUESTO declarado: no hay precio verificado de cobertura con leche en el research. Celda verde con valor por defecto (regla 2 de §2.3: ninguna celda verde vacia).</t>
        </is>
      </c>
    </row>
    <row r="48" ht="48" customHeight="1">
      <c r="A48" s="5" t="inlineStr">
        <is>
          <t>Cobertura de chocolate blanco (30 % de cacao)</t>
        </is>
      </c>
      <c r="B48" s="19" t="n">
        <v>0.3</v>
      </c>
      <c r="C48" s="19" t="n">
        <v>0.3</v>
      </c>
      <c r="D48" s="19" t="n">
        <v>0</v>
      </c>
      <c r="E48" t="str">
        <f>IF(OR(NOT(ISNUMBER(B48)),NOT(ISNUMBER(C48)),NOT(ISNUMBER(D48))),"",IF(AND(B48&gt;=$B$39,C48&gt;=$B$40,D48&gt;=$B$41),"Sí","No"))</f>
        <v>No</v>
      </c>
      <c r="F48" t="str">
        <f>IF(E48="","",IF(E48="Sí","Pasa los tres umbrales de materia seca. Eso NO decide la denominación por sí solo: depende además de qué lleva (leche, harina o almidón hasta el 8 %), y lo confirma la ficha técnica de tu proveedor","No llega a los tres umbrales: con esta cobertura no puedes ir por esa denominación"))</f>
        <v>No llega a los tres umbrales: con esta cobertura no puedes ir por esa denominación</v>
      </c>
      <c r="G48" s="13" t="inlineStr">
        <is>
          <t>SUPUESTO declarado. Ojo al chocolate blanco: NO lleva materia seca desgrasada de cacao, y por eso el art. 6.d) del RD 1055/2003 NO le obliga a la mención «cacao: X % mínimo» (`CHN-07`).</t>
        </is>
      </c>
    </row>
    <row r="49"/>
    <row r="50" ht="46" customHeight="1">
      <c r="A50" s="13" t="inlineStr">
        <is>
          <t>Las tres magnitudes de arriba son SUPUESTOS de ejemplo, no un dato de tu proveedor: la bolsa de una cobertura de marca publica un solo número («54,5 %») y la norma necesita tres. Es la misma ficha técnica que te va a pedir el libro de proveedores para el boletín de cadmio, así que se pide una sola vez.</t>
        </is>
      </c>
    </row>
    <row r="51"/>
    <row r="52">
      <c r="A52" s="4" t="inlineStr">
        <is>
          <t>El tope del 40 % de materias añadidas (ap. 3)</t>
        </is>
      </c>
    </row>
    <row r="53">
      <c r="A53" s="14" t="inlineStr">
        <is>
          <t>Tope de materias añadidas del ap. 3</t>
        </is>
      </c>
      <c r="B53" s="19" t="n">
        <v>0.4</v>
      </c>
    </row>
    <row r="54"/>
    <row r="55" ht="24" customHeight="1">
      <c r="A55" s="8" t="inlineStr">
        <is>
          <t>Id</t>
        </is>
      </c>
      <c r="B55" s="8" t="inlineStr">
        <is>
          <t>Referencia</t>
        </is>
      </c>
      <c r="C55" s="8" t="inlineStr">
        <is>
          <t>Materia añadida sobre el peso total</t>
        </is>
      </c>
      <c r="D55" s="8" t="inlineStr">
        <is>
          <t>Veredicto</t>
        </is>
      </c>
    </row>
    <row r="56">
      <c r="A56" t="inlineStr">
        <is>
          <t>TB4</t>
        </is>
      </c>
      <c r="B56" s="5" t="inlineStr">
        <is>
          <t>Tableta de chocolate negro con almendra marcona, 100 g</t>
        </is>
      </c>
      <c r="C56" s="24">
        <f>IFERROR('Escandallo por Molde y Tanda'!F83/'Escandallo por Molde y Tanda'!G83,"")</f>
        <v>0.22</v>
      </c>
      <c r="D56" t="str">
        <f>IF(NOT(ISNUMBER(C56)),"",IF(C56&lt;=$B$53,"CUMPLE el tope del 40 %","NO CUMPLE: revisa el gramaje"))</f>
        <v>CUMPLE el tope del 40 %</v>
      </c>
    </row>
    <row r="57">
      <c r="A57" t="inlineStr">
        <is>
          <t>TB5</t>
        </is>
      </c>
      <c r="B57" s="5" t="inlineStr">
        <is>
          <t>Tableta de chocolate con leche y avellana, 100 g</t>
        </is>
      </c>
      <c r="C57" s="24">
        <f>IFERROR('Escandallo por Molde y Tanda'!F84/'Escandallo por Molde y Tanda'!G84,"")</f>
        <v>0.2</v>
      </c>
      <c r="D57" t="str">
        <f>IF(NOT(ISNUMBER(C57)),"",IF(C57&lt;=$B$53,"CUMPLE el tope del 40 %","NO CUMPLE: revisa el gramaje"))</f>
        <v>CUMPLE el tope del 40 %</v>
      </c>
    </row>
    <row r="58">
      <c r="A58" t="inlineStr">
        <is>
          <t>TF2</t>
        </is>
      </c>
      <c r="B58" s="5" t="inlineStr">
        <is>
          <t>Mona de Pascua de chocolate, 400 g</t>
        </is>
      </c>
      <c r="C58" s="24">
        <f>IFERROR('Escandallo por Molde y Tanda'!F90/'Escandallo por Molde y Tanda'!G90,"")</f>
        <v>0.05</v>
      </c>
      <c r="D58" t="str">
        <f>IF(NOT(ISNUMBER(C58)),"",IF(C58&lt;=$B$53,"CUMPLE el tope del 40 %","NO CUMPLE: revisa el gramaje"))</f>
        <v>CUMPLE el tope del 40 %</v>
      </c>
    </row>
    <row r="59">
      <c r="A59" t="inlineStr">
        <is>
          <t>TF4</t>
        </is>
      </c>
      <c r="B59" s="5" t="inlineStr">
        <is>
          <t>Turrón de chocolate con almendra, 250 g</t>
        </is>
      </c>
      <c r="C59" s="24">
        <f>IFERROR('Escandallo por Molde y Tanda'!F92/'Escandallo por Molde y Tanda'!G92,"")</f>
        <v>0.328</v>
      </c>
      <c r="D59" t="str">
        <f>IF(NOT(ISNUMBER(C59)),"",IF(C59&lt;=$B$53,"CUMPLE el tope del 40 %","NO CUMPLE: revisa el gramaje"))</f>
        <v>CUMPLE el tope del 40 %</v>
      </c>
    </row>
    <row r="60"/>
    <row r="61"/>
    <row r="62"/>
    <row r="63">
      <c r="A63" s="7" t="inlineStr">
        <is>
          <t>Versión 1.0 · septiembre 2026 · aichef.pro/guia-chocolateria-obrador · info@aichef.pro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conditionalFormatting sqref="L7:L34">
    <cfRule type="expression" priority="1" dxfId="0" stopIfTrue="1">
      <formula>=AND(ISNUMBER($L7),$L7&lt;$B$38)</formula>
    </cfRule>
  </conditionalFormatting>
  <conditionalFormatting sqref="C56:C59">
    <cfRule type="expression" priority="2" dxfId="0" stopIfTrue="1">
      <formula>=AND(ISNUMBER($C56),$C56&gt;$B$53)</formula>
    </cfRule>
  </conditionalFormatting>
  <pageMargins left="0.39" right="0.39" top="0.59" bottom="0.59" header="0.5" footer="0.5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99"/>
  <sheetViews>
    <sheetView workbookViewId="0">
      <pane ySplit="69" topLeftCell="A70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24" customWidth="1" min="3" max="3"/>
    <col width="26" customWidth="1" min="4" max="4"/>
    <col width="13" customWidth="1" min="5" max="5"/>
    <col width="14" customWidth="1" min="6" max="6"/>
    <col width="12" customWidth="1" min="7" max="7"/>
    <col width="30" customWidth="1" min="8" max="8"/>
    <col width="13" customWidth="1" min="9" max="9"/>
    <col width="12" customWidth="1" min="10" max="10"/>
    <col width="13" customWidth="1" min="11" max="11"/>
    <col width="12" customWidth="1" min="12" max="12"/>
    <col width="15" customWidth="1" min="13" max="13"/>
    <col width="13" customWidth="1" min="14" max="14"/>
    <col width="17" customWidth="1" min="15" max="15"/>
    <col width="70" customWidth="1" min="16" max="16"/>
  </cols>
  <sheetData>
    <row r="1">
      <c r="A1" s="1" t="inlineStr">
        <is>
          <t>Escandallo por Molde y Tanda</t>
        </is>
      </c>
    </row>
    <row r="2">
      <c r="A2" s="2" t="inlineStr">
        <is>
          <t>AI Chef Pro · aichef.pro — Cómo Montar una Chocolatería</t>
        </is>
      </c>
    </row>
    <row r="3">
      <c r="A3" s="3" t="inlineStr">
        <is>
          <t>Arriba, lo que cuesta un kilo de cada relleno. Abajo, lo que cuesta una pieza. Las cajas no tienen escandallo propio: se componen de sus bombones.</t>
        </is>
      </c>
    </row>
    <row r="4"/>
    <row r="5">
      <c r="A5" s="4" t="inlineStr">
        <is>
          <t>Fórmulas de relleno: cantidad que entra en UN KILO</t>
        </is>
      </c>
    </row>
    <row r="6" ht="32" customHeight="1">
      <c r="A6" s="8" t="inlineStr">
        <is>
          <t>Relleno</t>
        </is>
      </c>
      <c r="B6" s="8" t="inlineStr">
        <is>
          <t>Ingrediente</t>
        </is>
      </c>
      <c r="C6" s="8" t="inlineStr">
        <is>
          <t>Cantidad por kilo</t>
        </is>
      </c>
      <c r="D6" s="8" t="inlineStr">
        <is>
          <t>Precio de compra (EUR)</t>
        </is>
      </c>
      <c r="E6" s="8" t="inlineStr">
        <is>
          <t>Unidad de compra</t>
        </is>
      </c>
      <c r="F6" s="8" t="inlineStr">
        <is>
          <t>Coste de la línea (EUR)</t>
        </is>
      </c>
      <c r="G6" s="8" t="inlineStr">
        <is>
          <t>Nota</t>
        </is>
      </c>
    </row>
    <row r="7" ht="46" customHeight="1">
      <c r="A7" t="inlineStr">
        <is>
          <t>ganache negra fresca</t>
        </is>
      </c>
      <c r="B7" t="inlineStr">
        <is>
          <t>Nata 35 % MG fresca</t>
        </is>
      </c>
      <c r="C7" s="31" t="n">
        <v>0.4</v>
      </c>
      <c r="D7" s="28">
        <f>IFERROR(VLOOKUP(B7,'Parámetros'!$A$48:$B$73,2,FALSE),"")</f>
        <v>4.2</v>
      </c>
      <c r="E7" t="inlineStr">
        <is>
          <t>L</t>
        </is>
      </c>
      <c r="F7" s="28">
        <f>IFERROR(C7*D7,"")</f>
        <v>1.6800000000000002</v>
      </c>
      <c r="G7" s="13" t="inlineStr">
        <is>
          <t>Fórmulas de EJEMPLO, declaradas. Este producto NO es un recetario y no publica curvas de templado: una curva mal publicada arruina producción. Lo que hacen estas líneas es dar al libro algo que costear.</t>
        </is>
      </c>
    </row>
    <row r="8">
      <c r="A8" t="inlineStr">
        <is>
          <t>ganache negra fresca</t>
        </is>
      </c>
      <c r="B8" t="inlineStr">
        <is>
          <t>Cobertura negra</t>
        </is>
      </c>
      <c r="C8" s="31" t="n">
        <v>0.52</v>
      </c>
      <c r="D8" s="28">
        <f>IFERROR(VLOOKUP(B8,'Parámetros'!$A$48:$B$73,2,FALSE),"")</f>
        <v>22.7455</v>
      </c>
      <c r="E8" t="inlineStr">
        <is>
          <t>kg</t>
        </is>
      </c>
      <c r="F8" s="28">
        <f>IFERROR(C8*D8,"")</f>
        <v>11.82766</v>
      </c>
    </row>
    <row r="9">
      <c r="A9" t="inlineStr">
        <is>
          <t>ganache negra fresca</t>
        </is>
      </c>
      <c r="B9" t="inlineStr">
        <is>
          <t>Mantequilla</t>
        </is>
      </c>
      <c r="C9" s="31" t="n">
        <v>0.06</v>
      </c>
      <c r="D9" s="28">
        <f>IFERROR(VLOOKUP(B9,'Parámetros'!$A$48:$B$73,2,FALSE),"")</f>
        <v>9.8</v>
      </c>
      <c r="E9" t="inlineStr">
        <is>
          <t>kg</t>
        </is>
      </c>
      <c r="F9" s="28">
        <f>IFERROR(C9*D9,"")</f>
        <v>0.588</v>
      </c>
    </row>
    <row r="10">
      <c r="A10" t="inlineStr">
        <is>
          <t>ganache negra fresca</t>
        </is>
      </c>
      <c r="B10" t="inlineStr">
        <is>
          <t>Glucosa</t>
        </is>
      </c>
      <c r="C10" s="31" t="n">
        <v>0.04</v>
      </c>
      <c r="D10" s="28">
        <f>IFERROR(VLOOKUP(B10,'Parámetros'!$A$48:$B$73,2,FALSE),"")</f>
        <v>3.4</v>
      </c>
      <c r="E10" t="inlineStr">
        <is>
          <t>kg</t>
        </is>
      </c>
      <c r="F10" s="28">
        <f>IFERROR(C10*D10,"")</f>
        <v>0.136</v>
      </c>
    </row>
    <row r="11">
      <c r="A11" t="inlineStr">
        <is>
          <t>ganache leche estabilizada</t>
        </is>
      </c>
      <c r="B11" t="inlineStr">
        <is>
          <t>Nata 35 % MG UHT</t>
        </is>
      </c>
      <c r="C11" s="31" t="n">
        <v>0.34</v>
      </c>
      <c r="D11" s="28">
        <f>IFERROR(VLOOKUP(B11,'Parámetros'!$A$48:$B$73,2,FALSE),"")</f>
        <v>3.1</v>
      </c>
      <c r="E11" t="inlineStr">
        <is>
          <t>L</t>
        </is>
      </c>
      <c r="F11" s="28">
        <f>IFERROR(C11*D11,"")</f>
        <v>1.054</v>
      </c>
    </row>
    <row r="12">
      <c r="A12" t="inlineStr">
        <is>
          <t>ganache leche estabilizada</t>
        </is>
      </c>
      <c r="B12" t="inlineStr">
        <is>
          <t>Cobertura con leche</t>
        </is>
      </c>
      <c r="C12" s="31" t="n">
        <v>0.5600000000000001</v>
      </c>
      <c r="D12" s="28">
        <f>IFERROR(VLOOKUP(B12,'Parámetros'!$A$48:$B$73,2,FALSE),"")</f>
        <v>19.5</v>
      </c>
      <c r="E12" t="inlineStr">
        <is>
          <t>kg</t>
        </is>
      </c>
      <c r="F12" s="28">
        <f>IFERROR(C12*D12,"")</f>
        <v>10.920000000000002</v>
      </c>
    </row>
    <row r="13">
      <c r="A13" t="inlineStr">
        <is>
          <t>ganache leche estabilizada</t>
        </is>
      </c>
      <c r="B13" t="inlineStr">
        <is>
          <t>Sorbitol</t>
        </is>
      </c>
      <c r="C13" s="31" t="n">
        <v>0.06</v>
      </c>
      <c r="D13" s="28">
        <f>IFERROR(VLOOKUP(B13,'Parámetros'!$A$48:$B$73,2,FALSE),"")</f>
        <v>6.2</v>
      </c>
      <c r="E13" t="inlineStr">
        <is>
          <t>kg</t>
        </is>
      </c>
      <c r="F13" s="28">
        <f>IFERROR(C13*D13,"")</f>
        <v>0.372</v>
      </c>
    </row>
    <row r="14">
      <c r="A14" t="inlineStr">
        <is>
          <t>ganache leche estabilizada</t>
        </is>
      </c>
      <c r="B14" t="inlineStr">
        <is>
          <t>Mantequilla</t>
        </is>
      </c>
      <c r="C14" s="31" t="n">
        <v>0.05</v>
      </c>
      <c r="D14" s="28">
        <f>IFERROR(VLOOKUP(B14,'Parámetros'!$A$48:$B$73,2,FALSE),"")</f>
        <v>9.8</v>
      </c>
      <c r="E14" t="inlineStr">
        <is>
          <t>kg</t>
        </is>
      </c>
      <c r="F14" s="28">
        <f>IFERROR(C14*D14,"")</f>
        <v>0.49000000000000005</v>
      </c>
    </row>
    <row r="15">
      <c r="A15" t="inlineStr">
        <is>
          <t>praliné avellana</t>
        </is>
      </c>
      <c r="B15" t="inlineStr">
        <is>
          <t>Praline de avellana 50 %</t>
        </is>
      </c>
      <c r="C15" s="31" t="n">
        <v>0.7</v>
      </c>
      <c r="D15" s="28">
        <f>IFERROR(VLOOKUP(B15,'Parámetros'!$A$48:$B$73,2,FALSE),"")</f>
        <v>14.8</v>
      </c>
      <c r="E15" t="inlineStr">
        <is>
          <t>kg</t>
        </is>
      </c>
      <c r="F15" s="28">
        <f>IFERROR(C15*D15,"")</f>
        <v>10.36</v>
      </c>
    </row>
    <row r="16">
      <c r="A16" t="inlineStr">
        <is>
          <t>praliné avellana</t>
        </is>
      </c>
      <c r="B16" t="inlineStr">
        <is>
          <t>Cobertura con leche</t>
        </is>
      </c>
      <c r="C16" s="31" t="n">
        <v>0.28</v>
      </c>
      <c r="D16" s="28">
        <f>IFERROR(VLOOKUP(B16,'Parámetros'!$A$48:$B$73,2,FALSE),"")</f>
        <v>19.5</v>
      </c>
      <c r="E16" t="inlineStr">
        <is>
          <t>kg</t>
        </is>
      </c>
      <c r="F16" s="28">
        <f>IFERROR(C16*D16,"")</f>
        <v>5.460000000000001</v>
      </c>
    </row>
    <row r="17">
      <c r="A17" t="inlineStr">
        <is>
          <t>praliné avellana</t>
        </is>
      </c>
      <c r="B17" t="inlineStr">
        <is>
          <t>Manteca de cacao</t>
        </is>
      </c>
      <c r="C17" s="31" t="n">
        <v>0.04</v>
      </c>
      <c r="D17" s="28">
        <f>IFERROR(VLOOKUP(B17,'Parámetros'!$A$48:$B$73,2,FALSE),"")</f>
        <v>18.6</v>
      </c>
      <c r="E17" t="inlineStr">
        <is>
          <t>kg</t>
        </is>
      </c>
      <c r="F17" s="28">
        <f>IFERROR(C17*D17,"")</f>
        <v>0.7440000000000001</v>
      </c>
    </row>
    <row r="18">
      <c r="A18" t="inlineStr">
        <is>
          <t>gianduja avellana</t>
        </is>
      </c>
      <c r="B18" t="inlineStr">
        <is>
          <t>Pasta pura de avellana</t>
        </is>
      </c>
      <c r="C18" s="31" t="n">
        <v>0.45</v>
      </c>
      <c r="D18" s="28">
        <f>IFERROR(VLOOKUP(B18,'Parámetros'!$A$48:$B$73,2,FALSE),"")</f>
        <v>22.5</v>
      </c>
      <c r="E18" t="inlineStr">
        <is>
          <t>kg</t>
        </is>
      </c>
      <c r="F18" s="28">
        <f>IFERROR(C18*D18,"")</f>
        <v>10.125</v>
      </c>
    </row>
    <row r="19">
      <c r="A19" t="inlineStr">
        <is>
          <t>gianduja avellana</t>
        </is>
      </c>
      <c r="B19" t="inlineStr">
        <is>
          <t>Cobertura con leche</t>
        </is>
      </c>
      <c r="C19" s="31" t="n">
        <v>0.4</v>
      </c>
      <c r="D19" s="28">
        <f>IFERROR(VLOOKUP(B19,'Parámetros'!$A$48:$B$73,2,FALSE),"")</f>
        <v>19.5</v>
      </c>
      <c r="E19" t="inlineStr">
        <is>
          <t>kg</t>
        </is>
      </c>
      <c r="F19" s="28">
        <f>IFERROR(C19*D19,"")</f>
        <v>7.800000000000001</v>
      </c>
    </row>
    <row r="20">
      <c r="A20" t="inlineStr">
        <is>
          <t>gianduja avellana</t>
        </is>
      </c>
      <c r="B20" t="inlineStr">
        <is>
          <t>Azucar</t>
        </is>
      </c>
      <c r="C20" s="31" t="n">
        <v>0.17</v>
      </c>
      <c r="D20" s="28">
        <f>IFERROR(VLOOKUP(B20,'Parámetros'!$A$48:$B$73,2,FALSE),"")</f>
        <v>1.15</v>
      </c>
      <c r="E20" t="inlineStr">
        <is>
          <t>kg</t>
        </is>
      </c>
      <c r="F20" s="28">
        <f>IFERROR(C20*D20,"")</f>
        <v>0.1955</v>
      </c>
    </row>
    <row r="21">
      <c r="A21" t="inlineStr">
        <is>
          <t>trufa</t>
        </is>
      </c>
      <c r="B21" t="inlineStr">
        <is>
          <t>Nata 35 % MG UHT</t>
        </is>
      </c>
      <c r="C21" s="31" t="n">
        <v>0.36</v>
      </c>
      <c r="D21" s="28">
        <f>IFERROR(VLOOKUP(B21,'Parámetros'!$A$48:$B$73,2,FALSE),"")</f>
        <v>3.1</v>
      </c>
      <c r="E21" t="inlineStr">
        <is>
          <t>L</t>
        </is>
      </c>
      <c r="F21" s="28">
        <f>IFERROR(C21*D21,"")</f>
        <v>1.1159999999999999</v>
      </c>
    </row>
    <row r="22">
      <c r="A22" t="inlineStr">
        <is>
          <t>trufa</t>
        </is>
      </c>
      <c r="B22" t="inlineStr">
        <is>
          <t>Cobertura negra</t>
        </is>
      </c>
      <c r="C22" s="31" t="n">
        <v>0.54</v>
      </c>
      <c r="D22" s="28">
        <f>IFERROR(VLOOKUP(B22,'Parámetros'!$A$48:$B$73,2,FALSE),"")</f>
        <v>22.7455</v>
      </c>
      <c r="E22" t="inlineStr">
        <is>
          <t>kg</t>
        </is>
      </c>
      <c r="F22" s="28">
        <f>IFERROR(C22*D22,"")</f>
        <v>12.282570000000002</v>
      </c>
    </row>
    <row r="23">
      <c r="A23" t="inlineStr">
        <is>
          <t>trufa</t>
        </is>
      </c>
      <c r="B23" t="inlineStr">
        <is>
          <t>Mantequilla</t>
        </is>
      </c>
      <c r="C23" s="31" t="n">
        <v>0.06</v>
      </c>
      <c r="D23" s="28">
        <f>IFERROR(VLOOKUP(B23,'Parámetros'!$A$48:$B$73,2,FALSE),"")</f>
        <v>9.8</v>
      </c>
      <c r="E23" t="inlineStr">
        <is>
          <t>kg</t>
        </is>
      </c>
      <c r="F23" s="28">
        <f>IFERROR(C23*D23,"")</f>
        <v>0.588</v>
      </c>
    </row>
    <row r="24">
      <c r="A24" t="inlineStr">
        <is>
          <t>trufa</t>
        </is>
      </c>
      <c r="B24" t="inlineStr">
        <is>
          <t>Glucosa</t>
        </is>
      </c>
      <c r="C24" s="31" t="n">
        <v>0.04</v>
      </c>
      <c r="D24" s="28">
        <f>IFERROR(VLOOKUP(B24,'Parámetros'!$A$48:$B$73,2,FALSE),"")</f>
        <v>3.4</v>
      </c>
      <c r="E24" t="inlineStr">
        <is>
          <t>kg</t>
        </is>
      </c>
      <c r="F24" s="28">
        <f>IFERROR(C24*D24,"")</f>
        <v>0.136</v>
      </c>
    </row>
    <row r="25">
      <c r="A25" t="inlineStr">
        <is>
          <t>licor</t>
        </is>
      </c>
      <c r="B25" t="inlineStr">
        <is>
          <t>Ron anejo</t>
        </is>
      </c>
      <c r="C25" s="31" t="n">
        <v>0.22</v>
      </c>
      <c r="D25" s="28">
        <f>IFERROR(VLOOKUP(B25,'Parámetros'!$A$48:$B$73,2,FALSE),"")</f>
        <v>16.0</v>
      </c>
      <c r="E25" t="inlineStr">
        <is>
          <t>L</t>
        </is>
      </c>
      <c r="F25" s="28">
        <f>IFERROR(C25*D25,"")</f>
        <v>3.52</v>
      </c>
    </row>
    <row r="26">
      <c r="A26" t="inlineStr">
        <is>
          <t>licor</t>
        </is>
      </c>
      <c r="B26" t="inlineStr">
        <is>
          <t>Azucar</t>
        </is>
      </c>
      <c r="C26" s="31" t="n">
        <v>0.72</v>
      </c>
      <c r="D26" s="28">
        <f>IFERROR(VLOOKUP(B26,'Parámetros'!$A$48:$B$73,2,FALSE),"")</f>
        <v>1.15</v>
      </c>
      <c r="E26" t="inlineStr">
        <is>
          <t>kg</t>
        </is>
      </c>
      <c r="F26" s="28">
        <f>IFERROR(C26*D26,"")</f>
        <v>0.828</v>
      </c>
    </row>
    <row r="27">
      <c r="A27" t="inlineStr">
        <is>
          <t>licor</t>
        </is>
      </c>
      <c r="B27" t="inlineStr">
        <is>
          <t>Glucosa</t>
        </is>
      </c>
      <c r="C27" s="31" t="n">
        <v>0.06</v>
      </c>
      <c r="D27" s="28">
        <f>IFERROR(VLOOKUP(B27,'Parámetros'!$A$48:$B$73,2,FALSE),"")</f>
        <v>3.4</v>
      </c>
      <c r="E27" t="inlineStr">
        <is>
          <t>kg</t>
        </is>
      </c>
      <c r="F27" s="28">
        <f>IFERROR(C27*D27,"")</f>
        <v>0.204</v>
      </c>
    </row>
    <row r="28">
      <c r="A28" t="inlineStr">
        <is>
          <t>caramelo salado</t>
        </is>
      </c>
      <c r="B28" t="inlineStr">
        <is>
          <t>Azucar</t>
        </is>
      </c>
      <c r="C28" s="31" t="n">
        <v>0.36</v>
      </c>
      <c r="D28" s="28">
        <f>IFERROR(VLOOKUP(B28,'Parámetros'!$A$48:$B$73,2,FALSE),"")</f>
        <v>1.15</v>
      </c>
      <c r="E28" t="inlineStr">
        <is>
          <t>kg</t>
        </is>
      </c>
      <c r="F28" s="28">
        <f>IFERROR(C28*D28,"")</f>
        <v>0.414</v>
      </c>
    </row>
    <row r="29">
      <c r="A29" t="inlineStr">
        <is>
          <t>caramelo salado</t>
        </is>
      </c>
      <c r="B29" t="inlineStr">
        <is>
          <t>Nata 35 % MG UHT</t>
        </is>
      </c>
      <c r="C29" s="31" t="n">
        <v>0.28</v>
      </c>
      <c r="D29" s="28">
        <f>IFERROR(VLOOKUP(B29,'Parámetros'!$A$48:$B$73,2,FALSE),"")</f>
        <v>3.1</v>
      </c>
      <c r="E29" t="inlineStr">
        <is>
          <t>L</t>
        </is>
      </c>
      <c r="F29" s="28">
        <f>IFERROR(C29*D29,"")</f>
        <v>0.8680000000000001</v>
      </c>
    </row>
    <row r="30">
      <c r="A30" t="inlineStr">
        <is>
          <t>caramelo salado</t>
        </is>
      </c>
      <c r="B30" t="inlineStr">
        <is>
          <t>Mantequilla</t>
        </is>
      </c>
      <c r="C30" s="31" t="n">
        <v>0.22</v>
      </c>
      <c r="D30" s="28">
        <f>IFERROR(VLOOKUP(B30,'Parámetros'!$A$48:$B$73,2,FALSE),"")</f>
        <v>9.8</v>
      </c>
      <c r="E30" t="inlineStr">
        <is>
          <t>kg</t>
        </is>
      </c>
      <c r="F30" s="28">
        <f>IFERROR(C30*D30,"")</f>
        <v>2.156</v>
      </c>
    </row>
    <row r="31">
      <c r="A31" t="inlineStr">
        <is>
          <t>caramelo salado</t>
        </is>
      </c>
      <c r="B31" t="inlineStr">
        <is>
          <t>Glucosa</t>
        </is>
      </c>
      <c r="C31" s="31" t="n">
        <v>0.16</v>
      </c>
      <c r="D31" s="28">
        <f>IFERROR(VLOOKUP(B31,'Parámetros'!$A$48:$B$73,2,FALSE),"")</f>
        <v>3.4</v>
      </c>
      <c r="E31" t="inlineStr">
        <is>
          <t>kg</t>
        </is>
      </c>
      <c r="F31" s="28">
        <f>IFERROR(C31*D31,"")</f>
        <v>0.544</v>
      </c>
    </row>
    <row r="32">
      <c r="A32" t="inlineStr">
        <is>
          <t>caramelo salado</t>
        </is>
      </c>
      <c r="B32" t="inlineStr">
        <is>
          <t>Sal</t>
        </is>
      </c>
      <c r="C32" s="31" t="n">
        <v>0.008</v>
      </c>
      <c r="D32" s="28">
        <f>IFERROR(VLOOKUP(B32,'Parámetros'!$A$48:$B$73,2,FALSE),"")</f>
        <v>0.9</v>
      </c>
      <c r="E32" t="inlineStr">
        <is>
          <t>kg</t>
        </is>
      </c>
      <c r="F32" s="28">
        <f>IFERROR(C32*D32,"")</f>
        <v>0.007200000000000001</v>
      </c>
    </row>
    <row r="33">
      <c r="A33" t="inlineStr">
        <is>
          <t>praliné cacahuete</t>
        </is>
      </c>
      <c r="B33" t="inlineStr">
        <is>
          <t>Praline de cacahuete 50 %</t>
        </is>
      </c>
      <c r="C33" s="31" t="n">
        <v>0.72</v>
      </c>
      <c r="D33" s="28">
        <f>IFERROR(VLOOKUP(B33,'Parámetros'!$A$48:$B$73,2,FALSE),"")</f>
        <v>9.6</v>
      </c>
      <c r="E33" t="inlineStr">
        <is>
          <t>kg</t>
        </is>
      </c>
      <c r="F33" s="28">
        <f>IFERROR(C33*D33,"")</f>
        <v>6.912</v>
      </c>
    </row>
    <row r="34">
      <c r="A34" t="inlineStr">
        <is>
          <t>praliné cacahuete</t>
        </is>
      </c>
      <c r="B34" t="inlineStr">
        <is>
          <t>Cobertura con leche</t>
        </is>
      </c>
      <c r="C34" s="31" t="n">
        <v>0.26</v>
      </c>
      <c r="D34" s="28">
        <f>IFERROR(VLOOKUP(B34,'Parámetros'!$A$48:$B$73,2,FALSE),"")</f>
        <v>19.5</v>
      </c>
      <c r="E34" t="inlineStr">
        <is>
          <t>kg</t>
        </is>
      </c>
      <c r="F34" s="28">
        <f>IFERROR(C34*D34,"")</f>
        <v>5.07</v>
      </c>
    </row>
    <row r="35">
      <c r="A35" t="inlineStr">
        <is>
          <t>praliné cacahuete</t>
        </is>
      </c>
      <c r="B35" t="inlineStr">
        <is>
          <t>Manteca de cacao</t>
        </is>
      </c>
      <c r="C35" s="31" t="n">
        <v>0.04</v>
      </c>
      <c r="D35" s="28">
        <f>IFERROR(VLOOKUP(B35,'Parámetros'!$A$48:$B$73,2,FALSE),"")</f>
        <v>18.6</v>
      </c>
      <c r="E35" t="inlineStr">
        <is>
          <t>kg</t>
        </is>
      </c>
      <c r="F35" s="28">
        <f>IFERROR(C35*D35,"")</f>
        <v>0.7440000000000001</v>
      </c>
    </row>
    <row r="36">
      <c r="A36" t="inlineStr">
        <is>
          <t>crujiente sésamo</t>
        </is>
      </c>
      <c r="B36" t="inlineStr">
        <is>
          <t>Pasta de sésamo</t>
        </is>
      </c>
      <c r="C36" s="31" t="n">
        <v>0.34</v>
      </c>
      <c r="D36" s="28">
        <f>IFERROR(VLOOKUP(B36,'Parámetros'!$A$48:$B$73,2,FALSE),"")</f>
        <v>8.9</v>
      </c>
      <c r="E36" t="inlineStr">
        <is>
          <t>kg</t>
        </is>
      </c>
      <c r="F36" s="28">
        <f>IFERROR(C36*D36,"")</f>
        <v>3.0260000000000002</v>
      </c>
    </row>
    <row r="37">
      <c r="A37" t="inlineStr">
        <is>
          <t>crujiente sésamo</t>
        </is>
      </c>
      <c r="B37" t="inlineStr">
        <is>
          <t>Barquillo triturado</t>
        </is>
      </c>
      <c r="C37" s="31" t="n">
        <v>0.22</v>
      </c>
      <c r="D37" s="28">
        <f>IFERROR(VLOOKUP(B37,'Parámetros'!$A$48:$B$73,2,FALSE),"")</f>
        <v>7.6</v>
      </c>
      <c r="E37" t="inlineStr">
        <is>
          <t>kg</t>
        </is>
      </c>
      <c r="F37" s="28">
        <f>IFERROR(C37*D37,"")</f>
        <v>1.672</v>
      </c>
    </row>
    <row r="38">
      <c r="A38" t="inlineStr">
        <is>
          <t>crujiente sésamo</t>
        </is>
      </c>
      <c r="B38" t="inlineStr">
        <is>
          <t>Cobertura con leche</t>
        </is>
      </c>
      <c r="C38" s="31" t="n">
        <v>0.44</v>
      </c>
      <c r="D38" s="28">
        <f>IFERROR(VLOOKUP(B38,'Parámetros'!$A$48:$B$73,2,FALSE),"")</f>
        <v>19.5</v>
      </c>
      <c r="E38" t="inlineStr">
        <is>
          <t>kg</t>
        </is>
      </c>
      <c r="F38" s="28">
        <f>IFERROR(C38*D38,"")</f>
        <v>8.58</v>
      </c>
    </row>
    <row r="39">
      <c r="A39" t="inlineStr">
        <is>
          <t>naranja confitada</t>
        </is>
      </c>
      <c r="B39" t="inlineStr">
        <is>
          <t>Naranja confitada</t>
        </is>
      </c>
      <c r="C39" s="31" t="n">
        <v>0.62</v>
      </c>
      <c r="D39" s="28">
        <f>IFERROR(VLOOKUP(B39,'Parámetros'!$A$48:$B$73,2,FALSE),"")</f>
        <v>9.2</v>
      </c>
      <c r="E39" t="inlineStr">
        <is>
          <t>kg</t>
        </is>
      </c>
      <c r="F39" s="28">
        <f>IFERROR(C39*D39,"")</f>
        <v>5.704</v>
      </c>
    </row>
    <row r="40">
      <c r="A40" t="inlineStr">
        <is>
          <t>naranja confitada</t>
        </is>
      </c>
      <c r="B40" t="inlineStr">
        <is>
          <t>Cobertura negra</t>
        </is>
      </c>
      <c r="C40" s="31" t="n">
        <v>0.38</v>
      </c>
      <c r="D40" s="28">
        <f>IFERROR(VLOOKUP(B40,'Parámetros'!$A$48:$B$73,2,FALSE),"")</f>
        <v>22.7455</v>
      </c>
      <c r="E40" t="inlineStr">
        <is>
          <t>kg</t>
        </is>
      </c>
      <c r="F40" s="28">
        <f>IFERROR(C40*D40,"")</f>
        <v>8.64329</v>
      </c>
    </row>
    <row r="41">
      <c r="A41" t="inlineStr">
        <is>
          <t>praliné de tableta</t>
        </is>
      </c>
      <c r="B41" t="inlineStr">
        <is>
          <t>Praline de avellana 50 %</t>
        </is>
      </c>
      <c r="C41" s="31" t="n">
        <v>0.8</v>
      </c>
      <c r="D41" s="28">
        <f>IFERROR(VLOOKUP(B41,'Parámetros'!$A$48:$B$73,2,FALSE),"")</f>
        <v>14.8</v>
      </c>
      <c r="E41" t="inlineStr">
        <is>
          <t>kg</t>
        </is>
      </c>
      <c r="F41" s="28">
        <f>IFERROR(C41*D41,"")</f>
        <v>11.840000000000002</v>
      </c>
    </row>
    <row r="42">
      <c r="A42" t="inlineStr">
        <is>
          <t>praliné de tableta</t>
        </is>
      </c>
      <c r="B42" t="inlineStr">
        <is>
          <t>Cobertura con leche</t>
        </is>
      </c>
      <c r="C42" s="31" t="n">
        <v>0.22</v>
      </c>
      <c r="D42" s="28">
        <f>IFERROR(VLOOKUP(B42,'Parámetros'!$A$48:$B$73,2,FALSE),"")</f>
        <v>19.5</v>
      </c>
      <c r="E42" t="inlineStr">
        <is>
          <t>kg</t>
        </is>
      </c>
      <c r="F42" s="28">
        <f>IFERROR(C42*D42,"")</f>
        <v>4.29</v>
      </c>
    </row>
    <row r="43">
      <c r="A43" t="inlineStr">
        <is>
          <t>masa a la taza</t>
        </is>
      </c>
      <c r="B43" t="inlineStr">
        <is>
          <t>Azucar</t>
        </is>
      </c>
      <c r="C43" s="31" t="n">
        <v>0.62</v>
      </c>
      <c r="D43" s="28">
        <f>IFERROR(VLOOKUP(B43,'Parámetros'!$A$48:$B$73,2,FALSE),"")</f>
        <v>1.15</v>
      </c>
      <c r="E43" t="inlineStr">
        <is>
          <t>kg</t>
        </is>
      </c>
      <c r="F43" s="28">
        <f>IFERROR(C43*D43,"")</f>
        <v>0.713</v>
      </c>
    </row>
    <row r="44">
      <c r="A44" t="inlineStr">
        <is>
          <t>masa a la taza</t>
        </is>
      </c>
      <c r="B44" t="inlineStr">
        <is>
          <t>Cacao en polvo desgrasado</t>
        </is>
      </c>
      <c r="C44" s="31" t="n">
        <v>0.3</v>
      </c>
      <c r="D44" s="28">
        <f>IFERROR(VLOOKUP(B44,'Parámetros'!$A$48:$B$73,2,FALSE),"")</f>
        <v>11.5</v>
      </c>
      <c r="E44" t="inlineStr">
        <is>
          <t>kg</t>
        </is>
      </c>
      <c r="F44" s="28">
        <f>IFERROR(C44*D44,"")</f>
        <v>3.4499999999999997</v>
      </c>
    </row>
    <row r="45">
      <c r="A45" t="inlineStr">
        <is>
          <t>masa a la taza</t>
        </is>
      </c>
      <c r="B45" t="inlineStr">
        <is>
          <t>Almidón de maíz</t>
        </is>
      </c>
      <c r="C45" s="31" t="n">
        <v>0.08</v>
      </c>
      <c r="D45" s="28">
        <f>IFERROR(VLOOKUP(B45,'Parámetros'!$A$48:$B$73,2,FALSE),"")</f>
        <v>2.1</v>
      </c>
      <c r="E45" t="inlineStr">
        <is>
          <t>kg</t>
        </is>
      </c>
      <c r="F45" s="28">
        <f>IFERROR(C45*D45,"")</f>
        <v>0.168</v>
      </c>
    </row>
    <row r="46">
      <c r="A46" t="inlineStr">
        <is>
          <t>yema tostada</t>
        </is>
      </c>
      <c r="B46" t="inlineStr">
        <is>
          <t>Yema de huevo pasteurizada</t>
        </is>
      </c>
      <c r="C46" s="31" t="n">
        <v>0.4</v>
      </c>
      <c r="D46" s="28">
        <f>IFERROR(VLOOKUP(B46,'Parámetros'!$A$48:$B$73,2,FALSE),"")</f>
        <v>4.6</v>
      </c>
      <c r="E46" t="inlineStr">
        <is>
          <t>L</t>
        </is>
      </c>
      <c r="F46" s="28">
        <f>IFERROR(C46*D46,"")</f>
        <v>1.8399999999999999</v>
      </c>
    </row>
    <row r="47">
      <c r="A47" t="inlineStr">
        <is>
          <t>yema tostada</t>
        </is>
      </c>
      <c r="B47" t="inlineStr">
        <is>
          <t>Azucar</t>
        </is>
      </c>
      <c r="C47" s="31" t="n">
        <v>0.5600000000000001</v>
      </c>
      <c r="D47" s="28">
        <f>IFERROR(VLOOKUP(B47,'Parámetros'!$A$48:$B$73,2,FALSE),"")</f>
        <v>1.15</v>
      </c>
      <c r="E47" t="inlineStr">
        <is>
          <t>kg</t>
        </is>
      </c>
      <c r="F47" s="28">
        <f>IFERROR(C47*D47,"")</f>
        <v>0.644</v>
      </c>
    </row>
    <row r="48">
      <c r="A48" t="inlineStr">
        <is>
          <t>yema tostada</t>
        </is>
      </c>
      <c r="B48" t="inlineStr">
        <is>
          <t>Almidón de maíz</t>
        </is>
      </c>
      <c r="C48" s="31" t="n">
        <v>0.05</v>
      </c>
      <c r="D48" s="28">
        <f>IFERROR(VLOOKUP(B48,'Parámetros'!$A$48:$B$73,2,FALSE),"")</f>
        <v>2.1</v>
      </c>
      <c r="E48" t="inlineStr">
        <is>
          <t>kg</t>
        </is>
      </c>
      <c r="F48" s="28">
        <f>IFERROR(C48*D48,"")</f>
        <v>0.10500000000000001</v>
      </c>
    </row>
    <row r="49"/>
    <row r="50">
      <c r="A50" s="4" t="inlineStr">
        <is>
          <t>Coste por kilo de cada relleno y de cada materia añadida</t>
        </is>
      </c>
    </row>
    <row r="51" ht="40" customHeight="1">
      <c r="A51" s="8" t="inlineStr">
        <is>
          <t>Relleno o materia añadida</t>
        </is>
      </c>
      <c r="B51" s="8" t="inlineStr">
        <is>
          <t>Coste por kilo (EUR)</t>
        </is>
      </c>
      <c r="C51" s="8" t="inlineStr">
        <is>
          <t>Familia de vida útil del kit (se CITA, no se reescribe)</t>
        </is>
      </c>
      <c r="D51" s="8" t="inlineStr">
        <is>
          <t>Plazo orientativo que publica el kit</t>
        </is>
      </c>
      <c r="E51" s="8" t="inlineStr">
        <is>
          <t>Nota</t>
        </is>
      </c>
    </row>
    <row r="52" ht="40" customHeight="1">
      <c r="A52" t="inlineStr">
        <is>
          <t>ganache negra fresca</t>
        </is>
      </c>
      <c r="B52" s="28">
        <f>SUM(F7:F10)</f>
        <v>14.231659999999998</v>
      </c>
      <c r="C52" s="5" t="inlineStr">
        <is>
          <t>Bombones de ganache con nata fresca</t>
        </is>
      </c>
      <c r="D52" t="inlineStr">
        <is>
          <t>10-15 días</t>
        </is>
      </c>
      <c r="E52" s="13" t="inlineStr">
        <is>
          <t>La ganache que obliga a decidir el modelo de negocio: agua disponible alta, y el kit le da 10-15 días. Es la que manda en la decisión 3 del bonus 2.</t>
        </is>
      </c>
    </row>
    <row r="53" ht="40" customHeight="1">
      <c r="A53" t="inlineStr">
        <is>
          <t>ganache leche estabilizada</t>
        </is>
      </c>
      <c r="B53" s="28">
        <f>SUM(F11:F14)</f>
        <v>12.836000000000002</v>
      </c>
      <c r="C53" s="5" t="inlineStr">
        <is>
          <t>Bombones de ganache con nata UHT, sorbato o alcohol</t>
        </is>
      </c>
      <c r="D53" t="inlineStr">
        <is>
          <t>4-8 semanas</t>
        </is>
      </c>
      <c r="E53" s="13" t="inlineStr">
        <is>
          <t>La misma pieza con otra formulación: el kit le da 4-8 semanas. Entre esta y la anterior hay un factor DE TRES A CINCO, y esa es una decisión de modelo de negocio, no técnica.</t>
        </is>
      </c>
    </row>
    <row r="54" ht="40" customHeight="1">
      <c r="A54" t="inlineStr">
        <is>
          <t>praliné avellana</t>
        </is>
      </c>
      <c r="B54" s="28">
        <f>SUM(F15:F17)</f>
        <v>16.564</v>
      </c>
      <c r="C54" s="5" t="inlineStr">
        <is>
          <t>Bombones de praliné, gianduja y frutos secos</t>
        </is>
      </c>
      <c r="D54" t="inlineStr">
        <is>
          <t>2-4 meses</t>
        </is>
      </c>
      <c r="E54" s="13" t="inlineStr">
        <is>
          <t>«Praline» NO es un nombre comercial: el punto 10 de la parte A del Anexo I de la Directiva 2000/36/CE se titula «Bombón de chocolate o praliné» (`CHN-82`), con el mismo mínimo del 25 %.</t>
        </is>
      </c>
    </row>
    <row r="55" ht="40" customHeight="1">
      <c r="A55" t="inlineStr">
        <is>
          <t>gianduja avellana</t>
        </is>
      </c>
      <c r="B55" s="28">
        <f>SUM(F18:F20)</f>
        <v>18.1205</v>
      </c>
      <c r="C55" s="5" t="inlineStr">
        <is>
          <t>Bombones de praliné, gianduja y frutos secos</t>
        </is>
      </c>
      <c r="D55" t="inlineStr">
        <is>
          <t>2-4 meses</t>
        </is>
      </c>
      <c r="E55" s="13" t="inlineStr">
        <is>
          <t>La gianduja tiene su propio apartado en la norma (1.6.b.3), con avellanas entre 20 y 40 g por 100 g. Aquí es RELLENO de un bombón, así que la denominación de venta es la del bombón.</t>
        </is>
      </c>
    </row>
    <row r="56" ht="40" customHeight="1">
      <c r="A56" t="inlineStr">
        <is>
          <t>trufa</t>
        </is>
      </c>
      <c r="B56" s="28">
        <f>SUM(F21:F24)</f>
        <v>14.12257</v>
      </c>
      <c r="C56" s="5" t="inlineStr">
        <is>
          <t>Trufas y rocas recubiertas</t>
        </is>
      </c>
      <c r="D56" t="inlineStr">
        <is>
          <t>3-4 semanas</t>
        </is>
      </c>
      <c r="E56" s="13" t="inlineStr">
        <is>
          <t>«Trufa» no aparece ni una vez en el RD 1055/2003 (`CHN-03b`): es un TIPO de bombón, no una categoría legal ni un sinonimo de bombón.</t>
        </is>
      </c>
    </row>
    <row r="57" ht="40" customHeight="1">
      <c r="A57" t="inlineStr">
        <is>
          <t>licor</t>
        </is>
      </c>
      <c r="B57" s="28">
        <f>SUM(F25:F27)</f>
        <v>4.552</v>
      </c>
      <c r="C57" s="5" t="inlineStr">
        <is>
          <t>Bombones de licor y cristalizados</t>
        </is>
      </c>
      <c r="D57" t="inlineStr">
        <is>
          <t>3-6 meses</t>
        </is>
      </c>
      <c r="E57" s="13" t="inlineStr">
        <is>
          <t>El alcohol baja la actividad de agua. Vigilar la cristalización del azúcar en la cáscara: revienta y gotea (nota literal del kit).</t>
        </is>
      </c>
    </row>
    <row r="58" ht="40" customHeight="1">
      <c r="A58" t="inlineStr">
        <is>
          <t>caramelo salado</t>
        </is>
      </c>
      <c r="B58" s="28">
        <f>SUM(F28:F32)</f>
        <v>3.9892000000000003</v>
      </c>
      <c r="C58" s="5" t="inlineStr">
        <is>
          <t>Bombones de ganache con nata UHT, sorbato o alcohol</t>
        </is>
      </c>
      <c r="D58" t="inlineStr">
        <is>
          <t>4-8 semanas</t>
        </is>
      </c>
      <c r="E58" s="13" t="inlineStr">
        <is>
          <t>Azúcar alto y agua baja: aguanta mas que una ganache fresca.</t>
        </is>
      </c>
    </row>
    <row r="59" ht="40" customHeight="1">
      <c r="A59" t="inlineStr">
        <is>
          <t>praliné cacahuete</t>
        </is>
      </c>
      <c r="B59" s="28">
        <f>SUM(F33:F35)</f>
        <v>12.725999999999999</v>
      </c>
      <c r="C59" s="5" t="inlineStr">
        <is>
          <t>Bombones de praliné, gianduja y frutos secos</t>
        </is>
      </c>
      <c r="D59" t="inlineStr">
        <is>
          <t>2-4 meses</t>
        </is>
      </c>
      <c r="E59" s="13" t="inlineStr">
        <is>
          <t>EL CACAHUETE ES EL PUNTO 5 DEL ANEXO II y NO es un fruto de cáscara (`CHN-34b`): esta referencia se etiqueta con su propio alérgeno, no dentro de «frutos secos».</t>
        </is>
      </c>
    </row>
    <row r="60" ht="40" customHeight="1">
      <c r="A60" t="inlineStr">
        <is>
          <t>crujiente sésamo</t>
        </is>
      </c>
      <c r="B60" s="28">
        <f>SUM(F36:F38)</f>
        <v>13.278</v>
      </c>
      <c r="C60" s="5" t="inlineStr">
        <is>
          <t>Barquillos y crujientes bañados</t>
        </is>
      </c>
      <c r="D60" t="inlineStr">
        <is>
          <t>3-4 semanas</t>
        </is>
      </c>
      <c r="E60" s="13" t="inlineStr">
        <is>
          <t>DOS alérgenos independientes en una sola pieza: granos de sésamo (punto 11) y cereales con gluten del barquillo (punto 1). El kit le da 3-4 semanas, y no por seguridad: pierde el crujiente mucho antes.</t>
        </is>
      </c>
    </row>
    <row r="61" ht="40" customHeight="1">
      <c r="A61" t="inlineStr">
        <is>
          <t>naranja confitada</t>
        </is>
      </c>
      <c r="B61" s="28">
        <f>SUM(F39:F40)</f>
        <v>14.347290000000001</v>
      </c>
      <c r="C61" s="5" t="inlineStr">
        <is>
          <t>Frutos secos garrapiñados y frutas confitadas bañadas</t>
        </is>
      </c>
      <c r="D61" t="inlineStr">
        <is>
          <t>1-3 meses</t>
        </is>
      </c>
      <c r="E61" s="13" t="inlineStr">
        <is>
          <t>La fruta confitada suele llevar SULFITOS (punto 12 del Anexo II), que es el octavo alérgeno y el que mas se olvida. Pidele a tu proveedor la ficha técnica: el umbral de declaración es 10 mg/kg.</t>
        </is>
      </c>
    </row>
    <row r="62" ht="40" customHeight="1">
      <c r="A62" t="inlineStr">
        <is>
          <t>praliné de tableta</t>
        </is>
      </c>
      <c r="B62" s="28">
        <f>SUM(F41:F42)</f>
        <v>16.130000000000003</v>
      </c>
      <c r="C62" s="5" t="inlineStr">
        <is>
          <t>Bombones de praliné, gianduja y frutos secos</t>
        </is>
      </c>
      <c r="D62" t="inlineStr">
        <is>
          <t>2-4 meses</t>
        </is>
      </c>
      <c r="E62" s="13" t="inlineStr">
        <is>
          <t>En una TABLETA RELLENA la denominación es «chocolate relleno» (ap. 1.10) y el exterior tiene que ser al menos el 25 % del peso total (`CHN-04`), calculado SOBRE EL PESO TOTAL con el relleno dentro (`CHN-10`).</t>
        </is>
      </c>
    </row>
    <row r="63" ht="40" customHeight="1">
      <c r="A63" t="inlineStr">
        <is>
          <t>masa a la taza</t>
        </is>
      </c>
      <c r="B63" s="28">
        <f>SUM(F43:F45)</f>
        <v>4.3309999999999995</v>
      </c>
      <c r="C63" s="5" t="inlineStr">
        <is>
          <t>Tabletas y chocolate sin relleno</t>
        </is>
      </c>
      <c r="D63" t="inlineStr">
        <is>
          <t>12-18 meses</t>
        </is>
      </c>
      <c r="E63" s="13" t="inlineStr">
        <is>
          <t>NO es un relleno: es la otra mitad de la fórmula del chocolate a la taza, que NO se hace solo con cobertura. Va aquí para que el escandallo pueda costearla. El almidón es DE MAÍZ a propósito: la norma admite trigo, arroz o maíz hasta el 8 %, y con el de trigo habría que declarar gluten.</t>
        </is>
      </c>
    </row>
    <row r="64" ht="40" customHeight="1">
      <c r="A64" t="inlineStr">
        <is>
          <t>yema tostada</t>
        </is>
      </c>
      <c r="B64" s="28">
        <f>SUM(F46:F48)</f>
        <v>2.589</v>
      </c>
      <c r="C64" s="5" t="inlineStr">
        <is>
          <t>Bombones de ganache con nata fresca</t>
        </is>
      </c>
      <c r="D64" t="inlineStr">
        <is>
          <t>10-15 días</t>
        </is>
      </c>
      <c r="E64" s="13" t="inlineStr">
        <is>
          <t>La ÚNICA referencia del surtido con huevo, y va con ovoproducto pasteurizado de establecimiento autorizado, que es la tercera vía del art. 9 del RD 1021/2022 (`CHN-31`). Con huevo crudo habría que llegar a 70 °C durante 2 s en el centro.</t>
        </is>
      </c>
    </row>
    <row r="65" ht="32" customHeight="1">
      <c r="A65" t="inlineStr">
        <is>
          <t>Almendra marcona repelada</t>
        </is>
      </c>
      <c r="B65" s="28">
        <f>IFERROR(VLOOKUP(A65,'Parámetros'!$A$48:$B$73,2,FALSE),"")</f>
        <v>12.4</v>
      </c>
      <c r="C65" s="5" t="inlineStr">
        <is>
          <t>No es un relleno: es materia comestible añadida del ap. 3</t>
        </is>
      </c>
      <c r="D65" t="inlineStr">
        <is>
          <t>la de la referencia que la lleva</t>
        </is>
      </c>
      <c r="E65" s="13" t="inlineStr">
        <is>
          <t>Va en la misma tabla para que el escandallo busque en un solo sitio, lleve relleno o lleve almendra.</t>
        </is>
      </c>
    </row>
    <row r="66" ht="32" customHeight="1">
      <c r="A66" t="inlineStr">
        <is>
          <t>Avellana tostada</t>
        </is>
      </c>
      <c r="B66" s="28">
        <f>IFERROR(VLOOKUP(A66,'Parámetros'!$A$48:$B$73,2,FALSE),"")</f>
        <v>13.9</v>
      </c>
      <c r="C66" s="5" t="inlineStr">
        <is>
          <t>No es un relleno: es materia comestible añadida del ap. 3</t>
        </is>
      </c>
      <c r="D66" t="inlineStr">
        <is>
          <t>la de la referencia que la lleva</t>
        </is>
      </c>
      <c r="E66" s="13" t="inlineStr">
        <is>
          <t>Va en la misma tabla para que el escandallo busque en un solo sitio, lleve relleno o lleve almendra.</t>
        </is>
      </c>
    </row>
    <row r="67"/>
    <row r="68">
      <c r="A68" s="4" t="inlineStr">
        <is>
          <t>Escandallo por referencia</t>
        </is>
      </c>
    </row>
    <row r="69" ht="62" customHeight="1">
      <c r="A69" s="8" t="inlineStr">
        <is>
          <t>Id</t>
        </is>
      </c>
      <c r="B69" s="8" t="inlineStr">
        <is>
          <t>Referencia</t>
        </is>
      </c>
      <c r="C69" s="8" t="inlineStr">
        <is>
          <t>Familia</t>
        </is>
      </c>
      <c r="D69" s="8" t="inlineStr">
        <is>
          <t>Cobertura</t>
        </is>
      </c>
      <c r="E69" s="8" t="inlineStr">
        <is>
          <t>Gramos de chocolate por pieza</t>
        </is>
      </c>
      <c r="F69" s="8" t="inlineStr">
        <is>
          <t>Gramos de relleno o materia por pieza</t>
        </is>
      </c>
      <c r="G69" s="8" t="inlineStr">
        <is>
          <t>Peso total de la pieza (g)</t>
        </is>
      </c>
      <c r="H69" s="8" t="inlineStr">
        <is>
          <t>Relleno o materia añadida</t>
        </is>
      </c>
      <c r="I69" s="8" t="inlineStr">
        <is>
          <t>Precio de la cobertura (EUR/kg)</t>
        </is>
      </c>
      <c r="J69" s="8" t="inlineStr">
        <is>
          <t>Coste del chocolate (EUR)</t>
        </is>
      </c>
      <c r="K69" s="8" t="inlineStr">
        <is>
          <t>Coste por kilo del relleno (EUR)</t>
        </is>
      </c>
      <c r="L69" s="8" t="inlineStr">
        <is>
          <t>Coste del relleno (EUR)</t>
        </is>
      </c>
      <c r="M69" s="8" t="inlineStr">
        <is>
          <t>COSTE DE MATERIA SIN MERMA (EUR)</t>
        </is>
      </c>
      <c r="N69" s="8" t="inlineStr">
        <is>
          <t>Merma NO recuperable</t>
        </is>
      </c>
      <c r="O69" s="8" t="inlineStr">
        <is>
          <t>COSTE DE MATERIA CON EL RECORTE QUE NO VUELVE (EUR)</t>
        </is>
      </c>
      <c r="P69" s="8" t="inlineStr">
        <is>
          <t>Procedencia y nota</t>
        </is>
      </c>
    </row>
    <row r="70" ht="54" customHeight="1">
      <c r="A70" t="inlineStr">
        <is>
          <t>BC1</t>
        </is>
      </c>
      <c r="B70" s="5" t="inlineStr">
        <is>
          <t>Bombón de ganache de chocolate negro 70 %</t>
        </is>
      </c>
      <c r="C70" t="inlineStr">
        <is>
          <t>Bombones de colección</t>
        </is>
      </c>
      <c r="D70" t="inlineStr">
        <is>
          <t>Cobertura negra</t>
        </is>
      </c>
      <c r="E70" s="9" t="n">
        <v>5.5</v>
      </c>
      <c r="F70" s="9" t="n">
        <v>6.5</v>
      </c>
      <c r="G70" s="30">
        <f>IFERROR(E70+F70,"")</f>
        <v>12.0</v>
      </c>
      <c r="H70" t="inlineStr">
        <is>
          <t>ganache negra fresca</t>
        </is>
      </c>
      <c r="I70" s="28">
        <f>IFERROR(VLOOKUP(D70,'Parámetros'!$A$48:$B$73,2,FALSE),"")</f>
        <v>22.7455</v>
      </c>
      <c r="J70" s="28">
        <f>IFERROR(E70/1000*I70,"")</f>
        <v>0.12510025</v>
      </c>
      <c r="K70" s="28">
        <f>IFERROR(VLOOKUP(H70,'Escandallo por Molde y Tanda'!$A$52:$B$66,2,FALSE),"")</f>
        <v>14.231659999999998</v>
      </c>
      <c r="L70" s="28">
        <f>IFERROR(F70/1000*K70,"")</f>
        <v>0.09250578999999998</v>
      </c>
      <c r="M70" s="32">
        <f>IFERROR(J70+L70,"")</f>
        <v>0.21760603999999997</v>
      </c>
      <c r="N70" s="24">
        <f>'Merma de Templado y Recortes'!E7</f>
        <v>0.03</v>
      </c>
      <c r="O70" s="32">
        <f>IFERROR(M70/(1-N70),"")</f>
        <v>0.22433612371134018</v>
      </c>
      <c r="P70" s="13" t="inlineStr">
        <is>
          <t>La referencia que mas margen deja y la que antes caduca. Con 5,5 g de chocolate sobre 12 g de pieza, el chocolate es el 45,8 % del peso total: cumple el 25 % del ap. 1.13 con holgura. En julio y agosto baja a un tercio de su mix: es la primera que sale del catálogo de verano (literal del kit para junio: «menos ganache fresca»).</t>
        </is>
      </c>
    </row>
    <row r="71" ht="54" customHeight="1">
      <c r="A71" t="inlineStr">
        <is>
          <t>BC2</t>
        </is>
      </c>
      <c r="B71" s="5" t="inlineStr">
        <is>
          <t>Bombón de ganache de leche y vainilla</t>
        </is>
      </c>
      <c r="C71" t="inlineStr">
        <is>
          <t>Bombones de colección</t>
        </is>
      </c>
      <c r="D71" t="inlineStr">
        <is>
          <t>Cobertura con leche</t>
        </is>
      </c>
      <c r="E71" s="9" t="n">
        <v>5.5</v>
      </c>
      <c r="F71" s="9" t="n">
        <v>6.5</v>
      </c>
      <c r="G71" s="30">
        <f>IFERROR(E71+F71,"")</f>
        <v>12.0</v>
      </c>
      <c r="H71" t="inlineStr">
        <is>
          <t>ganache leche estabilizada</t>
        </is>
      </c>
      <c r="I71" s="28">
        <f>IFERROR(VLOOKUP(D71,'Parámetros'!$A$48:$B$73,2,FALSE),"")</f>
        <v>19.5</v>
      </c>
      <c r="J71" s="28">
        <f>IFERROR(E71/1000*I71,"")</f>
        <v>0.10725</v>
      </c>
      <c r="K71" s="28">
        <f>IFERROR(VLOOKUP(H71,'Escandallo por Molde y Tanda'!$A$52:$B$66,2,FALSE),"")</f>
        <v>12.836000000000002</v>
      </c>
      <c r="L71" s="28">
        <f>IFERROR(F71/1000*K71,"")</f>
        <v>0.08343400000000001</v>
      </c>
      <c r="M71" s="32">
        <f>IFERROR(J71+L71,"")</f>
        <v>0.19068400000000002</v>
      </c>
      <c r="N71" s="24">
        <f>'Merma de Templado y Recortes'!E8</f>
        <v>0.03</v>
      </c>
      <c r="O71" s="32">
        <f>IFERROR(M71/(1-N71),"")</f>
        <v>0.1965814432989691</v>
      </c>
      <c r="P71" s="13" t="inlineStr">
        <is>
          <t>Misma pieza que BC1 con otra formulación: nata UHT y sorbitol. El kit le da 4-8 semanas frente a los 10-15 días de BC1. Es LA decisión de modelo de negocio del producto, y el libro 5 la cuantifica en euros de merma por caducidad al año.</t>
        </is>
      </c>
    </row>
    <row r="72" ht="54" customHeight="1">
      <c r="A72" t="inlineStr">
        <is>
          <t>BC3</t>
        </is>
      </c>
      <c r="B72" s="5" t="inlineStr">
        <is>
          <t>Bombón de praliné de avellana</t>
        </is>
      </c>
      <c r="C72" t="inlineStr">
        <is>
          <t>Bombones de colección</t>
        </is>
      </c>
      <c r="D72" t="inlineStr">
        <is>
          <t>Cobertura con leche</t>
        </is>
      </c>
      <c r="E72" s="9" t="n">
        <v>5</v>
      </c>
      <c r="F72" s="9" t="n">
        <v>7</v>
      </c>
      <c r="G72" s="30">
        <f>IFERROR(E72+F72,"")</f>
        <v>12.0</v>
      </c>
      <c r="H72" t="inlineStr">
        <is>
          <t>praliné avellana</t>
        </is>
      </c>
      <c r="I72" s="28">
        <f>IFERROR(VLOOKUP(D72,'Parámetros'!$A$48:$B$73,2,FALSE),"")</f>
        <v>19.5</v>
      </c>
      <c r="J72" s="28">
        <f>IFERROR(E72/1000*I72,"")</f>
        <v>0.0975</v>
      </c>
      <c r="K72" s="28">
        <f>IFERROR(VLOOKUP(H72,'Escandallo por Molde y Tanda'!$A$52:$B$66,2,FALSE),"")</f>
        <v>16.564</v>
      </c>
      <c r="L72" s="28">
        <f>IFERROR(F72/1000*K72,"")</f>
        <v>0.11594800000000001</v>
      </c>
      <c r="M72" s="32">
        <f>IFERROR(J72+L72,"")</f>
        <v>0.21344800000000003</v>
      </c>
      <c r="N72" s="24">
        <f>'Merma de Templado y Recortes'!E9</f>
        <v>0.02</v>
      </c>
      <c r="O72" s="32">
        <f>IFERROR(M72/(1-N72),"")</f>
        <v>0.21780408163265308</v>
      </c>
      <c r="P72" s="13" t="inlineStr">
        <is>
          <t>«Praline» SI significa algo legalmente: es la denominación de venta europea del bombón de chocolate (`CHN-82`), con el mismo mínimo del 25 %. Escribir lo contrario esta prohibido (§5.1, prohibición 7).</t>
        </is>
      </c>
    </row>
    <row r="73" ht="54" customHeight="1">
      <c r="A73" t="inlineStr">
        <is>
          <t>BC4</t>
        </is>
      </c>
      <c r="B73" s="5" t="inlineStr">
        <is>
          <t>Bombón de gianduja de avellana</t>
        </is>
      </c>
      <c r="C73" t="inlineStr">
        <is>
          <t>Bombones de colección</t>
        </is>
      </c>
      <c r="D73" t="inlineStr">
        <is>
          <t>Cobertura con leche</t>
        </is>
      </c>
      <c r="E73" s="9" t="n">
        <v>5</v>
      </c>
      <c r="F73" s="9" t="n">
        <v>7</v>
      </c>
      <c r="G73" s="30">
        <f>IFERROR(E73+F73,"")</f>
        <v>12.0</v>
      </c>
      <c r="H73" t="inlineStr">
        <is>
          <t>gianduja avellana</t>
        </is>
      </c>
      <c r="I73" s="28">
        <f>IFERROR(VLOOKUP(D73,'Parámetros'!$A$48:$B$73,2,FALSE),"")</f>
        <v>19.5</v>
      </c>
      <c r="J73" s="28">
        <f>IFERROR(E73/1000*I73,"")</f>
        <v>0.0975</v>
      </c>
      <c r="K73" s="28">
        <f>IFERROR(VLOOKUP(H73,'Escandallo por Molde y Tanda'!$A$52:$B$66,2,FALSE),"")</f>
        <v>18.1205</v>
      </c>
      <c r="L73" s="28">
        <f>IFERROR(F73/1000*K73,"")</f>
        <v>0.1268435</v>
      </c>
      <c r="M73" s="32">
        <f>IFERROR(J73+L73,"")</f>
        <v>0.2243435</v>
      </c>
      <c r="N73" s="24">
        <f>'Merma de Templado y Recortes'!E10</f>
        <v>0.02</v>
      </c>
      <c r="O73" s="32">
        <f>IFERROR(M73/(1-N73),"")</f>
        <v>0.2289219387755102</v>
      </c>
      <c r="P73" s="13" t="inlineStr">
        <is>
          <t>La gianduja tiene apartado propio en la norma (1.6.b.3), pero aquí va DENTRO de un bombón: la denominación de venta que manda es la del producto que vendes, no la del relleno.</t>
        </is>
      </c>
    </row>
    <row r="74" ht="54" customHeight="1">
      <c r="A74" t="inlineStr">
        <is>
          <t>BC5</t>
        </is>
      </c>
      <c r="B74" s="5" t="inlineStr">
        <is>
          <t>Trufa de chocolate negro al cacao</t>
        </is>
      </c>
      <c r="C74" t="inlineStr">
        <is>
          <t>Bombones de colección</t>
        </is>
      </c>
      <c r="D74" t="inlineStr">
        <is>
          <t>Cobertura negra</t>
        </is>
      </c>
      <c r="E74" s="9" t="n">
        <v>4</v>
      </c>
      <c r="F74" s="9" t="n">
        <v>9</v>
      </c>
      <c r="G74" s="30">
        <f>IFERROR(E74+F74,"")</f>
        <v>13.0</v>
      </c>
      <c r="H74" t="inlineStr">
        <is>
          <t>trufa</t>
        </is>
      </c>
      <c r="I74" s="28">
        <f>IFERROR(VLOOKUP(D74,'Parámetros'!$A$48:$B$73,2,FALSE),"")</f>
        <v>22.7455</v>
      </c>
      <c r="J74" s="28">
        <f>IFERROR(E74/1000*I74,"")</f>
        <v>0.09098200000000001</v>
      </c>
      <c r="K74" s="28">
        <f>IFERROR(VLOOKUP(H74,'Escandallo por Molde y Tanda'!$A$52:$B$66,2,FALSE),"")</f>
        <v>14.12257</v>
      </c>
      <c r="L74" s="28">
        <f>IFERROR(F74/1000*K74,"")</f>
        <v>0.12710312999999998</v>
      </c>
      <c r="M74" s="32">
        <f>IFERROR(J74+L74,"")</f>
        <v>0.21808513</v>
      </c>
      <c r="N74" s="24">
        <f>'Merma de Templado y Recortes'!E11</f>
        <v>0.04</v>
      </c>
      <c r="O74" s="32">
        <f>IFERROR(M74/(1-N74),"")</f>
        <v>0.22717201041666665</v>
      </c>
      <c r="P74" s="13" t="inlineStr">
        <is>
          <t>Aquí el 25 % se pelea: 4 g de chocolate sobre 13 g de pieza son el 30,8 %, y bajando el baño un gramo se cae por debajo del mínimo legal. Es el ejemplo con el que el semáforo del libro 4 enseña para que sirve. «Trufa» no es una categoría legal española (`CHN-03b`).</t>
        </is>
      </c>
    </row>
    <row r="75" ht="54" customHeight="1">
      <c r="A75" t="inlineStr">
        <is>
          <t>BC6</t>
        </is>
      </c>
      <c r="B75" s="5" t="inlineStr">
        <is>
          <t>Bombón de licor de ron</t>
        </is>
      </c>
      <c r="C75" t="inlineStr">
        <is>
          <t>Bombones de colección</t>
        </is>
      </c>
      <c r="D75" t="inlineStr">
        <is>
          <t>Cobertura negra</t>
        </is>
      </c>
      <c r="E75" s="9" t="n">
        <v>6</v>
      </c>
      <c r="F75" s="9" t="n">
        <v>8</v>
      </c>
      <c r="G75" s="30">
        <f>IFERROR(E75+F75,"")</f>
        <v>14.0</v>
      </c>
      <c r="H75" t="inlineStr">
        <is>
          <t>licor</t>
        </is>
      </c>
      <c r="I75" s="28">
        <f>IFERROR(VLOOKUP(D75,'Parámetros'!$A$48:$B$73,2,FALSE),"")</f>
        <v>22.7455</v>
      </c>
      <c r="J75" s="28">
        <f>IFERROR(E75/1000*I75,"")</f>
        <v>0.136473</v>
      </c>
      <c r="K75" s="28">
        <f>IFERROR(VLOOKUP(H75,'Escandallo por Molde y Tanda'!$A$52:$B$66,2,FALSE),"")</f>
        <v>4.552</v>
      </c>
      <c r="L75" s="28">
        <f>IFERROR(F75/1000*K75,"")</f>
        <v>0.036416</v>
      </c>
      <c r="M75" s="32">
        <f>IFERROR(J75+L75,"")</f>
        <v>0.17288900000000001</v>
      </c>
      <c r="N75" s="24">
        <f>'Merma de Templado y Recortes'!E12</f>
        <v>0.04</v>
      </c>
      <c r="O75" s="32">
        <f>IFERROR(M75/(1-N75),"")</f>
        <v>0.18009270833333335</v>
      </c>
      <c r="P75" s="13" t="inlineStr">
        <is>
          <t>Cascara mas gruesa (6 g) porque el licor la ataca. La única del surtido sin leche: si la vendes a granel al lado de las demás, la contaminación cruzada en la pinza se come esa ventaja.</t>
        </is>
      </c>
    </row>
    <row r="76" ht="54" customHeight="1">
      <c r="A76" t="inlineStr">
        <is>
          <t>BC7</t>
        </is>
      </c>
      <c r="B76" s="5" t="inlineStr">
        <is>
          <t>Bombón de caramelo salado</t>
        </is>
      </c>
      <c r="C76" t="inlineStr">
        <is>
          <t>Bombones de colección</t>
        </is>
      </c>
      <c r="D76" t="inlineStr">
        <is>
          <t>Cobertura con leche</t>
        </is>
      </c>
      <c r="E76" s="9" t="n">
        <v>5.5</v>
      </c>
      <c r="F76" s="9" t="n">
        <v>6.5</v>
      </c>
      <c r="G76" s="30">
        <f>IFERROR(E76+F76,"")</f>
        <v>12.0</v>
      </c>
      <c r="H76" t="inlineStr">
        <is>
          <t>caramelo salado</t>
        </is>
      </c>
      <c r="I76" s="28">
        <f>IFERROR(VLOOKUP(D76,'Parámetros'!$A$48:$B$73,2,FALSE),"")</f>
        <v>19.5</v>
      </c>
      <c r="J76" s="28">
        <f>IFERROR(E76/1000*I76,"")</f>
        <v>0.10725</v>
      </c>
      <c r="K76" s="28">
        <f>IFERROR(VLOOKUP(H76,'Escandallo por Molde y Tanda'!$A$52:$B$66,2,FALSE),"")</f>
        <v>3.9892000000000003</v>
      </c>
      <c r="L76" s="28">
        <f>IFERROR(F76/1000*K76,"")</f>
        <v>0.0259298</v>
      </c>
      <c r="M76" s="32">
        <f>IFERROR(J76+L76,"")</f>
        <v>0.1331798</v>
      </c>
      <c r="N76" s="24">
        <f>'Merma de Templado y Recortes'!E13</f>
        <v>0.03</v>
      </c>
      <c r="O76" s="32">
        <f>IFERROR(M76/(1-N76),"")</f>
        <v>0.13729876288659792</v>
      </c>
      <c r="P76" s="13" t="inlineStr">
        <is>
          <t>Azúcar alto y agua baja: aguanta mucho mas que una ganache fresca.</t>
        </is>
      </c>
    </row>
    <row r="77" ht="54" customHeight="1">
      <c r="A77" t="inlineStr">
        <is>
          <t>BC8</t>
        </is>
      </c>
      <c r="B77" s="5" t="inlineStr">
        <is>
          <t>Bombón de praliné de cacahuete</t>
        </is>
      </c>
      <c r="C77" t="inlineStr">
        <is>
          <t>Bombones de colección</t>
        </is>
      </c>
      <c r="D77" t="inlineStr">
        <is>
          <t>Cobertura con leche</t>
        </is>
      </c>
      <c r="E77" s="9" t="n">
        <v>5</v>
      </c>
      <c r="F77" s="9" t="n">
        <v>7</v>
      </c>
      <c r="G77" s="30">
        <f>IFERROR(E77+F77,"")</f>
        <v>12.0</v>
      </c>
      <c r="H77" t="inlineStr">
        <is>
          <t>praliné cacahuete</t>
        </is>
      </c>
      <c r="I77" s="28">
        <f>IFERROR(VLOOKUP(D77,'Parámetros'!$A$48:$B$73,2,FALSE),"")</f>
        <v>19.5</v>
      </c>
      <c r="J77" s="28">
        <f>IFERROR(E77/1000*I77,"")</f>
        <v>0.0975</v>
      </c>
      <c r="K77" s="28">
        <f>IFERROR(VLOOKUP(H77,'Escandallo por Molde y Tanda'!$A$52:$B$66,2,FALSE),"")</f>
        <v>12.725999999999999</v>
      </c>
      <c r="L77" s="28">
        <f>IFERROR(F77/1000*K77,"")</f>
        <v>0.089082</v>
      </c>
      <c r="M77" s="32">
        <f>IFERROR(J77+L77,"")</f>
        <v>0.186582</v>
      </c>
      <c r="N77" s="24">
        <f>'Merma de Templado y Recortes'!E14</f>
        <v>0.02</v>
      </c>
      <c r="O77" s="32">
        <f>IFERROR(M77/(1-N77),"")</f>
        <v>0.19038979591836735</v>
      </c>
      <c r="P77" s="13" t="inlineStr">
        <is>
          <t>LA REFERENCIA QUE DEMUESTRA POR QUE SON OCHO Y NO CINCO: el cacahuete es el punto 5 del Anexo II y NO es un fruto de cáscara (punto 8). Meterlo dentro de «frutos secos» es un error de etiquetado que puede mandar a alguien al hospital.</t>
        </is>
      </c>
    </row>
    <row r="78" ht="54" customHeight="1">
      <c r="A78" t="inlineStr">
        <is>
          <t>BC9</t>
        </is>
      </c>
      <c r="B78" s="5" t="inlineStr">
        <is>
          <t>Bombón crujiente de sésamo y barquillo</t>
        </is>
      </c>
      <c r="C78" t="inlineStr">
        <is>
          <t>Bombones de colección</t>
        </is>
      </c>
      <c r="D78" t="inlineStr">
        <is>
          <t>Cobertura con leche</t>
        </is>
      </c>
      <c r="E78" s="9" t="n">
        <v>5</v>
      </c>
      <c r="F78" s="9" t="n">
        <v>7</v>
      </c>
      <c r="G78" s="30">
        <f>IFERROR(E78+F78,"")</f>
        <v>12.0</v>
      </c>
      <c r="H78" t="inlineStr">
        <is>
          <t>crujiente sésamo</t>
        </is>
      </c>
      <c r="I78" s="28">
        <f>IFERROR(VLOOKUP(D78,'Parámetros'!$A$48:$B$73,2,FALSE),"")</f>
        <v>19.5</v>
      </c>
      <c r="J78" s="28">
        <f>IFERROR(E78/1000*I78,"")</f>
        <v>0.0975</v>
      </c>
      <c r="K78" s="28">
        <f>IFERROR(VLOOKUP(H78,'Escandallo por Molde y Tanda'!$A$52:$B$66,2,FALSE),"")</f>
        <v>13.278</v>
      </c>
      <c r="L78" s="28">
        <f>IFERROR(F78/1000*K78,"")</f>
        <v>0.092946</v>
      </c>
      <c r="M78" s="32">
        <f>IFERROR(J78+L78,"")</f>
        <v>0.190446</v>
      </c>
      <c r="N78" s="24">
        <f>'Merma de Templado y Recortes'!E15</f>
        <v>0.02</v>
      </c>
      <c r="O78" s="32">
        <f>IFERROR(M78/(1-N78),"")</f>
        <v>0.1943326530612245</v>
      </c>
      <c r="P78" s="13" t="inlineStr">
        <is>
          <t>Dos alérgenos mas que sus compañeras, y los dos independientes: granos de sésamo (punto 11) y cereales con gluten del barquillo (punto 1). El kit le da 3-4 semanas, y no por seguridad: pierde el crujiente mucho antes.</t>
        </is>
      </c>
    </row>
    <row r="79" ht="54" customHeight="1">
      <c r="A79" t="inlineStr">
        <is>
          <t>BC10</t>
        </is>
      </c>
      <c r="B79" s="5" t="inlineStr">
        <is>
          <t>Bombón de naranja confitada y chocolate negro</t>
        </is>
      </c>
      <c r="C79" t="inlineStr">
        <is>
          <t>Bombones de colección</t>
        </is>
      </c>
      <c r="D79" t="inlineStr">
        <is>
          <t>Cobertura negra</t>
        </is>
      </c>
      <c r="E79" s="9" t="n">
        <v>5.5</v>
      </c>
      <c r="F79" s="9" t="n">
        <v>6.5</v>
      </c>
      <c r="G79" s="30">
        <f>IFERROR(E79+F79,"")</f>
        <v>12.0</v>
      </c>
      <c r="H79" t="inlineStr">
        <is>
          <t>naranja confitada</t>
        </is>
      </c>
      <c r="I79" s="28">
        <f>IFERROR(VLOOKUP(D79,'Parámetros'!$A$48:$B$73,2,FALSE),"")</f>
        <v>22.7455</v>
      </c>
      <c r="J79" s="28">
        <f>IFERROR(E79/1000*I79,"")</f>
        <v>0.12510025</v>
      </c>
      <c r="K79" s="28">
        <f>IFERROR(VLOOKUP(H79,'Escandallo por Molde y Tanda'!$A$52:$B$66,2,FALSE),"")</f>
        <v>14.347290000000001</v>
      </c>
      <c r="L79" s="28">
        <f>IFERROR(F79/1000*K79,"")</f>
        <v>0.093257385</v>
      </c>
      <c r="M79" s="32">
        <f>IFERROR(J79+L79,"")</f>
        <v>0.218357635</v>
      </c>
      <c r="N79" s="24">
        <f>'Merma de Templado y Recortes'!E16</f>
        <v>0.05</v>
      </c>
      <c r="O79" s="32">
        <f>IFERROR(M79/(1-N79),"")</f>
        <v>0.22985014210526317</v>
      </c>
      <c r="P79" s="13" t="inlineStr">
        <is>
          <t>La única del surtido con SULFITOS, que es el octavo alérgeno y el que mas se olvida: la fruta confitada suele llevarlos y el umbral de declaración es de 10 mg/kg. La fruta además contamina el recorte: su merma NO recuperable es la mas alta de la carta (D40).</t>
        </is>
      </c>
    </row>
    <row r="80" ht="54" customHeight="1">
      <c r="A80" t="inlineStr">
        <is>
          <t>TB1</t>
        </is>
      </c>
      <c r="B80" s="5" t="inlineStr">
        <is>
          <t>Tableta de chocolate negro de origen 70 %, 100 g</t>
        </is>
      </c>
      <c r="C80" t="inlineStr">
        <is>
          <t>Tabletas</t>
        </is>
      </c>
      <c r="D80" t="inlineStr">
        <is>
          <t>Cobertura de origen</t>
        </is>
      </c>
      <c r="E80" s="9" t="n">
        <v>100</v>
      </c>
      <c r="F80" s="9" t="n">
        <v>0</v>
      </c>
      <c r="G80" s="30">
        <f>IFERROR(E80+F80,"")</f>
        <v>100.0</v>
      </c>
      <c r="H80" t="inlineStr">
        <is>
          <t>No lleva</t>
        </is>
      </c>
      <c r="I80" s="28">
        <f>IFERROR(VLOOKUP(D80,'Parámetros'!$A$48:$B$73,2,FALSE),"")</f>
        <v>37.48</v>
      </c>
      <c r="J80" s="28">
        <f>IFERROR(E80/1000*I80,"")</f>
        <v>3.7479999999999998</v>
      </c>
      <c r="K80" s="28" t="n">
        <v>0</v>
      </c>
      <c r="L80" s="28">
        <f>IFERROR(F80/1000*K80,"")</f>
        <v>0.0</v>
      </c>
      <c r="M80" s="32">
        <f>IFERROR(J80+L80,"")</f>
        <v>3.7479999999999998</v>
      </c>
      <c r="N80" s="24">
        <f>'Merma de Templado y Recortes'!E17</f>
        <v>0.01</v>
      </c>
      <c r="O80" s="32">
        <f>IFERROR(M80/(1-N80),"")</f>
        <v>3.785858585858586</v>
      </c>
      <c r="P80" s="13" t="inlineStr">
        <is>
          <t>La referencia que vende el posicionamiento: cobertura de origen a 37,48 euros/kg (`CHS-28c`) frente a los 25,02 de la de marca (`CHS-28a`), factor 1,5. Lleva la mención «cacao: X % mínimo» obligatoria (`CHN-07`) y es la que mas sube en verano: no lleva agua, aguanta 12-18 meses y viaja. Y es la referencia con el food cost MAS ALTO de la carta, con diferencia: comprar cobertura de origen y ponerle precio de cobertura de marca es como se regala el trabajo. El libro 3 lo enseña con el escenario de subida del cacao.</t>
        </is>
      </c>
    </row>
    <row r="81" ht="54" customHeight="1">
      <c r="A81" t="inlineStr">
        <is>
          <t>TB2</t>
        </is>
      </c>
      <c r="B81" s="5" t="inlineStr">
        <is>
          <t>Tableta de chocolate con leche 38 %, 100 g</t>
        </is>
      </c>
      <c r="C81" t="inlineStr">
        <is>
          <t>Tabletas</t>
        </is>
      </c>
      <c r="D81" t="inlineStr">
        <is>
          <t>Cobertura con leche</t>
        </is>
      </c>
      <c r="E81" s="9" t="n">
        <v>100</v>
      </c>
      <c r="F81" s="9" t="n">
        <v>0</v>
      </c>
      <c r="G81" s="30">
        <f>IFERROR(E81+F81,"")</f>
        <v>100.0</v>
      </c>
      <c r="H81" t="inlineStr">
        <is>
          <t>No lleva</t>
        </is>
      </c>
      <c r="I81" s="28">
        <f>IFERROR(VLOOKUP(D81,'Parámetros'!$A$48:$B$73,2,FALSE),"")</f>
        <v>19.5</v>
      </c>
      <c r="J81" s="28">
        <f>IFERROR(E81/1000*I81,"")</f>
        <v>1.9500000000000002</v>
      </c>
      <c r="K81" s="28" t="n">
        <v>0</v>
      </c>
      <c r="L81" s="28">
        <f>IFERROR(F81/1000*K81,"")</f>
        <v>0.0</v>
      </c>
      <c r="M81" s="32">
        <f>IFERROR(J81+L81,"")</f>
        <v>1.9500000000000002</v>
      </c>
      <c r="N81" s="24">
        <f>'Merma de Templado y Recortes'!E18</f>
        <v>0.01</v>
      </c>
      <c r="O81" s="32">
        <f>IFERROR(M81/(1-N81),"")</f>
        <v>1.96969696969697</v>
      </c>
      <c r="P81" s="13" t="inlineStr">
        <is>
          <t>También lleva la mención «cacao: X % mínimo» (`CHN-07`).</t>
        </is>
      </c>
    </row>
    <row r="82" ht="54" customHeight="1">
      <c r="A82" t="inlineStr">
        <is>
          <t>TB3</t>
        </is>
      </c>
      <c r="B82" s="5" t="inlineStr">
        <is>
          <t>Tableta de chocolate blanco 30 %, 100 g</t>
        </is>
      </c>
      <c r="C82" t="inlineStr">
        <is>
          <t>Tabletas</t>
        </is>
      </c>
      <c r="D82" t="inlineStr">
        <is>
          <t>Cobertura blanca</t>
        </is>
      </c>
      <c r="E82" s="9" t="n">
        <v>100</v>
      </c>
      <c r="F82" s="9" t="n">
        <v>0</v>
      </c>
      <c r="G82" s="30">
        <f>IFERROR(E82+F82,"")</f>
        <v>100.0</v>
      </c>
      <c r="H82" t="inlineStr">
        <is>
          <t>No lleva</t>
        </is>
      </c>
      <c r="I82" s="28">
        <f>IFERROR(VLOOKUP(D82,'Parámetros'!$A$48:$B$73,2,FALSE),"")</f>
        <v>21.0</v>
      </c>
      <c r="J82" s="28">
        <f>IFERROR(E82/1000*I82,"")</f>
        <v>2.1</v>
      </c>
      <c r="K82" s="28" t="n">
        <v>0</v>
      </c>
      <c r="L82" s="28">
        <f>IFERROR(F82/1000*K82,"")</f>
        <v>0.0</v>
      </c>
      <c r="M82" s="32">
        <f>IFERROR(J82+L82,"")</f>
        <v>2.1</v>
      </c>
      <c r="N82" s="24">
        <f>'Merma de Templado y Recortes'!E19</f>
        <v>0.01</v>
      </c>
      <c r="O82" s="32">
        <f>IFERROR(M82/(1-N82),"")</f>
        <v>2.121212121212121</v>
      </c>
      <c r="P82" s="13" t="inlineStr">
        <is>
          <t>El chocolate blanco NO lleva la mención «cacao: X % mínimo»: `CHN-07` acota esa obligación a los apartados 1.4, 1.5, 1.6, 1.7, 1.8, 1.11 y 1.12, y el blanco es el 1.9. Escribir que la mención es obligatoria en todos los chocolates esta prohibido (§5.1, 27).</t>
        </is>
      </c>
    </row>
    <row r="83" ht="54" customHeight="1">
      <c r="A83" t="inlineStr">
        <is>
          <t>TB4</t>
        </is>
      </c>
      <c r="B83" s="5" t="inlineStr">
        <is>
          <t>Tableta de chocolate negro con almendra marcona, 100 g</t>
        </is>
      </c>
      <c r="C83" t="inlineStr">
        <is>
          <t>Tabletas</t>
        </is>
      </c>
      <c r="D83" t="inlineStr">
        <is>
          <t>Cobertura negra</t>
        </is>
      </c>
      <c r="E83" s="9" t="n">
        <v>78</v>
      </c>
      <c r="F83" s="9" t="n">
        <v>22</v>
      </c>
      <c r="G83" s="30">
        <f>IFERROR(E83+F83,"")</f>
        <v>100.0</v>
      </c>
      <c r="H83" t="inlineStr">
        <is>
          <t>Almendra marcona repelada</t>
        </is>
      </c>
      <c r="I83" s="28">
        <f>IFERROR(VLOOKUP(D83,'Parámetros'!$A$48:$B$73,2,FALSE),"")</f>
        <v>22.7455</v>
      </c>
      <c r="J83" s="28">
        <f>IFERROR(E83/1000*I83,"")</f>
        <v>1.774149</v>
      </c>
      <c r="K83" s="28">
        <f>IFERROR(VLOOKUP(H83,'Escandallo por Molde y Tanda'!$A$52:$B$66,2,FALSE),"")</f>
        <v>12.4</v>
      </c>
      <c r="L83" s="28">
        <f>IFERROR(F83/1000*K83,"")</f>
        <v>0.2728</v>
      </c>
      <c r="M83" s="32">
        <f>IFERROR(J83+L83,"")</f>
        <v>2.046949</v>
      </c>
      <c r="N83" s="24">
        <f>'Merma de Templado y Recortes'!E20</f>
        <v>0.02</v>
      </c>
      <c r="O83" s="32">
        <f>IFERROR(M83/(1-N83),"")</f>
        <v>2.088723469387755</v>
      </c>
      <c r="P83" s="13" t="inlineStr">
        <is>
          <t>La almendra va en `g_relleno` porque es materia comestible AÑADIDA del ap. 3, y su tope es el 40 % del peso total (`CHN-09`). Con 22 g sobre 100 esta en el 22 %: dentro. La almendra enrancia, y el frío no lo evita: manda la fecha, no el aspecto (nota del kit).</t>
        </is>
      </c>
    </row>
    <row r="84" ht="54" customHeight="1">
      <c r="A84" t="inlineStr">
        <is>
          <t>TB5</t>
        </is>
      </c>
      <c r="B84" s="5" t="inlineStr">
        <is>
          <t>Tableta de chocolate con leche y avellana, 100 g</t>
        </is>
      </c>
      <c r="C84" t="inlineStr">
        <is>
          <t>Tabletas</t>
        </is>
      </c>
      <c r="D84" t="inlineStr">
        <is>
          <t>Cobertura con leche</t>
        </is>
      </c>
      <c r="E84" s="9" t="n">
        <v>80</v>
      </c>
      <c r="F84" s="9" t="n">
        <v>20</v>
      </c>
      <c r="G84" s="30">
        <f>IFERROR(E84+F84,"")</f>
        <v>100.0</v>
      </c>
      <c r="H84" t="inlineStr">
        <is>
          <t>Avellana tostada</t>
        </is>
      </c>
      <c r="I84" s="28">
        <f>IFERROR(VLOOKUP(D84,'Parámetros'!$A$48:$B$73,2,FALSE),"")</f>
        <v>19.5</v>
      </c>
      <c r="J84" s="28">
        <f>IFERROR(E84/1000*I84,"")</f>
        <v>1.56</v>
      </c>
      <c r="K84" s="28">
        <f>IFERROR(VLOOKUP(H84,'Escandallo por Molde y Tanda'!$A$52:$B$66,2,FALSE),"")</f>
        <v>13.9</v>
      </c>
      <c r="L84" s="28">
        <f>IFERROR(F84/1000*K84,"")</f>
        <v>0.278</v>
      </c>
      <c r="M84" s="32">
        <f>IFERROR(J84+L84,"")</f>
        <v>1.838</v>
      </c>
      <c r="N84" s="24">
        <f>'Merma de Templado y Recortes'!E21</f>
        <v>0.02</v>
      </c>
      <c r="O84" s="32">
        <f>IFERROR(M84/(1-N84),"")</f>
        <v>1.8755102040816327</v>
      </c>
      <c r="P84" s="13" t="inlineStr">
        <is>
          <t>La avellana va como materia añadida del ap. 3, igual que la almendra de TB4.</t>
        </is>
      </c>
    </row>
    <row r="85" ht="54" customHeight="1">
      <c r="A85" t="inlineStr">
        <is>
          <t>TB6</t>
        </is>
      </c>
      <c r="B85" s="5" t="inlineStr">
        <is>
          <t>Tableta rellena de praliné, 100 g</t>
        </is>
      </c>
      <c r="C85" t="inlineStr">
        <is>
          <t>Tabletas</t>
        </is>
      </c>
      <c r="D85" t="inlineStr">
        <is>
          <t>Cobertura con leche</t>
        </is>
      </c>
      <c r="E85" s="9" t="n">
        <v>55</v>
      </c>
      <c r="F85" s="9" t="n">
        <v>45</v>
      </c>
      <c r="G85" s="30">
        <f>IFERROR(E85+F85,"")</f>
        <v>100.0</v>
      </c>
      <c r="H85" t="inlineStr">
        <is>
          <t>praliné de tableta</t>
        </is>
      </c>
      <c r="I85" s="28">
        <f>IFERROR(VLOOKUP(D85,'Parámetros'!$A$48:$B$73,2,FALSE),"")</f>
        <v>19.5</v>
      </c>
      <c r="J85" s="28">
        <f>IFERROR(E85/1000*I85,"")</f>
        <v>1.0725</v>
      </c>
      <c r="K85" s="28">
        <f>IFERROR(VLOOKUP(H85,'Escandallo por Molde y Tanda'!$A$52:$B$66,2,FALSE),"")</f>
        <v>16.130000000000003</v>
      </c>
      <c r="L85" s="28">
        <f>IFERROR(F85/1000*K85,"")</f>
        <v>0.7258500000000001</v>
      </c>
      <c r="M85" s="32">
        <f>IFERROR(J85+L85,"")</f>
        <v>1.7983500000000001</v>
      </c>
      <c r="N85" s="24">
        <f>'Merma de Templado y Recortes'!E22</f>
        <v>0.03</v>
      </c>
      <c r="O85" s="32">
        <f>IFERROR(M85/(1-N85),"")</f>
        <v>1.8539690721649487</v>
      </c>
      <c r="P85" s="13" t="inlineStr">
        <is>
          <t>La segunda referencia del ap. 1.10, y la que enseña la base de calculo: 55 g de chocolate sobre 100 g de pieza son el 55 %, calculado SOBRE EL PESO TOTAL con el relleno dentro (`CHN-10`). Si alguien lo calculase descontando el relleno le saldria el 100 % y el semáforo dejaría pasar cualquier cosa: por eso invertir las dos bases esta prohibido. Y NO es chocolate relleno lo que lleva interior de panadería, pastelería, galleteria, bollería o helado (`CHN-04`).</t>
        </is>
      </c>
    </row>
    <row r="86" ht="54" customHeight="1">
      <c r="A86" t="inlineStr">
        <is>
          <t>CT1</t>
        </is>
      </c>
      <c r="B86" s="5" t="inlineStr">
        <is>
          <t>Tableta de chocolate a la taza, 200 g</t>
        </is>
      </c>
      <c r="C86" t="inlineStr">
        <is>
          <t>Chocolate a la taza</t>
        </is>
      </c>
      <c r="D86" t="inlineStr">
        <is>
          <t>Cobertura negra</t>
        </is>
      </c>
      <c r="E86" s="9" t="n">
        <v>80</v>
      </c>
      <c r="F86" s="9" t="n">
        <v>120</v>
      </c>
      <c r="G86" s="30">
        <f>IFERROR(E86+F86,"")</f>
        <v>200.0</v>
      </c>
      <c r="H86" t="inlineStr">
        <is>
          <t>masa a la taza</t>
        </is>
      </c>
      <c r="I86" s="28">
        <f>IFERROR(VLOOKUP(D86,'Parámetros'!$A$48:$B$73,2,FALSE),"")</f>
        <v>22.7455</v>
      </c>
      <c r="J86" s="28">
        <f>IFERROR(E86/1000*I86,"")</f>
        <v>1.81964</v>
      </c>
      <c r="K86" s="28">
        <f>IFERROR(VLOOKUP(H86,'Escandallo por Molde y Tanda'!$A$52:$B$66,2,FALSE),"")</f>
        <v>4.3309999999999995</v>
      </c>
      <c r="L86" s="28">
        <f>IFERROR(F86/1000*K86,"")</f>
        <v>0.51972</v>
      </c>
      <c r="M86" s="32">
        <f>IFERROR(J86+L86,"")</f>
        <v>2.33936</v>
      </c>
      <c r="N86" s="24">
        <f>'Merma de Templado y Recortes'!E23</f>
        <v>0.01</v>
      </c>
      <c r="O86" s="32">
        <f>IFERROR(M86/(1-N86),"")</f>
        <v>2.362989898989899</v>
      </c>
      <c r="P86" s="13" t="inlineStr">
        <is>
          <t>El almidón (9,6 g sobre 200, el 4,8 %) esta por debajo del tope del 8 %. Se usa ALMIDÓN DE MAÍZ a propósito: con almidón de TRIGO habría que declarar gluten, y la norma admite los tres. La etiqueta lleva además la expresión «para su consumo cocido» (ap. 6.e): es una ADICION ESPAÑOLA que NO existe en la Directiva 2000/36/CE (`CHN-83`), así que no se escribe que sea un requisito europeo.</t>
        </is>
      </c>
    </row>
    <row r="87" ht="54" customHeight="1">
      <c r="A87" t="inlineStr">
        <is>
          <t>CT2</t>
        </is>
      </c>
      <c r="B87" s="5" t="inlineStr">
        <is>
          <t>Caja de 6 sobres monodosis de chocolate a la taza</t>
        </is>
      </c>
      <c r="C87" t="inlineStr">
        <is>
          <t>Chocolate a la taza</t>
        </is>
      </c>
      <c r="D87" t="inlineStr">
        <is>
          <t>Cobertura negra</t>
        </is>
      </c>
      <c r="E87" s="9" t="n">
        <v>72</v>
      </c>
      <c r="F87" s="9" t="n">
        <v>108</v>
      </c>
      <c r="G87" s="30">
        <f>IFERROR(E87+F87,"")</f>
        <v>180.0</v>
      </c>
      <c r="H87" t="inlineStr">
        <is>
          <t>masa a la taza</t>
        </is>
      </c>
      <c r="I87" s="28">
        <f>IFERROR(VLOOKUP(D87,'Parámetros'!$A$48:$B$73,2,FALSE),"")</f>
        <v>22.7455</v>
      </c>
      <c r="J87" s="28">
        <f>IFERROR(E87/1000*I87,"")</f>
        <v>1.637676</v>
      </c>
      <c r="K87" s="28">
        <f>IFERROR(VLOOKUP(H87,'Escandallo por Molde y Tanda'!$A$52:$B$66,2,FALSE),"")</f>
        <v>4.3309999999999995</v>
      </c>
      <c r="L87" s="28">
        <f>IFERROR(F87/1000*K87,"")</f>
        <v>0.46774799999999994</v>
      </c>
      <c r="M87" s="32">
        <f>IFERROR(J87+L87,"")</f>
        <v>2.1054239999999997</v>
      </c>
      <c r="N87" s="24">
        <f>'Merma de Templado y Recortes'!E24</f>
        <v>0.01</v>
      </c>
      <c r="O87" s="32">
        <f>IFERROR(M87/(1-N87),"")</f>
        <v>2.1266909090909087</v>
      </c>
      <c r="P87" s="13" t="inlineStr">
        <is>
          <t>Seis sobres de 30 g. Ojo al art. 2.2.c) del RD 1808/1991: los envases cuya cara mayor mide menos de 10 cm2 están exentos de lote, pero la CAJA que los contiene no (`CHN-36`).</t>
        </is>
      </c>
    </row>
    <row r="88" ht="54" customHeight="1">
      <c r="A88" t="inlineStr">
        <is>
          <t>CT3</t>
        </is>
      </c>
      <c r="B88" s="5" t="inlineStr">
        <is>
          <t>Chocolate a la taza servido en sala, 200 ml</t>
        </is>
      </c>
      <c r="C88" t="inlineStr">
        <is>
          <t>Chocolate a la taza</t>
        </is>
      </c>
      <c r="D88" t="inlineStr">
        <is>
          <t>Cobertura negra</t>
        </is>
      </c>
      <c r="E88" s="9" t="n">
        <v>18</v>
      </c>
      <c r="F88" s="9" t="n">
        <v>27</v>
      </c>
      <c r="G88" s="30">
        <f>IFERROR(E88+F88,"")</f>
        <v>45.0</v>
      </c>
      <c r="H88" t="inlineStr">
        <is>
          <t>masa a la taza</t>
        </is>
      </c>
      <c r="I88" s="28">
        <f>IFERROR(VLOOKUP(D88,'Parámetros'!$A$48:$B$73,2,FALSE),"")</f>
        <v>22.7455</v>
      </c>
      <c r="J88" s="28">
        <f>IFERROR(E88/1000*I88,"")</f>
        <v>0.409419</v>
      </c>
      <c r="K88" s="28">
        <f>IFERROR(VLOOKUP(H88,'Escandallo por Molde y Tanda'!$A$52:$B$66,2,FALSE),"")</f>
        <v>4.3309999999999995</v>
      </c>
      <c r="L88" s="28">
        <f>IFERROR(F88/1000*K88,"")</f>
        <v>0.11693699999999999</v>
      </c>
      <c r="M88" s="32">
        <f>IFERROR(J88+L88,"")</f>
        <v>0.5263559999999999</v>
      </c>
      <c r="N88" s="24">
        <f>'Merma de Templado y Recortes'!E25</f>
        <v>0.06</v>
      </c>
      <c r="O88" s="32">
        <f>IFERROR(M88/(1-N88),"")</f>
        <v>0.5599531914893616</v>
      </c>
      <c r="P88" s="13" t="inlineStr">
        <is>
          <t>Aquí NO entregas un bien: prestas un servicio de hostelería, y el IVA va al 10 % por el art. 91.Uno.2.2.o (`CHN-71c`). No lleva etiqueta, así que su referencia es tu sistema de autocontrol (D47). Y si pones mesas, el art. 8 de la Ley 1/2025 te obliga a facilitar que el cliente se lleve lo que no ha consumido, aunque seas microempresa: la exclusión del art. 6.6 NO alcanza al art. 8 (`CHN-92`). Es la pieza que sube el ticket del churro un 40-60 % en la variante de taza (`CHS-32`), y es OTRO negocio (D1).</t>
        </is>
      </c>
    </row>
    <row r="89" ht="54" customHeight="1">
      <c r="A89" t="inlineStr">
        <is>
          <t>TF1</t>
        </is>
      </c>
      <c r="B89" s="5" t="inlineStr">
        <is>
          <t>Huevo de Pascua de chocolate con leche, 250 g</t>
        </is>
      </c>
      <c r="C89" t="inlineStr">
        <is>
          <t>Turrones, figuras y temporada</t>
        </is>
      </c>
      <c r="D89" t="inlineStr">
        <is>
          <t>Cobertura con leche</t>
        </is>
      </c>
      <c r="E89" s="9" t="n">
        <v>250</v>
      </c>
      <c r="F89" s="9" t="n">
        <v>0</v>
      </c>
      <c r="G89" s="30">
        <f>IFERROR(E89+F89,"")</f>
        <v>250.0</v>
      </c>
      <c r="H89" t="inlineStr">
        <is>
          <t>No lleva</t>
        </is>
      </c>
      <c r="I89" s="28">
        <f>IFERROR(VLOOKUP(D89,'Parámetros'!$A$48:$B$73,2,FALSE),"")</f>
        <v>19.5</v>
      </c>
      <c r="J89" s="28">
        <f>IFERROR(E89/1000*I89,"")</f>
        <v>4.875</v>
      </c>
      <c r="K89" s="28" t="n">
        <v>0</v>
      </c>
      <c r="L89" s="28">
        <f>IFERROR(F89/1000*K89,"")</f>
        <v>0.0</v>
      </c>
      <c r="M89" s="32">
        <f>IFERROR(J89+L89,"")</f>
        <v>4.875</v>
      </c>
      <c r="N89" s="24">
        <f>'Merma de Templado y Recortes'!E26</f>
        <v>0.02</v>
      </c>
      <c r="O89" s="32">
        <f>IFERROR(M89/(1-N89),"")</f>
        <v>4.974489795918368</v>
      </c>
      <c r="P89" s="13" t="inlineStr">
        <is>
          <t>La merma recuperable mas alta del catálogo: la pieza hueca se raja con los cambios bruscos de temperatura (nota del kit) y lo que se rompe SIN relleno vuelve entero a la cuba. Cero mix en verano: es de campana.</t>
        </is>
      </c>
    </row>
    <row r="90" ht="54" customHeight="1">
      <c r="A90" t="inlineStr">
        <is>
          <t>TF2</t>
        </is>
      </c>
      <c r="B90" s="5" t="inlineStr">
        <is>
          <t>Mona de Pascua de chocolate, 400 g</t>
        </is>
      </c>
      <c r="C90" t="inlineStr">
        <is>
          <t>Turrones, figuras y temporada</t>
        </is>
      </c>
      <c r="D90" t="inlineStr">
        <is>
          <t>Cobertura con leche</t>
        </is>
      </c>
      <c r="E90" s="9" t="n">
        <v>380</v>
      </c>
      <c r="F90" s="9" t="n">
        <v>20</v>
      </c>
      <c r="G90" s="30">
        <f>IFERROR(E90+F90,"")</f>
        <v>400.0</v>
      </c>
      <c r="H90" t="inlineStr">
        <is>
          <t>Almendra marcona repelada</t>
        </is>
      </c>
      <c r="I90" s="28">
        <f>IFERROR(VLOOKUP(D90,'Parámetros'!$A$48:$B$73,2,FALSE),"")</f>
        <v>19.5</v>
      </c>
      <c r="J90" s="28">
        <f>IFERROR(E90/1000*I90,"")</f>
        <v>7.41</v>
      </c>
      <c r="K90" s="28">
        <f>IFERROR(VLOOKUP(H90,'Escandallo por Molde y Tanda'!$A$52:$B$66,2,FALSE),"")</f>
        <v>12.4</v>
      </c>
      <c r="L90" s="28">
        <f>IFERROR(F90/1000*K90,"")</f>
        <v>0.24800000000000003</v>
      </c>
      <c r="M90" s="32">
        <f>IFERROR(J90+L90,"")</f>
        <v>7.658</v>
      </c>
      <c r="N90" s="24">
        <f>'Merma de Templado y Recortes'!E27</f>
        <v>0.02</v>
      </c>
      <c r="O90" s="32">
        <f>IFERROR(M90/(1-N90),"")</f>
        <v>7.814285714285715</v>
      </c>
      <c r="P90" s="13" t="inlineStr">
        <is>
          <t>Pieza de autor y la que mas minutos de obrador se lleva: 210 por tanda de seis. La decoración va como materia añadida del ap. 3. Es la referencia que pone a prueba la capacidad del libro 1 en abril.</t>
        </is>
      </c>
    </row>
    <row r="91" ht="54" customHeight="1">
      <c r="A91" t="inlineStr">
        <is>
          <t>TF3</t>
        </is>
      </c>
      <c r="B91" s="5" t="inlineStr">
        <is>
          <t>Hueso de santo bañado en chocolate</t>
        </is>
      </c>
      <c r="C91" t="inlineStr">
        <is>
          <t>Turrones, figuras y temporada</t>
        </is>
      </c>
      <c r="D91" t="inlineStr">
        <is>
          <t>Cobertura negra</t>
        </is>
      </c>
      <c r="E91" s="9" t="n">
        <v>9</v>
      </c>
      <c r="F91" s="9" t="n">
        <v>21</v>
      </c>
      <c r="G91" s="30">
        <f>IFERROR(E91+F91,"")</f>
        <v>30.0</v>
      </c>
      <c r="H91" t="inlineStr">
        <is>
          <t>yema tostada</t>
        </is>
      </c>
      <c r="I91" s="28">
        <f>IFERROR(VLOOKUP(D91,'Parámetros'!$A$48:$B$73,2,FALSE),"")</f>
        <v>22.7455</v>
      </c>
      <c r="J91" s="28">
        <f>IFERROR(E91/1000*I91,"")</f>
        <v>0.2047095</v>
      </c>
      <c r="K91" s="28">
        <f>IFERROR(VLOOKUP(H91,'Escandallo por Molde y Tanda'!$A$52:$B$66,2,FALSE),"")</f>
        <v>2.589</v>
      </c>
      <c r="L91" s="28">
        <f>IFERROR(F91/1000*K91,"")</f>
        <v>0.054369</v>
      </c>
      <c r="M91" s="32">
        <f>IFERROR(J91+L91,"")</f>
        <v>0.2590785</v>
      </c>
      <c r="N91" s="24">
        <f>'Merma de Templado y Recortes'!E28</f>
        <v>0.06</v>
      </c>
      <c r="O91" s="32">
        <f>IFERROR(M91/(1-N91),"")</f>
        <v>0.27561542553191487</v>
      </c>
      <c r="P91" s="13" t="inlineStr">
        <is>
          <t>LA REFERENCIA QUE ROMPE LA REGLA, y por eso esta aquí: 9 g de chocolate sobre 30 g de pieza son el 30 %, pero NO es un bombón de chocolate, porque el 1.13 pide una pieza «del tamaño de un bocado constituida por chocolate», y esto es un producto de confitería RECUBIERTO. Su denominación sale del RD 348/2011 (`CHN-15`), no del RD 1055/2003. La ÚNICA con huevo, por la yema, y va con ovoproducto pasteurizado (`CHN-31`). Esta literalmente en el calendario del kit: «Todos los Santos (1): panellets y huesos de santo bañados».</t>
        </is>
      </c>
    </row>
    <row r="92" ht="54" customHeight="1">
      <c r="A92" t="inlineStr">
        <is>
          <t>TF4</t>
        </is>
      </c>
      <c r="B92" s="5" t="inlineStr">
        <is>
          <t>Turrón de chocolate con almendra, 250 g</t>
        </is>
      </c>
      <c r="C92" t="inlineStr">
        <is>
          <t>Turrones, figuras y temporada</t>
        </is>
      </c>
      <c r="D92" t="inlineStr">
        <is>
          <t>Cobertura negra</t>
        </is>
      </c>
      <c r="E92" s="9" t="n">
        <v>168</v>
      </c>
      <c r="F92" s="9" t="n">
        <v>82</v>
      </c>
      <c r="G92" s="30">
        <f>IFERROR(E92+F92,"")</f>
        <v>250.0</v>
      </c>
      <c r="H92" t="inlineStr">
        <is>
          <t>Almendra marcona repelada</t>
        </is>
      </c>
      <c r="I92" s="28">
        <f>IFERROR(VLOOKUP(D92,'Parámetros'!$A$48:$B$73,2,FALSE),"")</f>
        <v>22.7455</v>
      </c>
      <c r="J92" s="28">
        <f>IFERROR(E92/1000*I92,"")</f>
        <v>3.821244</v>
      </c>
      <c r="K92" s="28">
        <f>IFERROR(VLOOKUP(H92,'Escandallo por Molde y Tanda'!$A$52:$B$66,2,FALSE),"")</f>
        <v>12.4</v>
      </c>
      <c r="L92" s="28">
        <f>IFERROR(F92/1000*K92,"")</f>
        <v>1.0168000000000001</v>
      </c>
      <c r="M92" s="32">
        <f>IFERROR(J92+L92,"")</f>
        <v>4.838044</v>
      </c>
      <c r="N92" s="24">
        <f>'Merma de Templado y Recortes'!E29</f>
        <v>0.02</v>
      </c>
      <c r="O92" s="32">
        <f>IFERROR(M92/(1-N92),"")</f>
        <v>4.936779591836735</v>
      </c>
      <c r="P92" s="13" t="inlineStr">
        <is>
          <t>HUECO DECLARADO: la denominación que publica este juego de datos es la del RD 1055/2003, porque la norma de calidad de TURRONES no se abrio en la verificación legal del 12-09-2026 y ninguna ficha `CHN-*` la cubre. «Turrón de chocolate con almendra» es el NOMBRE COMERCIAL; antes de imprimir la etiqueta hay que comprobar si la norma de turrones te obliga a otra denominación de venta. La almendra (82 g sobre 250, el 32,8 %) esta dentro del tope del 40 % del ap. 3 (`CHN-09`).</t>
        </is>
      </c>
    </row>
    <row r="93" ht="54" customHeight="1">
      <c r="A93" t="inlineStr">
        <is>
          <t>TF5</t>
        </is>
      </c>
      <c r="B93" s="5" t="inlineStr">
        <is>
          <t>Almendras marcona bañadas en chocolate, bolsa de 150 g</t>
        </is>
      </c>
      <c r="C93" t="inlineStr">
        <is>
          <t>Turrones, figuras y temporada</t>
        </is>
      </c>
      <c r="D93" t="inlineStr">
        <is>
          <t>Cobertura negra</t>
        </is>
      </c>
      <c r="E93" s="9" t="n">
        <v>88</v>
      </c>
      <c r="F93" s="9" t="n">
        <v>62</v>
      </c>
      <c r="G93" s="30">
        <f>IFERROR(E93+F93,"")</f>
        <v>150.0</v>
      </c>
      <c r="H93" t="inlineStr">
        <is>
          <t>Almendra marcona repelada</t>
        </is>
      </c>
      <c r="I93" s="28">
        <f>IFERROR(VLOOKUP(D93,'Parámetros'!$A$48:$B$73,2,FALSE),"")</f>
        <v>22.7455</v>
      </c>
      <c r="J93" s="28">
        <f>IFERROR(E93/1000*I93,"")</f>
        <v>2.001604</v>
      </c>
      <c r="K93" s="28">
        <f>IFERROR(VLOOKUP(H93,'Escandallo por Molde y Tanda'!$A$52:$B$66,2,FALSE),"")</f>
        <v>12.4</v>
      </c>
      <c r="L93" s="28">
        <f>IFERROR(F93/1000*K93,"")</f>
        <v>0.7688</v>
      </c>
      <c r="M93" s="32">
        <f>IFERROR(J93+L93,"")</f>
        <v>2.770404</v>
      </c>
      <c r="N93" s="24">
        <f>'Merma de Templado y Recortes'!E30</f>
        <v>0.02</v>
      </c>
      <c r="O93" s="32">
        <f>IFERROR(M93/(1-N93),"")</f>
        <v>2.8269428571428574</v>
      </c>
      <c r="P93" s="13" t="inlineStr">
        <is>
          <t>La que da nombre a la casa, y su denominación NO sale del RD 1055/2003 sino del RD 348/2011: «grageas o confites de chocolate» (`CHN-15`). Se hace en bombo, no en molde: `moldes_tanda` vale 1 y los 95 minutos son de la tanda entera, de la que salen 40 bolsas. Es la segunda que mas sube en verano: no lleva agua y es souvenir (literal del kit para julio: «packs souvenir y colaboraciones locales»).</t>
        </is>
      </c>
    </row>
    <row r="94" ht="54" customHeight="1">
      <c r="A94" t="inlineStr">
        <is>
          <t>CJ1</t>
        </is>
      </c>
      <c r="B94" s="5" t="inlineStr">
        <is>
          <t>Caja surtida de 12 bombones</t>
        </is>
      </c>
      <c r="C94" t="inlineStr">
        <is>
          <t>Cajas y regalo</t>
        </is>
      </c>
      <c r="D94" t="inlineStr">
        <is>
          <t>No aplica: caja surtida</t>
        </is>
      </c>
      <c r="E94" s="30">
        <f>'Unidad vs Caja'!C20</f>
        <v>62.5</v>
      </c>
      <c r="F94" s="30">
        <f>IFERROR('Unidad vs Caja'!C21-'Unidad vs Caja'!C20,"")</f>
        <v>82.5</v>
      </c>
      <c r="G94" s="30">
        <f>IFERROR(E94+F94,"")</f>
        <v>145.0</v>
      </c>
      <c r="H94" t="inlineStr">
        <is>
          <t>Se compone de sus bombones</t>
        </is>
      </c>
      <c r="M94" s="32">
        <f>'Unidad vs Caja'!C23</f>
        <v>2.323306445</v>
      </c>
      <c r="N94" s="24">
        <f>'Merma de Templado y Recortes'!E31</f>
        <v>0.005</v>
      </c>
      <c r="O94" s="32">
        <f>IFERROR(M94/(1-N94),"")</f>
        <v>2.334981351758794</v>
      </c>
      <c r="P94" s="13" t="inlineStr">
        <is>
          <t>Una caja no tiene escandallo propio: su coste de materia es el de los bombones que lleva dentro, y se calcula en la hoja «Unidad vs Caja». Lo que sí tiene propio es la merma de montaje y los minutos de montar y lazar.</t>
        </is>
      </c>
    </row>
    <row r="95" ht="54" customHeight="1">
      <c r="A95" t="inlineStr">
        <is>
          <t>CJ2</t>
        </is>
      </c>
      <c r="B95" s="5" t="inlineStr">
        <is>
          <t>Caja surtida de 20 bombones</t>
        </is>
      </c>
      <c r="C95" t="inlineStr">
        <is>
          <t>Cajas y regalo</t>
        </is>
      </c>
      <c r="D95" t="inlineStr">
        <is>
          <t>No aplica: caja surtida</t>
        </is>
      </c>
      <c r="E95" s="30">
        <f>'Unidad vs Caja'!D20</f>
        <v>102.5</v>
      </c>
      <c r="F95" s="30">
        <f>IFERROR('Unidad vs Caja'!D21-'Unidad vs Caja'!D20,"")</f>
        <v>142.5</v>
      </c>
      <c r="G95" s="30">
        <f>IFERROR(E95+F95,"")</f>
        <v>245.0</v>
      </c>
      <c r="H95" t="inlineStr">
        <is>
          <t>Se compone de sus bombones</t>
        </is>
      </c>
      <c r="M95" s="32">
        <f>'Unidad vs Caja'!D23</f>
        <v>4.0027907449999995</v>
      </c>
      <c r="N95" s="24">
        <f>'Merma de Templado y Recortes'!E32</f>
        <v>0.005</v>
      </c>
      <c r="O95" s="32">
        <f>IFERROR(M95/(1-N95),"")</f>
        <v>4.022905271356784</v>
      </c>
      <c r="P95" s="13" t="inlineStr">
        <is>
          <t>Una caja no tiene escandallo propio: su coste de materia es el de los bombones que lleva dentro, y se calcula en la hoja «Unidad vs Caja». Lo que sí tiene propio es la merma de montaje y los minutos de montar y lazar.</t>
        </is>
      </c>
    </row>
    <row r="96" ht="54" customHeight="1">
      <c r="A96" t="inlineStr">
        <is>
          <t>CJ3</t>
        </is>
      </c>
      <c r="B96" s="5" t="inlineStr">
        <is>
          <t>Caja surtida de 35 bombones</t>
        </is>
      </c>
      <c r="C96" t="inlineStr">
        <is>
          <t>Cajas y regalo</t>
        </is>
      </c>
      <c r="D96" t="inlineStr">
        <is>
          <t>No aplica: caja surtida</t>
        </is>
      </c>
      <c r="E96" s="30">
        <f>'Unidad vs Caja'!E20</f>
        <v>181.0</v>
      </c>
      <c r="F96" s="30">
        <f>IFERROR('Unidad vs Caja'!E21-'Unidad vs Caja'!E20,"")</f>
        <v>247.0</v>
      </c>
      <c r="G96" s="30">
        <f>IFERROR(E96+F96,"")</f>
        <v>428.0</v>
      </c>
      <c r="H96" t="inlineStr">
        <is>
          <t>Se compone de sus bombones</t>
        </is>
      </c>
      <c r="M96" s="32">
        <f>'Unidad vs Caja'!E23</f>
        <v>6.9099116899999995</v>
      </c>
      <c r="N96" s="24">
        <f>'Merma de Templado y Recortes'!E33</f>
        <v>0.005</v>
      </c>
      <c r="O96" s="32">
        <f>IFERROR(M96/(1-N96),"")</f>
        <v>6.944634864321608</v>
      </c>
      <c r="P96" s="13" t="inlineStr">
        <is>
          <t>Una caja no tiene escandallo propio: su coste de materia es el de los bombones que lleva dentro, y se calcula en la hoja «Unidad vs Caja». Lo que sí tiene propio es la merma de montaje y los minutos de montar y lazar.</t>
        </is>
      </c>
    </row>
    <row r="97" ht="54" customHeight="1">
      <c r="A97" t="inlineStr">
        <is>
          <t>CJ4</t>
        </is>
      </c>
      <c r="B97" s="5" t="inlineStr">
        <is>
          <t>Estuche corporativo personalizado de 24 bombones</t>
        </is>
      </c>
      <c r="C97" t="inlineStr">
        <is>
          <t>Cajas y regalo</t>
        </is>
      </c>
      <c r="D97" t="inlineStr">
        <is>
          <t>No aplica: caja surtida</t>
        </is>
      </c>
      <c r="E97" s="30">
        <f>'Unidad vs Caja'!F20</f>
        <v>123.0</v>
      </c>
      <c r="F97" s="30">
        <f>IFERROR('Unidad vs Caja'!F21-'Unidad vs Caja'!F20,"")</f>
        <v>170.0</v>
      </c>
      <c r="G97" s="30">
        <f>IFERROR(E97+F97,"")</f>
        <v>293.0</v>
      </c>
      <c r="H97" t="inlineStr">
        <is>
          <t>Se compone de sus bombones</t>
        </is>
      </c>
      <c r="M97" s="32">
        <f>'Unidad vs Caja'!F23</f>
        <v>4.726446545000001</v>
      </c>
      <c r="N97" s="24">
        <f>'Merma de Templado y Recortes'!E34</f>
        <v>0.005</v>
      </c>
      <c r="O97" s="32">
        <f>IFERROR(M97/(1-N97),"")</f>
        <v>4.750197532663317</v>
      </c>
      <c r="P97" s="13" t="inlineStr">
        <is>
          <t>Una caja no tiene escandallo propio: su coste de materia es el de los bombones que lleva dentro, y se calcula en la hoja «Unidad vs Caja». Lo que sí tiene propio es la merma de montaje y los minutos de montar y lazar.</t>
        </is>
      </c>
    </row>
    <row r="98"/>
    <row r="99">
      <c r="A99" s="7" t="inlineStr">
        <is>
          <t>Versión 1.0 · septiembre 2026 · aichef.pro/guia-chocolateria-obrador · info@aichef.pro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pageMargins left="0.39" right="0.39" top="0.59" bottom="0.59" header="0.5" footer="0.5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3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6" customWidth="1" min="3" max="3"/>
    <col width="15" customWidth="1" min="4" max="4"/>
    <col width="15" customWidth="1" min="5" max="5"/>
    <col width="14" customWidth="1" min="6" max="6"/>
    <col width="16" customWidth="1" min="7" max="7"/>
    <col width="14" customWidth="1" min="8" max="8"/>
    <col width="13" customWidth="1" min="9" max="9"/>
    <col width="15" customWidth="1" min="10" max="10"/>
    <col width="15" customWidth="1" min="11" max="11"/>
    <col width="13" customWidth="1" min="12" max="12"/>
    <col width="15" customWidth="1" min="13" max="13"/>
    <col width="14" customWidth="1" min="14" max="14"/>
    <col width="16" customWidth="1" min="15" max="15"/>
    <col width="66" customWidth="1" min="16" max="16"/>
  </cols>
  <sheetData>
    <row r="1">
      <c r="A1" s="1" t="inlineStr">
        <is>
          <t>Merma de Templado y Recortes</t>
        </is>
      </c>
    </row>
    <row r="2">
      <c r="A2" s="2" t="inlineStr">
        <is>
          <t>AI Chef Pro · aichef.pro — Cómo Montar una Chocolatería</t>
        </is>
      </c>
    </row>
    <row r="3">
      <c r="A3" s="3" t="inlineStr">
        <is>
          <t>DOS tasas por referencia, y la regla es del kit: «El chocolate sin relleno y sin contaminar se puede refundir; el que lleva ganache o fruta, a residuo» (02-partidas-produccion.xlsx, hoja «Moldeado»). Lo que vuelve a la cuba no encarece la materia; lo que se tira, sí.</t>
        </is>
      </c>
    </row>
    <row r="4"/>
    <row r="5"/>
    <row r="6" ht="70" customHeight="1">
      <c r="A6" s="8" t="inlineStr">
        <is>
          <t>Id</t>
        </is>
      </c>
      <c r="B6" s="8" t="inlineStr">
        <is>
          <t>Referencia</t>
        </is>
      </c>
      <c r="C6" s="8" t="inlineStr">
        <is>
          <t>¿Lleva ganache, relleno o fruta?</t>
        </is>
      </c>
      <c r="D6" s="8" t="inlineStr">
        <is>
          <t>Merma RECUPERABLE (vuelve a la cuba)</t>
        </is>
      </c>
      <c r="E6" s="8" t="inlineStr">
        <is>
          <t>Merma NO RECUPERABLE (a residuo)</t>
        </is>
      </c>
      <c r="F6" s="8" t="inlineStr">
        <is>
          <t>Coste de materia sin merma (EUR)</t>
        </is>
      </c>
      <c r="G6" s="8" t="inlineStr">
        <is>
          <t>Coste real con el recorte que vuelve (EUR)</t>
        </is>
      </c>
      <c r="H6" s="8" t="inlineStr">
        <is>
          <t>Sobrecoste de la merma (EUR)</t>
        </is>
      </c>
      <c r="I6" s="8" t="inlineStr">
        <is>
          <t>Sobrecoste sobre el coste</t>
        </is>
      </c>
      <c r="J6" s="8" t="inlineStr">
        <is>
          <t>Chocolate limpio que vuelve a la cuba (g/pieza)</t>
        </is>
      </c>
      <c r="K6" s="8" t="inlineStr">
        <is>
          <t>Producto que va a residuo (g/pieza)</t>
        </is>
      </c>
      <c r="L6" s="8" t="inlineStr">
        <is>
          <t>Unidades al año</t>
        </is>
      </c>
      <c r="M6" s="8" t="inlineStr">
        <is>
          <t>Kilos al año que vuelven a la cuba</t>
        </is>
      </c>
      <c r="N6" s="8" t="inlineStr">
        <is>
          <t>Kilos al año a residuo</t>
        </is>
      </c>
      <c r="O6" s="8" t="inlineStr">
        <is>
          <t>Coste anual de la merma no recuperable (EUR)</t>
        </is>
      </c>
      <c r="P6" s="8" t="inlineStr">
        <is>
          <t>Nota</t>
        </is>
      </c>
    </row>
    <row r="7" ht="40" customHeight="1">
      <c r="A7" t="inlineStr">
        <is>
          <t>BC1</t>
        </is>
      </c>
      <c r="B7" s="5" t="inlineStr">
        <is>
          <t>Bombón de ganache de chocolate negro 70 %</t>
        </is>
      </c>
      <c r="C7" t="inlineStr">
        <is>
          <t>Sí</t>
        </is>
      </c>
      <c r="D7" s="19" t="n">
        <v>0.04</v>
      </c>
      <c r="E7" s="19" t="n">
        <v>0.03</v>
      </c>
      <c r="F7" s="28">
        <f>'Escandallo por Molde y Tanda'!M70</f>
        <v>0.21760603999999997</v>
      </c>
      <c r="G7" s="28">
        <f>'Escandallo por Molde y Tanda'!O70</f>
        <v>0.22433612371134018</v>
      </c>
      <c r="H7" s="28">
        <f>IFERROR(G7-F7,"")</f>
        <v>0.006730083711340207</v>
      </c>
      <c r="I7" s="24">
        <f>IFERROR(H7/F7,"")</f>
        <v>0.0309278350515464</v>
      </c>
      <c r="J7" s="33">
        <f>IFERROR('Escandallo por Molde y Tanda'!E70*D7,"")</f>
        <v>0.22</v>
      </c>
      <c r="K7" s="33">
        <f>IFERROR('Escandallo por Molde y Tanda'!G70*E7,"")</f>
        <v>0.36</v>
      </c>
      <c r="L7" s="12">
        <f>'Mix y Ticket Medio'!K7</f>
        <v>1710.912</v>
      </c>
      <c r="M7" s="30">
        <f>IFERROR(J7*L7/1000,"")</f>
        <v>0.37640064</v>
      </c>
      <c r="N7" s="30">
        <f>IFERROR(K7*L7/1000,"")</f>
        <v>0.61592832</v>
      </c>
      <c r="O7" s="11">
        <f>IFERROR(H7*L7,"")</f>
        <v>11.514580982736495</v>
      </c>
      <c r="P7" s="13" t="inlineStr">
        <is>
          <t>Lleva ganache, relleno o fruta: lo que se recorta va a residuo y se reparte entre las piezas que salen bien.</t>
        </is>
      </c>
    </row>
    <row r="8" ht="40" customHeight="1">
      <c r="A8" t="inlineStr">
        <is>
          <t>BC2</t>
        </is>
      </c>
      <c r="B8" s="5" t="inlineStr">
        <is>
          <t>Bombón de ganache de leche y vainilla</t>
        </is>
      </c>
      <c r="C8" t="inlineStr">
        <is>
          <t>Sí</t>
        </is>
      </c>
      <c r="D8" s="19" t="n">
        <v>0.04</v>
      </c>
      <c r="E8" s="19" t="n">
        <v>0.03</v>
      </c>
      <c r="F8" s="28">
        <f>'Escandallo por Molde y Tanda'!M71</f>
        <v>0.19068400000000002</v>
      </c>
      <c r="G8" s="28">
        <f>'Escandallo por Molde y Tanda'!O71</f>
        <v>0.1965814432989691</v>
      </c>
      <c r="H8" s="28">
        <f>IFERROR(G8-F8,"")</f>
        <v>0.005897443298969074</v>
      </c>
      <c r="I8" s="24">
        <f>IFERROR(H8/F8,"")</f>
        <v>0.030927835051546396</v>
      </c>
      <c r="J8" s="33">
        <f>IFERROR('Escandallo por Molde y Tanda'!E71*D8,"")</f>
        <v>0.22</v>
      </c>
      <c r="K8" s="33">
        <f>IFERROR('Escandallo por Molde y Tanda'!G71*E8,"")</f>
        <v>0.36</v>
      </c>
      <c r="L8" s="12">
        <f>'Mix y Ticket Medio'!K8</f>
        <v>1425.76</v>
      </c>
      <c r="M8" s="30">
        <f>IFERROR(J8*L8/1000,"")</f>
        <v>0.3136672</v>
      </c>
      <c r="N8" s="30">
        <f>IFERROR(K8*L8/1000,"")</f>
        <v>0.5132736</v>
      </c>
      <c r="O8" s="11">
        <f>IFERROR(H8*L8,"")</f>
        <v>8.408338757938147</v>
      </c>
      <c r="P8" s="13" t="inlineStr">
        <is>
          <t>Lleva ganache, relleno o fruta: lo que se recorta va a residuo y se reparte entre las piezas que salen bien.</t>
        </is>
      </c>
    </row>
    <row r="9" ht="40" customHeight="1">
      <c r="A9" t="inlineStr">
        <is>
          <t>BC3</t>
        </is>
      </c>
      <c r="B9" s="5" t="inlineStr">
        <is>
          <t>Bombón de praliné de avellana</t>
        </is>
      </c>
      <c r="C9" t="inlineStr">
        <is>
          <t>Sí</t>
        </is>
      </c>
      <c r="D9" s="19" t="n">
        <v>0.04</v>
      </c>
      <c r="E9" s="19" t="n">
        <v>0.02</v>
      </c>
      <c r="F9" s="28">
        <f>'Escandallo por Molde y Tanda'!M72</f>
        <v>0.21344800000000003</v>
      </c>
      <c r="G9" s="28">
        <f>'Escandallo por Molde y Tanda'!O72</f>
        <v>0.21780408163265308</v>
      </c>
      <c r="H9" s="28">
        <f>IFERROR(G9-F9,"")</f>
        <v>0.004356081632653053</v>
      </c>
      <c r="I9" s="24">
        <f>IFERROR(H9/F9,"")</f>
        <v>0.02040816326530608</v>
      </c>
      <c r="J9" s="33">
        <f>IFERROR('Escandallo por Molde y Tanda'!E72*D9,"")</f>
        <v>0.2</v>
      </c>
      <c r="K9" s="33">
        <f>IFERROR('Escandallo por Molde y Tanda'!G72*E9,"")</f>
        <v>0.24</v>
      </c>
      <c r="L9" s="12">
        <f>'Mix y Ticket Medio'!K9</f>
        <v>1710.912</v>
      </c>
      <c r="M9" s="30">
        <f>IFERROR(J9*L9/1000,"")</f>
        <v>0.34218240000000005</v>
      </c>
      <c r="N9" s="30">
        <f>IFERROR(K9*L9/1000,"")</f>
        <v>0.41061887999999996</v>
      </c>
      <c r="O9" s="11">
        <f>IFERROR(H9*L9,"")</f>
        <v>7.4528723382857</v>
      </c>
      <c r="P9" s="13" t="inlineStr">
        <is>
          <t>Lleva ganache, relleno o fruta: lo que se recorta va a residuo y se reparte entre las piezas que salen bien.</t>
        </is>
      </c>
    </row>
    <row r="10" ht="40" customHeight="1">
      <c r="A10" t="inlineStr">
        <is>
          <t>BC4</t>
        </is>
      </c>
      <c r="B10" s="5" t="inlineStr">
        <is>
          <t>Bombón de gianduja de avellana</t>
        </is>
      </c>
      <c r="C10" t="inlineStr">
        <is>
          <t>Sí</t>
        </is>
      </c>
      <c r="D10" s="19" t="n">
        <v>0.04</v>
      </c>
      <c r="E10" s="19" t="n">
        <v>0.02</v>
      </c>
      <c r="F10" s="28">
        <f>'Escandallo por Molde y Tanda'!M73</f>
        <v>0.2243435</v>
      </c>
      <c r="G10" s="28">
        <f>'Escandallo por Molde y Tanda'!O73</f>
        <v>0.2289219387755102</v>
      </c>
      <c r="H10" s="28">
        <f>IFERROR(G10-F10,"")</f>
        <v>0.004578438775510202</v>
      </c>
      <c r="I10" s="24">
        <f>IFERROR(H10/F10,"")</f>
        <v>0.020408163265306114</v>
      </c>
      <c r="J10" s="33">
        <f>IFERROR('Escandallo por Molde y Tanda'!E73*D10,"")</f>
        <v>0.2</v>
      </c>
      <c r="K10" s="33">
        <f>IFERROR('Escandallo por Molde y Tanda'!G73*E10,"")</f>
        <v>0.24</v>
      </c>
      <c r="L10" s="12">
        <f>'Mix y Ticket Medio'!K10</f>
        <v>1140.608</v>
      </c>
      <c r="M10" s="30">
        <f>IFERROR(J10*L10/1000,"")</f>
        <v>0.2281216</v>
      </c>
      <c r="N10" s="30">
        <f>IFERROR(K10*L10/1000,"")</f>
        <v>0.27374592</v>
      </c>
      <c r="O10" s="11">
        <f>IFERROR(H10*L10,"")</f>
        <v>5.22220389485714</v>
      </c>
      <c r="P10" s="13" t="inlineStr">
        <is>
          <t>Lleva ganache, relleno o fruta: lo que se recorta va a residuo y se reparte entre las piezas que salen bien.</t>
        </is>
      </c>
    </row>
    <row r="11" ht="40" customHeight="1">
      <c r="A11" t="inlineStr">
        <is>
          <t>BC5</t>
        </is>
      </c>
      <c r="B11" s="5" t="inlineStr">
        <is>
          <t>Trufa de chocolate negro al cacao</t>
        </is>
      </c>
      <c r="C11" t="inlineStr">
        <is>
          <t>Sí</t>
        </is>
      </c>
      <c r="D11" s="19" t="n">
        <v>0.03</v>
      </c>
      <c r="E11" s="19" t="n">
        <v>0.04</v>
      </c>
      <c r="F11" s="28">
        <f>'Escandallo por Molde y Tanda'!M74</f>
        <v>0.21808513</v>
      </c>
      <c r="G11" s="28">
        <f>'Escandallo por Molde y Tanda'!O74</f>
        <v>0.22717201041666665</v>
      </c>
      <c r="H11" s="28">
        <f>IFERROR(G11-F11,"")</f>
        <v>0.009086880416666665</v>
      </c>
      <c r="I11" s="24">
        <f>IFERROR(H11/F11,"")</f>
        <v>0.041666666666666664</v>
      </c>
      <c r="J11" s="33">
        <f>IFERROR('Escandallo por Molde y Tanda'!E74*D11,"")</f>
        <v>0.12</v>
      </c>
      <c r="K11" s="33">
        <f>IFERROR('Escandallo por Molde y Tanda'!G74*E11,"")</f>
        <v>0.52</v>
      </c>
      <c r="L11" s="12">
        <f>'Mix y Ticket Medio'!K11</f>
        <v>1425.76</v>
      </c>
      <c r="M11" s="30">
        <f>IFERROR(J11*L11/1000,"")</f>
        <v>0.1710912</v>
      </c>
      <c r="N11" s="30">
        <f>IFERROR(K11*L11/1000,"")</f>
        <v>0.7413952</v>
      </c>
      <c r="O11" s="11">
        <f>IFERROR(H11*L11,"")</f>
        <v>12.955710622866665</v>
      </c>
      <c r="P11" s="13" t="inlineStr">
        <is>
          <t>Lleva ganache, relleno o fruta: lo que se recorta va a residuo y se reparte entre las piezas que salen bien.</t>
        </is>
      </c>
    </row>
    <row r="12" ht="40" customHeight="1">
      <c r="A12" t="inlineStr">
        <is>
          <t>BC6</t>
        </is>
      </c>
      <c r="B12" s="5" t="inlineStr">
        <is>
          <t>Bombón de licor de ron</t>
        </is>
      </c>
      <c r="C12" t="inlineStr">
        <is>
          <t>Sí</t>
        </is>
      </c>
      <c r="D12" s="19" t="n">
        <v>0.05</v>
      </c>
      <c r="E12" s="19" t="n">
        <v>0.04</v>
      </c>
      <c r="F12" s="28">
        <f>'Escandallo por Molde y Tanda'!M75</f>
        <v>0.17288900000000001</v>
      </c>
      <c r="G12" s="28">
        <f>'Escandallo por Molde y Tanda'!O75</f>
        <v>0.18009270833333335</v>
      </c>
      <c r="H12" s="28">
        <f>IFERROR(G12-F12,"")</f>
        <v>0.007203708333333336</v>
      </c>
      <c r="I12" s="24">
        <f>IFERROR(H12/F12,"")</f>
        <v>0.04166666666666668</v>
      </c>
      <c r="J12" s="33">
        <f>IFERROR('Escandallo por Molde y Tanda'!E75*D12,"")</f>
        <v>0.30000000000000004</v>
      </c>
      <c r="K12" s="33">
        <f>IFERROR('Escandallo por Molde y Tanda'!G75*E12,"")</f>
        <v>0.56</v>
      </c>
      <c r="L12" s="12">
        <f>'Mix y Ticket Medio'!K12</f>
        <v>855.456</v>
      </c>
      <c r="M12" s="30">
        <f>IFERROR(J12*L12/1000,"")</f>
        <v>0.25663680000000005</v>
      </c>
      <c r="N12" s="30">
        <f>IFERROR(K12*L12/1000,"")</f>
        <v>0.47905536000000004</v>
      </c>
      <c r="O12" s="11">
        <f>IFERROR(H12*L12,"")</f>
        <v>6.162455516000002</v>
      </c>
      <c r="P12" s="13" t="inlineStr">
        <is>
          <t>Lleva ganache, relleno o fruta: lo que se recorta va a residuo y se reparte entre las piezas que salen bien.</t>
        </is>
      </c>
    </row>
    <row r="13" ht="40" customHeight="1">
      <c r="A13" t="inlineStr">
        <is>
          <t>BC7</t>
        </is>
      </c>
      <c r="B13" s="5" t="inlineStr">
        <is>
          <t>Bombón de caramelo salado</t>
        </is>
      </c>
      <c r="C13" t="inlineStr">
        <is>
          <t>Sí</t>
        </is>
      </c>
      <c r="D13" s="19" t="n">
        <v>0.04</v>
      </c>
      <c r="E13" s="19" t="n">
        <v>0.03</v>
      </c>
      <c r="F13" s="28">
        <f>'Escandallo por Molde y Tanda'!M76</f>
        <v>0.1331798</v>
      </c>
      <c r="G13" s="28">
        <f>'Escandallo por Molde y Tanda'!O76</f>
        <v>0.13729876288659792</v>
      </c>
      <c r="H13" s="28">
        <f>IFERROR(G13-F13,"")</f>
        <v>0.004118962886597938</v>
      </c>
      <c r="I13" s="24">
        <f>IFERROR(H13/F13,"")</f>
        <v>0.030927835051546393</v>
      </c>
      <c r="J13" s="33">
        <f>IFERROR('Escandallo por Molde y Tanda'!E76*D13,"")</f>
        <v>0.22</v>
      </c>
      <c r="K13" s="33">
        <f>IFERROR('Escandallo por Molde y Tanda'!G76*E13,"")</f>
        <v>0.36</v>
      </c>
      <c r="L13" s="12">
        <f>'Mix y Ticket Medio'!K13</f>
        <v>1140.608</v>
      </c>
      <c r="M13" s="30">
        <f>IFERROR(J13*L13/1000,"")</f>
        <v>0.25093376</v>
      </c>
      <c r="N13" s="30">
        <f>IFERROR(K13*L13/1000,"")</f>
        <v>0.41061887999999996</v>
      </c>
      <c r="O13" s="11">
        <f>IFERROR(H13*L13,"")</f>
        <v>4.6981220201567</v>
      </c>
      <c r="P13" s="13" t="inlineStr">
        <is>
          <t>Lleva ganache, relleno o fruta: lo que se recorta va a residuo y se reparte entre las piezas que salen bien.</t>
        </is>
      </c>
    </row>
    <row r="14" ht="40" customHeight="1">
      <c r="A14" t="inlineStr">
        <is>
          <t>BC8</t>
        </is>
      </c>
      <c r="B14" s="5" t="inlineStr">
        <is>
          <t>Bombón de praliné de cacahuete</t>
        </is>
      </c>
      <c r="C14" t="inlineStr">
        <is>
          <t>Sí</t>
        </is>
      </c>
      <c r="D14" s="19" t="n">
        <v>0.04</v>
      </c>
      <c r="E14" s="19" t="n">
        <v>0.02</v>
      </c>
      <c r="F14" s="28">
        <f>'Escandallo por Molde y Tanda'!M77</f>
        <v>0.186582</v>
      </c>
      <c r="G14" s="28">
        <f>'Escandallo por Molde y Tanda'!O77</f>
        <v>0.19038979591836735</v>
      </c>
      <c r="H14" s="28">
        <f>IFERROR(G14-F14,"")</f>
        <v>0.003807795918367357</v>
      </c>
      <c r="I14" s="24">
        <f>IFERROR(H14/F14,"")</f>
        <v>0.020408163265306176</v>
      </c>
      <c r="J14" s="33">
        <f>IFERROR('Escandallo por Molde y Tanda'!E77*D14,"")</f>
        <v>0.2</v>
      </c>
      <c r="K14" s="33">
        <f>IFERROR('Escandallo por Molde y Tanda'!G77*E14,"")</f>
        <v>0.24</v>
      </c>
      <c r="L14" s="12">
        <f>'Mix y Ticket Medio'!K14</f>
        <v>855.456</v>
      </c>
      <c r="M14" s="30">
        <f>IFERROR(J14*L14/1000,"")</f>
        <v>0.17109120000000003</v>
      </c>
      <c r="N14" s="30">
        <f>IFERROR(K14*L14/1000,"")</f>
        <v>0.20530943999999998</v>
      </c>
      <c r="O14" s="11">
        <f>IFERROR(H14*L14,"")</f>
        <v>3.257401865142866</v>
      </c>
      <c r="P14" s="13" t="inlineStr">
        <is>
          <t>Lleva ganache, relleno o fruta: lo que se recorta va a residuo y se reparte entre las piezas que salen bien.</t>
        </is>
      </c>
    </row>
    <row r="15" ht="40" customHeight="1">
      <c r="A15" t="inlineStr">
        <is>
          <t>BC9</t>
        </is>
      </c>
      <c r="B15" s="5" t="inlineStr">
        <is>
          <t>Bombón crujiente de sésamo y barquillo</t>
        </is>
      </c>
      <c r="C15" t="inlineStr">
        <is>
          <t>Sí</t>
        </is>
      </c>
      <c r="D15" s="19" t="n">
        <v>0.04</v>
      </c>
      <c r="E15" s="19" t="n">
        <v>0.02</v>
      </c>
      <c r="F15" s="28">
        <f>'Escandallo por Molde y Tanda'!M78</f>
        <v>0.190446</v>
      </c>
      <c r="G15" s="28">
        <f>'Escandallo por Molde y Tanda'!O78</f>
        <v>0.1943326530612245</v>
      </c>
      <c r="H15" s="28">
        <f>IFERROR(G15-F15,"")</f>
        <v>0.0038866530612244876</v>
      </c>
      <c r="I15" s="24">
        <f>IFERROR(H15/F15,"")</f>
        <v>0.02040816326530611</v>
      </c>
      <c r="J15" s="33">
        <f>IFERROR('Escandallo por Molde y Tanda'!E78*D15,"")</f>
        <v>0.2</v>
      </c>
      <c r="K15" s="33">
        <f>IFERROR('Escandallo por Molde y Tanda'!G78*E15,"")</f>
        <v>0.24</v>
      </c>
      <c r="L15" s="12">
        <f>'Mix y Ticket Medio'!K15</f>
        <v>855.456</v>
      </c>
      <c r="M15" s="30">
        <f>IFERROR(J15*L15/1000,"")</f>
        <v>0.17109120000000003</v>
      </c>
      <c r="N15" s="30">
        <f>IFERROR(K15*L15/1000,"")</f>
        <v>0.20530943999999998</v>
      </c>
      <c r="O15" s="11">
        <f>IFERROR(H15*L15,"")</f>
        <v>3.324860681142855</v>
      </c>
      <c r="P15" s="13" t="inlineStr">
        <is>
          <t>Lleva ganache, relleno o fruta: lo que se recorta va a residuo y se reparte entre las piezas que salen bien.</t>
        </is>
      </c>
    </row>
    <row r="16" ht="40" customHeight="1">
      <c r="A16" t="inlineStr">
        <is>
          <t>BC10</t>
        </is>
      </c>
      <c r="B16" s="5" t="inlineStr">
        <is>
          <t>Bombón de naranja confitada y chocolate negro</t>
        </is>
      </c>
      <c r="C16" t="inlineStr">
        <is>
          <t>Sí</t>
        </is>
      </c>
      <c r="D16" s="19" t="n">
        <v>0.03</v>
      </c>
      <c r="E16" s="19" t="n">
        <v>0.05</v>
      </c>
      <c r="F16" s="28">
        <f>'Escandallo por Molde y Tanda'!M79</f>
        <v>0.218357635</v>
      </c>
      <c r="G16" s="28">
        <f>'Escandallo por Molde y Tanda'!O79</f>
        <v>0.22985014210526317</v>
      </c>
      <c r="H16" s="28">
        <f>IFERROR(G16-F16,"")</f>
        <v>0.011492507105263172</v>
      </c>
      <c r="I16" s="24">
        <f>IFERROR(H16/F16,"")</f>
        <v>0.05263157894736849</v>
      </c>
      <c r="J16" s="33">
        <f>IFERROR('Escandallo por Molde y Tanda'!E79*D16,"")</f>
        <v>0.16499999999999998</v>
      </c>
      <c r="K16" s="33">
        <f>IFERROR('Escandallo por Molde y Tanda'!G79*E16,"")</f>
        <v>0.6000000000000001</v>
      </c>
      <c r="L16" s="12">
        <f>'Mix y Ticket Medio'!K16</f>
        <v>855.456</v>
      </c>
      <c r="M16" s="30">
        <f>IFERROR(J16*L16/1000,"")</f>
        <v>0.14115024</v>
      </c>
      <c r="N16" s="30">
        <f>IFERROR(K16*L16/1000,"")</f>
        <v>0.5132736000000001</v>
      </c>
      <c r="O16" s="11">
        <f>IFERROR(H16*L16,"")</f>
        <v>9.831334158240013</v>
      </c>
      <c r="P16" s="13" t="inlineStr">
        <is>
          <t>Lleva ganache, relleno o fruta: lo que se recorta va a residuo y se reparte entre las piezas que salen bien.</t>
        </is>
      </c>
    </row>
    <row r="17" ht="40" customHeight="1">
      <c r="A17" t="inlineStr">
        <is>
          <t>TB1</t>
        </is>
      </c>
      <c r="B17" s="5" t="inlineStr">
        <is>
          <t>Tableta de chocolate negro de origen 70 %, 100 g</t>
        </is>
      </c>
      <c r="C17" t="inlineStr">
        <is>
          <t>No</t>
        </is>
      </c>
      <c r="D17" s="19" t="n">
        <v>0.06</v>
      </c>
      <c r="E17" s="19" t="n">
        <v>0.01</v>
      </c>
      <c r="F17" s="28">
        <f>'Escandallo por Molde y Tanda'!M80</f>
        <v>3.7479999999999998</v>
      </c>
      <c r="G17" s="28">
        <f>'Escandallo por Molde y Tanda'!O80</f>
        <v>3.785858585858586</v>
      </c>
      <c r="H17" s="28">
        <f>IFERROR(G17-F17,"")</f>
        <v>0.037858585858586036</v>
      </c>
      <c r="I17" s="24">
        <f>IFERROR(H17/F17,"")</f>
        <v>0.010101010101010149</v>
      </c>
      <c r="J17" s="33">
        <f>IFERROR('Escandallo por Molde y Tanda'!E80*D17,"")</f>
        <v>6.0</v>
      </c>
      <c r="K17" s="33">
        <f>IFERROR('Escandallo por Molde y Tanda'!G80*E17,"")</f>
        <v>1.0</v>
      </c>
      <c r="L17" s="12">
        <f>'Mix y Ticket Medio'!K17</f>
        <v>1996.0639999999999</v>
      </c>
      <c r="M17" s="30">
        <f>IFERROR(J17*L17/1000,"")</f>
        <v>11.976383999999998</v>
      </c>
      <c r="N17" s="30">
        <f>IFERROR(K17*L17/1000,"")</f>
        <v>1.9960639999999998</v>
      </c>
      <c r="O17" s="11">
        <f>IFERROR(H17*L17,"")</f>
        <v>75.56816032323268</v>
      </c>
      <c r="P17" s="13" t="inlineStr">
        <is>
          <t>El recorte limpio vuelve a la cuba: no es coste de materia, pero hay que volver a templarlo y ese trabajo lo paga la mano de obra.</t>
        </is>
      </c>
    </row>
    <row r="18" ht="40" customHeight="1">
      <c r="A18" t="inlineStr">
        <is>
          <t>TB2</t>
        </is>
      </c>
      <c r="B18" s="5" t="inlineStr">
        <is>
          <t>Tableta de chocolate con leche 38 %, 100 g</t>
        </is>
      </c>
      <c r="C18" t="inlineStr">
        <is>
          <t>No</t>
        </is>
      </c>
      <c r="D18" s="19" t="n">
        <v>0.06</v>
      </c>
      <c r="E18" s="19" t="n">
        <v>0.01</v>
      </c>
      <c r="F18" s="28">
        <f>'Escandallo por Molde y Tanda'!M81</f>
        <v>1.9500000000000002</v>
      </c>
      <c r="G18" s="28">
        <f>'Escandallo por Molde y Tanda'!O81</f>
        <v>1.96969696969697</v>
      </c>
      <c r="H18" s="28">
        <f>IFERROR(G18-F18,"")</f>
        <v>0.01969696969696977</v>
      </c>
      <c r="I18" s="24">
        <f>IFERROR(H18/F18,"")</f>
        <v>0.010101010101010137</v>
      </c>
      <c r="J18" s="33">
        <f>IFERROR('Escandallo por Molde y Tanda'!E81*D18,"")</f>
        <v>6.0</v>
      </c>
      <c r="K18" s="33">
        <f>IFERROR('Escandallo por Molde y Tanda'!G81*E18,"")</f>
        <v>1.0</v>
      </c>
      <c r="L18" s="12">
        <f>'Mix y Ticket Medio'!K18</f>
        <v>1710.912</v>
      </c>
      <c r="M18" s="30">
        <f>IFERROR(J18*L18/1000,"")</f>
        <v>10.265471999999999</v>
      </c>
      <c r="N18" s="30">
        <f>IFERROR(K18*L18/1000,"")</f>
        <v>1.710912</v>
      </c>
      <c r="O18" s="11">
        <f>IFERROR(H18*L18,"")</f>
        <v>33.69978181818194</v>
      </c>
      <c r="P18" s="13" t="inlineStr">
        <is>
          <t>El recorte limpio vuelve a la cuba: no es coste de materia, pero hay que volver a templarlo y ese trabajo lo paga la mano de obra.</t>
        </is>
      </c>
    </row>
    <row r="19" ht="40" customHeight="1">
      <c r="A19" t="inlineStr">
        <is>
          <t>TB3</t>
        </is>
      </c>
      <c r="B19" s="5" t="inlineStr">
        <is>
          <t>Tableta de chocolate blanco 30 %, 100 g</t>
        </is>
      </c>
      <c r="C19" t="inlineStr">
        <is>
          <t>No</t>
        </is>
      </c>
      <c r="D19" s="19" t="n">
        <v>0.07000000000000001</v>
      </c>
      <c r="E19" s="19" t="n">
        <v>0.01</v>
      </c>
      <c r="F19" s="28">
        <f>'Escandallo por Molde y Tanda'!M82</f>
        <v>2.1</v>
      </c>
      <c r="G19" s="28">
        <f>'Escandallo por Molde y Tanda'!O82</f>
        <v>2.121212121212121</v>
      </c>
      <c r="H19" s="28">
        <f>IFERROR(G19-F19,"")</f>
        <v>0.021212121212121016</v>
      </c>
      <c r="I19" s="24">
        <f>IFERROR(H19/F19,"")</f>
        <v>0.010101010101010006</v>
      </c>
      <c r="J19" s="33">
        <f>IFERROR('Escandallo por Molde y Tanda'!E82*D19,"")</f>
        <v>7.000000000000001</v>
      </c>
      <c r="K19" s="33">
        <f>IFERROR('Escandallo por Molde y Tanda'!G82*E19,"")</f>
        <v>1.0</v>
      </c>
      <c r="L19" s="12">
        <f>'Mix y Ticket Medio'!K19</f>
        <v>1140.608</v>
      </c>
      <c r="M19" s="30">
        <f>IFERROR(J19*L19/1000,"")</f>
        <v>7.984256</v>
      </c>
      <c r="N19" s="30">
        <f>IFERROR(K19*L19/1000,"")</f>
        <v>1.1406079999999998</v>
      </c>
      <c r="O19" s="11">
        <f>IFERROR(H19*L19,"")</f>
        <v>24.194715151514927</v>
      </c>
      <c r="P19" s="13" t="inlineStr">
        <is>
          <t>El recorte limpio vuelve a la cuba: no es coste de materia, pero hay que volver a templarlo y ese trabajo lo paga la mano de obra.</t>
        </is>
      </c>
    </row>
    <row r="20" ht="40" customHeight="1">
      <c r="A20" t="inlineStr">
        <is>
          <t>TB4</t>
        </is>
      </c>
      <c r="B20" s="5" t="inlineStr">
        <is>
          <t>Tableta de chocolate negro con almendra marcona, 100 g</t>
        </is>
      </c>
      <c r="C20" t="inlineStr">
        <is>
          <t>Sí</t>
        </is>
      </c>
      <c r="D20" s="19" t="n">
        <v>0.05</v>
      </c>
      <c r="E20" s="19" t="n">
        <v>0.02</v>
      </c>
      <c r="F20" s="28">
        <f>'Escandallo por Molde y Tanda'!M83</f>
        <v>2.046949</v>
      </c>
      <c r="G20" s="28">
        <f>'Escandallo por Molde y Tanda'!O83</f>
        <v>2.088723469387755</v>
      </c>
      <c r="H20" s="28">
        <f>IFERROR(G20-F20,"")</f>
        <v>0.04177446938775509</v>
      </c>
      <c r="I20" s="24">
        <f>IFERROR(H20/F20,"")</f>
        <v>0.020408163265306114</v>
      </c>
      <c r="J20" s="33">
        <f>IFERROR('Escandallo por Molde y Tanda'!E83*D20,"")</f>
        <v>3.9000000000000004</v>
      </c>
      <c r="K20" s="33">
        <f>IFERROR('Escandallo por Molde y Tanda'!G83*E20,"")</f>
        <v>2.0</v>
      </c>
      <c r="L20" s="12">
        <f>'Mix y Ticket Medio'!K20</f>
        <v>1425.76</v>
      </c>
      <c r="M20" s="30">
        <f>IFERROR(J20*L20/1000,"")</f>
        <v>5.5604640000000005</v>
      </c>
      <c r="N20" s="30">
        <f>IFERROR(K20*L20/1000,"")</f>
        <v>2.85152</v>
      </c>
      <c r="O20" s="11">
        <f>IFERROR(H20*L20,"")</f>
        <v>59.56036747428569</v>
      </c>
      <c r="P20" s="13" t="inlineStr">
        <is>
          <t>Lleva ganache, relleno o fruta: lo que se recorta va a residuo y se reparte entre las piezas que salen bien.</t>
        </is>
      </c>
    </row>
    <row r="21" ht="40" customHeight="1">
      <c r="A21" t="inlineStr">
        <is>
          <t>TB5</t>
        </is>
      </c>
      <c r="B21" s="5" t="inlineStr">
        <is>
          <t>Tableta de chocolate con leche y avellana, 100 g</t>
        </is>
      </c>
      <c r="C21" t="inlineStr">
        <is>
          <t>Sí</t>
        </is>
      </c>
      <c r="D21" s="19" t="n">
        <v>0.05</v>
      </c>
      <c r="E21" s="19" t="n">
        <v>0.02</v>
      </c>
      <c r="F21" s="28">
        <f>'Escandallo por Molde y Tanda'!M84</f>
        <v>1.838</v>
      </c>
      <c r="G21" s="28">
        <f>'Escandallo por Molde y Tanda'!O84</f>
        <v>1.8755102040816327</v>
      </c>
      <c r="H21" s="28">
        <f>IFERROR(G21-F21,"")</f>
        <v>0.037510204081632637</v>
      </c>
      <c r="I21" s="24">
        <f>IFERROR(H21/F21,"")</f>
        <v>0.020408163265306114</v>
      </c>
      <c r="J21" s="33">
        <f>IFERROR('Escandallo por Molde y Tanda'!E84*D21,"")</f>
        <v>4.0</v>
      </c>
      <c r="K21" s="33">
        <f>IFERROR('Escandallo por Molde y Tanda'!G84*E21,"")</f>
        <v>2.0</v>
      </c>
      <c r="L21" s="12">
        <f>'Mix y Ticket Medio'!K21</f>
        <v>1140.608</v>
      </c>
      <c r="M21" s="30">
        <f>IFERROR(J21*L21/1000,"")</f>
        <v>4.562431999999999</v>
      </c>
      <c r="N21" s="30">
        <f>IFERROR(K21*L21/1000,"")</f>
        <v>2.2812159999999997</v>
      </c>
      <c r="O21" s="11">
        <f>IFERROR(H21*L21,"")</f>
        <v>42.78443885714284</v>
      </c>
      <c r="P21" s="13" t="inlineStr">
        <is>
          <t>Lleva ganache, relleno o fruta: lo que se recorta va a residuo y se reparte entre las piezas que salen bien.</t>
        </is>
      </c>
    </row>
    <row r="22" ht="40" customHeight="1">
      <c r="A22" t="inlineStr">
        <is>
          <t>TB6</t>
        </is>
      </c>
      <c r="B22" s="5" t="inlineStr">
        <is>
          <t>Tableta rellena de praliné, 100 g</t>
        </is>
      </c>
      <c r="C22" t="inlineStr">
        <is>
          <t>Sí</t>
        </is>
      </c>
      <c r="D22" s="19" t="n">
        <v>0.05</v>
      </c>
      <c r="E22" s="19" t="n">
        <v>0.03</v>
      </c>
      <c r="F22" s="28">
        <f>'Escandallo por Molde y Tanda'!M85</f>
        <v>1.7983500000000001</v>
      </c>
      <c r="G22" s="28">
        <f>'Escandallo por Molde y Tanda'!O85</f>
        <v>1.8539690721649487</v>
      </c>
      <c r="H22" s="28">
        <f>IFERROR(G22-F22,"")</f>
        <v>0.055619072164948546</v>
      </c>
      <c r="I22" s="24">
        <f>IFERROR(H22/F22,"")</f>
        <v>0.03092783505154644</v>
      </c>
      <c r="J22" s="33">
        <f>IFERROR('Escandallo por Molde y Tanda'!E85*D22,"")</f>
        <v>2.75</v>
      </c>
      <c r="K22" s="33">
        <f>IFERROR('Escandallo por Molde y Tanda'!G85*E22,"")</f>
        <v>3.0</v>
      </c>
      <c r="L22" s="12">
        <f>'Mix y Ticket Medio'!K22</f>
        <v>855.456</v>
      </c>
      <c r="M22" s="30">
        <f>IFERROR(J22*L22/1000,"")</f>
        <v>2.3525039999999997</v>
      </c>
      <c r="N22" s="30">
        <f>IFERROR(K22*L22/1000,"")</f>
        <v>2.5663679999999998</v>
      </c>
      <c r="O22" s="11">
        <f>IFERROR(H22*L22,"")</f>
        <v>47.57966899793823</v>
      </c>
      <c r="P22" s="13" t="inlineStr">
        <is>
          <t>Lleva ganache, relleno o fruta: lo que se recorta va a residuo y se reparte entre las piezas que salen bien.</t>
        </is>
      </c>
    </row>
    <row r="23" ht="40" customHeight="1">
      <c r="A23" t="inlineStr">
        <is>
          <t>CT1</t>
        </is>
      </c>
      <c r="B23" s="5" t="inlineStr">
        <is>
          <t>Tableta de chocolate a la taza, 200 g</t>
        </is>
      </c>
      <c r="C23" t="inlineStr">
        <is>
          <t>Sí</t>
        </is>
      </c>
      <c r="D23" s="19" t="n">
        <v>0.05</v>
      </c>
      <c r="E23" s="19" t="n">
        <v>0.01</v>
      </c>
      <c r="F23" s="28">
        <f>'Escandallo por Molde y Tanda'!M86</f>
        <v>2.33936</v>
      </c>
      <c r="G23" s="28">
        <f>'Escandallo por Molde y Tanda'!O86</f>
        <v>2.362989898989899</v>
      </c>
      <c r="H23" s="28">
        <f>IFERROR(G23-F23,"")</f>
        <v>0.02362989898989909</v>
      </c>
      <c r="I23" s="24">
        <f>IFERROR(H23/F23,"")</f>
        <v>0.010101010101010144</v>
      </c>
      <c r="J23" s="33">
        <f>IFERROR('Escandallo por Molde y Tanda'!E86*D23,"")</f>
        <v>4.0</v>
      </c>
      <c r="K23" s="33">
        <f>IFERROR('Escandallo por Molde y Tanda'!G86*E23,"")</f>
        <v>2.0</v>
      </c>
      <c r="L23" s="12">
        <f>'Mix y Ticket Medio'!K23</f>
        <v>855.456</v>
      </c>
      <c r="M23" s="30">
        <f>IFERROR(J23*L23/1000,"")</f>
        <v>3.421824</v>
      </c>
      <c r="N23" s="30">
        <f>IFERROR(K23*L23/1000,"")</f>
        <v>1.710912</v>
      </c>
      <c r="O23" s="11">
        <f>IFERROR(H23*L23,"")</f>
        <v>20.214338870303116</v>
      </c>
      <c r="P23" s="13" t="inlineStr">
        <is>
          <t>Lleva ganache, relleno o fruta: lo que se recorta va a residuo y se reparte entre las piezas que salen bien.</t>
        </is>
      </c>
    </row>
    <row r="24" ht="40" customHeight="1">
      <c r="A24" t="inlineStr">
        <is>
          <t>CT2</t>
        </is>
      </c>
      <c r="B24" s="5" t="inlineStr">
        <is>
          <t>Caja de 6 sobres monodosis de chocolate a la taza</t>
        </is>
      </c>
      <c r="C24" t="inlineStr">
        <is>
          <t>Sí</t>
        </is>
      </c>
      <c r="D24" s="19" t="n">
        <v>0.05</v>
      </c>
      <c r="E24" s="19" t="n">
        <v>0.01</v>
      </c>
      <c r="F24" s="28">
        <f>'Escandallo por Molde y Tanda'!M87</f>
        <v>2.1054239999999997</v>
      </c>
      <c r="G24" s="28">
        <f>'Escandallo por Molde y Tanda'!O87</f>
        <v>2.1266909090909087</v>
      </c>
      <c r="H24" s="28">
        <f>IFERROR(G24-F24,"")</f>
        <v>0.021266909090909003</v>
      </c>
      <c r="I24" s="24">
        <f>IFERROR(H24/F24,"")</f>
        <v>0.01010101010101006</v>
      </c>
      <c r="J24" s="33">
        <f>IFERROR('Escandallo por Molde y Tanda'!E87*D24,"")</f>
        <v>3.6</v>
      </c>
      <c r="K24" s="33">
        <f>IFERROR('Escandallo por Molde y Tanda'!G87*E24,"")</f>
        <v>1.8</v>
      </c>
      <c r="L24" s="12">
        <f>'Mix y Ticket Medio'!K24</f>
        <v>570.304</v>
      </c>
      <c r="M24" s="30">
        <f>IFERROR(J24*L24/1000,"")</f>
        <v>2.0530944</v>
      </c>
      <c r="N24" s="30">
        <f>IFERROR(K24*L24/1000,"")</f>
        <v>1.0265472</v>
      </c>
      <c r="O24" s="11">
        <f>IFERROR(H24*L24,"")</f>
        <v>12.128603322181768</v>
      </c>
      <c r="P24" s="13" t="inlineStr">
        <is>
          <t>Lleva ganache, relleno o fruta: lo que se recorta va a residuo y se reparte entre las piezas que salen bien.</t>
        </is>
      </c>
    </row>
    <row r="25" ht="40" customHeight="1">
      <c r="A25" t="inlineStr">
        <is>
          <t>CT3</t>
        </is>
      </c>
      <c r="B25" s="5" t="inlineStr">
        <is>
          <t>Chocolate a la taza servido en sala, 200 ml</t>
        </is>
      </c>
      <c r="C25" t="inlineStr">
        <is>
          <t>Sí</t>
        </is>
      </c>
      <c r="D25" s="19" t="n">
        <v>0</v>
      </c>
      <c r="E25" s="19" t="n">
        <v>0.06</v>
      </c>
      <c r="F25" s="28">
        <f>'Escandallo por Molde y Tanda'!M88</f>
        <v>0.5263559999999999</v>
      </c>
      <c r="G25" s="28">
        <f>'Escandallo por Molde y Tanda'!O88</f>
        <v>0.5599531914893616</v>
      </c>
      <c r="H25" s="28">
        <f>IFERROR(G25-F25,"")</f>
        <v>0.03359719148936169</v>
      </c>
      <c r="I25" s="24">
        <f>IFERROR(H25/F25,"")</f>
        <v>0.06382978723404253</v>
      </c>
      <c r="J25" s="33">
        <f>IFERROR('Escandallo por Molde y Tanda'!E88*D25,"")</f>
        <v>0.0</v>
      </c>
      <c r="K25" s="33">
        <f>IFERROR('Escandallo por Molde y Tanda'!G88*E25,"")</f>
        <v>2.6999999999999997</v>
      </c>
      <c r="L25" s="12">
        <f>'Mix y Ticket Medio'!K25</f>
        <v>855.456</v>
      </c>
      <c r="M25" s="30">
        <f>IFERROR(J25*L25/1000,"")</f>
        <v>0.0</v>
      </c>
      <c r="N25" s="30">
        <f>IFERROR(K25*L25/1000,"")</f>
        <v>2.3097312</v>
      </c>
      <c r="O25" s="11">
        <f>IFERROR(H25*L25,"")</f>
        <v>28.740919042723394</v>
      </c>
      <c r="P25" s="13" t="inlineStr">
        <is>
          <t>Lleva ganache, relleno o fruta: lo que se recorta va a residuo y se reparte entre las piezas que salen bien.</t>
        </is>
      </c>
    </row>
    <row r="26" ht="40" customHeight="1">
      <c r="A26" t="inlineStr">
        <is>
          <t>TF1</t>
        </is>
      </c>
      <c r="B26" s="5" t="inlineStr">
        <is>
          <t>Huevo de Pascua de chocolate con leche, 250 g</t>
        </is>
      </c>
      <c r="C26" t="inlineStr">
        <is>
          <t>No</t>
        </is>
      </c>
      <c r="D26" s="19" t="n">
        <v>0.09</v>
      </c>
      <c r="E26" s="19" t="n">
        <v>0.02</v>
      </c>
      <c r="F26" s="28">
        <f>'Escandallo por Molde y Tanda'!M89</f>
        <v>4.875</v>
      </c>
      <c r="G26" s="28">
        <f>'Escandallo por Molde y Tanda'!O89</f>
        <v>4.974489795918368</v>
      </c>
      <c r="H26" s="28">
        <f>IFERROR(G26-F26,"")</f>
        <v>0.09948979591836782</v>
      </c>
      <c r="I26" s="24">
        <f>IFERROR(H26/F26,"")</f>
        <v>0.020408163265306218</v>
      </c>
      <c r="J26" s="33">
        <f>IFERROR('Escandallo por Molde y Tanda'!E89*D26,"")</f>
        <v>22.5</v>
      </c>
      <c r="K26" s="33">
        <f>IFERROR('Escandallo por Molde y Tanda'!G89*E26,"")</f>
        <v>5.0</v>
      </c>
      <c r="L26" s="12">
        <f>'Mix y Ticket Medio'!K26</f>
        <v>570.304</v>
      </c>
      <c r="M26" s="30">
        <f>IFERROR(J26*L26/1000,"")</f>
        <v>12.83184</v>
      </c>
      <c r="N26" s="30">
        <f>IFERROR(K26*L26/1000,"")</f>
        <v>2.85152</v>
      </c>
      <c r="O26" s="11">
        <f>IFERROR(H26*L26,"")</f>
        <v>56.73942857142884</v>
      </c>
      <c r="P26" s="13" t="inlineStr">
        <is>
          <t>El recorte limpio vuelve a la cuba: no es coste de materia, pero hay que volver a templarlo y ese trabajo lo paga la mano de obra.</t>
        </is>
      </c>
    </row>
    <row r="27" ht="40" customHeight="1">
      <c r="A27" t="inlineStr">
        <is>
          <t>TF2</t>
        </is>
      </c>
      <c r="B27" s="5" t="inlineStr">
        <is>
          <t>Mona de Pascua de chocolate, 400 g</t>
        </is>
      </c>
      <c r="C27" t="inlineStr">
        <is>
          <t>Sí</t>
        </is>
      </c>
      <c r="D27" s="19" t="n">
        <v>0.09</v>
      </c>
      <c r="E27" s="19" t="n">
        <v>0.02</v>
      </c>
      <c r="F27" s="28">
        <f>'Escandallo por Molde y Tanda'!M90</f>
        <v>7.658</v>
      </c>
      <c r="G27" s="28">
        <f>'Escandallo por Molde y Tanda'!O90</f>
        <v>7.814285714285715</v>
      </c>
      <c r="H27" s="28">
        <f>IFERROR(G27-F27,"")</f>
        <v>0.15628571428571458</v>
      </c>
      <c r="I27" s="24">
        <f>IFERROR(H27/F27,"")</f>
        <v>0.02040816326530616</v>
      </c>
      <c r="J27" s="33">
        <f>IFERROR('Escandallo por Molde y Tanda'!E90*D27,"")</f>
        <v>34.199999999999996</v>
      </c>
      <c r="K27" s="33">
        <f>IFERROR('Escandallo por Molde y Tanda'!G90*E27,"")</f>
        <v>8.0</v>
      </c>
      <c r="L27" s="12">
        <f>'Mix y Ticket Medio'!K27</f>
        <v>427.728</v>
      </c>
      <c r="M27" s="30">
        <f>IFERROR(J27*L27/1000,"")</f>
        <v>14.628297599999998</v>
      </c>
      <c r="N27" s="30">
        <f>IFERROR(K27*L27/1000,"")</f>
        <v>3.421824</v>
      </c>
      <c r="O27" s="11">
        <f>IFERROR(H27*L27,"")</f>
        <v>66.84777600000012</v>
      </c>
      <c r="P27" s="13" t="inlineStr">
        <is>
          <t>Lleva ganache, relleno o fruta: lo que se recorta va a residuo y se reparte entre las piezas que salen bien.</t>
        </is>
      </c>
    </row>
    <row r="28" ht="40" customHeight="1">
      <c r="A28" t="inlineStr">
        <is>
          <t>TF3</t>
        </is>
      </c>
      <c r="B28" s="5" t="inlineStr">
        <is>
          <t>Hueso de santo bañado en chocolate</t>
        </is>
      </c>
      <c r="C28" t="inlineStr">
        <is>
          <t>Sí</t>
        </is>
      </c>
      <c r="D28" s="19" t="n">
        <v>0.02</v>
      </c>
      <c r="E28" s="19" t="n">
        <v>0.06</v>
      </c>
      <c r="F28" s="28">
        <f>'Escandallo por Molde y Tanda'!M91</f>
        <v>0.2590785</v>
      </c>
      <c r="G28" s="28">
        <f>'Escandallo por Molde y Tanda'!O91</f>
        <v>0.27561542553191487</v>
      </c>
      <c r="H28" s="28">
        <f>IFERROR(G28-F28,"")</f>
        <v>0.01653692553191488</v>
      </c>
      <c r="I28" s="24">
        <f>IFERROR(H28/F28,"")</f>
        <v>0.0638297872340425</v>
      </c>
      <c r="J28" s="33">
        <f>IFERROR('Escandallo por Molde y Tanda'!E91*D28,"")</f>
        <v>0.18</v>
      </c>
      <c r="K28" s="33">
        <f>IFERROR('Escandallo por Molde y Tanda'!G91*E28,"")</f>
        <v>1.7999999999999998</v>
      </c>
      <c r="L28" s="12">
        <f>'Mix y Ticket Medio'!K28</f>
        <v>285.152</v>
      </c>
      <c r="M28" s="30">
        <f>IFERROR(J28*L28/1000,"")</f>
        <v>0.051327359999999995</v>
      </c>
      <c r="N28" s="30">
        <f>IFERROR(K28*L28/1000,"")</f>
        <v>0.5132735999999999</v>
      </c>
      <c r="O28" s="11">
        <f>IFERROR(H28*L28,"")</f>
        <v>4.715537389276592</v>
      </c>
      <c r="P28" s="13" t="inlineStr">
        <is>
          <t>Lleva ganache, relleno o fruta: lo que se recorta va a residuo y se reparte entre las piezas que salen bien.</t>
        </is>
      </c>
    </row>
    <row r="29" ht="40" customHeight="1">
      <c r="A29" t="inlineStr">
        <is>
          <t>TF4</t>
        </is>
      </c>
      <c r="B29" s="5" t="inlineStr">
        <is>
          <t>Turrón de chocolate con almendra, 250 g</t>
        </is>
      </c>
      <c r="C29" t="inlineStr">
        <is>
          <t>Sí</t>
        </is>
      </c>
      <c r="D29" s="19" t="n">
        <v>0.05</v>
      </c>
      <c r="E29" s="19" t="n">
        <v>0.02</v>
      </c>
      <c r="F29" s="28">
        <f>'Escandallo por Molde y Tanda'!M92</f>
        <v>4.838044</v>
      </c>
      <c r="G29" s="28">
        <f>'Escandallo por Molde y Tanda'!O92</f>
        <v>4.936779591836735</v>
      </c>
      <c r="H29" s="28">
        <f>IFERROR(G29-F29,"")</f>
        <v>0.09873559183673475</v>
      </c>
      <c r="I29" s="24">
        <f>IFERROR(H29/F29,"")</f>
        <v>0.020408163265306135</v>
      </c>
      <c r="J29" s="33">
        <f>IFERROR('Escandallo por Molde y Tanda'!E92*D29,"")</f>
        <v>8.4</v>
      </c>
      <c r="K29" s="33">
        <f>IFERROR('Escandallo por Molde y Tanda'!G92*E29,"")</f>
        <v>5.0</v>
      </c>
      <c r="L29" s="12">
        <f>'Mix y Ticket Medio'!K29</f>
        <v>570.304</v>
      </c>
      <c r="M29" s="30">
        <f>IFERROR(J29*L29/1000,"")</f>
        <v>4.7905536</v>
      </c>
      <c r="N29" s="30">
        <f>IFERROR(K29*L29/1000,"")</f>
        <v>2.85152</v>
      </c>
      <c r="O29" s="11">
        <f>IFERROR(H29*L29,"")</f>
        <v>56.309302966857175</v>
      </c>
      <c r="P29" s="13" t="inlineStr">
        <is>
          <t>Lleva ganache, relleno o fruta: lo que se recorta va a residuo y se reparte entre las piezas que salen bien.</t>
        </is>
      </c>
    </row>
    <row r="30" ht="40" customHeight="1">
      <c r="A30" t="inlineStr">
        <is>
          <t>TF5</t>
        </is>
      </c>
      <c r="B30" s="5" t="inlineStr">
        <is>
          <t>Almendras marcona bañadas en chocolate, bolsa de 150 g</t>
        </is>
      </c>
      <c r="C30" t="inlineStr">
        <is>
          <t>Sí</t>
        </is>
      </c>
      <c r="D30" s="19" t="n">
        <v>0.04</v>
      </c>
      <c r="E30" s="19" t="n">
        <v>0.02</v>
      </c>
      <c r="F30" s="28">
        <f>'Escandallo por Molde y Tanda'!M93</f>
        <v>2.770404</v>
      </c>
      <c r="G30" s="28">
        <f>'Escandallo por Molde y Tanda'!O93</f>
        <v>2.8269428571428574</v>
      </c>
      <c r="H30" s="28">
        <f>IFERROR(G30-F30,"")</f>
        <v>0.056538857142857335</v>
      </c>
      <c r="I30" s="24">
        <f>IFERROR(H30/F30,"")</f>
        <v>0.02040816326530619</v>
      </c>
      <c r="J30" s="33">
        <f>IFERROR('Escandallo por Molde y Tanda'!E93*D30,"")</f>
        <v>3.52</v>
      </c>
      <c r="K30" s="33">
        <f>IFERROR('Escandallo por Molde y Tanda'!G93*E30,"")</f>
        <v>3.0</v>
      </c>
      <c r="L30" s="12">
        <f>'Mix y Ticket Medio'!K30</f>
        <v>998.0319999999999</v>
      </c>
      <c r="M30" s="30">
        <f>IFERROR(J30*L30/1000,"")</f>
        <v>3.51307264</v>
      </c>
      <c r="N30" s="30">
        <f>IFERROR(K30*L30/1000,"")</f>
        <v>2.9940959999999994</v>
      </c>
      <c r="O30" s="11">
        <f>IFERROR(H30*L30,"")</f>
        <v>56.42758867200019</v>
      </c>
      <c r="P30" s="13" t="inlineStr">
        <is>
          <t>Lleva ganache, relleno o fruta: lo que se recorta va a residuo y se reparte entre las piezas que salen bien.</t>
        </is>
      </c>
    </row>
    <row r="31" ht="40" customHeight="1">
      <c r="A31" t="inlineStr">
        <is>
          <t>CJ1</t>
        </is>
      </c>
      <c r="B31" s="5" t="inlineStr">
        <is>
          <t>Caja surtida de 12 bombones</t>
        </is>
      </c>
      <c r="C31" t="inlineStr">
        <is>
          <t>Sí</t>
        </is>
      </c>
      <c r="D31" s="19" t="n">
        <v>0</v>
      </c>
      <c r="E31" s="19" t="n">
        <v>0.005</v>
      </c>
      <c r="F31" s="28">
        <f>'Escandallo por Molde y Tanda'!M94</f>
        <v>2.323306445</v>
      </c>
      <c r="G31" s="28">
        <f>'Escandallo por Molde y Tanda'!O94</f>
        <v>2.334981351758794</v>
      </c>
      <c r="H31" s="28">
        <f>IFERROR(G31-F31,"")</f>
        <v>0.011674906758794013</v>
      </c>
      <c r="I31" s="24">
        <f>IFERROR(H31/F31,"")</f>
        <v>0.005025125628140722</v>
      </c>
      <c r="J31" s="33">
        <f>IFERROR('Escandallo por Molde y Tanda'!E94*D31,"")</f>
        <v>0.0</v>
      </c>
      <c r="K31" s="33">
        <f>IFERROR('Escandallo por Molde y Tanda'!G94*E31,"")</f>
        <v>0.725</v>
      </c>
      <c r="L31" s="12">
        <f>'Mix y Ticket Medio'!K31</f>
        <v>1425.76</v>
      </c>
      <c r="M31" s="30">
        <f>IFERROR(J31*L31/1000,"")</f>
        <v>0.0</v>
      </c>
      <c r="N31" s="30">
        <f>IFERROR(K31*L31/1000,"")</f>
        <v>1.033676</v>
      </c>
      <c r="O31" s="11">
        <f>IFERROR(H31*L31,"")</f>
        <v>16.64561506041815</v>
      </c>
      <c r="P31" s="13" t="inlineStr">
        <is>
          <t>Lleva ganache, relleno o fruta: lo que se recorta va a residuo y se reparte entre las piezas que salen bien.</t>
        </is>
      </c>
    </row>
    <row r="32" ht="40" customHeight="1">
      <c r="A32" t="inlineStr">
        <is>
          <t>CJ2</t>
        </is>
      </c>
      <c r="B32" s="5" t="inlineStr">
        <is>
          <t>Caja surtida de 20 bombones</t>
        </is>
      </c>
      <c r="C32" t="inlineStr">
        <is>
          <t>Sí</t>
        </is>
      </c>
      <c r="D32" s="19" t="n">
        <v>0</v>
      </c>
      <c r="E32" s="19" t="n">
        <v>0.005</v>
      </c>
      <c r="F32" s="28">
        <f>'Escandallo por Molde y Tanda'!M95</f>
        <v>4.0027907449999995</v>
      </c>
      <c r="G32" s="28">
        <f>'Escandallo por Molde y Tanda'!O95</f>
        <v>4.022905271356784</v>
      </c>
      <c r="H32" s="28">
        <f>IFERROR(G32-F32,"")</f>
        <v>0.020114526356784346</v>
      </c>
      <c r="I32" s="24">
        <f>IFERROR(H32/F32,"")</f>
        <v>0.00502512562814081</v>
      </c>
      <c r="J32" s="33">
        <f>IFERROR('Escandallo por Molde y Tanda'!E95*D32,"")</f>
        <v>0.0</v>
      </c>
      <c r="K32" s="33">
        <f>IFERROR('Escandallo por Molde y Tanda'!G95*E32,"")</f>
        <v>1.225</v>
      </c>
      <c r="L32" s="12">
        <f>'Mix y Ticket Medio'!K32</f>
        <v>855.456</v>
      </c>
      <c r="M32" s="30">
        <f>IFERROR(J32*L32/1000,"")</f>
        <v>0.0</v>
      </c>
      <c r="N32" s="30">
        <f>IFERROR(K32*L32/1000,"")</f>
        <v>1.0479336000000001</v>
      </c>
      <c r="O32" s="11">
        <f>IFERROR(H32*L32,"")</f>
        <v>17.20709225906931</v>
      </c>
      <c r="P32" s="13" t="inlineStr">
        <is>
          <t>Lleva ganache, relleno o fruta: lo que se recorta va a residuo y se reparte entre las piezas que salen bien.</t>
        </is>
      </c>
    </row>
    <row r="33" ht="40" customHeight="1">
      <c r="A33" t="inlineStr">
        <is>
          <t>CJ3</t>
        </is>
      </c>
      <c r="B33" s="5" t="inlineStr">
        <is>
          <t>Caja surtida de 35 bombones</t>
        </is>
      </c>
      <c r="C33" t="inlineStr">
        <is>
          <t>Sí</t>
        </is>
      </c>
      <c r="D33" s="19" t="n">
        <v>0</v>
      </c>
      <c r="E33" s="19" t="n">
        <v>0.005</v>
      </c>
      <c r="F33" s="28">
        <f>'Escandallo por Molde y Tanda'!M96</f>
        <v>6.9099116899999995</v>
      </c>
      <c r="G33" s="28">
        <f>'Escandallo por Molde y Tanda'!O96</f>
        <v>6.944634864321608</v>
      </c>
      <c r="H33" s="28">
        <f>IFERROR(G33-F33,"")</f>
        <v>0.03472317432160832</v>
      </c>
      <c r="I33" s="24">
        <f>IFERROR(H33/F33,"")</f>
        <v>0.005025125628140744</v>
      </c>
      <c r="J33" s="33">
        <f>IFERROR('Escandallo por Molde y Tanda'!E96*D33,"")</f>
        <v>0.0</v>
      </c>
      <c r="K33" s="33">
        <f>IFERROR('Escandallo por Molde y Tanda'!G96*E33,"")</f>
        <v>2.14</v>
      </c>
      <c r="L33" s="12">
        <f>'Mix y Ticket Medio'!K33</f>
        <v>570.304</v>
      </c>
      <c r="M33" s="30">
        <f>IFERROR(J33*L33/1000,"")</f>
        <v>0.0</v>
      </c>
      <c r="N33" s="30">
        <f>IFERROR(K33*L33/1000,"")</f>
        <v>1.22045056</v>
      </c>
      <c r="O33" s="11">
        <f>IFERROR(H33*L33,"")</f>
        <v>19.80276520831051</v>
      </c>
      <c r="P33" s="13" t="inlineStr">
        <is>
          <t>Lleva ganache, relleno o fruta: lo que se recorta va a residuo y se reparte entre las piezas que salen bien.</t>
        </is>
      </c>
    </row>
    <row r="34" ht="40" customHeight="1">
      <c r="A34" t="inlineStr">
        <is>
          <t>CJ4</t>
        </is>
      </c>
      <c r="B34" s="5" t="inlineStr">
        <is>
          <t>Estuche corporativo personalizado de 24 bombones</t>
        </is>
      </c>
      <c r="C34" t="inlineStr">
        <is>
          <t>Sí</t>
        </is>
      </c>
      <c r="D34" s="19" t="n">
        <v>0</v>
      </c>
      <c r="E34" s="19" t="n">
        <v>0.005</v>
      </c>
      <c r="F34" s="28">
        <f>'Escandallo por Molde y Tanda'!M97</f>
        <v>4.726446545000001</v>
      </c>
      <c r="G34" s="28">
        <f>'Escandallo por Molde y Tanda'!O97</f>
        <v>4.750197532663317</v>
      </c>
      <c r="H34" s="28">
        <f>IFERROR(G34-F34,"")</f>
        <v>0.02375098766331618</v>
      </c>
      <c r="I34" s="24">
        <f>IFERROR(H34/F34,"")</f>
        <v>0.005025125628140618</v>
      </c>
      <c r="J34" s="33">
        <f>IFERROR('Escandallo por Molde y Tanda'!E97*D34,"")</f>
        <v>0.0</v>
      </c>
      <c r="K34" s="33">
        <f>IFERROR('Escandallo por Molde y Tanda'!G97*E34,"")</f>
        <v>1.465</v>
      </c>
      <c r="L34" s="12">
        <f>'Mix y Ticket Medio'!K34</f>
        <v>285.152</v>
      </c>
      <c r="M34" s="30">
        <f>IFERROR(J34*L34/1000,"")</f>
        <v>0.0</v>
      </c>
      <c r="N34" s="30">
        <f>IFERROR(K34*L34/1000,"")</f>
        <v>0.41774768</v>
      </c>
      <c r="O34" s="11">
        <f>IFERROR(H34*L34,"")</f>
        <v>6.772641634169935</v>
      </c>
      <c r="P34" s="13" t="inlineStr">
        <is>
          <t>Lleva ganache, relleno o fruta: lo que se recorta va a residuo y se reparte entre las piezas que salen bien.</t>
        </is>
      </c>
    </row>
    <row r="35">
      <c r="A35" s="14" t="inlineStr">
        <is>
          <t>TOTAL del año</t>
        </is>
      </c>
      <c r="M35" s="34">
        <f>SUM(M7:M34)</f>
        <v>86.41388784</v>
      </c>
      <c r="N35" s="34">
        <f>SUM(N7:N34)</f>
        <v>38.31444848000001</v>
      </c>
      <c r="O35" s="15">
        <f>SUM(O7:O34)</f>
        <v>718.766622456402</v>
      </c>
    </row>
    <row r="36"/>
    <row r="37" ht="46" customHeight="1">
      <c r="A37" s="13" t="inlineStr">
        <is>
          <t>Los kilos que vuelven a la cuba NO son un ahorro que apuntar en ningún sitio: son chocolate que ya has pagado y que no vuelves a pagar. Lo que sí es una decisión es cuánto recortas: si la columna de residuo se dispara, el problema no es el precio del cacao, es el molde o la mano.</t>
        </is>
      </c>
    </row>
    <row r="38"/>
    <row r="39">
      <c r="A39" s="7" t="inlineStr">
        <is>
          <t>Versión 1.0 · septiembre 2026 · aichef.pro/guia-chocolateria-obrador · info@aichef.pro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conditionalFormatting sqref="E7:E34">
    <cfRule type="expression" priority="1" dxfId="0" stopIfTrue="1">
      <formula>=AND(ISNUMBER($E7),$E7&gt;'Parámetros'!$B$43)</formula>
    </cfRule>
  </conditionalFormatting>
  <pageMargins left="0.39" right="0.39" top="0.59" bottom="0.59" header="0.5" footer="0.5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V3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3" customWidth="1" min="8" max="8"/>
    <col width="15" customWidth="1" min="9" max="9"/>
    <col width="15" customWidth="1" min="10" max="10"/>
    <col width="15" customWidth="1" min="11" max="11"/>
    <col width="14" customWidth="1" min="12" max="12"/>
    <col width="14" customWidth="1" min="13" max="13"/>
    <col width="12" customWidth="1" min="14" max="14"/>
    <col width="11" customWidth="1" min="15" max="15"/>
    <col width="12" customWidth="1" min="16" max="16"/>
    <col width="11" customWidth="1" min="17" max="17"/>
    <col width="12" customWidth="1" min="18" max="18"/>
    <col width="11" customWidth="1" min="19" max="19"/>
    <col width="14" customWidth="1" min="20" max="20"/>
    <col width="14" customWidth="1" min="21" max="21"/>
    <col width="60" customWidth="1" min="22" max="22"/>
  </cols>
  <sheetData>
    <row r="1">
      <c r="A1" s="1" t="inlineStr">
        <is>
          <t>Coste Hora y Mano de Obra</t>
        </is>
      </c>
    </row>
    <row r="2">
      <c r="A2" s="2" t="inlineStr">
        <is>
          <t>AI Chef Pro · aichef.pro — Cómo Montar una Chocolatería</t>
        </is>
      </c>
    </row>
    <row r="3">
      <c r="A3" s="3" t="inlineStr">
        <is>
          <t>La unidad de costeo es la TANDA: piezas por molde por moldes por tanda. Los minutos se reparten entre las piezas que SALEN BIEN, no entre las que entran.</t>
        </is>
      </c>
    </row>
    <row r="4"/>
    <row r="5"/>
    <row r="6" ht="70" customHeight="1">
      <c r="A6" s="8" t="inlineStr">
        <is>
          <t>Id</t>
        </is>
      </c>
      <c r="B6" s="8" t="inlineStr">
        <is>
          <t>Referencia</t>
        </is>
      </c>
      <c r="C6" s="8" t="inlineStr">
        <is>
          <t>Piezas por molde</t>
        </is>
      </c>
      <c r="D6" s="8" t="inlineStr">
        <is>
          <t>Moldes por tanda</t>
        </is>
      </c>
      <c r="E6" s="8" t="inlineStr">
        <is>
          <t>Piezas por tanda</t>
        </is>
      </c>
      <c r="F6" s="8" t="inlineStr">
        <is>
          <t>Minutos de la tanda</t>
        </is>
      </c>
      <c r="G6" s="8" t="inlineStr">
        <is>
          <t>Piezas buenas por tanda</t>
        </is>
      </c>
      <c r="H6" s="8" t="inlineStr">
        <is>
          <t>Minutos por pieza buena</t>
        </is>
      </c>
      <c r="I6" s="8" t="inlineStr">
        <is>
          <t>Coste de mano de obra de la tanda o el montaje (EUR)</t>
        </is>
      </c>
      <c r="J6" s="8" t="inlineStr">
        <is>
          <t>Coste de mano de obra de las piezas de dentro (EUR)</t>
        </is>
      </c>
      <c r="K6" s="8" t="inlineStr">
        <is>
          <t>COSTE DE MANO DE OBRA POR PIEZA (EUR)</t>
        </is>
      </c>
      <c r="L6" s="8" t="inlineStr">
        <is>
          <t>Coste de materia con merma (EUR)</t>
        </is>
      </c>
      <c r="M6" s="8" t="inlineStr">
        <is>
          <t>COSTE TOTAL POR PIEZA (EUR)</t>
        </is>
      </c>
      <c r="N6" s="8" t="inlineStr">
        <is>
          <t>PVP con IVA (EUR)</t>
        </is>
      </c>
      <c r="O6" s="8" t="inlineStr">
        <is>
          <t>Tipo de IVA</t>
        </is>
      </c>
      <c r="P6" s="8" t="inlineStr">
        <is>
          <t>PVP sin IVA (EUR)</t>
        </is>
      </c>
      <c r="Q6" s="8" t="inlineStr">
        <is>
          <t>Food cost</t>
        </is>
      </c>
      <c r="R6" s="8" t="inlineStr">
        <is>
          <t>Margen (EUR)</t>
        </is>
      </c>
      <c r="S6" s="8" t="inlineStr">
        <is>
          <t>Margen sobre PVP</t>
        </is>
      </c>
      <c r="T6" s="8" t="inlineStr">
        <is>
          <t>PVP sin IVA que pide tu regla de margen (EUR)</t>
        </is>
      </c>
      <c r="U6" s="8" t="inlineStr">
        <is>
          <t>PVP con IVA que pide tu regla de margen (EUR)</t>
        </is>
      </c>
      <c r="V6" s="8" t="inlineStr">
        <is>
          <t>Nota</t>
        </is>
      </c>
    </row>
    <row r="7" ht="46" customHeight="1">
      <c r="A7" t="inlineStr">
        <is>
          <t>BC1</t>
        </is>
      </c>
      <c r="B7" s="5" t="inlineStr">
        <is>
          <t>Bombón de ganache de chocolate negro 70 %</t>
        </is>
      </c>
      <c r="C7" s="17" t="n">
        <v>24</v>
      </c>
      <c r="D7" s="17" t="n">
        <v>6</v>
      </c>
      <c r="E7" s="12">
        <f>C7*D7</f>
        <v>144.0</v>
      </c>
      <c r="F7" s="17" t="n">
        <v>155</v>
      </c>
      <c r="G7" s="30">
        <f>IFERROR(E7*(1-'Merma de Templado y Recortes'!E7),"")</f>
        <v>139.68</v>
      </c>
      <c r="H7" s="33">
        <f>IFERROR(F7/G7,"")</f>
        <v>1.1096792668957618</v>
      </c>
      <c r="I7" s="28">
        <f>IFERROR(H7/60*'Parámetros'!$B$15,"")</f>
        <v>0.3419968425611104</v>
      </c>
      <c r="J7" s="28" t="n">
        <v>0</v>
      </c>
      <c r="K7" s="32">
        <f>IFERROR(I7+J7,"")</f>
        <v>0.3419968425611104</v>
      </c>
      <c r="L7" s="28">
        <f>'Escandallo por Molde y Tanda'!O70</f>
        <v>0.22433612371134018</v>
      </c>
      <c r="M7" s="32">
        <f>IFERROR(K7+L7,"")</f>
        <v>0.5663329662724506</v>
      </c>
      <c r="N7" s="10" t="n">
        <v>2</v>
      </c>
      <c r="O7" s="24">
        <f>'Parámetros'!$B$18</f>
        <v>0.1</v>
      </c>
      <c r="P7" s="28">
        <f>IFERROR(N7/(1+O7),"")</f>
        <v>1.8181818181818181</v>
      </c>
      <c r="Q7" s="24">
        <f>IFERROR(L7/P7,"")</f>
        <v>0.1233848680412371</v>
      </c>
      <c r="R7" s="28">
        <f>IFERROR(P7-M7,"")</f>
        <v>1.2518488519093676</v>
      </c>
      <c r="S7" s="24">
        <f>IFERROR(R7/P7,"")</f>
        <v>0.6885168685501522</v>
      </c>
      <c r="T7" s="28">
        <f>IFERROR(L7/'Parámetros'!$B$22,"")</f>
        <v>0.7477870790378006</v>
      </c>
      <c r="U7" s="28">
        <f>IFERROR(T7*(1+O7),"")</f>
        <v>0.8225657869415808</v>
      </c>
      <c r="V7" s="13" t="inlineStr">
        <is>
          <t>Cero real, no «sin dato»: esta referencia no lleva piezas terminadas dentro.</t>
        </is>
      </c>
    </row>
    <row r="8" ht="46" customHeight="1">
      <c r="A8" t="inlineStr">
        <is>
          <t>BC2</t>
        </is>
      </c>
      <c r="B8" s="5" t="inlineStr">
        <is>
          <t>Bombón de ganache de leche y vainilla</t>
        </is>
      </c>
      <c r="C8" s="17" t="n">
        <v>24</v>
      </c>
      <c r="D8" s="17" t="n">
        <v>6</v>
      </c>
      <c r="E8" s="12">
        <f>C8*D8</f>
        <v>144.0</v>
      </c>
      <c r="F8" s="17" t="n">
        <v>155</v>
      </c>
      <c r="G8" s="30">
        <f>IFERROR(E8*(1-'Merma de Templado y Recortes'!E8),"")</f>
        <v>139.68</v>
      </c>
      <c r="H8" s="33">
        <f>IFERROR(F8/G8,"")</f>
        <v>1.1096792668957618</v>
      </c>
      <c r="I8" s="28">
        <f>IFERROR(H8/60*'Parámetros'!$B$15,"")</f>
        <v>0.3419968425611104</v>
      </c>
      <c r="J8" s="28" t="n">
        <v>0</v>
      </c>
      <c r="K8" s="32">
        <f>IFERROR(I8+J8,"")</f>
        <v>0.3419968425611104</v>
      </c>
      <c r="L8" s="28">
        <f>'Escandallo por Molde y Tanda'!O71</f>
        <v>0.1965814432989691</v>
      </c>
      <c r="M8" s="32">
        <f>IFERROR(K8+L8,"")</f>
        <v>0.5385782858600795</v>
      </c>
      <c r="N8" s="10" t="n">
        <v>1.95</v>
      </c>
      <c r="O8" s="24">
        <f>'Parámetros'!$B$18</f>
        <v>0.1</v>
      </c>
      <c r="P8" s="28">
        <f>IFERROR(N8/(1+O8),"")</f>
        <v>1.7727272727272725</v>
      </c>
      <c r="Q8" s="24">
        <f>IFERROR(L8/P8,"")</f>
        <v>0.1108920962199313</v>
      </c>
      <c r="R8" s="28">
        <f>IFERROR(P8-M8,"")</f>
        <v>1.234148986867193</v>
      </c>
      <c r="S8" s="24">
        <f>IFERROR(R8/P8,"")</f>
        <v>0.6961866079763654</v>
      </c>
      <c r="T8" s="28">
        <f>IFERROR(L8/'Parámetros'!$B$22,"")</f>
        <v>0.6552714776632304</v>
      </c>
      <c r="U8" s="28">
        <f>IFERROR(T8*(1+O8),"")</f>
        <v>0.7207986254295534</v>
      </c>
      <c r="V8" s="13" t="inlineStr">
        <is>
          <t>Cero real, no «sin dato»: esta referencia no lleva piezas terminadas dentro.</t>
        </is>
      </c>
    </row>
    <row r="9" ht="46" customHeight="1">
      <c r="A9" t="inlineStr">
        <is>
          <t>BC3</t>
        </is>
      </c>
      <c r="B9" s="5" t="inlineStr">
        <is>
          <t>Bombón de praliné de avellana</t>
        </is>
      </c>
      <c r="C9" s="17" t="n">
        <v>24</v>
      </c>
      <c r="D9" s="17" t="n">
        <v>6</v>
      </c>
      <c r="E9" s="12">
        <f>C9*D9</f>
        <v>144.0</v>
      </c>
      <c r="F9" s="17" t="n">
        <v>140</v>
      </c>
      <c r="G9" s="30">
        <f>IFERROR(E9*(1-'Merma de Templado y Recortes'!E9),"")</f>
        <v>141.12</v>
      </c>
      <c r="H9" s="33">
        <f>IFERROR(F9/G9,"")</f>
        <v>0.992063492063492</v>
      </c>
      <c r="I9" s="28">
        <f>IFERROR(H9/60*'Parámetros'!$B$15,"")</f>
        <v>0.30574832929426454</v>
      </c>
      <c r="J9" s="28" t="n">
        <v>0</v>
      </c>
      <c r="K9" s="32">
        <f>IFERROR(I9+J9,"")</f>
        <v>0.30574832929426454</v>
      </c>
      <c r="L9" s="28">
        <f>'Escandallo por Molde y Tanda'!O72</f>
        <v>0.21780408163265308</v>
      </c>
      <c r="M9" s="32">
        <f>IFERROR(K9+L9,"")</f>
        <v>0.5235524109269176</v>
      </c>
      <c r="N9" s="10" t="n">
        <v>2.1</v>
      </c>
      <c r="O9" s="24">
        <f>'Parámetros'!$B$18</f>
        <v>0.1</v>
      </c>
      <c r="P9" s="28">
        <f>IFERROR(N9/(1+O9),"")</f>
        <v>1.909090909090909</v>
      </c>
      <c r="Q9" s="24">
        <f>IFERROR(L9/P9,"")</f>
        <v>0.11408785228377066</v>
      </c>
      <c r="R9" s="28">
        <f>IFERROR(P9-M9,"")</f>
        <v>1.3855384981639913</v>
      </c>
      <c r="S9" s="24">
        <f>IFERROR(R9/P9,"")</f>
        <v>0.7257582609430431</v>
      </c>
      <c r="T9" s="28">
        <f>IFERROR(L9/'Parámetros'!$B$22,"")</f>
        <v>0.726013605442177</v>
      </c>
      <c r="U9" s="28">
        <f>IFERROR(T9*(1+O9),"")</f>
        <v>0.7986149659863947</v>
      </c>
      <c r="V9" s="13" t="inlineStr">
        <is>
          <t>Cero real, no «sin dato»: esta referencia no lleva piezas terminadas dentro.</t>
        </is>
      </c>
    </row>
    <row r="10" ht="46" customHeight="1">
      <c r="A10" t="inlineStr">
        <is>
          <t>BC4</t>
        </is>
      </c>
      <c r="B10" s="5" t="inlineStr">
        <is>
          <t>Bombón de gianduja de avellana</t>
        </is>
      </c>
      <c r="C10" s="17" t="n">
        <v>24</v>
      </c>
      <c r="D10" s="17" t="n">
        <v>5</v>
      </c>
      <c r="E10" s="12">
        <f>C10*D10</f>
        <v>120.0</v>
      </c>
      <c r="F10" s="17" t="n">
        <v>130</v>
      </c>
      <c r="G10" s="30">
        <f>IFERROR(E10*(1-'Merma de Templado y Recortes'!E10),"")</f>
        <v>117.6</v>
      </c>
      <c r="H10" s="33">
        <f>IFERROR(F10/G10,"")</f>
        <v>1.1054421768707483</v>
      </c>
      <c r="I10" s="28">
        <f>IFERROR(H10/60*'Parámetros'!$B$15,"")</f>
        <v>0.34069099549932336</v>
      </c>
      <c r="J10" s="28" t="n">
        <v>0</v>
      </c>
      <c r="K10" s="32">
        <f>IFERROR(I10+J10,"")</f>
        <v>0.34069099549932336</v>
      </c>
      <c r="L10" s="28">
        <f>'Escandallo por Molde y Tanda'!O73</f>
        <v>0.2289219387755102</v>
      </c>
      <c r="M10" s="32">
        <f>IFERROR(K10+L10,"")</f>
        <v>0.5696129342748335</v>
      </c>
      <c r="N10" s="10" t="n">
        <v>2.1</v>
      </c>
      <c r="O10" s="24">
        <f>'Parámetros'!$B$18</f>
        <v>0.1</v>
      </c>
      <c r="P10" s="28">
        <f>IFERROR(N10/(1+O10),"")</f>
        <v>1.909090909090909</v>
      </c>
      <c r="Q10" s="24">
        <f>IFERROR(L10/P10,"")</f>
        <v>0.11991149173955297</v>
      </c>
      <c r="R10" s="28">
        <f>IFERROR(P10-M10,"")</f>
        <v>1.3394779748160754</v>
      </c>
      <c r="S10" s="24">
        <f>IFERROR(R10/P10,"")</f>
        <v>0.7016313201417539</v>
      </c>
      <c r="T10" s="28">
        <f>IFERROR(L10/'Parámetros'!$B$22,"")</f>
        <v>0.7630731292517007</v>
      </c>
      <c r="U10" s="28">
        <f>IFERROR(T10*(1+O10),"")</f>
        <v>0.8393804421768708</v>
      </c>
      <c r="V10" s="13" t="inlineStr">
        <is>
          <t>Cero real, no «sin dato»: esta referencia no lleva piezas terminadas dentro.</t>
        </is>
      </c>
    </row>
    <row r="11" ht="46" customHeight="1">
      <c r="A11" t="inlineStr">
        <is>
          <t>BC5</t>
        </is>
      </c>
      <c r="B11" s="5" t="inlineStr">
        <is>
          <t>Trufa de chocolate negro al cacao</t>
        </is>
      </c>
      <c r="C11" s="17" t="n">
        <v>40</v>
      </c>
      <c r="D11" s="17" t="n">
        <v>4</v>
      </c>
      <c r="E11" s="12">
        <f>C11*D11</f>
        <v>160.0</v>
      </c>
      <c r="F11" s="17" t="n">
        <v>120</v>
      </c>
      <c r="G11" s="30">
        <f>IFERROR(E11*(1-'Merma de Templado y Recortes'!E11),"")</f>
        <v>153.6</v>
      </c>
      <c r="H11" s="33">
        <f>IFERROR(F11/G11,"")</f>
        <v>0.78125</v>
      </c>
      <c r="I11" s="28">
        <f>IFERROR(H11/60*'Parámetros'!$B$15,"")</f>
        <v>0.24077680931923334</v>
      </c>
      <c r="J11" s="28" t="n">
        <v>0</v>
      </c>
      <c r="K11" s="32">
        <f>IFERROR(I11+J11,"")</f>
        <v>0.24077680931923334</v>
      </c>
      <c r="L11" s="28">
        <f>'Escandallo por Molde y Tanda'!O74</f>
        <v>0.22717201041666665</v>
      </c>
      <c r="M11" s="32">
        <f>IFERROR(K11+L11,"")</f>
        <v>0.46794881973589997</v>
      </c>
      <c r="N11" s="10" t="n">
        <v>1.9</v>
      </c>
      <c r="O11" s="24">
        <f>'Parámetros'!$B$18</f>
        <v>0.1</v>
      </c>
      <c r="P11" s="28">
        <f>IFERROR(N11/(1+O11),"")</f>
        <v>1.727272727272727</v>
      </c>
      <c r="Q11" s="24">
        <f>IFERROR(L11/P11,"")</f>
        <v>0.13152063760964913</v>
      </c>
      <c r="R11" s="28">
        <f>IFERROR(P11-M11,"")</f>
        <v>1.2593239075368272</v>
      </c>
      <c r="S11" s="24">
        <f>IFERROR(R11/P11,"")</f>
        <v>0.7290822622581632</v>
      </c>
      <c r="T11" s="28">
        <f>IFERROR(L11/'Parámetros'!$B$22,"")</f>
        <v>0.7572400347222222</v>
      </c>
      <c r="U11" s="28">
        <f>IFERROR(T11*(1+O11),"")</f>
        <v>0.8329640381944445</v>
      </c>
      <c r="V11" s="13" t="inlineStr">
        <is>
          <t>Cero real, no «sin dato»: esta referencia no lleva piezas terminadas dentro.</t>
        </is>
      </c>
    </row>
    <row r="12" ht="46" customHeight="1">
      <c r="A12" t="inlineStr">
        <is>
          <t>BC6</t>
        </is>
      </c>
      <c r="B12" s="5" t="inlineStr">
        <is>
          <t>Bombón de licor de ron</t>
        </is>
      </c>
      <c r="C12" s="17" t="n">
        <v>24</v>
      </c>
      <c r="D12" s="17" t="n">
        <v>4</v>
      </c>
      <c r="E12" s="12">
        <f>C12*D12</f>
        <v>96.0</v>
      </c>
      <c r="F12" s="17" t="n">
        <v>145</v>
      </c>
      <c r="G12" s="30">
        <f>IFERROR(E12*(1-'Merma de Templado y Recortes'!E12),"")</f>
        <v>92.16</v>
      </c>
      <c r="H12" s="33">
        <f>IFERROR(F12/G12,"")</f>
        <v>1.5733506944444444</v>
      </c>
      <c r="I12" s="28">
        <f>IFERROR(H12/60*'Parámetros'!$B$15,"")</f>
        <v>0.48489774099012267</v>
      </c>
      <c r="J12" s="28" t="n">
        <v>0</v>
      </c>
      <c r="K12" s="32">
        <f>IFERROR(I12+J12,"")</f>
        <v>0.48489774099012267</v>
      </c>
      <c r="L12" s="28">
        <f>'Escandallo por Molde y Tanda'!O75</f>
        <v>0.18009270833333335</v>
      </c>
      <c r="M12" s="32">
        <f>IFERROR(K12+L12,"")</f>
        <v>0.664990449323456</v>
      </c>
      <c r="N12" s="10" t="n">
        <v>2.3</v>
      </c>
      <c r="O12" s="24">
        <f>'Parámetros'!$B$18</f>
        <v>0.1</v>
      </c>
      <c r="P12" s="28">
        <f>IFERROR(N12/(1+O12),"")</f>
        <v>2.0909090909090904</v>
      </c>
      <c r="Q12" s="24">
        <f>IFERROR(L12/P12,"")</f>
        <v>0.08613129528985511</v>
      </c>
      <c r="R12" s="28">
        <f>IFERROR(P12-M12,"")</f>
        <v>1.4259186415856344</v>
      </c>
      <c r="S12" s="24">
        <f>IFERROR(R12/P12,"")</f>
        <v>0.6819610894539992</v>
      </c>
      <c r="T12" s="28">
        <f>IFERROR(L12/'Parámetros'!$B$22,"")</f>
        <v>0.6003090277777778</v>
      </c>
      <c r="U12" s="28">
        <f>IFERROR(T12*(1+O12),"")</f>
        <v>0.6603399305555556</v>
      </c>
      <c r="V12" s="13" t="inlineStr">
        <is>
          <t>Cero real, no «sin dato»: esta referencia no lleva piezas terminadas dentro.</t>
        </is>
      </c>
    </row>
    <row r="13" ht="46" customHeight="1">
      <c r="A13" t="inlineStr">
        <is>
          <t>BC7</t>
        </is>
      </c>
      <c r="B13" s="5" t="inlineStr">
        <is>
          <t>Bombón de caramelo salado</t>
        </is>
      </c>
      <c r="C13" s="17" t="n">
        <v>24</v>
      </c>
      <c r="D13" s="17" t="n">
        <v>6</v>
      </c>
      <c r="E13" s="12">
        <f>C13*D13</f>
        <v>144.0</v>
      </c>
      <c r="F13" s="17" t="n">
        <v>150</v>
      </c>
      <c r="G13" s="30">
        <f>IFERROR(E13*(1-'Merma de Templado y Recortes'!E13),"")</f>
        <v>139.68</v>
      </c>
      <c r="H13" s="33">
        <f>IFERROR(F13/G13,"")</f>
        <v>1.0738831615120275</v>
      </c>
      <c r="I13" s="28">
        <f>IFERROR(H13/60*'Parámetros'!$B$15,"")</f>
        <v>0.33096468634946163</v>
      </c>
      <c r="J13" s="28" t="n">
        <v>0</v>
      </c>
      <c r="K13" s="32">
        <f>IFERROR(I13+J13,"")</f>
        <v>0.33096468634946163</v>
      </c>
      <c r="L13" s="28">
        <f>'Escandallo por Molde y Tanda'!O76</f>
        <v>0.13729876288659792</v>
      </c>
      <c r="M13" s="32">
        <f>IFERROR(K13+L13,"")</f>
        <v>0.46826344923605956</v>
      </c>
      <c r="N13" s="10" t="n">
        <v>2</v>
      </c>
      <c r="O13" s="24">
        <f>'Parámetros'!$B$18</f>
        <v>0.1</v>
      </c>
      <c r="P13" s="28">
        <f>IFERROR(N13/(1+O13),"")</f>
        <v>1.8181818181818181</v>
      </c>
      <c r="Q13" s="24">
        <f>IFERROR(L13/P13,"")</f>
        <v>0.07551431958762886</v>
      </c>
      <c r="R13" s="28">
        <f>IFERROR(P13-M13,"")</f>
        <v>1.3499183689457586</v>
      </c>
      <c r="S13" s="24">
        <f>IFERROR(R13/P13,"")</f>
        <v>0.7424551029201673</v>
      </c>
      <c r="T13" s="28">
        <f>IFERROR(L13/'Parámetros'!$B$22,"")</f>
        <v>0.45766254295532643</v>
      </c>
      <c r="U13" s="28">
        <f>IFERROR(T13*(1+O13),"")</f>
        <v>0.5034287972508591</v>
      </c>
      <c r="V13" s="13" t="inlineStr">
        <is>
          <t>Cero real, no «sin dato»: esta referencia no lleva piezas terminadas dentro.</t>
        </is>
      </c>
    </row>
    <row r="14" ht="46" customHeight="1">
      <c r="A14" t="inlineStr">
        <is>
          <t>BC8</t>
        </is>
      </c>
      <c r="B14" s="5" t="inlineStr">
        <is>
          <t>Bombón de praliné de cacahuete</t>
        </is>
      </c>
      <c r="C14" s="17" t="n">
        <v>24</v>
      </c>
      <c r="D14" s="17" t="n">
        <v>5</v>
      </c>
      <c r="E14" s="12">
        <f>C14*D14</f>
        <v>120.0</v>
      </c>
      <c r="F14" s="17" t="n">
        <v>135</v>
      </c>
      <c r="G14" s="30">
        <f>IFERROR(E14*(1-'Merma de Templado y Recortes'!E14),"")</f>
        <v>117.6</v>
      </c>
      <c r="H14" s="33">
        <f>IFERROR(F14/G14,"")</f>
        <v>1.1479591836734695</v>
      </c>
      <c r="I14" s="28">
        <f>IFERROR(H14/60*'Parámetros'!$B$15,"")</f>
        <v>0.3537944953262204</v>
      </c>
      <c r="J14" s="28" t="n">
        <v>0</v>
      </c>
      <c r="K14" s="32">
        <f>IFERROR(I14+J14,"")</f>
        <v>0.3537944953262204</v>
      </c>
      <c r="L14" s="28">
        <f>'Escandallo por Molde y Tanda'!O77</f>
        <v>0.19038979591836735</v>
      </c>
      <c r="M14" s="32">
        <f>IFERROR(K14+L14,"")</f>
        <v>0.5441842912445878</v>
      </c>
      <c r="N14" s="10" t="n">
        <v>1.95</v>
      </c>
      <c r="O14" s="24">
        <f>'Parámetros'!$B$18</f>
        <v>0.1</v>
      </c>
      <c r="P14" s="28">
        <f>IFERROR(N14/(1+O14),"")</f>
        <v>1.7727272727272725</v>
      </c>
      <c r="Q14" s="24">
        <f>IFERROR(L14/P14,"")</f>
        <v>0.10739937205651494</v>
      </c>
      <c r="R14" s="28">
        <f>IFERROR(P14-M14,"")</f>
        <v>1.2285429814826847</v>
      </c>
      <c r="S14" s="24">
        <f>IFERROR(R14/P14,"")</f>
        <v>0.6930242459645914</v>
      </c>
      <c r="T14" s="28">
        <f>IFERROR(L14/'Parámetros'!$B$22,"")</f>
        <v>0.6346326530612245</v>
      </c>
      <c r="U14" s="28">
        <f>IFERROR(T14*(1+O14),"")</f>
        <v>0.6980959183673471</v>
      </c>
      <c r="V14" s="13" t="inlineStr">
        <is>
          <t>Cero real, no «sin dato»: esta referencia no lleva piezas terminadas dentro.</t>
        </is>
      </c>
    </row>
    <row r="15" ht="46" customHeight="1">
      <c r="A15" t="inlineStr">
        <is>
          <t>BC9</t>
        </is>
      </c>
      <c r="B15" s="5" t="inlineStr">
        <is>
          <t>Bombón crujiente de sésamo y barquillo</t>
        </is>
      </c>
      <c r="C15" s="17" t="n">
        <v>24</v>
      </c>
      <c r="D15" s="17" t="n">
        <v>5</v>
      </c>
      <c r="E15" s="12">
        <f>C15*D15</f>
        <v>120.0</v>
      </c>
      <c r="F15" s="17" t="n">
        <v>140</v>
      </c>
      <c r="G15" s="30">
        <f>IFERROR(E15*(1-'Merma de Templado y Recortes'!E15),"")</f>
        <v>117.6</v>
      </c>
      <c r="H15" s="33">
        <f>IFERROR(F15/G15,"")</f>
        <v>1.1904761904761905</v>
      </c>
      <c r="I15" s="28">
        <f>IFERROR(H15/60*'Parámetros'!$B$15,"")</f>
        <v>0.36689799515311744</v>
      </c>
      <c r="J15" s="28" t="n">
        <v>0</v>
      </c>
      <c r="K15" s="32">
        <f>IFERROR(I15+J15,"")</f>
        <v>0.36689799515311744</v>
      </c>
      <c r="L15" s="28">
        <f>'Escandallo por Molde y Tanda'!O78</f>
        <v>0.1943326530612245</v>
      </c>
      <c r="M15" s="32">
        <f>IFERROR(K15+L15,"")</f>
        <v>0.5612306482143419</v>
      </c>
      <c r="N15" s="10" t="n">
        <v>2.05</v>
      </c>
      <c r="O15" s="24">
        <f>'Parámetros'!$B$18</f>
        <v>0.1</v>
      </c>
      <c r="P15" s="28">
        <f>IFERROR(N15/(1+O15),"")</f>
        <v>1.8636363636363633</v>
      </c>
      <c r="Q15" s="24">
        <f>IFERROR(L15/P15,"")</f>
        <v>0.10427605774016925</v>
      </c>
      <c r="R15" s="28">
        <f>IFERROR(P15-M15,"")</f>
        <v>1.3024057154220214</v>
      </c>
      <c r="S15" s="24">
        <f>IFERROR(R15/P15,"")</f>
        <v>0.6988518472996214</v>
      </c>
      <c r="T15" s="28">
        <f>IFERROR(L15/'Parámetros'!$B$22,"")</f>
        <v>0.6477755102040816</v>
      </c>
      <c r="U15" s="28">
        <f>IFERROR(T15*(1+O15),"")</f>
        <v>0.7125530612244899</v>
      </c>
      <c r="V15" s="13" t="inlineStr">
        <is>
          <t>Cero real, no «sin dato»: esta referencia no lleva piezas terminadas dentro.</t>
        </is>
      </c>
    </row>
    <row r="16" ht="46" customHeight="1">
      <c r="A16" t="inlineStr">
        <is>
          <t>BC10</t>
        </is>
      </c>
      <c r="B16" s="5" t="inlineStr">
        <is>
          <t>Bombón de naranja confitada y chocolate negro</t>
        </is>
      </c>
      <c r="C16" s="17" t="n">
        <v>24</v>
      </c>
      <c r="D16" s="17" t="n">
        <v>5</v>
      </c>
      <c r="E16" s="12">
        <f>C16*D16</f>
        <v>120.0</v>
      </c>
      <c r="F16" s="17" t="n">
        <v>145</v>
      </c>
      <c r="G16" s="30">
        <f>IFERROR(E16*(1-'Merma de Templado y Recortes'!E16),"")</f>
        <v>114.0</v>
      </c>
      <c r="H16" s="33">
        <f>IFERROR(F16/G16,"")</f>
        <v>1.2719298245614035</v>
      </c>
      <c r="I16" s="28">
        <f>IFERROR(H16/60*'Parámetros'!$B$15,"")</f>
        <v>0.3920015421899097</v>
      </c>
      <c r="J16" s="28" t="n">
        <v>0</v>
      </c>
      <c r="K16" s="32">
        <f>IFERROR(I16+J16,"")</f>
        <v>0.3920015421899097</v>
      </c>
      <c r="L16" s="28">
        <f>'Escandallo por Molde y Tanda'!O79</f>
        <v>0.22985014210526317</v>
      </c>
      <c r="M16" s="32">
        <f>IFERROR(K16+L16,"")</f>
        <v>0.6218516842951729</v>
      </c>
      <c r="N16" s="10" t="n">
        <v>2.05</v>
      </c>
      <c r="O16" s="24">
        <f>'Parámetros'!$B$18</f>
        <v>0.1</v>
      </c>
      <c r="P16" s="28">
        <f>IFERROR(N16/(1+O16),"")</f>
        <v>1.8636363636363633</v>
      </c>
      <c r="Q16" s="24">
        <f>IFERROR(L16/P16,"")</f>
        <v>0.12333422259306806</v>
      </c>
      <c r="R16" s="28">
        <f>IFERROR(P16-M16,"")</f>
        <v>1.2417846793411904</v>
      </c>
      <c r="S16" s="24">
        <f>IFERROR(R16/P16,"")</f>
        <v>0.6663234864757608</v>
      </c>
      <c r="T16" s="28">
        <f>IFERROR(L16/'Parámetros'!$B$22,"")</f>
        <v>0.7661671403508773</v>
      </c>
      <c r="U16" s="28">
        <f>IFERROR(T16*(1+O16),"")</f>
        <v>0.8427838543859651</v>
      </c>
      <c r="V16" s="13" t="inlineStr">
        <is>
          <t>Cero real, no «sin dato»: esta referencia no lleva piezas terminadas dentro.</t>
        </is>
      </c>
    </row>
    <row r="17" ht="46" customHeight="1">
      <c r="A17" t="inlineStr">
        <is>
          <t>TB1</t>
        </is>
      </c>
      <c r="B17" s="5" t="inlineStr">
        <is>
          <t>Tableta de chocolate negro de origen 70 %, 100 g</t>
        </is>
      </c>
      <c r="C17" s="17" t="n">
        <v>3</v>
      </c>
      <c r="D17" s="17" t="n">
        <v>10</v>
      </c>
      <c r="E17" s="12">
        <f>C17*D17</f>
        <v>30.0</v>
      </c>
      <c r="F17" s="17" t="n">
        <v>55</v>
      </c>
      <c r="G17" s="30">
        <f>IFERROR(E17*(1-'Merma de Templado y Recortes'!E17),"")</f>
        <v>29.7</v>
      </c>
      <c r="H17" s="33">
        <f>IFERROR(F17/G17,"")</f>
        <v>1.8518518518518519</v>
      </c>
      <c r="I17" s="28">
        <f>IFERROR(H17/60*'Parámetros'!$B$15,"")</f>
        <v>0.5707302146826272</v>
      </c>
      <c r="J17" s="28" t="n">
        <v>0</v>
      </c>
      <c r="K17" s="32">
        <f>IFERROR(I17+J17,"")</f>
        <v>0.5707302146826272</v>
      </c>
      <c r="L17" s="28">
        <f>'Escandallo por Molde y Tanda'!O80</f>
        <v>3.785858585858586</v>
      </c>
      <c r="M17" s="32">
        <f>IFERROR(K17+L17,"")</f>
        <v>4.356588800541213</v>
      </c>
      <c r="N17" s="10" t="n">
        <v>8.5</v>
      </c>
      <c r="O17" s="24">
        <f>'Parámetros'!$B$18</f>
        <v>0.1</v>
      </c>
      <c r="P17" s="28">
        <f>IFERROR(N17/(1+O17),"")</f>
        <v>7.727272727272727</v>
      </c>
      <c r="Q17" s="24">
        <f>IFERROR(L17/P17,"")</f>
        <v>0.48993464052287583</v>
      </c>
      <c r="R17" s="28">
        <f>IFERROR(P17-M17,"")</f>
        <v>3.3706839267315134</v>
      </c>
      <c r="S17" s="24">
        <f>IFERROR(R17/P17,"")</f>
        <v>0.43620615522407824</v>
      </c>
      <c r="T17" s="28">
        <f>IFERROR(L17/'Parámetros'!$B$22,"")</f>
        <v>12.61952861952862</v>
      </c>
      <c r="U17" s="28">
        <f>IFERROR(T17*(1+O17),"")</f>
        <v>13.881481481481483</v>
      </c>
      <c r="V17" s="13" t="inlineStr">
        <is>
          <t>Cero real, no «sin dato»: esta referencia no lleva piezas terminadas dentro.</t>
        </is>
      </c>
    </row>
    <row r="18" ht="46" customHeight="1">
      <c r="A18" t="inlineStr">
        <is>
          <t>TB2</t>
        </is>
      </c>
      <c r="B18" s="5" t="inlineStr">
        <is>
          <t>Tableta de chocolate con leche 38 %, 100 g</t>
        </is>
      </c>
      <c r="C18" s="17" t="n">
        <v>3</v>
      </c>
      <c r="D18" s="17" t="n">
        <v>10</v>
      </c>
      <c r="E18" s="12">
        <f>C18*D18</f>
        <v>30.0</v>
      </c>
      <c r="F18" s="17" t="n">
        <v>55</v>
      </c>
      <c r="G18" s="30">
        <f>IFERROR(E18*(1-'Merma de Templado y Recortes'!E18),"")</f>
        <v>29.7</v>
      </c>
      <c r="H18" s="33">
        <f>IFERROR(F18/G18,"")</f>
        <v>1.8518518518518519</v>
      </c>
      <c r="I18" s="28">
        <f>IFERROR(H18/60*'Parámetros'!$B$15,"")</f>
        <v>0.5707302146826272</v>
      </c>
      <c r="J18" s="28" t="n">
        <v>0</v>
      </c>
      <c r="K18" s="32">
        <f>IFERROR(I18+J18,"")</f>
        <v>0.5707302146826272</v>
      </c>
      <c r="L18" s="28">
        <f>'Escandallo por Molde y Tanda'!O81</f>
        <v>1.96969696969697</v>
      </c>
      <c r="M18" s="32">
        <f>IFERROR(K18+L18,"")</f>
        <v>2.540427184379597</v>
      </c>
      <c r="N18" s="10" t="n">
        <v>5.9</v>
      </c>
      <c r="O18" s="24">
        <f>'Parámetros'!$B$18</f>
        <v>0.1</v>
      </c>
      <c r="P18" s="28">
        <f>IFERROR(N18/(1+O18),"")</f>
        <v>5.363636363636363</v>
      </c>
      <c r="Q18" s="24">
        <f>IFERROR(L18/P18,"")</f>
        <v>0.36723163841807915</v>
      </c>
      <c r="R18" s="28">
        <f>IFERROR(P18-M18,"")</f>
        <v>2.823209179256766</v>
      </c>
      <c r="S18" s="24">
        <f>IFERROR(R18/P18,"")</f>
        <v>0.526361033420753</v>
      </c>
      <c r="T18" s="28">
        <f>IFERROR(L18/'Parámetros'!$B$22,"")</f>
        <v>6.565656565656567</v>
      </c>
      <c r="U18" s="28">
        <f>IFERROR(T18*(1+O18),"")</f>
        <v>7.222222222222224</v>
      </c>
      <c r="V18" s="13" t="inlineStr">
        <is>
          <t>Cero real, no «sin dato»: esta referencia no lleva piezas terminadas dentro.</t>
        </is>
      </c>
    </row>
    <row r="19" ht="46" customHeight="1">
      <c r="A19" t="inlineStr">
        <is>
          <t>TB3</t>
        </is>
      </c>
      <c r="B19" s="5" t="inlineStr">
        <is>
          <t>Tableta de chocolate blanco 30 %, 100 g</t>
        </is>
      </c>
      <c r="C19" s="17" t="n">
        <v>3</v>
      </c>
      <c r="D19" s="17" t="n">
        <v>8</v>
      </c>
      <c r="E19" s="12">
        <f>C19*D19</f>
        <v>24.0</v>
      </c>
      <c r="F19" s="17" t="n">
        <v>55</v>
      </c>
      <c r="G19" s="30">
        <f>IFERROR(E19*(1-'Merma de Templado y Recortes'!E19),"")</f>
        <v>23.759999999999998</v>
      </c>
      <c r="H19" s="33">
        <f>IFERROR(F19/G19,"")</f>
        <v>2.314814814814815</v>
      </c>
      <c r="I19" s="28">
        <f>IFERROR(H19/60*'Parámetros'!$B$15,"")</f>
        <v>0.7134127683532839</v>
      </c>
      <c r="J19" s="28" t="n">
        <v>0</v>
      </c>
      <c r="K19" s="32">
        <f>IFERROR(I19+J19,"")</f>
        <v>0.7134127683532839</v>
      </c>
      <c r="L19" s="28">
        <f>'Escandallo por Molde y Tanda'!O82</f>
        <v>2.121212121212121</v>
      </c>
      <c r="M19" s="32">
        <f>IFERROR(K19+L19,"")</f>
        <v>2.834624889565405</v>
      </c>
      <c r="N19" s="10" t="n">
        <v>5.9</v>
      </c>
      <c r="O19" s="24">
        <f>'Parámetros'!$B$18</f>
        <v>0.1</v>
      </c>
      <c r="P19" s="28">
        <f>IFERROR(N19/(1+O19),"")</f>
        <v>5.363636363636363</v>
      </c>
      <c r="Q19" s="24">
        <f>IFERROR(L19/P19,"")</f>
        <v>0.3954802259887006</v>
      </c>
      <c r="R19" s="28">
        <f>IFERROR(P19-M19,"")</f>
        <v>2.529011474070958</v>
      </c>
      <c r="S19" s="24">
        <f>IFERROR(R19/P19,"")</f>
        <v>0.47151061380983966</v>
      </c>
      <c r="T19" s="28">
        <f>IFERROR(L19/'Parámetros'!$B$22,"")</f>
        <v>7.070707070707071</v>
      </c>
      <c r="U19" s="28">
        <f>IFERROR(T19*(1+O19),"")</f>
        <v>7.777777777777779</v>
      </c>
      <c r="V19" s="13" t="inlineStr">
        <is>
          <t>Cero real, no «sin dato»: esta referencia no lleva piezas terminadas dentro.</t>
        </is>
      </c>
    </row>
    <row r="20" ht="46" customHeight="1">
      <c r="A20" t="inlineStr">
        <is>
          <t>TB4</t>
        </is>
      </c>
      <c r="B20" s="5" t="inlineStr">
        <is>
          <t>Tableta de chocolate negro con almendra marcona, 100 g</t>
        </is>
      </c>
      <c r="C20" s="17" t="n">
        <v>3</v>
      </c>
      <c r="D20" s="17" t="n">
        <v>8</v>
      </c>
      <c r="E20" s="12">
        <f>C20*D20</f>
        <v>24.0</v>
      </c>
      <c r="F20" s="17" t="n">
        <v>65</v>
      </c>
      <c r="G20" s="30">
        <f>IFERROR(E20*(1-'Merma de Templado y Recortes'!E20),"")</f>
        <v>23.52</v>
      </c>
      <c r="H20" s="33">
        <f>IFERROR(F20/G20,"")</f>
        <v>2.7636054421768708</v>
      </c>
      <c r="I20" s="28">
        <f>IFERROR(H20/60*'Parámetros'!$B$15,"")</f>
        <v>0.8517274887483084</v>
      </c>
      <c r="J20" s="28" t="n">
        <v>0</v>
      </c>
      <c r="K20" s="32">
        <f>IFERROR(I20+J20,"")</f>
        <v>0.8517274887483084</v>
      </c>
      <c r="L20" s="28">
        <f>'Escandallo por Molde y Tanda'!O83</f>
        <v>2.088723469387755</v>
      </c>
      <c r="M20" s="32">
        <f>IFERROR(K20+L20,"")</f>
        <v>2.9404509581360636</v>
      </c>
      <c r="N20" s="10" t="n">
        <v>6.5</v>
      </c>
      <c r="O20" s="24">
        <f>'Parámetros'!$B$18</f>
        <v>0.1</v>
      </c>
      <c r="P20" s="28">
        <f>IFERROR(N20/(1+O20),"")</f>
        <v>5.909090909090908</v>
      </c>
      <c r="Q20" s="24">
        <f>IFERROR(L20/P20,"")</f>
        <v>0.35347627943485094</v>
      </c>
      <c r="R20" s="28">
        <f>IFERROR(P20-M20,"")</f>
        <v>2.9686399509548447</v>
      </c>
      <c r="S20" s="24">
        <f>IFERROR(R20/P20,"")</f>
        <v>0.5023852224692815</v>
      </c>
      <c r="T20" s="28">
        <f>IFERROR(L20/'Parámetros'!$B$22,"")</f>
        <v>6.962411564625851</v>
      </c>
      <c r="U20" s="28">
        <f>IFERROR(T20*(1+O20),"")</f>
        <v>7.658652721088437</v>
      </c>
      <c r="V20" s="13" t="inlineStr">
        <is>
          <t>Cero real, no «sin dato»: esta referencia no lleva piezas terminadas dentro.</t>
        </is>
      </c>
    </row>
    <row r="21" ht="46" customHeight="1">
      <c r="A21" t="inlineStr">
        <is>
          <t>TB5</t>
        </is>
      </c>
      <c r="B21" s="5" t="inlineStr">
        <is>
          <t>Tableta de chocolate con leche y avellana, 100 g</t>
        </is>
      </c>
      <c r="C21" s="17" t="n">
        <v>3</v>
      </c>
      <c r="D21" s="17" t="n">
        <v>8</v>
      </c>
      <c r="E21" s="12">
        <f>C21*D21</f>
        <v>24.0</v>
      </c>
      <c r="F21" s="17" t="n">
        <v>65</v>
      </c>
      <c r="G21" s="30">
        <f>IFERROR(E21*(1-'Merma de Templado y Recortes'!E21),"")</f>
        <v>23.52</v>
      </c>
      <c r="H21" s="33">
        <f>IFERROR(F21/G21,"")</f>
        <v>2.7636054421768708</v>
      </c>
      <c r="I21" s="28">
        <f>IFERROR(H21/60*'Parámetros'!$B$15,"")</f>
        <v>0.8517274887483084</v>
      </c>
      <c r="J21" s="28" t="n">
        <v>0</v>
      </c>
      <c r="K21" s="32">
        <f>IFERROR(I21+J21,"")</f>
        <v>0.8517274887483084</v>
      </c>
      <c r="L21" s="28">
        <f>'Escandallo por Molde y Tanda'!O84</f>
        <v>1.8755102040816327</v>
      </c>
      <c r="M21" s="32">
        <f>IFERROR(K21+L21,"")</f>
        <v>2.727237692829941</v>
      </c>
      <c r="N21" s="10" t="n">
        <v>6.5</v>
      </c>
      <c r="O21" s="24">
        <f>'Parámetros'!$B$18</f>
        <v>0.1</v>
      </c>
      <c r="P21" s="28">
        <f>IFERROR(N21/(1+O21),"")</f>
        <v>5.909090909090908</v>
      </c>
      <c r="Q21" s="24">
        <f>IFERROR(L21/P21,"")</f>
        <v>0.31739403453689174</v>
      </c>
      <c r="R21" s="28">
        <f>IFERROR(P21-M21,"")</f>
        <v>3.181853216260967</v>
      </c>
      <c r="S21" s="24">
        <f>IFERROR(R21/P21,"")</f>
        <v>0.5384674673672407</v>
      </c>
      <c r="T21" s="28">
        <f>IFERROR(L21/'Parámetros'!$B$22,"")</f>
        <v>6.251700680272109</v>
      </c>
      <c r="U21" s="28">
        <f>IFERROR(T21*(1+O21),"")</f>
        <v>6.8768707482993205</v>
      </c>
      <c r="V21" s="13" t="inlineStr">
        <is>
          <t>Cero real, no «sin dato»: esta referencia no lleva piezas terminadas dentro.</t>
        </is>
      </c>
    </row>
    <row r="22" ht="46" customHeight="1">
      <c r="A22" t="inlineStr">
        <is>
          <t>TB6</t>
        </is>
      </c>
      <c r="B22" s="5" t="inlineStr">
        <is>
          <t>Tableta rellena de praliné, 100 g</t>
        </is>
      </c>
      <c r="C22" s="17" t="n">
        <v>3</v>
      </c>
      <c r="D22" s="17" t="n">
        <v>6</v>
      </c>
      <c r="E22" s="12">
        <f>C22*D22</f>
        <v>18.0</v>
      </c>
      <c r="F22" s="17" t="n">
        <v>105</v>
      </c>
      <c r="G22" s="30">
        <f>IFERROR(E22*(1-'Merma de Templado y Recortes'!E22),"")</f>
        <v>17.46</v>
      </c>
      <c r="H22" s="33">
        <f>IFERROR(F22/G22,"")</f>
        <v>6.013745704467354</v>
      </c>
      <c r="I22" s="28">
        <f>IFERROR(H22/60*'Parámetros'!$B$15,"")</f>
        <v>1.8534022435569852</v>
      </c>
      <c r="J22" s="28" t="n">
        <v>0</v>
      </c>
      <c r="K22" s="32">
        <f>IFERROR(I22+J22,"")</f>
        <v>1.8534022435569852</v>
      </c>
      <c r="L22" s="28">
        <f>'Escandallo por Molde y Tanda'!O85</f>
        <v>1.8539690721649487</v>
      </c>
      <c r="M22" s="32">
        <f>IFERROR(K22+L22,"")</f>
        <v>3.707371315721934</v>
      </c>
      <c r="N22" s="10" t="n">
        <v>7.5</v>
      </c>
      <c r="O22" s="24">
        <f>'Parámetros'!$B$18</f>
        <v>0.1</v>
      </c>
      <c r="P22" s="28">
        <f>IFERROR(N22/(1+O22),"")</f>
        <v>6.8181818181818175</v>
      </c>
      <c r="Q22" s="24">
        <f>IFERROR(L22/P22,"")</f>
        <v>0.27191546391752586</v>
      </c>
      <c r="R22" s="28">
        <f>IFERROR(P22-M22,"")</f>
        <v>3.1108105024598833</v>
      </c>
      <c r="S22" s="24">
        <f>IFERROR(R22/P22,"")</f>
        <v>0.4562522070274496</v>
      </c>
      <c r="T22" s="28">
        <f>IFERROR(L22/'Parámetros'!$B$22,"")</f>
        <v>6.179896907216496</v>
      </c>
      <c r="U22" s="28">
        <f>IFERROR(T22*(1+O22),"")</f>
        <v>6.797886597938146</v>
      </c>
      <c r="V22" s="13" t="inlineStr">
        <is>
          <t>Cero real, no «sin dato»: esta referencia no lleva piezas terminadas dentro.</t>
        </is>
      </c>
    </row>
    <row r="23" ht="46" customHeight="1">
      <c r="A23" t="inlineStr">
        <is>
          <t>CT1</t>
        </is>
      </c>
      <c r="B23" s="5" t="inlineStr">
        <is>
          <t>Tableta de chocolate a la taza, 200 g</t>
        </is>
      </c>
      <c r="C23" s="17" t="n">
        <v>2</v>
      </c>
      <c r="D23" s="17" t="n">
        <v>8</v>
      </c>
      <c r="E23" s="12">
        <f>C23*D23</f>
        <v>16.0</v>
      </c>
      <c r="F23" s="17" t="n">
        <v>70</v>
      </c>
      <c r="G23" s="30">
        <f>IFERROR(E23*(1-'Merma de Templado y Recortes'!E23),"")</f>
        <v>15.84</v>
      </c>
      <c r="H23" s="33">
        <f>IFERROR(F23/G23,"")</f>
        <v>4.41919191919192</v>
      </c>
      <c r="I23" s="28">
        <f>IFERROR(H23/60*'Parámetros'!$B$15,"")</f>
        <v>1.3619698304926333</v>
      </c>
      <c r="J23" s="28" t="n">
        <v>0</v>
      </c>
      <c r="K23" s="32">
        <f>IFERROR(I23+J23,"")</f>
        <v>1.3619698304926333</v>
      </c>
      <c r="L23" s="28">
        <f>'Escandallo por Molde y Tanda'!O86</f>
        <v>2.362989898989899</v>
      </c>
      <c r="M23" s="32">
        <f>IFERROR(K23+L23,"")</f>
        <v>3.7249597294825323</v>
      </c>
      <c r="N23" s="10" t="n">
        <v>6.5</v>
      </c>
      <c r="O23" s="24">
        <f>'Parámetros'!$B$18</f>
        <v>0.1</v>
      </c>
      <c r="P23" s="28">
        <f>IFERROR(N23/(1+O23),"")</f>
        <v>5.909090909090908</v>
      </c>
      <c r="Q23" s="24">
        <f>IFERROR(L23/P23,"")</f>
        <v>0.39989059829059836</v>
      </c>
      <c r="R23" s="28">
        <f>IFERROR(P23-M23,"")</f>
        <v>2.184131179608376</v>
      </c>
      <c r="S23" s="24">
        <f>IFERROR(R23/P23,"")</f>
        <v>0.36962219962603293</v>
      </c>
      <c r="T23" s="28">
        <f>IFERROR(L23/'Parámetros'!$B$22,"")</f>
        <v>7.876632996632997</v>
      </c>
      <c r="U23" s="28">
        <f>IFERROR(T23*(1+O23),"")</f>
        <v>8.664296296296298</v>
      </c>
      <c r="V23" s="13" t="inlineStr">
        <is>
          <t>Cero real, no «sin dato»: esta referencia no lleva piezas terminadas dentro.</t>
        </is>
      </c>
    </row>
    <row r="24" ht="46" customHeight="1">
      <c r="A24" t="inlineStr">
        <is>
          <t>CT2</t>
        </is>
      </c>
      <c r="B24" s="5" t="inlineStr">
        <is>
          <t>Caja de 6 sobres monodosis de chocolate a la taza</t>
        </is>
      </c>
      <c r="C24" s="17" t="n">
        <v>6</v>
      </c>
      <c r="D24" s="17" t="n">
        <v>6</v>
      </c>
      <c r="E24" s="12">
        <f>C24*D24</f>
        <v>36.0</v>
      </c>
      <c r="F24" s="17" t="n">
        <v>95</v>
      </c>
      <c r="G24" s="30">
        <f>IFERROR(E24*(1-'Merma de Templado y Recortes'!E24),"")</f>
        <v>35.64</v>
      </c>
      <c r="H24" s="33">
        <f>IFERROR(F24/G24,"")</f>
        <v>2.665544332210999</v>
      </c>
      <c r="I24" s="28">
        <f>IFERROR(H24/60*'Parámetros'!$B$15,"")</f>
        <v>0.8215056120431755</v>
      </c>
      <c r="J24" s="28" t="n">
        <v>0</v>
      </c>
      <c r="K24" s="32">
        <f>IFERROR(I24+J24,"")</f>
        <v>0.8215056120431755</v>
      </c>
      <c r="L24" s="28">
        <f>'Escandallo por Molde y Tanda'!O87</f>
        <v>2.1266909090909087</v>
      </c>
      <c r="M24" s="32">
        <f>IFERROR(K24+L24,"")</f>
        <v>2.948196521134084</v>
      </c>
      <c r="N24" s="10" t="n">
        <v>7.8</v>
      </c>
      <c r="O24" s="24">
        <f>'Parámetros'!$B$18</f>
        <v>0.1</v>
      </c>
      <c r="P24" s="28">
        <f>IFERROR(N24/(1+O24),"")</f>
        <v>7.09090909090909</v>
      </c>
      <c r="Q24" s="24">
        <f>IFERROR(L24/P24,"")</f>
        <v>0.2999179487179487</v>
      </c>
      <c r="R24" s="28">
        <f>IFERROR(P24-M24,"")</f>
        <v>4.142712569775005</v>
      </c>
      <c r="S24" s="24">
        <f>IFERROR(R24/P24,"")</f>
        <v>0.5842286957375008</v>
      </c>
      <c r="T24" s="28">
        <f>IFERROR(L24/'Parámetros'!$B$22,"")</f>
        <v>7.088969696969696</v>
      </c>
      <c r="U24" s="28">
        <f>IFERROR(T24*(1+O24),"")</f>
        <v>7.797866666666666</v>
      </c>
      <c r="V24" s="13" t="inlineStr">
        <is>
          <t>Cero real, no «sin dato»: esta referencia no lleva piezas terminadas dentro.</t>
        </is>
      </c>
    </row>
    <row r="25" ht="46" customHeight="1">
      <c r="A25" t="inlineStr">
        <is>
          <t>CT3</t>
        </is>
      </c>
      <c r="B25" s="5" t="inlineStr">
        <is>
          <t>Chocolate a la taza servido en sala, 200 ml</t>
        </is>
      </c>
      <c r="C25" s="17" t="n">
        <v>1</v>
      </c>
      <c r="D25" s="17" t="n">
        <v>1</v>
      </c>
      <c r="E25" s="12">
        <f>C25*D25</f>
        <v>1.0</v>
      </c>
      <c r="F25" s="17" t="n">
        <v>3</v>
      </c>
      <c r="G25" s="30">
        <f>IFERROR(E25*(1-'Merma de Templado y Recortes'!E25),"")</f>
        <v>0.94</v>
      </c>
      <c r="H25" s="33">
        <f>IFERROR(F25/G25,"")</f>
        <v>3.191489361702128</v>
      </c>
      <c r="I25" s="28">
        <f>IFERROR(H25/60*'Parámetros'!$B$15,"")</f>
        <v>0.9835988806232513</v>
      </c>
      <c r="J25" s="28" t="n">
        <v>0</v>
      </c>
      <c r="K25" s="32">
        <f>IFERROR(I25+J25,"")</f>
        <v>0.9835988806232513</v>
      </c>
      <c r="L25" s="28">
        <f>'Escandallo por Molde y Tanda'!O88</f>
        <v>0.5599531914893616</v>
      </c>
      <c r="M25" s="32">
        <f>IFERROR(K25+L25,"")</f>
        <v>1.5435520721126128</v>
      </c>
      <c r="N25" s="10" t="n">
        <v>3.2</v>
      </c>
      <c r="O25" s="24">
        <f>'Parámetros'!$B$19</f>
        <v>0.1</v>
      </c>
      <c r="P25" s="28">
        <f>IFERROR(N25/(1+O25),"")</f>
        <v>2.909090909090909</v>
      </c>
      <c r="Q25" s="24">
        <f>IFERROR(L25/P25,"")</f>
        <v>0.19248390957446807</v>
      </c>
      <c r="R25" s="28">
        <f>IFERROR(P25-M25,"")</f>
        <v>1.3655388369782964</v>
      </c>
      <c r="S25" s="24">
        <f>IFERROR(R25/P25,"")</f>
        <v>0.46940397521128935</v>
      </c>
      <c r="T25" s="28">
        <f>IFERROR(L25/'Parámetros'!$B$22,"")</f>
        <v>1.8665106382978722</v>
      </c>
      <c r="U25" s="28">
        <f>IFERROR(T25*(1+O25),"")</f>
        <v>2.05316170212766</v>
      </c>
      <c r="V25" s="13" t="inlineStr">
        <is>
          <t>Cero real, no «sin dato»: esta referencia no lleva piezas terminadas dentro.</t>
        </is>
      </c>
    </row>
    <row r="26" ht="46" customHeight="1">
      <c r="A26" t="inlineStr">
        <is>
          <t>TF1</t>
        </is>
      </c>
      <c r="B26" s="5" t="inlineStr">
        <is>
          <t>Huevo de Pascua de chocolate con leche, 250 g</t>
        </is>
      </c>
      <c r="C26" s="17" t="n">
        <v>2</v>
      </c>
      <c r="D26" s="17" t="n">
        <v>6</v>
      </c>
      <c r="E26" s="12">
        <f>C26*D26</f>
        <v>12.0</v>
      </c>
      <c r="F26" s="17" t="n">
        <v>150</v>
      </c>
      <c r="G26" s="30">
        <f>IFERROR(E26*(1-'Merma de Templado y Recortes'!E26),"")</f>
        <v>11.76</v>
      </c>
      <c r="H26" s="33">
        <f>IFERROR(F26/G26,"")</f>
        <v>12.755102040816327</v>
      </c>
      <c r="I26" s="28">
        <f>IFERROR(H26/60*'Parámetros'!$B$15,"")</f>
        <v>3.931049948069116</v>
      </c>
      <c r="J26" s="28" t="n">
        <v>0</v>
      </c>
      <c r="K26" s="32">
        <f>IFERROR(I26+J26,"")</f>
        <v>3.931049948069116</v>
      </c>
      <c r="L26" s="28">
        <f>'Escandallo por Molde y Tanda'!O89</f>
        <v>4.974489795918368</v>
      </c>
      <c r="M26" s="32">
        <f>IFERROR(K26+L26,"")</f>
        <v>8.905539743987484</v>
      </c>
      <c r="N26" s="10" t="n">
        <v>18.5</v>
      </c>
      <c r="O26" s="24">
        <f>'Parámetros'!$B$18</f>
        <v>0.1</v>
      </c>
      <c r="P26" s="28">
        <f>IFERROR(N26/(1+O26),"")</f>
        <v>16.818181818181817</v>
      </c>
      <c r="Q26" s="24">
        <f>IFERROR(L26/P26,"")</f>
        <v>0.29578047435190297</v>
      </c>
      <c r="R26" s="28">
        <f>IFERROR(P26-M26,"")</f>
        <v>7.912642074194332</v>
      </c>
      <c r="S26" s="24">
        <f>IFERROR(R26/P26,"")</f>
        <v>0.47048142062777115</v>
      </c>
      <c r="T26" s="28">
        <f>IFERROR(L26/'Parámetros'!$B$22,"")</f>
        <v>16.581632653061227</v>
      </c>
      <c r="U26" s="28">
        <f>IFERROR(T26*(1+O26),"")</f>
        <v>18.239795918367353</v>
      </c>
      <c r="V26" s="13" t="inlineStr">
        <is>
          <t>Cero real, no «sin dato»: esta referencia no lleva piezas terminadas dentro.</t>
        </is>
      </c>
    </row>
    <row r="27" ht="46" customHeight="1">
      <c r="A27" t="inlineStr">
        <is>
          <t>TF2</t>
        </is>
      </c>
      <c r="B27" s="5" t="inlineStr">
        <is>
          <t>Mona de Pascua de chocolate, 400 g</t>
        </is>
      </c>
      <c r="C27" s="17" t="n">
        <v>1</v>
      </c>
      <c r="D27" s="17" t="n">
        <v>6</v>
      </c>
      <c r="E27" s="12">
        <f>C27*D27</f>
        <v>6.0</v>
      </c>
      <c r="F27" s="17" t="n">
        <v>210</v>
      </c>
      <c r="G27" s="30">
        <f>IFERROR(E27*(1-'Merma de Templado y Recortes'!E27),"")</f>
        <v>5.88</v>
      </c>
      <c r="H27" s="33">
        <f>IFERROR(F27/G27,"")</f>
        <v>35.714285714285715</v>
      </c>
      <c r="I27" s="28">
        <f>IFERROR(H27/60*'Parámetros'!$B$15,"")</f>
        <v>11.006939854593524</v>
      </c>
      <c r="J27" s="28" t="n">
        <v>0</v>
      </c>
      <c r="K27" s="32">
        <f>IFERROR(I27+J27,"")</f>
        <v>11.006939854593524</v>
      </c>
      <c r="L27" s="28">
        <f>'Escandallo por Molde y Tanda'!O90</f>
        <v>7.814285714285715</v>
      </c>
      <c r="M27" s="32">
        <f>IFERROR(K27+L27,"")</f>
        <v>18.82122556887924</v>
      </c>
      <c r="N27" s="10" t="n">
        <v>26</v>
      </c>
      <c r="O27" s="24">
        <f>'Parámetros'!$B$18</f>
        <v>0.1</v>
      </c>
      <c r="P27" s="28">
        <f>IFERROR(N27/(1+O27),"")</f>
        <v>23.636363636363633</v>
      </c>
      <c r="Q27" s="24">
        <f>IFERROR(L27/P27,"")</f>
        <v>0.3306043956043957</v>
      </c>
      <c r="R27" s="28">
        <f>IFERROR(P27-M27,"")</f>
        <v>4.815138067484394</v>
      </c>
      <c r="S27" s="24">
        <f>IFERROR(R27/P27,"")</f>
        <v>0.20371737977818594</v>
      </c>
      <c r="T27" s="28">
        <f>IFERROR(L27/'Parámetros'!$B$22,"")</f>
        <v>26.04761904761905</v>
      </c>
      <c r="U27" s="28">
        <f>IFERROR(T27*(1+O27),"")</f>
        <v>28.65238095238096</v>
      </c>
      <c r="V27" s="13" t="inlineStr">
        <is>
          <t>Cero real, no «sin dato»: esta referencia no lleva piezas terminadas dentro.</t>
        </is>
      </c>
    </row>
    <row r="28" ht="46" customHeight="1">
      <c r="A28" t="inlineStr">
        <is>
          <t>TF3</t>
        </is>
      </c>
      <c r="B28" s="5" t="inlineStr">
        <is>
          <t>Hueso de santo bañado en chocolate</t>
        </is>
      </c>
      <c r="C28" s="17" t="n">
        <v>30</v>
      </c>
      <c r="D28" s="17" t="n">
        <v>4</v>
      </c>
      <c r="E28" s="12">
        <f>C28*D28</f>
        <v>120.0</v>
      </c>
      <c r="F28" s="17" t="n">
        <v>170</v>
      </c>
      <c r="G28" s="30">
        <f>IFERROR(E28*(1-'Merma de Templado y Recortes'!E28),"")</f>
        <v>112.8</v>
      </c>
      <c r="H28" s="33">
        <f>IFERROR(F28/G28,"")</f>
        <v>1.5070921985815604</v>
      </c>
      <c r="I28" s="28">
        <f>IFERROR(H28/60*'Parámetros'!$B$15,"")</f>
        <v>0.46447724918320193</v>
      </c>
      <c r="J28" s="28" t="n">
        <v>0</v>
      </c>
      <c r="K28" s="32">
        <f>IFERROR(I28+J28,"")</f>
        <v>0.46447724918320193</v>
      </c>
      <c r="L28" s="28">
        <f>'Escandallo por Molde y Tanda'!O91</f>
        <v>0.27561542553191487</v>
      </c>
      <c r="M28" s="32">
        <f>IFERROR(K28+L28,"")</f>
        <v>0.7400926747151169</v>
      </c>
      <c r="N28" s="10" t="n">
        <v>1.6</v>
      </c>
      <c r="O28" s="24">
        <f>'Parámetros'!$B$18</f>
        <v>0.1</v>
      </c>
      <c r="P28" s="28">
        <f>IFERROR(N28/(1+O28),"")</f>
        <v>1.4545454545454546</v>
      </c>
      <c r="Q28" s="24">
        <f>IFERROR(L28/P28,"")</f>
        <v>0.18948560505319148</v>
      </c>
      <c r="R28" s="28">
        <f>IFERROR(P28-M28,"")</f>
        <v>0.7144527798303377</v>
      </c>
      <c r="S28" s="24">
        <f>IFERROR(R28/P28,"")</f>
        <v>0.4911862861333572</v>
      </c>
      <c r="T28" s="28">
        <f>IFERROR(L28/'Parámetros'!$B$22,"")</f>
        <v>0.918718085106383</v>
      </c>
      <c r="U28" s="28">
        <f>IFERROR(T28*(1+O28),"")</f>
        <v>1.0105898936170215</v>
      </c>
      <c r="V28" s="13" t="inlineStr">
        <is>
          <t>Cero real, no «sin dato»: esta referencia no lleva piezas terminadas dentro.</t>
        </is>
      </c>
    </row>
    <row r="29" ht="46" customHeight="1">
      <c r="A29" t="inlineStr">
        <is>
          <t>TF4</t>
        </is>
      </c>
      <c r="B29" s="5" t="inlineStr">
        <is>
          <t>Turrón de chocolate con almendra, 250 g</t>
        </is>
      </c>
      <c r="C29" s="17" t="n">
        <v>4</v>
      </c>
      <c r="D29" s="17" t="n">
        <v>6</v>
      </c>
      <c r="E29" s="12">
        <f>C29*D29</f>
        <v>24.0</v>
      </c>
      <c r="F29" s="17" t="n">
        <v>120</v>
      </c>
      <c r="G29" s="30">
        <f>IFERROR(E29*(1-'Merma de Templado y Recortes'!E29),"")</f>
        <v>23.52</v>
      </c>
      <c r="H29" s="33">
        <f>IFERROR(F29/G29,"")</f>
        <v>5.1020408163265305</v>
      </c>
      <c r="I29" s="28">
        <f>IFERROR(H29/60*'Parámetros'!$B$15,"")</f>
        <v>1.5724199792276463</v>
      </c>
      <c r="J29" s="28" t="n">
        <v>0</v>
      </c>
      <c r="K29" s="32">
        <f>IFERROR(I29+J29,"")</f>
        <v>1.5724199792276463</v>
      </c>
      <c r="L29" s="28">
        <f>'Escandallo por Molde y Tanda'!O92</f>
        <v>4.936779591836735</v>
      </c>
      <c r="M29" s="32">
        <f>IFERROR(K29+L29,"")</f>
        <v>6.509199571064381</v>
      </c>
      <c r="N29" s="10" t="n">
        <v>13.5</v>
      </c>
      <c r="O29" s="24">
        <f>'Parámetros'!$B$18</f>
        <v>0.1</v>
      </c>
      <c r="P29" s="28">
        <f>IFERROR(N29/(1+O29),"")</f>
        <v>12.272727272727272</v>
      </c>
      <c r="Q29" s="24">
        <f>IFERROR(L29/P29,"")</f>
        <v>0.40225611489040064</v>
      </c>
      <c r="R29" s="28">
        <f>IFERROR(P29-M29,"")</f>
        <v>5.76352770166289</v>
      </c>
      <c r="S29" s="24">
        <f>IFERROR(R29/P29,"")</f>
        <v>0.4696207756910504</v>
      </c>
      <c r="T29" s="28">
        <f>IFERROR(L29/'Parámetros'!$B$22,"")</f>
        <v>16.455931972789116</v>
      </c>
      <c r="U29" s="28">
        <f>IFERROR(T29*(1+O29),"")</f>
        <v>18.10152517006803</v>
      </c>
      <c r="V29" s="13" t="inlineStr">
        <is>
          <t>Cero real, no «sin dato»: esta referencia no lleva piezas terminadas dentro.</t>
        </is>
      </c>
    </row>
    <row r="30" ht="46" customHeight="1">
      <c r="A30" t="inlineStr">
        <is>
          <t>TF5</t>
        </is>
      </c>
      <c r="B30" s="5" t="inlineStr">
        <is>
          <t>Almendras marcona bañadas en chocolate, bolsa de 150 g</t>
        </is>
      </c>
      <c r="C30" s="17" t="n">
        <v>40</v>
      </c>
      <c r="D30" s="17" t="n">
        <v>1</v>
      </c>
      <c r="E30" s="12">
        <f>C30*D30</f>
        <v>40.0</v>
      </c>
      <c r="F30" s="17" t="n">
        <v>95</v>
      </c>
      <c r="G30" s="30">
        <f>IFERROR(E30*(1-'Merma de Templado y Recortes'!E30),"")</f>
        <v>39.2</v>
      </c>
      <c r="H30" s="33">
        <f>IFERROR(F30/G30,"")</f>
        <v>2.4234693877551017</v>
      </c>
      <c r="I30" s="28">
        <f>IFERROR(H30/60*'Parámetros'!$B$15,"")</f>
        <v>0.746899490133132</v>
      </c>
      <c r="J30" s="28" t="n">
        <v>0</v>
      </c>
      <c r="K30" s="32">
        <f>IFERROR(I30+J30,"")</f>
        <v>0.746899490133132</v>
      </c>
      <c r="L30" s="28">
        <f>'Escandallo por Molde y Tanda'!O93</f>
        <v>2.8269428571428574</v>
      </c>
      <c r="M30" s="32">
        <f>IFERROR(K30+L30,"")</f>
        <v>3.5738423472759893</v>
      </c>
      <c r="N30" s="10" t="n">
        <v>7.4</v>
      </c>
      <c r="O30" s="24">
        <f>'Parámetros'!$B$18</f>
        <v>0.1</v>
      </c>
      <c r="P30" s="28">
        <f>IFERROR(N30/(1+O30),"")</f>
        <v>6.727272727272727</v>
      </c>
      <c r="Q30" s="24">
        <f>IFERROR(L30/P30,"")</f>
        <v>0.4202212355212356</v>
      </c>
      <c r="R30" s="28">
        <f>IFERROR(P30-M30,"")</f>
        <v>3.1534303799967374</v>
      </c>
      <c r="S30" s="24">
        <f>IFERROR(R30/P30,"")</f>
        <v>0.46875316459410965</v>
      </c>
      <c r="T30" s="28">
        <f>IFERROR(L30/'Parámetros'!$B$22,"")</f>
        <v>9.423142857142858</v>
      </c>
      <c r="U30" s="28">
        <f>IFERROR(T30*(1+O30),"")</f>
        <v>10.365457142857146</v>
      </c>
      <c r="V30" s="13" t="inlineStr">
        <is>
          <t>Cero real, no «sin dato»: esta referencia no lleva piezas terminadas dentro.</t>
        </is>
      </c>
    </row>
    <row r="31" ht="46" customHeight="1">
      <c r="A31" t="inlineStr">
        <is>
          <t>CJ1</t>
        </is>
      </c>
      <c r="B31" s="5" t="inlineStr">
        <is>
          <t>Caja surtida de 12 bombones</t>
        </is>
      </c>
      <c r="C31" s="17" t="n">
        <v>1</v>
      </c>
      <c r="D31" s="17" t="n">
        <v>1</v>
      </c>
      <c r="E31" s="12">
        <f>C31*D31</f>
        <v>1.0</v>
      </c>
      <c r="F31" s="17" t="n">
        <v>4</v>
      </c>
      <c r="G31" s="30">
        <f>IFERROR(E31*(1-'Merma de Templado y Recortes'!E31),"")</f>
        <v>0.995</v>
      </c>
      <c r="H31" s="33">
        <f>IFERROR(F31/G31,"")</f>
        <v>4.0201005025125625</v>
      </c>
      <c r="I31" s="28">
        <f>IFERROR(H31/60*'Parámetros'!$B$15,"")</f>
        <v>1.2389721243361553</v>
      </c>
      <c r="J31" s="28">
        <f>'Unidad vs Caja'!C26</f>
        <v>3.9948842435203753</v>
      </c>
      <c r="K31" s="32">
        <f>IFERROR(I31+J31,"")</f>
        <v>5.23385636785653</v>
      </c>
      <c r="L31" s="28">
        <f>'Escandallo por Molde y Tanda'!O94</f>
        <v>2.334981351758794</v>
      </c>
      <c r="M31" s="32">
        <f>IFERROR(K31+L31,"")</f>
        <v>7.568837719615324</v>
      </c>
      <c r="N31" s="10" t="n">
        <v>20</v>
      </c>
      <c r="O31" s="24">
        <f>'Parámetros'!$B$18</f>
        <v>0.1</v>
      </c>
      <c r="P31" s="28">
        <f>IFERROR(N31/(1+O31),"")</f>
        <v>18.18181818181818</v>
      </c>
      <c r="Q31" s="24">
        <f>IFERROR(L31/P31,"")</f>
        <v>0.1284239743467337</v>
      </c>
      <c r="R31" s="28">
        <f>IFERROR(P31-M31,"")</f>
        <v>10.612980462202856</v>
      </c>
      <c r="S31" s="24">
        <f>IFERROR(R31/P31,"")</f>
        <v>0.5837139254211572</v>
      </c>
      <c r="T31" s="28">
        <f>IFERROR(L31/'Parámetros'!$B$22,"")</f>
        <v>7.7832711725293136</v>
      </c>
      <c r="U31" s="28">
        <f>IFERROR(T31*(1+O31),"")</f>
        <v>8.561598289782246</v>
      </c>
      <c r="V31" s="13" t="inlineStr">
        <is>
          <t>Una caja cuesta lo que cuesta montarla MÁS lo que cuesta hacer los bombones que lleva. La columna I es sólo el montaje; la J trae el trabajo de dentro desde la hoja «Unidad vs Caja». Sumar sólo el montaje infla el margen de la caja y es el error que hace vender cajas a pérdida.</t>
        </is>
      </c>
    </row>
    <row r="32" ht="46" customHeight="1">
      <c r="A32" t="inlineStr">
        <is>
          <t>CJ2</t>
        </is>
      </c>
      <c r="B32" s="5" t="inlineStr">
        <is>
          <t>Caja surtida de 20 bombones</t>
        </is>
      </c>
      <c r="C32" s="17" t="n">
        <v>1</v>
      </c>
      <c r="D32" s="17" t="n">
        <v>1</v>
      </c>
      <c r="E32" s="12">
        <f>C32*D32</f>
        <v>1.0</v>
      </c>
      <c r="F32" s="17" t="n">
        <v>6</v>
      </c>
      <c r="G32" s="30">
        <f>IFERROR(E32*(1-'Merma de Templado y Recortes'!E32),"")</f>
        <v>0.995</v>
      </c>
      <c r="H32" s="33">
        <f>IFERROR(F32/G32,"")</f>
        <v>6.030150753768845</v>
      </c>
      <c r="I32" s="28">
        <f>IFERROR(H32/60*'Parámetros'!$B$15,"")</f>
        <v>1.8584581865042333</v>
      </c>
      <c r="J32" s="28">
        <f>'Unidad vs Caja'!D26</f>
        <v>6.632459608564096</v>
      </c>
      <c r="K32" s="32">
        <f>IFERROR(I32+J32,"")</f>
        <v>8.490917795068329</v>
      </c>
      <c r="L32" s="28">
        <f>'Escandallo por Molde y Tanda'!O95</f>
        <v>4.022905271356784</v>
      </c>
      <c r="M32" s="32">
        <f>IFERROR(K32+L32,"")</f>
        <v>12.513823066425113</v>
      </c>
      <c r="N32" s="10" t="n">
        <v>28</v>
      </c>
      <c r="O32" s="24">
        <f>'Parámetros'!$B$18</f>
        <v>0.1</v>
      </c>
      <c r="P32" s="28">
        <f>IFERROR(N32/(1+O32),"")</f>
        <v>25.454545454545453</v>
      </c>
      <c r="Q32" s="24">
        <f>IFERROR(L32/P32,"")</f>
        <v>0.15804270708901652</v>
      </c>
      <c r="R32" s="28">
        <f>IFERROR(P32-M32,"")</f>
        <v>12.94072238812034</v>
      </c>
      <c r="S32" s="24">
        <f>IFERROR(R32/P32,"")</f>
        <v>0.508385522390442</v>
      </c>
      <c r="T32" s="28">
        <f>IFERROR(L32/'Parámetros'!$B$22,"")</f>
        <v>13.409684237855947</v>
      </c>
      <c r="U32" s="28">
        <f>IFERROR(T32*(1+O32),"")</f>
        <v>14.750652661641542</v>
      </c>
      <c r="V32" s="13" t="inlineStr">
        <is>
          <t>Una caja cuesta lo que cuesta montarla MÁS lo que cuesta hacer los bombones que lleva. La columna I es sólo el montaje; la J trae el trabajo de dentro desde la hoja «Unidad vs Caja». Sumar sólo el montaje infla el margen de la caja y es el error que hace vender cajas a pérdida.</t>
        </is>
      </c>
    </row>
    <row r="33" ht="46" customHeight="1">
      <c r="A33" t="inlineStr">
        <is>
          <t>CJ3</t>
        </is>
      </c>
      <c r="B33" s="5" t="inlineStr">
        <is>
          <t>Caja surtida de 35 bombones</t>
        </is>
      </c>
      <c r="C33" s="17" t="n">
        <v>1</v>
      </c>
      <c r="D33" s="17" t="n">
        <v>1</v>
      </c>
      <c r="E33" s="12">
        <f>C33*D33</f>
        <v>1.0</v>
      </c>
      <c r="F33" s="17" t="n">
        <v>9</v>
      </c>
      <c r="G33" s="30">
        <f>IFERROR(E33*(1-'Merma de Templado y Recortes'!E33),"")</f>
        <v>0.995</v>
      </c>
      <c r="H33" s="33">
        <f>IFERROR(F33/G33,"")</f>
        <v>9.045226130653266</v>
      </c>
      <c r="I33" s="28">
        <f>IFERROR(H33/60*'Parámetros'!$B$15,"")</f>
        <v>2.7876872797563497</v>
      </c>
      <c r="J33" s="28">
        <f>'Unidad vs Caja'!E26</f>
        <v>11.806727083900135</v>
      </c>
      <c r="K33" s="32">
        <f>IFERROR(I33+J33,"")</f>
        <v>14.594414363656485</v>
      </c>
      <c r="L33" s="28">
        <f>'Escandallo por Molde y Tanda'!O96</f>
        <v>6.944634864321608</v>
      </c>
      <c r="M33" s="32">
        <f>IFERROR(K33+L33,"")</f>
        <v>21.539049227978094</v>
      </c>
      <c r="N33" s="10" t="n">
        <v>45</v>
      </c>
      <c r="O33" s="24">
        <f>'Parámetros'!$B$18</f>
        <v>0.1</v>
      </c>
      <c r="P33" s="28">
        <f>IFERROR(N33/(1+O33),"")</f>
        <v>40.90909090909091</v>
      </c>
      <c r="Q33" s="24">
        <f>IFERROR(L33/P33,"")</f>
        <v>0.16975774112786154</v>
      </c>
      <c r="R33" s="28">
        <f>IFERROR(P33-M33,"")</f>
        <v>19.370041681112813</v>
      </c>
      <c r="S33" s="24">
        <f>IFERROR(R33/P33,"")</f>
        <v>0.47348990776053546</v>
      </c>
      <c r="T33" s="28">
        <f>IFERROR(L33/'Parámetros'!$B$22,"")</f>
        <v>23.148782881072027</v>
      </c>
      <c r="U33" s="28">
        <f>IFERROR(T33*(1+O33),"")</f>
        <v>25.463661169179233</v>
      </c>
      <c r="V33" s="13" t="inlineStr">
        <is>
          <t>Una caja cuesta lo que cuesta montarla MÁS lo que cuesta hacer los bombones que lleva. La columna I es sólo el montaje; la J trae el trabajo de dentro desde la hoja «Unidad vs Caja». Sumar sólo el montaje infla el margen de la caja y es el error que hace vender cajas a pérdida.</t>
        </is>
      </c>
    </row>
    <row r="34" ht="46" customHeight="1">
      <c r="A34" t="inlineStr">
        <is>
          <t>CJ4</t>
        </is>
      </c>
      <c r="B34" s="5" t="inlineStr">
        <is>
          <t>Estuche corporativo personalizado de 24 bombones</t>
        </is>
      </c>
      <c r="C34" s="17" t="n">
        <v>1</v>
      </c>
      <c r="D34" s="17" t="n">
        <v>1</v>
      </c>
      <c r="E34" s="12">
        <f>C34*D34</f>
        <v>1.0</v>
      </c>
      <c r="F34" s="17" t="n">
        <v>11</v>
      </c>
      <c r="G34" s="30">
        <f>IFERROR(E34*(1-'Merma de Templado y Recortes'!E34),"")</f>
        <v>0.995</v>
      </c>
      <c r="H34" s="33">
        <f>IFERROR(F34/G34,"")</f>
        <v>11.055276381909549</v>
      </c>
      <c r="I34" s="28">
        <f>IFERROR(H34/60*'Parámetros'!$B$15,"")</f>
        <v>3.4071733419244277</v>
      </c>
      <c r="J34" s="28">
        <f>'Unidad vs Caja'!F26</f>
        <v>7.98986511468716</v>
      </c>
      <c r="K34" s="32">
        <f>IFERROR(I34+J34,"")</f>
        <v>11.397038456611588</v>
      </c>
      <c r="L34" s="28">
        <f>'Escandallo por Molde y Tanda'!O97</f>
        <v>4.750197532663317</v>
      </c>
      <c r="M34" s="32">
        <f>IFERROR(K34+L34,"")</f>
        <v>16.147235989274904</v>
      </c>
      <c r="N34" s="10" t="n">
        <v>34</v>
      </c>
      <c r="O34" s="24">
        <f>'Parámetros'!$B$18</f>
        <v>0.1</v>
      </c>
      <c r="P34" s="28">
        <f>IFERROR(N34/(1+O34),"")</f>
        <v>30.909090909090907</v>
      </c>
      <c r="Q34" s="24">
        <f>IFERROR(L34/P34,"")</f>
        <v>0.15368286135087203</v>
      </c>
      <c r="R34" s="28">
        <f>IFERROR(P34-M34,"")</f>
        <v>14.761854919816003</v>
      </c>
      <c r="S34" s="24">
        <f>IFERROR(R34/P34,"")</f>
        <v>0.47758942387640013</v>
      </c>
      <c r="T34" s="28">
        <f>IFERROR(L34/'Parámetros'!$B$22,"")</f>
        <v>15.83399177554439</v>
      </c>
      <c r="U34" s="28">
        <f>IFERROR(T34*(1+O34),"")</f>
        <v>17.41739095309883</v>
      </c>
      <c r="V34" s="13" t="inlineStr">
        <is>
          <t>Una caja cuesta lo que cuesta montarla MÁS lo que cuesta hacer los bombones que lleva. La columna I es sólo el montaje; la J trae el trabajo de dentro desde la hoja «Unidad vs Caja». Sumar sólo el montaje infla el margen de la caja y es el error que hace vender cajas a pérdida.</t>
        </is>
      </c>
    </row>
    <row r="35">
      <c r="A35" s="14" t="inlineStr">
        <is>
          <t>Media de la carta</t>
        </is>
      </c>
      <c r="Q35" s="25">
        <f>IFERROR(AVERAGE(Q7:Q34),"")</f>
        <v>0.22972971649639032</v>
      </c>
      <c r="R35" s="32">
        <f>IFERROR(AVERAGE(R7:R34),"")</f>
        <v>4.240724639163859</v>
      </c>
      <c r="S35" s="25">
        <f>IFERROR(AVERAGE(S7:S34),"")</f>
        <v>0.5544702310053606</v>
      </c>
    </row>
    <row r="36"/>
    <row r="37" ht="40" customHeight="1">
      <c r="A37" s="13" t="inlineStr">
        <is>
          <t>La media de la última fila es una media SIMPLE de las 28 referencias y sirve para ver dispersión, no para decidir: el food cost que hay que mirar es el ponderado por lo que de verdad vendes, y ése lo calcula la hoja «Mix y Ticket Medio».</t>
        </is>
      </c>
    </row>
    <row r="38"/>
    <row r="39">
      <c r="A39" s="7" t="inlineStr">
        <is>
          <t>Versión 1.0 · septiembre 2026 · aichef.pro/guia-chocolateria-obrador · info@aichef.pro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conditionalFormatting sqref="Q7:Q34">
    <cfRule type="expression" priority="1" dxfId="0" stopIfTrue="1">
      <formula>=AND(ISNUMBER($Q7),$Q7&gt;'Parámetros'!$B$41)</formula>
    </cfRule>
  </conditionalFormatting>
  <pageMargins left="0.39" right="0.39" top="0.59" bottom="0.59" header="0.5" footer="0.5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4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8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5" customWidth="1" min="8" max="8"/>
    <col width="15" customWidth="1" min="9" max="9"/>
    <col width="60" customWidth="1" min="10" max="10"/>
  </cols>
  <sheetData>
    <row r="1">
      <c r="A1" s="1" t="inlineStr">
        <is>
          <t>Unidad vs Caja</t>
        </is>
      </c>
    </row>
    <row r="2">
      <c r="A2" s="2" t="inlineStr">
        <is>
          <t>AI Chef Pro · aichef.pro — Cómo Montar una Chocolatería</t>
        </is>
      </c>
    </row>
    <row r="3">
      <c r="A3" s="3" t="inlineStr">
        <is>
          <t>La caja es la unidad de venta real de una bombonería, y por eso tiene hoja propia: el precio por bombón cae según crece la caja, y el trabajo de hacer esos bombones no desaparece.</t>
        </is>
      </c>
    </row>
    <row r="4"/>
    <row r="5">
      <c r="A5" s="4" t="inlineStr">
        <is>
          <t>Qué lleva dentro cada caja</t>
        </is>
      </c>
    </row>
    <row r="6" ht="56" customHeight="1">
      <c r="A6" s="8" t="inlineStr">
        <is>
          <t>Id</t>
        </is>
      </c>
      <c r="B6" s="8" t="inlineStr">
        <is>
          <t>Bombón</t>
        </is>
      </c>
      <c r="C6" s="8" t="inlineStr">
        <is>
          <t>Caja surtida de 12 bombones</t>
        </is>
      </c>
      <c r="D6" s="8" t="inlineStr">
        <is>
          <t>Caja surtida de 20 bombones</t>
        </is>
      </c>
      <c r="E6" s="8" t="inlineStr">
        <is>
          <t>Caja surtida de 35 bombones</t>
        </is>
      </c>
      <c r="F6" s="8" t="inlineStr">
        <is>
          <t>Estuche corporativo personalizado de 24 bombones</t>
        </is>
      </c>
      <c r="G6" s="8" t="inlineStr">
        <is>
          <t>PVP suelto con IVA (EUR)</t>
        </is>
      </c>
      <c r="H6" s="8" t="inlineStr">
        <is>
          <t>Coste de materia sin merma (EUR)</t>
        </is>
      </c>
      <c r="I6" s="8" t="inlineStr">
        <is>
          <t>Coste de mano de obra por pieza (EUR)</t>
        </is>
      </c>
      <c r="J6" s="8" t="inlineStr">
        <is>
          <t>Nota</t>
        </is>
      </c>
    </row>
    <row r="7" ht="34" customHeight="1">
      <c r="A7" t="inlineStr">
        <is>
          <t>BC1</t>
        </is>
      </c>
      <c r="B7" s="5" t="inlineStr">
        <is>
          <t>Bombón de ganache de chocolate negro 70 %</t>
        </is>
      </c>
      <c r="C7" s="17" t="n">
        <v>2</v>
      </c>
      <c r="D7" s="17" t="n">
        <v>3</v>
      </c>
      <c r="E7" s="17" t="n">
        <v>5</v>
      </c>
      <c r="F7" s="17" t="n">
        <v>3</v>
      </c>
      <c r="G7" s="11">
        <f>'Coste Hora y Mano de Obra'!N7</f>
        <v>2.0</v>
      </c>
      <c r="H7" s="28">
        <f>'Escandallo por Molde y Tanda'!M70</f>
        <v>0.21760603999999997</v>
      </c>
      <c r="I7" s="28">
        <f>'Coste Hora y Mano de Obra'!K7</f>
        <v>0.3419968425611104</v>
      </c>
      <c r="J7" s="13" t="inlineStr">
        <is>
          <t>Un cero aquí es un cero REAL: ese bombón no entra en esa caja. Cambia las cantidades y todo lo de abajo se mueve.</t>
        </is>
      </c>
    </row>
    <row r="8" ht="30" customHeight="1">
      <c r="A8" t="inlineStr">
        <is>
          <t>BC2</t>
        </is>
      </c>
      <c r="B8" s="5" t="inlineStr">
        <is>
          <t>Bombón de ganache de leche y vainilla</t>
        </is>
      </c>
      <c r="C8" s="17" t="n">
        <v>2</v>
      </c>
      <c r="D8" s="17" t="n">
        <v>3</v>
      </c>
      <c r="E8" s="17" t="n">
        <v>5</v>
      </c>
      <c r="F8" s="17" t="n">
        <v>3</v>
      </c>
      <c r="G8" s="11">
        <f>'Coste Hora y Mano de Obra'!N8</f>
        <v>1.95</v>
      </c>
      <c r="H8" s="28">
        <f>'Escandallo por Molde y Tanda'!M71</f>
        <v>0.19068400000000002</v>
      </c>
      <c r="I8" s="28">
        <f>'Coste Hora y Mano de Obra'!K8</f>
        <v>0.3419968425611104</v>
      </c>
    </row>
    <row r="9" ht="30" customHeight="1">
      <c r="A9" t="inlineStr">
        <is>
          <t>BC3</t>
        </is>
      </c>
      <c r="B9" s="5" t="inlineStr">
        <is>
          <t>Bombón de praliné de avellana</t>
        </is>
      </c>
      <c r="C9" s="17" t="n">
        <v>2</v>
      </c>
      <c r="D9" s="17" t="n">
        <v>3</v>
      </c>
      <c r="E9" s="17" t="n">
        <v>5</v>
      </c>
      <c r="F9" s="17" t="n">
        <v>4</v>
      </c>
      <c r="G9" s="11">
        <f>'Coste Hora y Mano de Obra'!N9</f>
        <v>2.1</v>
      </c>
      <c r="H9" s="28">
        <f>'Escandallo por Molde y Tanda'!M72</f>
        <v>0.21344800000000003</v>
      </c>
      <c r="I9" s="28">
        <f>'Coste Hora y Mano de Obra'!K9</f>
        <v>0.30574832929426454</v>
      </c>
    </row>
    <row r="10" ht="30" customHeight="1">
      <c r="A10" t="inlineStr">
        <is>
          <t>BC4</t>
        </is>
      </c>
      <c r="B10" s="5" t="inlineStr">
        <is>
          <t>Bombón de gianduja de avellana</t>
        </is>
      </c>
      <c r="C10" s="17" t="n">
        <v>0</v>
      </c>
      <c r="D10" s="17" t="n">
        <v>2</v>
      </c>
      <c r="E10" s="17" t="n">
        <v>3</v>
      </c>
      <c r="F10" s="17" t="n">
        <v>2</v>
      </c>
      <c r="G10" s="11">
        <f>'Coste Hora y Mano de Obra'!N10</f>
        <v>2.1</v>
      </c>
      <c r="H10" s="28">
        <f>'Escandallo por Molde y Tanda'!M73</f>
        <v>0.2243435</v>
      </c>
      <c r="I10" s="28">
        <f>'Coste Hora y Mano de Obra'!K10</f>
        <v>0.34069099549932336</v>
      </c>
    </row>
    <row r="11" ht="30" customHeight="1">
      <c r="A11" t="inlineStr">
        <is>
          <t>BC5</t>
        </is>
      </c>
      <c r="B11" s="5" t="inlineStr">
        <is>
          <t>Trufa de chocolate negro al cacao</t>
        </is>
      </c>
      <c r="C11" s="17" t="n">
        <v>1</v>
      </c>
      <c r="D11" s="17" t="n">
        <v>3</v>
      </c>
      <c r="E11" s="17" t="n">
        <v>4</v>
      </c>
      <c r="F11" s="17" t="n">
        <v>3</v>
      </c>
      <c r="G11" s="11">
        <f>'Coste Hora y Mano de Obra'!N11</f>
        <v>1.9</v>
      </c>
      <c r="H11" s="28">
        <f>'Escandallo por Molde y Tanda'!M74</f>
        <v>0.21808513</v>
      </c>
      <c r="I11" s="28">
        <f>'Coste Hora y Mano de Obra'!K11</f>
        <v>0.24077680931923334</v>
      </c>
    </row>
    <row r="12" ht="30" customHeight="1">
      <c r="A12" t="inlineStr">
        <is>
          <t>BC6</t>
        </is>
      </c>
      <c r="B12" s="5" t="inlineStr">
        <is>
          <t>Bombón de licor de ron</t>
        </is>
      </c>
      <c r="C12" s="17" t="n">
        <v>0</v>
      </c>
      <c r="D12" s="17" t="n">
        <v>1</v>
      </c>
      <c r="E12" s="17" t="n">
        <v>2</v>
      </c>
      <c r="F12" s="17" t="n">
        <v>1</v>
      </c>
      <c r="G12" s="11">
        <f>'Coste Hora y Mano de Obra'!N12</f>
        <v>2.3</v>
      </c>
      <c r="H12" s="28">
        <f>'Escandallo por Molde y Tanda'!M75</f>
        <v>0.17288900000000001</v>
      </c>
      <c r="I12" s="28">
        <f>'Coste Hora y Mano de Obra'!K12</f>
        <v>0.48489774099012267</v>
      </c>
    </row>
    <row r="13" ht="30" customHeight="1">
      <c r="A13" t="inlineStr">
        <is>
          <t>BC7</t>
        </is>
      </c>
      <c r="B13" s="5" t="inlineStr">
        <is>
          <t>Bombón de caramelo salado</t>
        </is>
      </c>
      <c r="C13" s="17" t="n">
        <v>2</v>
      </c>
      <c r="D13" s="17" t="n">
        <v>2</v>
      </c>
      <c r="E13" s="17" t="n">
        <v>4</v>
      </c>
      <c r="F13" s="17" t="n">
        <v>3</v>
      </c>
      <c r="G13" s="11">
        <f>'Coste Hora y Mano de Obra'!N13</f>
        <v>2.0</v>
      </c>
      <c r="H13" s="28">
        <f>'Escandallo por Molde y Tanda'!M76</f>
        <v>0.1331798</v>
      </c>
      <c r="I13" s="28">
        <f>'Coste Hora y Mano de Obra'!K13</f>
        <v>0.33096468634946163</v>
      </c>
    </row>
    <row r="14" ht="30" customHeight="1">
      <c r="A14" t="inlineStr">
        <is>
          <t>BC8</t>
        </is>
      </c>
      <c r="B14" s="5" t="inlineStr">
        <is>
          <t>Bombón de praliné de cacahuete</t>
        </is>
      </c>
      <c r="C14" s="17" t="n">
        <v>1</v>
      </c>
      <c r="D14" s="17" t="n">
        <v>1</v>
      </c>
      <c r="E14" s="17" t="n">
        <v>3</v>
      </c>
      <c r="F14" s="17" t="n">
        <v>2</v>
      </c>
      <c r="G14" s="11">
        <f>'Coste Hora y Mano de Obra'!N14</f>
        <v>1.95</v>
      </c>
      <c r="H14" s="28">
        <f>'Escandallo por Molde y Tanda'!M77</f>
        <v>0.186582</v>
      </c>
      <c r="I14" s="28">
        <f>'Coste Hora y Mano de Obra'!K14</f>
        <v>0.3537944953262204</v>
      </c>
    </row>
    <row r="15" ht="30" customHeight="1">
      <c r="A15" t="inlineStr">
        <is>
          <t>BC9</t>
        </is>
      </c>
      <c r="B15" s="5" t="inlineStr">
        <is>
          <t>Bombón crujiente de sésamo y barquillo</t>
        </is>
      </c>
      <c r="C15" s="17" t="n">
        <v>1</v>
      </c>
      <c r="D15" s="17" t="n">
        <v>1</v>
      </c>
      <c r="E15" s="17" t="n">
        <v>2</v>
      </c>
      <c r="F15" s="17" t="n">
        <v>2</v>
      </c>
      <c r="G15" s="11">
        <f>'Coste Hora y Mano de Obra'!N15</f>
        <v>2.05</v>
      </c>
      <c r="H15" s="28">
        <f>'Escandallo por Molde y Tanda'!M78</f>
        <v>0.190446</v>
      </c>
      <c r="I15" s="28">
        <f>'Coste Hora y Mano de Obra'!K15</f>
        <v>0.36689799515311744</v>
      </c>
    </row>
    <row r="16" ht="30" customHeight="1">
      <c r="A16" t="inlineStr">
        <is>
          <t>BC10</t>
        </is>
      </c>
      <c r="B16" s="5" t="inlineStr">
        <is>
          <t>Bombón de naranja confitada y chocolate negro</t>
        </is>
      </c>
      <c r="C16" s="17" t="n">
        <v>1</v>
      </c>
      <c r="D16" s="17" t="n">
        <v>1</v>
      </c>
      <c r="E16" s="17" t="n">
        <v>2</v>
      </c>
      <c r="F16" s="17" t="n">
        <v>1</v>
      </c>
      <c r="G16" s="11">
        <f>'Coste Hora y Mano de Obra'!N16</f>
        <v>2.05</v>
      </c>
      <c r="H16" s="28">
        <f>'Escandallo por Molde y Tanda'!M79</f>
        <v>0.218357635</v>
      </c>
      <c r="I16" s="28">
        <f>'Coste Hora y Mano de Obra'!K16</f>
        <v>0.3920015421899097</v>
      </c>
    </row>
    <row r="17"/>
    <row r="18">
      <c r="A18" s="4" t="inlineStr">
        <is>
          <t>Lo que sale de cada caja</t>
        </is>
      </c>
    </row>
    <row r="19" ht="26" customHeight="1">
      <c r="A19" s="5" t="inlineStr">
        <is>
          <t>Unidades que lleva la caja</t>
        </is>
      </c>
      <c r="C19" s="16">
        <f>SUM(C7:C16)</f>
        <v>12.0</v>
      </c>
      <c r="D19" s="16">
        <f>SUM(D7:D16)</f>
        <v>20.0</v>
      </c>
      <c r="E19" s="16">
        <f>SUM(E7:E16)</f>
        <v>35.0</v>
      </c>
      <c r="F19" s="16">
        <f>SUM(F7:F16)</f>
        <v>24.0</v>
      </c>
    </row>
    <row r="20" ht="26" customHeight="1">
      <c r="A20" s="5" t="inlineStr">
        <is>
          <t>Peso de chocolate de la caja (g)</t>
        </is>
      </c>
      <c r="C20" s="30">
        <f>SUMPRODUCT($C$7:$C$16,'Escandallo por Molde y Tanda'!$E$70:$E$79)</f>
        <v>62.5</v>
      </c>
      <c r="D20" s="30">
        <f>SUMPRODUCT($D$7:$D$16,'Escandallo por Molde y Tanda'!$E$70:$E$79)</f>
        <v>102.5</v>
      </c>
      <c r="E20" s="30">
        <f>SUMPRODUCT($E$7:$E$16,'Escandallo por Molde y Tanda'!$E$70:$E$79)</f>
        <v>181.0</v>
      </c>
      <c r="F20" s="30">
        <f>SUMPRODUCT($F$7:$F$16,'Escandallo por Molde y Tanda'!$E$70:$E$79)</f>
        <v>123.0</v>
      </c>
    </row>
    <row r="21" ht="26" customHeight="1">
      <c r="A21" s="5" t="inlineStr">
        <is>
          <t>Peso total de la caja (g)</t>
        </is>
      </c>
      <c r="C21" s="30">
        <f>SUMPRODUCT($C$7:$C$16,'Escandallo por Molde y Tanda'!$G$70:$G$79)</f>
        <v>145.0</v>
      </c>
      <c r="D21" s="30">
        <f>SUMPRODUCT($D$7:$D$16,'Escandallo por Molde y Tanda'!$G$70:$G$79)</f>
        <v>245.0</v>
      </c>
      <c r="E21" s="30">
        <f>SUMPRODUCT($E$7:$E$16,'Escandallo por Molde y Tanda'!$G$70:$G$79)</f>
        <v>428.0</v>
      </c>
      <c r="F21" s="30">
        <f>SUMPRODUCT($F$7:$F$16,'Escandallo por Molde y Tanda'!$G$70:$G$79)</f>
        <v>293.0</v>
      </c>
    </row>
    <row r="22" ht="26" customHeight="1">
      <c r="A22" s="5" t="inlineStr">
        <is>
          <t>Porcentaje de chocolate sobre el peso TOTAL</t>
        </is>
      </c>
      <c r="C22" s="24">
        <f>IFERROR(C20/C21,"")</f>
        <v>0.43103448275862066</v>
      </c>
      <c r="D22" s="24">
        <f>IFERROR(D20/D21,"")</f>
        <v>0.41836734693877553</v>
      </c>
      <c r="E22" s="24">
        <f>IFERROR(E20/E21,"")</f>
        <v>0.42289719626168226</v>
      </c>
      <c r="F22" s="24">
        <f>IFERROR(F20/F21,"")</f>
        <v>0.4197952218430034</v>
      </c>
    </row>
    <row r="23" ht="26" customHeight="1">
      <c r="A23" s="5" t="inlineStr">
        <is>
          <t>Coste de materia de las piezas, sin merma (EUR)</t>
        </is>
      </c>
      <c r="C23" s="28">
        <f>SUMPRODUCT($C$7:$C$16,$H$7:$H$16)</f>
        <v>2.323306445</v>
      </c>
      <c r="D23" s="28">
        <f>SUMPRODUCT($D$7:$D$16,$H$7:$H$16)</f>
        <v>4.0027907449999995</v>
      </c>
      <c r="E23" s="28">
        <f>SUMPRODUCT($E$7:$E$16,$H$7:$H$16)</f>
        <v>6.9099116899999995</v>
      </c>
      <c r="F23" s="28">
        <f>SUMPRODUCT($F$7:$F$16,$H$7:$H$16)</f>
        <v>4.726446545000001</v>
      </c>
    </row>
    <row r="24" ht="26" customHeight="1">
      <c r="A24" s="5" t="inlineStr">
        <is>
          <t>Coste de materia de la caja, con su merma de montaje (EUR)</t>
        </is>
      </c>
      <c r="C24" s="28">
        <f>IFERROR(C23/(1-'Merma de Templado y Recortes'!E31),"")</f>
        <v>2.334981351758794</v>
      </c>
      <c r="D24" s="28">
        <f>IFERROR(D23/(1-'Merma de Templado y Recortes'!E32),"")</f>
        <v>4.022905271356784</v>
      </c>
      <c r="E24" s="28">
        <f>IFERROR(E23/(1-'Merma de Templado y Recortes'!E33),"")</f>
        <v>6.944634864321608</v>
      </c>
      <c r="F24" s="28">
        <f>IFERROR(F23/(1-'Merma de Templado y Recortes'!E34),"")</f>
        <v>4.750197532663317</v>
      </c>
    </row>
    <row r="25" ht="26" customHeight="1">
      <c r="A25" s="5" t="inlineStr">
        <is>
          <t>Coste de materia de esos bombones vendidos sueltos, con su merma (EUR)</t>
        </is>
      </c>
      <c r="C25" s="28">
        <f>SUMPRODUCT($C$7:$C$16,'Escandallo por Molde y Tanda'!$O$70:$O$79)</f>
        <v>2.393785424560642</v>
      </c>
      <c r="D25" s="28">
        <f>SUMPRODUCT($D$7:$D$16,'Escandallo por Molde y Tanda'!$O$70:$O$79)</f>
        <v>4.124787679921291</v>
      </c>
      <c r="E25" s="28">
        <f>SUMPRODUCT($E$7:$E$16,'Escandallo por Molde y Tanda'!$O$70:$O$79)</f>
        <v>7.1179775475091445</v>
      </c>
      <c r="F25" s="28">
        <f>SUMPRODUCT($F$7:$F$16,'Escandallo por Molde y Tanda'!$O$70:$O$79)</f>
        <v>4.864612973420134</v>
      </c>
    </row>
    <row r="26" ht="26" customHeight="1">
      <c r="A26" s="5" t="inlineStr">
        <is>
          <t>Coste de mano de obra de las piezas que lleva dentro (EUR)</t>
        </is>
      </c>
      <c r="C26" s="28">
        <f>SUMPRODUCT($C$7:$C$16,$I$7:$I$16)</f>
        <v>3.9948842435203753</v>
      </c>
      <c r="D26" s="28">
        <f>SUMPRODUCT($D$7:$D$16,$I$7:$I$16)</f>
        <v>6.632459608564096</v>
      </c>
      <c r="E26" s="28">
        <f>SUMPRODUCT($E$7:$E$16,$I$7:$I$16)</f>
        <v>11.806727083900135</v>
      </c>
      <c r="F26" s="28">
        <f>SUMPRODUCT($F$7:$F$16,$I$7:$I$16)</f>
        <v>7.98986511468716</v>
      </c>
    </row>
    <row r="27" ht="26" customHeight="1">
      <c r="A27" s="5" t="inlineStr">
        <is>
          <t>Coste de mano de obra del montaje de la caja (EUR)</t>
        </is>
      </c>
      <c r="C27" s="28">
        <f>'Coste Hora y Mano de Obra'!I31</f>
        <v>1.2389721243361553</v>
      </c>
      <c r="D27" s="28">
        <f>'Coste Hora y Mano de Obra'!I32</f>
        <v>1.8584581865042333</v>
      </c>
      <c r="E27" s="28">
        <f>'Coste Hora y Mano de Obra'!I33</f>
        <v>2.7876872797563497</v>
      </c>
      <c r="F27" s="28">
        <f>'Coste Hora y Mano de Obra'!I34</f>
        <v>3.4071733419244277</v>
      </c>
    </row>
    <row r="28" ht="26" customHeight="1">
      <c r="A28" s="5" t="inlineStr">
        <is>
          <t>COSTE TOTAL DE LA CAJA (EUR)</t>
        </is>
      </c>
      <c r="C28" s="15">
        <f>IFERROR(C24+C26+C27,"")</f>
        <v>7.568837719615325</v>
      </c>
      <c r="D28" s="15">
        <f>IFERROR(D24+D26+D27,"")</f>
        <v>12.513823066425113</v>
      </c>
      <c r="E28" s="15">
        <f>IFERROR(E24+E26+E27,"")</f>
        <v>21.53904922797809</v>
      </c>
      <c r="F28" s="15">
        <f>IFERROR(F24+F26+F27,"")</f>
        <v>16.147235989274904</v>
      </c>
    </row>
    <row r="29" ht="26" customHeight="1">
      <c r="A29" s="5" t="inlineStr">
        <is>
          <t>PVP de la caja, con IVA (EUR)</t>
        </is>
      </c>
      <c r="C29" s="11">
        <f>'Coste Hora y Mano de Obra'!N31</f>
        <v>20.0</v>
      </c>
      <c r="D29" s="11">
        <f>'Coste Hora y Mano de Obra'!N32</f>
        <v>28.0</v>
      </c>
      <c r="E29" s="11">
        <f>'Coste Hora y Mano de Obra'!N33</f>
        <v>45.0</v>
      </c>
      <c r="F29" s="11">
        <f>'Coste Hora y Mano de Obra'!N34</f>
        <v>34.0</v>
      </c>
    </row>
    <row r="30" ht="26" customHeight="1">
      <c r="A30" s="5" t="inlineStr">
        <is>
          <t>PVP de la caja, sin IVA (EUR)</t>
        </is>
      </c>
      <c r="C30" s="11">
        <f>'Coste Hora y Mano de Obra'!P31</f>
        <v>18.18181818181818</v>
      </c>
      <c r="D30" s="11">
        <f>'Coste Hora y Mano de Obra'!P32</f>
        <v>25.454545454545453</v>
      </c>
      <c r="E30" s="11">
        <f>'Coste Hora y Mano de Obra'!P33</f>
        <v>40.90909090909091</v>
      </c>
      <c r="F30" s="11">
        <f>'Coste Hora y Mano de Obra'!P34</f>
        <v>30.909090909090907</v>
      </c>
    </row>
    <row r="31" ht="26" customHeight="1">
      <c r="A31" s="5" t="inlineStr">
        <is>
          <t>PVP de esos bombones vendidos sueltos, con IVA (EUR)</t>
        </is>
      </c>
      <c r="C31" s="11">
        <f>SUMPRODUCT($C$7:$C$16,$G$7:$G$16)</f>
        <v>24.050000000000004</v>
      </c>
      <c r="D31" s="11">
        <f>SUMPRODUCT($D$7:$D$16,$G$7:$G$16)</f>
        <v>40.39999999999999</v>
      </c>
      <c r="E31" s="11">
        <f>SUMPRODUCT($E$7:$E$16,$G$7:$G$16)</f>
        <v>70.79999999999998</v>
      </c>
      <c r="F31" s="11">
        <f>SUMPRODUCT($F$7:$F$16,$G$7:$G$16)</f>
        <v>48.5</v>
      </c>
    </row>
    <row r="32" ht="26" customHeight="1">
      <c r="A32" s="5" t="inlineStr">
        <is>
          <t>PVP de esos bombones vendidos sueltos, sin IVA (EUR)</t>
        </is>
      </c>
      <c r="C32" s="11">
        <f>IFERROR(C31/(1+'Coste Hora y Mano de Obra'!O31),"")</f>
        <v>21.863636363636367</v>
      </c>
      <c r="D32" s="11">
        <f>IFERROR(D31/(1+'Coste Hora y Mano de Obra'!O32),"")</f>
        <v>36.72727272727272</v>
      </c>
      <c r="E32" s="11">
        <f>IFERROR(E31/(1+'Coste Hora y Mano de Obra'!O33),"")</f>
        <v>64.36363636363635</v>
      </c>
      <c r="F32" s="11">
        <f>IFERROR(F31/(1+'Coste Hora y Mano de Obra'!O34),"")</f>
        <v>44.090909090909086</v>
      </c>
    </row>
    <row r="33" ht="26" customHeight="1">
      <c r="A33" s="5" t="inlineStr">
        <is>
          <t>Precio por bombón EN CAJA, con IVA (EUR)</t>
        </is>
      </c>
      <c r="C33" s="11">
        <f>IFERROR(C29/C19,"")</f>
        <v>1.6666666666666667</v>
      </c>
      <c r="D33" s="11">
        <f>IFERROR(D29/D19,"")</f>
        <v>1.4</v>
      </c>
      <c r="E33" s="11">
        <f>IFERROR(E29/E19,"")</f>
        <v>1.2857142857142858</v>
      </c>
      <c r="F33" s="11">
        <f>IFERROR(F29/F19,"")</f>
        <v>1.4166666666666667</v>
      </c>
    </row>
    <row r="34" ht="26" customHeight="1">
      <c r="A34" s="5" t="inlineStr">
        <is>
          <t>Precio por bombón SUELTO, con IVA (EUR)</t>
        </is>
      </c>
      <c r="C34" s="11">
        <f>IFERROR(C31/C19,"")</f>
        <v>2.004166666666667</v>
      </c>
      <c r="D34" s="11">
        <f>IFERROR(D31/D19,"")</f>
        <v>2.0199999999999996</v>
      </c>
      <c r="E34" s="11">
        <f>IFERROR(E31/E19,"")</f>
        <v>2.0228571428571422</v>
      </c>
      <c r="F34" s="11">
        <f>IFERROR(F31/F19,"")</f>
        <v>2.0208333333333335</v>
      </c>
    </row>
    <row r="35" ht="26" customHeight="1">
      <c r="A35" s="5" t="inlineStr">
        <is>
          <t>Descuento que le haces al cliente por comprar la caja</t>
        </is>
      </c>
      <c r="C35" s="24">
        <f>IFERROR(1-C33/C34,"")</f>
        <v>0.16839916839916846</v>
      </c>
      <c r="D35" s="24">
        <f>IFERROR(1-D33/D34,"")</f>
        <v>0.30693069306930687</v>
      </c>
      <c r="E35" s="24">
        <f>IFERROR(1-E33/E34,"")</f>
        <v>0.36440677966101676</v>
      </c>
      <c r="F35" s="24">
        <f>IFERROR(1-F33/F34,"")</f>
        <v>0.2989690721649485</v>
      </c>
    </row>
    <row r="36" ht="26" customHeight="1">
      <c r="A36" s="5" t="inlineStr">
        <is>
          <t>Contraste de mercado: EUR por bombón publicado (CHS-29)</t>
        </is>
      </c>
      <c r="C36" s="11" t="n">
        <v>1.67</v>
      </c>
      <c r="D36" s="11" t="n">
        <v>1.4</v>
      </c>
      <c r="E36" s="11" t="n">
        <v>1.29</v>
      </c>
      <c r="F36" t="inlineStr">
        <is>
          <t>sin dato publicado</t>
        </is>
      </c>
    </row>
    <row r="37" ht="26" customHeight="1">
      <c r="A37" s="5" t="inlineStr">
        <is>
          <t>MARGEN DE LA CAJA (EUR)</t>
        </is>
      </c>
      <c r="C37" s="15">
        <f>IFERROR(C30-C28,"")</f>
        <v>10.612980462202856</v>
      </c>
      <c r="D37" s="15">
        <f>IFERROR(D30-D28,"")</f>
        <v>12.94072238812034</v>
      </c>
      <c r="E37" s="15">
        <f>IFERROR(E30-E28,"")</f>
        <v>19.370041681112816</v>
      </c>
      <c r="F37" s="15">
        <f>IFERROR(F30-F28,"")</f>
        <v>14.761854919816003</v>
      </c>
    </row>
    <row r="38" ht="26" customHeight="1">
      <c r="A38" s="5" t="inlineStr">
        <is>
          <t>Margen vendiendo esos mismos bombones sueltos (EUR)</t>
        </is>
      </c>
      <c r="C38" s="11">
        <f>IFERROR(C32-C25-C26,"")</f>
        <v>15.474966695555352</v>
      </c>
      <c r="D38" s="11">
        <f>IFERROR(D32-D25-D26,"")</f>
        <v>25.97002543878733</v>
      </c>
      <c r="E38" s="11">
        <f>IFERROR(E32-E25-E26,"")</f>
        <v>45.43893173222707</v>
      </c>
      <c r="F38" s="11">
        <f>IFERROR(F32-F25-F26,"")</f>
        <v>31.23643100280179</v>
      </c>
    </row>
    <row r="39" ht="26" customHeight="1">
      <c r="A39" s="5" t="inlineStr">
        <is>
          <t>Diferencia de margen: la caja menos el suelto (EUR)</t>
        </is>
      </c>
      <c r="C39" s="15">
        <f>IFERROR(C37-C38,"")</f>
        <v>-4.861986233352496</v>
      </c>
      <c r="D39" s="15">
        <f>IFERROR(D37-D38,"")</f>
        <v>-13.029303050666991</v>
      </c>
      <c r="E39" s="15">
        <f>IFERROR(E37-E38,"")</f>
        <v>-26.068890051114252</v>
      </c>
      <c r="F39" s="15">
        <f>IFERROR(F37-F38,"")</f>
        <v>-16.474576082985788</v>
      </c>
    </row>
    <row r="40" ht="26" customHeight="1">
      <c r="A40" s="5" t="inlineStr">
        <is>
          <t>Veredicto</t>
        </is>
      </c>
      <c r="C40" s="14" t="str">
        <f>IF(OR(NOT(ISNUMBER(C39)),NOT(ISNUMBER(C37))),"",IF(C37&lt;=0,"La caja te cuesta dinero: su margen es cero o negativo",IF(C39&gt;=0,"La caja te gana dinero: deja más que vender esos bombones sueltos","Ganas MENOS que vendiendo sueltos: es un descuento, decide si lo quieres")))</f>
        <v>Ganas MENOS que vendiendo sueltos: es un descuento, decide si lo quieres</v>
      </c>
      <c r="D40" s="14" t="str">
        <f>IF(OR(NOT(ISNUMBER(D39)),NOT(ISNUMBER(D37))),"",IF(D37&lt;=0,"La caja te cuesta dinero: su margen es cero o negativo",IF(D39&gt;=0,"La caja te gana dinero: deja más que vender esos bombones sueltos","Ganas MENOS que vendiendo sueltos: es un descuento, decide si lo quieres")))</f>
        <v>Ganas MENOS que vendiendo sueltos: es un descuento, decide si lo quieres</v>
      </c>
      <c r="E40" s="14" t="str">
        <f>IF(OR(NOT(ISNUMBER(E39)),NOT(ISNUMBER(E37))),"",IF(E37&lt;=0,"La caja te cuesta dinero: su margen es cero o negativo",IF(E39&gt;=0,"La caja te gana dinero: deja más que vender esos bombones sueltos","Ganas MENOS que vendiendo sueltos: es un descuento, decide si lo quieres")))</f>
        <v>Ganas MENOS que vendiendo sueltos: es un descuento, decide si lo quieres</v>
      </c>
      <c r="F40" s="14" t="str">
        <f>IF(OR(NOT(ISNUMBER(F39)),NOT(ISNUMBER(F37))),"",IF(F37&lt;=0,"La caja te cuesta dinero: su margen es cero o negativo",IF(F39&gt;=0,"La caja te gana dinero: deja más que vender esos bombones sueltos","Ganas MENOS que vendiendo sueltos: es un descuento, decide si lo quieres")))</f>
        <v>Ganas MENOS que vendiendo sueltos: es un descuento, decide si lo quieres</v>
      </c>
    </row>
    <row r="41"/>
    <row r="42" ht="62" customHeight="1">
      <c r="A42" s="13" t="inlineStr">
        <is>
          <t>El contraste de mercado de la fila «EUR por bombón publicado» no es tu precio: es lo que se ve en el escaparate de otra casa, con IVA, y baja del formato pequeño al grande. Sirve para saber si tu descuento por caja se parece al del mercado, no para copiarlo. Y el estuche corporativo no tiene contraste publicado: se presupuesta por pedido, con su plazo mínimo de 14 días desde que el cliente aprueba la muestra.</t>
        </is>
      </c>
    </row>
    <row r="43"/>
    <row r="44">
      <c r="A44" s="7" t="inlineStr">
        <is>
          <t>Versión 1.0 · septiembre 2026 · aichef.pro/guia-chocolateria-obrador · info@aichef.pro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conditionalFormatting sqref="C39:F39">
    <cfRule type="expression" priority="1" dxfId="0" stopIfTrue="1">
      <formula>=AND(ISNUMBER(C$39),C$39&lt;0)</formula>
    </cfRule>
  </conditionalFormatting>
  <pageMargins left="0.39" right="0.39" top="0.59" bottom="0.59" header="0.5" footer="0.5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5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6" customWidth="1" min="1" max="1"/>
    <col width="46" customWidth="1" min="2" max="2"/>
    <col width="24" customWidth="1" min="3" max="3"/>
    <col width="13" customWidth="1" min="4" max="4"/>
    <col width="13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13" customWidth="1" min="11" max="11"/>
    <col width="62" customWidth="1" min="12" max="12"/>
  </cols>
  <sheetData>
    <row r="1">
      <c r="A1" s="1" t="inlineStr">
        <is>
          <t>Mix y Ticket Medio</t>
        </is>
      </c>
    </row>
    <row r="2">
      <c r="A2" s="2" t="inlineStr">
        <is>
          <t>AI Chef Pro · aichef.pro — Cómo Montar una Chocolatería</t>
        </is>
      </c>
    </row>
    <row r="3">
      <c r="A3" s="3" t="inlineStr">
        <is>
          <t>Dos mixes, porque en julio y en agosto no se vende lo mismo: el turista no compra ganache, compra souvenir que viaja. Los dos tienen que sumar 100 %.</t>
        </is>
      </c>
    </row>
    <row r="4"/>
    <row r="5"/>
    <row r="6" ht="60" customHeight="1">
      <c r="A6" s="8" t="inlineStr">
        <is>
          <t>Id</t>
        </is>
      </c>
      <c r="B6" s="8" t="inlineStr">
        <is>
          <t>Referencia</t>
        </is>
      </c>
      <c r="C6" s="8" t="inlineStr">
        <is>
          <t>Familia</t>
        </is>
      </c>
      <c r="D6" s="8" t="inlineStr">
        <is>
          <t>Mix de todo el año (%)</t>
        </is>
      </c>
      <c r="E6" s="8" t="inlineStr">
        <is>
          <t>Mix de julio y agosto (%)</t>
        </is>
      </c>
      <c r="F6" s="8" t="inlineStr">
        <is>
          <t>PVP con IVA (EUR)</t>
        </is>
      </c>
      <c r="G6" s="8" t="inlineStr">
        <is>
          <t>PVP sin IVA (EUR)</t>
        </is>
      </c>
      <c r="H6" s="8" t="inlineStr">
        <is>
          <t>Coste de materia con merma (EUR)</t>
        </is>
      </c>
      <c r="I6" s="8" t="inlineStr">
        <is>
          <t>Aportación al PVP medio del año (EUR)</t>
        </is>
      </c>
      <c r="J6" s="8" t="inlineStr">
        <is>
          <t>Aportación al PVP medio de julio y agosto (EUR)</t>
        </is>
      </c>
      <c r="K6" s="8" t="inlineStr">
        <is>
          <t>Unidades al año</t>
        </is>
      </c>
      <c r="L6" s="8" t="inlineStr">
        <is>
          <t>Nota</t>
        </is>
      </c>
    </row>
    <row r="7" ht="26" customHeight="1">
      <c r="A7" t="inlineStr">
        <is>
          <t>BC1</t>
        </is>
      </c>
      <c r="B7" s="5" t="inlineStr">
        <is>
          <t>Bombón de ganache de chocolate negro 70 %</t>
        </is>
      </c>
      <c r="C7" t="inlineStr">
        <is>
          <t>Bombones de colección</t>
        </is>
      </c>
      <c r="D7" s="9" t="n">
        <v>6</v>
      </c>
      <c r="E7" s="9" t="n">
        <v>2</v>
      </c>
      <c r="F7" s="11">
        <f>'Coste Hora y Mano de Obra'!N7</f>
        <v>2.0</v>
      </c>
      <c r="G7" s="28">
        <f>'Coste Hora y Mano de Obra'!P7</f>
        <v>1.8181818181818181</v>
      </c>
      <c r="H7" s="28">
        <f>'Coste Hora y Mano de Obra'!L7</f>
        <v>0.22433612371134018</v>
      </c>
      <c r="I7" s="28">
        <f>IFERROR(F7*D7/100,"")</f>
        <v>0.12</v>
      </c>
      <c r="J7" s="28">
        <f>IFERROR(F7*E7/100,"")</f>
        <v>0.04</v>
      </c>
      <c r="K7" s="12">
        <f>IFERROR('Parámetros'!$B$38*D7/100,"")</f>
        <v>1710.912</v>
      </c>
    </row>
    <row r="8" ht="26" customHeight="1">
      <c r="A8" t="inlineStr">
        <is>
          <t>BC2</t>
        </is>
      </c>
      <c r="B8" s="5" t="inlineStr">
        <is>
          <t>Bombón de ganache de leche y vainilla</t>
        </is>
      </c>
      <c r="C8" t="inlineStr">
        <is>
          <t>Bombones de colección</t>
        </is>
      </c>
      <c r="D8" s="9" t="n">
        <v>5</v>
      </c>
      <c r="E8" s="9" t="n">
        <v>4</v>
      </c>
      <c r="F8" s="11">
        <f>'Coste Hora y Mano de Obra'!N8</f>
        <v>1.95</v>
      </c>
      <c r="G8" s="28">
        <f>'Coste Hora y Mano de Obra'!P8</f>
        <v>1.7727272727272725</v>
      </c>
      <c r="H8" s="28">
        <f>'Coste Hora y Mano de Obra'!L8</f>
        <v>0.1965814432989691</v>
      </c>
      <c r="I8" s="28">
        <f>IFERROR(F8*D8/100,"")</f>
        <v>0.0975</v>
      </c>
      <c r="J8" s="28">
        <f>IFERROR(F8*E8/100,"")</f>
        <v>0.078</v>
      </c>
      <c r="K8" s="12">
        <f>IFERROR('Parámetros'!$B$38*D8/100,"")</f>
        <v>1425.76</v>
      </c>
    </row>
    <row r="9" ht="26" customHeight="1">
      <c r="A9" t="inlineStr">
        <is>
          <t>BC3</t>
        </is>
      </c>
      <c r="B9" s="5" t="inlineStr">
        <is>
          <t>Bombón de praliné de avellana</t>
        </is>
      </c>
      <c r="C9" t="inlineStr">
        <is>
          <t>Bombones de colección</t>
        </is>
      </c>
      <c r="D9" s="9" t="n">
        <v>6</v>
      </c>
      <c r="E9" s="9" t="n">
        <v>5</v>
      </c>
      <c r="F9" s="11">
        <f>'Coste Hora y Mano de Obra'!N9</f>
        <v>2.1</v>
      </c>
      <c r="G9" s="28">
        <f>'Coste Hora y Mano de Obra'!P9</f>
        <v>1.909090909090909</v>
      </c>
      <c r="H9" s="28">
        <f>'Coste Hora y Mano de Obra'!L9</f>
        <v>0.21780408163265308</v>
      </c>
      <c r="I9" s="28">
        <f>IFERROR(F9*D9/100,"")</f>
        <v>0.126</v>
      </c>
      <c r="J9" s="28">
        <f>IFERROR(F9*E9/100,"")</f>
        <v>0.105</v>
      </c>
      <c r="K9" s="12">
        <f>IFERROR('Parámetros'!$B$38*D9/100,"")</f>
        <v>1710.912</v>
      </c>
    </row>
    <row r="10" ht="26" customHeight="1">
      <c r="A10" t="inlineStr">
        <is>
          <t>BC4</t>
        </is>
      </c>
      <c r="B10" s="5" t="inlineStr">
        <is>
          <t>Bombón de gianduja de avellana</t>
        </is>
      </c>
      <c r="C10" t="inlineStr">
        <is>
          <t>Bombones de colección</t>
        </is>
      </c>
      <c r="D10" s="9" t="n">
        <v>4</v>
      </c>
      <c r="E10" s="9" t="n">
        <v>3</v>
      </c>
      <c r="F10" s="11">
        <f>'Coste Hora y Mano de Obra'!N10</f>
        <v>2.1</v>
      </c>
      <c r="G10" s="28">
        <f>'Coste Hora y Mano de Obra'!P10</f>
        <v>1.909090909090909</v>
      </c>
      <c r="H10" s="28">
        <f>'Coste Hora y Mano de Obra'!L10</f>
        <v>0.2289219387755102</v>
      </c>
      <c r="I10" s="28">
        <f>IFERROR(F10*D10/100,"")</f>
        <v>0.084</v>
      </c>
      <c r="J10" s="28">
        <f>IFERROR(F10*E10/100,"")</f>
        <v>0.063</v>
      </c>
      <c r="K10" s="12">
        <f>IFERROR('Parámetros'!$B$38*D10/100,"")</f>
        <v>1140.608</v>
      </c>
    </row>
    <row r="11" ht="26" customHeight="1">
      <c r="A11" t="inlineStr">
        <is>
          <t>BC5</t>
        </is>
      </c>
      <c r="B11" s="5" t="inlineStr">
        <is>
          <t>Trufa de chocolate negro al cacao</t>
        </is>
      </c>
      <c r="C11" t="inlineStr">
        <is>
          <t>Bombones de colección</t>
        </is>
      </c>
      <c r="D11" s="9" t="n">
        <v>5</v>
      </c>
      <c r="E11" s="9" t="n">
        <v>2</v>
      </c>
      <c r="F11" s="11">
        <f>'Coste Hora y Mano de Obra'!N11</f>
        <v>1.9</v>
      </c>
      <c r="G11" s="28">
        <f>'Coste Hora y Mano de Obra'!P11</f>
        <v>1.727272727272727</v>
      </c>
      <c r="H11" s="28">
        <f>'Coste Hora y Mano de Obra'!L11</f>
        <v>0.22717201041666665</v>
      </c>
      <c r="I11" s="28">
        <f>IFERROR(F11*D11/100,"")</f>
        <v>0.095</v>
      </c>
      <c r="J11" s="28">
        <f>IFERROR(F11*E11/100,"")</f>
        <v>0.038</v>
      </c>
      <c r="K11" s="12">
        <f>IFERROR('Parámetros'!$B$38*D11/100,"")</f>
        <v>1425.76</v>
      </c>
    </row>
    <row r="12" ht="26" customHeight="1">
      <c r="A12" t="inlineStr">
        <is>
          <t>BC6</t>
        </is>
      </c>
      <c r="B12" s="5" t="inlineStr">
        <is>
          <t>Bombón de licor de ron</t>
        </is>
      </c>
      <c r="C12" t="inlineStr">
        <is>
          <t>Bombones de colección</t>
        </is>
      </c>
      <c r="D12" s="9" t="n">
        <v>3</v>
      </c>
      <c r="E12" s="9" t="n">
        <v>3</v>
      </c>
      <c r="F12" s="11">
        <f>'Coste Hora y Mano de Obra'!N12</f>
        <v>2.3</v>
      </c>
      <c r="G12" s="28">
        <f>'Coste Hora y Mano de Obra'!P12</f>
        <v>2.0909090909090904</v>
      </c>
      <c r="H12" s="28">
        <f>'Coste Hora y Mano de Obra'!L12</f>
        <v>0.18009270833333335</v>
      </c>
      <c r="I12" s="28">
        <f>IFERROR(F12*D12/100,"")</f>
        <v>0.06899999999999999</v>
      </c>
      <c r="J12" s="28">
        <f>IFERROR(F12*E12/100,"")</f>
        <v>0.06899999999999999</v>
      </c>
      <c r="K12" s="12">
        <f>IFERROR('Parámetros'!$B$38*D12/100,"")</f>
        <v>855.456</v>
      </c>
    </row>
    <row r="13" ht="26" customHeight="1">
      <c r="A13" t="inlineStr">
        <is>
          <t>BC7</t>
        </is>
      </c>
      <c r="B13" s="5" t="inlineStr">
        <is>
          <t>Bombón de caramelo salado</t>
        </is>
      </c>
      <c r="C13" t="inlineStr">
        <is>
          <t>Bombones de colección</t>
        </is>
      </c>
      <c r="D13" s="9" t="n">
        <v>4</v>
      </c>
      <c r="E13" s="9" t="n">
        <v>2</v>
      </c>
      <c r="F13" s="11">
        <f>'Coste Hora y Mano de Obra'!N13</f>
        <v>2.0</v>
      </c>
      <c r="G13" s="28">
        <f>'Coste Hora y Mano de Obra'!P13</f>
        <v>1.8181818181818181</v>
      </c>
      <c r="H13" s="28">
        <f>'Coste Hora y Mano de Obra'!L13</f>
        <v>0.13729876288659792</v>
      </c>
      <c r="I13" s="28">
        <f>IFERROR(F13*D13/100,"")</f>
        <v>0.08</v>
      </c>
      <c r="J13" s="28">
        <f>IFERROR(F13*E13/100,"")</f>
        <v>0.04</v>
      </c>
      <c r="K13" s="12">
        <f>IFERROR('Parámetros'!$B$38*D13/100,"")</f>
        <v>1140.608</v>
      </c>
    </row>
    <row r="14" ht="26" customHeight="1">
      <c r="A14" t="inlineStr">
        <is>
          <t>BC8</t>
        </is>
      </c>
      <c r="B14" s="5" t="inlineStr">
        <is>
          <t>Bombón de praliné de cacahuete</t>
        </is>
      </c>
      <c r="C14" t="inlineStr">
        <is>
          <t>Bombones de colección</t>
        </is>
      </c>
      <c r="D14" s="9" t="n">
        <v>3</v>
      </c>
      <c r="E14" s="9" t="n">
        <v>3</v>
      </c>
      <c r="F14" s="11">
        <f>'Coste Hora y Mano de Obra'!N14</f>
        <v>1.95</v>
      </c>
      <c r="G14" s="28">
        <f>'Coste Hora y Mano de Obra'!P14</f>
        <v>1.7727272727272725</v>
      </c>
      <c r="H14" s="28">
        <f>'Coste Hora y Mano de Obra'!L14</f>
        <v>0.19038979591836735</v>
      </c>
      <c r="I14" s="28">
        <f>IFERROR(F14*D14/100,"")</f>
        <v>0.058499999999999996</v>
      </c>
      <c r="J14" s="28">
        <f>IFERROR(F14*E14/100,"")</f>
        <v>0.058499999999999996</v>
      </c>
      <c r="K14" s="12">
        <f>IFERROR('Parámetros'!$B$38*D14/100,"")</f>
        <v>855.456</v>
      </c>
    </row>
    <row r="15" ht="26" customHeight="1">
      <c r="A15" t="inlineStr">
        <is>
          <t>BC9</t>
        </is>
      </c>
      <c r="B15" s="5" t="inlineStr">
        <is>
          <t>Bombón crujiente de sésamo y barquillo</t>
        </is>
      </c>
      <c r="C15" t="inlineStr">
        <is>
          <t>Bombones de colección</t>
        </is>
      </c>
      <c r="D15" s="9" t="n">
        <v>3</v>
      </c>
      <c r="E15" s="9" t="n">
        <v>3</v>
      </c>
      <c r="F15" s="11">
        <f>'Coste Hora y Mano de Obra'!N15</f>
        <v>2.05</v>
      </c>
      <c r="G15" s="28">
        <f>'Coste Hora y Mano de Obra'!P15</f>
        <v>1.8636363636363633</v>
      </c>
      <c r="H15" s="28">
        <f>'Coste Hora y Mano de Obra'!L15</f>
        <v>0.1943326530612245</v>
      </c>
      <c r="I15" s="28">
        <f>IFERROR(F15*D15/100,"")</f>
        <v>0.06149999999999999</v>
      </c>
      <c r="J15" s="28">
        <f>IFERROR(F15*E15/100,"")</f>
        <v>0.06149999999999999</v>
      </c>
      <c r="K15" s="12">
        <f>IFERROR('Parámetros'!$B$38*D15/100,"")</f>
        <v>855.456</v>
      </c>
    </row>
    <row r="16" ht="26" customHeight="1">
      <c r="A16" t="inlineStr">
        <is>
          <t>BC10</t>
        </is>
      </c>
      <c r="B16" s="5" t="inlineStr">
        <is>
          <t>Bombón de naranja confitada y chocolate negro</t>
        </is>
      </c>
      <c r="C16" t="inlineStr">
        <is>
          <t>Bombones de colección</t>
        </is>
      </c>
      <c r="D16" s="9" t="n">
        <v>3</v>
      </c>
      <c r="E16" s="9" t="n">
        <v>3</v>
      </c>
      <c r="F16" s="11">
        <f>'Coste Hora y Mano de Obra'!N16</f>
        <v>2.05</v>
      </c>
      <c r="G16" s="28">
        <f>'Coste Hora y Mano de Obra'!P16</f>
        <v>1.8636363636363633</v>
      </c>
      <c r="H16" s="28">
        <f>'Coste Hora y Mano de Obra'!L16</f>
        <v>0.22985014210526317</v>
      </c>
      <c r="I16" s="28">
        <f>IFERROR(F16*D16/100,"")</f>
        <v>0.06149999999999999</v>
      </c>
      <c r="J16" s="28">
        <f>IFERROR(F16*E16/100,"")</f>
        <v>0.06149999999999999</v>
      </c>
      <c r="K16" s="12">
        <f>IFERROR('Parámetros'!$B$38*D16/100,"")</f>
        <v>855.456</v>
      </c>
    </row>
    <row r="17" ht="26" customHeight="1">
      <c r="A17" t="inlineStr">
        <is>
          <t>TB1</t>
        </is>
      </c>
      <c r="B17" s="5" t="inlineStr">
        <is>
          <t>Tableta de chocolate negro de origen 70 %, 100 g</t>
        </is>
      </c>
      <c r="C17" t="inlineStr">
        <is>
          <t>Tabletas</t>
        </is>
      </c>
      <c r="D17" s="9" t="n">
        <v>7</v>
      </c>
      <c r="E17" s="9" t="n">
        <v>11</v>
      </c>
      <c r="F17" s="11">
        <f>'Coste Hora y Mano de Obra'!N17</f>
        <v>8.5</v>
      </c>
      <c r="G17" s="28">
        <f>'Coste Hora y Mano de Obra'!P17</f>
        <v>7.727272727272727</v>
      </c>
      <c r="H17" s="28">
        <f>'Coste Hora y Mano de Obra'!L17</f>
        <v>3.785858585858586</v>
      </c>
      <c r="I17" s="28">
        <f>IFERROR(F17*D17/100,"")</f>
        <v>0.595</v>
      </c>
      <c r="J17" s="28">
        <f>IFERROR(F17*E17/100,"")</f>
        <v>0.935</v>
      </c>
      <c r="K17" s="12">
        <f>IFERROR('Parámetros'!$B$38*D17/100,"")</f>
        <v>1996.0639999999999</v>
      </c>
    </row>
    <row r="18" ht="26" customHeight="1">
      <c r="A18" t="inlineStr">
        <is>
          <t>TB2</t>
        </is>
      </c>
      <c r="B18" s="5" t="inlineStr">
        <is>
          <t>Tableta de chocolate con leche 38 %, 100 g</t>
        </is>
      </c>
      <c r="C18" t="inlineStr">
        <is>
          <t>Tabletas</t>
        </is>
      </c>
      <c r="D18" s="9" t="n">
        <v>6</v>
      </c>
      <c r="E18" s="9" t="n">
        <v>9</v>
      </c>
      <c r="F18" s="11">
        <f>'Coste Hora y Mano de Obra'!N18</f>
        <v>5.9</v>
      </c>
      <c r="G18" s="28">
        <f>'Coste Hora y Mano de Obra'!P18</f>
        <v>5.363636363636363</v>
      </c>
      <c r="H18" s="28">
        <f>'Coste Hora y Mano de Obra'!L18</f>
        <v>1.96969696969697</v>
      </c>
      <c r="I18" s="28">
        <f>IFERROR(F18*D18/100,"")</f>
        <v>0.35400000000000004</v>
      </c>
      <c r="J18" s="28">
        <f>IFERROR(F18*E18/100,"")</f>
        <v>0.531</v>
      </c>
      <c r="K18" s="12">
        <f>IFERROR('Parámetros'!$B$38*D18/100,"")</f>
        <v>1710.912</v>
      </c>
    </row>
    <row r="19" ht="26" customHeight="1">
      <c r="A19" t="inlineStr">
        <is>
          <t>TB3</t>
        </is>
      </c>
      <c r="B19" s="5" t="inlineStr">
        <is>
          <t>Tableta de chocolate blanco 30 %, 100 g</t>
        </is>
      </c>
      <c r="C19" t="inlineStr">
        <is>
          <t>Tabletas</t>
        </is>
      </c>
      <c r="D19" s="9" t="n">
        <v>4</v>
      </c>
      <c r="E19" s="9" t="n">
        <v>6</v>
      </c>
      <c r="F19" s="11">
        <f>'Coste Hora y Mano de Obra'!N19</f>
        <v>5.9</v>
      </c>
      <c r="G19" s="28">
        <f>'Coste Hora y Mano de Obra'!P19</f>
        <v>5.363636363636363</v>
      </c>
      <c r="H19" s="28">
        <f>'Coste Hora y Mano de Obra'!L19</f>
        <v>2.121212121212121</v>
      </c>
      <c r="I19" s="28">
        <f>IFERROR(F19*D19/100,"")</f>
        <v>0.23600000000000002</v>
      </c>
      <c r="J19" s="28">
        <f>IFERROR(F19*E19/100,"")</f>
        <v>0.35400000000000004</v>
      </c>
      <c r="K19" s="12">
        <f>IFERROR('Parámetros'!$B$38*D19/100,"")</f>
        <v>1140.608</v>
      </c>
    </row>
    <row r="20" ht="26" customHeight="1">
      <c r="A20" t="inlineStr">
        <is>
          <t>TB4</t>
        </is>
      </c>
      <c r="B20" s="5" t="inlineStr">
        <is>
          <t>Tableta de chocolate negro con almendra marcona, 100 g</t>
        </is>
      </c>
      <c r="C20" t="inlineStr">
        <is>
          <t>Tabletas</t>
        </is>
      </c>
      <c r="D20" s="9" t="n">
        <v>5</v>
      </c>
      <c r="E20" s="9" t="n">
        <v>8</v>
      </c>
      <c r="F20" s="11">
        <f>'Coste Hora y Mano de Obra'!N20</f>
        <v>6.5</v>
      </c>
      <c r="G20" s="28">
        <f>'Coste Hora y Mano de Obra'!P20</f>
        <v>5.909090909090908</v>
      </c>
      <c r="H20" s="28">
        <f>'Coste Hora y Mano de Obra'!L20</f>
        <v>2.088723469387755</v>
      </c>
      <c r="I20" s="28">
        <f>IFERROR(F20*D20/100,"")</f>
        <v>0.325</v>
      </c>
      <c r="J20" s="28">
        <f>IFERROR(F20*E20/100,"")</f>
        <v>0.52</v>
      </c>
      <c r="K20" s="12">
        <f>IFERROR('Parámetros'!$B$38*D20/100,"")</f>
        <v>1425.76</v>
      </c>
    </row>
    <row r="21" ht="26" customHeight="1">
      <c r="A21" t="inlineStr">
        <is>
          <t>TB5</t>
        </is>
      </c>
      <c r="B21" s="5" t="inlineStr">
        <is>
          <t>Tableta de chocolate con leche y avellana, 100 g</t>
        </is>
      </c>
      <c r="C21" t="inlineStr">
        <is>
          <t>Tabletas</t>
        </is>
      </c>
      <c r="D21" s="9" t="n">
        <v>4</v>
      </c>
      <c r="E21" s="9" t="n">
        <v>6</v>
      </c>
      <c r="F21" s="11">
        <f>'Coste Hora y Mano de Obra'!N21</f>
        <v>6.5</v>
      </c>
      <c r="G21" s="28">
        <f>'Coste Hora y Mano de Obra'!P21</f>
        <v>5.909090909090908</v>
      </c>
      <c r="H21" s="28">
        <f>'Coste Hora y Mano de Obra'!L21</f>
        <v>1.8755102040816327</v>
      </c>
      <c r="I21" s="28">
        <f>IFERROR(F21*D21/100,"")</f>
        <v>0.26</v>
      </c>
      <c r="J21" s="28">
        <f>IFERROR(F21*E21/100,"")</f>
        <v>0.39</v>
      </c>
      <c r="K21" s="12">
        <f>IFERROR('Parámetros'!$B$38*D21/100,"")</f>
        <v>1140.608</v>
      </c>
    </row>
    <row r="22" ht="26" customHeight="1">
      <c r="A22" t="inlineStr">
        <is>
          <t>TB6</t>
        </is>
      </c>
      <c r="B22" s="5" t="inlineStr">
        <is>
          <t>Tableta rellena de praliné, 100 g</t>
        </is>
      </c>
      <c r="C22" t="inlineStr">
        <is>
          <t>Tabletas</t>
        </is>
      </c>
      <c r="D22" s="9" t="n">
        <v>3</v>
      </c>
      <c r="E22" s="9" t="n">
        <v>4</v>
      </c>
      <c r="F22" s="11">
        <f>'Coste Hora y Mano de Obra'!N22</f>
        <v>7.5</v>
      </c>
      <c r="G22" s="28">
        <f>'Coste Hora y Mano de Obra'!P22</f>
        <v>6.8181818181818175</v>
      </c>
      <c r="H22" s="28">
        <f>'Coste Hora y Mano de Obra'!L22</f>
        <v>1.8539690721649487</v>
      </c>
      <c r="I22" s="28">
        <f>IFERROR(F22*D22/100,"")</f>
        <v>0.225</v>
      </c>
      <c r="J22" s="28">
        <f>IFERROR(F22*E22/100,"")</f>
        <v>0.3</v>
      </c>
      <c r="K22" s="12">
        <f>IFERROR('Parámetros'!$B$38*D22/100,"")</f>
        <v>855.456</v>
      </c>
    </row>
    <row r="23" ht="26" customHeight="1">
      <c r="A23" t="inlineStr">
        <is>
          <t>CT1</t>
        </is>
      </c>
      <c r="B23" s="5" t="inlineStr">
        <is>
          <t>Tableta de chocolate a la taza, 200 g</t>
        </is>
      </c>
      <c r="C23" t="inlineStr">
        <is>
          <t>Chocolate a la taza</t>
        </is>
      </c>
      <c r="D23" s="9" t="n">
        <v>3</v>
      </c>
      <c r="E23" s="9" t="n">
        <v>1</v>
      </c>
      <c r="F23" s="11">
        <f>'Coste Hora y Mano de Obra'!N23</f>
        <v>6.5</v>
      </c>
      <c r="G23" s="28">
        <f>'Coste Hora y Mano de Obra'!P23</f>
        <v>5.909090909090908</v>
      </c>
      <c r="H23" s="28">
        <f>'Coste Hora y Mano de Obra'!L23</f>
        <v>2.362989898989899</v>
      </c>
      <c r="I23" s="28">
        <f>IFERROR(F23*D23/100,"")</f>
        <v>0.195</v>
      </c>
      <c r="J23" s="28">
        <f>IFERROR(F23*E23/100,"")</f>
        <v>0.065</v>
      </c>
      <c r="K23" s="12">
        <f>IFERROR('Parámetros'!$B$38*D23/100,"")</f>
        <v>855.456</v>
      </c>
    </row>
    <row r="24" ht="26" customHeight="1">
      <c r="A24" t="inlineStr">
        <is>
          <t>CT2</t>
        </is>
      </c>
      <c r="B24" s="5" t="inlineStr">
        <is>
          <t>Caja de 6 sobres monodosis de chocolate a la taza</t>
        </is>
      </c>
      <c r="C24" t="inlineStr">
        <is>
          <t>Chocolate a la taza</t>
        </is>
      </c>
      <c r="D24" s="9" t="n">
        <v>2</v>
      </c>
      <c r="E24" s="9" t="n">
        <v>0.5</v>
      </c>
      <c r="F24" s="11">
        <f>'Coste Hora y Mano de Obra'!N24</f>
        <v>7.8</v>
      </c>
      <c r="G24" s="28">
        <f>'Coste Hora y Mano de Obra'!P24</f>
        <v>7.09090909090909</v>
      </c>
      <c r="H24" s="28">
        <f>'Coste Hora y Mano de Obra'!L24</f>
        <v>2.1266909090909087</v>
      </c>
      <c r="I24" s="28">
        <f>IFERROR(F24*D24/100,"")</f>
        <v>0.156</v>
      </c>
      <c r="J24" s="28">
        <f>IFERROR(F24*E24/100,"")</f>
        <v>0.039</v>
      </c>
      <c r="K24" s="12">
        <f>IFERROR('Parámetros'!$B$38*D24/100,"")</f>
        <v>570.304</v>
      </c>
    </row>
    <row r="25" ht="26" customHeight="1">
      <c r="A25" t="inlineStr">
        <is>
          <t>CT3</t>
        </is>
      </c>
      <c r="B25" s="5" t="inlineStr">
        <is>
          <t>Chocolate a la taza servido en sala, 200 ml</t>
        </is>
      </c>
      <c r="C25" t="inlineStr">
        <is>
          <t>Chocolate a la taza</t>
        </is>
      </c>
      <c r="D25" s="9" t="n">
        <v>3</v>
      </c>
      <c r="E25" s="9" t="n">
        <v>0.5</v>
      </c>
      <c r="F25" s="11">
        <f>'Coste Hora y Mano de Obra'!N25</f>
        <v>3.2</v>
      </c>
      <c r="G25" s="28">
        <f>'Coste Hora y Mano de Obra'!P25</f>
        <v>2.909090909090909</v>
      </c>
      <c r="H25" s="28">
        <f>'Coste Hora y Mano de Obra'!L25</f>
        <v>0.5599531914893616</v>
      </c>
      <c r="I25" s="28">
        <f>IFERROR(F25*D25/100,"")</f>
        <v>0.09600000000000002</v>
      </c>
      <c r="J25" s="28">
        <f>IFERROR(F25*E25/100,"")</f>
        <v>0.016</v>
      </c>
      <c r="K25" s="12">
        <f>IFERROR('Parámetros'!$B$38*D25/100,"")</f>
        <v>855.456</v>
      </c>
    </row>
    <row r="26" ht="26" customHeight="1">
      <c r="A26" t="inlineStr">
        <is>
          <t>TF1</t>
        </is>
      </c>
      <c r="B26" s="5" t="inlineStr">
        <is>
          <t>Huevo de Pascua de chocolate con leche, 250 g</t>
        </is>
      </c>
      <c r="C26" t="inlineStr">
        <is>
          <t>Turrones, figuras y temporada</t>
        </is>
      </c>
      <c r="D26" s="9" t="n">
        <v>2</v>
      </c>
      <c r="E26" s="9" t="n">
        <v>0</v>
      </c>
      <c r="F26" s="11">
        <f>'Coste Hora y Mano de Obra'!N26</f>
        <v>18.5</v>
      </c>
      <c r="G26" s="28">
        <f>'Coste Hora y Mano de Obra'!P26</f>
        <v>16.818181818181817</v>
      </c>
      <c r="H26" s="28">
        <f>'Coste Hora y Mano de Obra'!L26</f>
        <v>4.974489795918368</v>
      </c>
      <c r="I26" s="28">
        <f>IFERROR(F26*D26/100,"")</f>
        <v>0.37</v>
      </c>
      <c r="J26" s="28">
        <f>IFERROR(F26*E26/100,"")</f>
        <v>0.0</v>
      </c>
      <c r="K26" s="12">
        <f>IFERROR('Parámetros'!$B$38*D26/100,"")</f>
        <v>570.304</v>
      </c>
    </row>
    <row r="27" ht="26" customHeight="1">
      <c r="A27" t="inlineStr">
        <is>
          <t>TF2</t>
        </is>
      </c>
      <c r="B27" s="5" t="inlineStr">
        <is>
          <t>Mona de Pascua de chocolate, 400 g</t>
        </is>
      </c>
      <c r="C27" t="inlineStr">
        <is>
          <t>Turrones, figuras y temporada</t>
        </is>
      </c>
      <c r="D27" s="9" t="n">
        <v>1.5</v>
      </c>
      <c r="E27" s="9" t="n">
        <v>0</v>
      </c>
      <c r="F27" s="11">
        <f>'Coste Hora y Mano de Obra'!N27</f>
        <v>26.0</v>
      </c>
      <c r="G27" s="28">
        <f>'Coste Hora y Mano de Obra'!P27</f>
        <v>23.636363636363633</v>
      </c>
      <c r="H27" s="28">
        <f>'Coste Hora y Mano de Obra'!L27</f>
        <v>7.814285714285715</v>
      </c>
      <c r="I27" s="28">
        <f>IFERROR(F27*D27/100,"")</f>
        <v>0.39</v>
      </c>
      <c r="J27" s="28">
        <f>IFERROR(F27*E27/100,"")</f>
        <v>0.0</v>
      </c>
      <c r="K27" s="12">
        <f>IFERROR('Parámetros'!$B$38*D27/100,"")</f>
        <v>427.728</v>
      </c>
    </row>
    <row r="28" ht="26" customHeight="1">
      <c r="A28" t="inlineStr">
        <is>
          <t>TF3</t>
        </is>
      </c>
      <c r="B28" s="5" t="inlineStr">
        <is>
          <t>Hueso de santo bañado en chocolate</t>
        </is>
      </c>
      <c r="C28" t="inlineStr">
        <is>
          <t>Turrones, figuras y temporada</t>
        </is>
      </c>
      <c r="D28" s="9" t="n">
        <v>1</v>
      </c>
      <c r="E28" s="9" t="n">
        <v>0</v>
      </c>
      <c r="F28" s="11">
        <f>'Coste Hora y Mano de Obra'!N28</f>
        <v>1.6</v>
      </c>
      <c r="G28" s="28">
        <f>'Coste Hora y Mano de Obra'!P28</f>
        <v>1.4545454545454546</v>
      </c>
      <c r="H28" s="28">
        <f>'Coste Hora y Mano de Obra'!L28</f>
        <v>0.27561542553191487</v>
      </c>
      <c r="I28" s="28">
        <f>IFERROR(F28*D28/100,"")</f>
        <v>0.016</v>
      </c>
      <c r="J28" s="28">
        <f>IFERROR(F28*E28/100,"")</f>
        <v>0.0</v>
      </c>
      <c r="K28" s="12">
        <f>IFERROR('Parámetros'!$B$38*D28/100,"")</f>
        <v>285.152</v>
      </c>
    </row>
    <row r="29" ht="26" customHeight="1">
      <c r="A29" t="inlineStr">
        <is>
          <t>TF4</t>
        </is>
      </c>
      <c r="B29" s="5" t="inlineStr">
        <is>
          <t>Turrón de chocolate con almendra, 250 g</t>
        </is>
      </c>
      <c r="C29" t="inlineStr">
        <is>
          <t>Turrones, figuras y temporada</t>
        </is>
      </c>
      <c r="D29" s="9" t="n">
        <v>2</v>
      </c>
      <c r="E29" s="9" t="n">
        <v>1</v>
      </c>
      <c r="F29" s="11">
        <f>'Coste Hora y Mano de Obra'!N29</f>
        <v>13.5</v>
      </c>
      <c r="G29" s="28">
        <f>'Coste Hora y Mano de Obra'!P29</f>
        <v>12.272727272727272</v>
      </c>
      <c r="H29" s="28">
        <f>'Coste Hora y Mano de Obra'!L29</f>
        <v>4.936779591836735</v>
      </c>
      <c r="I29" s="28">
        <f>IFERROR(F29*D29/100,"")</f>
        <v>0.27</v>
      </c>
      <c r="J29" s="28">
        <f>IFERROR(F29*E29/100,"")</f>
        <v>0.135</v>
      </c>
      <c r="K29" s="12">
        <f>IFERROR('Parámetros'!$B$38*D29/100,"")</f>
        <v>570.304</v>
      </c>
    </row>
    <row r="30" ht="26" customHeight="1">
      <c r="A30" t="inlineStr">
        <is>
          <t>TF5</t>
        </is>
      </c>
      <c r="B30" s="5" t="inlineStr">
        <is>
          <t>Almendras marcona bañadas en chocolate, bolsa de 150 g</t>
        </is>
      </c>
      <c r="C30" t="inlineStr">
        <is>
          <t>Turrones, figuras y temporada</t>
        </is>
      </c>
      <c r="D30" s="9" t="n">
        <v>3.5</v>
      </c>
      <c r="E30" s="9" t="n">
        <v>8</v>
      </c>
      <c r="F30" s="11">
        <f>'Coste Hora y Mano de Obra'!N30</f>
        <v>7.4</v>
      </c>
      <c r="G30" s="28">
        <f>'Coste Hora y Mano de Obra'!P30</f>
        <v>6.727272727272727</v>
      </c>
      <c r="H30" s="28">
        <f>'Coste Hora y Mano de Obra'!L30</f>
        <v>2.8269428571428574</v>
      </c>
      <c r="I30" s="28">
        <f>IFERROR(F30*D30/100,"")</f>
        <v>0.259</v>
      </c>
      <c r="J30" s="28">
        <f>IFERROR(F30*E30/100,"")</f>
        <v>0.5920000000000001</v>
      </c>
      <c r="K30" s="12">
        <f>IFERROR('Parámetros'!$B$38*D30/100,"")</f>
        <v>998.0319999999999</v>
      </c>
    </row>
    <row r="31" ht="26" customHeight="1">
      <c r="A31" t="inlineStr">
        <is>
          <t>CJ1</t>
        </is>
      </c>
      <c r="B31" s="5" t="inlineStr">
        <is>
          <t>Caja surtida de 12 bombones</t>
        </is>
      </c>
      <c r="C31" t="inlineStr">
        <is>
          <t>Cajas y regalo</t>
        </is>
      </c>
      <c r="D31" s="9" t="n">
        <v>5</v>
      </c>
      <c r="E31" s="9" t="n">
        <v>7</v>
      </c>
      <c r="F31" s="11">
        <f>'Coste Hora y Mano de Obra'!N31</f>
        <v>20.0</v>
      </c>
      <c r="G31" s="28">
        <f>'Coste Hora y Mano de Obra'!P31</f>
        <v>18.18181818181818</v>
      </c>
      <c r="H31" s="28">
        <f>'Coste Hora y Mano de Obra'!L31</f>
        <v>2.334981351758794</v>
      </c>
      <c r="I31" s="28">
        <f>IFERROR(F31*D31/100,"")</f>
        <v>1.0</v>
      </c>
      <c r="J31" s="28">
        <f>IFERROR(F31*E31/100,"")</f>
        <v>1.4</v>
      </c>
      <c r="K31" s="12">
        <f>IFERROR('Parámetros'!$B$38*D31/100,"")</f>
        <v>1425.76</v>
      </c>
    </row>
    <row r="32" ht="26" customHeight="1">
      <c r="A32" t="inlineStr">
        <is>
          <t>CJ2</t>
        </is>
      </c>
      <c r="B32" s="5" t="inlineStr">
        <is>
          <t>Caja surtida de 20 bombones</t>
        </is>
      </c>
      <c r="C32" t="inlineStr">
        <is>
          <t>Cajas y regalo</t>
        </is>
      </c>
      <c r="D32" s="9" t="n">
        <v>3</v>
      </c>
      <c r="E32" s="9" t="n">
        <v>5</v>
      </c>
      <c r="F32" s="11">
        <f>'Coste Hora y Mano de Obra'!N32</f>
        <v>28.0</v>
      </c>
      <c r="G32" s="28">
        <f>'Coste Hora y Mano de Obra'!P32</f>
        <v>25.454545454545453</v>
      </c>
      <c r="H32" s="28">
        <f>'Coste Hora y Mano de Obra'!L32</f>
        <v>4.022905271356784</v>
      </c>
      <c r="I32" s="28">
        <f>IFERROR(F32*D32/100,"")</f>
        <v>0.84</v>
      </c>
      <c r="J32" s="28">
        <f>IFERROR(F32*E32/100,"")</f>
        <v>1.4</v>
      </c>
      <c r="K32" s="12">
        <f>IFERROR('Parámetros'!$B$38*D32/100,"")</f>
        <v>855.456</v>
      </c>
    </row>
    <row r="33" ht="26" customHeight="1">
      <c r="A33" t="inlineStr">
        <is>
          <t>CJ3</t>
        </is>
      </c>
      <c r="B33" s="5" t="inlineStr">
        <is>
          <t>Caja surtida de 35 bombones</t>
        </is>
      </c>
      <c r="C33" t="inlineStr">
        <is>
          <t>Cajas y regalo</t>
        </is>
      </c>
      <c r="D33" s="9" t="n">
        <v>2</v>
      </c>
      <c r="E33" s="9" t="n">
        <v>2</v>
      </c>
      <c r="F33" s="11">
        <f>'Coste Hora y Mano de Obra'!N33</f>
        <v>45.0</v>
      </c>
      <c r="G33" s="28">
        <f>'Coste Hora y Mano de Obra'!P33</f>
        <v>40.90909090909091</v>
      </c>
      <c r="H33" s="28">
        <f>'Coste Hora y Mano de Obra'!L33</f>
        <v>6.944634864321608</v>
      </c>
      <c r="I33" s="28">
        <f>IFERROR(F33*D33/100,"")</f>
        <v>0.9</v>
      </c>
      <c r="J33" s="28">
        <f>IFERROR(F33*E33/100,"")</f>
        <v>0.9</v>
      </c>
      <c r="K33" s="12">
        <f>IFERROR('Parámetros'!$B$38*D33/100,"")</f>
        <v>570.304</v>
      </c>
    </row>
    <row r="34" ht="26" customHeight="1">
      <c r="A34" t="inlineStr">
        <is>
          <t>CJ4</t>
        </is>
      </c>
      <c r="B34" s="5" t="inlineStr">
        <is>
          <t>Estuche corporativo personalizado de 24 bombones</t>
        </is>
      </c>
      <c r="C34" t="inlineStr">
        <is>
          <t>Cajas y regalo</t>
        </is>
      </c>
      <c r="D34" s="9" t="n">
        <v>1</v>
      </c>
      <c r="E34" s="9" t="n">
        <v>1</v>
      </c>
      <c r="F34" s="11">
        <f>'Coste Hora y Mano de Obra'!N34</f>
        <v>34.0</v>
      </c>
      <c r="G34" s="28">
        <f>'Coste Hora y Mano de Obra'!P34</f>
        <v>30.909090909090907</v>
      </c>
      <c r="H34" s="28">
        <f>'Coste Hora y Mano de Obra'!L34</f>
        <v>4.750197532663317</v>
      </c>
      <c r="I34" s="28">
        <f>IFERROR(F34*D34/100,"")</f>
        <v>0.34</v>
      </c>
      <c r="J34" s="28">
        <f>IFERROR(F34*E34/100,"")</f>
        <v>0.34</v>
      </c>
      <c r="K34" s="12">
        <f>IFERROR('Parámetros'!$B$38*D34/100,"")</f>
        <v>285.152</v>
      </c>
    </row>
    <row r="35">
      <c r="A35" s="14" t="inlineStr">
        <is>
          <t>TOTAL</t>
        </is>
      </c>
      <c r="D35" s="34">
        <f>SUM(D7:D34)</f>
        <v>100.0</v>
      </c>
      <c r="E35" s="34">
        <f>SUM(E7:E34)</f>
        <v>100.0</v>
      </c>
      <c r="I35" s="32">
        <f>SUM(I7:I34)</f>
        <v>7.6800000000000015</v>
      </c>
      <c r="J35" s="32">
        <f>SUM(J7:J34)</f>
        <v>8.531500000000001</v>
      </c>
      <c r="K35" s="16">
        <f>SUM(K7:K34)</f>
        <v>28515.199999999986</v>
      </c>
    </row>
    <row r="36"/>
    <row r="37" ht="24" customHeight="1">
      <c r="A37" s="5" t="inlineStr">
        <is>
          <t>PVP medio ponderado con IVA (todo el año)</t>
        </is>
      </c>
      <c r="B37" s="20">
        <f>I35</f>
        <v>7.6800000000000015</v>
      </c>
    </row>
    <row r="38" ht="24" customHeight="1">
      <c r="A38" s="5" t="inlineStr">
        <is>
          <t>PVP medio ponderado con IVA (julio y agosto)</t>
        </is>
      </c>
      <c r="B38" s="20">
        <f>J35</f>
        <v>8.531500000000001</v>
      </c>
    </row>
    <row r="39" ht="24" customHeight="1">
      <c r="A39" s="5" t="inlineStr">
        <is>
          <t>Piezas por ticket</t>
        </is>
      </c>
      <c r="B39" s="26">
        <f>'Parámetros'!$B$35</f>
        <v>1.4</v>
      </c>
    </row>
    <row r="40" ht="24" customHeight="1">
      <c r="A40" s="5" t="inlineStr">
        <is>
          <t>TICKET MEDIO con IVA (todo el año)</t>
        </is>
      </c>
      <c r="B40" s="20">
        <f>IFERROR(B37*B39,"")</f>
        <v>10.752</v>
      </c>
    </row>
    <row r="41" ht="24" customHeight="1">
      <c r="A41" s="5" t="inlineStr">
        <is>
          <t>Ticket medio SIN IVA (todo el año)</t>
        </is>
      </c>
      <c r="B41" s="20">
        <f>IFERROR(B40/(1+'Parámetros'!$B$18),"")</f>
        <v>9.774545454545454</v>
      </c>
    </row>
    <row r="42" ht="24" customHeight="1">
      <c r="A42" s="5" t="inlineStr">
        <is>
          <t>Ticket medio con IVA (julio y agosto)</t>
        </is>
      </c>
      <c r="B42" s="20">
        <f>IFERROR(B38*B39,"")</f>
        <v>11.9441</v>
      </c>
    </row>
    <row r="43" ht="24" customHeight="1">
      <c r="A43" s="5" t="inlineStr">
        <is>
          <t>Food cost de escandallo de la carta (todo el año)</t>
        </is>
      </c>
      <c r="B43" s="21">
        <f>IFERROR(SUMPRODUCT(H7:H34,D7:D34)/SUMPRODUCT(G7:G34,D7:D34),"")</f>
        <v>0.25215677650282237</v>
      </c>
    </row>
    <row r="44" ht="24" customHeight="1">
      <c r="A44" s="5" t="inlineStr">
        <is>
          <t>Food cost de escandallo de la carta (julio y agosto)</t>
        </is>
      </c>
      <c r="B44" s="21">
        <f>IFERROR(SUMPRODUCT(H7:H34,E7:E34)/SUMPRODUCT(G7:G34,E7:E34),"")</f>
        <v>0.2578149537238</v>
      </c>
    </row>
    <row r="45" ht="24" customHeight="1">
      <c r="A45" s="5" t="inlineStr">
        <is>
          <t>Packaging sobre el coste de la pieza</t>
        </is>
      </c>
      <c r="B45" s="21">
        <f>'Parámetros'!$B$39</f>
        <v>0.12</v>
      </c>
    </row>
    <row r="46" ht="24" customHeight="1">
      <c r="A46" s="5" t="inlineStr">
        <is>
          <t>FOOD COST SERVIDO (el que va al plan financiero)</t>
        </is>
      </c>
      <c r="B46" s="21">
        <f>IFERROR(B43*(1+B45),"")</f>
        <v>0.28241558968316105</v>
      </c>
    </row>
    <row r="47" ht="24" customHeight="1">
      <c r="A47" s="5" t="inlineStr">
        <is>
          <t>Diferencia entre el de escandallo y el servido</t>
        </is>
      </c>
      <c r="B47" s="21">
        <f>IFERROR(B46-B43,"")</f>
        <v>0.030258813180338684</v>
      </c>
    </row>
    <row r="48" ht="24" customHeight="1">
      <c r="A48" s="5" t="inlineStr">
        <is>
          <t>Margen bruto medio con el mix de todo el año</t>
        </is>
      </c>
      <c r="B48" s="21">
        <f>IFERROR(1-B43,"")</f>
        <v>0.7478432234971777</v>
      </c>
    </row>
    <row r="49" ht="24" customHeight="1">
      <c r="A49" s="5" t="inlineStr">
        <is>
          <t>Margen bruto medio con el mix de julio y agosto</t>
        </is>
      </c>
      <c r="B49" s="21">
        <f>IFERROR(1-B44,"")</f>
        <v>0.7421850462762001</v>
      </c>
    </row>
    <row r="50" ht="24" customHeight="1">
      <c r="A50" s="5" t="inlineStr">
        <is>
          <t>Caída del margen al cambiar el mix en verano</t>
        </is>
      </c>
      <c r="B50" s="21">
        <f>IFERROR(B49-B48,"")</f>
        <v>-0.0056581772209776116</v>
      </c>
    </row>
    <row r="51">
      <c r="A51" s="14" t="inlineStr">
        <is>
          <t>Comprobación: los dos mixes suman 100 %</t>
        </is>
      </c>
      <c r="B51" s="14" t="str">
        <f>IF(OR(NOT(ISNUMBER(D35)),NOT(ISNUMBER(E35))),"",IF(AND(D35=100,E35=100),"CUADRAN los dos mixes","REVISA: alguno de los dos mixes no suma 100"))</f>
        <v>CUADRAN los dos mixes</v>
      </c>
    </row>
    <row r="52"/>
    <row r="53" ht="62" customHeight="1">
      <c r="A53" s="13" t="inlineStr">
        <is>
          <t>El food cost de escandallo y el que llega a la cuenta de resultados NO coinciden, y está bien: al de la pieza hay que sumarle el packaging, que en bombonería pesa porque la caja ES el producto. Esa diferencia es tu colchón, no un error. Y el ticket medio de aquí es el tuyo: no existe un ticket medio publicado de chocolatería, así que mídelo con el TPV en dos semanas y sustitúyelo.</t>
        </is>
      </c>
    </row>
    <row r="54"/>
    <row r="55">
      <c r="A55" s="7" t="inlineStr">
        <is>
          <t>Versión 1.0 · septiembre 2026 · aichef.pro/guia-chocolateria-obrador · info@aichef.pro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pageMargins left="0.39" right="0.39" top="0.59" bottom="0.59" header="0.5" footer="0.5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4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24" customWidth="1" min="3" max="3"/>
    <col width="13" customWidth="1" min="4" max="4"/>
    <col width="12" customWidth="1" min="5" max="5"/>
    <col width="13" customWidth="1" min="6" max="6"/>
    <col width="14" customWidth="1" min="7" max="7"/>
    <col width="12" customWidth="1" min="8" max="8"/>
    <col width="14" customWidth="1" min="9" max="9"/>
    <col width="14" customWidth="1" min="10" max="10"/>
    <col width="20" customWidth="1" min="11" max="11"/>
    <col width="66" customWidth="1" min="12" max="12"/>
  </cols>
  <sheetData>
    <row r="1">
      <c r="A1" s="1" t="inlineStr">
        <is>
          <t>Decisión de Surtido</t>
        </is>
      </c>
    </row>
    <row r="2">
      <c r="A2" s="2" t="inlineStr">
        <is>
          <t>AI Chef Pro · aichef.pro — Cómo Montar una Chocolatería</t>
        </is>
      </c>
    </row>
    <row r="3">
      <c r="A3" s="3" t="inlineStr">
        <is>
          <t>Margen en EUROS por pieza contra rotación. Un 70 % de margen sobre una pieza de 0,40 EUR no paga el alquiler, y una referencia que no rota ocupa molde, cámara y cabeza.</t>
        </is>
      </c>
    </row>
    <row r="4"/>
    <row r="5"/>
    <row r="6" ht="56" customHeight="1">
      <c r="A6" s="8" t="inlineStr">
        <is>
          <t>Id</t>
        </is>
      </c>
      <c r="B6" s="8" t="inlineStr">
        <is>
          <t>Referencia</t>
        </is>
      </c>
      <c r="C6" s="8" t="inlineStr">
        <is>
          <t>Familia</t>
        </is>
      </c>
      <c r="D6" s="8" t="inlineStr">
        <is>
          <t>Margen por pieza (EUR)</t>
        </is>
      </c>
      <c r="E6" s="8" t="inlineStr">
        <is>
          <t>Margen sobre PVP</t>
        </is>
      </c>
      <c r="F6" s="8" t="inlineStr">
        <is>
          <t>Unidades al año</t>
        </is>
      </c>
      <c r="G6" s="8" t="inlineStr">
        <is>
          <t>Margen al año (EUR)</t>
        </is>
      </c>
      <c r="H6" s="8" t="inlineStr">
        <is>
          <t>Peso en el mix (%)</t>
        </is>
      </c>
      <c r="I6" s="8" t="inlineStr">
        <is>
          <t>¿Margen por encima del umbral?</t>
        </is>
      </c>
      <c r="J6" s="8" t="inlineStr">
        <is>
          <t>¿Rotación por encima del umbral?</t>
        </is>
      </c>
      <c r="K6" s="8" t="inlineStr">
        <is>
          <t>Veredicto</t>
        </is>
      </c>
      <c r="L6" s="8" t="inlineStr">
        <is>
          <t>Qué hacer</t>
        </is>
      </c>
    </row>
    <row r="7" ht="34" customHeight="1">
      <c r="A7" t="inlineStr">
        <is>
          <t>BC1</t>
        </is>
      </c>
      <c r="B7" s="5" t="inlineStr">
        <is>
          <t>Bombón de ganache de chocolate negro 70 %</t>
        </is>
      </c>
      <c r="C7" t="inlineStr">
        <is>
          <t>Bombones de colección</t>
        </is>
      </c>
      <c r="D7" s="28">
        <f>'Coste Hora y Mano de Obra'!R7</f>
        <v>1.2518488519093676</v>
      </c>
      <c r="E7" s="24">
        <f>'Coste Hora y Mano de Obra'!S7</f>
        <v>0.6885168685501522</v>
      </c>
      <c r="F7" s="12">
        <f>'Mix y Ticket Medio'!K7</f>
        <v>1710.912</v>
      </c>
      <c r="G7" s="11">
        <f>IFERROR(D7*F7,"")</f>
        <v>2141.80322291796</v>
      </c>
      <c r="H7" s="30">
        <f>'Mix y Ticket Medio'!D7</f>
        <v>6.0</v>
      </c>
      <c r="I7" t="str">
        <f>IF(NOT(ISNUMBER(D7)),"",IF(D7&gt;='Parámetros'!$B$44,"Sí","No"))</f>
        <v>Sí</v>
      </c>
      <c r="J7" t="str">
        <f>IF(NOT(ISNUMBER(H7)),"",IF(H7&gt;='Parámetros'!$B$42,"Sí","No"))</f>
        <v>Sí</v>
      </c>
      <c r="K7" t="str">
        <f>IF(OR(I7="",J7=""),"",IF(AND(I7="Sí",J7="Sí"),"Mantener",IF(I7="Sí","Revisar precio","Retirar")))</f>
        <v>Mantener</v>
      </c>
      <c r="L7" s="13" t="inlineStr">
        <is>
          <t>Si sale «Revisar precio», el primer sitio donde mirar es la columna del PVP que pide tu regla de margen, en la hoja de mano de obra.</t>
        </is>
      </c>
    </row>
    <row r="8" ht="34" customHeight="1">
      <c r="A8" t="inlineStr">
        <is>
          <t>BC2</t>
        </is>
      </c>
      <c r="B8" s="5" t="inlineStr">
        <is>
          <t>Bombón de ganache de leche y vainilla</t>
        </is>
      </c>
      <c r="C8" t="inlineStr">
        <is>
          <t>Bombones de colección</t>
        </is>
      </c>
      <c r="D8" s="28">
        <f>'Coste Hora y Mano de Obra'!R8</f>
        <v>1.234148986867193</v>
      </c>
      <c r="E8" s="24">
        <f>'Coste Hora y Mano de Obra'!S8</f>
        <v>0.6961866079763654</v>
      </c>
      <c r="F8" s="12">
        <f>'Mix y Ticket Medio'!K8</f>
        <v>1425.76</v>
      </c>
      <c r="G8" s="11">
        <f>IFERROR(D8*F8,"")</f>
        <v>1759.6002595157693</v>
      </c>
      <c r="H8" s="30">
        <f>'Mix y Ticket Medio'!D8</f>
        <v>5.0</v>
      </c>
      <c r="I8" t="str">
        <f>IF(NOT(ISNUMBER(D8)),"",IF(D8&gt;='Parámetros'!$B$44,"Sí","No"))</f>
        <v>Sí</v>
      </c>
      <c r="J8" t="str">
        <f>IF(NOT(ISNUMBER(H8)),"",IF(H8&gt;='Parámetros'!$B$42,"Sí","No"))</f>
        <v>Sí</v>
      </c>
      <c r="K8" t="str">
        <f>IF(OR(I8="",J8=""),"",IF(AND(I8="Sí",J8="Sí"),"Mantener",IF(I8="Sí","Revisar precio","Retirar")))</f>
        <v>Mantener</v>
      </c>
      <c r="L8" s="13" t="inlineStr">
        <is>
          <t>Si sale «Revisar precio», el primer sitio donde mirar es la columna del PVP que pide tu regla de margen, en la hoja de mano de obra.</t>
        </is>
      </c>
    </row>
    <row r="9" ht="34" customHeight="1">
      <c r="A9" t="inlineStr">
        <is>
          <t>BC3</t>
        </is>
      </c>
      <c r="B9" s="5" t="inlineStr">
        <is>
          <t>Bombón de praliné de avellana</t>
        </is>
      </c>
      <c r="C9" t="inlineStr">
        <is>
          <t>Bombones de colección</t>
        </is>
      </c>
      <c r="D9" s="28">
        <f>'Coste Hora y Mano de Obra'!R9</f>
        <v>1.3855384981639913</v>
      </c>
      <c r="E9" s="24">
        <f>'Coste Hora y Mano de Obra'!S9</f>
        <v>0.7257582609430431</v>
      </c>
      <c r="F9" s="12">
        <f>'Mix y Ticket Medio'!K9</f>
        <v>1710.912</v>
      </c>
      <c r="G9" s="11">
        <f>IFERROR(D9*F9,"")</f>
        <v>2370.5344429707507</v>
      </c>
      <c r="H9" s="30">
        <f>'Mix y Ticket Medio'!D9</f>
        <v>6.0</v>
      </c>
      <c r="I9" t="str">
        <f>IF(NOT(ISNUMBER(D9)),"",IF(D9&gt;='Parámetros'!$B$44,"Sí","No"))</f>
        <v>Sí</v>
      </c>
      <c r="J9" t="str">
        <f>IF(NOT(ISNUMBER(H9)),"",IF(H9&gt;='Parámetros'!$B$42,"Sí","No"))</f>
        <v>Sí</v>
      </c>
      <c r="K9" t="str">
        <f>IF(OR(I9="",J9=""),"",IF(AND(I9="Sí",J9="Sí"),"Mantener",IF(I9="Sí","Revisar precio","Retirar")))</f>
        <v>Mantener</v>
      </c>
      <c r="L9" s="13" t="inlineStr">
        <is>
          <t>Si sale «Revisar precio», el primer sitio donde mirar es la columna del PVP que pide tu regla de margen, en la hoja de mano de obra.</t>
        </is>
      </c>
    </row>
    <row r="10" ht="34" customHeight="1">
      <c r="A10" t="inlineStr">
        <is>
          <t>BC4</t>
        </is>
      </c>
      <c r="B10" s="5" t="inlineStr">
        <is>
          <t>Bombón de gianduja de avellana</t>
        </is>
      </c>
      <c r="C10" t="inlineStr">
        <is>
          <t>Bombones de colección</t>
        </is>
      </c>
      <c r="D10" s="28">
        <f>'Coste Hora y Mano de Obra'!R10</f>
        <v>1.3394779748160754</v>
      </c>
      <c r="E10" s="24">
        <f>'Coste Hora y Mano de Obra'!S10</f>
        <v>0.7016313201417539</v>
      </c>
      <c r="F10" s="12">
        <f>'Mix y Ticket Medio'!K10</f>
        <v>1140.608</v>
      </c>
      <c r="G10" s="11">
        <f>IFERROR(D10*F10,"")</f>
        <v>1527.8192938990142</v>
      </c>
      <c r="H10" s="30">
        <f>'Mix y Ticket Medio'!D10</f>
        <v>4.0</v>
      </c>
      <c r="I10" t="str">
        <f>IF(NOT(ISNUMBER(D10)),"",IF(D10&gt;='Parámetros'!$B$44,"Sí","No"))</f>
        <v>Sí</v>
      </c>
      <c r="J10" t="str">
        <f>IF(NOT(ISNUMBER(H10)),"",IF(H10&gt;='Parámetros'!$B$42,"Sí","No"))</f>
        <v>Sí</v>
      </c>
      <c r="K10" t="str">
        <f>IF(OR(I10="",J10=""),"",IF(AND(I10="Sí",J10="Sí"),"Mantener",IF(I10="Sí","Revisar precio","Retirar")))</f>
        <v>Mantener</v>
      </c>
      <c r="L10" s="13" t="inlineStr">
        <is>
          <t>Si sale «Revisar precio», el primer sitio donde mirar es la columna del PVP que pide tu regla de margen, en la hoja de mano de obra.</t>
        </is>
      </c>
    </row>
    <row r="11" ht="34" customHeight="1">
      <c r="A11" t="inlineStr">
        <is>
          <t>BC5</t>
        </is>
      </c>
      <c r="B11" s="5" t="inlineStr">
        <is>
          <t>Trufa de chocolate negro al cacao</t>
        </is>
      </c>
      <c r="C11" t="inlineStr">
        <is>
          <t>Bombones de colección</t>
        </is>
      </c>
      <c r="D11" s="28">
        <f>'Coste Hora y Mano de Obra'!R11</f>
        <v>1.2593239075368272</v>
      </c>
      <c r="E11" s="24">
        <f>'Coste Hora y Mano de Obra'!S11</f>
        <v>0.7290822622581632</v>
      </c>
      <c r="F11" s="12">
        <f>'Mix y Ticket Medio'!K11</f>
        <v>1425.76</v>
      </c>
      <c r="G11" s="11">
        <f>IFERROR(D11*F11,"")</f>
        <v>1795.4936544097068</v>
      </c>
      <c r="H11" s="30">
        <f>'Mix y Ticket Medio'!D11</f>
        <v>5.0</v>
      </c>
      <c r="I11" t="str">
        <f>IF(NOT(ISNUMBER(D11)),"",IF(D11&gt;='Parámetros'!$B$44,"Sí","No"))</f>
        <v>Sí</v>
      </c>
      <c r="J11" t="str">
        <f>IF(NOT(ISNUMBER(H11)),"",IF(H11&gt;='Parámetros'!$B$42,"Sí","No"))</f>
        <v>Sí</v>
      </c>
      <c r="K11" t="str">
        <f>IF(OR(I11="",J11=""),"",IF(AND(I11="Sí",J11="Sí"),"Mantener",IF(I11="Sí","Revisar precio","Retirar")))</f>
        <v>Mantener</v>
      </c>
      <c r="L11" s="13" t="inlineStr">
        <is>
          <t>Si sale «Revisar precio», el primer sitio donde mirar es la columna del PVP que pide tu regla de margen, en la hoja de mano de obra.</t>
        </is>
      </c>
    </row>
    <row r="12" ht="34" customHeight="1">
      <c r="A12" t="inlineStr">
        <is>
          <t>BC6</t>
        </is>
      </c>
      <c r="B12" s="5" t="inlineStr">
        <is>
          <t>Bombón de licor de ron</t>
        </is>
      </c>
      <c r="C12" t="inlineStr">
        <is>
          <t>Bombones de colección</t>
        </is>
      </c>
      <c r="D12" s="28">
        <f>'Coste Hora y Mano de Obra'!R12</f>
        <v>1.4259186415856344</v>
      </c>
      <c r="E12" s="24">
        <f>'Coste Hora y Mano de Obra'!S12</f>
        <v>0.6819610894539992</v>
      </c>
      <c r="F12" s="12">
        <f>'Mix y Ticket Medio'!K12</f>
        <v>855.456</v>
      </c>
      <c r="G12" s="11">
        <f>IFERROR(D12*F12,"")</f>
        <v>1219.8106574562805</v>
      </c>
      <c r="H12" s="30">
        <f>'Mix y Ticket Medio'!D12</f>
        <v>3.0</v>
      </c>
      <c r="I12" t="str">
        <f>IF(NOT(ISNUMBER(D12)),"",IF(D12&gt;='Parámetros'!$B$44,"Sí","No"))</f>
        <v>Sí</v>
      </c>
      <c r="J12" t="str">
        <f>IF(NOT(ISNUMBER(H12)),"",IF(H12&gt;='Parámetros'!$B$42,"Sí","No"))</f>
        <v>Sí</v>
      </c>
      <c r="K12" t="str">
        <f>IF(OR(I12="",J12=""),"",IF(AND(I12="Sí",J12="Sí"),"Mantener",IF(I12="Sí","Revisar precio","Retirar")))</f>
        <v>Mantener</v>
      </c>
      <c r="L12" s="13" t="inlineStr">
        <is>
          <t>Si sale «Revisar precio», el primer sitio donde mirar es la columna del PVP que pide tu regla de margen, en la hoja de mano de obra.</t>
        </is>
      </c>
    </row>
    <row r="13" ht="34" customHeight="1">
      <c r="A13" t="inlineStr">
        <is>
          <t>BC7</t>
        </is>
      </c>
      <c r="B13" s="5" t="inlineStr">
        <is>
          <t>Bombón de caramelo salado</t>
        </is>
      </c>
      <c r="C13" t="inlineStr">
        <is>
          <t>Bombones de colección</t>
        </is>
      </c>
      <c r="D13" s="28">
        <f>'Coste Hora y Mano de Obra'!R13</f>
        <v>1.3499183689457586</v>
      </c>
      <c r="E13" s="24">
        <f>'Coste Hora y Mano de Obra'!S13</f>
        <v>0.7424551029201673</v>
      </c>
      <c r="F13" s="12">
        <f>'Mix y Ticket Medio'!K13</f>
        <v>1140.608</v>
      </c>
      <c r="G13" s="11">
        <f>IFERROR(D13*F13,"")</f>
        <v>1539.7276909664838</v>
      </c>
      <c r="H13" s="30">
        <f>'Mix y Ticket Medio'!D13</f>
        <v>4.0</v>
      </c>
      <c r="I13" t="str">
        <f>IF(NOT(ISNUMBER(D13)),"",IF(D13&gt;='Parámetros'!$B$44,"Sí","No"))</f>
        <v>Sí</v>
      </c>
      <c r="J13" t="str">
        <f>IF(NOT(ISNUMBER(H13)),"",IF(H13&gt;='Parámetros'!$B$42,"Sí","No"))</f>
        <v>Sí</v>
      </c>
      <c r="K13" t="str">
        <f>IF(OR(I13="",J13=""),"",IF(AND(I13="Sí",J13="Sí"),"Mantener",IF(I13="Sí","Revisar precio","Retirar")))</f>
        <v>Mantener</v>
      </c>
      <c r="L13" s="13" t="inlineStr">
        <is>
          <t>Si sale «Revisar precio», el primer sitio donde mirar es la columna del PVP que pide tu regla de margen, en la hoja de mano de obra.</t>
        </is>
      </c>
    </row>
    <row r="14" ht="34" customHeight="1">
      <c r="A14" t="inlineStr">
        <is>
          <t>BC8</t>
        </is>
      </c>
      <c r="B14" s="5" t="inlineStr">
        <is>
          <t>Bombón de praliné de cacahuete</t>
        </is>
      </c>
      <c r="C14" t="inlineStr">
        <is>
          <t>Bombones de colección</t>
        </is>
      </c>
      <c r="D14" s="28">
        <f>'Coste Hora y Mano de Obra'!R14</f>
        <v>1.2285429814826847</v>
      </c>
      <c r="E14" s="24">
        <f>'Coste Hora y Mano de Obra'!S14</f>
        <v>0.6930242459645914</v>
      </c>
      <c r="F14" s="12">
        <f>'Mix y Ticket Medio'!K14</f>
        <v>855.456</v>
      </c>
      <c r="G14" s="11">
        <f>IFERROR(D14*F14,"")</f>
        <v>1050.9644647672515</v>
      </c>
      <c r="H14" s="30">
        <f>'Mix y Ticket Medio'!D14</f>
        <v>3.0</v>
      </c>
      <c r="I14" t="str">
        <f>IF(NOT(ISNUMBER(D14)),"",IF(D14&gt;='Parámetros'!$B$44,"Sí","No"))</f>
        <v>Sí</v>
      </c>
      <c r="J14" t="str">
        <f>IF(NOT(ISNUMBER(H14)),"",IF(H14&gt;='Parámetros'!$B$42,"Sí","No"))</f>
        <v>Sí</v>
      </c>
      <c r="K14" t="str">
        <f>IF(OR(I14="",J14=""),"",IF(AND(I14="Sí",J14="Sí"),"Mantener",IF(I14="Sí","Revisar precio","Retirar")))</f>
        <v>Mantener</v>
      </c>
      <c r="L14" s="13" t="inlineStr">
        <is>
          <t>Si sale «Revisar precio», el primer sitio donde mirar es la columna del PVP que pide tu regla de margen, en la hoja de mano de obra.</t>
        </is>
      </c>
    </row>
    <row r="15" ht="34" customHeight="1">
      <c r="A15" t="inlineStr">
        <is>
          <t>BC9</t>
        </is>
      </c>
      <c r="B15" s="5" t="inlineStr">
        <is>
          <t>Bombón crujiente de sésamo y barquillo</t>
        </is>
      </c>
      <c r="C15" t="inlineStr">
        <is>
          <t>Bombones de colección</t>
        </is>
      </c>
      <c r="D15" s="28">
        <f>'Coste Hora y Mano de Obra'!R15</f>
        <v>1.3024057154220214</v>
      </c>
      <c r="E15" s="24">
        <f>'Coste Hora y Mano de Obra'!S15</f>
        <v>0.6988518472996214</v>
      </c>
      <c r="F15" s="12">
        <f>'Mix y Ticket Medio'!K15</f>
        <v>855.456</v>
      </c>
      <c r="G15" s="11">
        <f>IFERROR(D15*F15,"")</f>
        <v>1114.1507836920607</v>
      </c>
      <c r="H15" s="30">
        <f>'Mix y Ticket Medio'!D15</f>
        <v>3.0</v>
      </c>
      <c r="I15" t="str">
        <f>IF(NOT(ISNUMBER(D15)),"",IF(D15&gt;='Parámetros'!$B$44,"Sí","No"))</f>
        <v>Sí</v>
      </c>
      <c r="J15" t="str">
        <f>IF(NOT(ISNUMBER(H15)),"",IF(H15&gt;='Parámetros'!$B$42,"Sí","No"))</f>
        <v>Sí</v>
      </c>
      <c r="K15" t="str">
        <f>IF(OR(I15="",J15=""),"",IF(AND(I15="Sí",J15="Sí"),"Mantener",IF(I15="Sí","Revisar precio","Retirar")))</f>
        <v>Mantener</v>
      </c>
      <c r="L15" s="13" t="inlineStr">
        <is>
          <t>Si sale «Revisar precio», el primer sitio donde mirar es la columna del PVP que pide tu regla de margen, en la hoja de mano de obra.</t>
        </is>
      </c>
    </row>
    <row r="16" ht="34" customHeight="1">
      <c r="A16" t="inlineStr">
        <is>
          <t>BC10</t>
        </is>
      </c>
      <c r="B16" s="5" t="inlineStr">
        <is>
          <t>Bombón de naranja confitada y chocolate negro</t>
        </is>
      </c>
      <c r="C16" t="inlineStr">
        <is>
          <t>Bombones de colección</t>
        </is>
      </c>
      <c r="D16" s="28">
        <f>'Coste Hora y Mano de Obra'!R16</f>
        <v>1.2417846793411904</v>
      </c>
      <c r="E16" s="24">
        <f>'Coste Hora y Mano de Obra'!S16</f>
        <v>0.6663234864757608</v>
      </c>
      <c r="F16" s="12">
        <f>'Mix y Ticket Medio'!K16</f>
        <v>855.456</v>
      </c>
      <c r="G16" s="11">
        <f>IFERROR(D16*F16,"")</f>
        <v>1062.2921546504974</v>
      </c>
      <c r="H16" s="30">
        <f>'Mix y Ticket Medio'!D16</f>
        <v>3.0</v>
      </c>
      <c r="I16" t="str">
        <f>IF(NOT(ISNUMBER(D16)),"",IF(D16&gt;='Parámetros'!$B$44,"Sí","No"))</f>
        <v>Sí</v>
      </c>
      <c r="J16" t="str">
        <f>IF(NOT(ISNUMBER(H16)),"",IF(H16&gt;='Parámetros'!$B$42,"Sí","No"))</f>
        <v>Sí</v>
      </c>
      <c r="K16" t="str">
        <f>IF(OR(I16="",J16=""),"",IF(AND(I16="Sí",J16="Sí"),"Mantener",IF(I16="Sí","Revisar precio","Retirar")))</f>
        <v>Mantener</v>
      </c>
      <c r="L16" s="13" t="inlineStr">
        <is>
          <t>Si sale «Revisar precio», el primer sitio donde mirar es la columna del PVP que pide tu regla de margen, en la hoja de mano de obra.</t>
        </is>
      </c>
    </row>
    <row r="17" ht="34" customHeight="1">
      <c r="A17" t="inlineStr">
        <is>
          <t>TB1</t>
        </is>
      </c>
      <c r="B17" s="5" t="inlineStr">
        <is>
          <t>Tableta de chocolate negro de origen 70 %, 100 g</t>
        </is>
      </c>
      <c r="C17" t="inlineStr">
        <is>
          <t>Tabletas</t>
        </is>
      </c>
      <c r="D17" s="28">
        <f>'Coste Hora y Mano de Obra'!R17</f>
        <v>3.3706839267315134</v>
      </c>
      <c r="E17" s="24">
        <f>'Coste Hora y Mano de Obra'!S17</f>
        <v>0.43620615522407824</v>
      </c>
      <c r="F17" s="12">
        <f>'Mix y Ticket Medio'!K17</f>
        <v>1996.0639999999999</v>
      </c>
      <c r="G17" s="11">
        <f>IFERROR(D17*F17,"")</f>
        <v>6728.100841527411</v>
      </c>
      <c r="H17" s="30">
        <f>'Mix y Ticket Medio'!D17</f>
        <v>7.0</v>
      </c>
      <c r="I17" t="str">
        <f>IF(NOT(ISNUMBER(D17)),"",IF(D17&gt;='Parámetros'!$B$44,"Sí","No"))</f>
        <v>Sí</v>
      </c>
      <c r="J17" t="str">
        <f>IF(NOT(ISNUMBER(H17)),"",IF(H17&gt;='Parámetros'!$B$42,"Sí","No"))</f>
        <v>Sí</v>
      </c>
      <c r="K17" t="str">
        <f>IF(OR(I17="",J17=""),"",IF(AND(I17="Sí",J17="Sí"),"Mantener",IF(I17="Sí","Revisar precio","Retirar")))</f>
        <v>Mantener</v>
      </c>
      <c r="L17" s="13" t="inlineStr">
        <is>
          <t>Si sale «Revisar precio», el primer sitio donde mirar es la columna del PVP que pide tu regla de margen, en la hoja de mano de obra.</t>
        </is>
      </c>
    </row>
    <row r="18" ht="34" customHeight="1">
      <c r="A18" t="inlineStr">
        <is>
          <t>TB2</t>
        </is>
      </c>
      <c r="B18" s="5" t="inlineStr">
        <is>
          <t>Tableta de chocolate con leche 38 %, 100 g</t>
        </is>
      </c>
      <c r="C18" t="inlineStr">
        <is>
          <t>Tabletas</t>
        </is>
      </c>
      <c r="D18" s="28">
        <f>'Coste Hora y Mano de Obra'!R18</f>
        <v>2.823209179256766</v>
      </c>
      <c r="E18" s="24">
        <f>'Coste Hora y Mano de Obra'!S18</f>
        <v>0.526361033420753</v>
      </c>
      <c r="F18" s="12">
        <f>'Mix y Ticket Medio'!K18</f>
        <v>1710.912</v>
      </c>
      <c r="G18" s="11">
        <f>IFERROR(D18*F18,"")</f>
        <v>4830.262463300553</v>
      </c>
      <c r="H18" s="30">
        <f>'Mix y Ticket Medio'!D18</f>
        <v>6.0</v>
      </c>
      <c r="I18" t="str">
        <f>IF(NOT(ISNUMBER(D18)),"",IF(D18&gt;='Parámetros'!$B$44,"Sí","No"))</f>
        <v>Sí</v>
      </c>
      <c r="J18" t="str">
        <f>IF(NOT(ISNUMBER(H18)),"",IF(H18&gt;='Parámetros'!$B$42,"Sí","No"))</f>
        <v>Sí</v>
      </c>
      <c r="K18" t="str">
        <f>IF(OR(I18="",J18=""),"",IF(AND(I18="Sí",J18="Sí"),"Mantener",IF(I18="Sí","Revisar precio","Retirar")))</f>
        <v>Mantener</v>
      </c>
      <c r="L18" s="13" t="inlineStr">
        <is>
          <t>Si sale «Revisar precio», el primer sitio donde mirar es la columna del PVP que pide tu regla de margen, en la hoja de mano de obra.</t>
        </is>
      </c>
    </row>
    <row r="19" ht="34" customHeight="1">
      <c r="A19" t="inlineStr">
        <is>
          <t>TB3</t>
        </is>
      </c>
      <c r="B19" s="5" t="inlineStr">
        <is>
          <t>Tableta de chocolate blanco 30 %, 100 g</t>
        </is>
      </c>
      <c r="C19" t="inlineStr">
        <is>
          <t>Tabletas</t>
        </is>
      </c>
      <c r="D19" s="28">
        <f>'Coste Hora y Mano de Obra'!R19</f>
        <v>2.529011474070958</v>
      </c>
      <c r="E19" s="24">
        <f>'Coste Hora y Mano de Obra'!S19</f>
        <v>0.47151061380983966</v>
      </c>
      <c r="F19" s="12">
        <f>'Mix y Ticket Medio'!K19</f>
        <v>1140.608</v>
      </c>
      <c r="G19" s="11">
        <f>IFERROR(D19*F19,"")</f>
        <v>2884.6107194171273</v>
      </c>
      <c r="H19" s="30">
        <f>'Mix y Ticket Medio'!D19</f>
        <v>4.0</v>
      </c>
      <c r="I19" t="str">
        <f>IF(NOT(ISNUMBER(D19)),"",IF(D19&gt;='Parámetros'!$B$44,"Sí","No"))</f>
        <v>Sí</v>
      </c>
      <c r="J19" t="str">
        <f>IF(NOT(ISNUMBER(H19)),"",IF(H19&gt;='Parámetros'!$B$42,"Sí","No"))</f>
        <v>Sí</v>
      </c>
      <c r="K19" t="str">
        <f>IF(OR(I19="",J19=""),"",IF(AND(I19="Sí",J19="Sí"),"Mantener",IF(I19="Sí","Revisar precio","Retirar")))</f>
        <v>Mantener</v>
      </c>
      <c r="L19" s="13" t="inlineStr">
        <is>
          <t>Si sale «Revisar precio», el primer sitio donde mirar es la columna del PVP que pide tu regla de margen, en la hoja de mano de obra.</t>
        </is>
      </c>
    </row>
    <row r="20" ht="34" customHeight="1">
      <c r="A20" t="inlineStr">
        <is>
          <t>TB4</t>
        </is>
      </c>
      <c r="B20" s="5" t="inlineStr">
        <is>
          <t>Tableta de chocolate negro con almendra marcona, 100 g</t>
        </is>
      </c>
      <c r="C20" t="inlineStr">
        <is>
          <t>Tabletas</t>
        </is>
      </c>
      <c r="D20" s="28">
        <f>'Coste Hora y Mano de Obra'!R20</f>
        <v>2.9686399509548447</v>
      </c>
      <c r="E20" s="24">
        <f>'Coste Hora y Mano de Obra'!S20</f>
        <v>0.5023852224692815</v>
      </c>
      <c r="F20" s="12">
        <f>'Mix y Ticket Medio'!K20</f>
        <v>1425.76</v>
      </c>
      <c r="G20" s="11">
        <f>IFERROR(D20*F20,"")</f>
        <v>4232.568096473379</v>
      </c>
      <c r="H20" s="30">
        <f>'Mix y Ticket Medio'!D20</f>
        <v>5.0</v>
      </c>
      <c r="I20" t="str">
        <f>IF(NOT(ISNUMBER(D20)),"",IF(D20&gt;='Parámetros'!$B$44,"Sí","No"))</f>
        <v>Sí</v>
      </c>
      <c r="J20" t="str">
        <f>IF(NOT(ISNUMBER(H20)),"",IF(H20&gt;='Parámetros'!$B$42,"Sí","No"))</f>
        <v>Sí</v>
      </c>
      <c r="K20" t="str">
        <f>IF(OR(I20="",J20=""),"",IF(AND(I20="Sí",J20="Sí"),"Mantener",IF(I20="Sí","Revisar precio","Retirar")))</f>
        <v>Mantener</v>
      </c>
      <c r="L20" s="13" t="inlineStr">
        <is>
          <t>Si sale «Revisar precio», el primer sitio donde mirar es la columna del PVP que pide tu regla de margen, en la hoja de mano de obra.</t>
        </is>
      </c>
    </row>
    <row r="21" ht="34" customHeight="1">
      <c r="A21" t="inlineStr">
        <is>
          <t>TB5</t>
        </is>
      </c>
      <c r="B21" s="5" t="inlineStr">
        <is>
          <t>Tableta de chocolate con leche y avellana, 100 g</t>
        </is>
      </c>
      <c r="C21" t="inlineStr">
        <is>
          <t>Tabletas</t>
        </is>
      </c>
      <c r="D21" s="28">
        <f>'Coste Hora y Mano de Obra'!R21</f>
        <v>3.181853216260967</v>
      </c>
      <c r="E21" s="24">
        <f>'Coste Hora y Mano de Obra'!S21</f>
        <v>0.5384674673672407</v>
      </c>
      <c r="F21" s="12">
        <f>'Mix y Ticket Medio'!K21</f>
        <v>1140.608</v>
      </c>
      <c r="G21" s="11">
        <f>IFERROR(D21*F21,"")</f>
        <v>3629.247233292989</v>
      </c>
      <c r="H21" s="30">
        <f>'Mix y Ticket Medio'!D21</f>
        <v>4.0</v>
      </c>
      <c r="I21" t="str">
        <f>IF(NOT(ISNUMBER(D21)),"",IF(D21&gt;='Parámetros'!$B$44,"Sí","No"))</f>
        <v>Sí</v>
      </c>
      <c r="J21" t="str">
        <f>IF(NOT(ISNUMBER(H21)),"",IF(H21&gt;='Parámetros'!$B$42,"Sí","No"))</f>
        <v>Sí</v>
      </c>
      <c r="K21" t="str">
        <f>IF(OR(I21="",J21=""),"",IF(AND(I21="Sí",J21="Sí"),"Mantener",IF(I21="Sí","Revisar precio","Retirar")))</f>
        <v>Mantener</v>
      </c>
      <c r="L21" s="13" t="inlineStr">
        <is>
          <t>Si sale «Revisar precio», el primer sitio donde mirar es la columna del PVP que pide tu regla de margen, en la hoja de mano de obra.</t>
        </is>
      </c>
    </row>
    <row r="22" ht="34" customHeight="1">
      <c r="A22" t="inlineStr">
        <is>
          <t>TB6</t>
        </is>
      </c>
      <c r="B22" s="5" t="inlineStr">
        <is>
          <t>Tableta rellena de praliné, 100 g</t>
        </is>
      </c>
      <c r="C22" t="inlineStr">
        <is>
          <t>Tabletas</t>
        </is>
      </c>
      <c r="D22" s="28">
        <f>'Coste Hora y Mano de Obra'!R22</f>
        <v>3.1108105024598833</v>
      </c>
      <c r="E22" s="24">
        <f>'Coste Hora y Mano de Obra'!S22</f>
        <v>0.4562522070274496</v>
      </c>
      <c r="F22" s="12">
        <f>'Mix y Ticket Medio'!K22</f>
        <v>855.456</v>
      </c>
      <c r="G22" s="11">
        <f>IFERROR(D22*F22,"")</f>
        <v>2661.1615091923222</v>
      </c>
      <c r="H22" s="30">
        <f>'Mix y Ticket Medio'!D22</f>
        <v>3.0</v>
      </c>
      <c r="I22" t="str">
        <f>IF(NOT(ISNUMBER(D22)),"",IF(D22&gt;='Parámetros'!$B$44,"Sí","No"))</f>
        <v>Sí</v>
      </c>
      <c r="J22" t="str">
        <f>IF(NOT(ISNUMBER(H22)),"",IF(H22&gt;='Parámetros'!$B$42,"Sí","No"))</f>
        <v>Sí</v>
      </c>
      <c r="K22" t="str">
        <f>IF(OR(I22="",J22=""),"",IF(AND(I22="Sí",J22="Sí"),"Mantener",IF(I22="Sí","Revisar precio","Retirar")))</f>
        <v>Mantener</v>
      </c>
      <c r="L22" s="13" t="inlineStr">
        <is>
          <t>Si sale «Revisar precio», el primer sitio donde mirar es la columna del PVP que pide tu regla de margen, en la hoja de mano de obra.</t>
        </is>
      </c>
    </row>
    <row r="23" ht="34" customHeight="1">
      <c r="A23" t="inlineStr">
        <is>
          <t>CT1</t>
        </is>
      </c>
      <c r="B23" s="5" t="inlineStr">
        <is>
          <t>Tableta de chocolate a la taza, 200 g</t>
        </is>
      </c>
      <c r="C23" t="inlineStr">
        <is>
          <t>Chocolate a la taza</t>
        </is>
      </c>
      <c r="D23" s="28">
        <f>'Coste Hora y Mano de Obra'!R23</f>
        <v>2.184131179608376</v>
      </c>
      <c r="E23" s="24">
        <f>'Coste Hora y Mano de Obra'!S23</f>
        <v>0.36962219962603293</v>
      </c>
      <c r="F23" s="12">
        <f>'Mix y Ticket Medio'!K23</f>
        <v>855.456</v>
      </c>
      <c r="G23" s="11">
        <f>IFERROR(D23*F23,"")</f>
        <v>1868.4281223830628</v>
      </c>
      <c r="H23" s="30">
        <f>'Mix y Ticket Medio'!D23</f>
        <v>3.0</v>
      </c>
      <c r="I23" t="str">
        <f>IF(NOT(ISNUMBER(D23)),"",IF(D23&gt;='Parámetros'!$B$44,"Sí","No"))</f>
        <v>Sí</v>
      </c>
      <c r="J23" t="str">
        <f>IF(NOT(ISNUMBER(H23)),"",IF(H23&gt;='Parámetros'!$B$42,"Sí","No"))</f>
        <v>Sí</v>
      </c>
      <c r="K23" t="str">
        <f>IF(OR(I23="",J23=""),"",IF(AND(I23="Sí",J23="Sí"),"Mantener",IF(I23="Sí","Revisar precio","Retirar")))</f>
        <v>Mantener</v>
      </c>
      <c r="L23" s="13" t="inlineStr">
        <is>
          <t>Si sale «Revisar precio», el primer sitio donde mirar es la columna del PVP que pide tu regla de margen, en la hoja de mano de obra.</t>
        </is>
      </c>
    </row>
    <row r="24" ht="34" customHeight="1">
      <c r="A24" t="inlineStr">
        <is>
          <t>CT2</t>
        </is>
      </c>
      <c r="B24" s="5" t="inlineStr">
        <is>
          <t>Caja de 6 sobres monodosis de chocolate a la taza</t>
        </is>
      </c>
      <c r="C24" t="inlineStr">
        <is>
          <t>Chocolate a la taza</t>
        </is>
      </c>
      <c r="D24" s="28">
        <f>'Coste Hora y Mano de Obra'!R24</f>
        <v>4.142712569775005</v>
      </c>
      <c r="E24" s="24">
        <f>'Coste Hora y Mano de Obra'!S24</f>
        <v>0.5842286957375008</v>
      </c>
      <c r="F24" s="12">
        <f>'Mix y Ticket Medio'!K24</f>
        <v>570.304</v>
      </c>
      <c r="G24" s="11">
        <f>IFERROR(D24*F24,"")</f>
        <v>2362.6055493929643</v>
      </c>
      <c r="H24" s="30">
        <f>'Mix y Ticket Medio'!D24</f>
        <v>2.0</v>
      </c>
      <c r="I24" t="str">
        <f>IF(NOT(ISNUMBER(D24)),"",IF(D24&gt;='Parámetros'!$B$44,"Sí","No"))</f>
        <v>Sí</v>
      </c>
      <c r="J24" t="str">
        <f>IF(NOT(ISNUMBER(H24)),"",IF(H24&gt;='Parámetros'!$B$42,"Sí","No"))</f>
        <v>Sí</v>
      </c>
      <c r="K24" t="str">
        <f>IF(OR(I24="",J24=""),"",IF(AND(I24="Sí",J24="Sí"),"Mantener",IF(I24="Sí","Revisar precio","Retirar")))</f>
        <v>Mantener</v>
      </c>
      <c r="L24" s="13" t="inlineStr">
        <is>
          <t>Si sale «Revisar precio», el primer sitio donde mirar es la columna del PVP que pide tu regla de margen, en la hoja de mano de obra.</t>
        </is>
      </c>
    </row>
    <row r="25" ht="34" customHeight="1">
      <c r="A25" t="inlineStr">
        <is>
          <t>CT3</t>
        </is>
      </c>
      <c r="B25" s="5" t="inlineStr">
        <is>
          <t>Chocolate a la taza servido en sala, 200 ml</t>
        </is>
      </c>
      <c r="C25" t="inlineStr">
        <is>
          <t>Chocolate a la taza</t>
        </is>
      </c>
      <c r="D25" s="28">
        <f>'Coste Hora y Mano de Obra'!R25</f>
        <v>1.3655388369782964</v>
      </c>
      <c r="E25" s="24">
        <f>'Coste Hora y Mano de Obra'!S25</f>
        <v>0.46940397521128935</v>
      </c>
      <c r="F25" s="12">
        <f>'Mix y Ticket Medio'!K25</f>
        <v>855.456</v>
      </c>
      <c r="G25" s="11">
        <f>IFERROR(D25*F25,"")</f>
        <v>1168.1583913261056</v>
      </c>
      <c r="H25" s="30">
        <f>'Mix y Ticket Medio'!D25</f>
        <v>3.0</v>
      </c>
      <c r="I25" t="str">
        <f>IF(NOT(ISNUMBER(D25)),"",IF(D25&gt;='Parámetros'!$B$44,"Sí","No"))</f>
        <v>Sí</v>
      </c>
      <c r="J25" t="str">
        <f>IF(NOT(ISNUMBER(H25)),"",IF(H25&gt;='Parámetros'!$B$42,"Sí","No"))</f>
        <v>Sí</v>
      </c>
      <c r="K25" t="str">
        <f>IF(OR(I25="",J25=""),"",IF(AND(I25="Sí",J25="Sí"),"Mantener",IF(I25="Sí","Revisar precio","Retirar")))</f>
        <v>Mantener</v>
      </c>
      <c r="L25" s="13" t="inlineStr">
        <is>
          <t>Si sale «Revisar precio», el primer sitio donde mirar es la columna del PVP que pide tu regla de margen, en la hoja de mano de obra.</t>
        </is>
      </c>
    </row>
    <row r="26" ht="34" customHeight="1">
      <c r="A26" t="inlineStr">
        <is>
          <t>TF1</t>
        </is>
      </c>
      <c r="B26" s="5" t="inlineStr">
        <is>
          <t>Huevo de Pascua de chocolate con leche, 250 g</t>
        </is>
      </c>
      <c r="C26" t="inlineStr">
        <is>
          <t>Turrones, figuras y temporada</t>
        </is>
      </c>
      <c r="D26" s="28">
        <f>'Coste Hora y Mano de Obra'!R26</f>
        <v>7.912642074194332</v>
      </c>
      <c r="E26" s="24">
        <f>'Coste Hora y Mano de Obra'!S26</f>
        <v>0.47048142062777115</v>
      </c>
      <c r="F26" s="12">
        <f>'Mix y Ticket Medio'!K26</f>
        <v>570.304</v>
      </c>
      <c r="G26" s="11">
        <f>IFERROR(D26*F26,"")</f>
        <v>4512.611425481325</v>
      </c>
      <c r="H26" s="30">
        <f>'Mix y Ticket Medio'!D26</f>
        <v>2.0</v>
      </c>
      <c r="I26" t="str">
        <f>IF(NOT(ISNUMBER(D26)),"",IF(D26&gt;='Parámetros'!$B$44,"Sí","No"))</f>
        <v>Sí</v>
      </c>
      <c r="J26" t="str">
        <f>IF(NOT(ISNUMBER(H26)),"",IF(H26&gt;='Parámetros'!$B$42,"Sí","No"))</f>
        <v>Sí</v>
      </c>
      <c r="K26" t="str">
        <f>IF(OR(I26="",J26=""),"",IF(AND(I26="Sí",J26="Sí"),"Mantener",IF(I26="Sí","Revisar precio","Retirar")))</f>
        <v>Mantener</v>
      </c>
      <c r="L26" s="13" t="inlineStr">
        <is>
          <t>Retirar una referencia de campaña por rotación sería un error: no rota todo el año porque sólo se vende unas semanas. Léela con el libro de campañas al lado.</t>
        </is>
      </c>
    </row>
    <row r="27" ht="34" customHeight="1">
      <c r="A27" t="inlineStr">
        <is>
          <t>TF2</t>
        </is>
      </c>
      <c r="B27" s="5" t="inlineStr">
        <is>
          <t>Mona de Pascua de chocolate, 400 g</t>
        </is>
      </c>
      <c r="C27" t="inlineStr">
        <is>
          <t>Turrones, figuras y temporada</t>
        </is>
      </c>
      <c r="D27" s="28">
        <f>'Coste Hora y Mano de Obra'!R27</f>
        <v>4.815138067484394</v>
      </c>
      <c r="E27" s="24">
        <f>'Coste Hora y Mano de Obra'!S27</f>
        <v>0.20371737977818594</v>
      </c>
      <c r="F27" s="12">
        <f>'Mix y Ticket Medio'!K27</f>
        <v>427.728</v>
      </c>
      <c r="G27" s="11">
        <f>IFERROR(D27*F27,"")</f>
        <v>2059.569375328965</v>
      </c>
      <c r="H27" s="30">
        <f>'Mix y Ticket Medio'!D27</f>
        <v>1.5</v>
      </c>
      <c r="I27" t="str">
        <f>IF(NOT(ISNUMBER(D27)),"",IF(D27&gt;='Parámetros'!$B$44,"Sí","No"))</f>
        <v>Sí</v>
      </c>
      <c r="J27" t="str">
        <f>IF(NOT(ISNUMBER(H27)),"",IF(H27&gt;='Parámetros'!$B$42,"Sí","No"))</f>
        <v>No</v>
      </c>
      <c r="K27" t="str">
        <f>IF(OR(I27="",J27=""),"",IF(AND(I27="Sí",J27="Sí"),"Mantener",IF(I27="Sí","Revisar precio","Retirar")))</f>
        <v>Revisar precio</v>
      </c>
      <c r="L27" s="13" t="inlineStr">
        <is>
          <t>Retirar una referencia de campaña por rotación sería un error: no rota todo el año porque sólo se vende unas semanas. Léela con el libro de campañas al lado.</t>
        </is>
      </c>
    </row>
    <row r="28" ht="34" customHeight="1">
      <c r="A28" t="inlineStr">
        <is>
          <t>TF3</t>
        </is>
      </c>
      <c r="B28" s="5" t="inlineStr">
        <is>
          <t>Hueso de santo bañado en chocolate</t>
        </is>
      </c>
      <c r="C28" t="inlineStr">
        <is>
          <t>Turrones, figuras y temporada</t>
        </is>
      </c>
      <c r="D28" s="28">
        <f>'Coste Hora y Mano de Obra'!R28</f>
        <v>0.7144527798303377</v>
      </c>
      <c r="E28" s="24">
        <f>'Coste Hora y Mano de Obra'!S28</f>
        <v>0.4911862861333572</v>
      </c>
      <c r="F28" s="12">
        <f>'Mix y Ticket Medio'!K28</f>
        <v>285.152</v>
      </c>
      <c r="G28" s="11">
        <f>IFERROR(D28*F28,"")</f>
        <v>203.72763907418044</v>
      </c>
      <c r="H28" s="30">
        <f>'Mix y Ticket Medio'!D28</f>
        <v>1.0</v>
      </c>
      <c r="I28" t="str">
        <f>IF(NOT(ISNUMBER(D28)),"",IF(D28&gt;='Parámetros'!$B$44,"Sí","No"))</f>
        <v>No</v>
      </c>
      <c r="J28" t="str">
        <f>IF(NOT(ISNUMBER(H28)),"",IF(H28&gt;='Parámetros'!$B$42,"Sí","No"))</f>
        <v>No</v>
      </c>
      <c r="K28" t="str">
        <f>IF(OR(I28="",J28=""),"",IF(AND(I28="Sí",J28="Sí"),"Mantener",IF(I28="Sí","Revisar precio","Retirar")))</f>
        <v>Retirar</v>
      </c>
      <c r="L28" s="13" t="inlineStr">
        <is>
          <t>Retirar una referencia de campaña por rotación sería un error: no rota todo el año porque sólo se vende unas semanas. Léela con el libro de campañas al lado.</t>
        </is>
      </c>
    </row>
    <row r="29" ht="34" customHeight="1">
      <c r="A29" t="inlineStr">
        <is>
          <t>TF4</t>
        </is>
      </c>
      <c r="B29" s="5" t="inlineStr">
        <is>
          <t>Turrón de chocolate con almendra, 250 g</t>
        </is>
      </c>
      <c r="C29" t="inlineStr">
        <is>
          <t>Turrones, figuras y temporada</t>
        </is>
      </c>
      <c r="D29" s="28">
        <f>'Coste Hora y Mano de Obra'!R29</f>
        <v>5.76352770166289</v>
      </c>
      <c r="E29" s="24">
        <f>'Coste Hora y Mano de Obra'!S29</f>
        <v>0.4696207756910504</v>
      </c>
      <c r="F29" s="12">
        <f>'Mix y Ticket Medio'!K29</f>
        <v>570.304</v>
      </c>
      <c r="G29" s="11">
        <f>IFERROR(D29*F29,"")</f>
        <v>3286.9629023691527</v>
      </c>
      <c r="H29" s="30">
        <f>'Mix y Ticket Medio'!D29</f>
        <v>2.0</v>
      </c>
      <c r="I29" t="str">
        <f>IF(NOT(ISNUMBER(D29)),"",IF(D29&gt;='Parámetros'!$B$44,"Sí","No"))</f>
        <v>Sí</v>
      </c>
      <c r="J29" t="str">
        <f>IF(NOT(ISNUMBER(H29)),"",IF(H29&gt;='Parámetros'!$B$42,"Sí","No"))</f>
        <v>Sí</v>
      </c>
      <c r="K29" t="str">
        <f>IF(OR(I29="",J29=""),"",IF(AND(I29="Sí",J29="Sí"),"Mantener",IF(I29="Sí","Revisar precio","Retirar")))</f>
        <v>Mantener</v>
      </c>
      <c r="L29" s="13" t="inlineStr">
        <is>
          <t>Retirar una referencia de campaña por rotación sería un error: no rota todo el año porque sólo se vende unas semanas. Léela con el libro de campañas al lado.</t>
        </is>
      </c>
    </row>
    <row r="30" ht="34" customHeight="1">
      <c r="A30" t="inlineStr">
        <is>
          <t>TF5</t>
        </is>
      </c>
      <c r="B30" s="5" t="inlineStr">
        <is>
          <t>Almendras marcona bañadas en chocolate, bolsa de 150 g</t>
        </is>
      </c>
      <c r="C30" t="inlineStr">
        <is>
          <t>Turrones, figuras y temporada</t>
        </is>
      </c>
      <c r="D30" s="28">
        <f>'Coste Hora y Mano de Obra'!R30</f>
        <v>3.1534303799967374</v>
      </c>
      <c r="E30" s="24">
        <f>'Coste Hora y Mano de Obra'!S30</f>
        <v>0.46875316459410965</v>
      </c>
      <c r="F30" s="12">
        <f>'Mix y Ticket Medio'!K30</f>
        <v>998.0319999999999</v>
      </c>
      <c r="G30" s="11">
        <f>IFERROR(D30*F30,"")</f>
        <v>3147.2244290089034</v>
      </c>
      <c r="H30" s="30">
        <f>'Mix y Ticket Medio'!D30</f>
        <v>3.5</v>
      </c>
      <c r="I30" t="str">
        <f>IF(NOT(ISNUMBER(D30)),"",IF(D30&gt;='Parámetros'!$B$44,"Sí","No"))</f>
        <v>Sí</v>
      </c>
      <c r="J30" t="str">
        <f>IF(NOT(ISNUMBER(H30)),"",IF(H30&gt;='Parámetros'!$B$42,"Sí","No"))</f>
        <v>Sí</v>
      </c>
      <c r="K30" t="str">
        <f>IF(OR(I30="",J30=""),"",IF(AND(I30="Sí",J30="Sí"),"Mantener",IF(I30="Sí","Revisar precio","Retirar")))</f>
        <v>Mantener</v>
      </c>
      <c r="L30" s="13" t="inlineStr">
        <is>
          <t>Retirar una referencia de campaña por rotación sería un error: no rota todo el año porque sólo se vende unas semanas. Léela con el libro de campañas al lado.</t>
        </is>
      </c>
    </row>
    <row r="31" ht="34" customHeight="1">
      <c r="A31" t="inlineStr">
        <is>
          <t>CJ1</t>
        </is>
      </c>
      <c r="B31" s="5" t="inlineStr">
        <is>
          <t>Caja surtida de 12 bombones</t>
        </is>
      </c>
      <c r="C31" t="inlineStr">
        <is>
          <t>Cajas y regalo</t>
        </is>
      </c>
      <c r="D31" s="28">
        <f>'Coste Hora y Mano de Obra'!R31</f>
        <v>10.612980462202856</v>
      </c>
      <c r="E31" s="24">
        <f>'Coste Hora y Mano de Obra'!S31</f>
        <v>0.5837139254211572</v>
      </c>
      <c r="F31" s="12">
        <f>'Mix y Ticket Medio'!K31</f>
        <v>1425.76</v>
      </c>
      <c r="G31" s="11">
        <f>IFERROR(D31*F31,"")</f>
        <v>15131.563023790344</v>
      </c>
      <c r="H31" s="30">
        <f>'Mix y Ticket Medio'!D31</f>
        <v>5.0</v>
      </c>
      <c r="I31" t="str">
        <f>IF(NOT(ISNUMBER(D31)),"",IF(D31&gt;='Parámetros'!$B$44,"Sí","No"))</f>
        <v>Sí</v>
      </c>
      <c r="J31" t="str">
        <f>IF(NOT(ISNUMBER(H31)),"",IF(H31&gt;='Parámetros'!$B$42,"Sí","No"))</f>
        <v>Sí</v>
      </c>
      <c r="K31" t="str">
        <f>IF(OR(I31="",J31=""),"",IF(AND(I31="Sí",J31="Sí"),"Mantener",IF(I31="Sí","Revisar precio","Retirar")))</f>
        <v>Mantener</v>
      </c>
      <c r="L31" s="13" t="inlineStr">
        <is>
          <t>Si sale «Revisar precio», el primer sitio donde mirar es la columna del PVP que pide tu regla de margen, en la hoja de mano de obra.</t>
        </is>
      </c>
    </row>
    <row r="32" ht="34" customHeight="1">
      <c r="A32" t="inlineStr">
        <is>
          <t>CJ2</t>
        </is>
      </c>
      <c r="B32" s="5" t="inlineStr">
        <is>
          <t>Caja surtida de 20 bombones</t>
        </is>
      </c>
      <c r="C32" t="inlineStr">
        <is>
          <t>Cajas y regalo</t>
        </is>
      </c>
      <c r="D32" s="28">
        <f>'Coste Hora y Mano de Obra'!R32</f>
        <v>12.94072238812034</v>
      </c>
      <c r="E32" s="24">
        <f>'Coste Hora y Mano de Obra'!S32</f>
        <v>0.508385522390442</v>
      </c>
      <c r="F32" s="12">
        <f>'Mix y Ticket Medio'!K32</f>
        <v>855.456</v>
      </c>
      <c r="G32" s="11">
        <f>IFERROR(D32*F32,"")</f>
        <v>11070.218611251874</v>
      </c>
      <c r="H32" s="30">
        <f>'Mix y Ticket Medio'!D32</f>
        <v>3.0</v>
      </c>
      <c r="I32" t="str">
        <f>IF(NOT(ISNUMBER(D32)),"",IF(D32&gt;='Parámetros'!$B$44,"Sí","No"))</f>
        <v>Sí</v>
      </c>
      <c r="J32" t="str">
        <f>IF(NOT(ISNUMBER(H32)),"",IF(H32&gt;='Parámetros'!$B$42,"Sí","No"))</f>
        <v>Sí</v>
      </c>
      <c r="K32" t="str">
        <f>IF(OR(I32="",J32=""),"",IF(AND(I32="Sí",J32="Sí"),"Mantener",IF(I32="Sí","Revisar precio","Retirar")))</f>
        <v>Mantener</v>
      </c>
      <c r="L32" s="13" t="inlineStr">
        <is>
          <t>Si sale «Revisar precio», el primer sitio donde mirar es la columna del PVP que pide tu regla de margen, en la hoja de mano de obra.</t>
        </is>
      </c>
    </row>
    <row r="33" ht="34" customHeight="1">
      <c r="A33" t="inlineStr">
        <is>
          <t>CJ3</t>
        </is>
      </c>
      <c r="B33" s="5" t="inlineStr">
        <is>
          <t>Caja surtida de 35 bombones</t>
        </is>
      </c>
      <c r="C33" t="inlineStr">
        <is>
          <t>Cajas y regalo</t>
        </is>
      </c>
      <c r="D33" s="28">
        <f>'Coste Hora y Mano de Obra'!R33</f>
        <v>19.370041681112813</v>
      </c>
      <c r="E33" s="24">
        <f>'Coste Hora y Mano de Obra'!S33</f>
        <v>0.47348990776053546</v>
      </c>
      <c r="F33" s="12">
        <f>'Mix y Ticket Medio'!K33</f>
        <v>570.304</v>
      </c>
      <c r="G33" s="11">
        <f>IFERROR(D33*F33,"")</f>
        <v>11046.812250905361</v>
      </c>
      <c r="H33" s="30">
        <f>'Mix y Ticket Medio'!D33</f>
        <v>2.0</v>
      </c>
      <c r="I33" t="str">
        <f>IF(NOT(ISNUMBER(D33)),"",IF(D33&gt;='Parámetros'!$B$44,"Sí","No"))</f>
        <v>Sí</v>
      </c>
      <c r="J33" t="str">
        <f>IF(NOT(ISNUMBER(H33)),"",IF(H33&gt;='Parámetros'!$B$42,"Sí","No"))</f>
        <v>Sí</v>
      </c>
      <c r="K33" t="str">
        <f>IF(OR(I33="",J33=""),"",IF(AND(I33="Sí",J33="Sí"),"Mantener",IF(I33="Sí","Revisar precio","Retirar")))</f>
        <v>Mantener</v>
      </c>
      <c r="L33" s="13" t="inlineStr">
        <is>
          <t>Si sale «Revisar precio», el primer sitio donde mirar es la columna del PVP que pide tu regla de margen, en la hoja de mano de obra.</t>
        </is>
      </c>
    </row>
    <row r="34" ht="34" customHeight="1">
      <c r="A34" t="inlineStr">
        <is>
          <t>CJ4</t>
        </is>
      </c>
      <c r="B34" s="5" t="inlineStr">
        <is>
          <t>Estuche corporativo personalizado de 24 bombones</t>
        </is>
      </c>
      <c r="C34" t="inlineStr">
        <is>
          <t>Cajas y regalo</t>
        </is>
      </c>
      <c r="D34" s="28">
        <f>'Coste Hora y Mano de Obra'!R34</f>
        <v>14.761854919816003</v>
      </c>
      <c r="E34" s="24">
        <f>'Coste Hora y Mano de Obra'!S34</f>
        <v>0.47758942387640013</v>
      </c>
      <c r="F34" s="12">
        <f>'Mix y Ticket Medio'!K34</f>
        <v>285.152</v>
      </c>
      <c r="G34" s="11">
        <f>IFERROR(D34*F34,"")</f>
        <v>4209.372454095373</v>
      </c>
      <c r="H34" s="30">
        <f>'Mix y Ticket Medio'!D34</f>
        <v>1.0</v>
      </c>
      <c r="I34" t="str">
        <f>IF(NOT(ISNUMBER(D34)),"",IF(D34&gt;='Parámetros'!$B$44,"Sí","No"))</f>
        <v>Sí</v>
      </c>
      <c r="J34" t="str">
        <f>IF(NOT(ISNUMBER(H34)),"",IF(H34&gt;='Parámetros'!$B$42,"Sí","No"))</f>
        <v>No</v>
      </c>
      <c r="K34" t="str">
        <f>IF(OR(I34="",J34=""),"",IF(AND(I34="Sí",J34="Sí"),"Mantener",IF(I34="Sí","Revisar precio","Retirar")))</f>
        <v>Revisar precio</v>
      </c>
      <c r="L34" s="13" t="inlineStr">
        <is>
          <t>Si sale «Revisar precio», el primer sitio donde mirar es la columna del PVP que pide tu regla de margen, en la hoja de mano de obra.</t>
        </is>
      </c>
    </row>
    <row r="35">
      <c r="A35" s="14" t="inlineStr">
        <is>
          <t>TOTAL</t>
        </is>
      </c>
      <c r="G35" s="15">
        <f>SUM(G7:G34)</f>
        <v>100615.40166285716</v>
      </c>
    </row>
    <row r="36"/>
    <row r="37">
      <c r="A37" t="inlineStr">
        <is>
          <t>Referencias con veredicto «Mantener»</t>
        </is>
      </c>
      <c r="B37" s="16">
        <f>COUNTIF(K7:K34,"Mantener")</f>
        <v>25.0</v>
      </c>
    </row>
    <row r="38">
      <c r="A38" t="inlineStr">
        <is>
          <t>Referencias con veredicto «Revisar precio»</t>
        </is>
      </c>
      <c r="B38" s="16">
        <f>COUNTIF(K7:K34,"Revisar precio")</f>
        <v>2.0</v>
      </c>
    </row>
    <row r="39">
      <c r="A39" t="inlineStr">
        <is>
          <t>Referencias con veredicto «Retirar»</t>
        </is>
      </c>
      <c r="B39" s="16">
        <f>COUNTIF(K7:K34,"Retirar")</f>
        <v>1.0</v>
      </c>
    </row>
    <row r="40"/>
    <row r="41" ht="46" customHeight="1">
      <c r="A41" s="13" t="inlineStr">
        <is>
          <t>Los dos umbrales están en «Parámetros» y son criterio de la casa, no del sector: súbelos o bájalos con tus números. Lo que no se puede es decidir el surtido con el margen en PORCENTAJE, que es lo que hace parecer rentable lo que sólo es barato.</t>
        </is>
      </c>
    </row>
    <row r="42"/>
    <row r="43">
      <c r="A43" s="7" t="inlineStr">
        <is>
          <t>Versión 1.0 · septiembre 2026 · aichef.pro/guia-chocolateria-obrador · info@aichef.pro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conditionalFormatting sqref="K7:K34">
    <cfRule type="cellIs" priority="1" operator="equal" dxfId="0" stopIfTrue="1">
      <formula>"Retirar"</formula>
    </cfRule>
    <cfRule type="cellIs" priority="2" operator="equal" dxfId="1" stopIfTrue="1">
      <formula>"Revisar precio"</formula>
    </cfRule>
    <cfRule type="cellIs" priority="3" operator="equal" dxfId="2" stopIfTrue="1">
      <formula>"Mantener"</formula>
    </cfRule>
  </conditionalFormatting>
  <pageMargins left="0.39" right="0.39" top="0.59" bottom="0.59" header="0.5" footer="0.5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Carta de Apertura y Escandallo del Obrador de Bombonería</dc:title>
  <dc:subject xmlns:dc="http://purl.org/dc/elements/1.1/">Cómo Montar una Chocolatería · Versión 1.0 · septiembre 2026</dc:subject>
  <dcterms:created xmlns:dcterms="http://purl.org/dc/terms/" xmlns:xsi="http://www.w3.org/2001/XMLSchema-instance" xsi:type="dcterms:W3CDTF">2026-09-19T13:21:00Z</dcterms:created>
  <dcterms:modified xmlns:dcterms="http://purl.org/dc/terms/" xmlns:xsi="http://www.w3.org/2001/XMLSchema-instance" xsi:type="dcterms:W3CDTF">2026-09-19T13:21:01Z</dcterms:modified>
  <cp:lastModifiedBy>AI Chef Pro</cp:lastModifiedBy>
</cp:coreProperties>
</file>