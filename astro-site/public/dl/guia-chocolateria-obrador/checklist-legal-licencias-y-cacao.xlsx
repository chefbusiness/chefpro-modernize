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hecklist Legal (F1-F6)" sheetId="2" state="visible" r:id="rId2"/>
    <sheet xmlns:r="http://schemas.openxmlformats.org/officeDocument/2006/relationships" name="Árbol de Registro Sanitario" sheetId="3" state="visible" r:id="rId3"/>
    <sheet xmlns:r="http://schemas.openxmlformats.org/officeDocument/2006/relationships" name="Suministro a Otros Minoristas" sheetId="4" state="visible" r:id="rId4"/>
    <sheet xmlns:r="http://schemas.openxmlformats.org/officeDocument/2006/relationships" name="Ruta Doméstica" sheetId="5" state="visible" r:id="rId5"/>
    <sheet xmlns:r="http://schemas.openxmlformats.org/officeDocument/2006/relationships" name="Cadmio y Analíticas" sheetId="6" state="visible" r:id="rId6"/>
    <sheet xmlns:r="http://schemas.openxmlformats.org/officeDocument/2006/relationships" name="EUDR — Tu Papel en la Cadena" sheetId="7" state="visible" r:id="rId7"/>
    <sheet xmlns:r="http://schemas.openxmlformats.org/officeDocument/2006/relationships" name="Registro de Formación" sheetId="8" state="visible" r:id="rId8"/>
    <sheet xmlns:r="http://schemas.openxmlformats.org/officeDocument/2006/relationships" name="Cronograma y Ruta Crítica" sheetId="9" state="visible" r:id="rId9"/>
  </sheets>
  <definedNames>
    <definedName name="_xlnm.Print_Area" localSheetId="0">'Instrucciones'!$A$1:$C$40</definedName>
    <definedName name="_xlnm.Print_Titles" localSheetId="1">'Checklist Legal (F1-F6)'!$5:$5</definedName>
    <definedName name="_xlnm.Print_Area" localSheetId="1">'Checklist Legal (F1-F6)'!$A$1:$K$97</definedName>
    <definedName name="_xlnm.Print_Area" localSheetId="2">'Árbol de Registro Sanitario'!$A$1:$C$32</definedName>
    <definedName name="_xlnm.Print_Area" localSheetId="3">'Suministro a Otros Minoristas'!$A$1:$F$54</definedName>
    <definedName name="_xlnm.Print_Area" localSheetId="4">'Ruta Doméstica'!$A$1:$C$46</definedName>
    <definedName name="_xlnm.Print_Area" localSheetId="5">'Cadmio y Analíticas'!$A$1:$C$43</definedName>
    <definedName name="_xlnm.Print_Area" localSheetId="6">'EUDR — Tu Papel en la Cadena'!$A$1:$C$40</definedName>
    <definedName name="_xlnm.Print_Titles" localSheetId="7">'Registro de Formación'!$6:$6</definedName>
    <definedName name="_xlnm.Print_Area" localSheetId="7">'Registro de Formación'!$A$1:$I$31</definedName>
    <definedName name="_xlnm.Print_Titles" localSheetId="8">'Cronograma y Ruta Crítica'!$8:$8</definedName>
    <definedName name="_xlnm.Print_Area" localSheetId="8">'Cronograma y Ruta Crítica'!$A$1:$Q$91</definedName>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0.00 €"/>
    <numFmt numFmtId="167" formatCode="0.0%"/>
    <numFmt numFmtId="168" formatCode="#,##0.0"/>
    <numFmt numFmtId="169" formatCode="#,##0.0;;;"/>
  </numFmts>
  <fonts count="8">
    <font>
      <name val="Calibri"/>
      <family val="2"/>
      <color theme="1"/>
      <sz val="11"/>
      <scheme val="minor"/>
    </font>
    <font>
      <b val="1"/>
      <color rgb="00FFD700"/>
      <sz val="16"/>
    </font>
    <font>
      <sz val="9"/>
    </font>
    <font>
      <i val="1"/>
      <sz val="9"/>
    </font>
    <font>
      <b val="1"/>
      <color theme="1"/>
      <sz val="11"/>
    </font>
    <font>
      <b val="1"/>
      <sz val="12"/>
    </font>
    <font>
      <b val="1"/>
      <color rgb="00FFFFFF"/>
      <sz val="10"/>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3" fillId="0" borderId="0" applyAlignment="1" pivotButton="0" quotePrefix="0" xfId="0">
      <alignment horizontal="general" vertical="top" wrapText="1"/>
    </xf>
    <xf numFmtId="0" fontId="0" fillId="2" borderId="0" applyProtection="1" pivotButton="0" quotePrefix="0" xfId="0">
      <protection locked="0" hidden="0"/>
    </xf>
    <xf numFmtId="0" fontId="6" fillId="3" borderId="0" applyAlignment="1" pivotButton="0" quotePrefix="0" xfId="0">
      <alignment horizontal="center" vertical="center"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3" borderId="0" pivotButton="0" quotePrefix="0" xfId="0"/>
    <xf numFmtId="0" fontId="0" fillId="2"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2" borderId="0" applyAlignment="1" applyProtection="1" pivotButton="0" quotePrefix="0" xfId="0">
      <alignment horizontal="center" vertical="top"/>
      <protection locked="0" hidden="0"/>
    </xf>
    <xf numFmtId="165" fontId="0" fillId="2" borderId="0" applyProtection="1" pivotButton="0" quotePrefix="0" xfId="0">
      <protection locked="0" hidden="0"/>
    </xf>
    <xf numFmtId="0" fontId="7" fillId="4" borderId="0" pivotButton="0" quotePrefix="0" xfId="0"/>
    <xf numFmtId="3" fontId="7" fillId="4" borderId="0" pivotButton="0" quotePrefix="0" xfId="0"/>
    <xf numFmtId="166" fontId="7" fillId="4" borderId="0" pivotButton="0" quotePrefix="0" xfId="0"/>
    <xf numFmtId="167" fontId="7" fillId="4" borderId="0" pivotButton="0" quotePrefix="0" xfId="0"/>
    <xf numFmtId="0" fontId="3" fillId="4" borderId="0" applyAlignment="1" pivotButton="0" quotePrefix="0" xfId="0">
      <alignment horizontal="general" vertical="top" wrapText="1"/>
    </xf>
    <xf numFmtId="166" fontId="0" fillId="2" borderId="0" applyProtection="1" pivotButton="0" quotePrefix="0" xfId="0">
      <protection locked="0" hidden="0"/>
    </xf>
    <xf numFmtId="3" fontId="0" fillId="0" borderId="0" pivotButton="0" quotePrefix="0" xfId="0"/>
    <xf numFmtId="166" fontId="0" fillId="0" borderId="0" pivotButton="0" quotePrefix="0" xfId="0"/>
    <xf numFmtId="0" fontId="4" fillId="0" borderId="0" pivotButton="0" quotePrefix="0" xfId="0"/>
    <xf numFmtId="3" fontId="0" fillId="0" borderId="0" applyAlignment="1" pivotButton="0" quotePrefix="0" xfId="0">
      <alignment horizontal="center" vertical="top"/>
    </xf>
    <xf numFmtId="0" fontId="2" fillId="0" borderId="0" applyAlignment="1" pivotButton="0" quotePrefix="0" xfId="0">
      <alignment horizontal="general" vertical="top" wrapText="1"/>
    </xf>
    <xf numFmtId="3" fontId="4" fillId="0" borderId="0" pivotButton="0" quotePrefix="0" xfId="0"/>
    <xf numFmtId="0" fontId="7" fillId="4"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168" fontId="0" fillId="2" borderId="0" applyProtection="1" pivotButton="0" quotePrefix="0" xfId="0">
      <protection locked="0" hidden="0"/>
    </xf>
    <xf numFmtId="10" fontId="0" fillId="2" borderId="0" applyProtection="1" pivotButton="0" quotePrefix="0" xfId="0">
      <protection locked="0" hidden="0"/>
    </xf>
    <xf numFmtId="168" fontId="7" fillId="4" borderId="0" pivotButton="0" quotePrefix="0" xfId="0"/>
    <xf numFmtId="10" fontId="7" fillId="4" borderId="0" pivotButton="0" quotePrefix="0" xfId="0"/>
    <xf numFmtId="167" fontId="0" fillId="2" borderId="0" applyAlignment="1" applyProtection="1" pivotButton="0" quotePrefix="0" xfId="0">
      <alignment horizontal="center" vertical="top"/>
      <protection locked="0" hidden="0"/>
    </xf>
    <xf numFmtId="10" fontId="0" fillId="0" borderId="0" pivotButton="0" quotePrefix="0" xfId="0"/>
    <xf numFmtId="168" fontId="0" fillId="0" borderId="0" pivotButton="0" quotePrefix="0" xfId="0"/>
    <xf numFmtId="168" fontId="0" fillId="2" borderId="0" applyAlignment="1" applyProtection="1" pivotButton="0" quotePrefix="0" xfId="0">
      <alignment horizontal="center" vertical="top"/>
      <protection locked="0" hidden="0"/>
    </xf>
    <xf numFmtId="0" fontId="4" fillId="0" borderId="0" applyAlignment="1" pivotButton="0" quotePrefix="0" xfId="0">
      <alignment horizontal="center" vertical="top"/>
    </xf>
    <xf numFmtId="166" fontId="0" fillId="2" borderId="0" applyAlignment="1" applyProtection="1" pivotButton="0" quotePrefix="0" xfId="0">
      <alignment horizontal="center" vertical="top"/>
      <protection locked="0" hidden="0"/>
    </xf>
    <xf numFmtId="166" fontId="4" fillId="0" borderId="0" pivotButton="0" quotePrefix="0" xfId="0"/>
    <xf numFmtId="167" fontId="0" fillId="0" borderId="0" pivotButton="0" quotePrefix="0" xfId="0"/>
    <xf numFmtId="165" fontId="7" fillId="4" borderId="0" pivotButton="0" quotePrefix="0" xfId="0"/>
    <xf numFmtId="0" fontId="0" fillId="2" borderId="0" applyAlignment="1" applyProtection="1" pivotButton="0" quotePrefix="0" xfId="0">
      <alignment horizontal="general" vertical="top" wrapText="1"/>
      <protection locked="0" hidden="0"/>
    </xf>
    <xf numFmtId="165" fontId="0" fillId="0" borderId="0" pivotButton="0" quotePrefix="0" xfId="0"/>
    <xf numFmtId="169" fontId="0" fillId="0" borderId="0" pivotButton="0" quotePrefix="0" xfId="0"/>
    <xf numFmtId="168" fontId="4" fillId="0" borderId="0" pivotButton="0" quotePrefix="0" xfId="0"/>
  </cellXfs>
  <cellStyles count="1">
    <cellStyle name="Normal" xfId="0" builtinId="0" hidden="0"/>
  </cellStyles>
  <dxfs count="3">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AI Chef Pro</author>
  </authors>
  <commentList>
    <comment ref="C8"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 ref="C9" authorId="0" shapeId="0">
      <text>
        <t>Verificado el 12-09-2026 · Código Técnico de la Edificación, Documento Básico HS, Sección HS 3, apartado 1.1 · https://www.codigotecnico.org/pdf/Documentos/HS/DBHS.pdf</t>
      </text>
    </comment>
    <comment ref="C16" authorId="0" shapeId="0">
      <text>
        <t>Verificado el 12-09-2026 · Real Decreto 10/2025, de 14 de enero, por el que se aprueba la Clasificación Nacional de Actividades Económicas 2025 (CNAE-2025) (BOE-A-2025-587), texto consolidado · «Última modificación: sin modificaciones» · https://www.boe.es/buscar/act.php?id=BOE-A-2025-587</t>
      </text>
    </comment>
    <comment ref="C17"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C24"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C25" authorId="0" shapeId="0">
      <text>
        <t>Verificado el 12-09-2026 · Guía informativa sobre el Registro General Sanitario de Empresas Alimentarias y Alimentos, revisión 16, aprobada en Comisión Institucional el 11-06-2025 (AESAN / Comunidad de Madrid) · https://www.comunidad.madrid/docs/assets/2025/06/25/guia_informativa_sobre_el_registro_general_sanitario_de_empresas_alimentarias_y_alimentos_11-06-2025_rev_16.pdf</t>
      </text>
    </comment>
    <comment ref="C26" authorId="0" shapeId="0">
      <text>
        <t>Verificado el 12-09-2026 · Real Decreto 1021/2022 (BOE-A-2022-21681), art. 3 · https://www.boe.es/buscar/act.php?id=BOE-A-2022-21681</t>
      </text>
    </comment>
    <comment ref="C27" authorId="0" shapeId="0">
      <text>
        <t>Verificado el 12-09-2026 · Real Decreto 1021/2022, de 13 de diciembre, por el que se regulan determinados requisitos en materia de higiene de la producción y comercialización de los productos alimenticios... (Lista estatal del obrador en vivienda (art. 13.8): las cinco letras) · https://www.boe.es/buscar/act.php?id=BOE-A-2022-21681</t>
      </text>
    </comment>
    <comment ref="C34" authorId="0" shapeId="0">
      <text>
        <t>Verificado el 12-09-2026 · Ley 7/2022, de 8 de abril, de residuos y suelos contaminados para una economía circular (BOE-A-2022-5809), texto consolidado · «Última modificación: 02 de abril de 2025» (Arts.) · https://www.boe.es/buscar/act.php?id=BOE-A-2022-5809</t>
      </text>
    </comment>
    <comment ref="C35" authorId="0" shapeId="0">
      <text>
        <t>Verificado el 12-09-2026 · Real Decreto 919/2006 (BOE-A-2006-15345), ITC-ICG 07, apartados 3.3 y 4.1 · «Última modificación: 03-09-2025» · https://www.boe.es/buscar/act.php?id=BOE-A-2006-15345</t>
      </text>
    </comment>
    <comment ref="C39" authorId="0" shapeId="0">
      <text>
        <t>Verificado el 12-09-2026 · Real Decreto 1021/2022 (BOE-A-2022-21681), art. 20 · https://www.boe.es/buscar/act.php?id=BOE-A-2022-21681</t>
      </text>
    </comment>
    <comment ref="C40" authorId="0" shapeId="0">
      <text>
        <t>Verificado el 12-09-2026 · Reglamento (CE) n.º 852/2004, Anexo II, Capítulo XII, y ausencia de obligación en el Real Decreto 1021/2022 (RD 202/2000 derogado por el RD 109/2010) · https://www.boe.es/buscar/act.php?id=BOE-A-2022-21681</t>
      </text>
    </comment>
    <comment ref="C41" authorId="0" shapeId="0">
      <text>
        <t>Verificado el 12-09-2026 · Reglamento (UE) n.º 1169/2011 sobre la información alimentaria facilitada al consumidor · texto consolidado CELEX:02011R1169-20180101 (El cacahuete NO es un fruto de cáscara a efectos del Anexo II y el sésamo tampoco: son los puntos 5 y 11.) · https://eur-lex.europa.eu/legal-content/ES/TXT/HTML/?uri=CELEX:02011R1169-20180101</t>
      </text>
    </comment>
    <comment ref="C42"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C43" authorId="0" shapeId="0">
      <text>
        <t>Verificado el 12-09-2026 · Reglamento (UE) 2023/915 de la Comisión, de 25 de abril de 2023, relativo a los límites máximos de determinados contaminantes en los alimentos · texto consolidado CELEX:02023R09... (Anexo I, puntos 3.2.15.1 a 3.2.15.4.) · https://eur-lex.europa.eu/legal-content/ES/TXT/HTML/?uri=CELEX:02023R0915-20250101</t>
      </text>
    </comment>
    <comment ref="C44" authorId="0" shapeId="0">
      <text>
        <t>Verificado el 12-09-2026 · Reglamento (UE) 2023/1115 del Parlamento Europeo y del Consejo, de 31 de mayo de 2023 (EUDR) · texto consolidado CELEX:02023R1115-20251226 (versión 26-12-2025, 002.001) (Art. 1.1 y Anexo I, fila «Cacao».) · https://eur-lex.europa.eu/legal-content/ES/TXT/HTML/?uri=CELEX:02023R1115-20251226</t>
      </text>
    </comment>
    <comment ref="C48"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C49" authorId="0" shapeId="0">
      <text>
        <t>Verificado el 12-09-2026 · Convenio colectivo del sector de confiterías, pastelerías y repostería (comercio e industria) de la Comunidad de Madrid, código 28001025011981 · BOCM núm. 194 de 15-08-2025 (BOCM-20250815-2), art. 2 · https://www.bocm.es/boletin/CM_Orden_BOCM/2025/08/15/BOCM-20250815-2.PDF</t>
      </text>
    </comment>
    <comment ref="C50" authorId="0" shapeId="0">
      <text>
        <t>Verificado el 12-09-2026 · Real Decreto Legislativo 2/2015 (Estatuto de los Trabajadores) (BOE-A-2015-11430), art. 34.9 · «Última modificación: 04-12-2025» · https://www.boe.es/buscar/act.php?id=BOE-A-2015-11430</t>
      </text>
    </comment>
    <comment ref="C51" authorId="0" shapeId="0">
      <text>
        <t>Verificado el 12-09-2026 · Ley 1/2004, de 21 de diciembre, de Horarios Comerciales (BOE-A-2004-21421), texto consolidado · «Última modificación: 17 de octubre de 2014» (Nuevo matiz que la lente no traía: el propio art. 5.1 da libertad plena también a los establecimientos situados «en zonas de...) · https://www.boe.es/buscar/act.php?id=BOE-A-2004-21421</t>
      </text>
    </comment>
    <comment ref="C52" authorId="0" shapeId="0">
      <text>
        <t>Verificado el 12-09-2026 · Real Decreto 193/2023 (BOE-A-2023-7417), D.F. sexta y art. 25.2 · «Última modificación: sin modificaciones» · https://www.boe.es/buscar/act.php?id=BOE-A-2023-7417</t>
      </text>
    </comment>
    <comment ref="C53" authorId="0" shapeId="0">
      <text>
        <t>Verificado el 12-09-2026 · Ley 7/1996 de Ordenación del Comercio Minorista (BOE-A-1996-1072), art. 20.1, redacción del RD-ley 24/2021 · «Última modificación: 30-03-2022» · https://www.boe.es/buscar/act.php?id=BOE-A-1996-1072</t>
      </text>
    </comment>
    <comment ref="C54" authorId="0" shapeId="0">
      <text>
        <t>Verificado el 12-09-2026 · Ley 1/2025, de 1 de abril, de prevención de las pérdidas y el desperdicio alimentario (BOE-A-2025-6597), texto consolidado · «Última modificación: sin modificaciones» (La lente decía «queda fuera del art. 6 … le siguen obligando el 6.2, el 6.3 y el 6.5», lo que se contradice a sí...) · https://www.boe.es/buscar/act.php?id=BOE-A-2025-6597</t>
      </text>
    </comment>
    <comment ref="D69"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D70" authorId="0" shapeId="0">
      <text>
        <t>Verificado el 12-09-2026 · DECRETO 85/2024, de 30 de abril, sobre el sistema de acreditación de la artesanía alimentaria (Cataluña) · DOGC núm. 9155, de 3-05-2024 (Anexo 2.) · https://portaljuridic.gencat.cat/eli/es-ct/d/2024/04/30/85/dof/spa/pdf</t>
      </text>
    </comment>
    <comment ref="B74"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B75" authorId="0" shapeId="0">
      <text>
        <t>Verificado el 12-09-2026 · Real Decreto Legislativo 1175/1990, de 28 de septiembre, por el que se aprueban las tarifas y la instrucción del Impuesto sobre Actividades Económicas (BOE-A-1990-23930), texto... (A favor: enviar bombones al consumidor final por web es comercio al por menor, no exige otro epígrafe por ser online.) · https://www.boe.es/buscar/act.php?id=BOE-A-1990-23930</t>
      </text>
    </comment>
    <comment ref="B76" authorId="0" shapeId="0">
      <text>
        <t>Verificado el 12-09-2026 · Real Decreto 1021/2022 (BOE-A-2022-21681), art. 3 · https://www.boe.es/buscar/act.php?id=BOE-A-2022-21681</t>
      </text>
    </comment>
    <comment ref="B77"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B78" authorId="0" shapeId="0">
      <text>
        <t>Verificado el 12-09-2026 · Ley 37/1992, de 28 de diciembre, del Impuesto sobre el Valor Añadido (BOE-A-1992-28740), texto consolidado · «Última modificación: 28 de febrero de 2026» (Lo que sigue abierto es el TIPO: el art. 91 no nombra los talleres, así que por la regla general del art. 90.Uno ser...) · https://www.boe.es/buscar/act.php?id=BOE-A-1992-28740</t>
      </text>
    </comment>
    <comment ref="C82" authorId="0" shapeId="0">
      <text>
        <t>Verificado el 12-09-2026 · Real Decreto Legislativo 1175/1990, de 28 de septiembre, por el que se aprueban las tarifas y la instrucción del Impuesto sobre Actividades Económicas (BOE-A-1990-23930), texto... (Regla 4.ª, apartado 1 de la Instrucción.) · https://www.boe.es/buscar/act.php?id=BOE-A-1990-23930</t>
      </text>
    </comment>
    <comment ref="C83" authorId="0" shapeId="0">
      <text>
        <t>Verificado el 12-09-2026 · Real Decreto Legislativo 1175/1990, de 28 de septiembre, por el que se aprueban las tarifas y la instrucción del Impuesto sobre Actividades Económicas (BOE-A-1990-23930), texto... (A favor: enviar bombones al consumidor final por web es comercio al por menor, no exige otro epígrafe por ser online.) · https://www.boe.es/buscar/act.php?id=BOE-A-1990-23930</t>
      </text>
    </comment>
  </commentList>
</comments>
</file>

<file path=xl/comments/comment2.xml><?xml version="1.0" encoding="utf-8"?>
<comments xmlns="http://schemas.openxmlformats.org/spreadsheetml/2006/main">
  <authors>
    <author>AI Chef Pro</author>
  </authors>
  <commentList>
    <comment ref="B6"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7" authorId="0" shapeId="0">
      <text>
        <t>Verificado el 12-09-2026 · Real Decreto 1021/2022 (BOE-A-2022-21681), art. 3 · https://www.boe.es/buscar/act.php?id=BOE-A-2022-21681</t>
      </text>
    </comment>
    <comment ref="B8" authorId="0" shapeId="0">
      <text>
        <t>Verificado el 12-09-2026 · Guía informativa sobre el Registro General Sanitario de Empresas Alimentarias y Alimentos, revisión 16, aprobada en Comisión Institucional el 11-06-2025 (AESAN / Comunidad de Ma... (Apartado IV.B.1.) · https://www.comunidad.madrid/docs/assets/2025/06/25/guia_informativa_sobre_el_registro_general_sanitario_de_empresas_alimentarias_y_alimentos_11-06-2025_rev_16.pdf</t>
      </text>
    </comment>
    <comment ref="B9" authorId="0" shapeId="0">
      <text>
        <t>Verificado el 12-09-2026 · Real Decreto 1021/2022 (BOE-A-2022-21681), arts. 3.6 y 2.2.h), i) y j) · https://www.boe.es/buscar/act.php?id=BOE-A-2022-21681</t>
      </text>
    </comment>
    <comment ref="B12"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13"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B14"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15"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B16" authorId="0" shapeId="0">
      <text>
        <t>Verificado el 12-09-2026 · Real Decreto 1021/2022 (BOE-A-2022-21681), arts. 3.6 y 2.2.h), i) y j) · https://www.boe.es/buscar/act.php?id=BOE-A-2022-21681</t>
      </text>
    </comment>
  </commentList>
</comments>
</file>

<file path=xl/comments/comment3.xml><?xml version="1.0" encoding="utf-8"?>
<comments xmlns="http://schemas.openxmlformats.org/spreadsheetml/2006/main">
  <authors>
    <author>AI Chef Pro</author>
  </authors>
  <commentList>
    <comment ref="B6" authorId="0" shapeId="0">
      <text>
        <t>Verificado el 12-09-2026 · Real Decreto 1021/2022 (BOE-A-2022-21681), art. 3 · https://www.boe.es/buscar/act.php?id=BOE-A-2022-21681</t>
      </text>
    </comment>
    <comment ref="B20" authorId="0" shapeId="0">
      <text>
        <t>Verificado el 12-09-2026 · Real Decreto 1021/2022 (BOE-A-2022-21681), art. 3 · https://www.boe.es/buscar/act.php?id=BOE-A-2022-21681</t>
      </text>
    </comment>
    <comment ref="B23" authorId="0" shapeId="0">
      <text>
        <t>Verificado el 12-09-2026 · Real Decreto 1021/2022 (BOE-A-2022-21681), art. 3 · https://www.boe.es/buscar/act.php?id=BOE-A-2022-21681</t>
      </text>
    </comment>
    <comment ref="B29" authorId="0" shapeId="0">
      <text>
        <t>Verificado el 12-09-2026 · Real Decreto 1021/2022 (BOE-A-2022-21681), art. 3 · https://www.boe.es/buscar/act.php?id=BOE-A-2022-21681</t>
      </text>
    </comment>
    <comment ref="B30" authorId="0" shapeId="0">
      <text>
        <t>Verificado el 12-09-2026 · Real Decreto 1021/2022 (BOE-A-2022-21681), art. 3 · https://www.boe.es/buscar/act.php?id=BOE-A-2022-21681</t>
      </text>
    </comment>
    <comment ref="B36" authorId="0" shapeId="0">
      <text>
        <t>Verificado el 12-09-2026 · Real Decreto 1021/2022 (BOE-A-2022-21681), art. 3 · https://www.boe.es/buscar/act.php?id=BOE-A-2022-21681</t>
      </text>
    </comment>
    <comment ref="B41" authorId="0" shapeId="0">
      <text>
        <t>Verificado el 12-09-2026 · Real Decreto 1021/2022 (BOE-A-2022-21681), art. 3 · https://www.boe.es/buscar/act.php?id=BOE-A-2022-21681</t>
      </text>
    </comment>
  </commentList>
</comments>
</file>

<file path=xl/comments/comment4.xml><?xml version="1.0" encoding="utf-8"?>
<comments xmlns="http://schemas.openxmlformats.org/spreadsheetml/2006/main">
  <authors>
    <author>AI Chef Pro</author>
  </authors>
  <commentList>
    <comment ref="B6"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B7" authorId="0" shapeId="0">
      <text>
        <t>Verificado el 12-09-2026 · Real Decreto 1021/2022, de 13 de diciembre, por el que se regulan determinados requisitos en materia de higiene de la producción y comercialización de los productos alimenticios... (Lista estatal del obrador en vivienda (art. 13.8): las cinco letras) · https://www.boe.es/buscar/act.php?id=BOE-A-2022-21681</t>
      </text>
    </comment>
    <comment ref="B8" authorId="0" shapeId="0">
      <text>
        <t>Verificado el 12-09-2026 · DECRETO 85/2024, de 30 de abril, sobre el sistema de acreditación de la artesanía alimentaria (Cataluña) · DOGC núm. 9155, de 3-05-2024 (Anexo 2.) · https://portaljuridic.gencat.cat/eli/es-ct/d/2024/04/30/85/dof/spa/pdf</t>
      </text>
    </comment>
    <comment ref="B14" authorId="0" shapeId="0">
      <text>
        <t>Verificado el 12-09-2026 · DECRETO 13/2025, de 28 de enero, del Consell (DOGV núm. 10036, de 30-01-2025), art. 9.8.1 · https://dogv.gva.es/datos/2025/01/30/pdf/2025_911_es.pdf</t>
      </text>
    </comment>
    <comment ref="B17" authorId="0" shapeId="0">
      <text>
        <t>Verificado el 12-09-2026 · Real Decreto 1021/2022, de 13 de diciembre, por el que se regulan determinados requisitos en materia de higiene de la producción y comercialización de los productos alimenticios... (Lista estatal del obrador en vivienda (art. 13.8): las cinco letras) · https://www.boe.es/buscar/act.php?id=BOE-A-2022-21681</t>
      </text>
    </comment>
    <comment ref="B20" authorId="0" shapeId="0">
      <text>
        <t>Verificado el 10-09-2026 · RD 1021/2022, art. 13.9 (texto consolidado) · https://www.boe.es/buscar/act.php?id=BOE-A-2022-21681 · Reutilizado de la verificación legal de «Cómo Montar una Pastelería» (PA-29c): ninguna ficha CHN-* de este producto cubre el art. 13.9.</t>
      </text>
    </comment>
    <comment ref="A35"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List>
</comments>
</file>

<file path=xl/comments/comment5.xml><?xml version="1.0" encoding="utf-8"?>
<comments xmlns="http://schemas.openxmlformats.org/spreadsheetml/2006/main">
  <authors>
    <author>AI Chef Pro</author>
  </authors>
  <commentList>
    <comment ref="B7" authorId="0" shapeId="0">
      <text>
        <t>Verificado el 12-09-2026 · Reglamento (UE) 2023/915 de la Comisión, de 25 de abril de 2023, relativo a los límites máximos de determinados contaminantes en los alimentos · texto consolidado CELEX:02023R09... (La nota (14) del Anexo I remite SOLO a los puntos 2, 3 y 4 de la parte A del Anexo I de la Direct...) · https://eur-lex.europa.eu/legal-content/ES/TXT/HTML/?uri=CELEX:02023R0915-20250101</t>
      </text>
    </comment>
    <comment ref="B9" authorId="0" shapeId="0">
      <text>
        <t>Verificado el 12-09-2026 · Reglamento (UE) 2023/915 de la Comisión, de 25 de abril de 2023, relativo a los límites máximos de determinados contaminantes en los alimentos · texto consolidado CELEX:02023R09... (se deduce de CHN-16b leído con el art. 3.1.) · https://eur-lex.europa.eu/legal-content/ES/TXT/HTML/?uri=CELEX:02023R0915-20250101</t>
      </text>
    </comment>
    <comment ref="B14" authorId="0" shapeId="0">
      <text>
        <t>Verificado el 12-09-2026 · Reglamento (UE) 2023/915 de la Comisión, de 25 de abril de 2023, relativo a los límites máximos de determinados contaminantes en los alimentos · texto consolidado CELEX:02023R09... (Anexo I, puntos 5.1.4 y 5.1.5.) · https://eur-lex.europa.eu/legal-content/ES/TXT/HTML/?uri=CELEX:02023R0915-20250101</t>
      </text>
    </comment>
    <comment ref="B16" authorId="0" shapeId="0">
      <text>
        <t>Verificado el 12-09-2026 · Reglamento (UE) 2023/915 de la Comisión, de 25 de abril de 2023, relativo a los límites máximos de determinados contaminantes en los alimentos · texto consolidado CELEX:02023R09... (Anexo I, puntos 3.2.15.1 a 3.2.15.4.) · https://eur-lex.europa.eu/legal-content/ES/TXT/HTML/?uri=CELEX:02023R0915-20250101</t>
      </text>
    </comment>
    <comment ref="B26" authorId="0" shapeId="0">
      <text>
        <t>Verificado el 12-09-2026 · Reglamento (UE) 2023/915 de la Comisión, de 25 de abril de 2023, relativo a los límites máximos de determinados contaminantes en los alimentos · texto consolidado CELEX:02023R09... (Arts.) · https://eur-lex.europa.eu/legal-content/ES/TXT/HTML/?uri=CELEX:02023R0915-20250101</t>
      </text>
    </comment>
    <comment ref="B29" authorId="0" shapeId="0">
      <text>
        <t>Verificado el 12-09-2026 · Reglamento (UE) 2023/915 de la Comisión, de 25 de abril de 2023, relativo a los límites máximos de determinados contaminantes en los alimentos · texto consolidado CELEX:02023R09... (Anexo I, punto 1.2.16, valor 3,0.) · https://eur-lex.europa.eu/legal-content/ES/TXT/HTML/?uri=CELEX:02023R0915-20250101</t>
      </text>
    </comment>
    <comment ref="B30" authorId="0" shapeId="0">
      <text>
        <t>Verificado el 12-09-2026 · Reglamento (UE) 2023/915 de la Comisión, de 25 de abril de 2023, relativo a los límites máximos de determinados contaminantes en los alimentos · texto consolidado CELEX:02023R09... (Anexo I, puntos 5.1.4 y 5.1.5.) · https://eur-lex.europa.eu/legal-content/ES/TXT/HTML/?uri=CELEX:02023R0915-20250101</t>
      </text>
    </comment>
  </commentList>
</comments>
</file>

<file path=xl/comments/comment6.xml><?xml version="1.0" encoding="utf-8"?>
<comments xmlns="http://schemas.openxmlformats.org/spreadsheetml/2006/main">
  <authors>
    <author>AI Chef Pro</author>
  </authors>
  <commentList>
    <comment ref="B6" authorId="0" shapeId="0">
      <text>
        <t>Verificado el 12-09-2026 · Reglamento (UE) 2023/1115 del Parlamento Europeo y del Consejo, de 31 de mayo de 2023 (EUDR) · texto consolidado CELEX:02023R1115-20251226 (versión 26-12-2025, 002.001) (Art. 38.2 en la redacción del Rgto.) · https://eur-lex.europa.eu/legal-content/ES/TXT/HTML/?uri=CELEX:02023R1115-20251226</t>
      </text>
    </comment>
    <comment ref="B12" authorId="0" shapeId="0">
      <text>
        <t>Verificado el 12-09-2026 · Reglamento (UE) 2023/1115 del Parlamento Europeo y del Consejo, de 31 de mayo de 2023 (EUDR) · texto consolidado CELEX:02023R1115-20251226 (versión 26-12-2025, 002.001) (Art. 1.1 y Anexo I, fila «Cacao».) · https://eur-lex.europa.eu/legal-content/ES/TXT/HTML/?uri=CELEX:02023R1115-20251226</t>
      </text>
    </comment>
    <comment ref="B13" authorId="0" shapeId="0">
      <text>
        <t>Verificado el 12-09-2026 · Reglamento (UE) 2023/1115 del Parlamento Europeo y del Consejo, de 31 de mayo de 2023 (EUDR) · texto consolidado CELEX:02023R1115-20251226 (versión 26-12-2025, 002.001) (Art. 2, punto 15 ter (M2).) · https://eur-lex.europa.eu/legal-content/ES/TXT/HTML/?uri=CELEX:02023R1115-20251226</t>
      </text>
    </comment>
    <comment ref="B14" authorId="0" shapeId="0">
      <text>
        <t>Verificado el 12-09-2026 · Reglamento (UE) 2023/1115 del Parlamento Europeo y del Consejo, de 31 de mayo de 2023 (EUDR) · texto consolidado CELEX:02023R1115-20251226 (versión 26-12-2025, 002.001) (Art. 1.1.) · https://eur-lex.europa.eu/legal-content/ES/TXT/HTML/?uri=CELEX:02023R1115-20251226</t>
      </text>
    </comment>
    <comment ref="B15" authorId="0" shapeId="0">
      <text>
        <t>Verificado el 12-09-2026 · Reglamento (UE) 2023/1115 del Parlamento Europeo y del Consejo, de 31 de mayo de 2023 (EUDR) · texto consolidado CELEX:02023R1115-20251226 (versión 26-12-2025, 002.001) (Los arts.) · https://eur-lex.europa.eu/legal-content/ES/TXT/HTML/?uri=CELEX:02023R1115-20251226</t>
      </text>
    </comment>
    <comment ref="B18" authorId="0" shapeId="0">
      <text>
        <t>Verificado el 12-09-2026 · Reglamento (UE) 2023/1115 del Parlamento Europeo y del Consejo, de 31 de mayo de 2023 (EUDR) · texto consolidado CELEX:02023R1115-20251226 (versión 26-12-2025, 002.001) (Art. 2, punto 15 ter (M2).) · https://eur-lex.europa.eu/legal-content/ES/TXT/HTML/?uri=CELEX:02023R1115-20251226</t>
      </text>
    </comment>
    <comment ref="B19" authorId="0" shapeId="0">
      <text>
        <t>Verificado el 12-09-2026 · Reglamento (UE) 2023/1115 del Parlamento Europeo y del Consejo, de 31 de mayo de 2023 (EUDR) · texto consolidado CELEX:02023R1115-20251226 (versión 26-12-2025, 002.001) (Art. 38.2 en la redacción del Rgto.) · https://eur-lex.europa.eu/legal-content/ES/TXT/HTML/?uri=CELEX:02023R1115-20251226</t>
      </text>
    </comment>
    <comment ref="B20"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B21" authorId="0" shapeId="0">
      <text>
        <t>Verificado el 12-09-2026 · Reglamento (UE) 2023/1115 del Parlamento Europeo y del Consejo, de 31 de mayo de 2023 (EUDR) · texto consolidado CELEX:02023R1115-20251226 (versión 26-12-2025, 002.001) (Los arts.) · https://eur-lex.europa.eu/legal-content/ES/TXT/HTML/?uri=CELEX:02023R1115-20251226</t>
      </text>
    </comment>
    <comment ref="B25"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C25" authorId="0" shapeId="0">
      <text>
        <t>Verificado el 12-09-2026 · Reglamento (UE) 2023/1115 del Parlamento Europeo y del Consejo, de 31 de mayo de 2023 (EUDR) · texto consolidado CELEX:02023R1115-20251226 (versión 26-12-2025, 002.001) (Arts.) · https://eur-lex.europa.eu/legal-content/ES/TXT/HTML/?uri=CELEX:02023R1115-20251226</t>
      </text>
    </comment>
  </commentList>
</comments>
</file>

<file path=xl/comments/comment7.xml><?xml version="1.0" encoding="utf-8"?>
<comments xmlns="http://schemas.openxmlformats.org/spreadsheetml/2006/main">
  <authors>
    <author>AI Chef Pro</author>
  </authors>
  <commentList>
    <comment ref="B6" authorId="0" shapeId="0">
      <text>
        <t>Verificado el 12-09-2026 · Reglamento (CE) n.º 852/2004, Anexo II, Capítulo XII, y ausencia de obligación en el Real Decreto 1021/2022 (RD 202/2000 derogado por el RD 109/2010) · https://www.boe.es/buscar/act.php?id=BOE-A-2022-21681</t>
      </text>
    </comment>
  </commentList>
</comments>
</file>

<file path=xl/comments/comment8.xml><?xml version="1.0" encoding="utf-8"?>
<comments xmlns="http://schemas.openxmlformats.org/spreadsheetml/2006/main">
  <authors>
    <author>AI Chef Pro</author>
  </authors>
  <commentList>
    <comment ref="B12"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pane ySplit="27" topLeftCell="A28" activePane="bottomLeft" state="frozen"/>
      <selection pane="bottomLeft" activeCell="A1" sqref="A1"/>
    </sheetView>
  </sheetViews>
  <sheetFormatPr baseColWidth="8" defaultRowHeight="15"/>
  <cols>
    <col width="44" customWidth="1" min="1" max="1"/>
    <col width="44" customWidth="1" min="2" max="2"/>
    <col width="44" customWidth="1" min="3" max="3"/>
  </cols>
  <sheetData>
    <row r="1" ht="26" customHeight="1">
      <c r="A1" s="1" t="inlineStr">
        <is>
          <t>Checklist legal, licencias y la norma del cacao</t>
        </is>
      </c>
    </row>
    <row r="2">
      <c r="A2" s="2" t="inlineStr">
        <is>
          <t>AI Chef Pro · aichef.pro — Cómo Montar una Chocolatería</t>
        </is>
      </c>
    </row>
    <row r="3">
      <c r="A3" s="3" t="inlineStr">
        <is>
          <t>Para qué sirve: saber qué papel te toca, en qué orden, y qué te obliga la norma del cacao.</t>
        </is>
      </c>
    </row>
    <row r="4"/>
    <row r="5">
      <c r="A5" s="4" t="inlineStr">
        <is>
          <t>Instrucciones de uso</t>
        </is>
      </c>
    </row>
    <row r="6" ht="68" customHeight="1">
      <c r="A6" s="5" t="inlineStr">
        <is>
          <t>1. Hoja «Checklist Legal (F1-F6)»: los treinta y tres trámites en el orden en que hay que hacerlos, repartidos en seis fases. Marca el estado, escribe el coste que te presupuestan y el que acabas pagando, y pon las dos fechas. Debajo, dos bloques propios de este negocio: la artesanía alimentaria y, sobre todo, la tabla de CANALES, que te dice cuáles de los cinco se salen de la nota del epígrafe 644.5.</t>
        </is>
      </c>
    </row>
    <row r="7" ht="68" customHeight="1">
      <c r="A7" s="5" t="inlineStr">
        <is>
          <t>2. Hoja «Árbol de Registro Sanitario»: tres preguntas y un veredicto. Corrige el error más caro del sector: una chocolatería que vende al consumidor final está EXCLUIDA del registro estatal (RGSEAA), y lo que le toca es una comunicación o declaración responsable a su comunidad autónoma, que además NO habilita para abrir.</t>
        </is>
      </c>
    </row>
    <row r="8" ht="68" customHeight="1">
      <c r="A8" s="5" t="inlineStr">
        <is>
          <t>3. Hoja «Suministro a Otros Minoristas»: el árbol del art. 3 del RD 1021/2022, con su puerta de entrada delante. Si no sirves a otros comercios de distinta titularidad, este artículo no te aplica y la hoja te lo dice en la primera línea. Si te aplica, las tres condiciones son ACUMULATIVAS y dentro de «marginal» hay DOS vías alternativas.</t>
        </is>
      </c>
    </row>
    <row r="9" ht="68" customHeight="1">
      <c r="A9" s="5" t="inlineStr">
        <is>
          <t>4. Hoja «Ruta Doméstica»: si te planteas empezar desde casa. La lista estatal del art. 13.8 tiene CINCO letras y la quinta la rellena cada comunidad: por eso la hoja te pregunta primero si la tuya lo ha hecho, y sólo entonces te enseña los tres requisitos del art. 13.9.</t>
        </is>
      </c>
    </row>
    <row r="10" ht="68" customHeight="1">
      <c r="A10" s="5" t="inlineStr">
        <is>
          <t>5. Hoja «Cadmio y Analíticas»: la hoja que nadie tiene. Lo que es chocolate para la denominación NO lo es para los contaminantes, y el bombón no tiene límite propio de cadmio. Aquí se decide si necesitas analítica propia, con qué frecuencia y cuánto te cuesta al año.</t>
        </is>
      </c>
    </row>
    <row r="11" ht="68" customHeight="1">
      <c r="A11" s="5" t="inlineStr">
        <is>
          <t>6. Hoja «EUDR — Tu Papel en la Cadena»: cuatro preguntas y sabes si eres operador, operador posterior o comerciante, qué te toca y qué fecha te corre. Lleva DENTRO su fecha de revisión: es la norma más viva de todas las que tocan a este negocio.</t>
        </is>
      </c>
    </row>
    <row r="12" ht="68" customHeight="1">
      <c r="A12" s="5" t="inlineStr">
        <is>
          <t>7. Hoja «Registro de Formación»: una línea por persona con la fecha, el contenido y la caducidad que TÚ fijas. El «carnet de manipulador» no existe: lo que hay que tener es este registro, y la responsabilidad de tenerlo es de la empresa.</t>
        </is>
      </c>
    </row>
    <row r="13" ht="68" customHeight="1">
      <c r="A13" s="5" t="inlineStr">
        <is>
          <t>8. Hoja «Cronograma y Ruta Crítica»: trece hitos con su duración y sus dependencias. La hoja calcula cuándo empieza y acaba cada uno, cuánta holgura tiene, cuáles están en la ruta crítica y en qué mes acabas abriendo, y te avisa si esa fecha cae dentro de una campaña alta o si el plazo de la maquinaria es más largo que todo tu papeleo.</t>
        </is>
      </c>
    </row>
    <row r="14"/>
    <row r="15">
      <c r="A15" s="6" t="inlineStr">
        <is>
          <t>Celdas verdes = campos editables</t>
        </is>
      </c>
    </row>
    <row r="16"/>
    <row r="17">
      <c r="A17" s="4" t="inlineStr">
        <is>
          <t>Lo que conviene saber antes de empezar</t>
        </is>
      </c>
    </row>
    <row r="18" ht="84" customHeight="1">
      <c r="A18" s="5" t="inlineStr">
        <is>
          <t>EL ARGUMENTO MÁS ÚTIL DE ESTE PRODUCTO, Y SU LÍMITE, VAN JUNTOS. Puedes fabricar bombones sin darte de alta como industria mientras los vendas en tu propia tienda: la nota del epígrafe 644.5 lo dice con todas las letras. En el momento en que sirves a otros comercios, a empresas o envías fuera, eso cambia — y la tabla de canales de la primera hoja te dice exactamente cuándo.</t>
        </is>
      </c>
    </row>
    <row r="19" ht="84" customHeight="1">
      <c r="A19" s="5" t="inlineStr">
        <is>
          <t>PERO ESTA HOJA NO TE DA UN EPÍGRAFE DE IAE POR CANAL, Y NO ES UN OLVIDO: NINGUNA FUENTE LO DA. Lo que sí está verificado es que una cuota faculta EXCLUSIVAMENTE para su actividad, que la venta online al consumidor SIGUE SIENDO comercio al por menor, y que el epígrafe industrial faculta para vender al por mayor y al por menor pero te saca del amparo de la Ley 12/2012. Con eso, la salida correcta es la PREGUNTA redactada para tu asesor fiscal, que la hoja te escribe entera.</t>
        </is>
      </c>
    </row>
    <row r="20" ht="84" customHeight="1">
      <c r="A20" s="5" t="inlineStr">
        <is>
          <t>LA COMUNICACIÓN AUTONÓMICA NO HABILITA PARA ABRIR, y eso corta en los dos sentidos: no tienes que esperar a que te contesten, pero tampoco te protege de nada si el resto no está en regla. Y el mismo trámite funciona distinto en cada comunidad: en una se presenta al inicio de la actividad y no habilita; en otra es condición única y suficiente para iniciar, y lleva tasa.</t>
        </is>
      </c>
    </row>
    <row r="21" ht="84" customHeight="1">
      <c r="A21" s="5" t="inlineStr">
        <is>
          <t>NINGÚN AYUNTAMIENTO PUEDE EXIGIRTE LICENCIA PREVIA DE ACTIVIDAD hasta 750 metros cuadrados, porque el Anexo de la Ley 12/2012 incluye el epígrafe 644.5. OJO: ese Anexo NO contiene ningún grupo de la agrupación 67, así que la chocolatería de TAZA queda fuera de ese amparo. Y está PROHIBIDO que este producto te diga qué trámite pide Madrid o Barcelona: no se ha abierto ninguna ordenanza municipal.</t>
        </is>
      </c>
    </row>
    <row r="22" ht="84" customHeight="1">
      <c r="A22" s="5" t="inlineStr">
        <is>
          <t>EL BOMBÓN NO TIENE LÍMITE PROPIO DE CADMIO. Lo que es «producto de cacao y de chocolate» para los contaminantes son el cacao en polvo, el chocolate y el chocolate con leche: al bombón se le aplica la regla de los alimentos compuestos. Cualquiera que te venda una analítica diciéndote «tu bombón tiene un límite de X» te está vendiendo una cifra que no existe.</t>
        </is>
      </c>
    </row>
    <row r="23" ht="84" customHeight="1">
      <c r="A23" s="5" t="inlineStr">
        <is>
          <t>EL CARNET DE MANIPULADOR NO EXISTE. La obligación viva es del empresario: garantizar la formación de cada persona de acuerdo con su actividad laboral y PODER ACREDITARLA. Eso es un registro, no un carnet, y lo monta la séptima hoja.</t>
        </is>
      </c>
    </row>
    <row r="24" ht="84" customHeight="1">
      <c r="A24" s="5" t="inlineStr">
        <is>
          <t>ESTE LIBRO NO ES UN DICTAMEN JURÍDICO. Cada dato normativo lleva en su celda un comentario con la norma, el artículo y el enlace al texto consolidado, verificados el 12 de septiembre de 2026. Lo que hay que hacer con eso es leerlos y contrastarlos con tu ayuntamiento y con tu comunidad, no fiarte de una casilla.</t>
        </is>
      </c>
    </row>
    <row r="25"/>
    <row r="26">
      <c r="A26" s="4" t="inlineStr">
        <is>
          <t>Qué hace este libro y qué hace otro (para no teclear dos veces)</t>
        </is>
      </c>
    </row>
    <row r="27" ht="26" customHeight="1">
      <c r="A27" s="7" t="inlineStr">
        <is>
          <t>Producto o libro</t>
        </is>
      </c>
      <c r="B27" s="7" t="inlineStr">
        <is>
          <t>Qué aporta</t>
        </is>
      </c>
      <c r="C27" s="7" t="inlineStr">
        <is>
          <t>Qué NO hace este libro</t>
        </is>
      </c>
    </row>
    <row r="28" ht="68" customHeight="1">
      <c r="A28" s="8" t="inlineStr">
        <is>
          <t>kit-tareas-chocolateria (12 €)</t>
        </is>
      </c>
      <c r="B28" s="9" t="inlineStr">
        <is>
          <t>Las curvas de templado, las fichas de moldeado, el calendario anual y las tareas por perfil.</t>
        </is>
      </c>
      <c r="C28" s="9" t="inlineStr">
        <is>
          <t>El kit NO tiene una sola hoja legal. Todo lo de este libro es nuevo para quien ya lo tenga.</t>
        </is>
      </c>
    </row>
    <row r="29" ht="68" customHeight="1">
      <c r="A29" s="8" t="inlineStr">
        <is>
          <t>pack-appcc (21 xlsx)</t>
        </is>
      </c>
      <c r="B29" s="9" t="inlineStr">
        <is>
          <t>Los registros del plan de APPCC ya montados y listos para rellenar, y la matriz de alérgenos por elaboración.</t>
        </is>
      </c>
      <c r="C29" s="9" t="inlineStr">
        <is>
          <t>Aquí sólo hay una FILA de checklist que dice «redacta el plan y designa por su nombre al responsable». El plan en sí es aquel producto.</t>
        </is>
      </c>
    </row>
    <row r="30" ht="68" customHeight="1">
      <c r="A30" s="8" t="inlineStr">
        <is>
          <t>checklist-equipamiento-y-proveedores-cacao.xlsx (libro 9 de esta guía)</t>
        </is>
      </c>
      <c r="B30" s="9" t="inlineStr">
        <is>
          <t>El plazo de entrega de cada equipo y el papel EUDR de cada PROVEEDOR.</t>
        </is>
      </c>
      <c r="C30" s="9" t="inlineStr">
        <is>
          <t>El cronograma de este libro trabaja en MESES y con duraciones supuestas. El plazo real de la maquinaria lo tecleas allí y lo traes aquí a la celda verde del cruce: es lo que de verdad mueve tu fecha de apertura.</t>
        </is>
      </c>
    </row>
    <row r="31" ht="68" customHeight="1">
      <c r="A31" s="8" t="inlineStr">
        <is>
          <t>plan-financiero-3-anos-chocolateria.xlsx (libro 7 de esta guía)</t>
        </is>
      </c>
      <c r="B31" s="9" t="inlineStr">
        <is>
          <t>Los euros: qué cuesta cada bloque de inversión y cuándo sale de caja.</t>
        </is>
      </c>
      <c r="C31" s="9" t="inlineStr">
        <is>
          <t>Los costes de este checklist son los de los TRÁMITES. La obra, el equipamiento y el fondo de maniobra están allí.</t>
        </is>
      </c>
    </row>
    <row r="32"/>
    <row r="33">
      <c r="A33" s="4" t="inlineStr">
        <is>
          <t>Cada cuánto se usa este libro</t>
        </is>
      </c>
    </row>
    <row r="34" ht="92" customHeight="1">
      <c r="A34" s="5" t="inlineStr">
        <is>
          <t>Cadencia: el checklist y el cronograma, UNA VEZ A LA SEMANA desde que decides abrir hasta que abres. Los árboles -registro sanitario, suministro a otros minoristas y ruta doméstica-, UNA VEZ AL PRINCIPIO y otra CADA VEZ QUE CAMBIES DE CANAL: el día que aceptes servir a la cafetería de al lado estarás cambiando de régimen sin darte cuenta. La hoja del EUDR, cada vez que cambies de proveedor y, en todo caso, en la fecha de revisión que ella misma lleva dentro. El registro de formación, cada vez que entra alguien y cuando caduca la formación de alguien.</t>
        </is>
      </c>
    </row>
    <row r="35"/>
    <row r="36" ht="28" customHeight="1">
      <c r="A36" s="5" t="inlineStr">
        <is>
          <t>Para editar la estructura o una celda que no esté en verde: Revisar &gt; Desproteger hoja (no tiene contraseña).</t>
        </is>
      </c>
    </row>
    <row r="37"/>
    <row r="38">
      <c r="A38" s="9" t="inlineStr">
        <is>
          <t>Diseñado por John Guerrero — chef y consultor gastronómico desde 2010, en cocina desde los 17 años.</t>
        </is>
      </c>
    </row>
    <row r="39">
      <c r="A39"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9">
    <mergeCell ref="A6:C6"/>
    <mergeCell ref="A38:C38"/>
    <mergeCell ref="A39:C39"/>
    <mergeCell ref="A18:C18"/>
    <mergeCell ref="A24:C24"/>
    <mergeCell ref="A19:C19"/>
    <mergeCell ref="A11:C11"/>
    <mergeCell ref="A20:C20"/>
    <mergeCell ref="A12:C12"/>
    <mergeCell ref="A10:C10"/>
    <mergeCell ref="A22:C22"/>
    <mergeCell ref="A9:C9"/>
    <mergeCell ref="A7:C7"/>
    <mergeCell ref="A34:C34"/>
    <mergeCell ref="A21:C21"/>
    <mergeCell ref="A13:C13"/>
    <mergeCell ref="A23:C23"/>
    <mergeCell ref="A8:C8"/>
    <mergeCell ref="A36:C36"/>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9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7" customWidth="1" min="2" max="2"/>
    <col width="62" customWidth="1" min="3" max="3"/>
    <col width="16" customWidth="1" min="4" max="4"/>
    <col width="12" customWidth="1" min="5" max="5"/>
    <col width="16" customWidth="1" min="6" max="6"/>
    <col width="16" customWidth="1" min="7" max="7"/>
    <col width="14" customWidth="1" min="8" max="8"/>
    <col width="14" customWidth="1" min="9" max="9"/>
    <col width="15" customWidth="1" min="10" max="10"/>
    <col width="96" customWidth="1" min="11" max="11"/>
  </cols>
  <sheetData>
    <row r="1" ht="28" customHeight="1">
      <c r="A1" s="1" t="inlineStr">
        <is>
          <t>Checklist Legal y de Licencias, en Seis Fases</t>
        </is>
      </c>
    </row>
    <row r="2">
      <c r="A2" t="inlineStr">
        <is>
          <t>AI Chef Pro · aichef.pro — Cómo Montar una Chocolatería</t>
        </is>
      </c>
    </row>
    <row r="3" ht="26" customHeight="1">
      <c r="A3" s="5" t="inlineStr">
        <is>
          <t>Treinta y tres trámites en el orden en que hay que hacerlos. Marca el estado, escribe lo que te presupuestan y lo que acabas pagando, y pon las dos fechas. Lo que cambia según tu comunidad autónoma va marcado en su columna.</t>
        </is>
      </c>
    </row>
    <row r="4"/>
    <row r="5" ht="30" customHeight="1">
      <c r="A5" s="7" t="inlineStr">
        <is>
          <t>Estado</t>
        </is>
      </c>
      <c r="B5" s="7" t="inlineStr">
        <is>
          <t>Fase</t>
        </is>
      </c>
      <c r="C5" s="7" t="inlineStr">
        <is>
          <t>Trámite</t>
        </is>
      </c>
      <c r="D5" s="7" t="inlineStr">
        <is>
          <t>Responsable</t>
        </is>
      </c>
      <c r="E5" s="7" t="inlineStr">
        <is>
          <t>Plazo (días)</t>
        </is>
      </c>
      <c r="F5" s="7" t="inlineStr">
        <is>
          <t>Coste previsto (€)</t>
        </is>
      </c>
      <c r="G5" s="7" t="inlineStr">
        <is>
          <t>Coste real (€)</t>
        </is>
      </c>
      <c r="H5" s="7" t="inlineStr">
        <is>
          <t>Fecha objetivo</t>
        </is>
      </c>
      <c r="I5" s="7" t="inlineStr">
        <is>
          <t>Fecha hecha</t>
        </is>
      </c>
      <c r="J5" s="7" t="inlineStr">
        <is>
          <t>¿Cambia por CCAA?</t>
        </is>
      </c>
      <c r="K5" s="7" t="inlineStr">
        <is>
          <t>Notas</t>
        </is>
      </c>
    </row>
    <row r="6">
      <c r="A6" s="4" t="inlineStr">
        <is>
          <t>F1 · Antes de firmar nada: viabilidad del local</t>
        </is>
      </c>
      <c r="B6" s="10" t="inlineStr"/>
      <c r="C6" s="10" t="inlineStr"/>
      <c r="D6" s="10" t="inlineStr"/>
      <c r="E6" s="10" t="inlineStr"/>
      <c r="F6" s="10" t="inlineStr"/>
      <c r="G6" s="10" t="inlineStr"/>
      <c r="H6" s="10" t="inlineStr"/>
      <c r="I6" s="10" t="inlineStr"/>
      <c r="J6" s="10" t="inlineStr"/>
      <c r="K6" s="10" t="inlineStr"/>
    </row>
    <row r="7" ht="40" customHeight="1">
      <c r="A7" s="11" t="inlineStr">
        <is>
          <t>Pendiente</t>
        </is>
      </c>
      <c r="B7" s="12" t="inlineStr">
        <is>
          <t>F1</t>
        </is>
      </c>
      <c r="C7" s="9" t="inlineStr">
        <is>
          <t>Comprobar en el planeamiento si el uso admite obrador o solo comercio</t>
        </is>
      </c>
      <c r="D7" t="inlineStr">
        <is>
          <t>Promotor</t>
        </is>
      </c>
      <c r="E7" s="13" t="n">
        <v>10</v>
      </c>
      <c r="F7" s="6" t="inlineStr">
        <is>
          <t>A presupuestar</t>
        </is>
      </c>
      <c r="G7" s="6" t="inlineStr">
        <is>
          <t>Sin pagar</t>
        </is>
      </c>
      <c r="H7" s="14" t="n">
        <v>46277</v>
      </c>
      <c r="I7" s="14" t="n">
        <v>46277</v>
      </c>
      <c r="J7" s="11" t="inlineStr">
        <is>
          <t>Sí</t>
        </is>
      </c>
      <c r="K7" s="5" t="inlineStr">
        <is>
          <t>SUPUESTO: la clasificación urbanística de un obrador no tiene fuente verificada. Va como PREGUNTA al ayuntamiento, nunca como afirmación.  [Fuente: supuesto]</t>
        </is>
      </c>
    </row>
    <row r="8" ht="40" customHeight="1">
      <c r="A8" s="11" t="inlineStr">
        <is>
          <t>Pendiente</t>
        </is>
      </c>
      <c r="B8" s="12" t="inlineStr">
        <is>
          <t>F1</t>
        </is>
      </c>
      <c r="C8" s="9" t="inlineStr">
        <is>
          <t>Comprobar que ningún ayuntamiento puede exigirte licencia previa de actividad</t>
        </is>
      </c>
      <c r="D8" t="inlineStr">
        <is>
          <t>Promotor</t>
        </is>
      </c>
      <c r="E8" s="13" t="n">
        <v>5</v>
      </c>
      <c r="F8" s="6" t="inlineStr">
        <is>
          <t>A presupuestar</t>
        </is>
      </c>
      <c r="G8" s="6" t="inlineStr">
        <is>
          <t>Sin pagar</t>
        </is>
      </c>
      <c r="H8" s="14" t="n">
        <v>46277</v>
      </c>
      <c r="I8" s="14" t="n">
        <v>46277</v>
      </c>
      <c r="J8" s="11" t="inlineStr">
        <is>
          <t>No</t>
        </is>
      </c>
      <c r="K8" s="5" t="inlineStr">
        <is>
          <t>Para las actividades del Anexo de la Ley 12/2012 en establecimientos permanentes de hasta 750 m² de superficie útil de exposición y venta al publico, NINGUNA administración puede exigir licencia previa de instalación, funcionamiento o actividad (`CHN-49`), y el Anexo incluye el grupo 644 completo, con el 644.5 de bombones y caramelos (`CHN-49b`). OJO: la chocolatería de TAZA queda fuera, porque el Anexo no contiene ningún grupo de la agrupación 67 (`CHN-49c`). Y esta PROHIBIDO decir que trámite pide Madrid o Barcelona.  [Fuente: CHN-49 + CHN-49b]</t>
        </is>
      </c>
    </row>
    <row r="9" ht="40" customHeight="1">
      <c r="A9" s="11" t="inlineStr">
        <is>
          <t>Pendiente</t>
        </is>
      </c>
      <c r="B9" s="12" t="inlineStr">
        <is>
          <t>F1</t>
        </is>
      </c>
      <c r="C9" s="9" t="inlineStr">
        <is>
          <t>Comprobar que el DB-HS 3 del CTE NO regula tu local y que lo que manda es el RITE</t>
        </is>
      </c>
      <c r="D9" t="inlineStr">
        <is>
          <t>Promotor</t>
        </is>
      </c>
      <c r="E9" s="13" t="n">
        <v>5</v>
      </c>
      <c r="F9" s="6" t="inlineStr">
        <is>
          <t>A presupuestar</t>
        </is>
      </c>
      <c r="G9" s="6" t="inlineStr">
        <is>
          <t>Sin pagar</t>
        </is>
      </c>
      <c r="H9" s="14" t="n">
        <v>46277</v>
      </c>
      <c r="I9" s="14" t="n">
        <v>46277</v>
      </c>
      <c r="J9" s="11" t="inlineStr">
        <is>
          <t>No</t>
        </is>
      </c>
      <c r="K9" s="5" t="inlineStr">
        <is>
          <t>Un obrador de chocolate NO genera aire AE4 (`CHN-46`) y el DB-HS 3 del CTE no regula la ventilación de un local comercial (`CHN-45`): las reglas de chimenea que circulan son las de las viviendas. Lo que si aplica es el RITE, por la climatización.  [Fuente: CHN-45 + CHN-46]</t>
        </is>
      </c>
    </row>
    <row r="10" ht="40" customHeight="1">
      <c r="A10" s="11" t="inlineStr">
        <is>
          <t>Pendiente</t>
        </is>
      </c>
      <c r="B10" s="12" t="inlineStr">
        <is>
          <t>F1</t>
        </is>
      </c>
      <c r="C10" s="9" t="inlineStr">
        <is>
          <t>Verificar que caben las seis zonas con marcha adelante y los dos aseos</t>
        </is>
      </c>
      <c r="D10" t="inlineStr">
        <is>
          <t>Promotor</t>
        </is>
      </c>
      <c r="E10" s="13" t="n">
        <v>5</v>
      </c>
      <c r="F10" s="6" t="inlineStr">
        <is>
          <t>A presupuestar</t>
        </is>
      </c>
      <c r="G10" s="6" t="inlineStr">
        <is>
          <t>Sin pagar</t>
        </is>
      </c>
      <c r="H10" s="14" t="n">
        <v>46277</v>
      </c>
      <c r="I10" s="14" t="n">
        <v>46277</v>
      </c>
      <c r="J10" s="11" t="inlineStr">
        <is>
          <t>No</t>
        </is>
      </c>
      <c r="K10" s="5" t="inlineStr">
        <is>
          <t>Es una de las eliminatorias de la ficha de visita del libro 1.  [Fuente: supuesto]</t>
        </is>
      </c>
    </row>
    <row r="11" ht="40" customHeight="1">
      <c r="A11" s="11" t="inlineStr">
        <is>
          <t>Pendiente</t>
        </is>
      </c>
      <c r="B11" s="12" t="inlineStr">
        <is>
          <t>F1</t>
        </is>
      </c>
      <c r="C11" s="9" t="inlineStr">
        <is>
          <t>Pedir al instalador la potencia frigorífica ofertada y las preguntas de la ficha</t>
        </is>
      </c>
      <c r="D11" t="inlineStr">
        <is>
          <t>Promotor</t>
        </is>
      </c>
      <c r="E11" s="13" t="n">
        <v>15</v>
      </c>
      <c r="F11" s="6" t="inlineStr">
        <is>
          <t>A presupuestar</t>
        </is>
      </c>
      <c r="G11" s="6" t="inlineStr">
        <is>
          <t>Sin pagar</t>
        </is>
      </c>
      <c r="H11" s="14" t="n">
        <v>46277</v>
      </c>
      <c r="I11" s="14" t="n">
        <v>46277</v>
      </c>
      <c r="J11" s="11" t="inlineStr">
        <is>
          <t>No</t>
        </is>
      </c>
      <c r="K11" s="5" t="inlineStr">
        <is>
          <t>El libro 1 NO calcula carga térmica (D33): compara tu temperatura objetivo, la exterior de agosto de tu ciudad y la potencia que te OFREZCAN, y te da la ficha de preguntas.  [Fuente: supuesto]</t>
        </is>
      </c>
    </row>
    <row r="12">
      <c r="A12" s="15" t="n"/>
      <c r="B12" s="15" t="n"/>
      <c r="C12" s="15" t="inlineStr">
        <is>
          <t>AVANCE DE LA FASE F1</t>
        </is>
      </c>
      <c r="D12" s="16">
        <f>IFERROR(COUNTIF(A7:A11,"Hecho"),"")</f>
        <v>0.0</v>
      </c>
      <c r="E12" s="16">
        <f>IFERROR(COUNTIF(B7:B11,"F1"),"")</f>
        <v>5.0</v>
      </c>
      <c r="F12" s="17">
        <f>IFERROR(SUMIF(F7:F11,"&gt;=0"),"")</f>
        <v>0.0</v>
      </c>
      <c r="G12" s="17">
        <f>IFERROR(SUMIF(G7:G11,"&gt;=0"),"")</f>
        <v>0.0</v>
      </c>
      <c r="H12" s="15" t="n"/>
      <c r="I12" s="15" t="n"/>
      <c r="J12" s="18">
        <f>IFERROR(IF(E12=0,"",(D12+COUNTIF(A7:A11,"N/A"))/E12),"")</f>
        <v>0.0</v>
      </c>
      <c r="K12" s="19" t="inlineStr">
        <is>
          <t>Hechos · trámites de la fase · coste previsto · coste real · % de avance (los «N/A» cuentan como resueltos).</t>
        </is>
      </c>
    </row>
    <row r="13"/>
    <row r="14">
      <c r="A14" s="4" t="inlineStr">
        <is>
          <t>F2 · Sociedad, altas fiscales y proyecto técnico</t>
        </is>
      </c>
      <c r="B14" s="10" t="inlineStr"/>
      <c r="C14" s="10" t="inlineStr"/>
      <c r="D14" s="10" t="inlineStr"/>
      <c r="E14" s="10" t="inlineStr"/>
      <c r="F14" s="10" t="inlineStr"/>
      <c r="G14" s="10" t="inlineStr"/>
      <c r="H14" s="10" t="inlineStr"/>
      <c r="I14" s="10" t="inlineStr"/>
      <c r="J14" s="10" t="inlineStr"/>
      <c r="K14" s="10" t="inlineStr"/>
    </row>
    <row r="15" ht="40" customHeight="1">
      <c r="A15" s="11" t="inlineStr">
        <is>
          <t>Pendiente</t>
        </is>
      </c>
      <c r="B15" s="12" t="inlineStr">
        <is>
          <t>F2</t>
        </is>
      </c>
      <c r="C15" s="9" t="inlineStr">
        <is>
          <t>Constituir la sociedad o darse de alta como autónomo</t>
        </is>
      </c>
      <c r="D15" t="inlineStr">
        <is>
          <t>Promotor</t>
        </is>
      </c>
      <c r="E15" s="13" t="n">
        <v>20</v>
      </c>
      <c r="F15" s="20" t="n">
        <v>600</v>
      </c>
      <c r="G15" s="6" t="inlineStr">
        <is>
          <t>Sin pagar</t>
        </is>
      </c>
      <c r="H15" s="14" t="n">
        <v>46277</v>
      </c>
      <c r="I15" s="14" t="n">
        <v>46277</v>
      </c>
      <c r="J15" s="11" t="inlineStr">
        <is>
          <t>No</t>
        </is>
      </c>
      <c r="K15" s="5" t="inlineStr">
        <is>
          <t>Importa para Verifactu: sociedad, 1-ene-2027; autónomo, 1-jul-2027 (`CHN-75`). NO es 2026.  [Fuente: supuesto]</t>
        </is>
      </c>
    </row>
    <row r="16" ht="40" customHeight="1">
      <c r="A16" s="11" t="inlineStr">
        <is>
          <t>Pendiente</t>
        </is>
      </c>
      <c r="B16" s="12" t="inlineStr">
        <is>
          <t>F2</t>
        </is>
      </c>
      <c r="C16" s="9" t="inlineStr">
        <is>
          <t>Alta censal (modelo 036) con los DOS códigos CNAE</t>
        </is>
      </c>
      <c r="D16" t="inlineStr">
        <is>
          <t>Gestoria</t>
        </is>
      </c>
      <c r="E16" s="13" t="n">
        <v>3</v>
      </c>
      <c r="F16" s="6" t="inlineStr">
        <is>
          <t>A presupuestar</t>
        </is>
      </c>
      <c r="G16" s="6" t="inlineStr">
        <is>
          <t>Sin pagar</t>
        </is>
      </c>
      <c r="H16" s="14" t="n">
        <v>46277</v>
      </c>
      <c r="I16" s="14" t="n">
        <v>46277</v>
      </c>
      <c r="J16" s="11" t="inlineStr">
        <is>
          <t>No</t>
        </is>
      </c>
      <c r="K16" s="5" t="inlineStr">
        <is>
          <t>CNAE-2025: 10.82 «Fabricación de cacao, chocolate y productos de confitería» y 47.24 «Comercio al por menor de pan, productos de panadería y confitería» (`CHN-74`). Y al darte de alta HOY comunicas DOS códigos, no uno: el CNAE-2025 y además el CNAE-2009 mientras no entre en vigor la tarifa de primas adaptada (`CHN-74b`).  [Fuente: CHN-74 + CHN-74b]</t>
        </is>
      </c>
    </row>
    <row r="17" ht="40" customHeight="1">
      <c r="A17" s="11" t="inlineStr">
        <is>
          <t>Pendiente</t>
        </is>
      </c>
      <c r="B17" s="12" t="inlineStr">
        <is>
          <t>F2</t>
        </is>
      </c>
      <c r="C17" s="9" t="inlineStr">
        <is>
          <t>Alta en el epígrafe 644.5 del IAE, con su nota literal delante</t>
        </is>
      </c>
      <c r="D17" t="inlineStr">
        <is>
          <t>Gestoria</t>
        </is>
      </c>
      <c r="E17" s="13" t="n">
        <v>3</v>
      </c>
      <c r="F17" s="6" t="inlineStr">
        <is>
          <t>A presupuestar</t>
        </is>
      </c>
      <c r="G17" s="6" t="inlineStr">
        <is>
          <t>Sin pagar</t>
        </is>
      </c>
      <c r="H17" s="14" t="n">
        <v>46277</v>
      </c>
      <c r="I17" s="14" t="n">
        <v>46277</v>
      </c>
      <c r="J17" s="11" t="inlineStr">
        <is>
          <t>No</t>
        </is>
      </c>
      <c r="K17" s="5" t="inlineStr">
        <is>
          <t>El 644.5 «Comercio al por menor de bombones y caramelos» FACULTA para fabricar bombones en el propio establecimiento «siempre que su comercialización se realice en las propias dependencias de venta» (`CHN-72`). Alta si, pago casi nunca: hay exención por cifra de negocio (`CHN-73`). Y la Regla 4.a.1 dice que una cuota faculta EXCLUSIVAMENTE para su actividad (`CHN-94`): de ahí salen las cinco filas de canal.  [Fuente: CHN-72 + CHN-73 + CHN-94]</t>
        </is>
      </c>
    </row>
    <row r="18" ht="40" customHeight="1">
      <c r="A18" s="11" t="inlineStr">
        <is>
          <t>Pendiente</t>
        </is>
      </c>
      <c r="B18" s="12" t="inlineStr">
        <is>
          <t>F2</t>
        </is>
      </c>
      <c r="C18" s="9" t="inlineStr">
        <is>
          <t>Alta en el régimen correspondiente de la Seguridad Social</t>
        </is>
      </c>
      <c r="D18" t="inlineStr">
        <is>
          <t>Gestoria</t>
        </is>
      </c>
      <c r="E18" s="13" t="n">
        <v>3</v>
      </c>
      <c r="F18" s="6" t="inlineStr">
        <is>
          <t>A presupuestar</t>
        </is>
      </c>
      <c r="G18" s="6" t="inlineStr">
        <is>
          <t>Sin pagar</t>
        </is>
      </c>
      <c r="H18" s="14" t="n">
        <v>46277</v>
      </c>
      <c r="I18" s="14" t="n">
        <v>46277</v>
      </c>
      <c r="J18" s="11" t="inlineStr">
        <is>
          <t>No</t>
        </is>
      </c>
      <c r="K18" s="5" t="inlineStr">
        <is>
          <t xml:space="preserve">  [Fuente: supuesto]</t>
        </is>
      </c>
    </row>
    <row r="19" ht="40" customHeight="1">
      <c r="A19" s="11" t="inlineStr">
        <is>
          <t>Pendiente</t>
        </is>
      </c>
      <c r="B19" s="12" t="inlineStr">
        <is>
          <t>F2</t>
        </is>
      </c>
      <c r="C19" s="9" t="inlineStr">
        <is>
          <t>Encargar el proyecto técnico visado</t>
        </is>
      </c>
      <c r="D19" t="inlineStr">
        <is>
          <t>Ingenieria</t>
        </is>
      </c>
      <c r="E19" s="13" t="n">
        <v>30</v>
      </c>
      <c r="F19" s="20" t="n">
        <v>4500</v>
      </c>
      <c r="G19" s="6" t="inlineStr">
        <is>
          <t>Sin pagar</t>
        </is>
      </c>
      <c r="H19" s="14" t="n">
        <v>46277</v>
      </c>
      <c r="I19" s="14" t="n">
        <v>46277</v>
      </c>
      <c r="J19" s="11" t="inlineStr">
        <is>
          <t>No</t>
        </is>
      </c>
      <c r="K19" s="5" t="inlineStr">
        <is>
          <t>Coste SUPUESTO: `CHN-50` esta en EXCLUIDOS. Es el documento del que cuelga todo lo demás.  [Fuente: supuesto]</t>
        </is>
      </c>
    </row>
    <row r="20" ht="40" customHeight="1">
      <c r="A20" s="11" t="inlineStr">
        <is>
          <t>Pendiente</t>
        </is>
      </c>
      <c r="B20" s="12" t="inlineStr">
        <is>
          <t>F2</t>
        </is>
      </c>
      <c r="C20" s="9" t="inlineStr">
        <is>
          <t>Firmar el arrendamiento y depositar la fianza</t>
        </is>
      </c>
      <c r="D20" t="inlineStr">
        <is>
          <t>Promotor</t>
        </is>
      </c>
      <c r="E20" s="13" t="n">
        <v>5</v>
      </c>
      <c r="F20" s="20" t="n">
        <v>2600</v>
      </c>
      <c r="G20" s="6" t="inlineStr">
        <is>
          <t>Sin pagar</t>
        </is>
      </c>
      <c r="H20" s="14" t="n">
        <v>46277</v>
      </c>
      <c r="I20" s="14" t="n">
        <v>46277</v>
      </c>
      <c r="J20" s="11" t="inlineStr">
        <is>
          <t>Sí</t>
        </is>
      </c>
      <c r="K20" s="5" t="inlineStr">
        <is>
          <t>El deposito de la fianza se hace en el organismo de vivienda de tu comunidad y el plazo cambia en cada una.  [Fuente: supuesto]</t>
        </is>
      </c>
    </row>
    <row r="21">
      <c r="A21" s="15" t="n"/>
      <c r="B21" s="15" t="n"/>
      <c r="C21" s="15" t="inlineStr">
        <is>
          <t>AVANCE DE LA FASE F2</t>
        </is>
      </c>
      <c r="D21" s="16">
        <f>IFERROR(COUNTIF(A15:A20,"Hecho"),"")</f>
        <v>0.0</v>
      </c>
      <c r="E21" s="16">
        <f>IFERROR(COUNTIF(B15:B20,"F2"),"")</f>
        <v>6.0</v>
      </c>
      <c r="F21" s="17">
        <f>IFERROR(SUMIF(F15:F20,"&gt;=0"),"")</f>
        <v>7700.0</v>
      </c>
      <c r="G21" s="17">
        <f>IFERROR(SUMIF(G15:G20,"&gt;=0"),"")</f>
        <v>0.0</v>
      </c>
      <c r="H21" s="15" t="n"/>
      <c r="I21" s="15" t="n"/>
      <c r="J21" s="18">
        <f>IFERROR(IF(E21=0,"",(D21+COUNTIF(A15:A20,"N/A"))/E21),"")</f>
        <v>0.0</v>
      </c>
      <c r="K21" s="19" t="inlineStr">
        <is>
          <t>Hechos · trámites de la fase · coste previsto · coste real · % de avance (los «N/A» cuentan como resueltos).</t>
        </is>
      </c>
    </row>
    <row r="22"/>
    <row r="23">
      <c r="A23" s="4" t="inlineStr">
        <is>
          <t>F3 · Registro sanitario y comunicación autonómica</t>
        </is>
      </c>
      <c r="B23" s="10" t="inlineStr"/>
      <c r="C23" s="10" t="inlineStr"/>
      <c r="D23" s="10" t="inlineStr"/>
      <c r="E23" s="10" t="inlineStr"/>
      <c r="F23" s="10" t="inlineStr"/>
      <c r="G23" s="10" t="inlineStr"/>
      <c r="H23" s="10" t="inlineStr"/>
      <c r="I23" s="10" t="inlineStr"/>
      <c r="J23" s="10" t="inlineStr"/>
      <c r="K23" s="10" t="inlineStr"/>
    </row>
    <row r="24" ht="40" customHeight="1">
      <c r="A24" s="11" t="inlineStr">
        <is>
          <t>Pendiente</t>
        </is>
      </c>
      <c r="B24" s="12" t="inlineStr">
        <is>
          <t>F3</t>
        </is>
      </c>
      <c r="C24" s="9" t="inlineStr">
        <is>
          <t>Presentar la comunicación o declaración responsable al registro autonómico</t>
        </is>
      </c>
      <c r="D24" t="inlineStr">
        <is>
          <t>Promotor</t>
        </is>
      </c>
      <c r="E24" s="13" t="n">
        <v>15</v>
      </c>
      <c r="F24" s="20" t="n">
        <v>120</v>
      </c>
      <c r="G24" s="6" t="inlineStr">
        <is>
          <t>Sin pagar</t>
        </is>
      </c>
      <c r="H24" s="14" t="n">
        <v>46277</v>
      </c>
      <c r="I24" s="14" t="n">
        <v>46277</v>
      </c>
      <c r="J24" s="11" t="inlineStr">
        <is>
          <t>Sí</t>
        </is>
      </c>
      <c r="K24" s="5" t="inlineStr">
        <is>
          <t>El minorista esta EXCLUIDO del RGSEAA y se inscribe en el registro de su comunidad mediante comunicación o declaración responsable QUE NO HABILITA (`CHN-39`). Y el mismo trámite funciona distinto: en Madrid se presenta simultaneamente al inicio de la actividad y no habilita; en la Comunitat Valenciana es condición única y suficiente para iniciar y lleva tasa (`CHN-43`). PROHIBIDO escribir «necesitas el RGSEAA para abrir».  [Fuente: CHN-39 + CHN-43]</t>
        </is>
      </c>
    </row>
    <row r="25" ht="40" customHeight="1">
      <c r="A25" s="11" t="inlineStr">
        <is>
          <t>Pendiente</t>
        </is>
      </c>
      <c r="B25" s="12" t="inlineStr">
        <is>
          <t>F3</t>
        </is>
      </c>
      <c r="C25" s="9" t="inlineStr">
        <is>
          <t>Resolver el árbol: tener obrador NO te saca de minorista</t>
        </is>
      </c>
      <c r="D25" t="inlineStr">
        <is>
          <t>Promotor</t>
        </is>
      </c>
      <c r="E25" s="13" t="n">
        <v>5</v>
      </c>
      <c r="F25" s="6" t="inlineStr">
        <is>
          <t>A presupuestar</t>
        </is>
      </c>
      <c r="G25" s="6" t="inlineStr">
        <is>
          <t>Sin pagar</t>
        </is>
      </c>
      <c r="H25" s="14" t="n">
        <v>46277</v>
      </c>
      <c r="I25" s="14" t="n">
        <v>46277</v>
      </c>
      <c r="J25" s="11" t="inlineStr">
        <is>
          <t>No</t>
        </is>
      </c>
      <c r="K25" s="5" t="inlineStr">
        <is>
          <t>Tener obrador NO te saca del régimen minorista (`CHN-40b`). La clave y las actividades del RGSEAA solo entran cuando SI toca (`CHN-40`).  [Fuente: CHN-40 + CHN-40b]</t>
        </is>
      </c>
    </row>
    <row r="26" ht="40" customHeight="1">
      <c r="A26" s="11" t="inlineStr">
        <is>
          <t>Pendiente</t>
        </is>
      </c>
      <c r="B26" s="12" t="inlineStr">
        <is>
          <t>F3</t>
        </is>
      </c>
      <c r="C26" s="9" t="inlineStr">
        <is>
          <t>Resolver los TRES semáforos del art. 3 si suministras a otros minoristas</t>
        </is>
      </c>
      <c r="D26" t="inlineStr">
        <is>
          <t>Promotor</t>
        </is>
      </c>
      <c r="E26" s="13" t="n">
        <v>5</v>
      </c>
      <c r="F26" s="6" t="inlineStr">
        <is>
          <t>A presupuestar</t>
        </is>
      </c>
      <c r="G26" s="6" t="inlineStr">
        <is>
          <t>Sin pagar</t>
        </is>
      </c>
      <c r="H26" s="14" t="n">
        <v>46277</v>
      </c>
      <c r="I26" s="14" t="n">
        <v>46277</v>
      </c>
      <c r="J26" s="11" t="inlineStr">
        <is>
          <t>No</t>
        </is>
      </c>
      <c r="K26" s="5" t="inlineStr">
        <is>
          <t>PUERTA DE ENTRADA: ¿suministras a otros minoristas de DISTINTA TITULARIDAD? Si la respuesta es no, el art. 3 no te aplica. Si es si, tres semáforos INDEPENDIENTES y ACUMULATIVOS: MARGINAL por la vía a) hasta el 25 % del volumen anual O por la b) hasta 500 kg/semana -son dos entradas distintas-; LOCALIZADO, misma zona de salud o hasta 50 km en el caso interautonomico; RESTRINGIDO, que ninguno de tus clientes este inscrito en el RGSEAA. PROHIBIDO «los 500 kg incluyen el mostrador».  [Fuente: CHN-41]</t>
        </is>
      </c>
    </row>
    <row r="27" ht="40" customHeight="1">
      <c r="A27" s="11" t="inlineStr">
        <is>
          <t>Pendiente</t>
        </is>
      </c>
      <c r="B27" s="12" t="inlineStr">
        <is>
          <t>F3</t>
        </is>
      </c>
      <c r="C27" s="9" t="inlineStr">
        <is>
          <t>Comprobar si tu comunidad ha ampliado la lista del art. 13.8 por la letra e)</t>
        </is>
      </c>
      <c r="D27" t="inlineStr">
        <is>
          <t>Promotor</t>
        </is>
      </c>
      <c r="E27" s="13" t="n">
        <v>10</v>
      </c>
      <c r="F27" s="6" t="inlineStr">
        <is>
          <t>A presupuestar</t>
        </is>
      </c>
      <c r="G27" s="6" t="inlineStr">
        <is>
          <t>Sin pagar</t>
        </is>
      </c>
      <c r="H27" s="14" t="n">
        <v>46277</v>
      </c>
      <c r="I27" s="14" t="n">
        <v>46277</v>
      </c>
      <c r="J27" s="11" t="inlineStr">
        <is>
          <t>Sí</t>
        </is>
      </c>
      <c r="K27" s="5" t="inlineStr">
        <is>
          <t>La lista estatal del obrador en vivienda tiene CINCO letras y la quinta es ABIERTA: «otros alimentos que las autoridades competentes de las comunidades autónomas permitan en sus territorios» (`CHN-44`). Por defecto el chocolate no encaja en la letra b), pero eso es INTERPRETACION DECLARADA (`CHN-44-int`), no nivel A: compruebalo en tu comunidad. La letra b) valenciana añade «confitería», NO «chocolate» (`CHN-44b`). PROHIBIDO «hacer bombones en casa para vender es ilegal en España». Y el tope de 100 kg/semana del art. 13.9 solo se activa si esta casilla esta en «si»: son TRES requisitos, no uno -volumen PROPORCIONAL AL TAMAÑO DE LAS INSTALACIONES, tope de 100 kg/semana y demostrable documentalmente- y el que de verdad limita es el primero (`PA-29c`, reutilizado de Pastelería y verificado el 10-09-2026).  [Fuente: CHN-44 + CHN-44-int + CHN-44b]</t>
        </is>
      </c>
    </row>
    <row r="28">
      <c r="A28" s="15" t="n"/>
      <c r="B28" s="15" t="n"/>
      <c r="C28" s="15" t="inlineStr">
        <is>
          <t>AVANCE DE LA FASE F3</t>
        </is>
      </c>
      <c r="D28" s="16">
        <f>IFERROR(COUNTIF(A24:A27,"Hecho"),"")</f>
        <v>0.0</v>
      </c>
      <c r="E28" s="16">
        <f>IFERROR(COUNTIF(B24:B27,"F3"),"")</f>
        <v>4.0</v>
      </c>
      <c r="F28" s="17">
        <f>IFERROR(SUMIF(F24:F27,"&gt;=0"),"")</f>
        <v>120.0</v>
      </c>
      <c r="G28" s="17">
        <f>IFERROR(SUMIF(G24:G27,"&gt;=0"),"")</f>
        <v>0.0</v>
      </c>
      <c r="H28" s="15" t="n"/>
      <c r="I28" s="15" t="n"/>
      <c r="J28" s="18">
        <f>IFERROR(IF(E28=0,"",(D28+COUNTIF(A24:A27,"N/A"))/E28),"")</f>
        <v>0.0</v>
      </c>
      <c r="K28" s="19" t="inlineStr">
        <is>
          <t>Hechos · trámites de la fase · coste previsto · coste real · % de avance (los «N/A» cuentan como resueltos).</t>
        </is>
      </c>
    </row>
    <row r="29"/>
    <row r="30">
      <c r="A30" s="4" t="inlineStr">
        <is>
          <t>F4 · Obra, clima y equipamiento</t>
        </is>
      </c>
      <c r="B30" s="10" t="inlineStr"/>
      <c r="C30" s="10" t="inlineStr"/>
      <c r="D30" s="10" t="inlineStr"/>
      <c r="E30" s="10" t="inlineStr"/>
      <c r="F30" s="10" t="inlineStr"/>
      <c r="G30" s="10" t="inlineStr"/>
      <c r="H30" s="10" t="inlineStr"/>
      <c r="I30" s="10" t="inlineStr"/>
      <c r="J30" s="10" t="inlineStr"/>
      <c r="K30" s="10" t="inlineStr"/>
    </row>
    <row r="31" ht="40" customHeight="1">
      <c r="A31" s="11" t="inlineStr">
        <is>
          <t>Pendiente</t>
        </is>
      </c>
      <c r="B31" s="12" t="inlineStr">
        <is>
          <t>F4</t>
        </is>
      </c>
      <c r="C31" s="9" t="inlineStr">
        <is>
          <t>Contratar la obra y la adecuación</t>
        </is>
      </c>
      <c r="D31" t="inlineStr">
        <is>
          <t>Promotor</t>
        </is>
      </c>
      <c r="E31" s="13" t="n">
        <v>45</v>
      </c>
      <c r="F31" s="20" t="n">
        <v>28500</v>
      </c>
      <c r="G31" s="6" t="inlineStr">
        <is>
          <t>Sin pagar</t>
        </is>
      </c>
      <c r="H31" s="14" t="n">
        <v>46277</v>
      </c>
      <c r="I31" s="14" t="n">
        <v>46277</v>
      </c>
      <c r="J31" s="11" t="inlineStr">
        <is>
          <t>No</t>
        </is>
      </c>
      <c r="K31" s="5" t="inlineStr">
        <is>
          <t>Coste SUPUESTO. Sin humos, la obra de un obrador de chocolate es mas barata que la de una pastelería.  [Fuente: supuesto]</t>
        </is>
      </c>
    </row>
    <row r="32" ht="40" customHeight="1">
      <c r="A32" s="11" t="inlineStr">
        <is>
          <t>Pendiente</t>
        </is>
      </c>
      <c r="B32" s="12" t="inlineStr">
        <is>
          <t>F4</t>
        </is>
      </c>
      <c r="C32" s="9" t="inlineStr">
        <is>
          <t>Contratar la climatización con deshumidificación</t>
        </is>
      </c>
      <c r="D32" t="inlineStr">
        <is>
          <t>Promotor</t>
        </is>
      </c>
      <c r="E32" s="13" t="n">
        <v>40</v>
      </c>
      <c r="F32" s="20" t="n">
        <v>7600</v>
      </c>
      <c r="G32" s="6" t="inlineStr">
        <is>
          <t>Sin pagar</t>
        </is>
      </c>
      <c r="H32" s="14" t="n">
        <v>46277</v>
      </c>
      <c r="I32" s="14" t="n">
        <v>46277</v>
      </c>
      <c r="J32" s="11" t="inlineStr">
        <is>
          <t>No</t>
        </is>
      </c>
      <c r="K32" s="5" t="inlineStr">
        <is>
          <t>La partida que nadie presupuesta y la que decide si la cobertura cristaliza.  [Fuente: supuesto]</t>
        </is>
      </c>
    </row>
    <row r="33" ht="40" customHeight="1">
      <c r="A33" s="11" t="inlineStr">
        <is>
          <t>Pendiente</t>
        </is>
      </c>
      <c r="B33" s="12" t="inlineStr">
        <is>
          <t>F4</t>
        </is>
      </c>
      <c r="C33" s="9" t="inlineStr">
        <is>
          <t>Pedir el equipamiento de templado con su plazo por escrito</t>
        </is>
      </c>
      <c r="D33" t="inlineStr">
        <is>
          <t>Promotor</t>
        </is>
      </c>
      <c r="E33" s="13" t="n">
        <v>70</v>
      </c>
      <c r="F33" s="6" t="inlineStr">
        <is>
          <t>A presupuestar</t>
        </is>
      </c>
      <c r="G33" s="6" t="inlineStr">
        <is>
          <t>Sin pagar</t>
        </is>
      </c>
      <c r="H33" s="14" t="n">
        <v>46277</v>
      </c>
      <c r="I33" s="14" t="n">
        <v>46277</v>
      </c>
      <c r="J33" s="11" t="inlineStr">
        <is>
          <t>No</t>
        </is>
      </c>
      <c r="K33" s="5" t="inlineStr">
        <is>
          <t>ES EL PLAZO QUE MUEVE LA FECHA DE APERTURA. Se teclea en el libro 9 y viaja al cronograma del 8 por celda verde con fila de cuadre (cruce 8 &lt;- 9).  [Fuente: CHS-41a + CHS-42a + supuesto]</t>
        </is>
      </c>
    </row>
    <row r="34" ht="40" customHeight="1">
      <c r="A34" s="11" t="inlineStr">
        <is>
          <t>Pendiente</t>
        </is>
      </c>
      <c r="B34" s="12" t="inlineStr">
        <is>
          <t>F4</t>
        </is>
      </c>
      <c r="C34" s="9" t="inlineStr">
        <is>
          <t>Inscribirse en el Registro territorial del impuesto al plastico si te toca</t>
        </is>
      </c>
      <c r="D34" t="inlineStr">
        <is>
          <t>Gestoria</t>
        </is>
      </c>
      <c r="E34" s="13" t="n">
        <v>15</v>
      </c>
      <c r="F34" s="6" t="inlineStr">
        <is>
          <t>A presupuestar</t>
        </is>
      </c>
      <c r="G34" s="6" t="inlineStr">
        <is>
          <t>Sin pagar</t>
        </is>
      </c>
      <c r="H34" s="14" t="n">
        <v>46277</v>
      </c>
      <c r="I34" s="14" t="n">
        <v>46277</v>
      </c>
      <c r="J34" s="11" t="inlineStr">
        <is>
          <t>No</t>
        </is>
      </c>
      <c r="K34" s="5" t="inlineStr">
        <is>
          <t>Solo si FABRICAS, IMPORTAS o haces ADQUISICION INTRACOMUNITARIA de envases no reutilizables con plastico. La exención del art. 75.f) (5 kg/mes) cubre solo la importación y la adquisición intracomunitaria, y solo los envases del art. 68.1.a): NO la fabricación, NI los semielaborados, NI los cierres (`CHN-62b`).  [Fuente: CHN-62 + CHN-62b]</t>
        </is>
      </c>
    </row>
    <row r="35" ht="40" customHeight="1">
      <c r="A35" s="11" t="inlineStr">
        <is>
          <t>Pendiente</t>
        </is>
      </c>
      <c r="B35" s="12" t="inlineStr">
        <is>
          <t>F4</t>
        </is>
      </c>
      <c r="C35" s="9" t="inlineStr">
        <is>
          <t>Si hay freidora de gas en la variante de taza, programar la inspección</t>
        </is>
      </c>
      <c r="D35" t="inlineStr">
        <is>
          <t>Promotor</t>
        </is>
      </c>
      <c r="E35" s="13" t="n">
        <v>10</v>
      </c>
      <c r="F35" s="6" t="inlineStr">
        <is>
          <t>A presupuestar</t>
        </is>
      </c>
      <c r="G35" s="6" t="inlineStr">
        <is>
          <t>Sin pagar</t>
        </is>
      </c>
      <c r="H35" s="14" t="n">
        <v>46277</v>
      </c>
      <c r="I35" s="14" t="n">
        <v>46277</v>
      </c>
      <c r="J35" s="11" t="inlineStr">
        <is>
          <t>No</t>
        </is>
      </c>
      <c r="K35" s="5" t="inlineStr">
        <is>
          <t>Inspección periódica obligatoria de la instalación receptora CADA CINCO AÑOS, que en instalaciones de hasta 70 kW incluye los aparatos y comprueba la ventilación y el volumen mínimo del local (`CHN-48`).  [Fuente: CHN-48]</t>
        </is>
      </c>
    </row>
    <row r="36">
      <c r="A36" s="15" t="n"/>
      <c r="B36" s="15" t="n"/>
      <c r="C36" s="15" t="inlineStr">
        <is>
          <t>AVANCE DE LA FASE F4</t>
        </is>
      </c>
      <c r="D36" s="16">
        <f>IFERROR(COUNTIF(A31:A35,"Hecho"),"")</f>
        <v>0.0</v>
      </c>
      <c r="E36" s="16">
        <f>IFERROR(COUNTIF(B31:B35,"F4"),"")</f>
        <v>5.0</v>
      </c>
      <c r="F36" s="17">
        <f>IFERROR(SUMIF(F31:F35,"&gt;=0"),"")</f>
        <v>36100.0</v>
      </c>
      <c r="G36" s="17">
        <f>IFERROR(SUMIF(G31:G35,"&gt;=0"),"")</f>
        <v>0.0</v>
      </c>
      <c r="H36" s="15" t="n"/>
      <c r="I36" s="15" t="n"/>
      <c r="J36" s="18">
        <f>IFERROR(IF(E36=0,"",(D36+COUNTIF(A31:A35,"N/A"))/E36),"")</f>
        <v>0.0</v>
      </c>
      <c r="K36" s="19" t="inlineStr">
        <is>
          <t>Hechos · trámites de la fase · coste previsto · coste real · % de avance (los «N/A» cuentan como resueltos).</t>
        </is>
      </c>
    </row>
    <row r="37"/>
    <row r="38">
      <c r="A38" s="4" t="inlineStr">
        <is>
          <t>F5 · APPCC, alérgenos y formación</t>
        </is>
      </c>
      <c r="B38" s="10" t="inlineStr"/>
      <c r="C38" s="10" t="inlineStr"/>
      <c r="D38" s="10" t="inlineStr"/>
      <c r="E38" s="10" t="inlineStr"/>
      <c r="F38" s="10" t="inlineStr"/>
      <c r="G38" s="10" t="inlineStr"/>
      <c r="H38" s="10" t="inlineStr"/>
      <c r="I38" s="10" t="inlineStr"/>
      <c r="J38" s="10" t="inlineStr"/>
      <c r="K38" s="10" t="inlineStr"/>
    </row>
    <row r="39" ht="40" customHeight="1">
      <c r="A39" s="11" t="inlineStr">
        <is>
          <t>Pendiente</t>
        </is>
      </c>
      <c r="B39" s="12" t="inlineStr">
        <is>
          <t>F5</t>
        </is>
      </c>
      <c r="C39" s="9" t="inlineStr">
        <is>
          <t>Redactar el plan de APPCC con RESPONSABLE DESIGNADO CON NOMBRE</t>
        </is>
      </c>
      <c r="D39" t="inlineStr">
        <is>
          <t>Promotor</t>
        </is>
      </c>
      <c r="E39" s="13" t="n">
        <v>20</v>
      </c>
      <c r="F39" s="6" t="inlineStr">
        <is>
          <t>A presupuestar</t>
        </is>
      </c>
      <c r="G39" s="6" t="inlineStr">
        <is>
          <t>Sin pagar</t>
        </is>
      </c>
      <c r="H39" s="14" t="n">
        <v>46277</v>
      </c>
      <c r="I39" s="14" t="n">
        <v>46277</v>
      </c>
      <c r="J39" s="11" t="inlineStr">
        <is>
          <t>No</t>
        </is>
      </c>
      <c r="K39" s="5" t="inlineStr">
        <is>
          <t>El procedimiento permanente basado en el APPCC puede aplicarse de manera SIMPLIFICADA conforme a la Comunicación 2020/C 199/01, pero debe contar con una persona responsable de su aplicación (`CHN-32`). En el APPCC va la vida útil que TU declaras (`CHN-30`).  [Fuente: CHN-32]</t>
        </is>
      </c>
    </row>
    <row r="40" ht="40" customHeight="1">
      <c r="A40" s="11" t="inlineStr">
        <is>
          <t>Pendiente</t>
        </is>
      </c>
      <c r="B40" s="12" t="inlineStr">
        <is>
          <t>F5</t>
        </is>
      </c>
      <c r="C40" s="9" t="inlineStr">
        <is>
          <t>Montar el registro de formación del personal</t>
        </is>
      </c>
      <c r="D40" t="inlineStr">
        <is>
          <t>Promotor</t>
        </is>
      </c>
      <c r="E40" s="13" t="n">
        <v>10</v>
      </c>
      <c r="F40" s="6" t="inlineStr">
        <is>
          <t>A presupuestar</t>
        </is>
      </c>
      <c r="G40" s="6" t="inlineStr">
        <is>
          <t>Sin pagar</t>
        </is>
      </c>
      <c r="H40" s="14" t="n">
        <v>46277</v>
      </c>
      <c r="I40" s="14" t="n">
        <v>46277</v>
      </c>
      <c r="J40" s="11" t="inlineStr">
        <is>
          <t>No</t>
        </is>
      </c>
      <c r="K40" s="5" t="inlineStr">
        <is>
          <t>EL CARNET DE MANIPULADOR NO EXISTE. La obligación viva es del empresario: garantizar la formación de cada persona de acuerdo con su actividad laboral y PODER ACREDITARLA (`CHN-69`). PROHIBIDO escribir «hay que sacarse el carnet de manipulador».  [Fuente: CHN-69]</t>
        </is>
      </c>
    </row>
    <row r="41" ht="40" customHeight="1">
      <c r="A41" s="11" t="inlineStr">
        <is>
          <t>Pendiente</t>
        </is>
      </c>
      <c r="B41" s="12" t="inlineStr">
        <is>
          <t>F5</t>
        </is>
      </c>
      <c r="C41" s="9" t="inlineStr">
        <is>
          <t>Montar la declaración de los OCHO alérgenos y el protocolo de limpieza</t>
        </is>
      </c>
      <c r="D41" t="inlineStr">
        <is>
          <t>Promotor</t>
        </is>
      </c>
      <c r="E41" s="13" t="n">
        <v>10</v>
      </c>
      <c r="F41" s="6" t="inlineStr">
        <is>
          <t>A presupuestar</t>
        </is>
      </c>
      <c r="G41" s="6" t="inlineStr">
        <is>
          <t>Sin pagar</t>
        </is>
      </c>
      <c r="H41" s="14" t="n">
        <v>46277</v>
      </c>
      <c r="I41" s="14" t="n">
        <v>46277</v>
      </c>
      <c r="J41" s="11" t="inlineStr">
        <is>
          <t>No</t>
        </is>
      </c>
      <c r="K41" s="5" t="inlineStr">
        <is>
          <t>OCHO, no cinco (`CHN-34b`). El equipo usado con un alérgeno no se reutiliza para otro alimento sin limpiarlo (`CHN-33`). En producto sin envasar los alérgenos pueden ir en cartel, pero la fecha no (`CHN-89`).  [Fuente: CHN-34b + CHN-33 + CHN-89]</t>
        </is>
      </c>
    </row>
    <row r="42" ht="40" customHeight="1">
      <c r="A42" s="11" t="inlineStr">
        <is>
          <t>Pendiente</t>
        </is>
      </c>
      <c r="B42" s="12" t="inlineStr">
        <is>
          <t>F5</t>
        </is>
      </c>
      <c r="C42" s="9" t="inlineStr">
        <is>
          <t>Decidir por referencia si va ENVASADA CON ETIQUETA o A GRANEL</t>
        </is>
      </c>
      <c r="D42" t="inlineStr">
        <is>
          <t>Promotor</t>
        </is>
      </c>
      <c r="E42" s="13" t="n">
        <v>5</v>
      </c>
      <c r="F42" s="6" t="inlineStr">
        <is>
          <t>A presupuestar</t>
        </is>
      </c>
      <c r="G42" s="6" t="inlineStr">
        <is>
          <t>Sin pagar</t>
        </is>
      </c>
      <c r="H42" s="14" t="n">
        <v>46277</v>
      </c>
      <c r="I42" s="14" t="n">
        <v>46277</v>
      </c>
      <c r="J42" s="11" t="inlineStr">
        <is>
          <t>No</t>
        </is>
      </c>
      <c r="K42" s="5" t="inlineStr">
        <is>
          <t>NO ES EL MISMO RÉGIMEN (D47). Con etiqueta te obliga lo que tu has escrito en ella (art. 4.2 del RD 1021/2022) mas las doce menciones del art. 9.1 del Rgto. 1169/2011 (`CHN-35`) y el lote, que viene del RD 1808/1991 y NO de ese reglamento (`CHN-36`). A granel, la referencia es TU sistema de autocontrol.  [Fuente: CHN-30 + CHN-35 + CHN-36 + CHN-87]</t>
        </is>
      </c>
    </row>
    <row r="43" ht="40" customHeight="1">
      <c r="A43" s="11" t="inlineStr">
        <is>
          <t>Pendiente</t>
        </is>
      </c>
      <c r="B43" s="12" t="inlineStr">
        <is>
          <t>F5</t>
        </is>
      </c>
      <c r="C43" s="9" t="inlineStr">
        <is>
          <t>Decidir si necesitas analítica de cadmio y con que frecuencia</t>
        </is>
      </c>
      <c r="D43" t="inlineStr">
        <is>
          <t>Promotor</t>
        </is>
      </c>
      <c r="E43" s="13" t="n">
        <v>15</v>
      </c>
      <c r="F43" s="6" t="inlineStr">
        <is>
          <t>A presupuestar</t>
        </is>
      </c>
      <c r="G43" s="6" t="inlineStr">
        <is>
          <t>Sin pagar</t>
        </is>
      </c>
      <c r="H43" s="14" t="n">
        <v>46277</v>
      </c>
      <c r="I43" s="14" t="n">
        <v>46277</v>
      </c>
      <c r="J43" s="11" t="inlineStr">
        <is>
          <t>No</t>
        </is>
      </c>
      <c r="K43" s="5" t="inlineStr">
        <is>
          <t>LO QUE ES CHOCOLATE PARA LA DENOMINACION NO LO ES PARA LOS CONTAMINANTES: la nota (14) del Anexo I del Rgto. 2023/915 remite SOLO a los puntos 2, 3 y 4 de la parte A del Anexo I de la Directiva 2000/36/CE -cacao en polvo, chocolate y chocolate con leche- (`CHN-16b`). El BOMBÓN NO TIENE LIMITE PROPIO DE CADMIO: se le aplica la regla de alimentos compuestos del art. 3 (`CHN-84`). PROHIBIDO «tu bombón tiene un limite de cadmio de X».  [Fuente: CHN-16 + CHN-16b + CHN-84]</t>
        </is>
      </c>
    </row>
    <row r="44" ht="40" customHeight="1">
      <c r="A44" s="11" t="inlineStr">
        <is>
          <t>Pendiente</t>
        </is>
      </c>
      <c r="B44" s="12" t="inlineStr">
        <is>
          <t>F5</t>
        </is>
      </c>
      <c r="C44" s="9" t="inlineStr">
        <is>
          <t>Resolver tu papel en la cadena EUDR y pedir los papeles que te toquen</t>
        </is>
      </c>
      <c r="D44" t="inlineStr">
        <is>
          <t>Promotor</t>
        </is>
      </c>
      <c r="E44" s="13" t="n">
        <v>20</v>
      </c>
      <c r="F44" s="6" t="inlineStr">
        <is>
          <t>A presupuestar</t>
        </is>
      </c>
      <c r="G44" s="6" t="inlineStr">
        <is>
          <t>Sin pagar</t>
        </is>
      </c>
      <c r="H44" s="14" t="n">
        <v>46277</v>
      </c>
      <c r="I44" s="14" t="n">
        <v>46277</v>
      </c>
      <c r="J44" s="11" t="inlineStr">
        <is>
          <t>No</t>
        </is>
      </c>
      <c r="K44" s="5" t="inlineStr">
        <is>
          <t>El Anexo I incluye la partida 1806 «Chocolate y demás preparaciones alimenticias que contengan cacao», y el reglamento cubre también la EXPORTACION (`CHN-20`, `CHN-60`). Fecha general: 30 de diciembre de 2026 (`CHN-21`). El aplazamiento a 30-06-2027 del art. 38.3 es SOLO para «operadores» persona física, microempresa o pequeña empresa establecidos a 31-12-2024, y el art. 2.15 excluye de esa palabra a los operadores posteriores (`CHN-22`, `CHN-23`). VERIFICADO A 12-09-2026: comprueba el estado del EUDR antes de comprar cacao.  [Fuente: CHN-20 + CHN-21 + CHN-22 + CHN-23 + CHN-24 + CHN-25]</t>
        </is>
      </c>
    </row>
    <row r="45">
      <c r="A45" s="15" t="n"/>
      <c r="B45" s="15" t="n"/>
      <c r="C45" s="15" t="inlineStr">
        <is>
          <t>AVANCE DE LA FASE F5</t>
        </is>
      </c>
      <c r="D45" s="16">
        <f>IFERROR(COUNTIF(A39:A44,"Hecho"),"")</f>
        <v>0.0</v>
      </c>
      <c r="E45" s="16">
        <f>IFERROR(COUNTIF(B39:B44,"F5"),"")</f>
        <v>6.0</v>
      </c>
      <c r="F45" s="17">
        <f>IFERROR(SUMIF(F39:F44,"&gt;=0"),"")</f>
        <v>0.0</v>
      </c>
      <c r="G45" s="17">
        <f>IFERROR(SUMIF(G39:G44,"&gt;=0"),"")</f>
        <v>0.0</v>
      </c>
      <c r="H45" s="15" t="n"/>
      <c r="I45" s="15" t="n"/>
      <c r="J45" s="18">
        <f>IFERROR(IF(E45=0,"",(D45+COUNTIF(A39:A44,"N/A"))/E45),"")</f>
        <v>0.0</v>
      </c>
      <c r="K45" s="19" t="inlineStr">
        <is>
          <t>Hechos · trámites de la fase · coste previsto · coste real · % de avance (los «N/A» cuentan como resueltos).</t>
        </is>
      </c>
    </row>
    <row r="46"/>
    <row r="47">
      <c r="A47" s="4" t="inlineStr">
        <is>
          <t>F6 · Apertura: fiscal, laboral y comercial</t>
        </is>
      </c>
      <c r="B47" s="10" t="inlineStr"/>
      <c r="C47" s="10" t="inlineStr"/>
      <c r="D47" s="10" t="inlineStr"/>
      <c r="E47" s="10" t="inlineStr"/>
      <c r="F47" s="10" t="inlineStr"/>
      <c r="G47" s="10" t="inlineStr"/>
      <c r="H47" s="10" t="inlineStr"/>
      <c r="I47" s="10" t="inlineStr"/>
      <c r="J47" s="10" t="inlineStr"/>
      <c r="K47" s="10" t="inlineStr"/>
    </row>
    <row r="48" ht="40" customHeight="1">
      <c r="A48" s="11" t="inlineStr">
        <is>
          <t>Pendiente</t>
        </is>
      </c>
      <c r="B48" s="12" t="inlineStr">
        <is>
          <t>F6</t>
        </is>
      </c>
      <c r="C48" s="9" t="inlineStr">
        <is>
          <t>Comprobar que tu comunicación sanitaria esta presentada antes de vender</t>
        </is>
      </c>
      <c r="D48" t="inlineStr">
        <is>
          <t>Promotor</t>
        </is>
      </c>
      <c r="E48" s="13" t="n">
        <v>3</v>
      </c>
      <c r="F48" s="6" t="inlineStr">
        <is>
          <t>A presupuestar</t>
        </is>
      </c>
      <c r="G48" s="6" t="inlineStr">
        <is>
          <t>Sin pagar</t>
        </is>
      </c>
      <c r="H48" s="14" t="n">
        <v>46277</v>
      </c>
      <c r="I48" s="14" t="n">
        <v>46277</v>
      </c>
      <c r="J48" s="11" t="inlineStr">
        <is>
          <t>Sí</t>
        </is>
      </c>
      <c r="K48" s="5" t="inlineStr">
        <is>
          <t xml:space="preserve">  [Fuente: CHN-39]</t>
        </is>
      </c>
    </row>
    <row r="49" ht="40" customHeight="1">
      <c r="A49" s="11" t="inlineStr">
        <is>
          <t>Pendiente</t>
        </is>
      </c>
      <c r="B49" s="12" t="inlineStr">
        <is>
          <t>F6</t>
        </is>
      </c>
      <c r="C49" s="9" t="inlineStr">
        <is>
          <t>Contratar al equipo con el convenio que TE toca, identificado en el REGCON</t>
        </is>
      </c>
      <c r="D49" t="inlineStr">
        <is>
          <t>Gestoria</t>
        </is>
      </c>
      <c r="E49" s="13" t="n">
        <v>15</v>
      </c>
      <c r="F49" s="6" t="inlineStr">
        <is>
          <t>A presupuestar</t>
        </is>
      </c>
      <c r="G49" s="6" t="inlineStr">
        <is>
          <t>Sin pagar</t>
        </is>
      </c>
      <c r="H49" s="14" t="n">
        <v>46277</v>
      </c>
      <c r="I49" s="14" t="n">
        <v>46277</v>
      </c>
      <c r="J49" s="11" t="inlineStr">
        <is>
          <t>Sí</t>
        </is>
      </c>
      <c r="K49" s="5" t="inlineStr">
        <is>
          <t>NO EXISTE convenio estatal del chocolate (`CHN-66`). La tabla que trae el producto es la de Madrid y va MARCADA COMO EJEMPLO. Busca el tuyo por ÁMBITO FUNCIONAL, no por el nombre que te suene: la denominación oficial del de Madrid es «CONFITERÍAS PASTELERÍAS Y REPOSTERÍA (COMERCIO E INDUSTRIA)» y quien busque «bollerias» no lo encuentra (`CHN-65c`). Cuatro convenios de sector nombran chocolates o bombones (`CHN-93`).  [Fuente: CHN-65 + CHN-65c + CHN-66 + CHN-93]</t>
        </is>
      </c>
    </row>
    <row r="50" ht="40" customHeight="1">
      <c r="A50" s="11" t="inlineStr">
        <is>
          <t>Pendiente</t>
        </is>
      </c>
      <c r="B50" s="12" t="inlineStr">
        <is>
          <t>F6</t>
        </is>
      </c>
      <c r="C50" s="9" t="inlineStr">
        <is>
          <t>Montar el registro de jornada</t>
        </is>
      </c>
      <c r="D50" t="inlineStr">
        <is>
          <t>Gestoria</t>
        </is>
      </c>
      <c r="E50" s="13" t="n">
        <v>5</v>
      </c>
      <c r="F50" s="6" t="inlineStr">
        <is>
          <t>A presupuestar</t>
        </is>
      </c>
      <c r="G50" s="6" t="inlineStr">
        <is>
          <t>Sin pagar</t>
        </is>
      </c>
      <c r="H50" s="14" t="n">
        <v>46277</v>
      </c>
      <c r="I50" s="14" t="n">
        <v>46277</v>
      </c>
      <c r="J50" s="11" t="inlineStr">
        <is>
          <t>No</t>
        </is>
      </c>
      <c r="K50" s="5" t="inlineStr">
        <is>
          <t xml:space="preserve">  [Fuente: CHN-68]</t>
        </is>
      </c>
    </row>
    <row r="51" ht="40" customHeight="1">
      <c r="A51" s="11" t="inlineStr">
        <is>
          <t>Pendiente</t>
        </is>
      </c>
      <c r="B51" s="12" t="inlineStr">
        <is>
          <t>F6</t>
        </is>
      </c>
      <c r="C51" s="9" t="inlineStr">
        <is>
          <t>Comprobar tu libertad horaria y decidir si abres en domingo</t>
        </is>
      </c>
      <c r="D51" t="inlineStr">
        <is>
          <t>Promotor</t>
        </is>
      </c>
      <c r="E51" s="13" t="n">
        <v>3</v>
      </c>
      <c r="F51" s="6" t="inlineStr">
        <is>
          <t>A presupuestar</t>
        </is>
      </c>
      <c r="G51" s="6" t="inlineStr">
        <is>
          <t>Sin pagar</t>
        </is>
      </c>
      <c r="H51" s="14" t="n">
        <v>46277</v>
      </c>
      <c r="I51" s="14" t="n">
        <v>46277</v>
      </c>
      <c r="J51" s="11" t="inlineStr">
        <is>
          <t>Sí</t>
        </is>
      </c>
      <c r="K51" s="5" t="inlineStr">
        <is>
          <t>Una bombonería NO esta en la lista del art. 5.1 de la Ley 1/2004 -que nombra «pastelería y repostería, pan, platos preparados, prensa, combustibles y carburantes, floristerias y plantas»-: le viene por el art. 5.2, establecimientos de venta de reducida dimensión de menos de 300 m² (`CHN-77`). PROHIBIDO decir que le viene por el 5.1, y prohibido «hay que pedir permiso para abrir en domingo».  [Fuente: CHN-77]</t>
        </is>
      </c>
    </row>
    <row r="52" ht="40" customHeight="1">
      <c r="A52" s="11" t="inlineStr">
        <is>
          <t>Pendiente</t>
        </is>
      </c>
      <c r="B52" s="12" t="inlineStr">
        <is>
          <t>F6</t>
        </is>
      </c>
      <c r="C52" s="9" t="inlineStr">
        <is>
          <t>Comprobar la accesibilidad del local</t>
        </is>
      </c>
      <c r="D52" t="inlineStr">
        <is>
          <t>Promotor</t>
        </is>
      </c>
      <c r="E52" s="13" t="n">
        <v>10</v>
      </c>
      <c r="F52" s="6" t="inlineStr">
        <is>
          <t>A presupuestar</t>
        </is>
      </c>
      <c r="G52" s="6" t="inlineStr">
        <is>
          <t>Sin pagar</t>
        </is>
      </c>
      <c r="H52" s="14" t="n">
        <v>46277</v>
      </c>
      <c r="I52" s="14" t="n">
        <v>46277</v>
      </c>
      <c r="J52" s="11" t="inlineStr">
        <is>
          <t>No</t>
        </is>
      </c>
      <c r="K52" s="5" t="inlineStr">
        <is>
          <t xml:space="preserve">  [Fuente: CHN-78]</t>
        </is>
      </c>
    </row>
    <row r="53" ht="40" customHeight="1">
      <c r="A53" s="11" t="inlineStr">
        <is>
          <t>Pendiente</t>
        </is>
      </c>
      <c r="B53" s="12" t="inlineStr">
        <is>
          <t>F6</t>
        </is>
      </c>
      <c r="C53" s="9" t="inlineStr">
        <is>
          <t>Decidir si publicas precios anteriores, y con la regla de los 30 días delante</t>
        </is>
      </c>
      <c r="D53" t="inlineStr">
        <is>
          <t>Promotor</t>
        </is>
      </c>
      <c r="E53" s="13" t="n">
        <v>3</v>
      </c>
      <c r="F53" s="6" t="inlineStr">
        <is>
          <t>A presupuestar</t>
        </is>
      </c>
      <c r="G53" s="6" t="inlineStr">
        <is>
          <t>Sin pagar</t>
        </is>
      </c>
      <c r="H53" s="14" t="n">
        <v>46277</v>
      </c>
      <c r="I53" s="14" t="n">
        <v>46277</v>
      </c>
      <c r="J53" s="11" t="inlineStr">
        <is>
          <t>No</t>
        </is>
      </c>
      <c r="K53" s="5" t="inlineStr">
        <is>
          <t>Subir en noviembre para «rebajar» en diciembre NO cumple la regla de los 30 días del art. 20 de la LEY 7/1996 en la redacción del RDL 24/2021 (`CHN-76`) - que NO es el art. 20 del TRLGDCU. Por eso este producto sale SIN precio tachado.  [Fuente: CHN-76]</t>
        </is>
      </c>
    </row>
    <row r="54" ht="40" customHeight="1">
      <c r="A54" s="11" t="inlineStr">
        <is>
          <t>Pendiente</t>
        </is>
      </c>
      <c r="B54" s="12" t="inlineStr">
        <is>
          <t>F6</t>
        </is>
      </c>
      <c r="C54" s="9" t="inlineStr">
        <is>
          <t>Si sirves taza y tienes mesas, facilitar que el cliente se lleve lo que no consume</t>
        </is>
      </c>
      <c r="D54" t="inlineStr">
        <is>
          <t>Promotor</t>
        </is>
      </c>
      <c r="E54" s="13" t="n">
        <v>3</v>
      </c>
      <c r="F54" s="6" t="inlineStr">
        <is>
          <t>A presupuestar</t>
        </is>
      </c>
      <c r="G54" s="6" t="inlineStr">
        <is>
          <t>Sin pagar</t>
        </is>
      </c>
      <c r="H54" s="14" t="n">
        <v>46277</v>
      </c>
      <c r="I54" s="14" t="n">
        <v>46277</v>
      </c>
      <c r="J54" s="11" t="inlineStr">
        <is>
          <t>No</t>
        </is>
      </c>
      <c r="K54" s="5" t="inlineStr">
        <is>
          <t>El art. 6.6 de la Ley 1/2025 EXCLUYE a las microempresas de las obligaciones de TODOS los apartados anteriores del art. 6 -plan, convenios de donación, jerarquia- (`CHN-64`). Lo que sigue en pie no es una obligación tuya: es que cualquier clausula contractual que prohíba donar es nula de pleno derecho. PERO la exclusión NO alcanza al ART. 8 (`CHN-92`), que obliga a las empresas de hostelería y otros proveedores de servicios alimentarios a facilitar que el consumidor se lleve lo que no ha consumido. PROHIBIDAS las dos frases: «te siguen obligando el 6.2 y el 6.5» y «no te obliga nada de la ley de desperdicio».  [Fuente: CHN-64 + CHN-92]</t>
        </is>
      </c>
    </row>
    <row r="55">
      <c r="A55" s="15" t="n"/>
      <c r="B55" s="15" t="n"/>
      <c r="C55" s="15" t="inlineStr">
        <is>
          <t>AVANCE DE LA FASE F6</t>
        </is>
      </c>
      <c r="D55" s="16">
        <f>IFERROR(COUNTIF(A48:A54,"Hecho"),"")</f>
        <v>0.0</v>
      </c>
      <c r="E55" s="16">
        <f>IFERROR(COUNTIF(B48:B54,"F6"),"")</f>
        <v>7.0</v>
      </c>
      <c r="F55" s="17">
        <f>IFERROR(SUMIF(F48:F54,"&gt;=0"),"")</f>
        <v>0.0</v>
      </c>
      <c r="G55" s="17">
        <f>IFERROR(SUMIF(G48:G54,"&gt;=0"),"")</f>
        <v>0.0</v>
      </c>
      <c r="H55" s="15" t="n"/>
      <c r="I55" s="15" t="n"/>
      <c r="J55" s="18">
        <f>IFERROR(IF(E55=0,"",(D55+COUNTIF(A48:A54,"N/A"))/E55),"")</f>
        <v>0.0</v>
      </c>
      <c r="K55" s="19" t="inlineStr">
        <is>
          <t>Hechos · trámites de la fase · coste previsto · coste real · % de avance (los «N/A» cuentan como resueltos).</t>
        </is>
      </c>
    </row>
    <row r="56"/>
    <row r="57">
      <c r="A57" s="4" t="inlineStr">
        <is>
          <t>RESUMEN DE TODO EL EXPEDIENTE</t>
        </is>
      </c>
      <c r="B57" s="10" t="inlineStr"/>
      <c r="C57" s="10" t="inlineStr"/>
      <c r="D57" s="10" t="inlineStr"/>
      <c r="E57" s="10" t="inlineStr"/>
      <c r="F57" s="10" t="inlineStr"/>
      <c r="G57" s="10" t="inlineStr"/>
      <c r="H57" s="10" t="inlineStr"/>
      <c r="I57" s="10" t="inlineStr"/>
      <c r="J57" s="10" t="inlineStr"/>
      <c r="K57" s="10" t="inlineStr"/>
    </row>
    <row r="58">
      <c r="C58" t="inlineStr">
        <is>
          <t>Trámites del expediente</t>
        </is>
      </c>
      <c r="D58" s="21">
        <f>IFERROR(COUNTIF(B7:B54,"F*"),"")</f>
        <v>33.0</v>
      </c>
    </row>
    <row r="59">
      <c r="C59" t="inlineStr">
        <is>
          <t>Trámites hechos</t>
        </is>
      </c>
      <c r="D59" s="21">
        <f>IFERROR(COUNTIF(A7:A54,"Hecho"),"")</f>
        <v>0.0</v>
      </c>
    </row>
    <row r="60">
      <c r="C60" t="inlineStr">
        <is>
          <t>Trámites que no te aplican (N/A)</t>
        </is>
      </c>
      <c r="D60" s="21">
        <f>IFERROR(COUNTIF(A7:A54,"N/A"),"")</f>
        <v>0.0</v>
      </c>
    </row>
    <row r="61">
      <c r="C61" s="15" t="inlineStr">
        <is>
          <t>Avance del expediente (%)</t>
        </is>
      </c>
      <c r="D61" s="18">
        <f>IFERROR(IF(D58=0,"",(D59+D60)/D58),"")</f>
        <v>0.0</v>
      </c>
    </row>
    <row r="62">
      <c r="C62" t="inlineStr">
        <is>
          <t>Coste previsto total del checklist (€)</t>
        </is>
      </c>
      <c r="D62" s="22">
        <f>IFERROR(SUMIF(F7:F54,"&gt;=0"),"")</f>
        <v>87840.0</v>
      </c>
      <c r="K62" s="5" t="inlineStr">
        <is>
          <t>OJO: esta suma NO es «lo que cuestan los papeles». Dentro está la obra civil y la climatización, que son dos líneas de la fase F4 y se llevan ellas solas la mayor parte. Los euros de la apertura, ordenados por bloques y con su IVA, están en «calculadora-capex-chocolateria.xlsx»: aquí sólo se controla que cada trámite tenga su importe y su fecha.</t>
        </is>
      </c>
    </row>
    <row r="63">
      <c r="C63" t="inlineStr">
        <is>
          <t>Coste real total del checklist (€)</t>
        </is>
      </c>
      <c r="D63" s="22">
        <f>IFERROR(SUMIF(G7:G54,"&gt;=0"),"")</f>
        <v>0.0</v>
      </c>
      <c r="K63" s="5" t="inlineStr">
        <is>
          <t>Se rellena solo a medida que vas pagando. Mientras esté a cero, la desviación de abajo no dice nada.</t>
        </is>
      </c>
    </row>
    <row r="64">
      <c r="C64" s="15" t="inlineStr">
        <is>
          <t>Desviación (real menos previsto, €)</t>
        </is>
      </c>
      <c r="D64" s="17">
        <f>IFERROR(D63-D62,"")</f>
        <v>-87840.0</v>
      </c>
    </row>
    <row r="65">
      <c r="C65" t="inlineStr">
        <is>
          <t>Trámites sin importe (a presupuestar)</t>
        </is>
      </c>
      <c r="D65" s="21">
        <f>IFERROR(COUNTIF(F7:F54,"A presupuestar"),"")</f>
        <v>27.0</v>
      </c>
      <c r="K65" s="5" t="inlineStr">
        <is>
          <t>Son los que dependen de tu ayuntamiento, de tu comunidad o de un proveedor. No se rellenan a ojo: se piden. Mientras esta cifra no sea cero, tu presupuesto de apertura está incompleto.</t>
        </is>
      </c>
    </row>
    <row r="66">
      <c r="C66" t="inlineStr">
        <is>
          <t>Trámites que cambian según tu comunidad autónoma</t>
        </is>
      </c>
      <c r="D66" s="21">
        <f>IFERROR(COUNTIF(J7:J54,"Sí"),"")</f>
        <v>7.0</v>
      </c>
      <c r="K66" s="5" t="inlineStr">
        <is>
          <t>Cada uno de éstos hay que confirmarlo con TU comunidad. Los ejemplos del libro son Madrid, Cataluña, Andalucía y la Comunitat Valenciana, y son eso: ejemplos.</t>
        </is>
      </c>
    </row>
    <row r="67"/>
    <row r="68">
      <c r="A68" s="4" t="inlineStr">
        <is>
          <t>TU COMUNIDAD Y LA ARTESANÍA ALIMENTARIA</t>
        </is>
      </c>
      <c r="B68" s="10" t="inlineStr"/>
      <c r="C68" s="10" t="inlineStr"/>
      <c r="D68" s="10" t="inlineStr"/>
      <c r="E68" s="10" t="inlineStr"/>
      <c r="F68" s="10" t="inlineStr"/>
      <c r="G68" s="10" t="inlineStr"/>
      <c r="H68" s="10" t="inlineStr"/>
      <c r="I68" s="10" t="inlineStr"/>
      <c r="J68" s="10" t="inlineStr"/>
      <c r="K68" s="10" t="inlineStr"/>
    </row>
    <row r="69">
      <c r="C69" s="23" t="inlineStr">
        <is>
          <t>¿En qué comunidad autónoma vas a abrir?</t>
        </is>
      </c>
      <c r="D69" s="6" t="inlineStr">
        <is>
          <t>Madrid</t>
        </is>
      </c>
      <c r="K69" s="5" t="inlineStr">
        <is>
          <t>El mismo trámite funciona distinto en cada comunidad: en Madrid se presenta simultáneamente al inicio de la actividad y no habilita; en la Comunitat Valenciana es condición única y suficiente para iniciar, y lleva tasa. Cuatro de EJEMPLO, no una lista cerrada.</t>
        </is>
      </c>
    </row>
    <row r="70" ht="40" customHeight="1">
      <c r="C70" s="8" t="inlineStr">
        <is>
          <t>¿Vas a inscribirte como artesano alimentario? (comunidad autónoma + enlace)</t>
        </is>
      </c>
      <c r="D70" s="11" t="inlineStr">
        <is>
          <t>No lo sé</t>
        </is>
      </c>
      <c r="K70" s="5" t="inlineStr">
        <is>
          <t>Cataluña tiene articulado con el chocolate dentro: su repertorio de artesanía alimentaria incluye «Pastelería: elaboración de productos de confitería, pastelería, bollería y repostería, INCLUIDOS TURRONES Y CHOCOLATES» (`CHN-52`). Es una ACREDITACION VOLUNTARIA y queda PROHIBIDO escribir que sin ella no puedes llamarte artesanal. Y queda PROHIBIDO usar ese decreto como prueba de que es «repostería» para el RD 1021/2022: es otro registro, otra competencia y otro fin. «Chocolate artesano» no tiene definición estatal: «artesano», «artesanal» y «casero» tienen CERO ocurrencias en el RD 1055/2003 y en el RD 496/2010 (`CHN-53`). En el resto de comunidades, enlace a su registro.</t>
        </is>
      </c>
    </row>
    <row r="71"/>
    <row r="72">
      <c r="A72" s="4" t="inlineStr">
        <is>
          <t>TUS CANALES: ¿TE SACAN DE LA NOTA DEL EPÍGRAFE 644.5?</t>
        </is>
      </c>
      <c r="B72" s="10" t="inlineStr"/>
      <c r="C72" s="10" t="inlineStr"/>
      <c r="D72" s="10" t="inlineStr"/>
      <c r="E72" s="10" t="inlineStr"/>
      <c r="F72" s="10" t="inlineStr"/>
      <c r="G72" s="10" t="inlineStr"/>
      <c r="H72" s="10" t="inlineStr"/>
      <c r="I72" s="10" t="inlineStr"/>
      <c r="J72" s="10" t="inlineStr"/>
      <c r="K72" s="10" t="inlineStr"/>
    </row>
    <row r="73" ht="32" customHeight="1">
      <c r="A73" s="7" t="inlineStr">
        <is>
          <t>Nº</t>
        </is>
      </c>
      <c r="B73" s="7" t="inlineStr">
        <is>
          <t>Canal</t>
        </is>
      </c>
      <c r="C73" s="7" t="inlineStr">
        <is>
          <t>¿Vas a vender por él?</t>
        </is>
      </c>
      <c r="D73" s="7" t="inlineStr">
        <is>
          <t>¿Te saca de la nota?</t>
        </is>
      </c>
      <c r="E73" s="7" t="inlineStr">
        <is>
          <t>Fuente</t>
        </is>
      </c>
      <c r="F73" s="7" t="inlineStr">
        <is>
          <t>Qué está verificado</t>
        </is>
      </c>
      <c r="K73" s="7" t="inlineStr">
        <is>
          <t>La nota literal del epígrafe</t>
        </is>
      </c>
    </row>
    <row r="74" ht="66" customHeight="1">
      <c r="A74" s="24" t="n">
        <v>1</v>
      </c>
      <c r="B74" s="9" t="inlineStr">
        <is>
          <t>Mostrador</t>
        </is>
      </c>
      <c r="C74" s="11" t="inlineStr">
        <is>
          <t>Sí</t>
        </is>
      </c>
      <c r="D74" s="11" t="inlineStr">
        <is>
          <t>No</t>
        </is>
      </c>
      <c r="E74" t="inlineStr">
        <is>
          <t>CHN-72</t>
        </is>
      </c>
      <c r="F74" s="25" t="inlineStr">
        <is>
          <t>Mi epígrafe es el 644.5, cuya nota permite fabricar bombones «siempre que su comercialización se realice en las propias dependencias de venta». Voy a vender además por este canal: Mostrador. Con la Regla 4.a.1 del RDLeg 1175/1990 delante -una cuota faculta exclusivamente para su actividad-, ¿ese canal me obliga a dar otra alta, y cual? Y si la respuesta es el epígrafe industrial 421.1, ¿que consecuencias tiene que el Anexo de la Ley 12/2012 liste el 644.5 y no el 421.1?</t>
        </is>
      </c>
      <c r="K74" s="5" t="inlineStr">
        <is>
          <t>La fabricación de bombones y caramelos en el propio establecimiento, siempre que su comercialización se realice en las propias dependencias de venta.</t>
        </is>
      </c>
    </row>
    <row r="75" ht="66" customHeight="1">
      <c r="A75" s="24" t="n">
        <v>2</v>
      </c>
      <c r="B75" s="9" t="inlineStr">
        <is>
          <t>Online con envío refrigerado</t>
        </is>
      </c>
      <c r="C75" s="11" t="inlineStr">
        <is>
          <t>No</t>
        </is>
      </c>
      <c r="D75" s="11" t="inlineStr">
        <is>
          <t>No lo sé</t>
        </is>
      </c>
      <c r="E75" t="inlineStr">
        <is>
          <t>CHN-95 + CHN-59 + CHN-88 + CHN-90 + CHN-57</t>
        </is>
      </c>
      <c r="F75" s="25" t="inlineStr">
        <is>
          <t>Mi epígrafe es el 644.5, cuya nota permite fabricar bombones «siempre que su comercialización se realice en las propias dependencias de venta». Voy a vender además por este canal: Online con envío refrigerado. Con la Regla 4.a.1 del RDLeg 1175/1990 delante -una cuota faculta exclusivamente para su actividad-, ¿ese canal me obliga a dar otra alta, y cual? Y si la respuesta es el epígrafe industrial 421.1, ¿que consecuencias tiene que el Anexo de la Ley 12/2012 liste el 644.5 y no el 421.1?</t>
        </is>
      </c>
      <c r="K75" s="5" t="inlineStr">
        <is>
          <t>La fabricación de bombones y caramelos en el propio establecimiento, siempre que su comercialización se realice en las propias dependencias de venta.</t>
        </is>
      </c>
    </row>
    <row r="76" ht="66" customHeight="1">
      <c r="A76" s="24" t="n">
        <v>3</v>
      </c>
      <c r="B76" s="9" t="inlineStr">
        <is>
          <t>B2B a hostelería</t>
        </is>
      </c>
      <c r="C76" s="11" t="inlineStr">
        <is>
          <t>No</t>
        </is>
      </c>
      <c r="D76" s="11" t="inlineStr">
        <is>
          <t>No lo sé</t>
        </is>
      </c>
      <c r="E76" t="inlineStr">
        <is>
          <t>CHN-41 + CHN-72 + CHN-94</t>
        </is>
      </c>
      <c r="F76" s="25" t="inlineStr">
        <is>
          <t>Mi epígrafe es el 644.5, cuya nota permite fabricar bombones «siempre que su comercialización se realice en las propias dependencias de venta». Voy a vender además por este canal: B2B a hostelería. Con la Regla 4.a.1 del RDLeg 1175/1990 delante -una cuota faculta exclusivamente para su actividad-, ¿ese canal me obliga a dar otra alta, y cual? Y si la respuesta es el epígrafe industrial 421.1, ¿que consecuencias tiene que el Anexo de la Ley 12/2012 liste el 644.5 y no el 421.1?</t>
        </is>
      </c>
      <c r="K76" s="5" t="inlineStr">
        <is>
          <t>La fabricación de bombones y caramelos en el propio establecimiento, siempre que su comercialización se realice en las propias dependencias de venta.</t>
        </is>
      </c>
    </row>
    <row r="77" ht="66" customHeight="1">
      <c r="A77" s="24" t="n">
        <v>4</v>
      </c>
      <c r="B77" s="9" t="inlineStr">
        <is>
          <t>Regalo corporativo</t>
        </is>
      </c>
      <c r="C77" s="11" t="inlineStr">
        <is>
          <t>No</t>
        </is>
      </c>
      <c r="D77" s="11" t="inlineStr">
        <is>
          <t>No lo sé</t>
        </is>
      </c>
      <c r="E77" t="inlineStr">
        <is>
          <t>CHN-24 + CHN-72 + CHN-94</t>
        </is>
      </c>
      <c r="F77" s="25" t="inlineStr">
        <is>
          <t>Mi epígrafe es el 644.5, cuya nota permite fabricar bombones «siempre que su comercialización se realice en las propias dependencias de venta». Voy a vender además por este canal: Regalo corporativo. Con la Regla 4.a.1 del RDLeg 1175/1990 delante -una cuota faculta exclusivamente para su actividad-, ¿ese canal me obliga a dar otra alta, y cual? Y si la respuesta es el epígrafe industrial 421.1, ¿que consecuencias tiene que el Anexo de la Ley 12/2012 liste el 644.5 y no el 421.1?</t>
        </is>
      </c>
      <c r="K77" s="5" t="inlineStr">
        <is>
          <t>La fabricación de bombones y caramelos en el propio establecimiento, siempre que su comercialización se realice en las propias dependencias de venta.</t>
        </is>
      </c>
    </row>
    <row r="78" ht="66" customHeight="1">
      <c r="A78" s="24" t="n">
        <v>5</v>
      </c>
      <c r="B78" s="9" t="inlineStr">
        <is>
          <t>Talleres y catas</t>
        </is>
      </c>
      <c r="C78" s="11" t="inlineStr">
        <is>
          <t>No</t>
        </is>
      </c>
      <c r="D78" s="11" t="inlineStr">
        <is>
          <t>No</t>
        </is>
      </c>
      <c r="E78" t="inlineStr">
        <is>
          <t>CHN-71b</t>
        </is>
      </c>
      <c r="F78" s="25" t="inlineStr">
        <is>
          <t>Mi epígrafe es el 644.5, cuya nota permite fabricar bombones «siempre que su comercialización se realice en las propias dependencias de venta». Voy a vender además por este canal: Talleres y catas. Con la Regla 4.a.1 del RDLeg 1175/1990 delante -una cuota faculta exclusivamente para su actividad-, ¿ese canal me obliga a dar otra alta, y cual? Y si la respuesta es el epígrafe industrial 421.1, ¿que consecuencias tiene que el Anexo de la Ley 12/2012 liste el 644.5 y no el 421.1?</t>
        </is>
      </c>
      <c r="K78" s="5" t="inlineStr">
        <is>
          <t>La fabricación de bombones y caramelos en el propio establecimiento, siempre que su comercialización se realice en las propias dependencias de venta.</t>
        </is>
      </c>
    </row>
    <row r="79">
      <c r="B79" s="8" t="inlineStr">
        <is>
          <t>Canales por los que vas a vender</t>
        </is>
      </c>
      <c r="C79" s="26">
        <f>IFERROR(COUNTIF(C74:C78,"Sí"),"")</f>
        <v>1.0</v>
      </c>
      <c r="K79" s="5" t="inlineStr">
        <is>
          <t>De los cinco del plan financiero. El mostrador no se discute; el resto sí.</t>
        </is>
      </c>
    </row>
    <row r="80">
      <c r="B80" s="8" t="inlineStr">
        <is>
          <t>De ellos, los que SÍ te sacan de la nota</t>
        </is>
      </c>
      <c r="C80" s="26">
        <f>SUMPRODUCT(--($C$74:$C$78="Sí"),--($D$74:$D$78="Sí"))</f>
        <v>0.0</v>
      </c>
      <c r="K80" s="5" t="inlineStr">
        <is>
          <t>En cuanto uno de éstos esté en «Sí», deja de valerte la nota del 644.5 tal cual: el alta que cubre los cinco canales es la industrial 421.1, y ésa te saca del amparo de la Ley 12/2012.</t>
        </is>
      </c>
    </row>
    <row r="81">
      <c r="B81" s="8" t="inlineStr">
        <is>
          <t>Canales sin resolver (pendientes del asesor)</t>
        </is>
      </c>
      <c r="C81" s="26">
        <f>SUMPRODUCT(--($C$74:$C$78="Sí"),--($D$74:$D$78="No lo sé"))</f>
        <v>0.0</v>
      </c>
      <c r="K81" s="5" t="inlineStr">
        <is>
          <t>No es un hueco del producto: es que ninguna fuente lo resuelve. La columna F trae la pregunta ya redactada para que la copies y la envíes.</t>
        </is>
      </c>
    </row>
    <row r="82" ht="36" customHeight="1">
      <c r="B82" s="8" t="inlineStr">
        <is>
          <t>VEREDICTO DE LOS CANALES</t>
        </is>
      </c>
      <c r="C82" s="27" t="str">
        <f>IFERROR(IF(C81&gt;0,"Llévale a tu asesor fiscal la pregunta de la columna F de los canales sin resolver: la respuesta puede cambiarte el alta",IF(C80&gt;0,"Tienes canales que se salen de la nota del 644.5: confirma con tu asesor qué alta te toca","Todos tus canales caben en la nota del 644.5: fabricas y vendes en las propias dependencias")),"")</f>
        <v>Todos tus canales caben en la nota del 644.5: fabricas y vendes en las propias dependencias</v>
      </c>
    </row>
    <row r="83" ht="62" customHeight="1">
      <c r="B83" s="23" t="inlineStr">
        <is>
          <t>Lo que NO hace esta hoja</t>
        </is>
      </c>
      <c r="C83" s="5" t="inlineStr">
        <is>
          <t>No te da un epígrafe de IAE por canal, y no es un olvido: ninguna fuente lo da. Lo verificado es que una cuota faculta EXCLUSIVAMENTE para su actividad (Regla 4.ª.1), que la venta online al consumidor SIGUE SIENDO comercio al por menor porque se define por el destino y comprende el realizado sin establecimiento (Regla 4.ª.2.D), y que el epígrafe industrial faculta para vender al por mayor y al por menor (Regla 4.ª.2.A). Lo que no está verificado es si la condición de la nota sobre la FABRICACIÓN se rompe al comercializar fuera de tus dependencias.</t>
        </is>
      </c>
    </row>
    <row r="84"/>
    <row r="85" ht="36" customHeight="1">
      <c r="A85" s="5" t="inlineStr">
        <is>
          <t>Los plazos en días son ORIENTATIVOS y casi todos dependen de un tercero: el ayuntamiento, la comunidad de propietarios, el ingeniero, el instalador. El único que controlas del todo es el de pedir las cosas pronto.</t>
        </is>
      </c>
    </row>
    <row r="86" ht="44" customHeight="1">
      <c r="A86" s="5" t="inlineStr">
        <is>
          <t>PUEDES FABRICAR BOMBONES SIN DARTE DE ALTA COMO INDUSTRIA MIENTRAS LOS VENDAS EN TU PROPIA TIENDA. En el momento en que sirves a otros comercios, a empresas o envías fuera, esto cambia — y ésa es exactamente la tabla de canales de arriba. Está PROHIBIDO leer el 644.5 como «con esto puedo vender a hostelería, a empresas y por envío sin más».</t>
        </is>
      </c>
    </row>
    <row r="87" ht="40" customHeight="1">
      <c r="A87" s="5" t="inlineStr">
        <is>
          <t>Y ojo con el alta censal: hoy se comunican DOS códigos, no uno. El CNAE-2025 (10.82 «Fabricación de cacao, chocolate y productos de confitería» y 47.24 «Comercio al por menor de pan, productos de panadería y confitería») y además el CNAE-2009 mientras no entre en vigor la tarifa de primas adaptada.</t>
        </is>
      </c>
    </row>
    <row r="88"/>
    <row r="89">
      <c r="A89" s="4" t="inlineStr">
        <is>
          <t>Listas de validación (no las borres: las usan los desplegables)</t>
        </is>
      </c>
    </row>
    <row r="90">
      <c r="A90" s="23" t="inlineStr">
        <is>
          <t>Estado del trámite</t>
        </is>
      </c>
      <c r="B90" s="23" t="inlineStr">
        <is>
          <t>Sí o No</t>
        </is>
      </c>
      <c r="C90" s="23" t="inlineStr">
        <is>
          <t>Sí, No o No lo sé</t>
        </is>
      </c>
      <c r="D90" s="23" t="inlineStr">
        <is>
          <t>Comunidad autónoma</t>
        </is>
      </c>
    </row>
    <row r="91">
      <c r="A91" t="inlineStr">
        <is>
          <t>Pendiente</t>
        </is>
      </c>
      <c r="B91" t="inlineStr">
        <is>
          <t>Sí</t>
        </is>
      </c>
      <c r="C91" t="inlineStr">
        <is>
          <t>Sí</t>
        </is>
      </c>
      <c r="D91" t="inlineStr">
        <is>
          <t>Madrid</t>
        </is>
      </c>
    </row>
    <row r="92">
      <c r="A92" t="inlineStr">
        <is>
          <t>Hecho</t>
        </is>
      </c>
      <c r="B92" t="inlineStr">
        <is>
          <t>No</t>
        </is>
      </c>
      <c r="C92" t="inlineStr">
        <is>
          <t>No</t>
        </is>
      </c>
      <c r="D92" t="inlineStr">
        <is>
          <t>Cataluna</t>
        </is>
      </c>
    </row>
    <row r="93">
      <c r="A93" t="inlineStr">
        <is>
          <t>N/A</t>
        </is>
      </c>
      <c r="C93" t="inlineStr">
        <is>
          <t>No lo sé</t>
        </is>
      </c>
      <c r="D93" t="inlineStr">
        <is>
          <t>Andalucia</t>
        </is>
      </c>
    </row>
    <row r="94">
      <c r="D94" t="inlineStr">
        <is>
          <t>Comunitat Valenciana</t>
        </is>
      </c>
    </row>
    <row r="95">
      <c r="D95"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12">
    <mergeCell ref="F74:J74"/>
    <mergeCell ref="F73:J73"/>
    <mergeCell ref="C83:K83"/>
    <mergeCell ref="F76:J76"/>
    <mergeCell ref="A86:K86"/>
    <mergeCell ref="A3:K3"/>
    <mergeCell ref="A85:K85"/>
    <mergeCell ref="F78:J78"/>
    <mergeCell ref="F77:J77"/>
    <mergeCell ref="A87:K87"/>
    <mergeCell ref="C82:J82"/>
    <mergeCell ref="F75:J75"/>
  </mergeCells>
  <conditionalFormatting sqref="J12">
    <cfRule type="expression" priority="1" dxfId="0" stopIfTrue="1">
      <formula>=AND(ISNUMBER($J$12),$J$12&lt;1)</formula>
    </cfRule>
  </conditionalFormatting>
  <conditionalFormatting sqref="J21">
    <cfRule type="expression" priority="2" dxfId="0" stopIfTrue="1">
      <formula>=AND(ISNUMBER($J$21),$J$21&lt;1)</formula>
    </cfRule>
  </conditionalFormatting>
  <conditionalFormatting sqref="J28">
    <cfRule type="expression" priority="3" dxfId="0" stopIfTrue="1">
      <formula>=AND(ISNUMBER($J$28),$J$28&lt;1)</formula>
    </cfRule>
  </conditionalFormatting>
  <conditionalFormatting sqref="J36">
    <cfRule type="expression" priority="4" dxfId="0" stopIfTrue="1">
      <formula>=AND(ISNUMBER($J$36),$J$36&lt;1)</formula>
    </cfRule>
  </conditionalFormatting>
  <conditionalFormatting sqref="J45">
    <cfRule type="expression" priority="5" dxfId="0" stopIfTrue="1">
      <formula>=AND(ISNUMBER($J$45),$J$45&lt;1)</formula>
    </cfRule>
  </conditionalFormatting>
  <conditionalFormatting sqref="J55">
    <cfRule type="expression" priority="6" dxfId="0" stopIfTrue="1">
      <formula>=AND(ISNUMBER($J$55),$J$55&lt;1)</formula>
    </cfRule>
  </conditionalFormatting>
  <conditionalFormatting sqref="D61">
    <cfRule type="expression" priority="7" dxfId="0" stopIfTrue="1">
      <formula>=AND(ISNUMBER($D$61),$D$61&lt;1)</formula>
    </cfRule>
  </conditionalFormatting>
  <conditionalFormatting sqref="D64">
    <cfRule type="expression" priority="8" dxfId="1" stopIfTrue="1">
      <formula>=AND(ISNUMBER($D$64),$D$64&gt;0)</formula>
    </cfRule>
  </conditionalFormatting>
  <conditionalFormatting sqref="D65">
    <cfRule type="expression" priority="9" dxfId="0" stopIfTrue="1">
      <formula>=AND(ISNUMBER($D$65),$D$65&gt;0)</formula>
    </cfRule>
  </conditionalFormatting>
  <conditionalFormatting sqref="C81">
    <cfRule type="expression" priority="10" dxfId="0" stopIfTrue="1">
      <formula>=AND(ISNUMBER($C$81),$C$81&gt;0)</formula>
    </cfRule>
  </conditionalFormatting>
  <conditionalFormatting sqref="C80">
    <cfRule type="expression" priority="11" dxfId="0" stopIfTrue="1">
      <formula>=AND(ISNUMBER($C$80),$C$80&gt;0)</formula>
    </cfRule>
  </conditionalFormatting>
  <dataValidations count="6">
    <dataValidation sqref="A7 A8 A9 A10 A11 A15 A16 A17 A18 A19 A20 A24 A25 A26 A27 A31 A32 A33 A34 A35 A39 A40 A41 A42 A43 A44 A48 A49 A50 A51 A52 A53 A54" showDropDown="0" showInputMessage="0" showErrorMessage="1" allowBlank="0" errorTitle="Marca el estado del trámite" error="Elige Pendiente, Hecho o N/A de la lista del pie de la hoja." type="list">
      <formula1>=$A$91:$A$93</formula1>
    </dataValidation>
    <dataValidation sqref="J7 J8 J9 J10 J11 J15 J16 J17 J18 J19 J20 J24 J25 J26 J27 J31 J32 J33 J34 J35 J39 J40 J41 J42 J43 J44 J48 J49 J50 J51 J52 J53 J54" showDropDown="0" showInputMessage="0" showErrorMessage="1" allowBlank="0" errorTitle="Marca Sí o No" error="Elige «Sí» o «No» de la lista del pie de la hoja." type="list">
      <formula1>=$B$91:$B$92</formula1>
    </dataValidation>
    <dataValidation sqref="D69" showDropDown="0" showInputMessage="0" showErrorMessage="1" allowBlank="0" errorTitle="Elige tu comunidad" error="Cuatro comunidades de EJEMPLO más «Otra». Si la tuya no está, busca «registro sanitario establecimientos alimentarios menores» más el nombre de tu comunidad: el decreto que salga es el tuyo." type="list">
      <formula1>=$D$91:$D$95</formula1>
    </dataValidation>
    <dataValidation sqref="D70" showDropDown="0" showInputMessage="0" showErrorMessage="1" allowBlank="0" errorTitle="Marca Sí, No o No lo sé" error="Es una acreditación VOLUNTARIA: nadie te obliga a inscribirte." type="list">
      <formula1>=$C$91:$C$93</formula1>
    </dataValidation>
    <dataValidation sqref="C74 C75 C76 C77 C78" showDropDown="0" showInputMessage="0" showErrorMessage="1" allowBlank="0" errorTitle="Marca Sí o No" error="Elige «Sí» o «No» de la lista del pie de la hoja." type="list">
      <formula1>=$B$91:$B$92</formula1>
    </dataValidation>
    <dataValidation sqref="D74 D75 D76 D77 D78" showDropDown="0" showInputMessage="0" showErrorMessage="1" allowBlank="0" errorTitle="Marca Sí, No o No lo sé" error="Tres de los cinco canales vienen marcados «No lo sé» A PROPÓSITO: ninguna fuente resuelve si rompen la condición de la nota. Es lo que hay que preguntarle al asesor." type="list">
      <formula1>=$C$91:$C$93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30"/>
  <sheetViews>
    <sheetView workbookViewId="0">
      <pane ySplit="3" topLeftCell="A4" activePane="bottomLeft" state="frozen"/>
      <selection pane="bottomLeft" activeCell="A1" sqref="A1"/>
    </sheetView>
  </sheetViews>
  <sheetFormatPr baseColWidth="8" defaultRowHeight="15"/>
  <cols>
    <col width="60" customWidth="1" min="1" max="1"/>
    <col width="30" customWidth="1" min="2" max="2"/>
    <col width="100" customWidth="1" min="3" max="3"/>
  </cols>
  <sheetData>
    <row r="1" ht="28" customHeight="1">
      <c r="A1" s="1" t="inlineStr">
        <is>
          <t>¿Registro Autonómico o RGSEAA?</t>
        </is>
      </c>
    </row>
    <row r="2">
      <c r="A2" t="inlineStr">
        <is>
          <t>AI Chef Pro · aichef.pro — Cómo Montar una Chocolatería</t>
        </is>
      </c>
    </row>
    <row r="3" ht="26" customHeight="1">
      <c r="A3" s="5" t="inlineStr">
        <is>
          <t>Cuatro preguntas y un veredicto. Es la hoja que corrige el error más caro del sector: hay consultoras cobrando por tramitar un registro estatal que a una chocolatería minorista no le hace falta.</t>
        </is>
      </c>
    </row>
    <row r="4"/>
    <row r="5">
      <c r="A5" s="4" t="inlineStr">
        <is>
          <t>LAS CUATRO PREGUNTAS</t>
        </is>
      </c>
      <c r="B5" s="10" t="inlineStr"/>
      <c r="C5" s="10" t="inlineStr"/>
    </row>
    <row r="6">
      <c r="A6" s="9" t="inlineStr">
        <is>
          <t>¿Vendes al consumidor final en tu propio establecimiento?</t>
        </is>
      </c>
      <c r="B6" s="11" t="inlineStr">
        <is>
          <t>Sí</t>
        </is>
      </c>
      <c r="C6" s="5" t="inlineStr">
        <is>
          <t>Si la respuesta es sí, eres comercio al por menor y estás EXCLUIDO del Registro General Sanitario de Empresas Alimentarias y Alimentos.</t>
        </is>
      </c>
    </row>
    <row r="7">
      <c r="A7" s="9" t="inlineStr">
        <is>
          <t>¿Suministras a otros establecimientos MINORISTAS de distinta titularidad?</t>
        </is>
      </c>
      <c r="B7" s="11" t="inlineStr">
        <is>
          <t>No</t>
        </is>
      </c>
      <c r="C7" s="5" t="inlineStr">
        <is>
          <t>Ésta es la pregunta que de verdad decide. Vender al consumidor final, aunque sea por internet y a toda España, NO es suministrar a otros minoristas.</t>
        </is>
      </c>
    </row>
    <row r="8">
      <c r="A8" s="9" t="inlineStr">
        <is>
          <t>¿Tienes obrador propio?</t>
        </is>
      </c>
      <c r="B8" s="11" t="inlineStr">
        <is>
          <t>Sí</t>
        </is>
      </c>
      <c r="C8" s="5" t="inlineStr">
        <is>
          <t>Tener obrador NO te saca del régimen minorista. Es el mito más caro del sector: fabricar para vender en tu propia tienda sigue siendo comercio al por menor.</t>
        </is>
      </c>
    </row>
    <row r="9">
      <c r="A9" s="9" t="inlineStr">
        <is>
          <t>¿Vas a tener más de un establecimiento (obrador central y tiendas)?</t>
        </is>
      </c>
      <c r="B9" s="11" t="inlineStr">
        <is>
          <t>No</t>
        </is>
      </c>
      <c r="C9" s="5" t="inlineStr">
        <is>
          <t>Un obrador central que abastece a tus propias sucursales no es «suministro a otros minoristas»: la titularidad es la misma. Pero cada establecimiento tiene su propia comunicación.</t>
        </is>
      </c>
    </row>
    <row r="10"/>
    <row r="11">
      <c r="A11" s="4" t="inlineStr">
        <is>
          <t>EL VEREDICTO</t>
        </is>
      </c>
      <c r="B11" s="10" t="inlineStr"/>
      <c r="C11" s="10" t="inlineStr"/>
    </row>
    <row r="12" ht="46" customHeight="1">
      <c r="A12" s="8" t="inlineStr">
        <is>
          <t>Tu régimen sanitario</t>
        </is>
      </c>
      <c r="B12" s="27" t="str">
        <f>IFERROR(IF(B6="No","Revísalo: si no vendes al consumidor final, esto no es una chocolatería minorista",IF(B7="Sí","Minorista con suministro a otros minoristas: resuelve el art. 3","Comercio al por menor: EXCLUIDO del RGSEAA")),"")</f>
        <v>Comercio al por menor: EXCLUIDO del RGSEAA</v>
      </c>
    </row>
    <row r="13" ht="46" customHeight="1">
      <c r="A13" s="8" t="inlineStr">
        <is>
          <t>El trámite que te toca</t>
        </is>
      </c>
      <c r="B13" s="28" t="str">
        <f>IFERROR(IF(B7="Sí","La comunicación autonómica MÁS la declaración responsable del art. 3.5 y el registro de destinatarios","Comunicación o declaración responsable al registro de tu comunidad autónoma"),"")</f>
        <v>Comunicación o declaración responsable al registro de tu comunidad autónoma</v>
      </c>
    </row>
    <row r="14" ht="46" customHeight="1">
      <c r="A14" s="8" t="inlineStr">
        <is>
          <t>¿Ese trámite te habilita para abrir?</t>
        </is>
      </c>
      <c r="B14" s="28" t="str">
        <f>IFERROR(IF(B12="","","NO. La comunicación autonómica no habilita: ni tienes que esperar respuesta, ni te protege si el resto no está en regla"),"")</f>
        <v>NO. La comunicación autonómica no habilita: ni tienes que esperar respuesta, ni te protege si el resto no está en regla</v>
      </c>
    </row>
    <row r="15" ht="46" customHeight="1">
      <c r="A15" s="9" t="inlineStr">
        <is>
          <t>Cuándo se presenta</t>
        </is>
      </c>
      <c r="B15" s="29" t="str">
        <f>IFERROR(IF(B12="","","Antes de empezar la actividad. En una comunidad se presenta simultáneamente al inicio y no habilita; en otra es condición única y suficiente para iniciar, y lleva tasa: compruébalo en la tuya"),"")</f>
        <v>Antes de empezar la actividad. En una comunidad se presenta simultáneamente al inicio y no habilita; en otra es condición única y suficiente para iniciar, y lleva tasa: compruébalo en la tuya</v>
      </c>
    </row>
    <row r="16" ht="46" customHeight="1">
      <c r="A16" s="9" t="inlineStr">
        <is>
          <t>Si tienes varios establecimientos</t>
        </is>
      </c>
      <c r="B16" s="29" t="str">
        <f>IFERROR(IF(B9="No","Un solo establecimiento: una sola comunicación","Cada establecimiento lleva su propia comunicación, aunque la titularidad sea la misma"),"")</f>
        <v>Un solo establecimiento: una sola comunicación</v>
      </c>
    </row>
    <row r="17"/>
    <row r="18">
      <c r="A18" s="4" t="inlineStr">
        <is>
          <t>LOS TRES CASOS, PARA QUE VEAS DÓNDE CAES</t>
        </is>
      </c>
      <c r="B18" s="10" t="inlineStr"/>
      <c r="C18" s="10" t="inlineStr"/>
    </row>
    <row r="19" ht="26" customHeight="1">
      <c r="A19" s="7" t="inlineStr">
        <is>
          <t>Tu situación</t>
        </is>
      </c>
      <c r="B19" s="7" t="inlineStr">
        <is>
          <t>Lo que te toca</t>
        </is>
      </c>
      <c r="C19" s="7" t="inlineStr">
        <is>
          <t>Por qué</t>
        </is>
      </c>
    </row>
    <row r="20" ht="56" customHeight="1">
      <c r="A20" s="9" t="inlineStr">
        <is>
          <t>Vendes sólo al consumidor final, en tu establecimiento y por tu web</t>
        </is>
      </c>
      <c r="B20" s="9" t="inlineStr">
        <is>
          <t>Comunicación o declaración responsable al registro de tu comunidad autónoma</t>
        </is>
      </c>
      <c r="C20" s="9" t="inlineStr">
        <is>
          <t>Estás EXCLUIDO del RGSEAA por norma. Tener obrador NO te saca del régimen minorista, y vender por internet tampoco: la venta a distancia ya está dentro de la definición de minorista.</t>
        </is>
      </c>
    </row>
    <row r="21" ht="56" customHeight="1">
      <c r="A21" s="9" t="inlineStr">
        <is>
          <t>Suministras además a otros minoristas de DISTINTA titularidad, y cumples las tres condiciones del art. 3</t>
        </is>
      </c>
      <c r="B21" s="9" t="inlineStr">
        <is>
          <t>La misma comunicación autonómica, MÁS declaración responsable del art. 3.5 y registro de destinatarios, cantidades y fechas</t>
        </is>
      </c>
      <c r="C21" s="9" t="inlineStr">
        <is>
          <t>Sigues fuera del RGSEAA, pero con papeles añadidos. La hoja «Suministro a Otros Minoristas» comprueba las tres condiciones una a una.</t>
        </is>
      </c>
    </row>
    <row r="22" ht="56" customHeight="1">
      <c r="A22" s="9" t="inlineStr">
        <is>
          <t>Suministras a otros minoristas y NO cumples alguna de las tres</t>
        </is>
      </c>
      <c r="B22" s="9" t="inlineStr">
        <is>
          <t>Inscripción en el RGSEAA</t>
        </is>
      </c>
      <c r="C22" s="9" t="inlineStr">
        <is>
          <t>Basta con fallar una: las tres son acumulativas. La que más fácil se rompe es «restringido», y basta un cliente inscrito en el RGSEAA.</t>
        </is>
      </c>
    </row>
    <row r="23"/>
    <row r="24" ht="56" customHeight="1">
      <c r="A24" s="5" t="inlineStr">
        <is>
          <t>HAY CONSULTORAS COBRANDO POR TRAMITAR UN REGISTRO QUE NO HACE FALTA, y hay quien retrasa una apertura semanas esperando una inscripción que nadie le ha pedido. Si vendes al consumidor final desde tu propio establecimiento, tu sitio es el registro de tu comunidad autónoma, no el estatal. Está PROHIBIDO escribir «necesitas el RGSEAA para abrir».</t>
        </is>
      </c>
    </row>
    <row r="25" ht="40" customHeight="1">
      <c r="A25" s="5" t="inlineStr">
        <is>
          <t>La clave y las actividades del RGSEAA existen y están verificadas, pero sólo entran en juego cuando SÍ te toca inscribirte: cuando suministras a otros minoristas y fallas alguna de las tres condiciones del art. 3.</t>
        </is>
      </c>
    </row>
    <row r="26"/>
    <row r="27">
      <c r="A27" s="4" t="inlineStr">
        <is>
          <t>Listas de validación (no las borres: las usan los desplegables)</t>
        </is>
      </c>
    </row>
    <row r="28">
      <c r="A28" s="23" t="inlineStr">
        <is>
          <t>Sí o No</t>
        </is>
      </c>
    </row>
    <row r="29">
      <c r="A29" t="inlineStr">
        <is>
          <t>Sí</t>
        </is>
      </c>
    </row>
    <row r="30">
      <c r="A30"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4:C24"/>
    <mergeCell ref="A25:C25"/>
    <mergeCell ref="A3:C3"/>
  </mergeCells>
  <dataValidations count="1">
    <dataValidation sqref="B6 B7 B8 B9" showDropDown="0" showInputMessage="0" showErrorMessage="1" allowBlank="0" errorTitle="Marca Sí o No" error="Elige «Sí» o «No» de la lista del pie de la hoja." type="list">
      <formula1>=$A$29:$A$30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52"/>
  <sheetViews>
    <sheetView workbookViewId="0">
      <pane ySplit="3" topLeftCell="A4" activePane="bottomLeft" state="frozen"/>
      <selection pane="bottomLeft" activeCell="A1" sqref="A1"/>
    </sheetView>
  </sheetViews>
  <sheetFormatPr baseColWidth="8" defaultRowHeight="15"/>
  <cols>
    <col width="58" customWidth="1" min="1" max="1"/>
    <col width="20" customWidth="1" min="2" max="2"/>
    <col width="20" customWidth="1" min="3" max="3"/>
    <col width="14" customWidth="1" min="4" max="4"/>
    <col width="20" customWidth="1" min="5" max="5"/>
    <col width="96" customWidth="1" min="6" max="6"/>
  </cols>
  <sheetData>
    <row r="1" ht="28" customHeight="1">
      <c r="A1" s="1" t="inlineStr">
        <is>
          <t>Suministro a Otros Minoristas: El Árbol del Art. 3</t>
        </is>
      </c>
    </row>
    <row r="2">
      <c r="A2" t="inlineStr">
        <is>
          <t>AI Chef Pro · aichef.pro — Cómo Montar una Chocolatería</t>
        </is>
      </c>
    </row>
    <row r="3" ht="26" customHeight="1">
      <c r="A3" s="5" t="inlineStr">
        <is>
          <t>Primero la puerta de entrada: esto SÓLO te aplica si suministras a establecimientos minoristas de DISTINTA titularidad. Si entras, las tres condiciones son ACUMULATIVAS, y dentro de «marginal» hay dos vías ALTERNATIVAS.</t>
        </is>
      </c>
    </row>
    <row r="4"/>
    <row r="5">
      <c r="A5" s="4" t="inlineStr">
        <is>
          <t>PUERTA DE ENTRADA: ¿TE APLICA SIQUIERA?</t>
        </is>
      </c>
      <c r="B5" s="10" t="inlineStr"/>
      <c r="C5" s="10" t="inlineStr"/>
      <c r="D5" s="10" t="inlineStr"/>
      <c r="E5" s="10" t="inlineStr"/>
      <c r="F5" s="10" t="inlineStr"/>
    </row>
    <row r="6">
      <c r="A6" s="9" t="inlineStr">
        <is>
          <t>¿Suministras bombones de producción propia a establecimientos MINORISTAS de distinta titularidad?</t>
        </is>
      </c>
      <c r="B6" s="11" t="inlineStr">
        <is>
          <t>Sí</t>
        </is>
      </c>
      <c r="F6" s="5" t="inlineStr">
        <is>
          <t>Si la respuesta es «No», el art. 3 no te aplica y puedes saltarte el resto de la hoja. Vender al consumidor final, aunque sea por internet y a toda España, NO es suministrar a otros minoristas.</t>
        </is>
      </c>
    </row>
    <row r="7">
      <c r="A7" t="inlineStr">
        <is>
          <t>Lectura de la puerta de entrada</t>
        </is>
      </c>
      <c r="B7" t="str">
        <f>IFERROR(IF(B6="No","El art. 3 NO te aplica: nada de lo de abajo te obliga","Te aplica: sigue con las tres condiciones"),"")</f>
        <v>Te aplica: sigue con las tres condiciones</v>
      </c>
    </row>
    <row r="8"/>
    <row r="9">
      <c r="A9" s="4" t="inlineStr">
        <is>
          <t>TUS DESTINATARIOS</t>
        </is>
      </c>
      <c r="B9" s="10" t="inlineStr"/>
      <c r="C9" s="10" t="inlineStr"/>
      <c r="D9" s="10" t="inlineStr"/>
      <c r="E9" s="10" t="inlineStr"/>
      <c r="F9" s="10" t="inlineStr"/>
    </row>
    <row r="10" ht="32" customHeight="1">
      <c r="A10" s="7" t="inlineStr">
        <is>
          <t>Destinatario</t>
        </is>
      </c>
      <c r="B10" s="7" t="inlineStr">
        <is>
          <t>Kilos a la semana que le sirves</t>
        </is>
      </c>
      <c r="C10" s="7" t="inlineStr">
        <is>
          <t>% de tu volumen anual</t>
        </is>
      </c>
      <c r="D10" s="7" t="inlineStr">
        <is>
          <t>Kilómetros</t>
        </is>
      </c>
      <c r="E10" s="7" t="inlineStr">
        <is>
          <t>¿Inscrito en el RGSEAA?</t>
        </is>
      </c>
      <c r="F10" s="7" t="inlineStr">
        <is>
          <t>Notas</t>
        </is>
      </c>
    </row>
    <row r="11">
      <c r="A11" s="6" t="inlineStr">
        <is>
          <t>Cafetería El Mirador</t>
        </is>
      </c>
      <c r="B11" s="30" t="n">
        <v>18</v>
      </c>
      <c r="C11" s="31" t="n">
        <v>0.05</v>
      </c>
      <c r="D11" s="30" t="n">
        <v>2</v>
      </c>
      <c r="E11" s="11" t="inlineStr">
        <is>
          <t>No</t>
        </is>
      </c>
    </row>
    <row r="12">
      <c r="A12" s="6" t="inlineStr">
        <is>
          <t>Hotel Plaza Mayor (A&amp;B)</t>
        </is>
      </c>
      <c r="B12" s="30" t="n">
        <v>22</v>
      </c>
      <c r="C12" s="31" t="n">
        <v>0.06</v>
      </c>
      <c r="D12" s="30" t="n">
        <v>4</v>
      </c>
      <c r="E12" s="11" t="inlineStr">
        <is>
          <t>No</t>
        </is>
      </c>
    </row>
    <row r="13">
      <c r="A13" s="6" t="inlineStr">
        <is>
          <t>Tienda gourmet La Despensa</t>
        </is>
      </c>
      <c r="B13" s="30" t="n">
        <v>9</v>
      </c>
      <c r="C13" s="31" t="n">
        <v>0.03</v>
      </c>
      <c r="D13" s="30" t="n">
        <v>12</v>
      </c>
      <c r="E13" s="11" t="inlineStr">
        <is>
          <t>No lo sé</t>
        </is>
      </c>
    </row>
    <row r="14">
      <c r="A14" s="6" t="inlineStr">
        <is>
          <t>(libre)</t>
        </is>
      </c>
      <c r="B14" s="30" t="n">
        <v>0</v>
      </c>
      <c r="C14" s="31" t="n">
        <v>0</v>
      </c>
      <c r="D14" s="30" t="n">
        <v>0</v>
      </c>
      <c r="E14" s="11" t="inlineStr">
        <is>
          <t>No</t>
        </is>
      </c>
    </row>
    <row r="15">
      <c r="A15" s="6" t="inlineStr">
        <is>
          <t>(libre)</t>
        </is>
      </c>
      <c r="B15" s="30" t="n">
        <v>0</v>
      </c>
      <c r="C15" s="31" t="n">
        <v>0</v>
      </c>
      <c r="D15" s="30" t="n">
        <v>0</v>
      </c>
      <c r="E15" s="11" t="inlineStr">
        <is>
          <t>No</t>
        </is>
      </c>
    </row>
    <row r="16">
      <c r="A16" s="6" t="inlineStr">
        <is>
          <t>(libre)</t>
        </is>
      </c>
      <c r="B16" s="30" t="n">
        <v>0</v>
      </c>
      <c r="C16" s="31" t="n">
        <v>0</v>
      </c>
      <c r="D16" s="30" t="n">
        <v>0</v>
      </c>
      <c r="E16" s="11" t="inlineStr">
        <is>
          <t>No</t>
        </is>
      </c>
    </row>
    <row r="17">
      <c r="A17" s="15" t="inlineStr">
        <is>
          <t>TOTAL</t>
        </is>
      </c>
      <c r="B17" s="32">
        <f>IFERROR(SUM(B11:B16),"")</f>
        <v>49.0</v>
      </c>
      <c r="C17" s="33">
        <f>IFERROR(SUM(C11:C16),"")</f>
        <v>0.14</v>
      </c>
      <c r="D17" s="32">
        <f>IFERROR(MAX(D11:D16),"")</f>
        <v>12.0</v>
      </c>
      <c r="E17" s="16">
        <f>IFERROR(COUNTIF(E11:E16,"Sí"),"")</f>
        <v>0.0</v>
      </c>
      <c r="F17" s="19" t="inlineStr">
        <is>
          <t>Los kilos y el porcentaje se suman; los kilómetros se toman al MÁXIMO (el destinatario más lejano es el que decide) y en la última columna se cuentan los que están inscritos en el RGSEAA.</t>
        </is>
      </c>
    </row>
    <row r="18"/>
    <row r="19">
      <c r="A19" s="4" t="inlineStr">
        <is>
          <t>CONDICIÓN 1 · MARGINAL (dos vías ALTERNATIVAS: basta con cumplir una)</t>
        </is>
      </c>
      <c r="B19" s="10" t="inlineStr"/>
      <c r="C19" s="10" t="inlineStr"/>
      <c r="D19" s="10" t="inlineStr"/>
      <c r="E19" s="10" t="inlineStr"/>
      <c r="F19" s="10" t="inlineStr"/>
    </row>
    <row r="20">
      <c r="A20" s="9" t="inlineStr">
        <is>
          <t>Vía a) · Umbral del volumen anual (%)</t>
        </is>
      </c>
      <c r="B20" s="34" t="n">
        <v>0.25</v>
      </c>
      <c r="F20" s="5" t="inlineStr">
        <is>
          <t>El suministro a otros minoristas no puede pasar del 25 % de tu volumen anual de alimentos comercializados.</t>
        </is>
      </c>
    </row>
    <row r="21">
      <c r="A21" s="9" t="inlineStr">
        <is>
          <t>Tu porcentaje a otros minoristas</t>
        </is>
      </c>
      <c r="B21" s="35">
        <f>IFERROR(C17,"")</f>
        <v>0.14</v>
      </c>
    </row>
    <row r="22">
      <c r="A22" s="8" t="inlineStr">
        <is>
          <t>¿Cumples la vía a)?</t>
        </is>
      </c>
      <c r="B22" s="23" t="str">
        <f>IFERROR(IF(B21&lt;=B20,"Sí","No"),"")</f>
        <v>Sí</v>
      </c>
    </row>
    <row r="23">
      <c r="A23" s="9" t="inlineStr">
        <is>
          <t>Vía b) · Máximo a la semana a otros minoristas (kg)</t>
        </is>
      </c>
      <c r="B23" s="13" t="n">
        <v>500</v>
      </c>
      <c r="F23" s="5" t="inlineStr">
        <is>
          <t>Es el máximo del suministro A OTROS MINORISTAS. El art. 3 habla del suministro a establecimientos minoristas de distinta titularidad: está PROHIBIDO leer estos 500 kg como si incluyeran lo que despachas en tu propio mostrador, porque eso describe una trampa que no existe.</t>
        </is>
      </c>
    </row>
    <row r="24">
      <c r="A24" s="9" t="inlineStr">
        <is>
          <t>Lo que sirves a otros minoristas a la semana (kg)</t>
        </is>
      </c>
      <c r="B24" s="36">
        <f>IFERROR(B17,"")</f>
        <v>49.0</v>
      </c>
    </row>
    <row r="25">
      <c r="A25" s="8" t="inlineStr">
        <is>
          <t>¿Cumples la vía b)?</t>
        </is>
      </c>
      <c r="B25" s="23" t="str">
        <f>IFERROR(IF(B24&lt;=B23,"Sí","No"),"")</f>
        <v>Sí</v>
      </c>
    </row>
    <row r="26">
      <c r="A26" s="8" t="inlineStr">
        <is>
          <t>¿ES MARGINAL?</t>
        </is>
      </c>
      <c r="B26" s="23" t="str">
        <f>IFERROR(IF(OR(B22="Sí",B25="Sí"),"Sí","No"),"")</f>
        <v>Sí</v>
      </c>
      <c r="F26" s="5" t="inlineStr">
        <is>
          <t>Basta con cumplir UNA de las dos vías: son alternativas, no acumulativas. Un obrador que sirve 600 kg a la semana a otros minoristas sigue siendo marginal si eso no llega al 25 % de su volumen anual.</t>
        </is>
      </c>
    </row>
    <row r="27"/>
    <row r="28">
      <c r="A28" s="4" t="inlineStr">
        <is>
          <t>CONDICIÓN 2 · LOCALIZADO</t>
        </is>
      </c>
      <c r="B28" s="10" t="inlineStr"/>
      <c r="C28" s="10" t="inlineStr"/>
      <c r="D28" s="10" t="inlineStr"/>
      <c r="E28" s="10" t="inlineStr"/>
      <c r="F28" s="10" t="inlineStr"/>
    </row>
    <row r="29">
      <c r="A29" s="9" t="inlineStr">
        <is>
          <t>¿Todos tus destinatarios están en tu unidad sanitaria local, zona de salud o territorio equivalente, o en una zona limítrofe?</t>
        </is>
      </c>
      <c r="B29" s="11" t="inlineStr">
        <is>
          <t>Sí</t>
        </is>
      </c>
      <c r="F29" s="5" t="inlineStr">
        <is>
          <t>El texto no habla de kilómetros dentro de la misma comunidad: habla de unidad sanitaria local, zona de salud o territorio equivalente. Los kilómetros aparecen sólo para el comercio ENTRE comunidades autónomas.</t>
        </is>
      </c>
    </row>
    <row r="30">
      <c r="A30" s="9" t="inlineStr">
        <is>
          <t>Radio máximo entre establecimientos de comunidades DISTINTAS (km)</t>
        </is>
      </c>
      <c r="B30" s="13" t="n">
        <v>50</v>
      </c>
      <c r="F30" s="5" t="inlineStr">
        <is>
          <t>Y sólo si los registros sanitarios autonómicos de origen y destino son públicos y accesibles de forma efectiva.</t>
        </is>
      </c>
    </row>
    <row r="31">
      <c r="A31" s="9" t="inlineStr">
        <is>
          <t>Distancia al destinatario más lejano (km)</t>
        </is>
      </c>
      <c r="B31" s="36">
        <f>IFERROR(D17,"")</f>
        <v>12.0</v>
      </c>
    </row>
    <row r="32">
      <c r="A32" s="9" t="inlineStr">
        <is>
          <t>¿Alguno de tus destinatarios está en otra comunidad autónoma?</t>
        </is>
      </c>
      <c r="B32" s="11" t="inlineStr">
        <is>
          <t>No</t>
        </is>
      </c>
    </row>
    <row r="33">
      <c r="A33" s="8" t="inlineStr">
        <is>
          <t>¿ES LOCALIZADO?</t>
        </is>
      </c>
      <c r="B33" s="23" t="str">
        <f>IFERROR(IF(AND(B29="Sí",OR(B32="No",B31&lt;=B30)),"Sí","No"),"")</f>
        <v>Sí</v>
      </c>
    </row>
    <row r="34"/>
    <row r="35">
      <c r="A35" s="4" t="inlineStr">
        <is>
          <t>CONDICIÓN 3 · RESTRINGIDO</t>
        </is>
      </c>
      <c r="B35" s="10" t="inlineStr"/>
      <c r="C35" s="10" t="inlineStr"/>
      <c r="D35" s="10" t="inlineStr"/>
      <c r="E35" s="10" t="inlineStr"/>
      <c r="F35" s="10" t="inlineStr"/>
    </row>
    <row r="36">
      <c r="A36" s="9" t="inlineStr">
        <is>
          <t>Destinatarios inscritos en el RGSEAA</t>
        </is>
      </c>
      <c r="B36" s="21">
        <f>IFERROR(E17,"")</f>
        <v>0.0</v>
      </c>
      <c r="F36" s="5" t="inlineStr">
        <is>
          <t>Una actividad es restringida cuando NO se suministran productos a establecimientos inscritos en el RGSEAA. Es el requisito que más fácil se rompe: basta UN cliente inscrito. Si tienes alguno en «No lo sé», pregúntaselo: la hoja lo cuenta como no inscrito y puede estar tranquilizándote de más.</t>
        </is>
      </c>
    </row>
    <row r="37">
      <c r="A37" s="8" t="inlineStr">
        <is>
          <t>¿ES RESTRINGIDO?</t>
        </is>
      </c>
      <c r="B37" s="23" t="str">
        <f>IFERROR(IF(B36=0,"Sí","No"),"")</f>
        <v>Sí</v>
      </c>
    </row>
    <row r="38"/>
    <row r="39">
      <c r="A39" s="4" t="inlineStr">
        <is>
          <t>EL VEREDICTO</t>
        </is>
      </c>
      <c r="B39" s="10" t="inlineStr"/>
      <c r="C39" s="10" t="inlineStr"/>
      <c r="D39" s="10" t="inlineStr"/>
      <c r="E39" s="10" t="inlineStr"/>
      <c r="F39" s="10" t="inlineStr"/>
    </row>
    <row r="40">
      <c r="A40" s="8" t="inlineStr">
        <is>
          <t>Condiciones cumplidas (de tres)</t>
        </is>
      </c>
      <c r="B40" s="26">
        <f>IFERROR(COUNTIF(B26:B26,"Sí")+COUNTIF(B33:B33,"Sí")+COUNTIF(B37:B37,"Sí"),"")</f>
        <v>3.0</v>
      </c>
    </row>
    <row r="41" ht="40" customHeight="1">
      <c r="A41" s="8" t="inlineStr">
        <is>
          <t>VEREDICTO</t>
        </is>
      </c>
      <c r="B41" s="27" t="str">
        <f>IFERROR(IF(B6="No","El art. 3 no te aplica: no suministras a otros minoristas de distinta titularidad",IF(B40=3,"Cumples las tres: sigues FUERA del RGSEAA, con la declaración responsable y el registro del art. 3.5","Te toca inscribirte en el RGSEAA: falla al menos una de las tres condiciones")),"")</f>
        <v>Cumples las tres: sigues FUERA del RGSEAA, con la declaración responsable y el registro del art. 3.5</v>
      </c>
    </row>
    <row r="42" ht="34" customHeight="1">
      <c r="A42" s="9" t="inlineStr">
        <is>
          <t>Lo que además tienes que hacer si haces B2B</t>
        </is>
      </c>
      <c r="B42" s="29" t="str">
        <f>IFERROR(IF(B6="No","Nada de esto te aplica","Presentar declaración responsable de que cumples el art. 3 y llevar registro de destinatarios, cantidades y fechas"),"")</f>
        <v>Presentar declaración responsable de que cumples el art. 3 y llevar registro de destinatarios, cantidades y fechas</v>
      </c>
    </row>
    <row r="43"/>
    <row r="44" ht="40" customHeight="1">
      <c r="A44" s="5" t="inlineStr">
        <is>
          <t>LAS TRES CONDICIONES SON ACUMULATIVAS: hay que cumplir marginal Y localizado Y restringido. Lo que es alternativo son las dos vías DENTRO de «marginal». Fallar una sola te manda al RGSEAA.</t>
        </is>
      </c>
    </row>
    <row r="45" ht="56" customHeight="1">
      <c r="A45" s="5" t="inlineStr">
        <is>
          <t>LOS 500 KILOS NO INCLUYEN TU MOSTRADOR. El art. 3 regula el suministro a otros establecimientos minoristas de distinta titularidad, y es ahí donde se miden. Leerlo como «puedo servir a quien quiera mientras entre todo no pase de 500» es inventarse una trampa que la norma no pone — y confundirse en el otro sentido, creyendo que el mostrador te consume el cupo, te hace renunciar a un canal que sí podías tener.</t>
        </is>
      </c>
    </row>
    <row r="46" ht="36" customHeight="1">
      <c r="A46" s="5" t="inlineStr">
        <is>
          <t>Y la tabla de clientes que esto te obliga a llevar es la misma que te pide el reglamento de deforestación por otra vía: está construida en la hoja «Clientes a los que Suministras» del libro «checklist-equipamiento-y-proveedores-cacao.xlsx».</t>
        </is>
      </c>
    </row>
    <row r="47"/>
    <row r="48">
      <c r="A48" s="4" t="inlineStr">
        <is>
          <t>Listas de validación (no las borres: las usan los desplegables)</t>
        </is>
      </c>
    </row>
    <row r="49">
      <c r="A49" s="23" t="inlineStr">
        <is>
          <t>Sí o No</t>
        </is>
      </c>
      <c r="B49" s="23" t="inlineStr">
        <is>
          <t>Sí, No o No lo sé</t>
        </is>
      </c>
    </row>
    <row r="50">
      <c r="A50" t="inlineStr">
        <is>
          <t>Sí</t>
        </is>
      </c>
      <c r="B50" t="inlineStr">
        <is>
          <t>Sí</t>
        </is>
      </c>
    </row>
    <row r="51">
      <c r="A51" t="inlineStr">
        <is>
          <t>No</t>
        </is>
      </c>
      <c r="B51" t="inlineStr">
        <is>
          <t>No</t>
        </is>
      </c>
    </row>
    <row r="52">
      <c r="B52" t="inlineStr">
        <is>
          <t>No lo sé</t>
        </is>
      </c>
    </row>
  </sheetData>
  <sheetProtection selectLockedCells="0" selectUnlockedCells="0" sheet="1" objects="0" insertRows="0" insertHyperlinks="1" autoFilter="1" scenarios="0" formatColumns="0" deleteColumns="1" insertColumns="1" pivotTables="1" deleteRows="1" formatCells="1" formatRows="0" sort="0"/>
  <mergeCells count="7">
    <mergeCell ref="B42:E42"/>
    <mergeCell ref="A46:F46"/>
    <mergeCell ref="A3:F3"/>
    <mergeCell ref="A45:F45"/>
    <mergeCell ref="B41:E41"/>
    <mergeCell ref="B7:E7"/>
    <mergeCell ref="A44:F44"/>
  </mergeCells>
  <conditionalFormatting sqref="B26">
    <cfRule type="expression" priority="1" dxfId="1" stopIfTrue="1">
      <formula>=$B$26="No"</formula>
    </cfRule>
  </conditionalFormatting>
  <conditionalFormatting sqref="B33">
    <cfRule type="expression" priority="2" dxfId="1" stopIfTrue="1">
      <formula>=$B$33="No"</formula>
    </cfRule>
  </conditionalFormatting>
  <conditionalFormatting sqref="B37">
    <cfRule type="expression" priority="3" dxfId="1" stopIfTrue="1">
      <formula>=$B$37="No"</formula>
    </cfRule>
  </conditionalFormatting>
  <dataValidations count="3">
    <dataValidation sqref="B6" showDropDown="0" showInputMessage="0" showErrorMessage="1" allowBlank="0" errorTitle="Marca Sí o No" error="Elige «Sí» o «No» de la lista del pie." type="list">
      <formula1>=$A$50:$A$51</formula1>
    </dataValidation>
    <dataValidation sqref="E11 E12 E13 E14 E15 E16" showDropDown="0" showInputMessage="0" showErrorMessage="1" allowBlank="0" errorTitle="Marca Sí, No o No lo sé" error="Elige una de las tres opciones de la lista del pie." type="list">
      <formula1>=$B$50:$B$52</formula1>
    </dataValidation>
    <dataValidation sqref="B29 B32" showDropDown="0" showInputMessage="0" showErrorMessage="1" allowBlank="0" errorTitle="Marca Sí o No" error="Elige «Sí» o «No» de la lista del pie." type="list">
      <formula1>=$A$50:$A$51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44"/>
  <sheetViews>
    <sheetView workbookViewId="0">
      <pane ySplit="3" topLeftCell="A4" activePane="bottomLeft" state="frozen"/>
      <selection pane="bottomLeft" activeCell="A1" sqref="A1"/>
    </sheetView>
  </sheetViews>
  <sheetFormatPr baseColWidth="8" defaultRowHeight="15"/>
  <cols>
    <col width="60" customWidth="1" min="1" max="1"/>
    <col width="24" customWidth="1" min="2" max="2"/>
    <col width="100" customWidth="1" min="3" max="3"/>
  </cols>
  <sheetData>
    <row r="1" ht="28" customHeight="1">
      <c r="A1" s="1" t="inlineStr">
        <is>
          <t>Ruta Doméstica: Elaborar en Vivienda Particular</t>
        </is>
      </c>
    </row>
    <row r="2">
      <c r="A2" t="inlineStr">
        <is>
          <t>AI Chef Pro · aichef.pro — Cómo Montar una Chocolatería</t>
        </is>
      </c>
    </row>
    <row r="3" ht="26" customHeight="1">
      <c r="A3" s="5" t="inlineStr">
        <is>
          <t>Para el bombón esta ruta NO está abierta por defecto. La lista estatal tiene CINCO letras y la quinta la rellena cada comunidad: por eso lo primero que pregunta la hoja es si la tuya lo ha hecho. Los tres requisitos del art. 13.9 sólo se activan a partir de ahí.</t>
        </is>
      </c>
    </row>
    <row r="4"/>
    <row r="5">
      <c r="A5" s="4" t="inlineStr">
        <is>
          <t>LA PREGUNTA QUE MANDA SOBRE TODO LO DEMÁS</t>
        </is>
      </c>
      <c r="B5" s="10" t="inlineStr"/>
      <c r="C5" s="10" t="inlineStr"/>
    </row>
    <row r="6">
      <c r="A6" s="9" t="inlineStr">
        <is>
          <t>¿En qué comunidad autónoma estarías?</t>
        </is>
      </c>
      <c r="B6" s="11" t="inlineStr">
        <is>
          <t>Madrid</t>
        </is>
      </c>
    </row>
    <row r="7">
      <c r="A7" s="9" t="inlineStr">
        <is>
          <t>¿Tu comunidad ha ampliado la lista del art. 13.8 por la letra e) para incluir el chocolate?</t>
        </is>
      </c>
      <c r="B7" s="11" t="inlineStr">
        <is>
          <t>No</t>
        </is>
      </c>
      <c r="C7" s="5" t="inlineStr">
        <is>
          <t>La lista estatal tiene CINCO letras y la quinta es ABIERTA: «otros alimentos que las autoridades competentes de las comunidades autónomas permitan en sus territorios». Por defecto el chocolate no encaja en la letra b), pero eso es INTERPRETACIÓN DECLARADA, no nivel A. Está PROHIBIDO escribir «hacer bombones en casa para vender es ilegal en España».</t>
        </is>
      </c>
    </row>
    <row r="8">
      <c r="A8" s="23" t="inlineStr">
        <is>
          <t>Dónde se comprueba</t>
        </is>
      </c>
      <c r="B8" s="9" t="inlineStr">
        <is>
          <t>Registro autonómico</t>
        </is>
      </c>
      <c r="C8" s="5" t="inlineStr">
        <is>
          <t>Busca «registro sanitario establecimientos alimentarios menores» más el nombre de tu comunidad: el decreto que salga es el tuyo, y es donde consta si ha usado la letra e). Y ojo con una confusión frecuente: el repertorio de ARTESANÍA ALIMENTARIA de una comunidad -que sí incluye los chocolates- es otro registro, otra competencia y otro fin; no sirve como prueba de qué es «repostería» para el RD 1021/2022.</t>
        </is>
      </c>
    </row>
    <row r="9" ht="40" customHeight="1">
      <c r="A9" s="8" t="inlineStr">
        <is>
          <t>Lectura de esa respuesta</t>
        </is>
      </c>
      <c r="B9" s="27" t="str">
        <f>IFERROR(IF(B7="Sí","Tu comunidad ha abierto la puerta: sigue con los TRES requisitos del art. 13.9",IF(B7="No","Con la lista estatal en la mano, el bombón no entra: la ruta doméstica NO está abierta para ti","Compruébalo antes de decidir nada: ni la ruta está abierta ni está cerrada mientras no lo mires")),"")</f>
        <v>Con la lista estatal en la mano, el bombón no entra: la ruta doméstica NO está abierta para ti</v>
      </c>
    </row>
    <row r="10"/>
    <row r="11">
      <c r="A11" s="4" t="inlineStr">
        <is>
          <t>LA LISTA BLANCA DEL ART. 13.8, CON SUS CINCO LETRAS</t>
        </is>
      </c>
      <c r="B11" s="10" t="inlineStr"/>
      <c r="C11" s="10" t="inlineStr"/>
    </row>
    <row r="12" ht="26" customHeight="1">
      <c r="A12" s="7" t="inlineStr">
        <is>
          <t>Letra</t>
        </is>
      </c>
      <c r="B12" s="7" t="inlineStr">
        <is>
          <t>Qué permite</t>
        </is>
      </c>
      <c r="C12" s="7" t="inlineStr">
        <is>
          <t>Qué NO cubre, y por qué importa aquí</t>
        </is>
      </c>
    </row>
    <row r="13" ht="52" customHeight="1">
      <c r="A13" s="12" t="inlineStr">
        <is>
          <t>a)</t>
        </is>
      </c>
      <c r="B13" s="9" t="inlineStr">
        <is>
          <t>Comidas preparadas con tratamiento térmico suficiente</t>
        </is>
      </c>
      <c r="C13" s="9" t="inlineStr">
        <is>
          <t>El bombón no es una comida preparada.</t>
        </is>
      </c>
    </row>
    <row r="14" ht="52" customHeight="1">
      <c r="A14" s="12" t="inlineStr">
        <is>
          <t>b)</t>
        </is>
      </c>
      <c r="B14" s="9" t="inlineStr">
        <is>
          <t>Productos de panadería y repostería ESTABLES A TEMPERATURA AMBIENTE</t>
        </is>
      </c>
      <c r="C14" s="9" t="inlineStr">
        <is>
          <t>Por defecto el chocolate NO encaja aquí, y eso es una INTERPRETACIÓN declarada, no nivel A: compruébalo en tu comunidad. Una comunidad añade «confitería» a esta letra, pero NO «chocolate».</t>
        </is>
      </c>
    </row>
    <row r="15" ht="52" customHeight="1">
      <c r="A15" s="12" t="inlineStr">
        <is>
          <t>c)</t>
        </is>
      </c>
      <c r="B15" s="9" t="inlineStr">
        <is>
          <t>Mermeladas, confituras y jaleas con tratamiento térmico después del envasado</t>
        </is>
      </c>
      <c r="C15" s="9" t="inlineStr">
        <is>
          <t>Las que se envasan en frío quedan fuera.</t>
        </is>
      </c>
    </row>
    <row r="16" ht="52" customHeight="1">
      <c r="A16" s="12" t="inlineStr">
        <is>
          <t>d)</t>
        </is>
      </c>
      <c r="B16" s="9" t="inlineStr">
        <is>
          <t>Conservas vegetales con pH inferior a 4,5</t>
        </is>
      </c>
      <c r="C16" s="9" t="inlineStr">
        <is>
          <t>Ahí el riesgo cambia de categoría.</t>
        </is>
      </c>
    </row>
    <row r="17" ht="52" customHeight="1">
      <c r="A17" s="12" t="inlineStr">
        <is>
          <t>e)</t>
        </is>
      </c>
      <c r="B17" s="9" t="inlineStr">
        <is>
          <t>Otros alimentos que las autoridades competentes de las comunidades autónomas permitan en sus territorios</t>
        </is>
      </c>
      <c r="C17" s="9" t="inlineStr">
        <is>
          <t>LA LETRA ABIERTA. Nada por defecto: está vacía hasta que TU comunidad la rellene. Es la única puerta por la que el bombón podría entrar, y por eso la pregunta de arriba manda sobre todo lo demás.</t>
        </is>
      </c>
    </row>
    <row r="18"/>
    <row r="19">
      <c r="A19" s="4" t="inlineStr">
        <is>
          <t>LOS TRES REQUISITOS DEL ART. 13.9 (sólo si la letra e) te ha abierto la puerta)</t>
        </is>
      </c>
      <c r="B19" s="10" t="inlineStr"/>
      <c r="C19" s="10" t="inlineStr"/>
    </row>
    <row r="20" ht="46" customHeight="1">
      <c r="A20" s="23" t="inlineStr">
        <is>
          <t>La cita, literal</t>
        </is>
      </c>
      <c r="B20" s="5" t="inlineStr">
        <is>
          <t>El volumen total de alimentos preparados deberá ser proporcional al tamaño de las instalaciones de manera que se garanticen unas prácticas correctas de higiene alimentaria y en ningún caso podrán superar los 100 kilogramos semanales, lo cual se demostrará documentalmente</t>
        </is>
      </c>
    </row>
    <row r="21">
      <c r="A21" s="9" t="inlineStr">
        <is>
          <t>Metros cuadrados útiles de la zona de elaboración</t>
        </is>
      </c>
      <c r="B21" s="37" t="n">
        <v>12</v>
      </c>
      <c r="C21" s="5" t="inlineStr">
        <is>
          <t>SUPUESTO sembrado. La norma no da un número de kilos por metro cuadrado: da un criterio, la proporcionalidad. Ponlo tú y defiéndelo.</t>
        </is>
      </c>
    </row>
    <row r="22">
      <c r="A22" s="9" t="inlineStr">
        <is>
          <t>Kilos de producto que prevés elaborar a la semana</t>
        </is>
      </c>
      <c r="B22" s="37" t="n">
        <v>35</v>
      </c>
    </row>
    <row r="23">
      <c r="A23" s="9" t="inlineStr">
        <is>
          <t>Tope absoluto del art. 13.9 (kg a la semana)</t>
        </is>
      </c>
      <c r="B23" s="13" t="n">
        <v>100</v>
      </c>
    </row>
    <row r="24">
      <c r="A24" s="8" t="inlineStr">
        <is>
          <t>Requisito 1 · ¿estás por debajo del tope de kilos?</t>
        </is>
      </c>
      <c r="B24" s="23" t="str">
        <f>IFERROR(IF(B7&lt;&gt;"Sí","No procede: la ruta no está abierta",IF(B22&lt;=B23,"Sí","No")),"")</f>
        <v>No procede: la ruta no está abierta</v>
      </c>
      <c r="C24" s="5" t="inlineStr">
        <is>
          <t>El tope de 100 kg casi nunca se alcanza en una cocina doméstica: no es el que de verdad limita.</t>
        </is>
      </c>
    </row>
    <row r="25">
      <c r="A25" s="9" t="inlineStr">
        <is>
          <t>Kilos por metro cuadrado que te salen</t>
        </is>
      </c>
      <c r="B25" s="36">
        <f>IFERROR(IF(B21=0,"",B22/B21),"")</f>
        <v>2.9166666666666665</v>
      </c>
    </row>
    <row r="26">
      <c r="A26" s="8" t="inlineStr">
        <is>
          <t>Requisito 2 · ¿es proporcional al tamaño de las instalaciones?</t>
        </is>
      </c>
      <c r="B26" s="23" t="str">
        <f>IFERROR(IF(B7&lt;&gt;"Sí","No procede: la ruta no está abierta","Lo decide la autoridad, no una fórmula: la norma da un CRITERIO, no un número. Éste es el requisito que de verdad limita"),"")</f>
        <v>No procede: la ruta no está abierta</v>
      </c>
      <c r="C26" s="5" t="inlineStr">
        <is>
          <t>Aquí no hay semáforo de sí o no A PROPÓSITO: inventarse un umbral de kilos por metro cuadrado sería publicar como norma un número que la norma no da.</t>
        </is>
      </c>
    </row>
    <row r="27">
      <c r="A27" s="9" t="inlineStr">
        <is>
          <t>¿Puedes demostrarlo documentalmente?</t>
        </is>
      </c>
      <c r="B27" s="11" t="inlineStr">
        <is>
          <t>No</t>
        </is>
      </c>
      <c r="C27" s="5" t="inlineStr">
        <is>
          <t>Registro de producción, albaranes, plan de limpieza. «Lo cual se demostrará documentalmente» está en la propia cita: no es un añadido de este producto.</t>
        </is>
      </c>
    </row>
    <row r="28">
      <c r="A28" s="8" t="inlineStr">
        <is>
          <t>Requisito 3 · ¿está demostrado?</t>
        </is>
      </c>
      <c r="B28" s="23" t="str">
        <f>IFERROR(IF(B7&lt;&gt;"Sí","No procede: la ruta no está abierta",B27),"")</f>
        <v>No procede: la ruta no está abierta</v>
      </c>
    </row>
    <row r="29"/>
    <row r="30">
      <c r="A30" s="4" t="inlineStr">
        <is>
          <t>EL VEREDICTO</t>
        </is>
      </c>
      <c r="B30" s="10" t="inlineStr"/>
      <c r="C30" s="10" t="inlineStr"/>
    </row>
    <row r="31">
      <c r="A31" s="8" t="inlineStr">
        <is>
          <t>Requisitos resueltos en verde (de los dos que se pueden medir)</t>
        </is>
      </c>
      <c r="B31" s="26">
        <f>IFERROR(COUNTIF(B24:B24,"Sí")+COUNTIF(B28:B28,"Sí"),"")</f>
        <v>0.0</v>
      </c>
    </row>
    <row r="32" ht="46" customHeight="1">
      <c r="A32" s="8" t="inlineStr">
        <is>
          <t>VEREDICTO</t>
        </is>
      </c>
      <c r="B32" s="27" t="str">
        <f>IFERROR(IF(B7="No","Con la lista estatal en la mano, la ruta doméstica no está abierta para el bombón en tu comunidad",IF(B7="No lo sé","Sin resolver: comprueba en tu comunidad si ha usado la letra e) antes de dar por buena o por mala esta ruta",IF(B31=2,"Tu comunidad la ha abierto y cumples los dos requisitos medibles: queda el de proporcionalidad, que lo valora la autoridad","Tu comunidad la ha abierto pero te falta algún requisito del art. 13.9"))),"")</f>
        <v>Con la lista estatal en la mano, la ruta doméstica no está abierta para el bombón en tu comunidad</v>
      </c>
    </row>
    <row r="33"/>
    <row r="34" ht="48" customHeight="1">
      <c r="A34" s="5" t="inlineStr">
        <is>
          <t>POR QUÉ ESTA HOJA EMPIEZA POR LA LETRA e) Y NO POR LOS KILOS: porque para el bombón la ruta doméstica no está abierta por defecto. Un semáforo de «100 kilos a la semana» puesto delante sugiere que la ruta existe y que sólo hay que no pasarse, y eso es lo contrario de lo que dice la norma estatal.</t>
        </is>
      </c>
    </row>
    <row r="35" ht="48" customHeight="1">
      <c r="A35" s="5" t="inlineStr">
        <is>
          <t>Y el argumento que circula por ahí, el de que un decreto autonómico de ARTESANÍA ALIMENTARIA incluye los chocolates y por tanto son «repostería», no vale: es otro registro, otra competencia y otro fin. Lo que sí es un dato duro es que «chocolate», «cacao», «bombón» y «confitería» aparecen CERO veces en todo el RD 1021/2022.</t>
        </is>
      </c>
    </row>
    <row r="36" ht="36" customHeight="1">
      <c r="A36" s="5" t="inlineStr">
        <is>
          <t>Está PROHIBIDO escribir «hacer bombones en casa para vender es ilegal en España»: la letra e) existe, y una comunidad puede haberla usado. Lo honesto es lo que hace esta hoja: preguntarlo primero.</t>
        </is>
      </c>
    </row>
    <row r="37"/>
    <row r="38">
      <c r="A38" s="4" t="inlineStr">
        <is>
          <t>Listas de validación (no las borres: las usan los desplegables)</t>
        </is>
      </c>
    </row>
    <row r="39">
      <c r="A39" s="23" t="inlineStr">
        <is>
          <t>Sí, No o No lo sé</t>
        </is>
      </c>
      <c r="B39" s="23" t="inlineStr">
        <is>
          <t>Comunidad autónoma</t>
        </is>
      </c>
    </row>
    <row r="40">
      <c r="A40" t="inlineStr">
        <is>
          <t>Sí</t>
        </is>
      </c>
      <c r="B40" t="inlineStr">
        <is>
          <t>Madrid</t>
        </is>
      </c>
    </row>
    <row r="41">
      <c r="A41" t="inlineStr">
        <is>
          <t>No</t>
        </is>
      </c>
      <c r="B41" t="inlineStr">
        <is>
          <t>Cataluna</t>
        </is>
      </c>
    </row>
    <row r="42">
      <c r="A42" t="inlineStr">
        <is>
          <t>No lo sé</t>
        </is>
      </c>
      <c r="B42" t="inlineStr">
        <is>
          <t>Andalucia</t>
        </is>
      </c>
    </row>
    <row r="43">
      <c r="B43" t="inlineStr">
        <is>
          <t>Comunitat Valenciana</t>
        </is>
      </c>
    </row>
    <row r="44">
      <c r="B44"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7">
    <mergeCell ref="A35:C35"/>
    <mergeCell ref="B9:C9"/>
    <mergeCell ref="B20:C20"/>
    <mergeCell ref="A34:C34"/>
    <mergeCell ref="B32:C32"/>
    <mergeCell ref="A3:C3"/>
    <mergeCell ref="A36:C36"/>
  </mergeCells>
  <dataValidations count="3">
    <dataValidation sqref="B6" showDropDown="0" showInputMessage="0" showErrorMessage="1" allowBlank="0" errorTitle="Elige tu comunidad" error="Cuatro de EJEMPLO más «Otra»." type="list">
      <formula1>=$B$40:$B$44</formula1>
    </dataValidation>
    <dataValidation sqref="B7" showDropDown="0" showInputMessage="0" showErrorMessage="1" allowBlank="0" errorTitle="Marca Sí, No o No lo sé" error="Si no lo sabes, búscalo en el registro de tu comunidad antes de descartar la ruta o de darla por buena." type="list">
      <formula1>=$A$40:$A$42</formula1>
    </dataValidation>
    <dataValidation sqref="B27" showDropDown="0" showInputMessage="0" showErrorMessage="1" allowBlank="0" errorTitle="Marca Sí, No o No lo sé" error="Elige una de las tres opciones de la lista del pie." type="list">
      <formula1>=$A$40:$A$42</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C41"/>
  <sheetViews>
    <sheetView workbookViewId="0">
      <pane ySplit="3" topLeftCell="A4" activePane="bottomLeft" state="frozen"/>
      <selection pane="bottomLeft" activeCell="A1" sqref="A1"/>
    </sheetView>
  </sheetViews>
  <sheetFormatPr baseColWidth="8" defaultRowHeight="15"/>
  <cols>
    <col width="56" customWidth="1" min="1" max="1"/>
    <col width="22" customWidth="1" min="2" max="2"/>
    <col width="100" customWidth="1" min="3" max="3"/>
  </cols>
  <sheetData>
    <row r="1" ht="28" customHeight="1">
      <c r="A1" s="1" t="inlineStr">
        <is>
          <t>Cadmio y Analíticas: Qué te Aplica de Verdad</t>
        </is>
      </c>
    </row>
    <row r="2">
      <c r="A2" t="inlineStr">
        <is>
          <t>AI Chef Pro · aichef.pro — Cómo Montar una Chocolatería</t>
        </is>
      </c>
    </row>
    <row r="3" ht="26" customHeight="1">
      <c r="A3" s="5" t="inlineStr">
        <is>
          <t>Lo que es chocolate para la DENOMINACIÓN no lo es para los CONTAMINANTES. La hoja separa una cosa de la otra y decide si necesitas analítica propia, con qué frecuencia y cuánto te cuesta al año.</t>
        </is>
      </c>
    </row>
    <row r="4"/>
    <row r="5">
      <c r="A5" s="4" t="inlineStr">
        <is>
          <t>QUÉ ES «PRODUCTO DE CACAO Y DE CHOCOLATE» A EFECTOS DE CADMIO</t>
        </is>
      </c>
      <c r="B5" s="10" t="inlineStr"/>
      <c r="C5" s="10" t="inlineStr"/>
    </row>
    <row r="6" ht="26" customHeight="1">
      <c r="A6" s="7" t="inlineStr">
        <is>
          <t>Lo que vendes</t>
        </is>
      </c>
      <c r="B6" s="7" t="inlineStr">
        <is>
          <t>¿Límite propio de cadmio?</t>
        </is>
      </c>
      <c r="C6" s="7" t="inlineStr">
        <is>
          <t>Por qué</t>
        </is>
      </c>
    </row>
    <row r="7" ht="44" customHeight="1">
      <c r="A7" s="9" t="inlineStr">
        <is>
          <t>Cacao en polvo vendido como tal</t>
        </is>
      </c>
      <c r="B7" s="38" t="inlineStr">
        <is>
          <t>Sí</t>
        </is>
      </c>
      <c r="C7" s="9" t="inlineStr">
        <is>
          <t>Es uno de los tres puntos a los que remite la nota (14) del Anexo I: tiene límite propio.</t>
        </is>
      </c>
    </row>
    <row r="8" ht="44" customHeight="1">
      <c r="A8" s="9" t="inlineStr">
        <is>
          <t>Tabletas de chocolate y chocolate con leche</t>
        </is>
      </c>
      <c r="B8" s="38" t="inlineStr">
        <is>
          <t>Sí</t>
        </is>
      </c>
      <c r="C8" s="9" t="inlineStr">
        <is>
          <t>Los otros dos puntos. Si vendes tableta, esto te toca directamente.</t>
        </is>
      </c>
    </row>
    <row r="9" ht="44" customHeight="1">
      <c r="A9" s="9" t="inlineStr">
        <is>
          <t>Bombones y chocolate relleno</t>
        </is>
      </c>
      <c r="B9" s="38" t="inlineStr">
        <is>
          <t>No</t>
        </is>
      </c>
      <c r="C9" s="9" t="inlineStr">
        <is>
          <t>NO TIENEN LÍMITE PROPIO. Se les aplica la regla de los alimentos compuestos: el límite se calcula sobre los ingredientes que sí lo tienen y su proporción en el producto.</t>
        </is>
      </c>
    </row>
    <row r="10" ht="44" customHeight="1">
      <c r="A10" s="9" t="inlineStr">
        <is>
          <t>Turrones, figuras y confitería con cacao</t>
        </is>
      </c>
      <c r="B10" s="38" t="inlineStr">
        <is>
          <t>No</t>
        </is>
      </c>
      <c r="C10" s="9" t="inlineStr">
        <is>
          <t>Mismo caso que el bombón: alimento compuesto.</t>
        </is>
      </c>
    </row>
    <row r="11" ht="44" customHeight="1">
      <c r="A11" s="9" t="inlineStr">
        <is>
          <t>Chocolate a la taza en polvo</t>
        </is>
      </c>
      <c r="B11" s="38" t="inlineStr">
        <is>
          <t>No</t>
        </is>
      </c>
      <c r="C11" s="9" t="inlineStr">
        <is>
          <t>Los puntos 8 y 9 de la Directiva -el chocolate a la taza- quedan FUERA de la nota (14): alimento compuesto, art. 3 del Rgto. 2023/915. Distinto es el cacao en polvo vendido como tal, que sí tiene límite propio: míralo referencia a referencia con la denominación legal que le hayas dado en el libro 4.</t>
        </is>
      </c>
    </row>
    <row r="12"/>
    <row r="13">
      <c r="A13" s="4" t="inlineStr">
        <is>
          <t>TU SITUACIÓN</t>
        </is>
      </c>
      <c r="B13" s="10" t="inlineStr"/>
      <c r="C13" s="10" t="inlineStr"/>
    </row>
    <row r="14">
      <c r="A14" s="9" t="inlineStr">
        <is>
          <t>¿Importas grano de cacao o compras cobertura ya hecha?</t>
        </is>
      </c>
      <c r="B14" s="11" t="inlineStr">
        <is>
          <t>No</t>
        </is>
      </c>
      <c r="C14" s="5" t="inlineStr">
        <is>
          <t>Marca «Sí» sólo si importas GRANO. El grano y la fibra de cacao son donde aparecen los hidrocarburos aromáticos policíclicos, y quien importa grano es quien tiene que vigilarlos.</t>
        </is>
      </c>
    </row>
    <row r="15">
      <c r="A15" s="9" t="inlineStr">
        <is>
          <t>¿Tu proveedor te da boletín de análisis por lote?</t>
        </is>
      </c>
      <c r="B15" s="11" t="inlineStr">
        <is>
          <t>No lo sé</t>
        </is>
      </c>
      <c r="C15" s="5" t="inlineStr">
        <is>
          <t>Es la primera línea de defensa y la más barata: pídelo en el alta de cliente. Si te lo da, tu analítica propia pasa a ser una comprobación, no un control.</t>
        </is>
      </c>
    </row>
    <row r="16">
      <c r="A16" s="9" t="inlineStr">
        <is>
          <t>¿Vendes tableta o cacao en polvo como tal?</t>
        </is>
      </c>
      <c r="B16" s="11" t="inlineStr">
        <is>
          <t>Sí</t>
        </is>
      </c>
      <c r="C16" s="5" t="inlineStr">
        <is>
          <t>Si sólo vendes bombón relleno, ninguna de tus referencias tiene límite propio: se les aplica la regla de alimentos compuestos.</t>
        </is>
      </c>
    </row>
    <row r="17">
      <c r="A17" s="9" t="inlineStr">
        <is>
          <t>Lotes de cobertura distintos que compras al año</t>
        </is>
      </c>
      <c r="B17" s="13" t="n">
        <v>6</v>
      </c>
      <c r="C17" s="5" t="inlineStr">
        <is>
          <t>SUPUESTO sembrado. Cuenta orígenes y proveedores distintos, no palés: lo que cambia el riesgo es el origen del cacao.</t>
        </is>
      </c>
    </row>
    <row r="18">
      <c r="A18" s="9" t="inlineStr">
        <is>
          <t>Analíticas propias que decides hacer al año</t>
        </is>
      </c>
      <c r="B18" s="13" t="n">
        <v>1</v>
      </c>
      <c r="C18" s="5" t="inlineStr">
        <is>
          <t>LO DECIDES TÚ, y va en tu plan de APPCC. La norma no fija una frecuencia de muestreo para un obrador minorista: fija un límite que no se puede superar al comercializar.</t>
        </is>
      </c>
    </row>
    <row r="19">
      <c r="A19" s="9" t="inlineStr">
        <is>
          <t>Coste de cada analítica de metales pesados (€)</t>
        </is>
      </c>
      <c r="B19" s="39" t="n">
        <v>90</v>
      </c>
      <c r="C19" s="5" t="inlineStr">
        <is>
          <t>SUPUESTO sembrado: pide presupuesto a un laboratorio acreditado de tu provincia. Cambia mucho según cuántos parámetros metas en el mismo boletín.</t>
        </is>
      </c>
    </row>
    <row r="20"/>
    <row r="21">
      <c r="A21" s="4" t="inlineStr">
        <is>
          <t>LO QUE SALE DE AHÍ</t>
        </is>
      </c>
      <c r="B21" s="10" t="inlineStr"/>
      <c r="C21" s="10" t="inlineStr"/>
    </row>
    <row r="22">
      <c r="A22" s="8" t="inlineStr">
        <is>
          <t>Analíticas al año</t>
        </is>
      </c>
      <c r="B22" s="26">
        <f>IFERROR(B18,"")</f>
        <v>1.0</v>
      </c>
    </row>
    <row r="23">
      <c r="A23" s="8" t="inlineStr">
        <is>
          <t>Coste anual de analíticas (€)</t>
        </is>
      </c>
      <c r="B23" s="40">
        <f>IFERROR(B18*B19,"")</f>
        <v>90.0</v>
      </c>
      <c r="C23" s="5" t="inlineStr">
        <is>
          <t>Es una partida de gasto fijo del libro 7, pequeña y fácil de olvidar hasta que hace falta enseñar un boletín.</t>
        </is>
      </c>
    </row>
    <row r="24">
      <c r="A24" s="9" t="inlineStr">
        <is>
          <t>Lotes cubiertos por tus analíticas (%)</t>
        </is>
      </c>
      <c r="B24" s="41">
        <f>IFERROR(IF(B17=0,"",B18/B17),"")</f>
        <v>0.16666666666666666</v>
      </c>
      <c r="C24" s="5" t="inlineStr">
        <is>
          <t>Si tu proveedor te da boletín por lote, este porcentaje no tiene que ser el 100 %: tu analítica es la comprobación, la suya es el control.</t>
        </is>
      </c>
    </row>
    <row r="25" ht="44" customHeight="1">
      <c r="A25" s="8" t="inlineStr">
        <is>
          <t>VEREDICTO</t>
        </is>
      </c>
      <c r="B25" s="27" t="str">
        <f>IFERROR(IF(B14="Sí","Importas grano: te tocan cadmio Y hidrocarburos, y eres tú quien responde de lo que introduce",IF(B15="Sí","Tu proveedor te da boletín: con una analítica propia de comprobación al año cubres tu parte","Sin boletín del proveedor, la analítica propia es tu única prueba: pídesela a él antes de pagarla tú")),"")</f>
        <v>Sin boletín del proveedor, la analítica propia es tu única prueba: pídesela a él antes de pagarla tú</v>
      </c>
    </row>
    <row r="26" ht="40" customHeight="1">
      <c r="A26" s="9" t="inlineStr">
        <is>
          <t>Lo que la norma SÍ te obliga a hacer</t>
        </is>
      </c>
      <c r="B26" s="29" t="str">
        <f>IFERROR(IF(B25="","","No comercializar producto por encima del límite, no mezclar para diluir y no descontaminar por vías no autorizadas. La frecuencia del muestreo la decides tú en tu APPCC"),"")</f>
        <v>No comercializar producto por encima del límite, no mezclar para diluir y no descontaminar por vías no autorizadas. La frecuencia del muestreo la decides tú en tu APPCC</v>
      </c>
    </row>
    <row r="27"/>
    <row r="28">
      <c r="A28" s="4" t="inlineStr">
        <is>
          <t>LOS OTROS DOS CONTAMINANTES DEL CACAO</t>
        </is>
      </c>
      <c r="B28" s="10" t="inlineStr"/>
      <c r="C28" s="10" t="inlineStr"/>
    </row>
    <row r="29" ht="34" customHeight="1">
      <c r="A29" s="9" t="inlineStr">
        <is>
          <t>Ocratoxina A</t>
        </is>
      </c>
      <c r="B29" s="29" t="str">
        <f>IFERROR("Tiene su propio límite en el mismo reglamento: pregúntalo en el mismo boletín, no cuesta más","")</f>
        <v>Tiene su propio límite en el mismo reglamento: pregúntalo en el mismo boletín, no cuesta más</v>
      </c>
    </row>
    <row r="30" ht="34" customHeight="1">
      <c r="A30" s="9" t="inlineStr">
        <is>
          <t>Hidrocarburos aromáticos policíclicos (HAP)</t>
        </is>
      </c>
      <c r="B30" s="29" t="str">
        <f>IFERROR(IF(B14="Sí","Te tocan: aparecen en el GRANO y en la fibra de cacao","Si compras cobertura ya hecha, el control es de quien tuesta: pídele el boletín"),"")</f>
        <v>Si compras cobertura ya hecha, el control es de quien tuesta: pídele el boletín</v>
      </c>
    </row>
    <row r="31"/>
    <row r="32" ht="60" customHeight="1">
      <c r="A32" s="5" t="inlineStr">
        <is>
          <t>LA TRAMPA DE ESTA HOJA, Y ES CARA: lo que es chocolate para la denominación no lo es para los contaminantes. La nota que fija el límite de cadmio remite SÓLO a tres puntos -cacao en polvo, chocolate y chocolate con leche-, así que tu bombón relleno no tiene un límite propio: se le aplica la regla de los alimentos compuestos. Está PROHIBIDO que nadie te diga «tu bombón tiene un límite de cadmio de X».</t>
        </is>
      </c>
    </row>
    <row r="33" ht="48" customHeight="1">
      <c r="A33" s="5" t="inlineStr">
        <is>
          <t>Este producto NO publica los valores numéricos de los límites a propósito: están en el Anexo I del reglamento, cambian, y lo que tienes que mirar es la fila que le corresponde a TU referencia con la denominación legal que le hayas dado en el libro 4. El enlace al texto consolidado está en el comentario de las celdas de esta hoja.</t>
        </is>
      </c>
    </row>
    <row r="34" ht="44" customHeight="1">
      <c r="A34" s="5" t="inlineStr">
        <is>
          <t>Y una lectura práctica: el boletín del proveedor es más barato y más frecuente que tu analítica. Pídelo en el alta de cliente, que es cuando tienes fuerza para pedirlo. La columna está en la hoja «Proveedores y EUDR» del libro «checklist-equipamiento-y-proveedores-cacao.xlsx».</t>
        </is>
      </c>
    </row>
    <row r="35"/>
    <row r="36"/>
    <row r="37">
      <c r="A37" s="4" t="inlineStr">
        <is>
          <t>Listas de validación (no las borres: las usan los desplegables)</t>
        </is>
      </c>
    </row>
    <row r="38">
      <c r="A38" s="23" t="inlineStr">
        <is>
          <t>Sí, No o No lo sé</t>
        </is>
      </c>
    </row>
    <row r="39">
      <c r="A39" t="inlineStr">
        <is>
          <t>Sí</t>
        </is>
      </c>
    </row>
    <row r="40">
      <c r="A40" t="inlineStr">
        <is>
          <t>No</t>
        </is>
      </c>
    </row>
    <row r="41">
      <c r="A41" t="inlineStr">
        <is>
          <t>No lo sé</t>
        </is>
      </c>
    </row>
  </sheetData>
  <sheetProtection selectLockedCells="0" selectUnlockedCells="0" sheet="1" objects="0" insertRows="0" insertHyperlinks="1" autoFilter="1" scenarios="0" formatColumns="0" deleteColumns="1" insertColumns="1" pivotTables="1" deleteRows="1" formatCells="1" formatRows="0" sort="0"/>
  <mergeCells count="8">
    <mergeCell ref="A32:C32"/>
    <mergeCell ref="B25:C25"/>
    <mergeCell ref="B26:C26"/>
    <mergeCell ref="B29:C29"/>
    <mergeCell ref="A34:C34"/>
    <mergeCell ref="A3:C3"/>
    <mergeCell ref="B30:C30"/>
    <mergeCell ref="A33:C33"/>
  </mergeCells>
  <conditionalFormatting sqref="B7:B11">
    <cfRule type="cellIs" priority="1" operator="equal" dxfId="0" stopIfTrue="1">
      <formula>"Sí"</formula>
    </cfRule>
    <cfRule type="cellIs" priority="2" operator="equal" dxfId="2" stopIfTrue="1">
      <formula>"No"</formula>
    </cfRule>
  </conditionalFormatting>
  <dataValidations count="1">
    <dataValidation sqref="B14 B15 B16" showDropDown="0" showInputMessage="0" showErrorMessage="1" allowBlank="0" errorTitle="Marca Sí, No o No lo sé" error="Elige una de las tres opciones de la lista del pie." type="list">
      <formula1>=$A$39:$A$41</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C38"/>
  <sheetViews>
    <sheetView workbookViewId="0">
      <pane ySplit="3" topLeftCell="A4" activePane="bottomLeft" state="frozen"/>
      <selection pane="bottomLeft" activeCell="A1" sqref="A1"/>
    </sheetView>
  </sheetViews>
  <sheetFormatPr baseColWidth="8" defaultRowHeight="15"/>
  <cols>
    <col width="58" customWidth="1" min="1" max="1"/>
    <col width="26" customWidth="1" min="2" max="2"/>
    <col width="104" customWidth="1" min="3" max="3"/>
  </cols>
  <sheetData>
    <row r="1" ht="28" customHeight="1">
      <c r="A1" s="1" t="inlineStr">
        <is>
          <t>EUDR: Tu Papel en la Cadena y Qué Fecha te Corre</t>
        </is>
      </c>
    </row>
    <row r="2">
      <c r="A2" t="inlineStr">
        <is>
          <t>AI Chef Pro · aichef.pro — Cómo Montar una Chocolatería</t>
        </is>
      </c>
    </row>
    <row r="3" ht="26" customHeight="1">
      <c r="A3" s="5" t="inlineStr">
        <is>
          <t>Cuatro preguntas. La norma más viva de todas las que tocan a este negocio, y por eso la hoja lleva DENTRO su fecha de revisión.</t>
        </is>
      </c>
    </row>
    <row r="4"/>
    <row r="5">
      <c r="A5" s="4" t="inlineStr">
        <is>
          <t>FECHA DE REVISIÓN DE ESTA HOJA</t>
        </is>
      </c>
      <c r="B5" s="10" t="inlineStr"/>
      <c r="C5" s="10" t="inlineStr"/>
    </row>
    <row r="6">
      <c r="A6" s="23" t="inlineStr">
        <is>
          <t>Verificado contra el texto consolidado el</t>
        </is>
      </c>
      <c r="B6" s="38" t="inlineStr">
        <is>
          <t>12-09-2026</t>
        </is>
      </c>
      <c r="C6" s="5" t="inlineStr">
        <is>
          <t>Comprueba el estado del EUDR ANTES de comprar cacao. El calendario de esta norma se ha movido más de una vez, y lo que aquí se afirma está fechado a propósito para que sepas cuándo deja de ser fiable.</t>
        </is>
      </c>
    </row>
    <row r="7">
      <c r="A7" s="23" t="inlineStr">
        <is>
          <t>La última vez que lo comprobaste TÚ</t>
        </is>
      </c>
      <c r="B7" s="14" t="n">
        <v>46277</v>
      </c>
    </row>
    <row r="8">
      <c r="A8" s="23" t="inlineStr">
        <is>
          <t>Cada cuántos meses quieres revisarlo</t>
        </is>
      </c>
      <c r="B8" s="13" t="n">
        <v>6</v>
      </c>
      <c r="C8" s="5" t="inlineStr">
        <is>
          <t>SUPUESTO. Seis meses es razonable mientras la norma siga moviéndose; si compras cacao dos veces al año, revísalo antes de cada compra.</t>
        </is>
      </c>
    </row>
    <row r="9">
      <c r="A9" s="8" t="inlineStr">
        <is>
          <t>Fecha en la que toca volver a mirarlo</t>
        </is>
      </c>
      <c r="B9" s="42">
        <f>IFERROR(DATE(YEAR(B7),MONTH(B7)+B8,DAY(B7)),"")</f>
        <v>46458.0</v>
      </c>
      <c r="C9" s="5" t="inlineStr">
        <is>
          <t>Apúntala en el calendario. Es la única hoja de todo el producto que caduca sola.</t>
        </is>
      </c>
    </row>
    <row r="10"/>
    <row r="11">
      <c r="A11" s="4" t="inlineStr">
        <is>
          <t>LAS CUATRO PREGUNTAS</t>
        </is>
      </c>
      <c r="B11" s="10" t="inlineStr"/>
      <c r="C11" s="10" t="inlineStr"/>
    </row>
    <row r="12">
      <c r="A12" s="9" t="inlineStr">
        <is>
          <t>¿De dónde viene tu cacao?</t>
        </is>
      </c>
      <c r="B12" s="6" t="inlineStr">
        <is>
          <t>Compro cobertura ya comercializada en la UE</t>
        </is>
      </c>
      <c r="C12" s="5" t="inlineStr">
        <is>
          <t>El Anexo I incluye la partida 1806, «chocolate y demás preparaciones alimenticias que contengan cacao», así que el producto terminado está dentro. Y el reglamento cubre también la EXPORTACIÓN.</t>
        </is>
      </c>
    </row>
    <row r="13">
      <c r="A13" s="9" t="inlineStr">
        <is>
          <t>¿Tu cobertura llega amparada por una declaración de diligencia debida?</t>
        </is>
      </c>
      <c r="B13" s="6" t="inlineStr">
        <is>
          <t>No lo sé</t>
        </is>
      </c>
      <c r="C13" s="5" t="inlineStr">
        <is>
          <t>Pregúntaselo a tu proveedor por escrito: es la condición de la que cuelga todo lo demás. Si no está amparada (compra anterior al EUDR, o proveedor que no lo acredita), tu calificación deja de ser automática.</t>
        </is>
      </c>
    </row>
    <row r="14">
      <c r="A14" s="9" t="inlineStr">
        <is>
          <t>¿Exportas producto fuera de la Unión Europea?</t>
        </is>
      </c>
      <c r="B14" s="6" t="inlineStr">
        <is>
          <t>No</t>
        </is>
      </c>
      <c r="C14" s="5" t="inlineStr">
        <is>
          <t>Exportar también está sujeto. Un pedido corporativo a una filial fuera de la Unión cuenta.</t>
        </is>
      </c>
    </row>
    <row r="15">
      <c r="A15" s="9" t="inlineStr">
        <is>
          <t>¿Eres persona física, microempresa o pequeña empresa, y estabas establecida como tal a 31 de diciembre de 2024?</t>
        </is>
      </c>
      <c r="B15" s="6" t="inlineStr">
        <is>
          <t>No</t>
        </is>
      </c>
      <c r="C15" s="5" t="inlineStr">
        <is>
          <t>Esta pregunta sólo cambia algo si además eres OPERADOR: el aplazamiento del art. 38.3 es para operadores, y el art. 2.15 excluye de esa palabra a los operadores posteriores.</t>
        </is>
      </c>
    </row>
    <row r="16"/>
    <row r="17">
      <c r="A17" s="4" t="inlineStr">
        <is>
          <t>TU PAPEL, TU FECHA Y TUS PAPELES</t>
        </is>
      </c>
      <c r="B17" s="10" t="inlineStr"/>
      <c r="C17" s="10" t="inlineStr"/>
    </row>
    <row r="18" ht="52" customHeight="1">
      <c r="A18" s="8" t="inlineStr">
        <is>
          <t>Tu papel en la cadena</t>
        </is>
      </c>
      <c r="B18" s="27" t="str">
        <f>IFERROR(IF(OR($B$12=$B$37,$B$12=$B$38),"OPERADOR: importas grano, así que haces la primera comercialización en el mercado de la Unión",IF($B$14="Sí","OPERADOR: exportar también está sujeto",IF($B$13="Sí","OPERADOR POSTERIOR (art. 2.15 ter)","Sin resolver: pregunta a tu proveedor si tu cobertura está amparada por una declaración"))),"")</f>
        <v>Sin resolver: pregunta a tu proveedor si tu cobertura está amparada por una declaración</v>
      </c>
    </row>
    <row r="19" ht="52" customHeight="1">
      <c r="A19" s="8" t="inlineStr">
        <is>
          <t>La fecha que te corre</t>
        </is>
      </c>
      <c r="B19" s="27" t="str">
        <f>IFERROR(IF($B$18="","",IF(LEFT($B$18,18)="OPERADOR POSTERIOR","30 de diciembre de 2026",IF($B$18="Sin resolver: pregunta a tu proveedor si tu cobertura está amparada por una declaración","Sin resolver: primero aclara tu papel",IF($B$15="Sí","30 de junio de 2027 SI confirmas que el aplazamiento del art. 38.3 te alcanza; si no, 30 de diciembre de 2026","30 de diciembre de 2026")))),"")</f>
        <v>Sin resolver: primero aclara tu papel</v>
      </c>
    </row>
    <row r="20" ht="52" customHeight="1">
      <c r="A20" s="9" t="inlineStr">
        <is>
          <t>Lo que te toca</t>
        </is>
      </c>
      <c r="B20" s="29" t="str">
        <f>IFERROR(IF($B$18="","",IF(LEFT($B$18,18)="OPERADOR POSTERIOR","Recoger y conservar los números de referencia de las declaraciones de tus proveedores que sean OPERADORES, y registrar a quién suministras tú",IF(LEFT($B$18,8)="OPERADOR","Diligencia debida COMPLETA antes de introducir en el mercado, declaración presentada previamente, asunción de responsabilidad y registro de las declaraciones durante cinco años","Primero aclara tu papel: sin eso no se sabe qué te toca"))),"")</f>
        <v>Primero aclara tu papel: sin eso no se sabe qué te toca</v>
      </c>
    </row>
    <row r="21" ht="52" customHeight="1">
      <c r="A21" s="9" t="inlineStr">
        <is>
          <t>Y esto va DECLARADO, no como nivel A</t>
        </is>
      </c>
      <c r="B21" s="29" t="str">
        <f>IFERROR(IF(B18="","","El paso «una chocolatería que compra cobertura es operador posterior, así que el aplazamiento del art. 38.3 no le alcanza» es una INFERENCIA nuestra, con el art. 2.15 ter como condición. Si tu cobertura NO está amparada, la calificación "&amp;"deja de ser automática y hay que revisarla"),"")</f>
        <v>El paso «una chocolatería que compra cobertura es operador posterior, así que el aplazamiento del art. 38.3 no le alcanza» es una INFERENCIA nuestra, con el art. 2.15 ter como condición. Si tu cobertura NO está amparada, la calificación deja de ser automática y hay que revisarla</v>
      </c>
    </row>
    <row r="22"/>
    <row r="23">
      <c r="A23" s="4" t="inlineStr">
        <is>
          <t>LOS TRES PAPELES, Y QUÉ LE PIDES A CADA PROVEEDOR</t>
        </is>
      </c>
      <c r="B23" s="10" t="inlineStr"/>
      <c r="C23" s="10" t="inlineStr"/>
    </row>
    <row r="24" ht="26" customHeight="1">
      <c r="A24" s="7" t="inlineStr">
        <is>
          <t>Papel</t>
        </is>
      </c>
      <c r="B24" s="7" t="inlineStr">
        <is>
          <t>¿Le pides el nº de DDS?</t>
        </is>
      </c>
      <c r="C24" s="7" t="inlineStr">
        <is>
          <t>Qué significa</t>
        </is>
      </c>
    </row>
    <row r="25" ht="62" customHeight="1">
      <c r="A25" s="23" t="inlineStr">
        <is>
          <t>operador</t>
        </is>
      </c>
      <c r="B25" s="38" t="inlineStr">
        <is>
          <t>Sí</t>
        </is>
      </c>
      <c r="C25" s="9" t="inlineStr">
        <is>
          <t>Hace la PRIMERA comercialización en el mercado de la Unión, o exporta. Si es tu caso -por ejemplo, importas grano para bean-to-bar-, te toca diligencia debida COMPLETA antes de introducir en el mercado, declaración presentada previamente, asunción de responsabilidad y registro de las declaraciones durante cinco años (CHN-25). A ESTE proveedor SI hay que pedirle el número de referencia de su DDS.</t>
        </is>
      </c>
    </row>
    <row r="26" ht="62" customHeight="1">
      <c r="A26" s="23" t="inlineStr">
        <is>
          <t>operador posterior</t>
        </is>
      </c>
      <c r="B26" s="38" t="inlineStr">
        <is>
          <t>No</t>
        </is>
      </c>
      <c r="C26" s="9" t="inlineStr">
        <is>
          <t>Introduce en el mercado productos elaborados con otros productos YA amparados por una declaración de diligencia debida (CHN-23, art. 2.15 ter). Es lo que normalmente será una chocolatería que compra cobertura ya comercializada en la UE. A este NO se le pide el número de DDS por el art. 5.3.a).</t>
        </is>
      </c>
    </row>
    <row r="27" ht="62" customHeight="1">
      <c r="A27" s="23" t="inlineStr">
        <is>
          <t>comerciante</t>
        </is>
      </c>
      <c r="B27" s="38" t="inlineStr">
        <is>
          <t>No</t>
        </is>
      </c>
      <c r="C27" s="9" t="inlineStr">
        <is>
          <t>Ni introduce ni exporta: comercia dentro. Tampoco se le pide el número de DDS.</t>
        </is>
      </c>
    </row>
    <row r="28"/>
    <row r="29" ht="92" customHeight="1">
      <c r="A29" s="5" t="inlineStr">
        <is>
          <t>REDACCION OBLIGATORIA, y el paso es INFERENCIA DECLARADA, no nivel A: «si tu cobertura llega ya comercializada en la UE y amparada por una declaración de diligencia debida, eres operador posterior (art. 2.15 ter) y el aplazamiento del art. 38.3 -que es para operadores- no te alcanza: tu fecha es el 30 de diciembre de 2026. Si tu cobertura NO esta amparada (compra anterior al EUDR, proveedor que no lo acredita), la calificación deja de ser automática y hay que revisarla». Están PROHIBIDAS «siempre eres operador posterior» y «tu fecha es el 30-12-2026 pase lo que pase». Y la exclusión de los operadores posteriores del punto 15 se PARAFRASEA, no se entrecomilla: consta en la nota de `CHN-22`, no entre las 81 citas del gate de literalidad. Verificado a 12-09-2026: comprueba el estado del EUDR antes de comprar cacao.</t>
        </is>
      </c>
    </row>
    <row r="30" ht="52" customHeight="1">
      <c r="A30" s="5" t="inlineStr">
        <is>
          <t>EL NÚMERO DE LA DDS NO SE LE PIDE A TODO EL MUNDO. El art. 5.3 obliga a guardar los datos de todos tus proveedores, pero los números de referencia de las declaraciones «únicamente en el caso de que su proveedor sea un operador». El árbol que lo resuelve proveedor a proveedor está en la hoja «Proveedores y EUDR» del libro «checklist-equipamiento-y-proveedores-cacao».</t>
        </is>
      </c>
    </row>
    <row r="31" ht="44" customHeight="1">
      <c r="A31" s="5" t="inlineStr">
        <is>
          <t>Y la otra mitad del mismo artículo obliga a registrar a los operadores posteriores y comerciantes A LOS QUE TÚ SUMINISTRAS, y a conservarlo cinco años: ésa es la hoja «Clientes a los que Suministras» del mismo libro. Está PROHIBIDO escribir «basta con registrar a tus proveedores».</t>
        </is>
      </c>
    </row>
    <row r="32"/>
    <row r="33"/>
    <row r="34">
      <c r="A34" s="4" t="inlineStr">
        <is>
          <t>Listas de validación (no las borres: las usan los desplegables)</t>
        </is>
      </c>
    </row>
    <row r="35">
      <c r="A35" s="23" t="inlineStr">
        <is>
          <t>Sí, No o No lo sé</t>
        </is>
      </c>
      <c r="B35" s="23" t="inlineStr">
        <is>
          <t>De dónde viene tu cacao</t>
        </is>
      </c>
    </row>
    <row r="36">
      <c r="A36" t="inlineStr">
        <is>
          <t>Sí</t>
        </is>
      </c>
      <c r="B36" t="inlineStr">
        <is>
          <t>Compro cobertura ya comercializada en la UE</t>
        </is>
      </c>
    </row>
    <row r="37">
      <c r="A37" t="inlineStr">
        <is>
          <t>No</t>
        </is>
      </c>
      <c r="B37" t="inlineStr">
        <is>
          <t>Importo grano de cacao de fuera de la UE</t>
        </is>
      </c>
    </row>
    <row r="38">
      <c r="A38" t="inlineStr">
        <is>
          <t>No lo sé</t>
        </is>
      </c>
      <c r="B38" t="inlineStr">
        <is>
          <t>Compro cobertura y además importo grano</t>
        </is>
      </c>
    </row>
  </sheetData>
  <sheetProtection selectLockedCells="0" selectUnlockedCells="0" sheet="1" objects="0" insertRows="0" insertHyperlinks="1" autoFilter="1" scenarios="0" formatColumns="0" deleteColumns="1" insertColumns="1" pivotTables="1" deleteRows="1" formatCells="1" formatRows="0" sort="0"/>
  <mergeCells count="8">
    <mergeCell ref="B20:C20"/>
    <mergeCell ref="B19:C19"/>
    <mergeCell ref="B21:C21"/>
    <mergeCell ref="A30:C30"/>
    <mergeCell ref="A29:C29"/>
    <mergeCell ref="A3:C3"/>
    <mergeCell ref="B18:C18"/>
    <mergeCell ref="A31:C31"/>
  </mergeCells>
  <conditionalFormatting sqref="B25:B27">
    <cfRule type="cellIs" priority="1" operator="equal" dxfId="0" stopIfTrue="1">
      <formula>"Sí"</formula>
    </cfRule>
    <cfRule type="cellIs" priority="2" operator="equal" dxfId="2" stopIfTrue="1">
      <formula>"No"</formula>
    </cfRule>
  </conditionalFormatting>
  <dataValidations count="3">
    <dataValidation sqref="B7" showDropDown="0" showInputMessage="0" showErrorMessage="1" allowBlank="1" errorTitle="Fecha no válida" error="Escribe una fecha (dd/mm/aaaa) entre 2020 y 2040." type="date" operator="between">
      <formula1>DATE(2020,1,1)</formula1>
      <formula2>DATE(2040,12,31)</formula2>
    </dataValidation>
    <dataValidation sqref="B12" showDropDown="0" showInputMessage="0" showErrorMessage="1" allowBlank="0" errorTitle="Elige el origen de tu cacao" error="Elige una de las tres opciones de la lista del pie." type="list">
      <formula1>=$B$36:$B$38</formula1>
    </dataValidation>
    <dataValidation sqref="B13 B14 B15" showDropDown="0" showInputMessage="0" showErrorMessage="1" allowBlank="0" errorTitle="Marca Sí, No o No lo sé" error="Elige una de las tres opciones de la lista del pie." type="list">
      <formula1>=$A$36:$A$38</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I3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2" customWidth="1" min="3" max="3"/>
    <col width="16" customWidth="1" min="4" max="4"/>
    <col width="40" customWidth="1" min="5" max="5"/>
    <col width="16" customWidth="1" min="6" max="6"/>
    <col width="16" customWidth="1" min="7" max="7"/>
    <col width="22" customWidth="1" min="8" max="8"/>
    <col width="78" customWidth="1" min="9" max="9"/>
  </cols>
  <sheetData>
    <row r="1" ht="28" customHeight="1">
      <c r="A1" s="1" t="inlineStr">
        <is>
          <t>Registro de Formación del Personal</t>
        </is>
      </c>
    </row>
    <row r="2">
      <c r="A2" t="inlineStr">
        <is>
          <t>AI Chef Pro · aichef.pro — Cómo Montar una Chocolatería</t>
        </is>
      </c>
    </row>
    <row r="3" ht="26" customHeight="1">
      <c r="A3" s="5" t="inlineStr">
        <is>
          <t>El «carnet de manipulador» no existe. Lo que la norma exige es que la EMPRESA garantice la formación de cada persona de acuerdo con su actividad laboral y pueda ACREDITARLA. Eso es esta tabla.</t>
        </is>
      </c>
    </row>
    <row r="4"/>
    <row r="5">
      <c r="A5" s="4" t="inlineStr">
        <is>
          <t>Una línea por persona</t>
        </is>
      </c>
    </row>
    <row r="6" ht="30" customHeight="1">
      <c r="A6" s="7" t="inlineStr">
        <is>
          <t>Nº</t>
        </is>
      </c>
      <c r="B6" s="7" t="inlineStr">
        <is>
          <t>Persona</t>
        </is>
      </c>
      <c r="C6" s="7" t="inlineStr">
        <is>
          <t>Perfil</t>
        </is>
      </c>
      <c r="D6" s="7" t="inlineStr">
        <is>
          <t>Jornada</t>
        </is>
      </c>
      <c r="E6" s="7" t="inlineStr">
        <is>
          <t>Contenido de la formación</t>
        </is>
      </c>
      <c r="F6" s="7" t="inlineStr">
        <is>
          <t>Fecha de la formación</t>
        </is>
      </c>
      <c r="G6" s="7" t="inlineStr">
        <is>
          <t>Caduca el</t>
        </is>
      </c>
      <c r="H6" s="7" t="inlineStr">
        <is>
          <t>Estado</t>
        </is>
      </c>
      <c r="I6" s="7" t="inlineStr">
        <is>
          <t>Notas</t>
        </is>
      </c>
    </row>
    <row r="7" ht="28" customHeight="1">
      <c r="A7" s="24" t="n">
        <v>1</v>
      </c>
      <c r="B7" s="6" t="inlineStr">
        <is>
          <t>Persona 1 (Encargado)</t>
        </is>
      </c>
      <c r="C7" s="6" t="inlineStr">
        <is>
          <t>Encargado</t>
        </is>
      </c>
      <c r="D7" s="9" t="inlineStr">
        <is>
          <t>Partido (08:00-13:00 y 17:00-20:00)</t>
        </is>
      </c>
      <c r="E7" s="43" t="inlineStr">
        <is>
          <t>Higiene, alérgenos y trazabilidad aplicados al obrador</t>
        </is>
      </c>
      <c r="F7" s="14" t="n">
        <v>46277</v>
      </c>
      <c r="G7" s="44">
        <f>IFERROR(IF($B7="(libre: añade aquí a tu persona)","",DATE(YEAR($F7),MONTH($F7)+$C$15,DAY($F7))),"")</f>
        <v>47008.0</v>
      </c>
      <c r="H7" s="23" t="str">
        <f>IFERROR(IF($B7="(libre: añade aquí a tu persona)","",IF($G7&lt;$C$16,"CADUCADA",IF($G7&lt;$C$16+$C$17,"Caduca pronto","Vigente"))),"")</f>
        <v>Vigente</v>
      </c>
      <c r="I7" s="9" t="inlineStr"/>
    </row>
    <row r="8" ht="28" customHeight="1">
      <c r="A8" s="24" t="n">
        <v>2</v>
      </c>
      <c r="B8" s="6" t="inlineStr">
        <is>
          <t>Persona 2 (Chocolatero)</t>
        </is>
      </c>
      <c r="C8" s="6" t="inlineStr">
        <is>
          <t>Chocolatero</t>
        </is>
      </c>
      <c r="D8" s="9" t="inlineStr">
        <is>
          <t>Mañana (07:00-15:00)</t>
        </is>
      </c>
      <c r="E8" s="43" t="inlineStr">
        <is>
          <t>Higiene, alérgenos y trazabilidad aplicados al obrador</t>
        </is>
      </c>
      <c r="F8" s="14" t="n">
        <v>46277</v>
      </c>
      <c r="G8" s="44">
        <f>IFERROR(IF($B8="(libre: añade aquí a tu persona)","",DATE(YEAR($F8),MONTH($F8)+$C$15,DAY($F8))),"")</f>
        <v>47008.0</v>
      </c>
      <c r="H8" s="23" t="str">
        <f>IFERROR(IF($B8="(libre: añade aquí a tu persona)","",IF($G8&lt;$C$16,"CADUCADA",IF($G8&lt;$C$16+$C$17,"Caduca pronto","Vigente"))),"")</f>
        <v>Vigente</v>
      </c>
      <c r="I8" s="9" t="inlineStr"/>
    </row>
    <row r="9" ht="28" customHeight="1">
      <c r="A9" s="24" t="n">
        <v>3</v>
      </c>
      <c r="B9" s="6" t="inlineStr">
        <is>
          <t>Persona 3 (Dependiente)</t>
        </is>
      </c>
      <c r="C9" s="6" t="inlineStr">
        <is>
          <t>Dependiente</t>
        </is>
      </c>
      <c r="D9" s="9" t="inlineStr">
        <is>
          <t>Tarde (16:30-20:30)</t>
        </is>
      </c>
      <c r="E9" s="43" t="inlineStr">
        <is>
          <t>Higiene, alérgenos y trazabilidad aplicados a la tienda</t>
        </is>
      </c>
      <c r="F9" s="14" t="n">
        <v>46277</v>
      </c>
      <c r="G9" s="44">
        <f>IFERROR(IF($B9="(libre: añade aquí a tu persona)","",DATE(YEAR($F9),MONTH($F9)+$C$15,DAY($F9))),"")</f>
        <v>47008.0</v>
      </c>
      <c r="H9" s="23" t="str">
        <f>IFERROR(IF($B9="(libre: añade aquí a tu persona)","",IF($G9&lt;$C$16,"CADUCADA",IF($G9&lt;$C$16+$C$17,"Caduca pronto","Vigente"))),"")</f>
        <v>Vigente</v>
      </c>
      <c r="I9" s="9" t="inlineStr"/>
    </row>
    <row r="10" ht="28" customHeight="1">
      <c r="A10" s="24" t="n">
        <v>4</v>
      </c>
      <c r="B10" s="6" t="inlineStr">
        <is>
          <t>(libre: añade aquí a tu persona)</t>
        </is>
      </c>
      <c r="C10" s="6" t="inlineStr">
        <is>
          <t>Chocolatero</t>
        </is>
      </c>
      <c r="D10" s="9" t="inlineStr">
        <is>
          <t>Pendiente</t>
        </is>
      </c>
      <c r="E10" s="43" t="inlineStr">
        <is>
          <t>Pendiente</t>
        </is>
      </c>
      <c r="F10" s="14" t="n">
        <v>46277</v>
      </c>
      <c r="G10" s="44">
        <f>IFERROR(IF($B10="(libre: añade aquí a tu persona)","",DATE(YEAR($F10),MONTH($F10)+$C$15,DAY($F10))),"")</f>
        <v/>
      </c>
      <c r="H10" s="23">
        <f>IFERROR(IF($B10="(libre: añade aquí a tu persona)","",IF($G10&lt;$C$16,"CADUCADA",IF($G10&lt;$C$16+$C$17,"Caduca pronto","Vigente"))),"")</f>
        <v/>
      </c>
      <c r="I10" s="9" t="inlineStr"/>
    </row>
    <row r="11" ht="28" customHeight="1">
      <c r="A11" s="24" t="n">
        <v>5</v>
      </c>
      <c r="B11" s="6" t="inlineStr">
        <is>
          <t>(libre: añade aquí a tu persona)</t>
        </is>
      </c>
      <c r="C11" s="6" t="inlineStr">
        <is>
          <t>Chocolatero</t>
        </is>
      </c>
      <c r="D11" s="9" t="inlineStr">
        <is>
          <t>Pendiente</t>
        </is>
      </c>
      <c r="E11" s="43" t="inlineStr">
        <is>
          <t>Pendiente</t>
        </is>
      </c>
      <c r="F11" s="14" t="n">
        <v>46277</v>
      </c>
      <c r="G11" s="44">
        <f>IFERROR(IF($B11="(libre: añade aquí a tu persona)","",DATE(YEAR($F11),MONTH($F11)+$C$15,DAY($F11))),"")</f>
        <v/>
      </c>
      <c r="H11" s="23">
        <f>IFERROR(IF($B11="(libre: añade aquí a tu persona)","",IF($G11&lt;$C$16,"CADUCADA",IF($G11&lt;$C$16+$C$17,"Caduca pronto","Vigente"))),"")</f>
        <v/>
      </c>
      <c r="I11" s="9" t="inlineStr"/>
    </row>
    <row r="12" ht="28" customHeight="1">
      <c r="A12" s="24" t="n">
        <v>6</v>
      </c>
      <c r="B12" s="6" t="inlineStr">
        <is>
          <t>(libre: añade aquí a tu persona)</t>
        </is>
      </c>
      <c r="C12" s="6" t="inlineStr">
        <is>
          <t>Chocolatero</t>
        </is>
      </c>
      <c r="D12" s="9" t="inlineStr">
        <is>
          <t>Pendiente</t>
        </is>
      </c>
      <c r="E12" s="43" t="inlineStr">
        <is>
          <t>Pendiente</t>
        </is>
      </c>
      <c r="F12" s="14" t="n">
        <v>46277</v>
      </c>
      <c r="G12" s="44">
        <f>IFERROR(IF($B12="(libre: añade aquí a tu persona)","",DATE(YEAR($F12),MONTH($F12)+$C$15,DAY($F12))),"")</f>
        <v/>
      </c>
      <c r="H12" s="23">
        <f>IFERROR(IF($B12="(libre: añade aquí a tu persona)","",IF($G12&lt;$C$16,"CADUCADA",IF($G12&lt;$C$16+$C$17,"Caduca pronto","Vigente"))),"")</f>
        <v/>
      </c>
      <c r="I12" s="9" t="inlineStr"/>
    </row>
    <row r="13"/>
    <row r="14">
      <c r="A14" s="4" t="inlineStr">
        <is>
          <t>Parámetros de esta hoja</t>
        </is>
      </c>
    </row>
    <row r="15">
      <c r="A15" s="23" t="inlineStr">
        <is>
          <t>Validez que TÚ fijas (meses)</t>
        </is>
      </c>
      <c r="C15" s="13" t="n">
        <v>24</v>
      </c>
      <c r="I15" s="5" t="inlineStr">
        <is>
          <t>LA NORMA NO FIJA UNA CADUCIDAD, porque no hay carnet que caduque. Lo que hay es una obligación continua del empresario. Poner dos años es un criterio razonable de la casa para que el registro no se quede dormido; súbelo o bájalo, pero déjalo escrito en tu APPCC.</t>
        </is>
      </c>
    </row>
    <row r="16">
      <c r="A16" s="23" t="inlineStr">
        <is>
          <t>Fecha de control</t>
        </is>
      </c>
      <c r="C16" s="14" t="n">
        <v>46277</v>
      </c>
      <c r="I16" s="5" t="inlineStr">
        <is>
          <t>La fecha desde la que se mira si algo ha caducado. Ponla en «hoy» cada vez que revises el registro.</t>
        </is>
      </c>
    </row>
    <row r="17">
      <c r="A17" s="23" t="inlineStr">
        <is>
          <t>Aviso de «caduca pronto» (días antes)</t>
        </is>
      </c>
      <c r="C17" s="13" t="n">
        <v>60</v>
      </c>
      <c r="I17" s="5" t="inlineStr">
        <is>
          <t>SUPUESTO. Con cuánta antelación quieres que el registro te avise. Dos meses dan tiempo a organizar una sesión sin parar el obrador.</t>
        </is>
      </c>
    </row>
    <row r="18"/>
    <row r="19">
      <c r="A19" s="4" t="inlineStr">
        <is>
          <t>Resumen</t>
        </is>
      </c>
    </row>
    <row r="20">
      <c r="B20" s="8" t="inlineStr">
        <is>
          <t>Personas con formación registrada</t>
        </is>
      </c>
      <c r="C20" s="26">
        <f>SUMPRODUCT(--($B$7:$B$12&lt;&gt;"(libre: añade aquí a tu persona)"))</f>
        <v>3.0</v>
      </c>
    </row>
    <row r="21">
      <c r="B21" s="8" t="inlineStr">
        <is>
          <t>Formaciones CADUCADAS</t>
        </is>
      </c>
      <c r="C21" s="26">
        <f>IFERROR(COUNTIF(H7:H12,"CADUCADA"),"")</f>
        <v>0.0</v>
      </c>
      <c r="I21" s="5" t="inlineStr">
        <is>
          <t>Cada una de éstas es una persona trabajando sin la acreditación que la empresa tiene que poder enseñar.</t>
        </is>
      </c>
    </row>
    <row r="22">
      <c r="B22" s="8" t="inlineStr">
        <is>
          <t>Formaciones que caducan pronto</t>
        </is>
      </c>
      <c r="C22" s="26">
        <f>IFERROR(COUNTIF(H7:H12,"Caduca pronto"),"")</f>
        <v>0.0</v>
      </c>
    </row>
    <row r="23" ht="32" customHeight="1">
      <c r="B23" s="8" t="inlineStr">
        <is>
          <t>VEREDICTO</t>
        </is>
      </c>
      <c r="C23" s="27" t="str">
        <f>IFERROR(IF(C21&gt;0,"Tienes formación caducada: es lo primero que se pide en una inspección",IF(C22&gt;0,"Programa ya las que caducan pronto","Registro al día")),"")</f>
        <v>Registro al día</v>
      </c>
    </row>
    <row r="24"/>
    <row r="25" ht="48" customHeight="1">
      <c r="A25" s="5" t="inlineStr">
        <is>
          <t>EL CARNET DE MANIPULADOR NO EXISTE. Lo que existe es la obligación de la empresa de garantizar que cada persona tiene la formación que su puesto requiere y de poder acreditarlo. Quien te venda un «carnet» te está vendiendo un papel sin valor legal; lo que vale es este registro, con su contenido y su fecha.</t>
        </is>
      </c>
    </row>
    <row r="26" ht="40" customHeight="1">
      <c r="A26" s="5" t="inlineStr">
        <is>
          <t>Los tres perfiles que vienen sembrados son los del ejemplo del producto y llevan los nombres del Kit de Tareas Chocolatería (Chocolatero, Dependiente y Encargado), para que las dos cosas casen si tienes los dos. Las filas libres son para tu equipo real.</t>
        </is>
      </c>
    </row>
    <row r="27"/>
    <row r="28"/>
    <row r="29">
      <c r="A29" s="9" t="inlineStr">
        <is>
          <t>Diseñado por John Guerrero — chef y consultor gastronómico desde 2010, en cocina desde los 17 años.</t>
        </is>
      </c>
    </row>
    <row r="30">
      <c r="A30"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9">
    <mergeCell ref="A25:I25"/>
    <mergeCell ref="A30:C30"/>
    <mergeCell ref="A29:C29"/>
    <mergeCell ref="C23:H23"/>
    <mergeCell ref="A17:B17"/>
    <mergeCell ref="A15:B15"/>
    <mergeCell ref="A26:I26"/>
    <mergeCell ref="A16:B16"/>
    <mergeCell ref="A3:I3"/>
  </mergeCells>
  <conditionalFormatting sqref="H7:H12">
    <cfRule type="cellIs" priority="1" operator="equal" dxfId="1" stopIfTrue="1">
      <formula>"CADUCADA"</formula>
    </cfRule>
    <cfRule type="cellIs" priority="2" operator="equal" dxfId="0" stopIfTrue="1">
      <formula>"Caduca pronto"</formula>
    </cfRule>
    <cfRule type="cellIs" priority="3" operator="equal" dxfId="2" stopIfTrue="1">
      <formula>"Vigente"</formula>
    </cfRule>
  </conditionalFormatting>
  <conditionalFormatting sqref="C21">
    <cfRule type="expression" priority="4" dxfId="1" stopIfTrue="1">
      <formula>=AND(ISNUMBER($C$21),$C$21&gt;0)</formula>
    </cfRule>
  </conditionalFormatting>
  <conditionalFormatting sqref="C22">
    <cfRule type="expression" priority="5" dxfId="0" stopIfTrue="1">
      <formula>=AND(ISNUMBER($C$22),$C$22&gt;0)</formula>
    </cfRule>
  </conditionalFormatting>
  <dataValidations count="2">
    <dataValidation sqref="F7 F8 F9 F10 F11 F12" showDropDown="0" showInputMessage="0" showErrorMessage="1" allowBlank="1" errorTitle="Fecha no válida" error="Escribe una fecha (dd/mm/aaaa) entre 2020 y 2040." type="date" operator="between">
      <formula1>DATE(2020,1,1)</formula1>
      <formula2>DATE(2040,12,31)</formula2>
    </dataValidation>
    <dataValidation sqref="C1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Q89"/>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3" customWidth="1" min="16" max="16"/>
    <col width="88" customWidth="1" min="17" max="17"/>
  </cols>
  <sheetData>
    <row r="1" ht="28" customHeight="1">
      <c r="A1" s="1" t="inlineStr">
        <is>
          <t>Cronograma y Ruta Crítica de la Apertura</t>
        </is>
      </c>
    </row>
    <row r="2">
      <c r="A2" t="inlineStr">
        <is>
          <t>AI Chef Pro · aichef.pro — Cómo Montar una Chocolatería</t>
        </is>
      </c>
    </row>
    <row r="3" ht="26" customHeight="1">
      <c r="A3" s="5" t="inlineStr">
        <is>
          <t>Trece hitos con su duración y sus dependencias. Todo en MESES y con aritmética de índices: no hay ni una función de fecha, porque el calendario laboral no decide nada aquí.</t>
        </is>
      </c>
    </row>
    <row r="4"/>
    <row r="5">
      <c r="A5" t="inlineStr">
        <is>
          <t>Mes en que arranca el proyecto (1-12)</t>
        </is>
      </c>
      <c r="C5" s="13" t="n">
        <v>10</v>
      </c>
      <c r="Q5" s="5" t="inlineStr">
        <is>
          <t>El mes natural en el que das el primer paso. De aquí sale la fecha de apertura estimada, y por eso conviene probar dos o tres: mover el arranque dos meses puede meterte en Navidad o sacarte de ella. El ejemplo arranca en octubre para abrir el 1 de junio, que es mes de temporada media, con seis meses de rodaje antes de Navidad y con el valle de agosto dentro del arranque, que es cuando sale barato.</t>
        </is>
      </c>
    </row>
    <row r="6">
      <c r="A6" t="inlineStr">
        <is>
          <t>Valor centinela de la matriz de dependencias (meses)</t>
        </is>
      </c>
      <c r="C6" s="24" t="n">
        <v>999</v>
      </c>
      <c r="Q6" s="5" t="inlineStr">
        <is>
          <t>Truco de cálculo, no un dato: en la matriz de dependencias las casillas que no aplican llevan este número en vez de quedarse vacías, para que MIN pueda trabajar sólo con números. El formato lo esconde. Por eso NO está en verde: si alguien escribe aquí un 3, las trece holguras y la ruta crítica cambian sin un solo aviso.</t>
        </is>
      </c>
    </row>
    <row r="7"/>
    <row r="8" ht="30" customHeight="1">
      <c r="A8" s="7" t="inlineStr">
        <is>
          <t>Id</t>
        </is>
      </c>
      <c r="B8" s="7" t="inlineStr">
        <is>
          <t>Hito</t>
        </is>
      </c>
      <c r="C8" s="7" t="inlineStr">
        <is>
          <t>Duración (meses)</t>
        </is>
      </c>
      <c r="D8" s="7" t="inlineStr">
        <is>
          <t>Depende de (1)</t>
        </is>
      </c>
      <c r="E8" s="7" t="inlineStr">
        <is>
          <t>Depende de (2)</t>
        </is>
      </c>
      <c r="F8" s="7" t="inlineStr">
        <is>
          <t>Depende de (3)</t>
        </is>
      </c>
      <c r="G8" s="7" t="inlineStr">
        <is>
          <t>Empieza (mes del proyecto)</t>
        </is>
      </c>
      <c r="H8" s="7" t="inlineStr">
        <is>
          <t>Acaba (mes del proyecto)</t>
        </is>
      </c>
      <c r="I8" s="7" t="inlineStr">
        <is>
          <t>Holgura (meses)</t>
        </is>
      </c>
      <c r="J8" s="7" t="inlineStr">
        <is>
          <t>¿Ruta crítica?</t>
        </is>
      </c>
      <c r="K8" s="7" t="inlineStr">
        <is>
          <t>Mes natural de fin</t>
        </is>
      </c>
      <c r="Q8" s="7" t="inlineStr">
        <is>
          <t>Notas</t>
        </is>
      </c>
    </row>
    <row r="9" ht="26" customHeight="1">
      <c r="A9" s="12" t="inlineStr">
        <is>
          <t>H1</t>
        </is>
      </c>
      <c r="B9" s="9" t="inlineStr">
        <is>
          <t>Busqueda y cribado de local</t>
        </is>
      </c>
      <c r="C9" s="37" t="n">
        <v>2</v>
      </c>
      <c r="D9" s="11" t="inlineStr">
        <is>
          <t>-</t>
        </is>
      </c>
      <c r="E9" s="11" t="inlineStr">
        <is>
          <t>-</t>
        </is>
      </c>
      <c r="F9" s="11" t="inlineStr">
        <is>
          <t>-</t>
        </is>
      </c>
      <c r="G9" s="36">
        <f>IFERROR(MAX(IFERROR(INDEX($H$8:H8,MATCH(D9,$A$8:A8,0)),0),IFERROR(INDEX($H$8:H8,MATCH(E9,$A$8:A8,0)),0),IFERROR(INDEX($H$8:H8,MATCH(F9,$A$8:A8,0)),0)),"")</f>
        <v>0.0</v>
      </c>
      <c r="H9" s="36">
        <f>IFERROR(G9+C9,"")</f>
        <v>2.0</v>
      </c>
      <c r="I9" s="36">
        <f>IFERROR(MIN(MIN(C25:C37),MAX($H$9:$H$21))-H9,"")</f>
        <v>0.0</v>
      </c>
      <c r="J9" t="str">
        <f>IFERROR(IF(ROUND(I9,3)&lt;=0,"Sí","No"),"")</f>
        <v>Sí</v>
      </c>
      <c r="K9" t="str">
        <f>IFERROR(INDEX($B$76:$B$87,ROUNDDOWN(MOD($C$5-1+H9,12),0)+1),"")</f>
        <v>Diciembre</v>
      </c>
    </row>
    <row r="10" ht="26" customHeight="1">
      <c r="A10" s="12" t="inlineStr">
        <is>
          <t>H2</t>
        </is>
      </c>
      <c r="B10" s="9" t="inlineStr">
        <is>
          <t>Firma del arrendamiento y fianza</t>
        </is>
      </c>
      <c r="C10" s="37" t="n">
        <v>0.5</v>
      </c>
      <c r="D10" s="11" t="inlineStr">
        <is>
          <t>H1</t>
        </is>
      </c>
      <c r="E10" s="11" t="inlineStr">
        <is>
          <t>-</t>
        </is>
      </c>
      <c r="F10" s="11" t="inlineStr">
        <is>
          <t>-</t>
        </is>
      </c>
      <c r="G10" s="36">
        <f>IFERROR(MAX(IFERROR(INDEX($H$8:H9,MATCH(D10,$A$8:A9,0)),0),IFERROR(INDEX($H$8:H9,MATCH(E10,$A$8:A9,0)),0),IFERROR(INDEX($H$8:H9,MATCH(F10,$A$8:A9,0)),0)),"")</f>
        <v>2.0</v>
      </c>
      <c r="H10" s="36">
        <f>IFERROR(G10+C10,"")</f>
        <v>2.5</v>
      </c>
      <c r="I10" s="36">
        <f>IFERROR(MIN(MIN(D25:D37),MAX($H$9:$H$21))-H10,"")</f>
        <v>0.0</v>
      </c>
      <c r="J10" t="str">
        <f>IFERROR(IF(ROUND(I10,3)&lt;=0,"Sí","No"),"")</f>
        <v>Sí</v>
      </c>
      <c r="K10" t="str">
        <f>IFERROR(INDEX($B$76:$B$87,ROUNDDOWN(MOD($C$5-1+H10,12),0)+1),"")</f>
        <v>Diciembre</v>
      </c>
    </row>
    <row r="11" ht="26" customHeight="1">
      <c r="A11" s="12" t="inlineStr">
        <is>
          <t>H3</t>
        </is>
      </c>
      <c r="B11" s="9" t="inlineStr">
        <is>
          <t>Proyecto técnico visado</t>
        </is>
      </c>
      <c r="C11" s="37" t="n">
        <v>1</v>
      </c>
      <c r="D11" s="11" t="inlineStr">
        <is>
          <t>H2</t>
        </is>
      </c>
      <c r="E11" s="11" t="inlineStr">
        <is>
          <t>-</t>
        </is>
      </c>
      <c r="F11" s="11" t="inlineStr">
        <is>
          <t>-</t>
        </is>
      </c>
      <c r="G11" s="36">
        <f>IFERROR(MAX(IFERROR(INDEX($H$8:H10,MATCH(D11,$A$8:A10,0)),0),IFERROR(INDEX($H$8:H10,MATCH(E11,$A$8:A10,0)),0),IFERROR(INDEX($H$8:H10,MATCH(F11,$A$8:A10,0)),0)),"")</f>
        <v>2.5</v>
      </c>
      <c r="H11" s="36">
        <f>IFERROR(G11+C11,"")</f>
        <v>3.5</v>
      </c>
      <c r="I11" s="36">
        <f>IFERROR(MIN(MIN(E25:E37),MAX($H$9:$H$21))-H11,"")</f>
        <v>0.0</v>
      </c>
      <c r="J11" t="str">
        <f>IFERROR(IF(ROUND(I11,3)&lt;=0,"Sí","No"),"")</f>
        <v>Sí</v>
      </c>
      <c r="K11" t="str">
        <f>IFERROR(INDEX($B$76:$B$87,ROUNDDOWN(MOD($C$5-1+H11,12),0)+1),"")</f>
        <v>Enero</v>
      </c>
    </row>
    <row r="12" ht="26" customHeight="1">
      <c r="A12" s="12" t="inlineStr">
        <is>
          <t>H4</t>
        </is>
      </c>
      <c r="B12" s="9" t="inlineStr">
        <is>
          <t>Declaración responsable de actividad (no licencia previa)</t>
        </is>
      </c>
      <c r="C12" s="37" t="n">
        <v>1</v>
      </c>
      <c r="D12" s="11" t="inlineStr">
        <is>
          <t>H3</t>
        </is>
      </c>
      <c r="E12" s="11" t="inlineStr">
        <is>
          <t>-</t>
        </is>
      </c>
      <c r="F12" s="11" t="inlineStr">
        <is>
          <t>-</t>
        </is>
      </c>
      <c r="G12" s="36">
        <f>IFERROR(MAX(IFERROR(INDEX($H$8:H11,MATCH(D12,$A$8:A11,0)),0),IFERROR(INDEX($H$8:H11,MATCH(E12,$A$8:A11,0)),0),IFERROR(INDEX($H$8:H11,MATCH(F12,$A$8:A11,0)),0)),"")</f>
        <v>3.5</v>
      </c>
      <c r="H12" s="36">
        <f>IFERROR(G12+C12,"")</f>
        <v>4.5</v>
      </c>
      <c r="I12" s="36">
        <f>IFERROR(MIN(MIN(F25:F37),MAX($H$9:$H$21))-H12,"")</f>
        <v>0.0</v>
      </c>
      <c r="J12" t="str">
        <f>IFERROR(IF(ROUND(I12,3)&lt;=0,"Sí","No"),"")</f>
        <v>Sí</v>
      </c>
      <c r="K12" t="str">
        <f>IFERROR(INDEX($B$76:$B$87,ROUNDDOWN(MOD($C$5-1+H12,12),0)+1),"")</f>
        <v>Febrero</v>
      </c>
      <c r="Q12" s="5" t="inlineStr">
        <is>
          <t>Declaración responsable, NO licencia previa: ningún ayuntamiento puede exigirte licencia de actividad hasta 750 metros cuadrados, porque el epígrafe 644.5 está en el Anexo de la Ley 12/2012.</t>
        </is>
      </c>
    </row>
    <row r="13" ht="26" customHeight="1">
      <c r="A13" s="12" t="inlineStr">
        <is>
          <t>H5</t>
        </is>
      </c>
      <c r="B13" s="9" t="inlineStr">
        <is>
          <t>Obra y adecuación del local</t>
        </is>
      </c>
      <c r="C13" s="37" t="n">
        <v>1.5</v>
      </c>
      <c r="D13" s="11" t="inlineStr">
        <is>
          <t>H4</t>
        </is>
      </c>
      <c r="E13" s="11" t="inlineStr">
        <is>
          <t>-</t>
        </is>
      </c>
      <c r="F13" s="11" t="inlineStr">
        <is>
          <t>-</t>
        </is>
      </c>
      <c r="G13" s="36">
        <f>IFERROR(MAX(IFERROR(INDEX($H$8:H12,MATCH(D13,$A$8:A12,0)),0),IFERROR(INDEX($H$8:H12,MATCH(E13,$A$8:A12,0)),0),IFERROR(INDEX($H$8:H12,MATCH(F13,$A$8:A12,0)),0)),"")</f>
        <v>4.5</v>
      </c>
      <c r="H13" s="36">
        <f>IFERROR(G13+C13,"")</f>
        <v>6.0</v>
      </c>
      <c r="I13" s="36">
        <f>IFERROR(MIN(MIN(G25:G37),MAX($H$9:$H$21))-H13,"")</f>
        <v>0.0</v>
      </c>
      <c r="J13" t="str">
        <f>IFERROR(IF(ROUND(I13,3)&lt;=0,"Sí","No"),"")</f>
        <v>Sí</v>
      </c>
      <c r="K13" t="str">
        <f>IFERROR(INDEX($B$76:$B$87,ROUNDDOWN(MOD($C$5-1+H13,12),0)+1),"")</f>
        <v>Abril</v>
      </c>
    </row>
    <row r="14" ht="26" customHeight="1">
      <c r="A14" s="12" t="inlineStr">
        <is>
          <t>H6</t>
        </is>
      </c>
      <c r="B14" s="9" t="inlineStr">
        <is>
          <t>Pedido y entrega del equipamiento de templado</t>
        </is>
      </c>
      <c r="C14" s="37" t="n">
        <v>2.5</v>
      </c>
      <c r="D14" s="11" t="inlineStr">
        <is>
          <t>H3</t>
        </is>
      </c>
      <c r="E14" s="11" t="inlineStr">
        <is>
          <t>-</t>
        </is>
      </c>
      <c r="F14" s="11" t="inlineStr">
        <is>
          <t>-</t>
        </is>
      </c>
      <c r="G14" s="36">
        <f>IFERROR(MAX(IFERROR(INDEX($H$8:H13,MATCH(D14,$A$8:A13,0)),0),IFERROR(INDEX($H$8:H13,MATCH(E14,$A$8:A13,0)),0),IFERROR(INDEX($H$8:H13,MATCH(F14,$A$8:A13,0)),0)),"")</f>
        <v>3.5</v>
      </c>
      <c r="H14" s="36">
        <f>IFERROR(G14+C14,"")</f>
        <v>6.0</v>
      </c>
      <c r="I14" s="36">
        <f>IFERROR(MIN(MIN(H25:H37),MAX($H$9:$H$21))-H14,"")</f>
        <v>1.0</v>
      </c>
      <c r="J14" t="str">
        <f>IFERROR(IF(ROUND(I14,3)&lt;=0,"Sí","No"),"")</f>
        <v>No</v>
      </c>
      <c r="K14" t="str">
        <f>IFERROR(INDEX($B$76:$B$87,ROUNDDOWN(MOD($C$5-1+H14,12),0)+1),"")</f>
        <v>Abril</v>
      </c>
      <c r="Q14" s="5" t="inlineStr">
        <is>
          <t>ES EL HITO QUE MUEVE LA FECHA. Su duración aquí es un SUPUESTO; el plazo real lo tecleas en el libro 9 y lo traes al cruce de abajo.</t>
        </is>
      </c>
    </row>
    <row r="15" ht="26" customHeight="1">
      <c r="A15" s="12" t="inlineStr">
        <is>
          <t>H7</t>
        </is>
      </c>
      <c r="B15" s="9" t="inlineStr">
        <is>
          <t>Climatización y deshumidificación</t>
        </is>
      </c>
      <c r="C15" s="37" t="n">
        <v>1</v>
      </c>
      <c r="D15" s="11" t="inlineStr">
        <is>
          <t>H5</t>
        </is>
      </c>
      <c r="E15" s="11" t="inlineStr">
        <is>
          <t>-</t>
        </is>
      </c>
      <c r="F15" s="11" t="inlineStr">
        <is>
          <t>-</t>
        </is>
      </c>
      <c r="G15" s="36">
        <f>IFERROR(MAX(IFERROR(INDEX($H$8:H14,MATCH(D15,$A$8:A14,0)),0),IFERROR(INDEX($H$8:H14,MATCH(E15,$A$8:A14,0)),0),IFERROR(INDEX($H$8:H14,MATCH(F15,$A$8:A14,0)),0)),"")</f>
        <v>6.0</v>
      </c>
      <c r="H15" s="36">
        <f>IFERROR(G15+C15,"")</f>
        <v>7.0</v>
      </c>
      <c r="I15" s="36">
        <f>IFERROR(MIN(MIN(I25:I37),MAX($H$9:$H$21))-H15,"")</f>
        <v>0.0</v>
      </c>
      <c r="J15" t="str">
        <f>IFERROR(IF(ROUND(I15,3)&lt;=0,"Sí","No"),"")</f>
        <v>Sí</v>
      </c>
      <c r="K15" t="str">
        <f>IFERROR(INDEX($B$76:$B$87,ROUNDDOWN(MOD($C$5-1+H15,12),0)+1),"")</f>
        <v>Mayo</v>
      </c>
      <c r="Q15" s="5" t="inlineStr">
        <is>
          <t>La partida que nadie presupuesta y la que decide si la cobertura cristaliza. Va después de la obra porque necesita los cerramientos hechos.</t>
        </is>
      </c>
    </row>
    <row r="16" ht="26" customHeight="1">
      <c r="A16" s="12" t="inlineStr">
        <is>
          <t>H8</t>
        </is>
      </c>
      <c r="B16" s="9" t="inlineStr">
        <is>
          <t>Montaje y puesta en marcha del equipamiento</t>
        </is>
      </c>
      <c r="C16" s="37" t="n">
        <v>0.5</v>
      </c>
      <c r="D16" s="11" t="inlineStr">
        <is>
          <t>H6</t>
        </is>
      </c>
      <c r="E16" s="11" t="inlineStr">
        <is>
          <t>H7</t>
        </is>
      </c>
      <c r="F16" s="11" t="inlineStr">
        <is>
          <t>-</t>
        </is>
      </c>
      <c r="G16" s="36">
        <f>IFERROR(MAX(IFERROR(INDEX($H$8:H15,MATCH(D16,$A$8:A15,0)),0),IFERROR(INDEX($H$8:H15,MATCH(E16,$A$8:A15,0)),0),IFERROR(INDEX($H$8:H15,MATCH(F16,$A$8:A15,0)),0)),"")</f>
        <v>7.0</v>
      </c>
      <c r="H16" s="36">
        <f>IFERROR(G16+C16,"")</f>
        <v>7.5</v>
      </c>
      <c r="I16" s="36">
        <f>IFERROR(MIN(MIN(J25:J37),MAX($H$9:$H$21))-H16,"")</f>
        <v>0.0</v>
      </c>
      <c r="J16" t="str">
        <f>IFERROR(IF(ROUND(I16,3)&lt;=0,"Sí","No"),"")</f>
        <v>Sí</v>
      </c>
      <c r="K16" t="str">
        <f>IFERROR(INDEX($B$76:$B$87,ROUNDDOWN(MOD($C$5-1+H16,12),0)+1),"")</f>
        <v>Mayo</v>
      </c>
    </row>
    <row r="17" ht="26" customHeight="1">
      <c r="A17" s="12" t="inlineStr">
        <is>
          <t>H9</t>
        </is>
      </c>
      <c r="B17" s="9" t="inlineStr">
        <is>
          <t>Comunicación al registro sanitario autonómico</t>
        </is>
      </c>
      <c r="C17" s="37" t="n">
        <v>0.5</v>
      </c>
      <c r="D17" s="11" t="inlineStr">
        <is>
          <t>H8</t>
        </is>
      </c>
      <c r="E17" s="11" t="inlineStr">
        <is>
          <t>-</t>
        </is>
      </c>
      <c r="F17" s="11" t="inlineStr">
        <is>
          <t>-</t>
        </is>
      </c>
      <c r="G17" s="36">
        <f>IFERROR(MAX(IFERROR(INDEX($H$8:H16,MATCH(D17,$A$8:A16,0)),0),IFERROR(INDEX($H$8:H16,MATCH(E17,$A$8:A16,0)),0),IFERROR(INDEX($H$8:H16,MATCH(F17,$A$8:A16,0)),0)),"")</f>
        <v>7.5</v>
      </c>
      <c r="H17" s="36">
        <f>IFERROR(G17+C17,"")</f>
        <v>8.0</v>
      </c>
      <c r="I17" s="36">
        <f>IFERROR(MIN(MIN(K25:K37),MAX($H$9:$H$21))-H17,"")</f>
        <v>0.0</v>
      </c>
      <c r="J17" t="str">
        <f>IFERROR(IF(ROUND(I17,3)&lt;=0,"Sí","No"),"")</f>
        <v>Sí</v>
      </c>
      <c r="K17" t="str">
        <f>IFERROR(INDEX($B$76:$B$87,ROUNDDOWN(MOD($C$5-1+H17,12),0)+1),"")</f>
        <v>Junio</v>
      </c>
      <c r="Q17" s="5" t="inlineStr">
        <is>
          <t>Comunicación o declaración responsable a tu comunidad: NO habilita para abrir, así que no la esperes sentado, pero preséntala antes de vender.</t>
        </is>
      </c>
    </row>
    <row r="18" ht="26" customHeight="1">
      <c r="A18" s="12" t="inlineStr">
        <is>
          <t>H10</t>
        </is>
      </c>
      <c r="B18" s="9" t="inlineStr">
        <is>
          <t>Plan de APPCC, alérgenos y registro de formación</t>
        </is>
      </c>
      <c r="C18" s="37" t="n">
        <v>0.5</v>
      </c>
      <c r="D18" s="11" t="inlineStr">
        <is>
          <t>H8</t>
        </is>
      </c>
      <c r="E18" s="11" t="inlineStr">
        <is>
          <t>-</t>
        </is>
      </c>
      <c r="F18" s="11" t="inlineStr">
        <is>
          <t>-</t>
        </is>
      </c>
      <c r="G18" s="36">
        <f>IFERROR(MAX(IFERROR(INDEX($H$8:H17,MATCH(D18,$A$8:A17,0)),0),IFERROR(INDEX($H$8:H17,MATCH(E18,$A$8:A17,0)),0),IFERROR(INDEX($H$8:H17,MATCH(F18,$A$8:A17,0)),0)),"")</f>
        <v>7.5</v>
      </c>
      <c r="H18" s="36">
        <f>IFERROR(G18+C18,"")</f>
        <v>8.0</v>
      </c>
      <c r="I18" s="36">
        <f>IFERROR(MIN(MIN(L25:L37),MAX($H$9:$H$21))-H18,"")</f>
        <v>0.0</v>
      </c>
      <c r="J18" t="str">
        <f>IFERROR(IF(ROUND(I18,3)&lt;=0,"Sí","No"),"")</f>
        <v>Sí</v>
      </c>
      <c r="K18" t="str">
        <f>IFERROR(INDEX($B$76:$B$87,ROUNDDOWN(MOD($C$5-1+H18,12),0)+1),"")</f>
        <v>Junio</v>
      </c>
    </row>
    <row r="19" ht="26" customHeight="1">
      <c r="A19" s="12" t="inlineStr">
        <is>
          <t>H11</t>
        </is>
      </c>
      <c r="B19" s="9" t="inlineStr">
        <is>
          <t>Contratación del equipo y altas en Seguridad Social</t>
        </is>
      </c>
      <c r="C19" s="37" t="n">
        <v>0.5</v>
      </c>
      <c r="D19" s="11" t="inlineStr">
        <is>
          <t>H8</t>
        </is>
      </c>
      <c r="E19" s="11" t="inlineStr">
        <is>
          <t>-</t>
        </is>
      </c>
      <c r="F19" s="11" t="inlineStr">
        <is>
          <t>-</t>
        </is>
      </c>
      <c r="G19" s="36">
        <f>IFERROR(MAX(IFERROR(INDEX($H$8:H18,MATCH(D19,$A$8:A18,0)),0),IFERROR(INDEX($H$8:H18,MATCH(E19,$A$8:A18,0)),0),IFERROR(INDEX($H$8:H18,MATCH(F19,$A$8:A18,0)),0)),"")</f>
        <v>7.5</v>
      </c>
      <c r="H19" s="36">
        <f>IFERROR(G19+C19,"")</f>
        <v>8.0</v>
      </c>
      <c r="I19" s="36">
        <f>IFERROR(MIN(MIN(M25:M37),MAX($H$9:$H$21))-H19,"")</f>
        <v>0.0</v>
      </c>
      <c r="J19" t="str">
        <f>IFERROR(IF(ROUND(I19,3)&lt;=0,"Sí","No"),"")</f>
        <v>Sí</v>
      </c>
      <c r="K19" t="str">
        <f>IFERROR(INDEX($B$76:$B$87,ROUNDDOWN(MOD($C$5-1+H19,12),0)+1),"")</f>
        <v>Junio</v>
      </c>
    </row>
    <row r="20" ht="26" customHeight="1">
      <c r="A20" s="12" t="inlineStr">
        <is>
          <t>H12</t>
        </is>
      </c>
      <c r="B20" s="9" t="inlineStr">
        <is>
          <t>Pruebas de templado y cierre de la carta de apertura</t>
        </is>
      </c>
      <c r="C20" s="37" t="n">
        <v>0.5</v>
      </c>
      <c r="D20" s="11" t="inlineStr">
        <is>
          <t>H9</t>
        </is>
      </c>
      <c r="E20" s="11" t="inlineStr">
        <is>
          <t>H10</t>
        </is>
      </c>
      <c r="F20" s="11" t="inlineStr">
        <is>
          <t>H11</t>
        </is>
      </c>
      <c r="G20" s="36">
        <f>IFERROR(MAX(IFERROR(INDEX($H$8:H19,MATCH(D20,$A$8:A19,0)),0),IFERROR(INDEX($H$8:H19,MATCH(E20,$A$8:A19,0)),0),IFERROR(INDEX($H$8:H19,MATCH(F20,$A$8:A19,0)),0)),"")</f>
        <v>8.0</v>
      </c>
      <c r="H20" s="36">
        <f>IFERROR(G20+C20,"")</f>
        <v>8.5</v>
      </c>
      <c r="I20" s="36">
        <f>IFERROR(MIN(MIN(N25:N37),MAX($H$9:$H$21))-H20,"")</f>
        <v>0.0</v>
      </c>
      <c r="J20" t="str">
        <f>IFERROR(IF(ROUND(I20,3)&lt;=0,"Sí","No"),"")</f>
        <v>Sí</v>
      </c>
      <c r="K20" t="str">
        <f>IFERROR(INDEX($B$76:$B$87,ROUNDDOWN(MOD($C$5-1+H20,12),0)+1),"")</f>
        <v>Junio</v>
      </c>
      <c r="Q20" s="5" t="inlineStr">
        <is>
          <t>Las pruebas de templado no son un trámite: son la semana en que descubres si tu clima y tu máquina se llevan bien.</t>
        </is>
      </c>
    </row>
    <row r="21" ht="26" customHeight="1">
      <c r="A21" s="12" t="inlineStr">
        <is>
          <t>H13</t>
        </is>
      </c>
      <c r="B21" s="9" t="inlineStr">
        <is>
          <t>Apertura</t>
        </is>
      </c>
      <c r="C21" s="37" t="n">
        <v>0</v>
      </c>
      <c r="D21" s="11" t="inlineStr">
        <is>
          <t>H12</t>
        </is>
      </c>
      <c r="E21" s="11" t="inlineStr">
        <is>
          <t>-</t>
        </is>
      </c>
      <c r="F21" s="11" t="inlineStr">
        <is>
          <t>-</t>
        </is>
      </c>
      <c r="G21" s="36">
        <f>IFERROR(MAX(IFERROR(INDEX($H$8:H20,MATCH(D21,$A$8:A20,0)),0),IFERROR(INDEX($H$8:H20,MATCH(E21,$A$8:A20,0)),0),IFERROR(INDEX($H$8:H20,MATCH(F21,$A$8:A20,0)),0)),"")</f>
        <v>8.5</v>
      </c>
      <c r="H21" s="36">
        <f>IFERROR(G21+C21,"")</f>
        <v>8.5</v>
      </c>
      <c r="I21" s="36">
        <f>IFERROR(MIN(MIN(O25:O37),MAX($H$9:$H$21))-H21,"")</f>
        <v>0.0</v>
      </c>
      <c r="J21" t="str">
        <f>IFERROR(IF(ROUND(I21,3)&lt;=0,"Sí","No"),"")</f>
        <v>Sí</v>
      </c>
      <c r="K21" t="str">
        <f>IFERROR(INDEX($B$76:$B$87,ROUNDDOWN(MOD($C$5-1+H21,12),0)+1),"")</f>
        <v>Junio</v>
      </c>
    </row>
    <row r="22"/>
    <row r="23">
      <c r="A23" s="4" t="inlineStr">
        <is>
          <t>MATRIZ DE DEPENDENCIAS: QUÉ HITO BLOQUEA A CUÁL</t>
        </is>
      </c>
      <c r="B23" s="10" t="inlineStr"/>
      <c r="C23" s="10" t="inlineStr"/>
      <c r="D23" s="10" t="inlineStr"/>
      <c r="E23" s="10" t="inlineStr"/>
      <c r="F23" s="10" t="inlineStr"/>
      <c r="G23" s="10" t="inlineStr"/>
      <c r="H23" s="10" t="inlineStr"/>
      <c r="I23" s="10" t="inlineStr"/>
      <c r="J23" s="10" t="inlineStr"/>
      <c r="K23" s="10" t="inlineStr"/>
      <c r="L23" s="10" t="inlineStr"/>
      <c r="M23" s="10" t="inlineStr"/>
      <c r="N23" s="10" t="inlineStr"/>
      <c r="O23" s="10" t="inlineStr"/>
      <c r="Q23" s="10" t="inlineStr"/>
    </row>
    <row r="24" ht="22" customHeight="1">
      <c r="A24" s="7" t="inlineStr">
        <is>
          <t>Sucesor</t>
        </is>
      </c>
      <c r="B24" s="7" t="inlineStr">
        <is>
          <t>empieza en el mes...</t>
        </is>
      </c>
      <c r="C24" s="7" t="inlineStr">
        <is>
          <t>H1</t>
        </is>
      </c>
      <c r="D24" s="7" t="inlineStr">
        <is>
          <t>H2</t>
        </is>
      </c>
      <c r="E24" s="7" t="inlineStr">
        <is>
          <t>H3</t>
        </is>
      </c>
      <c r="F24" s="7" t="inlineStr">
        <is>
          <t>H4</t>
        </is>
      </c>
      <c r="G24" s="7" t="inlineStr">
        <is>
          <t>H5</t>
        </is>
      </c>
      <c r="H24" s="7" t="inlineStr">
        <is>
          <t>H6</t>
        </is>
      </c>
      <c r="I24" s="7" t="inlineStr">
        <is>
          <t>H7</t>
        </is>
      </c>
      <c r="J24" s="7" t="inlineStr">
        <is>
          <t>H8</t>
        </is>
      </c>
      <c r="K24" s="7" t="inlineStr">
        <is>
          <t>H9</t>
        </is>
      </c>
      <c r="L24" s="7" t="inlineStr">
        <is>
          <t>H10</t>
        </is>
      </c>
      <c r="M24" s="7" t="inlineStr">
        <is>
          <t>H11</t>
        </is>
      </c>
      <c r="N24" s="7" t="inlineStr">
        <is>
          <t>H12</t>
        </is>
      </c>
      <c r="O24" s="7" t="inlineStr">
        <is>
          <t>H13</t>
        </is>
      </c>
      <c r="Q24" s="7" t="inlineStr">
        <is>
          <t>Notas</t>
        </is>
      </c>
    </row>
    <row r="25">
      <c r="A25" s="12" t="inlineStr">
        <is>
          <t>H1</t>
        </is>
      </c>
      <c r="B25" s="36">
        <f>IFERROR(G9,"")</f>
        <v>0.0</v>
      </c>
      <c r="C25" s="45">
        <f>IFERROR(IF(OR($D$9=$A$9,$E$9=$A$9,$F$9=$A$9),$G$9,$C$6),"")</f>
        <v>999.0</v>
      </c>
      <c r="D25" s="45">
        <f>IFERROR(IF(OR($D$9=$A$10,$E$9=$A$10,$F$9=$A$10),$G$9,$C$6),"")</f>
        <v>999.0</v>
      </c>
      <c r="E25" s="45">
        <f>IFERROR(IF(OR($D$9=$A$11,$E$9=$A$11,$F$9=$A$11),$G$9,$C$6),"")</f>
        <v>999.0</v>
      </c>
      <c r="F25" s="45">
        <f>IFERROR(IF(OR($D$9=$A$12,$E$9=$A$12,$F$9=$A$12),$G$9,$C$6),"")</f>
        <v>999.0</v>
      </c>
      <c r="G25" s="45">
        <f>IFERROR(IF(OR($D$9=$A$13,$E$9=$A$13,$F$9=$A$13),$G$9,$C$6),"")</f>
        <v>999.0</v>
      </c>
      <c r="H25" s="45">
        <f>IFERROR(IF(OR($D$9=$A$14,$E$9=$A$14,$F$9=$A$14),$G$9,$C$6),"")</f>
        <v>999.0</v>
      </c>
      <c r="I25" s="45">
        <f>IFERROR(IF(OR($D$9=$A$15,$E$9=$A$15,$F$9=$A$15),$G$9,$C$6),"")</f>
        <v>999.0</v>
      </c>
      <c r="J25" s="45">
        <f>IFERROR(IF(OR($D$9=$A$16,$E$9=$A$16,$F$9=$A$16),$G$9,$C$6),"")</f>
        <v>999.0</v>
      </c>
      <c r="K25" s="45">
        <f>IFERROR(IF(OR($D$9=$A$17,$E$9=$A$17,$F$9=$A$17),$G$9,$C$6),"")</f>
        <v>999.0</v>
      </c>
      <c r="L25" s="45">
        <f>IFERROR(IF(OR($D$9=$A$18,$E$9=$A$18,$F$9=$A$18),$G$9,$C$6),"")</f>
        <v>999.0</v>
      </c>
      <c r="M25" s="45">
        <f>IFERROR(IF(OR($D$9=$A$19,$E$9=$A$19,$F$9=$A$19),$G$9,$C$6),"")</f>
        <v>999.0</v>
      </c>
      <c r="N25" s="45">
        <f>IFERROR(IF(OR($D$9=$A$20,$E$9=$A$20,$F$9=$A$20),$G$9,$C$6),"")</f>
        <v>999.0</v>
      </c>
      <c r="O25" s="45">
        <f>IFERROR(IF(OR($D$9=$A$21,$E$9=$A$21,$F$9=$A$21),$G$9,$C$6),"")</f>
        <v>999.0</v>
      </c>
      <c r="Q25" s="5" t="inlineStr">
        <is>
          <t>Se lee por COLUMNAS: en la columna de H6 aparece el mes en que empieza cada hito que depende de H6. La holgura de H6 es la distancia entre cuando acaba y el primero de esos meses. Las casillas que parecen vacías no lo están: llevan el centinela y el formato las esconde.</t>
        </is>
      </c>
    </row>
    <row r="26">
      <c r="A26" s="12" t="inlineStr">
        <is>
          <t>H2</t>
        </is>
      </c>
      <c r="B26" s="36">
        <f>IFERROR(G10,"")</f>
        <v>2.0</v>
      </c>
      <c r="C26" s="45">
        <f>IFERROR(IF(OR($D$10=$A$9,$E$10=$A$9,$F$10=$A$9),$G$10,$C$6),"")</f>
        <v>2.0</v>
      </c>
      <c r="D26" s="45">
        <f>IFERROR(IF(OR($D$10=$A$10,$E$10=$A$10,$F$10=$A$10),$G$10,$C$6),"")</f>
        <v>999.0</v>
      </c>
      <c r="E26" s="45">
        <f>IFERROR(IF(OR($D$10=$A$11,$E$10=$A$11,$F$10=$A$11),$G$10,$C$6),"")</f>
        <v>999.0</v>
      </c>
      <c r="F26" s="45">
        <f>IFERROR(IF(OR($D$10=$A$12,$E$10=$A$12,$F$10=$A$12),$G$10,$C$6),"")</f>
        <v>999.0</v>
      </c>
      <c r="G26" s="45">
        <f>IFERROR(IF(OR($D$10=$A$13,$E$10=$A$13,$F$10=$A$13),$G$10,$C$6),"")</f>
        <v>999.0</v>
      </c>
      <c r="H26" s="45">
        <f>IFERROR(IF(OR($D$10=$A$14,$E$10=$A$14,$F$10=$A$14),$G$10,$C$6),"")</f>
        <v>999.0</v>
      </c>
      <c r="I26" s="45">
        <f>IFERROR(IF(OR($D$10=$A$15,$E$10=$A$15,$F$10=$A$15),$G$10,$C$6),"")</f>
        <v>999.0</v>
      </c>
      <c r="J26" s="45">
        <f>IFERROR(IF(OR($D$10=$A$16,$E$10=$A$16,$F$10=$A$16),$G$10,$C$6),"")</f>
        <v>999.0</v>
      </c>
      <c r="K26" s="45">
        <f>IFERROR(IF(OR($D$10=$A$17,$E$10=$A$17,$F$10=$A$17),$G$10,$C$6),"")</f>
        <v>999.0</v>
      </c>
      <c r="L26" s="45">
        <f>IFERROR(IF(OR($D$10=$A$18,$E$10=$A$18,$F$10=$A$18),$G$10,$C$6),"")</f>
        <v>999.0</v>
      </c>
      <c r="M26" s="45">
        <f>IFERROR(IF(OR($D$10=$A$19,$E$10=$A$19,$F$10=$A$19),$G$10,$C$6),"")</f>
        <v>999.0</v>
      </c>
      <c r="N26" s="45">
        <f>IFERROR(IF(OR($D$10=$A$20,$E$10=$A$20,$F$10=$A$20),$G$10,$C$6),"")</f>
        <v>999.0</v>
      </c>
      <c r="O26" s="45">
        <f>IFERROR(IF(OR($D$10=$A$21,$E$10=$A$21,$F$10=$A$21),$G$10,$C$6),"")</f>
        <v>999.0</v>
      </c>
    </row>
    <row r="27">
      <c r="A27" s="12" t="inlineStr">
        <is>
          <t>H3</t>
        </is>
      </c>
      <c r="B27" s="36">
        <f>IFERROR(G11,"")</f>
        <v>2.5</v>
      </c>
      <c r="C27" s="45">
        <f>IFERROR(IF(OR($D$11=$A$9,$E$11=$A$9,$F$11=$A$9),$G$11,$C$6),"")</f>
        <v>999.0</v>
      </c>
      <c r="D27" s="45">
        <f>IFERROR(IF(OR($D$11=$A$10,$E$11=$A$10,$F$11=$A$10),$G$11,$C$6),"")</f>
        <v>2.5</v>
      </c>
      <c r="E27" s="45">
        <f>IFERROR(IF(OR($D$11=$A$11,$E$11=$A$11,$F$11=$A$11),$G$11,$C$6),"")</f>
        <v>999.0</v>
      </c>
      <c r="F27" s="45">
        <f>IFERROR(IF(OR($D$11=$A$12,$E$11=$A$12,$F$11=$A$12),$G$11,$C$6),"")</f>
        <v>999.0</v>
      </c>
      <c r="G27" s="45">
        <f>IFERROR(IF(OR($D$11=$A$13,$E$11=$A$13,$F$11=$A$13),$G$11,$C$6),"")</f>
        <v>999.0</v>
      </c>
      <c r="H27" s="45">
        <f>IFERROR(IF(OR($D$11=$A$14,$E$11=$A$14,$F$11=$A$14),$G$11,$C$6),"")</f>
        <v>999.0</v>
      </c>
      <c r="I27" s="45">
        <f>IFERROR(IF(OR($D$11=$A$15,$E$11=$A$15,$F$11=$A$15),$G$11,$C$6),"")</f>
        <v>999.0</v>
      </c>
      <c r="J27" s="45">
        <f>IFERROR(IF(OR($D$11=$A$16,$E$11=$A$16,$F$11=$A$16),$G$11,$C$6),"")</f>
        <v>999.0</v>
      </c>
      <c r="K27" s="45">
        <f>IFERROR(IF(OR($D$11=$A$17,$E$11=$A$17,$F$11=$A$17),$G$11,$C$6),"")</f>
        <v>999.0</v>
      </c>
      <c r="L27" s="45">
        <f>IFERROR(IF(OR($D$11=$A$18,$E$11=$A$18,$F$11=$A$18),$G$11,$C$6),"")</f>
        <v>999.0</v>
      </c>
      <c r="M27" s="45">
        <f>IFERROR(IF(OR($D$11=$A$19,$E$11=$A$19,$F$11=$A$19),$G$11,$C$6),"")</f>
        <v>999.0</v>
      </c>
      <c r="N27" s="45">
        <f>IFERROR(IF(OR($D$11=$A$20,$E$11=$A$20,$F$11=$A$20),$G$11,$C$6),"")</f>
        <v>999.0</v>
      </c>
      <c r="O27" s="45">
        <f>IFERROR(IF(OR($D$11=$A$21,$E$11=$A$21,$F$11=$A$21),$G$11,$C$6),"")</f>
        <v>999.0</v>
      </c>
    </row>
    <row r="28">
      <c r="A28" s="12" t="inlineStr">
        <is>
          <t>H4</t>
        </is>
      </c>
      <c r="B28" s="36">
        <f>IFERROR(G12,"")</f>
        <v>3.5</v>
      </c>
      <c r="C28" s="45">
        <f>IFERROR(IF(OR($D$12=$A$9,$E$12=$A$9,$F$12=$A$9),$G$12,$C$6),"")</f>
        <v>999.0</v>
      </c>
      <c r="D28" s="45">
        <f>IFERROR(IF(OR($D$12=$A$10,$E$12=$A$10,$F$12=$A$10),$G$12,$C$6),"")</f>
        <v>999.0</v>
      </c>
      <c r="E28" s="45">
        <f>IFERROR(IF(OR($D$12=$A$11,$E$12=$A$11,$F$12=$A$11),$G$12,$C$6),"")</f>
        <v>3.5</v>
      </c>
      <c r="F28" s="45">
        <f>IFERROR(IF(OR($D$12=$A$12,$E$12=$A$12,$F$12=$A$12),$G$12,$C$6),"")</f>
        <v>999.0</v>
      </c>
      <c r="G28" s="45">
        <f>IFERROR(IF(OR($D$12=$A$13,$E$12=$A$13,$F$12=$A$13),$G$12,$C$6),"")</f>
        <v>999.0</v>
      </c>
      <c r="H28" s="45">
        <f>IFERROR(IF(OR($D$12=$A$14,$E$12=$A$14,$F$12=$A$14),$G$12,$C$6),"")</f>
        <v>999.0</v>
      </c>
      <c r="I28" s="45">
        <f>IFERROR(IF(OR($D$12=$A$15,$E$12=$A$15,$F$12=$A$15),$G$12,$C$6),"")</f>
        <v>999.0</v>
      </c>
      <c r="J28" s="45">
        <f>IFERROR(IF(OR($D$12=$A$16,$E$12=$A$16,$F$12=$A$16),$G$12,$C$6),"")</f>
        <v>999.0</v>
      </c>
      <c r="K28" s="45">
        <f>IFERROR(IF(OR($D$12=$A$17,$E$12=$A$17,$F$12=$A$17),$G$12,$C$6),"")</f>
        <v>999.0</v>
      </c>
      <c r="L28" s="45">
        <f>IFERROR(IF(OR($D$12=$A$18,$E$12=$A$18,$F$12=$A$18),$G$12,$C$6),"")</f>
        <v>999.0</v>
      </c>
      <c r="M28" s="45">
        <f>IFERROR(IF(OR($D$12=$A$19,$E$12=$A$19,$F$12=$A$19),$G$12,$C$6),"")</f>
        <v>999.0</v>
      </c>
      <c r="N28" s="45">
        <f>IFERROR(IF(OR($D$12=$A$20,$E$12=$A$20,$F$12=$A$20),$G$12,$C$6),"")</f>
        <v>999.0</v>
      </c>
      <c r="O28" s="45">
        <f>IFERROR(IF(OR($D$12=$A$21,$E$12=$A$21,$F$12=$A$21),$G$12,$C$6),"")</f>
        <v>999.0</v>
      </c>
    </row>
    <row r="29">
      <c r="A29" s="12" t="inlineStr">
        <is>
          <t>H5</t>
        </is>
      </c>
      <c r="B29" s="36">
        <f>IFERROR(G13,"")</f>
        <v>4.5</v>
      </c>
      <c r="C29" s="45">
        <f>IFERROR(IF(OR($D$13=$A$9,$E$13=$A$9,$F$13=$A$9),$G$13,$C$6),"")</f>
        <v>999.0</v>
      </c>
      <c r="D29" s="45">
        <f>IFERROR(IF(OR($D$13=$A$10,$E$13=$A$10,$F$13=$A$10),$G$13,$C$6),"")</f>
        <v>999.0</v>
      </c>
      <c r="E29" s="45">
        <f>IFERROR(IF(OR($D$13=$A$11,$E$13=$A$11,$F$13=$A$11),$G$13,$C$6),"")</f>
        <v>999.0</v>
      </c>
      <c r="F29" s="45">
        <f>IFERROR(IF(OR($D$13=$A$12,$E$13=$A$12,$F$13=$A$12),$G$13,$C$6),"")</f>
        <v>4.5</v>
      </c>
      <c r="G29" s="45">
        <f>IFERROR(IF(OR($D$13=$A$13,$E$13=$A$13,$F$13=$A$13),$G$13,$C$6),"")</f>
        <v>999.0</v>
      </c>
      <c r="H29" s="45">
        <f>IFERROR(IF(OR($D$13=$A$14,$E$13=$A$14,$F$13=$A$14),$G$13,$C$6),"")</f>
        <v>999.0</v>
      </c>
      <c r="I29" s="45">
        <f>IFERROR(IF(OR($D$13=$A$15,$E$13=$A$15,$F$13=$A$15),$G$13,$C$6),"")</f>
        <v>999.0</v>
      </c>
      <c r="J29" s="45">
        <f>IFERROR(IF(OR($D$13=$A$16,$E$13=$A$16,$F$13=$A$16),$G$13,$C$6),"")</f>
        <v>999.0</v>
      </c>
      <c r="K29" s="45">
        <f>IFERROR(IF(OR($D$13=$A$17,$E$13=$A$17,$F$13=$A$17),$G$13,$C$6),"")</f>
        <v>999.0</v>
      </c>
      <c r="L29" s="45">
        <f>IFERROR(IF(OR($D$13=$A$18,$E$13=$A$18,$F$13=$A$18),$G$13,$C$6),"")</f>
        <v>999.0</v>
      </c>
      <c r="M29" s="45">
        <f>IFERROR(IF(OR($D$13=$A$19,$E$13=$A$19,$F$13=$A$19),$G$13,$C$6),"")</f>
        <v>999.0</v>
      </c>
      <c r="N29" s="45">
        <f>IFERROR(IF(OR($D$13=$A$20,$E$13=$A$20,$F$13=$A$20),$G$13,$C$6),"")</f>
        <v>999.0</v>
      </c>
      <c r="O29" s="45">
        <f>IFERROR(IF(OR($D$13=$A$21,$E$13=$A$21,$F$13=$A$21),$G$13,$C$6),"")</f>
        <v>999.0</v>
      </c>
    </row>
    <row r="30">
      <c r="A30" s="12" t="inlineStr">
        <is>
          <t>H6</t>
        </is>
      </c>
      <c r="B30" s="36">
        <f>IFERROR(G14,"")</f>
        <v>3.5</v>
      </c>
      <c r="C30" s="45">
        <f>IFERROR(IF(OR($D$14=$A$9,$E$14=$A$9,$F$14=$A$9),$G$14,$C$6),"")</f>
        <v>999.0</v>
      </c>
      <c r="D30" s="45">
        <f>IFERROR(IF(OR($D$14=$A$10,$E$14=$A$10,$F$14=$A$10),$G$14,$C$6),"")</f>
        <v>999.0</v>
      </c>
      <c r="E30" s="45">
        <f>IFERROR(IF(OR($D$14=$A$11,$E$14=$A$11,$F$14=$A$11),$G$14,$C$6),"")</f>
        <v>3.5</v>
      </c>
      <c r="F30" s="45">
        <f>IFERROR(IF(OR($D$14=$A$12,$E$14=$A$12,$F$14=$A$12),$G$14,$C$6),"")</f>
        <v>999.0</v>
      </c>
      <c r="G30" s="45">
        <f>IFERROR(IF(OR($D$14=$A$13,$E$14=$A$13,$F$14=$A$13),$G$14,$C$6),"")</f>
        <v>999.0</v>
      </c>
      <c r="H30" s="45">
        <f>IFERROR(IF(OR($D$14=$A$14,$E$14=$A$14,$F$14=$A$14),$G$14,$C$6),"")</f>
        <v>999.0</v>
      </c>
      <c r="I30" s="45">
        <f>IFERROR(IF(OR($D$14=$A$15,$E$14=$A$15,$F$14=$A$15),$G$14,$C$6),"")</f>
        <v>999.0</v>
      </c>
      <c r="J30" s="45">
        <f>IFERROR(IF(OR($D$14=$A$16,$E$14=$A$16,$F$14=$A$16),$G$14,$C$6),"")</f>
        <v>999.0</v>
      </c>
      <c r="K30" s="45">
        <f>IFERROR(IF(OR($D$14=$A$17,$E$14=$A$17,$F$14=$A$17),$G$14,$C$6),"")</f>
        <v>999.0</v>
      </c>
      <c r="L30" s="45">
        <f>IFERROR(IF(OR($D$14=$A$18,$E$14=$A$18,$F$14=$A$18),$G$14,$C$6),"")</f>
        <v>999.0</v>
      </c>
      <c r="M30" s="45">
        <f>IFERROR(IF(OR($D$14=$A$19,$E$14=$A$19,$F$14=$A$19),$G$14,$C$6),"")</f>
        <v>999.0</v>
      </c>
      <c r="N30" s="45">
        <f>IFERROR(IF(OR($D$14=$A$20,$E$14=$A$20,$F$14=$A$20),$G$14,$C$6),"")</f>
        <v>999.0</v>
      </c>
      <c r="O30" s="45">
        <f>IFERROR(IF(OR($D$14=$A$21,$E$14=$A$21,$F$14=$A$21),$G$14,$C$6),"")</f>
        <v>999.0</v>
      </c>
    </row>
    <row r="31">
      <c r="A31" s="12" t="inlineStr">
        <is>
          <t>H7</t>
        </is>
      </c>
      <c r="B31" s="36">
        <f>IFERROR(G15,"")</f>
        <v>6.0</v>
      </c>
      <c r="C31" s="45">
        <f>IFERROR(IF(OR($D$15=$A$9,$E$15=$A$9,$F$15=$A$9),$G$15,$C$6),"")</f>
        <v>999.0</v>
      </c>
      <c r="D31" s="45">
        <f>IFERROR(IF(OR($D$15=$A$10,$E$15=$A$10,$F$15=$A$10),$G$15,$C$6),"")</f>
        <v>999.0</v>
      </c>
      <c r="E31" s="45">
        <f>IFERROR(IF(OR($D$15=$A$11,$E$15=$A$11,$F$15=$A$11),$G$15,$C$6),"")</f>
        <v>999.0</v>
      </c>
      <c r="F31" s="45">
        <f>IFERROR(IF(OR($D$15=$A$12,$E$15=$A$12,$F$15=$A$12),$G$15,$C$6),"")</f>
        <v>999.0</v>
      </c>
      <c r="G31" s="45">
        <f>IFERROR(IF(OR($D$15=$A$13,$E$15=$A$13,$F$15=$A$13),$G$15,$C$6),"")</f>
        <v>6.0</v>
      </c>
      <c r="H31" s="45">
        <f>IFERROR(IF(OR($D$15=$A$14,$E$15=$A$14,$F$15=$A$14),$G$15,$C$6),"")</f>
        <v>999.0</v>
      </c>
      <c r="I31" s="45">
        <f>IFERROR(IF(OR($D$15=$A$15,$E$15=$A$15,$F$15=$A$15),$G$15,$C$6),"")</f>
        <v>999.0</v>
      </c>
      <c r="J31" s="45">
        <f>IFERROR(IF(OR($D$15=$A$16,$E$15=$A$16,$F$15=$A$16),$G$15,$C$6),"")</f>
        <v>999.0</v>
      </c>
      <c r="K31" s="45">
        <f>IFERROR(IF(OR($D$15=$A$17,$E$15=$A$17,$F$15=$A$17),$G$15,$C$6),"")</f>
        <v>999.0</v>
      </c>
      <c r="L31" s="45">
        <f>IFERROR(IF(OR($D$15=$A$18,$E$15=$A$18,$F$15=$A$18),$G$15,$C$6),"")</f>
        <v>999.0</v>
      </c>
      <c r="M31" s="45">
        <f>IFERROR(IF(OR($D$15=$A$19,$E$15=$A$19,$F$15=$A$19),$G$15,$C$6),"")</f>
        <v>999.0</v>
      </c>
      <c r="N31" s="45">
        <f>IFERROR(IF(OR($D$15=$A$20,$E$15=$A$20,$F$15=$A$20),$G$15,$C$6),"")</f>
        <v>999.0</v>
      </c>
      <c r="O31" s="45">
        <f>IFERROR(IF(OR($D$15=$A$21,$E$15=$A$21,$F$15=$A$21),$G$15,$C$6),"")</f>
        <v>999.0</v>
      </c>
    </row>
    <row r="32">
      <c r="A32" s="12" t="inlineStr">
        <is>
          <t>H8</t>
        </is>
      </c>
      <c r="B32" s="36">
        <f>IFERROR(G16,"")</f>
        <v>7.0</v>
      </c>
      <c r="C32" s="45">
        <f>IFERROR(IF(OR($D$16=$A$9,$E$16=$A$9,$F$16=$A$9),$G$16,$C$6),"")</f>
        <v>999.0</v>
      </c>
      <c r="D32" s="45">
        <f>IFERROR(IF(OR($D$16=$A$10,$E$16=$A$10,$F$16=$A$10),$G$16,$C$6),"")</f>
        <v>999.0</v>
      </c>
      <c r="E32" s="45">
        <f>IFERROR(IF(OR($D$16=$A$11,$E$16=$A$11,$F$16=$A$11),$G$16,$C$6),"")</f>
        <v>999.0</v>
      </c>
      <c r="F32" s="45">
        <f>IFERROR(IF(OR($D$16=$A$12,$E$16=$A$12,$F$16=$A$12),$G$16,$C$6),"")</f>
        <v>999.0</v>
      </c>
      <c r="G32" s="45">
        <f>IFERROR(IF(OR($D$16=$A$13,$E$16=$A$13,$F$16=$A$13),$G$16,$C$6),"")</f>
        <v>999.0</v>
      </c>
      <c r="H32" s="45">
        <f>IFERROR(IF(OR($D$16=$A$14,$E$16=$A$14,$F$16=$A$14),$G$16,$C$6),"")</f>
        <v>7.0</v>
      </c>
      <c r="I32" s="45">
        <f>IFERROR(IF(OR($D$16=$A$15,$E$16=$A$15,$F$16=$A$15),$G$16,$C$6),"")</f>
        <v>7.0</v>
      </c>
      <c r="J32" s="45">
        <f>IFERROR(IF(OR($D$16=$A$16,$E$16=$A$16,$F$16=$A$16),$G$16,$C$6),"")</f>
        <v>999.0</v>
      </c>
      <c r="K32" s="45">
        <f>IFERROR(IF(OR($D$16=$A$17,$E$16=$A$17,$F$16=$A$17),$G$16,$C$6),"")</f>
        <v>999.0</v>
      </c>
      <c r="L32" s="45">
        <f>IFERROR(IF(OR($D$16=$A$18,$E$16=$A$18,$F$16=$A$18),$G$16,$C$6),"")</f>
        <v>999.0</v>
      </c>
      <c r="M32" s="45">
        <f>IFERROR(IF(OR($D$16=$A$19,$E$16=$A$19,$F$16=$A$19),$G$16,$C$6),"")</f>
        <v>999.0</v>
      </c>
      <c r="N32" s="45">
        <f>IFERROR(IF(OR($D$16=$A$20,$E$16=$A$20,$F$16=$A$20),$G$16,$C$6),"")</f>
        <v>999.0</v>
      </c>
      <c r="O32" s="45">
        <f>IFERROR(IF(OR($D$16=$A$21,$E$16=$A$21,$F$16=$A$21),$G$16,$C$6),"")</f>
        <v>999.0</v>
      </c>
    </row>
    <row r="33">
      <c r="A33" s="12" t="inlineStr">
        <is>
          <t>H9</t>
        </is>
      </c>
      <c r="B33" s="36">
        <f>IFERROR(G17,"")</f>
        <v>7.5</v>
      </c>
      <c r="C33" s="45">
        <f>IFERROR(IF(OR($D$17=$A$9,$E$17=$A$9,$F$17=$A$9),$G$17,$C$6),"")</f>
        <v>999.0</v>
      </c>
      <c r="D33" s="45">
        <f>IFERROR(IF(OR($D$17=$A$10,$E$17=$A$10,$F$17=$A$10),$G$17,$C$6),"")</f>
        <v>999.0</v>
      </c>
      <c r="E33" s="45">
        <f>IFERROR(IF(OR($D$17=$A$11,$E$17=$A$11,$F$17=$A$11),$G$17,$C$6),"")</f>
        <v>999.0</v>
      </c>
      <c r="F33" s="45">
        <f>IFERROR(IF(OR($D$17=$A$12,$E$17=$A$12,$F$17=$A$12),$G$17,$C$6),"")</f>
        <v>999.0</v>
      </c>
      <c r="G33" s="45">
        <f>IFERROR(IF(OR($D$17=$A$13,$E$17=$A$13,$F$17=$A$13),$G$17,$C$6),"")</f>
        <v>999.0</v>
      </c>
      <c r="H33" s="45">
        <f>IFERROR(IF(OR($D$17=$A$14,$E$17=$A$14,$F$17=$A$14),$G$17,$C$6),"")</f>
        <v>999.0</v>
      </c>
      <c r="I33" s="45">
        <f>IFERROR(IF(OR($D$17=$A$15,$E$17=$A$15,$F$17=$A$15),$G$17,$C$6),"")</f>
        <v>999.0</v>
      </c>
      <c r="J33" s="45">
        <f>IFERROR(IF(OR($D$17=$A$16,$E$17=$A$16,$F$17=$A$16),$G$17,$C$6),"")</f>
        <v>7.5</v>
      </c>
      <c r="K33" s="45">
        <f>IFERROR(IF(OR($D$17=$A$17,$E$17=$A$17,$F$17=$A$17),$G$17,$C$6),"")</f>
        <v>999.0</v>
      </c>
      <c r="L33" s="45">
        <f>IFERROR(IF(OR($D$17=$A$18,$E$17=$A$18,$F$17=$A$18),$G$17,$C$6),"")</f>
        <v>999.0</v>
      </c>
      <c r="M33" s="45">
        <f>IFERROR(IF(OR($D$17=$A$19,$E$17=$A$19,$F$17=$A$19),$G$17,$C$6),"")</f>
        <v>999.0</v>
      </c>
      <c r="N33" s="45">
        <f>IFERROR(IF(OR($D$17=$A$20,$E$17=$A$20,$F$17=$A$20),$G$17,$C$6),"")</f>
        <v>999.0</v>
      </c>
      <c r="O33" s="45">
        <f>IFERROR(IF(OR($D$17=$A$21,$E$17=$A$21,$F$17=$A$21),$G$17,$C$6),"")</f>
        <v>999.0</v>
      </c>
    </row>
    <row r="34">
      <c r="A34" s="12" t="inlineStr">
        <is>
          <t>H10</t>
        </is>
      </c>
      <c r="B34" s="36">
        <f>IFERROR(G18,"")</f>
        <v>7.5</v>
      </c>
      <c r="C34" s="45">
        <f>IFERROR(IF(OR($D$18=$A$9,$E$18=$A$9,$F$18=$A$9),$G$18,$C$6),"")</f>
        <v>999.0</v>
      </c>
      <c r="D34" s="45">
        <f>IFERROR(IF(OR($D$18=$A$10,$E$18=$A$10,$F$18=$A$10),$G$18,$C$6),"")</f>
        <v>999.0</v>
      </c>
      <c r="E34" s="45">
        <f>IFERROR(IF(OR($D$18=$A$11,$E$18=$A$11,$F$18=$A$11),$G$18,$C$6),"")</f>
        <v>999.0</v>
      </c>
      <c r="F34" s="45">
        <f>IFERROR(IF(OR($D$18=$A$12,$E$18=$A$12,$F$18=$A$12),$G$18,$C$6),"")</f>
        <v>999.0</v>
      </c>
      <c r="G34" s="45">
        <f>IFERROR(IF(OR($D$18=$A$13,$E$18=$A$13,$F$18=$A$13),$G$18,$C$6),"")</f>
        <v>999.0</v>
      </c>
      <c r="H34" s="45">
        <f>IFERROR(IF(OR($D$18=$A$14,$E$18=$A$14,$F$18=$A$14),$G$18,$C$6),"")</f>
        <v>999.0</v>
      </c>
      <c r="I34" s="45">
        <f>IFERROR(IF(OR($D$18=$A$15,$E$18=$A$15,$F$18=$A$15),$G$18,$C$6),"")</f>
        <v>999.0</v>
      </c>
      <c r="J34" s="45">
        <f>IFERROR(IF(OR($D$18=$A$16,$E$18=$A$16,$F$18=$A$16),$G$18,$C$6),"")</f>
        <v>7.5</v>
      </c>
      <c r="K34" s="45">
        <f>IFERROR(IF(OR($D$18=$A$17,$E$18=$A$17,$F$18=$A$17),$G$18,$C$6),"")</f>
        <v>999.0</v>
      </c>
      <c r="L34" s="45">
        <f>IFERROR(IF(OR($D$18=$A$18,$E$18=$A$18,$F$18=$A$18),$G$18,$C$6),"")</f>
        <v>999.0</v>
      </c>
      <c r="M34" s="45">
        <f>IFERROR(IF(OR($D$18=$A$19,$E$18=$A$19,$F$18=$A$19),$G$18,$C$6),"")</f>
        <v>999.0</v>
      </c>
      <c r="N34" s="45">
        <f>IFERROR(IF(OR($D$18=$A$20,$E$18=$A$20,$F$18=$A$20),$G$18,$C$6),"")</f>
        <v>999.0</v>
      </c>
      <c r="O34" s="45">
        <f>IFERROR(IF(OR($D$18=$A$21,$E$18=$A$21,$F$18=$A$21),$G$18,$C$6),"")</f>
        <v>999.0</v>
      </c>
    </row>
    <row r="35">
      <c r="A35" s="12" t="inlineStr">
        <is>
          <t>H11</t>
        </is>
      </c>
      <c r="B35" s="36">
        <f>IFERROR(G19,"")</f>
        <v>7.5</v>
      </c>
      <c r="C35" s="45">
        <f>IFERROR(IF(OR($D$19=$A$9,$E$19=$A$9,$F$19=$A$9),$G$19,$C$6),"")</f>
        <v>999.0</v>
      </c>
      <c r="D35" s="45">
        <f>IFERROR(IF(OR($D$19=$A$10,$E$19=$A$10,$F$19=$A$10),$G$19,$C$6),"")</f>
        <v>999.0</v>
      </c>
      <c r="E35" s="45">
        <f>IFERROR(IF(OR($D$19=$A$11,$E$19=$A$11,$F$19=$A$11),$G$19,$C$6),"")</f>
        <v>999.0</v>
      </c>
      <c r="F35" s="45">
        <f>IFERROR(IF(OR($D$19=$A$12,$E$19=$A$12,$F$19=$A$12),$G$19,$C$6),"")</f>
        <v>999.0</v>
      </c>
      <c r="G35" s="45">
        <f>IFERROR(IF(OR($D$19=$A$13,$E$19=$A$13,$F$19=$A$13),$G$19,$C$6),"")</f>
        <v>999.0</v>
      </c>
      <c r="H35" s="45">
        <f>IFERROR(IF(OR($D$19=$A$14,$E$19=$A$14,$F$19=$A$14),$G$19,$C$6),"")</f>
        <v>999.0</v>
      </c>
      <c r="I35" s="45">
        <f>IFERROR(IF(OR($D$19=$A$15,$E$19=$A$15,$F$19=$A$15),$G$19,$C$6),"")</f>
        <v>999.0</v>
      </c>
      <c r="J35" s="45">
        <f>IFERROR(IF(OR($D$19=$A$16,$E$19=$A$16,$F$19=$A$16),$G$19,$C$6),"")</f>
        <v>7.5</v>
      </c>
      <c r="K35" s="45">
        <f>IFERROR(IF(OR($D$19=$A$17,$E$19=$A$17,$F$19=$A$17),$G$19,$C$6),"")</f>
        <v>999.0</v>
      </c>
      <c r="L35" s="45">
        <f>IFERROR(IF(OR($D$19=$A$18,$E$19=$A$18,$F$19=$A$18),$G$19,$C$6),"")</f>
        <v>999.0</v>
      </c>
      <c r="M35" s="45">
        <f>IFERROR(IF(OR($D$19=$A$19,$E$19=$A$19,$F$19=$A$19),$G$19,$C$6),"")</f>
        <v>999.0</v>
      </c>
      <c r="N35" s="45">
        <f>IFERROR(IF(OR($D$19=$A$20,$E$19=$A$20,$F$19=$A$20),$G$19,$C$6),"")</f>
        <v>999.0</v>
      </c>
      <c r="O35" s="45">
        <f>IFERROR(IF(OR($D$19=$A$21,$E$19=$A$21,$F$19=$A$21),$G$19,$C$6),"")</f>
        <v>999.0</v>
      </c>
    </row>
    <row r="36">
      <c r="A36" s="12" t="inlineStr">
        <is>
          <t>H12</t>
        </is>
      </c>
      <c r="B36" s="36">
        <f>IFERROR(G20,"")</f>
        <v>8.0</v>
      </c>
      <c r="C36" s="45">
        <f>IFERROR(IF(OR($D$20=$A$9,$E$20=$A$9,$F$20=$A$9),$G$20,$C$6),"")</f>
        <v>999.0</v>
      </c>
      <c r="D36" s="45">
        <f>IFERROR(IF(OR($D$20=$A$10,$E$20=$A$10,$F$20=$A$10),$G$20,$C$6),"")</f>
        <v>999.0</v>
      </c>
      <c r="E36" s="45">
        <f>IFERROR(IF(OR($D$20=$A$11,$E$20=$A$11,$F$20=$A$11),$G$20,$C$6),"")</f>
        <v>999.0</v>
      </c>
      <c r="F36" s="45">
        <f>IFERROR(IF(OR($D$20=$A$12,$E$20=$A$12,$F$20=$A$12),$G$20,$C$6),"")</f>
        <v>999.0</v>
      </c>
      <c r="G36" s="45">
        <f>IFERROR(IF(OR($D$20=$A$13,$E$20=$A$13,$F$20=$A$13),$G$20,$C$6),"")</f>
        <v>999.0</v>
      </c>
      <c r="H36" s="45">
        <f>IFERROR(IF(OR($D$20=$A$14,$E$20=$A$14,$F$20=$A$14),$G$20,$C$6),"")</f>
        <v>999.0</v>
      </c>
      <c r="I36" s="45">
        <f>IFERROR(IF(OR($D$20=$A$15,$E$20=$A$15,$F$20=$A$15),$G$20,$C$6),"")</f>
        <v>999.0</v>
      </c>
      <c r="J36" s="45">
        <f>IFERROR(IF(OR($D$20=$A$16,$E$20=$A$16,$F$20=$A$16),$G$20,$C$6),"")</f>
        <v>999.0</v>
      </c>
      <c r="K36" s="45">
        <f>IFERROR(IF(OR($D$20=$A$17,$E$20=$A$17,$F$20=$A$17),$G$20,$C$6),"")</f>
        <v>8.0</v>
      </c>
      <c r="L36" s="45">
        <f>IFERROR(IF(OR($D$20=$A$18,$E$20=$A$18,$F$20=$A$18),$G$20,$C$6),"")</f>
        <v>8.0</v>
      </c>
      <c r="M36" s="45">
        <f>IFERROR(IF(OR($D$20=$A$19,$E$20=$A$19,$F$20=$A$19),$G$20,$C$6),"")</f>
        <v>8.0</v>
      </c>
      <c r="N36" s="45">
        <f>IFERROR(IF(OR($D$20=$A$20,$E$20=$A$20,$F$20=$A$20),$G$20,$C$6),"")</f>
        <v>999.0</v>
      </c>
      <c r="O36" s="45">
        <f>IFERROR(IF(OR($D$20=$A$21,$E$20=$A$21,$F$20=$A$21),$G$20,$C$6),"")</f>
        <v>999.0</v>
      </c>
    </row>
    <row r="37">
      <c r="A37" s="12" t="inlineStr">
        <is>
          <t>H13</t>
        </is>
      </c>
      <c r="B37" s="36">
        <f>IFERROR(G21,"")</f>
        <v>8.5</v>
      </c>
      <c r="C37" s="45">
        <f>IFERROR(IF(OR($D$21=$A$9,$E$21=$A$9,$F$21=$A$9),$G$21,$C$6),"")</f>
        <v>999.0</v>
      </c>
      <c r="D37" s="45">
        <f>IFERROR(IF(OR($D$21=$A$10,$E$21=$A$10,$F$21=$A$10),$G$21,$C$6),"")</f>
        <v>999.0</v>
      </c>
      <c r="E37" s="45">
        <f>IFERROR(IF(OR($D$21=$A$11,$E$21=$A$11,$F$21=$A$11),$G$21,$C$6),"")</f>
        <v>999.0</v>
      </c>
      <c r="F37" s="45">
        <f>IFERROR(IF(OR($D$21=$A$12,$E$21=$A$12,$F$21=$A$12),$G$21,$C$6),"")</f>
        <v>999.0</v>
      </c>
      <c r="G37" s="45">
        <f>IFERROR(IF(OR($D$21=$A$13,$E$21=$A$13,$F$21=$A$13),$G$21,$C$6),"")</f>
        <v>999.0</v>
      </c>
      <c r="H37" s="45">
        <f>IFERROR(IF(OR($D$21=$A$14,$E$21=$A$14,$F$21=$A$14),$G$21,$C$6),"")</f>
        <v>999.0</v>
      </c>
      <c r="I37" s="45">
        <f>IFERROR(IF(OR($D$21=$A$15,$E$21=$A$15,$F$21=$A$15),$G$21,$C$6),"")</f>
        <v>999.0</v>
      </c>
      <c r="J37" s="45">
        <f>IFERROR(IF(OR($D$21=$A$16,$E$21=$A$16,$F$21=$A$16),$G$21,$C$6),"")</f>
        <v>999.0</v>
      </c>
      <c r="K37" s="45">
        <f>IFERROR(IF(OR($D$21=$A$17,$E$21=$A$17,$F$21=$A$17),$G$21,$C$6),"")</f>
        <v>999.0</v>
      </c>
      <c r="L37" s="45">
        <f>IFERROR(IF(OR($D$21=$A$18,$E$21=$A$18,$F$21=$A$18),$G$21,$C$6),"")</f>
        <v>999.0</v>
      </c>
      <c r="M37" s="45">
        <f>IFERROR(IF(OR($D$21=$A$19,$E$21=$A$19,$F$21=$A$19),$G$21,$C$6),"")</f>
        <v>999.0</v>
      </c>
      <c r="N37" s="45">
        <f>IFERROR(IF(OR($D$21=$A$20,$E$21=$A$20,$F$21=$A$20),$G$21,$C$6),"")</f>
        <v>8.5</v>
      </c>
      <c r="O37" s="45">
        <f>IFERROR(IF(OR($D$21=$A$21,$E$21=$A$21,$F$21=$A$21),$G$21,$C$6),"")</f>
        <v>999.0</v>
      </c>
    </row>
    <row r="38"/>
    <row r="39">
      <c r="A39" s="4" t="inlineStr">
        <is>
          <t>LO QUE SALE DE TODO ESTO</t>
        </is>
      </c>
      <c r="B39" s="10" t="inlineStr"/>
      <c r="C39" s="10" t="inlineStr"/>
      <c r="D39" s="10" t="inlineStr"/>
      <c r="E39" s="10" t="inlineStr"/>
      <c r="F39" s="10" t="inlineStr"/>
      <c r="G39" s="10" t="inlineStr"/>
      <c r="H39" s="10" t="inlineStr"/>
      <c r="I39" s="10" t="inlineStr"/>
      <c r="J39" s="10" t="inlineStr"/>
      <c r="K39" s="10" t="inlineStr"/>
      <c r="L39" s="10" t="inlineStr"/>
      <c r="M39" s="10" t="inlineStr"/>
      <c r="N39" s="10" t="inlineStr"/>
      <c r="O39" s="10" t="inlineStr"/>
      <c r="Q39" s="10" t="inlineStr"/>
    </row>
    <row r="40">
      <c r="A40" s="8" t="inlineStr">
        <is>
          <t>Duración total del proyecto (meses)</t>
        </is>
      </c>
      <c r="C40" s="46">
        <f>IFERROR(MAX(H9:H21),"")</f>
        <v>8.5</v>
      </c>
      <c r="Q40" s="5" t="inlineStr">
        <is>
          <t>Desde el primer día de búsqueda de local hasta el día que abres la puerta. No incluye lo que tardes en decidirte.</t>
        </is>
      </c>
    </row>
    <row r="41">
      <c r="A41" s="9" t="inlineStr">
        <is>
          <t>Hitos SIN holgura (ruta crítica)</t>
        </is>
      </c>
      <c r="C41" s="21">
        <f>IFERROR(COUNTIF(J9:J21,"Sí"),"")</f>
        <v>12.0</v>
      </c>
      <c r="Q41" s="5" t="inlineStr">
        <is>
          <t>Los que si se retrasan un día retrasan la apertura un día. Cuenta TODOS los de holgura cero, que son más que los del camino más largo: dos hitos en paralelo de la misma duración no tienen holgura ninguno de los dos.</t>
        </is>
      </c>
    </row>
    <row r="42">
      <c r="A42" s="8" t="inlineStr">
        <is>
          <t>Mes natural en el que abres (1-12)</t>
        </is>
      </c>
      <c r="C42" s="26">
        <f>IFERROR(ROUNDDOWN(MOD($C$5-1+C40,12),0)+1,"")</f>
        <v>6.0</v>
      </c>
    </row>
    <row r="43">
      <c r="A43" s="8" t="inlineStr">
        <is>
          <t>Nombre de ese mes</t>
        </is>
      </c>
      <c r="C43" s="23" t="str">
        <f>IFERROR(INDEX($B$76:$B$87,C42),"")</f>
        <v>Junio</v>
      </c>
    </row>
    <row r="44">
      <c r="A44" s="8" t="inlineStr">
        <is>
          <t>Temporada de ese mes, según el calendario del kit</t>
        </is>
      </c>
      <c r="C44" s="23" t="str">
        <f>IFERROR(INDEX($C$57:$C$68,C42),"")</f>
        <v>Media</v>
      </c>
      <c r="Q44" s="5" t="inlineStr">
        <is>
          <t>Las doce filas de temporada son copia declarada del calendario anual del Kit de Tareas Chocolatería: siete meses Alta, cuatro Media y uno Baja.</t>
        </is>
      </c>
    </row>
    <row r="45" ht="34" customHeight="1">
      <c r="A45" s="8" t="inlineStr">
        <is>
          <t>Aviso</t>
        </is>
      </c>
      <c r="C45" s="28" t="str">
        <f>IFERROR(IF(C44="Alta","Abres DENTRO de temporada ALTA: el equipo estrena obrador el mes de más carga del año, y eso se paga en mermas y en encargos que no salen",IF(C44="Baja","Abres en agosto, que es el único mes Baja: el obrador para y la tienda vive del turista. Es barato para rodar, pero no mide nada","Abres en temporada media: tienes rodaje antes del siguiente pico")),"")</f>
        <v>Abres en temporada media: tienes rodaje antes del siguiente pico</v>
      </c>
    </row>
    <row r="46"/>
    <row r="47">
      <c r="A47" s="4" t="inlineStr">
        <is>
          <t>CRUCE CON EL LIBRO 9: el plazo de la maquinaria contra tu ruta crítica</t>
        </is>
      </c>
      <c r="B47" s="10" t="inlineStr"/>
      <c r="C47" s="10" t="inlineStr"/>
      <c r="D47" s="10" t="inlineStr"/>
      <c r="E47" s="10" t="inlineStr"/>
      <c r="F47" s="10" t="inlineStr"/>
      <c r="G47" s="10" t="inlineStr"/>
      <c r="H47" s="10" t="inlineStr"/>
      <c r="I47" s="10" t="inlineStr"/>
      <c r="J47" s="10" t="inlineStr"/>
      <c r="K47" s="10" t="inlineStr"/>
      <c r="L47" s="10" t="inlineStr"/>
      <c r="M47" s="10" t="inlineStr"/>
      <c r="N47" s="10" t="inlineStr"/>
      <c r="O47" s="10" t="inlineStr"/>
      <c r="Q47" s="10" t="inlineStr"/>
    </row>
    <row r="48">
      <c r="A48" s="9" t="inlineStr">
        <is>
          <t>Trae aquí el plazo crítico en semanas de checklist-equipamiento-y-proveedores-cacao.xlsx!Equipamiento!I53</t>
        </is>
      </c>
      <c r="C48" s="30" t="n">
        <v>10</v>
      </c>
      <c r="Q48" s="5" t="inlineStr">
        <is>
          <t>VALOR POR DEFECTO DECLARADO: el plazo más largo de las líneas críticas de la dotación de ejemplo. Los plazos de entrega son SUPUESTOS en todo el producto -ningún distribuidor los publica-, así que en cuanto tengas uno POR ESCRITO en un presupuesto, tráelo aquí. No hay ninguna fórmula que apunte a otro fichero: esto es una copia declarada.</t>
        </is>
      </c>
    </row>
    <row r="49">
      <c r="A49" s="9" t="inlineStr">
        <is>
          <t>Semanas que tiene un mes medio</t>
        </is>
      </c>
      <c r="C49" s="30" t="n">
        <v>4.33</v>
      </c>
      <c r="Q49" s="5" t="inlineStr">
        <is>
          <t>Constante de conversión, en celda para que no viva dentro de ninguna fórmula: 52 semanas repartidas en 12 meses dan 4,33 semanas por mes.</t>
        </is>
      </c>
    </row>
    <row r="50">
      <c r="A50" s="9" t="inlineStr">
        <is>
          <t>Ese plazo, en meses</t>
        </is>
      </c>
      <c r="C50" s="36">
        <f>IFERROR(IF(C49=0,"",C48/C49),"")</f>
        <v>2.3094688221709005</v>
      </c>
      <c r="Q50" s="5" t="inlineStr">
        <is>
          <t>Se convierte a meses para poder compararlo con la ruta crítica, que trabaja en meses decimales.</t>
        </is>
      </c>
    </row>
    <row r="51">
      <c r="A51" s="9" t="inlineStr">
        <is>
          <t>Tu ruta crítica, en meses</t>
        </is>
      </c>
      <c r="C51" s="36">
        <f>IFERROR(C40,"")</f>
        <v>8.5</v>
      </c>
    </row>
    <row r="52">
      <c r="A52" s="9" t="inlineStr">
        <is>
          <t>Margen entre la ruta crítica y el plazo (meses)</t>
        </is>
      </c>
      <c r="C52" s="36">
        <f>IFERROR(C51-C50,"")</f>
        <v>6.190531177829099</v>
      </c>
      <c r="Q52" s="5" t="inlineStr">
        <is>
          <t>Negativo = la máquina llega después de que esté todo el papeleo hecho.</t>
        </is>
      </c>
    </row>
    <row r="53" ht="40" customHeight="1">
      <c r="A53" s="23" t="inlineStr">
        <is>
          <t>CUADRE: ¿quién manda tu fecha de apertura?</t>
        </is>
      </c>
      <c r="C53" s="27" t="str">
        <f>IF(OR(C52="",C50=""),"",IF(C52&lt;0,"LA MANDA LA MAQUINARIA: tu ruta crítica es más corta que el plazo de entrega, así que la fecha de apertura la fija el equipo, no el papeleo","CUADRA: el papeleo es lo más largo, y es lo que fija la fecha"))</f>
        <v>CUADRA: el papeleo es lo más largo, y es lo que fija la fecha</v>
      </c>
      <c r="Q53" s="5" t="inlineStr">
        <is>
          <t>Sin esta fila, leerías una fecha de apertura en este libro y un plazo incompatible en el 9 sin un solo aviso. Es el defecto que este cruce viene a cerrar.</t>
        </is>
      </c>
    </row>
    <row r="54"/>
    <row r="55">
      <c r="A55" s="4" t="inlineStr">
        <is>
          <t>EL CALENDARIO DEL AÑO (copia declarada del Kit de Tareas Chocolatería)</t>
        </is>
      </c>
      <c r="B55" s="10" t="inlineStr"/>
      <c r="C55" s="10" t="inlineStr"/>
      <c r="D55" s="10" t="inlineStr"/>
      <c r="E55" s="10" t="inlineStr"/>
      <c r="F55" s="10" t="inlineStr"/>
      <c r="G55" s="10" t="inlineStr"/>
      <c r="H55" s="10" t="inlineStr"/>
      <c r="I55" s="10" t="inlineStr"/>
      <c r="J55" s="10" t="inlineStr"/>
      <c r="K55" s="10" t="inlineStr"/>
      <c r="L55" s="10" t="inlineStr"/>
      <c r="M55" s="10" t="inlineStr"/>
      <c r="N55" s="10" t="inlineStr"/>
      <c r="O55" s="10" t="inlineStr"/>
      <c r="Q55" s="10" t="inlineStr"/>
    </row>
    <row r="56" ht="22" customHeight="1">
      <c r="A56" s="7" t="inlineStr">
        <is>
          <t>Mes</t>
        </is>
      </c>
      <c r="B56" s="7" t="inlineStr">
        <is>
          <t>Campaña</t>
        </is>
      </c>
      <c r="C56" s="7" t="inlineStr">
        <is>
          <t>Temporada</t>
        </is>
      </c>
      <c r="D56" s="7" t="inlineStr">
        <is>
          <t>Nº de mes</t>
        </is>
      </c>
      <c r="Q56" s="7" t="inlineStr">
        <is>
          <t>Notas</t>
        </is>
      </c>
    </row>
    <row r="57">
      <c r="A57" t="inlineStr">
        <is>
          <t>Enero</t>
        </is>
      </c>
      <c r="B57" s="9" t="inlineStr">
        <is>
          <t>Reyes</t>
        </is>
      </c>
      <c r="C57" s="12" t="inlineStr">
        <is>
          <t>Media</t>
        </is>
      </c>
      <c r="D57" s="24" t="n">
        <v>1</v>
      </c>
      <c r="Q57" s="5" t="inlineStr">
        <is>
          <t>Los euros de cada campaña y si tu equipo aguanta el pico están en «campanas-y-valle-del-ano.xlsx». Aquí sólo se usan los meses y su temporada, para avisarte de en qué punto del año vas a abrir.</t>
        </is>
      </c>
    </row>
    <row r="58">
      <c r="A58" t="inlineStr">
        <is>
          <t>Febrero</t>
        </is>
      </c>
      <c r="B58" s="9" t="inlineStr">
        <is>
          <t>San Valentín</t>
        </is>
      </c>
      <c r="C58" s="12" t="inlineStr">
        <is>
          <t>Alta</t>
        </is>
      </c>
      <c r="D58" s="24" t="n">
        <v>2</v>
      </c>
    </row>
    <row r="59">
      <c r="A59" t="inlineStr">
        <is>
          <t>Marzo</t>
        </is>
      </c>
      <c r="B59" s="9" t="inlineStr">
        <is>
          <t>Día del Padre</t>
        </is>
      </c>
      <c r="C59" s="12" t="inlineStr">
        <is>
          <t>Alta</t>
        </is>
      </c>
      <c r="D59" s="24" t="n">
        <v>3</v>
      </c>
    </row>
    <row r="60">
      <c r="A60" t="inlineStr">
        <is>
          <t>Abril</t>
        </is>
      </c>
      <c r="B60" s="9" t="inlineStr">
        <is>
          <t>Pascua</t>
        </is>
      </c>
      <c r="C60" s="12" t="inlineStr">
        <is>
          <t>Alta</t>
        </is>
      </c>
      <c r="D60" s="24" t="n">
        <v>4</v>
      </c>
    </row>
    <row r="61">
      <c r="A61" t="inlineStr">
        <is>
          <t>Mayo</t>
        </is>
      </c>
      <c r="B61" s="9" t="inlineStr">
        <is>
          <t>COMUNIONES (pico) y Día de la Madre</t>
        </is>
      </c>
      <c r="C61" s="12" t="inlineStr">
        <is>
          <t>Alta</t>
        </is>
      </c>
      <c r="D61" s="24" t="n">
        <v>5</v>
      </c>
    </row>
    <row r="62">
      <c r="A62" t="inlineStr">
        <is>
          <t>Junio</t>
        </is>
      </c>
      <c r="B62" s="9" t="inlineStr">
        <is>
          <t>COMUNIONES (últimas)</t>
        </is>
      </c>
      <c r="C62" s="12" t="inlineStr">
        <is>
          <t>Media</t>
        </is>
      </c>
      <c r="D62" s="24" t="n">
        <v>6</v>
      </c>
    </row>
    <row r="63">
      <c r="A63" t="inlineStr">
        <is>
          <t>Julio</t>
        </is>
      </c>
      <c r="B63" s="9" t="inlineStr">
        <is>
          <t>Temporada turistica</t>
        </is>
      </c>
      <c r="C63" s="12" t="inlineStr">
        <is>
          <t>Media</t>
        </is>
      </c>
      <c r="D63" s="24" t="n">
        <v>7</v>
      </c>
    </row>
    <row r="64">
      <c r="A64" t="inlineStr">
        <is>
          <t>Agosto</t>
        </is>
      </c>
      <c r="B64" s="9" t="inlineStr">
        <is>
          <t>Valle del obrador</t>
        </is>
      </c>
      <c r="C64" s="12" t="inlineStr">
        <is>
          <t>Baja</t>
        </is>
      </c>
      <c r="D64" s="24" t="n">
        <v>8</v>
      </c>
    </row>
    <row r="65">
      <c r="A65" t="inlineStr">
        <is>
          <t>Septiembre</t>
        </is>
      </c>
      <c r="B65" s="9" t="inlineStr">
        <is>
          <t>Apertura de agenda corporativa</t>
        </is>
      </c>
      <c r="C65" s="12" t="inlineStr">
        <is>
          <t>Media</t>
        </is>
      </c>
      <c r="D65" s="24" t="n">
        <v>9</v>
      </c>
    </row>
    <row r="66">
      <c r="A66" t="inlineStr">
        <is>
          <t>Octubre</t>
        </is>
      </c>
      <c r="B66" s="9" t="inlineStr">
        <is>
          <t>Halloween</t>
        </is>
      </c>
      <c r="C66" s="12" t="inlineStr">
        <is>
          <t>Alta</t>
        </is>
      </c>
      <c r="D66" s="24" t="n">
        <v>10</v>
      </c>
    </row>
    <row r="67">
      <c r="A67" t="inlineStr">
        <is>
          <t>Noviembre</t>
        </is>
      </c>
      <c r="B67" s="9" t="inlineStr">
        <is>
          <t>Todos los Santos y Black Friday</t>
        </is>
      </c>
      <c r="C67" s="12" t="inlineStr">
        <is>
          <t>Alta</t>
        </is>
      </c>
      <c r="D67" s="24" t="n">
        <v>11</v>
      </c>
    </row>
    <row r="68">
      <c r="A68" t="inlineStr">
        <is>
          <t>Diciembre</t>
        </is>
      </c>
      <c r="B68" s="9" t="inlineStr">
        <is>
          <t>Navidad</t>
        </is>
      </c>
      <c r="C68" s="12" t="inlineStr">
        <is>
          <t>Alta</t>
        </is>
      </c>
      <c r="D68" s="24" t="n">
        <v>12</v>
      </c>
    </row>
    <row r="69"/>
    <row r="70" ht="56" customHeight="1">
      <c r="A70" s="5" t="inlineStr">
        <is>
          <t>LAS DURACIONES SON SUPUESTOS y casi todas dependen de un tercero. Cámbialas por las tuyas en cuanto tengas un plazo por escrito, empezando por el del equipamiento: es el que más silenciosamente mueve la fecha de apertura, porque no falla, sólo llega tarde. La hoja no usa funciones de fecha a propósito: trabaja en meses decimales, así que medio mes es 0,5 y se puede sumar sin discutir con el calendario laboral.</t>
        </is>
      </c>
    </row>
    <row r="71" ht="48" customHeight="1">
      <c r="A71" s="5" t="inlineStr">
        <is>
          <t>Y lo que NO está aquí: qué trámite pide tu ayuntamiento. No se ha abierto ninguna ordenanza municipal para este producto, así que afirmarlo sería inventárselo. Lo que sí está verificado, y es lo que de verdad te protege, es que ningún ayuntamiento puede exigirte licencia PREVIA de actividad hasta 750 metros cuadrados.</t>
        </is>
      </c>
    </row>
    <row r="72"/>
    <row r="73"/>
    <row r="74">
      <c r="A74" s="4" t="inlineStr">
        <is>
          <t>Listas de validación (no las borres: las usan los desplegables)</t>
        </is>
      </c>
    </row>
    <row r="75">
      <c r="A75" s="23" t="inlineStr">
        <is>
          <t>Hitos y «sin dependencia»</t>
        </is>
      </c>
      <c r="B75" s="23" t="inlineStr">
        <is>
          <t>Meses del año</t>
        </is>
      </c>
    </row>
    <row r="76">
      <c r="A76" t="inlineStr">
        <is>
          <t>-</t>
        </is>
      </c>
      <c r="B76" t="inlineStr">
        <is>
          <t>Enero</t>
        </is>
      </c>
    </row>
    <row r="77">
      <c r="A77" t="inlineStr">
        <is>
          <t>H1</t>
        </is>
      </c>
      <c r="B77" t="inlineStr">
        <is>
          <t>Febrero</t>
        </is>
      </c>
    </row>
    <row r="78">
      <c r="A78" t="inlineStr">
        <is>
          <t>H2</t>
        </is>
      </c>
      <c r="B78" t="inlineStr">
        <is>
          <t>Marzo</t>
        </is>
      </c>
    </row>
    <row r="79">
      <c r="A79" t="inlineStr">
        <is>
          <t>H3</t>
        </is>
      </c>
      <c r="B79" t="inlineStr">
        <is>
          <t>Abril</t>
        </is>
      </c>
    </row>
    <row r="80">
      <c r="A80" t="inlineStr">
        <is>
          <t>H4</t>
        </is>
      </c>
      <c r="B80" t="inlineStr">
        <is>
          <t>Mayo</t>
        </is>
      </c>
    </row>
    <row r="81">
      <c r="A81" t="inlineStr">
        <is>
          <t>H5</t>
        </is>
      </c>
      <c r="B81" t="inlineStr">
        <is>
          <t>Junio</t>
        </is>
      </c>
    </row>
    <row r="82">
      <c r="A82" t="inlineStr">
        <is>
          <t>H6</t>
        </is>
      </c>
      <c r="B82" t="inlineStr">
        <is>
          <t>Julio</t>
        </is>
      </c>
    </row>
    <row r="83">
      <c r="A83" t="inlineStr">
        <is>
          <t>H7</t>
        </is>
      </c>
      <c r="B83" t="inlineStr">
        <is>
          <t>Agosto</t>
        </is>
      </c>
    </row>
    <row r="84">
      <c r="A84" t="inlineStr">
        <is>
          <t>H8</t>
        </is>
      </c>
      <c r="B84" t="inlineStr">
        <is>
          <t>Septiembre</t>
        </is>
      </c>
    </row>
    <row r="85">
      <c r="A85" t="inlineStr">
        <is>
          <t>H9</t>
        </is>
      </c>
      <c r="B85" t="inlineStr">
        <is>
          <t>Octubre</t>
        </is>
      </c>
    </row>
    <row r="86">
      <c r="A86" t="inlineStr">
        <is>
          <t>H10</t>
        </is>
      </c>
      <c r="B86" t="inlineStr">
        <is>
          <t>Noviembre</t>
        </is>
      </c>
    </row>
    <row r="87">
      <c r="A87" t="inlineStr">
        <is>
          <t>H11</t>
        </is>
      </c>
      <c r="B87" t="inlineStr">
        <is>
          <t>Diciembre</t>
        </is>
      </c>
    </row>
    <row r="88">
      <c r="A88" t="inlineStr">
        <is>
          <t>H12</t>
        </is>
      </c>
    </row>
    <row r="89">
      <c r="A89" t="inlineStr">
        <is>
          <t>H13</t>
        </is>
      </c>
    </row>
  </sheetData>
  <sheetProtection selectLockedCells="0" selectUnlockedCells="0" sheet="1" objects="0" insertRows="0" insertHyperlinks="1" autoFilter="1" scenarios="0" formatColumns="0" deleteColumns="1" insertColumns="1" pivotTables="1" deleteRows="1" formatCells="1" formatRows="0" sort="0"/>
  <mergeCells count="19">
    <mergeCell ref="A41:B41"/>
    <mergeCell ref="A40:B40"/>
    <mergeCell ref="A5:B5"/>
    <mergeCell ref="A3:Q3"/>
    <mergeCell ref="A45:B45"/>
    <mergeCell ref="A53:B53"/>
    <mergeCell ref="A44:B44"/>
    <mergeCell ref="A52:B52"/>
    <mergeCell ref="A49:B49"/>
    <mergeCell ref="A42:B42"/>
    <mergeCell ref="A48:B48"/>
    <mergeCell ref="A70:Q70"/>
    <mergeCell ref="A6:B6"/>
    <mergeCell ref="A50:B50"/>
    <mergeCell ref="C45:O45"/>
    <mergeCell ref="C53:O53"/>
    <mergeCell ref="A71:Q71"/>
    <mergeCell ref="A43:B43"/>
    <mergeCell ref="A51:B51"/>
  </mergeCells>
  <conditionalFormatting sqref="J9:J21">
    <cfRule type="expression" priority="1" dxfId="0" stopIfTrue="1">
      <formula>=$J9="Sí"</formula>
    </cfRule>
  </conditionalFormatting>
  <conditionalFormatting sqref="C44">
    <cfRule type="expression" priority="2" dxfId="0" stopIfTrue="1">
      <formula>=$C$44="Alta"</formula>
    </cfRule>
  </conditionalFormatting>
  <conditionalFormatting sqref="C53">
    <cfRule type="cellIs" priority="3" operator="equal" dxfId="0" stopIfTrue="1">
      <formula>"LA MANDA LA MAQUINARIA: tu ruta crítica es más corta que el plazo de entrega, así que la fecha de apertura la fija el equipo, no el papeleo"</formula>
    </cfRule>
    <cfRule type="cellIs" priority="4" operator="equal" dxfId="2" stopIfTrue="1">
      <formula>"CUADRA: el papeleo es lo más largo, y es lo que fija la fecha"</formula>
    </cfRule>
  </conditionalFormatting>
  <conditionalFormatting sqref="C57:C68">
    <cfRule type="cellIs" priority="5" operator="equal" dxfId="0" stopIfTrue="1">
      <formula>"Alta"</formula>
    </cfRule>
    <cfRule type="cellIs" priority="6" operator="equal" dxfId="2" stopIfTrue="1">
      <formula>"Baja"</formula>
    </cfRule>
  </conditionalFormatting>
  <dataValidations count="1">
    <dataValidation sqref="D9 D10 D11 D12 D13 D14 D15 D16 D17 D18 D19 D20 D21 E9 E10 E11 E12 E13 E14 E15 E16 E17 E18 E19 E20 E21 F9 F10 F11 F12 F13 F14 F15 F16 F17 F18 F19 F20 F21" showDropDown="0" showInputMessage="0" showErrorMessage="1" allowBlank="0" errorTitle="Elige un hito o «-»" error="Escribe el identificador de otro hito, o «-» si este hito no depende de ninguno. Sólo puede depender de hitos que estén MÁS ARRIBA en la tabla." type="list">
      <formula1>=$A$76:$A$89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licencias y la norma del cacao</dc:title>
  <dc:subject xmlns:dc="http://purl.org/dc/elements/1.1/">Cómo Montar una Chocolatería · Versión 1.0 · septiembre 2026</dc:subject>
  <dcterms:created xmlns:dcterms="http://purl.org/dc/terms/" xmlns:xsi="http://www.w3.org/2001/XMLSchema-instance" xsi:type="dcterms:W3CDTF">2026-09-19T13:21:56Z</dcterms:created>
  <dcterms:modified xmlns:dcterms="http://purl.org/dc/terms/" xmlns:xsi="http://www.w3.org/2001/XMLSchema-instance" xsi:type="dcterms:W3CDTF">2026-09-19T13:21:57Z</dcterms:modified>
  <cp:lastModifiedBy>AI Chef Pro</cp:lastModifiedBy>
</cp:coreProperties>
</file>