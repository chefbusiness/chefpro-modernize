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Tipo de Relleno y aw" sheetId="3" state="visible" r:id="rId3"/>
    <sheet xmlns:r="http://schemas.openxmlformats.org/officeDocument/2006/relationships" name="Vida Útil Declarada" sheetId="4" state="visible" r:id="rId4"/>
    <sheet xmlns:r="http://schemas.openxmlformats.org/officeDocument/2006/relationships" name="Etiquetado o Granel" sheetId="5" state="visible" r:id="rId5"/>
    <sheet xmlns:r="http://schemas.openxmlformats.org/officeDocument/2006/relationships" name="Temperatura y Vitrina" sheetId="6" state="visible" r:id="rId6"/>
    <sheet xmlns:r="http://schemas.openxmlformats.org/officeDocument/2006/relationships" name="Lote y Merma por Caducidad"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0 €"/>
    <numFmt numFmtId="166" formatCode="0.0%"/>
    <numFmt numFmtId="167" formatCode="yyyy-mm-dd"/>
    <numFmt numFmtId="168" formatCode="dd/mm/yyyy"/>
  </numFmts>
  <fonts count="7">
    <font>
      <name val="Calibri"/>
      <family val="2"/>
      <color theme="1"/>
      <sz val="11"/>
      <scheme val="minor"/>
    </font>
    <font>
      <b val="1"/>
      <color rgb="00FFD700"/>
      <sz val="16"/>
    </font>
    <font>
      <i val="1"/>
      <sz val="9"/>
    </font>
    <font>
      <b val="1"/>
      <color theme="1"/>
      <sz val="11"/>
    </font>
    <font>
      <b val="1"/>
      <sz val="12"/>
    </font>
    <font>
      <sz val="9"/>
    </font>
    <font>
      <b val="1"/>
      <color rgb="00FFFFFF"/>
      <sz val="10"/>
    </font>
  </fonts>
  <fills count="4">
    <fill>
      <patternFill/>
    </fill>
    <fill>
      <patternFill patternType="gray125"/>
    </fill>
    <fill>
      <patternFill patternType="solid">
        <fgColor rgb="002D2D2D"/>
      </patternFill>
    </fill>
    <fill>
      <patternFill patternType="solid">
        <fgColor rgb="00E8F5E9"/>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general" vertical="top" wrapText="1"/>
    </xf>
    <xf numFmtId="0" fontId="4" fillId="0" borderId="0" pivotButton="0" quotePrefix="0" xfId="0"/>
    <xf numFmtId="0" fontId="3" fillId="0" borderId="0" pivotButton="0" quotePrefix="0" xfId="0"/>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center" vertical="center" wrapText="1"/>
    </xf>
    <xf numFmtId="3" fontId="0" fillId="3" borderId="0" applyProtection="1" pivotButton="0" quotePrefix="0" xfId="0">
      <protection locked="0" hidden="0"/>
    </xf>
    <xf numFmtId="164" fontId="0" fillId="3" borderId="0" applyProtection="1" pivotButton="0" quotePrefix="0" xfId="0">
      <protection locked="0" hidden="0"/>
    </xf>
    <xf numFmtId="3" fontId="0" fillId="0" borderId="0" pivotButton="0" quotePrefix="0" xfId="0"/>
    <xf numFmtId="4" fontId="0" fillId="3" borderId="0" applyProtection="1" pivotButton="0" quotePrefix="0" xfId="0">
      <protection locked="0" hidden="0"/>
    </xf>
    <xf numFmtId="165" fontId="0" fillId="3" borderId="0" applyProtection="1" pivotButton="0" quotePrefix="0" xfId="0">
      <protection locked="0" hidden="0"/>
    </xf>
    <xf numFmtId="166" fontId="0" fillId="3" borderId="0" applyProtection="1" pivotButton="0" quotePrefix="0" xfId="0">
      <protection locked="0" hidden="0"/>
    </xf>
    <xf numFmtId="0" fontId="0" fillId="3" borderId="0" applyProtection="1" pivotButton="0" quotePrefix="0" xfId="0">
      <protection locked="0" hidden="0"/>
    </xf>
    <xf numFmtId="0" fontId="3" fillId="0" borderId="0" applyAlignment="1" pivotButton="0" quotePrefix="0" xfId="0">
      <alignment horizontal="general" vertical="top" wrapText="1"/>
    </xf>
    <xf numFmtId="3" fontId="3" fillId="0" borderId="0" pivotButton="0" quotePrefix="0" xfId="0"/>
    <xf numFmtId="168" fontId="0" fillId="3" borderId="0" applyProtection="1" pivotButton="0" quotePrefix="0" xfId="0">
      <protection locked="0" hidden="0"/>
    </xf>
    <xf numFmtId="168" fontId="0" fillId="0" borderId="0" pivotButton="0" quotePrefix="0" xfId="0"/>
    <xf numFmtId="164" fontId="0" fillId="0" borderId="0" pivotButton="0" quotePrefix="0" xfId="0"/>
    <xf numFmtId="4" fontId="0" fillId="0" borderId="0" pivotButton="0" quotePrefix="0" xfId="0"/>
    <xf numFmtId="165" fontId="0" fillId="0" borderId="0" pivotButton="0" quotePrefix="0" xfId="0"/>
    <xf numFmtId="165" fontId="3" fillId="0" borderId="0" pivotButton="0" quotePrefix="0" xfId="0"/>
    <xf numFmtId="166" fontId="0" fillId="0"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B11"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List>
</comments>
</file>

<file path=xl/comments/comment2.xml><?xml version="1.0" encoding="utf-8"?>
<comments xmlns="http://schemas.openxmlformats.org/spreadsheetml/2006/main">
  <authors>
    <author>AI Chef Pro</author>
  </authors>
  <commentList>
    <comment ref="G15"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H15" authorId="0" shapeId="0">
      <text>
        <t>Verificado el 12-09-2026 · Reglamento (UE) n.º 1169/2011 sobre la información alimentaria facilitada al consumidor · texto consolidado CELEX:02011R1169-20180101 (El art. 9.1 del Rgto.) · https://eur-lex.europa.eu/legal-content/ES/TXT/HTML/?uri=CELEX:02011R1169-20180101</t>
      </text>
    </comment>
    <comment ref="J15" authorId="0" shapeId="0">
      <text>
        <t>Verificado el 12-09-2026 · Real Decreto 1808/1991, de 13 de diciembre, por el que se regulan las menciones o marcas que permiten identificar el lote al que pertenece un producto alimenticio (BOE-A-1991-30... (Las tres vías: art. 2.2.b) (no envasado, envasado a petición del comprador o envasado para vent...) · https://www.boe.es/buscar/act.php?id=BOE-A-1991-30678</t>
      </text>
    </comment>
    <comment ref="A58" authorId="0" shapeId="0">
      <text>
        <t>Verificado el 12-09-2026 · Real Decreto 1021/2022 (BOE-A-2022-21681), art. 5 · https://www.boe.es/buscar/act.php?id=BOE-A-2022-21681</t>
      </text>
    </comment>
  </commentList>
</comments>
</file>

<file path=xl/comments/comment3.xml><?xml version="1.0" encoding="utf-8"?>
<comments xmlns="http://schemas.openxmlformats.org/spreadsheetml/2006/main">
  <authors>
    <author>AI Chef Pro</author>
  </authors>
  <commentList>
    <comment ref="F7"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 ref="A8" authorId="0" shapeId="0">
      <text>
        <t>Verificado el 12-09-2026 · Real Decreto 126/2015, de 27 de febrero, por el que se aprueba la norma general relativa a la información alimentaria de los alimentos que se presenten sin envasar para la venta... (Art. 6.3 del RD 126/2015.) · https://www.boe.es/buscar/act.php?id=BOE-A-2015-2293</t>
      </text>
    </comment>
    <comment ref="F8"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A10" authorId="0" shapeId="0">
      <text>
        <t>Verificado el 12-09-2026 · Real Decreto 1021/2022, de 13 de diciembre, por el que se regulan determinados requisitos en materia de higiene de la producción y comercialización de los productos alimenticios... (Art. 4.1, fila 9.) · https://www.boe.es/buscar/act.php?id=BOE-A-2022-21681</t>
      </text>
    </comment>
    <comment ref="G15" authorId="0" shapeId="0">
      <text>
        <t>Verificado el 12-09-2026 · Real Decreto 1808/1991, de 13 de diciembre, por el que se regulan las menciones o marcas que permiten identificar el lote al que pertenece un producto alimenticio (BOE-A-1991-30... (Las tres vías: art. 2.2.b) (no envasado, envasado a petición del comprador o envasado para vent...) · https://www.boe.es/buscar/act.php?id=BOE-A-1991-30678</t>
      </text>
    </comment>
    <comment ref="I15" authorId="0" shapeId="0">
      <text>
        <t>Verificado el 12-09-2026 · Reglamento (CE) n.º 852/2004, Anexo II, Capítulo IX, punto 9 (redacción del Rgto. (UE) 2021/382) · consolidado CELEX:02004R0852-20210324 · https://eur-lex.europa.eu/legal-content/ES/TXT/?uri=CELEX:02004R0852-20210324</t>
      </text>
    </comment>
    <comment ref="F44" authorId="0" shapeId="0">
      <text>
        <t>Verificado el 12-09-2026 · Reglamento (UE) n.º 1169/2011 sobre la información alimentaria facilitada al consumidor · texto consolidado CELEX:02011R1169-20180101 (El art. 9.1 del Rgto.) · https://eur-lex.europa.eu/legal-content/ES/TXT/HTML/?uri=CELEX:02011R1169-20180101</t>
      </text>
    </comment>
  </commentList>
</comments>
</file>

<file path=xl/comments/comment4.xml><?xml version="1.0" encoding="utf-8"?>
<comments xmlns="http://schemas.openxmlformats.org/spreadsheetml/2006/main">
  <authors>
    <author>AI Chef Pro</author>
  </authors>
  <commentList>
    <comment ref="D21"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H21"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4"/>
  <sheetViews>
    <sheetView workbookViewId="0">
      <selection activeCell="A1" sqref="A1"/>
    </sheetView>
  </sheetViews>
  <sheetFormatPr baseColWidth="8" defaultRowHeight="15"/>
  <cols>
    <col width="26" customWidth="1" min="1" max="1"/>
    <col width="34" customWidth="1" min="2" max="2"/>
    <col width="62" customWidth="1" min="3" max="3"/>
  </cols>
  <sheetData>
    <row r="1" ht="28" customHeight="1">
      <c r="A1" s="1" t="inlineStr">
        <is>
          <t>Vida Útil de los Rellenos y Rotación</t>
        </is>
      </c>
    </row>
    <row r="2">
      <c r="A2" t="inlineStr">
        <is>
          <t>AI Chef Pro · aichef.pro — Cómo Montar una Chocolatería</t>
        </is>
      </c>
    </row>
    <row r="3" ht="26" customHeight="1">
      <c r="A3" s="2" t="inlineStr">
        <is>
          <t>Celdas verdes = campos editables</t>
        </is>
      </c>
    </row>
    <row r="4"/>
    <row r="5">
      <c r="A5" s="3" t="inlineStr">
        <is>
          <t>Qué Decide Este Libro</t>
        </is>
      </c>
    </row>
    <row r="6" ht="46" customHeight="1">
      <c r="A6" s="2" t="inlineStr">
        <is>
          <t>Cuánto dura cada referencia, en qué mueble va, con qué papel legal la despachas y de cuánto haces cada tanda. Y, sobre todo, lo que te cuesta al año equivocarte de tamaño de lote: eso es la merma por caducidad, y casi nadie la mide.</t>
        </is>
      </c>
    </row>
    <row r="7"/>
    <row r="8">
      <c r="A8" s="3" t="inlineStr">
        <is>
          <t>La Regla que Manda: la Vida Útil la Declaras Tú</t>
        </is>
      </c>
    </row>
    <row r="9" ht="70" customHeight="1">
      <c r="A9" s="2" t="inlineStr">
        <is>
          <t>No existe una tabla legal con la vida útil del chocolate. La vida útil de tu producto la fijas TÚ y consta en tu plan de APPCC, con el criterio que puedas defender. Por eso la columna «vida útil que TÚ declaras» es una celda verde y NUNCA la calcula el libro: lo que ves escrito es un valor de partida tomado del extremo bajo del plazo orientativo del kit, para que la hoja funcione desde el primer minuto.</t>
        </is>
      </c>
    </row>
    <row r="10"/>
    <row r="11">
      <c r="A11" s="3" t="inlineStr">
        <is>
          <t>Frontera con el Kit de Tareas Chocolatería</t>
        </is>
      </c>
    </row>
    <row r="12" ht="70" customHeight="1">
      <c r="A12" s="2" t="inlineStr">
        <is>
          <t>Los diez plazos orientativos por familia son los del Kit de Tareas Chocolatería (12 €), fichero 02-partidas-produccion.xlsx, hoja Moldeado. Esta guía los CITA y no los reescribe: lo que construye es lo que el kit no tiene -la actividad de agua por tipo de relleno, la decisión de etiqueta o granel, el tamaño de lote y la merma por caducidad en euros al año-. Si tienes el kit, ten su tabla al lado; si no lo tienes, aquí está citada fila a fila.</t>
        </is>
      </c>
    </row>
    <row r="13"/>
    <row r="14">
      <c r="A14" s="3" t="inlineStr">
        <is>
          <t>Etiqueta o Granel: No Es el Mismo Papel</t>
        </is>
      </c>
    </row>
    <row r="15" ht="70" customHeight="1">
      <c r="A15" s="2" t="inlineStr">
        <is>
          <t>Si la referencia sale ENVASADA con su etiqueta, la temperatura de conservación que tú has escrito en esa etiqueta te obliga a ti (art. 4.2 del RD 1021/2022). Si se despacha A GRANEL en la vitrina no hay etiqueta, así que la referencia no es ese artículo: es tu propio sistema de autocontrol, donde la temperatura y la vida útil las declaras tú. No hay una «temperatura legal del chocolate»: el RD 1021/2022 no nombra el chocolate ni una sola vez.</t>
        </is>
      </c>
    </row>
    <row r="16"/>
    <row r="17">
      <c r="A17" s="3" t="inlineStr">
        <is>
          <t>Las Hojas, y Qué Hace Cada Una</t>
        </is>
      </c>
    </row>
    <row r="18" ht="46" customHeight="1">
      <c r="A18" s="4" t="inlineStr">
        <is>
          <t>Parámetros</t>
        </is>
      </c>
      <c r="B18" s="5" t="inlineStr">
        <is>
          <t>El volumen de venta, los umbrales que tú te pones y los dos costes con los que se calcula el lote. Nada de esto está escrito dentro de una fórmula.</t>
        </is>
      </c>
    </row>
    <row r="19" ht="46" customHeight="1">
      <c r="A19" s="4" t="inlineStr">
        <is>
          <t>Tipo de Relleno y aw</t>
        </is>
      </c>
      <c r="B19" s="5" t="inlineStr">
        <is>
          <t>El agua disponible de cada relleno, que es lo que de verdad separa una ganache de diez días de una de dos meses. Se mide con higrómetro; mientras no la midas, es una estimación tuya y la hoja lo dice.</t>
        </is>
      </c>
    </row>
    <row r="20" ht="46" customHeight="1">
      <c r="A20" s="4" t="inlineStr">
        <is>
          <t>Vida Útil Declarada</t>
        </is>
      </c>
      <c r="B20" s="5" t="inlineStr">
        <is>
          <t>La vida útil que TÚ declaras, al lado del plazo orientativo del kit, y la fecha que va a ir en la etiqueta. Con el aviso de las cajas: un surtido caduca con su pieza más corta.</t>
        </is>
      </c>
    </row>
    <row r="21" ht="46" customHeight="1">
      <c r="A21" s="4" t="inlineStr">
        <is>
          <t>Etiquetado o Granel</t>
        </is>
      </c>
      <c r="B21" s="5" t="inlineStr">
        <is>
          <t>Envasado con etiqueta o a granel, referencia a referencia, y qué te toca en cada caso. La salida cambia de columna: no son dos formas de decir lo mismo.</t>
        </is>
      </c>
    </row>
    <row r="22" ht="46" customHeight="1">
      <c r="A22" s="4" t="inlineStr">
        <is>
          <t>Temperatura y Vitrina</t>
        </is>
      </c>
      <c r="B22" s="5" t="inlineStr">
        <is>
          <t>Las cinco temperaturas del kit, el rango de trabajo de TU vitrina y la temperatura que declaras para cada referencia. El semáforo sólo se enciende por encima de 20 °C.</t>
        </is>
      </c>
    </row>
    <row r="23" ht="46" customHeight="1">
      <c r="A23" s="4" t="inlineStr">
        <is>
          <t>Lote y Merma por Caducidad</t>
        </is>
      </c>
      <c r="B23" s="5" t="inlineStr">
        <is>
          <t>De cuánto haces cada tanda, cuánto vendes dentro de la vida útil y lo que se te caduca al año en euros. Es la hoja que paga este libro.</t>
        </is>
      </c>
    </row>
    <row r="24"/>
    <row r="25">
      <c r="A25" s="3" t="inlineStr">
        <is>
          <t>Cada Cuánto Se Usa</t>
        </is>
      </c>
    </row>
    <row r="26" ht="46" customHeight="1">
      <c r="A26" s="2" t="inlineStr">
        <is>
          <t>La hoja de vida útil y la de etiqueta o granel se revisan cada vez que entra o sale una referencia de la carta, y cuando cambias una formulación. La de lote y merma, una vez al mes con las ventas reales del TPV delante: es la que te dice si estás moldeando tandas que no vendes.</t>
        </is>
      </c>
    </row>
    <row r="27"/>
    <row r="28">
      <c r="A28" s="3" t="inlineStr">
        <is>
          <t>De Dónde Salen los Números del Ejemplo</t>
        </is>
      </c>
    </row>
    <row r="29" ht="70" customHeight="1">
      <c r="A29" s="2" t="inlineStr">
        <is>
          <t>Las actividades de agua son SUPUESTOS declarados: la aw se mide, y hasta que la midas no es un dato. Los plazos orientativos son los del kit, citados. El coste de materia por pieza es el del caso de ejemplo «La Almendra» y sale del libro 3 (precio de la cobertura) y del libro 4 (escandallo): aquí entra como celda verde, no como fórmula entre ficheros, así que si cambias el escandallo tienes que traerlo a mano.</t>
        </is>
      </c>
    </row>
    <row r="30"/>
    <row r="31" ht="30" customHeight="1">
      <c r="A31" s="2" t="inlineStr">
        <is>
          <t>Para editar la estructura o una celda que no esté en verde: Revisar &gt; Desproteger hoja (no tiene contraseña).</t>
        </is>
      </c>
    </row>
    <row r="32"/>
    <row r="33">
      <c r="A33" s="6" t="inlineStr">
        <is>
          <t>Diseñado por John Guerrero — chef y consultor gastronómico desde 2010, en cocina desde los 17 años.</t>
        </is>
      </c>
    </row>
    <row r="34">
      <c r="A34" s="6"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26:C26"/>
    <mergeCell ref="B23:C23"/>
    <mergeCell ref="B20:C20"/>
    <mergeCell ref="B22:C22"/>
    <mergeCell ref="A9:C9"/>
    <mergeCell ref="B19:C19"/>
    <mergeCell ref="B21:C21"/>
    <mergeCell ref="A31:C31"/>
    <mergeCell ref="A29:C29"/>
    <mergeCell ref="A34:C34"/>
    <mergeCell ref="A3:C3"/>
    <mergeCell ref="A33:C33"/>
    <mergeCell ref="A12:C12"/>
    <mergeCell ref="B18:C18"/>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6"/>
  <sheetViews>
    <sheetView workbookViewId="0">
      <pane ySplit="5" topLeftCell="A6" activePane="bottomLeft" state="frozen"/>
      <selection pane="bottomLeft" activeCell="A1" sqref="A1"/>
    </sheetView>
  </sheetViews>
  <sheetFormatPr baseColWidth="8" defaultRowHeight="15"/>
  <cols>
    <col width="50" customWidth="1" min="1" max="1"/>
    <col width="14" customWidth="1" min="2" max="2"/>
    <col width="16" customWidth="1" min="3" max="3"/>
    <col width="22" customWidth="1" min="4" max="4"/>
    <col width="78" customWidth="1" min="5" max="5"/>
  </cols>
  <sheetData>
    <row r="1" ht="28" customHeight="1">
      <c r="A1" s="1" t="inlineStr">
        <is>
          <t>Parámetros</t>
        </is>
      </c>
    </row>
    <row r="2">
      <c r="A2" t="inlineStr">
        <is>
          <t>AI Chef Pro · aichef.pro — Cómo Montar una Chocolatería</t>
        </is>
      </c>
    </row>
    <row r="3" ht="26" customHeight="1">
      <c r="A3" s="2" t="inlineStr">
        <is>
          <t>Los umbrales de este libro te los pones TÚ: ninguno es un límite legal, y la hoja lo dice en cada nota.</t>
        </is>
      </c>
    </row>
    <row r="4"/>
    <row r="5" ht="24" customHeight="1">
      <c r="A5" s="7" t="inlineStr">
        <is>
          <t>Parámetro</t>
        </is>
      </c>
      <c r="B5" s="7" t="inlineStr">
        <is>
          <t>Valor</t>
        </is>
      </c>
      <c r="C5" s="7" t="inlineStr">
        <is>
          <t>Unidad</t>
        </is>
      </c>
      <c r="D5" s="7" t="inlineStr">
        <is>
          <t>De dónde sale</t>
        </is>
      </c>
      <c r="E5" s="7" t="inlineStr">
        <is>
          <t>Nota</t>
        </is>
      </c>
    </row>
    <row r="6" ht="36" customHeight="1">
      <c r="A6" s="6" t="inlineStr">
        <is>
          <t>Clientes al día en velocidad de crucero</t>
        </is>
      </c>
      <c r="B6" s="8" t="n">
        <v>67</v>
      </c>
      <c r="C6" t="inlineStr">
        <is>
          <t>tickets/día</t>
        </is>
      </c>
      <c r="D6" t="inlineStr">
        <is>
          <t>supuesto</t>
        </is>
      </c>
      <c r="E6" s="5" t="inlineStr">
        <is>
          <t>Clientes por día en velocidad de crucero. NO es un dato del sector: `N-13` prohíbe publicar un ticket medio de chocolatería o un reparto mensual de ventas como dato, porque no existe dato publico. La guía enseña a medirlo con el TPV en dos semanas. Esta calibrado para que el margen neto del año de crucero caiga entre el 9 % y el 11 %: por encima, el caso se lee como optimista y un refutador lo tumba con razón. Es la ÚNICA palanca que se toca para mover el margen; los costes no se maquillan.</t>
        </is>
      </c>
    </row>
    <row r="7" ht="36" customHeight="1">
      <c r="A7" s="6" t="inlineStr">
        <is>
          <t>Piezas por ticket</t>
        </is>
      </c>
      <c r="B7" s="9" t="n">
        <v>1.4</v>
      </c>
      <c r="C7" t="inlineStr">
        <is>
          <t>piezas/ticket</t>
        </is>
      </c>
      <c r="D7" t="inlineStr">
        <is>
          <t>supuesto</t>
        </is>
      </c>
      <c r="E7" s="5" t="inlineStr">
        <is>
          <t>De aquí sale el ticket medio, que NO se teclea: se calcula como PVP medio ponderado de la carta x piezas por ticket. En bombonería es BAJO -1,4- porque la unidad de venta real es la caja, no la pieza: quien entra a por un regalo se lleva UNA caja de 20 euros, no ocho bombones sueltos.</t>
        </is>
      </c>
    </row>
    <row r="8" ht="36" customHeight="1">
      <c r="A8" s="6" t="inlineStr">
        <is>
          <t>Días de apertura al año</t>
        </is>
      </c>
      <c r="B8" s="8" t="n">
        <v>304</v>
      </c>
      <c r="C8" t="inlineStr">
        <is>
          <t>días/año</t>
        </is>
      </c>
      <c r="D8" t="inlineStr">
        <is>
          <t>supuesto</t>
        </is>
      </c>
      <c r="E8" s="5" t="inlineStr">
        <is>
          <t>6 días por semana x 52 semanas = 312, menos 8 días de cierre por festivos = 304. En agosto la TIENDA NO CIERRA: lo que para es el obrador (D36, y el literal del kit dice «la tienda abre para el turista aunque el obrador pare»). Una bombonería de menos de 300 m² tiene libertad horaria por el art. 5.2 de la Ley 1/2004, no por el 5.1 (`CHN-77`).</t>
        </is>
      </c>
    </row>
    <row r="9" ht="36" customHeight="1">
      <c r="A9" s="6" t="inlineStr">
        <is>
          <t>Piezas vendibles al año</t>
        </is>
      </c>
      <c r="B9" s="10">
        <f>IFERROR('Parámetros'!$B$6*'Parámetros'!$B$7*'Parámetros'!$B$8,"")</f>
        <v>28515.2</v>
      </c>
      <c r="C9" t="inlineStr">
        <is>
          <t>piezas/año</t>
        </is>
      </c>
      <c r="D9" t="inlineStr">
        <is>
          <t>calculado</t>
        </is>
      </c>
      <c r="E9" s="5" t="inlineStr">
        <is>
          <t>Clientes al día por piezas por ticket por días de apertura. Con el mix de cada referencia se reparte en ventas por semana, que es lo que gobierna el tamaño del lote.</t>
        </is>
      </c>
    </row>
    <row r="10" ht="36" customHeight="1">
      <c r="A10" s="6" t="inlineStr">
        <is>
          <t>Semanas al año</t>
        </is>
      </c>
      <c r="B10" s="8" t="n">
        <v>52</v>
      </c>
      <c r="C10" t="inlineStr">
        <is>
          <t>semanas</t>
        </is>
      </c>
      <c r="D10" t="inlineStr">
        <is>
          <t>supuesto</t>
        </is>
      </c>
      <c r="E10" s="5" t="inlineStr">
        <is>
          <t>Se usa para pasar la venta anual a venta semanal y la vida útil de días a semanas.</t>
        </is>
      </c>
    </row>
    <row r="11" ht="36" customHeight="1">
      <c r="A11" s="6" t="inlineStr">
        <is>
          <t>Umbral de vigilancia de actividad de agua (aw)</t>
        </is>
      </c>
      <c r="B11" s="11" t="n">
        <v>0.85</v>
      </c>
      <c r="C11" t="inlineStr">
        <is>
          <t>aw</t>
        </is>
      </c>
      <c r="D11" t="inlineStr">
        <is>
          <t>supuesto</t>
        </is>
      </c>
      <c r="E11" s="5" t="inlineStr">
        <is>
          <t>El punto a partir del cual TÚ decides tratar la referencia como producto de vida corta y refrigerada. NO es un límite legal ni un umbral microbiológico publicado: es tu criterio, y tiene que constar en tu plan de APPCC con el argumento que lo sostiene.</t>
        </is>
      </c>
    </row>
    <row r="12" ht="36" customHeight="1">
      <c r="A12" s="6" t="inlineStr">
        <is>
          <t>Temperatura a la que salta la alarma de la vitrina</t>
        </is>
      </c>
      <c r="B12" s="9" t="n">
        <v>20</v>
      </c>
      <c r="C12" t="inlineStr">
        <is>
          <t>grados C</t>
        </is>
      </c>
      <c r="D12" t="inlineStr">
        <is>
          <t>kit 01-apertura-cierre.xlsx</t>
        </is>
      </c>
      <c r="E12" s="5" t="inlineStr">
        <is>
          <t>Es el punto en el que la manteca de cacao empieza a fundir, y el que publica el kit en su hoja de apertura. El semáforo de la vitrina SÓLO se enciende por encima de este número: los 16-18 °C de objetivo del propio kit no se ponen nunca en rojo.</t>
        </is>
      </c>
    </row>
    <row r="13" ht="36" customHeight="1">
      <c r="A13" s="6" t="inlineStr">
        <is>
          <t>Humedad máxima de trabajo de la vitrina</t>
        </is>
      </c>
      <c r="B13" s="9" t="n">
        <v>55</v>
      </c>
      <c r="C13" t="inlineStr">
        <is>
          <t>% de HR</t>
        </is>
      </c>
      <c r="D13" t="inlineStr">
        <is>
          <t>kit 08-apertura-cierre-negocio.xlsx</t>
        </is>
      </c>
      <c r="E13" s="5" t="inlineStr">
        <is>
          <t>Objetivo del kit para la vitrina temperada: menos del 55 % antes de montar el género. Por encima, el bombón coge humedad y aparece el velo de azúcar.</t>
        </is>
      </c>
    </row>
    <row r="14" ht="36" customHeight="1">
      <c r="A14" s="6" t="inlineStr">
        <is>
          <t>Coste de poner en marcha una tanda</t>
        </is>
      </c>
      <c r="B14" s="12" t="n">
        <v>35</v>
      </c>
      <c r="C14" t="inlineStr">
        <is>
          <t>€/tanda</t>
        </is>
      </c>
      <c r="D14" t="inlineStr">
        <is>
          <t>supuesto</t>
        </is>
      </c>
      <c r="E14" s="5" t="inlineStr">
        <is>
          <t>Lo que cuesta arrancar una tanda al margen de su tamaño: templar, preparar moldes, limpiar y cambiar de referencia. Es el número que empuja a hacer tandas grandes; la caducidad es el que las frena.</t>
        </is>
      </c>
    </row>
    <row r="15" ht="36" customHeight="1">
      <c r="A15" s="6" t="inlineStr">
        <is>
          <t>Coste de tener una pieza parada un año</t>
        </is>
      </c>
      <c r="B15" s="13" t="n">
        <v>0.25</v>
      </c>
      <c r="C15" t="inlineStr">
        <is>
          <t>sobre su coste</t>
        </is>
      </c>
      <c r="D15" t="inlineStr">
        <is>
          <t>supuesto</t>
        </is>
      </c>
      <c r="E15" s="5" t="inlineStr">
        <is>
          <t>Financiación, espacio de cámara y riesgo, en porcentaje del coste de materia de la pieza. Es la otra mitad del cálculo del lote.</t>
        </is>
      </c>
    </row>
    <row r="16" ht="36" customHeight="1">
      <c r="A16" s="6" t="inlineStr">
        <is>
          <t>Merma por caducidad a partir de la cual quieres un aviso</t>
        </is>
      </c>
      <c r="B16" s="12" t="n">
        <v>150</v>
      </c>
      <c r="C16" t="inlineStr">
        <is>
          <t>€/año</t>
        </is>
      </c>
      <c r="D16" t="inlineStr">
        <is>
          <t>supuesto</t>
        </is>
      </c>
      <c r="E16" s="5" t="inlineStr">
        <is>
          <t>Tu línea roja, no la de nadie más. Por encima de esta cifra la hoja de lote marca la referencia en rojo: no es que esté mal, es que ahí hay dinero que se está yendo a la basura.</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63"/>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6" customWidth="1" min="3" max="3"/>
    <col width="42" customWidth="1" min="4" max="4"/>
    <col width="10" customWidth="1" min="5" max="5"/>
    <col width="20" customWidth="1" min="6" max="6"/>
    <col width="40" customWidth="1" min="7" max="7"/>
    <col width="15" customWidth="1" min="8" max="8"/>
    <col width="54" customWidth="1" min="9" max="9"/>
    <col width="62" customWidth="1" min="10" max="10"/>
  </cols>
  <sheetData>
    <row r="1" ht="28" customHeight="1">
      <c r="A1" s="1" t="inlineStr">
        <is>
          <t>Tipo de Relleno y Aw</t>
        </is>
      </c>
    </row>
    <row r="2">
      <c r="A2" t="inlineStr">
        <is>
          <t>AI Chef Pro · aichef.pro — Cómo Montar una Chocolatería</t>
        </is>
      </c>
    </row>
    <row r="3" ht="26" customHeight="1">
      <c r="A3" s="2" t="inlineStr">
        <is>
          <t>El agua disponible es lo que separa una ganache de diez días de una de dos meses. Se MIDE con un higrómetro de actividad de agua; mientras no la midas, lo que hay aquí es una estimación tuya, y así se marca.</t>
        </is>
      </c>
    </row>
    <row r="4"/>
    <row r="5">
      <c r="A5" s="3" t="inlineStr">
        <is>
          <t>Qué Mide Esta Hoja</t>
        </is>
      </c>
    </row>
    <row r="6" ht="56" customHeight="1">
      <c r="A6" s="2" t="inlineStr">
        <is>
          <t>La actividad de agua (aw) va de 0 a 1 y dice cuánta agua del relleno está DISPONIBLE para que crezca algo. No es la humedad: un praliné puede tener grasa de sobra y aw bajísima. Las dos palancas que la bajan son el azúcar y el alcohol, y son las que explican por qué la misma pieza dura tres o cinco veces más según cómo la formules. Esta hoja no calcula la aw: la recoge, la compara con el umbral que tú te has puesto y te dice de qué va a morir cada referencia.</t>
        </is>
      </c>
    </row>
    <row r="7"/>
    <row r="8"/>
    <row r="9"/>
    <row r="10"/>
    <row r="11"/>
    <row r="12"/>
    <row r="13"/>
    <row r="14"/>
    <row r="15" ht="46" customHeight="1">
      <c r="A15" s="7" t="inlineStr">
        <is>
          <t>Id</t>
        </is>
      </c>
      <c r="B15" s="7" t="inlineStr">
        <is>
          <t>Referencia</t>
        </is>
      </c>
      <c r="C15" s="7" t="inlineStr">
        <is>
          <t>Familia de la carta</t>
        </is>
      </c>
      <c r="D15" s="7" t="inlineStr">
        <is>
          <t>Tipo de relleno</t>
        </is>
      </c>
      <c r="E15" s="7" t="inlineStr">
        <is>
          <t>aw</t>
        </is>
      </c>
      <c r="F15" s="7" t="inlineStr">
        <is>
          <t>Origen del dato</t>
        </is>
      </c>
      <c r="G15" s="7" t="inlineStr">
        <is>
          <t>Familia de vida útil del kit</t>
        </is>
      </c>
      <c r="H15" s="7" t="inlineStr">
        <is>
          <t>Plazo orientativo del kit</t>
        </is>
      </c>
      <c r="I15" s="7" t="inlineStr">
        <is>
          <t>De qué va a morir esta referencia</t>
        </is>
      </c>
      <c r="J15" s="7" t="inlineStr">
        <is>
          <t>Lo que dice el kit de esa familia</t>
        </is>
      </c>
    </row>
    <row r="16" ht="30" customHeight="1">
      <c r="A16" t="inlineStr">
        <is>
          <t>BC1</t>
        </is>
      </c>
      <c r="B16" s="6" t="inlineStr">
        <is>
          <t>Bombón de ganache de chocolate negro 70 %</t>
        </is>
      </c>
      <c r="C16" t="inlineStr">
        <is>
          <t>Bombones de colección</t>
        </is>
      </c>
      <c r="D16" s="6" t="inlineStr">
        <is>
          <t>Ganache de chocolate negro con nata fresca</t>
        </is>
      </c>
      <c r="E16" s="11" t="n">
        <v>0.88</v>
      </c>
      <c r="F16" s="14" t="inlineStr">
        <is>
          <t>estimada por ti</t>
        </is>
      </c>
      <c r="G16" s="6" t="inlineStr">
        <is>
          <t>Bombones de ganache con nata fresca</t>
        </is>
      </c>
      <c r="H16" t="inlineStr">
        <is>
          <t>10-15 días</t>
        </is>
      </c>
      <c r="I16" t="str">
        <f>IF(ISNUMBER($E16),IF($E16&gt;='Parámetros'!$B$11,"Agua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16" s="6" t="inlineStr">
        <is>
          <t>Actividad de agua alta: en refrigeración a 0-4 °C y atemperar CERRADOS antes de abrir, o condensan</t>
        </is>
      </c>
    </row>
    <row r="17" ht="30" customHeight="1">
      <c r="A17" t="inlineStr">
        <is>
          <t>BC2</t>
        </is>
      </c>
      <c r="B17" s="6" t="inlineStr">
        <is>
          <t>Bombón de ganache de leche y vainilla</t>
        </is>
      </c>
      <c r="C17" t="inlineStr">
        <is>
          <t>Bombones de colección</t>
        </is>
      </c>
      <c r="D17" s="6" t="inlineStr">
        <is>
          <t>Ganache de chocolate con leche, nata UHT y sorbitol</t>
        </is>
      </c>
      <c r="E17" s="11" t="n">
        <v>0.82</v>
      </c>
      <c r="F17" s="14" t="inlineStr">
        <is>
          <t>estimada por ti</t>
        </is>
      </c>
      <c r="G17" s="6" t="inlineStr">
        <is>
          <t>Bombones de ganache con nata UHT, sorbato o alcohol</t>
        </is>
      </c>
      <c r="H17" t="inlineStr">
        <is>
          <t>4-8 semanas</t>
        </is>
      </c>
      <c r="I17" t="str">
        <f>IF(ISNUMBER($E17),IF($E17&gt;='Parámetros'!$B$11,"Agua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7" s="6" t="inlineStr">
        <is>
          <t>El conservante y el alcohol bajan la actividad de agua; sin ellos no se llega ni a la mitad</t>
        </is>
      </c>
    </row>
    <row r="18" ht="30" customHeight="1">
      <c r="A18" t="inlineStr">
        <is>
          <t>BC3</t>
        </is>
      </c>
      <c r="B18" s="6" t="inlineStr">
        <is>
          <t>Bombón de praline de avellana</t>
        </is>
      </c>
      <c r="C18" t="inlineStr">
        <is>
          <t>Bombones de colección</t>
        </is>
      </c>
      <c r="D18" s="6" t="inlineStr">
        <is>
          <t>Praline de avellana</t>
        </is>
      </c>
      <c r="E18" s="11" t="n">
        <v>0.42</v>
      </c>
      <c r="F18" s="14" t="inlineStr">
        <is>
          <t>estimada por ti</t>
        </is>
      </c>
      <c r="G18" s="6" t="inlineStr">
        <is>
          <t>Bombones de praline, gianduja y frutos secos</t>
        </is>
      </c>
      <c r="H18" t="inlineStr">
        <is>
          <t>2-4 meses</t>
        </is>
      </c>
      <c r="I18" t="str">
        <f>IF(ISNUMBER($E18),IF($E18&gt;='Parámetros'!$B$11,"Agua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8" s="6" t="inlineStr">
        <is>
          <t>La grasa del fruto seco se enrancia y el frío no lo evita: manda la fecha, no el aspecto</t>
        </is>
      </c>
    </row>
    <row r="19" ht="30" customHeight="1">
      <c r="A19" t="inlineStr">
        <is>
          <t>BC4</t>
        </is>
      </c>
      <c r="B19" s="6" t="inlineStr">
        <is>
          <t>Bombón de gianduja de avellana</t>
        </is>
      </c>
      <c r="C19" t="inlineStr">
        <is>
          <t>Bombones de colección</t>
        </is>
      </c>
      <c r="D19" s="6" t="inlineStr">
        <is>
          <t>Gianduja de avellana</t>
        </is>
      </c>
      <c r="E19" s="11" t="n">
        <v>0.38</v>
      </c>
      <c r="F19" s="14" t="inlineStr">
        <is>
          <t>estimada por ti</t>
        </is>
      </c>
      <c r="G19" s="6" t="inlineStr">
        <is>
          <t>Bombones de praline, gianduja y frutos secos</t>
        </is>
      </c>
      <c r="H19" t="inlineStr">
        <is>
          <t>2-4 meses</t>
        </is>
      </c>
      <c r="I19" t="str">
        <f>IF(ISNUMBER($E19),IF($E19&gt;='Parámetros'!$B$11,"Agua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19" s="6" t="inlineStr">
        <is>
          <t>La grasa del fruto seco se enrancia y el frío no lo evita: manda la fecha, no el aspecto</t>
        </is>
      </c>
    </row>
    <row r="20" ht="30" customHeight="1">
      <c r="A20" t="inlineStr">
        <is>
          <t>BC5</t>
        </is>
      </c>
      <c r="B20" s="6" t="inlineStr">
        <is>
          <t>Trufa de chocolate negro al cacao</t>
        </is>
      </c>
      <c r="C20" t="inlineStr">
        <is>
          <t>Bombones de colección</t>
        </is>
      </c>
      <c r="D20" s="6" t="inlineStr">
        <is>
          <t>Trufa de chocolate negro</t>
        </is>
      </c>
      <c r="E20" s="11" t="n">
        <v>0.8</v>
      </c>
      <c r="F20" s="14" t="inlineStr">
        <is>
          <t>estimada por ti</t>
        </is>
      </c>
      <c r="G20" s="6" t="inlineStr">
        <is>
          <t>Trufas y rocas recubiertas</t>
        </is>
      </c>
      <c r="H20" t="inlineStr">
        <is>
          <t>3-4 semanas</t>
        </is>
      </c>
      <c r="I20" t="str">
        <f>IF(ISNUMBER($E20),IF($E20&gt;='Parámetros'!$B$11,"Agua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0" s="6" t="inlineStr">
        <is>
          <t>Si llevan nata o mantequilla, se cuentan como ganache fresca</t>
        </is>
      </c>
    </row>
    <row r="21" ht="30" customHeight="1">
      <c r="A21" t="inlineStr">
        <is>
          <t>BC6</t>
        </is>
      </c>
      <c r="B21" s="6" t="inlineStr">
        <is>
          <t>Bombón de licor de ron</t>
        </is>
      </c>
      <c r="C21" t="inlineStr">
        <is>
          <t>Bombones de colección</t>
        </is>
      </c>
      <c r="D21" s="6" t="inlineStr">
        <is>
          <t>Licor cristalizado de ron</t>
        </is>
      </c>
      <c r="E21" s="11" t="n">
        <v>0.72</v>
      </c>
      <c r="F21" s="14" t="inlineStr">
        <is>
          <t>estimada por ti</t>
        </is>
      </c>
      <c r="G21" s="6" t="inlineStr">
        <is>
          <t>Bombones de licor y cristalizados</t>
        </is>
      </c>
      <c r="H21" t="inlineStr">
        <is>
          <t>3-6 meses</t>
        </is>
      </c>
      <c r="I21" t="str">
        <f>IF(ISNUMBER($E21),IF($E21&gt;='Parámetros'!$B$11,"Agua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1" s="6" t="inlineStr">
        <is>
          <t>Vigilar la cristalización del azúcar en la cascara: revienta y gotea</t>
        </is>
      </c>
    </row>
    <row r="22" ht="30" customHeight="1">
      <c r="A22" t="inlineStr">
        <is>
          <t>BC7</t>
        </is>
      </c>
      <c r="B22" s="6" t="inlineStr">
        <is>
          <t>Bombón de caramelo salado</t>
        </is>
      </c>
      <c r="C22" t="inlineStr">
        <is>
          <t>Bombones de colección</t>
        </is>
      </c>
      <c r="D22" s="6" t="inlineStr">
        <is>
          <t>Caramelo salado</t>
        </is>
      </c>
      <c r="E22" s="11" t="n">
        <v>0.68</v>
      </c>
      <c r="F22" s="14" t="inlineStr">
        <is>
          <t>estimada por ti</t>
        </is>
      </c>
      <c r="G22" s="6" t="inlineStr">
        <is>
          <t>Bombones de ganache con nata UHT, sorbato o alcohol</t>
        </is>
      </c>
      <c r="H22" t="inlineStr">
        <is>
          <t>4-8 semanas</t>
        </is>
      </c>
      <c r="I22" t="str">
        <f>IF(ISNUMBER($E22),IF($E22&gt;='Parámetros'!$B$11,"Agua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2" s="6" t="inlineStr">
        <is>
          <t>El conservante y el alcohol bajan la actividad de agua; sin ellos no se llega ni a la mitad</t>
        </is>
      </c>
    </row>
    <row r="23" ht="30" customHeight="1">
      <c r="A23" t="inlineStr">
        <is>
          <t>BC8</t>
        </is>
      </c>
      <c r="B23" s="6" t="inlineStr">
        <is>
          <t>Bombón de praline de cacahuete</t>
        </is>
      </c>
      <c r="C23" t="inlineStr">
        <is>
          <t>Bombones de colección</t>
        </is>
      </c>
      <c r="D23" s="6" t="inlineStr">
        <is>
          <t>Praline de cacahuete</t>
        </is>
      </c>
      <c r="E23" s="11" t="n">
        <v>0.4</v>
      </c>
      <c r="F23" s="14" t="inlineStr">
        <is>
          <t>estimada por ti</t>
        </is>
      </c>
      <c r="G23" s="6" t="inlineStr">
        <is>
          <t>Bombones de praline, gianduja y frutos secos</t>
        </is>
      </c>
      <c r="H23" t="inlineStr">
        <is>
          <t>2-4 meses</t>
        </is>
      </c>
      <c r="I23" t="str">
        <f>IF(ISNUMBER($E23),IF($E23&gt;='Parámetros'!$B$11,"Agua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3" s="6" t="inlineStr">
        <is>
          <t>La grasa del fruto seco se enrancia y el frío no lo evita: manda la fecha, no el aspecto</t>
        </is>
      </c>
    </row>
    <row r="24" ht="30" customHeight="1">
      <c r="A24" t="inlineStr">
        <is>
          <t>BC9</t>
        </is>
      </c>
      <c r="B24" s="6" t="inlineStr">
        <is>
          <t>Bombón crujiente de sesamo y barquillo</t>
        </is>
      </c>
      <c r="C24" t="inlineStr">
        <is>
          <t>Bombones de colección</t>
        </is>
      </c>
      <c r="D24" s="6" t="inlineStr">
        <is>
          <t>Crujiente de sesamo y barquillo</t>
        </is>
      </c>
      <c r="E24" s="11" t="n">
        <v>0.28</v>
      </c>
      <c r="F24" s="14" t="inlineStr">
        <is>
          <t>estimada por ti</t>
        </is>
      </c>
      <c r="G24" s="6" t="inlineStr">
        <is>
          <t>Barquillos y crujientes banados</t>
        </is>
      </c>
      <c r="H24" t="inlineStr">
        <is>
          <t>3-4 semanas</t>
        </is>
      </c>
      <c r="I24" t="str">
        <f>IF(ISNUMBER($E24),IF($E24&gt;='Parámetros'!$B$11,"Agua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4" s="6" t="inlineStr">
        <is>
          <t>Pierden el crujiente mucho antes que la seguridad: se retiran por calidad</t>
        </is>
      </c>
    </row>
    <row r="25" ht="30" customHeight="1">
      <c r="A25" t="inlineStr">
        <is>
          <t>BC10</t>
        </is>
      </c>
      <c r="B25" s="6" t="inlineStr">
        <is>
          <t>Bombón de naranja confitada y chocolate negro</t>
        </is>
      </c>
      <c r="C25" t="inlineStr">
        <is>
          <t>Bombones de colección</t>
        </is>
      </c>
      <c r="D25" s="6" t="inlineStr">
        <is>
          <t>Naranja confitada</t>
        </is>
      </c>
      <c r="E25" s="11" t="n">
        <v>0.65</v>
      </c>
      <c r="F25" s="14" t="inlineStr">
        <is>
          <t>estimada por ti</t>
        </is>
      </c>
      <c r="G25" s="6" t="inlineStr">
        <is>
          <t>Frutos secos garrapinados y frutas confitadas banadas</t>
        </is>
      </c>
      <c r="H25" t="inlineStr">
        <is>
          <t>1-3 meses</t>
        </is>
      </c>
      <c r="I25" t="str">
        <f>IF(ISNUMBER($E25),IF($E25&gt;='Parámetros'!$B$11,"Agua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5" s="6" t="inlineStr">
        <is>
          <t>Se apelmazan con la humedad; envasado hermetico con desecante si tu obrador es humedo</t>
        </is>
      </c>
    </row>
    <row r="26" ht="30" customHeight="1">
      <c r="A26" t="inlineStr">
        <is>
          <t>TB1</t>
        </is>
      </c>
      <c r="B26" s="6" t="inlineStr">
        <is>
          <t>Tableta de chocolate negro de origen 70 %, 100 g</t>
        </is>
      </c>
      <c r="C26" t="inlineStr">
        <is>
          <t>Tabletas</t>
        </is>
      </c>
      <c r="D26" s="6" t="inlineStr">
        <is>
          <t>Sin relleno: chocolate templado</t>
        </is>
      </c>
      <c r="E26" s="11" t="n">
        <v>0.4</v>
      </c>
      <c r="F26" s="14" t="inlineStr">
        <is>
          <t>estimada por ti</t>
        </is>
      </c>
      <c r="G26" s="6" t="inlineStr">
        <is>
          <t>Tabletas y chocolate sin relleno</t>
        </is>
      </c>
      <c r="H26" t="inlineStr">
        <is>
          <t>12-18 meses</t>
        </is>
      </c>
      <c r="I26" t="str">
        <f>IF(ISNUMBER($E26),IF($E26&gt;='Parámetros'!$B$11,"Agua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6" s="6" t="inlineStr">
        <is>
          <t>El enemigo no es el tiempo: es la humedad, la luz y los olores. Sellado y en oscuridad</t>
        </is>
      </c>
    </row>
    <row r="27" ht="30" customHeight="1">
      <c r="A27" t="inlineStr">
        <is>
          <t>TB2</t>
        </is>
      </c>
      <c r="B27" s="6" t="inlineStr">
        <is>
          <t>Tableta de chocolate con leche 38 %, 100 g</t>
        </is>
      </c>
      <c r="C27" t="inlineStr">
        <is>
          <t>Tabletas</t>
        </is>
      </c>
      <c r="D27" s="6" t="inlineStr">
        <is>
          <t>Sin relleno: chocolate templado</t>
        </is>
      </c>
      <c r="E27" s="11" t="n">
        <v>0.4</v>
      </c>
      <c r="F27" s="14" t="inlineStr">
        <is>
          <t>estimada por ti</t>
        </is>
      </c>
      <c r="G27" s="6" t="inlineStr">
        <is>
          <t>Tabletas y chocolate sin relleno</t>
        </is>
      </c>
      <c r="H27" t="inlineStr">
        <is>
          <t>12-18 meses</t>
        </is>
      </c>
      <c r="I27" t="str">
        <f>IF(ISNUMBER($E27),IF($E27&gt;='Parámetros'!$B$11,"Agua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7" s="6" t="inlineStr">
        <is>
          <t>El enemigo no es el tiempo: es la humedad, la luz y los olores. Sellado y en oscuridad</t>
        </is>
      </c>
    </row>
    <row r="28" ht="30" customHeight="1">
      <c r="A28" t="inlineStr">
        <is>
          <t>TB3</t>
        </is>
      </c>
      <c r="B28" s="6" t="inlineStr">
        <is>
          <t>Tableta de chocolate blanco 30 %, 100 g</t>
        </is>
      </c>
      <c r="C28" t="inlineStr">
        <is>
          <t>Tabletas</t>
        </is>
      </c>
      <c r="D28" s="6" t="inlineStr">
        <is>
          <t>Sin relleno: chocolate templado</t>
        </is>
      </c>
      <c r="E28" s="11" t="n">
        <v>0.4</v>
      </c>
      <c r="F28" s="14" t="inlineStr">
        <is>
          <t>estimada por ti</t>
        </is>
      </c>
      <c r="G28" s="6" t="inlineStr">
        <is>
          <t>Tabletas y chocolate sin relleno</t>
        </is>
      </c>
      <c r="H28" t="inlineStr">
        <is>
          <t>12-18 meses</t>
        </is>
      </c>
      <c r="I28" t="str">
        <f>IF(ISNUMBER($E28),IF($E28&gt;='Parámetros'!$B$11,"Agua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8" s="6" t="inlineStr">
        <is>
          <t>El enemigo no es el tiempo: es la humedad, la luz y los olores. Sellado y en oscuridad</t>
        </is>
      </c>
    </row>
    <row r="29" ht="30" customHeight="1">
      <c r="A29" t="inlineStr">
        <is>
          <t>TB4</t>
        </is>
      </c>
      <c r="B29" s="6" t="inlineStr">
        <is>
          <t>Tableta de chocolate negro con almendra marcona, 100 g</t>
        </is>
      </c>
      <c r="C29" t="inlineStr">
        <is>
          <t>Tabletas</t>
        </is>
      </c>
      <c r="D29" s="6" t="inlineStr">
        <is>
          <t>Sin relleno: chocolate templado</t>
        </is>
      </c>
      <c r="E29" s="11" t="n">
        <v>0.4</v>
      </c>
      <c r="F29" s="14" t="inlineStr">
        <is>
          <t>estimada por ti</t>
        </is>
      </c>
      <c r="G29" s="6" t="inlineStr">
        <is>
          <t>Tabletas y chocolate sin relleno</t>
        </is>
      </c>
      <c r="H29" t="inlineStr">
        <is>
          <t>12-18 meses</t>
        </is>
      </c>
      <c r="I29" t="str">
        <f>IF(ISNUMBER($E29),IF($E29&gt;='Parámetros'!$B$11,"Agua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29" s="6" t="inlineStr">
        <is>
          <t>El enemigo no es el tiempo: es la humedad, la luz y los olores. Sellado y en oscuridad</t>
        </is>
      </c>
    </row>
    <row r="30" ht="30" customHeight="1">
      <c r="A30" t="inlineStr">
        <is>
          <t>TB5</t>
        </is>
      </c>
      <c r="B30" s="6" t="inlineStr">
        <is>
          <t>Tableta de chocolate con leche y avellana, 100 g</t>
        </is>
      </c>
      <c r="C30" t="inlineStr">
        <is>
          <t>Tabletas</t>
        </is>
      </c>
      <c r="D30" s="6" t="inlineStr">
        <is>
          <t>Sin relleno: chocolate templado</t>
        </is>
      </c>
      <c r="E30" s="11" t="n">
        <v>0.4</v>
      </c>
      <c r="F30" s="14" t="inlineStr">
        <is>
          <t>estimada por ti</t>
        </is>
      </c>
      <c r="G30" s="6" t="inlineStr">
        <is>
          <t>Tabletas y chocolate sin relleno</t>
        </is>
      </c>
      <c r="H30" t="inlineStr">
        <is>
          <t>12-18 meses</t>
        </is>
      </c>
      <c r="I30" t="str">
        <f>IF(ISNUMBER($E30),IF($E30&gt;='Parámetros'!$B$11,"Agua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0" s="6" t="inlineStr">
        <is>
          <t>El enemigo no es el tiempo: es la humedad, la luz y los olores. Sellado y en oscuridad</t>
        </is>
      </c>
    </row>
    <row r="31" ht="30" customHeight="1">
      <c r="A31" t="inlineStr">
        <is>
          <t>TB6</t>
        </is>
      </c>
      <c r="B31" s="6" t="inlineStr">
        <is>
          <t>Tableta rellena de praline, 100 g</t>
        </is>
      </c>
      <c r="C31" t="inlineStr">
        <is>
          <t>Tabletas</t>
        </is>
      </c>
      <c r="D31" s="6" t="inlineStr">
        <is>
          <t>Praline de avellana para tableta rellena</t>
        </is>
      </c>
      <c r="E31" s="11" t="n">
        <v>0.4</v>
      </c>
      <c r="F31" s="14" t="inlineStr">
        <is>
          <t>estimada por ti</t>
        </is>
      </c>
      <c r="G31" s="6" t="inlineStr">
        <is>
          <t>Bombones de praline, gianduja y frutos secos</t>
        </is>
      </c>
      <c r="H31" t="inlineStr">
        <is>
          <t>2-4 meses</t>
        </is>
      </c>
      <c r="I31" t="str">
        <f>IF(ISNUMBER($E31),IF($E31&gt;='Parámetros'!$B$11,"Agua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1" s="6" t="inlineStr">
        <is>
          <t>La grasa del fruto seco se enrancia y el frío no lo evita: manda la fecha, no el aspecto</t>
        </is>
      </c>
    </row>
    <row r="32" ht="30" customHeight="1">
      <c r="A32" t="inlineStr">
        <is>
          <t>CT1</t>
        </is>
      </c>
      <c r="B32" s="6" t="inlineStr">
        <is>
          <t>Tableta de chocolate a la taza, 200 g</t>
        </is>
      </c>
      <c r="C32" t="inlineStr">
        <is>
          <t>Chocolate a la taza</t>
        </is>
      </c>
      <c r="D32" s="6" t="inlineStr">
        <is>
          <t>Masa de chocolate a la taza (azúcar, cacao desgrasado y almidón)</t>
        </is>
      </c>
      <c r="E32" s="11" t="n">
        <v>0.25</v>
      </c>
      <c r="F32" s="14" t="inlineStr">
        <is>
          <t>estimada por ti</t>
        </is>
      </c>
      <c r="G32" s="6" t="inlineStr">
        <is>
          <t>Tabletas y chocolate sin relleno</t>
        </is>
      </c>
      <c r="H32" t="inlineStr">
        <is>
          <t>12-18 meses</t>
        </is>
      </c>
      <c r="I32" t="str">
        <f>IF(ISNUMBER($E32),IF($E32&gt;='Parámetros'!$B$11,"Agua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2" s="6" t="inlineStr">
        <is>
          <t>El enemigo no es el tiempo: es la humedad, la luz y los olores. Sellado y en oscuridad</t>
        </is>
      </c>
    </row>
    <row r="33" ht="30" customHeight="1">
      <c r="A33" t="inlineStr">
        <is>
          <t>CT2</t>
        </is>
      </c>
      <c r="B33" s="6" t="inlineStr">
        <is>
          <t>Caja de 6 sobres monodosis de chocolate a la taza</t>
        </is>
      </c>
      <c r="C33" t="inlineStr">
        <is>
          <t>Chocolate a la taza</t>
        </is>
      </c>
      <c r="D33" s="6" t="inlineStr">
        <is>
          <t>Masa de chocolate a la taza (azúcar, cacao desgrasado y almidón)</t>
        </is>
      </c>
      <c r="E33" s="11" t="n">
        <v>0.25</v>
      </c>
      <c r="F33" s="14" t="inlineStr">
        <is>
          <t>estimada por ti</t>
        </is>
      </c>
      <c r="G33" s="6" t="inlineStr">
        <is>
          <t>Tabletas y chocolate sin relleno</t>
        </is>
      </c>
      <c r="H33" t="inlineStr">
        <is>
          <t>12-18 meses</t>
        </is>
      </c>
      <c r="I33" t="str">
        <f>IF(ISNUMBER($E33),IF($E33&gt;='Parámetros'!$B$11,"Agua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3" s="6" t="inlineStr">
        <is>
          <t>El enemigo no es el tiempo: es la humedad, la luz y los olores. Sellado y en oscuridad</t>
        </is>
      </c>
    </row>
    <row r="34" ht="30" customHeight="1">
      <c r="A34" t="inlineStr">
        <is>
          <t>CT3</t>
        </is>
      </c>
      <c r="B34" s="6" t="inlineStr">
        <is>
          <t>Chocolate a la taza servido en sala, 200 ml</t>
        </is>
      </c>
      <c r="C34" t="inlineStr">
        <is>
          <t>Chocolate a la taza</t>
        </is>
      </c>
      <c r="D34" s="6" t="inlineStr">
        <is>
          <t>Masa de chocolate a la taza (azúcar, cacao desgrasado y almidón)</t>
        </is>
      </c>
      <c r="E34" s="11" t="n">
        <v>0.25</v>
      </c>
      <c r="F34" s="14" t="inlineStr">
        <is>
          <t>estimada por ti</t>
        </is>
      </c>
      <c r="G34" s="6" t="inlineStr">
        <is>
          <t>Tabletas y chocolate sin relleno</t>
        </is>
      </c>
      <c r="H34" t="inlineStr">
        <is>
          <t>12-18 meses</t>
        </is>
      </c>
      <c r="I34" t="str">
        <f>IF(ISNUMBER($E34),IF($E34&gt;='Parámetros'!$B$11,"Agua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4" s="6" t="inlineStr">
        <is>
          <t>El enemigo no es el tiempo: es la humedad, la luz y los olores. Sellado y en oscuridad</t>
        </is>
      </c>
    </row>
    <row r="35" ht="30" customHeight="1">
      <c r="A35" t="inlineStr">
        <is>
          <t>TF1</t>
        </is>
      </c>
      <c r="B35" s="6" t="inlineStr">
        <is>
          <t>Huevo de Pascua de chocolate con leche, 250 g</t>
        </is>
      </c>
      <c r="C35" t="inlineStr">
        <is>
          <t>Turrones, figuras y temporada</t>
        </is>
      </c>
      <c r="D35" s="6" t="inlineStr">
        <is>
          <t>Sin relleno: chocolate templado</t>
        </is>
      </c>
      <c r="E35" s="11" t="n">
        <v>0.4</v>
      </c>
      <c r="F35" s="14" t="inlineStr">
        <is>
          <t>estimada por ti</t>
        </is>
      </c>
      <c r="G35" s="6" t="inlineStr">
        <is>
          <t>Figuras huecas y piezas macizas</t>
        </is>
      </c>
      <c r="H35" t="inlineStr">
        <is>
          <t>6-12 meses</t>
        </is>
      </c>
      <c r="I35" t="str">
        <f>IF(ISNUMBER($E35),IF($E35&gt;='Parámetros'!$B$11,"Agua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5" s="6" t="inlineStr">
        <is>
          <t>Igual que la tableta, pero la pieza hueca se raja con los cambios bruscos de temperatura</t>
        </is>
      </c>
    </row>
    <row r="36" ht="30" customHeight="1">
      <c r="A36" t="inlineStr">
        <is>
          <t>TF2</t>
        </is>
      </c>
      <c r="B36" s="6" t="inlineStr">
        <is>
          <t>Mona de Pascua de chocolate, 400 g</t>
        </is>
      </c>
      <c r="C36" t="inlineStr">
        <is>
          <t>Turrones, figuras y temporada</t>
        </is>
      </c>
      <c r="D36" s="6" t="inlineStr">
        <is>
          <t>Sin relleno: chocolate templado</t>
        </is>
      </c>
      <c r="E36" s="11" t="n">
        <v>0.4</v>
      </c>
      <c r="F36" s="14" t="inlineStr">
        <is>
          <t>estimada por ti</t>
        </is>
      </c>
      <c r="G36" s="6" t="inlineStr">
        <is>
          <t>Figuras huecas y piezas macizas</t>
        </is>
      </c>
      <c r="H36" t="inlineStr">
        <is>
          <t>6-12 meses</t>
        </is>
      </c>
      <c r="I36" t="str">
        <f>IF(ISNUMBER($E36),IF($E36&gt;='Parámetros'!$B$11,"Agua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6" s="6" t="inlineStr">
        <is>
          <t>Igual que la tableta, pero la pieza hueca se raja con los cambios bruscos de temperatura</t>
        </is>
      </c>
    </row>
    <row r="37" ht="30" customHeight="1">
      <c r="A37" t="inlineStr">
        <is>
          <t>TF3</t>
        </is>
      </c>
      <c r="B37" s="6" t="inlineStr">
        <is>
          <t>Hueso de santo banado en chocolate</t>
        </is>
      </c>
      <c r="C37" t="inlineStr">
        <is>
          <t>Turrones, figuras y temporada</t>
        </is>
      </c>
      <c r="D37" s="6" t="inlineStr">
        <is>
          <t>Yema tostada</t>
        </is>
      </c>
      <c r="E37" s="11" t="n">
        <v>0.85</v>
      </c>
      <c r="F37" s="14" t="inlineStr">
        <is>
          <t>estimada por ti</t>
        </is>
      </c>
      <c r="G37" s="6" t="inlineStr">
        <is>
          <t>Bombones de ganache con nata fresca</t>
        </is>
      </c>
      <c r="H37" t="inlineStr">
        <is>
          <t>10-15 días</t>
        </is>
      </c>
      <c r="I37" t="str">
        <f>IF(ISNUMBER($E37),IF($E37&gt;='Parámetros'!$B$11,"Agua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37" s="6" t="inlineStr">
        <is>
          <t>Actividad de agua alta: en refrigeración a 0-4 °C y atemperar CERRADOS antes de abrir, o condensan</t>
        </is>
      </c>
    </row>
    <row r="38" ht="30" customHeight="1">
      <c r="A38" t="inlineStr">
        <is>
          <t>TF4</t>
        </is>
      </c>
      <c r="B38" s="6" t="inlineStr">
        <is>
          <t>Turrón de chocolate con almendra, 250 g</t>
        </is>
      </c>
      <c r="C38" t="inlineStr">
        <is>
          <t>Turrones, figuras y temporada</t>
        </is>
      </c>
      <c r="D38" s="6" t="inlineStr">
        <is>
          <t>Sin relleno: chocolate templado</t>
        </is>
      </c>
      <c r="E38" s="11" t="n">
        <v>0.4</v>
      </c>
      <c r="F38" s="14" t="inlineStr">
        <is>
          <t>estimada por ti</t>
        </is>
      </c>
      <c r="G38" s="6" t="inlineStr">
        <is>
          <t>Tabletas y chocolate sin relleno</t>
        </is>
      </c>
      <c r="H38" t="inlineStr">
        <is>
          <t>12-18 meses</t>
        </is>
      </c>
      <c r="I38" t="str">
        <f>IF(ISNUMBER($E38),IF($E38&gt;='Parámetros'!$B$11,"Agua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8" s="6" t="inlineStr">
        <is>
          <t>El enemigo no es el tiempo: es la humedad, la luz y los olores. Sellado y en oscuridad</t>
        </is>
      </c>
    </row>
    <row r="39" ht="30" customHeight="1">
      <c r="A39" t="inlineStr">
        <is>
          <t>TF5</t>
        </is>
      </c>
      <c r="B39" s="6" t="inlineStr">
        <is>
          <t>Almendras marcona banadas en chocolate, bolsa de 150 g</t>
        </is>
      </c>
      <c r="C39" t="inlineStr">
        <is>
          <t>Turrones, figuras y temporada</t>
        </is>
      </c>
      <c r="D39" s="6" t="inlineStr">
        <is>
          <t>Sin relleno: chocolate templado</t>
        </is>
      </c>
      <c r="E39" s="11" t="n">
        <v>0.4</v>
      </c>
      <c r="F39" s="14" t="inlineStr">
        <is>
          <t>estimada por ti</t>
        </is>
      </c>
      <c r="G39" s="6" t="inlineStr">
        <is>
          <t>Frutos secos garrapinados y frutas confitadas banadas</t>
        </is>
      </c>
      <c r="H39" t="inlineStr">
        <is>
          <t>1-3 meses</t>
        </is>
      </c>
      <c r="I39" t="str">
        <f>IF(ISNUMBER($E39),IF($E39&gt;='Parámetros'!$B$11,"Agua disponible ALTA: trátala como producto de vida corta y en frío, y justifícalo en tu APPCC","Agua disponible baja: la vida la manda el rancio de la grasa y la humedad del ambiente, no el microbio"),"")</f>
        <v>Agua disponible baja: la vida la manda el rancio de la grasa y la humedad del ambiente, no el microbio</v>
      </c>
      <c r="J39" s="6" t="inlineStr">
        <is>
          <t>Se apelmazan con la humedad; envasado hermetico con desecante si tu obrador es humedo</t>
        </is>
      </c>
    </row>
    <row r="40" ht="30" customHeight="1">
      <c r="A40" t="inlineStr">
        <is>
          <t>CJ1</t>
        </is>
      </c>
      <c r="B40" s="6" t="inlineStr">
        <is>
          <t>Caja surtida de 12 bombones</t>
        </is>
      </c>
      <c r="C40" t="inlineStr">
        <is>
          <t>Cajas y regalo</t>
        </is>
      </c>
      <c r="D40" s="6" t="inlineStr">
        <is>
          <t>Surtido: varias piezas con rellenos distintos</t>
        </is>
      </c>
      <c r="E40" s="11" t="n">
        <v>0.88</v>
      </c>
      <c r="F40" s="14" t="inlineStr">
        <is>
          <t>estimada por ti</t>
        </is>
      </c>
      <c r="G40" s="6" t="inlineStr">
        <is>
          <t>Bombones de ganache con nata fresca</t>
        </is>
      </c>
      <c r="H40" t="inlineStr">
        <is>
          <t>10-15 días</t>
        </is>
      </c>
      <c r="I40" t="str">
        <f>IF(ISNUMBER($E40),IF($E40&gt;='Parámetros'!$B$11,"Agua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0" s="6" t="inlineStr">
        <is>
          <t>Actividad de agua alta: en refrigeración a 0-4 °C y atemperar CERRADOS antes de abrir, o condensan</t>
        </is>
      </c>
    </row>
    <row r="41" ht="30" customHeight="1">
      <c r="A41" t="inlineStr">
        <is>
          <t>CJ2</t>
        </is>
      </c>
      <c r="B41" s="6" t="inlineStr">
        <is>
          <t>Caja surtida de 20 bombones</t>
        </is>
      </c>
      <c r="C41" t="inlineStr">
        <is>
          <t>Cajas y regalo</t>
        </is>
      </c>
      <c r="D41" s="6" t="inlineStr">
        <is>
          <t>Surtido: varias piezas con rellenos distintos</t>
        </is>
      </c>
      <c r="E41" s="11" t="n">
        <v>0.88</v>
      </c>
      <c r="F41" s="14" t="inlineStr">
        <is>
          <t>estimada por ti</t>
        </is>
      </c>
      <c r="G41" s="6" t="inlineStr">
        <is>
          <t>Bombones de ganache con nata fresca</t>
        </is>
      </c>
      <c r="H41" t="inlineStr">
        <is>
          <t>10-15 días</t>
        </is>
      </c>
      <c r="I41" t="str">
        <f>IF(ISNUMBER($E41),IF($E41&gt;='Parámetros'!$B$11,"Agua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1" s="6" t="inlineStr">
        <is>
          <t>Actividad de agua alta: en refrigeración a 0-4 °C y atemperar CERRADOS antes de abrir, o condensan</t>
        </is>
      </c>
    </row>
    <row r="42" ht="30" customHeight="1">
      <c r="A42" t="inlineStr">
        <is>
          <t>CJ3</t>
        </is>
      </c>
      <c r="B42" s="6" t="inlineStr">
        <is>
          <t>Caja surtida de 35 bombones</t>
        </is>
      </c>
      <c r="C42" t="inlineStr">
        <is>
          <t>Cajas y regalo</t>
        </is>
      </c>
      <c r="D42" s="6" t="inlineStr">
        <is>
          <t>Surtido: varias piezas con rellenos distintos</t>
        </is>
      </c>
      <c r="E42" s="11" t="n">
        <v>0.88</v>
      </c>
      <c r="F42" s="14" t="inlineStr">
        <is>
          <t>estimada por ti</t>
        </is>
      </c>
      <c r="G42" s="6" t="inlineStr">
        <is>
          <t>Bombones de ganache con nata fresca</t>
        </is>
      </c>
      <c r="H42" t="inlineStr">
        <is>
          <t>10-15 días</t>
        </is>
      </c>
      <c r="I42" t="str">
        <f>IF(ISNUMBER($E42),IF($E42&gt;='Parámetros'!$B$11,"Agua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2" s="6" t="inlineStr">
        <is>
          <t>Actividad de agua alta: en refrigeración a 0-4 °C y atemperar CERRADOS antes de abrir, o condensan</t>
        </is>
      </c>
    </row>
    <row r="43" ht="30" customHeight="1">
      <c r="A43" t="inlineStr">
        <is>
          <t>CJ4</t>
        </is>
      </c>
      <c r="B43" s="6" t="inlineStr">
        <is>
          <t>Estuche corporativo personalizado de 24 bombones</t>
        </is>
      </c>
      <c r="C43" t="inlineStr">
        <is>
          <t>Cajas y regalo</t>
        </is>
      </c>
      <c r="D43" s="6" t="inlineStr">
        <is>
          <t>Surtido: varias piezas con rellenos distintos</t>
        </is>
      </c>
      <c r="E43" s="11" t="n">
        <v>0.88</v>
      </c>
      <c r="F43" s="14" t="inlineStr">
        <is>
          <t>estimada por ti</t>
        </is>
      </c>
      <c r="G43" s="6" t="inlineStr">
        <is>
          <t>Bombones de ganache con nata fresca</t>
        </is>
      </c>
      <c r="H43" t="inlineStr">
        <is>
          <t>10-15 días</t>
        </is>
      </c>
      <c r="I43" t="str">
        <f>IF(ISNUMBER($E43),IF($E43&gt;='Parámetros'!$B$11,"Agua disponible ALTA: trátala como producto de vida corta y en frío, y justifícalo en tu APPCC","Agua disponible baja: la vida la manda el rancio de la grasa y la humedad del ambiente, no el microbio"),"")</f>
        <v>Agua disponible ALTA: trátala como producto de vida corta y en frío, y justifícalo en tu APPCC</v>
      </c>
      <c r="J43" s="6" t="inlineStr">
        <is>
          <t>Actividad de agua alta: en refrigeración a 0-4 °C y atemperar CERRADOS antes de abrir, o condensan</t>
        </is>
      </c>
    </row>
    <row r="44" ht="34" customHeight="1">
      <c r="A44" s="4" t="inlineStr">
        <is>
          <t>RECUENTO</t>
        </is>
      </c>
      <c r="B44" s="15" t="inlineStr">
        <is>
          <t>Referencias con el agua disponible por encima de tu umbral</t>
        </is>
      </c>
      <c r="E44" s="16">
        <f>COUNTIF(E16:E43,"&gt;="&amp;'Parámetros'!$B$11)</f>
        <v>6.0</v>
      </c>
      <c r="F44" s="4" t="inlineStr">
        <is>
          <t>Medidas de verdad:</t>
        </is>
      </c>
      <c r="G44" s="16">
        <f>COUNTIF(F16:F43,$A$62)</f>
        <v>0.0</v>
      </c>
      <c r="I44" s="2" t="inlineStr">
        <is>
          <t>Mientras la segunda cifra sea cero, toda la columna de aw es una estimación: el higrómetro de actividad de agua es la compra que convierte esta hoja en un documento defendible.</t>
        </is>
      </c>
    </row>
    <row r="45"/>
    <row r="46"/>
    <row r="47"/>
    <row r="48"/>
    <row r="49"/>
    <row r="50"/>
    <row r="51"/>
    <row r="52"/>
    <row r="53"/>
    <row r="54"/>
    <row r="55"/>
    <row r="56"/>
    <row r="57"/>
    <row r="58"/>
    <row r="59"/>
    <row r="60">
      <c r="A60" s="3" t="inlineStr">
        <is>
          <t>Listas de validación (no las borres: las usan los desplegables)</t>
        </is>
      </c>
    </row>
    <row r="61">
      <c r="A61" s="4" t="inlineStr">
        <is>
          <t>Origen del dato</t>
        </is>
      </c>
    </row>
    <row r="62">
      <c r="A62" t="inlineStr">
        <is>
          <t>medida con higrómetro</t>
        </is>
      </c>
    </row>
    <row r="63">
      <c r="A63" t="inlineStr">
        <is>
          <t>estimada por ti</t>
        </is>
      </c>
    </row>
  </sheetData>
  <sheetProtection selectLockedCells="0" selectUnlockedCells="0" sheet="1" objects="0" insertRows="0" insertHyperlinks="1" autoFilter="1" scenarios="0" formatColumns="0" deleteColumns="1" insertColumns="1" pivotTables="1" deleteRows="1" formatCells="1" formatRows="0" sort="0"/>
  <mergeCells count="3">
    <mergeCell ref="A6:J6"/>
    <mergeCell ref="I44:J44"/>
    <mergeCell ref="A3:J3"/>
  </mergeCells>
  <conditionalFormatting sqref="E16:E43">
    <cfRule type="expression" priority="1" dxfId="0" stopIfTrue="1">
      <formula>=AND(ISNUMBER($E16),$E16&gt;='Parámetros'!$B$11)</formula>
    </cfRule>
  </conditionalFormatting>
  <dataValidations count="1">
    <dataValidation sqref="F16 F17 F18 F19 F20 F21 F22 F23 F24 F25 F26 F27 F28 F29 F30 F31 F32 F33 F34 F35 F36 F37 F38 F39 F40 F41 F42 F43" showDropDown="0" showInputMessage="0" showErrorMessage="1" allowBlank="0" errorTitle="Origen no válido" error="Sólo hay dos: la has medido con un higrómetro de actividad de agua o la has estimado. Ponerlo importa: una estimación no sostiene una vida útil delante de un inspector."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63"/>
  <sheetViews>
    <sheetView workbookViewId="0">
      <pane ySplit="47" topLeftCell="A48" activePane="bottomLeft" state="frozen"/>
      <selection pane="bottomLeft"/>
      <selection pane="bottomLeft"/>
      <selection pane="bottomRight" activeCell="A1" sqref="A1"/>
    </sheetView>
  </sheetViews>
  <sheetFormatPr baseColWidth="8" defaultRowHeight="15"/>
  <cols>
    <col width="9" customWidth="1" min="1" max="1"/>
    <col width="44" customWidth="1" min="2" max="2"/>
    <col width="40" customWidth="1" min="3" max="3"/>
    <col width="15" customWidth="1" min="4" max="4"/>
    <col width="12" customWidth="1" min="5" max="5"/>
    <col width="12" customWidth="1" min="6" max="6"/>
    <col width="14" customWidth="1" min="7" max="7"/>
    <col width="18" customWidth="1" min="8" max="8"/>
    <col width="14" customWidth="1" min="9" max="9"/>
    <col width="15" customWidth="1" min="10" max="10"/>
    <col width="12" customWidth="1" min="11" max="11"/>
    <col width="16" customWidth="1" min="12" max="12"/>
    <col width="58" customWidth="1" min="13" max="13"/>
  </cols>
  <sheetData>
    <row r="1" ht="28" customHeight="1">
      <c r="A1" s="1" t="inlineStr">
        <is>
          <t>Vida Útil Declarada</t>
        </is>
      </c>
    </row>
    <row r="2">
      <c r="A2" t="inlineStr">
        <is>
          <t>AI Chef Pro · aichef.pro — Cómo Montar una Chocolatería</t>
        </is>
      </c>
    </row>
    <row r="3" ht="26" customHeight="1">
      <c r="A3" s="2" t="inlineStr">
        <is>
          <t>La vida útil la declaras TÚ y consta en tu plan de APPCC. Esta hoja NO la calcula: la recoge, la pone al lado del plazo orientativo del kit y te avisa si te has salido.</t>
        </is>
      </c>
    </row>
    <row r="4"/>
    <row r="5">
      <c r="A5" s="3" t="inlineStr">
        <is>
          <t>La Tabla del Kit, Citada Fila a Fila</t>
        </is>
      </c>
    </row>
    <row r="6" ht="46" customHeight="1">
      <c r="A6" s="2" t="inlineStr">
        <is>
          <t>Los diez plazos de abajo son los del Kit de Tareas Chocolatería, fichero 02-partidas-produccion.xlsx, hoja Moldeado, tabla «vida útil y conservación orientativas a 15-18 °C y 50-60 % de humedad». Son ORIENTATIVOS y de la casa, no de una norma: ninguna norma publica la vida útil del chocolate. La equivalencia en días de la columna E y F es aritmética nuestra -el kit escribe «4-8 semanas»- y está para que el semáforo pueda comparar.</t>
        </is>
      </c>
    </row>
    <row r="7"/>
    <row r="8"/>
    <row r="9"/>
    <row r="10"/>
    <row r="11"/>
    <row r="12"/>
    <row r="13"/>
    <row r="14"/>
    <row r="15" ht="52" customHeight="1">
      <c r="A15" s="7" t="inlineStr">
        <is>
          <t>Id</t>
        </is>
      </c>
      <c r="B15" s="7" t="inlineStr">
        <is>
          <t>Referencia</t>
        </is>
      </c>
      <c r="C15" s="7" t="inlineStr">
        <is>
          <t>Familia de vida útil del kit</t>
        </is>
      </c>
      <c r="D15" s="7" t="inlineStr">
        <is>
          <t>Plazo orientativo del kit</t>
        </is>
      </c>
      <c r="E15" s="7" t="inlineStr">
        <is>
          <t>Equivalencia mínima (días)</t>
        </is>
      </c>
      <c r="F15" s="7" t="inlineStr">
        <is>
          <t>Equivalencia máxima (días)</t>
        </is>
      </c>
      <c r="G15" s="7" t="inlineStr">
        <is>
          <t>Vida útil que TÚ declaras (días)</t>
        </is>
      </c>
      <c r="H15" s="7" t="inlineStr">
        <is>
          <t>Tipo de fecha</t>
        </is>
      </c>
      <c r="I15" s="7" t="inlineStr">
        <is>
          <t>Fecha de elaboración</t>
        </is>
      </c>
      <c r="J15" s="7" t="inlineStr">
        <is>
          <t>Fecha que va en la etiqueta</t>
        </is>
      </c>
      <c r="K15" s="7" t="inlineStr">
        <is>
          <t>Vida útil (semanas)</t>
        </is>
      </c>
      <c r="L15" s="7" t="inlineStr">
        <is>
          <t>Pieza más corta del surtido (días)</t>
        </is>
      </c>
      <c r="M15" s="7" t="inlineStr">
        <is>
          <t>Veredicto</t>
        </is>
      </c>
    </row>
    <row r="16" ht="28" customHeight="1">
      <c r="A16" t="inlineStr">
        <is>
          <t>BC1</t>
        </is>
      </c>
      <c r="B16" s="6" t="inlineStr">
        <is>
          <t>Bombón de ganache de chocolate negro 70 %</t>
        </is>
      </c>
      <c r="C16" s="6" t="inlineStr">
        <is>
          <t>Bombones de ganache con nata fresca</t>
        </is>
      </c>
      <c r="D16" t="inlineStr">
        <is>
          <t>10-15 días</t>
        </is>
      </c>
      <c r="E16" s="10" t="n">
        <v>10</v>
      </c>
      <c r="F16" s="10" t="n">
        <v>15</v>
      </c>
      <c r="G16" s="8" t="n">
        <v>10</v>
      </c>
      <c r="H16" s="14" t="inlineStr">
        <is>
          <t>caducidad</t>
        </is>
      </c>
      <c r="I16" s="17" t="n">
        <v>46279</v>
      </c>
      <c r="J16" s="18">
        <f>IFERROR($I16+$G16,"")</f>
        <v>46289.0</v>
      </c>
      <c r="K16" s="19">
        <f>IFERROR($G16/7,"")</f>
        <v>1.4285714285714286</v>
      </c>
      <c r="M16" t="str">
        <f>IF(ISNUMBER($G16),IF(AND(ISNUMBER($L16),$G16&gt;$L16),"Por encima de la pieza más corta que llevas dentro: un surtido caduca con ella",IF($G16&gt;$F16,"Por encima del plazo orientativo del kit: sostenlo con analítica y con tu APPCC",IF($G16&lt;$E16,"Por debajo del plazo del kit: conservador, y es decisión tuya","Dentro del plazo orientativo del kit"))),"")</f>
        <v>Dentro del plazo orientativo del kit</v>
      </c>
    </row>
    <row r="17" ht="28" customHeight="1">
      <c r="A17" t="inlineStr">
        <is>
          <t>BC2</t>
        </is>
      </c>
      <c r="B17" s="6" t="inlineStr">
        <is>
          <t>Bombón de ganache de leche y vainilla</t>
        </is>
      </c>
      <c r="C17" s="6" t="inlineStr">
        <is>
          <t>Bombones de ganache con nata UHT, sorbato o alcohol</t>
        </is>
      </c>
      <c r="D17" t="inlineStr">
        <is>
          <t>4-8 semanas</t>
        </is>
      </c>
      <c r="E17" s="10" t="n">
        <v>28</v>
      </c>
      <c r="F17" s="10" t="n">
        <v>56</v>
      </c>
      <c r="G17" s="8" t="n">
        <v>28</v>
      </c>
      <c r="H17" s="14" t="inlineStr">
        <is>
          <t>caducidad</t>
        </is>
      </c>
      <c r="I17" s="17" t="n">
        <v>46279</v>
      </c>
      <c r="J17" s="18">
        <f>IFERROR($I17+$G17,"")</f>
        <v>46307.0</v>
      </c>
      <c r="K17" s="19">
        <f>IFERROR($G17/7,"")</f>
        <v>4.0</v>
      </c>
      <c r="M17" t="str">
        <f>IF(ISNUMBER($G17),IF(AND(ISNUMBER($L17),$G17&gt;$L17),"Por encima de la pieza más corta que llevas dentro: un surtido caduca con ella",IF($G17&gt;$F17,"Por encima del plazo orientativo del kit: sostenlo con analítica y con tu APPCC",IF($G17&lt;$E17,"Por debajo del plazo del kit: conservador, y es decisión tuya","Dentro del plazo orientativo del kit"))),"")</f>
        <v>Dentro del plazo orientativo del kit</v>
      </c>
    </row>
    <row r="18" ht="28" customHeight="1">
      <c r="A18" t="inlineStr">
        <is>
          <t>BC3</t>
        </is>
      </c>
      <c r="B18" s="6" t="inlineStr">
        <is>
          <t>Bombón de praline de avellana</t>
        </is>
      </c>
      <c r="C18" s="6" t="inlineStr">
        <is>
          <t>Bombones de praline, gianduja y frutos secos</t>
        </is>
      </c>
      <c r="D18" t="inlineStr">
        <is>
          <t>2-4 meses</t>
        </is>
      </c>
      <c r="E18" s="10" t="n">
        <v>60</v>
      </c>
      <c r="F18" s="10" t="n">
        <v>120</v>
      </c>
      <c r="G18" s="8" t="n">
        <v>60</v>
      </c>
      <c r="H18" s="14" t="inlineStr">
        <is>
          <t>consumo preferente</t>
        </is>
      </c>
      <c r="I18" s="17" t="n">
        <v>46279</v>
      </c>
      <c r="J18" s="18">
        <f>IFERROR($I18+$G18,"")</f>
        <v>46339.0</v>
      </c>
      <c r="K18" s="19">
        <f>IFERROR($G18/7,"")</f>
        <v>8.571428571428571</v>
      </c>
      <c r="M18" t="str">
        <f>IF(ISNUMBER($G18),IF(AND(ISNUMBER($L18),$G18&gt;$L18),"Por encima de la pieza más corta que llevas dentro: un surtido caduca con ella",IF($G18&gt;$F18,"Por encima del plazo orientativo del kit: sostenlo con analítica y con tu APPCC",IF($G18&lt;$E18,"Por debajo del plazo del kit: conservador, y es decisión tuya","Dentro del plazo orientativo del kit"))),"")</f>
        <v>Dentro del plazo orientativo del kit</v>
      </c>
    </row>
    <row r="19" ht="28" customHeight="1">
      <c r="A19" t="inlineStr">
        <is>
          <t>BC4</t>
        </is>
      </c>
      <c r="B19" s="6" t="inlineStr">
        <is>
          <t>Bombón de gianduja de avellana</t>
        </is>
      </c>
      <c r="C19" s="6" t="inlineStr">
        <is>
          <t>Bombones de praline, gianduja y frutos secos</t>
        </is>
      </c>
      <c r="D19" t="inlineStr">
        <is>
          <t>2-4 meses</t>
        </is>
      </c>
      <c r="E19" s="10" t="n">
        <v>60</v>
      </c>
      <c r="F19" s="10" t="n">
        <v>120</v>
      </c>
      <c r="G19" s="8" t="n">
        <v>60</v>
      </c>
      <c r="H19" s="14" t="inlineStr">
        <is>
          <t>consumo preferente</t>
        </is>
      </c>
      <c r="I19" s="17" t="n">
        <v>46279</v>
      </c>
      <c r="J19" s="18">
        <f>IFERROR($I19+$G19,"")</f>
        <v>46339.0</v>
      </c>
      <c r="K19" s="19">
        <f>IFERROR($G19/7,"")</f>
        <v>8.571428571428571</v>
      </c>
      <c r="M19" t="str">
        <f>IF(ISNUMBER($G19),IF(AND(ISNUMBER($L19),$G19&gt;$L19),"Por encima de la pieza más corta que llevas dentro: un surtido caduca con ella",IF($G19&gt;$F19,"Por encima del plazo orientativo del kit: sostenlo con analítica y con tu APPCC",IF($G19&lt;$E19,"Por debajo del plazo del kit: conservador, y es decisión tuya","Dentro del plazo orientativo del kit"))),"")</f>
        <v>Dentro del plazo orientativo del kit</v>
      </c>
    </row>
    <row r="20" ht="28" customHeight="1">
      <c r="A20" t="inlineStr">
        <is>
          <t>BC5</t>
        </is>
      </c>
      <c r="B20" s="6" t="inlineStr">
        <is>
          <t>Trufa de chocolate negro al cacao</t>
        </is>
      </c>
      <c r="C20" s="6" t="inlineStr">
        <is>
          <t>Trufas y rocas recubiertas</t>
        </is>
      </c>
      <c r="D20" t="inlineStr">
        <is>
          <t>3-4 semanas</t>
        </is>
      </c>
      <c r="E20" s="10" t="n">
        <v>21</v>
      </c>
      <c r="F20" s="10" t="n">
        <v>28</v>
      </c>
      <c r="G20" s="8" t="n">
        <v>21</v>
      </c>
      <c r="H20" s="14" t="inlineStr">
        <is>
          <t>caducidad</t>
        </is>
      </c>
      <c r="I20" s="17" t="n">
        <v>46279</v>
      </c>
      <c r="J20" s="18">
        <f>IFERROR($I20+$G20,"")</f>
        <v>46300.0</v>
      </c>
      <c r="K20" s="19">
        <f>IFERROR($G20/7,"")</f>
        <v>3.0</v>
      </c>
      <c r="M20" t="str">
        <f>IF(ISNUMBER($G20),IF(AND(ISNUMBER($L20),$G20&gt;$L20),"Por encima de la pieza más corta que llevas dentro: un surtido caduca con ella",IF($G20&gt;$F20,"Por encima del plazo orientativo del kit: sostenlo con analítica y con tu APPCC",IF($G20&lt;$E20,"Por debajo del plazo del kit: conservador, y es decisión tuya","Dentro del plazo orientativo del kit"))),"")</f>
        <v>Dentro del plazo orientativo del kit</v>
      </c>
    </row>
    <row r="21" ht="28" customHeight="1">
      <c r="A21" t="inlineStr">
        <is>
          <t>BC6</t>
        </is>
      </c>
      <c r="B21" s="6" t="inlineStr">
        <is>
          <t>Bombón de licor de ron</t>
        </is>
      </c>
      <c r="C21" s="6" t="inlineStr">
        <is>
          <t>Bombones de licor y cristalizados</t>
        </is>
      </c>
      <c r="D21" t="inlineStr">
        <is>
          <t>3-6 meses</t>
        </is>
      </c>
      <c r="E21" s="10" t="n">
        <v>90</v>
      </c>
      <c r="F21" s="10" t="n">
        <v>180</v>
      </c>
      <c r="G21" s="8" t="n">
        <v>90</v>
      </c>
      <c r="H21" s="14" t="inlineStr">
        <is>
          <t>consumo preferente</t>
        </is>
      </c>
      <c r="I21" s="17" t="n">
        <v>46279</v>
      </c>
      <c r="J21" s="18">
        <f>IFERROR($I21+$G21,"")</f>
        <v>46369.0</v>
      </c>
      <c r="K21" s="19">
        <f>IFERROR($G21/7,"")</f>
        <v>12.857142857142858</v>
      </c>
      <c r="M21" t="str">
        <f>IF(ISNUMBER($G21),IF(AND(ISNUMBER($L21),$G21&gt;$L21),"Por encima de la pieza más corta que llevas dentro: un surtido caduca con ella",IF($G21&gt;$F21,"Por encima del plazo orientativo del kit: sostenlo con analítica y con tu APPCC",IF($G21&lt;$E21,"Por debajo del plazo del kit: conservador, y es decisión tuya","Dentro del plazo orientativo del kit"))),"")</f>
        <v>Dentro del plazo orientativo del kit</v>
      </c>
    </row>
    <row r="22" ht="28" customHeight="1">
      <c r="A22" t="inlineStr">
        <is>
          <t>BC7</t>
        </is>
      </c>
      <c r="B22" s="6" t="inlineStr">
        <is>
          <t>Bombón de caramelo salado</t>
        </is>
      </c>
      <c r="C22" s="6" t="inlineStr">
        <is>
          <t>Bombones de ganache con nata UHT, sorbato o alcohol</t>
        </is>
      </c>
      <c r="D22" t="inlineStr">
        <is>
          <t>4-8 semanas</t>
        </is>
      </c>
      <c r="E22" s="10" t="n">
        <v>28</v>
      </c>
      <c r="F22" s="10" t="n">
        <v>56</v>
      </c>
      <c r="G22" s="8" t="n">
        <v>28</v>
      </c>
      <c r="H22" s="14" t="inlineStr">
        <is>
          <t>caducidad</t>
        </is>
      </c>
      <c r="I22" s="17" t="n">
        <v>46279</v>
      </c>
      <c r="J22" s="18">
        <f>IFERROR($I22+$G22,"")</f>
        <v>46307.0</v>
      </c>
      <c r="K22" s="19">
        <f>IFERROR($G22/7,"")</f>
        <v>4.0</v>
      </c>
      <c r="M22" t="str">
        <f>IF(ISNUMBER($G22),IF(AND(ISNUMBER($L22),$G22&gt;$L22),"Por encima de la pieza más corta que llevas dentro: un surtido caduca con ella",IF($G22&gt;$F22,"Por encima del plazo orientativo del kit: sostenlo con analítica y con tu APPCC",IF($G22&lt;$E22,"Por debajo del plazo del kit: conservador, y es decisión tuya","Dentro del plazo orientativo del kit"))),"")</f>
        <v>Dentro del plazo orientativo del kit</v>
      </c>
    </row>
    <row r="23" ht="28" customHeight="1">
      <c r="A23" t="inlineStr">
        <is>
          <t>BC8</t>
        </is>
      </c>
      <c r="B23" s="6" t="inlineStr">
        <is>
          <t>Bombón de praline de cacahuete</t>
        </is>
      </c>
      <c r="C23" s="6" t="inlineStr">
        <is>
          <t>Bombones de praline, gianduja y frutos secos</t>
        </is>
      </c>
      <c r="D23" t="inlineStr">
        <is>
          <t>2-4 meses</t>
        </is>
      </c>
      <c r="E23" s="10" t="n">
        <v>60</v>
      </c>
      <c r="F23" s="10" t="n">
        <v>120</v>
      </c>
      <c r="G23" s="8" t="n">
        <v>60</v>
      </c>
      <c r="H23" s="14" t="inlineStr">
        <is>
          <t>consumo preferente</t>
        </is>
      </c>
      <c r="I23" s="17" t="n">
        <v>46279</v>
      </c>
      <c r="J23" s="18">
        <f>IFERROR($I23+$G23,"")</f>
        <v>46339.0</v>
      </c>
      <c r="K23" s="19">
        <f>IFERROR($G23/7,"")</f>
        <v>8.571428571428571</v>
      </c>
      <c r="M23" t="str">
        <f>IF(ISNUMBER($G23),IF(AND(ISNUMBER($L23),$G23&gt;$L23),"Por encima de la pieza más corta que llevas dentro: un surtido caduca con ella",IF($G23&gt;$F23,"Por encima del plazo orientativo del kit: sostenlo con analítica y con tu APPCC",IF($G23&lt;$E23,"Por debajo del plazo del kit: conservador, y es decisión tuya","Dentro del plazo orientativo del kit"))),"")</f>
        <v>Dentro del plazo orientativo del kit</v>
      </c>
    </row>
    <row r="24" ht="28" customHeight="1">
      <c r="A24" t="inlineStr">
        <is>
          <t>BC9</t>
        </is>
      </c>
      <c r="B24" s="6" t="inlineStr">
        <is>
          <t>Bombón crujiente de sesamo y barquillo</t>
        </is>
      </c>
      <c r="C24" s="6" t="inlineStr">
        <is>
          <t>Barquillos y crujientes banados</t>
        </is>
      </c>
      <c r="D24" t="inlineStr">
        <is>
          <t>3-4 semanas</t>
        </is>
      </c>
      <c r="E24" s="10" t="n">
        <v>21</v>
      </c>
      <c r="F24" s="10" t="n">
        <v>28</v>
      </c>
      <c r="G24" s="8" t="n">
        <v>21</v>
      </c>
      <c r="H24" s="14" t="inlineStr">
        <is>
          <t>caducidad</t>
        </is>
      </c>
      <c r="I24" s="17" t="n">
        <v>46279</v>
      </c>
      <c r="J24" s="18">
        <f>IFERROR($I24+$G24,"")</f>
        <v>46300.0</v>
      </c>
      <c r="K24" s="19">
        <f>IFERROR($G24/7,"")</f>
        <v>3.0</v>
      </c>
      <c r="M24" t="str">
        <f>IF(ISNUMBER($G24),IF(AND(ISNUMBER($L24),$G24&gt;$L24),"Por encima de la pieza más corta que llevas dentro: un surtido caduca con ella",IF($G24&gt;$F24,"Por encima del plazo orientativo del kit: sostenlo con analítica y con tu APPCC",IF($G24&lt;$E24,"Por debajo del plazo del kit: conservador, y es decisión tuya","Dentro del plazo orientativo del kit"))),"")</f>
        <v>Dentro del plazo orientativo del kit</v>
      </c>
    </row>
    <row r="25" ht="28" customHeight="1">
      <c r="A25" t="inlineStr">
        <is>
          <t>BC10</t>
        </is>
      </c>
      <c r="B25" s="6" t="inlineStr">
        <is>
          <t>Bombón de naranja confitada y chocolate negro</t>
        </is>
      </c>
      <c r="C25" s="6" t="inlineStr">
        <is>
          <t>Frutos secos garrapinados y frutas confitadas banadas</t>
        </is>
      </c>
      <c r="D25" t="inlineStr">
        <is>
          <t>1-3 meses</t>
        </is>
      </c>
      <c r="E25" s="10" t="n">
        <v>30</v>
      </c>
      <c r="F25" s="10" t="n">
        <v>90</v>
      </c>
      <c r="G25" s="8" t="n">
        <v>30</v>
      </c>
      <c r="H25" s="14" t="inlineStr">
        <is>
          <t>caducidad</t>
        </is>
      </c>
      <c r="I25" s="17" t="n">
        <v>46279</v>
      </c>
      <c r="J25" s="18">
        <f>IFERROR($I25+$G25,"")</f>
        <v>46309.0</v>
      </c>
      <c r="K25" s="19">
        <f>IFERROR($G25/7,"")</f>
        <v>4.285714285714286</v>
      </c>
      <c r="M25" t="str">
        <f>IF(ISNUMBER($G25),IF(AND(ISNUMBER($L25),$G25&gt;$L25),"Por encima de la pieza más corta que llevas dentro: un surtido caduca con ella",IF($G25&gt;$F25,"Por encima del plazo orientativo del kit: sostenlo con analítica y con tu APPCC",IF($G25&lt;$E25,"Por debajo del plazo del kit: conservador, y es decisión tuya","Dentro del plazo orientativo del kit"))),"")</f>
        <v>Dentro del plazo orientativo del kit</v>
      </c>
    </row>
    <row r="26" ht="28" customHeight="1">
      <c r="A26" t="inlineStr">
        <is>
          <t>TB1</t>
        </is>
      </c>
      <c r="B26" s="6" t="inlineStr">
        <is>
          <t>Tableta de chocolate negro de origen 70 %, 100 g</t>
        </is>
      </c>
      <c r="C26" s="6" t="inlineStr">
        <is>
          <t>Tabletas y chocolate sin relleno</t>
        </is>
      </c>
      <c r="D26" t="inlineStr">
        <is>
          <t>12-18 meses</t>
        </is>
      </c>
      <c r="E26" s="10" t="n">
        <v>360</v>
      </c>
      <c r="F26" s="10" t="n">
        <v>540</v>
      </c>
      <c r="G26" s="8" t="n">
        <v>360</v>
      </c>
      <c r="H26" s="14" t="inlineStr">
        <is>
          <t>consumo preferente</t>
        </is>
      </c>
      <c r="I26" s="17" t="n">
        <v>46279</v>
      </c>
      <c r="J26" s="18">
        <f>IFERROR($I26+$G26,"")</f>
        <v>46639.0</v>
      </c>
      <c r="K26" s="19">
        <f>IFERROR($G26/7,"")</f>
        <v>51.42857142857143</v>
      </c>
      <c r="M26" t="str">
        <f>IF(ISNUMBER($G26),IF(AND(ISNUMBER($L26),$G26&gt;$L26),"Por encima de la pieza más corta que llevas dentro: un surtido caduca con ella",IF($G26&gt;$F26,"Por encima del plazo orientativo del kit: sostenlo con analítica y con tu APPCC",IF($G26&lt;$E26,"Por debajo del plazo del kit: conservador, y es decisión tuya","Dentro del plazo orientativo del kit"))),"")</f>
        <v>Dentro del plazo orientativo del kit</v>
      </c>
    </row>
    <row r="27" ht="28" customHeight="1">
      <c r="A27" t="inlineStr">
        <is>
          <t>TB2</t>
        </is>
      </c>
      <c r="B27" s="6" t="inlineStr">
        <is>
          <t>Tableta de chocolate con leche 38 %, 100 g</t>
        </is>
      </c>
      <c r="C27" s="6" t="inlineStr">
        <is>
          <t>Tabletas y chocolate sin relleno</t>
        </is>
      </c>
      <c r="D27" t="inlineStr">
        <is>
          <t>12-18 meses</t>
        </is>
      </c>
      <c r="E27" s="10" t="n">
        <v>360</v>
      </c>
      <c r="F27" s="10" t="n">
        <v>540</v>
      </c>
      <c r="G27" s="8" t="n">
        <v>360</v>
      </c>
      <c r="H27" s="14" t="inlineStr">
        <is>
          <t>consumo preferente</t>
        </is>
      </c>
      <c r="I27" s="17" t="n">
        <v>46279</v>
      </c>
      <c r="J27" s="18">
        <f>IFERROR($I27+$G27,"")</f>
        <v>46639.0</v>
      </c>
      <c r="K27" s="19">
        <f>IFERROR($G27/7,"")</f>
        <v>51.42857142857143</v>
      </c>
      <c r="M27" t="str">
        <f>IF(ISNUMBER($G27),IF(AND(ISNUMBER($L27),$G27&gt;$L27),"Por encima de la pieza más corta que llevas dentro: un surtido caduca con ella",IF($G27&gt;$F27,"Por encima del plazo orientativo del kit: sostenlo con analítica y con tu APPCC",IF($G27&lt;$E27,"Por debajo del plazo del kit: conservador, y es decisión tuya","Dentro del plazo orientativo del kit"))),"")</f>
        <v>Dentro del plazo orientativo del kit</v>
      </c>
    </row>
    <row r="28" ht="28" customHeight="1">
      <c r="A28" t="inlineStr">
        <is>
          <t>TB3</t>
        </is>
      </c>
      <c r="B28" s="6" t="inlineStr">
        <is>
          <t>Tableta de chocolate blanco 30 %, 100 g</t>
        </is>
      </c>
      <c r="C28" s="6" t="inlineStr">
        <is>
          <t>Tabletas y chocolate sin relleno</t>
        </is>
      </c>
      <c r="D28" t="inlineStr">
        <is>
          <t>12-18 meses</t>
        </is>
      </c>
      <c r="E28" s="10" t="n">
        <v>360</v>
      </c>
      <c r="F28" s="10" t="n">
        <v>540</v>
      </c>
      <c r="G28" s="8" t="n">
        <v>360</v>
      </c>
      <c r="H28" s="14" t="inlineStr">
        <is>
          <t>consumo preferente</t>
        </is>
      </c>
      <c r="I28" s="17" t="n">
        <v>46279</v>
      </c>
      <c r="J28" s="18">
        <f>IFERROR($I28+$G28,"")</f>
        <v>46639.0</v>
      </c>
      <c r="K28" s="19">
        <f>IFERROR($G28/7,"")</f>
        <v>51.42857142857143</v>
      </c>
      <c r="M28" t="str">
        <f>IF(ISNUMBER($G28),IF(AND(ISNUMBER($L28),$G28&gt;$L28),"Por encima de la pieza más corta que llevas dentro: un surtido caduca con ella",IF($G28&gt;$F28,"Por encima del plazo orientativo del kit: sostenlo con analítica y con tu APPCC",IF($G28&lt;$E28,"Por debajo del plazo del kit: conservador, y es decisión tuya","Dentro del plazo orientativo del kit"))),"")</f>
        <v>Dentro del plazo orientativo del kit</v>
      </c>
    </row>
    <row r="29" ht="28" customHeight="1">
      <c r="A29" t="inlineStr">
        <is>
          <t>TB4</t>
        </is>
      </c>
      <c r="B29" s="6" t="inlineStr">
        <is>
          <t>Tableta de chocolate negro con almendra marcona, 100 g</t>
        </is>
      </c>
      <c r="C29" s="6" t="inlineStr">
        <is>
          <t>Tabletas y chocolate sin relleno</t>
        </is>
      </c>
      <c r="D29" t="inlineStr">
        <is>
          <t>12-18 meses</t>
        </is>
      </c>
      <c r="E29" s="10" t="n">
        <v>360</v>
      </c>
      <c r="F29" s="10" t="n">
        <v>540</v>
      </c>
      <c r="G29" s="8" t="n">
        <v>360</v>
      </c>
      <c r="H29" s="14" t="inlineStr">
        <is>
          <t>consumo preferente</t>
        </is>
      </c>
      <c r="I29" s="17" t="n">
        <v>46279</v>
      </c>
      <c r="J29" s="18">
        <f>IFERROR($I29+$G29,"")</f>
        <v>46639.0</v>
      </c>
      <c r="K29" s="19">
        <f>IFERROR($G29/7,"")</f>
        <v>51.42857142857143</v>
      </c>
      <c r="M29" t="str">
        <f>IF(ISNUMBER($G29),IF(AND(ISNUMBER($L29),$G29&gt;$L29),"Por encima de la pieza más corta que llevas dentro: un surtido caduca con ella",IF($G29&gt;$F29,"Por encima del plazo orientativo del kit: sostenlo con analítica y con tu APPCC",IF($G29&lt;$E29,"Por debajo del plazo del kit: conservador, y es decisión tuya","Dentro del plazo orientativo del kit"))),"")</f>
        <v>Dentro del plazo orientativo del kit</v>
      </c>
    </row>
    <row r="30" ht="28" customHeight="1">
      <c r="A30" t="inlineStr">
        <is>
          <t>TB5</t>
        </is>
      </c>
      <c r="B30" s="6" t="inlineStr">
        <is>
          <t>Tableta de chocolate con leche y avellana, 100 g</t>
        </is>
      </c>
      <c r="C30" s="6" t="inlineStr">
        <is>
          <t>Tabletas y chocolate sin relleno</t>
        </is>
      </c>
      <c r="D30" t="inlineStr">
        <is>
          <t>12-18 meses</t>
        </is>
      </c>
      <c r="E30" s="10" t="n">
        <v>360</v>
      </c>
      <c r="F30" s="10" t="n">
        <v>540</v>
      </c>
      <c r="G30" s="8" t="n">
        <v>360</v>
      </c>
      <c r="H30" s="14" t="inlineStr">
        <is>
          <t>consumo preferente</t>
        </is>
      </c>
      <c r="I30" s="17" t="n">
        <v>46279</v>
      </c>
      <c r="J30" s="18">
        <f>IFERROR($I30+$G30,"")</f>
        <v>46639.0</v>
      </c>
      <c r="K30" s="19">
        <f>IFERROR($G30/7,"")</f>
        <v>51.42857142857143</v>
      </c>
      <c r="M30" t="str">
        <f>IF(ISNUMBER($G30),IF(AND(ISNUMBER($L30),$G30&gt;$L30),"Por encima de la pieza más corta que llevas dentro: un surtido caduca con ella",IF($G30&gt;$F30,"Por encima del plazo orientativo del kit: sostenlo con analítica y con tu APPCC",IF($G30&lt;$E30,"Por debajo del plazo del kit: conservador, y es decisión tuya","Dentro del plazo orientativo del kit"))),"")</f>
        <v>Dentro del plazo orientativo del kit</v>
      </c>
    </row>
    <row r="31" ht="28" customHeight="1">
      <c r="A31" t="inlineStr">
        <is>
          <t>TB6</t>
        </is>
      </c>
      <c r="B31" s="6" t="inlineStr">
        <is>
          <t>Tableta rellena de praline, 100 g</t>
        </is>
      </c>
      <c r="C31" s="6" t="inlineStr">
        <is>
          <t>Bombones de praline, gianduja y frutos secos</t>
        </is>
      </c>
      <c r="D31" t="inlineStr">
        <is>
          <t>2-4 meses</t>
        </is>
      </c>
      <c r="E31" s="10" t="n">
        <v>60</v>
      </c>
      <c r="F31" s="10" t="n">
        <v>120</v>
      </c>
      <c r="G31" s="8" t="n">
        <v>60</v>
      </c>
      <c r="H31" s="14" t="inlineStr">
        <is>
          <t>consumo preferente</t>
        </is>
      </c>
      <c r="I31" s="17" t="n">
        <v>46279</v>
      </c>
      <c r="J31" s="18">
        <f>IFERROR($I31+$G31,"")</f>
        <v>46339.0</v>
      </c>
      <c r="K31" s="19">
        <f>IFERROR($G31/7,"")</f>
        <v>8.571428571428571</v>
      </c>
      <c r="M31" t="str">
        <f>IF(ISNUMBER($G31),IF(AND(ISNUMBER($L31),$G31&gt;$L31),"Por encima de la pieza más corta que llevas dentro: un surtido caduca con ella",IF($G31&gt;$F31,"Por encima del plazo orientativo del kit: sostenlo con analítica y con tu APPCC",IF($G31&lt;$E31,"Por debajo del plazo del kit: conservador, y es decisión tuya","Dentro del plazo orientativo del kit"))),"")</f>
        <v>Dentro del plazo orientativo del kit</v>
      </c>
    </row>
    <row r="32" ht="28" customHeight="1">
      <c r="A32" t="inlineStr">
        <is>
          <t>CT1</t>
        </is>
      </c>
      <c r="B32" s="6" t="inlineStr">
        <is>
          <t>Tableta de chocolate a la taza, 200 g</t>
        </is>
      </c>
      <c r="C32" s="6" t="inlineStr">
        <is>
          <t>Tabletas y chocolate sin relleno</t>
        </is>
      </c>
      <c r="D32" t="inlineStr">
        <is>
          <t>12-18 meses</t>
        </is>
      </c>
      <c r="E32" s="10" t="n">
        <v>360</v>
      </c>
      <c r="F32" s="10" t="n">
        <v>540</v>
      </c>
      <c r="G32" s="8" t="n">
        <v>360</v>
      </c>
      <c r="H32" s="14" t="inlineStr">
        <is>
          <t>consumo preferente</t>
        </is>
      </c>
      <c r="I32" s="17" t="n">
        <v>46279</v>
      </c>
      <c r="J32" s="18">
        <f>IFERROR($I32+$G32,"")</f>
        <v>46639.0</v>
      </c>
      <c r="K32" s="19">
        <f>IFERROR($G32/7,"")</f>
        <v>51.42857142857143</v>
      </c>
      <c r="M32" t="str">
        <f>IF(ISNUMBER($G32),IF(AND(ISNUMBER($L32),$G32&gt;$L32),"Por encima de la pieza más corta que llevas dentro: un surtido caduca con ella",IF($G32&gt;$F32,"Por encima del plazo orientativo del kit: sostenlo con analítica y con tu APPCC",IF($G32&lt;$E32,"Por debajo del plazo del kit: conservador, y es decisión tuya","Dentro del plazo orientativo del kit"))),"")</f>
        <v>Dentro del plazo orientativo del kit</v>
      </c>
    </row>
    <row r="33" ht="28" customHeight="1">
      <c r="A33" t="inlineStr">
        <is>
          <t>CT2</t>
        </is>
      </c>
      <c r="B33" s="6" t="inlineStr">
        <is>
          <t>Caja de 6 sobres monodosis de chocolate a la taza</t>
        </is>
      </c>
      <c r="C33" s="6" t="inlineStr">
        <is>
          <t>Tabletas y chocolate sin relleno</t>
        </is>
      </c>
      <c r="D33" t="inlineStr">
        <is>
          <t>12-18 meses</t>
        </is>
      </c>
      <c r="E33" s="10" t="n">
        <v>360</v>
      </c>
      <c r="F33" s="10" t="n">
        <v>540</v>
      </c>
      <c r="G33" s="8" t="n">
        <v>360</v>
      </c>
      <c r="H33" s="14" t="inlineStr">
        <is>
          <t>consumo preferente</t>
        </is>
      </c>
      <c r="I33" s="17" t="n">
        <v>46279</v>
      </c>
      <c r="J33" s="18">
        <f>IFERROR($I33+$G33,"")</f>
        <v>46639.0</v>
      </c>
      <c r="K33" s="19">
        <f>IFERROR($G33/7,"")</f>
        <v>51.42857142857143</v>
      </c>
      <c r="M33" t="str">
        <f>IF(ISNUMBER($G33),IF(AND(ISNUMBER($L33),$G33&gt;$L33),"Por encima de la pieza más corta que llevas dentro: un surtido caduca con ella",IF($G33&gt;$F33,"Por encima del plazo orientativo del kit: sostenlo con analítica y con tu APPCC",IF($G33&lt;$E33,"Por debajo del plazo del kit: conservador, y es decisión tuya","Dentro del plazo orientativo del kit"))),"")</f>
        <v>Dentro del plazo orientativo del kit</v>
      </c>
    </row>
    <row r="34" ht="28" customHeight="1">
      <c r="A34" t="inlineStr">
        <is>
          <t>CT3</t>
        </is>
      </c>
      <c r="B34" s="6" t="inlineStr">
        <is>
          <t>Chocolate a la taza servido en sala, 200 ml</t>
        </is>
      </c>
      <c r="C34" s="6" t="inlineStr">
        <is>
          <t>Tabletas y chocolate sin relleno</t>
        </is>
      </c>
      <c r="D34" t="inlineStr">
        <is>
          <t>12-18 meses</t>
        </is>
      </c>
      <c r="E34" s="10" t="n">
        <v>360</v>
      </c>
      <c r="F34" s="10" t="n">
        <v>540</v>
      </c>
      <c r="G34" s="8" t="n">
        <v>360</v>
      </c>
      <c r="H34" s="14" t="inlineStr">
        <is>
          <t>consumo preferente</t>
        </is>
      </c>
      <c r="I34" s="17" t="n">
        <v>46279</v>
      </c>
      <c r="J34" s="18">
        <f>IFERROR($I34+$G34,"")</f>
        <v>46639.0</v>
      </c>
      <c r="K34" s="19">
        <f>IFERROR($G34/7,"")</f>
        <v>51.42857142857143</v>
      </c>
      <c r="M34" t="str">
        <f>IF(ISNUMBER($G34),IF(AND(ISNUMBER($L34),$G34&gt;$L34),"Por encima de la pieza más corta que llevas dentro: un surtido caduca con ella",IF($G34&gt;$F34,"Por encima del plazo orientativo del kit: sostenlo con analítica y con tu APPCC",IF($G34&lt;$E34,"Por debajo del plazo del kit: conservador, y es decisión tuya","Dentro del plazo orientativo del kit"))),"")</f>
        <v>Dentro del plazo orientativo del kit</v>
      </c>
    </row>
    <row r="35" ht="28" customHeight="1">
      <c r="A35" t="inlineStr">
        <is>
          <t>TF1</t>
        </is>
      </c>
      <c r="B35" s="6" t="inlineStr">
        <is>
          <t>Huevo de Pascua de chocolate con leche, 250 g</t>
        </is>
      </c>
      <c r="C35" s="6" t="inlineStr">
        <is>
          <t>Figuras huecas y piezas macizas</t>
        </is>
      </c>
      <c r="D35" t="inlineStr">
        <is>
          <t>6-12 meses</t>
        </is>
      </c>
      <c r="E35" s="10" t="n">
        <v>180</v>
      </c>
      <c r="F35" s="10" t="n">
        <v>360</v>
      </c>
      <c r="G35" s="8" t="n">
        <v>180</v>
      </c>
      <c r="H35" s="14" t="inlineStr">
        <is>
          <t>consumo preferente</t>
        </is>
      </c>
      <c r="I35" s="17" t="n">
        <v>46279</v>
      </c>
      <c r="J35" s="18">
        <f>IFERROR($I35+$G35,"")</f>
        <v>46459.0</v>
      </c>
      <c r="K35" s="19">
        <f>IFERROR($G35/7,"")</f>
        <v>25.714285714285715</v>
      </c>
      <c r="M35" t="str">
        <f>IF(ISNUMBER($G35),IF(AND(ISNUMBER($L35),$G35&gt;$L35),"Por encima de la pieza más corta que llevas dentro: un surtido caduca con ella",IF($G35&gt;$F35,"Por encima del plazo orientativo del kit: sostenlo con analítica y con tu APPCC",IF($G35&lt;$E35,"Por debajo del plazo del kit: conservador, y es decisión tuya","Dentro del plazo orientativo del kit"))),"")</f>
        <v>Dentro del plazo orientativo del kit</v>
      </c>
    </row>
    <row r="36" ht="28" customHeight="1">
      <c r="A36" t="inlineStr">
        <is>
          <t>TF2</t>
        </is>
      </c>
      <c r="B36" s="6" t="inlineStr">
        <is>
          <t>Mona de Pascua de chocolate, 400 g</t>
        </is>
      </c>
      <c r="C36" s="6" t="inlineStr">
        <is>
          <t>Figuras huecas y piezas macizas</t>
        </is>
      </c>
      <c r="D36" t="inlineStr">
        <is>
          <t>6-12 meses</t>
        </is>
      </c>
      <c r="E36" s="10" t="n">
        <v>180</v>
      </c>
      <c r="F36" s="10" t="n">
        <v>360</v>
      </c>
      <c r="G36" s="8" t="n">
        <v>180</v>
      </c>
      <c r="H36" s="14" t="inlineStr">
        <is>
          <t>consumo preferente</t>
        </is>
      </c>
      <c r="I36" s="17" t="n">
        <v>46279</v>
      </c>
      <c r="J36" s="18">
        <f>IFERROR($I36+$G36,"")</f>
        <v>46459.0</v>
      </c>
      <c r="K36" s="19">
        <f>IFERROR($G36/7,"")</f>
        <v>25.714285714285715</v>
      </c>
      <c r="M36" t="str">
        <f>IF(ISNUMBER($G36),IF(AND(ISNUMBER($L36),$G36&gt;$L36),"Por encima de la pieza más corta que llevas dentro: un surtido caduca con ella",IF($G36&gt;$F36,"Por encima del plazo orientativo del kit: sostenlo con analítica y con tu APPCC",IF($G36&lt;$E36,"Por debajo del plazo del kit: conservador, y es decisión tuya","Dentro del plazo orientativo del kit"))),"")</f>
        <v>Dentro del plazo orientativo del kit</v>
      </c>
    </row>
    <row r="37" ht="28" customHeight="1">
      <c r="A37" t="inlineStr">
        <is>
          <t>TF3</t>
        </is>
      </c>
      <c r="B37" s="6" t="inlineStr">
        <is>
          <t>Hueso de santo banado en chocolate</t>
        </is>
      </c>
      <c r="C37" s="6" t="inlineStr">
        <is>
          <t>Bombones de ganache con nata fresca</t>
        </is>
      </c>
      <c r="D37" t="inlineStr">
        <is>
          <t>10-15 días</t>
        </is>
      </c>
      <c r="E37" s="10" t="n">
        <v>10</v>
      </c>
      <c r="F37" s="10" t="n">
        <v>15</v>
      </c>
      <c r="G37" s="8" t="n">
        <v>10</v>
      </c>
      <c r="H37" s="14" t="inlineStr">
        <is>
          <t>caducidad</t>
        </is>
      </c>
      <c r="I37" s="17" t="n">
        <v>46279</v>
      </c>
      <c r="J37" s="18">
        <f>IFERROR($I37+$G37,"")</f>
        <v>46289.0</v>
      </c>
      <c r="K37" s="19">
        <f>IFERROR($G37/7,"")</f>
        <v>1.4285714285714286</v>
      </c>
      <c r="M37" t="str">
        <f>IF(ISNUMBER($G37),IF(AND(ISNUMBER($L37),$G37&gt;$L37),"Por encima de la pieza más corta que llevas dentro: un surtido caduca con ella",IF($G37&gt;$F37,"Por encima del plazo orientativo del kit: sostenlo con analítica y con tu APPCC",IF($G37&lt;$E37,"Por debajo del plazo del kit: conservador, y es decisión tuya","Dentro del plazo orientativo del kit"))),"")</f>
        <v>Dentro del plazo orientativo del kit</v>
      </c>
    </row>
    <row r="38" ht="28" customHeight="1">
      <c r="A38" t="inlineStr">
        <is>
          <t>TF4</t>
        </is>
      </c>
      <c r="B38" s="6" t="inlineStr">
        <is>
          <t>Turrón de chocolate con almendra, 250 g</t>
        </is>
      </c>
      <c r="C38" s="6" t="inlineStr">
        <is>
          <t>Tabletas y chocolate sin relleno</t>
        </is>
      </c>
      <c r="D38" t="inlineStr">
        <is>
          <t>12-18 meses</t>
        </is>
      </c>
      <c r="E38" s="10" t="n">
        <v>360</v>
      </c>
      <c r="F38" s="10" t="n">
        <v>540</v>
      </c>
      <c r="G38" s="8" t="n">
        <v>360</v>
      </c>
      <c r="H38" s="14" t="inlineStr">
        <is>
          <t>consumo preferente</t>
        </is>
      </c>
      <c r="I38" s="17" t="n">
        <v>46279</v>
      </c>
      <c r="J38" s="18">
        <f>IFERROR($I38+$G38,"")</f>
        <v>46639.0</v>
      </c>
      <c r="K38" s="19">
        <f>IFERROR($G38/7,"")</f>
        <v>51.42857142857143</v>
      </c>
      <c r="M38" t="str">
        <f>IF(ISNUMBER($G38),IF(AND(ISNUMBER($L38),$G38&gt;$L38),"Por encima de la pieza más corta que llevas dentro: un surtido caduca con ella",IF($G38&gt;$F38,"Por encima del plazo orientativo del kit: sostenlo con analítica y con tu APPCC",IF($G38&lt;$E38,"Por debajo del plazo del kit: conservador, y es decisión tuya","Dentro del plazo orientativo del kit"))),"")</f>
        <v>Dentro del plazo orientativo del kit</v>
      </c>
    </row>
    <row r="39" ht="28" customHeight="1">
      <c r="A39" t="inlineStr">
        <is>
          <t>TF5</t>
        </is>
      </c>
      <c r="B39" s="6" t="inlineStr">
        <is>
          <t>Almendras marcona banadas en chocolate, bolsa de 150 g</t>
        </is>
      </c>
      <c r="C39" s="6" t="inlineStr">
        <is>
          <t>Frutos secos garrapinados y frutas confitadas banadas</t>
        </is>
      </c>
      <c r="D39" t="inlineStr">
        <is>
          <t>1-3 meses</t>
        </is>
      </c>
      <c r="E39" s="10" t="n">
        <v>30</v>
      </c>
      <c r="F39" s="10" t="n">
        <v>90</v>
      </c>
      <c r="G39" s="8" t="n">
        <v>30</v>
      </c>
      <c r="H39" s="14" t="inlineStr">
        <is>
          <t>caducidad</t>
        </is>
      </c>
      <c r="I39" s="17" t="n">
        <v>46279</v>
      </c>
      <c r="J39" s="18">
        <f>IFERROR($I39+$G39,"")</f>
        <v>46309.0</v>
      </c>
      <c r="K39" s="19">
        <f>IFERROR($G39/7,"")</f>
        <v>4.285714285714286</v>
      </c>
      <c r="M39" t="str">
        <f>IF(ISNUMBER($G39),IF(AND(ISNUMBER($L39),$G39&gt;$L39),"Por encima de la pieza más corta que llevas dentro: un surtido caduca con ella",IF($G39&gt;$F39,"Por encima del plazo orientativo del kit: sostenlo con analítica y con tu APPCC",IF($G39&lt;$E39,"Por debajo del plazo del kit: conservador, y es decisión tuya","Dentro del plazo orientativo del kit"))),"")</f>
        <v>Dentro del plazo orientativo del kit</v>
      </c>
    </row>
    <row r="40" ht="28" customHeight="1">
      <c r="A40" t="inlineStr">
        <is>
          <t>CJ1</t>
        </is>
      </c>
      <c r="B40" s="6" t="inlineStr">
        <is>
          <t>Caja surtida de 12 bombones</t>
        </is>
      </c>
      <c r="C40" s="6" t="inlineStr">
        <is>
          <t>Bombones de ganache con nata fresca</t>
        </is>
      </c>
      <c r="D40" t="inlineStr">
        <is>
          <t>10-15 días</t>
        </is>
      </c>
      <c r="E40" s="10" t="n">
        <v>10</v>
      </c>
      <c r="F40" s="10" t="n">
        <v>15</v>
      </c>
      <c r="G40" s="8" t="n">
        <v>10</v>
      </c>
      <c r="H40" s="14" t="inlineStr">
        <is>
          <t>caducidad</t>
        </is>
      </c>
      <c r="I40" s="17" t="n">
        <v>46279</v>
      </c>
      <c r="J40" s="18">
        <f>IFERROR($I40+$G40,"")</f>
        <v>46289.0</v>
      </c>
      <c r="K40" s="19">
        <f>IFERROR($G40/7,"")</f>
        <v>1.4285714285714286</v>
      </c>
      <c r="L40" s="10">
        <f>MIN($G$16,$G$17,$G$18,$G$20,$G$22,$G$23,$G$24,$G$25)</f>
        <v>10.0</v>
      </c>
      <c r="M40" t="str">
        <f>IF(ISNUMBER($G40),IF(AND(ISNUMBER($L40),$G40&gt;$L40),"Por encima de la pieza más corta que llevas dentro: un surtido caduca con ella",IF($G40&gt;$F40,"Por encima del plazo orientativo del kit: sostenlo con analítica y con tu APPCC",IF($G40&lt;$E40,"Por debajo del plazo del kit: conservador, y es decisión tuya","Dentro del plazo orientativo del kit"))),"")</f>
        <v>Dentro del plazo orientativo del kit</v>
      </c>
    </row>
    <row r="41" ht="28" customHeight="1">
      <c r="A41" t="inlineStr">
        <is>
          <t>CJ2</t>
        </is>
      </c>
      <c r="B41" s="6" t="inlineStr">
        <is>
          <t>Caja surtida de 20 bombones</t>
        </is>
      </c>
      <c r="C41" s="6" t="inlineStr">
        <is>
          <t>Bombones de ganache con nata fresca</t>
        </is>
      </c>
      <c r="D41" t="inlineStr">
        <is>
          <t>10-15 días</t>
        </is>
      </c>
      <c r="E41" s="10" t="n">
        <v>10</v>
      </c>
      <c r="F41" s="10" t="n">
        <v>15</v>
      </c>
      <c r="G41" s="8" t="n">
        <v>10</v>
      </c>
      <c r="H41" s="14" t="inlineStr">
        <is>
          <t>caducidad</t>
        </is>
      </c>
      <c r="I41" s="17" t="n">
        <v>46279</v>
      </c>
      <c r="J41" s="18">
        <f>IFERROR($I41+$G41,"")</f>
        <v>46289.0</v>
      </c>
      <c r="K41" s="19">
        <f>IFERROR($G41/7,"")</f>
        <v>1.4285714285714286</v>
      </c>
      <c r="L41" s="10">
        <f>MIN($G$16,$G$17,$G$18,$G$19,$G$20,$G$21,$G$22,$G$23,$G$24,$G$25)</f>
        <v>10.0</v>
      </c>
      <c r="M41" t="str">
        <f>IF(ISNUMBER($G41),IF(AND(ISNUMBER($L41),$G41&gt;$L41),"Por encima de la pieza más corta que llevas dentro: un surtido caduca con ella",IF($G41&gt;$F41,"Por encima del plazo orientativo del kit: sostenlo con analítica y con tu APPCC",IF($G41&lt;$E41,"Por debajo del plazo del kit: conservador, y es decisión tuya","Dentro del plazo orientativo del kit"))),"")</f>
        <v>Dentro del plazo orientativo del kit</v>
      </c>
    </row>
    <row r="42" ht="28" customHeight="1">
      <c r="A42" t="inlineStr">
        <is>
          <t>CJ3</t>
        </is>
      </c>
      <c r="B42" s="6" t="inlineStr">
        <is>
          <t>Caja surtida de 35 bombones</t>
        </is>
      </c>
      <c r="C42" s="6" t="inlineStr">
        <is>
          <t>Bombones de ganache con nata fresca</t>
        </is>
      </c>
      <c r="D42" t="inlineStr">
        <is>
          <t>10-15 días</t>
        </is>
      </c>
      <c r="E42" s="10" t="n">
        <v>10</v>
      </c>
      <c r="F42" s="10" t="n">
        <v>15</v>
      </c>
      <c r="G42" s="8" t="n">
        <v>10</v>
      </c>
      <c r="H42" s="14" t="inlineStr">
        <is>
          <t>caducidad</t>
        </is>
      </c>
      <c r="I42" s="17" t="n">
        <v>46279</v>
      </c>
      <c r="J42" s="18">
        <f>IFERROR($I42+$G42,"")</f>
        <v>46289.0</v>
      </c>
      <c r="K42" s="19">
        <f>IFERROR($G42/7,"")</f>
        <v>1.4285714285714286</v>
      </c>
      <c r="L42" s="10">
        <f>MIN($G$16,$G$17,$G$18,$G$19,$G$20,$G$21,$G$22,$G$23,$G$24,$G$25)</f>
        <v>10.0</v>
      </c>
      <c r="M42" t="str">
        <f>IF(ISNUMBER($G42),IF(AND(ISNUMBER($L42),$G42&gt;$L42),"Por encima de la pieza más corta que llevas dentro: un surtido caduca con ella",IF($G42&gt;$F42,"Por encima del plazo orientativo del kit: sostenlo con analítica y con tu APPCC",IF($G42&lt;$E42,"Por debajo del plazo del kit: conservador, y es decisión tuya","Dentro del plazo orientativo del kit"))),"")</f>
        <v>Dentro del plazo orientativo del kit</v>
      </c>
    </row>
    <row r="43" ht="28" customHeight="1">
      <c r="A43" t="inlineStr">
        <is>
          <t>CJ4</t>
        </is>
      </c>
      <c r="B43" s="6" t="inlineStr">
        <is>
          <t>Estuche corporativo personalizado de 24 bombones</t>
        </is>
      </c>
      <c r="C43" s="6" t="inlineStr">
        <is>
          <t>Bombones de ganache con nata fresca</t>
        </is>
      </c>
      <c r="D43" t="inlineStr">
        <is>
          <t>10-15 días</t>
        </is>
      </c>
      <c r="E43" s="10" t="n">
        <v>10</v>
      </c>
      <c r="F43" s="10" t="n">
        <v>15</v>
      </c>
      <c r="G43" s="8" t="n">
        <v>10</v>
      </c>
      <c r="H43" s="14" t="inlineStr">
        <is>
          <t>caducidad</t>
        </is>
      </c>
      <c r="I43" s="17" t="n">
        <v>46279</v>
      </c>
      <c r="J43" s="18">
        <f>IFERROR($I43+$G43,"")</f>
        <v>46289.0</v>
      </c>
      <c r="K43" s="19">
        <f>IFERROR($G43/7,"")</f>
        <v>1.4285714285714286</v>
      </c>
      <c r="L43" s="10">
        <f>MIN($G$16,$G$17,$G$18,$G$19,$G$20,$G$21,$G$22,$G$23,$G$24,$G$25)</f>
        <v>10.0</v>
      </c>
      <c r="M43" t="str">
        <f>IF(ISNUMBER($G43),IF(AND(ISNUMBER($L43),$G43&gt;$L43),"Por encima de la pieza más corta que llevas dentro: un surtido caduca con ella",IF($G43&gt;$F43,"Por encima del plazo orientativo del kit: sostenlo con analítica y con tu APPCC",IF($G43&lt;$E43,"Por debajo del plazo del kit: conservador, y es decisión tuya","Dentro del plazo orientativo del kit"))),"")</f>
        <v>Dentro del plazo orientativo del kit</v>
      </c>
    </row>
    <row r="44">
      <c r="A44" s="4" t="inlineStr">
        <is>
          <t>RECUENTO</t>
        </is>
      </c>
      <c r="B44" s="15" t="inlineStr">
        <is>
          <t>Referencias con fecha de CADUCIDAD (las demás, de consumo preferente)</t>
        </is>
      </c>
      <c r="G44" s="16">
        <f>IFERROR(MIN(G16:G43),"")</f>
        <v>10.0</v>
      </c>
      <c r="H44" s="16">
        <f>COUNTIF(H16:H43,$A$63)</f>
        <v>12.0</v>
      </c>
      <c r="K44" s="2" t="inlineStr">
        <is>
          <t>La más corta de la carta (días)</t>
        </is>
      </c>
    </row>
    <row r="45"/>
    <row r="46">
      <c r="A46" s="3" t="inlineStr">
        <is>
          <t>Las Diez Filas del Kit, Tal Como Están</t>
        </is>
      </c>
    </row>
    <row r="47" ht="24" customHeight="1">
      <c r="A47" s="7" t="inlineStr">
        <is>
          <t>Familia</t>
        </is>
      </c>
      <c r="D47" s="7" t="inlineStr">
        <is>
          <t>Plazo</t>
        </is>
      </c>
      <c r="F47" s="7" t="inlineStr">
        <is>
          <t>Lo que dice el kit</t>
        </is>
      </c>
    </row>
    <row r="48" ht="28" customHeight="1">
      <c r="A48" s="6" t="inlineStr">
        <is>
          <t>Tabletas y chocolate sin relleno</t>
        </is>
      </c>
      <c r="D48" t="inlineStr">
        <is>
          <t>12-18 meses</t>
        </is>
      </c>
      <c r="F48" s="5" t="inlineStr">
        <is>
          <t>El enemigo no es el tiempo: es la humedad, la luz y los olores. Sellado y en oscuridad</t>
        </is>
      </c>
    </row>
    <row r="49" ht="28" customHeight="1">
      <c r="A49" s="6" t="inlineStr">
        <is>
          <t>Figuras huecas y piezas macizas</t>
        </is>
      </c>
      <c r="D49" t="inlineStr">
        <is>
          <t>6-12 meses</t>
        </is>
      </c>
      <c r="F49" s="5" t="inlineStr">
        <is>
          <t>Igual que la tableta, pero la pieza hueca se raja con los cambios bruscos de temperatura</t>
        </is>
      </c>
    </row>
    <row r="50" ht="28" customHeight="1">
      <c r="A50" s="6" t="inlineStr">
        <is>
          <t>Bombones de ganache con nata fresca</t>
        </is>
      </c>
      <c r="D50" t="inlineStr">
        <is>
          <t>10-15 días</t>
        </is>
      </c>
      <c r="F50" s="5" t="inlineStr">
        <is>
          <t>Actividad de agua alta: en refrigeración a 0-4 °C y atemperar CERRADOS antes de abrir, o condensan</t>
        </is>
      </c>
    </row>
    <row r="51" ht="28" customHeight="1">
      <c r="A51" s="6" t="inlineStr">
        <is>
          <t>Bombones de ganache con nata UHT, sorbato o alcohol</t>
        </is>
      </c>
      <c r="D51" t="inlineStr">
        <is>
          <t>4-8 semanas</t>
        </is>
      </c>
      <c r="F51" s="5" t="inlineStr">
        <is>
          <t>El conservante y el alcohol bajan la actividad de agua; sin ellos no se llega ni a la mitad</t>
        </is>
      </c>
    </row>
    <row r="52" ht="28" customHeight="1">
      <c r="A52" s="6" t="inlineStr">
        <is>
          <t>Bombones de praline, gianduja y frutos secos</t>
        </is>
      </c>
      <c r="D52" t="inlineStr">
        <is>
          <t>2-4 meses</t>
        </is>
      </c>
      <c r="F52" s="5" t="inlineStr">
        <is>
          <t>La grasa del fruto seco se enrancia y el frío no lo evita: manda la fecha, no el aspecto</t>
        </is>
      </c>
    </row>
    <row r="53" ht="28" customHeight="1">
      <c r="A53" s="6" t="inlineStr">
        <is>
          <t>Trufas y rocas recubiertas</t>
        </is>
      </c>
      <c r="D53" t="inlineStr">
        <is>
          <t>3-4 semanas</t>
        </is>
      </c>
      <c r="F53" s="5" t="inlineStr">
        <is>
          <t>Si llevan nata o mantequilla, se cuentan como ganache fresca</t>
        </is>
      </c>
    </row>
    <row r="54" ht="28" customHeight="1">
      <c r="A54" s="6" t="inlineStr">
        <is>
          <t>Bombones de licor y cristalizados</t>
        </is>
      </c>
      <c r="D54" t="inlineStr">
        <is>
          <t>3-6 meses</t>
        </is>
      </c>
      <c r="F54" s="5" t="inlineStr">
        <is>
          <t>Vigilar la cristalización del azúcar en la cascara: revienta y gotea</t>
        </is>
      </c>
    </row>
    <row r="55" ht="28" customHeight="1">
      <c r="A55" s="6" t="inlineStr">
        <is>
          <t>Frutos secos garrapinados y frutas confitadas banadas</t>
        </is>
      </c>
      <c r="D55" t="inlineStr">
        <is>
          <t>1-3 meses</t>
        </is>
      </c>
      <c r="F55" s="5" t="inlineStr">
        <is>
          <t>Se apelmazan con la humedad; envasado hermetico con desecante si tu obrador es humedo</t>
        </is>
      </c>
    </row>
    <row r="56" ht="28" customHeight="1">
      <c r="A56" s="6" t="inlineStr">
        <is>
          <t>Barquillos y crujientes banados</t>
        </is>
      </c>
      <c r="D56" t="inlineStr">
        <is>
          <t>3-4 semanas</t>
        </is>
      </c>
      <c r="F56" s="5" t="inlineStr">
        <is>
          <t>Pierden el crujiente mucho antes que la seguridad: se retiran por calidad</t>
        </is>
      </c>
    </row>
    <row r="57" ht="28" customHeight="1">
      <c r="A57" s="6" t="inlineStr">
        <is>
          <t>Chocolate acabado: NO congelar</t>
        </is>
      </c>
      <c r="D57" t="inlineStr">
        <is>
          <t>Nunca</t>
        </is>
      </c>
      <c r="F57" s="5" t="inlineStr">
        <is>
          <t>Al descongelar condensa, el agua disuelve el azúcar de la superficie y deja sugar bloom. Solo el granel de ganache admite -18 °C 1-2 meses, descongelado 24 h en cámara y sin abrir</t>
        </is>
      </c>
    </row>
    <row r="58" ht="34" customHeight="1">
      <c r="A58" s="2" t="inlineStr">
        <is>
          <t>Fuente: kit-tareas-chocolateria/02-partidas-produccion.xlsx, hoja «Moldeado». La última fila no es un plazo: es una prohibición. El chocolate acabado NO se congela; al descongelar condensa, el agua disuelve el azúcar de la superficie y deja velo. Sólo el granel de ganache admite frío negativo, y con condiciones.</t>
        </is>
      </c>
    </row>
    <row r="59"/>
    <row r="60">
      <c r="A60" s="3" t="inlineStr">
        <is>
          <t>Listas de validación (no las borres: las usan los desplegables)</t>
        </is>
      </c>
    </row>
    <row r="61">
      <c r="A61" s="4" t="inlineStr">
        <is>
          <t>Tipo de fecha</t>
        </is>
      </c>
    </row>
    <row r="62">
      <c r="A62" t="inlineStr">
        <is>
          <t>consumo preferente</t>
        </is>
      </c>
    </row>
    <row r="63">
      <c r="A63" t="inlineStr">
        <is>
          <t>caducidad</t>
        </is>
      </c>
    </row>
  </sheetData>
  <sheetProtection selectLockedCells="0" selectUnlockedCells="0" sheet="1" objects="0" insertRows="0" insertHyperlinks="1" autoFilter="1" scenarios="0" formatColumns="0" deleteColumns="1" insertColumns="1" pivotTables="1" deleteRows="1" formatCells="1" formatRows="0" sort="0"/>
  <mergeCells count="34">
    <mergeCell ref="D55:E55"/>
    <mergeCell ref="A3:M3"/>
    <mergeCell ref="F49:M49"/>
    <mergeCell ref="D56:E56"/>
    <mergeCell ref="A57:C57"/>
    <mergeCell ref="A50:C50"/>
    <mergeCell ref="F55:M55"/>
    <mergeCell ref="A56:C56"/>
    <mergeCell ref="A51:C51"/>
    <mergeCell ref="D57:E57"/>
    <mergeCell ref="F54:M54"/>
    <mergeCell ref="D51:E51"/>
    <mergeCell ref="K44:M44"/>
    <mergeCell ref="F51:M51"/>
    <mergeCell ref="F57:M57"/>
    <mergeCell ref="D54:E54"/>
    <mergeCell ref="A58:M58"/>
    <mergeCell ref="F48:M48"/>
    <mergeCell ref="F52:M52"/>
    <mergeCell ref="D52:E52"/>
    <mergeCell ref="F50:M50"/>
    <mergeCell ref="A53:C53"/>
    <mergeCell ref="D48:E48"/>
    <mergeCell ref="A52:C52"/>
    <mergeCell ref="A49:C49"/>
    <mergeCell ref="A54:C54"/>
    <mergeCell ref="A48:C48"/>
    <mergeCell ref="D50:E50"/>
    <mergeCell ref="D53:E53"/>
    <mergeCell ref="F53:M53"/>
    <mergeCell ref="A55:C55"/>
    <mergeCell ref="D49:E49"/>
    <mergeCell ref="A6:M6"/>
    <mergeCell ref="F56:M56"/>
  </mergeCells>
  <dataValidations count="1">
    <dataValidation sqref="H16 H17 H18 H19 H20 H21 H22 H23 H24 H25 H26 H27 H28 H29 H30 H31 H32 H33 H34 H35 H36 H37 H38 H39 H40 H41 H42 H43" showDropDown="0" showInputMessage="0" showErrorMessage="1" allowBlank="0" errorTitle="Tipo de fecha no válido" error="Consumo preferente o caducidad. No son intercambiables: la de caducidad es la que convierte el producto en no seguro cuando pasa, y en bombonería la lleva lo que se va a frío."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63"/>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2" customWidth="1" min="3" max="3"/>
    <col width="60" customWidth="1" min="4" max="4"/>
    <col width="60" customWidth="1" min="5" max="5"/>
    <col width="46" customWidth="1" min="6" max="6"/>
    <col width="46" customWidth="1" min="7" max="7"/>
    <col width="16" customWidth="1" min="8" max="8"/>
    <col width="46" customWidth="1" min="9" max="9"/>
  </cols>
  <sheetData>
    <row r="1" ht="28" customHeight="1">
      <c r="A1" s="1" t="inlineStr">
        <is>
          <t>Etiquetado o Granel</t>
        </is>
      </c>
    </row>
    <row r="2">
      <c r="A2" t="inlineStr">
        <is>
          <t>AI Chef Pro · aichef.pro — Cómo Montar una Chocolatería</t>
        </is>
      </c>
    </row>
    <row r="3" ht="26" customHeight="1">
      <c r="A3" s="2" t="inlineStr">
        <is>
          <t>No son dos formas de decir lo mismo: son dos regímenes. Elige la vía de cada referencia y la hoja cambia de COLUMNA, no de matiz.</t>
        </is>
      </c>
    </row>
    <row r="4"/>
    <row r="5">
      <c r="A5" s="3" t="inlineStr">
        <is>
          <t>Las Dos Vías</t>
        </is>
      </c>
    </row>
    <row r="6" ht="24" customHeight="1">
      <c r="A6" s="7" t="inlineStr">
        <is>
          <t>Vía</t>
        </is>
      </c>
      <c r="B6" s="7" t="inlineStr">
        <is>
          <t>Qué significa</t>
        </is>
      </c>
      <c r="F6" s="7" t="inlineStr">
        <is>
          <t>La referencia que te toca</t>
        </is>
      </c>
    </row>
    <row r="7" ht="76" customHeight="1">
      <c r="A7" s="4" t="inlineStr">
        <is>
          <t>envasado con etiqueta</t>
        </is>
      </c>
      <c r="B7" s="5" t="inlineStr">
        <is>
          <t>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t>
        </is>
      </c>
      <c r="F7" s="5" t="inlineStr">
        <is>
          <t>Art. 4.2 del RD 1021/2022: la temperatura de conservación que TÚ has puesto en la etiqueta te obliga a ti.</t>
        </is>
      </c>
    </row>
    <row r="8" ht="76" customHeight="1">
      <c r="A8" s="4" t="inlineStr">
        <is>
          <t>a granel</t>
        </is>
      </c>
      <c r="B8" s="5" t="inlineStr">
        <is>
          <t>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t>
        </is>
      </c>
      <c r="F8" s="5" t="inlineStr">
        <is>
          <t>Tu plan de APPCC: la temperatura y la vida útil las declaras tú y tienen que constar en él.</t>
        </is>
      </c>
    </row>
    <row r="9"/>
    <row r="10" ht="34" customHeight="1">
      <c r="A10" s="2" t="inlineStr">
        <is>
          <t>Y una frontera que conviene tener clara: el RD 1021/2022 no nombra el chocolate ni una sola vez, pero una tarta de chocolate SÍ entra en su tabla de comidas preparadas. Si además de bombones vendes pastelería con nata o crema, esa parte del mostrador va por otro régimen.</t>
        </is>
      </c>
    </row>
    <row r="11"/>
    <row r="12"/>
    <row r="13">
      <c r="A13" s="3" t="inlineStr">
        <is>
          <t>Vía de Cada Referencia</t>
        </is>
      </c>
    </row>
    <row r="14"/>
    <row r="15" ht="52" customHeight="1">
      <c r="A15" s="7" t="inlineStr">
        <is>
          <t>Id</t>
        </is>
      </c>
      <c r="B15" s="7" t="inlineStr">
        <is>
          <t>Referencia</t>
        </is>
      </c>
      <c r="C15" s="7" t="inlineStr">
        <is>
          <t>¿Cómo la despachas?</t>
        </is>
      </c>
      <c r="D15" s="7" t="inlineStr">
        <is>
          <t>Si va ENVASADA CON ETIQUETA, esto te obliga</t>
        </is>
      </c>
      <c r="E15" s="7" t="inlineStr">
        <is>
          <t>Si va A GRANEL, esto tiene que constar</t>
        </is>
      </c>
      <c r="F15" s="7" t="inlineStr">
        <is>
          <t>La referencia normativa que te toca</t>
        </is>
      </c>
      <c r="G15" s="7" t="inlineStr">
        <is>
          <t>¿Tiene que llevar lote?</t>
        </is>
      </c>
      <c r="H15" s="7" t="inlineStr">
        <is>
          <t>Fecha que va en la etiqueta</t>
        </is>
      </c>
      <c r="I15" s="7" t="inlineStr">
        <is>
          <t>Cómo se informan los alérgenos</t>
        </is>
      </c>
    </row>
    <row r="16" ht="30" customHeight="1">
      <c r="A16" t="inlineStr">
        <is>
          <t>BC1</t>
        </is>
      </c>
      <c r="B16" s="6" t="inlineStr">
        <is>
          <t>Bombón de ganache de chocolate negro 70 %</t>
        </is>
      </c>
      <c r="C16" s="14" t="inlineStr">
        <is>
          <t>a granel</t>
        </is>
      </c>
      <c r="D16">
        <f>IF($C16=$A$7,$B$7,"")</f>
        <v/>
      </c>
      <c r="E16" t="str">
        <f>IF($C16=$A$8,$B$8,"")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6" t="str">
        <f>IF($C16=$A$7,$F$7,IF($C16=$A$8,$F$8,""))</f>
        <v>Tu plan de APPCC: la temperatura y la vida útil las declaras tú y tienen que constar en él.</v>
      </c>
      <c r="G16" t="str">
        <f>IF($C16=$A$7,"Sí, y no viene del Rgto. 1169/2011 sino del RD 1808/1991: la letra L delante salvo que el lote sea la propia fecha","Comprueba las tres exenciones del RD 1808/1991; si ninguna te vale, también")</f>
        <v>Comprueba las tres exenciones del RD 1808/1991; si ninguna te vale, también</v>
      </c>
      <c r="H16" s="18">
        <f>'Vida Útil Declarada'!J16</f>
        <v>46289.0</v>
      </c>
      <c r="I16" t="str">
        <f>IF($C16=$A$7,"En la lista de ingredientes y destacados tipográficamente","Pueden ir en un cartel visible en el punto de venta; la FECHA no puede")</f>
        <v>Pueden ir en un cartel visible en el punto de venta; la FECHA no puede</v>
      </c>
    </row>
    <row r="17" ht="30" customHeight="1">
      <c r="A17" t="inlineStr">
        <is>
          <t>BC2</t>
        </is>
      </c>
      <c r="B17" s="6" t="inlineStr">
        <is>
          <t>Bombón de ganache de leche y vainilla</t>
        </is>
      </c>
      <c r="C17" s="14" t="inlineStr">
        <is>
          <t>a granel</t>
        </is>
      </c>
      <c r="D17">
        <f>IF($C17=$A$7,$B$7,"")</f>
        <v/>
      </c>
      <c r="E17" t="str">
        <f>IF($C17=$A$8,$B$8,"")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7" t="str">
        <f>IF($C17=$A$7,$F$7,IF($C17=$A$8,$F$8,""))</f>
        <v>Tu plan de APPCC: la temperatura y la vida útil las declaras tú y tienen que constar en él.</v>
      </c>
      <c r="G17" t="str">
        <f>IF($C17=$A$7,"Sí, y no viene del Rgto. 1169/2011 sino del RD 1808/1991: la letra L delante salvo que el lote sea la propia fecha","Comprueba las tres exenciones del RD 1808/1991; si ninguna te vale, también")</f>
        <v>Comprueba las tres exenciones del RD 1808/1991; si ninguna te vale, también</v>
      </c>
      <c r="H17" s="18">
        <f>'Vida Útil Declarada'!J17</f>
        <v>46307.0</v>
      </c>
      <c r="I17" t="str">
        <f>IF($C17=$A$7,"En la lista de ingredientes y destacados tipográficamente","Pueden ir en un cartel visible en el punto de venta; la FECHA no puede")</f>
        <v>Pueden ir en un cartel visible en el punto de venta; la FECHA no puede</v>
      </c>
    </row>
    <row r="18" ht="30" customHeight="1">
      <c r="A18" t="inlineStr">
        <is>
          <t>BC3</t>
        </is>
      </c>
      <c r="B18" s="6" t="inlineStr">
        <is>
          <t>Bombón de praline de avellana</t>
        </is>
      </c>
      <c r="C18" s="14" t="inlineStr">
        <is>
          <t>a granel</t>
        </is>
      </c>
      <c r="D18">
        <f>IF($C18=$A$7,$B$7,"")</f>
        <v/>
      </c>
      <c r="E18" t="str">
        <f>IF($C18=$A$8,$B$8,"")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8" t="str">
        <f>IF($C18=$A$7,$F$7,IF($C18=$A$8,$F$8,""))</f>
        <v>Tu plan de APPCC: la temperatura y la vida útil las declaras tú y tienen que constar en él.</v>
      </c>
      <c r="G18" t="str">
        <f>IF($C18=$A$7,"Sí, y no viene del Rgto. 1169/2011 sino del RD 1808/1991: la letra L delante salvo que el lote sea la propia fecha","Comprueba las tres exenciones del RD 1808/1991; si ninguna te vale, también")</f>
        <v>Comprueba las tres exenciones del RD 1808/1991; si ninguna te vale, también</v>
      </c>
      <c r="H18" s="18">
        <f>'Vida Útil Declarada'!J18</f>
        <v>46339.0</v>
      </c>
      <c r="I18" t="str">
        <f>IF($C18=$A$7,"En la lista de ingredientes y destacados tipográficamente","Pueden ir en un cartel visible en el punto de venta; la FECHA no puede")</f>
        <v>Pueden ir en un cartel visible en el punto de venta; la FECHA no puede</v>
      </c>
    </row>
    <row r="19" ht="30" customHeight="1">
      <c r="A19" t="inlineStr">
        <is>
          <t>BC4</t>
        </is>
      </c>
      <c r="B19" s="6" t="inlineStr">
        <is>
          <t>Bombón de gianduja de avellana</t>
        </is>
      </c>
      <c r="C19" s="14" t="inlineStr">
        <is>
          <t>a granel</t>
        </is>
      </c>
      <c r="D19">
        <f>IF($C19=$A$7,$B$7,"")</f>
        <v/>
      </c>
      <c r="E19" t="str">
        <f>IF($C19=$A$8,$B$8,"")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19" t="str">
        <f>IF($C19=$A$7,$F$7,IF($C19=$A$8,$F$8,""))</f>
        <v>Tu plan de APPCC: la temperatura y la vida útil las declaras tú y tienen que constar en él.</v>
      </c>
      <c r="G19" t="str">
        <f>IF($C19=$A$7,"Sí, y no viene del Rgto. 1169/2011 sino del RD 1808/1991: la letra L delante salvo que el lote sea la propia fecha","Comprueba las tres exenciones del RD 1808/1991; si ninguna te vale, también")</f>
        <v>Comprueba las tres exenciones del RD 1808/1991; si ninguna te vale, también</v>
      </c>
      <c r="H19" s="18">
        <f>'Vida Útil Declarada'!J19</f>
        <v>46339.0</v>
      </c>
      <c r="I19" t="str">
        <f>IF($C19=$A$7,"En la lista de ingredientes y destacados tipográficamente","Pueden ir en un cartel visible en el punto de venta; la FECHA no puede")</f>
        <v>Pueden ir en un cartel visible en el punto de venta; la FECHA no puede</v>
      </c>
    </row>
    <row r="20" ht="30" customHeight="1">
      <c r="A20" t="inlineStr">
        <is>
          <t>BC5</t>
        </is>
      </c>
      <c r="B20" s="6" t="inlineStr">
        <is>
          <t>Trufa de chocolate negro al cacao</t>
        </is>
      </c>
      <c r="C20" s="14" t="inlineStr">
        <is>
          <t>a granel</t>
        </is>
      </c>
      <c r="D20">
        <f>IF($C20=$A$7,$B$7,"")</f>
        <v/>
      </c>
      <c r="E20" t="str">
        <f>IF($C20=$A$8,$B$8,"")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0" t="str">
        <f>IF($C20=$A$7,$F$7,IF($C20=$A$8,$F$8,""))</f>
        <v>Tu plan de APPCC: la temperatura y la vida útil las declaras tú y tienen que constar en él.</v>
      </c>
      <c r="G20" t="str">
        <f>IF($C20=$A$7,"Sí, y no viene del Rgto. 1169/2011 sino del RD 1808/1991: la letra L delante salvo que el lote sea la propia fecha","Comprueba las tres exenciones del RD 1808/1991; si ninguna te vale, también")</f>
        <v>Comprueba las tres exenciones del RD 1808/1991; si ninguna te vale, también</v>
      </c>
      <c r="H20" s="18">
        <f>'Vida Útil Declarada'!J20</f>
        <v>46300.0</v>
      </c>
      <c r="I20" t="str">
        <f>IF($C20=$A$7,"En la lista de ingredientes y destacados tipográficamente","Pueden ir en un cartel visible en el punto de venta; la FECHA no puede")</f>
        <v>Pueden ir en un cartel visible en el punto de venta; la FECHA no puede</v>
      </c>
    </row>
    <row r="21" ht="30" customHeight="1">
      <c r="A21" t="inlineStr">
        <is>
          <t>BC6</t>
        </is>
      </c>
      <c r="B21" s="6" t="inlineStr">
        <is>
          <t>Bombón de licor de ron</t>
        </is>
      </c>
      <c r="C21" s="14" t="inlineStr">
        <is>
          <t>a granel</t>
        </is>
      </c>
      <c r="D21">
        <f>IF($C21=$A$7,$B$7,"")</f>
        <v/>
      </c>
      <c r="E21" t="str">
        <f>IF($C21=$A$8,$B$8,"")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1" t="str">
        <f>IF($C21=$A$7,$F$7,IF($C21=$A$8,$F$8,""))</f>
        <v>Tu plan de APPCC: la temperatura y la vida útil las declaras tú y tienen que constar en él.</v>
      </c>
      <c r="G21" t="str">
        <f>IF($C21=$A$7,"Sí, y no viene del Rgto. 1169/2011 sino del RD 1808/1991: la letra L delante salvo que el lote sea la propia fecha","Comprueba las tres exenciones del RD 1808/1991; si ninguna te vale, también")</f>
        <v>Comprueba las tres exenciones del RD 1808/1991; si ninguna te vale, también</v>
      </c>
      <c r="H21" s="18">
        <f>'Vida Útil Declarada'!J21</f>
        <v>46369.0</v>
      </c>
      <c r="I21" t="str">
        <f>IF($C21=$A$7,"En la lista de ingredientes y destacados tipográficamente","Pueden ir en un cartel visible en el punto de venta; la FECHA no puede")</f>
        <v>Pueden ir en un cartel visible en el punto de venta; la FECHA no puede</v>
      </c>
    </row>
    <row r="22" ht="30" customHeight="1">
      <c r="A22" t="inlineStr">
        <is>
          <t>BC7</t>
        </is>
      </c>
      <c r="B22" s="6" t="inlineStr">
        <is>
          <t>Bombón de caramelo salado</t>
        </is>
      </c>
      <c r="C22" s="14" t="inlineStr">
        <is>
          <t>a granel</t>
        </is>
      </c>
      <c r="D22">
        <f>IF($C22=$A$7,$B$7,"")</f>
        <v/>
      </c>
      <c r="E22" t="str">
        <f>IF($C22=$A$8,$B$8,"")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2" t="str">
        <f>IF($C22=$A$7,$F$7,IF($C22=$A$8,$F$8,""))</f>
        <v>Tu plan de APPCC: la temperatura y la vida útil las declaras tú y tienen que constar en él.</v>
      </c>
      <c r="G22" t="str">
        <f>IF($C22=$A$7,"Sí, y no viene del Rgto. 1169/2011 sino del RD 1808/1991: la letra L delante salvo que el lote sea la propia fecha","Comprueba las tres exenciones del RD 1808/1991; si ninguna te vale, también")</f>
        <v>Comprueba las tres exenciones del RD 1808/1991; si ninguna te vale, también</v>
      </c>
      <c r="H22" s="18">
        <f>'Vida Útil Declarada'!J22</f>
        <v>46307.0</v>
      </c>
      <c r="I22" t="str">
        <f>IF($C22=$A$7,"En la lista de ingredientes y destacados tipográficamente","Pueden ir en un cartel visible en el punto de venta; la FECHA no puede")</f>
        <v>Pueden ir en un cartel visible en el punto de venta; la FECHA no puede</v>
      </c>
    </row>
    <row r="23" ht="30" customHeight="1">
      <c r="A23" t="inlineStr">
        <is>
          <t>BC8</t>
        </is>
      </c>
      <c r="B23" s="6" t="inlineStr">
        <is>
          <t>Bombón de praline de cacahuete</t>
        </is>
      </c>
      <c r="C23" s="14" t="inlineStr">
        <is>
          <t>a granel</t>
        </is>
      </c>
      <c r="D23">
        <f>IF($C23=$A$7,$B$7,"")</f>
        <v/>
      </c>
      <c r="E23" t="str">
        <f>IF($C23=$A$8,$B$8,"")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3" t="str">
        <f>IF($C23=$A$7,$F$7,IF($C23=$A$8,$F$8,""))</f>
        <v>Tu plan de APPCC: la temperatura y la vida útil las declaras tú y tienen que constar en él.</v>
      </c>
      <c r="G23" t="str">
        <f>IF($C23=$A$7,"Sí, y no viene del Rgto. 1169/2011 sino del RD 1808/1991: la letra L delante salvo que el lote sea la propia fecha","Comprueba las tres exenciones del RD 1808/1991; si ninguna te vale, también")</f>
        <v>Comprueba las tres exenciones del RD 1808/1991; si ninguna te vale, también</v>
      </c>
      <c r="H23" s="18">
        <f>'Vida Útil Declarada'!J23</f>
        <v>46339.0</v>
      </c>
      <c r="I23" t="str">
        <f>IF($C23=$A$7,"En la lista de ingredientes y destacados tipográficamente","Pueden ir en un cartel visible en el punto de venta; la FECHA no puede")</f>
        <v>Pueden ir en un cartel visible en el punto de venta; la FECHA no puede</v>
      </c>
    </row>
    <row r="24" ht="30" customHeight="1">
      <c r="A24" t="inlineStr">
        <is>
          <t>BC9</t>
        </is>
      </c>
      <c r="B24" s="6" t="inlineStr">
        <is>
          <t>Bombón crujiente de sesamo y barquillo</t>
        </is>
      </c>
      <c r="C24" s="14" t="inlineStr">
        <is>
          <t>a granel</t>
        </is>
      </c>
      <c r="D24">
        <f>IF($C24=$A$7,$B$7,"")</f>
        <v/>
      </c>
      <c r="E24" t="str">
        <f>IF($C24=$A$8,$B$8,"")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4" t="str">
        <f>IF($C24=$A$7,$F$7,IF($C24=$A$8,$F$8,""))</f>
        <v>Tu plan de APPCC: la temperatura y la vida útil las declaras tú y tienen que constar en él.</v>
      </c>
      <c r="G24" t="str">
        <f>IF($C24=$A$7,"Sí, y no viene del Rgto. 1169/2011 sino del RD 1808/1991: la letra L delante salvo que el lote sea la propia fecha","Comprueba las tres exenciones del RD 1808/1991; si ninguna te vale, también")</f>
        <v>Comprueba las tres exenciones del RD 1808/1991; si ninguna te vale, también</v>
      </c>
      <c r="H24" s="18">
        <f>'Vida Útil Declarada'!J24</f>
        <v>46300.0</v>
      </c>
      <c r="I24" t="str">
        <f>IF($C24=$A$7,"En la lista de ingredientes y destacados tipográficamente","Pueden ir en un cartel visible en el punto de venta; la FECHA no puede")</f>
        <v>Pueden ir en un cartel visible en el punto de venta; la FECHA no puede</v>
      </c>
    </row>
    <row r="25" ht="30" customHeight="1">
      <c r="A25" t="inlineStr">
        <is>
          <t>BC10</t>
        </is>
      </c>
      <c r="B25" s="6" t="inlineStr">
        <is>
          <t>Bombón de naranja confitada y chocolate negro</t>
        </is>
      </c>
      <c r="C25" s="14" t="inlineStr">
        <is>
          <t>a granel</t>
        </is>
      </c>
      <c r="D25">
        <f>IF($C25=$A$7,$B$7,"")</f>
        <v/>
      </c>
      <c r="E25" t="str">
        <f>IF($C25=$A$8,$B$8,"")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25" t="str">
        <f>IF($C25=$A$7,$F$7,IF($C25=$A$8,$F$8,""))</f>
        <v>Tu plan de APPCC: la temperatura y la vida útil las declaras tú y tienen que constar en él.</v>
      </c>
      <c r="G25" t="str">
        <f>IF($C25=$A$7,"Sí, y no viene del Rgto. 1169/2011 sino del RD 1808/1991: la letra L delante salvo que el lote sea la propia fecha","Comprueba las tres exenciones del RD 1808/1991; si ninguna te vale, también")</f>
        <v>Comprueba las tres exenciones del RD 1808/1991; si ninguna te vale, también</v>
      </c>
      <c r="H25" s="18">
        <f>'Vida Útil Declarada'!J25</f>
        <v>46309.0</v>
      </c>
      <c r="I25" t="str">
        <f>IF($C25=$A$7,"En la lista de ingredientes y destacados tipográficamente","Pueden ir en un cartel visible en el punto de venta; la FECHA no puede")</f>
        <v>Pueden ir en un cartel visible en el punto de venta; la FECHA no puede</v>
      </c>
    </row>
    <row r="26" ht="30" customHeight="1">
      <c r="A26" t="inlineStr">
        <is>
          <t>TB1</t>
        </is>
      </c>
      <c r="B26" s="6" t="inlineStr">
        <is>
          <t>Tableta de chocolate negro de origen 70 %, 100 g</t>
        </is>
      </c>
      <c r="C26" s="14" t="inlineStr">
        <is>
          <t>envasado con etiqueta</t>
        </is>
      </c>
      <c r="D26" t="str">
        <f>IF($C26=$A$7,$B$7,"")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6">
        <f>IF($C26=$A$8,$B$8,"")</f>
        <v/>
      </c>
      <c r="F26" t="str">
        <f>IF($C26=$A$7,$F$7,IF($C26=$A$8,$F$8,""))</f>
        <v>Art. 4.2 del RD 1021/2022: la temperatura de conservación que TÚ has puesto en la etiqueta te obliga a ti.</v>
      </c>
      <c r="G26" t="str">
        <f>IF($C26=$A$7,"Sí,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6" s="18">
        <f>'Vida Útil Declarada'!J26</f>
        <v>46639.0</v>
      </c>
      <c r="I26" t="str">
        <f>IF($C26=$A$7,"En la lista de ingredientes y destacados tipográficamente","Pueden ir en un cartel visible en el punto de venta; la FECHA no puede")</f>
        <v>En la lista de ingredientes y destacados tipográficamente</v>
      </c>
    </row>
    <row r="27" ht="30" customHeight="1">
      <c r="A27" t="inlineStr">
        <is>
          <t>TB2</t>
        </is>
      </c>
      <c r="B27" s="6" t="inlineStr">
        <is>
          <t>Tableta de chocolate con leche 38 %, 100 g</t>
        </is>
      </c>
      <c r="C27" s="14" t="inlineStr">
        <is>
          <t>envasado con etiqueta</t>
        </is>
      </c>
      <c r="D27" t="str">
        <f>IF($C27=$A$7,$B$7,"")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7">
        <f>IF($C27=$A$8,$B$8,"")</f>
        <v/>
      </c>
      <c r="F27" t="str">
        <f>IF($C27=$A$7,$F$7,IF($C27=$A$8,$F$8,""))</f>
        <v>Art. 4.2 del RD 1021/2022: la temperatura de conservación que TÚ has puesto en la etiqueta te obliga a ti.</v>
      </c>
      <c r="G27" t="str">
        <f>IF($C27=$A$7,"Sí,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7" s="18">
        <f>'Vida Útil Declarada'!J27</f>
        <v>46639.0</v>
      </c>
      <c r="I27" t="str">
        <f>IF($C27=$A$7,"En la lista de ingredientes y destacados tipográficamente","Pueden ir en un cartel visible en el punto de venta; la FECHA no puede")</f>
        <v>En la lista de ingredientes y destacados tipográficamente</v>
      </c>
    </row>
    <row r="28" ht="30" customHeight="1">
      <c r="A28" t="inlineStr">
        <is>
          <t>TB3</t>
        </is>
      </c>
      <c r="B28" s="6" t="inlineStr">
        <is>
          <t>Tableta de chocolate blanco 30 %, 100 g</t>
        </is>
      </c>
      <c r="C28" s="14" t="inlineStr">
        <is>
          <t>envasado con etiqueta</t>
        </is>
      </c>
      <c r="D28" t="str">
        <f>IF($C28=$A$7,$B$7,"")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8">
        <f>IF($C28=$A$8,$B$8,"")</f>
        <v/>
      </c>
      <c r="F28" t="str">
        <f>IF($C28=$A$7,$F$7,IF($C28=$A$8,$F$8,""))</f>
        <v>Art. 4.2 del RD 1021/2022: la temperatura de conservación que TÚ has puesto en la etiqueta te obliga a ti.</v>
      </c>
      <c r="G28" t="str">
        <f>IF($C28=$A$7,"Sí,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8" s="18">
        <f>'Vida Útil Declarada'!J28</f>
        <v>46639.0</v>
      </c>
      <c r="I28" t="str">
        <f>IF($C28=$A$7,"En la lista de ingredientes y destacados tipográficamente","Pueden ir en un cartel visible en el punto de venta; la FECHA no puede")</f>
        <v>En la lista de ingredientes y destacados tipográficamente</v>
      </c>
    </row>
    <row r="29" ht="30" customHeight="1">
      <c r="A29" t="inlineStr">
        <is>
          <t>TB4</t>
        </is>
      </c>
      <c r="B29" s="6" t="inlineStr">
        <is>
          <t>Tableta de chocolate negro con almendra marcona, 100 g</t>
        </is>
      </c>
      <c r="C29" s="14" t="inlineStr">
        <is>
          <t>envasado con etiqueta</t>
        </is>
      </c>
      <c r="D29" t="str">
        <f>IF($C29=$A$7,$B$7,"")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29">
        <f>IF($C29=$A$8,$B$8,"")</f>
        <v/>
      </c>
      <c r="F29" t="str">
        <f>IF($C29=$A$7,$F$7,IF($C29=$A$8,$F$8,""))</f>
        <v>Art. 4.2 del RD 1021/2022: la temperatura de conservación que TÚ has puesto en la etiqueta te obliga a ti.</v>
      </c>
      <c r="G29" t="str">
        <f>IF($C29=$A$7,"Sí,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29" s="18">
        <f>'Vida Útil Declarada'!J29</f>
        <v>46639.0</v>
      </c>
      <c r="I29" t="str">
        <f>IF($C29=$A$7,"En la lista de ingredientes y destacados tipográficamente","Pueden ir en un cartel visible en el punto de venta; la FECHA no puede")</f>
        <v>En la lista de ingredientes y destacados tipográficamente</v>
      </c>
    </row>
    <row r="30" ht="30" customHeight="1">
      <c r="A30" t="inlineStr">
        <is>
          <t>TB5</t>
        </is>
      </c>
      <c r="B30" s="6" t="inlineStr">
        <is>
          <t>Tableta de chocolate con leche y avellana, 100 g</t>
        </is>
      </c>
      <c r="C30" s="14" t="inlineStr">
        <is>
          <t>envasado con etiqueta</t>
        </is>
      </c>
      <c r="D30" t="str">
        <f>IF($C30=$A$7,$B$7,"")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0">
        <f>IF($C30=$A$8,$B$8,"")</f>
        <v/>
      </c>
      <c r="F30" t="str">
        <f>IF($C30=$A$7,$F$7,IF($C30=$A$8,$F$8,""))</f>
        <v>Art. 4.2 del RD 1021/2022: la temperatura de conservación que TÚ has puesto en la etiqueta te obliga a ti.</v>
      </c>
      <c r="G30" t="str">
        <f>IF($C30=$A$7,"Sí,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0" s="18">
        <f>'Vida Útil Declarada'!J30</f>
        <v>46639.0</v>
      </c>
      <c r="I30" t="str">
        <f>IF($C30=$A$7,"En la lista de ingredientes y destacados tipográficamente","Pueden ir en un cartel visible en el punto de venta; la FECHA no puede")</f>
        <v>En la lista de ingredientes y destacados tipográficamente</v>
      </c>
    </row>
    <row r="31" ht="30" customHeight="1">
      <c r="A31" t="inlineStr">
        <is>
          <t>TB6</t>
        </is>
      </c>
      <c r="B31" s="6" t="inlineStr">
        <is>
          <t>Tableta rellena de praline, 100 g</t>
        </is>
      </c>
      <c r="C31" s="14" t="inlineStr">
        <is>
          <t>envasado con etiqueta</t>
        </is>
      </c>
      <c r="D31" t="str">
        <f>IF($C31=$A$7,$B$7,"")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1">
        <f>IF($C31=$A$8,$B$8,"")</f>
        <v/>
      </c>
      <c r="F31" t="str">
        <f>IF($C31=$A$7,$F$7,IF($C31=$A$8,$F$8,""))</f>
        <v>Art. 4.2 del RD 1021/2022: la temperatura de conservación que TÚ has puesto en la etiqueta te obliga a ti.</v>
      </c>
      <c r="G31" t="str">
        <f>IF($C31=$A$7,"Sí,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1" s="18">
        <f>'Vida Útil Declarada'!J31</f>
        <v>46339.0</v>
      </c>
      <c r="I31" t="str">
        <f>IF($C31=$A$7,"En la lista de ingredientes y destacados tipográficamente","Pueden ir en un cartel visible en el punto de venta; la FECHA no puede")</f>
        <v>En la lista de ingredientes y destacados tipográficamente</v>
      </c>
    </row>
    <row r="32" ht="30" customHeight="1">
      <c r="A32" t="inlineStr">
        <is>
          <t>CT1</t>
        </is>
      </c>
      <c r="B32" s="6" t="inlineStr">
        <is>
          <t>Tableta de chocolate a la taza, 200 g</t>
        </is>
      </c>
      <c r="C32" s="14" t="inlineStr">
        <is>
          <t>envasado con etiqueta</t>
        </is>
      </c>
      <c r="D32" t="str">
        <f>IF($C32=$A$7,$B$7,"")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2">
        <f>IF($C32=$A$8,$B$8,"")</f>
        <v/>
      </c>
      <c r="F32" t="str">
        <f>IF($C32=$A$7,$F$7,IF($C32=$A$8,$F$8,""))</f>
        <v>Art. 4.2 del RD 1021/2022: la temperatura de conservación que TÚ has puesto en la etiqueta te obliga a ti.</v>
      </c>
      <c r="G32" t="str">
        <f>IF($C32=$A$7,"Sí,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2" s="18">
        <f>'Vida Útil Declarada'!J32</f>
        <v>46639.0</v>
      </c>
      <c r="I32" t="str">
        <f>IF($C32=$A$7,"En la lista de ingredientes y destacados tipográficamente","Pueden ir en un cartel visible en el punto de venta; la FECHA no puede")</f>
        <v>En la lista de ingredientes y destacados tipográficamente</v>
      </c>
    </row>
    <row r="33" ht="30" customHeight="1">
      <c r="A33" t="inlineStr">
        <is>
          <t>CT2</t>
        </is>
      </c>
      <c r="B33" s="6" t="inlineStr">
        <is>
          <t>Caja de 6 sobres monodosis de chocolate a la taza</t>
        </is>
      </c>
      <c r="C33" s="14" t="inlineStr">
        <is>
          <t>envasado con etiqueta</t>
        </is>
      </c>
      <c r="D33" t="str">
        <f>IF($C33=$A$7,$B$7,"")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3">
        <f>IF($C33=$A$8,$B$8,"")</f>
        <v/>
      </c>
      <c r="F33" t="str">
        <f>IF($C33=$A$7,$F$7,IF($C33=$A$8,$F$8,""))</f>
        <v>Art. 4.2 del RD 1021/2022: la temperatura de conservación que TÚ has puesto en la etiqueta te obliga a ti.</v>
      </c>
      <c r="G33" t="str">
        <f>IF($C33=$A$7,"Sí,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3" s="18">
        <f>'Vida Útil Declarada'!J33</f>
        <v>46639.0</v>
      </c>
      <c r="I33" t="str">
        <f>IF($C33=$A$7,"En la lista de ingredientes y destacados tipográficamente","Pueden ir en un cartel visible en el punto de venta; la FECHA no puede")</f>
        <v>En la lista de ingredientes y destacados tipográficamente</v>
      </c>
    </row>
    <row r="34" ht="30" customHeight="1">
      <c r="A34" t="inlineStr">
        <is>
          <t>CT3</t>
        </is>
      </c>
      <c r="B34" s="6" t="inlineStr">
        <is>
          <t>Chocolate a la taza servido en sala, 200 ml</t>
        </is>
      </c>
      <c r="C34" s="14" t="inlineStr">
        <is>
          <t>a granel</t>
        </is>
      </c>
      <c r="D34">
        <f>IF($C34=$A$7,$B$7,"")</f>
        <v/>
      </c>
      <c r="E34" t="str">
        <f>IF($C34=$A$8,$B$8,"")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34" t="str">
        <f>IF($C34=$A$7,$F$7,IF($C34=$A$8,$F$8,""))</f>
        <v>Tu plan de APPCC: la temperatura y la vida útil las declaras tú y tienen que constar en él.</v>
      </c>
      <c r="G34" t="str">
        <f>IF($C34=$A$7,"Sí, y no viene del Rgto. 1169/2011 sino del RD 1808/1991: la letra L delante salvo que el lote sea la propia fecha","Comprueba las tres exenciones del RD 1808/1991; si ninguna te vale, también")</f>
        <v>Comprueba las tres exenciones del RD 1808/1991; si ninguna te vale, también</v>
      </c>
      <c r="H34" s="18">
        <f>'Vida Útil Declarada'!J34</f>
        <v>46639.0</v>
      </c>
      <c r="I34" t="str">
        <f>IF($C34=$A$7,"En la lista de ingredientes y destacados tipográficamente","Pueden ir en un cartel visible en el punto de venta; la FECHA no puede")</f>
        <v>Pueden ir en un cartel visible en el punto de venta; la FECHA no puede</v>
      </c>
    </row>
    <row r="35" ht="30" customHeight="1">
      <c r="A35" t="inlineStr">
        <is>
          <t>TF1</t>
        </is>
      </c>
      <c r="B35" s="6" t="inlineStr">
        <is>
          <t>Huevo de Pascua de chocolate con leche, 250 g</t>
        </is>
      </c>
      <c r="C35" s="14" t="inlineStr">
        <is>
          <t>envasado con etiqueta</t>
        </is>
      </c>
      <c r="D35" t="str">
        <f>IF($C35=$A$7,$B$7,"")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5">
        <f>IF($C35=$A$8,$B$8,"")</f>
        <v/>
      </c>
      <c r="F35" t="str">
        <f>IF($C35=$A$7,$F$7,IF($C35=$A$8,$F$8,""))</f>
        <v>Art. 4.2 del RD 1021/2022: la temperatura de conservación que TÚ has puesto en la etiqueta te obliga a ti.</v>
      </c>
      <c r="G35" t="str">
        <f>IF($C35=$A$7,"Sí,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5" s="18">
        <f>'Vida Útil Declarada'!J35</f>
        <v>46459.0</v>
      </c>
      <c r="I35" t="str">
        <f>IF($C35=$A$7,"En la lista de ingredientes y destacados tipográficamente","Pueden ir en un cartel visible en el punto de venta; la FECHA no puede")</f>
        <v>En la lista de ingredientes y destacados tipográficamente</v>
      </c>
    </row>
    <row r="36" ht="30" customHeight="1">
      <c r="A36" t="inlineStr">
        <is>
          <t>TF2</t>
        </is>
      </c>
      <c r="B36" s="6" t="inlineStr">
        <is>
          <t>Mona de Pascua de chocolate, 400 g</t>
        </is>
      </c>
      <c r="C36" s="14" t="inlineStr">
        <is>
          <t>envasado con etiqueta</t>
        </is>
      </c>
      <c r="D36" t="str">
        <f>IF($C36=$A$7,$B$7,"")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6">
        <f>IF($C36=$A$8,$B$8,"")</f>
        <v/>
      </c>
      <c r="F36" t="str">
        <f>IF($C36=$A$7,$F$7,IF($C36=$A$8,$F$8,""))</f>
        <v>Art. 4.2 del RD 1021/2022: la temperatura de conservación que TÚ has puesto en la etiqueta te obliga a ti.</v>
      </c>
      <c r="G36" t="str">
        <f>IF($C36=$A$7,"Sí,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6" s="18">
        <f>'Vida Útil Declarada'!J36</f>
        <v>46459.0</v>
      </c>
      <c r="I36" t="str">
        <f>IF($C36=$A$7,"En la lista de ingredientes y destacados tipográficamente","Pueden ir en un cartel visible en el punto de venta; la FECHA no puede")</f>
        <v>En la lista de ingredientes y destacados tipográficamente</v>
      </c>
    </row>
    <row r="37" ht="30" customHeight="1">
      <c r="A37" t="inlineStr">
        <is>
          <t>TF3</t>
        </is>
      </c>
      <c r="B37" s="6" t="inlineStr">
        <is>
          <t>Hueso de santo banado en chocolate</t>
        </is>
      </c>
      <c r="C37" s="14" t="inlineStr">
        <is>
          <t>a granel</t>
        </is>
      </c>
      <c r="D37">
        <f>IF($C37=$A$7,$B$7,"")</f>
        <v/>
      </c>
      <c r="E37" t="str">
        <f>IF($C37=$A$8,$B$8,"")</f>
        <v>Se despacha a granel en la vitrina, sin etiqueta. Entonces la referencia NO es el art. 4.2: es TU sistema de autocontrol, y la temperatura y la vida útil las declaras tu y constan en el (`CHN-30`, y `CHN-87`: «chocolate», «cacao», «bombón» y «confitería» aparecen 0 veces en todo el RD 1021/2022). Los alérgenos pueden ir en cartel (`CHN-89`) y el lote tiene tres vías de exención (`CHN-36`).</v>
      </c>
      <c r="F37" t="str">
        <f>IF($C37=$A$7,$F$7,IF($C37=$A$8,$F$8,""))</f>
        <v>Tu plan de APPCC: la temperatura y la vida útil las declaras tú y tienen que constar en él.</v>
      </c>
      <c r="G37" t="str">
        <f>IF($C37=$A$7,"Sí, y no viene del Rgto. 1169/2011 sino del RD 1808/1991: la letra L delante salvo que el lote sea la propia fecha","Comprueba las tres exenciones del RD 1808/1991; si ninguna te vale, también")</f>
        <v>Comprueba las tres exenciones del RD 1808/1991; si ninguna te vale, también</v>
      </c>
      <c r="H37" s="18">
        <f>'Vida Útil Declarada'!J37</f>
        <v>46289.0</v>
      </c>
      <c r="I37" t="str">
        <f>IF($C37=$A$7,"En la lista de ingredientes y destacados tipográficamente","Pueden ir en un cartel visible en el punto de venta; la FECHA no puede")</f>
        <v>Pueden ir en un cartel visible en el punto de venta; la FECHA no puede</v>
      </c>
    </row>
    <row r="38" ht="30" customHeight="1">
      <c r="A38" t="inlineStr">
        <is>
          <t>TF4</t>
        </is>
      </c>
      <c r="B38" s="6" t="inlineStr">
        <is>
          <t>Turrón de chocolate con almendra, 250 g</t>
        </is>
      </c>
      <c r="C38" s="14" t="inlineStr">
        <is>
          <t>envasado con etiqueta</t>
        </is>
      </c>
      <c r="D38" t="str">
        <f>IF($C38=$A$7,$B$7,"")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8">
        <f>IF($C38=$A$8,$B$8,"")</f>
        <v/>
      </c>
      <c r="F38" t="str">
        <f>IF($C38=$A$7,$F$7,IF($C38=$A$8,$F$8,""))</f>
        <v>Art. 4.2 del RD 1021/2022: la temperatura de conservación que TÚ has puesto en la etiqueta te obliga a ti.</v>
      </c>
      <c r="G38" t="str">
        <f>IF($C38=$A$7,"Sí,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8" s="18">
        <f>'Vida Útil Declarada'!J38</f>
        <v>46639.0</v>
      </c>
      <c r="I38" t="str">
        <f>IF($C38=$A$7,"En la lista de ingredientes y destacados tipográficamente","Pueden ir en un cartel visible en el punto de venta; la FECHA no puede")</f>
        <v>En la lista de ingredientes y destacados tipográficamente</v>
      </c>
    </row>
    <row r="39" ht="30" customHeight="1">
      <c r="A39" t="inlineStr">
        <is>
          <t>TF5</t>
        </is>
      </c>
      <c r="B39" s="6" t="inlineStr">
        <is>
          <t>Almendras marcona banadas en chocolate, bolsa de 150 g</t>
        </is>
      </c>
      <c r="C39" s="14" t="inlineStr">
        <is>
          <t>envasado con etiqueta</t>
        </is>
      </c>
      <c r="D39" t="str">
        <f>IF($C39=$A$7,$B$7,"")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39">
        <f>IF($C39=$A$8,$B$8,"")</f>
        <v/>
      </c>
      <c r="F39" t="str">
        <f>IF($C39=$A$7,$F$7,IF($C39=$A$8,$F$8,""))</f>
        <v>Art. 4.2 del RD 1021/2022: la temperatura de conservación que TÚ has puesto en la etiqueta te obliga a ti.</v>
      </c>
      <c r="G39" t="str">
        <f>IF($C39=$A$7,"Sí,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39" s="18">
        <f>'Vida Útil Declarada'!J39</f>
        <v>46309.0</v>
      </c>
      <c r="I39" t="str">
        <f>IF($C39=$A$7,"En la lista de ingredientes y destacados tipográficamente","Pueden ir en un cartel visible en el punto de venta; la FECHA no puede")</f>
        <v>En la lista de ingredientes y destacados tipográficamente</v>
      </c>
    </row>
    <row r="40" ht="30" customHeight="1">
      <c r="A40" t="inlineStr">
        <is>
          <t>CJ1</t>
        </is>
      </c>
      <c r="B40" s="6" t="inlineStr">
        <is>
          <t>Caja surtida de 12 bombones</t>
        </is>
      </c>
      <c r="C40" s="14" t="inlineStr">
        <is>
          <t>envasado con etiqueta</t>
        </is>
      </c>
      <c r="D40" t="str">
        <f>IF($C40=$A$7,$B$7,"")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0">
        <f>IF($C40=$A$8,$B$8,"")</f>
        <v/>
      </c>
      <c r="F40" t="str">
        <f>IF($C40=$A$7,$F$7,IF($C40=$A$8,$F$8,""))</f>
        <v>Art. 4.2 del RD 1021/2022: la temperatura de conservación que TÚ has puesto en la etiqueta te obliga a ti.</v>
      </c>
      <c r="G40" t="str">
        <f>IF($C40=$A$7,"Sí,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0" s="18">
        <f>'Vida Útil Declarada'!J40</f>
        <v>46289.0</v>
      </c>
      <c r="I40" t="str">
        <f>IF($C40=$A$7,"En la lista de ingredientes y destacados tipográficamente","Pueden ir en un cartel visible en el punto de venta; la FECHA no puede")</f>
        <v>En la lista de ingredientes y destacados tipográficamente</v>
      </c>
    </row>
    <row r="41" ht="30" customHeight="1">
      <c r="A41" t="inlineStr">
        <is>
          <t>CJ2</t>
        </is>
      </c>
      <c r="B41" s="6" t="inlineStr">
        <is>
          <t>Caja surtida de 20 bombones</t>
        </is>
      </c>
      <c r="C41" s="14" t="inlineStr">
        <is>
          <t>envasado con etiqueta</t>
        </is>
      </c>
      <c r="D41" t="str">
        <f>IF($C41=$A$7,$B$7,"")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1">
        <f>IF($C41=$A$8,$B$8,"")</f>
        <v/>
      </c>
      <c r="F41" t="str">
        <f>IF($C41=$A$7,$F$7,IF($C41=$A$8,$F$8,""))</f>
        <v>Art. 4.2 del RD 1021/2022: la temperatura de conservación que TÚ has puesto en la etiqueta te obliga a ti.</v>
      </c>
      <c r="G41" t="str">
        <f>IF($C41=$A$7,"Sí,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1" s="18">
        <f>'Vida Útil Declarada'!J41</f>
        <v>46289.0</v>
      </c>
      <c r="I41" t="str">
        <f>IF($C41=$A$7,"En la lista de ingredientes y destacados tipográficamente","Pueden ir en un cartel visible en el punto de venta; la FECHA no puede")</f>
        <v>En la lista de ingredientes y destacados tipográficamente</v>
      </c>
    </row>
    <row r="42" ht="30" customHeight="1">
      <c r="A42" t="inlineStr">
        <is>
          <t>CJ3</t>
        </is>
      </c>
      <c r="B42" s="6" t="inlineStr">
        <is>
          <t>Caja surtida de 35 bombones</t>
        </is>
      </c>
      <c r="C42" s="14" t="inlineStr">
        <is>
          <t>envasado con etiqueta</t>
        </is>
      </c>
      <c r="D42" t="str">
        <f>IF($C42=$A$7,$B$7,"")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2">
        <f>IF($C42=$A$8,$B$8,"")</f>
        <v/>
      </c>
      <c r="F42" t="str">
        <f>IF($C42=$A$7,$F$7,IF($C42=$A$8,$F$8,""))</f>
        <v>Art. 4.2 del RD 1021/2022: la temperatura de conservación que TÚ has puesto en la etiqueta te obliga a ti.</v>
      </c>
      <c r="G42" t="str">
        <f>IF($C42=$A$7,"Sí,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2" s="18">
        <f>'Vida Útil Declarada'!J42</f>
        <v>46289.0</v>
      </c>
      <c r="I42" t="str">
        <f>IF($C42=$A$7,"En la lista de ingredientes y destacados tipográficamente","Pueden ir en un cartel visible en el punto de venta; la FECHA no puede")</f>
        <v>En la lista de ingredientes y destacados tipográficamente</v>
      </c>
    </row>
    <row r="43" ht="30" customHeight="1">
      <c r="A43" t="inlineStr">
        <is>
          <t>CJ4</t>
        </is>
      </c>
      <c r="B43" s="6" t="inlineStr">
        <is>
          <t>Estuche corporativo personalizado de 24 bombones</t>
        </is>
      </c>
      <c r="C43" s="14" t="inlineStr">
        <is>
          <t>envasado con etiqueta</t>
        </is>
      </c>
      <c r="D43" t="str">
        <f>IF($C43=$A$7,$B$7,"")</f>
        <v>Sale envasado con SU etiqueta. El art. 4.2 del RD 1021/2022 fija la temperatura de conservación POR LA ETIQUETA que pone quien ha producido y envasado: la que tu has escrito te obliga a ti. Y con etiqueta entran además las doce menciones del art. 9.1 del Rgto. 1169/2011 (`CHN-35`) mas el lote, que NO viene de ese reglamento sino del RD 1808/1991 (`CHN-36`).</v>
      </c>
      <c r="E43">
        <f>IF($C43=$A$8,$B$8,"")</f>
        <v/>
      </c>
      <c r="F43" t="str">
        <f>IF($C43=$A$7,$F$7,IF($C43=$A$8,$F$8,""))</f>
        <v>Art. 4.2 del RD 1021/2022: la temperatura de conservación que TÚ has puesto en la etiqueta te obliga a ti.</v>
      </c>
      <c r="G43" t="str">
        <f>IF($C43=$A$7,"Sí, y no viene del Rgto. 1169/2011 sino del RD 1808/1991: la letra L delante salvo que el lote sea la propia fecha","Comprueba las tres exenciones del RD 1808/1991; si ninguna te vale, también")</f>
        <v>Sí, y no viene del Rgto. 1169/2011 sino del RD 1808/1991: la letra L delante salvo que el lote sea la propia fecha</v>
      </c>
      <c r="H43" s="18">
        <f>'Vida Útil Declarada'!J43</f>
        <v>46289.0</v>
      </c>
      <c r="I43" t="str">
        <f>IF($C43=$A$7,"En la lista de ingredientes y destacados tipográficamente","Pueden ir en un cartel visible en el punto de venta; la FECHA no puede")</f>
        <v>En la lista de ingredientes y destacados tipográficamente</v>
      </c>
    </row>
    <row r="44" ht="34" customHeight="1">
      <c r="A44" s="4" t="inlineStr">
        <is>
          <t>RECUENTO</t>
        </is>
      </c>
      <c r="B44" s="15" t="inlineStr">
        <is>
          <t>Referencias envasadas con etiqueta</t>
        </is>
      </c>
      <c r="C44" s="16">
        <f>COUNTIF(C16:C43,$A$62)</f>
        <v>16.0</v>
      </c>
      <c r="D44" s="4" t="inlineStr">
        <is>
          <t>Referencias a granel</t>
        </is>
      </c>
      <c r="E44" s="16">
        <f>COUNTIF(C16:C43,$A$63)</f>
        <v>12.0</v>
      </c>
      <c r="F44" s="2" t="inlineStr">
        <is>
          <t>Cada referencia que pasa de granel a envasada te añade doce menciones obligatorias y el lote. No es una decisión de etiquetado: es una decisión de canal.</t>
        </is>
      </c>
    </row>
    <row r="45"/>
    <row r="46"/>
    <row r="47"/>
    <row r="48"/>
    <row r="49"/>
    <row r="50"/>
    <row r="51"/>
    <row r="52"/>
    <row r="53"/>
    <row r="54"/>
    <row r="55"/>
    <row r="56"/>
    <row r="57"/>
    <row r="58"/>
    <row r="59"/>
    <row r="60">
      <c r="A60" s="3" t="inlineStr">
        <is>
          <t>Listas de validación (no las borres: las usan los desplegables)</t>
        </is>
      </c>
    </row>
    <row r="61">
      <c r="A61" s="4" t="inlineStr">
        <is>
          <t>Vías de despacho</t>
        </is>
      </c>
    </row>
    <row r="62">
      <c r="A62" t="inlineStr">
        <is>
          <t>envasado con etiqueta</t>
        </is>
      </c>
    </row>
    <row r="63">
      <c r="A63" t="inlineStr">
        <is>
          <t>a granel</t>
        </is>
      </c>
    </row>
  </sheetData>
  <sheetProtection selectLockedCells="0" selectUnlockedCells="0" sheet="1" objects="0" insertRows="0" insertHyperlinks="1" autoFilter="1" scenarios="0" formatColumns="0" deleteColumns="1" insertColumns="1" pivotTables="1" deleteRows="1" formatCells="1" formatRows="0" sort="0"/>
  <mergeCells count="7">
    <mergeCell ref="B8:E8"/>
    <mergeCell ref="F44:I44"/>
    <mergeCell ref="F7:I7"/>
    <mergeCell ref="F8:I8"/>
    <mergeCell ref="B7:E7"/>
    <mergeCell ref="A10:I10"/>
    <mergeCell ref="A3:I3"/>
  </mergeCells>
  <dataValidations count="1">
    <dataValidation sqref="C16 C17 C18 C19 C20 C21 C22 C23 C24 C25 C26 C27 C28 C29 C30 C31 C32 C33 C34 C35 C36 C37 C38 C39 C40 C41 C42 C43" showDropDown="0" showInputMessage="0" showErrorMessage="1" allowBlank="0" errorTitle="Vía no válida" error="Sólo hay dos: envasado con etiqueta o a granel. Y no son el mismo régimen: elige la que de verdad usas en mostrador." type="list">
      <formula1>=$A$62:$A$63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J50"/>
  <sheetViews>
    <sheetView workbookViewId="0">
      <pane xSplit="2" ySplit="21" topLeftCell="C2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2" customWidth="1" min="3" max="3"/>
    <col width="16" customWidth="1" min="4" max="4"/>
    <col width="30" customWidth="1" min="5" max="5"/>
    <col width="46" customWidth="1" min="6" max="6"/>
    <col width="46" customWidth="1" min="7" max="7"/>
    <col width="54" customWidth="1" min="8" max="8"/>
    <col width="20" customWidth="1" min="9" max="9"/>
    <col width="20" customWidth="1" min="10" max="10"/>
  </cols>
  <sheetData>
    <row r="1" ht="28" customHeight="1">
      <c r="A1" s="1" t="inlineStr">
        <is>
          <t>Temperatura y Vitrina</t>
        </is>
      </c>
    </row>
    <row r="2">
      <c r="A2" t="inlineStr">
        <is>
          <t>AI Chef Pro · aichef.pro — Cómo Montar una Chocolatería</t>
        </is>
      </c>
    </row>
    <row r="3" ht="26" customHeight="1">
      <c r="A3" s="2" t="inlineStr">
        <is>
          <t>Las cinco temperaturas del kit, el rango de trabajo de TU vitrina y la que declaras para cada referencia. El semáforo sólo se enciende por encima de 20 °C.</t>
        </is>
      </c>
    </row>
    <row r="4"/>
    <row r="5">
      <c r="A5" s="3" t="inlineStr">
        <is>
          <t>Las Cinco Temperaturas del Kit</t>
        </is>
      </c>
    </row>
    <row r="6" ht="24" customHeight="1">
      <c r="A6" s="7" t="inlineStr">
        <is>
          <t>Zona</t>
        </is>
      </c>
      <c r="C6" s="7" t="inlineStr">
        <is>
          <t>Temperatura objetivo</t>
        </is>
      </c>
      <c r="D6" s="7" t="inlineStr">
        <is>
          <t>Humedad</t>
        </is>
      </c>
      <c r="E6" s="7" t="inlineStr">
        <is>
          <t>De dónde sale</t>
        </is>
      </c>
      <c r="F6" s="7" t="inlineStr">
        <is>
          <t>Literal del kit</t>
        </is>
      </c>
    </row>
    <row r="7" ht="28" customHeight="1">
      <c r="A7" s="6" t="inlineStr">
        <is>
          <t>Obrador de templado y moldeado</t>
        </is>
      </c>
      <c r="C7" t="inlineStr">
        <is>
          <t>18 a 20 °C</t>
        </is>
      </c>
      <c r="D7" t="inlineStr">
        <is>
          <t>50 a 60 %</t>
        </is>
      </c>
      <c r="E7" s="6" t="inlineStr">
        <is>
          <t>kit-tareas-chocolateria/08-apertura-cierre-negocio.xlsx, hoja «Apertura del Negocio»</t>
        </is>
      </c>
      <c r="F7" s="5" t="inlineStr">
        <is>
          <t>Verificar la temperatura y la humedad del obrador: objetivo 18-20 °C y 50-60 %</t>
        </is>
      </c>
    </row>
    <row r="8" ht="28" customHeight="1">
      <c r="A8" s="6" t="inlineStr">
        <is>
          <t>Cámara de conservación de chocolate</t>
        </is>
      </c>
      <c r="C8" t="inlineStr">
        <is>
          <t>15 a 18 °C</t>
        </is>
      </c>
      <c r="D8" t="inlineStr">
        <is>
          <t>50 a 60 %</t>
        </is>
      </c>
      <c r="E8" s="6" t="inlineStr">
        <is>
          <t>kit-tareas-chocolateria/01-apertura-cierre.xlsx, hoja «Apertura»</t>
        </is>
      </c>
      <c r="F8" s="5" t="inlineStr">
        <is>
          <t>Comprobar que la cámara de conservación ha funcionado toda la noche (sin cortes ni alarmas) y registrar la temperatura: objetivo 15-18 °C y 50-60 % de humedad</t>
        </is>
      </c>
    </row>
    <row r="9" ht="28" customHeight="1">
      <c r="A9" s="6" t="inlineStr">
        <is>
          <t>Nevera de rellenos y ganaches</t>
        </is>
      </c>
      <c r="C9" t="inlineStr">
        <is>
          <t>0 a 4 °C</t>
        </is>
      </c>
      <c r="D9" t="inlineStr">
        <is>
          <t>no la fija</t>
        </is>
      </c>
      <c r="E9" s="6" t="inlineStr">
        <is>
          <t>kit-tareas-chocolateria/01-apertura-cierre.xlsx, hoja «Apertura»</t>
        </is>
      </c>
      <c r="F9" s="5" t="inlineStr">
        <is>
          <t>Comprobar que la nevera de rellenos y ganaches ha funcionado toda la noche y registrar la temperatura: objetivo 0-4 °C</t>
        </is>
      </c>
    </row>
    <row r="10" ht="28" customHeight="1">
      <c r="A10" s="6" t="inlineStr">
        <is>
          <t>Sala de tienda</t>
        </is>
      </c>
      <c r="C10" t="inlineStr">
        <is>
          <t>20 a 22 °C</t>
        </is>
      </c>
      <c r="D10" t="inlineStr">
        <is>
          <t>no la fija</t>
        </is>
      </c>
      <c r="E10" s="6" t="inlineStr">
        <is>
          <t>kit-tareas-chocolateria/01-apertura-cierre.xlsx, hoja «Apertura»</t>
        </is>
      </c>
      <c r="F10" s="5" t="inlineStr">
        <is>
          <t>Encender aire acondicionado - mantener sala 20-22 °C</t>
        </is>
      </c>
    </row>
    <row r="11" ht="28" customHeight="1">
      <c r="A11" s="6" t="inlineStr">
        <is>
          <t>Vitrina de bombonería</t>
        </is>
      </c>
      <c r="C11" t="inlineStr">
        <is>
          <t>16 a 18 °C</t>
        </is>
      </c>
      <c r="D11" t="inlineStr">
        <is>
          <t>menos del 55 %</t>
        </is>
      </c>
      <c r="E11" s="6" t="inlineStr">
        <is>
          <t>kit-tareas-chocolateria/08-apertura-cierre-negocio.xlsx, hoja «Apertura del Negocio»</t>
        </is>
      </c>
      <c r="F11" s="5" t="inlineStr">
        <is>
          <t>Comprobar que las vitrinas temperadas han alcanzado 16-18 °C y menos del 55 % de humedad antes de montar el genero</t>
        </is>
      </c>
    </row>
    <row r="12" ht="30" customHeight="1">
      <c r="A12" s="2" t="inlineStr">
        <is>
          <t>Confundir la temperatura de la SALA con la de la CÁMARA es uno de los errores que más caro salen: son dos cosas distintas y conviven en el mismo local. Y la nevera de 0-4 °C es la del RELLENO, no la del bombón acabado: el chocolate terminado no va a esa temperatura, condensa.</t>
        </is>
      </c>
    </row>
    <row r="13">
      <c r="A13" s="3" t="inlineStr">
        <is>
          <t>Tu Vitrina</t>
        </is>
      </c>
    </row>
    <row r="14" ht="24" customHeight="1">
      <c r="A14" s="7" t="inlineStr">
        <is>
          <t>Dato</t>
        </is>
      </c>
      <c r="D14" s="7" t="inlineStr">
        <is>
          <t>Valor</t>
        </is>
      </c>
      <c r="E14" s="7" t="inlineStr">
        <is>
          <t>Unidad</t>
        </is>
      </c>
      <c r="F14" s="7" t="inlineStr">
        <is>
          <t>Qué dice el libro</t>
        </is>
      </c>
    </row>
    <row r="15">
      <c r="A15" s="6" t="inlineStr">
        <is>
          <t>Temperatura mínima de trabajo de tu vitrina</t>
        </is>
      </c>
      <c r="D15" s="9" t="n">
        <v>16</v>
      </c>
      <c r="E15" t="inlineStr">
        <is>
          <t>grados C</t>
        </is>
      </c>
      <c r="F15" t="str">
        <f>IF(AND(ISNUMBER($D15),ISNUMBER($D16)),IF($D15&gt;$D16,"Revisa: el mínimo está por encima del máximo","Rango correcto"),"")</f>
        <v>Rango correcto</v>
      </c>
      <c r="H15" s="2" t="inlineStr">
        <is>
          <t>El objetivo operativo del kit para la vitrina es 16-18 grados C con menos del 55 % de humedad, y es lo que viene puesto. El RANGO DE TRABAJO del equipo es otra cosa: una vitrina de bombonería real trabaja, por ejemplo, entre +14 y +17 °C. Pon el de la tuya, que viene en su ficha técnica. El semáforo no se enciende por estar en 16-18: sólo por pasar de 20.</t>
        </is>
      </c>
    </row>
    <row r="16">
      <c r="A16" s="6" t="inlineStr">
        <is>
          <t>Temperatura máxima de trabajo de tu vitrina</t>
        </is>
      </c>
      <c r="D16" s="9" t="n">
        <v>18</v>
      </c>
      <c r="E16" t="inlineStr">
        <is>
          <t>grados C</t>
        </is>
      </c>
      <c r="F16" t="str">
        <f>IF(AND(ISNUMBER($D16),ISNUMBER($D18)),IF($D16&gt;$D18,"Por encima de la alarma: a esa temperatura la manteca de cacao empieza a fundir y el género se pierde","Dentro de lo que aguanta el chocolate"),"")</f>
        <v>Dentro de lo que aguanta el chocolate</v>
      </c>
    </row>
    <row r="17">
      <c r="A17" s="6" t="inlineStr">
        <is>
          <t>Humedad de trabajo de tu vitrina</t>
        </is>
      </c>
      <c r="D17" s="9" t="n">
        <v>50</v>
      </c>
      <c r="E17" t="inlineStr">
        <is>
          <t>% de HR</t>
        </is>
      </c>
      <c r="F17" t="str">
        <f>IF(AND(ISNUMBER($D17),ISNUMBER('Parámetros'!$B$13)),IF($D17&gt;'Parámetros'!$B$13,"Por encima del objetivo del kit: el bombón coge humedad y sale velo de azúcar","Dentro del objetivo del kit"),"")</f>
        <v>Dentro del objetivo del kit</v>
      </c>
    </row>
    <row r="18">
      <c r="A18" s="6" t="inlineStr">
        <is>
          <t>Temperatura a la que salta la alarma</t>
        </is>
      </c>
      <c r="D18" s="19">
        <f>'Parámetros'!$B$12</f>
        <v>20.0</v>
      </c>
      <c r="E18" t="inlineStr">
        <is>
          <t>grados C</t>
        </is>
      </c>
    </row>
    <row r="19"/>
    <row r="20">
      <c r="A20" s="3" t="inlineStr">
        <is>
          <t>Temperatura Declarada de Cada Referencia</t>
        </is>
      </c>
    </row>
    <row r="21" ht="52" customHeight="1">
      <c r="A21" s="7" t="inlineStr">
        <is>
          <t>Id</t>
        </is>
      </c>
      <c r="B21" s="7" t="inlineStr">
        <is>
          <t>Referencia</t>
        </is>
      </c>
      <c r="C21" s="7" t="inlineStr">
        <is>
          <t>¿Cómo la despachas?</t>
        </is>
      </c>
      <c r="D21" s="7" t="inlineStr">
        <is>
          <t>Temperatura que TÚ declaras</t>
        </is>
      </c>
      <c r="E21" s="7" t="inlineStr">
        <is>
          <t>Dónde va</t>
        </is>
      </c>
      <c r="F21" s="7" t="inlineStr">
        <is>
          <t>¿La mantiene tu vitrina?</t>
        </is>
      </c>
      <c r="G21" s="7" t="inlineStr">
        <is>
          <t>Aviso</t>
        </is>
      </c>
      <c r="H21" s="7" t="inlineStr">
        <is>
          <t>Qué tiene que constar</t>
        </is>
      </c>
      <c r="I21" s="7" t="inlineStr">
        <is>
          <t>aw</t>
        </is>
      </c>
      <c r="J21" s="7" t="inlineStr">
        <is>
          <t>Vida útil (días)</t>
        </is>
      </c>
    </row>
    <row r="22" ht="28" customHeight="1">
      <c r="A22" t="inlineStr">
        <is>
          <t>BC1</t>
        </is>
      </c>
      <c r="B22" s="6" t="inlineStr">
        <is>
          <t>Bombón de ganache de chocolate negro 70 %</t>
        </is>
      </c>
      <c r="C22" t="str">
        <f>'Etiquetado o Granel'!C16</f>
        <v>a granel</v>
      </c>
      <c r="D22" s="9" t="n">
        <v>4</v>
      </c>
      <c r="E22" t="str">
        <f>IF(ISNUMBER($D22),IF($D22&lt;$D$15,"Nevera de rellenos, no vitrina","Vitrina temperada"),"")</f>
        <v>Nevera de rellenos, no vitrina</v>
      </c>
      <c r="F22" t="str">
        <f>IF(AND(ISNUMBER($D22),ISNUMBER($D$15),ISNUMBER($D$16)),IF(AND($D22&gt;=$D$15,$D22&lt;=$D$16),"Sí, está dentro del rango de tu vitrina","No con esta vitrina: o cambias la temperatura declarada o necesitas otro mueble"),"")</f>
        <v>No con esta vitrina: o cambias la temperatura declarada o necesitas otro mueble</v>
      </c>
      <c r="G22">
        <f>IF(ISNUMBER($D22),IF($D22&gt;'Parámetros'!$B$12,"Por encima de la alarma: a esa temperatura la manteca de cacao funde",""),"")</f>
        <v/>
      </c>
      <c r="H22" t="str">
        <f>IF($C22='Etiquetado o Granel'!A$7,"En la etiqueta, y esa temperatura te obliga a ti","En tu plan de APPCC, con el registro diario que lo demuestre")</f>
        <v>En tu plan de APPCC, con el registro diario que lo demuestre</v>
      </c>
      <c r="I22" s="20">
        <f>'Tipo de Relleno y aw'!E16</f>
        <v>0.88</v>
      </c>
      <c r="J22" s="10">
        <f>'Vida Útil Declarada'!G16</f>
        <v>10.0</v>
      </c>
    </row>
    <row r="23" ht="28" customHeight="1">
      <c r="A23" t="inlineStr">
        <is>
          <t>BC2</t>
        </is>
      </c>
      <c r="B23" s="6" t="inlineStr">
        <is>
          <t>Bombón de ganache de leche y vainilla</t>
        </is>
      </c>
      <c r="C23" t="str">
        <f>'Etiquetado o Granel'!C17</f>
        <v>a granel</v>
      </c>
      <c r="D23" s="9" t="n">
        <v>18</v>
      </c>
      <c r="E23" t="str">
        <f>IF(ISNUMBER($D23),IF($D23&lt;$D$15,"Nevera de rellenos, no vitrina","Vitrina temperada"),"")</f>
        <v>Vitrina temperada</v>
      </c>
      <c r="F23" t="str">
        <f>IF(AND(ISNUMBER($D23),ISNUMBER($D$15),ISNUMBER($D$16)),IF(AND($D23&gt;=$D$15,$D23&lt;=$D$16),"Sí, está dentro del rango de tu vitrina","No con esta vitrina: o cambias la temperatura declarada o necesitas otro mueble"),"")</f>
        <v>Sí, está dentro del rango de tu vitrina</v>
      </c>
      <c r="G23">
        <f>IF(ISNUMBER($D23),IF($D23&gt;'Parámetros'!$B$12,"Por encima de la alarma: a esa temperatura la manteca de cacao funde",""),"")</f>
        <v/>
      </c>
      <c r="H23" t="str">
        <f>IF($C23='Etiquetado o Granel'!A$7,"En la etiqueta, y esa temperatura te obliga a ti","En tu plan de APPCC, con el registro diario que lo demuestre")</f>
        <v>En tu plan de APPCC, con el registro diario que lo demuestre</v>
      </c>
      <c r="I23" s="20">
        <f>'Tipo de Relleno y aw'!E17</f>
        <v>0.82</v>
      </c>
      <c r="J23" s="10">
        <f>'Vida Útil Declarada'!G17</f>
        <v>28.0</v>
      </c>
    </row>
    <row r="24" ht="28" customHeight="1">
      <c r="A24" t="inlineStr">
        <is>
          <t>BC3</t>
        </is>
      </c>
      <c r="B24" s="6" t="inlineStr">
        <is>
          <t>Bombón de praline de avellana</t>
        </is>
      </c>
      <c r="C24" t="str">
        <f>'Etiquetado o Granel'!C18</f>
        <v>a granel</v>
      </c>
      <c r="D24" s="9" t="n">
        <v>18</v>
      </c>
      <c r="E24" t="str">
        <f>IF(ISNUMBER($D24),IF($D24&lt;$D$15,"Nevera de rellenos, no vitrina","Vitrina temperada"),"")</f>
        <v>Vitrina temperada</v>
      </c>
      <c r="F24" t="str">
        <f>IF(AND(ISNUMBER($D24),ISNUMBER($D$15),ISNUMBER($D$16)),IF(AND($D24&gt;=$D$15,$D24&lt;=$D$16),"Sí, está dentro del rango de tu vitrina","No con esta vitrina: o cambias la temperatura declarada o necesitas otro mueble"),"")</f>
        <v>Sí, está dentro del rango de tu vitrina</v>
      </c>
      <c r="G24">
        <f>IF(ISNUMBER($D24),IF($D24&gt;'Parámetros'!$B$12,"Por encima de la alarma: a esa temperatura la manteca de cacao funde",""),"")</f>
        <v/>
      </c>
      <c r="H24" t="str">
        <f>IF($C24='Etiquetado o Granel'!A$7,"En la etiqueta, y esa temperatura te obliga a ti","En tu plan de APPCC, con el registro diario que lo demuestre")</f>
        <v>En tu plan de APPCC, con el registro diario que lo demuestre</v>
      </c>
      <c r="I24" s="20">
        <f>'Tipo de Relleno y aw'!E18</f>
        <v>0.42</v>
      </c>
      <c r="J24" s="10">
        <f>'Vida Útil Declarada'!G18</f>
        <v>60.0</v>
      </c>
    </row>
    <row r="25" ht="28" customHeight="1">
      <c r="A25" t="inlineStr">
        <is>
          <t>BC4</t>
        </is>
      </c>
      <c r="B25" s="6" t="inlineStr">
        <is>
          <t>Bombón de gianduja de avellana</t>
        </is>
      </c>
      <c r="C25" t="str">
        <f>'Etiquetado o Granel'!C19</f>
        <v>a granel</v>
      </c>
      <c r="D25" s="9" t="n">
        <v>18</v>
      </c>
      <c r="E25" t="str">
        <f>IF(ISNUMBER($D25),IF($D25&lt;$D$15,"Nevera de rellenos, no vitrina","Vitrina temperada"),"")</f>
        <v>Vitrina temperada</v>
      </c>
      <c r="F25" t="str">
        <f>IF(AND(ISNUMBER($D25),ISNUMBER($D$15),ISNUMBER($D$16)),IF(AND($D25&gt;=$D$15,$D25&lt;=$D$16),"Sí, está dentro del rango de tu vitrina","No con esta vitrina: o cambias la temperatura declarada o necesitas otro mueble"),"")</f>
        <v>Sí, está dentro del rango de tu vitrina</v>
      </c>
      <c r="G25">
        <f>IF(ISNUMBER($D25),IF($D25&gt;'Parámetros'!$B$12,"Por encima de la alarma: a esa temperatura la manteca de cacao funde",""),"")</f>
        <v/>
      </c>
      <c r="H25" t="str">
        <f>IF($C25='Etiquetado o Granel'!A$7,"En la etiqueta, y esa temperatura te obliga a ti","En tu plan de APPCC, con el registro diario que lo demuestre")</f>
        <v>En tu plan de APPCC, con el registro diario que lo demuestre</v>
      </c>
      <c r="I25" s="20">
        <f>'Tipo de Relleno y aw'!E19</f>
        <v>0.38</v>
      </c>
      <c r="J25" s="10">
        <f>'Vida Útil Declarada'!G19</f>
        <v>60.0</v>
      </c>
    </row>
    <row r="26" ht="28" customHeight="1">
      <c r="A26" t="inlineStr">
        <is>
          <t>BC5</t>
        </is>
      </c>
      <c r="B26" s="6" t="inlineStr">
        <is>
          <t>Trufa de chocolate negro al cacao</t>
        </is>
      </c>
      <c r="C26" t="str">
        <f>'Etiquetado o Granel'!C20</f>
        <v>a granel</v>
      </c>
      <c r="D26" s="9" t="n">
        <v>18</v>
      </c>
      <c r="E26" t="str">
        <f>IF(ISNUMBER($D26),IF($D26&lt;$D$15,"Nevera de rellenos, no vitrina","Vitrina temperada"),"")</f>
        <v>Vitrina temperada</v>
      </c>
      <c r="F26" t="str">
        <f>IF(AND(ISNUMBER($D26),ISNUMBER($D$15),ISNUMBER($D$16)),IF(AND($D26&gt;=$D$15,$D26&lt;=$D$16),"Sí, está dentro del rango de tu vitrina","No con esta vitrina: o cambias la temperatura declarada o necesitas otro mueble"),"")</f>
        <v>Sí, está dentro del rango de tu vitrina</v>
      </c>
      <c r="G26">
        <f>IF(ISNUMBER($D26),IF($D26&gt;'Parámetros'!$B$12,"Por encima de la alarma: a esa temperatura la manteca de cacao funde",""),"")</f>
        <v/>
      </c>
      <c r="H26" t="str">
        <f>IF($C26='Etiquetado o Granel'!A$7,"En la etiqueta, y esa temperatura te obliga a ti","En tu plan de APPCC, con el registro diario que lo demuestre")</f>
        <v>En tu plan de APPCC, con el registro diario que lo demuestre</v>
      </c>
      <c r="I26" s="20">
        <f>'Tipo de Relleno y aw'!E20</f>
        <v>0.8</v>
      </c>
      <c r="J26" s="10">
        <f>'Vida Útil Declarada'!G20</f>
        <v>21.0</v>
      </c>
    </row>
    <row r="27" ht="28" customHeight="1">
      <c r="A27" t="inlineStr">
        <is>
          <t>BC6</t>
        </is>
      </c>
      <c r="B27" s="6" t="inlineStr">
        <is>
          <t>Bombón de licor de ron</t>
        </is>
      </c>
      <c r="C27" t="str">
        <f>'Etiquetado o Granel'!C21</f>
        <v>a granel</v>
      </c>
      <c r="D27" s="9" t="n">
        <v>18</v>
      </c>
      <c r="E27" t="str">
        <f>IF(ISNUMBER($D27),IF($D27&lt;$D$15,"Nevera de rellenos, no vitrina","Vitrina temperada"),"")</f>
        <v>Vitrina temperada</v>
      </c>
      <c r="F27" t="str">
        <f>IF(AND(ISNUMBER($D27),ISNUMBER($D$15),ISNUMBER($D$16)),IF(AND($D27&gt;=$D$15,$D27&lt;=$D$16),"Sí, está dentro del rango de tu vitrina","No con esta vitrina: o cambias la temperatura declarada o necesitas otro mueble"),"")</f>
        <v>Sí, está dentro del rango de tu vitrina</v>
      </c>
      <c r="G27">
        <f>IF(ISNUMBER($D27),IF($D27&gt;'Parámetros'!$B$12,"Por encima de la alarma: a esa temperatura la manteca de cacao funde",""),"")</f>
        <v/>
      </c>
      <c r="H27" t="str">
        <f>IF($C27='Etiquetado o Granel'!A$7,"En la etiqueta, y esa temperatura te obliga a ti","En tu plan de APPCC, con el registro diario que lo demuestre")</f>
        <v>En tu plan de APPCC, con el registro diario que lo demuestre</v>
      </c>
      <c r="I27" s="20">
        <f>'Tipo de Relleno y aw'!E21</f>
        <v>0.72</v>
      </c>
      <c r="J27" s="10">
        <f>'Vida Útil Declarada'!G21</f>
        <v>90.0</v>
      </c>
    </row>
    <row r="28" ht="28" customHeight="1">
      <c r="A28" t="inlineStr">
        <is>
          <t>BC7</t>
        </is>
      </c>
      <c r="B28" s="6" t="inlineStr">
        <is>
          <t>Bombón de caramelo salado</t>
        </is>
      </c>
      <c r="C28" t="str">
        <f>'Etiquetado o Granel'!C22</f>
        <v>a granel</v>
      </c>
      <c r="D28" s="9" t="n">
        <v>18</v>
      </c>
      <c r="E28" t="str">
        <f>IF(ISNUMBER($D28),IF($D28&lt;$D$15,"Nevera de rellenos, no vitrina","Vitrina temperada"),"")</f>
        <v>Vitrina temperada</v>
      </c>
      <c r="F28" t="str">
        <f>IF(AND(ISNUMBER($D28),ISNUMBER($D$15),ISNUMBER($D$16)),IF(AND($D28&gt;=$D$15,$D28&lt;=$D$16),"Sí, está dentro del rango de tu vitrina","No con esta vitrina: o cambias la temperatura declarada o necesitas otro mueble"),"")</f>
        <v>Sí, está dentro del rango de tu vitrina</v>
      </c>
      <c r="G28">
        <f>IF(ISNUMBER($D28),IF($D28&gt;'Parámetros'!$B$12,"Por encima de la alarma: a esa temperatura la manteca de cacao funde",""),"")</f>
        <v/>
      </c>
      <c r="H28" t="str">
        <f>IF($C28='Etiquetado o Granel'!A$7,"En la etiqueta, y esa temperatura te obliga a ti","En tu plan de APPCC, con el registro diario que lo demuestre")</f>
        <v>En tu plan de APPCC, con el registro diario que lo demuestre</v>
      </c>
      <c r="I28" s="20">
        <f>'Tipo de Relleno y aw'!E22</f>
        <v>0.68</v>
      </c>
      <c r="J28" s="10">
        <f>'Vida Útil Declarada'!G22</f>
        <v>28.0</v>
      </c>
    </row>
    <row r="29" ht="28" customHeight="1">
      <c r="A29" t="inlineStr">
        <is>
          <t>BC8</t>
        </is>
      </c>
      <c r="B29" s="6" t="inlineStr">
        <is>
          <t>Bombón de praline de cacahuete</t>
        </is>
      </c>
      <c r="C29" t="str">
        <f>'Etiquetado o Granel'!C23</f>
        <v>a granel</v>
      </c>
      <c r="D29" s="9" t="n">
        <v>18</v>
      </c>
      <c r="E29" t="str">
        <f>IF(ISNUMBER($D29),IF($D29&lt;$D$15,"Nevera de rellenos, no vitrina","Vitrina temperada"),"")</f>
        <v>Vitrina temperada</v>
      </c>
      <c r="F29" t="str">
        <f>IF(AND(ISNUMBER($D29),ISNUMBER($D$15),ISNUMBER($D$16)),IF(AND($D29&gt;=$D$15,$D29&lt;=$D$16),"Sí, está dentro del rango de tu vitrina","No con esta vitrina: o cambias la temperatura declarada o necesitas otro mueble"),"")</f>
        <v>Sí, está dentro del rango de tu vitrina</v>
      </c>
      <c r="G29">
        <f>IF(ISNUMBER($D29),IF($D29&gt;'Parámetros'!$B$12,"Por encima de la alarma: a esa temperatura la manteca de cacao funde",""),"")</f>
        <v/>
      </c>
      <c r="H29" t="str">
        <f>IF($C29='Etiquetado o Granel'!A$7,"En la etiqueta, y esa temperatura te obliga a ti","En tu plan de APPCC, con el registro diario que lo demuestre")</f>
        <v>En tu plan de APPCC, con el registro diario que lo demuestre</v>
      </c>
      <c r="I29" s="20">
        <f>'Tipo de Relleno y aw'!E23</f>
        <v>0.4</v>
      </c>
      <c r="J29" s="10">
        <f>'Vida Útil Declarada'!G23</f>
        <v>60.0</v>
      </c>
    </row>
    <row r="30" ht="28" customHeight="1">
      <c r="A30" t="inlineStr">
        <is>
          <t>BC9</t>
        </is>
      </c>
      <c r="B30" s="6" t="inlineStr">
        <is>
          <t>Bombón crujiente de sesamo y barquillo</t>
        </is>
      </c>
      <c r="C30" t="str">
        <f>'Etiquetado o Granel'!C24</f>
        <v>a granel</v>
      </c>
      <c r="D30" s="9" t="n">
        <v>18</v>
      </c>
      <c r="E30" t="str">
        <f>IF(ISNUMBER($D30),IF($D30&lt;$D$15,"Nevera de rellenos, no vitrina","Vitrina temperada"),"")</f>
        <v>Vitrina temperada</v>
      </c>
      <c r="F30" t="str">
        <f>IF(AND(ISNUMBER($D30),ISNUMBER($D$15),ISNUMBER($D$16)),IF(AND($D30&gt;=$D$15,$D30&lt;=$D$16),"Sí, está dentro del rango de tu vitrina","No con esta vitrina: o cambias la temperatura declarada o necesitas otro mueble"),"")</f>
        <v>Sí, está dentro del rango de tu vitrina</v>
      </c>
      <c r="G30">
        <f>IF(ISNUMBER($D30),IF($D30&gt;'Parámetros'!$B$12,"Por encima de la alarma: a esa temperatura la manteca de cacao funde",""),"")</f>
        <v/>
      </c>
      <c r="H30" t="str">
        <f>IF($C30='Etiquetado o Granel'!A$7,"En la etiqueta, y esa temperatura te obliga a ti","En tu plan de APPCC, con el registro diario que lo demuestre")</f>
        <v>En tu plan de APPCC, con el registro diario que lo demuestre</v>
      </c>
      <c r="I30" s="20">
        <f>'Tipo de Relleno y aw'!E24</f>
        <v>0.28</v>
      </c>
      <c r="J30" s="10">
        <f>'Vida Útil Declarada'!G24</f>
        <v>21.0</v>
      </c>
    </row>
    <row r="31" ht="28" customHeight="1">
      <c r="A31" t="inlineStr">
        <is>
          <t>BC10</t>
        </is>
      </c>
      <c r="B31" s="6" t="inlineStr">
        <is>
          <t>Bombón de naranja confitada y chocolate negro</t>
        </is>
      </c>
      <c r="C31" t="str">
        <f>'Etiquetado o Granel'!C25</f>
        <v>a granel</v>
      </c>
      <c r="D31" s="9" t="n">
        <v>18</v>
      </c>
      <c r="E31" t="str">
        <f>IF(ISNUMBER($D31),IF($D31&lt;$D$15,"Nevera de rellenos, no vitrina","Vitrina temperada"),"")</f>
        <v>Vitrina temperada</v>
      </c>
      <c r="F31" t="str">
        <f>IF(AND(ISNUMBER($D31),ISNUMBER($D$15),ISNUMBER($D$16)),IF(AND($D31&gt;=$D$15,$D31&lt;=$D$16),"Sí, está dentro del rango de tu vitrina","No con esta vitrina: o cambias la temperatura declarada o necesitas otro mueble"),"")</f>
        <v>Sí, está dentro del rango de tu vitrina</v>
      </c>
      <c r="G31">
        <f>IF(ISNUMBER($D31),IF($D31&gt;'Parámetros'!$B$12,"Por encima de la alarma: a esa temperatura la manteca de cacao funde",""),"")</f>
        <v/>
      </c>
      <c r="H31" t="str">
        <f>IF($C31='Etiquetado o Granel'!A$7,"En la etiqueta, y esa temperatura te obliga a ti","En tu plan de APPCC, con el registro diario que lo demuestre")</f>
        <v>En tu plan de APPCC, con el registro diario que lo demuestre</v>
      </c>
      <c r="I31" s="20">
        <f>'Tipo de Relleno y aw'!E25</f>
        <v>0.65</v>
      </c>
      <c r="J31" s="10">
        <f>'Vida Útil Declarada'!G25</f>
        <v>30.0</v>
      </c>
    </row>
    <row r="32" ht="28" customHeight="1">
      <c r="A32" t="inlineStr">
        <is>
          <t>TB1</t>
        </is>
      </c>
      <c r="B32" s="6" t="inlineStr">
        <is>
          <t>Tableta de chocolate negro de origen 70 %, 100 g</t>
        </is>
      </c>
      <c r="C32" t="str">
        <f>'Etiquetado o Granel'!C26</f>
        <v>envasado con etiqueta</v>
      </c>
      <c r="D32" s="9" t="n">
        <v>18</v>
      </c>
      <c r="E32" t="str">
        <f>IF(ISNUMBER($D32),IF($D32&lt;$D$15,"Nevera de rellenos, no vitrina","Vitrina temperada"),"")</f>
        <v>Vitrina temperada</v>
      </c>
      <c r="F32" t="str">
        <f>IF(AND(ISNUMBER($D32),ISNUMBER($D$15),ISNUMBER($D$16)),IF(AND($D32&gt;=$D$15,$D32&lt;=$D$16),"Sí, está dentro del rango de tu vitrina","No con esta vitrina: o cambias la temperatura declarada o necesitas otro mueble"),"")</f>
        <v>Sí, está dentro del rango de tu vitrina</v>
      </c>
      <c r="G32">
        <f>IF(ISNUMBER($D32),IF($D32&gt;'Parámetros'!$B$12,"Por encima de la alarma: a esa temperatura la manteca de cacao funde",""),"")</f>
        <v/>
      </c>
      <c r="H32" t="str">
        <f>IF($C32='Etiquetado o Granel'!A$7,"En la etiqueta, y esa temperatura te obliga a ti","En tu plan de APPCC, con el registro diario que lo demuestre")</f>
        <v>En la etiqueta, y esa temperatura te obliga a ti</v>
      </c>
      <c r="I32" s="20">
        <f>'Tipo de Relleno y aw'!E26</f>
        <v>0.4</v>
      </c>
      <c r="J32" s="10">
        <f>'Vida Útil Declarada'!G26</f>
        <v>360.0</v>
      </c>
    </row>
    <row r="33" ht="28" customHeight="1">
      <c r="A33" t="inlineStr">
        <is>
          <t>TB2</t>
        </is>
      </c>
      <c r="B33" s="6" t="inlineStr">
        <is>
          <t>Tableta de chocolate con leche 38 %, 100 g</t>
        </is>
      </c>
      <c r="C33" t="str">
        <f>'Etiquetado o Granel'!C27</f>
        <v>envasado con etiqueta</v>
      </c>
      <c r="D33" s="9" t="n">
        <v>18</v>
      </c>
      <c r="E33" t="str">
        <f>IF(ISNUMBER($D33),IF($D33&lt;$D$15,"Nevera de rellenos, no vitrina","Vitrina temperada"),"")</f>
        <v>Vitrina temperada</v>
      </c>
      <c r="F33" t="str">
        <f>IF(AND(ISNUMBER($D33),ISNUMBER($D$15),ISNUMBER($D$16)),IF(AND($D33&gt;=$D$15,$D33&lt;=$D$16),"Sí, está dentro del rango de tu vitrina","No con esta vitrina: o cambias la temperatura declarada o necesitas otro mueble"),"")</f>
        <v>Sí, está dentro del rango de tu vitrina</v>
      </c>
      <c r="G33">
        <f>IF(ISNUMBER($D33),IF($D33&gt;'Parámetros'!$B$12,"Por encima de la alarma: a esa temperatura la manteca de cacao funde",""),"")</f>
        <v/>
      </c>
      <c r="H33" t="str">
        <f>IF($C33='Etiquetado o Granel'!A$7,"En la etiqueta, y esa temperatura te obliga a ti","En tu plan de APPCC, con el registro diario que lo demuestre")</f>
        <v>En la etiqueta, y esa temperatura te obliga a ti</v>
      </c>
      <c r="I33" s="20">
        <f>'Tipo de Relleno y aw'!E27</f>
        <v>0.4</v>
      </c>
      <c r="J33" s="10">
        <f>'Vida Útil Declarada'!G27</f>
        <v>360.0</v>
      </c>
    </row>
    <row r="34" ht="28" customHeight="1">
      <c r="A34" t="inlineStr">
        <is>
          <t>TB3</t>
        </is>
      </c>
      <c r="B34" s="6" t="inlineStr">
        <is>
          <t>Tableta de chocolate blanco 30 %, 100 g</t>
        </is>
      </c>
      <c r="C34" t="str">
        <f>'Etiquetado o Granel'!C28</f>
        <v>envasado con etiqueta</v>
      </c>
      <c r="D34" s="9" t="n">
        <v>18</v>
      </c>
      <c r="E34" t="str">
        <f>IF(ISNUMBER($D34),IF($D34&lt;$D$15,"Nevera de rellenos, no vitrina","Vitrina temperada"),"")</f>
        <v>Vitrina temperada</v>
      </c>
      <c r="F34" t="str">
        <f>IF(AND(ISNUMBER($D34),ISNUMBER($D$15),ISNUMBER($D$16)),IF(AND($D34&gt;=$D$15,$D34&lt;=$D$16),"Sí, está dentro del rango de tu vitrina","No con esta vitrina: o cambias la temperatura declarada o necesitas otro mueble"),"")</f>
        <v>Sí, está dentro del rango de tu vitrina</v>
      </c>
      <c r="G34">
        <f>IF(ISNUMBER($D34),IF($D34&gt;'Parámetros'!$B$12,"Por encima de la alarma: a esa temperatura la manteca de cacao funde",""),"")</f>
        <v/>
      </c>
      <c r="H34" t="str">
        <f>IF($C34='Etiquetado o Granel'!A$7,"En la etiqueta, y esa temperatura te obliga a ti","En tu plan de APPCC, con el registro diario que lo demuestre")</f>
        <v>En la etiqueta, y esa temperatura te obliga a ti</v>
      </c>
      <c r="I34" s="20">
        <f>'Tipo de Relleno y aw'!E28</f>
        <v>0.4</v>
      </c>
      <c r="J34" s="10">
        <f>'Vida Útil Declarada'!G28</f>
        <v>360.0</v>
      </c>
    </row>
    <row r="35" ht="28" customHeight="1">
      <c r="A35" t="inlineStr">
        <is>
          <t>TB4</t>
        </is>
      </c>
      <c r="B35" s="6" t="inlineStr">
        <is>
          <t>Tableta de chocolate negro con almendra marcona, 100 g</t>
        </is>
      </c>
      <c r="C35" t="str">
        <f>'Etiquetado o Granel'!C29</f>
        <v>envasado con etiqueta</v>
      </c>
      <c r="D35" s="9" t="n">
        <v>18</v>
      </c>
      <c r="E35" t="str">
        <f>IF(ISNUMBER($D35),IF($D35&lt;$D$15,"Nevera de rellenos, no vitrina","Vitrina temperada"),"")</f>
        <v>Vitrina temperada</v>
      </c>
      <c r="F35" t="str">
        <f>IF(AND(ISNUMBER($D35),ISNUMBER($D$15),ISNUMBER($D$16)),IF(AND($D35&gt;=$D$15,$D35&lt;=$D$16),"Sí, está dentro del rango de tu vitrina","No con esta vitrina: o cambias la temperatura declarada o necesitas otro mueble"),"")</f>
        <v>Sí, está dentro del rango de tu vitrina</v>
      </c>
      <c r="G35">
        <f>IF(ISNUMBER($D35),IF($D35&gt;'Parámetros'!$B$12,"Por encima de la alarma: a esa temperatura la manteca de cacao funde",""),"")</f>
        <v/>
      </c>
      <c r="H35" t="str">
        <f>IF($C35='Etiquetado o Granel'!A$7,"En la etiqueta, y esa temperatura te obliga a ti","En tu plan de APPCC, con el registro diario que lo demuestre")</f>
        <v>En la etiqueta, y esa temperatura te obliga a ti</v>
      </c>
      <c r="I35" s="20">
        <f>'Tipo de Relleno y aw'!E29</f>
        <v>0.4</v>
      </c>
      <c r="J35" s="10">
        <f>'Vida Útil Declarada'!G29</f>
        <v>360.0</v>
      </c>
    </row>
    <row r="36" ht="28" customHeight="1">
      <c r="A36" t="inlineStr">
        <is>
          <t>TB5</t>
        </is>
      </c>
      <c r="B36" s="6" t="inlineStr">
        <is>
          <t>Tableta de chocolate con leche y avellana, 100 g</t>
        </is>
      </c>
      <c r="C36" t="str">
        <f>'Etiquetado o Granel'!C30</f>
        <v>envasado con etiqueta</v>
      </c>
      <c r="D36" s="9" t="n">
        <v>18</v>
      </c>
      <c r="E36" t="str">
        <f>IF(ISNUMBER($D36),IF($D36&lt;$D$15,"Nevera de rellenos, no vitrina","Vitrina temperada"),"")</f>
        <v>Vitrina temperada</v>
      </c>
      <c r="F36" t="str">
        <f>IF(AND(ISNUMBER($D36),ISNUMBER($D$15),ISNUMBER($D$16)),IF(AND($D36&gt;=$D$15,$D36&lt;=$D$16),"Sí, está dentro del rango de tu vitrina","No con esta vitrina: o cambias la temperatura declarada o necesitas otro mueble"),"")</f>
        <v>Sí, está dentro del rango de tu vitrina</v>
      </c>
      <c r="G36">
        <f>IF(ISNUMBER($D36),IF($D36&gt;'Parámetros'!$B$12,"Por encima de la alarma: a esa temperatura la manteca de cacao funde",""),"")</f>
        <v/>
      </c>
      <c r="H36" t="str">
        <f>IF($C36='Etiquetado o Granel'!A$7,"En la etiqueta, y esa temperatura te obliga a ti","En tu plan de APPCC, con el registro diario que lo demuestre")</f>
        <v>En la etiqueta, y esa temperatura te obliga a ti</v>
      </c>
      <c r="I36" s="20">
        <f>'Tipo de Relleno y aw'!E30</f>
        <v>0.4</v>
      </c>
      <c r="J36" s="10">
        <f>'Vida Útil Declarada'!G30</f>
        <v>360.0</v>
      </c>
    </row>
    <row r="37" ht="28" customHeight="1">
      <c r="A37" t="inlineStr">
        <is>
          <t>TB6</t>
        </is>
      </c>
      <c r="B37" s="6" t="inlineStr">
        <is>
          <t>Tableta rellena de praline, 100 g</t>
        </is>
      </c>
      <c r="C37" t="str">
        <f>'Etiquetado o Granel'!C31</f>
        <v>envasado con etiqueta</v>
      </c>
      <c r="D37" s="9" t="n">
        <v>18</v>
      </c>
      <c r="E37" t="str">
        <f>IF(ISNUMBER($D37),IF($D37&lt;$D$15,"Nevera de rellenos, no vitrina","Vitrina temperada"),"")</f>
        <v>Vitrina temperada</v>
      </c>
      <c r="F37" t="str">
        <f>IF(AND(ISNUMBER($D37),ISNUMBER($D$15),ISNUMBER($D$16)),IF(AND($D37&gt;=$D$15,$D37&lt;=$D$16),"Sí, está dentro del rango de tu vitrina","No con esta vitrina: o cambias la temperatura declarada o necesitas otro mueble"),"")</f>
        <v>Sí, está dentro del rango de tu vitrina</v>
      </c>
      <c r="G37">
        <f>IF(ISNUMBER($D37),IF($D37&gt;'Parámetros'!$B$12,"Por encima de la alarma: a esa temperatura la manteca de cacao funde",""),"")</f>
        <v/>
      </c>
      <c r="H37" t="str">
        <f>IF($C37='Etiquetado o Granel'!A$7,"En la etiqueta, y esa temperatura te obliga a ti","En tu plan de APPCC, con el registro diario que lo demuestre")</f>
        <v>En la etiqueta, y esa temperatura te obliga a ti</v>
      </c>
      <c r="I37" s="20">
        <f>'Tipo de Relleno y aw'!E31</f>
        <v>0.4</v>
      </c>
      <c r="J37" s="10">
        <f>'Vida Útil Declarada'!G31</f>
        <v>60.0</v>
      </c>
    </row>
    <row r="38" ht="28" customHeight="1">
      <c r="A38" t="inlineStr">
        <is>
          <t>CT1</t>
        </is>
      </c>
      <c r="B38" s="6" t="inlineStr">
        <is>
          <t>Tableta de chocolate a la taza, 200 g</t>
        </is>
      </c>
      <c r="C38" t="str">
        <f>'Etiquetado o Granel'!C32</f>
        <v>envasado con etiqueta</v>
      </c>
      <c r="D38" s="9" t="n">
        <v>18</v>
      </c>
      <c r="E38" t="str">
        <f>IF(ISNUMBER($D38),IF($D38&lt;$D$15,"Nevera de rellenos, no vitrina","Vitrina temperada"),"")</f>
        <v>Vitrina temperada</v>
      </c>
      <c r="F38" t="str">
        <f>IF(AND(ISNUMBER($D38),ISNUMBER($D$15),ISNUMBER($D$16)),IF(AND($D38&gt;=$D$15,$D38&lt;=$D$16),"Sí, está dentro del rango de tu vitrina","No con esta vitrina: o cambias la temperatura declarada o necesitas otro mueble"),"")</f>
        <v>Sí, está dentro del rango de tu vitrina</v>
      </c>
      <c r="G38">
        <f>IF(ISNUMBER($D38),IF($D38&gt;'Parámetros'!$B$12,"Por encima de la alarma: a esa temperatura la manteca de cacao funde",""),"")</f>
        <v/>
      </c>
      <c r="H38" t="str">
        <f>IF($C38='Etiquetado o Granel'!A$7,"En la etiqueta, y esa temperatura te obliga a ti","En tu plan de APPCC, con el registro diario que lo demuestre")</f>
        <v>En la etiqueta, y esa temperatura te obliga a ti</v>
      </c>
      <c r="I38" s="20">
        <f>'Tipo de Relleno y aw'!E32</f>
        <v>0.25</v>
      </c>
      <c r="J38" s="10">
        <f>'Vida Útil Declarada'!G32</f>
        <v>360.0</v>
      </c>
    </row>
    <row r="39" ht="28" customHeight="1">
      <c r="A39" t="inlineStr">
        <is>
          <t>CT2</t>
        </is>
      </c>
      <c r="B39" s="6" t="inlineStr">
        <is>
          <t>Caja de 6 sobres monodosis de chocolate a la taza</t>
        </is>
      </c>
      <c r="C39" t="str">
        <f>'Etiquetado o Granel'!C33</f>
        <v>envasado con etiqueta</v>
      </c>
      <c r="D39" s="9" t="n">
        <v>18</v>
      </c>
      <c r="E39" t="str">
        <f>IF(ISNUMBER($D39),IF($D39&lt;$D$15,"Nevera de rellenos, no vitrina","Vitrina temperada"),"")</f>
        <v>Vitrina temperada</v>
      </c>
      <c r="F39" t="str">
        <f>IF(AND(ISNUMBER($D39),ISNUMBER($D$15),ISNUMBER($D$16)),IF(AND($D39&gt;=$D$15,$D39&lt;=$D$16),"Sí, está dentro del rango de tu vitrina","No con esta vitrina: o cambias la temperatura declarada o necesitas otro mueble"),"")</f>
        <v>Sí, está dentro del rango de tu vitrina</v>
      </c>
      <c r="G39">
        <f>IF(ISNUMBER($D39),IF($D39&gt;'Parámetros'!$B$12,"Por encima de la alarma: a esa temperatura la manteca de cacao funde",""),"")</f>
        <v/>
      </c>
      <c r="H39" t="str">
        <f>IF($C39='Etiquetado o Granel'!A$7,"En la etiqueta, y esa temperatura te obliga a ti","En tu plan de APPCC, con el registro diario que lo demuestre")</f>
        <v>En la etiqueta, y esa temperatura te obliga a ti</v>
      </c>
      <c r="I39" s="20">
        <f>'Tipo de Relleno y aw'!E33</f>
        <v>0.25</v>
      </c>
      <c r="J39" s="10">
        <f>'Vida Útil Declarada'!G33</f>
        <v>360.0</v>
      </c>
    </row>
    <row r="40" ht="28" customHeight="1">
      <c r="A40" t="inlineStr">
        <is>
          <t>CT3</t>
        </is>
      </c>
      <c r="B40" s="6" t="inlineStr">
        <is>
          <t>Chocolate a la taza servido en sala, 200 ml</t>
        </is>
      </c>
      <c r="C40" t="str">
        <f>'Etiquetado o Granel'!C34</f>
        <v>a granel</v>
      </c>
      <c r="D40" s="9" t="n">
        <v>18</v>
      </c>
      <c r="E40" t="str">
        <f>IF(ISNUMBER($D40),IF($D40&lt;$D$15,"Nevera de rellenos, no vitrina","Vitrina temperada"),"")</f>
        <v>Vitrina temperada</v>
      </c>
      <c r="F40" t="str">
        <f>IF(AND(ISNUMBER($D40),ISNUMBER($D$15),ISNUMBER($D$16)),IF(AND($D40&gt;=$D$15,$D40&lt;=$D$16),"Sí, está dentro del rango de tu vitrina","No con esta vitrina: o cambias la temperatura declarada o necesitas otro mueble"),"")</f>
        <v>Sí, está dentro del rango de tu vitrina</v>
      </c>
      <c r="G40">
        <f>IF(ISNUMBER($D40),IF($D40&gt;'Parámetros'!$B$12,"Por encima de la alarma: a esa temperatura la manteca de cacao funde",""),"")</f>
        <v/>
      </c>
      <c r="H40" t="str">
        <f>IF($C40='Etiquetado o Granel'!A$7,"En la etiqueta, y esa temperatura te obliga a ti","En tu plan de APPCC, con el registro diario que lo demuestre")</f>
        <v>En tu plan de APPCC, con el registro diario que lo demuestre</v>
      </c>
      <c r="I40" s="20">
        <f>'Tipo de Relleno y aw'!E34</f>
        <v>0.25</v>
      </c>
      <c r="J40" s="10">
        <f>'Vida Útil Declarada'!G34</f>
        <v>360.0</v>
      </c>
    </row>
    <row r="41" ht="28" customHeight="1">
      <c r="A41" t="inlineStr">
        <is>
          <t>TF1</t>
        </is>
      </c>
      <c r="B41" s="6" t="inlineStr">
        <is>
          <t>Huevo de Pascua de chocolate con leche, 250 g</t>
        </is>
      </c>
      <c r="C41" t="str">
        <f>'Etiquetado o Granel'!C35</f>
        <v>envasado con etiqueta</v>
      </c>
      <c r="D41" s="9" t="n">
        <v>18</v>
      </c>
      <c r="E41" t="str">
        <f>IF(ISNUMBER($D41),IF($D41&lt;$D$15,"Nevera de rellenos, no vitrina","Vitrina temperada"),"")</f>
        <v>Vitrina temperada</v>
      </c>
      <c r="F41" t="str">
        <f>IF(AND(ISNUMBER($D41),ISNUMBER($D$15),ISNUMBER($D$16)),IF(AND($D41&gt;=$D$15,$D41&lt;=$D$16),"Sí, está dentro del rango de tu vitrina","No con esta vitrina: o cambias la temperatura declarada o necesitas otro mueble"),"")</f>
        <v>Sí, está dentro del rango de tu vitrina</v>
      </c>
      <c r="G41">
        <f>IF(ISNUMBER($D41),IF($D41&gt;'Parámetros'!$B$12,"Por encima de la alarma: a esa temperatura la manteca de cacao funde",""),"")</f>
        <v/>
      </c>
      <c r="H41" t="str">
        <f>IF($C41='Etiquetado o Granel'!A$7,"En la etiqueta, y esa temperatura te obliga a ti","En tu plan de APPCC, con el registro diario que lo demuestre")</f>
        <v>En la etiqueta, y esa temperatura te obliga a ti</v>
      </c>
      <c r="I41" s="20">
        <f>'Tipo de Relleno y aw'!E35</f>
        <v>0.4</v>
      </c>
      <c r="J41" s="10">
        <f>'Vida Útil Declarada'!G35</f>
        <v>180.0</v>
      </c>
    </row>
    <row r="42" ht="28" customHeight="1">
      <c r="A42" t="inlineStr">
        <is>
          <t>TF2</t>
        </is>
      </c>
      <c r="B42" s="6" t="inlineStr">
        <is>
          <t>Mona de Pascua de chocolate, 400 g</t>
        </is>
      </c>
      <c r="C42" t="str">
        <f>'Etiquetado o Granel'!C36</f>
        <v>envasado con etiqueta</v>
      </c>
      <c r="D42" s="9" t="n">
        <v>18</v>
      </c>
      <c r="E42" t="str">
        <f>IF(ISNUMBER($D42),IF($D42&lt;$D$15,"Nevera de rellenos, no vitrina","Vitrina temperada"),"")</f>
        <v>Vitrina temperada</v>
      </c>
      <c r="F42" t="str">
        <f>IF(AND(ISNUMBER($D42),ISNUMBER($D$15),ISNUMBER($D$16)),IF(AND($D42&gt;=$D$15,$D42&lt;=$D$16),"Sí, está dentro del rango de tu vitrina","No con esta vitrina: o cambias la temperatura declarada o necesitas otro mueble"),"")</f>
        <v>Sí, está dentro del rango de tu vitrina</v>
      </c>
      <c r="G42">
        <f>IF(ISNUMBER($D42),IF($D42&gt;'Parámetros'!$B$12,"Por encima de la alarma: a esa temperatura la manteca de cacao funde",""),"")</f>
        <v/>
      </c>
      <c r="H42" t="str">
        <f>IF($C42='Etiquetado o Granel'!A$7,"En la etiqueta, y esa temperatura te obliga a ti","En tu plan de APPCC, con el registro diario que lo demuestre")</f>
        <v>En la etiqueta, y esa temperatura te obliga a ti</v>
      </c>
      <c r="I42" s="20">
        <f>'Tipo de Relleno y aw'!E36</f>
        <v>0.4</v>
      </c>
      <c r="J42" s="10">
        <f>'Vida Útil Declarada'!G36</f>
        <v>180.0</v>
      </c>
    </row>
    <row r="43" ht="28" customHeight="1">
      <c r="A43" t="inlineStr">
        <is>
          <t>TF3</t>
        </is>
      </c>
      <c r="B43" s="6" t="inlineStr">
        <is>
          <t>Hueso de santo banado en chocolate</t>
        </is>
      </c>
      <c r="C43" t="str">
        <f>'Etiquetado o Granel'!C37</f>
        <v>a granel</v>
      </c>
      <c r="D43" s="9" t="n">
        <v>4</v>
      </c>
      <c r="E43" t="str">
        <f>IF(ISNUMBER($D43),IF($D43&lt;$D$15,"Nevera de rellenos, no vitrina","Vitrina temperada"),"")</f>
        <v>Nevera de rellenos, no vitrina</v>
      </c>
      <c r="F43" t="str">
        <f>IF(AND(ISNUMBER($D43),ISNUMBER($D$15),ISNUMBER($D$16)),IF(AND($D43&gt;=$D$15,$D43&lt;=$D$16),"Sí, está dentro del rango de tu vitrina","No con esta vitrina: o cambias la temperatura declarada o necesitas otro mueble"),"")</f>
        <v>No con esta vitrina: o cambias la temperatura declarada o necesitas otro mueble</v>
      </c>
      <c r="G43">
        <f>IF(ISNUMBER($D43),IF($D43&gt;'Parámetros'!$B$12,"Por encima de la alarma: a esa temperatura la manteca de cacao funde",""),"")</f>
        <v/>
      </c>
      <c r="H43" t="str">
        <f>IF($C43='Etiquetado o Granel'!A$7,"En la etiqueta, y esa temperatura te obliga a ti","En tu plan de APPCC, con el registro diario que lo demuestre")</f>
        <v>En tu plan de APPCC, con el registro diario que lo demuestre</v>
      </c>
      <c r="I43" s="20">
        <f>'Tipo de Relleno y aw'!E37</f>
        <v>0.85</v>
      </c>
      <c r="J43" s="10">
        <f>'Vida Útil Declarada'!G37</f>
        <v>10.0</v>
      </c>
    </row>
    <row r="44" ht="28" customHeight="1">
      <c r="A44" t="inlineStr">
        <is>
          <t>TF4</t>
        </is>
      </c>
      <c r="B44" s="6" t="inlineStr">
        <is>
          <t>Turrón de chocolate con almendra, 250 g</t>
        </is>
      </c>
      <c r="C44" t="str">
        <f>'Etiquetado o Granel'!C38</f>
        <v>envasado con etiqueta</v>
      </c>
      <c r="D44" s="9" t="n">
        <v>18</v>
      </c>
      <c r="E44" t="str">
        <f>IF(ISNUMBER($D44),IF($D44&lt;$D$15,"Nevera de rellenos, no vitrina","Vitrina temperada"),"")</f>
        <v>Vitrina temperada</v>
      </c>
      <c r="F44" t="str">
        <f>IF(AND(ISNUMBER($D44),ISNUMBER($D$15),ISNUMBER($D$16)),IF(AND($D44&gt;=$D$15,$D44&lt;=$D$16),"Sí, está dentro del rango de tu vitrina","No con esta vitrina: o cambias la temperatura declarada o necesitas otro mueble"),"")</f>
        <v>Sí, está dentro del rango de tu vitrina</v>
      </c>
      <c r="G44">
        <f>IF(ISNUMBER($D44),IF($D44&gt;'Parámetros'!$B$12,"Por encima de la alarma: a esa temperatura la manteca de cacao funde",""),"")</f>
        <v/>
      </c>
      <c r="H44" t="str">
        <f>IF($C44='Etiquetado o Granel'!A$7,"En la etiqueta, y esa temperatura te obliga a ti","En tu plan de APPCC, con el registro diario que lo demuestre")</f>
        <v>En la etiqueta, y esa temperatura te obliga a ti</v>
      </c>
      <c r="I44" s="20">
        <f>'Tipo de Relleno y aw'!E38</f>
        <v>0.4</v>
      </c>
      <c r="J44" s="10">
        <f>'Vida Útil Declarada'!G38</f>
        <v>360.0</v>
      </c>
    </row>
    <row r="45" ht="28" customHeight="1">
      <c r="A45" t="inlineStr">
        <is>
          <t>TF5</t>
        </is>
      </c>
      <c r="B45" s="6" t="inlineStr">
        <is>
          <t>Almendras marcona banadas en chocolate, bolsa de 150 g</t>
        </is>
      </c>
      <c r="C45" t="str">
        <f>'Etiquetado o Granel'!C39</f>
        <v>envasado con etiqueta</v>
      </c>
      <c r="D45" s="9" t="n">
        <v>18</v>
      </c>
      <c r="E45" t="str">
        <f>IF(ISNUMBER($D45),IF($D45&lt;$D$15,"Nevera de rellenos, no vitrina","Vitrina temperada"),"")</f>
        <v>Vitrina temperada</v>
      </c>
      <c r="F45" t="str">
        <f>IF(AND(ISNUMBER($D45),ISNUMBER($D$15),ISNUMBER($D$16)),IF(AND($D45&gt;=$D$15,$D45&lt;=$D$16),"Sí, está dentro del rango de tu vitrina","No con esta vitrina: o cambias la temperatura declarada o necesitas otro mueble"),"")</f>
        <v>Sí, está dentro del rango de tu vitrina</v>
      </c>
      <c r="G45">
        <f>IF(ISNUMBER($D45),IF($D45&gt;'Parámetros'!$B$12,"Por encima de la alarma: a esa temperatura la manteca de cacao funde",""),"")</f>
        <v/>
      </c>
      <c r="H45" t="str">
        <f>IF($C45='Etiquetado o Granel'!A$7,"En la etiqueta, y esa temperatura te obliga a ti","En tu plan de APPCC, con el registro diario que lo demuestre")</f>
        <v>En la etiqueta, y esa temperatura te obliga a ti</v>
      </c>
      <c r="I45" s="20">
        <f>'Tipo de Relleno y aw'!E39</f>
        <v>0.4</v>
      </c>
      <c r="J45" s="10">
        <f>'Vida Útil Declarada'!G39</f>
        <v>30.0</v>
      </c>
    </row>
    <row r="46" ht="28" customHeight="1">
      <c r="A46" t="inlineStr">
        <is>
          <t>CJ1</t>
        </is>
      </c>
      <c r="B46" s="6" t="inlineStr">
        <is>
          <t>Caja surtida de 12 bombones</t>
        </is>
      </c>
      <c r="C46" t="str">
        <f>'Etiquetado o Granel'!C40</f>
        <v>envasado con etiqueta</v>
      </c>
      <c r="D46" s="9" t="n">
        <v>4</v>
      </c>
      <c r="E46" t="str">
        <f>IF(ISNUMBER($D46),IF($D46&lt;$D$15,"Nevera de rellenos, no vitrina","Vitrina temperada"),"")</f>
        <v>Nevera de rellenos, no vitrina</v>
      </c>
      <c r="F46" t="str">
        <f>IF(AND(ISNUMBER($D46),ISNUMBER($D$15),ISNUMBER($D$16)),IF(AND($D46&gt;=$D$15,$D46&lt;=$D$16),"Sí, está dentro del rango de tu vitrina","No con esta vitrina: o cambias la temperatura declarada o necesitas otro mueble"),"")</f>
        <v>No con esta vitrina: o cambias la temperatura declarada o necesitas otro mueble</v>
      </c>
      <c r="G46">
        <f>IF(ISNUMBER($D46),IF($D46&gt;'Parámetros'!$B$12,"Por encima de la alarma: a esa temperatura la manteca de cacao funde",""),"")</f>
        <v/>
      </c>
      <c r="H46" t="str">
        <f>IF($C46='Etiquetado o Granel'!A$7,"En la etiqueta, y esa temperatura te obliga a ti","En tu plan de APPCC, con el registro diario que lo demuestre")</f>
        <v>En la etiqueta, y esa temperatura te obliga a ti</v>
      </c>
      <c r="I46" s="20">
        <f>'Tipo de Relleno y aw'!E40</f>
        <v>0.88</v>
      </c>
      <c r="J46" s="10">
        <f>'Vida Útil Declarada'!G40</f>
        <v>10.0</v>
      </c>
    </row>
    <row r="47" ht="28" customHeight="1">
      <c r="A47" t="inlineStr">
        <is>
          <t>CJ2</t>
        </is>
      </c>
      <c r="B47" s="6" t="inlineStr">
        <is>
          <t>Caja surtida de 20 bombones</t>
        </is>
      </c>
      <c r="C47" t="str">
        <f>'Etiquetado o Granel'!C41</f>
        <v>envasado con etiqueta</v>
      </c>
      <c r="D47" s="9" t="n">
        <v>4</v>
      </c>
      <c r="E47" t="str">
        <f>IF(ISNUMBER($D47),IF($D47&lt;$D$15,"Nevera de rellenos, no vitrina","Vitrina temperada"),"")</f>
        <v>Nevera de rellenos, no vitrina</v>
      </c>
      <c r="F47" t="str">
        <f>IF(AND(ISNUMBER($D47),ISNUMBER($D$15),ISNUMBER($D$16)),IF(AND($D47&gt;=$D$15,$D47&lt;=$D$16),"Sí, está dentro del rango de tu vitrina","No con esta vitrina: o cambias la temperatura declarada o necesitas otro mueble"),"")</f>
        <v>No con esta vitrina: o cambias la temperatura declarada o necesitas otro mueble</v>
      </c>
      <c r="G47">
        <f>IF(ISNUMBER($D47),IF($D47&gt;'Parámetros'!$B$12,"Por encima de la alarma: a esa temperatura la manteca de cacao funde",""),"")</f>
        <v/>
      </c>
      <c r="H47" t="str">
        <f>IF($C47='Etiquetado o Granel'!A$7,"En la etiqueta, y esa temperatura te obliga a ti","En tu plan de APPCC, con el registro diario que lo demuestre")</f>
        <v>En la etiqueta, y esa temperatura te obliga a ti</v>
      </c>
      <c r="I47" s="20">
        <f>'Tipo de Relleno y aw'!E41</f>
        <v>0.88</v>
      </c>
      <c r="J47" s="10">
        <f>'Vida Útil Declarada'!G41</f>
        <v>10.0</v>
      </c>
    </row>
    <row r="48" ht="28" customHeight="1">
      <c r="A48" t="inlineStr">
        <is>
          <t>CJ3</t>
        </is>
      </c>
      <c r="B48" s="6" t="inlineStr">
        <is>
          <t>Caja surtida de 35 bombones</t>
        </is>
      </c>
      <c r="C48" t="str">
        <f>'Etiquetado o Granel'!C42</f>
        <v>envasado con etiqueta</v>
      </c>
      <c r="D48" s="9" t="n">
        <v>4</v>
      </c>
      <c r="E48" t="str">
        <f>IF(ISNUMBER($D48),IF($D48&lt;$D$15,"Nevera de rellenos, no vitrina","Vitrina temperada"),"")</f>
        <v>Nevera de rellenos, no vitrina</v>
      </c>
      <c r="F48" t="str">
        <f>IF(AND(ISNUMBER($D48),ISNUMBER($D$15),ISNUMBER($D$16)),IF(AND($D48&gt;=$D$15,$D48&lt;=$D$16),"Sí, está dentro del rango de tu vitrina","No con esta vitrina: o cambias la temperatura declarada o necesitas otro mueble"),"")</f>
        <v>No con esta vitrina: o cambias la temperatura declarada o necesitas otro mueble</v>
      </c>
      <c r="G48">
        <f>IF(ISNUMBER($D48),IF($D48&gt;'Parámetros'!$B$12,"Por encima de la alarma: a esa temperatura la manteca de cacao funde",""),"")</f>
        <v/>
      </c>
      <c r="H48" t="str">
        <f>IF($C48='Etiquetado o Granel'!A$7,"En la etiqueta, y esa temperatura te obliga a ti","En tu plan de APPCC, con el registro diario que lo demuestre")</f>
        <v>En la etiqueta, y esa temperatura te obliga a ti</v>
      </c>
      <c r="I48" s="20">
        <f>'Tipo de Relleno y aw'!E42</f>
        <v>0.88</v>
      </c>
      <c r="J48" s="10">
        <f>'Vida Útil Declarada'!G42</f>
        <v>10.0</v>
      </c>
    </row>
    <row r="49" ht="28" customHeight="1">
      <c r="A49" t="inlineStr">
        <is>
          <t>CJ4</t>
        </is>
      </c>
      <c r="B49" s="6" t="inlineStr">
        <is>
          <t>Estuche corporativo personalizado de 24 bombones</t>
        </is>
      </c>
      <c r="C49" t="str">
        <f>'Etiquetado o Granel'!C43</f>
        <v>envasado con etiqueta</v>
      </c>
      <c r="D49" s="9" t="n">
        <v>4</v>
      </c>
      <c r="E49" t="str">
        <f>IF(ISNUMBER($D49),IF($D49&lt;$D$15,"Nevera de rellenos, no vitrina","Vitrina temperada"),"")</f>
        <v>Nevera de rellenos, no vitrina</v>
      </c>
      <c r="F49" t="str">
        <f>IF(AND(ISNUMBER($D49),ISNUMBER($D$15),ISNUMBER($D$16)),IF(AND($D49&gt;=$D$15,$D49&lt;=$D$16),"Sí, está dentro del rango de tu vitrina","No con esta vitrina: o cambias la temperatura declarada o necesitas otro mueble"),"")</f>
        <v>No con esta vitrina: o cambias la temperatura declarada o necesitas otro mueble</v>
      </c>
      <c r="G49">
        <f>IF(ISNUMBER($D49),IF($D49&gt;'Parámetros'!$B$12,"Por encima de la alarma: a esa temperatura la manteca de cacao funde",""),"")</f>
        <v/>
      </c>
      <c r="H49" t="str">
        <f>IF($C49='Etiquetado o Granel'!A$7,"En la etiqueta, y esa temperatura te obliga a ti","En tu plan de APPCC, con el registro diario que lo demuestre")</f>
        <v>En la etiqueta, y esa temperatura te obliga a ti</v>
      </c>
      <c r="I49" s="20">
        <f>'Tipo de Relleno y aw'!E43</f>
        <v>0.88</v>
      </c>
      <c r="J49" s="10">
        <f>'Vida Útil Declarada'!G43</f>
        <v>10.0</v>
      </c>
    </row>
    <row r="50">
      <c r="A50" s="4" t="inlineStr">
        <is>
          <t>RECUENTO</t>
        </is>
      </c>
      <c r="B50" s="15" t="inlineStr">
        <is>
          <t>Referencias por encima de la alarma de 20 °C</t>
        </is>
      </c>
      <c r="D50" s="16">
        <f>COUNTIF(D22:D49,"&gt;"&amp;'Parámetros'!$B$12)</f>
        <v>0.0</v>
      </c>
      <c r="E50" s="15" t="inlineStr">
        <is>
          <t>Referencias que van a nevera</t>
        </is>
      </c>
      <c r="F50" s="16">
        <f>COUNTIF(D22:D49,"&lt;"&amp;$D$15)</f>
        <v>6.0</v>
      </c>
    </row>
  </sheetData>
  <sheetProtection selectLockedCells="0" selectUnlockedCells="0" sheet="1" objects="0" insertRows="0" insertHyperlinks="1" autoFilter="1" scenarios="0" formatColumns="0" deleteColumns="1" insertColumns="1" pivotTables="1" deleteRows="1" formatCells="1" formatRows="0" sort="0"/>
  <mergeCells count="17">
    <mergeCell ref="F10:J10"/>
    <mergeCell ref="F7:J7"/>
    <mergeCell ref="A7:B7"/>
    <mergeCell ref="A3:J3"/>
    <mergeCell ref="A9:B9"/>
    <mergeCell ref="F9:J9"/>
    <mergeCell ref="A16:C16"/>
    <mergeCell ref="A17:C17"/>
    <mergeCell ref="A8:B8"/>
    <mergeCell ref="H15:J17"/>
    <mergeCell ref="A11:B11"/>
    <mergeCell ref="F8:J8"/>
    <mergeCell ref="A18:C18"/>
    <mergeCell ref="A10:B10"/>
    <mergeCell ref="A12:J12"/>
    <mergeCell ref="F11:J11"/>
    <mergeCell ref="A15:C15"/>
  </mergeCells>
  <conditionalFormatting sqref="D16">
    <cfRule type="expression" priority="1" dxfId="0" stopIfTrue="1">
      <formula>=AND(ISNUMBER($D$16),$D$16&gt;'Parámetros'!$B$12)</formula>
    </cfRule>
  </conditionalFormatting>
  <conditionalFormatting sqref="D17">
    <cfRule type="expression" priority="2" dxfId="0" stopIfTrue="1">
      <formula>=AND(ISNUMBER($D$17),$D$17&gt;'Parámetros'!$B$13)</formula>
    </cfRule>
  </conditionalFormatting>
  <conditionalFormatting sqref="D22:D49">
    <cfRule type="expression" priority="3" dxfId="0" stopIfTrue="1">
      <formula>=AND(ISNUMBER($D22),$D22&gt;'Parámetros'!$B$12)</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R48"/>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3" customWidth="1" min="3" max="3"/>
    <col width="13" customWidth="1" min="4" max="4"/>
    <col width="13" customWidth="1" min="5" max="5"/>
    <col width="12" customWidth="1" min="6" max="6"/>
    <col width="12" customWidth="1" min="7" max="7"/>
    <col width="15" customWidth="1" min="8" max="8"/>
    <col width="14" customWidth="1" min="9" max="9"/>
    <col width="14" customWidth="1" min="10" max="10"/>
    <col width="14" customWidth="1" min="11" max="11"/>
    <col width="15" customWidth="1" min="12" max="12"/>
    <col width="15" customWidth="1" min="13" max="13"/>
    <col width="14" customWidth="1" min="14" max="14"/>
    <col width="13" customWidth="1" min="15" max="15"/>
    <col width="14" customWidth="1" min="16" max="16"/>
    <col width="14" customWidth="1" min="17" max="17"/>
    <col width="50" customWidth="1" min="18" max="18"/>
  </cols>
  <sheetData>
    <row r="1" ht="28" customHeight="1">
      <c r="A1" s="1" t="inlineStr">
        <is>
          <t>Lote y Merma por Caducidad</t>
        </is>
      </c>
    </row>
    <row r="2">
      <c r="A2" t="inlineStr">
        <is>
          <t>AI Chef Pro · aichef.pro — Cómo Montar una Chocolatería</t>
        </is>
      </c>
    </row>
    <row r="3" ht="26" customHeight="1">
      <c r="A3" s="2" t="inlineStr">
        <is>
          <t>El coste de arrancar una tanda empuja a hacerlas grandes; la caducidad las frena. Esta hoja pone las dos fuerzas juntas y te dice lo que se va a la basura cada año.</t>
        </is>
      </c>
    </row>
    <row r="4"/>
    <row r="5" ht="34" customHeight="1">
      <c r="A5" s="2" t="inlineStr">
        <is>
          <t>El modelo es deliberadamente simple y conviene saberlo: supone que produces tandas completas del tamaño que pones en la columna E y que no ajustas sobre la marcha. Lo que no vendas dentro de la vida útil declarada, se pierde. Si tú escalonas la producción, tu merma real será menor -y ésa es justamente la conclusión-.</t>
        </is>
      </c>
    </row>
    <row r="6"/>
    <row r="7"/>
    <row r="8"/>
    <row r="9"/>
    <row r="10"/>
    <row r="11"/>
    <row r="12"/>
    <row r="13">
      <c r="A13" s="3" t="inlineStr">
        <is>
          <t>Tamaño de Tanda y Merma por Caducidad</t>
        </is>
      </c>
    </row>
    <row r="14"/>
    <row r="15" ht="58" customHeight="1">
      <c r="A15" s="7" t="inlineStr">
        <is>
          <t>Id</t>
        </is>
      </c>
      <c r="B15" s="7" t="inlineStr">
        <is>
          <t>Referencia</t>
        </is>
      </c>
      <c r="C15" s="7" t="inlineStr">
        <is>
          <t>Ventas a la semana (uds)</t>
        </is>
      </c>
      <c r="D15" s="7" t="inlineStr">
        <is>
          <t>Demanda al año (uds)</t>
        </is>
      </c>
      <c r="E15" s="7" t="inlineStr">
        <is>
          <t>Tamaño de tanda actual (uds)</t>
        </is>
      </c>
      <c r="F15" s="7" t="inlineStr">
        <is>
          <t>Vida útil declarada (días)</t>
        </is>
      </c>
      <c r="G15" s="7" t="inlineStr">
        <is>
          <t>Vida útil (semanas)</t>
        </is>
      </c>
      <c r="H15" s="7" t="inlineStr">
        <is>
          <t>Lo que vendes dentro de la vida útil (uds)</t>
        </is>
      </c>
      <c r="I15" s="7" t="inlineStr">
        <is>
          <t>Coste de materia por pieza (€)</t>
        </is>
      </c>
      <c r="J15" s="7" t="inlineStr">
        <is>
          <t>Coste de tenerla parada un año (€)</t>
        </is>
      </c>
      <c r="K15" s="7" t="inlineStr">
        <is>
          <t>Tanda económica teórica (uds)</t>
        </is>
      </c>
      <c r="L15" s="7" t="inlineStr">
        <is>
          <t>Tanda máxima que permite la caducidad (uds)</t>
        </is>
      </c>
      <c r="M15" s="7" t="inlineStr">
        <is>
          <t>Tanda recomendada (uds)</t>
        </is>
      </c>
      <c r="N15" s="7" t="inlineStr">
        <is>
          <t>Piezas que caducan por tanda</t>
        </is>
      </c>
      <c r="O15" s="7" t="inlineStr">
        <is>
          <t>Tandas al año</t>
        </is>
      </c>
      <c r="P15" s="7" t="inlineStr">
        <is>
          <t>Piezas caducadas al año</t>
        </is>
      </c>
      <c r="Q15" s="7" t="inlineStr">
        <is>
          <t>Merma por caducidad (€/año)</t>
        </is>
      </c>
      <c r="R15" s="7" t="inlineStr">
        <is>
          <t>Veredicto</t>
        </is>
      </c>
    </row>
    <row r="16" ht="28" customHeight="1">
      <c r="A16" t="inlineStr">
        <is>
          <t>BC1</t>
        </is>
      </c>
      <c r="B16" s="6" t="inlineStr">
        <is>
          <t>Bombón de ganache de chocolate negro 70 %</t>
        </is>
      </c>
      <c r="C16" s="9" t="n">
        <v>32.9</v>
      </c>
      <c r="D16" s="10">
        <f>IFERROR($C16*'Parámetros'!$B$10,"")</f>
        <v>1710.8</v>
      </c>
      <c r="E16" s="8" t="n">
        <v>144</v>
      </c>
      <c r="F16" s="10">
        <f>'Vida Útil Declarada'!G16</f>
        <v>10.0</v>
      </c>
      <c r="G16" s="19">
        <f>IFERROR($F16/7,"")</f>
        <v>1.4285714285714286</v>
      </c>
      <c r="H16" s="10">
        <f>IFERROR($C16*$G16,"")</f>
        <v>47.0</v>
      </c>
      <c r="I16" s="11" t="n">
        <v>0.2176</v>
      </c>
      <c r="J16" s="20">
        <f>IFERROR($I16*'Parámetros'!$B$15,"")</f>
        <v>0.0544</v>
      </c>
      <c r="K16" s="10">
        <f>IFERROR(SQRT(2*$D16*'Parámetros'!$B$14/$J16),"")</f>
        <v>1483.710571109989</v>
      </c>
      <c r="L16" s="10">
        <f>IFERROR($H16,"")</f>
        <v>47.0</v>
      </c>
      <c r="M16" s="10">
        <f>IFERROR(MIN($K16,$L16),"")</f>
        <v>47.0</v>
      </c>
      <c r="N16" s="10">
        <f>IFERROR(MAX(0,$E16-$H16),"")</f>
        <v>97.0</v>
      </c>
      <c r="O16" s="19">
        <f>IFERROR($D16/$E16,"")</f>
        <v>11.880555555555555</v>
      </c>
      <c r="P16" s="10">
        <f>IFERROR($N16*$O16,"")</f>
        <v>1152.4138888888888</v>
      </c>
      <c r="Q16" s="21">
        <f>IFERROR($P16*$I16,"")</f>
        <v>250.7652622222222</v>
      </c>
      <c r="R16" t="str">
        <f>IF(ISNUMBER($Q16),IF($Q16&gt;'Parámetros'!$B$16,"Tanda demasiado grande para lo que dura: baja a la tanda recomendada",IF($N16&gt;0,"Se te queda algo en cada tanda, pero es asumible","La tanda cabe entera dentro de la vida útil")),"")</f>
        <v>Tanda demasiado grande para lo que dura: baja a la tanda recomendada</v>
      </c>
    </row>
    <row r="17" ht="28" customHeight="1">
      <c r="A17" t="inlineStr">
        <is>
          <t>BC2</t>
        </is>
      </c>
      <c r="B17" s="6" t="inlineStr">
        <is>
          <t>Bombón de ganache de leche y vainilla</t>
        </is>
      </c>
      <c r="C17" s="9" t="n">
        <v>27.4</v>
      </c>
      <c r="D17" s="10">
        <f>IFERROR($C17*'Parámetros'!$B$10,"")</f>
        <v>1424.8</v>
      </c>
      <c r="E17" s="8" t="n">
        <v>144</v>
      </c>
      <c r="F17" s="10">
        <f>'Vida Útil Declarada'!G17</f>
        <v>28.0</v>
      </c>
      <c r="G17" s="19">
        <f>IFERROR($F17/7,"")</f>
        <v>4.0</v>
      </c>
      <c r="H17" s="10">
        <f>IFERROR($C17*$G17,"")</f>
        <v>109.6</v>
      </c>
      <c r="I17" s="11" t="n">
        <v>0.1907</v>
      </c>
      <c r="J17" s="20">
        <f>IFERROR($I17*'Parámetros'!$B$15,"")</f>
        <v>0.047675</v>
      </c>
      <c r="K17" s="10">
        <f>IFERROR(SQRT(2*$D17*'Parámetros'!$B$14/$J17),"")</f>
        <v>1446.3740534400513</v>
      </c>
      <c r="L17" s="10">
        <f>IFERROR($H17,"")</f>
        <v>109.6</v>
      </c>
      <c r="M17" s="10">
        <f>IFERROR(MIN($K17,$L17),"")</f>
        <v>109.6</v>
      </c>
      <c r="N17" s="10">
        <f>IFERROR(MAX(0,$E17-$H17),"")</f>
        <v>34.400000000000006</v>
      </c>
      <c r="O17" s="19">
        <f>IFERROR($D17/$E17,"")</f>
        <v>9.894444444444444</v>
      </c>
      <c r="P17" s="10">
        <f>IFERROR($N17*$O17,"")</f>
        <v>340.36888888888893</v>
      </c>
      <c r="Q17" s="21">
        <f>IFERROR($P17*$I17,"")</f>
        <v>64.90834711111113</v>
      </c>
      <c r="R17" t="str">
        <f>IF(ISNUMBER($Q17),IF($Q17&gt;'Parámetros'!$B$16,"Tanda demasiado grande para lo que dura: baja a la tanda recomendada",IF($N17&gt;0,"Se te queda algo en cada tanda, pero es asumible","La tanda cabe entera dentro de la vida útil")),"")</f>
        <v>Se te queda algo en cada tanda, pero es asumible</v>
      </c>
    </row>
    <row r="18" ht="28" customHeight="1">
      <c r="A18" t="inlineStr">
        <is>
          <t>BC3</t>
        </is>
      </c>
      <c r="B18" s="6" t="inlineStr">
        <is>
          <t>Bombón de praline de avellana</t>
        </is>
      </c>
      <c r="C18" s="9" t="n">
        <v>32.9</v>
      </c>
      <c r="D18" s="10">
        <f>IFERROR($C18*'Parámetros'!$B$10,"")</f>
        <v>1710.8</v>
      </c>
      <c r="E18" s="8" t="n">
        <v>144</v>
      </c>
      <c r="F18" s="10">
        <f>'Vida Útil Declarada'!G18</f>
        <v>60.0</v>
      </c>
      <c r="G18" s="19">
        <f>IFERROR($F18/7,"")</f>
        <v>8.571428571428571</v>
      </c>
      <c r="H18" s="10">
        <f>IFERROR($C18*$G18,"")</f>
        <v>282.0</v>
      </c>
      <c r="I18" s="11" t="n">
        <v>0.2134</v>
      </c>
      <c r="J18" s="20">
        <f>IFERROR($I18*'Parámetros'!$B$15,"")</f>
        <v>0.05335</v>
      </c>
      <c r="K18" s="10">
        <f>IFERROR(SQRT(2*$D18*'Parámetros'!$B$14/$J18),"")</f>
        <v>1498.2401422665132</v>
      </c>
      <c r="L18" s="10">
        <f>IFERROR($H18,"")</f>
        <v>282.0</v>
      </c>
      <c r="M18" s="10">
        <f>IFERROR(MIN($K18,$L18),"")</f>
        <v>282.0</v>
      </c>
      <c r="N18" s="10">
        <f>IFERROR(MAX(0,$E18-$H18),"")</f>
        <v>0.0</v>
      </c>
      <c r="O18" s="19">
        <f>IFERROR($D18/$E18,"")</f>
        <v>11.880555555555555</v>
      </c>
      <c r="P18" s="10">
        <f>IFERROR($N18*$O18,"")</f>
        <v>0.0</v>
      </c>
      <c r="Q18" s="21">
        <f>IFERROR($P18*$I18,"")</f>
        <v>0.0</v>
      </c>
      <c r="R18" t="str">
        <f>IF(ISNUMBER($Q18),IF($Q18&gt;'Parámetros'!$B$16,"Tanda demasiado grande para lo que dura: baja a la tanda recomendada",IF($N18&gt;0,"Se te queda algo en cada tanda, pero es asumible","La tanda cabe entera dentro de la vida útil")),"")</f>
        <v>La tanda cabe entera dentro de la vida útil</v>
      </c>
    </row>
    <row r="19" ht="28" customHeight="1">
      <c r="A19" t="inlineStr">
        <is>
          <t>BC4</t>
        </is>
      </c>
      <c r="B19" s="6" t="inlineStr">
        <is>
          <t>Bombón de gianduja de avellana</t>
        </is>
      </c>
      <c r="C19" s="9" t="n">
        <v>21.9</v>
      </c>
      <c r="D19" s="10">
        <f>IFERROR($C19*'Parámetros'!$B$10,"")</f>
        <v>1138.8</v>
      </c>
      <c r="E19" s="8" t="n">
        <v>120</v>
      </c>
      <c r="F19" s="10">
        <f>'Vida Útil Declarada'!G19</f>
        <v>60.0</v>
      </c>
      <c r="G19" s="19">
        <f>IFERROR($F19/7,"")</f>
        <v>8.571428571428571</v>
      </c>
      <c r="H19" s="10">
        <f>IFERROR($C19*$G19,"")</f>
        <v>187.7142857142857</v>
      </c>
      <c r="I19" s="11" t="n">
        <v>0.2243</v>
      </c>
      <c r="J19" s="20">
        <f>IFERROR($I19*'Parámetros'!$B$15,"")</f>
        <v>0.056075</v>
      </c>
      <c r="K19" s="10">
        <f>IFERROR(SQRT(2*$D19*'Parámetros'!$B$14/$J19),"")</f>
        <v>1192.307039601383</v>
      </c>
      <c r="L19" s="10">
        <f>IFERROR($H19,"")</f>
        <v>187.7142857142857</v>
      </c>
      <c r="M19" s="10">
        <f>IFERROR(MIN($K19,$L19),"")</f>
        <v>187.7142857142857</v>
      </c>
      <c r="N19" s="10">
        <f>IFERROR(MAX(0,$E19-$H19),"")</f>
        <v>0.0</v>
      </c>
      <c r="O19" s="19">
        <f>IFERROR($D19/$E19,"")</f>
        <v>9.49</v>
      </c>
      <c r="P19" s="10">
        <f>IFERROR($N19*$O19,"")</f>
        <v>0.0</v>
      </c>
      <c r="Q19" s="21">
        <f>IFERROR($P19*$I19,"")</f>
        <v>0.0</v>
      </c>
      <c r="R19" t="str">
        <f>IF(ISNUMBER($Q19),IF($Q19&gt;'Parámetros'!$B$16,"Tanda demasiado grande para lo que dura: baja a la tanda recomendada",IF($N19&gt;0,"Se te queda algo en cada tanda, pero es asumible","La tanda cabe entera dentro de la vida útil")),"")</f>
        <v>La tanda cabe entera dentro de la vida útil</v>
      </c>
    </row>
    <row r="20" ht="28" customHeight="1">
      <c r="A20" t="inlineStr">
        <is>
          <t>BC5</t>
        </is>
      </c>
      <c r="B20" s="6" t="inlineStr">
        <is>
          <t>Trufa de chocolate negro al cacao</t>
        </is>
      </c>
      <c r="C20" s="9" t="n">
        <v>27.4</v>
      </c>
      <c r="D20" s="10">
        <f>IFERROR($C20*'Parámetros'!$B$10,"")</f>
        <v>1424.8</v>
      </c>
      <c r="E20" s="8" t="n">
        <v>160</v>
      </c>
      <c r="F20" s="10">
        <f>'Vida Útil Declarada'!G20</f>
        <v>21.0</v>
      </c>
      <c r="G20" s="19">
        <f>IFERROR($F20/7,"")</f>
        <v>3.0</v>
      </c>
      <c r="H20" s="10">
        <f>IFERROR($C20*$G20,"")</f>
        <v>82.19999999999999</v>
      </c>
      <c r="I20" s="11" t="n">
        <v>0.2181</v>
      </c>
      <c r="J20" s="20">
        <f>IFERROR($I20*'Parámetros'!$B$15,"")</f>
        <v>0.054525</v>
      </c>
      <c r="K20" s="10">
        <f>IFERROR(SQRT(2*$D20*'Parámetros'!$B$14/$J20),"")</f>
        <v>1352.471543346354</v>
      </c>
      <c r="L20" s="10">
        <f>IFERROR($H20,"")</f>
        <v>82.19999999999999</v>
      </c>
      <c r="M20" s="10">
        <f>IFERROR(MIN($K20,$L20),"")</f>
        <v>82.19999999999999</v>
      </c>
      <c r="N20" s="10">
        <f>IFERROR(MAX(0,$E20-$H20),"")</f>
        <v>77.80000000000001</v>
      </c>
      <c r="O20" s="19">
        <f>IFERROR($D20/$E20,"")</f>
        <v>8.905</v>
      </c>
      <c r="P20" s="10">
        <f>IFERROR($N20*$O20,"")</f>
        <v>692.8090000000001</v>
      </c>
      <c r="Q20" s="21">
        <f>IFERROR($P20*$I20,"")</f>
        <v>151.1016429</v>
      </c>
      <c r="R20" t="str">
        <f>IF(ISNUMBER($Q20),IF($Q20&gt;'Parámetros'!$B$16,"Tanda demasiado grande para lo que dura: baja a la tanda recomendada",IF($N20&gt;0,"Se te queda algo en cada tanda, pero es asumible","La tanda cabe entera dentro de la vida útil")),"")</f>
        <v>Tanda demasiado grande para lo que dura: baja a la tanda recomendada</v>
      </c>
    </row>
    <row r="21" ht="28" customHeight="1">
      <c r="A21" t="inlineStr">
        <is>
          <t>BC6</t>
        </is>
      </c>
      <c r="B21" s="6" t="inlineStr">
        <is>
          <t>Bombón de licor de ron</t>
        </is>
      </c>
      <c r="C21" s="9" t="n">
        <v>16.5</v>
      </c>
      <c r="D21" s="10">
        <f>IFERROR($C21*'Parámetros'!$B$10,"")</f>
        <v>858.0</v>
      </c>
      <c r="E21" s="8" t="n">
        <v>96</v>
      </c>
      <c r="F21" s="10">
        <f>'Vida Útil Declarada'!G21</f>
        <v>90.0</v>
      </c>
      <c r="G21" s="19">
        <f>IFERROR($F21/7,"")</f>
        <v>12.857142857142858</v>
      </c>
      <c r="H21" s="10">
        <f>IFERROR($C21*$G21,"")</f>
        <v>212.14285714285714</v>
      </c>
      <c r="I21" s="11" t="n">
        <v>0.1729</v>
      </c>
      <c r="J21" s="20">
        <f>IFERROR($I21*'Parámetros'!$B$15,"")</f>
        <v>0.043225</v>
      </c>
      <c r="K21" s="10">
        <f>IFERROR(SQRT(2*$D21*'Parámetros'!$B$14/$J21),"")</f>
        <v>1178.7593835090036</v>
      </c>
      <c r="L21" s="10">
        <f>IFERROR($H21,"")</f>
        <v>212.14285714285714</v>
      </c>
      <c r="M21" s="10">
        <f>IFERROR(MIN($K21,$L21),"")</f>
        <v>212.14285714285714</v>
      </c>
      <c r="N21" s="10">
        <f>IFERROR(MAX(0,$E21-$H21),"")</f>
        <v>0.0</v>
      </c>
      <c r="O21" s="19">
        <f>IFERROR($D21/$E21,"")</f>
        <v>8.9375</v>
      </c>
      <c r="P21" s="10">
        <f>IFERROR($N21*$O21,"")</f>
        <v>0.0</v>
      </c>
      <c r="Q21" s="21">
        <f>IFERROR($P21*$I21,"")</f>
        <v>0.0</v>
      </c>
      <c r="R21" t="str">
        <f>IF(ISNUMBER($Q21),IF($Q21&gt;'Parámetros'!$B$16,"Tanda demasiado grande para lo que dura: baja a la tanda recomendada",IF($N21&gt;0,"Se te queda algo en cada tanda, pero es asumible","La tanda cabe entera dentro de la vida útil")),"")</f>
        <v>La tanda cabe entera dentro de la vida útil</v>
      </c>
    </row>
    <row r="22" ht="28" customHeight="1">
      <c r="A22" t="inlineStr">
        <is>
          <t>BC7</t>
        </is>
      </c>
      <c r="B22" s="6" t="inlineStr">
        <is>
          <t>Bombón de caramelo salado</t>
        </is>
      </c>
      <c r="C22" s="9" t="n">
        <v>21.9</v>
      </c>
      <c r="D22" s="10">
        <f>IFERROR($C22*'Parámetros'!$B$10,"")</f>
        <v>1138.8</v>
      </c>
      <c r="E22" s="8" t="n">
        <v>144</v>
      </c>
      <c r="F22" s="10">
        <f>'Vida Útil Declarada'!G22</f>
        <v>28.0</v>
      </c>
      <c r="G22" s="19">
        <f>IFERROR($F22/7,"")</f>
        <v>4.0</v>
      </c>
      <c r="H22" s="10">
        <f>IFERROR($C22*$G22,"")</f>
        <v>87.6</v>
      </c>
      <c r="I22" s="11" t="n">
        <v>0.1332</v>
      </c>
      <c r="J22" s="20">
        <f>IFERROR($I22*'Parámetros'!$B$15,"")</f>
        <v>0.0333</v>
      </c>
      <c r="K22" s="10">
        <f>IFERROR(SQRT(2*$D22*'Parámetros'!$B$14/$J22),"")</f>
        <v>1547.2148764389108</v>
      </c>
      <c r="L22" s="10">
        <f>IFERROR($H22,"")</f>
        <v>87.6</v>
      </c>
      <c r="M22" s="10">
        <f>IFERROR(MIN($K22,$L22),"")</f>
        <v>87.6</v>
      </c>
      <c r="N22" s="10">
        <f>IFERROR(MAX(0,$E22-$H22),"")</f>
        <v>56.400000000000006</v>
      </c>
      <c r="O22" s="19">
        <f>IFERROR($D22/$E22,"")</f>
        <v>7.908333333333333</v>
      </c>
      <c r="P22" s="10">
        <f>IFERROR($N22*$O22,"")</f>
        <v>446.03000000000003</v>
      </c>
      <c r="Q22" s="21">
        <f>IFERROR($P22*$I22,"")</f>
        <v>59.41119600000001</v>
      </c>
      <c r="R22" t="str">
        <f>IF(ISNUMBER($Q22),IF($Q22&gt;'Parámetros'!$B$16,"Tanda demasiado grande para lo que dura: baja a la tanda recomendada",IF($N22&gt;0,"Se te queda algo en cada tanda, pero es asumible","La tanda cabe entera dentro de la vida útil")),"")</f>
        <v>Se te queda algo en cada tanda, pero es asumible</v>
      </c>
    </row>
    <row r="23" ht="28" customHeight="1">
      <c r="A23" t="inlineStr">
        <is>
          <t>BC8</t>
        </is>
      </c>
      <c r="B23" s="6" t="inlineStr">
        <is>
          <t>Bombón de praline de cacahuete</t>
        </is>
      </c>
      <c r="C23" s="9" t="n">
        <v>16.5</v>
      </c>
      <c r="D23" s="10">
        <f>IFERROR($C23*'Parámetros'!$B$10,"")</f>
        <v>858.0</v>
      </c>
      <c r="E23" s="8" t="n">
        <v>120</v>
      </c>
      <c r="F23" s="10">
        <f>'Vida Útil Declarada'!G23</f>
        <v>60.0</v>
      </c>
      <c r="G23" s="19">
        <f>IFERROR($F23/7,"")</f>
        <v>8.571428571428571</v>
      </c>
      <c r="H23" s="10">
        <f>IFERROR($C23*$G23,"")</f>
        <v>141.42857142857142</v>
      </c>
      <c r="I23" s="11" t="n">
        <v>0.1866</v>
      </c>
      <c r="J23" s="20">
        <f>IFERROR($I23*'Parámetros'!$B$15,"")</f>
        <v>0.04665</v>
      </c>
      <c r="K23" s="10">
        <f>IFERROR(SQRT(2*$D23*'Parámetros'!$B$14/$J23),"")</f>
        <v>1134.6628605334515</v>
      </c>
      <c r="L23" s="10">
        <f>IFERROR($H23,"")</f>
        <v>141.42857142857142</v>
      </c>
      <c r="M23" s="10">
        <f>IFERROR(MIN($K23,$L23),"")</f>
        <v>141.42857142857142</v>
      </c>
      <c r="N23" s="10">
        <f>IFERROR(MAX(0,$E23-$H23),"")</f>
        <v>0.0</v>
      </c>
      <c r="O23" s="19">
        <f>IFERROR($D23/$E23,"")</f>
        <v>7.15</v>
      </c>
      <c r="P23" s="10">
        <f>IFERROR($N23*$O23,"")</f>
        <v>0.0</v>
      </c>
      <c r="Q23" s="21">
        <f>IFERROR($P23*$I23,"")</f>
        <v>0.0</v>
      </c>
      <c r="R23" t="str">
        <f>IF(ISNUMBER($Q23),IF($Q23&gt;'Parámetros'!$B$16,"Tanda demasiado grande para lo que dura: baja a la tanda recomendada",IF($N23&gt;0,"Se te queda algo en cada tanda, pero es asumible","La tanda cabe entera dentro de la vida útil")),"")</f>
        <v>La tanda cabe entera dentro de la vida útil</v>
      </c>
    </row>
    <row r="24" ht="28" customHeight="1">
      <c r="A24" t="inlineStr">
        <is>
          <t>BC9</t>
        </is>
      </c>
      <c r="B24" s="6" t="inlineStr">
        <is>
          <t>Bombón crujiente de sesamo y barquillo</t>
        </is>
      </c>
      <c r="C24" s="9" t="n">
        <v>16.5</v>
      </c>
      <c r="D24" s="10">
        <f>IFERROR($C24*'Parámetros'!$B$10,"")</f>
        <v>858.0</v>
      </c>
      <c r="E24" s="8" t="n">
        <v>120</v>
      </c>
      <c r="F24" s="10">
        <f>'Vida Útil Declarada'!G24</f>
        <v>21.0</v>
      </c>
      <c r="G24" s="19">
        <f>IFERROR($F24/7,"")</f>
        <v>3.0</v>
      </c>
      <c r="H24" s="10">
        <f>IFERROR($C24*$G24,"")</f>
        <v>49.5</v>
      </c>
      <c r="I24" s="11" t="n">
        <v>0.1904</v>
      </c>
      <c r="J24" s="20">
        <f>IFERROR($I24*'Parámetros'!$B$15,"")</f>
        <v>0.0476</v>
      </c>
      <c r="K24" s="10">
        <f>IFERROR(SQRT(2*$D24*'Parámetros'!$B$14/$J24),"")</f>
        <v>1123.2830034690069</v>
      </c>
      <c r="L24" s="10">
        <f>IFERROR($H24,"")</f>
        <v>49.5</v>
      </c>
      <c r="M24" s="10">
        <f>IFERROR(MIN($K24,$L24),"")</f>
        <v>49.5</v>
      </c>
      <c r="N24" s="10">
        <f>IFERROR(MAX(0,$E24-$H24),"")</f>
        <v>70.5</v>
      </c>
      <c r="O24" s="19">
        <f>IFERROR($D24/$E24,"")</f>
        <v>7.15</v>
      </c>
      <c r="P24" s="10">
        <f>IFERROR($N24*$O24,"")</f>
        <v>504.07500000000005</v>
      </c>
      <c r="Q24" s="21">
        <f>IFERROR($P24*$I24,"")</f>
        <v>95.97588000000002</v>
      </c>
      <c r="R24" t="str">
        <f>IF(ISNUMBER($Q24),IF($Q24&gt;'Parámetros'!$B$16,"Tanda demasiado grande para lo que dura: baja a la tanda recomendada",IF($N24&gt;0,"Se te queda algo en cada tanda, pero es asumible","La tanda cabe entera dentro de la vida útil")),"")</f>
        <v>Se te queda algo en cada tanda, pero es asumible</v>
      </c>
    </row>
    <row r="25" ht="28" customHeight="1">
      <c r="A25" t="inlineStr">
        <is>
          <t>BC10</t>
        </is>
      </c>
      <c r="B25" s="6" t="inlineStr">
        <is>
          <t>Bombón de naranja confitada y chocolate negro</t>
        </is>
      </c>
      <c r="C25" s="9" t="n">
        <v>16.5</v>
      </c>
      <c r="D25" s="10">
        <f>IFERROR($C25*'Parámetros'!$B$10,"")</f>
        <v>858.0</v>
      </c>
      <c r="E25" s="8" t="n">
        <v>120</v>
      </c>
      <c r="F25" s="10">
        <f>'Vida Útil Declarada'!G25</f>
        <v>30.0</v>
      </c>
      <c r="G25" s="19">
        <f>IFERROR($F25/7,"")</f>
        <v>4.285714285714286</v>
      </c>
      <c r="H25" s="10">
        <f>IFERROR($C25*$G25,"")</f>
        <v>70.71428571428571</v>
      </c>
      <c r="I25" s="11" t="n">
        <v>0.2184</v>
      </c>
      <c r="J25" s="20">
        <f>IFERROR($I25*'Parámetros'!$B$15,"")</f>
        <v>0.0546</v>
      </c>
      <c r="K25" s="10">
        <f>IFERROR(SQRT(2*$D25*'Parámetros'!$B$14/$J25),"")</f>
        <v>1048.8088481701516</v>
      </c>
      <c r="L25" s="10">
        <f>IFERROR($H25,"")</f>
        <v>70.71428571428571</v>
      </c>
      <c r="M25" s="10">
        <f>IFERROR(MIN($K25,$L25),"")</f>
        <v>70.71428571428571</v>
      </c>
      <c r="N25" s="10">
        <f>IFERROR(MAX(0,$E25-$H25),"")</f>
        <v>49.28571428571429</v>
      </c>
      <c r="O25" s="19">
        <f>IFERROR($D25/$E25,"")</f>
        <v>7.15</v>
      </c>
      <c r="P25" s="10">
        <f>IFERROR($N25*$O25,"")</f>
        <v>352.3928571428572</v>
      </c>
      <c r="Q25" s="21">
        <f>IFERROR($P25*$I25,"")</f>
        <v>76.96260000000002</v>
      </c>
      <c r="R25" t="str">
        <f>IF(ISNUMBER($Q25),IF($Q25&gt;'Parámetros'!$B$16,"Tanda demasiado grande para lo que dura: baja a la tanda recomendada",IF($N25&gt;0,"Se te queda algo en cada tanda, pero es asumible","La tanda cabe entera dentro de la vida útil")),"")</f>
        <v>Se te queda algo en cada tanda, pero es asumible</v>
      </c>
    </row>
    <row r="26" ht="28" customHeight="1">
      <c r="A26" t="inlineStr">
        <is>
          <t>TB1</t>
        </is>
      </c>
      <c r="B26" s="6" t="inlineStr">
        <is>
          <t>Tableta de chocolate negro de origen 70 %, 100 g</t>
        </is>
      </c>
      <c r="C26" s="9" t="n">
        <v>38.4</v>
      </c>
      <c r="D26" s="10">
        <f>IFERROR($C26*'Parámetros'!$B$10,"")</f>
        <v>1996.8</v>
      </c>
      <c r="E26" s="8" t="n">
        <v>30</v>
      </c>
      <c r="F26" s="10">
        <f>'Vida Útil Declarada'!G26</f>
        <v>360.0</v>
      </c>
      <c r="G26" s="19">
        <f>IFERROR($F26/7,"")</f>
        <v>51.42857142857143</v>
      </c>
      <c r="H26" s="10">
        <f>IFERROR($C26*$G26,"")</f>
        <v>1974.857142857143</v>
      </c>
      <c r="I26" s="11" t="n">
        <v>3.748</v>
      </c>
      <c r="J26" s="20">
        <f>IFERROR($I26*'Parámetros'!$B$15,"")</f>
        <v>0.937</v>
      </c>
      <c r="K26" s="10">
        <f>IFERROR(SQRT(2*$D26*'Parámetros'!$B$14/$J26),"")</f>
        <v>386.23044862495937</v>
      </c>
      <c r="L26" s="10">
        <f>IFERROR($H26,"")</f>
        <v>1974.857142857143</v>
      </c>
      <c r="M26" s="10">
        <f>IFERROR(MIN($K26,$L26),"")</f>
        <v>386.23044862495937</v>
      </c>
      <c r="N26" s="10">
        <f>IFERROR(MAX(0,$E26-$H26),"")</f>
        <v>0.0</v>
      </c>
      <c r="O26" s="19">
        <f>IFERROR($D26/$E26,"")</f>
        <v>66.56</v>
      </c>
      <c r="P26" s="10">
        <f>IFERROR($N26*$O26,"")</f>
        <v>0.0</v>
      </c>
      <c r="Q26" s="21">
        <f>IFERROR($P26*$I26,"")</f>
        <v>0.0</v>
      </c>
      <c r="R26" t="str">
        <f>IF(ISNUMBER($Q26),IF($Q26&gt;'Parámetros'!$B$16,"Tanda demasiado grande para lo que dura: baja a la tanda recomendada",IF($N26&gt;0,"Se te queda algo en cada tanda, pero es asumible","La tanda cabe entera dentro de la vida útil")),"")</f>
        <v>La tanda cabe entera dentro de la vida útil</v>
      </c>
    </row>
    <row r="27" ht="28" customHeight="1">
      <c r="A27" t="inlineStr">
        <is>
          <t>TB2</t>
        </is>
      </c>
      <c r="B27" s="6" t="inlineStr">
        <is>
          <t>Tableta de chocolate con leche 38 %, 100 g</t>
        </is>
      </c>
      <c r="C27" s="9" t="n">
        <v>32.9</v>
      </c>
      <c r="D27" s="10">
        <f>IFERROR($C27*'Parámetros'!$B$10,"")</f>
        <v>1710.8</v>
      </c>
      <c r="E27" s="8" t="n">
        <v>30</v>
      </c>
      <c r="F27" s="10">
        <f>'Vida Útil Declarada'!G27</f>
        <v>360.0</v>
      </c>
      <c r="G27" s="19">
        <f>IFERROR($F27/7,"")</f>
        <v>51.42857142857143</v>
      </c>
      <c r="H27" s="10">
        <f>IFERROR($C27*$G27,"")</f>
        <v>1692.0</v>
      </c>
      <c r="I27" s="11" t="n">
        <v>1.95</v>
      </c>
      <c r="J27" s="20">
        <f>IFERROR($I27*'Parámetros'!$B$15,"")</f>
        <v>0.4875</v>
      </c>
      <c r="K27" s="10">
        <f>IFERROR(SQRT(2*$D27*'Parámetros'!$B$14/$J27),"")</f>
        <v>495.6342737677988</v>
      </c>
      <c r="L27" s="10">
        <f>IFERROR($H27,"")</f>
        <v>1692.0</v>
      </c>
      <c r="M27" s="10">
        <f>IFERROR(MIN($K27,$L27),"")</f>
        <v>495.6342737677988</v>
      </c>
      <c r="N27" s="10">
        <f>IFERROR(MAX(0,$E27-$H27),"")</f>
        <v>0.0</v>
      </c>
      <c r="O27" s="19">
        <f>IFERROR($D27/$E27,"")</f>
        <v>57.026666666666664</v>
      </c>
      <c r="P27" s="10">
        <f>IFERROR($N27*$O27,"")</f>
        <v>0.0</v>
      </c>
      <c r="Q27" s="21">
        <f>IFERROR($P27*$I27,"")</f>
        <v>0.0</v>
      </c>
      <c r="R27" t="str">
        <f>IF(ISNUMBER($Q27),IF($Q27&gt;'Parámetros'!$B$16,"Tanda demasiado grande para lo que dura: baja a la tanda recomendada",IF($N27&gt;0,"Se te queda algo en cada tanda, pero es asumible","La tanda cabe entera dentro de la vida útil")),"")</f>
        <v>La tanda cabe entera dentro de la vida útil</v>
      </c>
    </row>
    <row r="28" ht="28" customHeight="1">
      <c r="A28" t="inlineStr">
        <is>
          <t>TB3</t>
        </is>
      </c>
      <c r="B28" s="6" t="inlineStr">
        <is>
          <t>Tableta de chocolate blanco 30 %, 100 g</t>
        </is>
      </c>
      <c r="C28" s="9" t="n">
        <v>21.9</v>
      </c>
      <c r="D28" s="10">
        <f>IFERROR($C28*'Parámetros'!$B$10,"")</f>
        <v>1138.8</v>
      </c>
      <c r="E28" s="8" t="n">
        <v>24</v>
      </c>
      <c r="F28" s="10">
        <f>'Vida Útil Declarada'!G28</f>
        <v>360.0</v>
      </c>
      <c r="G28" s="19">
        <f>IFERROR($F28/7,"")</f>
        <v>51.42857142857143</v>
      </c>
      <c r="H28" s="10">
        <f>IFERROR($C28*$G28,"")</f>
        <v>1126.2857142857142</v>
      </c>
      <c r="I28" s="11" t="n">
        <v>2.1</v>
      </c>
      <c r="J28" s="20">
        <f>IFERROR($I28*'Parámetros'!$B$15,"")</f>
        <v>0.525</v>
      </c>
      <c r="K28" s="10">
        <f>IFERROR(SQRT(2*$D28*'Parámetros'!$B$14/$J28),"")</f>
        <v>389.6665240946417</v>
      </c>
      <c r="L28" s="10">
        <f>IFERROR($H28,"")</f>
        <v>1126.2857142857142</v>
      </c>
      <c r="M28" s="10">
        <f>IFERROR(MIN($K28,$L28),"")</f>
        <v>389.6665240946417</v>
      </c>
      <c r="N28" s="10">
        <f>IFERROR(MAX(0,$E28-$H28),"")</f>
        <v>0.0</v>
      </c>
      <c r="O28" s="19">
        <f>IFERROR($D28/$E28,"")</f>
        <v>47.449999999999996</v>
      </c>
      <c r="P28" s="10">
        <f>IFERROR($N28*$O28,"")</f>
        <v>0.0</v>
      </c>
      <c r="Q28" s="21">
        <f>IFERROR($P28*$I28,"")</f>
        <v>0.0</v>
      </c>
      <c r="R28" t="str">
        <f>IF(ISNUMBER($Q28),IF($Q28&gt;'Parámetros'!$B$16,"Tanda demasiado grande para lo que dura: baja a la tanda recomendada",IF($N28&gt;0,"Se te queda algo en cada tanda, pero es asumible","La tanda cabe entera dentro de la vida útil")),"")</f>
        <v>La tanda cabe entera dentro de la vida útil</v>
      </c>
    </row>
    <row r="29" ht="28" customHeight="1">
      <c r="A29" t="inlineStr">
        <is>
          <t>TB4</t>
        </is>
      </c>
      <c r="B29" s="6" t="inlineStr">
        <is>
          <t>Tableta de chocolate negro con almendra marcona, 100 g</t>
        </is>
      </c>
      <c r="C29" s="9" t="n">
        <v>27.4</v>
      </c>
      <c r="D29" s="10">
        <f>IFERROR($C29*'Parámetros'!$B$10,"")</f>
        <v>1424.8</v>
      </c>
      <c r="E29" s="8" t="n">
        <v>24</v>
      </c>
      <c r="F29" s="10">
        <f>'Vida Útil Declarada'!G29</f>
        <v>360.0</v>
      </c>
      <c r="G29" s="19">
        <f>IFERROR($F29/7,"")</f>
        <v>51.42857142857143</v>
      </c>
      <c r="H29" s="10">
        <f>IFERROR($C29*$G29,"")</f>
        <v>1409.142857142857</v>
      </c>
      <c r="I29" s="11" t="n">
        <v>2.0469</v>
      </c>
      <c r="J29" s="20">
        <f>IFERROR($I29*'Parámetros'!$B$15,"")</f>
        <v>0.511725</v>
      </c>
      <c r="K29" s="10">
        <f>IFERROR(SQRT(2*$D29*'Parámetros'!$B$14/$J29),"")</f>
        <v>441.47656614394367</v>
      </c>
      <c r="L29" s="10">
        <f>IFERROR($H29,"")</f>
        <v>1409.142857142857</v>
      </c>
      <c r="M29" s="10">
        <f>IFERROR(MIN($K29,$L29),"")</f>
        <v>441.47656614394367</v>
      </c>
      <c r="N29" s="10">
        <f>IFERROR(MAX(0,$E29-$H29),"")</f>
        <v>0.0</v>
      </c>
      <c r="O29" s="19">
        <f>IFERROR($D29/$E29,"")</f>
        <v>59.36666666666667</v>
      </c>
      <c r="P29" s="10">
        <f>IFERROR($N29*$O29,"")</f>
        <v>0.0</v>
      </c>
      <c r="Q29" s="21">
        <f>IFERROR($P29*$I29,"")</f>
        <v>0.0</v>
      </c>
      <c r="R29" t="str">
        <f>IF(ISNUMBER($Q29),IF($Q29&gt;'Parámetros'!$B$16,"Tanda demasiado grande para lo que dura: baja a la tanda recomendada",IF($N29&gt;0,"Se te queda algo en cada tanda, pero es asumible","La tanda cabe entera dentro de la vida útil")),"")</f>
        <v>La tanda cabe entera dentro de la vida útil</v>
      </c>
    </row>
    <row r="30" ht="28" customHeight="1">
      <c r="A30" t="inlineStr">
        <is>
          <t>TB5</t>
        </is>
      </c>
      <c r="B30" s="6" t="inlineStr">
        <is>
          <t>Tableta de chocolate con leche y avellana, 100 g</t>
        </is>
      </c>
      <c r="C30" s="9" t="n">
        <v>21.9</v>
      </c>
      <c r="D30" s="10">
        <f>IFERROR($C30*'Parámetros'!$B$10,"")</f>
        <v>1138.8</v>
      </c>
      <c r="E30" s="8" t="n">
        <v>24</v>
      </c>
      <c r="F30" s="10">
        <f>'Vida Útil Declarada'!G30</f>
        <v>360.0</v>
      </c>
      <c r="G30" s="19">
        <f>IFERROR($F30/7,"")</f>
        <v>51.42857142857143</v>
      </c>
      <c r="H30" s="10">
        <f>IFERROR($C30*$G30,"")</f>
        <v>1126.2857142857142</v>
      </c>
      <c r="I30" s="11" t="n">
        <v>1.838</v>
      </c>
      <c r="J30" s="20">
        <f>IFERROR($I30*'Parámetros'!$B$15,"")</f>
        <v>0.4595</v>
      </c>
      <c r="K30" s="10">
        <f>IFERROR(SQRT(2*$D30*'Parámetros'!$B$14/$J30),"")</f>
        <v>416.5143718773861</v>
      </c>
      <c r="L30" s="10">
        <f>IFERROR($H30,"")</f>
        <v>1126.2857142857142</v>
      </c>
      <c r="M30" s="10">
        <f>IFERROR(MIN($K30,$L30),"")</f>
        <v>416.5143718773861</v>
      </c>
      <c r="N30" s="10">
        <f>IFERROR(MAX(0,$E30-$H30),"")</f>
        <v>0.0</v>
      </c>
      <c r="O30" s="19">
        <f>IFERROR($D30/$E30,"")</f>
        <v>47.449999999999996</v>
      </c>
      <c r="P30" s="10">
        <f>IFERROR($N30*$O30,"")</f>
        <v>0.0</v>
      </c>
      <c r="Q30" s="21">
        <f>IFERROR($P30*$I30,"")</f>
        <v>0.0</v>
      </c>
      <c r="R30" t="str">
        <f>IF(ISNUMBER($Q30),IF($Q30&gt;'Parámetros'!$B$16,"Tanda demasiado grande para lo que dura: baja a la tanda recomendada",IF($N30&gt;0,"Se te queda algo en cada tanda, pero es asumible","La tanda cabe entera dentro de la vida útil")),"")</f>
        <v>La tanda cabe entera dentro de la vida útil</v>
      </c>
    </row>
    <row r="31" ht="28" customHeight="1">
      <c r="A31" t="inlineStr">
        <is>
          <t>TB6</t>
        </is>
      </c>
      <c r="B31" s="6" t="inlineStr">
        <is>
          <t>Tableta rellena de praline, 100 g</t>
        </is>
      </c>
      <c r="C31" s="9" t="n">
        <v>16.5</v>
      </c>
      <c r="D31" s="10">
        <f>IFERROR($C31*'Parámetros'!$B$10,"")</f>
        <v>858.0</v>
      </c>
      <c r="E31" s="8" t="n">
        <v>18</v>
      </c>
      <c r="F31" s="10">
        <f>'Vida Útil Declarada'!G31</f>
        <v>60.0</v>
      </c>
      <c r="G31" s="19">
        <f>IFERROR($F31/7,"")</f>
        <v>8.571428571428571</v>
      </c>
      <c r="H31" s="10">
        <f>IFERROR($C31*$G31,"")</f>
        <v>141.42857142857142</v>
      </c>
      <c r="I31" s="11" t="n">
        <v>1.7984</v>
      </c>
      <c r="J31" s="20">
        <f>IFERROR($I31*'Parámetros'!$B$15,"")</f>
        <v>0.4496</v>
      </c>
      <c r="K31" s="10">
        <f>IFERROR(SQRT(2*$D31*'Parámetros'!$B$14/$J31),"")</f>
        <v>365.4933778506377</v>
      </c>
      <c r="L31" s="10">
        <f>IFERROR($H31,"")</f>
        <v>141.42857142857142</v>
      </c>
      <c r="M31" s="10">
        <f>IFERROR(MIN($K31,$L31),"")</f>
        <v>141.42857142857142</v>
      </c>
      <c r="N31" s="10">
        <f>IFERROR(MAX(0,$E31-$H31),"")</f>
        <v>0.0</v>
      </c>
      <c r="O31" s="19">
        <f>IFERROR($D31/$E31,"")</f>
        <v>47.666666666666664</v>
      </c>
      <c r="P31" s="10">
        <f>IFERROR($N31*$O31,"")</f>
        <v>0.0</v>
      </c>
      <c r="Q31" s="21">
        <f>IFERROR($P31*$I31,"")</f>
        <v>0.0</v>
      </c>
      <c r="R31" t="str">
        <f>IF(ISNUMBER($Q31),IF($Q31&gt;'Parámetros'!$B$16,"Tanda demasiado grande para lo que dura: baja a la tanda recomendada",IF($N31&gt;0,"Se te queda algo en cada tanda, pero es asumible","La tanda cabe entera dentro de la vida útil")),"")</f>
        <v>La tanda cabe entera dentro de la vida útil</v>
      </c>
    </row>
    <row r="32" ht="28" customHeight="1">
      <c r="A32" t="inlineStr">
        <is>
          <t>CT1</t>
        </is>
      </c>
      <c r="B32" s="6" t="inlineStr">
        <is>
          <t>Tableta de chocolate a la taza, 200 g</t>
        </is>
      </c>
      <c r="C32" s="9" t="n">
        <v>16.5</v>
      </c>
      <c r="D32" s="10">
        <f>IFERROR($C32*'Parámetros'!$B$10,"")</f>
        <v>858.0</v>
      </c>
      <c r="E32" s="8" t="n">
        <v>16</v>
      </c>
      <c r="F32" s="10">
        <f>'Vida Útil Declarada'!G32</f>
        <v>360.0</v>
      </c>
      <c r="G32" s="19">
        <f>IFERROR($F32/7,"")</f>
        <v>51.42857142857143</v>
      </c>
      <c r="H32" s="10">
        <f>IFERROR($C32*$G32,"")</f>
        <v>848.5714285714286</v>
      </c>
      <c r="I32" s="11" t="n">
        <v>2.3394</v>
      </c>
      <c r="J32" s="20">
        <f>IFERROR($I32*'Parámetros'!$B$15,"")</f>
        <v>0.58485</v>
      </c>
      <c r="K32" s="10">
        <f>IFERROR(SQRT(2*$D32*'Parámetros'!$B$14/$J32),"")</f>
        <v>320.45748267854174</v>
      </c>
      <c r="L32" s="10">
        <f>IFERROR($H32,"")</f>
        <v>848.5714285714286</v>
      </c>
      <c r="M32" s="10">
        <f>IFERROR(MIN($K32,$L32),"")</f>
        <v>320.45748267854174</v>
      </c>
      <c r="N32" s="10">
        <f>IFERROR(MAX(0,$E32-$H32),"")</f>
        <v>0.0</v>
      </c>
      <c r="O32" s="19">
        <f>IFERROR($D32/$E32,"")</f>
        <v>53.625</v>
      </c>
      <c r="P32" s="10">
        <f>IFERROR($N32*$O32,"")</f>
        <v>0.0</v>
      </c>
      <c r="Q32" s="21">
        <f>IFERROR($P32*$I32,"")</f>
        <v>0.0</v>
      </c>
      <c r="R32" t="str">
        <f>IF(ISNUMBER($Q32),IF($Q32&gt;'Parámetros'!$B$16,"Tanda demasiado grande para lo que dura: baja a la tanda recomendada",IF($N32&gt;0,"Se te queda algo en cada tanda, pero es asumible","La tanda cabe entera dentro de la vida útil")),"")</f>
        <v>La tanda cabe entera dentro de la vida útil</v>
      </c>
    </row>
    <row r="33" ht="28" customHeight="1">
      <c r="A33" t="inlineStr">
        <is>
          <t>CT2</t>
        </is>
      </c>
      <c r="B33" s="6" t="inlineStr">
        <is>
          <t>Caja de 6 sobres monodosis de chocolate a la taza</t>
        </is>
      </c>
      <c r="C33" s="9" t="n">
        <v>11</v>
      </c>
      <c r="D33" s="10">
        <f>IFERROR($C33*'Parámetros'!$B$10,"")</f>
        <v>572.0</v>
      </c>
      <c r="E33" s="8" t="n">
        <v>36</v>
      </c>
      <c r="F33" s="10">
        <f>'Vida Útil Declarada'!G33</f>
        <v>360.0</v>
      </c>
      <c r="G33" s="19">
        <f>IFERROR($F33/7,"")</f>
        <v>51.42857142857143</v>
      </c>
      <c r="H33" s="10">
        <f>IFERROR($C33*$G33,"")</f>
        <v>565.7142857142858</v>
      </c>
      <c r="I33" s="11" t="n">
        <v>2.1054</v>
      </c>
      <c r="J33" s="20">
        <f>IFERROR($I33*'Parámetros'!$B$15,"")</f>
        <v>0.52635</v>
      </c>
      <c r="K33" s="10">
        <f>IFERROR(SQRT(2*$D33*'Parámetros'!$B$14/$J33),"")</f>
        <v>275.8098174130142</v>
      </c>
      <c r="L33" s="10">
        <f>IFERROR($H33,"")</f>
        <v>565.7142857142858</v>
      </c>
      <c r="M33" s="10">
        <f>IFERROR(MIN($K33,$L33),"")</f>
        <v>275.8098174130142</v>
      </c>
      <c r="N33" s="10">
        <f>IFERROR(MAX(0,$E33-$H33),"")</f>
        <v>0.0</v>
      </c>
      <c r="O33" s="19">
        <f>IFERROR($D33/$E33,"")</f>
        <v>15.88888888888889</v>
      </c>
      <c r="P33" s="10">
        <f>IFERROR($N33*$O33,"")</f>
        <v>0.0</v>
      </c>
      <c r="Q33" s="21">
        <f>IFERROR($P33*$I33,"")</f>
        <v>0.0</v>
      </c>
      <c r="R33" t="str">
        <f>IF(ISNUMBER($Q33),IF($Q33&gt;'Parámetros'!$B$16,"Tanda demasiado grande para lo que dura: baja a la tanda recomendada",IF($N33&gt;0,"Se te queda algo en cada tanda, pero es asumible","La tanda cabe entera dentro de la vida útil")),"")</f>
        <v>La tanda cabe entera dentro de la vida útil</v>
      </c>
    </row>
    <row r="34" ht="28" customHeight="1">
      <c r="A34" t="inlineStr">
        <is>
          <t>CT3</t>
        </is>
      </c>
      <c r="B34" s="6" t="inlineStr">
        <is>
          <t>Chocolate a la taza servido en sala, 200 ml</t>
        </is>
      </c>
      <c r="C34" s="9" t="n">
        <v>16.5</v>
      </c>
      <c r="D34" s="10">
        <f>IFERROR($C34*'Parámetros'!$B$10,"")</f>
        <v>858.0</v>
      </c>
      <c r="E34" s="8" t="n">
        <v>1</v>
      </c>
      <c r="F34" s="10">
        <f>'Vida Útil Declarada'!G34</f>
        <v>360.0</v>
      </c>
      <c r="G34" s="19">
        <f>IFERROR($F34/7,"")</f>
        <v>51.42857142857143</v>
      </c>
      <c r="H34" s="10">
        <f>IFERROR($C34*$G34,"")</f>
        <v>848.5714285714286</v>
      </c>
      <c r="I34" s="11" t="n">
        <v>0.5264</v>
      </c>
      <c r="J34" s="20">
        <f>IFERROR($I34*'Parámetros'!$B$15,"")</f>
        <v>0.1316</v>
      </c>
      <c r="K34" s="10">
        <f>IFERROR(SQRT(2*$D34*'Parámetros'!$B$14/$J34),"")</f>
        <v>675.5612324011823</v>
      </c>
      <c r="L34" s="10">
        <f>IFERROR($H34,"")</f>
        <v>848.5714285714286</v>
      </c>
      <c r="M34" s="10">
        <f>IFERROR(MIN($K34,$L34),"")</f>
        <v>675.5612324011823</v>
      </c>
      <c r="N34" s="10">
        <f>IFERROR(MAX(0,$E34-$H34),"")</f>
        <v>0.0</v>
      </c>
      <c r="O34" s="19">
        <f>IFERROR($D34/$E34,"")</f>
        <v>858.0</v>
      </c>
      <c r="P34" s="10">
        <f>IFERROR($N34*$O34,"")</f>
        <v>0.0</v>
      </c>
      <c r="Q34" s="21">
        <f>IFERROR($P34*$I34,"")</f>
        <v>0.0</v>
      </c>
      <c r="R34" t="str">
        <f>IF(ISNUMBER($Q34),IF($Q34&gt;'Parámetros'!$B$16,"Tanda demasiado grande para lo que dura: baja a la tanda recomendada",IF($N34&gt;0,"Se te queda algo en cada tanda, pero es asumible","La tanda cabe entera dentro de la vida útil")),"")</f>
        <v>La tanda cabe entera dentro de la vida útil</v>
      </c>
    </row>
    <row r="35" ht="28" customHeight="1">
      <c r="A35" t="inlineStr">
        <is>
          <t>TF1</t>
        </is>
      </c>
      <c r="B35" s="6" t="inlineStr">
        <is>
          <t>Huevo de Pascua de chocolate con leche, 250 g</t>
        </is>
      </c>
      <c r="C35" s="9" t="n">
        <v>11</v>
      </c>
      <c r="D35" s="10">
        <f>IFERROR($C35*'Parámetros'!$B$10,"")</f>
        <v>572.0</v>
      </c>
      <c r="E35" s="8" t="n">
        <v>12</v>
      </c>
      <c r="F35" s="10">
        <f>'Vida Útil Declarada'!G35</f>
        <v>180.0</v>
      </c>
      <c r="G35" s="19">
        <f>IFERROR($F35/7,"")</f>
        <v>25.714285714285715</v>
      </c>
      <c r="H35" s="10">
        <f>IFERROR($C35*$G35,"")</f>
        <v>282.8571428571429</v>
      </c>
      <c r="I35" s="11" t="n">
        <v>4.875</v>
      </c>
      <c r="J35" s="20">
        <f>IFERROR($I35*'Parámetros'!$B$15,"")</f>
        <v>1.21875</v>
      </c>
      <c r="K35" s="10">
        <f>IFERROR(SQRT(2*$D35*'Parámetros'!$B$14/$J35),"")</f>
        <v>181.25488499164192</v>
      </c>
      <c r="L35" s="10">
        <f>IFERROR($H35,"")</f>
        <v>282.8571428571429</v>
      </c>
      <c r="M35" s="10">
        <f>IFERROR(MIN($K35,$L35),"")</f>
        <v>181.25488499164192</v>
      </c>
      <c r="N35" s="10">
        <f>IFERROR(MAX(0,$E35-$H35),"")</f>
        <v>0.0</v>
      </c>
      <c r="O35" s="19">
        <f>IFERROR($D35/$E35,"")</f>
        <v>47.666666666666664</v>
      </c>
      <c r="P35" s="10">
        <f>IFERROR($N35*$O35,"")</f>
        <v>0.0</v>
      </c>
      <c r="Q35" s="21">
        <f>IFERROR($P35*$I35,"")</f>
        <v>0.0</v>
      </c>
      <c r="R35" t="str">
        <f>IF(ISNUMBER($Q35),IF($Q35&gt;'Parámetros'!$B$16,"Tanda demasiado grande para lo que dura: baja a la tanda recomendada",IF($N35&gt;0,"Se te queda algo en cada tanda, pero es asumible","La tanda cabe entera dentro de la vida útil")),"")</f>
        <v>La tanda cabe entera dentro de la vida útil</v>
      </c>
    </row>
    <row r="36" ht="28" customHeight="1">
      <c r="A36" t="inlineStr">
        <is>
          <t>TF2</t>
        </is>
      </c>
      <c r="B36" s="6" t="inlineStr">
        <is>
          <t>Mona de Pascua de chocolate, 400 g</t>
        </is>
      </c>
      <c r="C36" s="9" t="n">
        <v>8.199999999999999</v>
      </c>
      <c r="D36" s="10">
        <f>IFERROR($C36*'Parámetros'!$B$10,"")</f>
        <v>426.4</v>
      </c>
      <c r="E36" s="8" t="n">
        <v>6</v>
      </c>
      <c r="F36" s="10">
        <f>'Vida Útil Declarada'!G36</f>
        <v>180.0</v>
      </c>
      <c r="G36" s="19">
        <f>IFERROR($F36/7,"")</f>
        <v>25.714285714285715</v>
      </c>
      <c r="H36" s="10">
        <f>IFERROR($C36*$G36,"")</f>
        <v>210.85714285714286</v>
      </c>
      <c r="I36" s="11" t="n">
        <v>7.658</v>
      </c>
      <c r="J36" s="20">
        <f>IFERROR($I36*'Parámetros'!$B$15,"")</f>
        <v>1.9145</v>
      </c>
      <c r="K36" s="10">
        <f>IFERROR(SQRT(2*$D36*'Parámetros'!$B$14/$J36),"")</f>
        <v>124.8618981173301</v>
      </c>
      <c r="L36" s="10">
        <f>IFERROR($H36,"")</f>
        <v>210.85714285714286</v>
      </c>
      <c r="M36" s="10">
        <f>IFERROR(MIN($K36,$L36),"")</f>
        <v>124.8618981173301</v>
      </c>
      <c r="N36" s="10">
        <f>IFERROR(MAX(0,$E36-$H36),"")</f>
        <v>0.0</v>
      </c>
      <c r="O36" s="19">
        <f>IFERROR($D36/$E36,"")</f>
        <v>71.06666666666666</v>
      </c>
      <c r="P36" s="10">
        <f>IFERROR($N36*$O36,"")</f>
        <v>0.0</v>
      </c>
      <c r="Q36" s="21">
        <f>IFERROR($P36*$I36,"")</f>
        <v>0.0</v>
      </c>
      <c r="R36" t="str">
        <f>IF(ISNUMBER($Q36),IF($Q36&gt;'Parámetros'!$B$16,"Tanda demasiado grande para lo que dura: baja a la tanda recomendada",IF($N36&gt;0,"Se te queda algo en cada tanda, pero es asumible","La tanda cabe entera dentro de la vida útil")),"")</f>
        <v>La tanda cabe entera dentro de la vida útil</v>
      </c>
    </row>
    <row r="37" ht="28" customHeight="1">
      <c r="A37" t="inlineStr">
        <is>
          <t>TF3</t>
        </is>
      </c>
      <c r="B37" s="6" t="inlineStr">
        <is>
          <t>Hueso de santo banado en chocolate</t>
        </is>
      </c>
      <c r="C37" s="9" t="n">
        <v>5.5</v>
      </c>
      <c r="D37" s="10">
        <f>IFERROR($C37*'Parámetros'!$B$10,"")</f>
        <v>286.0</v>
      </c>
      <c r="E37" s="8" t="n">
        <v>120</v>
      </c>
      <c r="F37" s="10">
        <f>'Vida Útil Declarada'!G37</f>
        <v>10.0</v>
      </c>
      <c r="G37" s="19">
        <f>IFERROR($F37/7,"")</f>
        <v>1.4285714285714286</v>
      </c>
      <c r="H37" s="10">
        <f>IFERROR($C37*$G37,"")</f>
        <v>7.857142857142858</v>
      </c>
      <c r="I37" s="11" t="n">
        <v>0.2591</v>
      </c>
      <c r="J37" s="20">
        <f>IFERROR($I37*'Parámetros'!$B$15,"")</f>
        <v>0.064775</v>
      </c>
      <c r="K37" s="10">
        <f>IFERROR(SQRT(2*$D37*'Parámetros'!$B$14/$J37),"")</f>
        <v>555.9405158809645</v>
      </c>
      <c r="L37" s="10">
        <f>IFERROR($H37,"")</f>
        <v>7.857142857142858</v>
      </c>
      <c r="M37" s="10">
        <f>IFERROR(MIN($K37,$L37),"")</f>
        <v>7.857142857142858</v>
      </c>
      <c r="N37" s="10">
        <f>IFERROR(MAX(0,$E37-$H37),"")</f>
        <v>112.14285714285714</v>
      </c>
      <c r="O37" s="19">
        <f>IFERROR($D37/$E37,"")</f>
        <v>2.3833333333333333</v>
      </c>
      <c r="P37" s="10">
        <f>IFERROR($N37*$O37,"")</f>
        <v>267.2738095238095</v>
      </c>
      <c r="Q37" s="21">
        <f>IFERROR($P37*$I37,"")</f>
        <v>69.25064404761905</v>
      </c>
      <c r="R37" t="str">
        <f>IF(ISNUMBER($Q37),IF($Q37&gt;'Parámetros'!$B$16,"Tanda demasiado grande para lo que dura: baja a la tanda recomendada",IF($N37&gt;0,"Se te queda algo en cada tanda, pero es asumible","La tanda cabe entera dentro de la vida útil")),"")</f>
        <v>Se te queda algo en cada tanda, pero es asumible</v>
      </c>
    </row>
    <row r="38" ht="28" customHeight="1">
      <c r="A38" t="inlineStr">
        <is>
          <t>TF4</t>
        </is>
      </c>
      <c r="B38" s="6" t="inlineStr">
        <is>
          <t>Turrón de chocolate con almendra, 250 g</t>
        </is>
      </c>
      <c r="C38" s="9" t="n">
        <v>11</v>
      </c>
      <c r="D38" s="10">
        <f>IFERROR($C38*'Parámetros'!$B$10,"")</f>
        <v>572.0</v>
      </c>
      <c r="E38" s="8" t="n">
        <v>24</v>
      </c>
      <c r="F38" s="10">
        <f>'Vida Útil Declarada'!G38</f>
        <v>360.0</v>
      </c>
      <c r="G38" s="19">
        <f>IFERROR($F38/7,"")</f>
        <v>51.42857142857143</v>
      </c>
      <c r="H38" s="10">
        <f>IFERROR($C38*$G38,"")</f>
        <v>565.7142857142858</v>
      </c>
      <c r="I38" s="11" t="n">
        <v>4.838</v>
      </c>
      <c r="J38" s="20">
        <f>IFERROR($I38*'Parámetros'!$B$15,"")</f>
        <v>1.2095</v>
      </c>
      <c r="K38" s="10">
        <f>IFERROR(SQRT(2*$D38*'Parámetros'!$B$14/$J38),"")</f>
        <v>181.94666436350346</v>
      </c>
      <c r="L38" s="10">
        <f>IFERROR($H38,"")</f>
        <v>565.7142857142858</v>
      </c>
      <c r="M38" s="10">
        <f>IFERROR(MIN($K38,$L38),"")</f>
        <v>181.94666436350346</v>
      </c>
      <c r="N38" s="10">
        <f>IFERROR(MAX(0,$E38-$H38),"")</f>
        <v>0.0</v>
      </c>
      <c r="O38" s="19">
        <f>IFERROR($D38/$E38,"")</f>
        <v>23.833333333333332</v>
      </c>
      <c r="P38" s="10">
        <f>IFERROR($N38*$O38,"")</f>
        <v>0.0</v>
      </c>
      <c r="Q38" s="21">
        <f>IFERROR($P38*$I38,"")</f>
        <v>0.0</v>
      </c>
      <c r="R38" t="str">
        <f>IF(ISNUMBER($Q38),IF($Q38&gt;'Parámetros'!$B$16,"Tanda demasiado grande para lo que dura: baja a la tanda recomendada",IF($N38&gt;0,"Se te queda algo en cada tanda, pero es asumible","La tanda cabe entera dentro de la vida útil")),"")</f>
        <v>La tanda cabe entera dentro de la vida útil</v>
      </c>
    </row>
    <row r="39" ht="28" customHeight="1">
      <c r="A39" t="inlineStr">
        <is>
          <t>TF5</t>
        </is>
      </c>
      <c r="B39" s="6" t="inlineStr">
        <is>
          <t>Almendras marcona banadas en chocolate, bolsa de 150 g</t>
        </is>
      </c>
      <c r="C39" s="9" t="n">
        <v>19.2</v>
      </c>
      <c r="D39" s="10">
        <f>IFERROR($C39*'Parámetros'!$B$10,"")</f>
        <v>998.4</v>
      </c>
      <c r="E39" s="8" t="n">
        <v>40</v>
      </c>
      <c r="F39" s="10">
        <f>'Vida Útil Declarada'!G39</f>
        <v>30.0</v>
      </c>
      <c r="G39" s="19">
        <f>IFERROR($F39/7,"")</f>
        <v>4.285714285714286</v>
      </c>
      <c r="H39" s="10">
        <f>IFERROR($C39*$G39,"")</f>
        <v>82.28571428571428</v>
      </c>
      <c r="I39" s="11" t="n">
        <v>2.7704</v>
      </c>
      <c r="J39" s="20">
        <f>IFERROR($I39*'Parámetros'!$B$15,"")</f>
        <v>0.6926</v>
      </c>
      <c r="K39" s="10">
        <f>IFERROR(SQRT(2*$D39*'Parámetros'!$B$14/$J39),"")</f>
        <v>317.65819408648326</v>
      </c>
      <c r="L39" s="10">
        <f>IFERROR($H39,"")</f>
        <v>82.28571428571428</v>
      </c>
      <c r="M39" s="10">
        <f>IFERROR(MIN($K39,$L39),"")</f>
        <v>82.28571428571428</v>
      </c>
      <c r="N39" s="10">
        <f>IFERROR(MAX(0,$E39-$H39),"")</f>
        <v>0.0</v>
      </c>
      <c r="O39" s="19">
        <f>IFERROR($D39/$E39,"")</f>
        <v>24.96</v>
      </c>
      <c r="P39" s="10">
        <f>IFERROR($N39*$O39,"")</f>
        <v>0.0</v>
      </c>
      <c r="Q39" s="21">
        <f>IFERROR($P39*$I39,"")</f>
        <v>0.0</v>
      </c>
      <c r="R39" t="str">
        <f>IF(ISNUMBER($Q39),IF($Q39&gt;'Parámetros'!$B$16,"Tanda demasiado grande para lo que dura: baja a la tanda recomendada",IF($N39&gt;0,"Se te queda algo en cada tanda, pero es asumible","La tanda cabe entera dentro de la vida útil")),"")</f>
        <v>La tanda cabe entera dentro de la vida útil</v>
      </c>
    </row>
    <row r="40" ht="28" customHeight="1">
      <c r="A40" t="inlineStr">
        <is>
          <t>CJ1</t>
        </is>
      </c>
      <c r="B40" s="6" t="inlineStr">
        <is>
          <t>Caja surtida de 12 bombones</t>
        </is>
      </c>
      <c r="C40" s="9" t="n">
        <v>27.4</v>
      </c>
      <c r="D40" s="10">
        <f>IFERROR($C40*'Parámetros'!$B$10,"")</f>
        <v>1424.8</v>
      </c>
      <c r="E40" s="8" t="n">
        <v>27</v>
      </c>
      <c r="F40" s="10">
        <f>'Vida Útil Declarada'!G40</f>
        <v>10.0</v>
      </c>
      <c r="G40" s="19">
        <f>IFERROR($F40/7,"")</f>
        <v>1.4285714285714286</v>
      </c>
      <c r="H40" s="10">
        <f>IFERROR($C40*$G40,"")</f>
        <v>39.14285714285714</v>
      </c>
      <c r="I40" s="11" t="n">
        <v>2.3233</v>
      </c>
      <c r="J40" s="20">
        <f>IFERROR($I40*'Parámetros'!$B$15,"")</f>
        <v>0.580825</v>
      </c>
      <c r="K40" s="10">
        <f>IFERROR(SQRT(2*$D40*'Parámetros'!$B$14/$J40),"")</f>
        <v>414.38432861141666</v>
      </c>
      <c r="L40" s="10">
        <f>IFERROR($H40,"")</f>
        <v>39.14285714285714</v>
      </c>
      <c r="M40" s="10">
        <f>IFERROR(MIN($K40,$L40),"")</f>
        <v>39.14285714285714</v>
      </c>
      <c r="N40" s="10">
        <f>IFERROR(MAX(0,$E40-$H40),"")</f>
        <v>0.0</v>
      </c>
      <c r="O40" s="19">
        <f>IFERROR($D40/$E40,"")</f>
        <v>52.770370370370365</v>
      </c>
      <c r="P40" s="10">
        <f>IFERROR($N40*$O40,"")</f>
        <v>0.0</v>
      </c>
      <c r="Q40" s="21">
        <f>IFERROR($P40*$I40,"")</f>
        <v>0.0</v>
      </c>
      <c r="R40" t="str">
        <f>IF(ISNUMBER($Q40),IF($Q40&gt;'Parámetros'!$B$16,"Tanda demasiado grande para lo que dura: baja a la tanda recomendada",IF($N40&gt;0,"Se te queda algo en cada tanda, pero es asumible","La tanda cabe entera dentro de la vida útil")),"")</f>
        <v>La tanda cabe entera dentro de la vida útil</v>
      </c>
    </row>
    <row r="41" ht="28" customHeight="1">
      <c r="A41" t="inlineStr">
        <is>
          <t>CJ2</t>
        </is>
      </c>
      <c r="B41" s="6" t="inlineStr">
        <is>
          <t>Caja surtida de 20 bombones</t>
        </is>
      </c>
      <c r="C41" s="9" t="n">
        <v>16.5</v>
      </c>
      <c r="D41" s="10">
        <f>IFERROR($C41*'Parámetros'!$B$10,"")</f>
        <v>858.0</v>
      </c>
      <c r="E41" s="8" t="n">
        <v>16</v>
      </c>
      <c r="F41" s="10">
        <f>'Vida Útil Declarada'!G41</f>
        <v>10.0</v>
      </c>
      <c r="G41" s="19">
        <f>IFERROR($F41/7,"")</f>
        <v>1.4285714285714286</v>
      </c>
      <c r="H41" s="10">
        <f>IFERROR($C41*$G41,"")</f>
        <v>23.571428571428573</v>
      </c>
      <c r="I41" s="11" t="n">
        <v>4.0028</v>
      </c>
      <c r="J41" s="20">
        <f>IFERROR($I41*'Parámetros'!$B$15,"")</f>
        <v>1.0007</v>
      </c>
      <c r="K41" s="10">
        <f>IFERROR(SQRT(2*$D41*'Parámetros'!$B$14/$J41),"")</f>
        <v>244.98568817139878</v>
      </c>
      <c r="L41" s="10">
        <f>IFERROR($H41,"")</f>
        <v>23.571428571428573</v>
      </c>
      <c r="M41" s="10">
        <f>IFERROR(MIN($K41,$L41),"")</f>
        <v>23.571428571428573</v>
      </c>
      <c r="N41" s="10">
        <f>IFERROR(MAX(0,$E41-$H41),"")</f>
        <v>0.0</v>
      </c>
      <c r="O41" s="19">
        <f>IFERROR($D41/$E41,"")</f>
        <v>53.625</v>
      </c>
      <c r="P41" s="10">
        <f>IFERROR($N41*$O41,"")</f>
        <v>0.0</v>
      </c>
      <c r="Q41" s="21">
        <f>IFERROR($P41*$I41,"")</f>
        <v>0.0</v>
      </c>
      <c r="R41" t="str">
        <f>IF(ISNUMBER($Q41),IF($Q41&gt;'Parámetros'!$B$16,"Tanda demasiado grande para lo que dura: baja a la tanda recomendada",IF($N41&gt;0,"Se te queda algo en cada tanda, pero es asumible","La tanda cabe entera dentro de la vida útil")),"")</f>
        <v>La tanda cabe entera dentro de la vida útil</v>
      </c>
    </row>
    <row r="42" ht="28" customHeight="1">
      <c r="A42" t="inlineStr">
        <is>
          <t>CJ3</t>
        </is>
      </c>
      <c r="B42" s="6" t="inlineStr">
        <is>
          <t>Caja surtida de 35 bombones</t>
        </is>
      </c>
      <c r="C42" s="9" t="n">
        <v>11</v>
      </c>
      <c r="D42" s="10">
        <f>IFERROR($C42*'Parámetros'!$B$10,"")</f>
        <v>572.0</v>
      </c>
      <c r="E42" s="8" t="n">
        <v>11</v>
      </c>
      <c r="F42" s="10">
        <f>'Vida Útil Declarada'!G42</f>
        <v>10.0</v>
      </c>
      <c r="G42" s="19">
        <f>IFERROR($F42/7,"")</f>
        <v>1.4285714285714286</v>
      </c>
      <c r="H42" s="10">
        <f>IFERROR($C42*$G42,"")</f>
        <v>15.714285714285715</v>
      </c>
      <c r="I42" s="11" t="n">
        <v>6.9099</v>
      </c>
      <c r="J42" s="20">
        <f>IFERROR($I42*'Parámetros'!$B$15,"")</f>
        <v>1.727475</v>
      </c>
      <c r="K42" s="10">
        <f>IFERROR(SQRT(2*$D42*'Parámetros'!$B$14/$J42),"")</f>
        <v>152.24433758327336</v>
      </c>
      <c r="L42" s="10">
        <f>IFERROR($H42,"")</f>
        <v>15.714285714285715</v>
      </c>
      <c r="M42" s="10">
        <f>IFERROR(MIN($K42,$L42),"")</f>
        <v>15.714285714285715</v>
      </c>
      <c r="N42" s="10">
        <f>IFERROR(MAX(0,$E42-$H42),"")</f>
        <v>0.0</v>
      </c>
      <c r="O42" s="19">
        <f>IFERROR($D42/$E42,"")</f>
        <v>52.0</v>
      </c>
      <c r="P42" s="10">
        <f>IFERROR($N42*$O42,"")</f>
        <v>0.0</v>
      </c>
      <c r="Q42" s="21">
        <f>IFERROR($P42*$I42,"")</f>
        <v>0.0</v>
      </c>
      <c r="R42" t="str">
        <f>IF(ISNUMBER($Q42),IF($Q42&gt;'Parámetros'!$B$16,"Tanda demasiado grande para lo que dura: baja a la tanda recomendada",IF($N42&gt;0,"Se te queda algo en cada tanda, pero es asumible","La tanda cabe entera dentro de la vida útil")),"")</f>
        <v>La tanda cabe entera dentro de la vida útil</v>
      </c>
    </row>
    <row r="43" ht="28" customHeight="1">
      <c r="A43" t="inlineStr">
        <is>
          <t>CJ4</t>
        </is>
      </c>
      <c r="B43" s="6" t="inlineStr">
        <is>
          <t>Estuche corporativo personalizado de 24 bombones</t>
        </is>
      </c>
      <c r="C43" s="9" t="n">
        <v>5.5</v>
      </c>
      <c r="D43" s="10">
        <f>IFERROR($C43*'Parámetros'!$B$10,"")</f>
        <v>286.0</v>
      </c>
      <c r="E43" s="8" t="n">
        <v>5</v>
      </c>
      <c r="F43" s="10">
        <f>'Vida Útil Declarada'!G43</f>
        <v>10.0</v>
      </c>
      <c r="G43" s="19">
        <f>IFERROR($F43/7,"")</f>
        <v>1.4285714285714286</v>
      </c>
      <c r="H43" s="10">
        <f>IFERROR($C43*$G43,"")</f>
        <v>7.857142857142858</v>
      </c>
      <c r="I43" s="11" t="n">
        <v>4.7264</v>
      </c>
      <c r="J43" s="20">
        <f>IFERROR($I43*'Parámetros'!$B$15,"")</f>
        <v>1.1816</v>
      </c>
      <c r="K43" s="10">
        <f>IFERROR(SQRT(2*$D43*'Parámetros'!$B$14/$J43),"")</f>
        <v>130.16577108474144</v>
      </c>
      <c r="L43" s="10">
        <f>IFERROR($H43,"")</f>
        <v>7.857142857142858</v>
      </c>
      <c r="M43" s="10">
        <f>IFERROR(MIN($K43,$L43),"")</f>
        <v>7.857142857142858</v>
      </c>
      <c r="N43" s="10">
        <f>IFERROR(MAX(0,$E43-$H43),"")</f>
        <v>0.0</v>
      </c>
      <c r="O43" s="19">
        <f>IFERROR($D43/$E43,"")</f>
        <v>57.2</v>
      </c>
      <c r="P43" s="10">
        <f>IFERROR($N43*$O43,"")</f>
        <v>0.0</v>
      </c>
      <c r="Q43" s="21">
        <f>IFERROR($P43*$I43,"")</f>
        <v>0.0</v>
      </c>
      <c r="R43" t="str">
        <f>IF(ISNUMBER($Q43),IF($Q43&gt;'Parámetros'!$B$16,"Tanda demasiado grande para lo que dura: baja a la tanda recomendada",IF($N43&gt;0,"Se te queda algo en cada tanda, pero es asumible","La tanda cabe entera dentro de la vida útil")),"")</f>
        <v>La tanda cabe entera dentro de la vida útil</v>
      </c>
    </row>
    <row r="44">
      <c r="A44" s="4" t="inlineStr">
        <is>
          <t>TOTAL</t>
        </is>
      </c>
      <c r="B44" s="4" t="inlineStr">
        <is>
          <t>Las 28 referencias de la carta</t>
        </is>
      </c>
      <c r="D44" s="16">
        <f>SUM(D16:D43)</f>
        <v>28532.399999999998</v>
      </c>
      <c r="P44" s="16">
        <f>SUM(P16:P43)</f>
        <v>3755.363444444445</v>
      </c>
      <c r="Q44" s="22">
        <f>SUM(Q16:Q43)</f>
        <v>768.3755722809524</v>
      </c>
    </row>
    <row r="45"/>
    <row r="46" ht="30" customHeight="1">
      <c r="A46" s="6" t="inlineStr">
        <is>
          <t>Referencias con la tanda demasiado grande para lo que duran</t>
        </is>
      </c>
      <c r="D46" s="10">
        <f>COUNTIF($Q$16:$Q$43,"&gt;"&amp;'Parámetros'!$B$16)</f>
        <v>2.0</v>
      </c>
      <c r="F46" s="2" t="inlineStr">
        <is>
          <t>Cada una de ellas es dinero que ya has pagado -cobertura, relleno y horas de obrador- y que va a acabar en la basura. Se arregla sin comprar nada: bajando la tanda y repitiéndola más a menudo.</t>
        </is>
      </c>
    </row>
    <row r="47">
      <c r="A47" s="6" t="inlineStr">
        <is>
          <t>Merma por caducidad sobre el coste de materia del año</t>
        </is>
      </c>
      <c r="D47" s="23">
        <f>IFERROR($Q$44/SUMPRODUCT($I$16:$I$43,$D$16:$D$43),"")</f>
        <v>0.015515365944599431</v>
      </c>
    </row>
    <row r="48" ht="30" customHeight="1">
      <c r="A48" s="6" t="inlineStr">
        <is>
          <t>Las dos ganaches: lo que cuesta al año la formulación fresca frente a la estabilizada</t>
        </is>
      </c>
      <c r="D48" s="21">
        <f>IFERROR($Q16-$Q17,"")</f>
        <v>185.85691511111105</v>
      </c>
      <c r="F48" s="2" t="inlineStr">
        <is>
          <t>La misma pieza con dos formulaciones: la de nata fresca dura 10-15 días y la estabilizada 4-8 semanas. La diferencia de merma al año es esta cifra, y es una decisión de modelo de negocio -no una decisión técnica-.</t>
        </is>
      </c>
    </row>
  </sheetData>
  <sheetProtection selectLockedCells="0" selectUnlockedCells="0" sheet="1" objects="0" insertRows="0" insertHyperlinks="1" autoFilter="1" scenarios="0" formatColumns="0" deleteColumns="1" insertColumns="1" pivotTables="1" deleteRows="1" formatCells="1" formatRows="0" sort="0"/>
  <mergeCells count="7">
    <mergeCell ref="A48:C48"/>
    <mergeCell ref="F46:R46"/>
    <mergeCell ref="A46:C46"/>
    <mergeCell ref="A3:R3"/>
    <mergeCell ref="F48:R48"/>
    <mergeCell ref="A5:R5"/>
    <mergeCell ref="A47:C47"/>
  </mergeCells>
  <conditionalFormatting sqref="Q16:Q43">
    <cfRule type="expression" priority="1" dxfId="0" stopIfTrue="1">
      <formula>=AND(ISNUMBER($Q16),$Q16&gt;'Parámetros'!$B$16)</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Vida Útil de los Rellenos y Rotación</dc:title>
  <dc:subject xmlns:dc="http://purl.org/dc/elements/1.1/">Cómo Montar una Chocolatería · Versión 1.0 · septiembre 2026</dc:subject>
  <dcterms:created xmlns:dcterms="http://purl.org/dc/terms/" xmlns:xsi="http://www.w3.org/2001/XMLSchema-instance" xsi:type="dcterms:W3CDTF">2026-09-19T12:16:50Z</dcterms:created>
  <dcterms:modified xmlns:dcterms="http://purl.org/dc/terms/" xmlns:xsi="http://www.w3.org/2001/XMLSchema-instance" xsi:type="dcterms:W3CDTF">2026-09-19T12:16:50Z</dcterms:modified>
  <cp:lastModifiedBy>AI Chef Pro</cp:lastModifiedBy>
</cp:coreProperties>
</file>