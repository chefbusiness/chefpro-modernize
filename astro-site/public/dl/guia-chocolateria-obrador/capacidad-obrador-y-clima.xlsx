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Zonas y m2" sheetId="3" state="visible" r:id="rId3"/>
    <sheet xmlns:r="http://schemas.openxmlformats.org/officeDocument/2006/relationships" name="Clima del Obrador" sheetId="4" state="visible" r:id="rId4"/>
    <sheet xmlns:r="http://schemas.openxmlformats.org/officeDocument/2006/relationships" name="Capacidad por Equipo" sheetId="5" state="visible" r:id="rId5"/>
    <sheet xmlns:r="http://schemas.openxmlformats.org/officeDocument/2006/relationships" name="Cuello de Botella" sheetId="6" state="visible" r:id="rId6"/>
    <sheet xmlns:r="http://schemas.openxmlformats.org/officeDocument/2006/relationships" name="Ficha de Visita a Local" sheetId="7" state="visible" r:id="rId7"/>
  </sheets>
  <definedNames>
    <definedName name="_xlnm.Print_Titles" localSheetId="1">'Parámetros'!$5:$5</definedName>
    <definedName name="_xlnm.Print_Titles" localSheetId="2">'Zonas y m2'!$5:$5</definedName>
    <definedName name="_xlnm.Print_Titles" localSheetId="3">'Clima del Obrador'!$6:$6</definedName>
    <definedName name="_xlnm.Print_Titles" localSheetId="4">'Capacidad por Equipo'!$5:$5</definedName>
    <definedName name="_xlnm.Print_Titles" localSheetId="6">'Ficha de Visita a Local'!$5:$5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3" fontId="0" fillId="2" borderId="0" applyProtection="1" pivotButton="0" quotePrefix="0" xfId="0">
      <protection locked="0" hidden="0"/>
    </xf>
    <xf numFmtId="165" fontId="0" fillId="2" borderId="0" applyProtection="1" pivotButton="0" quotePrefix="0" xfId="0">
      <protection locked="0" hidden="0"/>
    </xf>
    <xf numFmtId="3" fontId="0" fillId="0" borderId="0" pivotButton="0" quotePrefix="0" xfId="0"/>
    <xf numFmtId="165" fontId="0" fillId="0" borderId="0" pivotButton="0" quotePrefix="0" xfId="0"/>
    <xf numFmtId="0" fontId="3" fillId="0" borderId="0" pivotButton="0" quotePrefix="0" xfId="0"/>
    <xf numFmtId="164" fontId="6" fillId="4" borderId="0" pivotButton="0" quotePrefix="0" xfId="0"/>
    <xf numFmtId="165" fontId="3" fillId="0" borderId="0" pivotButton="0" quotePrefix="0" xfId="0"/>
    <xf numFmtId="164" fontId="0" fillId="0" borderId="0" pivotButton="0" quotePrefix="0" xfId="0"/>
    <xf numFmtId="0" fontId="6" fillId="4" borderId="0" pivotButton="0" quotePrefix="0" xfId="0"/>
    <xf numFmtId="3" fontId="6" fillId="4"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24" authorId="0" shapeId="0">
      <text>
        <t>Verificado el 12-09-2026 · Ley 12/2012, de 26 de diciembre, de medidas urgentes de liberalización del comercio y de determinados servicios (BOE-A-2012-15595), texto consolidado · «Última modificación: 29... (El encabezado del Anexo dice: «Las siguientes actividades se han identificado con las claves y en...) · https://www.boe.es/buscar/act.php?id=BOE-A-2012-15595</t>
      </text>
    </comment>
  </commentList>
</comments>
</file>

<file path=xl/comments/comment2.xml><?xml version="1.0" encoding="utf-8"?>
<comments xmlns="http://schemas.openxmlformats.org/spreadsheetml/2006/main">
  <authors>
    <author>AI Chef Pro</author>
  </authors>
  <commentList>
    <comment ref="G6" authorId="0" shapeId="0">
      <text>
        <t>Verificado el 12-09-2026 · Real Decreto 1021/2022 (BOE-A-2022-21681), art. 20 · https://www.boe.es/buscar/act.php?id=BOE-A-2022-21681</t>
      </text>
    </comment>
    <comment ref="G7"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List>
</comments>
</file>

<file path=xl/comments/comment3.xml><?xml version="1.0" encoding="utf-8"?>
<comments xmlns="http://schemas.openxmlformats.org/spreadsheetml/2006/main">
  <authors>
    <author>AI Chef Pro</author>
  </authors>
  <commentList>
    <comment ref="A7"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A11"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List>
</comments>
</file>

<file path=xl/comments/comment4.xml><?xml version="1.0" encoding="utf-8"?>
<comments xmlns="http://schemas.openxmlformats.org/spreadsheetml/2006/main">
  <authors>
    <author>AI Chef Pro</author>
  </authors>
  <commentList>
    <comment ref="J10"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 ref="J11" authorId="0" shapeId="0">
      <text>
        <t>Verificado el 12-09-2026 · Real Decreto 1021/2022 (BOE-A-2022-21681), art. 20 · https://www.boe.es/buscar/act.php?id=BOE-A-2022-21681</t>
      </text>
    </comment>
    <comment ref="D12" authorId="0" shapeId="0">
      <text>
        <t>Verificado el 12-09-2026 · Código Técnico de la Edificación, Documento Básico HS, Sección HS 3, apartado 1.1 · https://www.codigotecnico.org/pdf/Documentos/HS/DBHS.pdf</t>
      </text>
    </comment>
    <comment ref="J12" authorId="0" shapeId="0">
      <text>
        <t>Verificado el 12-09-2026 · Real Decreto 1027/2007 (RITE) (BOE-A-2007-15820), arts. 2.1 y 2.6 e IT 1.1.4.2.5 · «Última modificación: 02-08-2022» · https://www.boe.es/buscar/act.php?id=BOE-A-2007-15820</t>
      </text>
    </comment>
    <comment ref="D13" authorId="0" shapeId="0">
      <text>
        <t>Verificado el 12-09-2026 · Real Decreto 919/2006 (BOE-A-2006-15345), ITC-ICG 07, apartados 3.3 y 4.1 · «Última modificación: 03-09-2025» · https://www.boe.es/buscar/act.php?id=BOE-A-2006-15345</t>
      </text>
    </comment>
    <comment ref="J13"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J22" authorId="0" shapeId="0">
      <text>
        <t>Verificado el 12-09-2026 · Real Decreto 193/2023 (BOE-A-2023-7417), D.F. sexta y art. 25.2 · «Última modificación: sin modificaciones» · https://www.boe.es/buscar/act.php?id=BOE-A-2023-7417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pane ySplit="25" topLeftCell="A26" activePane="bottomLeft" state="frozen"/>
      <selection pane="bottomLeft" activeCell="A1" sqref="A1"/>
    </sheetView>
  </sheetViews>
  <sheetFormatPr baseColWidth="8" defaultRowHeight="15"/>
  <cols>
    <col width="46" customWidth="1" min="1" max="1"/>
    <col width="46" customWidth="1" min="2" max="2"/>
    <col width="46" customWidth="1" min="3" max="3"/>
  </cols>
  <sheetData>
    <row r="1" ht="30" customHeight="1">
      <c r="A1" s="1" t="inlineStr">
        <is>
          <t>Capacidad del obrador, clima y ficha de visita al local</t>
        </is>
      </c>
    </row>
    <row r="2">
      <c r="A2" t="inlineStr">
        <is>
          <t>AI Chef Pro · aichef.pro — Cómo Montar una Chocolatería</t>
        </is>
      </c>
    </row>
    <row r="3">
      <c r="A3" s="2" t="inlineStr">
        <is>
          <t>Para qué sirve: decidir si ESE local sirve, si se puede climatizar y cuántos bombones al día aguanta el equipo que estás comprando.</t>
        </is>
      </c>
    </row>
    <row r="4"/>
    <row r="5">
      <c r="A5" s="3" t="inlineStr">
        <is>
          <t>Instrucciones de uso</t>
        </is>
      </c>
    </row>
    <row r="6" ht="68" customHeight="1">
      <c r="A6" s="4" t="inlineStr">
        <is>
          <t>1. Hoja «Parámetros»: lo primero. Horas de turno, turnos al día, piezas que quieres vender, superficie, potencia, temperatura exterior de tu ciudad en agosto y la potencia frigorífica que te ofrezcan. Todo lo demás del libro se recalcula desde aquí; no hay ni un número escondido dentro de una fórmula.</t>
        </is>
      </c>
    </row>
    <row r="7" ht="68" customHeight="1">
      <c r="A7" s="4" t="inlineStr">
        <is>
          <t>2. Hoja «Zonas y m²»: reparte los metros entre las seis zonas y numera el recorrido de la marcha adelante, del 1 al 6. La hoja te dice si el reparto cuadra con la superficie declarada, qué parte del local es producción y si el recorrido tiene un cruce.</t>
        </is>
      </c>
    </row>
    <row r="8" ht="68" customHeight="1">
      <c r="A8" s="4" t="inlineStr">
        <is>
          <t>3. Hoja «Clima del Obrador»: las cinco temperaturas objetivo, el semáforo de coherencia entre lo que quieres, el agosto de tu ciudad y lo que te ofrece el instalador, y la ficha de preguntas que hay que hacerle. Esta hoja NO calcula la carga térmica de tu obrador, y no lo hace a propósito: lo explica dentro.</t>
        </is>
      </c>
    </row>
    <row r="9" ht="68" customHeight="1">
      <c r="A9" s="4" t="inlineStr">
        <is>
          <t>4. Hoja «Capacidad por Equipo»: una fila por máquina y por puesto de trabajo. Di si lo tienes, cuánto cabe en un ciclo, cuántos bombones salen de esa cantidad, cuántos minutos dura el ciclo y qué parte de tu surtido pasa por ahí. La hoja devuelve los bombones al día que ESO permite al obrador entero.</t>
        </is>
      </c>
    </row>
    <row r="10" ht="68" customHeight="1">
      <c r="A10" s="4" t="inlineStr">
        <is>
          <t>5. Hoja «Cuello de Botella»: el resultado. Cuál es el equipo que manda, cuántos bombones al día aguanta el conjunto, cuánta holgura te queda y qué pasa en cada una de las doce campañas del año. Aquí se ve si Navidad y San Valentín te caben en el obrador que estás comprando.</t>
        </is>
      </c>
    </row>
    <row r="11" ht="68" customHeight="1">
      <c r="A11" s="4" t="inlineStr">
        <is>
          <t>6. Hoja «Ficha de Visita a Local»: imprímela y llévala a cada visita. Dieciocho comprobaciones, seis de ellas eliminatorias. Un solo «No» en un ítem eliminatorio y el veredicto es DESCARTAR: no es pesimismo, es que ese defecto no se arregla con dinero razonable.</t>
        </is>
      </c>
    </row>
    <row r="12"/>
    <row r="13">
      <c r="A13" s="5" t="inlineStr">
        <is>
          <t>Celdas verdes = campos editables</t>
        </is>
      </c>
    </row>
    <row r="14"/>
    <row r="15">
      <c r="A15" s="3" t="inlineStr">
        <is>
          <t>Lo que conviene saber antes de empezar</t>
        </is>
      </c>
    </row>
    <row r="16" ht="74" customHeight="1">
      <c r="A16" s="4" t="inlineStr">
        <is>
          <t>ESTE LIBRO DECIDE UNA COMPRA, NO UNA SEMANA DE TRABAJO. Las curvas de templado, las fichas de moldeado y el plan del día a día están en kit-tareas-chocolateria/02-partidas-produccion.xlsx. Aquí sólo se contesta cuántos bombones al día permite el equipo que estás a punto de pagar, que es la pregunta que ya no se puede contestar después.</t>
        </is>
      </c>
    </row>
    <row r="17" ht="74" customHeight="1">
      <c r="A17" s="4" t="inlineStr">
        <is>
          <t>UNA CAJA DE 35 BOMBONES NO ES UNA PIEZA. Es el error de bulto de cualquier cuenta de capacidad de una bombonería: se cuentan las piezas que salen por el mostrador -cajas incluidas- y sale un obrador cinco veces más pequeño del que hace falta. Por eso toda la capacidad de este libro se mide en BOMBONES EQUIVALENTES, y la equivalencia está en «Parámetros», a la vista y editable.</t>
        </is>
      </c>
    </row>
    <row r="18" ht="74" customHeight="1">
      <c r="A18" s="4" t="inlineStr">
        <is>
          <t>EL CUELLO DE BOTELLA DE UNA BOMBONERÍA CASI NUNCA ES LA ATEMPERADORA. Es la máquina que más cuesta y la que más se mira, y produce chocolate templado muy por encima de lo que dos personas moldean. Lo que limita son los moldes que tienes, los ciclos de cristalización que caben en la jornada y el puesto de envasado. Mira la columna «Cuenta para el cuello» antes de decidir en qué gastas.</t>
        </is>
      </c>
    </row>
    <row r="19" ht="74" customHeight="1">
      <c r="A19" s="4" t="inlineStr">
        <is>
          <t>EL CLIMA NO ES CONFORT: ES LA PARTIDA QUE DECIDE SI LA COBERTURA CRISTALIZA. 18-20 °C y 50-60 % de humedad en el obrador, y una cámara a 15-18 °C que no es una nevera. Este libro no calcula tu carga térmica -no hay un solo coeficiente publicado y verificable para hacerlo- pero sí comprueba que lo que quieres, el agosto de tu ciudad y lo que te ofrecen son coherentes entre sí, y te da la lista de preguntas que hay que hacerle al instalador.</t>
        </is>
      </c>
    </row>
    <row r="20" ht="74" customHeight="1">
      <c r="A20" s="4" t="inlineStr">
        <is>
          <t>NO HAY UNA TEMPERATURA LEGAL DEL CHOCOLATE. El RD 1021/2022 no nombra el chocolate ni una sola vez, y su artículo 4.2 va por la temperatura que ponga en su etiqueta quien ha producido y envasado. Para el bombón que despachas a granel no hay etiqueta: la referencia es TU sistema de autocontrol, y la temperatura la declaras tú. Las cinco de este libro son las que ya publica el Kit de Tareas Chocolatería.</t>
        </is>
      </c>
    </row>
    <row r="21" ht="74" customHeight="1">
      <c r="A21" s="4" t="inlineStr">
        <is>
          <t>NO HAY SALIDA DE HUMOS, Y ESO ABRE LOCALES. Un obrador de chocolate no fríe ni asa: no genera aire de categoría AE4 y no necesita campana ni conducto a cubierta. Es la partida que tumba la mitad de los locales de una pastelería y aquí no existe. Cuidado sólo con la variante de taza y churros, que sí lleva freidora y sí lo necesita.</t>
        </is>
      </c>
    </row>
    <row r="22" ht="74" customHeight="1">
      <c r="A22" s="4" t="inlineStr">
        <is>
          <t>LOS PRECIOS Y LOS PLAZOS NO ESTÁN AQUÍ. Cuánto cuesta cada máquina es el libro 2 (CAPEX) y cuántas semanas tarda en llegar es el libro 9 (equipamiento y proveedores). Este libro sólo mira lo que producen.</t>
        </is>
      </c>
    </row>
    <row r="23"/>
    <row r="24">
      <c r="A24" s="3" t="inlineStr">
        <is>
          <t>Dónde acaba este libro y dónde sigue el Kit de Tareas Chocolatería</t>
        </is>
      </c>
    </row>
    <row r="25" ht="26" customHeight="1">
      <c r="A25" s="6" t="inlineStr">
        <is>
          <t>Lo que necesitas</t>
        </is>
      </c>
      <c r="B25" s="6" t="inlineStr">
        <is>
          <t>Dónde está</t>
        </is>
      </c>
      <c r="C25" s="6" t="inlineStr">
        <is>
          <t>Por qué no está aquí</t>
        </is>
      </c>
    </row>
    <row r="26" ht="58" customHeight="1">
      <c r="A26" s="4" t="inlineStr">
        <is>
          <t>Las curvas de templado de cada cobertura y las fichas de moldeado</t>
        </is>
      </c>
      <c r="B26" s="4" t="inlineStr">
        <is>
          <t>kit-tareas-chocolateria/02-partidas-produccion.xlsx</t>
        </is>
      </c>
      <c r="C26" s="4" t="inlineStr">
        <is>
          <t>El kit las publica y esta guía NO las repite. Aquí sólo hay capacidad y clima, no técnica de templado.</t>
        </is>
      </c>
    </row>
    <row r="27" ht="58" customHeight="1">
      <c r="A27" s="4" t="inlineStr">
        <is>
          <t>Las fechas de cada campaña y qué se hace en cada una</t>
        </is>
      </c>
      <c r="B27" s="4" t="inlineStr">
        <is>
          <t>kit-tareas-chocolateria/BONUS-02-calendario-anual-tareas.xlsx</t>
        </is>
      </c>
      <c r="C27" s="4" t="inlineStr">
        <is>
          <t>El kit pone las fechas y el qué. Aquí la campaña entra sólo como multiplicador de bombones al día; los euros de cada una son el libro 6 de esta guía.</t>
        </is>
      </c>
    </row>
    <row r="28" ht="58" customHeight="1">
      <c r="A28" s="4" t="inlineStr">
        <is>
          <t>Cuánta gente hace falta y cuánto cuesta con la Seguridad Social</t>
        </is>
      </c>
      <c r="B28" s="4" t="inlineStr">
        <is>
          <t>Libro 7 de esta guía, hoja «Personal»</t>
        </is>
      </c>
      <c r="C28" s="4" t="inlineStr">
        <is>
          <t>Un obrador de chocolate no tiene jornada de madrugada, así que esta guía no lleva libro de turnos: el personal se resuelve en el plan financiero. Aquí las horas de turno son un parámetro de capacidad.</t>
        </is>
      </c>
    </row>
    <row r="29" ht="58" customHeight="1">
      <c r="A29" s="4" t="inlineStr">
        <is>
          <t>Cuánto cuesta cada máquina y cuánto tarda en llegar</t>
        </is>
      </c>
      <c r="B29" s="4" t="inlineStr">
        <is>
          <t>Libros 2 (CAPEX) y 9 (equipamiento y proveedores)</t>
        </is>
      </c>
      <c r="C29" s="4" t="inlineStr">
        <is>
          <t>El precio y el plazo no cambian la capacidad. Se separan a propósito para poder decidir primero qué necesitas y después qué te cuesta.</t>
        </is>
      </c>
    </row>
    <row r="30" ht="58" customHeight="1">
      <c r="A30" s="4" t="inlineStr">
        <is>
          <t>Qué temperatura y qué vida útil declaras en tu etiqueta</t>
        </is>
      </c>
      <c r="B30" s="4" t="inlineStr">
        <is>
          <t>Libro 5 de esta guía: vida útil y rotación</t>
        </is>
      </c>
      <c r="C30" s="4" t="inlineStr">
        <is>
          <t>Aquí está el clima del LOCAL. Lo que declaras por referencia -y si va envasada con etiqueta o a granel- es otra decisión y otro libro.</t>
        </is>
      </c>
    </row>
    <row r="31" ht="62" customHeight="1">
      <c r="A31" s="7" t="inlineStr">
        <is>
          <t>Es COPIA declarada, no vínculo: en toda la guía no hay ni una fórmula que apunte a otro fichero. Un enlace entre libros se rompe en cuanto alguien mueve una carpeta, y entonces el libro miente sin avisar. Donde una celda verde traería un dato del Kit de Tareas Chocolatería o de otro libro, viene con un valor por defecto propio, declarado como supuesto, y su nota te dice qué lo sustituye.</t>
        </is>
      </c>
    </row>
    <row r="32"/>
    <row r="33">
      <c r="A33" s="3" t="inlineStr">
        <is>
          <t>Cada cuánto se usa este libro</t>
        </is>
      </c>
    </row>
    <row r="34" ht="62" customHeight="1">
      <c r="A34" s="4" t="inlineStr">
        <is>
          <t>Cadencia: la hoja «Ficha de Visita a Local», UNA VEZ POR LOCAL que visites, y se guarda aunque lo descartes -comparar tres fichas es lo que enseña qué estás aceptando sin darte cuenta-. La hoja «Clima del Obrador», una vez por cada oferta de instalador que recibas. Las hojas de capacidad, cada vez que cambies un equipo del presupuesto y, después de abrir, UNA VEZ AL AÑO en septiembre, antes de arrancar la campaña de Navidad.</t>
        </is>
      </c>
    </row>
    <row r="35"/>
    <row r="36">
      <c r="A36" s="4" t="inlineStr">
        <is>
          <t>Para editar la estructura o una celda que no esté en verde: Revisar &gt; Desproteger hoja (no tiene contraseña).</t>
        </is>
      </c>
    </row>
    <row r="37"/>
    <row r="38">
      <c r="A38" s="4" t="inlineStr">
        <is>
          <t>Diseñado por John Guerrero — chef y consultor gastronómico desde 2010, en cocina desde los 17 años.</t>
        </is>
      </c>
    </row>
    <row r="39">
      <c r="A39" s="4"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8">
    <mergeCell ref="A6:C6"/>
    <mergeCell ref="A10:C10"/>
    <mergeCell ref="A22:C22"/>
    <mergeCell ref="A38:C38"/>
    <mergeCell ref="A16:C16"/>
    <mergeCell ref="A21:C21"/>
    <mergeCell ref="A9:C9"/>
    <mergeCell ref="A7:C7"/>
    <mergeCell ref="A18:C18"/>
    <mergeCell ref="A19:C19"/>
    <mergeCell ref="A31:C31"/>
    <mergeCell ref="A34:C34"/>
    <mergeCell ref="A8:C8"/>
    <mergeCell ref="A36:C36"/>
    <mergeCell ref="A11:C11"/>
    <mergeCell ref="A39:C39"/>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8"/>
  <sheetViews>
    <sheetView workbookViewId="0">
      <pane ySplit="5" topLeftCell="A6" activePane="bottomLeft" state="frozen"/>
      <selection pane="bottomLeft" activeCell="A1" sqref="A1"/>
    </sheetView>
  </sheetViews>
  <sheetFormatPr baseColWidth="8" defaultRowHeight="15"/>
  <cols>
    <col width="50" customWidth="1" min="1" max="1"/>
    <col width="14" customWidth="1" min="2" max="2"/>
    <col width="20" customWidth="1" min="3" max="3"/>
    <col width="22" customWidth="1" min="4" max="4"/>
    <col width="86" customWidth="1" min="5" max="5"/>
  </cols>
  <sheetData>
    <row r="1" ht="28" customHeight="1">
      <c r="A1" s="1" t="inlineStr">
        <is>
          <t>Parámetros</t>
        </is>
      </c>
    </row>
    <row r="2">
      <c r="A2" t="inlineStr">
        <is>
          <t>AI Chef Pro · aichef.pro — Cómo Montar una Chocolatería</t>
        </is>
      </c>
    </row>
    <row r="3" ht="26" customHeight="1">
      <c r="A3" s="7" t="inlineStr">
        <is>
          <t>Todo lo que el libro calcula sale de aquí. Ni un número vive dentro de una fórmula.</t>
        </is>
      </c>
    </row>
    <row r="4"/>
    <row r="5" ht="30" customHeight="1">
      <c r="A5" s="6" t="inlineStr">
        <is>
          <t>Parámetro</t>
        </is>
      </c>
      <c r="B5" s="6" t="inlineStr">
        <is>
          <t>Valor</t>
        </is>
      </c>
      <c r="C5" s="6" t="inlineStr">
        <is>
          <t>Unidad</t>
        </is>
      </c>
      <c r="D5" s="6" t="inlineStr">
        <is>
          <t>Procedencia</t>
        </is>
      </c>
      <c r="E5" s="6" t="inlineStr">
        <is>
          <t>Qué es y de dónde sale</t>
        </is>
      </c>
    </row>
    <row r="6" ht="46" customHeight="1">
      <c r="A6" s="4" t="inlineStr">
        <is>
          <t>Horas de turno del obrador</t>
        </is>
      </c>
      <c r="B6" s="8" t="n">
        <v>8</v>
      </c>
      <c r="C6" t="inlineStr">
        <is>
          <t>h por turno</t>
        </is>
      </c>
      <c r="D6" t="inlineStr">
        <is>
          <t>supuesto</t>
        </is>
      </c>
      <c r="E6" s="4" t="inlineStr">
        <is>
          <t>Duración del turno de obrador. Es el número que multiplica todo lo demás: con dos turnos, la capacidad se duplica sin comprar una sola máquina, y en chocolate el segundo turno es más barato que en pastelería porque no hay madrugada.</t>
        </is>
      </c>
    </row>
    <row r="7" ht="46" customHeight="1">
      <c r="A7" s="4" t="inlineStr">
        <is>
          <t>Turnos de obrador al día</t>
        </is>
      </c>
      <c r="B7" s="9" t="n">
        <v>1</v>
      </c>
      <c r="C7" t="inlineStr">
        <is>
          <t>turnos</t>
        </is>
      </c>
      <c r="D7" t="inlineStr">
        <is>
          <t>supuesto</t>
        </is>
      </c>
      <c r="E7" s="4" t="inlineStr">
        <is>
          <t>La Almendra trabaja a un turno. Súbelo a 2 y mira la hoja «Cuello de Botella» antes de comprar una máquina más grande.</t>
        </is>
      </c>
    </row>
    <row r="8" ht="46" customHeight="1">
      <c r="A8" s="4" t="inlineStr">
        <is>
          <t>Horas productivas sobre la jornada</t>
        </is>
      </c>
      <c r="B8" s="10" t="n">
        <v>0.85</v>
      </c>
      <c r="C8" t="inlineStr">
        <is>
          <t>%</t>
        </is>
      </c>
      <c r="D8" t="inlineStr">
        <is>
          <t>supuesto</t>
        </is>
      </c>
      <c r="E8" s="4" t="inlineStr">
        <is>
          <t>Parte de la jornada que se pasa a pie de mesa. El 15 % restante es recepción, limpieza, formación y reuniones.</t>
        </is>
      </c>
    </row>
    <row r="9" ht="46" customHeight="1">
      <c r="A9" s="4" t="inlineStr">
        <is>
          <t>Minutos disponibles al día</t>
        </is>
      </c>
      <c r="B9" s="11">
        <f>IFERROR(B6*B7*B8*60,"")</f>
        <v>408.0</v>
      </c>
      <c r="C9" t="inlineStr">
        <is>
          <t>minutos</t>
        </is>
      </c>
      <c r="D9" t="inlineStr">
        <is>
          <t>Se calcula</t>
        </is>
      </c>
      <c r="E9" s="4" t="inlineStr">
        <is>
          <t>Horas de turno x turnos x horas productivas x 60. De aquí salen los ciclos al día de cada equipo.</t>
        </is>
      </c>
    </row>
    <row r="10" ht="46" customHeight="1">
      <c r="A10" s="4" t="inlineStr">
        <is>
          <t>Días de apertura a la semana</t>
        </is>
      </c>
      <c r="B10" s="9" t="n">
        <v>6</v>
      </c>
      <c r="C10" t="inlineStr">
        <is>
          <t>días</t>
        </is>
      </c>
      <c r="D10" t="inlineStr">
        <is>
          <t>supuesto</t>
        </is>
      </c>
      <c r="E10" s="4" t="inlineStr">
        <is>
          <t>6 días por semana x 52 semanas = 312, menos 8 días de cierre por festivos = 304. En agosto la TIENDA NO CIERRA: lo que para es el obrador (D36, y el literal del kit dice «la tienda abre para el turista aunque el obrador pare»). Una bombonería de menos de 300 m² tiene libertad horaria por el art. 5.2 de la Ley 1/2004, no por el 5.1 (`CHN-77`).</t>
        </is>
      </c>
    </row>
    <row r="11" ht="46" customHeight="1">
      <c r="A11" s="4" t="inlineStr">
        <is>
          <t>Días de apertura al año</t>
        </is>
      </c>
      <c r="B11" s="9" t="n">
        <v>304</v>
      </c>
      <c r="C11" t="inlineStr">
        <is>
          <t>días</t>
        </is>
      </c>
      <c r="D11" t="inlineStr">
        <is>
          <t>supuesto</t>
        </is>
      </c>
      <c r="E11" s="4" t="inlineStr">
        <is>
          <t>6 días por semana x 52 semanas = 312, menos 8 días de cierre por festivos. En agosto la TIENDA no cierra: lo que para es el obrador.</t>
        </is>
      </c>
    </row>
    <row r="12" ht="46" customHeight="1">
      <c r="A12" s="4" t="inlineStr">
        <is>
          <t>Piezas vendibles al día en velocidad de crucero</t>
        </is>
      </c>
      <c r="B12" s="8" t="n">
        <v>93.8</v>
      </c>
      <c r="C12" t="inlineStr">
        <is>
          <t>piezas al día</t>
        </is>
      </c>
      <c r="D12" t="inlineStr">
        <is>
          <t>supuesto</t>
        </is>
      </c>
      <c r="E12" s="4" t="inlineStr">
        <is>
          <t>Clientes al día x piezas por ticket, los dos supuestos: no existe dato público de tráfico de bombonería, y `N-13` prohíbe publicar uno. Una «pieza vendible» es lo que entra en la bolsa: un bombón suelto, una tableta o UNA CAJA. Si ya tienes el Kit de Tareas Chocolatería, sustitúyelo por tu dato real de kit-tareas-chocolateria/02-partidas-produccion.xlsx.</t>
        </is>
      </c>
    </row>
    <row r="13" ht="46" customHeight="1">
      <c r="A13" s="4" t="inlineStr">
        <is>
          <t>Bombones equivalentes por pieza vendible</t>
        </is>
      </c>
      <c r="B13" s="8" t="n">
        <v>5.03</v>
      </c>
      <c r="C13" t="inlineStr">
        <is>
          <t>bombones por pieza</t>
        </is>
      </c>
      <c r="D13" t="inlineStr">
        <is>
          <t>supuesto derivado de la carta</t>
        </is>
      </c>
      <c r="E13" s="4" t="inlineStr">
        <is>
          <t>LA COLUMNA QUE EVITA EL ERROR DE BULTO. Una caja de 35 bombones no es una pieza de obrador: son 35 bombones moldeados más el montaje de la caja. Sale de los minutos de mano de obra por tanda de cada referencia de la carta, medidos contra la tanda de referencia (24 cavidades x 6 moldes en 155 minutos). Con tu propio mix, recalcúlala.</t>
        </is>
      </c>
    </row>
    <row r="14" ht="46" customHeight="1">
      <c r="A14" s="4" t="inlineStr">
        <is>
          <t>Bombones equivalentes al día en velocidad de crucero</t>
        </is>
      </c>
      <c r="B14" s="11">
        <f>IFERROR(B12*B13,"")</f>
        <v>471.814</v>
      </c>
      <c r="C14" t="inlineStr">
        <is>
          <t>bombones al día</t>
        </is>
      </c>
      <c r="D14" t="inlineStr">
        <is>
          <t>Se calcula</t>
        </is>
      </c>
      <c r="E14" s="4" t="inlineStr">
        <is>
          <t>Piezas vendibles x bombones equivalentes por pieza. Es el número contra el que se mide TODA la capacidad de este libro.</t>
        </is>
      </c>
    </row>
    <row r="15" ht="46" customHeight="1">
      <c r="A15" s="4" t="inlineStr">
        <is>
          <t>Margen de seguridad exigido sobre la capacidad</t>
        </is>
      </c>
      <c r="B15" s="10" t="n">
        <v>0.1</v>
      </c>
      <c r="C15" t="inlineStr">
        <is>
          <t>%</t>
        </is>
      </c>
      <c r="D15" t="inlineStr">
        <is>
          <t>supuesto</t>
        </is>
      </c>
      <c r="E15" s="4" t="inlineStr">
        <is>
          <t>Holgura mínima que quieres tener sobre el día normal. Por debajo de ella el libro avisa: una avería del frío, una baja o un pedido corporativo te dejan sin género aunque en teoría llegues.</t>
        </is>
      </c>
    </row>
    <row r="16" ht="46" customHeight="1">
      <c r="A16" s="4" t="inlineStr">
        <is>
          <t>Superficie total del local</t>
        </is>
      </c>
      <c r="B16" s="8" t="n">
        <v>75</v>
      </c>
      <c r="C16" t="inlineStr">
        <is>
          <t>m2</t>
        </is>
      </c>
      <c r="D16" t="inlineStr">
        <is>
          <t>supuesto</t>
        </is>
      </c>
      <c r="E16" s="4" t="inlineStr">
        <is>
          <t>Supuesto declarado, elegido por convergencia de cuatro fuentes CON SU FORMATO DICHO: `CHS-03` (bombonería artesana, 60-100 m²), `CHS-38a` (pasteleria-bomboneria con obrador, 90 m² y 26.000 euros de traspaso: el comparable mas cercano del censo), `CHS-58` (mínimo de franquicia, 55 m²) y, como referencia de OTRO formato, los traspasos de churreria-chocolateria `CHS-37a` (75 m²) y `CHS-37b` (74 m²). Se elige 75 por estar dentro de `CHS-03` y por debajo de `CHS-38a`. El reparto por zona también es supuesto.</t>
        </is>
      </c>
    </row>
    <row r="17" ht="46" customHeight="1">
      <c r="A17" s="4" t="inlineStr">
        <is>
          <t>Parte mínima del local dedicada a producción</t>
        </is>
      </c>
      <c r="B17" s="10" t="n">
        <v>0.55</v>
      </c>
      <c r="C17" t="inlineStr">
        <is>
          <t>%</t>
        </is>
      </c>
      <c r="D17" t="inlineStr">
        <is>
          <t>supuesto</t>
        </is>
      </c>
      <c r="E17" s="4" t="inlineStr">
        <is>
          <t>Criterio de la casa, no norma: por debajo de esto la tienda se come al obrador y acabas comprando bombón hecho. En chocolate la zona de producción son cuatro zonas, no una: obrador, cámara, almacén de cobertura y envasado.</t>
        </is>
      </c>
    </row>
    <row r="18" ht="46" customHeight="1">
      <c r="A18" s="4" t="inlineStr">
        <is>
          <t>Potencia eléctrica instalada total prevista</t>
        </is>
      </c>
      <c r="B18" s="8" t="n">
        <v>28</v>
      </c>
      <c r="C18" t="inlineStr">
        <is>
          <t>kW</t>
        </is>
      </c>
      <c r="D18" t="inlineStr">
        <is>
          <t>supuesto</t>
        </is>
      </c>
      <c r="E18" s="4" t="inlineStr">
        <is>
          <t>Supuesto. Un obrador de chocolate NO tiene hornos: lo que consume es el frío (cámara, nevera de rellenos y vitrina, 24 horas), la climatización con deshumidificación y la atemperadora. La potencia a contratar la fija el proyecto eléctrico, no una tabla: el libro 1 la pide en celda verde.</t>
        </is>
      </c>
    </row>
    <row r="19" ht="46" customHeight="1">
      <c r="A19" s="4" t="inlineStr">
        <is>
          <t>Temperatura exterior de tu ciudad en agosto</t>
        </is>
      </c>
      <c r="B19" s="8" t="n">
        <v>36</v>
      </c>
      <c r="C19" t="inlineStr">
        <is>
          <t>grados C</t>
        </is>
      </c>
      <c r="D19" t="inlineStr">
        <is>
          <t>supuesto</t>
        </is>
      </c>
      <c r="E19" s="4" t="inlineStr">
        <is>
          <t>Supuesto de ciudad media española de interior en agosto. Es una CELDA VERDE del libro 1: el lector pone la de su ciudad, y con ella el semáforo compara la temperatura objetivo del obrador con la potencia frigorífica que le OFREZCA EL INSTALADOR. El libro NO calcula carga térmica (D33): no hay un solo coeficiente con fuente.</t>
        </is>
      </c>
    </row>
    <row r="20" ht="46" customHeight="1">
      <c r="A20" s="4" t="inlineStr">
        <is>
          <t>Potencia frigorífica que te OFRECE el instalador</t>
        </is>
      </c>
      <c r="B20" s="8" t="n">
        <v>9</v>
      </c>
      <c r="C20" t="inlineStr">
        <is>
          <t>kW</t>
        </is>
      </c>
      <c r="D20" t="inlineStr">
        <is>
          <t>supuesto</t>
        </is>
      </c>
      <c r="E20" s="4" t="inlineStr">
        <is>
          <t>LA QUE TE OFRECE ÉL, no la que calcula este libro: este libro NO calcula carga térmica, y lo dice en la hoja «Clima del Obrador». Pídela por escrito con el salto de temperatura de diseño al lado.</t>
        </is>
      </c>
    </row>
    <row r="21" ht="46" customHeight="1">
      <c r="A21" s="4" t="inlineStr">
        <is>
          <t>Salto de temperatura de diseño que declara el instalador</t>
        </is>
      </c>
      <c r="B21" s="8" t="n">
        <v>16</v>
      </c>
      <c r="C21" t="inlineStr">
        <is>
          <t>grados C</t>
        </is>
      </c>
      <c r="D21" t="inlineStr">
        <is>
          <t>supuesto</t>
        </is>
      </c>
      <c r="E21" s="4" t="inlineStr">
        <is>
          <t>El salto de temperatura para el que ha dimensionado su equipo. Es la pregunta que casi nadie hace, y la que decide si esa oferta sirve en agosto: si ha diseñado para un salto menor que el tuyo, el equipo no llega el día que de verdad hace falta.</t>
        </is>
      </c>
    </row>
    <row r="22" ht="46" customHeight="1">
      <c r="A22" s="4" t="inlineStr">
        <is>
          <t>Altura libre mínima que exiges al local</t>
        </is>
      </c>
      <c r="B22" s="8" t="n">
        <v>2.7</v>
      </c>
      <c r="C22" t="inlineStr">
        <is>
          <t>m</t>
        </is>
      </c>
      <c r="D22" t="inlineStr">
        <is>
          <t>supuesto</t>
        </is>
      </c>
      <c r="E22" s="4" t="inlineStr">
        <is>
          <t>Un obrador de chocolate no lleva campana ni conducto a cubierta, así que necesita menos altura que una pastelería. Lo que sí necesita es sitio para la unidad interior de la climatización y para el conducto de la deshumidificación.</t>
        </is>
      </c>
    </row>
    <row r="23" ht="46" customHeight="1">
      <c r="A23" s="4" t="inlineStr">
        <is>
          <t>Número de zonas del local</t>
        </is>
      </c>
      <c r="B23" s="9" t="n">
        <v>6</v>
      </c>
      <c r="C23" t="inlineStr">
        <is>
          <t>zonas</t>
        </is>
      </c>
      <c r="D23" t="inlineStr">
        <is>
          <t>supuesto</t>
        </is>
      </c>
      <c r="E23" s="4" t="inlineStr">
        <is>
          <t>Las seis zonas de La Almendra. NO es el reparto de una pastelería: aquí no hay zona de horno ni de fermentación, y sí cámara climatizada.</t>
        </is>
      </c>
    </row>
    <row r="24" ht="46" customHeight="1">
      <c r="A24" s="4" t="inlineStr">
        <is>
          <t>Superficie máxima de venta sin licencia previa (Ley 12/2012)</t>
        </is>
      </c>
      <c r="B24" s="8" t="n">
        <v>750</v>
      </c>
      <c r="C24" t="inlineStr">
        <is>
          <t>m2</t>
        </is>
      </c>
      <c r="D24" t="inlineStr">
        <is>
          <t>CHN-49 + CHN-49b</t>
        </is>
      </c>
      <c r="E24" s="4" t="inlineStr">
        <is>
          <t>Ningún ayuntamiento puede exigirte licencia previa de instalación, de funcionamiento o de actividad hasta 750 m² de superficie útil de exposición y venta al público, porque el epígrafe 644.5 «Comercio al por menor de bombones y caramelos» está en el Anexo de la Ley 12/2012. OJO: la chocolatería de TAZA (grupo 676) NO está en ese Anexo (`CHN-49c`), así que la variante de taza y churros no se libra.</t>
        </is>
      </c>
    </row>
    <row r="25"/>
    <row r="26" ht="48" customHeight="1">
      <c r="A26" s="7" t="inlineStr">
        <is>
          <t>Los valores marcados «supuesto» son los de la bombonería de ejemplo «La Almendra» (75 m², 45 de producción y 22 de tienda, un turno, tres personas y 2,5 jornadas). NO son datos de sector: son un punto de partida coherente para que puedas ver el libro funcionando antes de meter los tuyos.</t>
        </is>
      </c>
    </row>
    <row r="27"/>
    <row r="28" ht="62" customHeight="1">
      <c r="A28" s="7" t="inlineStr">
        <is>
          <t>La temperatura exterior de agosto, la potencia frigorífica ofertada y el salto de diseño del instalador son las TRES celdas con las que trabaja el semáforo de coherencia de la hoja «Clima del Obrador». Este libro NO calcula la carga térmica de tu obrador: no existe un coeficiente publicado y verificable para hacerlo, y publicar uno inventado sería peor que no publicar nada. Lo que hace es comprobar que las tres cifras encajan entre sí y darte las preguntas que le tienes que hacer a quien sí puede calcularla.</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E3"/>
    <mergeCell ref="A28:E28"/>
    <mergeCell ref="A26:E26"/>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36"/>
  <sheetViews>
    <sheetView workbookViewId="0">
      <pane ySplit="5" topLeftCell="A6" activePane="bottomLeft" state="frozen"/>
      <selection pane="bottomLeft" activeCell="A1" sqref="A1"/>
    </sheetView>
  </sheetViews>
  <sheetFormatPr baseColWidth="8" defaultRowHeight="15"/>
  <cols>
    <col width="5" customWidth="1" min="1" max="1"/>
    <col width="38" customWidth="1" min="2" max="2"/>
    <col width="16" customWidth="1" min="3" max="3"/>
    <col width="11" customWidth="1" min="4" max="4"/>
    <col width="12" customWidth="1" min="5" max="5"/>
    <col width="13" customWidth="1" min="6" max="6"/>
    <col width="92" customWidth="1" min="7" max="7"/>
  </cols>
  <sheetData>
    <row r="1" ht="28" customHeight="1">
      <c r="A1" s="1" t="inlineStr">
        <is>
          <t>Zonas y Metros Cuadrados</t>
        </is>
      </c>
    </row>
    <row r="2">
      <c r="A2" t="inlineStr">
        <is>
          <t>AI Chef Pro · aichef.pro — Cómo Montar una Chocolatería</t>
        </is>
      </c>
    </row>
    <row r="3" ht="26" customHeight="1">
      <c r="A3" s="7" t="inlineStr">
        <is>
          <t>Las seis zonas de una bombonería con obrador y el recorrido de marcha adelante. No es el reparto de una pastelería: aquí no hay zona de horno ni de fermentación, y sí cámara climatizada.</t>
        </is>
      </c>
    </row>
    <row r="4"/>
    <row r="5" ht="30" customHeight="1">
      <c r="A5" s="6" t="inlineStr">
        <is>
          <t>Nº</t>
        </is>
      </c>
      <c r="B5" s="6" t="inlineStr">
        <is>
          <t>Zona</t>
        </is>
      </c>
      <c r="C5" s="6" t="inlineStr">
        <is>
          <t>Bloque</t>
        </is>
      </c>
      <c r="D5" s="6" t="inlineStr">
        <is>
          <t>m2</t>
        </is>
      </c>
      <c r="E5" s="6" t="inlineStr">
        <is>
          <t>% del local</t>
        </is>
      </c>
      <c r="F5" s="6" t="inlineStr">
        <is>
          <t>Paso del recorrido</t>
        </is>
      </c>
      <c r="G5" s="6" t="inlineStr">
        <is>
          <t>Qué tiene que cumplir</t>
        </is>
      </c>
    </row>
    <row r="6" ht="52" customHeight="1">
      <c r="A6" s="11" t="n">
        <v>1</v>
      </c>
      <c r="B6" s="4" t="inlineStr">
        <is>
          <t>Obrador de templado y moldeado</t>
        </is>
      </c>
      <c r="C6" t="inlineStr">
        <is>
          <t>Producción</t>
        </is>
      </c>
      <c r="D6" s="8" t="n">
        <v>26</v>
      </c>
      <c r="E6" s="12">
        <f>IFERROR(D6/$D$13,"")</f>
        <v>0.3466666666666667</v>
      </c>
      <c r="F6" s="9" t="n">
        <v>2</v>
      </c>
      <c r="G6" s="4" t="inlineStr">
        <is>
          <t>La zona que manda sobre el local: aquí van la atemperadora, la mesa de mármol o granito, la enrobadora y los moldes. Clima propio (18-20 °C y 50-60 % de humedad, kit-tareas-chocolateria/08-apertura-cierre-negocio.xlsx, hoja «Apertura del Negocio») y marcha adelante: la cobertura entra por un extremo y el bombón acabado sale por el otro sin cruzarse con ella.</t>
        </is>
      </c>
    </row>
    <row r="7" ht="52" customHeight="1">
      <c r="A7" s="11" t="n">
        <v>2</v>
      </c>
      <c r="B7" s="4" t="inlineStr">
        <is>
          <t>Cámara de chocolate</t>
        </is>
      </c>
      <c r="C7" t="inlineStr">
        <is>
          <t>Producción</t>
        </is>
      </c>
      <c r="D7" s="8" t="n">
        <v>6</v>
      </c>
      <c r="E7" s="12">
        <f>IFERROR(D7/$D$13,"")</f>
        <v>0.08</v>
      </c>
      <c r="F7" s="9" t="n">
        <v>3</v>
      </c>
      <c r="G7" s="4" t="inlineStr">
        <is>
          <t>Zona propia y climatizada a 15-18 °C con 50-60 % de humedad (kit-tareas-chocolateria/01-apertura-cierre.xlsx, hoja «Apertura»). No es una nevera: el chocolate acabado NO va a 4 °C. Dentro de ella, o al lado, la nevera de rellenos y ganaches a 0-4 °C.</t>
        </is>
      </c>
    </row>
    <row r="8" ht="52" customHeight="1">
      <c r="A8" s="11" t="n">
        <v>3</v>
      </c>
      <c r="B8" s="4" t="inlineStr">
        <is>
          <t>Almacén de cobertura y materias primas</t>
        </is>
      </c>
      <c r="C8" t="inlineStr">
        <is>
          <t>Producción</t>
        </is>
      </c>
      <c r="D8" s="8" t="n">
        <v>8</v>
      </c>
      <c r="E8" s="12">
        <f>IFERROR(D8/$D$13,"")</f>
        <v>0.10666666666666667</v>
      </c>
      <c r="F8" s="9" t="n">
        <v>1</v>
      </c>
      <c r="G8" s="4" t="inlineStr">
        <is>
          <t>La cobertura llega en cajas de 5 a 25 kg y es el inmovilizado más grande del obrador: el libro 3 calcula cuántas semanas de stock caben aquí. En oscuridad y lejos de olores fuertes: el cacao los absorbe (kit-tareas-chocolateria/02-partidas-produccion.xlsx, hoja «Moldeado»).</t>
        </is>
      </c>
    </row>
    <row r="9" ht="52" customHeight="1">
      <c r="A9" s="11" t="n">
        <v>4</v>
      </c>
      <c r="B9" s="4" t="inlineStr">
        <is>
          <t>Envasado y packaging</t>
        </is>
      </c>
      <c r="C9" t="inlineStr">
        <is>
          <t>Producción</t>
        </is>
      </c>
      <c r="D9" s="8" t="n">
        <v>5</v>
      </c>
      <c r="E9" s="12">
        <f>IFERROR(D9/$D$13,"")</f>
        <v>0.06666666666666667</v>
      </c>
      <c r="F9" s="9" t="n">
        <v>4</v>
      </c>
      <c r="G9" s="4" t="inlineStr">
        <is>
          <t>Mesa de montaje de cajas, etiquetadora y almacén de packaging de campaña. Es la zona que se desborda en Navidad y la que nadie dibuja en el plano.</t>
        </is>
      </c>
    </row>
    <row r="10" ht="52" customHeight="1">
      <c r="A10" s="11" t="n">
        <v>5</v>
      </c>
      <c r="B10" s="4" t="inlineStr">
        <is>
          <t>Tienda y mostrador</t>
        </is>
      </c>
      <c r="C10" t="inlineStr">
        <is>
          <t>Tienda</t>
        </is>
      </c>
      <c r="D10" s="8" t="n">
        <v>22</v>
      </c>
      <c r="E10" s="12">
        <f>IFERROR(D10/$D$13,"")</f>
        <v>0.29333333333333333</v>
      </c>
      <c r="F10" s="9" t="n">
        <v>5</v>
      </c>
      <c r="G10" s="4" t="inlineStr">
        <is>
          <t>Sala a 20-22 °C (kit-tareas-chocolateria/01-apertura-cierre.xlsx, hoja «Apertura») con la vitrina de bombonería a 16-18 °C. Los dos climas son distintos y conviven en la misma sala: es el motivo de que la vitrina lleve su propio control.</t>
        </is>
      </c>
    </row>
    <row r="11" ht="52" customHeight="1">
      <c r="A11" s="11" t="n">
        <v>6</v>
      </c>
      <c r="B11" s="4" t="inlineStr">
        <is>
          <t>Aseos y vestuario</t>
        </is>
      </c>
      <c r="C11" t="inlineStr">
        <is>
          <t>Servicios</t>
        </is>
      </c>
      <c r="D11" s="8" t="n">
        <v>8</v>
      </c>
      <c r="E11" s="12">
        <f>IFERROR(D11/$D$13,"")</f>
        <v>0.10666666666666667</v>
      </c>
      <c r="F11" s="9" t="n">
        <v>6</v>
      </c>
      <c r="G11" s="4" t="inlineStr">
        <is>
          <t>Vestuario de personal separado del aseo de público. Si no caben los dos, el local no sirve: es una de las eliminatorias de la ficha de visita.</t>
        </is>
      </c>
    </row>
    <row r="12"/>
    <row r="13">
      <c r="B13" s="13" t="inlineStr">
        <is>
          <t>TOTAL repartido</t>
        </is>
      </c>
      <c r="D13" s="14">
        <f>SUM(D6:D11)</f>
        <v>75.0</v>
      </c>
      <c r="E13" s="15">
        <f>SUM(E6:E11)</f>
        <v>1.0</v>
      </c>
    </row>
    <row r="14">
      <c r="B14" t="inlineStr">
        <is>
          <t>Superficie declarada en «Parámetros»</t>
        </is>
      </c>
      <c r="D14" s="16">
        <f>'Parámetros'!B16</f>
        <v>75.0</v>
      </c>
    </row>
    <row r="15">
      <c r="B15" t="inlineStr">
        <is>
          <t>Descuadre (m²)</t>
        </is>
      </c>
      <c r="D15" s="16">
        <f>IFERROR(D13-D14,"")</f>
        <v>0.0</v>
      </c>
      <c r="G15" s="4" t="inlineStr">
        <is>
          <t>Si no es cero, o te sobran metros sin asignar o has repartido más de los que tiene el local.</t>
        </is>
      </c>
    </row>
    <row r="16"/>
    <row r="17">
      <c r="B17" t="inlineStr">
        <is>
          <t>Metros de zona de producción</t>
        </is>
      </c>
      <c r="D17" s="16">
        <f>SUMIF(C6:C11,"Producción",D6:D11)</f>
        <v>45.0</v>
      </c>
    </row>
    <row r="18">
      <c r="B18" t="inlineStr">
        <is>
          <t>Parte del local dedicada a producción</t>
        </is>
      </c>
      <c r="D18" s="12">
        <f>IFERROR(D17/D13,"")</f>
        <v>0.6</v>
      </c>
    </row>
    <row r="19" ht="44" customHeight="1">
      <c r="B19" t="inlineStr">
        <is>
          <t>Metros de tienda y mostrador</t>
        </is>
      </c>
      <c r="D19" s="16">
        <f>SUMIF(C6:C11,"Tienda",D6:D11)</f>
        <v>22.0</v>
      </c>
      <c r="G19" s="4" t="inlineStr">
        <is>
          <t>Es la superficie que se compara con los 750 m² de la Ley 12/2012 en la ficha de visita: la de EXPOSICIÓN Y VENTA al público, no la del local entero.</t>
        </is>
      </c>
    </row>
    <row r="20">
      <c r="B20" t="inlineStr">
        <is>
          <t>Parte del local dedicada a venta</t>
        </is>
      </c>
      <c r="D20" s="12">
        <f>IFERROR(D19/D13,"")</f>
        <v>0.29333333333333333</v>
      </c>
    </row>
    <row r="21">
      <c r="B21" t="inlineStr">
        <is>
          <t>Mínimo de producción que te has exigido</t>
        </is>
      </c>
      <c r="D21" s="12">
        <f>'Parámetros'!B17</f>
        <v>0.55</v>
      </c>
    </row>
    <row r="22">
      <c r="B22" s="13" t="inlineStr">
        <is>
          <t>Veredicto del reparto</t>
        </is>
      </c>
      <c r="D22" s="17" t="str">
        <f>IF(D18="","",IF(D18&lt;D21,"La producción se queda corta","Reparto suficiente"))</f>
        <v>Reparto suficiente</v>
      </c>
    </row>
    <row r="23"/>
    <row r="24">
      <c r="B24" s="3" t="inlineStr">
        <is>
          <t>Marcha adelante: la cobertura entra por un extremo y el bombón sale por el otro</t>
        </is>
      </c>
    </row>
    <row r="25">
      <c r="B25" t="inlineStr">
        <is>
          <t>Suma de los pasos que has numerado</t>
        </is>
      </c>
      <c r="D25" s="11">
        <f>SUM(F6:F11)</f>
        <v>21.0</v>
      </c>
    </row>
    <row r="26">
      <c r="B26" t="inlineStr">
        <is>
          <t>Suma que debería dar (1 + 2 + ... + n)</t>
        </is>
      </c>
      <c r="D26" s="11">
        <f>IFERROR('Parámetros'!B23*('Parámetros'!B23+1)/2,"")</f>
        <v>21.0</v>
      </c>
    </row>
    <row r="27" ht="44" customHeight="1">
      <c r="B27" t="inlineStr">
        <is>
          <t>¿Están numerados del 1 al n sin repetir?</t>
        </is>
      </c>
      <c r="D27" t="str">
        <f>IF(AND(D25=D26,MIN(F6:F11)=1,MAX(F6:F11)='Parámetros'!B23),"Sí","Revisa la numeración")</f>
        <v>Sí</v>
      </c>
      <c r="G27" s="4" t="inlineStr">
        <is>
          <t>Comprobación de numeración: la suma tiene que cuadrar y los pasos ir del 1 al número de zonas. No detecta una permutación que sume igual; lo que detecta -y es lo que pasa siempre- es un número repetido o uno saltado.</t>
        </is>
      </c>
    </row>
    <row r="28">
      <c r="B28" s="4" t="inlineStr">
        <is>
          <t>La cobertura entra antes que el obrador</t>
        </is>
      </c>
      <c r="D28" t="str">
        <f>IF(F8&lt;F6,"Sí","No")</f>
        <v>Sí</v>
      </c>
    </row>
    <row r="29">
      <c r="B29" s="4" t="inlineStr">
        <is>
          <t>El bombón acabado pasa del obrador a la cámara</t>
        </is>
      </c>
      <c r="D29" t="str">
        <f>IF(F7&gt;F6,"Sí","No")</f>
        <v>Sí</v>
      </c>
    </row>
    <row r="30">
      <c r="B30" s="4" t="inlineStr">
        <is>
          <t>El envasado va después de la cámara</t>
        </is>
      </c>
      <c r="D30" t="str">
        <f>IF(F9&gt;F7,"Sí","No")</f>
        <v>Sí</v>
      </c>
    </row>
    <row r="31">
      <c r="B31" s="4" t="inlineStr">
        <is>
          <t>Lo envasado llega a la tienda sin volver atrás</t>
        </is>
      </c>
      <c r="D31" t="str">
        <f>IF(F9&lt;=F10,"Sí","No")</f>
        <v>Sí</v>
      </c>
    </row>
    <row r="32">
      <c r="B32" s="4" t="inlineStr">
        <is>
          <t>El vestuario no está en mitad del recorrido de producción</t>
        </is>
      </c>
      <c r="D32" t="str">
        <f>IF(F11&gt;F9,"Sí","No")</f>
        <v>Sí</v>
      </c>
    </row>
    <row r="33"/>
    <row r="34">
      <c r="B34" s="13" t="inlineStr">
        <is>
          <t>VEREDICTO DE MARCHA ADELANTE</t>
        </is>
      </c>
      <c r="D34" s="17" t="str">
        <f>IF(COUNTIF(D28:D32,"No")&gt;0,"Hay un cruce en el recorrido","Marcha adelante correcta")</f>
        <v>Marcha adelante correcta</v>
      </c>
    </row>
    <row r="35"/>
    <row r="36" ht="62" customHeight="1">
      <c r="B36" s="7" t="inlineStr">
        <is>
          <t>La marcha adelante no es una preferencia de diseño: es que la materia prima y el producto terminado no se crucen nunca. En chocolate tiene además un motivo propio: el cacao absorbe los olores, así que el almacén de cobertura no puede compartir aire con la basura ni con el cuarto de limpieza. Cuando el local no permite el recorrido, no se arregla con un cartel ni con un horario; se arregla con obra o no se arregla. Por eso se dibuja sobre el plano ANTES de firmar.</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B36:G36"/>
  </mergeCells>
  <conditionalFormatting sqref="D15">
    <cfRule type="expression" priority="1" dxfId="0" stopIfTrue="1">
      <formula>=AND(ISNUMBER($D$15),ABS($D$15)&gt;0.05)</formula>
    </cfRule>
  </conditionalFormatting>
  <conditionalFormatting sqref="D22">
    <cfRule type="cellIs" priority="2" operator="equal" dxfId="0" stopIfTrue="1">
      <formula>"La producción se queda corta"</formula>
    </cfRule>
    <cfRule type="cellIs" priority="3" operator="equal" dxfId="1" stopIfTrue="1">
      <formula>"Reparto suficiente"</formula>
    </cfRule>
  </conditionalFormatting>
  <conditionalFormatting sqref="D28">
    <cfRule type="cellIs" priority="4" operator="equal" dxfId="0" stopIfTrue="1">
      <formula>"No"</formula>
    </cfRule>
    <cfRule type="cellIs" priority="5" operator="equal" dxfId="1" stopIfTrue="1">
      <formula>"Sí"</formula>
    </cfRule>
  </conditionalFormatting>
  <conditionalFormatting sqref="D29">
    <cfRule type="cellIs" priority="6" operator="equal" dxfId="0" stopIfTrue="1">
      <formula>"No"</formula>
    </cfRule>
    <cfRule type="cellIs" priority="7" operator="equal" dxfId="1" stopIfTrue="1">
      <formula>"Sí"</formula>
    </cfRule>
  </conditionalFormatting>
  <conditionalFormatting sqref="D30">
    <cfRule type="cellIs" priority="8" operator="equal" dxfId="0" stopIfTrue="1">
      <formula>"No"</formula>
    </cfRule>
    <cfRule type="cellIs" priority="9" operator="equal" dxfId="1" stopIfTrue="1">
      <formula>"Sí"</formula>
    </cfRule>
  </conditionalFormatting>
  <conditionalFormatting sqref="D31">
    <cfRule type="cellIs" priority="10" operator="equal" dxfId="0" stopIfTrue="1">
      <formula>"No"</formula>
    </cfRule>
    <cfRule type="cellIs" priority="11" operator="equal" dxfId="1" stopIfTrue="1">
      <formula>"Sí"</formula>
    </cfRule>
  </conditionalFormatting>
  <conditionalFormatting sqref="D32">
    <cfRule type="cellIs" priority="12" operator="equal" dxfId="0" stopIfTrue="1">
      <formula>"No"</formula>
    </cfRule>
    <cfRule type="cellIs" priority="13" operator="equal" dxfId="1" stopIfTrue="1">
      <formula>"Sí"</formula>
    </cfRule>
  </conditionalFormatting>
  <conditionalFormatting sqref="D34">
    <cfRule type="cellIs" priority="14" operator="equal" dxfId="0" stopIfTrue="1">
      <formula>"Hay un cruce en el recorrido"</formula>
    </cfRule>
    <cfRule type="cellIs" priority="15" operator="equal" dxfId="1" stopIfTrue="1">
      <formula>"Marcha adelante correcta"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H59"/>
  <sheetViews>
    <sheetView workbookViewId="0">
      <pane ySplit="36" topLeftCell="A37" activePane="bottomLeft" state="frozen"/>
      <selection pane="bottomLeft" activeCell="A1" sqref="A1"/>
    </sheetView>
  </sheetViews>
  <sheetFormatPr baseColWidth="8" defaultRowHeight="15"/>
  <cols>
    <col width="44" customWidth="1" min="1" max="1"/>
    <col width="13" customWidth="1" min="2" max="2"/>
    <col width="13" customWidth="1" min="3" max="3"/>
    <col width="13" customWidth="1" min="4" max="4"/>
    <col width="13" customWidth="1" min="5" max="5"/>
    <col width="34" customWidth="1" min="6" max="6"/>
    <col width="60" customWidth="1" min="7" max="7"/>
    <col width="72" customWidth="1" min="8" max="8"/>
  </cols>
  <sheetData>
    <row r="1" ht="28" customHeight="1">
      <c r="A1" s="1" t="inlineStr">
        <is>
          <t>Clima del Obrador</t>
        </is>
      </c>
    </row>
    <row r="2">
      <c r="A2" t="inlineStr">
        <is>
          <t>AI Chef Pro · aichef.pro — Cómo Montar una Chocolatería</t>
        </is>
      </c>
    </row>
    <row r="3" ht="26" customHeight="1">
      <c r="A3" s="7" t="inlineStr">
        <is>
          <t>Las cinco temperaturas objetivo son las que ya publica el Kit de Tareas Chocolatería. Esta hoja NO calcula la carga térmica de tu obrador: comprueba que lo que quieres, el agosto de tu ciudad y lo que te ofrece el instalador son coherentes, y te da las preguntas que hay que hacerle.</t>
        </is>
      </c>
    </row>
    <row r="4"/>
    <row r="5">
      <c r="A5" s="3" t="inlineStr">
        <is>
          <t>Las cinco ventanas de temperatura y humedad</t>
        </is>
      </c>
    </row>
    <row r="6" ht="40" customHeight="1">
      <c r="A6" s="6" t="inlineStr">
        <is>
          <t>Dónde</t>
        </is>
      </c>
      <c r="B6" s="6" t="inlineStr">
        <is>
          <t>T mínima</t>
        </is>
      </c>
      <c r="C6" s="6" t="inlineStr">
        <is>
          <t>T máxima</t>
        </is>
      </c>
      <c r="D6" s="6" t="inlineStr">
        <is>
          <t>HR mínima</t>
        </is>
      </c>
      <c r="E6" s="6" t="inlineStr">
        <is>
          <t>HR máxima</t>
        </is>
      </c>
      <c r="F6" s="6" t="inlineStr">
        <is>
          <t>De dónde sale</t>
        </is>
      </c>
      <c r="G6" s="6" t="inlineStr">
        <is>
          <t>Literal del kit</t>
        </is>
      </c>
      <c r="H6" s="6" t="inlineStr">
        <is>
          <t>Qué pasa si te sales</t>
        </is>
      </c>
    </row>
    <row r="7" ht="58" customHeight="1">
      <c r="A7" s="4" t="inlineStr">
        <is>
          <t>Obrador de templado y moldeado</t>
        </is>
      </c>
      <c r="B7" s="8" t="n">
        <v>18</v>
      </c>
      <c r="C7" s="8" t="n">
        <v>20</v>
      </c>
      <c r="D7" s="8" t="n">
        <v>50</v>
      </c>
      <c r="E7" s="8" t="n">
        <v>60</v>
      </c>
      <c r="F7" s="4" t="inlineStr">
        <is>
          <t>kit-tareas-chocolateria/08-apertura-cierre-negocio.xlsx, hoja «Apertura del Negocio»</t>
        </is>
      </c>
      <c r="G7" s="4" t="inlineStr">
        <is>
          <t>Verificar la temperatura y la humedad del obrador: objetivo 18-20 °C y 50-60 %</t>
        </is>
      </c>
      <c r="H7" s="4" t="inlineStr">
        <is>
          <t>Es la tarea 17 de la hoja, y es el objetivo mas restrictivo que publica el kit: es el que manda. `CHS-44` publica 18-22 °C como rango de trabajo de un tercero, y entra en la prosa del cap. 07 como tal, nunca como objetivo del juego de datos.</t>
        </is>
      </c>
    </row>
    <row r="8" ht="58" customHeight="1">
      <c r="A8" s="4" t="inlineStr">
        <is>
          <t>Cámara de conservación de chocolate</t>
        </is>
      </c>
      <c r="B8" s="8" t="n">
        <v>15</v>
      </c>
      <c r="C8" s="8" t="n">
        <v>18</v>
      </c>
      <c r="D8" s="8" t="n">
        <v>50</v>
      </c>
      <c r="E8" s="8" t="n">
        <v>60</v>
      </c>
      <c r="F8" s="4" t="inlineStr">
        <is>
          <t>kit-tareas-chocolateria/01-apertura-cierre.xlsx, hoja «Apertura»</t>
        </is>
      </c>
      <c r="G8" s="4" t="inlineStr">
        <is>
          <t>Comprobar que la cámara de conservación ha funcionado toda la noche (sin cortes ni alarmas) y registrar la temperatura: objetivo 15-18 °C y 50-60 % de humedad</t>
        </is>
      </c>
      <c r="H8" s="4" t="inlineStr">
        <is>
          <t>Tarea 2. Es la misma ventana en la que el kit declara las vidas útiles.</t>
        </is>
      </c>
    </row>
    <row r="9" ht="58" customHeight="1">
      <c r="A9" s="4" t="inlineStr">
        <is>
          <t>Nevera de rellenos y ganaches</t>
        </is>
      </c>
      <c r="B9" s="8" t="n">
        <v>0</v>
      </c>
      <c r="C9" s="8" t="n">
        <v>4</v>
      </c>
      <c r="D9" t="inlineStr"/>
      <c r="E9" t="inlineStr"/>
      <c r="F9" s="4" t="inlineStr">
        <is>
          <t>kit-tareas-chocolateria/01-apertura-cierre.xlsx, hoja «Apertura»</t>
        </is>
      </c>
      <c r="G9" s="4" t="inlineStr">
        <is>
          <t>Comprobar que la nevera de rellenos y ganaches ha funcionado toda la noche y registrar la temperatura: objetivo 0-4 °C</t>
        </is>
      </c>
      <c r="H9" s="4" t="inlineStr">
        <is>
          <t>Tarea 3. Es la nevera del RELLENO, no la del bombón acabado: el chocolate terminado no va a 4 °C, condensa.</t>
        </is>
      </c>
    </row>
    <row r="10" ht="58" customHeight="1">
      <c r="A10" s="4" t="inlineStr">
        <is>
          <t>Sala de tienda</t>
        </is>
      </c>
      <c r="B10" s="8" t="n">
        <v>20</v>
      </c>
      <c r="C10" s="8" t="n">
        <v>22</v>
      </c>
      <c r="D10" t="inlineStr"/>
      <c r="E10" t="inlineStr"/>
      <c r="F10" s="4" t="inlineStr">
        <is>
          <t>kit-tareas-chocolateria/01-apertura-cierre.xlsx, hoja «Apertura»</t>
        </is>
      </c>
      <c r="G10" s="4" t="inlineStr">
        <is>
          <t>Encender aire acondicionado - mantener sala 20-22 °C</t>
        </is>
      </c>
      <c r="H10" s="4" t="inlineStr">
        <is>
          <t>Tarea 6. Confundir la temperatura de la SALA con la de la CÁMARA es uno de los errores de método que la SPEC prohíbe: son dos cosas distintas y conviven en el mismo local.</t>
        </is>
      </c>
    </row>
    <row r="11" ht="58" customHeight="1">
      <c r="A11" s="4" t="inlineStr">
        <is>
          <t>Vitrina de bombonería</t>
        </is>
      </c>
      <c r="B11" s="8" t="n">
        <v>16</v>
      </c>
      <c r="C11" s="8" t="n">
        <v>18</v>
      </c>
      <c r="D11" t="inlineStr"/>
      <c r="E11" s="8" t="n">
        <v>55</v>
      </c>
      <c r="F11" s="4" t="inlineStr">
        <is>
          <t>kit-tareas-chocolateria/08-apertura-cierre-negocio.xlsx, hoja «Apertura del Negocio»</t>
        </is>
      </c>
      <c r="G11" s="4" t="inlineStr">
        <is>
          <t>Comprobar que las vitrinas temperadas han alcanzado 16-18 °C y menos del 55 % de humedad antes de montar el genero</t>
        </is>
      </c>
      <c r="H11" s="4" t="inlineStr">
        <is>
          <t>Tarea 16. Es el OBJETIVO OPERATIVO, lo que se comprueba cada mañana. `CHS-43` publica además el RANGO DE TRABAJO de un equipo real (+14/+17 °C, Docriluc WB-6-6-R, base SIN IVA declarada), que es otra cosa. El semáforo del libro 5 se alimenta del rango que el lector teclea y solo avisa por encima de 20 °C.</t>
        </is>
      </c>
    </row>
    <row r="12"/>
    <row r="13" ht="62" customHeight="1">
      <c r="A13" s="7" t="inlineStr">
        <is>
          <t>NO HAY UNA TEMPERATURA LEGAL DEL CHOCOLATE. El RD 1021/2022 no nombra el chocolate ni una sola vez, y su art. 4.2 se aplica a la temperatura que ponga en su etiqueta quien ha producido y envasado el producto. Para el bombón que despachas a granel no hay etiqueta: la referencia es TU sistema de autocontrol, y la temperatura la declaras tú en él. Las cinco de esta tabla son las que ya publica el Kit de Tareas Chocolatería, y por eso las usa la guía: un concepto, una fuente.</t>
        </is>
      </c>
    </row>
    <row r="14"/>
    <row r="15">
      <c r="A15" s="3" t="inlineStr">
        <is>
          <t>Primera comprobación: ¿son coherentes entre sí las cinco ventanas?</t>
        </is>
      </c>
    </row>
    <row r="16" ht="46" customHeight="1">
      <c r="A16" s="4" t="inlineStr">
        <is>
          <t>La cámara está por debajo del obrador</t>
        </is>
      </c>
      <c r="F16" t="str">
        <f>IF(OR(C8="",B7=""),"",IF(C8&lt;=B7,"Sí","No"))</f>
        <v>Sí</v>
      </c>
      <c r="H16" s="4" t="inlineStr">
        <is>
          <t>El bombón acabado sale del obrador y entra en la cámara: si la cámara está más caliente que el obrador, la cámara no conserva nada.</t>
        </is>
      </c>
    </row>
    <row r="17" ht="46" customHeight="1">
      <c r="A17" s="4" t="inlineStr">
        <is>
          <t>La sala de tienda está por encima del obrador</t>
        </is>
      </c>
      <c r="F17" t="str">
        <f>IF(OR(B10="",C7=""),"",IF(B10&gt;=C7,"Sí","No"))</f>
        <v>Sí</v>
      </c>
      <c r="H17" s="4" t="inlineStr">
        <is>
          <t>La sala es para el cliente y el obrador para el chocolate. Son dos climas distintos que conviven en el mismo local, y por eso la puerta entre los dos importa.</t>
        </is>
      </c>
    </row>
    <row r="18" ht="46" customHeight="1">
      <c r="A18" s="4" t="inlineStr">
        <is>
          <t>La vitrina está por debajo de la sala</t>
        </is>
      </c>
      <c r="F18" t="str">
        <f>IF(OR(C11="",B10=""),"",IF(C11&lt;=B10,"Sí","No"))</f>
        <v>Sí</v>
      </c>
      <c r="H18" s="4" t="inlineStr">
        <is>
          <t>La vitrina tiene su propio control porque la sala la calienta. Si el escaparate da al sol de mediodía, esto deja de cumplirse solo.</t>
        </is>
      </c>
    </row>
    <row r="19" ht="46" customHeight="1">
      <c r="A19" s="4" t="inlineStr">
        <is>
          <t>La nevera de rellenos está por debajo de la cámara</t>
        </is>
      </c>
      <c r="F19" t="str">
        <f>IF(OR(C9="",B8=""),"",IF(C9&lt;=B8,"Sí","No"))</f>
        <v>Sí</v>
      </c>
      <c r="H19" s="4" t="inlineStr">
        <is>
          <t>La nevera es la del RELLENO, a 0-4 °C. El bombón acabado NO va a 4 °C: condensa, y el agua de la condensación disuelve el azúcar de la superficie.</t>
        </is>
      </c>
    </row>
    <row r="20">
      <c r="A20" t="inlineStr">
        <is>
          <t>Ventanas incoherentes entre sí</t>
        </is>
      </c>
      <c r="F20" s="11">
        <f>COUNTIF(F16:F19,"No")</f>
        <v>0.0</v>
      </c>
    </row>
    <row r="21"/>
    <row r="22">
      <c r="A22" s="3" t="inlineStr">
        <is>
          <t>Segunda comprobación: ¿encaja lo que te ofrece el instalador?</t>
        </is>
      </c>
    </row>
    <row r="23" ht="44" customHeight="1">
      <c r="A23" t="inlineStr">
        <is>
          <t>Temperatura objetivo máxima del obrador</t>
        </is>
      </c>
      <c r="F23" s="16">
        <f>C7</f>
        <v>20.0</v>
      </c>
      <c r="H23" s="4" t="inlineStr">
        <is>
          <t>La de la primera fila de la tabla de arriba. Si la subes, el salto baja y la oferta encaja mejor: también te quedas sin margen para templar.</t>
        </is>
      </c>
    </row>
    <row r="24">
      <c r="A24" t="inlineStr">
        <is>
          <t>Temperatura exterior de tu ciudad en agosto</t>
        </is>
      </c>
      <c r="F24" s="16">
        <f>'Parámetros'!B19</f>
        <v>36.0</v>
      </c>
    </row>
    <row r="25" ht="44" customHeight="1">
      <c r="A25" s="13" t="inlineStr">
        <is>
          <t>Salto de temperatura que tiene que vencer el equipo</t>
        </is>
      </c>
      <c r="F25" s="14">
        <f>IFERROR(F24-F23,"")</f>
        <v>16.0</v>
      </c>
      <c r="H25" s="4" t="inlineStr">
        <is>
          <t>Aritmética pura, sin ningún coeficiente: la de fuera menos la que quieres dentro. Es el número que hay que llevar a la conversación con el instalador.</t>
        </is>
      </c>
    </row>
    <row r="26">
      <c r="A26" t="inlineStr">
        <is>
          <t>Salto de diseño que declara el instalador</t>
        </is>
      </c>
      <c r="F26" s="16">
        <f>'Parámetros'!B21</f>
        <v>16.0</v>
      </c>
    </row>
    <row r="27">
      <c r="A27" t="inlineStr">
        <is>
          <t>Potencia frigorífica que te OFRECE el instalador</t>
        </is>
      </c>
      <c r="F27" s="16">
        <f>'Parámetros'!B20</f>
        <v>9.0</v>
      </c>
    </row>
    <row r="28">
      <c r="A28" t="inlineStr">
        <is>
          <t>Metros de producción a climatizar</t>
        </is>
      </c>
      <c r="F28" s="16">
        <f>'Zonas y m2'!D17</f>
        <v>45.0</v>
      </c>
    </row>
    <row r="29" ht="62" customHeight="1">
      <c r="A29" t="inlineStr">
        <is>
          <t>Potencia ofertada por metro climatizado</t>
        </is>
      </c>
      <c r="F29" s="16">
        <f>IFERROR(F27/F28,"")</f>
        <v>0.2</v>
      </c>
      <c r="H29" s="4" t="inlineStr">
        <is>
          <t>NO ES UN CRITERIO DE DIMENSIONADO Y POR ESO NO LLEVA SEMÁFORO: es tu propia oferta dividida entre tus propios metros. Sirve para una sola cosa, y es útil: enseñársela al segundo instalador y preguntarle por qué la suya se parece o no se parece. Cualquier tabla que te diga «tantos kW por m² de obrador de chocolate» está inventada.</t>
        </is>
      </c>
    </row>
    <row r="30">
      <c r="A30" t="inlineStr">
        <is>
          <t>¿Te ha dado la potencia por escrito?</t>
        </is>
      </c>
      <c r="F30" s="5" t="inlineStr">
        <is>
          <t>Por pedir</t>
        </is>
      </c>
    </row>
    <row r="31">
      <c r="A31" t="inlineStr">
        <is>
          <t>¿Te ha dicho por escrito para qué salto la ha calculado?</t>
        </is>
      </c>
      <c r="F31" s="5" t="inlineStr">
        <is>
          <t>Por pedir</t>
        </is>
      </c>
    </row>
    <row r="32"/>
    <row r="33" ht="62" customHeight="1">
      <c r="A33" s="13" t="inlineStr">
        <is>
          <t>SEMÁFORO DE COHERENCIA</t>
        </is>
      </c>
      <c r="F33" s="17" t="str">
        <f>IF(OR(F25="",F26="",F27=""),"",IF(F26&lt;F25,"INCOHERENTE: el salto de diseño se queda corto",IF(F20&gt;0,"REVISA LA VENTANA CLIMÁTICA",IF(OR(F30&lt;&gt;"Sí",F31&lt;&gt;"Sí"),"PIDE LA OFERTA POR ESCRITO","COHERENTE"))))</f>
        <v>PIDE LA OFERTA POR ESCRITO</v>
      </c>
      <c r="H33" s="4" t="inlineStr">
        <is>
          <t>El semáforo compara TRES cifras que teclea el lector: lo que quiere dentro, lo que hace fuera en agosto y para qué salto ha dimensionado el instalador. No dice si la potencia es suficiente -eso no se puede decir sin calcular la carga térmica, y este libro no la calcula-: dice si la oferta está contestando a tu pregunta o a otra.</t>
        </is>
      </c>
    </row>
    <row r="34"/>
    <row r="35">
      <c r="A35" s="3" t="inlineStr">
        <is>
          <t>Ficha de preguntas al instalador: llévala a la visita técnica</t>
        </is>
      </c>
    </row>
    <row r="36" ht="30" customHeight="1">
      <c r="A36" s="6" t="inlineStr">
        <is>
          <t>Qué le preguntas</t>
        </is>
      </c>
      <c r="B36" s="6" t="inlineStr">
        <is>
          <t>Unidad</t>
        </is>
      </c>
      <c r="C36" s="6" t="inlineStr">
        <is>
          <t>Respuesta</t>
        </is>
      </c>
      <c r="D36" s="6" t="inlineStr">
        <is>
          <t>¿Por escrito?</t>
        </is>
      </c>
      <c r="H36" s="6" t="inlineStr">
        <is>
          <t>Por qué importa</t>
        </is>
      </c>
    </row>
    <row r="37" ht="52" customHeight="1">
      <c r="A37" s="4" t="inlineStr">
        <is>
          <t>¿Qué volumen en m³ has tomado para el obrador?</t>
        </is>
      </c>
      <c r="B37" t="inlineStr">
        <is>
          <t>m3</t>
        </is>
      </c>
      <c r="C37" s="8" t="n">
        <v>78</v>
      </c>
      <c r="D37" s="5" t="inlineStr">
        <is>
          <t>Por pedir</t>
        </is>
      </c>
      <c r="H37" s="4" t="inlineStr">
        <is>
          <t>Los metros cuadrados de la hoja «Zonas y m²» por la altura libre. Si el número que ha usado no se parece al tuyo, ha dimensionado otro local.</t>
        </is>
      </c>
    </row>
    <row r="38" ht="52" customHeight="1">
      <c r="A38" s="4" t="inlineStr">
        <is>
          <t>¿Para qué salto de temperatura de diseño lo has calculado?</t>
        </is>
      </c>
      <c r="B38" t="inlineStr">
        <is>
          <t>grados C</t>
        </is>
      </c>
      <c r="C38" s="8" t="n">
        <v>16</v>
      </c>
      <c r="D38" s="5" t="inlineStr">
        <is>
          <t>Por pedir</t>
        </is>
      </c>
      <c r="H38" s="4" t="inlineStr">
        <is>
          <t>Es LA pregunta. Un equipo dimensionado para un salto de 10 grados no sostiene 18-20 °C dentro con 36 fuera, y en agosto es cuando se nota.</t>
        </is>
      </c>
    </row>
    <row r="39" ht="52" customHeight="1">
      <c r="A39" s="4" t="inlineStr">
        <is>
          <t>¿Qué aportes internos has contado?</t>
        </is>
      </c>
      <c r="B39" t="inlineStr">
        <is>
          <t>kW</t>
        </is>
      </c>
      <c r="C39" s="8" t="n">
        <v>3.5</v>
      </c>
      <c r="D39" s="5" t="inlineStr">
        <is>
          <t>Por pedir</t>
        </is>
      </c>
      <c r="H39" s="4" t="inlineStr">
        <is>
          <t>La atemperadora, el temperador, las luces y las personas calientan el obrador desde dentro. Un equipo calculado sin ellos se queda corto justo cuando estás produciendo.</t>
        </is>
      </c>
    </row>
    <row r="40" ht="52" customHeight="1">
      <c r="A40" s="4" t="inlineStr">
        <is>
          <t>¿Cuántas renovaciones de aire por hora has previsto?</t>
        </is>
      </c>
      <c r="B40" t="inlineStr">
        <is>
          <t>ren/h</t>
        </is>
      </c>
      <c r="C40" s="8" t="n">
        <v>2</v>
      </c>
      <c r="D40" s="5" t="inlineStr">
        <is>
          <t>Por pedir</t>
        </is>
      </c>
      <c r="H40" s="4" t="inlineStr">
        <is>
          <t>Cada renovación mete aire de la calle a la temperatura y la humedad de la calle. Es la partida que más sube la potencia y la que menos se mira.</t>
        </is>
      </c>
    </row>
    <row r="41" ht="52" customHeight="1">
      <c r="A41" s="4" t="inlineStr">
        <is>
          <t>¿Qué capacidad de deshumidificación lleva, y a qué humedad la mantiene?</t>
        </is>
      </c>
      <c r="B41" t="inlineStr">
        <is>
          <t>litros/24 h</t>
        </is>
      </c>
      <c r="C41" s="8" t="n">
        <v>30</v>
      </c>
      <c r="D41" s="5" t="inlineStr">
        <is>
          <t>Por pedir</t>
        </is>
      </c>
      <c r="H41" s="4" t="inlineStr">
        <is>
          <t>En chocolate la HUMEDAD es tan importante como la temperatura: por encima del 60 % la cobertura templada pierde brillo y el bombón suda al salir de la cámara.</t>
        </is>
      </c>
    </row>
    <row r="42" ht="52" customHeight="1">
      <c r="A42" s="4" t="inlineStr">
        <is>
          <t>¿El equipo deshumidifica SIN bajar la temperatura por debajo del objetivo?</t>
        </is>
      </c>
      <c r="B42" t="inlineStr">
        <is>
          <t>Sí o No</t>
        </is>
      </c>
      <c r="C42" s="5" t="inlineStr">
        <is>
          <t>Sí</t>
        </is>
      </c>
      <c r="D42" s="5" t="inlineStr">
        <is>
          <t>Por pedir</t>
        </is>
      </c>
      <c r="H42" s="4" t="inlineStr">
        <is>
          <t>Muchos equipos deshumidifican enfriando. Si el tuyo baja de 18 grados para secar el aire, la cobertura se te queda dura en la cuba.</t>
        </is>
      </c>
    </row>
    <row r="43" ht="52" customHeight="1">
      <c r="A43" s="4" t="inlineStr">
        <is>
          <t>¿Lleva climatizador evaporativo?</t>
        </is>
      </c>
      <c r="B43" t="inlineStr">
        <is>
          <t>Sí o No</t>
        </is>
      </c>
      <c r="C43" s="5" t="inlineStr">
        <is>
          <t>No</t>
        </is>
      </c>
      <c r="D43" s="5" t="inlineStr">
        <is>
          <t>Por pedir</t>
        </is>
      </c>
      <c r="H43" s="4" t="inlineStr">
        <is>
          <t>TIENE QUE SER «No». Un evaporativo enfría AÑADIENDO humedad, que es exactamente lo contrario de lo que necesita un obrador de chocolate. Es el error más caro de esta lista porque parece barato.</t>
        </is>
      </c>
    </row>
    <row r="44" ht="52" customHeight="1">
      <c r="A44" s="4" t="inlineStr">
        <is>
          <t>¿Está incluida la puesta en marcha y el equilibrado de la instalación?</t>
        </is>
      </c>
      <c r="B44" t="inlineStr">
        <is>
          <t>Sí o No</t>
        </is>
      </c>
      <c r="C44" s="5" t="inlineStr">
        <is>
          <t>Sí</t>
        </is>
      </c>
      <c r="D44" s="5" t="inlineStr">
        <is>
          <t>Por pedir</t>
        </is>
      </c>
      <c r="H44" s="4" t="inlineStr">
        <is>
          <t>Un equipo bien elegido y mal equilibrado no mantiene la ventana. Que lo diga el presupuesto, no el comercial.</t>
        </is>
      </c>
    </row>
    <row r="45" ht="52" customHeight="1">
      <c r="A45" s="4" t="inlineStr">
        <is>
          <t>¿Qué garantía y qué contrato de mantenimiento ofreces?</t>
        </is>
      </c>
      <c r="B45" t="inlineStr">
        <is>
          <t>meses</t>
        </is>
      </c>
      <c r="C45" s="8" t="n">
        <v>24</v>
      </c>
      <c r="D45" s="5" t="inlineStr">
        <is>
          <t>Por pedir</t>
        </is>
      </c>
      <c r="H45" s="4" t="inlineStr">
        <is>
          <t>El frío y la climatización son lo que no puede pararse un 20 de diciembre. El mantenimiento es un gasto fijo del libro 7, no un extra.</t>
        </is>
      </c>
    </row>
    <row r="46" ht="52" customHeight="1">
      <c r="A46" s="4" t="inlineStr">
        <is>
          <t>¿Qué consumo eléctrico tiene en agosto a plena carga?</t>
        </is>
      </c>
      <c r="B46" t="inlineStr">
        <is>
          <t>kW</t>
        </is>
      </c>
      <c r="C46" s="8" t="n">
        <v>4.2</v>
      </c>
      <c r="D46" s="5" t="inlineStr">
        <is>
          <t>Por pedir</t>
        </is>
      </c>
      <c r="H46" s="4" t="inlineStr">
        <is>
          <t>Va a la potencia a contratar de la ficha de visita y al renglón de suministros del plan financiero. Un obrador de chocolate no tiene hornos: lo que consume es esto y el frío.</t>
        </is>
      </c>
    </row>
    <row r="47"/>
    <row r="48">
      <c r="A48" t="inlineStr">
        <is>
          <t>Preguntas de la ficha</t>
        </is>
      </c>
      <c r="F48" s="11">
        <f>COUNTIF(D37:D46,"Sí")+COUNTIF(D37:D46,"No")+COUNTIF(D37:D46,"Por pedir")</f>
        <v>10.0</v>
      </c>
    </row>
    <row r="49">
      <c r="A49" t="inlineStr">
        <is>
          <t>Contestadas POR ESCRITO</t>
        </is>
      </c>
      <c r="F49" s="11">
        <f>COUNTIF(D37:D46,"Sí")</f>
        <v>0.0</v>
      </c>
    </row>
    <row r="50">
      <c r="A50" t="inlineStr">
        <is>
          <t>Ficha cerrada</t>
        </is>
      </c>
      <c r="F50" s="12">
        <f>IFERROR(F49/F48,"")</f>
        <v>0.0</v>
      </c>
    </row>
    <row r="51">
      <c r="A51" s="13" t="inlineStr">
        <is>
          <t>VEREDICTO DE LA FICHA DEL INSTALADOR</t>
        </is>
      </c>
      <c r="F51" s="17" t="str">
        <f>IF(F49="","",IF(F49=F48,"Oferta documentada",IF(F49=0,"No has preguntado nada todavía","Faltan respuestas por escrito")))</f>
        <v>No has preguntado nada todavía</v>
      </c>
    </row>
    <row r="52"/>
    <row r="53">
      <c r="A53" s="3" t="inlineStr">
        <is>
          <t>Listas de validación (no las borres: las usan los desplegables)</t>
        </is>
      </c>
    </row>
    <row r="54">
      <c r="A54" s="13" t="inlineStr">
        <is>
          <t>Respuesta Sí o No</t>
        </is>
      </c>
      <c r="B54" s="13" t="inlineStr">
        <is>
          <t>¿Por escrito?</t>
        </is>
      </c>
    </row>
    <row r="55">
      <c r="A55" t="inlineStr">
        <is>
          <t>Sí</t>
        </is>
      </c>
      <c r="B55" t="inlineStr">
        <is>
          <t>Sí</t>
        </is>
      </c>
    </row>
    <row r="56">
      <c r="A56" t="inlineStr">
        <is>
          <t>No</t>
        </is>
      </c>
      <c r="B56" t="inlineStr">
        <is>
          <t>No</t>
        </is>
      </c>
    </row>
    <row r="57">
      <c r="B57" t="inlineStr">
        <is>
          <t>Por pedir</t>
        </is>
      </c>
    </row>
    <row r="58"/>
    <row r="59" ht="90" customHeight="1">
      <c r="A59" s="7" t="inlineStr">
        <is>
          <t>POR QUÉ ESTA HOJA NO CALCULA TU CARGA TÉRMICA. Para calcularla harían falta la transmitancia de cada cerramiento de TU local, un coeficiente por m³, los aportes internos reales y las renovaciones de aire, y no existe ninguna fuente publicada y verificable que dé esos números para un obrador de chocolate. Las dos salidas fáciles estaban prohibidas: inventarse los coeficientes, o dejarte celdas verdes que no sabrías rellenar. Lo que sí puede hacer un libro honesto es lo de esta hoja: comprobar que las tres cifras que tú sí conoces encajan entre sí, y ponerte delante las diez preguntas que separan un presupuesto de una conversación. Si tu instalador no contesta a las diez por escrito, no tienes una oferta: tienes un precio.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H3"/>
    <mergeCell ref="A13:H13"/>
    <mergeCell ref="A59:H59"/>
  </mergeCells>
  <conditionalFormatting sqref="F16">
    <cfRule type="cellIs" priority="1" operator="equal" dxfId="0" stopIfTrue="1">
      <formula>"No"</formula>
    </cfRule>
    <cfRule type="cellIs" priority="2" operator="equal" dxfId="1" stopIfTrue="1">
      <formula>"Sí"</formula>
    </cfRule>
  </conditionalFormatting>
  <conditionalFormatting sqref="F17">
    <cfRule type="cellIs" priority="3" operator="equal" dxfId="0" stopIfTrue="1">
      <formula>"No"</formula>
    </cfRule>
    <cfRule type="cellIs" priority="4" operator="equal" dxfId="1" stopIfTrue="1">
      <formula>"Sí"</formula>
    </cfRule>
  </conditionalFormatting>
  <conditionalFormatting sqref="F18">
    <cfRule type="cellIs" priority="5" operator="equal" dxfId="0" stopIfTrue="1">
      <formula>"No"</formula>
    </cfRule>
    <cfRule type="cellIs" priority="6" operator="equal" dxfId="1" stopIfTrue="1">
      <formula>"Sí"</formula>
    </cfRule>
  </conditionalFormatting>
  <conditionalFormatting sqref="F19">
    <cfRule type="cellIs" priority="7" operator="equal" dxfId="0" stopIfTrue="1">
      <formula>"No"</formula>
    </cfRule>
    <cfRule type="cellIs" priority="8" operator="equal" dxfId="1" stopIfTrue="1">
      <formula>"Sí"</formula>
    </cfRule>
  </conditionalFormatting>
  <conditionalFormatting sqref="F33">
    <cfRule type="cellIs" priority="9" operator="equal" dxfId="0" stopIfTrue="1">
      <formula>"INCOHERENTE: el salto de diseño se queda corto"</formula>
    </cfRule>
    <cfRule type="cellIs" priority="10" operator="equal" dxfId="0" stopIfTrue="1">
      <formula>"REVISA LA VENTANA CLIMÁTICA"</formula>
    </cfRule>
    <cfRule type="cellIs" priority="11" operator="equal" dxfId="2" stopIfTrue="1">
      <formula>"PIDE LA OFERTA POR ESCRITO"</formula>
    </cfRule>
    <cfRule type="cellIs" priority="12" operator="equal" dxfId="1" stopIfTrue="1">
      <formula>"COHERENTE"</formula>
    </cfRule>
  </conditionalFormatting>
  <conditionalFormatting sqref="D37:D46">
    <cfRule type="cellIs" priority="13" operator="equal" dxfId="0" stopIfTrue="1">
      <formula>"No"</formula>
    </cfRule>
    <cfRule type="cellIs" priority="14" operator="equal" dxfId="3" stopIfTrue="1">
      <formula>"Por pedir"</formula>
    </cfRule>
    <cfRule type="cellIs" priority="15" operator="equal" dxfId="1" stopIfTrue="1">
      <formula>"Sí"</formula>
    </cfRule>
  </conditionalFormatting>
  <conditionalFormatting sqref="F51">
    <cfRule type="cellIs" priority="16" operator="equal" dxfId="0" stopIfTrue="1">
      <formula>"No has preguntado nada todavía"</formula>
    </cfRule>
    <cfRule type="cellIs" priority="17" operator="equal" dxfId="2" stopIfTrue="1">
      <formula>"Faltan respuestas por escrito"</formula>
    </cfRule>
    <cfRule type="cellIs" priority="18" operator="equal" dxfId="1" stopIfTrue="1">
      <formula>"Oferta documentada"</formula>
    </cfRule>
  </conditionalFormatting>
  <dataValidations count="3">
    <dataValidation sqref="C42 C43 C44" showDropDown="0" showInputMessage="0" showErrorMessage="1" allowBlank="0" errorTitle="Respuesta" error="Elige «Sí» o «No» de la lista." type="list">
      <formula1>=$A$55:$A$56</formula1>
    </dataValidation>
    <dataValidation sqref="D37 D38 D39 D40 D41 D42 D43 D44 D45 D46 F30 F31" showDropDown="0" showInputMessage="0" showErrorMessage="1" allowBlank="0" errorTitle="¿Por escrito?" error="Elige «Sí», «No» o «Por pedir» de la lista." type="list">
      <formula1>=$B$55:$B$57</formula1>
    </dataValidation>
    <dataValidation sqref="C37 C38 C39 C40 C41 C45 C46" showDropDown="0" showInputMessage="0" showErrorMessage="1" allowBlank="1" errorTitle="Respuesta del instalador"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P29"/>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20" customWidth="1" min="3" max="3"/>
    <col width="12" customWidth="1" min="4" max="4"/>
    <col width="13" customWidth="1" min="5" max="5"/>
    <col width="28" customWidth="1" min="6" max="6"/>
    <col width="13" customWidth="1" min="7" max="7"/>
    <col width="13" customWidth="1" min="8" max="8"/>
    <col width="13" customWidth="1" min="9" max="9"/>
    <col width="11" customWidth="1" min="10" max="10"/>
    <col width="14" customWidth="1" min="11" max="11"/>
    <col width="14" customWidth="1" min="12" max="12"/>
    <col width="16" customWidth="1" min="13" max="13"/>
    <col width="16" customWidth="1" min="14" max="14"/>
    <col width="14" customWidth="1" min="15" max="15"/>
    <col width="84" customWidth="1" min="16" max="16"/>
  </cols>
  <sheetData>
    <row r="1" ht="28" customHeight="1">
      <c r="A1" s="1" t="inlineStr">
        <is>
          <t>Capacidad por Equipo</t>
        </is>
      </c>
    </row>
    <row r="2">
      <c r="A2" t="inlineStr">
        <is>
          <t>AI Chef Pro · aichef.pro — Cómo Montar una Chocolatería</t>
        </is>
      </c>
    </row>
    <row r="3" ht="26" customHeight="1">
      <c r="A3" s="7" t="inlineStr">
        <is>
          <t>Un solo modelo para todas las máquinas y todos los puestos: lo que cabe en un ciclo, cuántos bombones salen de eso, cuánto dura el ciclo y qué parte de tu surtido pasa por ahí.</t>
        </is>
      </c>
    </row>
    <row r="4"/>
    <row r="5" ht="58" customHeight="1">
      <c r="A5" s="6" t="inlineStr">
        <is>
          <t>Nº</t>
        </is>
      </c>
      <c r="B5" s="6" t="inlineStr">
        <is>
          <t>Equipo o puesto</t>
        </is>
      </c>
      <c r="C5" s="6" t="inlineStr">
        <is>
          <t>Categoría</t>
        </is>
      </c>
      <c r="D5" s="6" t="inlineStr">
        <is>
          <t>¿Lo tienes?</t>
        </is>
      </c>
      <c r="E5" s="6" t="inlineStr">
        <is>
          <t>Capacidad por ciclo</t>
        </is>
      </c>
      <c r="F5" s="6" t="inlineStr">
        <is>
          <t>Unidad de la capacidad</t>
        </is>
      </c>
      <c r="G5" s="6" t="inlineStr">
        <is>
          <t>Bombones por unidad</t>
        </is>
      </c>
      <c r="H5" s="6" t="inlineStr">
        <is>
          <t>Bombones por ciclo</t>
        </is>
      </c>
      <c r="I5" s="6" t="inlineStr">
        <is>
          <t>Minutos por ciclo</t>
        </is>
      </c>
      <c r="J5" s="6" t="inlineStr">
        <is>
          <t>Ciclos al día</t>
        </is>
      </c>
      <c r="K5" s="6" t="inlineStr">
        <is>
          <t>Bombones al día del equipo</t>
        </is>
      </c>
      <c r="L5" s="6" t="inlineStr">
        <is>
          <t>% del surtido que pasa</t>
        </is>
      </c>
      <c r="M5" s="6" t="inlineStr">
        <is>
          <t>Bombones/día de obrador que permite</t>
        </is>
      </c>
      <c r="N5" s="6" t="inlineStr">
        <is>
          <t>Cuenta para el cuello</t>
        </is>
      </c>
      <c r="O5" s="6" t="inlineStr">
        <is>
          <t>Procedencia</t>
        </is>
      </c>
      <c r="P5" s="6" t="inlineStr">
        <is>
          <t>Nota</t>
        </is>
      </c>
    </row>
    <row r="6" ht="62" customHeight="1">
      <c r="A6" s="11" t="n">
        <v>1</v>
      </c>
      <c r="B6" s="4" t="inlineStr">
        <is>
          <t>Atemperadora continua de sobremesa, 12 kg (55 kg/h) — Selmi One</t>
        </is>
      </c>
      <c r="C6" t="inlineStr">
        <is>
          <t>Templado</t>
        </is>
      </c>
      <c r="D6" s="5" t="inlineStr">
        <is>
          <t>Sí</t>
        </is>
      </c>
      <c r="E6" s="8" t="n">
        <v>12</v>
      </c>
      <c r="F6" s="4" t="inlineStr">
        <is>
          <t>kg de cobertura por carga de cuba</t>
        </is>
      </c>
      <c r="G6" s="8" t="n">
        <v>182</v>
      </c>
      <c r="H6" s="11">
        <f>IFERROR(E6*G6,"")</f>
        <v>2184.0</v>
      </c>
      <c r="I6" s="9" t="n">
        <v>180</v>
      </c>
      <c r="J6" s="11">
        <f>IFERROR(INT('Parámetros'!$B$9/I6),"")</f>
        <v>2.0</v>
      </c>
      <c r="K6" s="11">
        <f>IFERROR(H6*J6,"")</f>
        <v>4368.0</v>
      </c>
      <c r="L6" s="10" t="n">
        <v>1</v>
      </c>
      <c r="M6" s="11">
        <f>IFERROR(K6/L6,"")</f>
        <v>4368.0</v>
      </c>
      <c r="N6" s="11">
        <f>IF(D6="Sí",M6,"")</f>
        <v>4368.0</v>
      </c>
      <c r="O6" t="inlineStr">
        <is>
          <t>CHS-41a</t>
        </is>
      </c>
      <c r="P6" s="4" t="inlineStr">
        <is>
          <t>El corazón del obrador, la decisión 2 del bonus 2 y la máquina que más se mira al presupuestar. Fíjate en dónde queda en el cuello de botella: templar NO es lo que limita una bombonería artesana. Los bombones por kilo salen de los 5,5 g de chocolate de la tanda de referencia; cámbialos si tu pieza pesa otra cosa.</t>
        </is>
      </c>
    </row>
    <row r="7" ht="62" customHeight="1">
      <c r="A7" s="11" t="n">
        <v>2</v>
      </c>
      <c r="B7" s="4" t="inlineStr">
        <is>
          <t>Temperador de baño maría digital, 22 L — segunda cobertura</t>
        </is>
      </c>
      <c r="C7" t="inlineStr">
        <is>
          <t>Templado</t>
        </is>
      </c>
      <c r="D7" s="5" t="inlineStr">
        <is>
          <t>Sí</t>
        </is>
      </c>
      <c r="E7" s="8" t="n">
        <v>8</v>
      </c>
      <c r="F7" s="4" t="inlineStr">
        <is>
          <t>kg de cobertura por carga</t>
        </is>
      </c>
      <c r="G7" s="8" t="n">
        <v>182</v>
      </c>
      <c r="H7" s="11">
        <f>IFERROR(E7*G7,"")</f>
        <v>1456.0</v>
      </c>
      <c r="I7" s="9" t="n">
        <v>180</v>
      </c>
      <c r="J7" s="11">
        <f>IFERROR(INT('Parámetros'!$B$9/I7),"")</f>
        <v>2.0</v>
      </c>
      <c r="K7" s="11">
        <f>IFERROR(H7*J7,"")</f>
        <v>2912.0</v>
      </c>
      <c r="L7" s="10" t="n">
        <v>0.35</v>
      </c>
      <c r="M7" s="11">
        <f>IFERROR(K7/L7,"")</f>
        <v>8320.0</v>
      </c>
      <c r="N7" s="11">
        <f>IF(D7="Sí",M7,"")</f>
        <v>8320.0</v>
      </c>
      <c r="O7" t="inlineStr">
        <is>
          <t>CHS-41j</t>
        </is>
      </c>
      <c r="P7" s="4" t="inlineStr">
        <is>
          <t>La segunda línea de templado. Sin ella no se trabajan dos coberturas a la vez, y el 35 % es la parte del surtido que lleva una cobertura distinta de la principal.</t>
        </is>
      </c>
    </row>
    <row r="8" ht="62" customHeight="1">
      <c r="A8" s="11" t="n">
        <v>3</v>
      </c>
      <c r="B8" s="4" t="inlineStr">
        <is>
          <t>Mantenedor de 1 cubeta, digital</t>
        </is>
      </c>
      <c r="C8" t="inlineStr">
        <is>
          <t>Templado</t>
        </is>
      </c>
      <c r="D8" s="5" t="inlineStr">
        <is>
          <t>Sí</t>
        </is>
      </c>
      <c r="E8" s="8" t="n">
        <v>5</v>
      </c>
      <c r="F8" s="4" t="inlineStr">
        <is>
          <t>kg mantenidos a punto</t>
        </is>
      </c>
      <c r="G8" s="8" t="n">
        <v>182</v>
      </c>
      <c r="H8" s="11">
        <f>IFERROR(E8*G8,"")</f>
        <v>910.0</v>
      </c>
      <c r="I8" s="9" t="n">
        <v>240</v>
      </c>
      <c r="J8" s="11">
        <f>IFERROR(INT('Parámetros'!$B$9/I8),"")</f>
        <v>1.0</v>
      </c>
      <c r="K8" s="11">
        <f>IFERROR(H8*J8,"")</f>
        <v>910.0</v>
      </c>
      <c r="L8" s="10" t="n">
        <v>0.2</v>
      </c>
      <c r="M8" s="11">
        <f>IFERROR(K8/L8,"")</f>
        <v>4550.0</v>
      </c>
      <c r="N8" s="11">
        <f>IF(D8="Sí",M8,"")</f>
        <v>4550.0</v>
      </c>
      <c r="O8" t="inlineStr">
        <is>
          <t>CHS-41i</t>
        </is>
      </c>
      <c r="P8" s="4" t="inlineStr">
        <is>
          <t>Mantiene la cobertura en curva mientras se moldea. Su precio se publica como un «desde» (libro 2); su capacidad, aquí, en kilos.</t>
        </is>
      </c>
    </row>
    <row r="9" ht="62" customHeight="1">
      <c r="A9" s="11" t="n">
        <v>4</v>
      </c>
      <c r="B9" s="4" t="inlineStr">
        <is>
          <t>Moldes de policarbonato (24 moldes de 24 cavidades)</t>
        </is>
      </c>
      <c r="C9" t="inlineStr">
        <is>
          <t>Moldeado</t>
        </is>
      </c>
      <c r="D9" s="5" t="inlineStr">
        <is>
          <t>Sí</t>
        </is>
      </c>
      <c r="E9" s="8" t="n">
        <v>24</v>
      </c>
      <c r="F9" s="4" t="inlineStr">
        <is>
          <t>moldes por ciclo de cristalización</t>
        </is>
      </c>
      <c r="G9" s="8" t="n">
        <v>24</v>
      </c>
      <c r="H9" s="11">
        <f>IFERROR(E9*G9,"")</f>
        <v>576.0</v>
      </c>
      <c r="I9" s="9" t="n">
        <v>90</v>
      </c>
      <c r="J9" s="11">
        <f>IFERROR(INT('Parámetros'!$B$9/I9),"")</f>
        <v>4.0</v>
      </c>
      <c r="K9" s="11">
        <f>IFERROR(H9*J9,"")</f>
        <v>2304.0</v>
      </c>
      <c r="L9" s="10" t="n">
        <v>0.72</v>
      </c>
      <c r="M9" s="11">
        <f>IFERROR(K9/L9,"")</f>
        <v>3200.0</v>
      </c>
      <c r="N9" s="11">
        <f>IF(D9="Sí",M9,"")</f>
        <v>3200.0</v>
      </c>
      <c r="O9" t="inlineStr">
        <is>
          <t>CHS-45a</t>
        </is>
      </c>
      <c r="P9" s="4" t="inlineStr">
        <is>
          <t>LOS MOLDES QUE TIENES SON CAPACIDAD, no utillaje. El ciclo incluye llenado, vibrado, raspado, cristalización y desmoldeo: 90 minutos es un supuesto, mídelo con tu cobertura y tu cámara. Los 24 moldes valen entre 580,80 y 1.027,92 euros (libro 2), y comprar 12 más es la forma más barata que hay de subir capacidad.</t>
        </is>
      </c>
    </row>
    <row r="10" ht="62" customHeight="1">
      <c r="A10" s="11" t="n">
        <v>5</v>
      </c>
      <c r="B10" s="4" t="inlineStr">
        <is>
          <t>Puesto de moldeado y desmoldeo (mesa de mármol o granito)</t>
        </is>
      </c>
      <c r="C10" t="inlineStr">
        <is>
          <t>Moldeado</t>
        </is>
      </c>
      <c r="D10" s="5" t="inlineStr">
        <is>
          <t>Sí</t>
        </is>
      </c>
      <c r="E10" s="8" t="n">
        <v>2</v>
      </c>
      <c r="F10" s="4" t="inlineStr">
        <is>
          <t>puestos trabajando en paralelo</t>
        </is>
      </c>
      <c r="G10" s="8" t="n">
        <v>144</v>
      </c>
      <c r="H10" s="11">
        <f>IFERROR(E10*G10,"")</f>
        <v>288.0</v>
      </c>
      <c r="I10" s="9" t="n">
        <v>155</v>
      </c>
      <c r="J10" s="11">
        <f>IFERROR(INT('Parámetros'!$B$9/I10),"")</f>
        <v>2.0</v>
      </c>
      <c r="K10" s="11">
        <f>IFERROR(H10*J10,"")</f>
        <v>576.0</v>
      </c>
      <c r="L10" s="10" t="n">
        <v>0.95</v>
      </c>
      <c r="M10" s="11">
        <f>IFERROR(K10/L10,"")</f>
        <v>606.3157894736843</v>
      </c>
      <c r="N10" s="11">
        <f>IF(D10="Sí",M10,"")</f>
        <v>606.3157894736843</v>
      </c>
      <c r="O10" t="inlineStr">
        <is>
          <t>supuesto</t>
        </is>
      </c>
      <c r="P10" s="4" t="inlineStr">
        <is>
          <t>LAS MANOS, QUE SON LO QUE DE VERDAD LIMITA. Dos puestos son las dos personas de obrador de La Almendra (Encargado y Chocolatero). Los minutos por ciclo y las piezas por tanda salen de la tanda de referencia de la carta, no de una estimación: 24 cavidades x 6 moldes en 155 minutos.</t>
        </is>
      </c>
    </row>
    <row r="11" ht="62" customHeight="1">
      <c r="A11" s="11" t="n">
        <v>6</v>
      </c>
      <c r="B11" s="4" t="inlineStr">
        <is>
          <t>Placa dosificadora de rellenos — Selmi</t>
        </is>
      </c>
      <c r="C11" t="inlineStr">
        <is>
          <t>Moldeado</t>
        </is>
      </c>
      <c r="D11" s="5" t="inlineStr">
        <is>
          <t>Sí</t>
        </is>
      </c>
      <c r="E11" s="8" t="n">
        <v>6</v>
      </c>
      <c r="F11" s="4" t="inlineStr">
        <is>
          <t>moldes dosificados por ciclo</t>
        </is>
      </c>
      <c r="G11" s="8" t="n">
        <v>24</v>
      </c>
      <c r="H11" s="11">
        <f>IFERROR(E11*G11,"")</f>
        <v>144.0</v>
      </c>
      <c r="I11" s="9" t="n">
        <v>12</v>
      </c>
      <c r="J11" s="11">
        <f>IFERROR(INT('Parámetros'!$B$9/I11),"")</f>
        <v>34.0</v>
      </c>
      <c r="K11" s="11">
        <f>IFERROR(H11*J11,"")</f>
        <v>4896.0</v>
      </c>
      <c r="L11" s="10" t="n">
        <v>0.68</v>
      </c>
      <c r="M11" s="11">
        <f>IFERROR(K11/L11,"")</f>
        <v>7199.999999999999</v>
      </c>
      <c r="N11" s="11">
        <f>IF(D11="Sí",M11,"")</f>
        <v>7199.999999999999</v>
      </c>
      <c r="O11" t="inlineStr">
        <is>
          <t>CHS-42i</t>
        </is>
      </c>
      <c r="P11" s="4" t="inlineStr">
        <is>
          <t>Dosifica el relleno en el molde ya encamisado. Es rápida y por eso no limita: lo que limita es lo que pasa antes y después de ella.</t>
        </is>
      </c>
    </row>
    <row r="12" ht="62" customHeight="1">
      <c r="A12" s="11" t="n">
        <v>7</v>
      </c>
      <c r="B12" s="4" t="inlineStr">
        <is>
          <t>Enrobadora de banda, 200 mm — Selmi R200 Legend</t>
        </is>
      </c>
      <c r="C12" t="inlineStr">
        <is>
          <t>Bañado</t>
        </is>
      </c>
      <c r="D12" s="5" t="inlineStr">
        <is>
          <t>Sí</t>
        </is>
      </c>
      <c r="E12" s="8" t="n">
        <v>1</v>
      </c>
      <c r="F12" s="4" t="inlineStr">
        <is>
          <t>horas de banda en marcha</t>
        </is>
      </c>
      <c r="G12" s="8" t="n">
        <v>640</v>
      </c>
      <c r="H12" s="11">
        <f>IFERROR(E12*G12,"")</f>
        <v>640.0</v>
      </c>
      <c r="I12" s="9" t="n">
        <v>60</v>
      </c>
      <c r="J12" s="11">
        <f>IFERROR(INT('Parámetros'!$B$9/I12),"")</f>
        <v>6.0</v>
      </c>
      <c r="K12" s="11">
        <f>IFERROR(H12*J12,"")</f>
        <v>3840.0</v>
      </c>
      <c r="L12" s="10" t="n">
        <v>0.18</v>
      </c>
      <c r="M12" s="11">
        <f>IFERROR(K12/L12,"")</f>
        <v>21333.333333333336</v>
      </c>
      <c r="N12" s="11">
        <f>IF(D12="Sí",M12,"")</f>
        <v>21333.333333333336</v>
      </c>
      <c r="O12" t="inlineStr">
        <is>
          <t>CHS-42a</t>
        </is>
      </c>
      <c r="P12" s="4" t="inlineStr">
        <is>
          <t>Sólo el 18 % del surtido va bañado: el resto es moldeado. Una enrobadora con una banda de 200 mm produce muy por encima de lo que una bombonería artesana necesita, y ése es el dato que hay que tener delante antes de comprarla.</t>
        </is>
      </c>
    </row>
    <row r="13" ht="62" customHeight="1">
      <c r="A13" s="11" t="n">
        <v>8</v>
      </c>
      <c r="B13" s="4" t="inlineStr">
        <is>
          <t>Cámara climatizada de chocolate, unos 6 m²</t>
        </is>
      </c>
      <c r="C13" t="inlineStr">
        <is>
          <t>Frío y cristalización</t>
        </is>
      </c>
      <c r="D13" s="5" t="inlineStr">
        <is>
          <t>Sí</t>
        </is>
      </c>
      <c r="E13" s="8" t="n">
        <v>6</v>
      </c>
      <c r="F13" s="4" t="inlineStr">
        <is>
          <t>m³ útiles por rotación</t>
        </is>
      </c>
      <c r="G13" s="8" t="n">
        <v>480</v>
      </c>
      <c r="H13" s="11">
        <f>IFERROR(E13*G13,"")</f>
        <v>2880.0</v>
      </c>
      <c r="I13" s="9" t="n">
        <v>240</v>
      </c>
      <c r="J13" s="11">
        <f>IFERROR(INT('Parámetros'!$B$9/I13),"")</f>
        <v>1.0</v>
      </c>
      <c r="K13" s="11">
        <f>IFERROR(H13*J13,"")</f>
        <v>2880.0</v>
      </c>
      <c r="L13" s="10" t="n">
        <v>0.85</v>
      </c>
      <c r="M13" s="11">
        <f>IFERROR(K13/L13,"")</f>
        <v>3388.2352941176473</v>
      </c>
      <c r="N13" s="11">
        <f>IF(D13="Sí",M13,"")</f>
        <v>3388.2352941176473</v>
      </c>
      <c r="O13" t="inlineStr">
        <is>
          <t>supuesto</t>
        </is>
      </c>
      <c r="P13" s="4" t="inlineStr">
        <is>
          <t>Aquí el «ciclo» es una rotación de la cámara. NO es una nevera: trabaja a 15-18 °C con 50-60 % de humedad, y es lo que sostiene la cristalización y la vida útil que declares en tu APPCC.</t>
        </is>
      </c>
    </row>
    <row r="14" ht="62" customHeight="1">
      <c r="A14" s="11" t="n">
        <v>9</v>
      </c>
      <c r="B14" s="4" t="inlineStr">
        <is>
          <t>Puesto de envasado y montaje de cajas</t>
        </is>
      </c>
      <c r="C14" t="inlineStr">
        <is>
          <t>Envasado</t>
        </is>
      </c>
      <c r="D14" s="5" t="inlineStr">
        <is>
          <t>Sí</t>
        </is>
      </c>
      <c r="E14" s="8" t="n">
        <v>1</v>
      </c>
      <c r="F14" s="4" t="inlineStr">
        <is>
          <t>puestos de envasado</t>
        </is>
      </c>
      <c r="G14" s="8" t="n">
        <v>128</v>
      </c>
      <c r="H14" s="11">
        <f>IFERROR(E14*G14,"")</f>
        <v>128.0</v>
      </c>
      <c r="I14" s="9" t="n">
        <v>100</v>
      </c>
      <c r="J14" s="11">
        <f>IFERROR(INT('Parámetros'!$B$9/I14),"")</f>
        <v>4.0</v>
      </c>
      <c r="K14" s="11">
        <f>IFERROR(H14*J14,"")</f>
        <v>512.0</v>
      </c>
      <c r="L14" s="10" t="n">
        <v>1</v>
      </c>
      <c r="M14" s="11">
        <f>IFERROR(K14/L14,"")</f>
        <v>512.0</v>
      </c>
      <c r="N14" s="11">
        <f>IF(D14="Sí",M14,"")</f>
        <v>512.0</v>
      </c>
      <c r="O14" t="inlineStr">
        <is>
          <t>supuesto</t>
        </is>
      </c>
      <c r="P14" s="4" t="inlineStr">
        <is>
          <t>LA ZONA QUE NADIE DIBUJA EN EL PLANO Y QUE SE DESBORDA EN NAVIDAD. En bombonería la caja ES el producto en campaña: montarla, pesarla, etiquetarla y cerrarla cuesta tiempo de obrador, y ese tiempo no está en la ficha de ninguna máquina.</t>
        </is>
      </c>
    </row>
    <row r="15" ht="62" customHeight="1">
      <c r="A15" s="11" t="n">
        <v>10</v>
      </c>
      <c r="B15" s="4" t="inlineStr">
        <is>
          <t>Vitrina refrigerada específica para chocolate — Docriluc WB-6-6-R</t>
        </is>
      </c>
      <c r="C15" t="inlineStr">
        <is>
          <t>Tienda y vitrina</t>
        </is>
      </c>
      <c r="D15" s="5" t="inlineStr">
        <is>
          <t>Sí</t>
        </is>
      </c>
      <c r="E15" s="8" t="n">
        <v>0.6</v>
      </c>
      <c r="F15" s="4" t="inlineStr">
        <is>
          <t>m² de exposición por reposición</t>
        </is>
      </c>
      <c r="G15" s="8" t="n">
        <v>520</v>
      </c>
      <c r="H15" s="11">
        <f>IFERROR(E15*G15,"")</f>
        <v>312.0</v>
      </c>
      <c r="I15" s="9" t="n">
        <v>150</v>
      </c>
      <c r="J15" s="11">
        <f>IFERROR(INT('Parámetros'!$B$9/I15),"")</f>
        <v>2.0</v>
      </c>
      <c r="K15" s="11">
        <f>IFERROR(H15*J15,"")</f>
        <v>624.0</v>
      </c>
      <c r="L15" s="10" t="n">
        <v>0.55</v>
      </c>
      <c r="M15" s="11">
        <f>IFERROR(K15/L15,"")</f>
        <v>1134.5454545454545</v>
      </c>
      <c r="N15" s="11">
        <f>IF(D15="Sí",M15,"")</f>
        <v>1134.5454545454545</v>
      </c>
      <c r="O15" t="inlineStr">
        <is>
          <t>CHS-43</t>
        </is>
      </c>
      <c r="P15" s="4" t="inlineStr">
        <is>
          <t>Rango de trabajo del equipo +14/+17 °C. NO son los +2/+4 de una vitrina de pastelería, que arruina el bombón por condensación y pérdida de brillo. El objetivo operativo de cada mañana lo pone el kit: 16-18 °C y menos del 55 % de humedad.</t>
        </is>
      </c>
    </row>
    <row r="16" ht="62" customHeight="1">
      <c r="A16" s="11" t="n">
        <v>11</v>
      </c>
      <c r="B16" s="4" t="inlineStr">
        <is>
          <t>Atemperadora de arranque, 4,5 L (unos 3 kg) — Pavoni MINITEMPER</t>
        </is>
      </c>
      <c r="C16" t="inlineStr">
        <is>
          <t>Templado</t>
        </is>
      </c>
      <c r="D16" s="5" t="inlineStr">
        <is>
          <t>No</t>
        </is>
      </c>
      <c r="E16" s="8" t="n">
        <v>3</v>
      </c>
      <c r="F16" s="4" t="inlineStr">
        <is>
          <t>kg de cobertura por carga</t>
        </is>
      </c>
      <c r="G16" s="8" t="n">
        <v>182</v>
      </c>
      <c r="H16" s="11">
        <f>IFERROR(E16*G16,"")</f>
        <v>546.0</v>
      </c>
      <c r="I16" s="9" t="n">
        <v>45</v>
      </c>
      <c r="J16" s="11">
        <f>IFERROR(INT('Parámetros'!$B$9/I16),"")</f>
        <v>9.0</v>
      </c>
      <c r="K16" s="11">
        <f>IFERROR(H16*J16,"")</f>
        <v>4914.0</v>
      </c>
      <c r="L16" s="10" t="n">
        <v>1</v>
      </c>
      <c r="M16" s="11">
        <f>IFERROR(K16/L16,"")</f>
        <v>4914.0</v>
      </c>
      <c r="N16" s="11">
        <f>IF(D16="Sí",M16,"")</f>
        <v/>
      </c>
      <c r="O16" t="inlineStr">
        <is>
          <t>CHS-41h</t>
        </is>
      </c>
      <c r="P16" s="4" t="inlineStr">
        <is>
          <t>OPCIONAL, y marcada «No» a propósito: es la máquina del ESCENARIO B, el arranque mínimo. Cámbiala a «Sí» y mira cómo se mueve el cuello de botella antes de gastarte el dinero de la continua.</t>
        </is>
      </c>
    </row>
    <row r="17"/>
    <row r="18">
      <c r="B18" t="inlineStr">
        <is>
          <t>Minutos disponibles al día (de «Parámetros»)</t>
        </is>
      </c>
      <c r="E18" s="11">
        <f>'Parámetros'!B9</f>
        <v>408.0</v>
      </c>
    </row>
    <row r="19">
      <c r="B19" t="inlineStr">
        <is>
          <t>Equipos y puestos que dices tener</t>
        </is>
      </c>
      <c r="E19" s="11">
        <f>COUNTIF(D6:D16,"Sí")</f>
        <v>10.0</v>
      </c>
    </row>
    <row r="20" ht="46" customHeight="1">
      <c r="B20" t="inlineStr">
        <is>
          <t>Equipos que no cuentan (ciclo más largo que la jornada)</t>
        </is>
      </c>
      <c r="E20" s="11">
        <f>COUNTIF(J6:J16,0)</f>
        <v>0.0</v>
      </c>
      <c r="P20" s="4" t="inlineStr">
        <is>
          <t>Un cero en «ciclos al día» quiere decir que el ciclo de esa máquina no cabe en la jornada que has declarado. No es un error del libro: es que con ese turno esa máquina no produce nada.</t>
        </is>
      </c>
    </row>
    <row r="21"/>
    <row r="22">
      <c r="B22" s="3" t="inlineStr">
        <is>
          <t>Listas de validación (no las borres: las usan los desplegables)</t>
        </is>
      </c>
    </row>
    <row r="23">
      <c r="B23" s="13" t="inlineStr">
        <is>
          <t>¿Lo tienes?</t>
        </is>
      </c>
    </row>
    <row r="24">
      <c r="B24" t="inlineStr">
        <is>
          <t>Sí</t>
        </is>
      </c>
    </row>
    <row r="25">
      <c r="B25" t="inlineStr">
        <is>
          <t>No</t>
        </is>
      </c>
    </row>
    <row r="26"/>
    <row r="27" ht="62" customHeight="1">
      <c r="B27" s="7" t="inlineStr">
        <is>
          <t>Las columnas verdes de esta hoja son las que tienes que pelear con el comercial: cuánto cabe de verdad en un ciclo, cuánto dura el ciclo COMPLETO -con carga, cristalización y desmoldeo, no el que pone el folleto- y qué parte de tu surtido pasa por ahí. Si ya tienes el Kit de Tareas Chocolatería, los tiempos reales de cada partida los sacas de kit-tareas-chocolateria/02-partidas-produccion.xlsx; mientras tanto, los valores por defecto son supuestos coherentes con la carta de 28 referencias de «La Almendra».</t>
        </is>
      </c>
    </row>
    <row r="28"/>
    <row r="29" ht="62" customHeight="1">
      <c r="B29" s="7" t="inlineStr">
        <is>
          <t>FÍJATE EN DÓNDE QUEDA LA ATEMPERADORA. Es la máquina que más cuesta y la que más se mira, y en una bombonería artesana está lejísimos de ser el cuello de botella: produce chocolate templado muy por encima de lo que dos personas moldean. Los que limitan son los moldes que tienes, los ciclos de cristalización que caben en la jornada y el puesto de envasado, que es el que nadie presupuesta. Comprar una atemperadora más grande cuando el cuello está en el envasado es tener el dinero parado.</t>
        </is>
      </c>
    </row>
  </sheetData>
  <sheetProtection selectLockedCells="0" selectUnlockedCells="0" sheet="1" objects="0" insertRows="0" insertHyperlinks="1" autoFilter="1" scenarios="0" formatColumns="0" deleteColumns="1" insertColumns="1" pivotTables="1" deleteRows="1" formatCells="1" formatRows="0" sort="0"/>
  <mergeCells count="3">
    <mergeCell ref="B27:P27"/>
    <mergeCell ref="A3:P3"/>
    <mergeCell ref="B29:P29"/>
  </mergeCells>
  <conditionalFormatting sqref="J6:J16">
    <cfRule type="expression" priority="1" dxfId="0" stopIfTrue="1">
      <formula>=AND(ISNUMBER($J6),$J6&lt;1)</formula>
    </cfRule>
  </conditionalFormatting>
  <dataValidations count="1">
    <dataValidation sqref="D6 D7 D8 D9 D10 D11 D12 D13 D14 D15 D16" showDropDown="0" showInputMessage="0" showErrorMessage="1" allowBlank="0" errorTitle="¿Lo tienes?" error="Elige «Sí» o «No» de la lista." type="list">
      <formula1>=$B$24:$B$25</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6"/>
  <sheetViews>
    <sheetView workbookViewId="0">
      <selection activeCell="A1" sqref="A1"/>
    </sheetView>
  </sheetViews>
  <sheetFormatPr baseColWidth="8" defaultRowHeight="15"/>
  <cols>
    <col width="46" customWidth="1" min="1" max="1"/>
    <col width="22" customWidth="1" min="2" max="2"/>
    <col width="16" customWidth="1" min="3" max="3"/>
    <col width="16" customWidth="1" min="4" max="4"/>
    <col width="16" customWidth="1" min="5" max="5"/>
    <col width="15" customWidth="1" min="6" max="6"/>
    <col width="14" customWidth="1" min="7" max="7"/>
    <col width="16" customWidth="1" min="8" max="8"/>
    <col width="16" customWidth="1" min="9" max="9"/>
    <col width="80" customWidth="1" min="10" max="10"/>
  </cols>
  <sheetData>
    <row r="1" ht="28" customHeight="1">
      <c r="A1" s="1" t="inlineStr">
        <is>
          <t>Cuello de Botella</t>
        </is>
      </c>
    </row>
    <row r="2">
      <c r="A2" t="inlineStr">
        <is>
          <t>AI Chef Pro · aichef.pro — Cómo Montar una Chocolatería</t>
        </is>
      </c>
    </row>
    <row r="3" ht="26" customHeight="1">
      <c r="A3" s="7" t="inlineStr">
        <is>
          <t>El equipo que manda y los bombones al día que aguanta el conjunto, en el día normal y en el segundo equipo más justo. Qué pasa en cada una de las doce campañas del año -con su propia demanda y su déficit- lo publica el libro 6 («Campañas y Valle del Año»), que es a quien viaja esta capacidad.</t>
        </is>
      </c>
    </row>
    <row r="4"/>
    <row r="5">
      <c r="A5" s="3" t="inlineStr">
        <is>
          <t>El día normal</t>
        </is>
      </c>
    </row>
    <row r="6">
      <c r="A6" t="inlineStr">
        <is>
          <t>Bombones equivalentes al día que quieres sacar</t>
        </is>
      </c>
      <c r="B6" s="11">
        <f>'Parámetros'!B14</f>
        <v>471.814</v>
      </c>
    </row>
    <row r="7" ht="58" customHeight="1">
      <c r="A7" t="inlineStr">
        <is>
          <t>Bombones al día que permite el conjunto</t>
        </is>
      </c>
      <c r="B7" s="18">
        <f>IFERROR(MIN('Capacidad por Equipo'!$N$6:$N$16),"")</f>
        <v>512.0</v>
      </c>
      <c r="J7" s="4" t="inlineStr">
        <is>
          <t>ES LA CIFRA QUE VIAJA AL LIBRO 6 (campañas y valle del año, cruce nº 1): el 6 no puede saber si aguantas Navidad sin esta capacidad. El libro 6 la pide en CELDA VERDE y la cuadra contra este número; en toda la guía no hay una sola fórmula que apunte a otro fichero.</t>
        </is>
      </c>
    </row>
    <row r="8">
      <c r="A8" s="13" t="inlineStr">
        <is>
          <t>El equipo que limita</t>
        </is>
      </c>
      <c r="B8" s="17" t="str">
        <f>IFERROR(INDEX('Capacidad por Equipo'!$B$6:$B$16,MATCH(B7,'Capacidad por Equipo'!$N$6:$N$16,0)),"")</f>
        <v>Puesto de envasado y montaje de cajas</v>
      </c>
    </row>
    <row r="9">
      <c r="A9" t="inlineStr">
        <is>
          <t>Holgura sobre el día normal (bombones)</t>
        </is>
      </c>
      <c r="B9" s="11">
        <f>IFERROR(B7-B6,"")</f>
        <v>40.18599999999998</v>
      </c>
    </row>
    <row r="10">
      <c r="A10" t="inlineStr">
        <is>
          <t>Holgura sobre el día normal (%)</t>
        </is>
      </c>
      <c r="B10" s="12">
        <f>IFERROR(B9/B6,"")</f>
        <v>0.08517339460041452</v>
      </c>
    </row>
    <row r="11">
      <c r="A11" t="inlineStr">
        <is>
          <t>Margen de seguridad que te has exigido</t>
        </is>
      </c>
      <c r="B11" s="12">
        <f>'Parámetros'!B15</f>
        <v>0.1</v>
      </c>
    </row>
    <row r="12" ht="46" customHeight="1">
      <c r="A12" s="13" t="inlineStr">
        <is>
          <t>VEREDICTO DEL DÍA NORMAL</t>
        </is>
      </c>
      <c r="B12" s="17" t="str">
        <f>IF(B7="","",IF(B7&lt;B6,"NO LLEGAS",IF(B10&lt;B11,"AJUSTADO","SUFICIENTE")))</f>
        <v>AJUSTADO</v>
      </c>
      <c r="J12" s="4" t="inlineStr">
        <is>
          <t>«AJUSTADO» quiere decir que pasas el día normal, pero por debajo del margen de seguridad que tú mismo has pedido: una avería del frío, una baja o un pedido corporativo te dejan sin género.</t>
        </is>
      </c>
    </row>
    <row r="13">
      <c r="A13" t="inlineStr">
        <is>
          <t>El segundo equipo más justo permite</t>
        </is>
      </c>
      <c r="B13" s="11">
        <f>IFERROR(SMALL('Capacidad por Equipo'!$N$6:$N$16,2),"")</f>
        <v>606.3157894736843</v>
      </c>
    </row>
    <row r="14" ht="46" customHeight="1">
      <c r="A14" t="inlineStr">
        <is>
          <t>Y es</t>
        </is>
      </c>
      <c r="B14" t="str">
        <f>IFERROR(INDEX('Capacidad por Equipo'!$B$6:$B$16,MATCH(B13,'Capacidad por Equipo'!$N$6:$N$16,0)),"")</f>
        <v>Puesto de moldeado y desmoldeo (mesa de mármol o granito)</v>
      </c>
      <c r="J14" s="4" t="inlineStr">
        <is>
          <t>Mira los dos juntos antes de comprar: si el segundo está muy cerca del primero, resolver sólo el cuello de botella te sube la capacidad cuatro bombones y te deja el dinero fuera.</t>
        </is>
      </c>
    </row>
    <row r="15"/>
    <row r="16" ht="62" customHeight="1">
      <c r="A16" s="7" t="inlineStr">
        <is>
          <t>LAS DOCE CAMPAÑAS DEL AÑO -demanda, déficit y qué producto manda cada pico- están en el libro 6 («Campañas y Valle del Año»), que es quien pide esta capacidad en celda verde y la cuadra. Aquí sólo vive el día normal y el equipo que lo limita: mézclalos y acabas con dos cifras distintas para la misma pregunta.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16:J16"/>
    <mergeCell ref="A3:J3"/>
  </mergeCells>
  <conditionalFormatting sqref="B12">
    <cfRule type="cellIs" priority="1" operator="equal" dxfId="0" stopIfTrue="1">
      <formula>"NO LLEGAS"</formula>
    </cfRule>
    <cfRule type="cellIs" priority="2" operator="equal" dxfId="2" stopIfTrue="1">
      <formula>"AJUSTADO"</formula>
    </cfRule>
    <cfRule type="cellIs" priority="3" operator="equal" dxfId="1" stopIfTrue="1">
      <formula>"SUFICIENTE"</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42"/>
  <sheetViews>
    <sheetView workbookViewId="0">
      <pane ySplit="5" topLeftCell="A6" activePane="bottomLeft" state="frozen"/>
      <selection pane="bottomLeft" activeCell="A1" sqref="A1"/>
    </sheetView>
  </sheetViews>
  <sheetFormatPr baseColWidth="8" defaultRowHeight="15"/>
  <cols>
    <col width="5" customWidth="1" min="1" max="1"/>
    <col width="52" customWidth="1" min="2" max="2"/>
    <col width="14" customWidth="1" min="3" max="3"/>
    <col width="46" customWidth="1" min="4" max="4"/>
    <col width="15" customWidth="1" min="5" max="5"/>
    <col width="14" customWidth="1" min="6" max="6"/>
    <col width="14" customWidth="1" min="7" max="7"/>
    <col width="15" customWidth="1" min="8" max="8"/>
    <col width="16" customWidth="1" min="9" max="9"/>
    <col width="86" customWidth="1" min="10" max="10"/>
  </cols>
  <sheetData>
    <row r="1" ht="28" customHeight="1">
      <c r="A1" s="1" t="inlineStr">
        <is>
          <t>Ficha de Visita a Local</t>
        </is>
      </c>
    </row>
    <row r="2">
      <c r="A2" t="inlineStr">
        <is>
          <t>AI Chef Pro · aichef.pro — Cómo Montar una Chocolatería</t>
        </is>
      </c>
    </row>
    <row r="3" ht="26" customHeight="1">
      <c r="A3" s="7" t="inlineStr">
        <is>
          <t>Imprímela y llévala a cada visita. Un solo «No» en un ítem eliminatorio y el veredicto es DESCARTAR.</t>
        </is>
      </c>
    </row>
    <row r="4"/>
    <row r="5" ht="48" customHeight="1">
      <c r="A5" s="6" t="inlineStr">
        <is>
          <t>Nº</t>
        </is>
      </c>
      <c r="B5" s="6" t="inlineStr">
        <is>
          <t>Qué se comprueba</t>
        </is>
      </c>
      <c r="C5" s="6" t="inlineStr">
        <is>
          <t>¿Eliminatorio?</t>
        </is>
      </c>
      <c r="D5" s="6" t="inlineStr">
        <is>
          <t>Cómo se comprueba</t>
        </is>
      </c>
      <c r="E5" s="6" t="inlineStr">
        <is>
          <t>Respuesta</t>
        </is>
      </c>
      <c r="F5" s="6" t="inlineStr">
        <is>
          <t>Dato medido</t>
        </is>
      </c>
      <c r="G5" s="6" t="inlineStr">
        <is>
          <t>Umbral</t>
        </is>
      </c>
      <c r="H5" s="6" t="inlineStr">
        <is>
          <t>¿Cumple el dato?</t>
        </is>
      </c>
      <c r="I5" s="6" t="inlineStr">
        <is>
          <t>Veredicto</t>
        </is>
      </c>
      <c r="J5" s="6" t="inlineStr">
        <is>
          <t>Nota y norma</t>
        </is>
      </c>
    </row>
    <row r="6" ht="62" customHeight="1">
      <c r="A6" s="11" t="n">
        <v>1</v>
      </c>
      <c r="B6" s="4" t="inlineStr">
        <is>
          <t>La potencia eléctrica contratable llega a la que vas a instalar</t>
        </is>
      </c>
      <c r="C6" t="inlineStr">
        <is>
          <t>Sí</t>
        </is>
      </c>
      <c r="D6" s="4" t="inlineStr">
        <is>
          <t>Pide el boletín eléctrico del local y consulta a la distribuidora la potencia disponible en la acometida.</t>
        </is>
      </c>
      <c r="E6" s="5" t="inlineStr">
        <is>
          <t>Sí</t>
        </is>
      </c>
      <c r="F6" s="8" t="n">
        <v>34</v>
      </c>
      <c r="G6" s="16">
        <f>'Parámetros'!B18</f>
        <v>28.0</v>
      </c>
      <c r="H6" t="str">
        <f>IF(AND(ISNUMBER(F6),ISNUMBER(G6)),IF(F6&gt;=G6,"Sí","No"),"")</f>
        <v>Sí</v>
      </c>
      <c r="I6" t="str">
        <f>IF(H6="No",IF(C6="Sí","DESCARTAR","Punto débil"),IF(E6="","",IF(E6="No",IF(C6="Sí","DESCARTAR","Punto débil"),IF(E6="Por comprobar","Pendiente","OK"))))</f>
        <v>OK</v>
      </c>
      <c r="J6" s="4" t="inlineStr">
        <is>
          <t>Un obrador de chocolate no tiene hornos, pero tiene TRES equipos de frío y una climatización con deshumidificación funcionando 24 horas. Subir la potencia de una acometida puede costar más que la obra entera y depende de la distribuidora, no de tu presupuesto.</t>
        </is>
      </c>
    </row>
    <row r="7" ht="62" customHeight="1">
      <c r="A7" s="11" t="n">
        <v>2</v>
      </c>
      <c r="B7" s="4" t="inlineStr">
        <is>
          <t>El local admite climatizar el obrador con deshumidificación</t>
        </is>
      </c>
      <c r="C7" t="inlineStr">
        <is>
          <t>Sí</t>
        </is>
      </c>
      <c r="D7" s="4" t="inlineStr">
        <is>
          <t>Lleva la ficha de preguntas de la hoja «Clima del Obrador» a la visita y mira dónde iría la unidad exterior y por dónde saldría el condensado.</t>
        </is>
      </c>
      <c r="E7" s="5" t="inlineStr">
        <is>
          <t>Sí</t>
        </is>
      </c>
      <c r="G7" t="inlineStr">
        <is>
          <t>No aplica</t>
        </is>
      </c>
      <c r="H7" t="inlineStr"/>
      <c r="I7" t="str">
        <f>IF(H7="No",IF(C7="Sí","DESCARTAR","Punto débil"),IF(E7="","",IF(E7="No",IF(C7="Sí","DESCARTAR","Punto débil"),IF(E7="Por comprobar","Pendiente","OK"))))</f>
        <v>OK</v>
      </c>
      <c r="J7" s="4" t="inlineStr">
        <is>
          <t>ES LA ELIMINATORIA PROPIA DE UNA CHOCOLATERÍA. Sin 18-20 °C y 50-60 % de humedad en el obrador, la cobertura no cristaliza y el bombón sale mate o con fat bloom. Un local que no se puede climatizar no es un local barato: es otro negocio.</t>
        </is>
      </c>
    </row>
    <row r="8" ht="62" customHeight="1">
      <c r="A8" s="11" t="n">
        <v>3</v>
      </c>
      <c r="B8" s="4" t="inlineStr">
        <is>
          <t>La superficie útil llega a los m² que has repartido por zonas</t>
        </is>
      </c>
      <c r="C8" t="inlineStr">
        <is>
          <t>No</t>
        </is>
      </c>
      <c r="D8" s="4" t="inlineStr">
        <is>
          <t>Superficie útil real, sin contar muros ni patinillos. Compárala con el total de la hoja «Zonas y m²».</t>
        </is>
      </c>
      <c r="E8" s="5" t="inlineStr">
        <is>
          <t>Sí</t>
        </is>
      </c>
      <c r="F8" s="8" t="n">
        <v>77</v>
      </c>
      <c r="G8" s="16">
        <f>'Parámetros'!B16</f>
        <v>75.0</v>
      </c>
      <c r="H8" t="str">
        <f>IF(AND(ISNUMBER(F8),ISNUMBER(G8)),IF(F8&gt;=G8,"Sí","No"),"")</f>
        <v>Sí</v>
      </c>
      <c r="I8" t="str">
        <f>IF(H8="No",IF(C8="Sí","DESCARTAR","Punto débil"),IF(E8="","",IF(E8="No",IF(C8="Sí","DESCARTAR","Punto débil"),IF(E8="Por comprobar","Pendiente","OK"))))</f>
        <v>OK</v>
      </c>
      <c r="J8" s="4" t="inlineStr">
        <is>
          <t>La superficie de un anuncio suele ser construida. La que te sirve es la útil, y entre una y otra se van con facilidad 10 m².</t>
        </is>
      </c>
    </row>
    <row r="9" ht="62" customHeight="1">
      <c r="A9" s="11" t="n">
        <v>4</v>
      </c>
      <c r="B9" s="4" t="inlineStr">
        <is>
          <t>La altura libre del local llega a la que has fijado</t>
        </is>
      </c>
      <c r="C9" t="inlineStr">
        <is>
          <t>No</t>
        </is>
      </c>
      <c r="D9" s="4" t="inlineStr">
        <is>
          <t>Metro láser desde el suelo terminado a la cara inferior del forjado, en el punto más bajo. Mide donde iría la unidad interior del clima.</t>
        </is>
      </c>
      <c r="E9" s="5" t="inlineStr">
        <is>
          <t>Sí</t>
        </is>
      </c>
      <c r="F9" s="8" t="n">
        <v>3.1</v>
      </c>
      <c r="G9" s="16">
        <f>'Parámetros'!B22</f>
        <v>2.7</v>
      </c>
      <c r="H9" t="str">
        <f>IF(AND(ISNUMBER(F9),ISNUMBER(G9)),IF(F9&gt;=G9,"Sí","No"),"")</f>
        <v>Sí</v>
      </c>
      <c r="I9" t="str">
        <f>IF(H9="No",IF(C9="Sí","DESCARTAR","Punto débil"),IF(E9="","",IF(E9="No",IF(C9="Sí","DESCARTAR","Punto débil"),IF(E9="Por comprobar","Pendiente","OK"))))</f>
        <v>OK</v>
      </c>
      <c r="J9" s="4" t="inlineStr">
        <is>
          <t>Sin campana ni conducto a cubierta, una chocolatería necesita menos altura que una pastelería. Lo que sí necesita es sitio para la climatización y para el conducto de la deshumidificación.</t>
        </is>
      </c>
    </row>
    <row r="10" ht="62" customHeight="1">
      <c r="A10" s="11" t="n">
        <v>5</v>
      </c>
      <c r="B10" s="4" t="inlineStr">
        <is>
          <t>La superficie de exposición y venta está por debajo del umbral de la Ley 12/2012</t>
        </is>
      </c>
      <c r="C10" t="inlineStr">
        <is>
          <t>No</t>
        </is>
      </c>
      <c r="D10" s="4" t="inlineStr">
        <is>
          <t>Mide sólo la zona a la que entra el público. La de la hoja «Zonas y m²» es la de partida.</t>
        </is>
      </c>
      <c r="E10" s="5" t="inlineStr">
        <is>
          <t>Sí</t>
        </is>
      </c>
      <c r="F10" s="8" t="n">
        <v>22</v>
      </c>
      <c r="G10" s="16">
        <f>'Parámetros'!B24</f>
        <v>750.0</v>
      </c>
      <c r="H10" t="str">
        <f>IF(AND(ISNUMBER(F10),ISNUMBER(G10)),IF(F10&lt;=G10,"Sí","No"),"")</f>
        <v>Sí</v>
      </c>
      <c r="I10" t="str">
        <f>IF(H10="No",IF(C10="Sí","DESCARTAR","Punto débil"),IF(E10="","",IF(E10="No",IF(C10="Sí","DESCARTAR","Punto débil"),IF(E10="Por comprobar","Pendiente","OK"))))</f>
        <v>OK</v>
      </c>
      <c r="J10" s="4" t="inlineStr">
        <is>
          <t>Por debajo de 750 m² de superficie útil de exposición y venta al público, ninguna administración puede exigirte licencia previa de instalación, de funcionamiento o de actividad: el epígrafe 644.5 está en el Anexo de la Ley 12/2012. Decir qué trámite pide Madrid o Barcelona está PROHIBIDO en esta guía: no se ha abierto ninguna ordenanza.</t>
        </is>
      </c>
    </row>
    <row r="11" ht="62" customHeight="1">
      <c r="A11" s="11" t="n">
        <v>6</v>
      </c>
      <c r="B11" s="4" t="inlineStr">
        <is>
          <t>El obrador puede quedar inaccesible al público</t>
        </is>
      </c>
      <c r="C11" t="inlineStr">
        <is>
          <t>Sí</t>
        </is>
      </c>
      <c r="D11" s="4" t="inlineStr">
        <is>
          <t>Dibuja las seis zonas sobre el plano antes de firmar. Si no caben con la puerta donde está, no caben.</t>
        </is>
      </c>
      <c r="E11" s="5" t="inlineStr">
        <is>
          <t>Sí</t>
        </is>
      </c>
      <c r="G11" t="inlineStr">
        <is>
          <t>No aplica</t>
        </is>
      </c>
      <c r="H11" t="inlineStr"/>
      <c r="I11" t="str">
        <f>IF(H11="No",IF(C11="Sí","DESCARTAR","Punto débil"),IF(E11="","",IF(E11="No",IF(C11="Sí","DESCARTAR","Punto débil"),IF(E11="Por comprobar","Pendiente","OK"))))</f>
        <v>OK</v>
      </c>
      <c r="J11" s="4" t="inlineStr">
        <is>
          <t>El obrador es zona de elaboración, no una cocina a la vista. Y tu sistema de autocontrol tiene que designar con NOMBRE a la persona responsable: no vale «el encargado».</t>
        </is>
      </c>
    </row>
    <row r="12" ht="62" customHeight="1">
      <c r="A12" s="11" t="n">
        <v>7</v>
      </c>
      <c r="B12" s="4" t="inlineStr">
        <is>
          <t>El obrador NO necesita salida de humos, porque no hay combustión</t>
        </is>
      </c>
      <c r="C12" t="inlineStr">
        <is>
          <t>No</t>
        </is>
      </c>
      <c r="D12" s="4" t="inlineStr">
        <is>
          <t>Comprueba que en tu proyecto no entra ni freidora ni fogón. Si entra, este ítem deja de valer y pasas al siguiente.</t>
        </is>
      </c>
      <c r="E12" s="5" t="inlineStr">
        <is>
          <t>Sí</t>
        </is>
      </c>
      <c r="G12" t="inlineStr">
        <is>
          <t>No aplica</t>
        </is>
      </c>
      <c r="H12" t="inlineStr"/>
      <c r="I12" t="str">
        <f>IF(H12="No",IF(C12="Sí","DESCARTAR","Punto débil"),IF(E12="","",IF(E12="No",IF(C12="Sí","DESCARTAR","Punto débil"),IF(E12="Por comprobar","Pendiente","OK"))))</f>
        <v>OK</v>
      </c>
      <c r="J12" s="4" t="inlineStr">
        <is>
          <t>LA VENTAJA QUE MÁS LOCALES ABRE. Un obrador de chocolate no fríe ni asa: no genera aire de categoría AE4, así que no necesita campana ni conducto a cubierta, que es la partida que tumba la mayoría de los locales de una pastelería. Y ojo con la norma que se cita mal: el CTE DB-HS 3 se aplica a viviendas y, en edificios de otro uso, sólo a aparcamientos y garajes.</t>
        </is>
      </c>
    </row>
    <row r="13" ht="62" customHeight="1">
      <c r="A13" s="11" t="n">
        <v>8</v>
      </c>
      <c r="B13" s="4" t="inlineStr">
        <is>
          <t>Si vas a montar la variante de taza y churros, el local admite freidora, campana y conducto a cubierta</t>
        </is>
      </c>
      <c r="C13" t="inlineStr">
        <is>
          <t>No</t>
        </is>
      </c>
      <c r="D13" s="4" t="inlineStr">
        <is>
          <t>Sube a la cubierta con el propietario. Pídelo por escrito antes de firmar, y pide también el certificado de la última inspección de gas.</t>
        </is>
      </c>
      <c r="E13" s="5" t="inlineStr">
        <is>
          <t>Por comprobar</t>
        </is>
      </c>
      <c r="G13" t="inlineStr">
        <is>
          <t>No aplica</t>
        </is>
      </c>
      <c r="H13" t="inlineStr"/>
      <c r="I13" t="str">
        <f>IF(H13="No",IF(C13="Sí","DESCARTAR","Punto débil"),IF(E13="","",IF(E13="No",IF(C13="Sí","DESCARTAR","Punto débil"),IF(E13="Por comprobar","Pendiente","OK"))))</f>
        <v>Pendiente</v>
      </c>
      <c r="J13" s="4" t="inlineStr">
        <is>
          <t>La chocolatería de TAZA es otro negocio y la norma lo separa sola: el Anexo de la Ley 12/2012 NO incluye ningún grupo de la agrupación 67, así que la bombonería se libra de la licencia previa hasta 750 m² y la de taza no. Y si hay freidora de gas, la instalación receptora se inspecciona cada cinco años.</t>
        </is>
      </c>
    </row>
    <row r="14" ht="62" customHeight="1">
      <c r="A14" s="11" t="n">
        <v>9</v>
      </c>
      <c r="B14" s="4" t="inlineStr">
        <is>
          <t>Los estatutos de la comunidad de propietarios no prohíben la actividad</t>
        </is>
      </c>
      <c r="C14" t="inlineStr">
        <is>
          <t>Sí</t>
        </is>
      </c>
      <c r="D14" s="4" t="inlineStr">
        <is>
          <t>Pide los estatutos inscritos y el acta de la última junta. Que el vecino de al lado sea un bar no basta.</t>
        </is>
      </c>
      <c r="E14" s="5" t="inlineStr">
        <is>
          <t>Sí</t>
        </is>
      </c>
      <c r="G14" t="inlineStr">
        <is>
          <t>No aplica</t>
        </is>
      </c>
      <c r="H14" t="inlineStr"/>
      <c r="I14" t="str">
        <f>IF(H14="No",IF(C14="Sí","DESCARTAR","Punto débil"),IF(E14="","",IF(E14="No",IF(C14="Sí","DESCARTAR","Punto débil"),IF(E14="Por comprobar","Pendiente","OK"))))</f>
        <v>OK</v>
      </c>
      <c r="J14" s="4" t="inlineStr">
        <is>
          <t>Una prohibición estatutaria inscrita se impone aunque el ayuntamiento no te pida nada. Y aquí hay un matiz de chocolatería: la unidad exterior de la climatización va en fachada o en cubierta, las dos zona común, así que la conversación con la comunidad existe igual aunque no haya humos.</t>
        </is>
      </c>
    </row>
    <row r="15" ht="62" customHeight="1">
      <c r="A15" s="11" t="n">
        <v>10</v>
      </c>
      <c r="B15" s="4" t="inlineStr">
        <is>
          <t>El planeamiento urbanístico admite la actividad en esa finca</t>
        </is>
      </c>
      <c r="C15" t="inlineStr">
        <is>
          <t>Sí</t>
        </is>
      </c>
      <c r="D15" s="4" t="inlineStr">
        <is>
          <t>Consulta de compatibilidad urbanística en el ayuntamiento, por escrito y a nombre del local, no una llamada.</t>
        </is>
      </c>
      <c r="E15" s="5" t="inlineStr">
        <is>
          <t>Sí</t>
        </is>
      </c>
      <c r="G15" t="inlineStr">
        <is>
          <t>No aplica</t>
        </is>
      </c>
      <c r="H15" t="inlineStr"/>
      <c r="I15" t="str">
        <f>IF(H15="No",IF(C15="Sí","DESCARTAR","Punto débil"),IF(E15="","",IF(E15="No",IF(C15="Sí","DESCARTAR","Punto débil"),IF(E15="Por comprobar","Pendiente","OK"))))</f>
        <v>OK</v>
      </c>
      <c r="J15" s="4" t="inlineStr">
        <is>
          <t>Un local que hoy es un comercio no admite automáticamente un obrador: es actividad de transformación de alimentos, aunque sea silenciosa y sin humos.</t>
        </is>
      </c>
    </row>
    <row r="16" ht="62" customHeight="1">
      <c r="A16" s="11" t="n">
        <v>11</v>
      </c>
      <c r="B16" s="4" t="inlineStr">
        <is>
          <t>Caben aseo de público y vestuario de personal separados</t>
        </is>
      </c>
      <c r="C16" t="inlineStr">
        <is>
          <t>No</t>
        </is>
      </c>
      <c r="D16" s="4" t="inlineStr">
        <is>
          <t>Cuenta los metros y mira dónde están los bajantes. Un aseo nuevo sin bajante cerca es obra grande.</t>
        </is>
      </c>
      <c r="E16" s="5" t="inlineStr">
        <is>
          <t>Sí</t>
        </is>
      </c>
      <c r="G16" t="inlineStr">
        <is>
          <t>No aplica</t>
        </is>
      </c>
      <c r="H16" t="inlineStr"/>
      <c r="I16" t="str">
        <f>IF(H16="No",IF(C16="Sí","DESCARTAR","Punto débil"),IF(E16="","",IF(E16="No",IF(C16="Sí","DESCARTAR","Punto débil"),IF(E16="Por comprobar","Pendiente","OK"))))</f>
        <v>OK</v>
      </c>
      <c r="J16" s="4" t="inlineStr">
        <is>
          <t>El personal necesita su aseo y su taquilla; el cliente, el suyo. Los 8 m² de la hoja de zonas ya lo contemplan.</t>
        </is>
      </c>
    </row>
    <row r="17" ht="62" customHeight="1">
      <c r="A17" s="11" t="n">
        <v>12</v>
      </c>
      <c r="B17" s="4" t="inlineStr">
        <is>
          <t>Se puede descargar la cobertura sin cruzar la zona de clientes</t>
        </is>
      </c>
      <c r="C17" t="inlineStr">
        <is>
          <t>No</t>
        </is>
      </c>
      <c r="D17" s="4" t="inlineStr">
        <is>
          <t>Ve a la hora a la que descargarías. Mira si hay carga y descarga y si el portal lo permite.</t>
        </is>
      </c>
      <c r="E17" s="5" t="inlineStr">
        <is>
          <t>Sí</t>
        </is>
      </c>
      <c r="G17" t="inlineStr">
        <is>
          <t>No aplica</t>
        </is>
      </c>
      <c r="H17" t="inlineStr"/>
      <c r="I17" t="str">
        <f>IF(H17="No",IF(C17="Sí","DESCARTAR","Punto débil"),IF(E17="","",IF(E17="No",IF(C17="Sí","DESCARTAR","Punto débil"),IF(E17="Por comprobar","Pendiente","OK"))))</f>
        <v>OK</v>
      </c>
      <c r="J17" s="4" t="inlineStr">
        <is>
          <t>La cobertura llega en cajas de 5 a 25 kg y el packaging de campaña llega en palés. Si entra por la puerta de la tienda, entra por delante del cliente.</t>
        </is>
      </c>
    </row>
    <row r="18" ht="62" customHeight="1">
      <c r="A18" s="11" t="n">
        <v>13</v>
      </c>
      <c r="B18" s="4" t="inlineStr">
        <is>
          <t>La basura y el cartón salen sin abrir al obrador</t>
        </is>
      </c>
      <c r="C18" t="inlineStr">
        <is>
          <t>No</t>
        </is>
      </c>
      <c r="D18" s="4" t="inlineStr">
        <is>
          <t>Localiza el cuarto de residuos y su puerta. Debe estar cerrado y con contenedores identificados.</t>
        </is>
      </c>
      <c r="E18" s="5" t="inlineStr">
        <is>
          <t>Sí</t>
        </is>
      </c>
      <c r="G18" t="inlineStr">
        <is>
          <t>No aplica</t>
        </is>
      </c>
      <c r="H18" t="inlineStr"/>
      <c r="I18" t="str">
        <f>IF(H18="No",IF(C18="Sí","DESCARTAR","Punto débil"),IF(E18="","",IF(E18="No",IF(C18="Sí","DESCARTAR","Punto débil"),IF(E18="Por comprobar","Pendiente","OK"))))</f>
        <v>OK</v>
      </c>
      <c r="J18" s="4" t="inlineStr">
        <is>
          <t>En bombonería el residuo de volumen es el CARTÓN del packaging, y se acumula en campaña justo en la zona de envasado.</t>
        </is>
      </c>
    </row>
    <row r="19" ht="62" customHeight="1">
      <c r="A19" s="11" t="n">
        <v>14</v>
      </c>
      <c r="B19" s="4" t="inlineStr">
        <is>
          <t>Hay acometida de agua fría y caliente y desagüe donde van los equipos</t>
        </is>
      </c>
      <c r="C19" t="inlineStr">
        <is>
          <t>No</t>
        </is>
      </c>
      <c r="D19" s="4" t="inlineStr">
        <is>
          <t>Localiza el desagüe existente. Mover un desagüe obliga a levantar el suelo del local entero.</t>
        </is>
      </c>
      <c r="E19" s="5" t="inlineStr">
        <is>
          <t>Sí</t>
        </is>
      </c>
      <c r="G19" t="inlineStr">
        <is>
          <t>No aplica</t>
        </is>
      </c>
      <c r="H19" t="inlineStr"/>
      <c r="I19" t="str">
        <f>IF(H19="No",IF(C19="Sí","DESCARTAR","Punto débil"),IF(E19="","",IF(E19="No",IF(C19="Sí","DESCARTAR","Punto débil"),IF(E19="Por comprobar","Pendiente","OK"))))</f>
        <v>OK</v>
      </c>
      <c r="J19" s="4" t="inlineStr">
        <is>
          <t>El temperador de baño maría, la cámara y el fregadero necesitan desagüe en su punto. Y la climatización necesita evacuación de condensados, que es el desagüe que nadie prevé.</t>
        </is>
      </c>
    </row>
    <row r="20" ht="62" customHeight="1">
      <c r="A20" s="11" t="n">
        <v>15</v>
      </c>
      <c r="B20" s="4" t="inlineStr">
        <is>
          <t>Suelos y paredes admiten acabado liso, lavable e impermeable</t>
        </is>
      </c>
      <c r="C20" t="inlineStr">
        <is>
          <t>No</t>
        </is>
      </c>
      <c r="D20" s="4" t="inlineStr">
        <is>
          <t>Mira el estado real: azulejo roto, yeso, hormigón visto. El acabado del obrador es obra, no pintura.</t>
        </is>
      </c>
      <c r="E20" s="5" t="inlineStr">
        <is>
          <t>Sí</t>
        </is>
      </c>
      <c r="G20" t="inlineStr">
        <is>
          <t>No aplica</t>
        </is>
      </c>
      <c r="H20" t="inlineStr"/>
      <c r="I20" t="str">
        <f>IF(H20="No",IF(C20="Sí","DESCARTAR","Punto débil"),IF(E20="","",IF(E20="No",IF(C20="Sí","DESCARTAR","Punto débil"),IF(E20="Por comprobar","Pendiente","OK"))))</f>
        <v>OK</v>
      </c>
      <c r="J20" s="4" t="inlineStr">
        <is>
          <t>Superficies lisas, lavables e impermeables y lavamanos no manual. No es un extra: es requisito, y en chocolate además importa que el suelo no suelte polvo.</t>
        </is>
      </c>
    </row>
    <row r="21" ht="62" customHeight="1">
      <c r="A21" s="11" t="n">
        <v>16</v>
      </c>
      <c r="B21" s="4" t="inlineStr">
        <is>
          <t>El escaparate y la vitrina quedan fuera del sol de mediodía</t>
        </is>
      </c>
      <c r="C21" t="inlineStr">
        <is>
          <t>No</t>
        </is>
      </c>
      <c r="D21" s="4" t="inlineStr">
        <is>
          <t>Ve al local a las 14:00, no a las 10:00, y mira dónde da el sol.</t>
        </is>
      </c>
      <c r="E21" s="5" t="inlineStr">
        <is>
          <t>Sí</t>
        </is>
      </c>
      <c r="G21" t="inlineStr">
        <is>
          <t>No aplica</t>
        </is>
      </c>
      <c r="H21" t="inlineStr"/>
      <c r="I21" t="str">
        <f>IF(H21="No",IF(C21="Sí","DESCARTAR","Punto débil"),IF(E21="","",IF(E21="No",IF(C21="Sí","DESCARTAR","Punto débil"),IF(E21="Por comprobar","Pendiente","OK"))))</f>
        <v>OK</v>
      </c>
      <c r="J21" s="4" t="inlineStr">
        <is>
          <t>La vitrina de bombonería trabaja a 16-18 °C. Un escaparate a poniente en julio la obliga a ciclar sin parar, sube la humedad interior y te deja el bombón mate. Se arregla con lámina solar y toldo, que son partida del libro 2, pero hay que saberlo antes.</t>
        </is>
      </c>
    </row>
    <row r="22" ht="62" customHeight="1">
      <c r="A22" s="11" t="n">
        <v>17</v>
      </c>
      <c r="B22" s="4" t="inlineStr">
        <is>
          <t>El local es accesible o admite ajustes razonables</t>
        </is>
      </c>
      <c r="C22" t="inlineStr">
        <is>
          <t>No</t>
        </is>
      </c>
      <c r="D22" s="4" t="inlineStr">
        <is>
          <t>Mide el escalón de entrada y el ancho de la puerta. Un escalón en fachada puede depender del ayuntamiento, no de ti.</t>
        </is>
      </c>
      <c r="E22" s="5" t="inlineStr">
        <is>
          <t>Sí</t>
        </is>
      </c>
      <c r="G22" t="inlineStr">
        <is>
          <t>No aplica</t>
        </is>
      </c>
      <c r="H22" t="inlineStr"/>
      <c r="I22" t="str">
        <f>IF(H22="No",IF(C22="Sí","DESCARTAR","Punto débil"),IF(E22="","",IF(E22="No",IF(C22="Sí","DESCARTAR","Punto débil"),IF(E22="Por comprobar","Pendiente","OK"))))</f>
        <v>OK</v>
      </c>
      <c r="J22" s="4" t="inlineStr">
        <is>
          <t>El calendario para titularidad privada es el 1-ene-2029 en bienes y servicios nuevos y el 1-ene-2030 en los existentes, y la obligación de garantizar la accesibilidad o hacer ajustes razonables no tiene umbral de superficie.</t>
        </is>
      </c>
    </row>
    <row r="23" ht="62" customHeight="1">
      <c r="A23" s="11" t="n">
        <v>18</v>
      </c>
      <c r="B23" s="4" t="inlineStr">
        <is>
          <t>El contrato y las cargas del local están claros antes de firmar</t>
        </is>
      </c>
      <c r="C23" t="inlineStr">
        <is>
          <t>Sí</t>
        </is>
      </c>
      <c r="D23" s="4" t="inlineStr">
        <is>
          <t>Nota simple del Registro, contrato de arrendamiento leído entero y quién paga la obra de adecuación.</t>
        </is>
      </c>
      <c r="E23" s="5" t="inlineStr">
        <is>
          <t>Por comprobar</t>
        </is>
      </c>
      <c r="G23" t="inlineStr">
        <is>
          <t>No aplica</t>
        </is>
      </c>
      <c r="H23" t="inlineStr"/>
      <c r="I23" t="str">
        <f>IF(H23="No",IF(C23="Sí","DESCARTAR","Punto débil"),IF(E23="","",IF(E23="No",IF(C23="Sí","DESCARTAR","Punto débil"),IF(E23="Por comprobar","Pendiente","OK"))))</f>
        <v>Pendiente</v>
      </c>
      <c r="J23" s="4" t="inlineStr">
        <is>
          <t>Quién paga la obra, cuántos años dura el contrato y qué pasa con la obra al terminar son tres números del libro 2, no tres detalles.</t>
        </is>
      </c>
    </row>
    <row r="24"/>
    <row r="25">
      <c r="B25" t="inlineStr">
        <is>
          <t>Ítems de la ficha</t>
        </is>
      </c>
      <c r="E25" s="11">
        <f>COUNTIF(C6:C23,"Sí")+COUNTIF(C6:C23,"No")</f>
        <v>18.0</v>
      </c>
    </row>
    <row r="26">
      <c r="B26" t="inlineStr">
        <is>
          <t>De los cuales, eliminatorios</t>
        </is>
      </c>
      <c r="E26" s="11">
        <f>COUNTIF(C6:C23,"Sí")</f>
        <v>6.0</v>
      </c>
    </row>
    <row r="27">
      <c r="B27" t="inlineStr">
        <is>
          <t>Motivos de descarte</t>
        </is>
      </c>
      <c r="E27" s="11">
        <f>COUNTIF(I6:I23,"DESCARTAR")</f>
        <v>0.0</v>
      </c>
    </row>
    <row r="28">
      <c r="B28" t="inlineStr">
        <is>
          <t>Puntos débiles</t>
        </is>
      </c>
      <c r="E28" s="11">
        <f>COUNTIF(I6:I23,"Punto débil")</f>
        <v>0.0</v>
      </c>
    </row>
    <row r="29">
      <c r="B29" t="inlineStr">
        <is>
          <t>Pendientes de comprobar</t>
        </is>
      </c>
      <c r="E29" s="11">
        <f>COUNTIF(I6:I23,"Pendiente")</f>
        <v>2.0</v>
      </c>
    </row>
    <row r="30">
      <c r="B30" t="inlineStr">
        <is>
          <t>Resueltos sin problema</t>
        </is>
      </c>
      <c r="E30" s="11">
        <f>COUNTIF(I6:I23,"OK")</f>
        <v>16.0</v>
      </c>
    </row>
    <row r="31">
      <c r="B31" t="inlineStr">
        <is>
          <t>Ficha comprobada</t>
        </is>
      </c>
      <c r="E31" s="12">
        <f>IFERROR((E25-E29)/E25,"")</f>
        <v>0.8888888888888888</v>
      </c>
    </row>
    <row r="32">
      <c r="B32" s="13" t="inlineStr">
        <is>
          <t>VEREDICTO DEL LOCAL</t>
        </is>
      </c>
      <c r="E32" s="17" t="str">
        <f>IF(E27&gt;0,"DESCARTAR ESTE LOCAL",IF(E29&gt;0,"NO DECIDAS TODAVÍA",IF(E28&gt;0,"SIGUE ADELANTE CON RESERVAS","SIGUE ADELANTE")))</f>
        <v>NO DECIDAS TODAVÍA</v>
      </c>
    </row>
    <row r="33"/>
    <row r="34">
      <c r="B34" s="3" t="inlineStr">
        <is>
          <t>Listas de validación (no las borres: las usan los desplegables)</t>
        </is>
      </c>
    </row>
    <row r="35">
      <c r="B35" s="13" t="inlineStr">
        <is>
          <t>Respuesta</t>
        </is>
      </c>
    </row>
    <row r="36">
      <c r="B36" t="inlineStr">
        <is>
          <t>Sí</t>
        </is>
      </c>
    </row>
    <row r="37">
      <c r="B37" t="inlineStr">
        <is>
          <t>No</t>
        </is>
      </c>
    </row>
    <row r="38">
      <c r="B38" t="inlineStr">
        <is>
          <t>Por comprobar</t>
        </is>
      </c>
    </row>
    <row r="39"/>
    <row r="40" ht="62" customHeight="1">
      <c r="B40" s="7" t="inlineStr">
        <is>
          <t>Los seis ítems eliminatorios no lo son por gusto: son los defectos que no se arreglan con dinero razonable o que no dependen de ti (la acometida, la climatización, la comunidad, el planeamiento, el contrato). El resto encarecen la obra y hay que llevarlos al libro 2 como partida, no descartar el local por ellos. Y guarda la ficha de los locales que descartes: comparar tres fichas es lo que enseña qué estás aceptando sin darte cuenta.</t>
        </is>
      </c>
    </row>
    <row r="41"/>
    <row r="42" ht="62" customHeight="1">
      <c r="B42" s="7" t="inlineStr">
        <is>
          <t>LA DIFERENCIA CON UNA PASTELERÍA CABE EN DOS LÍNEAS DE ESTA FICHA. Un obrador de chocolate no fríe ni asa, así que no necesita campana ni conducto a cubierta: se cae la partida que tumba la mitad de los locales. A cambio aparece otra que en pastelería no existe, y es eliminatoria: el local tiene que poder climatizarse con deshumidificación a 18-20 °C. Un sótano fresco y húmedo es un mal local para el chocolate aunque esté regalado.</t>
        </is>
      </c>
    </row>
  </sheetData>
  <sheetProtection selectLockedCells="0" selectUnlockedCells="0" sheet="1" objects="0" insertRows="0" insertHyperlinks="1" autoFilter="1" scenarios="0" formatColumns="0" deleteColumns="1" insertColumns="1" pivotTables="1" deleteRows="1" formatCells="1" formatRows="0" sort="0"/>
  <mergeCells count="3">
    <mergeCell ref="B40:J40"/>
    <mergeCell ref="A3:J3"/>
    <mergeCell ref="B42:J42"/>
  </mergeCells>
  <conditionalFormatting sqref="I6:I23">
    <cfRule type="cellIs" priority="1" operator="equal" dxfId="0" stopIfTrue="1">
      <formula>"DESCARTAR"</formula>
    </cfRule>
    <cfRule type="cellIs" priority="2" operator="equal" dxfId="2" stopIfTrue="1">
      <formula>"Punto débil"</formula>
    </cfRule>
    <cfRule type="cellIs" priority="3" operator="equal" dxfId="3" stopIfTrue="1">
      <formula>"Pendiente"</formula>
    </cfRule>
    <cfRule type="cellIs" priority="4" operator="equal" dxfId="1" stopIfTrue="1">
      <formula>"OK"</formula>
    </cfRule>
  </conditionalFormatting>
  <conditionalFormatting sqref="H6:H23">
    <cfRule type="cellIs" priority="5" operator="equal" dxfId="0" stopIfTrue="1">
      <formula>"No"</formula>
    </cfRule>
    <cfRule type="cellIs" priority="6" operator="equal" dxfId="1" stopIfTrue="1">
      <formula>"Sí"</formula>
    </cfRule>
  </conditionalFormatting>
  <conditionalFormatting sqref="E32">
    <cfRule type="cellIs" priority="7" operator="equal" dxfId="0" stopIfTrue="1">
      <formula>"DESCARTAR ESTE LOCAL"</formula>
    </cfRule>
    <cfRule type="cellIs" priority="8" operator="equal" dxfId="3" stopIfTrue="1">
      <formula>"NO DECIDAS TODAVÍA"</formula>
    </cfRule>
    <cfRule type="cellIs" priority="9" operator="equal" dxfId="2" stopIfTrue="1">
      <formula>"SIGUE ADELANTE CON RESERVAS"</formula>
    </cfRule>
    <cfRule type="cellIs" priority="10" operator="equal" dxfId="1" stopIfTrue="1">
      <formula>"SIGUE ADELANTE"</formula>
    </cfRule>
  </conditionalFormatting>
  <dataValidations count="1">
    <dataValidation sqref="E6 E7 E8 E9 E10 E11 E12 E13 E14 E15 E16 E17 E18 E19 E20 E21 E22 E23" showDropDown="0" showInputMessage="0" showErrorMessage="1" allowBlank="0" errorTitle="Respuesta" error="Elige «Sí», «No» o «Por comprobar» de la lista." type="list">
      <formula1>=$B$36:$B$38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Capacidad del obrador, clima y ficha de visita al local</dc:title>
  <dc:subject xmlns:dc="http://purl.org/dc/elements/1.1/">Cómo Montar una Chocolatería · Versión 1.0 · septiembre 2026</dc:subject>
  <dcterms:created xmlns:dcterms="http://purl.org/dc/terms/" xmlns:xsi="http://www.w3.org/2001/XMLSchema-instance" xsi:type="dcterms:W3CDTF">2026-09-19T12:14:53Z</dcterms:created>
  <dcterms:modified xmlns:dcterms="http://purl.org/dc/terms/" xmlns:xsi="http://www.w3.org/2001/XMLSchema-instance" xsi:type="dcterms:W3CDTF">2026-09-19T12:14:53Z</dcterms:modified>
  <cp:lastModifiedBy>AI Chef Pro</cp:lastModifiedBy>
</cp:coreProperties>
</file>