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st per Drink" sheetId="1" state="visible" r:id="rId1"/>
    <sheet xmlns:r="http://schemas.openxmlformats.org/officeDocument/2006/relationships" name="Pricing Calculator" sheetId="2" state="visible" r:id="rId2"/>
    <sheet xmlns:r="http://schemas.openxmlformats.org/officeDocument/2006/relationships" name="3 Example Quotes" sheetId="3" state="visible" r:id="rId3"/>
    <sheet xmlns:r="http://schemas.openxmlformats.org/officeDocument/2006/relationships" name="Instructions" sheetId="4" state="visible" r:id="rId4"/>
  </sheets>
  <definedNames/>
  <calcPr calcId="124519" fullCalcOnLoad="1"/>
</workbook>
</file>

<file path=xl/styles.xml><?xml version="1.0" encoding="utf-8"?>
<styleSheet xmlns="http://schemas.openxmlformats.org/spreadsheetml/2006/main">
  <numFmts count="8">
    <numFmt numFmtId="164" formatCode="#,##0.0"/>
    <numFmt numFmtId="165" formatCode="0.0"/>
    <numFmt numFmtId="166" formatCode="#,##0.0000"/>
    <numFmt numFmtId="167" formatCode="#,##0.0;-#,##0.0;&quot;-&quot;"/>
    <numFmt numFmtId="168" formatCode="#,##0.00;-#,##0.00;&quot;-&quot;"/>
    <numFmt numFmtId="169" formatCode="#,##0.000"/>
    <numFmt numFmtId="170" formatCode="0.0%"/>
    <numFmt numFmtId="171" formatCode="0&quot; guests&quot;"/>
  </numFmts>
  <fonts count="6">
    <font>
      <name val="Calibri"/>
      <family val="2"/>
      <color theme="1"/>
      <sz val="11"/>
      <scheme val="minor"/>
    </font>
    <font>
      <name val="Calibri"/>
      <b val="1"/>
      <sz val="14"/>
    </font>
    <font>
      <name val="Calibri"/>
      <sz val="11"/>
    </font>
    <font>
      <name val="Calibri"/>
      <b val="1"/>
      <sz val="11"/>
    </font>
    <font>
      <name val="Calibri"/>
      <i val="1"/>
      <sz val="11"/>
    </font>
    <font>
      <name val="Calibri"/>
      <b val="1"/>
      <sz val="13"/>
    </font>
  </fonts>
  <fills count="4">
    <fill>
      <patternFill/>
    </fill>
    <fill>
      <patternFill patternType="gray125"/>
    </fill>
    <fill>
      <patternFill patternType="solid">
        <fgColor rgb="00F2F2F2"/>
      </patternFill>
    </fill>
    <fill>
      <patternFill patternType="solid">
        <fgColor rgb="00E8F5E9"/>
      </patternFill>
    </fill>
  </fills>
  <borders count="1">
    <border>
      <left/>
      <right/>
      <top/>
      <bottom/>
      <diagonal/>
    </border>
  </borders>
  <cellStyleXfs count="1">
    <xf numFmtId="0" fontId="0" fillId="0" borderId="0"/>
  </cellStyleXfs>
  <cellXfs count="37">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wrapText="1"/>
    </xf>
    <xf numFmtId="0" fontId="3" fillId="2" borderId="0" applyAlignment="1" pivotButton="0" quotePrefix="0" xfId="0">
      <alignment vertical="top"/>
    </xf>
    <xf numFmtId="0" fontId="2" fillId="0" borderId="0" applyAlignment="1" pivotButton="0" quotePrefix="0" xfId="0">
      <alignment vertical="top"/>
    </xf>
    <xf numFmtId="9" fontId="2" fillId="3" borderId="0" applyAlignment="1" applyProtection="1" pivotButton="0" quotePrefix="0" xfId="0">
      <alignment vertical="top"/>
      <protection locked="0" hidden="0"/>
    </xf>
    <xf numFmtId="164" fontId="2" fillId="3" borderId="0" applyAlignment="1" applyProtection="1" pivotButton="0" quotePrefix="0" xfId="0">
      <alignment vertical="top"/>
      <protection locked="0" hidden="0"/>
    </xf>
    <xf numFmtId="0" fontId="3" fillId="2" borderId="0" applyAlignment="1" pivotButton="0" quotePrefix="0" xfId="0">
      <alignment vertical="top" wrapText="1"/>
    </xf>
    <xf numFmtId="0" fontId="3" fillId="3" borderId="0" applyAlignment="1" applyProtection="1" pivotButton="0" quotePrefix="0" xfId="0">
      <alignment vertical="top" wrapText="1"/>
      <protection locked="0" hidden="0"/>
    </xf>
    <xf numFmtId="0" fontId="3" fillId="0" borderId="0" applyAlignment="1" pivotButton="0" quotePrefix="0" xfId="0">
      <alignment vertical="top"/>
    </xf>
    <xf numFmtId="4" fontId="3" fillId="3" borderId="0" applyAlignment="1" applyProtection="1" pivotButton="0" quotePrefix="0" xfId="0">
      <alignment vertical="top"/>
      <protection locked="0" hidden="0"/>
    </xf>
    <xf numFmtId="165" fontId="2" fillId="3" borderId="0" applyAlignment="1" applyProtection="1" pivotButton="0" quotePrefix="0" xfId="0">
      <alignment vertical="top"/>
      <protection locked="0" hidden="0"/>
    </xf>
    <xf numFmtId="0" fontId="2" fillId="3" borderId="0" applyAlignment="1" applyProtection="1" pivotButton="0" quotePrefix="0" xfId="0">
      <alignment vertical="top"/>
      <protection locked="0" hidden="0"/>
    </xf>
    <xf numFmtId="4" fontId="2" fillId="3" borderId="0" applyAlignment="1" applyProtection="1" pivotButton="0" quotePrefix="0" xfId="0">
      <alignment vertical="top"/>
      <protection locked="0" hidden="0"/>
    </xf>
    <xf numFmtId="166" fontId="2" fillId="0" borderId="0" applyAlignment="1" pivotButton="0" quotePrefix="0" xfId="0">
      <alignment vertical="top"/>
    </xf>
    <xf numFmtId="167" fontId="2" fillId="0" borderId="0" applyAlignment="1" pivotButton="0" quotePrefix="0" xfId="0">
      <alignment vertical="top"/>
    </xf>
    <xf numFmtId="0" fontId="4" fillId="0" borderId="0" applyAlignment="1" pivotButton="0" quotePrefix="0" xfId="0">
      <alignment vertical="top" wrapText="1"/>
    </xf>
    <xf numFmtId="168" fontId="2" fillId="3" borderId="0" applyAlignment="1" applyProtection="1" pivotButton="0" quotePrefix="0" xfId="0">
      <alignment vertical="top"/>
      <protection locked="0" hidden="0"/>
    </xf>
    <xf numFmtId="164" fontId="2" fillId="0" borderId="0" applyAlignment="1" pivotButton="0" quotePrefix="0" xfId="0">
      <alignment vertical="top"/>
    </xf>
    <xf numFmtId="169" fontId="2" fillId="0" borderId="0" applyAlignment="1" pivotButton="0" quotePrefix="0" xfId="0">
      <alignment vertical="top"/>
    </xf>
    <xf numFmtId="169" fontId="3" fillId="0" borderId="0" applyAlignment="1" pivotButton="0" quotePrefix="0" xfId="0">
      <alignment vertical="top"/>
    </xf>
    <xf numFmtId="4" fontId="2" fillId="0" borderId="0" applyAlignment="1" pivotButton="0" quotePrefix="0" xfId="0">
      <alignment vertical="top"/>
    </xf>
    <xf numFmtId="170" fontId="2" fillId="0" borderId="0" applyAlignment="1" pivotButton="0" quotePrefix="0" xfId="0">
      <alignment vertical="top"/>
    </xf>
    <xf numFmtId="170" fontId="3" fillId="0" borderId="0" applyAlignment="1" pivotButton="0" quotePrefix="0" xfId="0">
      <alignment vertical="top"/>
    </xf>
    <xf numFmtId="9" fontId="2" fillId="0" borderId="0" applyAlignment="1" pivotButton="0" quotePrefix="0" xfId="0">
      <alignment vertical="top"/>
    </xf>
    <xf numFmtId="0" fontId="3" fillId="0" borderId="0" applyAlignment="1" pivotButton="0" quotePrefix="0" xfId="0">
      <alignment vertical="top" wrapText="1"/>
    </xf>
    <xf numFmtId="2" fontId="2" fillId="0" borderId="0" applyAlignment="1" pivotButton="0" quotePrefix="0" xfId="0">
      <alignment vertical="top"/>
    </xf>
    <xf numFmtId="0" fontId="2" fillId="3" borderId="0" applyAlignment="1" applyProtection="1" pivotButton="0" quotePrefix="0" xfId="0">
      <alignment vertical="top" wrapText="1"/>
      <protection locked="0" hidden="0"/>
    </xf>
    <xf numFmtId="3" fontId="2" fillId="3" borderId="0" applyAlignment="1" applyProtection="1" pivotButton="0" quotePrefix="0" xfId="0">
      <alignment vertical="top"/>
      <protection locked="0" hidden="0"/>
    </xf>
    <xf numFmtId="3" fontId="2" fillId="0" borderId="0" applyAlignment="1" pivotButton="0" quotePrefix="0" xfId="0">
      <alignment vertical="top"/>
    </xf>
    <xf numFmtId="4" fontId="3" fillId="0" borderId="0" applyAlignment="1" pivotButton="0" quotePrefix="0" xfId="0">
      <alignment vertical="top"/>
    </xf>
    <xf numFmtId="164" fontId="2" fillId="2" borderId="0" applyAlignment="1" pivotButton="0" quotePrefix="0" xfId="0">
      <alignment vertical="top"/>
    </xf>
    <xf numFmtId="2" fontId="2" fillId="3" borderId="0" applyAlignment="1" applyProtection="1" pivotButton="0" quotePrefix="0" xfId="0">
      <alignment vertical="top"/>
      <protection locked="0" hidden="0"/>
    </xf>
    <xf numFmtId="0" fontId="4" fillId="0" borderId="0" applyAlignment="1" pivotButton="0" quotePrefix="0" xfId="0">
      <alignment vertical="top"/>
    </xf>
    <xf numFmtId="171" fontId="3" fillId="2" borderId="0" applyAlignment="1" pivotButton="0" quotePrefix="0" xfId="0">
      <alignment vertical="top"/>
    </xf>
    <xf numFmtId="1" fontId="2" fillId="3" borderId="0" applyAlignment="1" applyProtection="1" pivotButton="0" quotePrefix="0" xfId="0">
      <alignment vertical="top"/>
      <protection locked="0" hidden="0"/>
    </xf>
    <xf numFmtId="0" fontId="5" fillId="0" borderId="0" applyAlignment="1" pivotButton="0" quotePrefix="0" xfId="0">
      <alignment vertical="top" wrapText="1"/>
    </xf>
  </cellXfs>
  <cellStyles count="1">
    <cellStyle name="Normal" xfId="0" builtinId="0" hidden="0"/>
  </cellStyles>
  <dxfs count="3">
    <dxf>
      <fill>
        <patternFill patternType="solid">
          <fgColor rgb="00C6E0B4"/>
          <bgColor rgb="00C6E0B4"/>
        </patternFill>
      </fill>
    </dxf>
    <dxf>
      <fill>
        <patternFill patternType="solid">
          <fgColor rgb="00FFE699"/>
          <bgColor rgb="00FFE699"/>
        </patternFill>
      </fill>
    </dxf>
    <dxf>
      <fill>
        <patternFill patternType="solid">
          <fgColor rgb="00F8CBAD"/>
          <b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P54"/>
  <sheetViews>
    <sheetView showGridLines="0" workbookViewId="0">
      <pane xSplit="1" ySplit="10" topLeftCell="B11" activePane="bottomRight" state="frozen"/>
      <selection pane="topRight"/>
      <selection pane="bottomLeft"/>
      <selection pane="bottomRight" activeCell="A1" sqref="A1"/>
    </sheetView>
  </sheetViews>
  <sheetFormatPr baseColWidth="8" defaultRowHeight="15"/>
  <cols>
    <col width="46" customWidth="1" min="1" max="1"/>
    <col width="13" customWidth="1" min="2" max="2"/>
    <col width="9" customWidth="1" min="3" max="3"/>
    <col width="12" customWidth="1" min="4" max="4"/>
    <col width="12"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58" customWidth="1" min="16" max="16"/>
  </cols>
  <sheetData>
    <row r="1">
      <c r="A1" s="1" t="inlineStr">
        <is>
          <t>COST PER DRINK — 16 INGREDIENTS × 10 DRINKS, IN GRAMS, FLUID OUNCES AND UNITS</t>
        </is>
      </c>
    </row>
    <row r="2" ht="34" customHeight="1">
      <c r="A2" s="2" t="inlineStr">
        <is>
          <t>Type only in the GREEN cells (prices, waste, units per price, quantities, mix and menu prices). Amounts are before sales tax. The prices are kit estimates: use your roaster's and suppliers'. The cost of one drink on this tab is NOT the cost of goods in the financial plan: that one is the average of the whole mix with waste, not a recipe.</t>
        </is>
      </c>
    </row>
    <row r="4">
      <c r="A4" s="3" t="inlineStr">
        <is>
          <t>SETTINGS</t>
        </is>
      </c>
      <c r="B4" s="3" t="inlineStr">
        <is>
          <t>Value</t>
        </is>
      </c>
      <c r="F4" s="3" t="inlineStr">
        <is>
          <t>Notes</t>
        </is>
      </c>
    </row>
    <row r="5" ht="30" customHeight="1">
      <c r="A5" s="4" t="inlineStr">
        <is>
          <t>Sales tax included in your menu prices (%)</t>
        </is>
      </c>
      <c r="B5" s="5" t="n">
        <v>0</v>
      </c>
      <c r="F5" s="2" t="inlineStr">
        <is>
          <t>US menus usually show prices before sales tax: leave 0%. If you post round prices with the tax included (common at festivals and markets), enter your rate and the sheet takes it out.</t>
        </is>
      </c>
    </row>
    <row r="6" ht="16" customHeight="1">
      <c r="A6" s="4" t="inlineStr">
        <is>
          <t>Target cost of goods (% of the price before sales tax)</t>
        </is>
      </c>
      <c r="B6" s="5" t="n">
        <v>0.25</v>
      </c>
      <c r="F6" s="2" t="inlineStr">
        <is>
          <t>grindkit.app puts cost of goods at 20-30% of the revenue per drink. Use the one your financial plan targets.</t>
        </is>
      </c>
    </row>
    <row r="7" ht="16" customHeight="1">
      <c r="A7" s="4" t="inlineStr">
        <is>
          <t>Watch band above the target (points)</t>
        </is>
      </c>
      <c r="B7" s="5" t="n">
        <v>0.05</v>
      </c>
      <c r="F7" s="2" t="inlineStr">
        <is>
          <t>Up to this band above the target, the traffic light says "Watch the cost"; beyond it, "Above target".</t>
        </is>
      </c>
    </row>
    <row r="8" ht="16" customHeight="1">
      <c r="A8" s="4" t="inlineStr">
        <is>
          <t>Grams of coffee per double shot (g)</t>
        </is>
      </c>
      <c r="B8" s="6" t="n">
        <v>18</v>
      </c>
      <c r="F8" s="2" t="inlineStr">
        <is>
          <t>18 g (0.63 oz) in, 36 g out (a 1:2 ratio). It moves the coffee row of every drink.</t>
        </is>
      </c>
    </row>
    <row r="10" ht="44" customHeight="1">
      <c r="A10" s="7" t="inlineStr">
        <is>
          <t>INGREDIENT (recipe unit · price unit)</t>
        </is>
      </c>
      <c r="B10" s="7" t="inlineStr">
        <is>
          <t>Price before sales tax</t>
        </is>
      </c>
      <c r="C10" s="7" t="inlineStr">
        <is>
          <t>Waste</t>
        </is>
      </c>
      <c r="D10" s="7" t="inlineStr">
        <is>
          <t>Recipe units per price unit</t>
        </is>
      </c>
      <c r="E10" s="7" t="inlineStr">
        <is>
          <t>Net cost per recipe unit</t>
        </is>
      </c>
      <c r="F10" s="8" t="inlineStr">
        <is>
          <t>Espresso</t>
        </is>
      </c>
      <c r="G10" s="8" t="inlineStr">
        <is>
          <t>Americano</t>
        </is>
      </c>
      <c r="H10" s="8" t="inlineStr">
        <is>
          <t>Cortado</t>
        </is>
      </c>
      <c r="I10" s="8" t="inlineStr">
        <is>
          <t>Latte</t>
        </is>
      </c>
      <c r="J10" s="8" t="inlineStr">
        <is>
          <t>Cappuccino</t>
        </is>
      </c>
      <c r="K10" s="8" t="inlineStr">
        <is>
          <t>Flat white</t>
        </is>
      </c>
      <c r="L10" s="8" t="inlineStr">
        <is>
          <t>Mocha</t>
        </is>
      </c>
      <c r="M10" s="8" t="inlineStr">
        <is>
          <t>Chai latte</t>
        </is>
      </c>
      <c r="N10" s="8" t="inlineStr">
        <is>
          <t>Hot chocolate</t>
        </is>
      </c>
      <c r="O10" s="8" t="inlineStr">
        <is>
          <t>Cold brew</t>
        </is>
      </c>
      <c r="P10" s="7" t="inlineStr">
        <is>
          <t>WHERE THE EXAMPLE PRICE COMES FROM</t>
        </is>
      </c>
    </row>
    <row r="11">
      <c r="A11" s="9" t="inlineStr">
        <is>
          <t>Menu price per drink</t>
        </is>
      </c>
      <c r="F11" s="10" t="n">
        <v>3.5</v>
      </c>
      <c r="G11" s="10" t="n">
        <v>4.5</v>
      </c>
      <c r="H11" s="10" t="n">
        <v>4.75</v>
      </c>
      <c r="I11" s="10" t="n">
        <v>6.5</v>
      </c>
      <c r="J11" s="10" t="n">
        <v>6</v>
      </c>
      <c r="K11" s="10" t="n">
        <v>6</v>
      </c>
      <c r="L11" s="10" t="n">
        <v>7</v>
      </c>
      <c r="M11" s="10" t="n">
        <v>6.5</v>
      </c>
      <c r="N11" s="10" t="n">
        <v>5.5</v>
      </c>
      <c r="O11" s="10" t="n">
        <v>6.5</v>
      </c>
    </row>
    <row r="12">
      <c r="A12" s="9" t="inlineStr">
        <is>
          <t>Sales mix (% of drinks)</t>
        </is>
      </c>
      <c r="F12" s="5" t="n">
        <v>0.06</v>
      </c>
      <c r="G12" s="5" t="n">
        <v>0.12</v>
      </c>
      <c r="H12" s="5" t="n">
        <v>0.06</v>
      </c>
      <c r="I12" s="5" t="n">
        <v>0.24</v>
      </c>
      <c r="J12" s="5" t="n">
        <v>0.14</v>
      </c>
      <c r="K12" s="5" t="n">
        <v>0.06</v>
      </c>
      <c r="L12" s="5" t="n">
        <v>0.08</v>
      </c>
      <c r="M12" s="5" t="n">
        <v>0.08</v>
      </c>
      <c r="N12" s="5" t="n">
        <v>0.04</v>
      </c>
      <c r="O12" s="5" t="n">
        <v>0.12</v>
      </c>
    </row>
    <row r="13">
      <c r="A13" s="9" t="inlineStr">
        <is>
          <t>Double shots per drink</t>
        </is>
      </c>
      <c r="F13" s="11" t="n">
        <v>1</v>
      </c>
      <c r="G13" s="11" t="n">
        <v>1</v>
      </c>
      <c r="H13" s="11" t="n">
        <v>1</v>
      </c>
      <c r="I13" s="11" t="n">
        <v>1</v>
      </c>
      <c r="J13" s="11" t="n">
        <v>1</v>
      </c>
      <c r="K13" s="11" t="n">
        <v>1</v>
      </c>
      <c r="L13" s="11" t="n">
        <v>1</v>
      </c>
      <c r="M13" s="11" t="n">
        <v>0</v>
      </c>
      <c r="N13" s="11" t="n">
        <v>0</v>
      </c>
      <c r="O13" s="11" t="n">
        <v>1.5</v>
      </c>
    </row>
    <row r="14">
      <c r="A14" s="12" t="inlineStr">
        <is>
          <t>Coffee beans (g · $ per lb)</t>
        </is>
      </c>
      <c r="B14" s="13" t="n">
        <v>14</v>
      </c>
      <c r="C14" s="5" t="n">
        <v>0.1</v>
      </c>
      <c r="D14" s="6" t="n">
        <v>453.6</v>
      </c>
      <c r="E14" s="14">
        <f>B14/(1-C14)/D14</f>
        <v>0.03429355281207133</v>
      </c>
      <c r="F14" s="15">
        <f>F$13*$B$8</f>
        <v>18.0</v>
      </c>
      <c r="G14" s="15">
        <f>G$13*$B$8</f>
        <v>18.0</v>
      </c>
      <c r="H14" s="15">
        <f>H$13*$B$8</f>
        <v>18.0</v>
      </c>
      <c r="I14" s="15">
        <f>I$13*$B$8</f>
        <v>18.0</v>
      </c>
      <c r="J14" s="15">
        <f>J$13*$B$8</f>
        <v>18.0</v>
      </c>
      <c r="K14" s="15">
        <f>K$13*$B$8</f>
        <v>18.0</v>
      </c>
      <c r="L14" s="15">
        <f>L$13*$B$8</f>
        <v>18.0</v>
      </c>
      <c r="M14" s="15">
        <f>M$13*$B$8</f>
        <v>0.0</v>
      </c>
      <c r="N14" s="15">
        <f>N$13*$B$8</f>
        <v>0.0</v>
      </c>
      <c r="O14" s="15">
        <f>O$13*$B$8</f>
        <v>27.0</v>
      </c>
      <c r="P14" s="16" t="inlineStr">
        <is>
          <t>Kit estimate: $14 per lb, between the national average for ground coffee ($9.33 per lb, BLS, September 2026) and specialty wholesale (about $18 per lb); 10% waste for purging and dialing in.</t>
        </is>
      </c>
    </row>
    <row r="15">
      <c r="A15" s="12" t="inlineStr">
        <is>
          <t>Whole milk (fl oz · $ per gallon)</t>
        </is>
      </c>
      <c r="B15" s="13" t="n">
        <v>4.11</v>
      </c>
      <c r="C15" s="5" t="n">
        <v>0.1</v>
      </c>
      <c r="D15" s="6" t="n">
        <v>128</v>
      </c>
      <c r="E15" s="14">
        <f>B15/(1-C15)/D15</f>
        <v>0.03567708333333334</v>
      </c>
      <c r="F15" s="17" t="n">
        <v>0</v>
      </c>
      <c r="G15" s="17" t="n">
        <v>0</v>
      </c>
      <c r="H15" s="17" t="n">
        <v>1.3</v>
      </c>
      <c r="I15" s="17" t="n">
        <v>6.5</v>
      </c>
      <c r="J15" s="17" t="n">
        <v>3.25</v>
      </c>
      <c r="K15" s="17" t="n">
        <v>3.25</v>
      </c>
      <c r="L15" s="17" t="n">
        <v>5.2</v>
      </c>
      <c r="M15" s="17" t="n">
        <v>3.9</v>
      </c>
      <c r="N15" s="17" t="n">
        <v>5.2</v>
      </c>
      <c r="O15" s="17" t="n">
        <v>0.65</v>
      </c>
      <c r="P15" s="16" t="inlineStr">
        <is>
          <t>National average, September 2026 (BLS: $4.106 per gallon).</t>
        </is>
      </c>
    </row>
    <row r="16">
      <c r="A16" s="12" t="inlineStr">
        <is>
          <t>Lactose-free milk (fl oz · $ per gallon)</t>
        </is>
      </c>
      <c r="B16" s="13" t="n">
        <v>7.5</v>
      </c>
      <c r="C16" s="5" t="n">
        <v>0.1</v>
      </c>
      <c r="D16" s="6" t="n">
        <v>128</v>
      </c>
      <c r="E16" s="14">
        <f>B16/(1-C16)/D16</f>
        <v>0.06510416666666667</v>
      </c>
      <c r="F16" s="17" t="n">
        <v>0</v>
      </c>
      <c r="G16" s="17" t="n">
        <v>0</v>
      </c>
      <c r="H16" s="17" t="n">
        <v>0.1</v>
      </c>
      <c r="I16" s="17" t="n">
        <v>0.5</v>
      </c>
      <c r="J16" s="17" t="n">
        <v>0.25</v>
      </c>
      <c r="K16" s="17" t="n">
        <v>0.25</v>
      </c>
      <c r="L16" s="17" t="n">
        <v>0.4</v>
      </c>
      <c r="M16" s="17" t="n">
        <v>0.3</v>
      </c>
      <c r="N16" s="17" t="n">
        <v>0.4</v>
      </c>
      <c r="O16" s="17" t="n">
        <v>0.05</v>
      </c>
      <c r="P16" s="16" t="inlineStr">
        <is>
          <t>Kit estimate.</t>
        </is>
      </c>
    </row>
    <row r="17">
      <c r="A17" s="12" t="inlineStr">
        <is>
          <t>Oat milk, barista (fl oz · $ per gallon)</t>
        </is>
      </c>
      <c r="B17" s="13" t="n">
        <v>13</v>
      </c>
      <c r="C17" s="5" t="n">
        <v>0.1</v>
      </c>
      <c r="D17" s="6" t="n">
        <v>128</v>
      </c>
      <c r="E17" s="14">
        <f>B17/(1-C17)/D17</f>
        <v>0.11284722222222222</v>
      </c>
      <c r="F17" s="17" t="n">
        <v>0</v>
      </c>
      <c r="G17" s="17" t="n">
        <v>0</v>
      </c>
      <c r="H17" s="17" t="n">
        <v>0.5</v>
      </c>
      <c r="I17" s="17" t="n">
        <v>2.5</v>
      </c>
      <c r="J17" s="17" t="n">
        <v>1.25</v>
      </c>
      <c r="K17" s="17" t="n">
        <v>1.25</v>
      </c>
      <c r="L17" s="17" t="n">
        <v>2</v>
      </c>
      <c r="M17" s="17" t="n">
        <v>1.5</v>
      </c>
      <c r="N17" s="17" t="n">
        <v>2</v>
      </c>
      <c r="O17" s="17" t="n">
        <v>0.25</v>
      </c>
      <c r="P17" s="16" t="inlineStr">
        <is>
          <t>Kit estimate: about $0.80 of oat milk in an 8-oz drink (grindkit.app gives $0.60-1.10).</t>
        </is>
      </c>
    </row>
    <row r="18">
      <c r="A18" s="12" t="inlineStr">
        <is>
          <t>Almond milk, barista (fl oz · $ per gallon)</t>
        </is>
      </c>
      <c r="B18" s="13" t="n">
        <v>12</v>
      </c>
      <c r="C18" s="5" t="n">
        <v>0.1</v>
      </c>
      <c r="D18" s="6" t="n">
        <v>128</v>
      </c>
      <c r="E18" s="14">
        <f>B18/(1-C18)/D18</f>
        <v>0.10416666666666666</v>
      </c>
      <c r="F18" s="17" t="n">
        <v>0</v>
      </c>
      <c r="G18" s="17" t="n">
        <v>0</v>
      </c>
      <c r="H18" s="17" t="n">
        <v>0.1</v>
      </c>
      <c r="I18" s="17" t="n">
        <v>0.5</v>
      </c>
      <c r="J18" s="17" t="n">
        <v>0.25</v>
      </c>
      <c r="K18" s="17" t="n">
        <v>0.25</v>
      </c>
      <c r="L18" s="17" t="n">
        <v>0.4</v>
      </c>
      <c r="M18" s="17" t="n">
        <v>0.3</v>
      </c>
      <c r="N18" s="17" t="n">
        <v>0.4</v>
      </c>
      <c r="O18" s="17" t="n">
        <v>0.05</v>
      </c>
      <c r="P18" s="16" t="inlineStr">
        <is>
          <t>Kit estimate.</t>
        </is>
      </c>
    </row>
    <row r="19">
      <c r="A19" s="12" t="inlineStr">
        <is>
          <t>Cocoa powder (g · $ per lb)</t>
        </is>
      </c>
      <c r="B19" s="13" t="n">
        <v>8</v>
      </c>
      <c r="C19" s="5" t="n">
        <v>0.05</v>
      </c>
      <c r="D19" s="6" t="n">
        <v>453.6</v>
      </c>
      <c r="E19" s="14">
        <f>B19/(1-C19)/D19</f>
        <v>0.0185649308456326</v>
      </c>
      <c r="F19" s="17" t="n">
        <v>0</v>
      </c>
      <c r="G19" s="17" t="n">
        <v>0</v>
      </c>
      <c r="H19" s="17" t="n">
        <v>0</v>
      </c>
      <c r="I19" s="17" t="n">
        <v>0</v>
      </c>
      <c r="J19" s="17" t="n">
        <v>2</v>
      </c>
      <c r="K19" s="17" t="n">
        <v>0</v>
      </c>
      <c r="L19" s="17" t="n">
        <v>15</v>
      </c>
      <c r="M19" s="17" t="n">
        <v>0</v>
      </c>
      <c r="N19" s="17" t="n">
        <v>25</v>
      </c>
      <c r="O19" s="17" t="n">
        <v>0</v>
      </c>
      <c r="P19" s="16" t="inlineStr">
        <is>
          <t>Kit estimate.</t>
        </is>
      </c>
    </row>
    <row r="20">
      <c r="A20" s="12" t="inlineStr">
        <is>
          <t>Chai concentrate (fl oz · $ per gallon)</t>
        </is>
      </c>
      <c r="B20" s="13" t="n">
        <v>20</v>
      </c>
      <c r="C20" s="5" t="n">
        <v>0.05</v>
      </c>
      <c r="D20" s="6" t="n">
        <v>128</v>
      </c>
      <c r="E20" s="14">
        <f>B20/(1-C20)/D20</f>
        <v>0.16447368421052633</v>
      </c>
      <c r="F20" s="17" t="n">
        <v>0</v>
      </c>
      <c r="G20" s="17" t="n">
        <v>0</v>
      </c>
      <c r="H20" s="17" t="n">
        <v>0</v>
      </c>
      <c r="I20" s="17" t="n">
        <v>0</v>
      </c>
      <c r="J20" s="17" t="n">
        <v>0</v>
      </c>
      <c r="K20" s="17" t="n">
        <v>0</v>
      </c>
      <c r="L20" s="17" t="n">
        <v>0</v>
      </c>
      <c r="M20" s="17" t="n">
        <v>6</v>
      </c>
      <c r="N20" s="17" t="n">
        <v>0</v>
      </c>
      <c r="O20" s="17" t="n">
        <v>0</v>
      </c>
      <c r="P20" s="16" t="inlineStr">
        <is>
          <t>Kit estimate.</t>
        </is>
      </c>
    </row>
    <row r="21">
      <c r="A21" s="12" t="inlineStr">
        <is>
          <t>Vanilla or caramel syrup (fl oz · $ per bottle)</t>
        </is>
      </c>
      <c r="B21" s="13" t="n">
        <v>9</v>
      </c>
      <c r="C21" s="5" t="n">
        <v>0.05</v>
      </c>
      <c r="D21" s="6" t="n">
        <v>25.4</v>
      </c>
      <c r="E21" s="14">
        <f>B21/(1-C21)/D21</f>
        <v>0.3729796933278078</v>
      </c>
      <c r="F21" s="17" t="n">
        <v>0</v>
      </c>
      <c r="G21" s="17" t="n">
        <v>0</v>
      </c>
      <c r="H21" s="17" t="n">
        <v>0</v>
      </c>
      <c r="I21" s="17" t="n">
        <v>0.25</v>
      </c>
      <c r="J21" s="17" t="n">
        <v>0</v>
      </c>
      <c r="K21" s="17" t="n">
        <v>0</v>
      </c>
      <c r="L21" s="17" t="n">
        <v>0</v>
      </c>
      <c r="M21" s="17" t="n">
        <v>0</v>
      </c>
      <c r="N21" s="17" t="n">
        <v>0</v>
      </c>
      <c r="O21" s="17" t="n">
        <v>0</v>
      </c>
      <c r="P21" s="16" t="inlineStr">
        <is>
          <t>Kit estimate: a standard bottle holds 25.4 fl oz (750 ml); one pump (0.25 fl oz) costs about $0.05-0.15 (grindkit.app).</t>
        </is>
      </c>
    </row>
    <row r="22">
      <c r="A22" s="12" t="inlineStr">
        <is>
          <t>Tea (g · $ per lb)</t>
        </is>
      </c>
      <c r="B22" s="13" t="n">
        <v>30</v>
      </c>
      <c r="C22" s="5" t="n">
        <v>0.05</v>
      </c>
      <c r="D22" s="6" t="n">
        <v>453.6</v>
      </c>
      <c r="E22" s="14">
        <f>B22/(1-C22)/D22</f>
        <v>0.06961849067112225</v>
      </c>
      <c r="F22" s="17" t="n">
        <v>0</v>
      </c>
      <c r="G22" s="17" t="n">
        <v>0</v>
      </c>
      <c r="H22" s="17" t="n">
        <v>0</v>
      </c>
      <c r="I22" s="17" t="n">
        <v>0</v>
      </c>
      <c r="J22" s="17" t="n">
        <v>0</v>
      </c>
      <c r="K22" s="17" t="n">
        <v>0</v>
      </c>
      <c r="L22" s="17" t="n">
        <v>0</v>
      </c>
      <c r="M22" s="17" t="n">
        <v>0</v>
      </c>
      <c r="N22" s="17" t="n">
        <v>0</v>
      </c>
      <c r="O22" s="17" t="n">
        <v>0</v>
      </c>
      <c r="P22" s="16" t="inlineStr">
        <is>
          <t>Free slot for your tea menu: empty in the example.</t>
        </is>
      </c>
    </row>
    <row r="23">
      <c r="A23" s="12" t="inlineStr">
        <is>
          <t>Sugar (g · $ per lb)</t>
        </is>
      </c>
      <c r="B23" s="13" t="n">
        <v>0.9</v>
      </c>
      <c r="C23" s="5" t="n">
        <v>0</v>
      </c>
      <c r="D23" s="6" t="n">
        <v>453.6</v>
      </c>
      <c r="E23" s="14">
        <f>B23/(1-C23)/D23</f>
        <v>0.001984126984126984</v>
      </c>
      <c r="F23" s="17" t="n">
        <v>0</v>
      </c>
      <c r="G23" s="17" t="n">
        <v>0</v>
      </c>
      <c r="H23" s="17" t="n">
        <v>0</v>
      </c>
      <c r="I23" s="17" t="n">
        <v>0</v>
      </c>
      <c r="J23" s="17" t="n">
        <v>0</v>
      </c>
      <c r="K23" s="17" t="n">
        <v>0</v>
      </c>
      <c r="L23" s="17" t="n">
        <v>8</v>
      </c>
      <c r="M23" s="17" t="n">
        <v>0</v>
      </c>
      <c r="N23" s="17" t="n">
        <v>10</v>
      </c>
      <c r="O23" s="17" t="n">
        <v>0</v>
      </c>
      <c r="P23" s="16" t="inlineStr">
        <is>
          <t>Kit estimate.</t>
        </is>
      </c>
    </row>
    <row r="24">
      <c r="A24" s="12" t="inlineStr">
        <is>
          <t>8-oz compostable hot cup (each)</t>
        </is>
      </c>
      <c r="B24" s="13" t="n">
        <v>0.1</v>
      </c>
      <c r="C24" s="5" t="n">
        <v>0.03</v>
      </c>
      <c r="D24" s="6" t="n">
        <v>1</v>
      </c>
      <c r="E24" s="14">
        <f>B24/(1-C24)/D24</f>
        <v>0.10309278350515465</v>
      </c>
      <c r="F24" s="17" t="n">
        <v>1</v>
      </c>
      <c r="G24" s="17" t="n">
        <v>0</v>
      </c>
      <c r="H24" s="17" t="n">
        <v>1</v>
      </c>
      <c r="I24" s="17" t="n">
        <v>0</v>
      </c>
      <c r="J24" s="17" t="n">
        <v>1</v>
      </c>
      <c r="K24" s="17" t="n">
        <v>1</v>
      </c>
      <c r="L24" s="17" t="n">
        <v>0</v>
      </c>
      <c r="M24" s="17" t="n">
        <v>0</v>
      </c>
      <c r="N24" s="17" t="n">
        <v>0</v>
      </c>
      <c r="O24" s="17" t="n">
        <v>0</v>
      </c>
      <c r="P24" s="16" t="inlineStr">
        <is>
          <t>Kit estimate: cup, lid, sleeve, napkin and stirrer come to about $0.20-0.45 per drink (grindkit.app).</t>
        </is>
      </c>
    </row>
    <row r="25">
      <c r="A25" s="12" t="inlineStr">
        <is>
          <t>12-oz compostable hot cup (each)</t>
        </is>
      </c>
      <c r="B25" s="13" t="n">
        <v>0.13</v>
      </c>
      <c r="C25" s="5" t="n">
        <v>0.03</v>
      </c>
      <c r="D25" s="6" t="n">
        <v>1</v>
      </c>
      <c r="E25" s="14">
        <f>B25/(1-C25)/D25</f>
        <v>0.13402061855670103</v>
      </c>
      <c r="F25" s="17" t="n">
        <v>0</v>
      </c>
      <c r="G25" s="17" t="n">
        <v>1</v>
      </c>
      <c r="H25" s="17" t="n">
        <v>0</v>
      </c>
      <c r="I25" s="17" t="n">
        <v>1</v>
      </c>
      <c r="J25" s="17" t="n">
        <v>0</v>
      </c>
      <c r="K25" s="17" t="n">
        <v>0</v>
      </c>
      <c r="L25" s="17" t="n">
        <v>1</v>
      </c>
      <c r="M25" s="17" t="n">
        <v>1</v>
      </c>
      <c r="N25" s="17" t="n">
        <v>1</v>
      </c>
      <c r="O25" s="17" t="n">
        <v>0</v>
      </c>
      <c r="P25" s="16" t="inlineStr">
        <is>
          <t>Same source.</t>
        </is>
      </c>
    </row>
    <row r="26">
      <c r="A26" s="12" t="inlineStr">
        <is>
          <t>16-oz compostable cup (each)</t>
        </is>
      </c>
      <c r="B26" s="13" t="n">
        <v>0.16</v>
      </c>
      <c r="C26" s="5" t="n">
        <v>0.03</v>
      </c>
      <c r="D26" s="6" t="n">
        <v>1</v>
      </c>
      <c r="E26" s="14">
        <f>B26/(1-C26)/D26</f>
        <v>0.16494845360824742</v>
      </c>
      <c r="F26" s="17" t="n">
        <v>0</v>
      </c>
      <c r="G26" s="17" t="n">
        <v>0</v>
      </c>
      <c r="H26" s="17" t="n">
        <v>0</v>
      </c>
      <c r="I26" s="17" t="n">
        <v>0</v>
      </c>
      <c r="J26" s="17" t="n">
        <v>0</v>
      </c>
      <c r="K26" s="17" t="n">
        <v>0</v>
      </c>
      <c r="L26" s="17" t="n">
        <v>0</v>
      </c>
      <c r="M26" s="17" t="n">
        <v>0</v>
      </c>
      <c r="N26" s="17" t="n">
        <v>0</v>
      </c>
      <c r="O26" s="17" t="n">
        <v>1</v>
      </c>
      <c r="P26" s="16" t="inlineStr">
        <is>
          <t>Same source.</t>
        </is>
      </c>
    </row>
    <row r="27">
      <c r="A27" s="12" t="inlineStr">
        <is>
          <t>Lid (each)</t>
        </is>
      </c>
      <c r="B27" s="13" t="n">
        <v>0.06</v>
      </c>
      <c r="C27" s="5" t="n">
        <v>0.03</v>
      </c>
      <c r="D27" s="6" t="n">
        <v>1</v>
      </c>
      <c r="E27" s="14">
        <f>B27/(1-C27)/D27</f>
        <v>0.061855670103092786</v>
      </c>
      <c r="F27" s="17" t="n">
        <v>0</v>
      </c>
      <c r="G27" s="17" t="n">
        <v>1</v>
      </c>
      <c r="H27" s="17" t="n">
        <v>0</v>
      </c>
      <c r="I27" s="17" t="n">
        <v>1</v>
      </c>
      <c r="J27" s="17" t="n">
        <v>1</v>
      </c>
      <c r="K27" s="17" t="n">
        <v>1</v>
      </c>
      <c r="L27" s="17" t="n">
        <v>1</v>
      </c>
      <c r="M27" s="17" t="n">
        <v>1</v>
      </c>
      <c r="N27" s="17" t="n">
        <v>1</v>
      </c>
      <c r="O27" s="17" t="n">
        <v>1</v>
      </c>
      <c r="P27" s="16" t="inlineStr">
        <is>
          <t>Same source.</t>
        </is>
      </c>
    </row>
    <row r="28">
      <c r="A28" s="12" t="inlineStr">
        <is>
          <t>Sleeve (each)</t>
        </is>
      </c>
      <c r="B28" s="13" t="n">
        <v>0.05</v>
      </c>
      <c r="C28" s="5" t="n">
        <v>0.03</v>
      </c>
      <c r="D28" s="6" t="n">
        <v>1</v>
      </c>
      <c r="E28" s="14">
        <f>B28/(1-C28)/D28</f>
        <v>0.051546391752577324</v>
      </c>
      <c r="F28" s="17" t="n">
        <v>0</v>
      </c>
      <c r="G28" s="17" t="n">
        <v>1</v>
      </c>
      <c r="H28" s="17" t="n">
        <v>0</v>
      </c>
      <c r="I28" s="17" t="n">
        <v>1</v>
      </c>
      <c r="J28" s="17" t="n">
        <v>1</v>
      </c>
      <c r="K28" s="17" t="n">
        <v>1</v>
      </c>
      <c r="L28" s="17" t="n">
        <v>1</v>
      </c>
      <c r="M28" s="17" t="n">
        <v>1</v>
      </c>
      <c r="N28" s="17" t="n">
        <v>1</v>
      </c>
      <c r="O28" s="17" t="n">
        <v>0</v>
      </c>
      <c r="P28" s="16" t="inlineStr">
        <is>
          <t>Same source.</t>
        </is>
      </c>
    </row>
    <row r="29">
      <c r="A29" s="12" t="inlineStr">
        <is>
          <t>Napkin and wooden stirrer (each)</t>
        </is>
      </c>
      <c r="B29" s="13" t="n">
        <v>0.03</v>
      </c>
      <c r="C29" s="5" t="n">
        <v>0.03</v>
      </c>
      <c r="D29" s="6" t="n">
        <v>1</v>
      </c>
      <c r="E29" s="14">
        <f>B29/(1-C29)/D29</f>
        <v>0.030927835051546393</v>
      </c>
      <c r="F29" s="17" t="n">
        <v>1</v>
      </c>
      <c r="G29" s="17" t="n">
        <v>1</v>
      </c>
      <c r="H29" s="17" t="n">
        <v>1</v>
      </c>
      <c r="I29" s="17" t="n">
        <v>1</v>
      </c>
      <c r="J29" s="17" t="n">
        <v>1</v>
      </c>
      <c r="K29" s="17" t="n">
        <v>1</v>
      </c>
      <c r="L29" s="17" t="n">
        <v>1</v>
      </c>
      <c r="M29" s="17" t="n">
        <v>1</v>
      </c>
      <c r="N29" s="17" t="n">
        <v>1</v>
      </c>
      <c r="O29" s="17" t="n">
        <v>1</v>
      </c>
      <c r="P29" s="16" t="inlineStr">
        <is>
          <t>Same source. Some cities require compostable single-use items (Seattle, as an example): check yours.</t>
        </is>
      </c>
    </row>
    <row r="31" ht="32" customHeight="1">
      <c r="A31" s="3" t="inlineStr">
        <is>
          <t>RESULT PER DRINK</t>
        </is>
      </c>
      <c r="F31" s="7" t="str">
        <f>F10</f>
        <v>Espresso</v>
      </c>
      <c r="G31" s="7" t="str">
        <f>G10</f>
        <v>Americano</v>
      </c>
      <c r="H31" s="7" t="str">
        <f>H10</f>
        <v>Cortado</v>
      </c>
      <c r="I31" s="7" t="str">
        <f>I10</f>
        <v>Latte</v>
      </c>
      <c r="J31" s="7" t="str">
        <f>J10</f>
        <v>Cappuccino</v>
      </c>
      <c r="K31" s="7" t="str">
        <f>K10</f>
        <v>Flat white</v>
      </c>
      <c r="L31" s="7" t="str">
        <f>L10</f>
        <v>Mocha</v>
      </c>
      <c r="M31" s="7" t="str">
        <f>M10</f>
        <v>Chai latte</v>
      </c>
      <c r="N31" s="7" t="str">
        <f>N10</f>
        <v>Hot chocolate</v>
      </c>
      <c r="O31" s="7" t="str">
        <f>O10</f>
        <v>Cold brew</v>
      </c>
    </row>
    <row r="32">
      <c r="A32" s="4" t="inlineStr">
        <is>
          <t>Milk and plant-based milk in total (fl oz)</t>
        </is>
      </c>
      <c r="F32" s="18">
        <f>SUM(F15:F18)</f>
        <v>0.0</v>
      </c>
      <c r="G32" s="18">
        <f>SUM(G15:G18)</f>
        <v>0.0</v>
      </c>
      <c r="H32" s="18">
        <f>SUM(H15:H18)</f>
        <v>2.0</v>
      </c>
      <c r="I32" s="18">
        <f>SUM(I15:I18)</f>
        <v>10.0</v>
      </c>
      <c r="J32" s="18">
        <f>SUM(J15:J18)</f>
        <v>5.0</v>
      </c>
      <c r="K32" s="18">
        <f>SUM(K15:K18)</f>
        <v>5.0</v>
      </c>
      <c r="L32" s="18">
        <f>SUM(L15:L18)</f>
        <v>8.0</v>
      </c>
      <c r="M32" s="18">
        <f>SUM(M15:M18)</f>
        <v>6.0</v>
      </c>
      <c r="N32" s="18">
        <f>SUM(N15:N18)</f>
        <v>8.0</v>
      </c>
      <c r="O32" s="18">
        <f>SUM(O15:O18)</f>
        <v>1.0</v>
      </c>
    </row>
    <row r="33">
      <c r="A33" s="4" t="inlineStr">
        <is>
          <t>Ingredient cost</t>
        </is>
      </c>
      <c r="F33" s="19">
        <f>SUMPRODUCT(F$14:F$23,$E$14:$E$23)</f>
        <v>0.617283950617284</v>
      </c>
      <c r="G33" s="19">
        <f>SUMPRODUCT(G$14:G$23,$E$14:$E$23)</f>
        <v>0.617283950617284</v>
      </c>
      <c r="H33" s="19">
        <f>SUMPRODUCT(H$14:H$23,$E$14:$E$23)</f>
        <v>0.7370148533950618</v>
      </c>
      <c r="I33" s="19">
        <f>SUMPRODUCT(I$14:I$23,$E$14:$E$23)</f>
        <v>1.3091833878381247</v>
      </c>
      <c r="J33" s="19">
        <f>SUMPRODUCT(J$14:J$23,$E$14:$E$23)</f>
        <v>0.9537410692529936</v>
      </c>
      <c r="K33" s="19">
        <f>SUMPRODUCT(K$14:K$23,$E$14:$E$23)</f>
        <v>0.9166112075617284</v>
      </c>
      <c r="L33" s="19">
        <f>SUMPRODUCT(L$14:L$23,$E$14:$E$23)</f>
        <v>1.3905545402859</v>
      </c>
      <c r="M33" s="19">
        <f>SUMPRODUCT(M$14:M$23,$E$14:$E$23)</f>
        <v>1.3460348135964915</v>
      </c>
      <c r="N33" s="19">
        <f>SUMPRODUCT(N$14:N$23,$E$14:$E$23)</f>
        <v>0.9628881520931959</v>
      </c>
      <c r="O33" s="19">
        <f>SUMPRODUCT(O$14:O$23,$E$14:$E$23)</f>
        <v>0.9857913773148148</v>
      </c>
    </row>
    <row r="34">
      <c r="A34" s="4" t="inlineStr">
        <is>
          <t>Cup and packaging cost</t>
        </is>
      </c>
      <c r="F34" s="19">
        <f>SUMPRODUCT(F$24:F$29,$E$24:$E$29)</f>
        <v>0.13402061855670105</v>
      </c>
      <c r="G34" s="19">
        <f>SUMPRODUCT(G$24:G$29,$E$24:$E$29)</f>
        <v>0.27835051546391754</v>
      </c>
      <c r="H34" s="19">
        <f>SUMPRODUCT(H$24:H$29,$E$24:$E$29)</f>
        <v>0.13402061855670105</v>
      </c>
      <c r="I34" s="19">
        <f>SUMPRODUCT(I$24:I$29,$E$24:$E$29)</f>
        <v>0.27835051546391754</v>
      </c>
      <c r="J34" s="19">
        <f>SUMPRODUCT(J$24:J$29,$E$24:$E$29)</f>
        <v>0.24742268041237117</v>
      </c>
      <c r="K34" s="19">
        <f>SUMPRODUCT(K$24:K$29,$E$24:$E$29)</f>
        <v>0.24742268041237117</v>
      </c>
      <c r="L34" s="19">
        <f>SUMPRODUCT(L$24:L$29,$E$24:$E$29)</f>
        <v>0.27835051546391754</v>
      </c>
      <c r="M34" s="19">
        <f>SUMPRODUCT(M$24:M$29,$E$24:$E$29)</f>
        <v>0.27835051546391754</v>
      </c>
      <c r="N34" s="19">
        <f>SUMPRODUCT(N$24:N$29,$E$24:$E$29)</f>
        <v>0.27835051546391754</v>
      </c>
      <c r="O34" s="19">
        <f>SUMPRODUCT(O$24:O$29,$E$24:$E$29)</f>
        <v>0.25773195876288657</v>
      </c>
    </row>
    <row r="35">
      <c r="A35" s="9" t="inlineStr">
        <is>
          <t>All-in cost per drink</t>
        </is>
      </c>
      <c r="F35" s="20">
        <f>F33+F34</f>
        <v>0.751304569173985</v>
      </c>
      <c r="G35" s="20">
        <f>G33+G34</f>
        <v>0.8956344660812016</v>
      </c>
      <c r="H35" s="20">
        <f>H33+H34</f>
        <v>0.8710354719517628</v>
      </c>
      <c r="I35" s="20">
        <f>I33+I34</f>
        <v>1.5875339033020421</v>
      </c>
      <c r="J35" s="20">
        <f>J33+J34</f>
        <v>1.2011637496653649</v>
      </c>
      <c r="K35" s="20">
        <f>K33+K34</f>
        <v>1.1640338879740997</v>
      </c>
      <c r="L35" s="20">
        <f>L33+L34</f>
        <v>1.6689050557498177</v>
      </c>
      <c r="M35" s="20">
        <f>M33+M34</f>
        <v>1.624385329060409</v>
      </c>
      <c r="N35" s="20">
        <f>N33+N34</f>
        <v>1.2412386675571134</v>
      </c>
      <c r="O35" s="20">
        <f>O33+O34</f>
        <v>1.2435233360777014</v>
      </c>
    </row>
    <row r="36">
      <c r="A36" s="4" t="inlineStr">
        <is>
          <t>Menu price before sales tax</t>
        </is>
      </c>
      <c r="F36" s="21">
        <f>F11/(1+$B$5)</f>
        <v>3.5</v>
      </c>
      <c r="G36" s="21">
        <f>G11/(1+$B$5)</f>
        <v>4.5</v>
      </c>
      <c r="H36" s="21">
        <f>H11/(1+$B$5)</f>
        <v>4.75</v>
      </c>
      <c r="I36" s="21">
        <f>I11/(1+$B$5)</f>
        <v>6.5</v>
      </c>
      <c r="J36" s="21">
        <f>J11/(1+$B$5)</f>
        <v>6.0</v>
      </c>
      <c r="K36" s="21">
        <f>K11/(1+$B$5)</f>
        <v>6.0</v>
      </c>
      <c r="L36" s="21">
        <f>L11/(1+$B$5)</f>
        <v>7.0</v>
      </c>
      <c r="M36" s="21">
        <f>M11/(1+$B$5)</f>
        <v>6.5</v>
      </c>
      <c r="N36" s="21">
        <f>N11/(1+$B$5)</f>
        <v>5.5</v>
      </c>
      <c r="O36" s="21">
        <f>O11/(1+$B$5)</f>
        <v>6.5</v>
      </c>
    </row>
    <row r="37">
      <c r="A37" s="4" t="inlineStr">
        <is>
          <t>Cost of goods without the cup</t>
        </is>
      </c>
      <c r="F37" s="22">
        <f>F33/F36</f>
        <v>0.17636684303350972</v>
      </c>
      <c r="G37" s="22">
        <f>G33/G36</f>
        <v>0.13717421124828533</v>
      </c>
      <c r="H37" s="22">
        <f>H33/H36</f>
        <v>0.15516102176738142</v>
      </c>
      <c r="I37" s="22">
        <f>I33/I36</f>
        <v>0.20141282889817302</v>
      </c>
      <c r="J37" s="22">
        <f>J33/J36</f>
        <v>0.15895684487549894</v>
      </c>
      <c r="K37" s="22">
        <f>K33/K36</f>
        <v>0.1527685345936214</v>
      </c>
      <c r="L37" s="22">
        <f>L33/L36</f>
        <v>0.19865064861227144</v>
      </c>
      <c r="M37" s="22">
        <f>M33/M36</f>
        <v>0.20708227901484483</v>
      </c>
      <c r="N37" s="22">
        <f>N33/N36</f>
        <v>0.1750705731078538</v>
      </c>
      <c r="O37" s="22">
        <f>O33/O36</f>
        <v>0.1516602118945869</v>
      </c>
    </row>
    <row r="38">
      <c r="A38" s="9" t="inlineStr">
        <is>
          <t>Cost of goods with the cup</t>
        </is>
      </c>
      <c r="F38" s="23">
        <f>F35/F36</f>
        <v>0.2146584483354243</v>
      </c>
      <c r="G38" s="23">
        <f>G35/G36</f>
        <v>0.1990298813513781</v>
      </c>
      <c r="H38" s="23">
        <f>H35/H36</f>
        <v>0.18337588883195005</v>
      </c>
      <c r="I38" s="23">
        <f>I35/I36</f>
        <v>0.2442359851233911</v>
      </c>
      <c r="J38" s="23">
        <f>J35/J36</f>
        <v>0.2001939582775608</v>
      </c>
      <c r="K38" s="23">
        <f>K35/K36</f>
        <v>0.1940056479956833</v>
      </c>
      <c r="L38" s="23">
        <f>L35/L36</f>
        <v>0.23841500796425968</v>
      </c>
      <c r="M38" s="23">
        <f>M35/M36</f>
        <v>0.2499054352400629</v>
      </c>
      <c r="N38" s="23">
        <f>N35/N36</f>
        <v>0.225679757737657</v>
      </c>
      <c r="O38" s="23">
        <f>O35/O36</f>
        <v>0.19131128247349252</v>
      </c>
    </row>
    <row r="39" ht="32" customHeight="1">
      <c r="A39" s="4" t="inlineStr">
        <is>
          <t>Cost of goods traffic light</t>
        </is>
      </c>
      <c r="F39" s="2" t="str">
        <f>IF(F38&lt;=$B$6,"On target",IF(F38&lt;=$B$6+$B$7,"Watch the cost","Above target"))</f>
        <v>On target</v>
      </c>
      <c r="G39" s="2" t="str">
        <f>IF(G38&lt;=$B$6,"On target",IF(G38&lt;=$B$6+$B$7,"Watch the cost","Above target"))</f>
        <v>On target</v>
      </c>
      <c r="H39" s="2" t="str">
        <f>IF(H38&lt;=$B$6,"On target",IF(H38&lt;=$B$6+$B$7,"Watch the cost","Above target"))</f>
        <v>On target</v>
      </c>
      <c r="I39" s="2" t="str">
        <f>IF(I38&lt;=$B$6,"On target",IF(I38&lt;=$B$6+$B$7,"Watch the cost","Above target"))</f>
        <v>On target</v>
      </c>
      <c r="J39" s="2" t="str">
        <f>IF(J38&lt;=$B$6,"On target",IF(J38&lt;=$B$6+$B$7,"Watch the cost","Above target"))</f>
        <v>On target</v>
      </c>
      <c r="K39" s="2" t="str">
        <f>IF(K38&lt;=$B$6,"On target",IF(K38&lt;=$B$6+$B$7,"Watch the cost","Above target"))</f>
        <v>On target</v>
      </c>
      <c r="L39" s="2" t="str">
        <f>IF(L38&lt;=$B$6,"On target",IF(L38&lt;=$B$6+$B$7,"Watch the cost","Above target"))</f>
        <v>On target</v>
      </c>
      <c r="M39" s="2" t="str">
        <f>IF(M38&lt;=$B$6,"On target",IF(M38&lt;=$B$6+$B$7,"Watch the cost","Above target"))</f>
        <v>On target</v>
      </c>
      <c r="N39" s="2" t="str">
        <f>IF(N38&lt;=$B$6,"On target",IF(N38&lt;=$B$6+$B$7,"Watch the cost","Above target"))</f>
        <v>On target</v>
      </c>
      <c r="O39" s="2" t="str">
        <f>IF(O38&lt;=$B$6,"On target",IF(O38&lt;=$B$6+$B$7,"Watch the cost","Above target"))</f>
        <v>On target</v>
      </c>
    </row>
    <row r="40">
      <c r="A40" s="4" t="inlineStr">
        <is>
          <t>Margin per drink</t>
        </is>
      </c>
      <c r="F40" s="21">
        <f>F36-F35</f>
        <v>2.748695430826015</v>
      </c>
      <c r="G40" s="21">
        <f>G36-G35</f>
        <v>3.6043655339187985</v>
      </c>
      <c r="H40" s="21">
        <f>H36-H35</f>
        <v>3.878964528048237</v>
      </c>
      <c r="I40" s="21">
        <f>I36-I35</f>
        <v>4.912466096697958</v>
      </c>
      <c r="J40" s="21">
        <f>J36-J35</f>
        <v>4.798836250334635</v>
      </c>
      <c r="K40" s="21">
        <f>K36-K35</f>
        <v>4.8359661120259005</v>
      </c>
      <c r="L40" s="21">
        <f>L36-L35</f>
        <v>5.331094944250182</v>
      </c>
      <c r="M40" s="21">
        <f>M36-M35</f>
        <v>4.875614670939591</v>
      </c>
      <c r="N40" s="21">
        <f>N36-N35</f>
        <v>4.258761332442886</v>
      </c>
      <c r="O40" s="21">
        <f>O36-O35</f>
        <v>5.256476663922299</v>
      </c>
    </row>
    <row r="41">
      <c r="A41" s="4" t="inlineStr">
        <is>
          <t>Menu price needed to hit your target</t>
        </is>
      </c>
      <c r="F41" s="21">
        <f>F35/$B$6*(1+$B$5)</f>
        <v>3.00521827669594</v>
      </c>
      <c r="G41" s="21">
        <f>G35/$B$6*(1+$B$5)</f>
        <v>3.5825378643248063</v>
      </c>
      <c r="H41" s="21">
        <f>H35/$B$6*(1+$B$5)</f>
        <v>3.484141887807051</v>
      </c>
      <c r="I41" s="21">
        <f>I35/$B$6*(1+$B$5)</f>
        <v>6.3501356132081686</v>
      </c>
      <c r="J41" s="21">
        <f>J35/$B$6*(1+$B$5)</f>
        <v>4.8046549986614595</v>
      </c>
      <c r="K41" s="21">
        <f>K35/$B$6*(1+$B$5)</f>
        <v>4.656135551896399</v>
      </c>
      <c r="L41" s="21">
        <f>L35/$B$6*(1+$B$5)</f>
        <v>6.675620222999271</v>
      </c>
      <c r="M41" s="21">
        <f>M35/$B$6*(1+$B$5)</f>
        <v>6.497541316241636</v>
      </c>
      <c r="N41" s="21">
        <f>N35/$B$6*(1+$B$5)</f>
        <v>4.964954670228454</v>
      </c>
      <c r="O41" s="21">
        <f>O35/$B$6*(1+$B$5)</f>
        <v>4.9740933443108055</v>
      </c>
    </row>
    <row r="43">
      <c r="A43" s="3" t="inlineStr">
        <is>
          <t>COST OF THE MIX (read by the "Pricing Calculator" tab)</t>
        </is>
      </c>
      <c r="B43" s="3" t="inlineStr">
        <is>
          <t>Value</t>
        </is>
      </c>
    </row>
    <row r="44">
      <c r="A44" s="4" t="inlineStr">
        <is>
          <t>Sum of the sales mix</t>
        </is>
      </c>
      <c r="B44" s="24">
        <f>SUM($F$12:$O$12)</f>
        <v>1.0</v>
      </c>
    </row>
    <row r="45">
      <c r="A45" s="9" t="inlineStr">
        <is>
          <t>Mix check</t>
        </is>
      </c>
      <c r="B45" s="25" t="str">
        <f>IF(ROUND($B$44,2)=1,"OK: the mix adds up to 100%","Check the mix: it does not add up to 100%")</f>
        <v>OK: the mix adds up to 100%</v>
      </c>
    </row>
    <row r="46">
      <c r="A46" s="4" t="inlineStr">
        <is>
          <t>Average ingredient cost per drink</t>
        </is>
      </c>
      <c r="B46" s="19">
        <f>IF($B$44=0,0,VALUE(SUMPRODUCT($F$12:$O$12,$F$33:$O$33))/$B$44)</f>
        <v>1.0337940772171845</v>
      </c>
    </row>
    <row r="47">
      <c r="A47" s="4" t="inlineStr">
        <is>
          <t>Average cup and packaging cost per drink</t>
        </is>
      </c>
      <c r="B47" s="19">
        <f>IF($B$44=0,0,VALUE(SUMPRODUCT($F$12:$O$12,$F$34:$O$34))/$B$44)</f>
        <v>0.25237113402061856</v>
      </c>
    </row>
    <row r="48">
      <c r="A48" s="9" t="inlineStr">
        <is>
          <t>Average all-in cost per drink</t>
        </is>
      </c>
      <c r="B48" s="20">
        <f>$B$46+$B$47</f>
        <v>1.286165211237803</v>
      </c>
    </row>
    <row r="49">
      <c r="A49" s="4" t="inlineStr">
        <is>
          <t>Average coffee per drink (g)</t>
        </is>
      </c>
      <c r="B49" s="18">
        <f>IF($B$44=0,0,VALUE(SUMPRODUCT($F$12:$O$12,$F$14:$O$14))/$B$44)</f>
        <v>16.92</v>
      </c>
    </row>
    <row r="50">
      <c r="A50" s="4" t="inlineStr">
        <is>
          <t>Average milk per drink (fl oz)</t>
        </is>
      </c>
      <c r="B50" s="26">
        <f>IF($B$44=0,0,VALUE(SUMPRODUCT($F$12:$O$12,$F$32:$O$32))/$B$44)</f>
        <v>5.080000000000001</v>
      </c>
    </row>
    <row r="51">
      <c r="A51" s="4" t="inlineStr">
        <is>
          <t>Average menu price per drink before sales tax</t>
        </is>
      </c>
      <c r="B51" s="21">
        <f>IF($B$44=0,0,VALUE(SUMPRODUCT($F$12:$O$12,$F$36:$O$36))/$B$44)</f>
        <v>5.875</v>
      </c>
    </row>
    <row r="52">
      <c r="A52" s="4" t="inlineStr">
        <is>
          <t>Cost of goods of the mix (with the cup)</t>
        </is>
      </c>
      <c r="B52" s="22">
        <f>IF($B$51=0,0,$B$48/$B$51)</f>
        <v>0.2189217380830303</v>
      </c>
    </row>
    <row r="54" ht="34" customHeight="1">
      <c r="A54" s="16" t="inlineStr">
        <is>
          <t>The all-in cost is the drink served in a single-use cup; with reusable cups only the ingredient cost counts. Milk is a TCS food: keep it at 41 °F (5 °C) or below (the FDA Food Code cold-holding limit). The cost of goods in the financial plan is something else: the average of the mix with waste.</t>
        </is>
      </c>
    </row>
  </sheetData>
  <sheetProtection selectLockedCells="0" selectUnlockedCells="0" sheet="1" objects="0" insertRows="1" insertHyperlinks="1" autoFilter="1" scenarios="0" formatColumns="1" deleteColumns="1" insertColumns="1" pivotTables="1" deleteRows="1" formatCells="1" formatRows="1" sort="1"/>
  <mergeCells count="7">
    <mergeCell ref="B45:E45"/>
    <mergeCell ref="F7:P7"/>
    <mergeCell ref="F8:P8"/>
    <mergeCell ref="A54:P54"/>
    <mergeCell ref="F5:P5"/>
    <mergeCell ref="F6:P6"/>
    <mergeCell ref="A2:P2"/>
  </mergeCells>
  <conditionalFormatting sqref="F39:O39">
    <cfRule type="expression" priority="1" dxfId="0">
      <formula>F39="On target"</formula>
    </cfRule>
    <cfRule type="expression" priority="2" dxfId="1">
      <formula>F39="Watch the cost"</formula>
    </cfRule>
    <cfRule type="expression" priority="3" dxfId="2">
      <formula>F39="Above target"</formula>
    </cfRule>
  </conditionalFormatting>
  <conditionalFormatting sqref="B45">
    <cfRule type="expression" priority="4" dxfId="2">
      <formula>$B$45="Check the mix: it does not add up to 100%"</formula>
    </cfRule>
  </conditionalFormatting>
  <dataValidations count="5">
    <dataValidation sqref="B5 B7 C14 C15 C16 C17 C18 C19 C20 C21 C22 C23 C24 C25 C26 C27 C28 C29" showDropDown="0" showInputMessage="0" showErrorMessage="1" allowBlank="0" errorTitle="Invalid percentage" error="Enter a percentage from 0 to 0.9 (0.1 = 10%)." type="decimal" operator="between">
      <formula1>0</formula1>
      <formula2>0.9</formula2>
    </dataValidation>
    <dataValidation sqref="B6" showDropDown="0" showInputMessage="0" showErrorMessage="1" allowBlank="0" errorTitle="Invalid target" error="The target cannot be 0 (the sheet divides by it): enter 0.01 to 0.9." type="decimal" operator="between">
      <formula1>0.01</formula1>
      <formula2>0.9</formula2>
    </dataValidation>
    <dataValidation sqref="F12 G12 H12 I12 J12 K12 L12 M12 N12 O12" showDropDown="0" showInputMessage="0" showErrorMessage="1" allowBlank="0" errorTitle="Invalid percentage" error="Enter a percentage from 0 to 1. The whole mix must add up to 100%." type="decimal" operator="between">
      <formula1>0</formula1>
      <formula2>1</formula2>
    </dataValidation>
    <dataValidation sqref="D14 D15 D16 D17 D18 D19 D20 D21 D22 D23 D24 D25 D26 D27 D28 D29" showDropDown="0" showInputMessage="0" showErrorMessage="1" allowBlank="0" errorTitle="Invalid number" error="Enter a number above 0 (the sheet divides by it)." type="decimal" operator="greaterThanOrEqual">
      <formula1>0.001</formula1>
    </dataValidation>
    <dataValidation sqref="B8 B14 B15 B16 B17 B18 B19 B20 B21 B22 B23 B24 B25 B26 B27 B28 B29 F11 F13 F15 F16 F17 F18 F19 F20 F21 F22 F23 F24 F25 F26 F27 F28 F29 G11 G13 G15 G16 G17 G18 G19 G20 G21 G22 G23 G24 G25 G26 G27 G28 G29 H11 H13 H15 H16 H17 H18 H19 H20 H21 H22 H23 H24 H25 H26 H27 H28 H29 I11 I13 I15 I16 I17 I18 I19 I20 I21 I22 I23 I24 I25 I26 I27 I28 I29 J11 J13 J15 J16 J17 J18 J19 J20 J21 J22 J23 J24 J25 J26 J27 J28 J29 K11 K13 K15 K16 K17 K18 K19 K20 K21 K22 K23 K24 K25 K26 K27 K28 K29 L11 L13 L15 L16 L17 L18 L19 L20 L21 L22 L23 L24 L25 L26 L27 L28 L29 M11 M13 M15 M16 M17 M18 M19 M20 M21 M22 M23 M24 M25 M26 M27 M28 M29 N11 N13 N15 N16 N17 N18 N19 N20 N21 N22 N23 N24 N25 N26 N27 N28 N29 O11 O13 O15 O16 O17 O18 O19 O20 O21 O22 O23 O24 O25 O26 O27 O28 O29" showDropDown="0" showInputMessage="0" showErrorMessage="1" allowBlank="0" errorTitle="Invalid amount" error="Enter a number of 0 or more." type="decimal" operator="greaterThanOrEqual">
      <formula1>0</formula1>
    </dataValidation>
  </dataValidations>
  <printOptions horizontalCentered="1"/>
  <pageMargins left="0.75" right="0.75" top="1" bottom="1" header="0.5" footer="0.5"/>
  <pageSetup orientation="landscape" paperSize="1" fitToHeight="0" fitToWidth="1"/>
  <headerFooter>
    <oddHeader/>
    <oddFooter>&amp;CAI Chef Pro · aichef.pro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F165"/>
  <sheetViews>
    <sheetView showGridLines="0" workbookViewId="0">
      <pane ySplit="4" topLeftCell="A5" activePane="bottomLeft" state="frozen"/>
      <selection pane="bottomLeft" activeCell="A1" sqref="A1"/>
    </sheetView>
  </sheetViews>
  <sheetFormatPr baseColWidth="8" defaultRowHeight="15"/>
  <cols>
    <col width="66" customWidth="1" min="1" max="1"/>
    <col width="24" customWidth="1" min="2" max="2"/>
    <col width="17" customWidth="1" min="3" max="3"/>
    <col width="17" customWidth="1" min="4" max="4"/>
    <col width="17" customWidth="1" min="5" max="5"/>
    <col width="56" customWidth="1" min="6" max="6"/>
  </cols>
  <sheetData>
    <row r="1">
      <c r="A1" s="1" t="inlineStr">
        <is>
          <t>COFFEE CART PRICING CALCULATOR — FROM THE COST PER DRINK TO THE QUOTE</t>
        </is>
      </c>
    </row>
    <row r="2" ht="32" customHeight="1">
      <c r="A2" s="2" t="inlineStr">
        <is>
          <t>Type only in the GREEN cells: everything else is calculated. Amounts are before sales tax unless the row says otherwise. The defaults are kit estimates (US ratios for drinks and staffing): replace them with your own.</t>
        </is>
      </c>
    </row>
    <row r="4">
      <c r="A4" s="3" t="inlineStr">
        <is>
          <t>EVENT DETAILS</t>
        </is>
      </c>
      <c r="B4" s="3" t="inlineStr">
        <is>
          <t>Value</t>
        </is>
      </c>
      <c r="C4" s="3" t="inlineStr">
        <is>
          <t>Notes</t>
        </is>
      </c>
    </row>
    <row r="5" ht="45" customHeight="1">
      <c r="A5" s="4" t="inlineStr">
        <is>
          <t>Client type</t>
        </is>
      </c>
      <c r="B5" s="27" t="inlineStr">
        <is>
          <t>Private event (hosted)</t>
        </is>
      </c>
      <c r="C5" s="2" t="inlineStr">
        <is>
          <t>Private event, Corporate or Festival or market: they change the target margin, the organizer fee, the payments and the cancellation tiers (table at the bottom). At a festival, "guests" are the drinks you expect to sell.</t>
        </is>
      </c>
    </row>
    <row r="6" ht="16" customHeight="1">
      <c r="A6" s="4" t="inlineStr">
        <is>
          <t>Expected guests (at a festival or market, expected drinks)</t>
        </is>
      </c>
      <c r="B6" s="28" t="n">
        <v>130</v>
      </c>
      <c r="C6" s="2" t="inlineStr">
        <is>
          <t>Whole number of guests you serve.</t>
        </is>
      </c>
    </row>
    <row r="7" ht="30" customHeight="1">
      <c r="A7" s="4" t="inlineStr">
        <is>
          <t>Service length (sets the drinks per guest)</t>
        </is>
      </c>
      <c r="B7" s="27" t="inlineStr">
        <is>
          <t>Over 2 and up to 4 hours</t>
        </is>
      </c>
      <c r="C7" s="2" t="inlineStr">
        <is>
          <t>Drinks per guest by the hours the bar is open: table at the bottom (Kit estimate from US ratios). Not used at festivals.</t>
        </is>
      </c>
    </row>
    <row r="8" ht="30" customHeight="1">
      <c r="A8" s="4" t="inlineStr">
        <is>
          <t>Time of day</t>
        </is>
      </c>
      <c r="B8" s="27" t="inlineStr">
        <is>
          <t>Evening (after dinner)</t>
        </is>
      </c>
      <c r="C8" s="2" t="inlineStr">
        <is>
          <t>Morning +25%, evening after dinner −10% (Kit estimate from US ratios). It adjusts the drinks per guest. Not used at festivals.</t>
        </is>
      </c>
    </row>
    <row r="9" ht="30" customHeight="1">
      <c r="A9" s="4" t="inlineStr">
        <is>
          <t>Served in</t>
        </is>
      </c>
      <c r="B9" s="27" t="inlineStr">
        <is>
          <t>Single-use compostable cups</t>
        </is>
      </c>
      <c r="C9" s="2" t="inlineStr">
        <is>
          <t>Single-use compostable cups add the cup, lid and sleeve to the cost. Reusable cups (the venue's china) carry no cup cost; some venues and cities ask for them.</t>
        </is>
      </c>
    </row>
    <row r="10" ht="16" customHeight="1">
      <c r="A10" s="4" t="inlineStr">
        <is>
          <t>Service hours (bar open)</t>
        </is>
      </c>
      <c r="B10" s="6" t="n">
        <v>3</v>
      </c>
      <c r="C10" s="2" t="inlineStr">
        <is>
          <t>Used for the drinks per hour and for staffing.</t>
        </is>
      </c>
    </row>
    <row r="11" ht="16" customHeight="1">
      <c r="A11" s="4" t="inlineStr">
        <is>
          <t>Hours per person outside service (loading, travel, setup and cleanup)</t>
        </is>
      </c>
      <c r="B11" s="6" t="n">
        <v>5</v>
      </c>
      <c r="C11" s="2" t="inlineStr">
        <is>
          <t>Kit estimate: a 2-hour event takes a 7-9 hour shift (grindkit.app). Use your own.</t>
        </is>
      </c>
    </row>
    <row r="12" ht="16" customHeight="1">
      <c r="A12" s="4" t="inlineStr">
        <is>
          <t>Pastries per guest (your cost, from a licensed bakery)</t>
        </is>
      </c>
      <c r="B12" s="13" t="n">
        <v>0.75</v>
      </c>
      <c r="C12" s="2" t="inlineStr">
        <is>
          <t>What the pastries you add to the package cost you. 0 if you do not offer them.</t>
        </is>
      </c>
    </row>
    <row r="13" ht="16" customHeight="1">
      <c r="A13" s="4" t="inlineStr">
        <is>
          <t>Rentals billed to the client (tent, tables, extra cups)</t>
        </is>
      </c>
      <c r="B13" s="13" t="n">
        <v>0</v>
      </c>
      <c r="C13" s="2" t="inlineStr">
        <is>
          <t>What the rental company charges you for this event.</t>
        </is>
      </c>
    </row>
    <row r="14" ht="45" customHeight="1">
      <c r="A14" s="4" t="inlineStr">
        <is>
          <t>Power at the venue</t>
        </is>
      </c>
      <c r="B14" s="27" t="inlineStr">
        <is>
          <t>Dedicated 220V circuit</t>
        </is>
      </c>
      <c r="C14" s="2" t="inlineStr">
        <is>
          <t>A standard 110-120V outlet on a 20-amp circuit gives about 2.4 kW. A 2-group machine at 220V draws about 3.4 kW (NEMA 6-20 plug, 15-17 A): it needs a dedicated 220V circuit or a generator. A compact machine can run on 110V.</t>
        </is>
      </c>
    </row>
    <row r="15" ht="16" customHeight="1">
      <c r="A15" s="4" t="inlineStr">
        <is>
          <t>Generator: cost per event (fuel and wear, only without an outlet)</t>
        </is>
      </c>
      <c r="B15" s="13" t="n">
        <v>60</v>
      </c>
      <c r="C15" s="2" t="inlineStr">
        <is>
          <t>Kit estimate. Only added if you choose "No outlet (generator)".</t>
        </is>
      </c>
    </row>
    <row r="16" ht="16" customHeight="1">
      <c r="A16" s="4" t="inlineStr">
        <is>
          <t>Power draw of your 2-group machine (kW)</t>
        </is>
      </c>
      <c r="B16" s="6" t="n">
        <v>3.4</v>
      </c>
      <c r="C16" s="2" t="inlineStr">
        <is>
          <t>The example machine: 3,400 W at 220V. Check the rating plate of yours.</t>
        </is>
      </c>
    </row>
    <row r="17" ht="30" customHeight="1">
      <c r="A17" s="4" t="inlineStr">
        <is>
          <t>Hourly wage of a barista</t>
        </is>
      </c>
      <c r="B17" s="13" t="n">
        <v>20</v>
      </c>
      <c r="C17" s="2" t="inlineStr">
        <is>
          <t>Kit estimate: between the event barista ($19 per hour) and the lead barista ($20) of the financial plan; Flashquotes models $25 per hour. Use your own.</t>
        </is>
      </c>
    </row>
    <row r="18" ht="30" customHeight="1">
      <c r="A18" s="4" t="inlineStr">
        <is>
          <t>Payroll taxes on wages (%)</t>
        </is>
      </c>
      <c r="B18" s="5" t="n">
        <v>0.1</v>
      </c>
      <c r="C18" s="2" t="inlineStr">
        <is>
          <t>FICA (7.65%) plus federal and state unemployment taxes, as in the financial plan. Workers' comp is in your insurance.</t>
        </is>
      </c>
    </row>
    <row r="19" ht="16" customHeight="1">
      <c r="A19" s="4" t="inlineStr">
        <is>
          <t>Miles one way (base to venue)</t>
        </is>
      </c>
      <c r="B19" s="28" t="n">
        <v>25</v>
      </c>
      <c r="C19" s="2" t="inlineStr">
        <is>
          <t>Charged round trip on a separate line, with no margin (at a festival it is your own cost).</t>
        </is>
      </c>
    </row>
    <row r="20" ht="16" customHeight="1">
      <c r="A20" s="4" t="inlineStr">
        <is>
          <t>Free travel radius (miles one way)</t>
        </is>
      </c>
      <c r="B20" s="28" t="n">
        <v>20</v>
      </c>
      <c r="C20" s="2" t="inlineStr">
        <is>
          <t>Many operators include the first 20-30 miles and charge beyond them (grindkit.app).</t>
        </is>
      </c>
    </row>
    <row r="21" ht="16" customHeight="1">
      <c r="A21" s="4" t="inlineStr">
        <is>
          <t>Travel rate per mile (charged round trip)</t>
        </is>
      </c>
      <c r="B21" s="13" t="n">
        <v>1.25</v>
      </c>
      <c r="C21" s="2" t="inlineStr">
        <is>
          <t>flashquotes.com shows $1.25 per mile round trip. Use your own.</t>
        </is>
      </c>
    </row>
    <row r="22" ht="30" customHeight="1">
      <c r="A22" s="4" t="inlineStr">
        <is>
          <t>Sales tax rate</t>
        </is>
      </c>
      <c r="B22" s="5" t="n">
        <v>0.08</v>
      </c>
      <c r="C22" s="2" t="inlineStr">
        <is>
          <t>Example rate applied to the whole invoice. Many states tax catering, including the staff and extras (some tax the travel fee too); at festivals you collect it on each drink. Look up your state and city.</t>
        </is>
      </c>
    </row>
    <row r="23" ht="30" customHeight="1">
      <c r="A23" s="4" t="inlineStr">
        <is>
          <t>Festival: average price per drink you will charge (before sales tax)</t>
        </is>
      </c>
      <c r="B23" s="13" t="n">
        <v>6.5</v>
      </c>
      <c r="C23" s="2" t="inlineStr">
        <is>
          <t>Kit estimate: about $6.50 per drink. See the average menu price of your mix on the "Cost per Drink" tab. Only used for festivals and markets.</t>
        </is>
      </c>
    </row>
    <row r="24" ht="16" customHeight="1">
      <c r="A24" s="4" t="inlineStr">
        <is>
          <t>Festival: flat booth fee</t>
        </is>
      </c>
      <c r="B24" s="13" t="n">
        <v>0</v>
      </c>
      <c r="C24" s="2" t="inlineStr">
        <is>
          <t>A flat fee per spot, if the organizer charges one. Festivals only.</t>
        </is>
      </c>
    </row>
    <row r="25" ht="30" customHeight="1">
      <c r="A25" s="4" t="inlineStr">
        <is>
          <t>Festival: minimum sales guarantee from the organizer (0 if none)</t>
        </is>
      </c>
      <c r="B25" s="13" t="n">
        <v>0</v>
      </c>
      <c r="C25" s="2" t="inlineStr">
        <is>
          <t>Some organizers guarantee a minimum and pay the difference if your drink sales fall short. Festivals only.</t>
        </is>
      </c>
    </row>
    <row r="26" ht="16" customHeight="1">
      <c r="A26" s="4" t="inlineStr">
        <is>
          <t>Days before the event if the client cancels</t>
        </is>
      </c>
      <c r="B26" s="28" t="n">
        <v>45</v>
      </c>
      <c r="C26" s="2" t="inlineStr">
        <is>
          <t>Pick the days and the sheet shows the tier and what you keep.</t>
        </is>
      </c>
    </row>
    <row r="28">
      <c r="A28" s="3" t="inlineStr">
        <is>
          <t>CALCULATION</t>
        </is>
      </c>
      <c r="B28" s="3" t="inlineStr">
        <is>
          <t>Value</t>
        </is>
      </c>
      <c r="C28" s="3" t="inlineStr">
        <is>
          <t>Notes</t>
        </is>
      </c>
    </row>
    <row r="29">
      <c r="A29" s="3" t="inlineStr">
        <is>
          <t>LOGISTICS (scaling table)</t>
        </is>
      </c>
    </row>
    <row r="30" ht="16" customHeight="1">
      <c r="A30" s="4" t="inlineStr">
        <is>
          <t>Drinks per guest for this service length</t>
        </is>
      </c>
      <c r="B30" s="26">
        <f>INDEX('Pricing Calculator'!$B$113:$B$117,MATCH($B$7,'Pricing Calculator'!$A$113:$A$117,0))</f>
        <v>1.4</v>
      </c>
      <c r="C30" s="2" t="inlineStr">
        <is>
          <t>Looked up in the table at the bottom.</t>
        </is>
      </c>
    </row>
    <row r="31" ht="16" customHeight="1">
      <c r="A31" s="4" t="inlineStr">
        <is>
          <t>Time-of-day adjustment</t>
        </is>
      </c>
      <c r="B31" s="24">
        <f>INDEX('Pricing Calculator'!$B$120:$B$122,MATCH($B$8,'Pricing Calculator'!$A$120:$A$122,0))</f>
        <v>-0.1</v>
      </c>
      <c r="C31" s="2" t="inlineStr">
        <is>
          <t>Looked up in the table at the bottom.</t>
        </is>
      </c>
    </row>
    <row r="32" ht="16" customHeight="1">
      <c r="A32" s="4" t="inlineStr">
        <is>
          <t>Drinks served</t>
        </is>
      </c>
      <c r="B32" s="29">
        <f>IF($B$5='Pricing Calculator'!$D$133,$B$6,ROUNDUP(ROUND($B$6*$B$30*(1+$B$31),2),0))</f>
        <v>164.0</v>
      </c>
      <c r="C32" s="2" t="inlineStr">
        <is>
          <t>Guests × drinks per guest × (1 + adjustment), rounded up. At a festival, the expected drinks.</t>
        </is>
      </c>
    </row>
    <row r="33">
      <c r="A33" s="4" t="inlineStr">
        <is>
          <t>Drinks per hour (average)</t>
        </is>
      </c>
      <c r="B33" s="18">
        <f>$B$32/$B$10</f>
        <v>54.666666666666664</v>
      </c>
    </row>
    <row r="34" ht="16" customHeight="1">
      <c r="A34" s="4" t="inlineStr">
        <is>
          <t>Baristas needed</t>
        </is>
      </c>
      <c r="B34" s="29">
        <f>MAX(1,ROUNDUP(ROUND($B$33*'Pricing Calculator'!$B$95/'Pricing Calculator'!$B$94,2),0))</f>
        <v>2.0</v>
      </c>
      <c r="C34" s="2" t="inlineStr">
        <is>
          <t>Drinks per hour × peak factor ÷ what one barista makes, rounded up.</t>
        </is>
      </c>
    </row>
    <row r="35" ht="16" customHeight="1">
      <c r="A35" s="4" t="inlineStr">
        <is>
          <t>2-group machines (stations)</t>
        </is>
      </c>
      <c r="B35" s="29">
        <f>ROUNDUP($B$34/'Pricing Calculator'!$B$96,0)</f>
        <v>1.0</v>
      </c>
      <c r="C35" s="2" t="inlineStr">
        <is>
          <t>Two baristas per machine; a second station comes in when the peak does not fit on one.</t>
        </is>
      </c>
    </row>
    <row r="36">
      <c r="A36" s="4" t="inlineStr">
        <is>
          <t>Groups in total</t>
        </is>
      </c>
      <c r="B36" s="29">
        <f>$B$35*'Pricing Calculator'!$B$97</f>
        <v>2.0</v>
      </c>
    </row>
    <row r="37" ht="16" customHeight="1">
      <c r="A37" s="4" t="inlineStr">
        <is>
          <t>Grinders</t>
        </is>
      </c>
      <c r="B37" s="29">
        <f>$B$35+'Pricing Calculator'!$B$98</f>
        <v>2.0</v>
      </c>
      <c r="C37" s="2" t="inlineStr">
        <is>
          <t>One per station plus a spare for decaf.</t>
        </is>
      </c>
    </row>
    <row r="38" ht="16" customHeight="1">
      <c r="A38" s="4" t="inlineStr">
        <is>
          <t>Coffee beans (lb)</t>
        </is>
      </c>
      <c r="B38" s="18">
        <f>ROUNDUP($B$32*'Cost per Drink'!$B$49/'Pricing Calculator'!$B$109+'Pricing Calculator'!$B$99,1)</f>
        <v>6.5</v>
      </c>
      <c r="C38" s="2" t="inlineStr">
        <is>
          <t>Drinks × average coffee of your mix ("Cost per Drink" tab) plus purging and dialing in.</t>
        </is>
      </c>
    </row>
    <row r="39" ht="16" customHeight="1">
      <c r="A39" s="4" t="inlineStr">
        <is>
          <t>Milk and plant-based milks (gal)</t>
        </is>
      </c>
      <c r="B39" s="29">
        <f>ROUNDUP(ROUND($B$32*'Cost per Drink'!$B$50/'Pricing Calculator'!$B$110,2),0)</f>
        <v>7.0</v>
      </c>
      <c r="C39" s="2" t="inlineStr">
        <is>
          <t>Drinks × average milk of your mix.</t>
        </is>
      </c>
    </row>
    <row r="40" ht="16" customHeight="1">
      <c r="A40" s="4" t="inlineStr">
        <is>
          <t>Single-use cups or reusable cups</t>
        </is>
      </c>
      <c r="B40" s="29">
        <f>IF($B$9='Pricing Calculator'!$A$126,ROUNDUP(ROUND($B$6*'Pricing Calculator'!$B$101,2),0),ROUNDUP(ROUND($B$32*(1+'Pricing Calculator'!$B$100),2),0))</f>
        <v>181.0</v>
      </c>
      <c r="C40" s="2" t="inlineStr">
        <is>
          <t>Single-use: drinks plus the spares. Reusable: cups per guest with spares while they are washed.</t>
        </is>
      </c>
    </row>
    <row r="41" ht="16" customHeight="1">
      <c r="A41" s="4" t="inlineStr">
        <is>
          <t>Fresh water (gal)</t>
        </is>
      </c>
      <c r="B41" s="29">
        <f>ROUNDUP(ROUND($B$32*'Pricing Calculator'!$B$102+'Pricing Calculator'!$B$103,2),0)</f>
        <v>17.0</v>
      </c>
      <c r="C41" s="2" t="inlineStr">
        <is>
          <t>Bring a gray-water tank at least as large: you empty it at the commissary, never at the venue.</t>
        </is>
      </c>
    </row>
    <row r="42">
      <c r="A42" s="3" t="inlineStr">
        <is>
          <t>POWER (warning for the contract)</t>
        </is>
      </c>
    </row>
    <row r="43" ht="16" customHeight="1">
      <c r="A43" s="4" t="inlineStr">
        <is>
          <t>Power draw of the machines (kW)</t>
        </is>
      </c>
      <c r="B43" s="18">
        <f>$B$35*$B$16</f>
        <v>3.4</v>
      </c>
      <c r="C43" s="2" t="inlineStr">
        <is>
          <t>Stations × kW of your machine.</t>
        </is>
      </c>
    </row>
    <row r="44" ht="16" customHeight="1">
      <c r="A44" s="4" t="inlineStr">
        <is>
          <t>Current on a 220V circuit (A)</t>
        </is>
      </c>
      <c r="B44" s="18">
        <f>$B$43*1000/'Pricing Calculator'!$B$104</f>
        <v>15.454545454545455</v>
      </c>
      <c r="C44" s="2" t="inlineStr">
        <is>
          <t>kW × 1,000 ÷ circuit voltage.</t>
        </is>
      </c>
    </row>
    <row r="45" ht="16" customHeight="1">
      <c r="A45" s="4" t="inlineStr">
        <is>
          <t>Power of a standard outlet (kW)</t>
        </is>
      </c>
      <c r="B45" s="26">
        <f>'Pricing Calculator'!$B$106*'Pricing Calculator'!$B$105/1000</f>
        <v>2.4</v>
      </c>
      <c r="C45" s="2" t="inlineStr">
        <is>
          <t>A 20-amp circuit at 120V gives about 2.4 kW. Grinders, fridge and lights need their own margin.</t>
        </is>
      </c>
    </row>
    <row r="46" ht="16" customHeight="1">
      <c r="A46" s="4" t="inlineStr">
        <is>
          <t>Minimum inverter generator (kW running)</t>
        </is>
      </c>
      <c r="B46" s="18">
        <f>ROUNDUP(ROUND($B$43*'Pricing Calculator'!$B$107,2),1)</f>
        <v>5.5</v>
      </c>
      <c r="C46" s="2" t="inlineStr">
        <is>
          <t>kW × sizing factor, rounded up: one 3.4 kW machine needs a 5.5 kW (5,500 W) inverter generator.</t>
        </is>
      </c>
    </row>
    <row r="47" ht="32" customHeight="1">
      <c r="A47" s="2" t="inlineStr">
        <is>
          <t>Power needed · A compact machine can run on a standard outlet; a 220V 2-group machine cannot.</t>
        </is>
      </c>
      <c r="B47" s="2" t="str">
        <f>IF($B$43&lt;=$B$45,'Pricing Calculator'!$A$129,"Dedicated 220V circuit or generator")</f>
        <v>Dedicated 220V circuit or generator</v>
      </c>
    </row>
    <row r="48" ht="48" customHeight="1">
      <c r="A48" s="25" t="inlineStr">
        <is>
          <t>POWER WARNING · The kit's contract asks for the circuit in writing: voltage, amps and distance.</t>
        </is>
      </c>
      <c r="B48" s="25" t="str">
        <f>IF($B$14='Pricing Calculator'!$A$131,"No outlet: bring the generator (minimum kW in its row) and ask the venue and the fire marshal where it can go",IF(AND($B$43&gt;$B$45,$B$14='Pricing Calculator'!$A$129),"WARNING: a standard 110V outlet cannot run your machines: get a dedicated 220V circuit in writing or bring the generator","Power covered: confirm the circuit, its voltage and amps, and the distance in writing in your contract"))</f>
        <v>Power covered: confirm the circuit, its voltage and amps, and the distance in writing in your contract</v>
      </c>
    </row>
    <row r="49">
      <c r="A49" s="3" t="inlineStr">
        <is>
          <t>DIRECT COST</t>
        </is>
      </c>
    </row>
    <row r="50" ht="16" customHeight="1">
      <c r="A50" s="4" t="inlineStr">
        <is>
          <t>Drink cost</t>
        </is>
      </c>
      <c r="B50" s="21">
        <f>$B$32*IF($B$9='Pricing Calculator'!$A$126,'Cost per Drink'!$B$46,'Cost per Drink'!$B$48)</f>
        <v>210.9310946429997</v>
      </c>
      <c r="C50" s="2" t="inlineStr">
        <is>
          <t>Drinks × average cost of the mix from the "Cost per Drink" tab (with the cup if single-use).</t>
        </is>
      </c>
    </row>
    <row r="51">
      <c r="A51" s="4" t="inlineStr">
        <is>
          <t>Pastry cost</t>
        </is>
      </c>
      <c r="B51" s="21">
        <f>$B$12*$B$6</f>
        <v>97.5</v>
      </c>
    </row>
    <row r="52" ht="30" customHeight="1">
      <c r="A52" s="4" t="inlineStr">
        <is>
          <t>Staff cost (wages + payroll taxes)</t>
        </is>
      </c>
      <c r="B52" s="21">
        <f>$B$34*($B$10+$B$11)*$B$17*(1+$B$18)</f>
        <v>352.0</v>
      </c>
      <c r="C52" s="2" t="inlineStr">
        <is>
          <t>Baristas × (service hours + hours outside service) × hourly cost. If you work the bar yourself, count yourself: it is your opportunity cost.</t>
        </is>
      </c>
    </row>
    <row r="53">
      <c r="A53" s="4" t="inlineStr">
        <is>
          <t>Generator</t>
        </is>
      </c>
      <c r="B53" s="21">
        <f>IF($B$14='Pricing Calculator'!$A$131,$B$15,0)</f>
        <v>0.0</v>
      </c>
    </row>
    <row r="54">
      <c r="A54" s="4" t="inlineStr">
        <is>
          <t>Rentals billed to the client</t>
        </is>
      </c>
      <c r="B54" s="21">
        <f>$B$13</f>
        <v>0.0</v>
      </c>
    </row>
    <row r="55" ht="16" customHeight="1">
      <c r="A55" s="4" t="inlineStr">
        <is>
          <t>Travel to the festival (your own cost)</t>
        </is>
      </c>
      <c r="B55" s="21">
        <f>IF($B$5='Pricing Calculator'!$D$133,$B$19*2*$B$21,0)</f>
        <v>0.0</v>
      </c>
      <c r="C55" s="2" t="inlineStr">
        <is>
          <t>Nobody pays your travel at a festival: it is part of the cost. For hosted events it goes on its own line.</t>
        </is>
      </c>
    </row>
    <row r="56">
      <c r="A56" s="4" t="inlineStr">
        <is>
          <t>Total direct cost</t>
        </is>
      </c>
      <c r="B56" s="21">
        <f>$B$50+$B$51+$B$52+$B$53+$B$54+$B$55</f>
        <v>660.4310946429997</v>
      </c>
    </row>
    <row r="57">
      <c r="A57" s="4" t="inlineStr">
        <is>
          <t>Direct cost per guest</t>
        </is>
      </c>
      <c r="B57" s="21">
        <f>$B$56/$B$6</f>
        <v>5.080239189561536</v>
      </c>
    </row>
    <row r="58">
      <c r="A58" s="3" t="inlineStr">
        <is>
          <t>PRICE AND QUOTE</t>
        </is>
      </c>
    </row>
    <row r="59" ht="16" customHeight="1">
      <c r="A59" s="4" t="inlineStr">
        <is>
          <t>Target margin for this client type</t>
        </is>
      </c>
      <c r="B59" s="24">
        <f>INDEX('Pricing Calculator'!$B$134:$D$134,MATCH($B$5,'Pricing Calculator'!$B$133:$D$133,0))</f>
        <v>0.65</v>
      </c>
      <c r="C59" s="2" t="inlineStr">
        <is>
          <t>From the client table at the bottom.</t>
        </is>
      </c>
    </row>
    <row r="60" ht="16" customHeight="1">
      <c r="A60" s="4" t="inlineStr">
        <is>
          <t>Organizer fee for this client type</t>
        </is>
      </c>
      <c r="B60" s="24">
        <f>INDEX('Pricing Calculator'!$B$135:$D$135,MATCH($B$5,'Pricing Calculator'!$B$133:$D$133,0))</f>
        <v>0.0</v>
      </c>
      <c r="C60" s="2" t="inlineStr">
        <is>
          <t>From the client table at the bottom. Festivals only.</t>
        </is>
      </c>
    </row>
    <row r="61" ht="45" customHeight="1">
      <c r="A61" s="9" t="inlineStr">
        <is>
          <t>PRICE PER GUEST BEFORE SALES TAX (MINIMUM)</t>
        </is>
      </c>
      <c r="B61" s="30">
        <f>ROUNDUP($B$56/(1-$B$59-$B$60)/$B$6*2,0)/2</f>
        <v>15.0</v>
      </c>
      <c r="C61" s="2" t="inlineStr">
        <is>
          <t>Cost ÷ (1 − margin − fee) ÷ guests, rounded up to the next $0.50: the lowest price that reaches your target margin. At a festival it is the lowest price per drink that covers cost, fee and margin: compare it with yours.</t>
        </is>
      </c>
    </row>
    <row r="62" ht="16" customHeight="1">
      <c r="A62" s="9" t="inlineStr">
        <is>
          <t>Price per guest incl. sales tax</t>
        </is>
      </c>
      <c r="B62" s="30">
        <f>$B$61*(1+$B$22)</f>
        <v>16.200000000000003</v>
      </c>
      <c r="C62" s="2" t="inlineStr">
        <is>
          <t>For reference: US quotes show the price before tax and add the sales tax on the invoice.</t>
        </is>
      </c>
    </row>
    <row r="63" ht="16" customHeight="1">
      <c r="A63" s="4" t="inlineStr">
        <is>
          <t>Coffee service subtotal before sales tax</t>
        </is>
      </c>
      <c r="B63" s="21">
        <f>$B$61*$B$6</f>
        <v>1950.0</v>
      </c>
      <c r="C63" s="2" t="inlineStr">
        <is>
          <t>Price per guest × guests.</t>
        </is>
      </c>
    </row>
    <row r="64" ht="16" customHeight="1">
      <c r="A64" s="4" t="inlineStr">
        <is>
          <t>Same price per service hour (before sales tax)</t>
        </is>
      </c>
      <c r="B64" s="21">
        <f>$B$63/$B$10</f>
        <v>650.0</v>
      </c>
      <c r="C64" s="2" t="inlineStr">
        <is>
          <t>Subtotal ÷ service hours: to compare with an hourly rate.</t>
        </is>
      </c>
    </row>
    <row r="65" ht="16" customHeight="1">
      <c r="A65" s="4" t="inlineStr">
        <is>
          <t>Same price per drink (before sales tax)</t>
        </is>
      </c>
      <c r="B65" s="21">
        <f>$B$63/$B$32</f>
        <v>11.890243902439025</v>
      </c>
      <c r="C65" s="2" t="inlineStr">
        <is>
          <t>Subtotal ÷ drinks: to compare with a per-drink price.</t>
        </is>
      </c>
    </row>
    <row r="66" ht="16" customHeight="1">
      <c r="A66" s="4" t="inlineStr">
        <is>
          <t>Travel fee (round trip beyond the free radius, no margin)</t>
        </is>
      </c>
      <c r="B66" s="21">
        <f>IF($B$5='Pricing Calculator'!$D$133,0,MAX(0,$B$19-$B$20)*2*$B$21)</f>
        <v>12.5</v>
      </c>
      <c r="C66" s="2" t="inlineStr">
        <is>
          <t>Its own line on the quote.</t>
        </is>
      </c>
    </row>
    <row r="67">
      <c r="A67" s="4" t="inlineStr">
        <is>
          <t>Taxable amount</t>
        </is>
      </c>
      <c r="B67" s="21">
        <f>$B$63+$B$66</f>
        <v>1962.5</v>
      </c>
    </row>
    <row r="68">
      <c r="A68" s="4" t="inlineStr">
        <is>
          <t>Sales tax</t>
        </is>
      </c>
      <c r="B68" s="21">
        <f>$B$67*$B$22</f>
        <v>157.0</v>
      </c>
    </row>
    <row r="69">
      <c r="A69" s="9" t="inlineStr">
        <is>
          <t>QUOTE TOTAL (incl. sales tax)</t>
        </is>
      </c>
      <c r="B69" s="30">
        <f>$B$67+$B$68</f>
        <v>2119.5</v>
      </c>
    </row>
    <row r="70">
      <c r="A70" s="3" t="inlineStr">
        <is>
          <t>PAYMENTS</t>
        </is>
      </c>
    </row>
    <row r="71" ht="16" customHeight="1">
      <c r="A71" s="4" t="inlineStr">
        <is>
          <t>Payment 1: retainer at booking</t>
        </is>
      </c>
      <c r="B71" s="21">
        <f>$B$69*INDEX('Pricing Calculator'!$B$136:$D$136,MATCH($B$5,'Pricing Calculator'!$B$133:$D$133,0))</f>
        <v>635.85</v>
      </c>
      <c r="C71" s="2" t="inlineStr">
        <is>
          <t>Credited toward the price. Send a receipt for every payment, the retainer too.</t>
        </is>
      </c>
    </row>
    <row r="72" ht="16" customHeight="1">
      <c r="A72" s="4" t="inlineStr">
        <is>
          <t>Payment 2: balance before the event</t>
        </is>
      </c>
      <c r="B72" s="21">
        <f>$B$69*INDEX('Pricing Calculator'!$B$137:$D$137,MATCH($B$5,'Pricing Calculator'!$B$133:$D$133,0))</f>
        <v>1483.6499999999999</v>
      </c>
      <c r="C72" s="2" t="inlineStr">
        <is>
          <t>Private events: 14 days before.</t>
        </is>
      </c>
    </row>
    <row r="73" ht="16" customHeight="1">
      <c r="A73" s="4" t="inlineStr">
        <is>
          <t>Payment 3: balance net 30 after the invoice</t>
        </is>
      </c>
      <c r="B73" s="21">
        <f>$B$69*INDEX('Pricing Calculator'!$B$138:$D$138,MATCH($B$5,'Pricing Calculator'!$B$133:$D$133,0))</f>
        <v>0.0</v>
      </c>
      <c r="C73" s="2" t="inlineStr">
        <is>
          <t>Corporate.</t>
        </is>
      </c>
    </row>
    <row r="74" ht="16" customHeight="1">
      <c r="A74" s="4" t="inlineStr">
        <is>
          <t>Payment 4: at the point of sale</t>
        </is>
      </c>
      <c r="B74" s="21">
        <f>$B$69*INDEX('Pricing Calculator'!$B$139:$D$139,MATCH($B$5,'Pricing Calculator'!$B$133:$D$133,0))</f>
        <v>0.0</v>
      </c>
      <c r="C74" s="2" t="inlineStr">
        <is>
          <t>Festivals and markets.</t>
        </is>
      </c>
    </row>
    <row r="75">
      <c r="A75" s="4" t="inlineStr">
        <is>
          <t>Organizer fee on the subtotal</t>
        </is>
      </c>
      <c r="B75" s="21">
        <f>$B$63*$B$60</f>
        <v>0.0</v>
      </c>
    </row>
    <row r="76" ht="16" customHeight="1">
      <c r="A76" s="4" t="inlineStr">
        <is>
          <t>Gross margin in dollars</t>
        </is>
      </c>
      <c r="B76" s="21">
        <f>$B$63-$B$56-$B$75</f>
        <v>1289.5689053570004</v>
      </c>
      <c r="C76" s="2" t="inlineStr">
        <is>
          <t>On the subtotal, without the travel fee.</t>
        </is>
      </c>
    </row>
    <row r="77" ht="16" customHeight="1">
      <c r="A77" s="9" t="inlineStr">
        <is>
          <t>Gross margin (calculated)</t>
        </is>
      </c>
      <c r="B77" s="23">
        <f>IF($B$63=0,0,$B$76/$B$63)</f>
        <v>0.6613173873625643</v>
      </c>
      <c r="C77" s="2" t="inlineStr">
        <is>
          <t>Comes from the costs, never typed. It stays at or above the target because the price is rounded up.</t>
        </is>
      </c>
    </row>
    <row r="78">
      <c r="A78" s="3" t="inlineStr">
        <is>
          <t>CANCELLATION (tiers with no gaps)</t>
        </is>
      </c>
    </row>
    <row r="79" ht="32" customHeight="1">
      <c r="A79" s="2" t="inlineStr">
        <is>
          <t>Tier for the days you chose · Looks at the "Days before the event" input.</t>
        </is>
      </c>
      <c r="B79" s="2" t="str">
        <f>IF($B$26&gt;=INDEX('Pricing Calculator'!$B$140:$D$140,MATCH($B$5,'Pricing Calculator'!$B$133:$D$133,0)),INDEX('Pricing Calculator'!$B$147:$D$147,MATCH($B$5,'Pricing Calculator'!$B$133:$D$133,0)),IF($B$26&gt;=INDEX('Pricing Calculator'!$B$141:$D$141,MATCH($B$5,'Pricing Calculator'!$B$133:$D$133,0)),INDEX('Pricing Calculator'!$B$148:$D$148,MATCH($B$5,'Pricing Calculator'!$B$133:$D$133,0)),IF($B$26&gt;=INDEX('Pricing Calculator'!$B$142:$D$142,MATCH($B$5,'Pricing Calculator'!$B$133:$D$133,0)),INDEX('Pricing Calculator'!$B$149:$D$149,MATCH($B$5,'Pricing Calculator'!$B$133:$D$133,0)),INDEX('Pricing Calculator'!$B$150:$D$150,MATCH($B$5,'Pricing Calculator'!$B$133:$D$133,0)))))</f>
        <v>From 30 to less than 60 days</v>
      </c>
    </row>
    <row r="80">
      <c r="A80" s="4" t="inlineStr">
        <is>
          <t>Share you keep in that tier</t>
        </is>
      </c>
      <c r="B80" s="24">
        <f>IF($B$26&gt;=INDEX('Pricing Calculator'!$B$140:$D$140,MATCH($B$5,'Pricing Calculator'!$B$133:$D$133,0)),INDEX('Pricing Calculator'!$B$143:$D$143,MATCH($B$5,'Pricing Calculator'!$B$133:$D$133,0)),IF($B$26&gt;=INDEX('Pricing Calculator'!$B$141:$D$141,MATCH($B$5,'Pricing Calculator'!$B$133:$D$133,0)),INDEX('Pricing Calculator'!$B$144:$D$144,MATCH($B$5,'Pricing Calculator'!$B$133:$D$133,0)),IF($B$26&gt;=INDEX('Pricing Calculator'!$B$142:$D$142,MATCH($B$5,'Pricing Calculator'!$B$133:$D$133,0)),INDEX('Pricing Calculator'!$B$145:$D$145,MATCH($B$5,'Pricing Calculator'!$B$133:$D$133,0)),INDEX('Pricing Calculator'!$B$146:$D$146,MATCH($B$5,'Pricing Calculator'!$B$133:$D$133,0)))))</f>
        <v>0.3</v>
      </c>
    </row>
    <row r="81" ht="32" customHeight="1">
      <c r="A81" s="2" t="inlineStr">
        <is>
          <t>Amount you keep if the client cancels that day (in the last tier, before you deduct the costs you save)</t>
        </is>
      </c>
      <c r="B81" s="21">
        <f>$B$69*$B$80</f>
        <v>635.85</v>
      </c>
    </row>
    <row r="82" ht="16" customHeight="1">
      <c r="A82" s="4" t="inlineStr">
        <is>
          <t>Amount kept: tier 1 (the earliest)</t>
        </is>
      </c>
      <c r="B82" s="21">
        <f>$B$69*INDEX('Pricing Calculator'!$B$143:$D$143,MATCH($B$5,'Pricing Calculator'!$B$133:$D$133,0))</f>
        <v>211.95000000000002</v>
      </c>
      <c r="C82" s="2" t="inlineStr">
        <is>
          <t>The cutoffs of each client type are in the table at the bottom.</t>
        </is>
      </c>
    </row>
    <row r="83">
      <c r="A83" s="4" t="inlineStr">
        <is>
          <t>Amount kept: tier 2</t>
        </is>
      </c>
      <c r="B83" s="21">
        <f>$B$69*INDEX('Pricing Calculator'!$B$144:$D$144,MATCH($B$5,'Pricing Calculator'!$B$133:$D$133,0))</f>
        <v>635.85</v>
      </c>
    </row>
    <row r="84">
      <c r="A84" s="4" t="inlineStr">
        <is>
          <t>Amount kept: tier 3</t>
        </is>
      </c>
      <c r="B84" s="21">
        <f>$B$69*INDEX('Pricing Calculator'!$B$145:$D$145,MATCH($B$5,'Pricing Calculator'!$B$133:$D$133,0))</f>
        <v>1271.7</v>
      </c>
    </row>
    <row r="85">
      <c r="A85" s="4" t="inlineStr">
        <is>
          <t>Amount kept: tier 4 (the latest, or a no-show)</t>
        </is>
      </c>
      <c r="B85" s="21">
        <f>$B$69*INDEX('Pricing Calculator'!$B$146:$D$146,MATCH($B$5,'Pricing Calculator'!$B$133:$D$133,0))</f>
        <v>2119.5</v>
      </c>
    </row>
    <row r="86">
      <c r="A86" s="3" t="inlineStr">
        <is>
          <t>FESTIVAL OR MARKET: THE DAY AHEAD (only if the client type is a festival)</t>
        </is>
      </c>
    </row>
    <row r="87">
      <c r="A87" s="4" t="inlineStr">
        <is>
          <t>Variable cost per drink (drink + pastry)</t>
        </is>
      </c>
      <c r="B87" s="21">
        <f>($B$50+$B$51)/$B$6</f>
        <v>2.3725468818692286</v>
      </c>
    </row>
    <row r="88" ht="32" customHeight="1">
      <c r="A88" s="2" t="inlineStr">
        <is>
          <t>Expected sales (drinks × average price, or the minimum sales guarantee if higher; before sales tax)</t>
        </is>
      </c>
      <c r="B88" s="21">
        <f>IF($B$5='Pricing Calculator'!$D$133,MAX($B$6*$B$23,$B$25),0)</f>
        <v>0.0</v>
      </c>
    </row>
    <row r="89">
      <c r="A89" s="4" t="inlineStr">
        <is>
          <t>Organizer fee (% of sales + flat booth fee)</t>
        </is>
      </c>
      <c r="B89" s="21">
        <f>IF($B$5='Pricing Calculator'!$D$133,$B$88*$B$60+$B$24,0)</f>
        <v>0.0</v>
      </c>
    </row>
    <row r="90" ht="16" customHeight="1">
      <c r="A90" s="4" t="inlineStr">
        <is>
          <t>Result of the day (sales − fee − cost)</t>
        </is>
      </c>
      <c r="B90" s="21">
        <f>IF($B$5='Pricing Calculator'!$D$133,$B$88-$B$89-$B$56,0)</f>
        <v>0.0</v>
      </c>
      <c r="C90" s="2" t="inlineStr">
        <is>
          <t>Before income tax and the fixed costs of the business (cart, insurance, commissary).</t>
        </is>
      </c>
    </row>
    <row r="91" ht="30" customHeight="1">
      <c r="A91" s="4" t="inlineStr">
        <is>
          <t>Drinks needed to cover the costs of the day</t>
        </is>
      </c>
      <c r="B91" s="29">
        <f>IF($B$5='Pricing Calculator'!$D$133,IF($B$23*(1-$B$60)-$B$87&lt;=0,0,ROUNDUP(($B$52+$B$53+$B$54+$B$55+$B$24)/($B$23*(1-$B$60)-$B$87),0)),0)</f>
        <v>0.0</v>
      </c>
      <c r="C91" s="2" t="inlineStr">
        <is>
          <t>Costs of the day that do not depend on the drinks ÷ what each drink leaves after the fee (without the guarantee).</t>
        </is>
      </c>
    </row>
    <row r="93">
      <c r="A93" s="3" t="inlineStr">
        <is>
          <t>SCALING RULES (kit estimates from US ratios)</t>
        </is>
      </c>
      <c r="B93" s="3" t="inlineStr">
        <is>
          <t>Value</t>
        </is>
      </c>
    </row>
    <row r="94" ht="30" customHeight="1">
      <c r="A94" s="4" t="inlineStr">
        <is>
          <t>Drinks per hour one barista makes on a 2-group machine</t>
        </is>
      </c>
      <c r="B94" s="28" t="n">
        <v>55</v>
      </c>
      <c r="C94" s="2" t="inlineStr">
        <is>
          <t>One cart and one barista make 50-65 drinks an hour (flashquotes.com; "50 cups per hour" at coffeecartboys.com). The kit uses 55.</t>
        </is>
      </c>
    </row>
    <row r="95" ht="16" customHeight="1">
      <c r="A95" s="4" t="inlineStr">
        <is>
          <t>Peak factor over the hourly average (the line builds after dinner or at the breaks)</t>
        </is>
      </c>
      <c r="B95" s="13" t="n">
        <v>1.3</v>
      </c>
      <c r="C95" s="2" t="inlineStr">
        <is>
          <t>Kit estimate: the peak hour runs about 30% above the average.</t>
        </is>
      </c>
    </row>
    <row r="96" ht="16" customHeight="1">
      <c r="A96" s="4" t="inlineStr">
        <is>
          <t>Baristas working one 2-group machine</t>
        </is>
      </c>
      <c r="B96" s="28" t="n">
        <v>2</v>
      </c>
      <c r="C96" s="2" t="inlineStr">
        <is>
          <t>Kit estimate: one pulls shots while the other steams milk; above that, add a second station.</t>
        </is>
      </c>
    </row>
    <row r="97" ht="16" customHeight="1">
      <c r="A97" s="4" t="inlineStr">
        <is>
          <t>Groups on one machine</t>
        </is>
      </c>
      <c r="B97" s="28" t="n">
        <v>2</v>
      </c>
      <c r="C97" s="2" t="inlineStr">
        <is>
          <t>The example machines are 2-group machines.</t>
        </is>
      </c>
    </row>
    <row r="98" ht="16" customHeight="1">
      <c r="A98" s="4" t="inlineStr">
        <is>
          <t>Spare grinders (decaf or batch brew) on top of one per station</t>
        </is>
      </c>
      <c r="B98" s="28" t="n">
        <v>1</v>
      </c>
      <c r="C98" s="2" t="inlineStr">
        <is>
          <t>Kit estimate: one espresso grinder per station plus one for decaf.</t>
        </is>
      </c>
    </row>
    <row r="99" ht="16" customHeight="1">
      <c r="A99" s="4" t="inlineStr">
        <is>
          <t>Coffee for purging and dialing in per event (lb)</t>
        </is>
      </c>
      <c r="B99" s="13" t="n">
        <v>0.33</v>
      </c>
      <c r="C99" s="2" t="inlineStr">
        <is>
          <t>Kit estimate: about 150 g (0.33 lb) per event.</t>
        </is>
      </c>
    </row>
    <row r="100" ht="16" customHeight="1">
      <c r="A100" s="4" t="inlineStr">
        <is>
          <t>Spare single-use cups on top of the drinks</t>
        </is>
      </c>
      <c r="B100" s="5" t="n">
        <v>0.1</v>
      </c>
      <c r="C100" s="2" t="inlineStr">
        <is>
          <t>Kit estimate: spills, remakes and courtesy drinks.</t>
        </is>
      </c>
    </row>
    <row r="101" ht="16" customHeight="1">
      <c r="A101" s="4" t="inlineStr">
        <is>
          <t>Reusable cups per guest (with spares while they are washed)</t>
        </is>
      </c>
      <c r="B101" s="13" t="n">
        <v>1.25</v>
      </c>
      <c r="C101" s="2" t="inlineStr">
        <is>
          <t>Kit estimate: china for about 160 at a wedding of 130 guests.</t>
        </is>
      </c>
    </row>
    <row r="102" ht="16" customHeight="1">
      <c r="A102" s="4" t="inlineStr">
        <is>
          <t>Fresh water per drink (gallons: shots, steam and rinsing pitchers)</t>
        </is>
      </c>
      <c r="B102" s="13" t="n">
        <v>0.07000000000000001</v>
      </c>
      <c r="C102" s="2" t="inlineStr">
        <is>
          <t>Kit estimate: about 9 fl oz per drink.</t>
        </is>
      </c>
    </row>
    <row r="103" ht="16" customHeight="1">
      <c r="A103" s="4" t="inlineStr">
        <is>
          <t>Fixed fresh water per event (gallons: hand sink, cleaning and reserve)</t>
        </is>
      </c>
      <c r="B103" s="28" t="n">
        <v>5</v>
      </c>
      <c r="C103" s="2" t="inlineStr">
        <is>
          <t>Kit estimate. Your county sets the size of the hand-sink tanks.</t>
        </is>
      </c>
    </row>
    <row r="104" ht="16" customHeight="1">
      <c r="A104" s="4" t="inlineStr">
        <is>
          <t>Voltage of the machine circuit (V)</t>
        </is>
      </c>
      <c r="B104" s="28" t="n">
        <v>220</v>
      </c>
      <c r="C104" s="2" t="inlineStr">
        <is>
          <t>A 2-group machine runs on a 220-240V circuit.</t>
        </is>
      </c>
    </row>
    <row r="105" ht="16" customHeight="1">
      <c r="A105" s="4" t="inlineStr">
        <is>
          <t>Voltage of a standard outlet (V)</t>
        </is>
      </c>
      <c r="B105" s="28" t="n">
        <v>120</v>
      </c>
      <c r="C105" s="2" t="inlineStr">
        <is>
          <t>A standard US outlet gives 110-120V.</t>
        </is>
      </c>
    </row>
    <row r="106" ht="16" customHeight="1">
      <c r="A106" s="4" t="inlineStr">
        <is>
          <t>Amps of a standard outlet circuit (A)</t>
        </is>
      </c>
      <c r="B106" s="28" t="n">
        <v>20</v>
      </c>
      <c r="C106" s="2" t="inlineStr">
        <is>
          <t>A 20-amp circuit at 120V gives about 2.4 kW; many outlets are only 15 amps (1.8 kW).</t>
        </is>
      </c>
    </row>
    <row r="107" ht="30" customHeight="1">
      <c r="A107" s="4" t="inlineStr">
        <is>
          <t>Generator sizing factor (kW of generator per kW of machines)</t>
        </is>
      </c>
      <c r="B107" s="13" t="n">
        <v>1.6</v>
      </c>
      <c r="C107" s="2" t="inlineStr">
        <is>
          <t>Kit estimate for starting load and the grinders: one 3.4 kW machine needs a 5.5 kW (5,500 W running) inverter generator.</t>
        </is>
      </c>
    </row>
    <row r="109">
      <c r="A109" s="4" t="inlineStr">
        <is>
          <t>Grams in one pound (fixed conversion)</t>
        </is>
      </c>
      <c r="B109" s="31" t="n">
        <v>453.6</v>
      </c>
    </row>
    <row r="110">
      <c r="A110" s="4" t="inlineStr">
        <is>
          <t>Fluid ounces in one US gallon (fixed conversion)</t>
        </is>
      </c>
      <c r="B110" s="31" t="n">
        <v>128</v>
      </c>
    </row>
    <row r="112">
      <c r="A112" s="3" t="inlineStr">
        <is>
          <t>SERVICE LENGTH → DRINKS PER GUEST</t>
        </is>
      </c>
      <c r="B112" s="3" t="inlineStr">
        <is>
          <t>Drinks</t>
        </is>
      </c>
    </row>
    <row r="113">
      <c r="A113" s="4" t="inlineStr">
        <is>
          <t>Up to 2 hours</t>
        </is>
      </c>
      <c r="B113" s="32" t="n">
        <v>1</v>
      </c>
      <c r="C113" s="33" t="inlineStr">
        <is>
          <t>Reference range: 1.0</t>
        </is>
      </c>
      <c r="D113" s="16" t="inlineStr">
        <is>
          <t>grindkit.app ranges; Kit estimate (US ratios): replace with your own measurements</t>
        </is>
      </c>
    </row>
    <row r="114">
      <c r="A114" s="4" t="inlineStr">
        <is>
          <t>Over 2 and up to 4 hours</t>
        </is>
      </c>
      <c r="B114" s="32" t="n">
        <v>1.4</v>
      </c>
      <c r="C114" s="33" t="inlineStr">
        <is>
          <t>Reference range: 1.3-1.5</t>
        </is>
      </c>
    </row>
    <row r="115">
      <c r="A115" s="4" t="inlineStr">
        <is>
          <t>Over 4 and up to 6 hours</t>
        </is>
      </c>
      <c r="B115" s="32" t="n">
        <v>1.65</v>
      </c>
      <c r="C115" s="33" t="inlineStr">
        <is>
          <t>Reference range: 1.5-1.8</t>
        </is>
      </c>
    </row>
    <row r="116">
      <c r="A116" s="4" t="inlineStr">
        <is>
          <t>Over 6 hours (full day)</t>
        </is>
      </c>
      <c r="B116" s="32" t="n">
        <v>2.25</v>
      </c>
      <c r="C116" s="33" t="inlineStr">
        <is>
          <t>Reference range: 2.0-2.5</t>
        </is>
      </c>
    </row>
    <row r="117">
      <c r="A117" s="4" t="inlineStr">
        <is>
          <t>Conference with coffee breaks</t>
        </is>
      </c>
      <c r="B117" s="32" t="n">
        <v>1.6</v>
      </c>
      <c r="C117" s="33" t="inlineStr">
        <is>
          <t>Reference range: blend of the breaks</t>
        </is>
      </c>
    </row>
    <row r="119">
      <c r="A119" s="3" t="inlineStr">
        <is>
          <t>TIME OF DAY → ADJUSTMENT TO THE DRINKS PER GUEST</t>
        </is>
      </c>
      <c r="B119" s="3" t="inlineStr">
        <is>
          <t>Adjustment</t>
        </is>
      </c>
    </row>
    <row r="120">
      <c r="A120" s="4" t="inlineStr">
        <is>
          <t>Morning (breakfast and mid-morning coffee)</t>
        </is>
      </c>
      <c r="B120" s="5" t="n">
        <v>0.25</v>
      </c>
    </row>
    <row r="121">
      <c r="A121" s="4" t="inlineStr">
        <is>
          <t>Afternoon or mixed day</t>
        </is>
      </c>
      <c r="B121" s="5" t="n">
        <v>0</v>
      </c>
    </row>
    <row r="122">
      <c r="A122" s="4" t="inlineStr">
        <is>
          <t>Evening (after dinner)</t>
        </is>
      </c>
      <c r="B122" s="5" t="n">
        <v>-0.1</v>
      </c>
    </row>
    <row r="124">
      <c r="A124" s="3" t="inlineStr">
        <is>
          <t>SERVICE OPTIONS (list for the "Served in" input)</t>
        </is>
      </c>
    </row>
    <row r="125">
      <c r="A125" s="4" t="inlineStr">
        <is>
          <t>Single-use compostable cups</t>
        </is>
      </c>
    </row>
    <row r="126">
      <c r="A126" s="4" t="inlineStr">
        <is>
          <t>Reusable cups (venue china)</t>
        </is>
      </c>
    </row>
    <row r="128">
      <c r="A128" s="3" t="inlineStr">
        <is>
          <t>POWER OPTIONS (list for the "Power at the venue" input)</t>
        </is>
      </c>
    </row>
    <row r="129">
      <c r="A129" s="4" t="inlineStr">
        <is>
          <t>Standard 110V outlet</t>
        </is>
      </c>
    </row>
    <row r="130">
      <c r="A130" s="4" t="inlineStr">
        <is>
          <t>Dedicated 220V circuit</t>
        </is>
      </c>
    </row>
    <row r="131">
      <c r="A131" s="4" t="inlineStr">
        <is>
          <t>No outlet (generator)</t>
        </is>
      </c>
    </row>
    <row r="133" ht="32" customHeight="1">
      <c r="A133" s="3" t="inlineStr">
        <is>
          <t>POLICY BY CLIENT TYPE</t>
        </is>
      </c>
      <c r="B133" s="7" t="inlineStr">
        <is>
          <t>Private event (hosted)</t>
        </is>
      </c>
      <c r="C133" s="7" t="inlineStr">
        <is>
          <t>Corporate (hosted)</t>
        </is>
      </c>
      <c r="D133" s="7" t="inlineStr">
        <is>
          <t>Festival or market (guest-pay)</t>
        </is>
      </c>
    </row>
    <row r="134" ht="75" customHeight="1">
      <c r="A134" s="4" t="inlineStr">
        <is>
          <t>Target gross margin on the price</t>
        </is>
      </c>
      <c r="B134" s="5" t="n">
        <v>0.65</v>
      </c>
      <c r="C134" s="5" t="n">
        <v>0.6</v>
      </c>
      <c r="D134" s="5" t="n">
        <v>0.2</v>
      </c>
      <c r="E134" s="2" t="inlineStr">
        <is>
          <t>What is left of the price after drinks, pastries, event staff, generator and the organizer fee. It pays the cart, insurance, commissary, marketing and your profit. Operators price at 2-3 times their event cost, a 50-70% gross margin (flashquotes.com); at festivals the margin is lower because you sell volume.</t>
        </is>
      </c>
    </row>
    <row r="135" ht="45" customHeight="1">
      <c r="A135" s="4" t="inlineStr">
        <is>
          <t>Organizer fee (% of sales)</t>
        </is>
      </c>
      <c r="B135" s="5" t="n">
        <v>0</v>
      </c>
      <c r="C135" s="5" t="n">
        <v>0</v>
      </c>
      <c r="D135" s="5" t="n">
        <v>0.15</v>
      </c>
      <c r="E135" s="2" t="inlineStr">
        <is>
          <t>Festivals and markets only (a share of sales or a flat booth fee, depending on the organizer). Kit estimate: 15%. The flat booth fee goes in its own input.</t>
        </is>
      </c>
    </row>
    <row r="136" ht="45" customHeight="1">
      <c r="A136" s="4" t="inlineStr">
        <is>
          <t>Payment: retainer at booking (% of the total)</t>
        </is>
      </c>
      <c r="B136" s="5" t="n">
        <v>0.3</v>
      </c>
      <c r="C136" s="5" t="n">
        <v>0.3</v>
      </c>
      <c r="D136" s="5" t="n">
        <v>0</v>
      </c>
      <c r="E136" s="2" t="inlineStr">
        <is>
          <t>Hosted events: 30% when the client signs (US operators ask 30-50%: grindkit.app). The retainer is credited toward the price. Festivals: no retainer.</t>
        </is>
      </c>
    </row>
    <row r="137" ht="30" customHeight="1">
      <c r="A137" s="4" t="inlineStr">
        <is>
          <t>Payment: balance before the event (% of the total)</t>
        </is>
      </c>
      <c r="B137" s="5" t="n">
        <v>0.7</v>
      </c>
      <c r="C137" s="5" t="n">
        <v>0</v>
      </c>
      <c r="D137" s="5" t="n">
        <v>0</v>
      </c>
      <c r="E137" s="2" t="inlineStr">
        <is>
          <t>Private events: the remaining 70%, 14 days before the event (grindkit.app).</t>
        </is>
      </c>
    </row>
    <row r="138" ht="30" customHeight="1">
      <c r="A138" s="4" t="inlineStr">
        <is>
          <t>Payment: balance net 30 after the invoice (% of the total)</t>
        </is>
      </c>
      <c r="B138" s="5" t="n">
        <v>0</v>
      </c>
      <c r="C138" s="5" t="n">
        <v>0.7</v>
      </c>
      <c r="D138" s="5" t="n">
        <v>0</v>
      </c>
      <c r="E138" s="2" t="inlineStr">
        <is>
          <t>Corporate: the remaining 70%, net 30 from the invoice you send after the event.</t>
        </is>
      </c>
    </row>
    <row r="139" ht="30" customHeight="1">
      <c r="A139" s="4" t="inlineStr">
        <is>
          <t>Payment: at the point of sale (% of the total)</t>
        </is>
      </c>
      <c r="B139" s="5" t="n">
        <v>0</v>
      </c>
      <c r="C139" s="5" t="n">
        <v>0</v>
      </c>
      <c r="D139" s="5" t="n">
        <v>1</v>
      </c>
      <c r="E139" s="2" t="inlineStr">
        <is>
          <t>Festivals and markets: guests pay for each drink (card reader or cash).</t>
        </is>
      </c>
    </row>
    <row r="140" ht="30" customHeight="1">
      <c r="A140" s="4" t="inlineStr">
        <is>
          <t>Cancellation: first cutoff (days before the event)</t>
        </is>
      </c>
      <c r="B140" s="28" t="n">
        <v>60</v>
      </c>
      <c r="C140" s="28" t="n">
        <v>30</v>
      </c>
      <c r="D140" s="28" t="n">
        <v>30</v>
      </c>
      <c r="E140" s="2" t="inlineStr">
        <is>
          <t>This many days or more: tier 1. Cutoffs go down from one to the next and leave no gaps.</t>
        </is>
      </c>
    </row>
    <row r="141" ht="16" customHeight="1">
      <c r="A141" s="4" t="inlineStr">
        <is>
          <t>Cancellation: second cutoff (days before the event)</t>
        </is>
      </c>
      <c r="B141" s="28" t="n">
        <v>30</v>
      </c>
      <c r="C141" s="28" t="n">
        <v>15</v>
      </c>
      <c r="D141" s="28" t="n">
        <v>15</v>
      </c>
      <c r="E141" s="2" t="inlineStr">
        <is>
          <t>From here to less than the first cutoff: tier 2.</t>
        </is>
      </c>
    </row>
    <row r="142" ht="45" customHeight="1">
      <c r="A142" s="4" t="inlineStr">
        <is>
          <t>Cancellation: third cutoff (days before the event)</t>
        </is>
      </c>
      <c r="B142" s="28" t="n">
        <v>14</v>
      </c>
      <c r="C142" s="28" t="n">
        <v>7</v>
      </c>
      <c r="D142" s="28" t="n">
        <v>7</v>
      </c>
      <c r="E142" s="2" t="inlineStr">
        <is>
          <t>From here to less than the second cutoff: tier 3. Below this many days: tier 4. Private events: 14 days, the day the balance is due.</t>
        </is>
      </c>
    </row>
    <row r="143" ht="16" customHeight="1">
      <c r="A143" s="4" t="inlineStr">
        <is>
          <t>Cancellation tier 1 (% of the total you keep)</t>
        </is>
      </c>
      <c r="B143" s="5" t="n">
        <v>0.1</v>
      </c>
      <c r="C143" s="5" t="n">
        <v>0.1</v>
      </c>
      <c r="D143" s="5" t="n">
        <v>0</v>
      </c>
      <c r="E143" s="2" t="inlineStr">
        <is>
          <t>Hosted events: 10% of the total. Festivals: not used.</t>
        </is>
      </c>
    </row>
    <row r="144" ht="16" customHeight="1">
      <c r="A144" s="4" t="inlineStr">
        <is>
          <t>Cancellation tier 2 (% of the total you keep)</t>
        </is>
      </c>
      <c r="B144" s="5" t="n">
        <v>0.3</v>
      </c>
      <c r="C144" s="5" t="n">
        <v>0.3</v>
      </c>
      <c r="D144" s="5" t="n">
        <v>0</v>
      </c>
      <c r="E144" s="2" t="inlineStr">
        <is>
          <t>Hosted events: 30% of the total.</t>
        </is>
      </c>
    </row>
    <row r="145" ht="16" customHeight="1">
      <c r="A145" s="4" t="inlineStr">
        <is>
          <t>Cancellation tier 3 (% of the total you keep)</t>
        </is>
      </c>
      <c r="B145" s="5" t="n">
        <v>0.6</v>
      </c>
      <c r="C145" s="5" t="n">
        <v>0.6</v>
      </c>
      <c r="D145" s="5" t="n">
        <v>0</v>
      </c>
      <c r="E145" s="2" t="inlineStr">
        <is>
          <t>Hosted events: 60% of the total.</t>
        </is>
      </c>
    </row>
    <row r="146" ht="45" customHeight="1">
      <c r="A146" s="4" t="inlineStr">
        <is>
          <t>Cancellation tier 4 (% of the total you keep)</t>
        </is>
      </c>
      <c r="B146" s="5" t="n">
        <v>1</v>
      </c>
      <c r="C146" s="5" t="n">
        <v>1</v>
      </c>
      <c r="D146" s="5" t="n">
        <v>0</v>
      </c>
      <c r="E146" s="2" t="inlineStr">
        <is>
          <t>Late cancellation or no-show: 100% minus the costs you save (coffee, milk and cups you do not use, staff and travel). At festivals, the organizer's vendor terms apply.</t>
        </is>
      </c>
    </row>
    <row r="147" ht="32" customHeight="1">
      <c r="A147" s="4" t="inlineStr">
        <is>
          <t>Tier 1 of cancellation (text, built from the cutoffs)</t>
        </is>
      </c>
      <c r="B147" s="2" t="str">
        <f>B140&amp;" days or more"</f>
        <v>60 days or more</v>
      </c>
      <c r="C147" s="2" t="str">
        <f>C140&amp;" days or more"</f>
        <v>30 days or more</v>
      </c>
      <c r="D147" s="2" t="str">
        <f>D140&amp;" days or more"</f>
        <v>30 days or more</v>
      </c>
    </row>
    <row r="148" ht="32" customHeight="1">
      <c r="A148" s="4" t="inlineStr">
        <is>
          <t>Tier 2 of cancellation (text, built from the cutoffs)</t>
        </is>
      </c>
      <c r="B148" s="2" t="str">
        <f>"From "&amp;B141&amp;" to less than "&amp;B140&amp;" days"</f>
        <v>From 30 to less than 60 days</v>
      </c>
      <c r="C148" s="2" t="str">
        <f>"From "&amp;C141&amp;" to less than "&amp;C140&amp;" days"</f>
        <v>From 15 to less than 30 days</v>
      </c>
      <c r="D148" s="2" t="str">
        <f>"From "&amp;D141&amp;" to less than "&amp;D140&amp;" days"</f>
        <v>From 15 to less than 30 days</v>
      </c>
    </row>
    <row r="149" ht="32" customHeight="1">
      <c r="A149" s="4" t="inlineStr">
        <is>
          <t>Tier 3 of cancellation (text, built from the cutoffs)</t>
        </is>
      </c>
      <c r="B149" s="2" t="str">
        <f>"From "&amp;B142&amp;" to less than "&amp;B141&amp;" days"</f>
        <v>From 14 to less than 30 days</v>
      </c>
      <c r="C149" s="2" t="str">
        <f>"From "&amp;C142&amp;" to less than "&amp;C141&amp;" days"</f>
        <v>From 7 to less than 15 days</v>
      </c>
      <c r="D149" s="2" t="str">
        <f>"From "&amp;D142&amp;" to less than "&amp;D141&amp;" days"</f>
        <v>From 7 to less than 15 days</v>
      </c>
    </row>
    <row r="150" ht="32" customHeight="1">
      <c r="A150" s="4" t="inlineStr">
        <is>
          <t>Tier 4 of cancellation (text, built from the cutoffs)</t>
        </is>
      </c>
      <c r="B150" s="2" t="str">
        <f>"Less than "&amp;B142&amp;" days"</f>
        <v>Less than 14 days</v>
      </c>
      <c r="C150" s="2" t="str">
        <f>"Less than "&amp;C142&amp;" days"</f>
        <v>Less than 7 days</v>
      </c>
      <c r="D150" s="2" t="str">
        <f>"Less than "&amp;D142&amp;" days"</f>
        <v>Less than 7 days</v>
      </c>
    </row>
    <row r="152">
      <c r="A152" s="3" t="inlineStr">
        <is>
          <t>SCALING TABLE (typical event: a 2-hour bar in the afternoon, single-use cups)</t>
        </is>
      </c>
      <c r="B152" s="34" t="n">
        <v>50</v>
      </c>
      <c r="C152" s="34" t="n">
        <v>100</v>
      </c>
      <c r="D152" s="34" t="n">
        <v>200</v>
      </c>
      <c r="E152" s="34" t="n">
        <v>300</v>
      </c>
    </row>
    <row r="153">
      <c r="A153" s="4" t="inlineStr">
        <is>
          <t>Bar hours of the typical event</t>
        </is>
      </c>
      <c r="B153" s="35" t="n">
        <v>2</v>
      </c>
    </row>
    <row r="154">
      <c r="A154" s="4" t="inlineStr">
        <is>
          <t>Drinks served</t>
        </is>
      </c>
      <c r="B154" s="29">
        <f>ROUNDUP(ROUND(B$152*$B$113*(1+$B$121),2),0)</f>
        <v>50.0</v>
      </c>
      <c r="C154" s="29">
        <f>ROUNDUP(ROUND(C$152*$B$113*(1+$B$121),2),0)</f>
        <v>100.0</v>
      </c>
      <c r="D154" s="29">
        <f>ROUNDUP(ROUND(D$152*$B$113*(1+$B$121),2),0)</f>
        <v>200.0</v>
      </c>
      <c r="E154" s="29">
        <f>ROUNDUP(ROUND(E$152*$B$113*(1+$B$121),2),0)</f>
        <v>300.0</v>
      </c>
    </row>
    <row r="155">
      <c r="A155" s="4" t="inlineStr">
        <is>
          <t>Baristas</t>
        </is>
      </c>
      <c r="B155" s="29">
        <f>MAX(1,ROUNDUP(ROUND(B154/$B$153*$B$95/$B$94,2),0))</f>
        <v>1.0</v>
      </c>
      <c r="C155" s="29">
        <f>MAX(1,ROUNDUP(ROUND(C154/$B$153*$B$95/$B$94,2),0))</f>
        <v>2.0</v>
      </c>
      <c r="D155" s="29">
        <f>MAX(1,ROUNDUP(ROUND(D154/$B$153*$B$95/$B$94,2),0))</f>
        <v>3.0</v>
      </c>
      <c r="E155" s="29">
        <f>MAX(1,ROUNDUP(ROUND(E154/$B$153*$B$95/$B$94,2),0))</f>
        <v>4.0</v>
      </c>
    </row>
    <row r="156">
      <c r="A156" s="4" t="inlineStr">
        <is>
          <t>2-group machines (stations)</t>
        </is>
      </c>
      <c r="B156" s="29">
        <f>ROUNDUP(B155/$B$96,0)</f>
        <v>1.0</v>
      </c>
      <c r="C156" s="29">
        <f>ROUNDUP(C155/$B$96,0)</f>
        <v>1.0</v>
      </c>
      <c r="D156" s="29">
        <f>ROUNDUP(D155/$B$96,0)</f>
        <v>2.0</v>
      </c>
      <c r="E156" s="29">
        <f>ROUNDUP(E155/$B$96,0)</f>
        <v>2.0</v>
      </c>
    </row>
    <row r="157">
      <c r="A157" s="4" t="inlineStr">
        <is>
          <t>Groups in total</t>
        </is>
      </c>
      <c r="B157" s="29">
        <f>B156*$B$97</f>
        <v>2.0</v>
      </c>
      <c r="C157" s="29">
        <f>C156*$B$97</f>
        <v>2.0</v>
      </c>
      <c r="D157" s="29">
        <f>D156*$B$97</f>
        <v>4.0</v>
      </c>
      <c r="E157" s="29">
        <f>E156*$B$97</f>
        <v>4.0</v>
      </c>
    </row>
    <row r="158">
      <c r="A158" s="4" t="inlineStr">
        <is>
          <t>Grinders</t>
        </is>
      </c>
      <c r="B158" s="29">
        <f>B156+$B$98</f>
        <v>2.0</v>
      </c>
      <c r="C158" s="29">
        <f>C156+$B$98</f>
        <v>2.0</v>
      </c>
      <c r="D158" s="29">
        <f>D156+$B$98</f>
        <v>3.0</v>
      </c>
      <c r="E158" s="29">
        <f>E156+$B$98</f>
        <v>3.0</v>
      </c>
    </row>
    <row r="159">
      <c r="A159" s="4" t="inlineStr">
        <is>
          <t>Coffee beans (lb)</t>
        </is>
      </c>
      <c r="B159" s="18">
        <f>ROUNDUP(B154*'Cost per Drink'!$B$49/$B$109+$B$99,1)</f>
        <v>2.2</v>
      </c>
      <c r="C159" s="18">
        <f>ROUNDUP(C154*'Cost per Drink'!$B$49/$B$109+$B$99,1)</f>
        <v>4.1</v>
      </c>
      <c r="D159" s="18">
        <f>ROUNDUP(D154*'Cost per Drink'!$B$49/$B$109+$B$99,1)</f>
        <v>7.8</v>
      </c>
      <c r="E159" s="18">
        <f>ROUNDUP(E154*'Cost per Drink'!$B$49/$B$109+$B$99,1)</f>
        <v>11.6</v>
      </c>
    </row>
    <row r="160">
      <c r="A160" s="4" t="inlineStr">
        <is>
          <t>Milk and plant-based milks (gal)</t>
        </is>
      </c>
      <c r="B160" s="29">
        <f>ROUNDUP(ROUND(B154*'Cost per Drink'!$B$50/$B$110,2),0)</f>
        <v>2.0</v>
      </c>
      <c r="C160" s="29">
        <f>ROUNDUP(ROUND(C154*'Cost per Drink'!$B$50/$B$110,2),0)</f>
        <v>4.0</v>
      </c>
      <c r="D160" s="29">
        <f>ROUNDUP(ROUND(D154*'Cost per Drink'!$B$50/$B$110,2),0)</f>
        <v>8.0</v>
      </c>
      <c r="E160" s="29">
        <f>ROUNDUP(ROUND(E154*'Cost per Drink'!$B$50/$B$110,2),0)</f>
        <v>12.0</v>
      </c>
    </row>
    <row r="161">
      <c r="A161" s="4" t="inlineStr">
        <is>
          <t>Single-use cups</t>
        </is>
      </c>
      <c r="B161" s="29">
        <f>ROUNDUP(ROUND(B154*(1+$B$100),2),0)</f>
        <v>55.0</v>
      </c>
      <c r="C161" s="29">
        <f>ROUNDUP(ROUND(C154*(1+$B$100),2),0)</f>
        <v>110.0</v>
      </c>
      <c r="D161" s="29">
        <f>ROUNDUP(ROUND(D154*(1+$B$100),2),0)</f>
        <v>220.0</v>
      </c>
      <c r="E161" s="29">
        <f>ROUNDUP(ROUND(E154*(1+$B$100),2),0)</f>
        <v>330.0</v>
      </c>
    </row>
    <row r="162">
      <c r="A162" s="4" t="inlineStr">
        <is>
          <t>Power draw of the machines (kW)</t>
        </is>
      </c>
      <c r="B162" s="18">
        <f>B156*$B$16</f>
        <v>3.4</v>
      </c>
      <c r="C162" s="18">
        <f>C156*$B$16</f>
        <v>3.4</v>
      </c>
      <c r="D162" s="18">
        <f>D156*$B$16</f>
        <v>6.8</v>
      </c>
      <c r="E162" s="18">
        <f>E156*$B$16</f>
        <v>6.8</v>
      </c>
    </row>
    <row r="163" ht="32" customHeight="1">
      <c r="A163" s="4" t="inlineStr">
        <is>
          <t>Power needed</t>
        </is>
      </c>
      <c r="B163" s="2" t="str">
        <f>IF(B162&lt;=$B$45,$A$129,"Dedicated 220V circuit or generator")</f>
        <v>Dedicated 220V circuit or generator</v>
      </c>
      <c r="C163" s="2" t="str">
        <f>IF(C162&lt;=$B$45,$A$129,"Dedicated 220V circuit or generator")</f>
        <v>Dedicated 220V circuit or generator</v>
      </c>
      <c r="D163" s="2" t="str">
        <f>IF(D162&lt;=$B$45,$A$129,"Dedicated 220V circuit or generator")</f>
        <v>Dedicated 220V circuit or generator</v>
      </c>
      <c r="E163" s="2" t="str">
        <f>IF(E162&lt;=$B$45,$A$129,"Dedicated 220V circuit or generator")</f>
        <v>Dedicated 220V circuit or generator</v>
      </c>
    </row>
    <row r="164">
      <c r="A164" s="4" t="inlineStr">
        <is>
          <t>Fresh water (gal)</t>
        </is>
      </c>
      <c r="B164" s="29">
        <f>ROUNDUP(ROUND(B154*$B$102+$B$103,2),0)</f>
        <v>9.0</v>
      </c>
      <c r="C164" s="29">
        <f>ROUNDUP(ROUND(C154*$B$102+$B$103,2),0)</f>
        <v>12.0</v>
      </c>
      <c r="D164" s="29">
        <f>ROUNDUP(ROUND(D154*$B$102+$B$103,2),0)</f>
        <v>19.0</v>
      </c>
      <c r="E164" s="29">
        <f>ROUNDUP(ROUND(E154*$B$102+$B$103,2),0)</f>
        <v>26.0</v>
      </c>
    </row>
    <row r="165" ht="48" customHeight="1">
      <c r="A165" s="16" t="inlineStr">
        <is>
          <t>One barista on a 2-group machine makes 50-65 drinks an hour (flashquotes.com); a second station comes in when the peak does not fit. A standard 110V outlet gives about 2.4 kW: a 220V 2-group machine needs a dedicated circuit or a generator. Kit estimate from US ratios.</t>
        </is>
      </c>
    </row>
  </sheetData>
  <sheetProtection selectLockedCells="0" selectUnlockedCells="0" sheet="1" objects="0" insertRows="1" insertHyperlinks="1" autoFilter="1" scenarios="0" formatColumns="1" deleteColumns="1" insertColumns="1" pivotTables="1" deleteRows="1" formatCells="1" formatRows="1" sort="1"/>
  <mergeCells count="89">
    <mergeCell ref="C52:F52"/>
    <mergeCell ref="E145:F145"/>
    <mergeCell ref="E139:F139"/>
    <mergeCell ref="C61:F61"/>
    <mergeCell ref="C39:F39"/>
    <mergeCell ref="E142:F142"/>
    <mergeCell ref="C72:F72"/>
    <mergeCell ref="C32:F32"/>
    <mergeCell ref="C37:F37"/>
    <mergeCell ref="C13:F13"/>
    <mergeCell ref="C6:F6"/>
    <mergeCell ref="C62:F62"/>
    <mergeCell ref="E137:F137"/>
    <mergeCell ref="C15:F15"/>
    <mergeCell ref="C24:F24"/>
    <mergeCell ref="C107:F107"/>
    <mergeCell ref="C64:F64"/>
    <mergeCell ref="C73:F73"/>
    <mergeCell ref="C26:F26"/>
    <mergeCell ref="C63:F63"/>
    <mergeCell ref="C10:F10"/>
    <mergeCell ref="C41:F41"/>
    <mergeCell ref="C50:F50"/>
    <mergeCell ref="C105:F105"/>
    <mergeCell ref="C43:F43"/>
    <mergeCell ref="E136:F136"/>
    <mergeCell ref="E146:F146"/>
    <mergeCell ref="C17:F17"/>
    <mergeCell ref="C19:F19"/>
    <mergeCell ref="D113:F114"/>
    <mergeCell ref="A2:F2"/>
    <mergeCell ref="C96:F96"/>
    <mergeCell ref="C30:F30"/>
    <mergeCell ref="C5:F5"/>
    <mergeCell ref="C14:F14"/>
    <mergeCell ref="C98:F98"/>
    <mergeCell ref="C40:F40"/>
    <mergeCell ref="C90:F90"/>
    <mergeCell ref="C71:F71"/>
    <mergeCell ref="C76:F76"/>
    <mergeCell ref="B47:F47"/>
    <mergeCell ref="C8:F8"/>
    <mergeCell ref="C91:F91"/>
    <mergeCell ref="C82:F82"/>
    <mergeCell ref="E141:F141"/>
    <mergeCell ref="E135:F135"/>
    <mergeCell ref="C66:F66"/>
    <mergeCell ref="C18:F18"/>
    <mergeCell ref="C102:F102"/>
    <mergeCell ref="B48:F48"/>
    <mergeCell ref="E143:F143"/>
    <mergeCell ref="C77:F77"/>
    <mergeCell ref="C34:F34"/>
    <mergeCell ref="A165:F165"/>
    <mergeCell ref="C45:F45"/>
    <mergeCell ref="C97:F97"/>
    <mergeCell ref="C20:F20"/>
    <mergeCell ref="C100:F100"/>
    <mergeCell ref="C94:F94"/>
    <mergeCell ref="C65:F65"/>
    <mergeCell ref="C44:F44"/>
    <mergeCell ref="E144:F144"/>
    <mergeCell ref="C22:F22"/>
    <mergeCell ref="C31:F31"/>
    <mergeCell ref="E134:F134"/>
    <mergeCell ref="C12:F12"/>
    <mergeCell ref="C46:F46"/>
    <mergeCell ref="C21:F21"/>
    <mergeCell ref="C95:F95"/>
    <mergeCell ref="C60:F60"/>
    <mergeCell ref="C23:F23"/>
    <mergeCell ref="C106:F106"/>
    <mergeCell ref="C7:F7"/>
    <mergeCell ref="C38:F38"/>
    <mergeCell ref="E140:F140"/>
    <mergeCell ref="E138:F138"/>
    <mergeCell ref="C101:F101"/>
    <mergeCell ref="C104:F104"/>
    <mergeCell ref="C74:F74"/>
    <mergeCell ref="C35:F35"/>
    <mergeCell ref="C16:F16"/>
    <mergeCell ref="C25:F25"/>
    <mergeCell ref="C103:F103"/>
    <mergeCell ref="C55:F55"/>
    <mergeCell ref="C99:F99"/>
    <mergeCell ref="C9:F9"/>
    <mergeCell ref="C59:F59"/>
    <mergeCell ref="B79:F79"/>
    <mergeCell ref="C11:F11"/>
  </mergeCells>
  <dataValidations count="12">
    <dataValidation sqref="B5" showDropDown="0" showInputMessage="0" showErrorMessage="1" allowBlank="0" errorTitle="Invalid client type" error="Choose Private event, Corporate or Festival or market." type="list">
      <formula1>"Private event (hosted),Corporate (hosted),Festival or market (guest-pay)"</formula1>
    </dataValidation>
    <dataValidation sqref="B7" showDropDown="0" showInputMessage="0" showErrorMessage="1" allowBlank="0" errorTitle="Invalid service length" error="Choose an option from the list." type="list">
      <formula1>=$A$113:$A$117</formula1>
    </dataValidation>
    <dataValidation sqref="B8" showDropDown="0" showInputMessage="0" showErrorMessage="1" allowBlank="0" errorTitle="Invalid time of day" error="Choose an option from the list." type="list">
      <formula1>=$A$120:$A$122</formula1>
    </dataValidation>
    <dataValidation sqref="B9" showDropDown="0" showInputMessage="0" showErrorMessage="1" allowBlank="0" errorTitle="Invalid service option" error="Choose an option from the list." type="list">
      <formula1>=$A$125:$A$126</formula1>
    </dataValidation>
    <dataValidation sqref="B14" showDropDown="0" showInputMessage="0" showErrorMessage="1" allowBlank="0" errorTitle="Invalid power option" error="Choose an option from the list." type="list">
      <formula1>=$A$129:$A$131</formula1>
    </dataValidation>
    <dataValidation sqref="B6" showDropDown="0" showInputMessage="0" showErrorMessage="1" allowBlank="0" errorTitle="Invalid number" error="Enter a whole number of 1 or more." type="whole" operator="between">
      <formula1>1</formula1>
      <formula2>100000</formula2>
    </dataValidation>
    <dataValidation sqref="B19 B20 B26 B94 B96 B97 B98 B103 B104 B105 B106 B140 B141 B142 C140 C141 C142 D140 D141 D142" showDropDown="0" showInputMessage="0" showErrorMessage="1" allowBlank="0" errorTitle="Invalid number" error="Enter a whole number of 0 or more." type="whole" operator="between">
      <formula1>0</formula1>
      <formula2>100000</formula2>
    </dataValidation>
    <dataValidation sqref="B10 B153" showDropDown="0" showInputMessage="0" showErrorMessage="1" allowBlank="0" errorTitle="Invalid hours" error="Enter 0.5 to 24 hours (it cannot be 0: the sheet divides by it)." type="decimal" operator="between">
      <formula1>0.5</formula1>
      <formula2>24</formula2>
    </dataValidation>
    <dataValidation sqref="B11 B12 B13 B15 B16 B17 B21 B23 B24 B25 B95 B99 B101 B102 B107 B113 B114 B115 B116 B117" showDropDown="0" showInputMessage="0" showErrorMessage="1" allowBlank="0" errorTitle="Invalid amount" error="Enter a number of 0 or more." type="decimal" operator="greaterThanOrEqual">
      <formula1>0</formula1>
    </dataValidation>
    <dataValidation sqref="B18 B22 B100 B135 B136 B137 B138 B139 B143 B144 B145 B146 C135 C136 C137 C138 C139 C143 C144 C145 C146 D135 D136 D137 D138 D139 D143 D144 D145 D146" showDropDown="0" showInputMessage="0" showErrorMessage="1" allowBlank="0" errorTitle="Invalid percentage" error="Enter a percentage from 0 to 1 (0.10 = 10%)." type="decimal" operator="between">
      <formula1>0</formula1>
      <formula2>1</formula2>
    </dataValidation>
    <dataValidation sqref="B134 C134 D134" showDropDown="0" showInputMessage="0" showErrorMessage="1" allowBlank="0" errorTitle="Invalid percentage" error="Enter a target margin from 0 to 80% (0.50 = 50%): the sheet divides by 1 − margin − fee." type="decimal" operator="between">
      <formula1>0</formula1>
      <formula2>0.8</formula2>
    </dataValidation>
    <dataValidation sqref="B120 B121 B122" showDropDown="0" showInputMessage="0" showErrorMessage="1" allowBlank="0" errorTitle="Invalid adjustment" error="Enter an adjustment from −50% to 100%." type="decimal" operator="between">
      <formula1>-0.5</formula1>
      <formula2>1</formula2>
    </dataValidation>
  </dataValidations>
  <printOptions horizontalCentered="1"/>
  <pageMargins left="0.75" right="0.75" top="1" bottom="1" header="0.5" footer="0.5"/>
  <pageSetup orientation="portrait" paperSize="1" fitToHeight="0" fitToWidth="1"/>
  <headerFooter>
    <oddHeader/>
    <oddFooter>&amp;CAI Chef Pro · aichef.pro ·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D96"/>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66" customWidth="1" min="1" max="1"/>
    <col width="30" customWidth="1" min="2" max="2"/>
    <col width="30" customWidth="1" min="3" max="3"/>
    <col width="30" customWidth="1" min="4" max="4"/>
  </cols>
  <sheetData>
    <row r="1">
      <c r="A1" s="1" t="inlineStr">
        <is>
          <t>3 EXAMPLE QUOTES — with the same formulas as the "Pricing Calculator" tab</t>
        </is>
      </c>
    </row>
    <row r="2" ht="32" customHeight="1">
      <c r="A2" s="2" t="inlineStr">
        <is>
          <t>Kit estimates to show how the calculation works, not market prices: change the inputs on "Pricing Calculator" to quote your own events. The tables (margin and payments by client type, service lengths, scaling) are at the bottom of that tab and the drink mix is on "Cost per Drink"; they move these examples too.</t>
        </is>
      </c>
    </row>
    <row r="4" ht="48" customHeight="1">
      <c r="A4" s="3" t="inlineStr">
        <is>
          <t>EVENT DETAILS</t>
        </is>
      </c>
      <c r="B4" s="7" t="inlineStr">
        <is>
          <t>Wedding coffee bar after dinner</t>
        </is>
      </c>
      <c r="C4" s="7" t="inlineStr">
        <is>
          <t>Corporate morning meeting</t>
        </is>
      </c>
      <c r="D4" s="7" t="inlineStr">
        <is>
          <t>Community festival, guest-pay</t>
        </is>
      </c>
    </row>
    <row r="5">
      <c r="A5" s="4" t="inlineStr">
        <is>
          <t>Client type</t>
        </is>
      </c>
      <c r="B5" s="2" t="inlineStr">
        <is>
          <t>Private event (hosted)</t>
        </is>
      </c>
      <c r="C5" s="2" t="inlineStr">
        <is>
          <t>Corporate (hosted)</t>
        </is>
      </c>
      <c r="D5" s="2" t="inlineStr">
        <is>
          <t>Festival or market (guest-pay)</t>
        </is>
      </c>
    </row>
    <row r="6">
      <c r="A6" s="4" t="inlineStr">
        <is>
          <t>Expected guests (at a festival or market, expected drinks)</t>
        </is>
      </c>
      <c r="B6" s="29" t="n">
        <v>130</v>
      </c>
      <c r="C6" s="29" t="n">
        <v>90</v>
      </c>
      <c r="D6" s="29" t="n">
        <v>150</v>
      </c>
    </row>
    <row r="7">
      <c r="A7" s="4" t="inlineStr">
        <is>
          <t>Service length (sets the drinks per guest)</t>
        </is>
      </c>
      <c r="B7" s="2" t="inlineStr">
        <is>
          <t>Over 2 and up to 4 hours</t>
        </is>
      </c>
      <c r="C7" s="2" t="inlineStr">
        <is>
          <t>Up to 2 hours</t>
        </is>
      </c>
      <c r="D7" s="2" t="inlineStr">
        <is>
          <t>Up to 2 hours</t>
        </is>
      </c>
    </row>
    <row r="8">
      <c r="A8" s="4" t="inlineStr">
        <is>
          <t>Time of day</t>
        </is>
      </c>
      <c r="B8" s="2" t="inlineStr">
        <is>
          <t>Evening (after dinner)</t>
        </is>
      </c>
      <c r="C8" s="2" t="inlineStr">
        <is>
          <t>Morning (breakfast and mid-morning coffee)</t>
        </is>
      </c>
      <c r="D8" s="2" t="inlineStr">
        <is>
          <t>Morning (breakfast and mid-morning coffee)</t>
        </is>
      </c>
    </row>
    <row r="9">
      <c r="A9" s="4" t="inlineStr">
        <is>
          <t>Served in</t>
        </is>
      </c>
      <c r="B9" s="2" t="inlineStr">
        <is>
          <t>Single-use compostable cups</t>
        </is>
      </c>
      <c r="C9" s="2" t="inlineStr">
        <is>
          <t>Single-use compostable cups</t>
        </is>
      </c>
      <c r="D9" s="2" t="inlineStr">
        <is>
          <t>Single-use compostable cups</t>
        </is>
      </c>
    </row>
    <row r="10">
      <c r="A10" s="4" t="inlineStr">
        <is>
          <t>Service hours (bar open)</t>
        </is>
      </c>
      <c r="B10" s="18" t="n">
        <v>3</v>
      </c>
      <c r="C10" s="18" t="n">
        <v>2</v>
      </c>
      <c r="D10" s="18" t="n">
        <v>4</v>
      </c>
    </row>
    <row r="11">
      <c r="A11" s="4" t="inlineStr">
        <is>
          <t>Hours per person outside service (loading, travel, setup and cleanup)</t>
        </is>
      </c>
      <c r="B11" s="18" t="n">
        <v>5</v>
      </c>
      <c r="C11" s="18" t="n">
        <v>5</v>
      </c>
      <c r="D11" s="18" t="n">
        <v>3</v>
      </c>
    </row>
    <row r="12">
      <c r="A12" s="4" t="inlineStr">
        <is>
          <t>Pastries per guest (your cost, from a licensed bakery)</t>
        </is>
      </c>
      <c r="B12" s="21" t="n">
        <v>0.75</v>
      </c>
      <c r="C12" s="21" t="n">
        <v>0</v>
      </c>
      <c r="D12" s="21" t="n">
        <v>0</v>
      </c>
    </row>
    <row r="13">
      <c r="A13" s="4" t="inlineStr">
        <is>
          <t>Rentals billed to the client (tent, tables, extra cups)</t>
        </is>
      </c>
      <c r="B13" s="21" t="n">
        <v>0</v>
      </c>
      <c r="C13" s="21" t="n">
        <v>0</v>
      </c>
      <c r="D13" s="21" t="n">
        <v>0</v>
      </c>
    </row>
    <row r="14">
      <c r="A14" s="4" t="inlineStr">
        <is>
          <t>Power at the venue</t>
        </is>
      </c>
      <c r="B14" s="2" t="inlineStr">
        <is>
          <t>Dedicated 220V circuit</t>
        </is>
      </c>
      <c r="C14" s="2" t="inlineStr">
        <is>
          <t>Dedicated 220V circuit</t>
        </is>
      </c>
      <c r="D14" s="2" t="inlineStr">
        <is>
          <t>No outlet (generator)</t>
        </is>
      </c>
    </row>
    <row r="15">
      <c r="A15" s="4" t="inlineStr">
        <is>
          <t>Generator: cost per event (fuel and wear, only without an outlet)</t>
        </is>
      </c>
      <c r="B15" s="21" t="n">
        <v>60</v>
      </c>
      <c r="C15" s="21" t="n">
        <v>60</v>
      </c>
      <c r="D15" s="21" t="n">
        <v>60</v>
      </c>
    </row>
    <row r="16">
      <c r="A16" s="4" t="inlineStr">
        <is>
          <t>Power draw of your 2-group machine (kW)</t>
        </is>
      </c>
      <c r="B16" s="18" t="n">
        <v>3.4</v>
      </c>
      <c r="C16" s="18" t="n">
        <v>3.4</v>
      </c>
      <c r="D16" s="18" t="n">
        <v>3.4</v>
      </c>
    </row>
    <row r="17">
      <c r="A17" s="4" t="inlineStr">
        <is>
          <t>Hourly wage of a barista</t>
        </is>
      </c>
      <c r="B17" s="21" t="n">
        <v>20</v>
      </c>
      <c r="C17" s="21" t="n">
        <v>20</v>
      </c>
      <c r="D17" s="21" t="n">
        <v>20</v>
      </c>
    </row>
    <row r="18">
      <c r="A18" s="4" t="inlineStr">
        <is>
          <t>Payroll taxes on wages (%)</t>
        </is>
      </c>
      <c r="B18" s="24" t="n">
        <v>0.1</v>
      </c>
      <c r="C18" s="24" t="n">
        <v>0.1</v>
      </c>
      <c r="D18" s="24" t="n">
        <v>0.1</v>
      </c>
    </row>
    <row r="19">
      <c r="A19" s="4" t="inlineStr">
        <is>
          <t>Miles one way (base to venue)</t>
        </is>
      </c>
      <c r="B19" s="29" t="n">
        <v>25</v>
      </c>
      <c r="C19" s="29" t="n">
        <v>15</v>
      </c>
      <c r="D19" s="29" t="n">
        <v>15</v>
      </c>
    </row>
    <row r="20">
      <c r="A20" s="4" t="inlineStr">
        <is>
          <t>Free travel radius (miles one way)</t>
        </is>
      </c>
      <c r="B20" s="29" t="n">
        <v>20</v>
      </c>
      <c r="C20" s="29" t="n">
        <v>20</v>
      </c>
      <c r="D20" s="29" t="n">
        <v>20</v>
      </c>
    </row>
    <row r="21">
      <c r="A21" s="4" t="inlineStr">
        <is>
          <t>Travel rate per mile (charged round trip)</t>
        </is>
      </c>
      <c r="B21" s="21" t="n">
        <v>1.25</v>
      </c>
      <c r="C21" s="21" t="n">
        <v>1.25</v>
      </c>
      <c r="D21" s="21" t="n">
        <v>1.25</v>
      </c>
    </row>
    <row r="22">
      <c r="A22" s="4" t="inlineStr">
        <is>
          <t>Sales tax rate</t>
        </is>
      </c>
      <c r="B22" s="24" t="n">
        <v>0.08</v>
      </c>
      <c r="C22" s="24" t="n">
        <v>0.08</v>
      </c>
      <c r="D22" s="24" t="n">
        <v>0.08</v>
      </c>
    </row>
    <row r="23">
      <c r="A23" s="4" t="inlineStr">
        <is>
          <t>Festival: average price per drink you will charge (before sales tax)</t>
        </is>
      </c>
      <c r="B23" s="21" t="n">
        <v>6.5</v>
      </c>
      <c r="C23" s="21" t="n">
        <v>6.5</v>
      </c>
      <c r="D23" s="21" t="n">
        <v>6.5</v>
      </c>
    </row>
    <row r="24">
      <c r="A24" s="4" t="inlineStr">
        <is>
          <t>Festival: flat booth fee</t>
        </is>
      </c>
      <c r="B24" s="21" t="n">
        <v>0</v>
      </c>
      <c r="C24" s="21" t="n">
        <v>0</v>
      </c>
      <c r="D24" s="21" t="n">
        <v>0</v>
      </c>
    </row>
    <row r="25">
      <c r="A25" s="4" t="inlineStr">
        <is>
          <t>Festival: minimum sales guarantee from the organizer (0 if none)</t>
        </is>
      </c>
      <c r="B25" s="21" t="n">
        <v>0</v>
      </c>
      <c r="C25" s="21" t="n">
        <v>0</v>
      </c>
      <c r="D25" s="21" t="n">
        <v>800</v>
      </c>
    </row>
    <row r="26">
      <c r="A26" s="4" t="inlineStr">
        <is>
          <t>Days before the event if the client cancels</t>
        </is>
      </c>
      <c r="B26" s="29" t="n">
        <v>45</v>
      </c>
      <c r="C26" s="29" t="n">
        <v>20</v>
      </c>
      <c r="D26" s="29" t="n">
        <v>45</v>
      </c>
    </row>
    <row r="28" ht="48" customHeight="1">
      <c r="A28" s="3" t="inlineStr">
        <is>
          <t>RESULT</t>
        </is>
      </c>
      <c r="B28" s="7" t="inlineStr">
        <is>
          <t>Wedding coffee bar after dinner</t>
        </is>
      </c>
      <c r="C28" s="7" t="inlineStr">
        <is>
          <t>Corporate morning meeting</t>
        </is>
      </c>
      <c r="D28" s="7" t="inlineStr">
        <is>
          <t>Community festival, guest-pay</t>
        </is>
      </c>
    </row>
    <row r="29">
      <c r="A29" s="3" t="inlineStr">
        <is>
          <t>LOGISTICS (scaling table)</t>
        </is>
      </c>
    </row>
    <row r="30">
      <c r="A30" s="4" t="inlineStr">
        <is>
          <t>Drinks per guest for this service length</t>
        </is>
      </c>
      <c r="B30" s="26">
        <f>INDEX('Pricing Calculator'!$B$113:$B$117,MATCH($B$7,'Pricing Calculator'!$A$113:$A$117,0))</f>
        <v>1.4</v>
      </c>
      <c r="C30" s="26">
        <f>INDEX('Pricing Calculator'!$B$113:$B$117,MATCH($C$7,'Pricing Calculator'!$A$113:$A$117,0))</f>
        <v>1.0</v>
      </c>
      <c r="D30" s="26">
        <f>INDEX('Pricing Calculator'!$B$113:$B$117,MATCH($D$7,'Pricing Calculator'!$A$113:$A$117,0))</f>
        <v>1.0</v>
      </c>
    </row>
    <row r="31">
      <c r="A31" s="4" t="inlineStr">
        <is>
          <t>Time-of-day adjustment</t>
        </is>
      </c>
      <c r="B31" s="24">
        <f>INDEX('Pricing Calculator'!$B$120:$B$122,MATCH($B$8,'Pricing Calculator'!$A$120:$A$122,0))</f>
        <v>-0.1</v>
      </c>
      <c r="C31" s="24">
        <f>INDEX('Pricing Calculator'!$B$120:$B$122,MATCH($C$8,'Pricing Calculator'!$A$120:$A$122,0))</f>
        <v>0.25</v>
      </c>
      <c r="D31" s="24">
        <f>INDEX('Pricing Calculator'!$B$120:$B$122,MATCH($D$8,'Pricing Calculator'!$A$120:$A$122,0))</f>
        <v>0.25</v>
      </c>
    </row>
    <row r="32">
      <c r="A32" s="4" t="inlineStr">
        <is>
          <t>Drinks served</t>
        </is>
      </c>
      <c r="B32" s="29">
        <f>IF($B$5='Pricing Calculator'!$D$133,$B$6,ROUNDUP(ROUND($B$6*$B$30*(1+$B$31),2),0))</f>
        <v>164.0</v>
      </c>
      <c r="C32" s="29">
        <f>IF($C$5='Pricing Calculator'!$D$133,$C$6,ROUNDUP(ROUND($C$6*$C$30*(1+$C$31),2),0))</f>
        <v>113.0</v>
      </c>
      <c r="D32" s="29">
        <f>IF($D$5='Pricing Calculator'!$D$133,$D$6,ROUNDUP(ROUND($D$6*$D$30*(1+$D$31),2),0))</f>
        <v>150.0</v>
      </c>
    </row>
    <row r="33">
      <c r="A33" s="4" t="inlineStr">
        <is>
          <t>Drinks per hour (average)</t>
        </is>
      </c>
      <c r="B33" s="18">
        <f>$B$32/$B$10</f>
        <v>54.666666666666664</v>
      </c>
      <c r="C33" s="18">
        <f>$C$32/$C$10</f>
        <v>56.5</v>
      </c>
      <c r="D33" s="18">
        <f>$D$32/$D$10</f>
        <v>37.5</v>
      </c>
    </row>
    <row r="34">
      <c r="A34" s="4" t="inlineStr">
        <is>
          <t>Baristas needed</t>
        </is>
      </c>
      <c r="B34" s="29">
        <f>MAX(1,ROUNDUP(ROUND($B$33*'Pricing Calculator'!$B$95/'Pricing Calculator'!$B$94,2),0))</f>
        <v>2.0</v>
      </c>
      <c r="C34" s="29">
        <f>MAX(1,ROUNDUP(ROUND($C$33*'Pricing Calculator'!$B$95/'Pricing Calculator'!$B$94,2),0))</f>
        <v>2.0</v>
      </c>
      <c r="D34" s="29">
        <f>MAX(1,ROUNDUP(ROUND($D$33*'Pricing Calculator'!$B$95/'Pricing Calculator'!$B$94,2),0))</f>
        <v>1.0</v>
      </c>
    </row>
    <row r="35">
      <c r="A35" s="4" t="inlineStr">
        <is>
          <t>2-group machines (stations)</t>
        </is>
      </c>
      <c r="B35" s="29">
        <f>ROUNDUP($B$34/'Pricing Calculator'!$B$96,0)</f>
        <v>1.0</v>
      </c>
      <c r="C35" s="29">
        <f>ROUNDUP($C$34/'Pricing Calculator'!$B$96,0)</f>
        <v>1.0</v>
      </c>
      <c r="D35" s="29">
        <f>ROUNDUP($D$34/'Pricing Calculator'!$B$96,0)</f>
        <v>1.0</v>
      </c>
    </row>
    <row r="36">
      <c r="A36" s="4" t="inlineStr">
        <is>
          <t>Groups in total</t>
        </is>
      </c>
      <c r="B36" s="29">
        <f>$B$35*'Pricing Calculator'!$B$97</f>
        <v>2.0</v>
      </c>
      <c r="C36" s="29">
        <f>$C$35*'Pricing Calculator'!$B$97</f>
        <v>2.0</v>
      </c>
      <c r="D36" s="29">
        <f>$D$35*'Pricing Calculator'!$B$97</f>
        <v>2.0</v>
      </c>
    </row>
    <row r="37">
      <c r="A37" s="4" t="inlineStr">
        <is>
          <t>Grinders</t>
        </is>
      </c>
      <c r="B37" s="29">
        <f>$B$35+'Pricing Calculator'!$B$98</f>
        <v>2.0</v>
      </c>
      <c r="C37" s="29">
        <f>$C$35+'Pricing Calculator'!$B$98</f>
        <v>2.0</v>
      </c>
      <c r="D37" s="29">
        <f>$D$35+'Pricing Calculator'!$B$98</f>
        <v>2.0</v>
      </c>
    </row>
    <row r="38">
      <c r="A38" s="4" t="inlineStr">
        <is>
          <t>Coffee beans (lb)</t>
        </is>
      </c>
      <c r="B38" s="18">
        <f>ROUNDUP($B$32*'Cost per Drink'!$B$49/'Pricing Calculator'!$B$109+'Pricing Calculator'!$B$99,1)</f>
        <v>6.5</v>
      </c>
      <c r="C38" s="18">
        <f>ROUNDUP($C$32*'Cost per Drink'!$B$49/'Pricing Calculator'!$B$109+'Pricing Calculator'!$B$99,1)</f>
        <v>4.6</v>
      </c>
      <c r="D38" s="18">
        <f>ROUNDUP($D$32*'Cost per Drink'!$B$49/'Pricing Calculator'!$B$109+'Pricing Calculator'!$B$99,1)</f>
        <v>6.0</v>
      </c>
    </row>
    <row r="39">
      <c r="A39" s="4" t="inlineStr">
        <is>
          <t>Milk and plant-based milks (gal)</t>
        </is>
      </c>
      <c r="B39" s="29">
        <f>ROUNDUP(ROUND($B$32*'Cost per Drink'!$B$50/'Pricing Calculator'!$B$110,2),0)</f>
        <v>7.0</v>
      </c>
      <c r="C39" s="29">
        <f>ROUNDUP(ROUND($C$32*'Cost per Drink'!$B$50/'Pricing Calculator'!$B$110,2),0)</f>
        <v>5.0</v>
      </c>
      <c r="D39" s="29">
        <f>ROUNDUP(ROUND($D$32*'Cost per Drink'!$B$50/'Pricing Calculator'!$B$110,2),0)</f>
        <v>6.0</v>
      </c>
    </row>
    <row r="40">
      <c r="A40" s="4" t="inlineStr">
        <is>
          <t>Single-use cups or reusable cups</t>
        </is>
      </c>
      <c r="B40" s="29">
        <f>IF($B$9='Pricing Calculator'!$A$126,ROUNDUP(ROUND($B$6*'Pricing Calculator'!$B$101,2),0),ROUNDUP(ROUND($B$32*(1+'Pricing Calculator'!$B$100),2),0))</f>
        <v>181.0</v>
      </c>
      <c r="C40" s="29">
        <f>IF($C$9='Pricing Calculator'!$A$126,ROUNDUP(ROUND($C$6*'Pricing Calculator'!$B$101,2),0),ROUNDUP(ROUND($C$32*(1+'Pricing Calculator'!$B$100),2),0))</f>
        <v>125.0</v>
      </c>
      <c r="D40" s="29">
        <f>IF($D$9='Pricing Calculator'!$A$126,ROUNDUP(ROUND($D$6*'Pricing Calculator'!$B$101,2),0),ROUNDUP(ROUND($D$32*(1+'Pricing Calculator'!$B$100),2),0))</f>
        <v>165.0</v>
      </c>
    </row>
    <row r="41">
      <c r="A41" s="4" t="inlineStr">
        <is>
          <t>Fresh water (gal)</t>
        </is>
      </c>
      <c r="B41" s="29">
        <f>ROUNDUP(ROUND($B$32*'Pricing Calculator'!$B$102+'Pricing Calculator'!$B$103,2),0)</f>
        <v>17.0</v>
      </c>
      <c r="C41" s="29">
        <f>ROUNDUP(ROUND($C$32*'Pricing Calculator'!$B$102+'Pricing Calculator'!$B$103,2),0)</f>
        <v>13.0</v>
      </c>
      <c r="D41" s="29">
        <f>ROUNDUP(ROUND($D$32*'Pricing Calculator'!$B$102+'Pricing Calculator'!$B$103,2),0)</f>
        <v>16.0</v>
      </c>
    </row>
    <row r="42">
      <c r="A42" s="3" t="inlineStr">
        <is>
          <t>POWER (warning for the contract)</t>
        </is>
      </c>
    </row>
    <row r="43">
      <c r="A43" s="4" t="inlineStr">
        <is>
          <t>Power draw of the machines (kW)</t>
        </is>
      </c>
      <c r="B43" s="18">
        <f>$B$35*$B$16</f>
        <v>3.4</v>
      </c>
      <c r="C43" s="18">
        <f>$C$35*$C$16</f>
        <v>3.4</v>
      </c>
      <c r="D43" s="18">
        <f>$D$35*$D$16</f>
        <v>3.4</v>
      </c>
    </row>
    <row r="44">
      <c r="A44" s="4" t="inlineStr">
        <is>
          <t>Current on a 220V circuit (A)</t>
        </is>
      </c>
      <c r="B44" s="18">
        <f>$B$43*1000/'Pricing Calculator'!$B$104</f>
        <v>15.454545454545455</v>
      </c>
      <c r="C44" s="18">
        <f>$C$43*1000/'Pricing Calculator'!$B$104</f>
        <v>15.454545454545455</v>
      </c>
      <c r="D44" s="18">
        <f>$D$43*1000/'Pricing Calculator'!$B$104</f>
        <v>15.454545454545455</v>
      </c>
    </row>
    <row r="45">
      <c r="A45" s="4" t="inlineStr">
        <is>
          <t>Power of a standard outlet (kW)</t>
        </is>
      </c>
      <c r="B45" s="26">
        <f>'Pricing Calculator'!$B$106*'Pricing Calculator'!$B$105/1000</f>
        <v>2.4</v>
      </c>
      <c r="C45" s="26">
        <f>'Pricing Calculator'!$B$106*'Pricing Calculator'!$B$105/1000</f>
        <v>2.4</v>
      </c>
      <c r="D45" s="26">
        <f>'Pricing Calculator'!$B$106*'Pricing Calculator'!$B$105/1000</f>
        <v>2.4</v>
      </c>
    </row>
    <row r="46">
      <c r="A46" s="4" t="inlineStr">
        <is>
          <t>Minimum inverter generator (kW running)</t>
        </is>
      </c>
      <c r="B46" s="18">
        <f>ROUNDUP(ROUND($B$43*'Pricing Calculator'!$B$107,2),1)</f>
        <v>5.5</v>
      </c>
      <c r="C46" s="18">
        <f>ROUNDUP(ROUND($C$43*'Pricing Calculator'!$B$107,2),1)</f>
        <v>5.5</v>
      </c>
      <c r="D46" s="18">
        <f>ROUNDUP(ROUND($D$43*'Pricing Calculator'!$B$107,2),1)</f>
        <v>5.5</v>
      </c>
    </row>
    <row r="47" ht="32" customHeight="1">
      <c r="A47" s="4" t="inlineStr">
        <is>
          <t>Power needed</t>
        </is>
      </c>
      <c r="B47" s="2" t="str">
        <f>IF($B$43&lt;=$B$45,'Pricing Calculator'!$A$129,"Dedicated 220V circuit or generator")</f>
        <v>Dedicated 220V circuit or generator</v>
      </c>
      <c r="C47" s="2" t="str">
        <f>IF($C$43&lt;=$C$45,'Pricing Calculator'!$A$129,"Dedicated 220V circuit or generator")</f>
        <v>Dedicated 220V circuit or generator</v>
      </c>
      <c r="D47" s="2" t="str">
        <f>IF($D$43&lt;=$D$45,'Pricing Calculator'!$A$129,"Dedicated 220V circuit or generator")</f>
        <v>Dedicated 220V circuit or generator</v>
      </c>
    </row>
    <row r="48" ht="64" customHeight="1">
      <c r="A48" s="9" t="inlineStr">
        <is>
          <t>POWER WARNING</t>
        </is>
      </c>
      <c r="B48" s="25" t="str">
        <f>IF($B$14='Pricing Calculator'!$A$131,"No outlet: bring the generator (minimum kW in its row) and ask the venue and the fire marshal where it can go",IF(AND($B$43&gt;$B$45,$B$14='Pricing Calculator'!$A$129),"WARNING: a standard 110V outlet cannot run your machines: get a dedicated 220V circuit in writing or bring the generator","Power covered: confirm the circuit, its voltage and amps, and the distance in writing in your contract"))</f>
        <v>Power covered: confirm the circuit, its voltage and amps, and the distance in writing in your contract</v>
      </c>
      <c r="C48" s="25" t="str">
        <f>IF($C$14='Pricing Calculator'!$A$131,"No outlet: bring the generator (minimum kW in its row) and ask the venue and the fire marshal where it can go",IF(AND($C$43&gt;$C$45,$C$14='Pricing Calculator'!$A$129),"WARNING: a standard 110V outlet cannot run your machines: get a dedicated 220V circuit in writing or bring the generator","Power covered: confirm the circuit, its voltage and amps, and the distance in writing in your contract"))</f>
        <v>Power covered: confirm the circuit, its voltage and amps, and the distance in writing in your contract</v>
      </c>
      <c r="D48" s="25" t="str">
        <f>IF($D$14='Pricing Calculator'!$A$131,"No outlet: bring the generator (minimum kW in its row) and ask the venue and the fire marshal where it can go",IF(AND($D$43&gt;$D$45,$D$14='Pricing Calculator'!$A$129),"WARNING: a standard 110V outlet cannot run your machines: get a dedicated 220V circuit in writing or bring the generator","Power covered: confirm the circuit, its voltage and amps, and the distance in writing in your contract"))</f>
        <v>No outlet: bring the generator (minimum kW in its row) and ask the venue and the fire marshal where it can go</v>
      </c>
    </row>
    <row r="49">
      <c r="A49" s="3" t="inlineStr">
        <is>
          <t>DIRECT COST</t>
        </is>
      </c>
    </row>
    <row r="50">
      <c r="A50" s="4" t="inlineStr">
        <is>
          <t>Drink cost</t>
        </is>
      </c>
      <c r="B50" s="21">
        <f>$B$32*IF($B$9='Pricing Calculator'!$A$126,'Cost per Drink'!$B$46,'Cost per Drink'!$B$48)</f>
        <v>210.9310946429997</v>
      </c>
      <c r="C50" s="21">
        <f>$C$32*IF($C$9='Pricing Calculator'!$A$126,'Cost per Drink'!$B$46,'Cost per Drink'!$B$48)</f>
        <v>145.33666886987174</v>
      </c>
      <c r="D50" s="21">
        <f>$D$32*IF($D$9='Pricing Calculator'!$A$126,'Cost per Drink'!$B$46,'Cost per Drink'!$B$48)</f>
        <v>192.92478168567047</v>
      </c>
    </row>
    <row r="51">
      <c r="A51" s="4" t="inlineStr">
        <is>
          <t>Pastry cost</t>
        </is>
      </c>
      <c r="B51" s="21">
        <f>$B$12*$B$6</f>
        <v>97.5</v>
      </c>
      <c r="C51" s="21">
        <f>$C$12*$C$6</f>
        <v>0.0</v>
      </c>
      <c r="D51" s="21">
        <f>$D$12*$D$6</f>
        <v>0.0</v>
      </c>
    </row>
    <row r="52">
      <c r="A52" s="4" t="inlineStr">
        <is>
          <t>Staff cost (wages + payroll taxes)</t>
        </is>
      </c>
      <c r="B52" s="21">
        <f>$B$34*($B$10+$B$11)*$B$17*(1+$B$18)</f>
        <v>352.0</v>
      </c>
      <c r="C52" s="21">
        <f>$C$34*($C$10+$C$11)*$C$17*(1+$C$18)</f>
        <v>308.0</v>
      </c>
      <c r="D52" s="21">
        <f>$D$34*($D$10+$D$11)*$D$17*(1+$D$18)</f>
        <v>154.0</v>
      </c>
    </row>
    <row r="53">
      <c r="A53" s="4" t="inlineStr">
        <is>
          <t>Generator</t>
        </is>
      </c>
      <c r="B53" s="21">
        <f>IF($B$14='Pricing Calculator'!$A$131,$B$15,0)</f>
        <v>0.0</v>
      </c>
      <c r="C53" s="21">
        <f>IF($C$14='Pricing Calculator'!$A$131,$C$15,0)</f>
        <v>0.0</v>
      </c>
      <c r="D53" s="21">
        <f>IF($D$14='Pricing Calculator'!$A$131,$D$15,0)</f>
        <v>60.0</v>
      </c>
    </row>
    <row r="54">
      <c r="A54" s="4" t="inlineStr">
        <is>
          <t>Rentals billed to the client</t>
        </is>
      </c>
      <c r="B54" s="21">
        <f>$B$13</f>
        <v>0.0</v>
      </c>
      <c r="C54" s="21">
        <f>$C$13</f>
        <v>0.0</v>
      </c>
      <c r="D54" s="21">
        <f>$D$13</f>
        <v>0.0</v>
      </c>
    </row>
    <row r="55">
      <c r="A55" s="4" t="inlineStr">
        <is>
          <t>Travel to the festival (your own cost)</t>
        </is>
      </c>
      <c r="B55" s="21">
        <f>IF($B$5='Pricing Calculator'!$D$133,$B$19*2*$B$21,0)</f>
        <v>0.0</v>
      </c>
      <c r="C55" s="21">
        <f>IF($C$5='Pricing Calculator'!$D$133,$C$19*2*$C$21,0)</f>
        <v>0.0</v>
      </c>
      <c r="D55" s="21">
        <f>IF($D$5='Pricing Calculator'!$D$133,$D$19*2*$D$21,0)</f>
        <v>37.5</v>
      </c>
    </row>
    <row r="56">
      <c r="A56" s="4" t="inlineStr">
        <is>
          <t>Total direct cost</t>
        </is>
      </c>
      <c r="B56" s="21">
        <f>$B$50+$B$51+$B$52+$B$53+$B$54+$B$55</f>
        <v>660.4310946429997</v>
      </c>
      <c r="C56" s="21">
        <f>$C$50+$C$51+$C$52+$C$53+$C$54+$C$55</f>
        <v>453.33666886987174</v>
      </c>
      <c r="D56" s="21">
        <f>$D$50+$D$51+$D$52+$D$53+$D$54+$D$55</f>
        <v>444.4247816856705</v>
      </c>
    </row>
    <row r="57">
      <c r="A57" s="4" t="inlineStr">
        <is>
          <t>Direct cost per guest</t>
        </is>
      </c>
      <c r="B57" s="21">
        <f>$B$56/$B$6</f>
        <v>5.080239189561536</v>
      </c>
      <c r="C57" s="21">
        <f>$C$56/$C$6</f>
        <v>5.037074098554131</v>
      </c>
      <c r="D57" s="21">
        <f>$D$56/$D$6</f>
        <v>2.96283187790447</v>
      </c>
    </row>
    <row r="58">
      <c r="A58" s="3" t="inlineStr">
        <is>
          <t>PRICE AND QUOTE</t>
        </is>
      </c>
    </row>
    <row r="59">
      <c r="A59" s="4" t="inlineStr">
        <is>
          <t>Target margin for this client type</t>
        </is>
      </c>
      <c r="B59" s="24">
        <f>INDEX('Pricing Calculator'!$B$134:$D$134,MATCH($B$5,'Pricing Calculator'!$B$133:$D$133,0))</f>
        <v>0.65</v>
      </c>
      <c r="C59" s="24">
        <f>INDEX('Pricing Calculator'!$B$134:$D$134,MATCH($C$5,'Pricing Calculator'!$B$133:$D$133,0))</f>
        <v>0.6</v>
      </c>
      <c r="D59" s="24">
        <f>INDEX('Pricing Calculator'!$B$134:$D$134,MATCH($D$5,'Pricing Calculator'!$B$133:$D$133,0))</f>
        <v>0.2</v>
      </c>
    </row>
    <row r="60">
      <c r="A60" s="4" t="inlineStr">
        <is>
          <t>Organizer fee for this client type</t>
        </is>
      </c>
      <c r="B60" s="24">
        <f>INDEX('Pricing Calculator'!$B$135:$D$135,MATCH($B$5,'Pricing Calculator'!$B$133:$D$133,0))</f>
        <v>0.0</v>
      </c>
      <c r="C60" s="24">
        <f>INDEX('Pricing Calculator'!$B$135:$D$135,MATCH($C$5,'Pricing Calculator'!$B$133:$D$133,0))</f>
        <v>0.0</v>
      </c>
      <c r="D60" s="24">
        <f>INDEX('Pricing Calculator'!$B$135:$D$135,MATCH($D$5,'Pricing Calculator'!$B$133:$D$133,0))</f>
        <v>0.15</v>
      </c>
    </row>
    <row r="61">
      <c r="A61" s="9" t="inlineStr">
        <is>
          <t>PRICE PER GUEST BEFORE SALES TAX (MINIMUM)</t>
        </is>
      </c>
      <c r="B61" s="30">
        <f>ROUNDUP($B$56/(1-$B$59-$B$60)/$B$6*2,0)/2</f>
        <v>15.0</v>
      </c>
      <c r="C61" s="30">
        <f>ROUNDUP($C$56/(1-$C$59-$C$60)/$C$6*2,0)/2</f>
        <v>13.0</v>
      </c>
      <c r="D61" s="30">
        <f>ROUNDUP($D$56/(1-$D$59-$D$60)/$D$6*2,0)/2</f>
        <v>5.0</v>
      </c>
    </row>
    <row r="62">
      <c r="A62" s="9" t="inlineStr">
        <is>
          <t>Price per guest incl. sales tax</t>
        </is>
      </c>
      <c r="B62" s="30">
        <f>$B$61*(1+$B$22)</f>
        <v>16.200000000000003</v>
      </c>
      <c r="C62" s="30">
        <f>$C$61*(1+$C$22)</f>
        <v>14.040000000000001</v>
      </c>
      <c r="D62" s="30">
        <f>$D$61*(1+$D$22)</f>
        <v>5.4</v>
      </c>
    </row>
    <row r="63">
      <c r="A63" s="4" t="inlineStr">
        <is>
          <t>Coffee service subtotal before sales tax</t>
        </is>
      </c>
      <c r="B63" s="21">
        <f>$B$61*$B$6</f>
        <v>1950.0</v>
      </c>
      <c r="C63" s="21">
        <f>$C$61*$C$6</f>
        <v>1170.0</v>
      </c>
      <c r="D63" s="21">
        <f>$D$61*$D$6</f>
        <v>750.0</v>
      </c>
    </row>
    <row r="64">
      <c r="A64" s="4" t="inlineStr">
        <is>
          <t>Same price per service hour (before sales tax)</t>
        </is>
      </c>
      <c r="B64" s="21">
        <f>$B$63/$B$10</f>
        <v>650.0</v>
      </c>
      <c r="C64" s="21">
        <f>$C$63/$C$10</f>
        <v>585.0</v>
      </c>
      <c r="D64" s="21">
        <f>$D$63/$D$10</f>
        <v>187.5</v>
      </c>
    </row>
    <row r="65">
      <c r="A65" s="4" t="inlineStr">
        <is>
          <t>Same price per drink (before sales tax)</t>
        </is>
      </c>
      <c r="B65" s="21">
        <f>$B$63/$B$32</f>
        <v>11.890243902439025</v>
      </c>
      <c r="C65" s="21">
        <f>$C$63/$C$32</f>
        <v>10.353982300884956</v>
      </c>
      <c r="D65" s="21">
        <f>$D$63/$D$32</f>
        <v>5.0</v>
      </c>
    </row>
    <row r="66">
      <c r="A66" s="4" t="inlineStr">
        <is>
          <t>Travel fee (round trip beyond the free radius, no margin)</t>
        </is>
      </c>
      <c r="B66" s="21">
        <f>IF($B$5='Pricing Calculator'!$D$133,0,MAX(0,$B$19-$B$20)*2*$B$21)</f>
        <v>12.5</v>
      </c>
      <c r="C66" s="21">
        <f>IF($C$5='Pricing Calculator'!$D$133,0,MAX(0,$C$19-$C$20)*2*$C$21)</f>
        <v>0.0</v>
      </c>
      <c r="D66" s="21">
        <f>IF($D$5='Pricing Calculator'!$D$133,0,MAX(0,$D$19-$D$20)*2*$D$21)</f>
        <v>0.0</v>
      </c>
    </row>
    <row r="67">
      <c r="A67" s="4" t="inlineStr">
        <is>
          <t>Taxable amount</t>
        </is>
      </c>
      <c r="B67" s="21">
        <f>$B$63+$B$66</f>
        <v>1962.5</v>
      </c>
      <c r="C67" s="21">
        <f>$C$63+$C$66</f>
        <v>1170.0</v>
      </c>
      <c r="D67" s="21">
        <f>$D$63+$D$66</f>
        <v>750.0</v>
      </c>
    </row>
    <row r="68">
      <c r="A68" s="4" t="inlineStr">
        <is>
          <t>Sales tax</t>
        </is>
      </c>
      <c r="B68" s="21">
        <f>$B$67*$B$22</f>
        <v>157.0</v>
      </c>
      <c r="C68" s="21">
        <f>$C$67*$C$22</f>
        <v>93.60000000000001</v>
      </c>
      <c r="D68" s="21">
        <f>$D$67*$D$22</f>
        <v>60.0</v>
      </c>
    </row>
    <row r="69">
      <c r="A69" s="9" t="inlineStr">
        <is>
          <t>QUOTE TOTAL (incl. sales tax)</t>
        </is>
      </c>
      <c r="B69" s="30">
        <f>$B$67+$B$68</f>
        <v>2119.5</v>
      </c>
      <c r="C69" s="30">
        <f>$C$67+$C$68</f>
        <v>1263.6</v>
      </c>
      <c r="D69" s="30">
        <f>$D$67+$D$68</f>
        <v>810.0</v>
      </c>
    </row>
    <row r="70">
      <c r="A70" s="3" t="inlineStr">
        <is>
          <t>PAYMENTS</t>
        </is>
      </c>
    </row>
    <row r="71">
      <c r="A71" s="4" t="inlineStr">
        <is>
          <t>Payment 1: retainer at booking</t>
        </is>
      </c>
      <c r="B71" s="21">
        <f>$B$69*INDEX('Pricing Calculator'!$B$136:$D$136,MATCH($B$5,'Pricing Calculator'!$B$133:$D$133,0))</f>
        <v>635.85</v>
      </c>
      <c r="C71" s="21">
        <f>$C$69*INDEX('Pricing Calculator'!$B$136:$D$136,MATCH($C$5,'Pricing Calculator'!$B$133:$D$133,0))</f>
        <v>379.08</v>
      </c>
      <c r="D71" s="21">
        <f>$D$69*INDEX('Pricing Calculator'!$B$136:$D$136,MATCH($D$5,'Pricing Calculator'!$B$133:$D$133,0))</f>
        <v>0.0</v>
      </c>
    </row>
    <row r="72">
      <c r="A72" s="4" t="inlineStr">
        <is>
          <t>Payment 2: balance before the event</t>
        </is>
      </c>
      <c r="B72" s="21">
        <f>$B$69*INDEX('Pricing Calculator'!$B$137:$D$137,MATCH($B$5,'Pricing Calculator'!$B$133:$D$133,0))</f>
        <v>1483.6499999999999</v>
      </c>
      <c r="C72" s="21">
        <f>$C$69*INDEX('Pricing Calculator'!$B$137:$D$137,MATCH($C$5,'Pricing Calculator'!$B$133:$D$133,0))</f>
        <v>0.0</v>
      </c>
      <c r="D72" s="21">
        <f>$D$69*INDEX('Pricing Calculator'!$B$137:$D$137,MATCH($D$5,'Pricing Calculator'!$B$133:$D$133,0))</f>
        <v>0.0</v>
      </c>
    </row>
    <row r="73">
      <c r="A73" s="4" t="inlineStr">
        <is>
          <t>Payment 3: balance net 30 after the invoice</t>
        </is>
      </c>
      <c r="B73" s="21">
        <f>$B$69*INDEX('Pricing Calculator'!$B$138:$D$138,MATCH($B$5,'Pricing Calculator'!$B$133:$D$133,0))</f>
        <v>0.0</v>
      </c>
      <c r="C73" s="21">
        <f>$C$69*INDEX('Pricing Calculator'!$B$138:$D$138,MATCH($C$5,'Pricing Calculator'!$B$133:$D$133,0))</f>
        <v>884.5199999999999</v>
      </c>
      <c r="D73" s="21">
        <f>$D$69*INDEX('Pricing Calculator'!$B$138:$D$138,MATCH($D$5,'Pricing Calculator'!$B$133:$D$133,0))</f>
        <v>0.0</v>
      </c>
    </row>
    <row r="74">
      <c r="A74" s="4" t="inlineStr">
        <is>
          <t>Payment 4: at the point of sale</t>
        </is>
      </c>
      <c r="B74" s="21">
        <f>$B$69*INDEX('Pricing Calculator'!$B$139:$D$139,MATCH($B$5,'Pricing Calculator'!$B$133:$D$133,0))</f>
        <v>0.0</v>
      </c>
      <c r="C74" s="21">
        <f>$C$69*INDEX('Pricing Calculator'!$B$139:$D$139,MATCH($C$5,'Pricing Calculator'!$B$133:$D$133,0))</f>
        <v>0.0</v>
      </c>
      <c r="D74" s="21">
        <f>$D$69*INDEX('Pricing Calculator'!$B$139:$D$139,MATCH($D$5,'Pricing Calculator'!$B$133:$D$133,0))</f>
        <v>810.0</v>
      </c>
    </row>
    <row r="75">
      <c r="A75" s="4" t="inlineStr">
        <is>
          <t>Organizer fee on the subtotal</t>
        </is>
      </c>
      <c r="B75" s="21">
        <f>$B$63*$B$60</f>
        <v>0.0</v>
      </c>
      <c r="C75" s="21">
        <f>$C$63*$C$60</f>
        <v>0.0</v>
      </c>
      <c r="D75" s="21">
        <f>$D$63*$D$60</f>
        <v>112.5</v>
      </c>
    </row>
    <row r="76">
      <c r="A76" s="4" t="inlineStr">
        <is>
          <t>Gross margin in dollars</t>
        </is>
      </c>
      <c r="B76" s="21">
        <f>$B$63-$B$56-$B$75</f>
        <v>1289.5689053570004</v>
      </c>
      <c r="C76" s="21">
        <f>$C$63-$C$56-$C$75</f>
        <v>716.6633311301282</v>
      </c>
      <c r="D76" s="21">
        <f>$D$63-$D$56-$D$75</f>
        <v>193.0752183143295</v>
      </c>
    </row>
    <row r="77">
      <c r="A77" s="9" t="inlineStr">
        <is>
          <t>Gross margin (calculated)</t>
        </is>
      </c>
      <c r="B77" s="23">
        <f>IF($B$63=0,0,$B$76/$B$63)</f>
        <v>0.6613173873625643</v>
      </c>
      <c r="C77" s="23">
        <f>IF($C$63=0,0,$C$76/$C$63)</f>
        <v>0.6125327616496822</v>
      </c>
      <c r="D77" s="23">
        <f>IF($D$63=0,0,$D$76/$D$63)</f>
        <v>0.257433624419106</v>
      </c>
    </row>
    <row r="78">
      <c r="A78" s="3" t="inlineStr">
        <is>
          <t>CANCELLATION (tiers with no gaps)</t>
        </is>
      </c>
    </row>
    <row r="79" ht="64" customHeight="1">
      <c r="A79" s="4" t="inlineStr">
        <is>
          <t>Tier for the days you chose</t>
        </is>
      </c>
      <c r="B79" s="2" t="str">
        <f>IF($B$26&gt;=INDEX('Pricing Calculator'!$B$140:$D$140,MATCH($B$5,'Pricing Calculator'!$B$133:$D$133,0)),INDEX('Pricing Calculator'!$B$147:$D$147,MATCH($B$5,'Pricing Calculator'!$B$133:$D$133,0)),IF($B$26&gt;=INDEX('Pricing Calculator'!$B$141:$D$141,MATCH($B$5,'Pricing Calculator'!$B$133:$D$133,0)),INDEX('Pricing Calculator'!$B$148:$D$148,MATCH($B$5,'Pricing Calculator'!$B$133:$D$133,0)),IF($B$26&gt;=INDEX('Pricing Calculator'!$B$142:$D$142,MATCH($B$5,'Pricing Calculator'!$B$133:$D$133,0)),INDEX('Pricing Calculator'!$B$149:$D$149,MATCH($B$5,'Pricing Calculator'!$B$133:$D$133,0)),INDEX('Pricing Calculator'!$B$150:$D$150,MATCH($B$5,'Pricing Calculator'!$B$133:$D$133,0)))))</f>
        <v>From 30 to less than 60 days</v>
      </c>
      <c r="C79" s="2" t="str">
        <f>IF($C$26&gt;=INDEX('Pricing Calculator'!$B$140:$D$140,MATCH($C$5,'Pricing Calculator'!$B$133:$D$133,0)),INDEX('Pricing Calculator'!$B$147:$D$147,MATCH($C$5,'Pricing Calculator'!$B$133:$D$133,0)),IF($C$26&gt;=INDEX('Pricing Calculator'!$B$141:$D$141,MATCH($C$5,'Pricing Calculator'!$B$133:$D$133,0)),INDEX('Pricing Calculator'!$B$148:$D$148,MATCH($C$5,'Pricing Calculator'!$B$133:$D$133,0)),IF($C$26&gt;=INDEX('Pricing Calculator'!$B$142:$D$142,MATCH($C$5,'Pricing Calculator'!$B$133:$D$133,0)),INDEX('Pricing Calculator'!$B$149:$D$149,MATCH($C$5,'Pricing Calculator'!$B$133:$D$133,0)),INDEX('Pricing Calculator'!$B$150:$D$150,MATCH($C$5,'Pricing Calculator'!$B$133:$D$133,0)))))</f>
        <v>From 15 to less than 30 days</v>
      </c>
      <c r="D79" s="2" t="str">
        <f>IF($D$26&gt;=INDEX('Pricing Calculator'!$B$140:$D$140,MATCH($D$5,'Pricing Calculator'!$B$133:$D$133,0)),INDEX('Pricing Calculator'!$B$147:$D$147,MATCH($D$5,'Pricing Calculator'!$B$133:$D$133,0)),IF($D$26&gt;=INDEX('Pricing Calculator'!$B$141:$D$141,MATCH($D$5,'Pricing Calculator'!$B$133:$D$133,0)),INDEX('Pricing Calculator'!$B$148:$D$148,MATCH($D$5,'Pricing Calculator'!$B$133:$D$133,0)),IF($D$26&gt;=INDEX('Pricing Calculator'!$B$142:$D$142,MATCH($D$5,'Pricing Calculator'!$B$133:$D$133,0)),INDEX('Pricing Calculator'!$B$149:$D$149,MATCH($D$5,'Pricing Calculator'!$B$133:$D$133,0)),INDEX('Pricing Calculator'!$B$150:$D$150,MATCH($D$5,'Pricing Calculator'!$B$133:$D$133,0)))))</f>
        <v>30 days or more</v>
      </c>
    </row>
    <row r="80">
      <c r="A80" s="4" t="inlineStr">
        <is>
          <t>Share you keep in that tier</t>
        </is>
      </c>
      <c r="B80" s="24">
        <f>IF($B$26&gt;=INDEX('Pricing Calculator'!$B$140:$D$140,MATCH($B$5,'Pricing Calculator'!$B$133:$D$133,0)),INDEX('Pricing Calculator'!$B$143:$D$143,MATCH($B$5,'Pricing Calculator'!$B$133:$D$133,0)),IF($B$26&gt;=INDEX('Pricing Calculator'!$B$141:$D$141,MATCH($B$5,'Pricing Calculator'!$B$133:$D$133,0)),INDEX('Pricing Calculator'!$B$144:$D$144,MATCH($B$5,'Pricing Calculator'!$B$133:$D$133,0)),IF($B$26&gt;=INDEX('Pricing Calculator'!$B$142:$D$142,MATCH($B$5,'Pricing Calculator'!$B$133:$D$133,0)),INDEX('Pricing Calculator'!$B$145:$D$145,MATCH($B$5,'Pricing Calculator'!$B$133:$D$133,0)),INDEX('Pricing Calculator'!$B$146:$D$146,MATCH($B$5,'Pricing Calculator'!$B$133:$D$133,0)))))</f>
        <v>0.3</v>
      </c>
      <c r="C80" s="24">
        <f>IF($C$26&gt;=INDEX('Pricing Calculator'!$B$140:$D$140,MATCH($C$5,'Pricing Calculator'!$B$133:$D$133,0)),INDEX('Pricing Calculator'!$B$143:$D$143,MATCH($C$5,'Pricing Calculator'!$B$133:$D$133,0)),IF($C$26&gt;=INDEX('Pricing Calculator'!$B$141:$D$141,MATCH($C$5,'Pricing Calculator'!$B$133:$D$133,0)),INDEX('Pricing Calculator'!$B$144:$D$144,MATCH($C$5,'Pricing Calculator'!$B$133:$D$133,0)),IF($C$26&gt;=INDEX('Pricing Calculator'!$B$142:$D$142,MATCH($C$5,'Pricing Calculator'!$B$133:$D$133,0)),INDEX('Pricing Calculator'!$B$145:$D$145,MATCH($C$5,'Pricing Calculator'!$B$133:$D$133,0)),INDEX('Pricing Calculator'!$B$146:$D$146,MATCH($C$5,'Pricing Calculator'!$B$133:$D$133,0)))))</f>
        <v>0.3</v>
      </c>
      <c r="D80" s="24">
        <f>IF($D$26&gt;=INDEX('Pricing Calculator'!$B$140:$D$140,MATCH($D$5,'Pricing Calculator'!$B$133:$D$133,0)),INDEX('Pricing Calculator'!$B$143:$D$143,MATCH($D$5,'Pricing Calculator'!$B$133:$D$133,0)),IF($D$26&gt;=INDEX('Pricing Calculator'!$B$141:$D$141,MATCH($D$5,'Pricing Calculator'!$B$133:$D$133,0)),INDEX('Pricing Calculator'!$B$144:$D$144,MATCH($D$5,'Pricing Calculator'!$B$133:$D$133,0)),IF($D$26&gt;=INDEX('Pricing Calculator'!$B$142:$D$142,MATCH($D$5,'Pricing Calculator'!$B$133:$D$133,0)),INDEX('Pricing Calculator'!$B$145:$D$145,MATCH($D$5,'Pricing Calculator'!$B$133:$D$133,0)),INDEX('Pricing Calculator'!$B$146:$D$146,MATCH($D$5,'Pricing Calculator'!$B$133:$D$133,0)))))</f>
        <v>0.0</v>
      </c>
    </row>
    <row r="81" ht="32" customHeight="1">
      <c r="A81" s="2" t="inlineStr">
        <is>
          <t>Amount you keep if the client cancels that day (in the last tier, before you deduct the costs you save)</t>
        </is>
      </c>
      <c r="B81" s="21">
        <f>$B$69*$B$80</f>
        <v>635.85</v>
      </c>
      <c r="C81" s="21">
        <f>$C$69*$C$80</f>
        <v>379.08</v>
      </c>
      <c r="D81" s="21">
        <f>$D$69*$D$80</f>
        <v>0.0</v>
      </c>
    </row>
    <row r="82">
      <c r="A82" s="4" t="inlineStr">
        <is>
          <t>Amount kept: tier 1 (the earliest)</t>
        </is>
      </c>
      <c r="B82" s="21">
        <f>$B$69*INDEX('Pricing Calculator'!$B$143:$D$143,MATCH($B$5,'Pricing Calculator'!$B$133:$D$133,0))</f>
        <v>211.95000000000002</v>
      </c>
      <c r="C82" s="21">
        <f>$C$69*INDEX('Pricing Calculator'!$B$143:$D$143,MATCH($C$5,'Pricing Calculator'!$B$133:$D$133,0))</f>
        <v>126.36</v>
      </c>
      <c r="D82" s="21">
        <f>$D$69*INDEX('Pricing Calculator'!$B$143:$D$143,MATCH($D$5,'Pricing Calculator'!$B$133:$D$133,0))</f>
        <v>0.0</v>
      </c>
    </row>
    <row r="83">
      <c r="A83" s="4" t="inlineStr">
        <is>
          <t>Amount kept: tier 2</t>
        </is>
      </c>
      <c r="B83" s="21">
        <f>$B$69*INDEX('Pricing Calculator'!$B$144:$D$144,MATCH($B$5,'Pricing Calculator'!$B$133:$D$133,0))</f>
        <v>635.85</v>
      </c>
      <c r="C83" s="21">
        <f>$C$69*INDEX('Pricing Calculator'!$B$144:$D$144,MATCH($C$5,'Pricing Calculator'!$B$133:$D$133,0))</f>
        <v>379.08</v>
      </c>
      <c r="D83" s="21">
        <f>$D$69*INDEX('Pricing Calculator'!$B$144:$D$144,MATCH($D$5,'Pricing Calculator'!$B$133:$D$133,0))</f>
        <v>0.0</v>
      </c>
    </row>
    <row r="84">
      <c r="A84" s="4" t="inlineStr">
        <is>
          <t>Amount kept: tier 3</t>
        </is>
      </c>
      <c r="B84" s="21">
        <f>$B$69*INDEX('Pricing Calculator'!$B$145:$D$145,MATCH($B$5,'Pricing Calculator'!$B$133:$D$133,0))</f>
        <v>1271.7</v>
      </c>
      <c r="C84" s="21">
        <f>$C$69*INDEX('Pricing Calculator'!$B$145:$D$145,MATCH($C$5,'Pricing Calculator'!$B$133:$D$133,0))</f>
        <v>758.16</v>
      </c>
      <c r="D84" s="21">
        <f>$D$69*INDEX('Pricing Calculator'!$B$145:$D$145,MATCH($D$5,'Pricing Calculator'!$B$133:$D$133,0))</f>
        <v>0.0</v>
      </c>
    </row>
    <row r="85">
      <c r="A85" s="4" t="inlineStr">
        <is>
          <t>Amount kept: tier 4 (the latest, or a no-show)</t>
        </is>
      </c>
      <c r="B85" s="21">
        <f>$B$69*INDEX('Pricing Calculator'!$B$146:$D$146,MATCH($B$5,'Pricing Calculator'!$B$133:$D$133,0))</f>
        <v>2119.5</v>
      </c>
      <c r="C85" s="21">
        <f>$C$69*INDEX('Pricing Calculator'!$B$146:$D$146,MATCH($C$5,'Pricing Calculator'!$B$133:$D$133,0))</f>
        <v>1263.6</v>
      </c>
      <c r="D85" s="21">
        <f>$D$69*INDEX('Pricing Calculator'!$B$146:$D$146,MATCH($D$5,'Pricing Calculator'!$B$133:$D$133,0))</f>
        <v>0.0</v>
      </c>
    </row>
    <row r="86">
      <c r="A86" s="3" t="inlineStr">
        <is>
          <t>FESTIVAL OR MARKET: THE DAY AHEAD (only if the client type is a festival)</t>
        </is>
      </c>
    </row>
    <row r="87">
      <c r="A87" s="4" t="inlineStr">
        <is>
          <t>Variable cost per drink (drink + pastry)</t>
        </is>
      </c>
      <c r="B87" s="21">
        <f>($B$50+$B$51)/$B$6</f>
        <v>2.3725468818692286</v>
      </c>
      <c r="C87" s="21">
        <f>($C$50+$C$51)/$C$6</f>
        <v>1.6148518763319082</v>
      </c>
      <c r="D87" s="21">
        <f>($D$50+$D$51)/$D$6</f>
        <v>1.286165211237803</v>
      </c>
    </row>
    <row r="88" ht="32" customHeight="1">
      <c r="A88" s="2" t="inlineStr">
        <is>
          <t>Expected sales (drinks × average price, or the minimum sales guarantee if higher; before sales tax)</t>
        </is>
      </c>
      <c r="B88" s="21">
        <f>IF($B$5='Pricing Calculator'!$D$133,MAX($B$6*$B$23,$B$25),0)</f>
        <v>0.0</v>
      </c>
      <c r="C88" s="21">
        <f>IF($C$5='Pricing Calculator'!$D$133,MAX($C$6*$C$23,$C$25),0)</f>
        <v>0.0</v>
      </c>
      <c r="D88" s="21">
        <f>IF($D$5='Pricing Calculator'!$D$133,MAX($D$6*$D$23,$D$25),0)</f>
        <v>975.0</v>
      </c>
    </row>
    <row r="89">
      <c r="A89" s="4" t="inlineStr">
        <is>
          <t>Organizer fee (% of sales + flat booth fee)</t>
        </is>
      </c>
      <c r="B89" s="21">
        <f>IF($B$5='Pricing Calculator'!$D$133,$B$88*$B$60+$B$24,0)</f>
        <v>0.0</v>
      </c>
      <c r="C89" s="21">
        <f>IF($C$5='Pricing Calculator'!$D$133,$C$88*$C$60+$C$24,0)</f>
        <v>0.0</v>
      </c>
      <c r="D89" s="21">
        <f>IF($D$5='Pricing Calculator'!$D$133,$D$88*$D$60+$D$24,0)</f>
        <v>146.25</v>
      </c>
    </row>
    <row r="90">
      <c r="A90" s="4" t="inlineStr">
        <is>
          <t>Result of the day (sales − fee − cost)</t>
        </is>
      </c>
      <c r="B90" s="21">
        <f>IF($B$5='Pricing Calculator'!$D$133,$B$88-$B$89-$B$56,0)</f>
        <v>0.0</v>
      </c>
      <c r="C90" s="21">
        <f>IF($C$5='Pricing Calculator'!$D$133,$C$88-$C$89-$C$56,0)</f>
        <v>0.0</v>
      </c>
      <c r="D90" s="21">
        <f>IF($D$5='Pricing Calculator'!$D$133,$D$88-$D$89-$D$56,0)</f>
        <v>384.3252183143295</v>
      </c>
    </row>
    <row r="91">
      <c r="A91" s="4" t="inlineStr">
        <is>
          <t>Drinks needed to cover the costs of the day</t>
        </is>
      </c>
      <c r="B91" s="29">
        <f>IF($B$5='Pricing Calculator'!$D$133,IF($B$23*(1-$B$60)-$B$87&lt;=0,0,ROUNDUP(($B$52+$B$53+$B$54+$B$55+$B$24)/($B$23*(1-$B$60)-$B$87),0)),0)</f>
        <v>0.0</v>
      </c>
      <c r="C91" s="29">
        <f>IF($C$5='Pricing Calculator'!$D$133,IF($C$23*(1-$C$60)-$C$87&lt;=0,0,ROUNDUP(($C$52+$C$53+$C$54+$C$55+$C$24)/($C$23*(1-$C$60)-$C$87),0)),0)</f>
        <v>0.0</v>
      </c>
      <c r="D91" s="29">
        <f>IF($D$5='Pricing Calculator'!$D$133,IF($D$23*(1-$D$60)-$D$87&lt;=0,0,ROUNDUP(($D$52+$D$53+$D$54+$D$55+$D$24)/($D$23*(1-$D$60)-$D$87),0)),0)</f>
        <v>60.0</v>
      </c>
    </row>
    <row r="93">
      <c r="A93" s="3" t="inlineStr">
        <is>
          <t>WHAT EACH EXAMPLE SHOWS</t>
        </is>
      </c>
    </row>
    <row r="94" ht="75" customHeight="1">
      <c r="A94" s="25" t="inlineStr">
        <is>
          <t>Wedding coffee bar after dinner</t>
        </is>
      </c>
      <c r="B94" s="2" t="inlineStr">
        <is>
          <t>Private event, 130 guests (the wedding of the financial plan's example mix), a 3-hour bar after dinner in compostable cups, with a $0.75 pastry per guest and a dedicated 220V circuit. It quotes the lowest price that reaches the 65% target margin; the 30% retainer at booking and the 70% balance 14 days before. With 45 days to go, a cancellation falls in tier 2 and you keep 30%.</t>
        </is>
      </c>
    </row>
    <row r="95" ht="60" customHeight="1">
      <c r="A95" s="25" t="inlineStr">
        <is>
          <t>Corporate morning meeting</t>
        </is>
      </c>
      <c r="B95" s="2" t="inlineStr">
        <is>
          <t>Corporate, 90 guests (the company event of the example mix), a 2-hour bar in the morning (+25% drinks), compostable cups and a dedicated circuit. The quote is before sales tax; 30% retainer at signing and the 70% balance net 30 after the invoice. With 20 days to go, the tier is the second and you keep 30%.</t>
        </is>
      </c>
    </row>
    <row r="96" ht="75" customHeight="1">
      <c r="A96" s="25" t="inlineStr">
        <is>
          <t>Community festival, guest-pay</t>
        </is>
      </c>
      <c r="B96" s="2" t="inlineStr">
        <is>
          <t>Festival or market (a community festival): 150 drinks over 4 hours in the morning, compostable cups, a generator and a 15% organizer fee, with an $800 minimum sales guarantee. The "price per guest" is the lowest price per drink; at $6.50 a drink the day leaves about $384 before fixed costs, and, without the guarantee, below 60 drinks you would lose money: the $800 guarantee covers that risk.</t>
        </is>
      </c>
    </row>
  </sheetData>
  <sheetProtection selectLockedCells="0" selectUnlockedCells="0" sheet="1" objects="0" insertRows="1" insertHyperlinks="1" autoFilter="1" scenarios="0" formatColumns="1" deleteColumns="1" insertColumns="1" pivotTables="1" deleteRows="1" formatCells="1" formatRows="1" sort="1"/>
  <mergeCells count="4">
    <mergeCell ref="B96:D96"/>
    <mergeCell ref="B95:D95"/>
    <mergeCell ref="A2:D2"/>
    <mergeCell ref="B94:D94"/>
  </mergeCells>
  <printOptions horizontalCentered="1"/>
  <pageMargins left="0.75" right="0.75" top="1" bottom="1" header="0.5" footer="0.5"/>
  <pageSetup orientation="landscape" paperSize="1" fitToHeight="0" fitToWidth="1"/>
  <headerFooter>
    <oddHeader/>
    <oddFooter>&amp;CAI Chef Pro · aichef.pro ·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A40"/>
  <sheetViews>
    <sheetView showGridLines="0" workbookViewId="0">
      <selection activeCell="A1" sqref="A1"/>
    </sheetView>
  </sheetViews>
  <sheetFormatPr baseColWidth="8" defaultRowHeight="15"/>
  <cols>
    <col width="110" customWidth="1" min="1" max="1"/>
  </cols>
  <sheetData>
    <row r="1">
      <c r="A1" s="36" t="inlineStr">
        <is>
          <t>HOW TO USE — Coffee Cart Pricing Calculator (Cost per Drink to Quote per Guest)</t>
        </is>
      </c>
    </row>
    <row r="2" ht="45" customHeight="1">
      <c r="A2" s="2" t="inlineStr">
        <is>
          <t>Turns the cost of your drinks into a price per guest and a full quote: baristas, machines, grinders, pounds of coffee, gallons of milk, cups, power and water, subtotal, sales tax, total, payments and what you keep if the client cancels. Type only in the GREEN cells; the margin is calculated.</t>
        </is>
      </c>
    </row>
    <row r="3">
      <c r="A3" s="25" t="inlineStr">
        <is>
          <t>"COST PER DRINK" TAB</t>
        </is>
      </c>
    </row>
    <row r="5" ht="45" customHeight="1">
      <c r="A5" s="2" t="inlineStr">
        <is>
          <t>1. Enter the price before sales tax, the waste and the recipe units per price unit of each ingredient (coffee, milks, cocoa, chai, syrup, tea, sugar, cups, lid, sleeve, napkin and stirrer), and the grams, fluid ounces or units of each drink. Coffee comes from the double shots per drink and the grams per double.</t>
        </is>
      </c>
    </row>
    <row r="6" ht="45" customHeight="1">
      <c r="A6" s="2" t="inlineStr">
        <is>
          <t>2. For each drink you see the ingredient cost, the all-in cost with the cup, the price before sales tax, the cost of goods with a traffic light, the margin and the menu price you would need to hit your target. The sales mix must add up to 100%: the sheet warns you.</t>
        </is>
      </c>
    </row>
    <row r="7" ht="30" customHeight="1">
      <c r="A7" s="2" t="inlineStr">
        <is>
          <t>3. The cost of ONE drink on this tab is not the cost of goods in the financial plan: that one is the average of the mix with waste (purging, dialing in and leftover milk), not a recipe. Do not copy one into the other.</t>
        </is>
      </c>
    </row>
    <row r="8">
      <c r="A8" s="25" t="inlineStr">
        <is>
          <t>"PRICING CALCULATOR" TAB</t>
        </is>
      </c>
    </row>
    <row r="10" ht="45" customHeight="1">
      <c r="A10" s="2" t="inlineStr">
        <is>
          <t>4. Choose the client type (Private event, Corporate, or Festival or market), the guests, the service length (drinks per guest by the hours), the time of day and single-use or reusable cups. At a festival, guests are the drinks you expect to sell.</t>
        </is>
      </c>
    </row>
    <row r="11" ht="45" customHeight="1">
      <c r="A11" s="2" t="inlineStr">
        <is>
          <t>5. The scaling table at the bottom gives baristas, 2-group machines, grinders, pounds of coffee, gallons of milk, cups, power, the circuit you need and water. Its rules use the same assumptions as the business plan: drinks per guest by service length, 50-65 drinks per barista an hour and 18 g per double shot.</t>
        </is>
      </c>
    </row>
    <row r="12" ht="30" customHeight="1">
      <c r="A12" s="2" t="inlineStr">
        <is>
          <t>6. Enter the service hours and the hours outside service (loading, travel, setup and cleanup), the hourly wage and the payroll taxes. If you work the bar yourself, count your hours: it is your opportunity cost.</t>
        </is>
      </c>
    </row>
    <row r="13" ht="45" customHeight="1">
      <c r="A13" s="2" t="inlineStr">
        <is>
          <t>7. The price per guest is the direct cost divided by (1 − margin − fee), rounded up to the next $0.50: the lowest price that reaches your target. You also see the same price per service hour and per drink, to compare with hourly or per-drink rates.</t>
        </is>
      </c>
    </row>
    <row r="14" ht="45" customHeight="1">
      <c r="A14" s="2" t="inlineStr">
        <is>
          <t>8. US quotes show the price before sales tax and add the tax on the invoice. The travel fee goes on its own line, round trip beyond your free radius and with no margin. In the UK, prices to consumers include VAT: if you are VAT-registered, enter 0.20 as the tax rate.</t>
        </is>
      </c>
    </row>
    <row r="15">
      <c r="A15" s="25" t="inlineStr">
        <is>
          <t>POWER</t>
        </is>
      </c>
    </row>
    <row r="17" ht="60" customHeight="1">
      <c r="A17" s="2" t="inlineStr">
        <is>
          <t>A 2-group machine at 220V draws about 3.4 kW (NEMA 6-20 plug, 15-17 A) and needs a dedicated circuit. A standard 110-120V outlet on a 20-amp circuit gives about 2.4 kW: enough for a compact machine, not for a 220V 2-group. Grinders, fridge and lights need their own margin. Without a circuit, bring an inverter generator (5.5 kW for one machine) and ask the venue and the fire marshal where it can go. The sheet warns you, and the kit's contract asks for the circuit in writing.</t>
        </is>
      </c>
    </row>
    <row r="18">
      <c r="A18" s="25" t="inlineStr">
        <is>
          <t>SALES TAX, CUPS AND TIPS</t>
        </is>
      </c>
    </row>
    <row r="20" ht="60" customHeight="1">
      <c r="A20" s="2" t="inlineStr">
        <is>
          <t>Many states tax a hosted coffee service as catering, often on the whole invoice; at festivals and markets you collect sales tax on each drink and may need a permit where you sell. Rates and rules vary by state and city: look up yours. Some cities require compostable single-use items (Seattle, as an example). A voluntary tip or a tip jar belongs to the team: it stays out of the price, the taxable amount and the total; put out a tip jar only if the host agrees.</t>
        </is>
      </c>
    </row>
    <row r="21">
      <c r="A21" s="25" t="inlineStr">
        <is>
          <t>RETAINER, BALANCE AND CANCELLATION</t>
        </is>
      </c>
    </row>
    <row r="23" ht="45" customHeight="1">
      <c r="A23" s="2" t="inlineStr">
        <is>
          <t>Private events: a 30% retainer at booking (credited toward the price; US operators ask 30-50%) and the 70% balance 14 days before the event, with the final guest count 10 days before. Corporate: 30% at signing and 70% net 30 after the invoice. Festivals and markets: paid at the point of sale. Send a receipt for every payment.</t>
        </is>
      </c>
    </row>
    <row r="24" ht="90" customHeight="1">
      <c r="A24" s="2" t="inlineStr">
        <is>
          <t>Cancellation, on the total, in tiers from X to less than Y with no gaps. Private events: 60 days or more, you keep 10%; from 30 to less than 60 days, 30%; from 14 to less than 30 days, 60%; less than 14 days, 100% minus the costs you save (coffee, milk and cups you do not use, staff and travel). Corporate: 30 days or more, 10%; from 15 to less than 30 days, 30%; from 7 to less than 15 days, 60%; less than 7 days, as for private events. It works both ways: if you cancel, you refund what you collected and pay the same tier. If you change a cutoff in the table, the tiers rewrite themselves. Have an attorney in your state review your contract.</t>
        </is>
      </c>
    </row>
    <row r="25">
      <c r="A25" s="25" t="inlineStr">
        <is>
          <t>FESTIVALS AND FARMERS MARKETS</t>
        </is>
      </c>
    </row>
    <row r="27" ht="60" customHeight="1">
      <c r="A27" s="2" t="inlineStr">
        <is>
          <t>Selling drink by drink needs the organizer's vendor terms and, usually, a temporary food event permit. The sheet calculates the sales (drinks × average price, or the organizer's minimum sales guarantee if it is higher), the fee (% of sales plus any flat booth fee), the result of the day and the drinks you need to cover your costs. The "price per guest" in that column is the lowest price per drink that covers cost, fee and margin.</t>
        </is>
      </c>
    </row>
    <row r="28">
      <c r="A28" s="25" t="inlineStr">
        <is>
          <t>FOOD SAFETY</t>
        </is>
      </c>
    </row>
    <row r="30" ht="45" customHeight="1">
      <c r="A30" s="2" t="inlineStr">
        <is>
          <t>Milk is a TCS food: keep it at 41 °F (5 °C) or below in the cart's fridge and in coolers (the FDA Food Code cold-holding limit). Use a separate pitcher for each milk, wash your hands at the cart's hand sink first, and buy pastries only from a licensed bakery.</t>
        </is>
      </c>
    </row>
    <row r="31">
      <c r="A31" s="25" t="inlineStr">
        <is>
          <t>KIT ESTIMATES</t>
        </is>
      </c>
    </row>
    <row r="33" ht="45" customHeight="1">
      <c r="A33" s="2" t="inlineStr">
        <is>
          <t>The defaults and the three examples are kit estimates to show the calculation, not market prices. Drinks per guest, drinks per barista and water use come from US ratios: replace them with your own measurements. Use your roaster's and suppliers' prices, your wages and your miles before you quote.</t>
        </is>
      </c>
    </row>
    <row r="34" ht="30" customHeight="1">
      <c r="A34" s="2" t="inlineStr">
        <is>
          <t>Sources: AI Chef Pro analysis (October 2026) of flashquotes.com booking data, the grindkit.app pricing guide, BLS average prices, coffeecartboys.com and the FDA Food Code.</t>
        </is>
      </c>
    </row>
    <row r="36">
      <c r="A36" s="2" t="inlineStr">
        <is>
          <t>To edit a cell that is not green: Review → Unprotect Sheet (there is no password).</t>
        </is>
      </c>
    </row>
    <row r="37">
      <c r="A37" s="2" t="inlineStr">
        <is>
          <t>More templates and kits in the catalog at aichef.pro/en/digital-products</t>
        </is>
      </c>
    </row>
    <row r="38">
      <c r="A38" s="2" t="inlineStr">
        <is>
          <t>Designed by John Guerrero — chef and restaurant consultant since 2010, in the kitchen since age 17 · johnguerrero.es</t>
        </is>
      </c>
    </row>
    <row r="39">
      <c r="A39" s="2" t="inlineStr">
        <is>
          <t>Version 2.2 · October 2026 · aichef.pro/en/digital-products/coffee-cart-business-plan · info@aichef.pro</t>
        </is>
      </c>
    </row>
    <row r="40">
      <c r="A40" s="16" t="inlineStr">
        <is>
          <t>Planning tool, not financial, tax or legal advice. Requirements vary by state, county and city — check with your accountant and local authorities.</t>
        </is>
      </c>
    </row>
  </sheetData>
  <sheetProtection selectLockedCells="0" selectUnlockedCells="0" sheet="1" objects="0" insertRows="1" insertHyperlinks="1" autoFilter="1" scenarios="0" formatColumns="1" deleteColumns="1" insertColumns="1" pivotTables="1" deleteRows="1" formatCells="1" formatRows="1" sort="1"/>
  <printOptions horizontalCentered="1"/>
  <pageMargins left="0.75" right="0.75" top="1" bottom="1" header="0.5" footer="0.5"/>
  <pageSetup orientation="portrait" paperSize="1" fitToHeight="0" fitToWidth="1"/>
  <headerFooter>
    <oddHeader/>
    <oddFooter>&amp;CAI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Coffee Cart Pricing Calculator (Cost per Drink to Quote per Guest) · Coffee Cart Business Plan Kit</dc:title>
  <dc:description xmlns:dc="http://purl.org/dc/elements/1.1/">aichef.pro/en/digital-products/coffee-cart-business-plan</dc:description>
  <dc:subject xmlns:dc="http://purl.org/dc/elements/1.1/">Coffee Cart Business Plan Kit · v2.2</dc:subject>
  <dcterms:created xmlns:dcterms="http://purl.org/dc/terms/" xmlns:xsi="http://www.w3.org/2001/XMLSchema-instance" xsi:type="dcterms:W3CDTF">2026-10-28T19:32:24Z</dcterms:created>
  <dcterms:modified xmlns:dcterms="http://purl.org/dc/terms/" xmlns:xsi="http://www.w3.org/2001/XMLSchema-instance" xsi:type="dcterms:W3CDTF">2026-10-28T19:32:24Z</dcterms:modified>
  <cp:lastModifiedBy>AI Chef Pro</cp:lastModifiedBy>
  <cp:category>AI Chef Pro · Digital products</cp:category>
  <cp:keywords>coffee cart business plan, coffee truck business plan, mobile coffee business plan, coffee trailer business plan, how to start a coffee cart business, coffee catering, AI Chef Pro</cp:keywords>
</cp:coreProperties>
</file>